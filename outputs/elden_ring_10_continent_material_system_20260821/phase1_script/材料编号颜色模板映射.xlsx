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fd448348e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材料映射" sheetId="1" r:id="R02acd0b06b1d4ec0"/>
    <x:sheet xmlns:r="http://schemas.openxmlformats.org/officeDocument/2006/relationships" name="预留编号" sheetId="2" r:id="R3ca628b4d4204b30"/>
    <x:sheet xmlns:r="http://schemas.openxmlformats.org/officeDocument/2006/relationships" name="模板与颜色依据" sheetId="3" r:id="Rc14649d9a9854ef7"/>
    <x:sheet xmlns:r="http://schemas.openxmlformats.org/officeDocument/2006/relationships" name="冲突摘要" sheetId="4" r:id="R539e03f191fd46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3B2A1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2F"/>
      </x:patternFill>
    </x:fill>
    <x:fill>
      <x:patternFill patternType="solid">
        <x:fgColor rgb="FFFCE9D3"/>
      </x:patternFill>
    </x:fill>
    <x:fill>
      <x:patternFill patternType="solid">
        <x:fgColor rgb="FFB98524"/>
      </x:patternFill>
    </x:fill>
  </x:fills>
  <x:borders count="3">
    <x:border/>
    <x:border>
      <x:left style="thin">
        <x:color rgb="FFD7C49E"/>
      </x:left>
      <x:right style="thin">
        <x:color rgb="FFD7C49E"/>
      </x:right>
      <x:top style="thin">
        <x:color rgb="FFD7C49E"/>
      </x:top>
      <x:bottom style="thin">
        <x:color rgb="FFD7C49E"/>
      </x:bottom>
    </x:border>
    <x:border>
      <x:left style="thin">
        <x:color rgb="FFD9E0DC"/>
      </x:left>
      <x:right style="thin">
        <x:color rgb="FFD9E0DC"/>
      </x:right>
      <x:top style="thin">
        <x:color rgb="FFD9E0DC"/>
      </x:top>
      <x:bottom style="thin">
        <x:color rgb="FFD9E0D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5d773539447d5" /><Relationship Type="http://schemas.openxmlformats.org/officeDocument/2006/relationships/theme" Target="/xl/theme/theme1.xml" Id="R26bfb0d9affc4a08" /><Relationship Type="http://schemas.openxmlformats.org/officeDocument/2006/relationships/sharedStrings" Target="/xl/sharedStrings.xml" Id="R65acf159f00a4dca" /><Relationship Type="http://schemas.openxmlformats.org/officeDocument/2006/relationships/worksheet" Target="/xl/worksheets/sheet1.xml" Id="R02acd0b06b1d4ec0" /><Relationship Type="http://schemas.openxmlformats.org/officeDocument/2006/relationships/worksheet" Target="/xl/worksheets/sheet2.xml" Id="R3ca628b4d4204b30" /><Relationship Type="http://schemas.openxmlformats.org/officeDocument/2006/relationships/worksheet" Target="/xl/worksheets/sheet3.xml" Id="Rc14649d9a9854ef7" /><Relationship Type="http://schemas.openxmlformats.org/officeDocument/2006/relationships/worksheet" Target="/xl/worksheets/sheet4.xml" Id="R539e03f191fd46e7" /></Relationships>
</file>

<file path=xl/tables/table1.xml><?xml version="1.0" encoding="utf-8"?>
<x:table xmlns:x="http://schemas.openxmlformats.org/spreadsheetml/2006/main" id="1" name="MaterialMappingTable" displayName="MaterialMappingTable" ref="A4:Y72" headerRowCount="1" totalsRowCount="0" totalsRowShown="0">
  <x:tableColumns count="25">
    <x:tableColumn id="1" name="逻辑材料ID"/>
    <x:tableColumn id="2" name="大陆"/>
    <x:tableColumn id="3" name="中文名"/>
    <x:tableColumn id="4" name="实际Idx"/>
    <x:tableColumn id="5" name="状态"/>
    <x:tableColumn id="6" name="模板Idx"/>
    <x:tableColumn id="7" name="模板名"/>
    <x:tableColumn id="8" name="StdMode"/>
    <x:tableColumn id="9" name="Shape"/>
    <x:tableColumn id="10" name="Looks"/>
    <x:tableColumn id="11" name="颜色语义"/>
    <x:tableColumn id="12" name="颜色字段"/>
    <x:tableColumn id="13" name="颜色值"/>
    <x:tableColumn id="14" name="显示颜色/RGB"/>
    <x:tableColumn id="15" name="Weight"/>
    <x:tableColumn id="16" name="DuraMax"/>
    <x:tableColumn id="17" name="Price"/>
    <x:tableColumn id="18" name="Stock"/>
    <x:tableColumn id="19" name="OverLap"/>
    <x:tableColumn id="20" name="交易设置"/>
    <x:tableColumn id="21" name="来源定位"/>
    <x:tableColumn id="22" name="验证状态"/>
    <x:tableColumn id="23" name="编号检查"/>
    <x:tableColumn id="24" name="字段完整性"/>
    <x:tableColumn id="2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02791c5b4249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" hidden="0" customWidth="1"/>
    <x:col min="3" max="3" width="15" hidden="0" customWidth="1"/>
    <x:col min="4" max="4" width="10" hidden="0" customWidth="1"/>
    <x:col min="5" max="5" width="12" hidden="0" customWidth="1"/>
    <x:col min="6" max="6" width="10" hidden="0" customWidth="1"/>
    <x:col min="7" max="7" width="14" hidden="0" customWidth="1"/>
    <x:col min="8" max="8" width="9" hidden="0" customWidth="1"/>
    <x:col min="9" max="9" width="8" hidden="0" customWidth="1"/>
    <x:col min="10" max="10" width="9" hidden="0" customWidth="1"/>
    <x:col min="11" max="11" width="12" hidden="0" customWidth="1"/>
    <x:col min="12" max="12" width="10" hidden="0" customWidth="1"/>
    <x:col min="13" max="13" width="9" hidden="0" customWidth="1"/>
    <x:col min="14" max="14" width="24" hidden="0" customWidth="1"/>
    <x:col min="15" max="15" width="9" hidden="0" customWidth="1"/>
    <x:col min="16" max="16" width="10" hidden="0" customWidth="1"/>
    <x:col min="17" max="17" width="9" hidden="0" customWidth="1"/>
    <x:col min="18" max="18" width="9" hidden="0" customWidth="1"/>
    <x:col min="19" max="19" width="9" hidden="0" customWidth="1"/>
    <x:col min="20" max="20" width="25" hidden="0" customWidth="1"/>
    <x:col min="21" max="21" width="28" hidden="0" customWidth="1"/>
    <x:col min="22" max="22" width="23" hidden="0" customWidth="1"/>
    <x:col min="23" max="23" width="10" hidden="0" customWidth="1"/>
    <x:col min="24" max="24" width="12" hidden="0" customWidth="1"/>
    <x:col min="25" max="25" width="36" hidden="0" customWidth="1"/>
  </x:cols>
  <x:sheetData>
    <x:row r="1" ht="28" customHeight="1">
      <x:c r="A1" s="3" t="str">
        <x:v>材料编号、颜色与模板映射｜阶段1本地交付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4" customHeight="1">
      <x:c r="A2" s="7" t="str">
        <x:v>真实依据：ApexM2.DB/StdItems、翎风256色值表、GitHub只读设计母版。状态“已核对待部署”不等于已写入数据库。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4" ht="34" customHeight="1">
      <x:c r="A4" s="13" t="str">
        <x:v>逻辑材料ID</x:v>
      </x:c>
      <x:c r="B4" s="13" t="str">
        <x:v>大陆</x:v>
      </x:c>
      <x:c r="C4" s="13" t="str">
        <x:v>中文名</x:v>
      </x:c>
      <x:c r="D4" s="13" t="str">
        <x:v>实际Idx</x:v>
      </x:c>
      <x:c r="E4" s="13" t="str">
        <x:v>状态</x:v>
      </x:c>
      <x:c r="F4" s="13" t="str">
        <x:v>模板Idx</x:v>
      </x:c>
      <x:c r="G4" s="13" t="str">
        <x:v>模板名</x:v>
      </x:c>
      <x:c r="H4" s="13" t="str">
        <x:v>StdMode</x:v>
      </x:c>
      <x:c r="I4" s="13" t="str">
        <x:v>Shape</x:v>
      </x:c>
      <x:c r="J4" s="13" t="str">
        <x:v>Looks</x:v>
      </x:c>
      <x:c r="K4" s="13" t="str">
        <x:v>颜色语义</x:v>
      </x:c>
      <x:c r="L4" s="13" t="str">
        <x:v>颜色字段</x:v>
      </x:c>
      <x:c r="M4" s="13" t="str">
        <x:v>颜色值</x:v>
      </x:c>
      <x:c r="N4" s="13" t="str">
        <x:v>显示颜色/RGB</x:v>
      </x:c>
      <x:c r="O4" s="13" t="str">
        <x:v>Weight</x:v>
      </x:c>
      <x:c r="P4" s="13" t="str">
        <x:v>DuraMax</x:v>
      </x:c>
      <x:c r="Q4" s="13" t="str">
        <x:v>Price</x:v>
      </x:c>
      <x:c r="R4" s="13" t="str">
        <x:v>Stock</x:v>
      </x:c>
      <x:c r="S4" s="13" t="str">
        <x:v>OverLap</x:v>
      </x:c>
      <x:c r="T4" s="13" t="str">
        <x:v>交易设置</x:v>
      </x:c>
      <x:c r="U4" s="13" t="str">
        <x:v>来源定位</x:v>
      </x:c>
      <x:c r="V4" s="13" t="str">
        <x:v>验证状态</x:v>
      </x:c>
      <x:c r="W4" s="13" t="str">
        <x:v>编号检查</x:v>
      </x:c>
      <x:c r="X4" s="13" t="str">
        <x:v>字段完整性</x:v>
      </x:c>
      <x:c r="Y4" s="13" t="str">
        <x:v>备注</x:v>
      </x:c>
    </x:row>
    <x:row r="5">
      <x:c r="A5" s="16" t="str">
        <x:v>EL-MAT-GLOBAL-SOMBER</x:v>
      </x:c>
      <x:c r="B5" s="16" t="str">
        <x:v>ALL</x:v>
      </x:c>
      <x:c r="C5" s="16" t="str">
        <x:v>失色锻造石</x:v>
      </x:c>
      <x:c r="D5" s="16" t="n">
        <x:v>793</x:v>
      </x:c>
      <x:c r="E5" s="16" t="str">
        <x:v>复用现服</x:v>
      </x:c>
      <x:c r="F5" s="16" t="n">
        <x:v>793</x:v>
      </x:c>
      <x:c r="G5" s="16" t="str">
        <x:v>失色锻造石</x:v>
      </x:c>
      <x:c r="H5" s="16" t="n">
        <x:v>46</x:v>
      </x:c>
      <x:c r="I5" s="16" t="n">
        <x:v>1</x:v>
      </x:c>
      <x:c r="J5" s="16" t="n">
        <x:v>6191</x:v>
      </x:c>
      <x:c r="K5" s="16" t="str">
        <x:v>锻造·橙金</x:v>
      </x:c>
      <x:c r="L5" s="16" t="str">
        <x:v>Color</x:v>
      </x:c>
      <x:c r="M5" s="16" t="n">
        <x:v>251</x:v>
      </x:c>
      <x:c r="N5" s="16" t="str">
        <x:v>现服实值 251 (#FFFF00)</x:v>
      </x:c>
      <x:c r="O5" s="16" t="n">
        <x:v>0</x:v>
      </x:c>
      <x:c r="P5" s="16" t="n">
        <x:v>99999</x:v>
      </x:c>
      <x:c r="Q5" s="16" t="n">
        <x:v>0</x:v>
      </x:c>
      <x:c r="R5" s="16" t="n">
        <x:v>5</x:v>
      </x:c>
      <x:c r="S5" s="16" t="n">
        <x:v>2</x:v>
      </x:c>
      <x:c r="T5" s="16" t="str">
        <x:v>非绑定/可交易/NPC售价0</x:v>
      </x:c>
      <x:c r="U5" s="16" t="str">
        <x:v>怪物专属装备分解</x:v>
      </x:c>
      <x:c r="V5" s="16" t="str">
        <x:v>已验证复用/颜色语义不一致</x:v>
      </x:c>
      <x:c r="W5" s="16" t="str">
        <x:f>IF(COUNTIF($D$5:$D$72,D5)&gt;1,"重复","正常")</x:f>
        <x:v>正常</x:v>
      </x:c>
      <x:c r="X5" s="16" t="str">
        <x:f>IF(OR(D5="",F5="",H5="",I5="",J5="",L5="",M5=""),"缺失","正常")</x:f>
        <x:v>正常</x:v>
      </x:c>
      <x:c r="Y5" s="16" t="str">
        <x:v>按同名旧资产复用规则保留现服Color=251，未按“锻造·橙金”改色</x:v>
      </x:c>
    </x:row>
    <x:row r="6">
      <x:c r="A6" s="16" t="str">
        <x:v>EL-MAT-C02-BONE</x:v>
      </x:c>
      <x:c r="B6" s="16" t="str">
        <x:v>C02</x:v>
      </x:c>
      <x:c r="C6" s="16" t="str">
        <x:v>野兽骨片</x:v>
      </x:c>
      <x:c r="D6" s="16" t="n">
        <x:v>794</x:v>
      </x:c>
      <x:c r="E6" s="16" t="str">
        <x:v>复用现服</x:v>
      </x:c>
      <x:c r="F6" s="16" t="n">
        <x:v>794</x:v>
      </x:c>
      <x:c r="G6" s="16" t="str">
        <x:v>野兽骨片</x:v>
      </x:c>
      <x:c r="H6" s="16" t="n">
        <x:v>46</x:v>
      </x:c>
      <x:c r="I6" s="16" t="n">
        <x:v>1</x:v>
      </x:c>
      <x:c r="J6" s="16" t="n">
        <x:v>6192</x:v>
      </x:c>
      <x:c r="K6" s="16" t="str">
        <x:v>成长·蓝</x:v>
      </x:c>
      <x:c r="L6" s="16" t="str">
        <x:v>Color</x:v>
      </x:c>
      <x:c r="M6" s="16" t="n">
        <x:v>251</x:v>
      </x:c>
      <x:c r="N6" s="16" t="str">
        <x:v>现服实值 251 (#FFFF00)</x:v>
      </x:c>
      <x:c r="O6" s="16" t="n">
        <x:v>0</x:v>
      </x:c>
      <x:c r="P6" s="16" t="n">
        <x:v>99999</x:v>
      </x:c>
      <x:c r="Q6" s="16" t="n">
        <x:v>0</x:v>
      </x:c>
      <x:c r="R6" s="16" t="n">
        <x:v>5</x:v>
      </x:c>
      <x:c r="S6" s="16" t="n">
        <x:v>2</x:v>
      </x:c>
      <x:c r="T6" s="16" t="str">
        <x:v>非绑定/可交易/NPC售价0</x:v>
      </x:c>
      <x:c r="U6" s="16" t="str">
        <x:v>沿用宁姆格福既有掉落</x:v>
      </x:c>
      <x:c r="V6" s="16" t="str">
        <x:v>已验证复用/颜色语义不一致</x:v>
      </x:c>
      <x:c r="W6" s="16" t="str">
        <x:f>IF(COUNTIF($D$5:$D$72,D6)&gt;1,"重复","正常")</x:f>
        <x:v>正常</x:v>
      </x:c>
      <x:c r="X6" s="16" t="str">
        <x:f>IF(OR(D6="",F6="",H6="",I6="",J6="",L6="",M6=""),"缺失","正常")</x:f>
        <x:v>正常</x:v>
      </x:c>
      <x:c r="Y6" s="16" t="str">
        <x:v>按同名旧资产复用规则保留现服Color=251，未按“成长·蓝”改色</x:v>
      </x:c>
    </x:row>
    <x:row r="7">
      <x:c r="A7" s="16" t="str">
        <x:v>EL-MAT-C02-RUNE</x:v>
      </x:c>
      <x:c r="B7" s="16" t="str">
        <x:v>C02</x:v>
      </x:c>
      <x:c r="C7" s="16" t="str">
        <x:v>神秘符文</x:v>
      </x:c>
      <x:c r="D7" s="16" t="n">
        <x:v>802</x:v>
      </x:c>
      <x:c r="E7" s="16" t="str">
        <x:v>复用现服</x:v>
      </x:c>
      <x:c r="F7" s="16" t="n">
        <x:v>802</x:v>
      </x:c>
      <x:c r="G7" s="16" t="str">
        <x:v>神秘符文</x:v>
      </x:c>
      <x:c r="H7" s="16" t="n">
        <x:v>46</x:v>
      </x:c>
      <x:c r="I7" s="16" t="n">
        <x:v>1</x:v>
      </x:c>
      <x:c r="J7" s="16" t="n">
        <x:v>6200</x:v>
      </x:c>
      <x:c r="K7" s="16" t="str">
        <x:v>成长·紫</x:v>
      </x:c>
      <x:c r="L7" s="16" t="str">
        <x:v>Color</x:v>
      </x:c>
      <x:c r="M7" s="16" t="n">
        <x:v>251</x:v>
      </x:c>
      <x:c r="N7" s="16" t="str">
        <x:v>现服实值 251 (#FFFF00)</x:v>
      </x:c>
      <x:c r="O7" s="16" t="n">
        <x:v>0</x:v>
      </x:c>
      <x:c r="P7" s="16" t="n">
        <x:v>99999</x:v>
      </x:c>
      <x:c r="Q7" s="16" t="n">
        <x:v>0</x:v>
      </x:c>
      <x:c r="R7" s="16" t="n">
        <x:v>5</x:v>
      </x:c>
      <x:c r="S7" s="16" t="n">
        <x:v>2</x:v>
      </x:c>
      <x:c r="T7" s="16" t="str">
        <x:v>非绑定/可交易/NPC售价0</x:v>
      </x:c>
      <x:c r="U7" s="16" t="str">
        <x:v>沿用现有任务/称号脚本</x:v>
      </x:c>
      <x:c r="V7" s="16" t="str">
        <x:v>已验证复用/颜色语义不一致</x:v>
      </x:c>
      <x:c r="W7" s="16" t="str">
        <x:f>IF(COUNTIF($D$5:$D$72,D7)&gt;1,"重复","正常")</x:f>
        <x:v>正常</x:v>
      </x:c>
      <x:c r="X7" s="16" t="str">
        <x:f>IF(OR(D7="",F7="",H7="",I7="",J7="",L7="",M7=""),"缺失","正常")</x:f>
        <x:v>正常</x:v>
      </x:c>
      <x:c r="Y7" s="16" t="str">
        <x:v>按同名旧资产复用规则保留现服Color=251，未按“成长·紫”改色</x:v>
      </x:c>
    </x:row>
    <x:row r="8">
      <x:c r="A8" s="16" t="str">
        <x:v>EL-MAT-C01-WITNESS-TIDE</x:v>
      </x:c>
      <x:c r="B8" s="16" t="str">
        <x:v>C01</x:v>
      </x:c>
      <x:c r="C8" s="16" t="str">
        <x:v>漂流见证·潮</x:v>
      </x:c>
      <x:c r="D8" s="16" t="n">
        <x:v>907</x:v>
      </x:c>
      <x:c r="E8" s="16" t="str">
        <x:v>规划新建</x:v>
      </x:c>
      <x:c r="F8" s="16" t="n">
        <x:v>802</x:v>
      </x:c>
      <x:c r="G8" s="16" t="str">
        <x:v>神秘符文</x:v>
      </x:c>
      <x:c r="H8" s="16" t="n">
        <x:v>46</x:v>
      </x:c>
      <x:c r="I8" s="16" t="n">
        <x:v>1</x:v>
      </x:c>
      <x:c r="J8" s="16" t="n">
        <x:v>6200</x:v>
      </x:c>
      <x:c r="K8" s="16" t="str">
        <x:v>剧情·金</x:v>
      </x:c>
      <x:c r="L8" s="16" t="str">
        <x:v>Color</x:v>
      </x:c>
      <x:c r="M8" s="16" t="n">
        <x:v>151</x:v>
      </x:c>
      <x:c r="N8" s="16" t="str">
        <x:v>金黄 151 (#F7E700)</x:v>
      </x:c>
      <x:c r="O8" s="16" t="n">
        <x:v>0</x:v>
      </x:c>
      <x:c r="P8" s="16" t="n">
        <x:v>99999</x:v>
      </x:c>
      <x:c r="Q8" s="16" t="n">
        <x:v>0</x:v>
      </x:c>
      <x:c r="R8" s="16" t="n">
        <x:v>5</x:v>
      </x:c>
      <x:c r="S8" s="16" t="n">
        <x:v>2</x:v>
      </x:c>
      <x:c r="T8" s="16" t="str">
        <x:v>非绑定/可交易/NPC售价0</x:v>
      </x:c>
      <x:c r="U8" s="16" t="str">
        <x:v>海岸亡魂任务固定奖励</x:v>
      </x:c>
      <x:c r="V8" s="16" t="str">
        <x:v>已核对待部署</x:v>
      </x:c>
      <x:c r="W8" s="16" t="str">
        <x:f>IF(COUNTIF($D$5:$D$72,D8)&gt;1,"重复","正常")</x:f>
        <x:v>正常</x:v>
      </x:c>
      <x:c r="X8" s="16" t="str">
        <x:f>IF(OR(D8="",F8="",H8="",I8="",J8="",L8="",M8=""),"缺失","正常")</x:f>
        <x:v>正常</x:v>
      </x:c>
      <x:c r="Y8" s="16" t="str">
        <x:v>Idx取自现服最大Idx之后的未占用区间；模板复用现服Idx 802</x:v>
      </x:c>
    </x:row>
    <x:row r="9">
      <x:c r="A9" s="16" t="str">
        <x:v>EL-MAT-C01-WITNESS-STORM</x:v>
      </x:c>
      <x:c r="B9" s="16" t="str">
        <x:v>C01</x:v>
      </x:c>
      <x:c r="C9" s="16" t="str">
        <x:v>漂流见证·雷</x:v>
      </x:c>
      <x:c r="D9" s="16" t="n">
        <x:v>908</x:v>
      </x:c>
      <x:c r="E9" s="16" t="str">
        <x:v>规划新建</x:v>
      </x:c>
      <x:c r="F9" s="16" t="n">
        <x:v>802</x:v>
      </x:c>
      <x:c r="G9" s="16" t="str">
        <x:v>神秘符文</x:v>
      </x:c>
      <x:c r="H9" s="16" t="n">
        <x:v>46</x:v>
      </x:c>
      <x:c r="I9" s="16" t="n">
        <x:v>1</x:v>
      </x:c>
      <x:c r="J9" s="16" t="n">
        <x:v>6200</x:v>
      </x:c>
      <x:c r="K9" s="16" t="str">
        <x:v>剧情·金</x:v>
      </x:c>
      <x:c r="L9" s="16" t="str">
        <x:v>Color</x:v>
      </x:c>
      <x:c r="M9" s="16" t="n">
        <x:v>151</x:v>
      </x:c>
      <x:c r="N9" s="16" t="str">
        <x:v>金黄 151 (#F7E700)</x:v>
      </x:c>
      <x:c r="O9" s="16" t="n">
        <x:v>0</x:v>
      </x:c>
      <x:c r="P9" s="16" t="n">
        <x:v>99999</x:v>
      </x:c>
      <x:c r="Q9" s="16" t="n">
        <x:v>0</x:v>
      </x:c>
      <x:c r="R9" s="16" t="n">
        <x:v>5</x:v>
      </x:c>
      <x:c r="S9" s="16" t="n">
        <x:v>2</x:v>
      </x:c>
      <x:c r="T9" s="16" t="str">
        <x:v>非绑定/可交易/NPC售价0</x:v>
      </x:c>
      <x:c r="U9" s="16" t="str">
        <x:v>风暴遗誓任务固定奖励</x:v>
      </x:c>
      <x:c r="V9" s="16" t="str">
        <x:v>已核对待部署</x:v>
      </x:c>
      <x:c r="W9" s="16" t="str">
        <x:f>IF(COUNTIF($D$5:$D$72,D9)&gt;1,"重复","正常")</x:f>
        <x:v>正常</x:v>
      </x:c>
      <x:c r="X9" s="16" t="str">
        <x:f>IF(OR(D9="",F9="",H9="",I9="",J9="",L9="",M9=""),"缺失","正常")</x:f>
        <x:v>正常</x:v>
      </x:c>
      <x:c r="Y9" s="16" t="str">
        <x:v>Idx取自现服最大Idx之后的未占用区间；模板复用现服Idx 802</x:v>
      </x:c>
    </x:row>
    <x:row r="10">
      <x:c r="A10" s="16" t="str">
        <x:v>EL-MAT-C02-OATHPAGE</x:v>
      </x:c>
      <x:c r="B10" s="16" t="str">
        <x:v>C02</x:v>
      </x:c>
      <x:c r="C10" s="16" t="str">
        <x:v>宁姆格福誓页</x:v>
      </x:c>
      <x:c r="D10" s="16" t="n">
        <x:v>909</x:v>
      </x:c>
      <x:c r="E10" s="16" t="str">
        <x:v>规划新建</x:v>
      </x:c>
      <x:c r="F10" s="16" t="n">
        <x:v>802</x:v>
      </x:c>
      <x:c r="G10" s="16" t="str">
        <x:v>神秘符文</x:v>
      </x:c>
      <x:c r="H10" s="16" t="n">
        <x:v>46</x:v>
      </x:c>
      <x:c r="I10" s="16" t="n">
        <x:v>1</x:v>
      </x:c>
      <x:c r="J10" s="16" t="n">
        <x:v>6200</x:v>
      </x:c>
      <x:c r="K10" s="16" t="str">
        <x:v>剧情·金</x:v>
      </x:c>
      <x:c r="L10" s="16" t="str">
        <x:v>Color</x:v>
      </x:c>
      <x:c r="M10" s="16" t="n">
        <x:v>151</x:v>
      </x:c>
      <x:c r="N10" s="16" t="str">
        <x:v>金黄 151 (#F7E700)</x:v>
      </x:c>
      <x:c r="O10" s="16" t="n">
        <x:v>0</x:v>
      </x:c>
      <x:c r="P10" s="16" t="n">
        <x:v>99999</x:v>
      </x:c>
      <x:c r="Q10" s="16" t="n">
        <x:v>0</x:v>
      </x:c>
      <x:c r="R10" s="16" t="n">
        <x:v>5</x:v>
      </x:c>
      <x:c r="S10" s="16" t="n">
        <x:v>2</x:v>
      </x:c>
      <x:c r="T10" s="16" t="str">
        <x:v>非绑定/可交易/NPC售价0</x:v>
      </x:c>
      <x:c r="U10" s="16" t="str">
        <x:v>宁姆格福前四任务固定奖励</x:v>
      </x:c>
      <x:c r="V10" s="16" t="str">
        <x:v>已核对待部署</x:v>
      </x:c>
      <x:c r="W10" s="16" t="str">
        <x:f>IF(COUNTIF($D$5:$D$72,D10)&gt;1,"重复","正常")</x:f>
        <x:v>正常</x:v>
      </x:c>
      <x:c r="X10" s="16" t="str">
        <x:f>IF(OR(D10="",F10="",H10="",I10="",J10="",L10="",M10=""),"缺失","正常")</x:f>
        <x:v>正常</x:v>
      </x:c>
      <x:c r="Y10" s="16" t="str">
        <x:v>Idx取自现服最大Idx之后的未占用区间；模板复用现服Idx 802</x:v>
      </x:c>
    </x:row>
    <x:row r="11">
      <x:c r="A11" s="16" t="str">
        <x:v>EL-MAT-C01-COM</x:v>
      </x:c>
      <x:c r="B11" s="16" t="str">
        <x:v>C01</x:v>
      </x:c>
      <x:c r="C11" s="16" t="str">
        <x:v>海蚀铁片</x:v>
      </x:c>
      <x:c r="D11" s="16" t="n">
        <x:v>910</x:v>
      </x:c>
      <x:c r="E11" s="16" t="str">
        <x:v>规划新建</x:v>
      </x:c>
      <x:c r="F11" s="16" t="n">
        <x:v>797</x:v>
      </x:c>
      <x:c r="G11" s="16" t="str">
        <x:v>古王金属片</x:v>
      </x:c>
      <x:c r="H11" s="16" t="n">
        <x:v>46</x:v>
      </x:c>
      <x:c r="I11" s="16" t="n">
        <x:v>1</x:v>
      </x:c>
      <x:c r="J11" s="16" t="n">
        <x:v>6195</x:v>
      </x:c>
      <x:c r="K11" s="16" t="str">
        <x:v>常规·白</x:v>
      </x:c>
      <x:c r="L11" s="16" t="str">
        <x:v>Color</x:v>
      </x:c>
      <x:c r="M11" s="16" t="n">
        <x:v>255</x:v>
      </x:c>
      <x:c r="N11" s="16" t="str">
        <x:v>默认白 255 (#FFFFFF)</x:v>
      </x:c>
      <x:c r="O11" s="16" t="n">
        <x:v>0</x:v>
      </x:c>
      <x:c r="P11" s="16" t="n">
        <x:v>99999</x:v>
      </x:c>
      <x:c r="Q11" s="16" t="n">
        <x:v>0</x:v>
      </x:c>
      <x:c r="R11" s="16" t="n">
        <x:v>5</x:v>
      </x:c>
      <x:c r="S11" s="16" t="n">
        <x:v>2</x:v>
      </x:c>
      <x:c r="T11" s="16" t="str">
        <x:v>非绑定/可交易/NPC售价0</x:v>
      </x:c>
      <x:c r="U11" s="16" t="str">
        <x:v>本大陆普通怪独立掉落</x:v>
      </x:c>
      <x:c r="V11" s="16" t="str">
        <x:v>已核对待部署</x:v>
      </x:c>
      <x:c r="W11" s="16" t="str">
        <x:f>IF(COUNTIF($D$5:$D$72,D11)&gt;1,"重复","正常")</x:f>
        <x:v>正常</x:v>
      </x:c>
      <x:c r="X11" s="16" t="str">
        <x:f>IF(OR(D11="",F11="",H11="",I11="",J11="",L11="",M11=""),"缺失","正常")</x:f>
        <x:v>正常</x:v>
      </x:c>
      <x:c r="Y11" s="16" t="str">
        <x:v>Idx取自现服最大Idx之后的未占用区间；模板复用现服Idx 797</x:v>
      </x:c>
    </x:row>
    <x:row r="12">
      <x:c r="A12" s="16" t="str">
        <x:v>EL-MAT-C01-RARE</x:v>
      </x:c>
      <x:c r="B12" s="16" t="str">
        <x:v>C01</x:v>
      </x:c>
      <x:c r="C12" s="16" t="str">
        <x:v>潮痕结晶</x:v>
      </x:c>
      <x:c r="D12" s="16" t="n">
        <x:v>911</x:v>
      </x:c>
      <x:c r="E12" s="16" t="str">
        <x:v>规划新建</x:v>
      </x:c>
      <x:c r="F12" s="16" t="n">
        <x:v>799</x:v>
      </x:c>
      <x:c r="G12" s="16" t="str">
        <x:v>暴烈晶核</x:v>
      </x:c>
      <x:c r="H12" s="16" t="n">
        <x:v>46</x:v>
      </x:c>
      <x:c r="I12" s="16" t="n">
        <x:v>1</x:v>
      </x:c>
      <x:c r="J12" s="16" t="n">
        <x:v>6197</x:v>
      </x:c>
      <x:c r="K12" s="16" t="str">
        <x:v>稀有·蓝紫</x:v>
      </x:c>
      <x:c r="L12" s="16" t="str">
        <x:v>Color</x:v>
      </x:c>
      <x:c r="M12" s="16" t="n">
        <x:v>242</x:v>
      </x:c>
      <x:c r="N12" s="16" t="str">
        <x:v>蓝紫 242 (#DDAAFF)</x:v>
      </x:c>
      <x:c r="O12" s="16" t="n">
        <x:v>0</x:v>
      </x:c>
      <x:c r="P12" s="16" t="n">
        <x:v>99999</x:v>
      </x:c>
      <x:c r="Q12" s="16" t="n">
        <x:v>0</x:v>
      </x:c>
      <x:c r="R12" s="16" t="n">
        <x:v>5</x:v>
      </x:c>
      <x:c r="S12" s="16" t="n">
        <x:v>2</x:v>
      </x:c>
      <x:c r="T12" s="16" t="str">
        <x:v>非绑定/可交易/NPC售价0</x:v>
      </x:c>
      <x:c r="U12" s="16" t="str">
        <x:v>本大陆精英怪独立掉落</x:v>
      </x:c>
      <x:c r="V12" s="16" t="str">
        <x:v>已核对待部署</x:v>
      </x:c>
      <x:c r="W12" s="16" t="str">
        <x:f>IF(COUNTIF($D$5:$D$72,D12)&gt;1,"重复","正常")</x:f>
        <x:v>正常</x:v>
      </x:c>
      <x:c r="X12" s="16" t="str">
        <x:f>IF(OR(D12="",F12="",H12="",I12="",J12="",L12="",M12=""),"缺失","正常")</x:f>
        <x:v>正常</x:v>
      </x:c>
      <x:c r="Y12" s="16" t="str">
        <x:v>Idx取自现服最大Idx之后的未占用区间；模板复用现服Idx 799</x:v>
      </x:c>
    </x:row>
    <x:row r="13">
      <x:c r="A13" s="16" t="str">
        <x:v>EL-MAT-C01-MARK</x:v>
      </x:c>
      <x:c r="B13" s="16" t="str">
        <x:v>C01</x:v>
      </x:c>
      <x:c r="C13" s="16" t="str">
        <x:v>漂流大陆印记</x:v>
      </x:c>
      <x:c r="D13" s="16" t="n">
        <x:v>912</x:v>
      </x:c>
      <x:c r="E13" s="16" t="str">
        <x:v>规划新建</x:v>
      </x:c>
      <x:c r="F13" s="16" t="n">
        <x:v>802</x:v>
      </x:c>
      <x:c r="G13" s="16" t="str">
        <x:v>神秘符文</x:v>
      </x:c>
      <x:c r="H13" s="16" t="n">
        <x:v>46</x:v>
      </x:c>
      <x:c r="I13" s="16" t="n">
        <x:v>1</x:v>
      </x:c>
      <x:c r="J13" s="16" t="n">
        <x:v>6200</x:v>
      </x:c>
      <x:c r="K13" s="16" t="str">
        <x:v>剧情·金</x:v>
      </x:c>
      <x:c r="L13" s="16" t="str">
        <x:v>Color</x:v>
      </x:c>
      <x:c r="M13" s="16" t="n">
        <x:v>151</x:v>
      </x:c>
      <x:c r="N13" s="16" t="str">
        <x:v>金黄 151 (#F7E700)</x:v>
      </x:c>
      <x:c r="O13" s="16" t="n">
        <x:v>0</x:v>
      </x:c>
      <x:c r="P13" s="16" t="n">
        <x:v>99999</x:v>
      </x:c>
      <x:c r="Q13" s="16" t="n">
        <x:v>0</x:v>
      </x:c>
      <x:c r="R13" s="16" t="n">
        <x:v>5</x:v>
      </x:c>
      <x:c r="S13" s="16" t="n">
        <x:v>2</x:v>
      </x:c>
      <x:c r="T13" s="16" t="str">
        <x:v>非绑定/可交易/NPC售价0</x:v>
      </x:c>
      <x:c r="U13" s="16" t="str">
        <x:v>主任务/守关BOSS首杀固定1</x:v>
      </x:c>
      <x:c r="V13" s="16" t="str">
        <x:v>已核对待部署</x:v>
      </x:c>
      <x:c r="W13" s="16" t="str">
        <x:f>IF(COUNTIF($D$5:$D$72,D13)&gt;1,"重复","正常")</x:f>
        <x:v>正常</x:v>
      </x:c>
      <x:c r="X13" s="16" t="str">
        <x:f>IF(OR(D13="",F13="",H13="",I13="",J13="",L13="",M13=""),"缺失","正常")</x:f>
        <x:v>正常</x:v>
      </x:c>
      <x:c r="Y13" s="16" t="str">
        <x:v>Idx取自现服最大Idx之后的未占用区间；模板复用现服Idx 802</x:v>
      </x:c>
    </x:row>
    <x:row r="14">
      <x:c r="A14" s="16" t="str">
        <x:v>EL-MAT-C02-COM</x:v>
      </x:c>
      <x:c r="B14" s="16" t="str">
        <x:v>C02</x:v>
      </x:c>
      <x:c r="C14" s="16" t="str">
        <x:v>风暴石片</x:v>
      </x:c>
      <x:c r="D14" s="16" t="n">
        <x:v>913</x:v>
      </x:c>
      <x:c r="E14" s="16" t="str">
        <x:v>规划新建</x:v>
      </x:c>
      <x:c r="F14" s="16" t="n">
        <x:v>797</x:v>
      </x:c>
      <x:c r="G14" s="16" t="str">
        <x:v>古王金属片</x:v>
      </x:c>
      <x:c r="H14" s="16" t="n">
        <x:v>46</x:v>
      </x:c>
      <x:c r="I14" s="16" t="n">
        <x:v>1</x:v>
      </x:c>
      <x:c r="J14" s="16" t="n">
        <x:v>6195</x:v>
      </x:c>
      <x:c r="K14" s="16" t="str">
        <x:v>常规·白</x:v>
      </x:c>
      <x:c r="L14" s="16" t="str">
        <x:v>Color</x:v>
      </x:c>
      <x:c r="M14" s="16" t="n">
        <x:v>255</x:v>
      </x:c>
      <x:c r="N14" s="16" t="str">
        <x:v>默认白 255 (#FFFFFF)</x:v>
      </x:c>
      <x:c r="O14" s="16" t="n">
        <x:v>0</x:v>
      </x:c>
      <x:c r="P14" s="16" t="n">
        <x:v>99999</x:v>
      </x:c>
      <x:c r="Q14" s="16" t="n">
        <x:v>0</x:v>
      </x:c>
      <x:c r="R14" s="16" t="n">
        <x:v>5</x:v>
      </x:c>
      <x:c r="S14" s="16" t="n">
        <x:v>2</x:v>
      </x:c>
      <x:c r="T14" s="16" t="str">
        <x:v>非绑定/可交易/NPC售价0</x:v>
      </x:c>
      <x:c r="U14" s="16" t="str">
        <x:v>本大陆普通怪独立掉落</x:v>
      </x:c>
      <x:c r="V14" s="16" t="str">
        <x:v>已核对待部署</x:v>
      </x:c>
      <x:c r="W14" s="16" t="str">
        <x:f>IF(COUNTIF($D$5:$D$72,D14)&gt;1,"重复","正常")</x:f>
        <x:v>正常</x:v>
      </x:c>
      <x:c r="X14" s="16" t="str">
        <x:f>IF(OR(D14="",F14="",H14="",I14="",J14="",L14="",M14=""),"缺失","正常")</x:f>
        <x:v>正常</x:v>
      </x:c>
      <x:c r="Y14" s="16" t="str">
        <x:v>Idx取自现服最大Idx之后的未占用区间；模板复用现服Idx 797</x:v>
      </x:c>
    </x:row>
    <x:row r="15">
      <x:c r="A15" s="16" t="str">
        <x:v>EL-MAT-C02-RARE</x:v>
      </x:c>
      <x:c r="B15" s="16" t="str">
        <x:v>C02</x:v>
      </x:c>
      <x:c r="C15" s="16" t="str">
        <x:v>黄金树芽</x:v>
      </x:c>
      <x:c r="D15" s="16" t="n">
        <x:v>914</x:v>
      </x:c>
      <x:c r="E15" s="16" t="str">
        <x:v>规划新建</x:v>
      </x:c>
      <x:c r="F15" s="16" t="n">
        <x:v>799</x:v>
      </x:c>
      <x:c r="G15" s="16" t="str">
        <x:v>暴烈晶核</x:v>
      </x:c>
      <x:c r="H15" s="16" t="n">
        <x:v>46</x:v>
      </x:c>
      <x:c r="I15" s="16" t="n">
        <x:v>1</x:v>
      </x:c>
      <x:c r="J15" s="16" t="n">
        <x:v>6197</x:v>
      </x:c>
      <x:c r="K15" s="16" t="str">
        <x:v>稀有·蓝紫</x:v>
      </x:c>
      <x:c r="L15" s="16" t="str">
        <x:v>Color</x:v>
      </x:c>
      <x:c r="M15" s="16" t="n">
        <x:v>242</x:v>
      </x:c>
      <x:c r="N15" s="16" t="str">
        <x:v>蓝紫 242 (#DDAAFF)</x:v>
      </x:c>
      <x:c r="O15" s="16" t="n">
        <x:v>0</x:v>
      </x:c>
      <x:c r="P15" s="16" t="n">
        <x:v>99999</x:v>
      </x:c>
      <x:c r="Q15" s="16" t="n">
        <x:v>0</x:v>
      </x:c>
      <x:c r="R15" s="16" t="n">
        <x:v>5</x:v>
      </x:c>
      <x:c r="S15" s="16" t="n">
        <x:v>2</x:v>
      </x:c>
      <x:c r="T15" s="16" t="str">
        <x:v>非绑定/可交易/NPC售价0</x:v>
      </x:c>
      <x:c r="U15" s="16" t="str">
        <x:v>本大陆精英怪独立掉落</x:v>
      </x:c>
      <x:c r="V15" s="16" t="str">
        <x:v>已核对待部署</x:v>
      </x:c>
      <x:c r="W15" s="16" t="str">
        <x:f>IF(COUNTIF($D$5:$D$72,D15)&gt;1,"重复","正常")</x:f>
        <x:v>正常</x:v>
      </x:c>
      <x:c r="X15" s="16" t="str">
        <x:f>IF(OR(D15="",F15="",H15="",I15="",J15="",L15="",M15=""),"缺失","正常")</x:f>
        <x:v>正常</x:v>
      </x:c>
      <x:c r="Y15" s="16" t="str">
        <x:v>Idx取自现服最大Idx之后的未占用区间；模板复用现服Idx 799</x:v>
      </x:c>
    </x:row>
    <x:row r="16">
      <x:c r="A16" s="16" t="str">
        <x:v>EL-MAT-C02-MARK</x:v>
      </x:c>
      <x:c r="B16" s="16" t="str">
        <x:v>C02</x:v>
      </x:c>
      <x:c r="C16" s="16" t="str">
        <x:v>接肢王印</x:v>
      </x:c>
      <x:c r="D16" s="16" t="n">
        <x:v>915</x:v>
      </x:c>
      <x:c r="E16" s="16" t="str">
        <x:v>规划新建</x:v>
      </x:c>
      <x:c r="F16" s="16" t="n">
        <x:v>802</x:v>
      </x:c>
      <x:c r="G16" s="16" t="str">
        <x:v>神秘符文</x:v>
      </x:c>
      <x:c r="H16" s="16" t="n">
        <x:v>46</x:v>
      </x:c>
      <x:c r="I16" s="16" t="n">
        <x:v>1</x:v>
      </x:c>
      <x:c r="J16" s="16" t="n">
        <x:v>6200</x:v>
      </x:c>
      <x:c r="K16" s="16" t="str">
        <x:v>剧情·金</x:v>
      </x:c>
      <x:c r="L16" s="16" t="str">
        <x:v>Color</x:v>
      </x:c>
      <x:c r="M16" s="16" t="n">
        <x:v>151</x:v>
      </x:c>
      <x:c r="N16" s="16" t="str">
        <x:v>金黄 151 (#F7E700)</x:v>
      </x:c>
      <x:c r="O16" s="16" t="n">
        <x:v>0</x:v>
      </x:c>
      <x:c r="P16" s="16" t="n">
        <x:v>99999</x:v>
      </x:c>
      <x:c r="Q16" s="16" t="n">
        <x:v>0</x:v>
      </x:c>
      <x:c r="R16" s="16" t="n">
        <x:v>5</x:v>
      </x:c>
      <x:c r="S16" s="16" t="n">
        <x:v>2</x:v>
      </x:c>
      <x:c r="T16" s="16" t="str">
        <x:v>非绑定/可交易/NPC售价0</x:v>
      </x:c>
      <x:c r="U16" s="16" t="str">
        <x:v>主任务/守关BOSS首杀固定1</x:v>
      </x:c>
      <x:c r="V16" s="16" t="str">
        <x:v>已核对待部署</x:v>
      </x:c>
      <x:c r="W16" s="16" t="str">
        <x:f>IF(COUNTIF($D$5:$D$72,D16)&gt;1,"重复","正常")</x:f>
        <x:v>正常</x:v>
      </x:c>
      <x:c r="X16" s="16" t="str">
        <x:f>IF(OR(D16="",F16="",H16="",I16="",J16="",L16="",M16=""),"缺失","正常")</x:f>
        <x:v>正常</x:v>
      </x:c>
      <x:c r="Y16" s="16" t="str">
        <x:v>Idx取自现服最大Idx之后的未占用区间；模板复用现服Idx 802</x:v>
      </x:c>
    </x:row>
    <x:row r="17">
      <x:c r="A17" s="16" t="str">
        <x:v>EL-MAT-C03-COM</x:v>
      </x:c>
      <x:c r="B17" s="16" t="str">
        <x:v>C03</x:v>
      </x:c>
      <x:c r="C17" s="16" t="str">
        <x:v>风蚀铁片</x:v>
      </x:c>
      <x:c r="D17" s="16" t="n">
        <x:v>916</x:v>
      </x:c>
      <x:c r="E17" s="16" t="str">
        <x:v>规划新建</x:v>
      </x:c>
      <x:c r="F17" s="16" t="n">
        <x:v>797</x:v>
      </x:c>
      <x:c r="G17" s="16" t="str">
        <x:v>古王金属片</x:v>
      </x:c>
      <x:c r="H17" s="16" t="n">
        <x:v>46</x:v>
      </x:c>
      <x:c r="I17" s="16" t="n">
        <x:v>1</x:v>
      </x:c>
      <x:c r="J17" s="16" t="n">
        <x:v>6195</x:v>
      </x:c>
      <x:c r="K17" s="16" t="str">
        <x:v>常规·白</x:v>
      </x:c>
      <x:c r="L17" s="16" t="str">
        <x:v>Color</x:v>
      </x:c>
      <x:c r="M17" s="16" t="n">
        <x:v>255</x:v>
      </x:c>
      <x:c r="N17" s="16" t="str">
        <x:v>默认白 255 (#FFFFFF)</x:v>
      </x:c>
      <x:c r="O17" s="16" t="n">
        <x:v>0</x:v>
      </x:c>
      <x:c r="P17" s="16" t="n">
        <x:v>99999</x:v>
      </x:c>
      <x:c r="Q17" s="16" t="n">
        <x:v>0</x:v>
      </x:c>
      <x:c r="R17" s="16" t="n">
        <x:v>5</x:v>
      </x:c>
      <x:c r="S17" s="16" t="n">
        <x:v>2</x:v>
      </x:c>
      <x:c r="T17" s="16" t="str">
        <x:v>非绑定/可交易/NPC售价0</x:v>
      </x:c>
      <x:c r="U17" s="16" t="str">
        <x:v>本大陆普通怪独立掉落</x:v>
      </x:c>
      <x:c r="V17" s="16" t="str">
        <x:v>已核对待部署</x:v>
      </x:c>
      <x:c r="W17" s="16" t="str">
        <x:f>IF(COUNTIF($D$5:$D$72,D17)&gt;1,"重复","正常")</x:f>
        <x:v>正常</x:v>
      </x:c>
      <x:c r="X17" s="16" t="str">
        <x:f>IF(OR(D17="",F17="",H17="",I17="",J17="",L17="",M17=""),"缺失","正常")</x:f>
        <x:v>正常</x:v>
      </x:c>
      <x:c r="Y17" s="16" t="str">
        <x:v>Idx取自现服最大Idx之后的未占用区间；模板复用现服Idx 797</x:v>
      </x:c>
    </x:row>
    <x:row r="18">
      <x:c r="A18" s="16" t="str">
        <x:v>EL-MAT-C03-RARE</x:v>
      </x:c>
      <x:c r="B18" s="16" t="str">
        <x:v>C03</x:v>
      </x:c>
      <x:c r="C18" s="16" t="str">
        <x:v>西境战旗</x:v>
      </x:c>
      <x:c r="D18" s="16" t="n">
        <x:v>917</x:v>
      </x:c>
      <x:c r="E18" s="16" t="str">
        <x:v>规划新建</x:v>
      </x:c>
      <x:c r="F18" s="16" t="n">
        <x:v>799</x:v>
      </x:c>
      <x:c r="G18" s="16" t="str">
        <x:v>暴烈晶核</x:v>
      </x:c>
      <x:c r="H18" s="16" t="n">
        <x:v>46</x:v>
      </x:c>
      <x:c r="I18" s="16" t="n">
        <x:v>1</x:v>
      </x:c>
      <x:c r="J18" s="16" t="n">
        <x:v>6197</x:v>
      </x:c>
      <x:c r="K18" s="16" t="str">
        <x:v>稀有·蓝紫</x:v>
      </x:c>
      <x:c r="L18" s="16" t="str">
        <x:v>Color</x:v>
      </x:c>
      <x:c r="M18" s="16" t="n">
        <x:v>242</x:v>
      </x:c>
      <x:c r="N18" s="16" t="str">
        <x:v>蓝紫 242 (#DDAAFF)</x:v>
      </x:c>
      <x:c r="O18" s="16" t="n">
        <x:v>0</x:v>
      </x:c>
      <x:c r="P18" s="16" t="n">
        <x:v>99999</x:v>
      </x:c>
      <x:c r="Q18" s="16" t="n">
        <x:v>0</x:v>
      </x:c>
      <x:c r="R18" s="16" t="n">
        <x:v>5</x:v>
      </x:c>
      <x:c r="S18" s="16" t="n">
        <x:v>2</x:v>
      </x:c>
      <x:c r="T18" s="16" t="str">
        <x:v>非绑定/可交易/NPC售价0</x:v>
      </x:c>
      <x:c r="U18" s="16" t="str">
        <x:v>本大陆精英怪独立掉落</x:v>
      </x:c>
      <x:c r="V18" s="16" t="str">
        <x:v>已核对待部署</x:v>
      </x:c>
      <x:c r="W18" s="16" t="str">
        <x:f>IF(COUNTIF($D$5:$D$72,D18)&gt;1,"重复","正常")</x:f>
        <x:v>正常</x:v>
      </x:c>
      <x:c r="X18" s="16" t="str">
        <x:f>IF(OR(D18="",F18="",H18="",I18="",J18="",L18="",M18=""),"缺失","正常")</x:f>
        <x:v>正常</x:v>
      </x:c>
      <x:c r="Y18" s="16" t="str">
        <x:v>Idx取自现服最大Idx之后的未占用区间；模板复用现服Idx 799</x:v>
      </x:c>
    </x:row>
    <x:row r="19">
      <x:c r="A19" s="16" t="str">
        <x:v>EL-MAT-C03-MARK</x:v>
      </x:c>
      <x:c r="B19" s="16" t="str">
        <x:v>C03</x:v>
      </x:c>
      <x:c r="C19" s="16" t="str">
        <x:v>西境战旗印</x:v>
      </x:c>
      <x:c r="D19" s="16" t="n">
        <x:v>918</x:v>
      </x:c>
      <x:c r="E19" s="16" t="str">
        <x:v>规划新建</x:v>
      </x:c>
      <x:c r="F19" s="16" t="n">
        <x:v>802</x:v>
      </x:c>
      <x:c r="G19" s="16" t="str">
        <x:v>神秘符文</x:v>
      </x:c>
      <x:c r="H19" s="16" t="n">
        <x:v>46</x:v>
      </x:c>
      <x:c r="I19" s="16" t="n">
        <x:v>1</x:v>
      </x:c>
      <x:c r="J19" s="16" t="n">
        <x:v>6200</x:v>
      </x:c>
      <x:c r="K19" s="16" t="str">
        <x:v>剧情·金</x:v>
      </x:c>
      <x:c r="L19" s="16" t="str">
        <x:v>Color</x:v>
      </x:c>
      <x:c r="M19" s="16" t="n">
        <x:v>151</x:v>
      </x:c>
      <x:c r="N19" s="16" t="str">
        <x:v>金黄 151 (#F7E700)</x:v>
      </x:c>
      <x:c r="O19" s="16" t="n">
        <x:v>0</x:v>
      </x:c>
      <x:c r="P19" s="16" t="n">
        <x:v>99999</x:v>
      </x:c>
      <x:c r="Q19" s="16" t="n">
        <x:v>0</x:v>
      </x:c>
      <x:c r="R19" s="16" t="n">
        <x:v>5</x:v>
      </x:c>
      <x:c r="S19" s="16" t="n">
        <x:v>2</x:v>
      </x:c>
      <x:c r="T19" s="16" t="str">
        <x:v>非绑定/可交易/NPC售价0</x:v>
      </x:c>
      <x:c r="U19" s="16" t="str">
        <x:v>主任务/守关BOSS首杀固定1</x:v>
      </x:c>
      <x:c r="V19" s="16" t="str">
        <x:v>已核对待部署</x:v>
      </x:c>
      <x:c r="W19" s="16" t="str">
        <x:f>IF(COUNTIF($D$5:$D$72,D19)&gt;1,"重复","正常")</x:f>
        <x:v>正常</x:v>
      </x:c>
      <x:c r="X19" s="16" t="str">
        <x:f>IF(OR(D19="",F19="",H19="",I19="",J19="",L19="",M19=""),"缺失","正常")</x:f>
        <x:v>正常</x:v>
      </x:c>
      <x:c r="Y19" s="16" t="str">
        <x:v>Idx取自现服最大Idx之后的未占用区间；模板复用现服Idx 802</x:v>
      </x:c>
    </x:row>
    <x:row r="20">
      <x:c r="A20" s="16" t="str">
        <x:v>EL-MAT-C04-COM</x:v>
      </x:c>
      <x:c r="B20" s="16" t="str">
        <x:v>C04</x:v>
      </x:c>
      <x:c r="C20" s="16" t="str">
        <x:v>湖盐结晶</x:v>
      </x:c>
      <x:c r="D20" s="16" t="n">
        <x:v>919</x:v>
      </x:c>
      <x:c r="E20" s="16" t="str">
        <x:v>规划新建</x:v>
      </x:c>
      <x:c r="F20" s="16" t="n">
        <x:v>797</x:v>
      </x:c>
      <x:c r="G20" s="16" t="str">
        <x:v>古王金属片</x:v>
      </x:c>
      <x:c r="H20" s="16" t="n">
        <x:v>46</x:v>
      </x:c>
      <x:c r="I20" s="16" t="n">
        <x:v>1</x:v>
      </x:c>
      <x:c r="J20" s="16" t="n">
        <x:v>6195</x:v>
      </x:c>
      <x:c r="K20" s="16" t="str">
        <x:v>常规·白</x:v>
      </x:c>
      <x:c r="L20" s="16" t="str">
        <x:v>Color</x:v>
      </x:c>
      <x:c r="M20" s="16" t="n">
        <x:v>255</x:v>
      </x:c>
      <x:c r="N20" s="16" t="str">
        <x:v>默认白 255 (#FFFFFF)</x:v>
      </x:c>
      <x:c r="O20" s="16" t="n">
        <x:v>0</x:v>
      </x:c>
      <x:c r="P20" s="16" t="n">
        <x:v>99999</x:v>
      </x:c>
      <x:c r="Q20" s="16" t="n">
        <x:v>0</x:v>
      </x:c>
      <x:c r="R20" s="16" t="n">
        <x:v>5</x:v>
      </x:c>
      <x:c r="S20" s="16" t="n">
        <x:v>2</x:v>
      </x:c>
      <x:c r="T20" s="16" t="str">
        <x:v>非绑定/可交易/NPC售价0</x:v>
      </x:c>
      <x:c r="U20" s="16" t="str">
        <x:v>本大陆普通怪独立掉落</x:v>
      </x:c>
      <x:c r="V20" s="16" t="str">
        <x:v>已核对待部署</x:v>
      </x:c>
      <x:c r="W20" s="16" t="str">
        <x:f>IF(COUNTIF($D$5:$D$72,D20)&gt;1,"重复","正常")</x:f>
        <x:v>正常</x:v>
      </x:c>
      <x:c r="X20" s="16" t="str">
        <x:f>IF(OR(D20="",F20="",H20="",I20="",J20="",L20="",M20=""),"缺失","正常")</x:f>
        <x:v>正常</x:v>
      </x:c>
      <x:c r="Y20" s="16" t="str">
        <x:v>Idx取自现服最大Idx之后的未占用区间；模板复用现服Idx 797</x:v>
      </x:c>
    </x:row>
    <x:row r="21">
      <x:c r="A21" s="16" t="str">
        <x:v>EL-MAT-C04-RARE</x:v>
      </x:c>
      <x:c r="B21" s="16" t="str">
        <x:v>C04</x:v>
      </x:c>
      <x:c r="C21" s="16" t="str">
        <x:v>幽船铆钉</x:v>
      </x:c>
      <x:c r="D21" s="16" t="n">
        <x:v>920</x:v>
      </x:c>
      <x:c r="E21" s="16" t="str">
        <x:v>规划新建</x:v>
      </x:c>
      <x:c r="F21" s="16" t="n">
        <x:v>799</x:v>
      </x:c>
      <x:c r="G21" s="16" t="str">
        <x:v>暴烈晶核</x:v>
      </x:c>
      <x:c r="H21" s="16" t="n">
        <x:v>46</x:v>
      </x:c>
      <x:c r="I21" s="16" t="n">
        <x:v>1</x:v>
      </x:c>
      <x:c r="J21" s="16" t="n">
        <x:v>6197</x:v>
      </x:c>
      <x:c r="K21" s="16" t="str">
        <x:v>稀有·蓝紫</x:v>
      </x:c>
      <x:c r="L21" s="16" t="str">
        <x:v>Color</x:v>
      </x:c>
      <x:c r="M21" s="16" t="n">
        <x:v>242</x:v>
      </x:c>
      <x:c r="N21" s="16" t="str">
        <x:v>蓝紫 242 (#DDAAFF)</x:v>
      </x:c>
      <x:c r="O21" s="16" t="n">
        <x:v>0</x:v>
      </x:c>
      <x:c r="P21" s="16" t="n">
        <x:v>99999</x:v>
      </x:c>
      <x:c r="Q21" s="16" t="n">
        <x:v>0</x:v>
      </x:c>
      <x:c r="R21" s="16" t="n">
        <x:v>5</x:v>
      </x:c>
      <x:c r="S21" s="16" t="n">
        <x:v>2</x:v>
      </x:c>
      <x:c r="T21" s="16" t="str">
        <x:v>非绑定/可交易/NPC售价0</x:v>
      </x:c>
      <x:c r="U21" s="16" t="str">
        <x:v>本大陆精英怪独立掉落</x:v>
      </x:c>
      <x:c r="V21" s="16" t="str">
        <x:v>已核对待部署</x:v>
      </x:c>
      <x:c r="W21" s="16" t="str">
        <x:f>IF(COUNTIF($D$5:$D$72,D21)&gt;1,"重复","正常")</x:f>
        <x:v>正常</x:v>
      </x:c>
      <x:c r="X21" s="16" t="str">
        <x:f>IF(OR(D21="",F21="",H21="",I21="",J21="",L21="",M21=""),"缺失","正常")</x:f>
        <x:v>正常</x:v>
      </x:c>
      <x:c r="Y21" s="16" t="str">
        <x:v>Idx取自现服最大Idx之后的未占用区间；模板复用现服Idx 799</x:v>
      </x:c>
    </x:row>
    <x:row r="22">
      <x:c r="A22" s="16" t="str">
        <x:v>EL-MAT-C04-MARK</x:v>
      </x:c>
      <x:c r="B22" s="16" t="str">
        <x:v>C04</x:v>
      </x:c>
      <x:c r="C22" s="16" t="str">
        <x:v>沉湖王印</x:v>
      </x:c>
      <x:c r="D22" s="16" t="n">
        <x:v>921</x:v>
      </x:c>
      <x:c r="E22" s="16" t="str">
        <x:v>规划新建</x:v>
      </x:c>
      <x:c r="F22" s="16" t="n">
        <x:v>802</x:v>
      </x:c>
      <x:c r="G22" s="16" t="str">
        <x:v>神秘符文</x:v>
      </x:c>
      <x:c r="H22" s="16" t="n">
        <x:v>46</x:v>
      </x:c>
      <x:c r="I22" s="16" t="n">
        <x:v>1</x:v>
      </x:c>
      <x:c r="J22" s="16" t="n">
        <x:v>6200</x:v>
      </x:c>
      <x:c r="K22" s="16" t="str">
        <x:v>剧情·金</x:v>
      </x:c>
      <x:c r="L22" s="16" t="str">
        <x:v>Color</x:v>
      </x:c>
      <x:c r="M22" s="16" t="n">
        <x:v>151</x:v>
      </x:c>
      <x:c r="N22" s="16" t="str">
        <x:v>金黄 151 (#F7E700)</x:v>
      </x:c>
      <x:c r="O22" s="16" t="n">
        <x:v>0</x:v>
      </x:c>
      <x:c r="P22" s="16" t="n">
        <x:v>99999</x:v>
      </x:c>
      <x:c r="Q22" s="16" t="n">
        <x:v>0</x:v>
      </x:c>
      <x:c r="R22" s="16" t="n">
        <x:v>5</x:v>
      </x:c>
      <x:c r="S22" s="16" t="n">
        <x:v>2</x:v>
      </x:c>
      <x:c r="T22" s="16" t="str">
        <x:v>非绑定/可交易/NPC售价0</x:v>
      </x:c>
      <x:c r="U22" s="16" t="str">
        <x:v>主任务/守关BOSS首杀固定1</x:v>
      </x:c>
      <x:c r="V22" s="16" t="str">
        <x:v>已核对待部署</x:v>
      </x:c>
      <x:c r="W22" s="16" t="str">
        <x:f>IF(COUNTIF($D$5:$D$72,D22)&gt;1,"重复","正常")</x:f>
        <x:v>正常</x:v>
      </x:c>
      <x:c r="X22" s="16" t="str">
        <x:f>IF(OR(D22="",F22="",H22="",I22="",J22="",L22="",M22=""),"缺失","正常")</x:f>
        <x:v>正常</x:v>
      </x:c>
      <x:c r="Y22" s="16" t="str">
        <x:v>Idx取自现服最大Idx之后的未占用区间；模板复用现服Idx 802</x:v>
      </x:c>
    </x:row>
    <x:row r="23">
      <x:c r="A23" s="16" t="str">
        <x:v>EL-MAT-C05-COM</x:v>
      </x:c>
      <x:c r="B23" s="16" t="str">
        <x:v>C05</x:v>
      </x:c>
      <x:c r="C23" s="16" t="str">
        <x:v>辉石碎晶</x:v>
      </x:c>
      <x:c r="D23" s="16" t="n">
        <x:v>922</x:v>
      </x:c>
      <x:c r="E23" s="16" t="str">
        <x:v>规划新建</x:v>
      </x:c>
      <x:c r="F23" s="16" t="n">
        <x:v>797</x:v>
      </x:c>
      <x:c r="G23" s="16" t="str">
        <x:v>古王金属片</x:v>
      </x:c>
      <x:c r="H23" s="16" t="n">
        <x:v>46</x:v>
      </x:c>
      <x:c r="I23" s="16" t="n">
        <x:v>1</x:v>
      </x:c>
      <x:c r="J23" s="16" t="n">
        <x:v>6195</x:v>
      </x:c>
      <x:c r="K23" s="16" t="str">
        <x:v>常规·白</x:v>
      </x:c>
      <x:c r="L23" s="16" t="str">
        <x:v>Color</x:v>
      </x:c>
      <x:c r="M23" s="16" t="n">
        <x:v>255</x:v>
      </x:c>
      <x:c r="N23" s="16" t="str">
        <x:v>默认白 255 (#FFFFFF)</x:v>
      </x:c>
      <x:c r="O23" s="16" t="n">
        <x:v>0</x:v>
      </x:c>
      <x:c r="P23" s="16" t="n">
        <x:v>99999</x:v>
      </x:c>
      <x:c r="Q23" s="16" t="n">
        <x:v>0</x:v>
      </x:c>
      <x:c r="R23" s="16" t="n">
        <x:v>5</x:v>
      </x:c>
      <x:c r="S23" s="16" t="n">
        <x:v>2</x:v>
      </x:c>
      <x:c r="T23" s="16" t="str">
        <x:v>非绑定/可交易/NPC售价0</x:v>
      </x:c>
      <x:c r="U23" s="16" t="str">
        <x:v>本大陆普通怪独立掉落</x:v>
      </x:c>
      <x:c r="V23" s="16" t="str">
        <x:v>已核对待部署</x:v>
      </x:c>
      <x:c r="W23" s="16" t="str">
        <x:f>IF(COUNTIF($D$5:$D$72,D23)&gt;1,"重复","正常")</x:f>
        <x:v>正常</x:v>
      </x:c>
      <x:c r="X23" s="16" t="str">
        <x:f>IF(OR(D23="",F23="",H23="",I23="",J23="",L23="",M23=""),"缺失","正常")</x:f>
        <x:v>正常</x:v>
      </x:c>
      <x:c r="Y23" s="16" t="str">
        <x:v>Idx取自现服最大Idx之后的未占用区间；模板复用现服Idx 797</x:v>
      </x:c>
    </x:row>
    <x:row r="24">
      <x:c r="A24" s="16" t="str">
        <x:v>EL-MAT-C05-RARE</x:v>
      </x:c>
      <x:c r="B24" s="16" t="str">
        <x:v>C05</x:v>
      </x:c>
      <x:c r="C24" s="16" t="str">
        <x:v>卡利亚月露</x:v>
      </x:c>
      <x:c r="D24" s="16" t="n">
        <x:v>923</x:v>
      </x:c>
      <x:c r="E24" s="16" t="str">
        <x:v>规划新建</x:v>
      </x:c>
      <x:c r="F24" s="16" t="n">
        <x:v>799</x:v>
      </x:c>
      <x:c r="G24" s="16" t="str">
        <x:v>暴烈晶核</x:v>
      </x:c>
      <x:c r="H24" s="16" t="n">
        <x:v>46</x:v>
      </x:c>
      <x:c r="I24" s="16" t="n">
        <x:v>1</x:v>
      </x:c>
      <x:c r="J24" s="16" t="n">
        <x:v>6197</x:v>
      </x:c>
      <x:c r="K24" s="16" t="str">
        <x:v>稀有·蓝紫</x:v>
      </x:c>
      <x:c r="L24" s="16" t="str">
        <x:v>Color</x:v>
      </x:c>
      <x:c r="M24" s="16" t="n">
        <x:v>242</x:v>
      </x:c>
      <x:c r="N24" s="16" t="str">
        <x:v>蓝紫 242 (#DDAAFF)</x:v>
      </x:c>
      <x:c r="O24" s="16" t="n">
        <x:v>0</x:v>
      </x:c>
      <x:c r="P24" s="16" t="n">
        <x:v>99999</x:v>
      </x:c>
      <x:c r="Q24" s="16" t="n">
        <x:v>0</x:v>
      </x:c>
      <x:c r="R24" s="16" t="n">
        <x:v>5</x:v>
      </x:c>
      <x:c r="S24" s="16" t="n">
        <x:v>2</x:v>
      </x:c>
      <x:c r="T24" s="16" t="str">
        <x:v>非绑定/可交易/NPC售价0</x:v>
      </x:c>
      <x:c r="U24" s="16" t="str">
        <x:v>本大陆精英怪独立掉落</x:v>
      </x:c>
      <x:c r="V24" s="16" t="str">
        <x:v>已核对待部署</x:v>
      </x:c>
      <x:c r="W24" s="16" t="str">
        <x:f>IF(COUNTIF($D$5:$D$72,D24)&gt;1,"重复","正常")</x:f>
        <x:v>正常</x:v>
      </x:c>
      <x:c r="X24" s="16" t="str">
        <x:f>IF(OR(D24="",F24="",H24="",I24="",J24="",L24="",M24=""),"缺失","正常")</x:f>
        <x:v>正常</x:v>
      </x:c>
      <x:c r="Y24" s="16" t="str">
        <x:v>Idx取自现服最大Idx之后的未占用区间；模板复用现服Idx 799</x:v>
      </x:c>
    </x:row>
    <x:row r="25">
      <x:c r="A25" s="16" t="str">
        <x:v>EL-MAT-C05-MARK</x:v>
      </x:c>
      <x:c r="B25" s="16" t="str">
        <x:v>C05</x:v>
      </x:c>
      <x:c r="C25" s="16" t="str">
        <x:v>满月王室印</x:v>
      </x:c>
      <x:c r="D25" s="16" t="n">
        <x:v>924</x:v>
      </x:c>
      <x:c r="E25" s="16" t="str">
        <x:v>规划新建</x:v>
      </x:c>
      <x:c r="F25" s="16" t="n">
        <x:v>802</x:v>
      </x:c>
      <x:c r="G25" s="16" t="str">
        <x:v>神秘符文</x:v>
      </x:c>
      <x:c r="H25" s="16" t="n">
        <x:v>46</x:v>
      </x:c>
      <x:c r="I25" s="16" t="n">
        <x:v>1</x:v>
      </x:c>
      <x:c r="J25" s="16" t="n">
        <x:v>6200</x:v>
      </x:c>
      <x:c r="K25" s="16" t="str">
        <x:v>剧情·金</x:v>
      </x:c>
      <x:c r="L25" s="16" t="str">
        <x:v>Color</x:v>
      </x:c>
      <x:c r="M25" s="16" t="n">
        <x:v>151</x:v>
      </x:c>
      <x:c r="N25" s="16" t="str">
        <x:v>金黄 151 (#F7E700)</x:v>
      </x:c>
      <x:c r="O25" s="16" t="n">
        <x:v>0</x:v>
      </x:c>
      <x:c r="P25" s="16" t="n">
        <x:v>99999</x:v>
      </x:c>
      <x:c r="Q25" s="16" t="n">
        <x:v>0</x:v>
      </x:c>
      <x:c r="R25" s="16" t="n">
        <x:v>5</x:v>
      </x:c>
      <x:c r="S25" s="16" t="n">
        <x:v>2</x:v>
      </x:c>
      <x:c r="T25" s="16" t="str">
        <x:v>非绑定/可交易/NPC售价0</x:v>
      </x:c>
      <x:c r="U25" s="16" t="str">
        <x:v>主任务/守关BOSS首杀固定1</x:v>
      </x:c>
      <x:c r="V25" s="16" t="str">
        <x:v>已核对待部署</x:v>
      </x:c>
      <x:c r="W25" s="16" t="str">
        <x:f>IF(COUNTIF($D$5:$D$72,D25)&gt;1,"重复","正常")</x:f>
        <x:v>正常</x:v>
      </x:c>
      <x:c r="X25" s="16" t="str">
        <x:f>IF(OR(D25="",F25="",H25="",I25="",J25="",L25="",M25=""),"缺失","正常")</x:f>
        <x:v>正常</x:v>
      </x:c>
      <x:c r="Y25" s="16" t="str">
        <x:v>Idx取自现服最大Idx之后的未占用区间；模板复用现服Idx 802</x:v>
      </x:c>
    </x:row>
    <x:row r="26">
      <x:c r="A26" s="16" t="str">
        <x:v>EL-MAT-C06-COM</x:v>
      </x:c>
      <x:c r="B26" s="16" t="str">
        <x:v>C06</x:v>
      </x:c>
      <x:c r="C26" s="16" t="str">
        <x:v>猩红矿渣</x:v>
      </x:c>
      <x:c r="D26" s="16" t="n">
        <x:v>925</x:v>
      </x:c>
      <x:c r="E26" s="16" t="str">
        <x:v>规划新建</x:v>
      </x:c>
      <x:c r="F26" s="16" t="n">
        <x:v>797</x:v>
      </x:c>
      <x:c r="G26" s="16" t="str">
        <x:v>古王金属片</x:v>
      </x:c>
      <x:c r="H26" s="16" t="n">
        <x:v>46</x:v>
      </x:c>
      <x:c r="I26" s="16" t="n">
        <x:v>1</x:v>
      </x:c>
      <x:c r="J26" s="16" t="n">
        <x:v>6195</x:v>
      </x:c>
      <x:c r="K26" s="16" t="str">
        <x:v>常规·白</x:v>
      </x:c>
      <x:c r="L26" s="16" t="str">
        <x:v>Color</x:v>
      </x:c>
      <x:c r="M26" s="16" t="n">
        <x:v>255</x:v>
      </x:c>
      <x:c r="N26" s="16" t="str">
        <x:v>默认白 255 (#FFFFFF)</x:v>
      </x:c>
      <x:c r="O26" s="16" t="n">
        <x:v>0</x:v>
      </x:c>
      <x:c r="P26" s="16" t="n">
        <x:v>99999</x:v>
      </x:c>
      <x:c r="Q26" s="16" t="n">
        <x:v>0</x:v>
      </x:c>
      <x:c r="R26" s="16" t="n">
        <x:v>5</x:v>
      </x:c>
      <x:c r="S26" s="16" t="n">
        <x:v>2</x:v>
      </x:c>
      <x:c r="T26" s="16" t="str">
        <x:v>非绑定/可交易/NPC售价0</x:v>
      </x:c>
      <x:c r="U26" s="16" t="str">
        <x:v>本大陆普通怪独立掉落</x:v>
      </x:c>
      <x:c r="V26" s="16" t="str">
        <x:v>已核对待部署</x:v>
      </x:c>
      <x:c r="W26" s="16" t="str">
        <x:f>IF(COUNTIF($D$5:$D$72,D26)&gt;1,"重复","正常")</x:f>
        <x:v>正常</x:v>
      </x:c>
      <x:c r="X26" s="16" t="str">
        <x:f>IF(OR(D26="",F26="",H26="",I26="",J26="",L26="",M26=""),"缺失","正常")</x:f>
        <x:v>正常</x:v>
      </x:c>
      <x:c r="Y26" s="16" t="str">
        <x:v>Idx取自现服最大Idx之后的未占用区间；模板复用现服Idx 797</x:v>
      </x:c>
    </x:row>
    <x:row r="27">
      <x:c r="A27" s="16" t="str">
        <x:v>EL-MAT-C06-RARE</x:v>
      </x:c>
      <x:c r="B27" s="16" t="str">
        <x:v>C06</x:v>
      </x:c>
      <x:c r="C27" s="16" t="str">
        <x:v>龙火鳞</x:v>
      </x:c>
      <x:c r="D27" s="16" t="n">
        <x:v>926</x:v>
      </x:c>
      <x:c r="E27" s="16" t="str">
        <x:v>规划新建</x:v>
      </x:c>
      <x:c r="F27" s="16" t="n">
        <x:v>799</x:v>
      </x:c>
      <x:c r="G27" s="16" t="str">
        <x:v>暴烈晶核</x:v>
      </x:c>
      <x:c r="H27" s="16" t="n">
        <x:v>46</x:v>
      </x:c>
      <x:c r="I27" s="16" t="n">
        <x:v>1</x:v>
      </x:c>
      <x:c r="J27" s="16" t="n">
        <x:v>6197</x:v>
      </x:c>
      <x:c r="K27" s="16" t="str">
        <x:v>稀有·蓝紫</x:v>
      </x:c>
      <x:c r="L27" s="16" t="str">
        <x:v>Color</x:v>
      </x:c>
      <x:c r="M27" s="16" t="n">
        <x:v>242</x:v>
      </x:c>
      <x:c r="N27" s="16" t="str">
        <x:v>蓝紫 242 (#DDAAFF)</x:v>
      </x:c>
      <x:c r="O27" s="16" t="n">
        <x:v>0</x:v>
      </x:c>
      <x:c r="P27" s="16" t="n">
        <x:v>99999</x:v>
      </x:c>
      <x:c r="Q27" s="16" t="n">
        <x:v>0</x:v>
      </x:c>
      <x:c r="R27" s="16" t="n">
        <x:v>5</x:v>
      </x:c>
      <x:c r="S27" s="16" t="n">
        <x:v>2</x:v>
      </x:c>
      <x:c r="T27" s="16" t="str">
        <x:v>非绑定/可交易/NPC售价0</x:v>
      </x:c>
      <x:c r="U27" s="16" t="str">
        <x:v>本大陆精英怪独立掉落</x:v>
      </x:c>
      <x:c r="V27" s="16" t="str">
        <x:v>已核对待部署</x:v>
      </x:c>
      <x:c r="W27" s="16" t="str">
        <x:f>IF(COUNTIF($D$5:$D$72,D27)&gt;1,"重复","正常")</x:f>
        <x:v>正常</x:v>
      </x:c>
      <x:c r="X27" s="16" t="str">
        <x:f>IF(OR(D27="",F27="",H27="",I27="",J27="",L27="",M27=""),"缺失","正常")</x:f>
        <x:v>正常</x:v>
      </x:c>
      <x:c r="Y27" s="16" t="str">
        <x:v>Idx取自现服最大Idx之后的未占用区间；模板复用现服Idx 799</x:v>
      </x:c>
    </x:row>
    <x:row r="28">
      <x:c r="A28" s="16" t="str">
        <x:v>EL-MAT-C06-MARK</x:v>
      </x:c>
      <x:c r="B28" s="16" t="str">
        <x:v>C06</x:v>
      </x:c>
      <x:c r="C28" s="16" t="str">
        <x:v>红狮战印</x:v>
      </x:c>
      <x:c r="D28" s="16" t="n">
        <x:v>927</x:v>
      </x:c>
      <x:c r="E28" s="16" t="str">
        <x:v>规划新建</x:v>
      </x:c>
      <x:c r="F28" s="16" t="n">
        <x:v>802</x:v>
      </x:c>
      <x:c r="G28" s="16" t="str">
        <x:v>神秘符文</x:v>
      </x:c>
      <x:c r="H28" s="16" t="n">
        <x:v>46</x:v>
      </x:c>
      <x:c r="I28" s="16" t="n">
        <x:v>1</x:v>
      </x:c>
      <x:c r="J28" s="16" t="n">
        <x:v>6200</x:v>
      </x:c>
      <x:c r="K28" s="16" t="str">
        <x:v>剧情·金</x:v>
      </x:c>
      <x:c r="L28" s="16" t="str">
        <x:v>Color</x:v>
      </x:c>
      <x:c r="M28" s="16" t="n">
        <x:v>151</x:v>
      </x:c>
      <x:c r="N28" s="16" t="str">
        <x:v>金黄 151 (#F7E700)</x:v>
      </x:c>
      <x:c r="O28" s="16" t="n">
        <x:v>0</x:v>
      </x:c>
      <x:c r="P28" s="16" t="n">
        <x:v>99999</x:v>
      </x:c>
      <x:c r="Q28" s="16" t="n">
        <x:v>0</x:v>
      </x:c>
      <x:c r="R28" s="16" t="n">
        <x:v>5</x:v>
      </x:c>
      <x:c r="S28" s="16" t="n">
        <x:v>2</x:v>
      </x:c>
      <x:c r="T28" s="16" t="str">
        <x:v>非绑定/可交易/NPC售价0</x:v>
      </x:c>
      <x:c r="U28" s="16" t="str">
        <x:v>主任务/守关BOSS首杀固定1</x:v>
      </x:c>
      <x:c r="V28" s="16" t="str">
        <x:v>已核对待部署</x:v>
      </x:c>
      <x:c r="W28" s="16" t="str">
        <x:f>IF(COUNTIF($D$5:$D$72,D28)&gt;1,"重复","正常")</x:f>
        <x:v>正常</x:v>
      </x:c>
      <x:c r="X28" s="16" t="str">
        <x:f>IF(OR(D28="",F28="",H28="",I28="",J28="",L28="",M28=""),"缺失","正常")</x:f>
        <x:v>正常</x:v>
      </x:c>
      <x:c r="Y28" s="16" t="str">
        <x:v>Idx取自现服最大Idx之后的未占用区间；模板复用现服Idx 802</x:v>
      </x:c>
    </x:row>
    <x:row r="29">
      <x:c r="A29" s="16" t="str">
        <x:v>EL-MAT-C07-COM</x:v>
      </x:c>
      <x:c r="B29" s="16" t="str">
        <x:v>C07</x:v>
      </x:c>
      <x:c r="C29" s="16" t="str">
        <x:v>冻晶尘</x:v>
      </x:c>
      <x:c r="D29" s="16" t="n">
        <x:v>928</x:v>
      </x:c>
      <x:c r="E29" s="16" t="str">
        <x:v>规划新建</x:v>
      </x:c>
      <x:c r="F29" s="16" t="n">
        <x:v>797</x:v>
      </x:c>
      <x:c r="G29" s="16" t="str">
        <x:v>古王金属片</x:v>
      </x:c>
      <x:c r="H29" s="16" t="n">
        <x:v>46</x:v>
      </x:c>
      <x:c r="I29" s="16" t="n">
        <x:v>1</x:v>
      </x:c>
      <x:c r="J29" s="16" t="n">
        <x:v>6195</x:v>
      </x:c>
      <x:c r="K29" s="16" t="str">
        <x:v>常规·白</x:v>
      </x:c>
      <x:c r="L29" s="16" t="str">
        <x:v>Color</x:v>
      </x:c>
      <x:c r="M29" s="16" t="n">
        <x:v>255</x:v>
      </x:c>
      <x:c r="N29" s="16" t="str">
        <x:v>默认白 255 (#FFFFFF)</x:v>
      </x:c>
      <x:c r="O29" s="16" t="n">
        <x:v>0</x:v>
      </x:c>
      <x:c r="P29" s="16" t="n">
        <x:v>99999</x:v>
      </x:c>
      <x:c r="Q29" s="16" t="n">
        <x:v>0</x:v>
      </x:c>
      <x:c r="R29" s="16" t="n">
        <x:v>5</x:v>
      </x:c>
      <x:c r="S29" s="16" t="n">
        <x:v>2</x:v>
      </x:c>
      <x:c r="T29" s="16" t="str">
        <x:v>非绑定/可交易/NPC售价0</x:v>
      </x:c>
      <x:c r="U29" s="16" t="str">
        <x:v>本大陆普通怪独立掉落</x:v>
      </x:c>
      <x:c r="V29" s="16" t="str">
        <x:v>已核对待部署</x:v>
      </x:c>
      <x:c r="W29" s="16" t="str">
        <x:f>IF(COUNTIF($D$5:$D$72,D29)&gt;1,"重复","正常")</x:f>
        <x:v>正常</x:v>
      </x:c>
      <x:c r="X29" s="16" t="str">
        <x:f>IF(OR(D29="",F29="",H29="",I29="",J29="",L29="",M29=""),"缺失","正常")</x:f>
        <x:v>正常</x:v>
      </x:c>
      <x:c r="Y29" s="16" t="str">
        <x:v>Idx取自现服最大Idx之后的未占用区间；模板复用现服Idx 797</x:v>
      </x:c>
    </x:row>
    <x:row r="30">
      <x:c r="A30" s="16" t="str">
        <x:v>EL-MAT-C07-RARE</x:v>
      </x:c>
      <x:c r="B30" s="16" t="str">
        <x:v>C07</x:v>
      </x:c>
      <x:c r="C30" s="16" t="str">
        <x:v>白金纺线</x:v>
      </x:c>
      <x:c r="D30" s="16" t="n">
        <x:v>929</x:v>
      </x:c>
      <x:c r="E30" s="16" t="str">
        <x:v>规划新建</x:v>
      </x:c>
      <x:c r="F30" s="16" t="n">
        <x:v>799</x:v>
      </x:c>
      <x:c r="G30" s="16" t="str">
        <x:v>暴烈晶核</x:v>
      </x:c>
      <x:c r="H30" s="16" t="n">
        <x:v>46</x:v>
      </x:c>
      <x:c r="I30" s="16" t="n">
        <x:v>1</x:v>
      </x:c>
      <x:c r="J30" s="16" t="n">
        <x:v>6197</x:v>
      </x:c>
      <x:c r="K30" s="16" t="str">
        <x:v>稀有·蓝紫</x:v>
      </x:c>
      <x:c r="L30" s="16" t="str">
        <x:v>Color</x:v>
      </x:c>
      <x:c r="M30" s="16" t="n">
        <x:v>242</x:v>
      </x:c>
      <x:c r="N30" s="16" t="str">
        <x:v>蓝紫 242 (#DDAAFF)</x:v>
      </x:c>
      <x:c r="O30" s="16" t="n">
        <x:v>0</x:v>
      </x:c>
      <x:c r="P30" s="16" t="n">
        <x:v>99999</x:v>
      </x:c>
      <x:c r="Q30" s="16" t="n">
        <x:v>0</x:v>
      </x:c>
      <x:c r="R30" s="16" t="n">
        <x:v>5</x:v>
      </x:c>
      <x:c r="S30" s="16" t="n">
        <x:v>2</x:v>
      </x:c>
      <x:c r="T30" s="16" t="str">
        <x:v>非绑定/可交易/NPC售价0</x:v>
      </x:c>
      <x:c r="U30" s="16" t="str">
        <x:v>本大陆精英怪独立掉落</x:v>
      </x:c>
      <x:c r="V30" s="16" t="str">
        <x:v>已核对待部署</x:v>
      </x:c>
      <x:c r="W30" s="16" t="str">
        <x:f>IF(COUNTIF($D$5:$D$72,D30)&gt;1,"重复","正常")</x:f>
        <x:v>正常</x:v>
      </x:c>
      <x:c r="X30" s="16" t="str">
        <x:f>IF(OR(D30="",F30="",H30="",I30="",J30="",L30="",M30=""),"缺失","正常")</x:f>
        <x:v>正常</x:v>
      </x:c>
      <x:c r="Y30" s="16" t="str">
        <x:v>Idx取自现服最大Idx之后的未占用区间；模板复用现服Idx 799</x:v>
      </x:c>
    </x:row>
    <x:row r="31">
      <x:c r="A31" s="16" t="str">
        <x:v>EL-MAT-C07-MARK</x:v>
      </x:c>
      <x:c r="B31" s="16" t="str">
        <x:v>C07</x:v>
      </x:c>
      <x:c r="C31" s="16" t="str">
        <x:v>圣雪誓印</x:v>
      </x:c>
      <x:c r="D31" s="16" t="n">
        <x:v>930</x:v>
      </x:c>
      <x:c r="E31" s="16" t="str">
        <x:v>规划新建</x:v>
      </x:c>
      <x:c r="F31" s="16" t="n">
        <x:v>802</x:v>
      </x:c>
      <x:c r="G31" s="16" t="str">
        <x:v>神秘符文</x:v>
      </x:c>
      <x:c r="H31" s="16" t="n">
        <x:v>46</x:v>
      </x:c>
      <x:c r="I31" s="16" t="n">
        <x:v>1</x:v>
      </x:c>
      <x:c r="J31" s="16" t="n">
        <x:v>6200</x:v>
      </x:c>
      <x:c r="K31" s="16" t="str">
        <x:v>剧情·金</x:v>
      </x:c>
      <x:c r="L31" s="16" t="str">
        <x:v>Color</x:v>
      </x:c>
      <x:c r="M31" s="16" t="n">
        <x:v>151</x:v>
      </x:c>
      <x:c r="N31" s="16" t="str">
        <x:v>金黄 151 (#F7E700)</x:v>
      </x:c>
      <x:c r="O31" s="16" t="n">
        <x:v>0</x:v>
      </x:c>
      <x:c r="P31" s="16" t="n">
        <x:v>99999</x:v>
      </x:c>
      <x:c r="Q31" s="16" t="n">
        <x:v>0</x:v>
      </x:c>
      <x:c r="R31" s="16" t="n">
        <x:v>5</x:v>
      </x:c>
      <x:c r="S31" s="16" t="n">
        <x:v>2</x:v>
      </x:c>
      <x:c r="T31" s="16" t="str">
        <x:v>非绑定/可交易/NPC售价0</x:v>
      </x:c>
      <x:c r="U31" s="16" t="str">
        <x:v>主任务/守关BOSS首杀固定1</x:v>
      </x:c>
      <x:c r="V31" s="16" t="str">
        <x:v>已核对待部署</x:v>
      </x:c>
      <x:c r="W31" s="16" t="str">
        <x:f>IF(COUNTIF($D$5:$D$72,D31)&gt;1,"重复","正常")</x:f>
        <x:v>正常</x:v>
      </x:c>
      <x:c r="X31" s="16" t="str">
        <x:f>IF(OR(D31="",F31="",H31="",I31="",J31="",L31="",M31=""),"缺失","正常")</x:f>
        <x:v>正常</x:v>
      </x:c>
      <x:c r="Y31" s="16" t="str">
        <x:v>Idx取自现服最大Idx之后的未占用区间；模板复用现服Idx 802</x:v>
      </x:c>
    </x:row>
    <x:row r="32">
      <x:c r="A32" s="16" t="str">
        <x:v>EL-MAT-C08-COM</x:v>
      </x:c>
      <x:c r="B32" s="16" t="str">
        <x:v>C08</x:v>
      </x:c>
      <x:c r="C32" s="16" t="str">
        <x:v>霜脊铁</x:v>
      </x:c>
      <x:c r="D32" s="16" t="n">
        <x:v>931</x:v>
      </x:c>
      <x:c r="E32" s="16" t="str">
        <x:v>规划新建</x:v>
      </x:c>
      <x:c r="F32" s="16" t="n">
        <x:v>797</x:v>
      </x:c>
      <x:c r="G32" s="16" t="str">
        <x:v>古王金属片</x:v>
      </x:c>
      <x:c r="H32" s="16" t="n">
        <x:v>46</x:v>
      </x:c>
      <x:c r="I32" s="16" t="n">
        <x:v>1</x:v>
      </x:c>
      <x:c r="J32" s="16" t="n">
        <x:v>6195</x:v>
      </x:c>
      <x:c r="K32" s="16" t="str">
        <x:v>常规·白</x:v>
      </x:c>
      <x:c r="L32" s="16" t="str">
        <x:v>Color</x:v>
      </x:c>
      <x:c r="M32" s="16" t="n">
        <x:v>255</x:v>
      </x:c>
      <x:c r="N32" s="16" t="str">
        <x:v>默认白 255 (#FFFFFF)</x:v>
      </x:c>
      <x:c r="O32" s="16" t="n">
        <x:v>0</x:v>
      </x:c>
      <x:c r="P32" s="16" t="n">
        <x:v>99999</x:v>
      </x:c>
      <x:c r="Q32" s="16" t="n">
        <x:v>0</x:v>
      </x:c>
      <x:c r="R32" s="16" t="n">
        <x:v>5</x:v>
      </x:c>
      <x:c r="S32" s="16" t="n">
        <x:v>2</x:v>
      </x:c>
      <x:c r="T32" s="16" t="str">
        <x:v>非绑定/可交易/NPC售价0</x:v>
      </x:c>
      <x:c r="U32" s="16" t="str">
        <x:v>本大陆普通怪独立掉落</x:v>
      </x:c>
      <x:c r="V32" s="16" t="str">
        <x:v>已核对待部署</x:v>
      </x:c>
      <x:c r="W32" s="16" t="str">
        <x:f>IF(COUNTIF($D$5:$D$72,D32)&gt;1,"重复","正常")</x:f>
        <x:v>正常</x:v>
      </x:c>
      <x:c r="X32" s="16" t="str">
        <x:f>IF(OR(D32="",F32="",H32="",I32="",J32="",L32="",M32=""),"缺失","正常")</x:f>
        <x:v>正常</x:v>
      </x:c>
      <x:c r="Y32" s="16" t="str">
        <x:v>Idx取自现服最大Idx之后的未占用区间；模板复用现服Idx 797</x:v>
      </x:c>
    </x:row>
    <x:row r="33">
      <x:c r="A33" s="16" t="str">
        <x:v>EL-MAT-C08-RARE</x:v>
      </x:c>
      <x:c r="B33" s="16" t="str">
        <x:v>C08</x:v>
      </x:c>
      <x:c r="C33" s="16" t="str">
        <x:v>巨人火种</x:v>
      </x:c>
      <x:c r="D33" s="16" t="n">
        <x:v>932</x:v>
      </x:c>
      <x:c r="E33" s="16" t="str">
        <x:v>规划新建</x:v>
      </x:c>
      <x:c r="F33" s="16" t="n">
        <x:v>799</x:v>
      </x:c>
      <x:c r="G33" s="16" t="str">
        <x:v>暴烈晶核</x:v>
      </x:c>
      <x:c r="H33" s="16" t="n">
        <x:v>46</x:v>
      </x:c>
      <x:c r="I33" s="16" t="n">
        <x:v>1</x:v>
      </x:c>
      <x:c r="J33" s="16" t="n">
        <x:v>6197</x:v>
      </x:c>
      <x:c r="K33" s="16" t="str">
        <x:v>稀有·蓝紫</x:v>
      </x:c>
      <x:c r="L33" s="16" t="str">
        <x:v>Color</x:v>
      </x:c>
      <x:c r="M33" s="16" t="n">
        <x:v>242</x:v>
      </x:c>
      <x:c r="N33" s="16" t="str">
        <x:v>蓝紫 242 (#DDAAFF)</x:v>
      </x:c>
      <x:c r="O33" s="16" t="n">
        <x:v>0</x:v>
      </x:c>
      <x:c r="P33" s="16" t="n">
        <x:v>99999</x:v>
      </x:c>
      <x:c r="Q33" s="16" t="n">
        <x:v>0</x:v>
      </x:c>
      <x:c r="R33" s="16" t="n">
        <x:v>5</x:v>
      </x:c>
      <x:c r="S33" s="16" t="n">
        <x:v>2</x:v>
      </x:c>
      <x:c r="T33" s="16" t="str">
        <x:v>非绑定/可交易/NPC售价0</x:v>
      </x:c>
      <x:c r="U33" s="16" t="str">
        <x:v>本大陆精英怪独立掉落</x:v>
      </x:c>
      <x:c r="V33" s="16" t="str">
        <x:v>已核对待部署</x:v>
      </x:c>
      <x:c r="W33" s="16" t="str">
        <x:f>IF(COUNTIF($D$5:$D$72,D33)&gt;1,"重复","正常")</x:f>
        <x:v>正常</x:v>
      </x:c>
      <x:c r="X33" s="16" t="str">
        <x:f>IF(OR(D33="",F33="",H33="",I33="",J33="",L33="",M33=""),"缺失","正常")</x:f>
        <x:v>正常</x:v>
      </x:c>
      <x:c r="Y33" s="16" t="str">
        <x:v>Idx取自现服最大Idx之后的未占用区间；模板复用现服Idx 799</x:v>
      </x:c>
    </x:row>
    <x:row r="34">
      <x:c r="A34" s="16" t="str">
        <x:v>EL-MAT-C08-MARK</x:v>
      </x:c>
      <x:c r="B34" s="16" t="str">
        <x:v>C08</x:v>
      </x:c>
      <x:c r="C34" s="16" t="str">
        <x:v>巨人火印</x:v>
      </x:c>
      <x:c r="D34" s="16" t="n">
        <x:v>933</x:v>
      </x:c>
      <x:c r="E34" s="16" t="str">
        <x:v>规划新建</x:v>
      </x:c>
      <x:c r="F34" s="16" t="n">
        <x:v>802</x:v>
      </x:c>
      <x:c r="G34" s="16" t="str">
        <x:v>神秘符文</x:v>
      </x:c>
      <x:c r="H34" s="16" t="n">
        <x:v>46</x:v>
      </x:c>
      <x:c r="I34" s="16" t="n">
        <x:v>1</x:v>
      </x:c>
      <x:c r="J34" s="16" t="n">
        <x:v>6200</x:v>
      </x:c>
      <x:c r="K34" s="16" t="str">
        <x:v>剧情·金</x:v>
      </x:c>
      <x:c r="L34" s="16" t="str">
        <x:v>Color</x:v>
      </x:c>
      <x:c r="M34" s="16" t="n">
        <x:v>151</x:v>
      </x:c>
      <x:c r="N34" s="16" t="str">
        <x:v>金黄 151 (#F7E700)</x:v>
      </x:c>
      <x:c r="O34" s="16" t="n">
        <x:v>0</x:v>
      </x:c>
      <x:c r="P34" s="16" t="n">
        <x:v>99999</x:v>
      </x:c>
      <x:c r="Q34" s="16" t="n">
        <x:v>0</x:v>
      </x:c>
      <x:c r="R34" s="16" t="n">
        <x:v>5</x:v>
      </x:c>
      <x:c r="S34" s="16" t="n">
        <x:v>2</x:v>
      </x:c>
      <x:c r="T34" s="16" t="str">
        <x:v>非绑定/可交易/NPC售价0</x:v>
      </x:c>
      <x:c r="U34" s="16" t="str">
        <x:v>主任务/守关BOSS首杀固定1</x:v>
      </x:c>
      <x:c r="V34" s="16" t="str">
        <x:v>已核对待部署</x:v>
      </x:c>
      <x:c r="W34" s="16" t="str">
        <x:f>IF(COUNTIF($D$5:$D$72,D34)&gt;1,"重复","正常")</x:f>
        <x:v>正常</x:v>
      </x:c>
      <x:c r="X34" s="16" t="str">
        <x:f>IF(OR(D34="",F34="",H34="",I34="",J34="",L34="",M34=""),"缺失","正常")</x:f>
        <x:v>正常</x:v>
      </x:c>
      <x:c r="Y34" s="16" t="str">
        <x:v>Idx取自现服最大Idx之后的未占用区间；模板复用现服Idx 802</x:v>
      </x:c>
    </x:row>
    <x:row r="35">
      <x:c r="A35" s="16" t="str">
        <x:v>EL-MAT-C09-COM</x:v>
      </x:c>
      <x:c r="B35" s="16" t="str">
        <x:v>C09</x:v>
      </x:c>
      <x:c r="C35" s="16" t="str">
        <x:v>黄金叶脉</x:v>
      </x:c>
      <x:c r="D35" s="16" t="n">
        <x:v>934</x:v>
      </x:c>
      <x:c r="E35" s="16" t="str">
        <x:v>规划新建</x:v>
      </x:c>
      <x:c r="F35" s="16" t="n">
        <x:v>797</x:v>
      </x:c>
      <x:c r="G35" s="16" t="str">
        <x:v>古王金属片</x:v>
      </x:c>
      <x:c r="H35" s="16" t="n">
        <x:v>46</x:v>
      </x:c>
      <x:c r="I35" s="16" t="n">
        <x:v>1</x:v>
      </x:c>
      <x:c r="J35" s="16" t="n">
        <x:v>6195</x:v>
      </x:c>
      <x:c r="K35" s="16" t="str">
        <x:v>常规·白</x:v>
      </x:c>
      <x:c r="L35" s="16" t="str">
        <x:v>Color</x:v>
      </x:c>
      <x:c r="M35" s="16" t="n">
        <x:v>255</x:v>
      </x:c>
      <x:c r="N35" s="16" t="str">
        <x:v>默认白 255 (#FFFFFF)</x:v>
      </x:c>
      <x:c r="O35" s="16" t="n">
        <x:v>0</x:v>
      </x:c>
      <x:c r="P35" s="16" t="n">
        <x:v>99999</x:v>
      </x:c>
      <x:c r="Q35" s="16" t="n">
        <x:v>0</x:v>
      </x:c>
      <x:c r="R35" s="16" t="n">
        <x:v>5</x:v>
      </x:c>
      <x:c r="S35" s="16" t="n">
        <x:v>2</x:v>
      </x:c>
      <x:c r="T35" s="16" t="str">
        <x:v>非绑定/可交易/NPC售价0</x:v>
      </x:c>
      <x:c r="U35" s="16" t="str">
        <x:v>本大陆普通怪独立掉落</x:v>
      </x:c>
      <x:c r="V35" s="16" t="str">
        <x:v>已核对待部署</x:v>
      </x:c>
      <x:c r="W35" s="16" t="str">
        <x:f>IF(COUNTIF($D$5:$D$72,D35)&gt;1,"重复","正常")</x:f>
        <x:v>正常</x:v>
      </x:c>
      <x:c r="X35" s="16" t="str">
        <x:f>IF(OR(D35="",F35="",H35="",I35="",J35="",L35="",M35=""),"缺失","正常")</x:f>
        <x:v>正常</x:v>
      </x:c>
      <x:c r="Y35" s="16" t="str">
        <x:v>Idx取自现服最大Idx之后的未占用区间；模板复用现服Idx 797</x:v>
      </x:c>
    </x:row>
    <x:row r="36">
      <x:c r="A36" s="16" t="str">
        <x:v>EL-MAT-C09-RARE</x:v>
      </x:c>
      <x:c r="B36" s="16" t="str">
        <x:v>C09</x:v>
      </x:c>
      <x:c r="C36" s="16" t="str">
        <x:v>古王律页</x:v>
      </x:c>
      <x:c r="D36" s="16" t="n">
        <x:v>935</x:v>
      </x:c>
      <x:c r="E36" s="16" t="str">
        <x:v>规划新建</x:v>
      </x:c>
      <x:c r="F36" s="16" t="n">
        <x:v>799</x:v>
      </x:c>
      <x:c r="G36" s="16" t="str">
        <x:v>暴烈晶核</x:v>
      </x:c>
      <x:c r="H36" s="16" t="n">
        <x:v>46</x:v>
      </x:c>
      <x:c r="I36" s="16" t="n">
        <x:v>1</x:v>
      </x:c>
      <x:c r="J36" s="16" t="n">
        <x:v>6197</x:v>
      </x:c>
      <x:c r="K36" s="16" t="str">
        <x:v>稀有·蓝紫</x:v>
      </x:c>
      <x:c r="L36" s="16" t="str">
        <x:v>Color</x:v>
      </x:c>
      <x:c r="M36" s="16" t="n">
        <x:v>242</x:v>
      </x:c>
      <x:c r="N36" s="16" t="str">
        <x:v>蓝紫 242 (#DDAAFF)</x:v>
      </x:c>
      <x:c r="O36" s="16" t="n">
        <x:v>0</x:v>
      </x:c>
      <x:c r="P36" s="16" t="n">
        <x:v>99999</x:v>
      </x:c>
      <x:c r="Q36" s="16" t="n">
        <x:v>0</x:v>
      </x:c>
      <x:c r="R36" s="16" t="n">
        <x:v>5</x:v>
      </x:c>
      <x:c r="S36" s="16" t="n">
        <x:v>2</x:v>
      </x:c>
      <x:c r="T36" s="16" t="str">
        <x:v>非绑定/可交易/NPC售价0</x:v>
      </x:c>
      <x:c r="U36" s="16" t="str">
        <x:v>本大陆精英怪独立掉落</x:v>
      </x:c>
      <x:c r="V36" s="16" t="str">
        <x:v>已核对待部署</x:v>
      </x:c>
      <x:c r="W36" s="16" t="str">
        <x:f>IF(COUNTIF($D$5:$D$72,D36)&gt;1,"重复","正常")</x:f>
        <x:v>正常</x:v>
      </x:c>
      <x:c r="X36" s="16" t="str">
        <x:f>IF(OR(D36="",F36="",H36="",I36="",J36="",L36="",M36=""),"缺失","正常")</x:f>
        <x:v>正常</x:v>
      </x:c>
      <x:c r="Y36" s="16" t="str">
        <x:v>Idx取自现服最大Idx之后的未占用区间；模板复用现服Idx 799</x:v>
      </x:c>
    </x:row>
    <x:row r="37">
      <x:c r="A37" s="16" t="str">
        <x:v>EL-MAT-C09-MARK</x:v>
      </x:c>
      <x:c r="B37" s="16" t="str">
        <x:v>C09</x:v>
      </x:c>
      <x:c r="C37" s="16" t="str">
        <x:v>黄金律印</x:v>
      </x:c>
      <x:c r="D37" s="16" t="n">
        <x:v>936</x:v>
      </x:c>
      <x:c r="E37" s="16" t="str">
        <x:v>规划新建</x:v>
      </x:c>
      <x:c r="F37" s="16" t="n">
        <x:v>802</x:v>
      </x:c>
      <x:c r="G37" s="16" t="str">
        <x:v>神秘符文</x:v>
      </x:c>
      <x:c r="H37" s="16" t="n">
        <x:v>46</x:v>
      </x:c>
      <x:c r="I37" s="16" t="n">
        <x:v>1</x:v>
      </x:c>
      <x:c r="J37" s="16" t="n">
        <x:v>6200</x:v>
      </x:c>
      <x:c r="K37" s="16" t="str">
        <x:v>剧情·金</x:v>
      </x:c>
      <x:c r="L37" s="16" t="str">
        <x:v>Color</x:v>
      </x:c>
      <x:c r="M37" s="16" t="n">
        <x:v>151</x:v>
      </x:c>
      <x:c r="N37" s="16" t="str">
        <x:v>金黄 151 (#F7E700)</x:v>
      </x:c>
      <x:c r="O37" s="16" t="n">
        <x:v>0</x:v>
      </x:c>
      <x:c r="P37" s="16" t="n">
        <x:v>99999</x:v>
      </x:c>
      <x:c r="Q37" s="16" t="n">
        <x:v>0</x:v>
      </x:c>
      <x:c r="R37" s="16" t="n">
        <x:v>5</x:v>
      </x:c>
      <x:c r="S37" s="16" t="n">
        <x:v>2</x:v>
      </x:c>
      <x:c r="T37" s="16" t="str">
        <x:v>非绑定/可交易/NPC售价0</x:v>
      </x:c>
      <x:c r="U37" s="16" t="str">
        <x:v>主任务/守关BOSS首杀固定1</x:v>
      </x:c>
      <x:c r="V37" s="16" t="str">
        <x:v>已核对待部署</x:v>
      </x:c>
      <x:c r="W37" s="16" t="str">
        <x:f>IF(COUNTIF($D$5:$D$72,D37)&gt;1,"重复","正常")</x:f>
        <x:v>正常</x:v>
      </x:c>
      <x:c r="X37" s="16" t="str">
        <x:f>IF(OR(D37="",F37="",H37="",I37="",J37="",L37="",M37=""),"缺失","正常")</x:f>
        <x:v>正常</x:v>
      </x:c>
      <x:c r="Y37" s="16" t="str">
        <x:v>Idx取自现服最大Idx之后的未占用区间；模板复用现服Idx 802</x:v>
      </x:c>
    </x:row>
    <x:row r="38">
      <x:c r="A38" s="16" t="str">
        <x:v>EL-MAT-C10-COM</x:v>
      </x:c>
      <x:c r="B38" s="16" t="str">
        <x:v>C10</x:v>
      </x:c>
      <x:c r="C38" s="16" t="str">
        <x:v>王城金屑</x:v>
      </x:c>
      <x:c r="D38" s="16" t="n">
        <x:v>937</x:v>
      </x:c>
      <x:c r="E38" s="16" t="str">
        <x:v>规划新建</x:v>
      </x:c>
      <x:c r="F38" s="16" t="n">
        <x:v>797</x:v>
      </x:c>
      <x:c r="G38" s="16" t="str">
        <x:v>古王金属片</x:v>
      </x:c>
      <x:c r="H38" s="16" t="n">
        <x:v>46</x:v>
      </x:c>
      <x:c r="I38" s="16" t="n">
        <x:v>1</x:v>
      </x:c>
      <x:c r="J38" s="16" t="n">
        <x:v>6195</x:v>
      </x:c>
      <x:c r="K38" s="16" t="str">
        <x:v>常规·白</x:v>
      </x:c>
      <x:c r="L38" s="16" t="str">
        <x:v>Color</x:v>
      </x:c>
      <x:c r="M38" s="16" t="n">
        <x:v>255</x:v>
      </x:c>
      <x:c r="N38" s="16" t="str">
        <x:v>默认白 255 (#FFFFFF)</x:v>
      </x:c>
      <x:c r="O38" s="16" t="n">
        <x:v>0</x:v>
      </x:c>
      <x:c r="P38" s="16" t="n">
        <x:v>99999</x:v>
      </x:c>
      <x:c r="Q38" s="16" t="n">
        <x:v>0</x:v>
      </x:c>
      <x:c r="R38" s="16" t="n">
        <x:v>5</x:v>
      </x:c>
      <x:c r="S38" s="16" t="n">
        <x:v>2</x:v>
      </x:c>
      <x:c r="T38" s="16" t="str">
        <x:v>非绑定/可交易/NPC售价0</x:v>
      </x:c>
      <x:c r="U38" s="16" t="str">
        <x:v>本大陆普通怪独立掉落</x:v>
      </x:c>
      <x:c r="V38" s="16" t="str">
        <x:v>已核对待部署</x:v>
      </x:c>
      <x:c r="W38" s="16" t="str">
        <x:f>IF(COUNTIF($D$5:$D$72,D38)&gt;1,"重复","正常")</x:f>
        <x:v>正常</x:v>
      </x:c>
      <x:c r="X38" s="16" t="str">
        <x:f>IF(OR(D38="",F38="",H38="",I38="",J38="",L38="",M38=""),"缺失","正常")</x:f>
        <x:v>正常</x:v>
      </x:c>
      <x:c r="Y38" s="16" t="str">
        <x:v>Idx取自现服最大Idx之后的未占用区间；模板复用现服Idx 797</x:v>
      </x:c>
    </x:row>
    <x:row r="39">
      <x:c r="A39" s="16" t="str">
        <x:v>EL-MAT-C10-RARE</x:v>
      </x:c>
      <x:c r="B39" s="16" t="str">
        <x:v>C10</x:v>
      </x:c>
      <x:c r="C39" s="16" t="str">
        <x:v>王宫律文</x:v>
      </x:c>
      <x:c r="D39" s="16" t="n">
        <x:v>938</x:v>
      </x:c>
      <x:c r="E39" s="16" t="str">
        <x:v>规划新建</x:v>
      </x:c>
      <x:c r="F39" s="16" t="n">
        <x:v>799</x:v>
      </x:c>
      <x:c r="G39" s="16" t="str">
        <x:v>暴烈晶核</x:v>
      </x:c>
      <x:c r="H39" s="16" t="n">
        <x:v>46</x:v>
      </x:c>
      <x:c r="I39" s="16" t="n">
        <x:v>1</x:v>
      </x:c>
      <x:c r="J39" s="16" t="n">
        <x:v>6197</x:v>
      </x:c>
      <x:c r="K39" s="16" t="str">
        <x:v>稀有·蓝紫</x:v>
      </x:c>
      <x:c r="L39" s="16" t="str">
        <x:v>Color</x:v>
      </x:c>
      <x:c r="M39" s="16" t="n">
        <x:v>242</x:v>
      </x:c>
      <x:c r="N39" s="16" t="str">
        <x:v>蓝紫 242 (#DDAAFF)</x:v>
      </x:c>
      <x:c r="O39" s="16" t="n">
        <x:v>0</x:v>
      </x:c>
      <x:c r="P39" s="16" t="n">
        <x:v>99999</x:v>
      </x:c>
      <x:c r="Q39" s="16" t="n">
        <x:v>0</x:v>
      </x:c>
      <x:c r="R39" s="16" t="n">
        <x:v>5</x:v>
      </x:c>
      <x:c r="S39" s="16" t="n">
        <x:v>2</x:v>
      </x:c>
      <x:c r="T39" s="16" t="str">
        <x:v>非绑定/可交易/NPC售价0</x:v>
      </x:c>
      <x:c r="U39" s="16" t="str">
        <x:v>本大陆精英怪独立掉落</x:v>
      </x:c>
      <x:c r="V39" s="16" t="str">
        <x:v>已核对待部署</x:v>
      </x:c>
      <x:c r="W39" s="16" t="str">
        <x:f>IF(COUNTIF($D$5:$D$72,D39)&gt;1,"重复","正常")</x:f>
        <x:v>正常</x:v>
      </x:c>
      <x:c r="X39" s="16" t="str">
        <x:f>IF(OR(D39="",F39="",H39="",I39="",J39="",L39="",M39=""),"缺失","正常")</x:f>
        <x:v>正常</x:v>
      </x:c>
      <x:c r="Y39" s="16" t="str">
        <x:v>Idx取自现服最大Idx之后的未占用区间；模板复用现服Idx 799</x:v>
      </x:c>
    </x:row>
    <x:row r="40">
      <x:c r="A40" s="16" t="str">
        <x:v>EL-MAT-C10-MARK</x:v>
      </x:c>
      <x:c r="B40" s="16" t="str">
        <x:v>C10</x:v>
      </x:c>
      <x:c r="C40" s="16" t="str">
        <x:v>艾尔登王印</x:v>
      </x:c>
      <x:c r="D40" s="16" t="n">
        <x:v>939</x:v>
      </x:c>
      <x:c r="E40" s="16" t="str">
        <x:v>规划新建</x:v>
      </x:c>
      <x:c r="F40" s="16" t="n">
        <x:v>802</x:v>
      </x:c>
      <x:c r="G40" s="16" t="str">
        <x:v>神秘符文</x:v>
      </x:c>
      <x:c r="H40" s="16" t="n">
        <x:v>46</x:v>
      </x:c>
      <x:c r="I40" s="16" t="n">
        <x:v>1</x:v>
      </x:c>
      <x:c r="J40" s="16" t="n">
        <x:v>6200</x:v>
      </x:c>
      <x:c r="K40" s="16" t="str">
        <x:v>剧情·金</x:v>
      </x:c>
      <x:c r="L40" s="16" t="str">
        <x:v>Color</x:v>
      </x:c>
      <x:c r="M40" s="16" t="n">
        <x:v>151</x:v>
      </x:c>
      <x:c r="N40" s="16" t="str">
        <x:v>金黄 151 (#F7E700)</x:v>
      </x:c>
      <x:c r="O40" s="16" t="n">
        <x:v>0</x:v>
      </x:c>
      <x:c r="P40" s="16" t="n">
        <x:v>99999</x:v>
      </x:c>
      <x:c r="Q40" s="16" t="n">
        <x:v>0</x:v>
      </x:c>
      <x:c r="R40" s="16" t="n">
        <x:v>5</x:v>
      </x:c>
      <x:c r="S40" s="16" t="n">
        <x:v>2</x:v>
      </x:c>
      <x:c r="T40" s="16" t="str">
        <x:v>非绑定/可交易/NPC售价0</x:v>
      </x:c>
      <x:c r="U40" s="16" t="str">
        <x:v>主任务/守关BOSS首杀固定1</x:v>
      </x:c>
      <x:c r="V40" s="16" t="str">
        <x:v>已核对待部署</x:v>
      </x:c>
      <x:c r="W40" s="16" t="str">
        <x:f>IF(COUNTIF($D$5:$D$72,D40)&gt;1,"重复","正常")</x:f>
        <x:v>正常</x:v>
      </x:c>
      <x:c r="X40" s="16" t="str">
        <x:f>IF(OR(D40="",F40="",H40="",I40="",J40="",L40="",M40=""),"缺失","正常")</x:f>
        <x:v>正常</x:v>
      </x:c>
      <x:c r="Y40" s="16" t="str">
        <x:v>Idx取自现服最大Idx之后的未占用区间；模板复用现服Idx 802</x:v>
      </x:c>
    </x:row>
    <x:row r="41">
      <x:c r="A41" s="16" t="str">
        <x:v>EL-MAT-C03-Q01</x:v>
      </x:c>
      <x:c r="B41" s="16" t="str">
        <x:v>C03</x:v>
      </x:c>
      <x:c r="C41" s="16" t="str">
        <x:v>裂风崖羽</x:v>
      </x:c>
      <x:c r="D41" s="16" t="n">
        <x:v>940</x:v>
      </x:c>
      <x:c r="E41" s="16" t="str">
        <x:v>规划新建</x:v>
      </x:c>
      <x:c r="F41" s="16" t="n">
        <x:v>794</x:v>
      </x:c>
      <x:c r="G41" s="16" t="str">
        <x:v>野兽骨片</x:v>
      </x:c>
      <x:c r="H41" s="16" t="n">
        <x:v>46</x:v>
      </x:c>
      <x:c r="I41" s="16" t="n">
        <x:v>1</x:v>
      </x:c>
      <x:c r="J41" s="16" t="n">
        <x:v>6192</x:v>
      </x:c>
      <x:c r="K41" s="16" t="str">
        <x:v>证物·蓝</x:v>
      </x:c>
      <x:c r="L41" s="16" t="str">
        <x:v>Color</x:v>
      </x:c>
      <x:c r="M41" s="16" t="n">
        <x:v>154</x:v>
      </x:c>
      <x:c r="N41" s="16" t="str">
        <x:v>亮蓝 154 (#39B5EF)</x:v>
      </x:c>
      <x:c r="O41" s="16" t="n">
        <x:v>0</x:v>
      </x:c>
      <x:c r="P41" s="16" t="n">
        <x:v>99999</x:v>
      </x:c>
      <x:c r="Q41" s="16" t="n">
        <x:v>0</x:v>
      </x:c>
      <x:c r="R41" s="16" t="n">
        <x:v>5</x:v>
      </x:c>
      <x:c r="S41" s="16" t="n">
        <x:v>2</x:v>
      </x:c>
      <x:c r="T41" s="16" t="str">
        <x:v>非绑定/可交易/NPC售价0</x:v>
      </x:c>
      <x:c r="U41" s="16" t="str">
        <x:v>海风断崖/XX335/EL-MON-C03-G02-N04</x:v>
      </x:c>
      <x:c r="V41" s="16" t="str">
        <x:v>已核对待部署</x:v>
      </x:c>
      <x:c r="W41" s="16" t="str">
        <x:f>IF(COUNTIF($D$5:$D$72,D41)&gt;1,"重复","正常")</x:f>
        <x:v>正常</x:v>
      </x:c>
      <x:c r="X41" s="16" t="str">
        <x:f>IF(OR(D41="",F41="",H41="",I41="",J41="",L41="",M41=""),"缺失","正常")</x:f>
        <x:v>正常</x:v>
      </x:c>
      <x:c r="Y41" s="16" t="str">
        <x:v>Idx取自现服最大Idx之后的未占用区间；模板复用现服Idx 794</x:v>
      </x:c>
    </x:row>
    <x:row r="42">
      <x:c r="A42" s="16" t="str">
        <x:v>EL-MAT-C03-Q02</x:v>
      </x:c>
      <x:c r="B42" s="16" t="str">
        <x:v>C03</x:v>
      </x:c>
      <x:c r="C42" s="16" t="str">
        <x:v>商队火漆</x:v>
      </x:c>
      <x:c r="D42" s="16" t="n">
        <x:v>941</x:v>
      </x:c>
      <x:c r="E42" s="16" t="str">
        <x:v>规划新建</x:v>
      </x:c>
      <x:c r="F42" s="16" t="n">
        <x:v>800</x:v>
      </x:c>
      <x:c r="G42" s="16" t="str">
        <x:v>神力源石</x:v>
      </x:c>
      <x:c r="H42" s="16" t="n">
        <x:v>46</x:v>
      </x:c>
      <x:c r="I42" s="16" t="n">
        <x:v>1</x:v>
      </x:c>
      <x:c r="J42" s="16" t="n">
        <x:v>6198</x:v>
      </x:c>
      <x:c r="K42" s="16" t="str">
        <x:v>证物·紫</x:v>
      </x:c>
      <x:c r="L42" s="16" t="str">
        <x:v>Color</x:v>
      </x:c>
      <x:c r="M42" s="16" t="n">
        <x:v>242</x:v>
      </x:c>
      <x:c r="N42" s="16" t="str">
        <x:v>浅紫 242 (#DDAAFF)</x:v>
      </x:c>
      <x:c r="O42" s="16" t="n">
        <x:v>0</x:v>
      </x:c>
      <x:c r="P42" s="16" t="n">
        <x:v>99999</x:v>
      </x:c>
      <x:c r="Q42" s="16" t="n">
        <x:v>0</x:v>
      </x:c>
      <x:c r="R42" s="16" t="n">
        <x:v>5</x:v>
      </x:c>
      <x:c r="S42" s="16" t="n">
        <x:v>2</x:v>
      </x:c>
      <x:c r="T42" s="16" t="str">
        <x:v>非绑定/可交易/NPC售价0</x:v>
      </x:c>
      <x:c r="U42" s="16" t="str">
        <x:v>失落驿道/XX345/EL-MON-C03-G03-R02</x:v>
      </x:c>
      <x:c r="V42" s="16" t="str">
        <x:v>已核对待部署</x:v>
      </x:c>
      <x:c r="W42" s="16" t="str">
        <x:f>IF(COUNTIF($D$5:$D$72,D42)&gt;1,"重复","正常")</x:f>
        <x:v>正常</x:v>
      </x:c>
      <x:c r="X42" s="16" t="str">
        <x:f>IF(OR(D42="",F42="",H42="",I42="",J42="",L42="",M42=""),"缺失","正常")</x:f>
        <x:v>正常</x:v>
      </x:c>
      <x:c r="Y42" s="16" t="str">
        <x:v>Idx取自现服最大Idx之后的未占用区间；模板复用现服Idx 800</x:v>
      </x:c>
    </x:row>
    <x:row r="43">
      <x:c r="A43" s="16" t="str">
        <x:v>EL-MAT-C03-Q03</x:v>
      </x:c>
      <x:c r="B43" s="16" t="str">
        <x:v>C03</x:v>
      </x:c>
      <x:c r="C43" s="16" t="str">
        <x:v>守垒铜钥</x:v>
      </x:c>
      <x:c r="D43" s="16" t="n">
        <x:v>942</x:v>
      </x:c>
      <x:c r="E43" s="16" t="str">
        <x:v>规划新建</x:v>
      </x:c>
      <x:c r="F43" s="16" t="n">
        <x:v>795</x:v>
      </x:c>
      <x:c r="G43" s="16" t="str">
        <x:v>龙鳞碎片</x:v>
      </x:c>
      <x:c r="H43" s="16" t="n">
        <x:v>46</x:v>
      </x:c>
      <x:c r="I43" s="16" t="n">
        <x:v>1</x:v>
      </x:c>
      <x:c r="J43" s="16" t="n">
        <x:v>6193</x:v>
      </x:c>
      <x:c r="K43" s="16" t="str">
        <x:v>证物·橙</x:v>
      </x:c>
      <x:c r="L43" s="16" t="str">
        <x:v>Color</x:v>
      </x:c>
      <x:c r="M43" s="16" t="n">
        <x:v>70</x:v>
      </x:c>
      <x:c r="N43" s="16" t="str">
        <x:v>橙色 70 (#FF7700)</x:v>
      </x:c>
      <x:c r="O43" s="16" t="n">
        <x:v>0</x:v>
      </x:c>
      <x:c r="P43" s="16" t="n">
        <x:v>99999</x:v>
      </x:c>
      <x:c r="Q43" s="16" t="n">
        <x:v>0</x:v>
      </x:c>
      <x:c r="R43" s="16" t="n">
        <x:v>5</x:v>
      </x:c>
      <x:c r="S43" s="16" t="n">
        <x:v>2</x:v>
      </x:c>
      <x:c r="T43" s="16" t="str">
        <x:v>非绑定/可交易/NPC售价0</x:v>
      </x:c>
      <x:c r="U43" s="16" t="str">
        <x:v>风蚀古垒/XX516/EL-MON-C03-G05-B01</x:v>
      </x:c>
      <x:c r="V43" s="16" t="str">
        <x:v>已核对待部署</x:v>
      </x:c>
      <x:c r="W43" s="16" t="str">
        <x:f>IF(COUNTIF($D$5:$D$72,D43)&gt;1,"重复","正常")</x:f>
        <x:v>正常</x:v>
      </x:c>
      <x:c r="X43" s="16" t="str">
        <x:f>IF(OR(D43="",F43="",H43="",I43="",J43="",L43="",M43=""),"缺失","正常")</x:f>
        <x:v>正常</x:v>
      </x:c>
      <x:c r="Y43" s="16" t="str">
        <x:v>Idx取自现服最大Idx之后的未占用区间；模板复用现服Idx 795</x:v>
      </x:c>
    </x:row>
    <x:row r="44">
      <x:c r="A44" s="16" t="str">
        <x:v>EL-MAT-C03-Q04</x:v>
      </x:c>
      <x:c r="B44" s="16" t="str">
        <x:v>C03</x:v>
      </x:c>
      <x:c r="C44" s="16" t="str">
        <x:v>哨垒旗冠</x:v>
      </x:c>
      <x:c r="D44" s="16" t="n">
        <x:v>943</x:v>
      </x:c>
      <x:c r="E44" s="16" t="str">
        <x:v>规划新建</x:v>
      </x:c>
      <x:c r="F44" s="16" t="n">
        <x:v>796</x:v>
      </x:c>
      <x:c r="G44" s="16" t="str">
        <x:v>半神遗骨</x:v>
      </x:c>
      <x:c r="H44" s="16" t="n">
        <x:v>46</x:v>
      </x:c>
      <x:c r="I44" s="16" t="n">
        <x:v>1</x:v>
      </x:c>
      <x:c r="J44" s="16" t="n">
        <x:v>6194</x:v>
      </x:c>
      <x:c r="K44" s="16" t="str">
        <x:v>证物·金红</x:v>
      </x:c>
      <x:c r="L44" s="16" t="str">
        <x:v>Color</x:v>
      </x:c>
      <x:c r="M44" s="16" t="n">
        <x:v>249</x:v>
      </x:c>
      <x:c r="N44" s="16" t="str">
        <x:v>红色 249 (#FF0000)</x:v>
      </x:c>
      <x:c r="O44" s="16" t="n">
        <x:v>0</x:v>
      </x:c>
      <x:c r="P44" s="16" t="n">
        <x:v>99999</x:v>
      </x:c>
      <x:c r="Q44" s="16" t="n">
        <x:v>0</x:v>
      </x:c>
      <x:c r="R44" s="16" t="n">
        <x:v>5</x:v>
      </x:c>
      <x:c r="S44" s="16" t="n">
        <x:v>2</x:v>
      </x:c>
      <x:c r="T44" s="16" t="str">
        <x:v>非绑定/可交易/NPC售价0</x:v>
      </x:c>
      <x:c r="U44" s="16" t="str">
        <x:v>黄金树哨垒/XX169/EL-MON-C03-G06-G01</x:v>
      </x:c>
      <x:c r="V44" s="16" t="str">
        <x:v>已核对待部署</x:v>
      </x:c>
      <x:c r="W44" s="16" t="str">
        <x:f>IF(COUNTIF($D$5:$D$72,D44)&gt;1,"重复","正常")</x:f>
        <x:v>正常</x:v>
      </x:c>
      <x:c r="X44" s="16" t="str">
        <x:f>IF(OR(D44="",F44="",H44="",I44="",J44="",L44="",M44=""),"缺失","正常")</x:f>
        <x:v>正常</x:v>
      </x:c>
      <x:c r="Y44" s="16" t="str">
        <x:v>Idx取自现服最大Idx之后的未占用区间；模板复用现服Idx 796</x:v>
      </x:c>
    </x:row>
    <x:row r="45">
      <x:c r="A45" s="16" t="str">
        <x:v>EL-MAT-C04-Q01</x:v>
      </x:c>
      <x:c r="B45" s="16" t="str">
        <x:v>C04</x:v>
      </x:c>
      <x:c r="C45" s="16" t="str">
        <x:v>雾潮银鳞</x:v>
      </x:c>
      <x:c r="D45" s="16" t="n">
        <x:v>944</x:v>
      </x:c>
      <x:c r="E45" s="16" t="str">
        <x:v>规划新建</x:v>
      </x:c>
      <x:c r="F45" s="16" t="n">
        <x:v>794</x:v>
      </x:c>
      <x:c r="G45" s="16" t="str">
        <x:v>野兽骨片</x:v>
      </x:c>
      <x:c r="H45" s="16" t="n">
        <x:v>46</x:v>
      </x:c>
      <x:c r="I45" s="16" t="n">
        <x:v>1</x:v>
      </x:c>
      <x:c r="J45" s="16" t="n">
        <x:v>6192</x:v>
      </x:c>
      <x:c r="K45" s="16" t="str">
        <x:v>证物·蓝</x:v>
      </x:c>
      <x:c r="L45" s="16" t="str">
        <x:v>Color</x:v>
      </x:c>
      <x:c r="M45" s="16" t="n">
        <x:v>154</x:v>
      </x:c>
      <x:c r="N45" s="16" t="str">
        <x:v>亮蓝 154 (#39B5EF)</x:v>
      </x:c>
      <x:c r="O45" s="16" t="n">
        <x:v>0</x:v>
      </x:c>
      <x:c r="P45" s="16" t="n">
        <x:v>99999</x:v>
      </x:c>
      <x:c r="Q45" s="16" t="n">
        <x:v>0</x:v>
      </x:c>
      <x:c r="R45" s="16" t="n">
        <x:v>5</x:v>
      </x:c>
      <x:c r="S45" s="16" t="n">
        <x:v>2</x:v>
      </x:c>
      <x:c r="T45" s="16" t="str">
        <x:v>非绑定/可交易/NPC售价0</x:v>
      </x:c>
      <x:c r="U45" s="16" t="str">
        <x:v>雾潮湿地/XX342/EL-MON-C04-G01-N04</x:v>
      </x:c>
      <x:c r="V45" s="16" t="str">
        <x:v>已核对待部署</x:v>
      </x:c>
      <x:c r="W45" s="16" t="str">
        <x:f>IF(COUNTIF($D$5:$D$72,D45)&gt;1,"重复","正常")</x:f>
        <x:v>正常</x:v>
      </x:c>
      <x:c r="X45" s="16" t="str">
        <x:f>IF(OR(D45="",F45="",H45="",I45="",J45="",L45="",M45=""),"缺失","正常")</x:f>
        <x:v>正常</x:v>
      </x:c>
      <x:c r="Y45" s="16" t="str">
        <x:v>Idx取自现服最大Idx之后的未占用区间；模板复用现服Idx 794</x:v>
      </x:c>
    </x:row>
    <x:row r="46">
      <x:c r="A46" s="16" t="str">
        <x:v>EL-MAT-C04-Q02</x:v>
      </x:c>
      <x:c r="B46" s="16" t="str">
        <x:v>C04</x:v>
      </x:c>
      <x:c r="C46" s="16" t="str">
        <x:v>沉船缆扣</x:v>
      </x:c>
      <x:c r="D46" s="16" t="n">
        <x:v>945</x:v>
      </x:c>
      <x:c r="E46" s="16" t="str">
        <x:v>规划新建</x:v>
      </x:c>
      <x:c r="F46" s="16" t="n">
        <x:v>800</x:v>
      </x:c>
      <x:c r="G46" s="16" t="str">
        <x:v>神力源石</x:v>
      </x:c>
      <x:c r="H46" s="16" t="n">
        <x:v>46</x:v>
      </x:c>
      <x:c r="I46" s="16" t="n">
        <x:v>1</x:v>
      </x:c>
      <x:c r="J46" s="16" t="n">
        <x:v>6198</x:v>
      </x:c>
      <x:c r="K46" s="16" t="str">
        <x:v>证物·紫</x:v>
      </x:c>
      <x:c r="L46" s="16" t="str">
        <x:v>Color</x:v>
      </x:c>
      <x:c r="M46" s="16" t="n">
        <x:v>242</x:v>
      </x:c>
      <x:c r="N46" s="16" t="str">
        <x:v>浅紫 242 (#DDAAFF)</x:v>
      </x:c>
      <x:c r="O46" s="16" t="n">
        <x:v>0</x:v>
      </x:c>
      <x:c r="P46" s="16" t="n">
        <x:v>99999</x:v>
      </x:c>
      <x:c r="Q46" s="16" t="n">
        <x:v>0</x:v>
      </x:c>
      <x:c r="R46" s="16" t="n">
        <x:v>5</x:v>
      </x:c>
      <x:c r="S46" s="16" t="n">
        <x:v>2</x:v>
      </x:c>
      <x:c r="T46" s="16" t="str">
        <x:v>非绑定/可交易/NPC售价0</x:v>
      </x:c>
      <x:c r="U46" s="16" t="str">
        <x:v>湖心沉船/XX351/EL-MON-C04-G03-R02</x:v>
      </x:c>
      <x:c r="V46" s="16" t="str">
        <x:v>已核对待部署</x:v>
      </x:c>
      <x:c r="W46" s="16" t="str">
        <x:f>IF(COUNTIF($D$5:$D$72,D46)&gt;1,"重复","正常")</x:f>
        <x:v>正常</x:v>
      </x:c>
      <x:c r="X46" s="16" t="str">
        <x:f>IF(OR(D46="",F46="",H46="",I46="",J46="",L46="",M46=""),"缺失","正常")</x:f>
        <x:v>正常</x:v>
      </x:c>
      <x:c r="Y46" s="16" t="str">
        <x:v>Idx取自现服最大Idx之后的未占用区间；模板复用现服Idx 800</x:v>
      </x:c>
    </x:row>
    <x:row r="47">
      <x:c r="A47" s="16" t="str">
        <x:v>EL-MAT-C04-Q03</x:v>
      </x:c>
      <x:c r="B47" s="16" t="str">
        <x:v>C04</x:v>
      </x:c>
      <x:c r="C47" s="16" t="str">
        <x:v>深湖压舱印</x:v>
      </x:c>
      <x:c r="D47" s="16" t="n">
        <x:v>946</x:v>
      </x:c>
      <x:c r="E47" s="16" t="str">
        <x:v>规划新建</x:v>
      </x:c>
      <x:c r="F47" s="16" t="n">
        <x:v>795</x:v>
      </x:c>
      <x:c r="G47" s="16" t="str">
        <x:v>龙鳞碎片</x:v>
      </x:c>
      <x:c r="H47" s="16" t="n">
        <x:v>46</x:v>
      </x:c>
      <x:c r="I47" s="16" t="n">
        <x:v>1</x:v>
      </x:c>
      <x:c r="J47" s="16" t="n">
        <x:v>6193</x:v>
      </x:c>
      <x:c r="K47" s="16" t="str">
        <x:v>证物·橙</x:v>
      </x:c>
      <x:c r="L47" s="16" t="str">
        <x:v>Color</x:v>
      </x:c>
      <x:c r="M47" s="16" t="n">
        <x:v>70</x:v>
      </x:c>
      <x:c r="N47" s="16" t="str">
        <x:v>橙色 70 (#FF7700)</x:v>
      </x:c>
      <x:c r="O47" s="16" t="n">
        <x:v>0</x:v>
      </x:c>
      <x:c r="P47" s="16" t="n">
        <x:v>99999</x:v>
      </x:c>
      <x:c r="Q47" s="16" t="n">
        <x:v>0</x:v>
      </x:c>
      <x:c r="R47" s="16" t="n">
        <x:v>5</x:v>
      </x:c>
      <x:c r="S47" s="16" t="n">
        <x:v>2</x:v>
      </x:c>
      <x:c r="T47" s="16" t="str">
        <x:v>非绑定/可交易/NPC售价0</x:v>
      </x:c>
      <x:c r="U47" s="16" t="str">
        <x:v>深湖水道/XX391/EL-MON-C04-G05-B01</x:v>
      </x:c>
      <x:c r="V47" s="16" t="str">
        <x:v>已核对待部署</x:v>
      </x:c>
      <x:c r="W47" s="16" t="str">
        <x:f>IF(COUNTIF($D$5:$D$72,D47)&gt;1,"重复","正常")</x:f>
        <x:v>正常</x:v>
      </x:c>
      <x:c r="X47" s="16" t="str">
        <x:f>IF(OR(D47="",F47="",H47="",I47="",J47="",L47="",M47=""),"缺失","正常")</x:f>
        <x:v>正常</x:v>
      </x:c>
      <x:c r="Y47" s="16" t="str">
        <x:v>Idx取自现服最大Idx之后的未占用区间；模板复用现服Idx 795</x:v>
      </x:c>
    </x:row>
    <x:row r="48">
      <x:c r="A48" s="16" t="str">
        <x:v>EL-MAT-C04-Q04</x:v>
      </x:c>
      <x:c r="B48" s="16" t="str">
        <x:v>C04</x:v>
      </x:c>
      <x:c r="C48" s="16" t="str">
        <x:v>湖底封门珠</x:v>
      </x:c>
      <x:c r="D48" s="16" t="n">
        <x:v>947</x:v>
      </x:c>
      <x:c r="E48" s="16" t="str">
        <x:v>规划新建</x:v>
      </x:c>
      <x:c r="F48" s="16" t="n">
        <x:v>796</x:v>
      </x:c>
      <x:c r="G48" s="16" t="str">
        <x:v>半神遗骨</x:v>
      </x:c>
      <x:c r="H48" s="16" t="n">
        <x:v>46</x:v>
      </x:c>
      <x:c r="I48" s="16" t="n">
        <x:v>1</x:v>
      </x:c>
      <x:c r="J48" s="16" t="n">
        <x:v>6194</x:v>
      </x:c>
      <x:c r="K48" s="16" t="str">
        <x:v>证物·金红</x:v>
      </x:c>
      <x:c r="L48" s="16" t="str">
        <x:v>Color</x:v>
      </x:c>
      <x:c r="M48" s="16" t="n">
        <x:v>249</x:v>
      </x:c>
      <x:c r="N48" s="16" t="str">
        <x:v>红色 249 (#FF0000)</x:v>
      </x:c>
      <x:c r="O48" s="16" t="n">
        <x:v>0</x:v>
      </x:c>
      <x:c r="P48" s="16" t="n">
        <x:v>99999</x:v>
      </x:c>
      <x:c r="Q48" s="16" t="n">
        <x:v>0</x:v>
      </x:c>
      <x:c r="R48" s="16" t="n">
        <x:v>5</x:v>
      </x:c>
      <x:c r="S48" s="16" t="n">
        <x:v>2</x:v>
      </x:c>
      <x:c r="T48" s="16" t="str">
        <x:v>非绑定/可交易/NPC售价0</x:v>
      </x:c>
      <x:c r="U48" s="16" t="str">
        <x:v>湖底密道/XX369/EL-MON-C04-G06-G01</x:v>
      </x:c>
      <x:c r="V48" s="16" t="str">
        <x:v>已核对待部署</x:v>
      </x:c>
      <x:c r="W48" s="16" t="str">
        <x:f>IF(COUNTIF($D$5:$D$72,D48)&gt;1,"重复","正常")</x:f>
        <x:v>正常</x:v>
      </x:c>
      <x:c r="X48" s="16" t="str">
        <x:f>IF(OR(D48="",F48="",H48="",I48="",J48="",L48="",M48=""),"缺失","正常")</x:f>
        <x:v>正常</x:v>
      </x:c>
      <x:c r="Y48" s="16" t="str">
        <x:v>Idx取自现服最大Idx之后的未占用区间；模板复用现服Idx 796</x:v>
      </x:c>
    </x:row>
    <x:row r="49">
      <x:c r="A49" s="16" t="str">
        <x:v>EL-MAT-C05-Q01</x:v>
      </x:c>
      <x:c r="B49" s="16" t="str">
        <x:v>C05</x:v>
      </x:c>
      <x:c r="C49" s="16" t="str">
        <x:v>雾月星砂</x:v>
      </x:c>
      <x:c r="D49" s="16" t="n">
        <x:v>948</x:v>
      </x:c>
      <x:c r="E49" s="16" t="str">
        <x:v>规划新建</x:v>
      </x:c>
      <x:c r="F49" s="16" t="n">
        <x:v>794</x:v>
      </x:c>
      <x:c r="G49" s="16" t="str">
        <x:v>野兽骨片</x:v>
      </x:c>
      <x:c r="H49" s="16" t="n">
        <x:v>46</x:v>
      </x:c>
      <x:c r="I49" s="16" t="n">
        <x:v>1</x:v>
      </x:c>
      <x:c r="J49" s="16" t="n">
        <x:v>6192</x:v>
      </x:c>
      <x:c r="K49" s="16" t="str">
        <x:v>证物·蓝</x:v>
      </x:c>
      <x:c r="L49" s="16" t="str">
        <x:v>Color</x:v>
      </x:c>
      <x:c r="M49" s="16" t="n">
        <x:v>154</x:v>
      </x:c>
      <x:c r="N49" s="16" t="str">
        <x:v>亮蓝 154 (#39B5EF)</x:v>
      </x:c>
      <x:c r="O49" s="16" t="n">
        <x:v>0</x:v>
      </x:c>
      <x:c r="P49" s="16" t="n">
        <x:v>99999</x:v>
      </x:c>
      <x:c r="Q49" s="16" t="n">
        <x:v>0</x:v>
      </x:c>
      <x:c r="R49" s="16" t="n">
        <x:v>5</x:v>
      </x:c>
      <x:c r="S49" s="16" t="n">
        <x:v>2</x:v>
      </x:c>
      <x:c r="T49" s="16" t="str">
        <x:v>非绑定/可交易/NPC售价0</x:v>
      </x:c>
      <x:c r="U49" s="16" t="str">
        <x:v>雾月水庭/XX331/EL-MON-C05-G01-N04</x:v>
      </x:c>
      <x:c r="V49" s="16" t="str">
        <x:v>已核对待部署</x:v>
      </x:c>
      <x:c r="W49" s="16" t="str">
        <x:f>IF(COUNTIF($D$5:$D$72,D49)&gt;1,"重复","正常")</x:f>
        <x:v>正常</x:v>
      </x:c>
      <x:c r="X49" s="16" t="str">
        <x:f>IF(OR(D49="",F49="",H49="",I49="",J49="",L49="",M49=""),"缺失","正常")</x:f>
        <x:v>正常</x:v>
      </x:c>
      <x:c r="Y49" s="16" t="str">
        <x:v>Idx取自现服最大Idx之后的未占用区间；模板复用现服Idx 794</x:v>
      </x:c>
    </x:row>
    <x:row r="50">
      <x:c r="A50" s="16" t="str">
        <x:v>EL-MAT-C05-Q02</x:v>
      </x:c>
      <x:c r="B50" s="16" t="str">
        <x:v>C05</x:v>
      </x:c>
      <x:c r="C50" s="16" t="str">
        <x:v>学院封蜡</x:v>
      </x:c>
      <x:c r="D50" s="16" t="n">
        <x:v>949</x:v>
      </x:c>
      <x:c r="E50" s="16" t="str">
        <x:v>规划新建</x:v>
      </x:c>
      <x:c r="F50" s="16" t="n">
        <x:v>800</x:v>
      </x:c>
      <x:c r="G50" s="16" t="str">
        <x:v>神力源石</x:v>
      </x:c>
      <x:c r="H50" s="16" t="n">
        <x:v>46</x:v>
      </x:c>
      <x:c r="I50" s="16" t="n">
        <x:v>1</x:v>
      </x:c>
      <x:c r="J50" s="16" t="n">
        <x:v>6198</x:v>
      </x:c>
      <x:c r="K50" s="16" t="str">
        <x:v>证物·紫</x:v>
      </x:c>
      <x:c r="L50" s="16" t="str">
        <x:v>Color</x:v>
      </x:c>
      <x:c r="M50" s="16" t="n">
        <x:v>242</x:v>
      </x:c>
      <x:c r="N50" s="16" t="str">
        <x:v>浅紫 242 (#DDAAFF)</x:v>
      </x:c>
      <x:c r="O50" s="16" t="n">
        <x:v>0</x:v>
      </x:c>
      <x:c r="P50" s="16" t="n">
        <x:v>99999</x:v>
      </x:c>
      <x:c r="Q50" s="16" t="n">
        <x:v>0</x:v>
      </x:c>
      <x:c r="R50" s="16" t="n">
        <x:v>5</x:v>
      </x:c>
      <x:c r="S50" s="16" t="n">
        <x:v>2</x:v>
      </x:c>
      <x:c r="T50" s="16" t="str">
        <x:v>非绑定/可交易/NPC售价0</x:v>
      </x:c>
      <x:c r="U50" s="16" t="str">
        <x:v>辉石遗迹/XX816/EL-MON-C05-G02-R02</x:v>
      </x:c>
      <x:c r="V50" s="16" t="str">
        <x:v>已核对待部署</x:v>
      </x:c>
      <x:c r="W50" s="16" t="str">
        <x:f>IF(COUNTIF($D$5:$D$72,D50)&gt;1,"重复","正常")</x:f>
        <x:v>正常</x:v>
      </x:c>
      <x:c r="X50" s="16" t="str">
        <x:f>IF(OR(D50="",F50="",H50="",I50="",J50="",L50="",M50=""),"缺失","正常")</x:f>
        <x:v>正常</x:v>
      </x:c>
      <x:c r="Y50" s="16" t="str">
        <x:v>Idx取自现服最大Idx之后的未占用区间；模板复用现服Idx 800</x:v>
      </x:c>
    </x:row>
    <x:row r="51">
      <x:c r="A51" s="16" t="str">
        <x:v>EL-MAT-C05-Q03</x:v>
      </x:c>
      <x:c r="B51" s="16" t="str">
        <x:v>C05</x:v>
      </x:c>
      <x:c r="C51" s="16" t="str">
        <x:v>月蚀镜片</x:v>
      </x:c>
      <x:c r="D51" s="16" t="n">
        <x:v>950</x:v>
      </x:c>
      <x:c r="E51" s="16" t="str">
        <x:v>规划新建</x:v>
      </x:c>
      <x:c r="F51" s="16" t="n">
        <x:v>795</x:v>
      </x:c>
      <x:c r="G51" s="16" t="str">
        <x:v>龙鳞碎片</x:v>
      </x:c>
      <x:c r="H51" s="16" t="n">
        <x:v>46</x:v>
      </x:c>
      <x:c r="I51" s="16" t="n">
        <x:v>1</x:v>
      </x:c>
      <x:c r="J51" s="16" t="n">
        <x:v>6193</x:v>
      </x:c>
      <x:c r="K51" s="16" t="str">
        <x:v>证物·橙</x:v>
      </x:c>
      <x:c r="L51" s="16" t="str">
        <x:v>Color</x:v>
      </x:c>
      <x:c r="M51" s="16" t="n">
        <x:v>70</x:v>
      </x:c>
      <x:c r="N51" s="16" t="str">
        <x:v>橙色 70 (#FF7700)</x:v>
      </x:c>
      <x:c r="O51" s="16" t="n">
        <x:v>0</x:v>
      </x:c>
      <x:c r="P51" s="16" t="n">
        <x:v>99999</x:v>
      </x:c>
      <x:c r="Q51" s="16" t="n">
        <x:v>0</x:v>
      </x:c>
      <x:c r="R51" s="16" t="n">
        <x:v>5</x:v>
      </x:c>
      <x:c r="S51" s="16" t="n">
        <x:v>2</x:v>
      </x:c>
      <x:c r="T51" s="16" t="str">
        <x:v>非绑定/可交易/NPC售价0</x:v>
      </x:c>
      <x:c r="U51" s="16" t="str">
        <x:v>满月书库/XX1066/EL-MON-C05-G04-B01</x:v>
      </x:c>
      <x:c r="V51" s="16" t="str">
        <x:v>已核对待部署</x:v>
      </x:c>
      <x:c r="W51" s="16" t="str">
        <x:f>IF(COUNTIF($D$5:$D$72,D51)&gt;1,"重复","正常")</x:f>
        <x:v>正常</x:v>
      </x:c>
      <x:c r="X51" s="16" t="str">
        <x:f>IF(OR(D51="",F51="",H51="",I51="",J51="",L51="",M51=""),"缺失","正常")</x:f>
        <x:v>正常</x:v>
      </x:c>
      <x:c r="Y51" s="16" t="str">
        <x:v>Idx取自现服最大Idx之后的未占用区间；模板复用现服Idx 795</x:v>
      </x:c>
    </x:row>
    <x:row r="52">
      <x:c r="A52" s="16" t="str">
        <x:v>EL-MAT-C05-Q04</x:v>
      </x:c>
      <x:c r="B52" s="16" t="str">
        <x:v>C05</x:v>
      </x:c>
      <x:c r="C52" s="16" t="str">
        <x:v>禁域星钥</x:v>
      </x:c>
      <x:c r="D52" s="16" t="n">
        <x:v>951</x:v>
      </x:c>
      <x:c r="E52" s="16" t="str">
        <x:v>规划新建</x:v>
      </x:c>
      <x:c r="F52" s="16" t="n">
        <x:v>796</x:v>
      </x:c>
      <x:c r="G52" s="16" t="str">
        <x:v>半神遗骨</x:v>
      </x:c>
      <x:c r="H52" s="16" t="n">
        <x:v>46</x:v>
      </x:c>
      <x:c r="I52" s="16" t="n">
        <x:v>1</x:v>
      </x:c>
      <x:c r="J52" s="16" t="n">
        <x:v>6194</x:v>
      </x:c>
      <x:c r="K52" s="16" t="str">
        <x:v>证物·金红</x:v>
      </x:c>
      <x:c r="L52" s="16" t="str">
        <x:v>Color</x:v>
      </x:c>
      <x:c r="M52" s="16" t="n">
        <x:v>249</x:v>
      </x:c>
      <x:c r="N52" s="16" t="str">
        <x:v>红色 249 (#FF0000)</x:v>
      </x:c>
      <x:c r="O52" s="16" t="n">
        <x:v>0</x:v>
      </x:c>
      <x:c r="P52" s="16" t="n">
        <x:v>99999</x:v>
      </x:c>
      <x:c r="Q52" s="16" t="n">
        <x:v>0</x:v>
      </x:c>
      <x:c r="R52" s="16" t="n">
        <x:v>5</x:v>
      </x:c>
      <x:c r="S52" s="16" t="n">
        <x:v>2</x:v>
      </x:c>
      <x:c r="T52" s="16" t="str">
        <x:v>非绑定/可交易/NPC售价0</x:v>
      </x:c>
      <x:c r="U52" s="16" t="str">
        <x:v>卡利亚禁域/XX924/EL-MON-C05-G06-G01</x:v>
      </x:c>
      <x:c r="V52" s="16" t="str">
        <x:v>已核对待部署</x:v>
      </x:c>
      <x:c r="W52" s="16" t="str">
        <x:f>IF(COUNTIF($D$5:$D$72,D52)&gt;1,"重复","正常")</x:f>
        <x:v>正常</x:v>
      </x:c>
      <x:c r="X52" s="16" t="str">
        <x:f>IF(OR(D52="",F52="",H52="",I52="",J52="",L52="",M52=""),"缺失","正常")</x:f>
        <x:v>正常</x:v>
      </x:c>
      <x:c r="Y52" s="16" t="str">
        <x:v>Idx取自现服最大Idx之后的未占用区间；模板复用现服Idx 796</x:v>
      </x:c>
    </x:row>
    <x:row r="53">
      <x:c r="A53" s="16" t="str">
        <x:v>EL-MAT-C06-Q01</x:v>
      </x:c>
      <x:c r="B53" s="16" t="str">
        <x:v>C06</x:v>
      </x:c>
      <x:c r="C53" s="16" t="str">
        <x:v>红狮断箭</x:v>
      </x:c>
      <x:c r="D53" s="16" t="n">
        <x:v>952</x:v>
      </x:c>
      <x:c r="E53" s="16" t="str">
        <x:v>规划新建</x:v>
      </x:c>
      <x:c r="F53" s="16" t="n">
        <x:v>794</x:v>
      </x:c>
      <x:c r="G53" s="16" t="str">
        <x:v>野兽骨片</x:v>
      </x:c>
      <x:c r="H53" s="16" t="n">
        <x:v>46</x:v>
      </x:c>
      <x:c r="I53" s="16" t="n">
        <x:v>1</x:v>
      </x:c>
      <x:c r="J53" s="16" t="n">
        <x:v>6192</x:v>
      </x:c>
      <x:c r="K53" s="16" t="str">
        <x:v>证物·蓝</x:v>
      </x:c>
      <x:c r="L53" s="16" t="str">
        <x:v>Color</x:v>
      </x:c>
      <x:c r="M53" s="16" t="n">
        <x:v>154</x:v>
      </x:c>
      <x:c r="N53" s="16" t="str">
        <x:v>亮蓝 154 (#39B5EF)</x:v>
      </x:c>
      <x:c r="O53" s="16" t="n">
        <x:v>0</x:v>
      </x:c>
      <x:c r="P53" s="16" t="n">
        <x:v>99999</x:v>
      </x:c>
      <x:c r="Q53" s="16" t="n">
        <x:v>0</x:v>
      </x:c>
      <x:c r="R53" s="16" t="n">
        <x:v>5</x:v>
      </x:c>
      <x:c r="S53" s="16" t="n">
        <x:v>2</x:v>
      </x:c>
      <x:c r="T53" s="16" t="str">
        <x:v>非绑定/可交易/NPC售价0</x:v>
      </x:c>
      <x:c r="U53" s="16" t="str">
        <x:v>猩红熔原/XX308/EL-MON-C06-G01-N04</x:v>
      </x:c>
      <x:c r="V53" s="16" t="str">
        <x:v>已核对待部署</x:v>
      </x:c>
      <x:c r="W53" s="16" t="str">
        <x:f>IF(COUNTIF($D$5:$D$72,D53)&gt;1,"重复","正常")</x:f>
        <x:v>正常</x:v>
      </x:c>
      <x:c r="X53" s="16" t="str">
        <x:f>IF(OR(D53="",F53="",H53="",I53="",J53="",L53="",M53=""),"缺失","正常")</x:f>
        <x:v>正常</x:v>
      </x:c>
      <x:c r="Y53" s="16" t="str">
        <x:v>Idx取自现服最大Idx之后的未占用区间；模板复用现服Idx 794</x:v>
      </x:c>
    </x:row>
    <x:row r="54">
      <x:c r="A54" s="16" t="str">
        <x:v>EL-MAT-C06-Q02</x:v>
      </x:c>
      <x:c r="B54" s="16" t="str">
        <x:v>C06</x:v>
      </x:c>
      <x:c r="C54" s="16" t="str">
        <x:v>净火腺囊</x:v>
      </x:c>
      <x:c r="D54" s="16" t="n">
        <x:v>953</x:v>
      </x:c>
      <x:c r="E54" s="16" t="str">
        <x:v>规划新建</x:v>
      </x:c>
      <x:c r="F54" s="16" t="n">
        <x:v>800</x:v>
      </x:c>
      <x:c r="G54" s="16" t="str">
        <x:v>神力源石</x:v>
      </x:c>
      <x:c r="H54" s="16" t="n">
        <x:v>46</x:v>
      </x:c>
      <x:c r="I54" s="16" t="n">
        <x:v>1</x:v>
      </x:c>
      <x:c r="J54" s="16" t="n">
        <x:v>6198</x:v>
      </x:c>
      <x:c r="K54" s="16" t="str">
        <x:v>证物·紫</x:v>
      </x:c>
      <x:c r="L54" s="16" t="str">
        <x:v>Color</x:v>
      </x:c>
      <x:c r="M54" s="16" t="n">
        <x:v>242</x:v>
      </x:c>
      <x:c r="N54" s="16" t="str">
        <x:v>浅紫 242 (#DDAAFF)</x:v>
      </x:c>
      <x:c r="O54" s="16" t="n">
        <x:v>0</x:v>
      </x:c>
      <x:c r="P54" s="16" t="n">
        <x:v>99999</x:v>
      </x:c>
      <x:c r="Q54" s="16" t="n">
        <x:v>0</x:v>
      </x:c>
      <x:c r="R54" s="16" t="n">
        <x:v>5</x:v>
      </x:c>
      <x:c r="S54" s="16" t="n">
        <x:v>2</x:v>
      </x:c>
      <x:c r="T54" s="16" t="str">
        <x:v>非绑定/可交易/NPC售价0</x:v>
      </x:c>
      <x:c r="U54" s="16" t="str">
        <x:v>腐败火狱/XX361/EL-MON-C06-G02-R02</x:v>
      </x:c>
      <x:c r="V54" s="16" t="str">
        <x:v>已核对待部署</x:v>
      </x:c>
      <x:c r="W54" s="16" t="str">
        <x:f>IF(COUNTIF($D$5:$D$72,D54)&gt;1,"重复","正常")</x:f>
        <x:v>正常</x:v>
      </x:c>
      <x:c r="X54" s="16" t="str">
        <x:f>IF(OR(D54="",F54="",H54="",I54="",J54="",L54="",M54=""),"缺失","正常")</x:f>
        <x:v>正常</x:v>
      </x:c>
      <x:c r="Y54" s="16" t="str">
        <x:v>Idx取自现服最大Idx之后的未占用区间；模板复用现服Idx 800</x:v>
      </x:c>
    </x:row>
    <x:row r="55">
      <x:c r="A55" s="16" t="str">
        <x:v>EL-MAT-C06-Q03</x:v>
      </x:c>
      <x:c r="B55" s="16" t="str">
        <x:v>C06</x:v>
      </x:c>
      <x:c r="C55" s="16" t="str">
        <x:v>龙窟熔牙</x:v>
      </x:c>
      <x:c r="D55" s="16" t="n">
        <x:v>954</x:v>
      </x:c>
      <x:c r="E55" s="16" t="str">
        <x:v>规划新建</x:v>
      </x:c>
      <x:c r="F55" s="16" t="n">
        <x:v>795</x:v>
      </x:c>
      <x:c r="G55" s="16" t="str">
        <x:v>龙鳞碎片</x:v>
      </x:c>
      <x:c r="H55" s="16" t="n">
        <x:v>46</x:v>
      </x:c>
      <x:c r="I55" s="16" t="n">
        <x:v>1</x:v>
      </x:c>
      <x:c r="J55" s="16" t="n">
        <x:v>6193</x:v>
      </x:c>
      <x:c r="K55" s="16" t="str">
        <x:v>证物·橙</x:v>
      </x:c>
      <x:c r="L55" s="16" t="str">
        <x:v>Color</x:v>
      </x:c>
      <x:c r="M55" s="16" t="n">
        <x:v>70</x:v>
      </x:c>
      <x:c r="N55" s="16" t="str">
        <x:v>橙色 70 (#FF7700)</x:v>
      </x:c>
      <x:c r="O55" s="16" t="n">
        <x:v>0</x:v>
      </x:c>
      <x:c r="P55" s="16" t="n">
        <x:v>99999</x:v>
      </x:c>
      <x:c r="Q55" s="16" t="n">
        <x:v>0</x:v>
      </x:c>
      <x:c r="R55" s="16" t="n">
        <x:v>5</x:v>
      </x:c>
      <x:c r="S55" s="16" t="n">
        <x:v>2</x:v>
      </x:c>
      <x:c r="T55" s="16" t="str">
        <x:v>非绑定/可交易/NPC售价0</x:v>
      </x:c>
      <x:c r="U55" s="16" t="str">
        <x:v>红狮龙窟/XX482/EL-MON-C06-G03-B01</x:v>
      </x:c>
      <x:c r="V55" s="16" t="str">
        <x:v>已核对待部署</x:v>
      </x:c>
      <x:c r="W55" s="16" t="str">
        <x:f>IF(COUNTIF($D$5:$D$72,D55)&gt;1,"重复","正常")</x:f>
        <x:v>正常</x:v>
      </x:c>
      <x:c r="X55" s="16" t="str">
        <x:f>IF(OR(D55="",F55="",H55="",I55="",J55="",L55="",M55=""),"缺失","正常")</x:f>
        <x:v>正常</x:v>
      </x:c>
      <x:c r="Y55" s="16" t="str">
        <x:v>Idx取自现服最大Idx之后的未占用区间；模板复用现服Idx 795</x:v>
      </x:c>
    </x:row>
    <x:row r="56">
      <x:c r="A56" s="16" t="str">
        <x:v>EL-MAT-C06-Q04</x:v>
      </x:c>
      <x:c r="B56" s="16" t="str">
        <x:v>C06</x:v>
      </x:c>
      <x:c r="C56" s="16" t="str">
        <x:v>碎星仪仗钉</x:v>
      </x:c>
      <x:c r="D56" s="16" t="n">
        <x:v>955</x:v>
      </x:c>
      <x:c r="E56" s="16" t="str">
        <x:v>规划新建</x:v>
      </x:c>
      <x:c r="F56" s="16" t="n">
        <x:v>796</x:v>
      </x:c>
      <x:c r="G56" s="16" t="str">
        <x:v>半神遗骨</x:v>
      </x:c>
      <x:c r="H56" s="16" t="n">
        <x:v>46</x:v>
      </x:c>
      <x:c r="I56" s="16" t="n">
        <x:v>1</x:v>
      </x:c>
      <x:c r="J56" s="16" t="n">
        <x:v>6194</x:v>
      </x:c>
      <x:c r="K56" s="16" t="str">
        <x:v>证物·金红</x:v>
      </x:c>
      <x:c r="L56" s="16" t="str">
        <x:v>Color</x:v>
      </x:c>
      <x:c r="M56" s="16" t="n">
        <x:v>249</x:v>
      </x:c>
      <x:c r="N56" s="16" t="str">
        <x:v>红色 249 (#FF0000)</x:v>
      </x:c>
      <x:c r="O56" s="16" t="n">
        <x:v>0</x:v>
      </x:c>
      <x:c r="P56" s="16" t="n">
        <x:v>99999</x:v>
      </x:c>
      <x:c r="Q56" s="16" t="n">
        <x:v>0</x:v>
      </x:c>
      <x:c r="R56" s="16" t="n">
        <x:v>5</x:v>
      </x:c>
      <x:c r="S56" s="16" t="n">
        <x:v>2</x:v>
      </x:c>
      <x:c r="T56" s="16" t="str">
        <x:v>非绑定/可交易/NPC售价0</x:v>
      </x:c>
      <x:c r="U56" s="16" t="str">
        <x:v>红狮龙窟/XX481/EL-MON-C06-G03-G01</x:v>
      </x:c>
      <x:c r="V56" s="16" t="str">
        <x:v>已核对待部署</x:v>
      </x:c>
      <x:c r="W56" s="16" t="str">
        <x:f>IF(COUNTIF($D$5:$D$72,D56)&gt;1,"重复","正常")</x:f>
        <x:v>正常</x:v>
      </x:c>
      <x:c r="X56" s="16" t="str">
        <x:f>IF(OR(D56="",F56="",H56="",I56="",J56="",L56="",M56=""),"缺失","正常")</x:f>
        <x:v>正常</x:v>
      </x:c>
      <x:c r="Y56" s="16" t="str">
        <x:v>Idx取自现服最大Idx之后的未占用区间；模板复用现服Idx 796</x:v>
      </x:c>
    </x:row>
    <x:row r="57">
      <x:c r="A57" s="16" t="str">
        <x:v>EL-MAT-C07-Q01</x:v>
      </x:c>
      <x:c r="B57" s="16" t="str">
        <x:v>C07</x:v>
      </x:c>
      <x:c r="C57" s="16" t="str">
        <x:v>白金路标片</x:v>
      </x:c>
      <x:c r="D57" s="16" t="n">
        <x:v>956</x:v>
      </x:c>
      <x:c r="E57" s="16" t="str">
        <x:v>规划新建</x:v>
      </x:c>
      <x:c r="F57" s="16" t="n">
        <x:v>794</x:v>
      </x:c>
      <x:c r="G57" s="16" t="str">
        <x:v>野兽骨片</x:v>
      </x:c>
      <x:c r="H57" s="16" t="n">
        <x:v>46</x:v>
      </x:c>
      <x:c r="I57" s="16" t="n">
        <x:v>1</x:v>
      </x:c>
      <x:c r="J57" s="16" t="n">
        <x:v>6192</x:v>
      </x:c>
      <x:c r="K57" s="16" t="str">
        <x:v>证物·蓝</x:v>
      </x:c>
      <x:c r="L57" s="16" t="str">
        <x:v>Color</x:v>
      </x:c>
      <x:c r="M57" s="16" t="n">
        <x:v>154</x:v>
      </x:c>
      <x:c r="N57" s="16" t="str">
        <x:v>亮蓝 154 (#39B5EF)</x:v>
      </x:c>
      <x:c r="O57" s="16" t="n">
        <x:v>0</x:v>
      </x:c>
      <x:c r="P57" s="16" t="n">
        <x:v>99999</x:v>
      </x:c>
      <x:c r="Q57" s="16" t="n">
        <x:v>0</x:v>
      </x:c>
      <x:c r="R57" s="16" t="n">
        <x:v>5</x:v>
      </x:c>
      <x:c r="S57" s="16" t="n">
        <x:v>2</x:v>
      </x:c>
      <x:c r="T57" s="16" t="str">
        <x:v>非绑定/可交易/NPC售价0</x:v>
      </x:c>
      <x:c r="U57" s="16" t="str">
        <x:v>苍白雪原/XX150/EL-MON-C07-G01-N04</x:v>
      </x:c>
      <x:c r="V57" s="16" t="str">
        <x:v>已核对待部署</x:v>
      </x:c>
      <x:c r="W57" s="16" t="str">
        <x:f>IF(COUNTIF($D$5:$D$72,D57)&gt;1,"重复","正常")</x:f>
        <x:v>正常</x:v>
      </x:c>
      <x:c r="X57" s="16" t="str">
        <x:f>IF(OR(D57="",F57="",H57="",I57="",J57="",L57="",M57=""),"缺失","正常")</x:f>
        <x:v>正常</x:v>
      </x:c>
      <x:c r="Y57" s="16" t="str">
        <x:v>Idx取自现服最大Idx之后的未占用区间；模板复用现服Idx 794</x:v>
      </x:c>
    </x:row>
    <x:row r="58">
      <x:c r="A58" s="16" t="str">
        <x:v>EL-MAT-C07-Q02</x:v>
      </x:c>
      <x:c r="B58" s="16" t="str">
        <x:v>C07</x:v>
      </x:c>
      <x:c r="C58" s="16" t="str">
        <x:v>冻原银角</x:v>
      </x:c>
      <x:c r="D58" s="16" t="n">
        <x:v>957</x:v>
      </x:c>
      <x:c r="E58" s="16" t="str">
        <x:v>规划新建</x:v>
      </x:c>
      <x:c r="F58" s="16" t="n">
        <x:v>800</x:v>
      </x:c>
      <x:c r="G58" s="16" t="str">
        <x:v>神力源石</x:v>
      </x:c>
      <x:c r="H58" s="16" t="n">
        <x:v>46</x:v>
      </x:c>
      <x:c r="I58" s="16" t="n">
        <x:v>1</x:v>
      </x:c>
      <x:c r="J58" s="16" t="n">
        <x:v>6198</x:v>
      </x:c>
      <x:c r="K58" s="16" t="str">
        <x:v>证物·紫</x:v>
      </x:c>
      <x:c r="L58" s="16" t="str">
        <x:v>Color</x:v>
      </x:c>
      <x:c r="M58" s="16" t="n">
        <x:v>242</x:v>
      </x:c>
      <x:c r="N58" s="16" t="str">
        <x:v>浅紫 242 (#DDAAFF)</x:v>
      </x:c>
      <x:c r="O58" s="16" t="n">
        <x:v>0</x:v>
      </x:c>
      <x:c r="P58" s="16" t="n">
        <x:v>99999</x:v>
      </x:c>
      <x:c r="Q58" s="16" t="n">
        <x:v>0</x:v>
      </x:c>
      <x:c r="R58" s="16" t="n">
        <x:v>5</x:v>
      </x:c>
      <x:c r="S58" s="16" t="n">
        <x:v>2</x:v>
      </x:c>
      <x:c r="T58" s="16" t="str">
        <x:v>非绑定/可交易/NPC售价0</x:v>
      </x:c>
      <x:c r="U58" s="16" t="str">
        <x:v>永冻荒境/XX905/EL-MON-C07-G02-R02</x:v>
      </x:c>
      <x:c r="V58" s="16" t="str">
        <x:v>已核对待部署</x:v>
      </x:c>
      <x:c r="W58" s="16" t="str">
        <x:f>IF(COUNTIF($D$5:$D$72,D58)&gt;1,"重复","正常")</x:f>
        <x:v>正常</x:v>
      </x:c>
      <x:c r="X58" s="16" t="str">
        <x:f>IF(OR(D58="",F58="",H58="",I58="",J58="",L58="",M58=""),"缺失","正常")</x:f>
        <x:v>正常</x:v>
      </x:c>
      <x:c r="Y58" s="16" t="str">
        <x:v>Idx取自现服最大Idx之后的未占用区间；模板复用现服Idx 800</x:v>
      </x:c>
    </x:row>
    <x:row r="59">
      <x:c r="A59" s="16" t="str">
        <x:v>EL-MAT-C07-Q03</x:v>
      </x:c>
      <x:c r="B59" s="16" t="str">
        <x:v>C07</x:v>
      </x:c>
      <x:c r="C59" s="16" t="str">
        <x:v>秘树霜芽</x:v>
      </x:c>
      <x:c r="D59" s="16" t="n">
        <x:v>958</x:v>
      </x:c>
      <x:c r="E59" s="16" t="str">
        <x:v>规划新建</x:v>
      </x:c>
      <x:c r="F59" s="16" t="n">
        <x:v>795</x:v>
      </x:c>
      <x:c r="G59" s="16" t="str">
        <x:v>龙鳞碎片</x:v>
      </x:c>
      <x:c r="H59" s="16" t="n">
        <x:v>46</x:v>
      </x:c>
      <x:c r="I59" s="16" t="n">
        <x:v>1</x:v>
      </x:c>
      <x:c r="J59" s="16" t="n">
        <x:v>6193</x:v>
      </x:c>
      <x:c r="K59" s="16" t="str">
        <x:v>证物·橙</x:v>
      </x:c>
      <x:c r="L59" s="16" t="str">
        <x:v>Color</x:v>
      </x:c>
      <x:c r="M59" s="16" t="n">
        <x:v>70</x:v>
      </x:c>
      <x:c r="N59" s="16" t="str">
        <x:v>橙色 70 (#FF7700)</x:v>
      </x:c>
      <x:c r="O59" s="16" t="n">
        <x:v>0</x:v>
      </x:c>
      <x:c r="P59" s="16" t="n">
        <x:v>99999</x:v>
      </x:c>
      <x:c r="Q59" s="16" t="n">
        <x:v>0</x:v>
      </x:c>
      <x:c r="R59" s="16" t="n">
        <x:v>5</x:v>
      </x:c>
      <x:c r="S59" s="16" t="n">
        <x:v>2</x:v>
      </x:c>
      <x:c r="T59" s="16" t="str">
        <x:v>非绑定/可交易/NPC售价0</x:v>
      </x:c>
      <x:c r="U59" s="16" t="str">
        <x:v>极寒禁域/XX910/EL-MON-C07-G03-B01</x:v>
      </x:c>
      <x:c r="V59" s="16" t="str">
        <x:v>已核对待部署</x:v>
      </x:c>
      <x:c r="W59" s="16" t="str">
        <x:f>IF(COUNTIF($D$5:$D$72,D59)&gt;1,"重复","正常")</x:f>
        <x:v>正常</x:v>
      </x:c>
      <x:c r="X59" s="16" t="str">
        <x:f>IF(OR(D59="",F59="",H59="",I59="",J59="",L59="",M59=""),"缺失","正常")</x:f>
        <x:v>正常</x:v>
      </x:c>
      <x:c r="Y59" s="16" t="str">
        <x:v>Idx取自现服最大Idx之后的未占用区间；模板复用现服Idx 795</x:v>
      </x:c>
    </x:row>
    <x:row r="60">
      <x:c r="A60" s="16" t="str">
        <x:v>EL-MAT-C07-Q04</x:v>
      </x:c>
      <x:c r="B60" s="16" t="str">
        <x:v>C07</x:v>
      </x:c>
      <x:c r="C60" s="16" t="str">
        <x:v>圣雪门楔</x:v>
      </x:c>
      <x:c r="D60" s="16" t="n">
        <x:v>959</x:v>
      </x:c>
      <x:c r="E60" s="16" t="str">
        <x:v>规划新建</x:v>
      </x:c>
      <x:c r="F60" s="16" t="n">
        <x:v>796</x:v>
      </x:c>
      <x:c r="G60" s="16" t="str">
        <x:v>半神遗骨</x:v>
      </x:c>
      <x:c r="H60" s="16" t="n">
        <x:v>46</x:v>
      </x:c>
      <x:c r="I60" s="16" t="n">
        <x:v>1</x:v>
      </x:c>
      <x:c r="J60" s="16" t="n">
        <x:v>6194</x:v>
      </x:c>
      <x:c r="K60" s="16" t="str">
        <x:v>证物·金红</x:v>
      </x:c>
      <x:c r="L60" s="16" t="str">
        <x:v>Color</x:v>
      </x:c>
      <x:c r="M60" s="16" t="n">
        <x:v>249</x:v>
      </x:c>
      <x:c r="N60" s="16" t="str">
        <x:v>红色 249 (#FF0000)</x:v>
      </x:c>
      <x:c r="O60" s="16" t="n">
        <x:v>0</x:v>
      </x:c>
      <x:c r="P60" s="16" t="n">
        <x:v>99999</x:v>
      </x:c>
      <x:c r="Q60" s="16" t="n">
        <x:v>0</x:v>
      </x:c>
      <x:c r="R60" s="16" t="n">
        <x:v>5</x:v>
      </x:c>
      <x:c r="S60" s="16" t="n">
        <x:v>2</x:v>
      </x:c>
      <x:c r="T60" s="16" t="str">
        <x:v>非绑定/可交易/NPC售价0</x:v>
      </x:c>
      <x:c r="U60" s="16" t="str">
        <x:v>极寒禁域/XX911/EL-MON-C07-G03-G01</x:v>
      </x:c>
      <x:c r="V60" s="16" t="str">
        <x:v>已核对待部署</x:v>
      </x:c>
      <x:c r="W60" s="16" t="str">
        <x:f>IF(COUNTIF($D$5:$D$72,D60)&gt;1,"重复","正常")</x:f>
        <x:v>正常</x:v>
      </x:c>
      <x:c r="X60" s="16" t="str">
        <x:f>IF(OR(D60="",F60="",H60="",I60="",J60="",L60="",M60=""),"缺失","正常")</x:f>
        <x:v>正常</x:v>
      </x:c>
      <x:c r="Y60" s="16" t="str">
        <x:v>Idx取自现服最大Idx之后的未占用区间；模板复用现服Idx 796</x:v>
      </x:c>
    </x:row>
    <x:row r="61">
      <x:c r="A61" s="16" t="str">
        <x:v>EL-MAT-C08-Q01</x:v>
      </x:c>
      <x:c r="B61" s="16" t="str">
        <x:v>C08</x:v>
      </x:c>
      <x:c r="C61" s="16" t="str">
        <x:v>登山铁楔</x:v>
      </x:c>
      <x:c r="D61" s="16" t="n">
        <x:v>960</x:v>
      </x:c>
      <x:c r="E61" s="16" t="str">
        <x:v>规划新建</x:v>
      </x:c>
      <x:c r="F61" s="16" t="n">
        <x:v>794</x:v>
      </x:c>
      <x:c r="G61" s="16" t="str">
        <x:v>野兽骨片</x:v>
      </x:c>
      <x:c r="H61" s="16" t="n">
        <x:v>46</x:v>
      </x:c>
      <x:c r="I61" s="16" t="n">
        <x:v>1</x:v>
      </x:c>
      <x:c r="J61" s="16" t="n">
        <x:v>6192</x:v>
      </x:c>
      <x:c r="K61" s="16" t="str">
        <x:v>证物·蓝</x:v>
      </x:c>
      <x:c r="L61" s="16" t="str">
        <x:v>Color</x:v>
      </x:c>
      <x:c r="M61" s="16" t="n">
        <x:v>154</x:v>
      </x:c>
      <x:c r="N61" s="16" t="str">
        <x:v>亮蓝 154 (#39B5EF)</x:v>
      </x:c>
      <x:c r="O61" s="16" t="n">
        <x:v>0</x:v>
      </x:c>
      <x:c r="P61" s="16" t="n">
        <x:v>99999</x:v>
      </x:c>
      <x:c r="Q61" s="16" t="n">
        <x:v>0</x:v>
      </x:c>
      <x:c r="R61" s="16" t="n">
        <x:v>5</x:v>
      </x:c>
      <x:c r="S61" s="16" t="n">
        <x:v>2</x:v>
      </x:c>
      <x:c r="T61" s="16" t="str">
        <x:v>非绑定/可交易/NPC售价0</x:v>
      </x:c>
      <x:c r="U61" s="16" t="str">
        <x:v>寒霜山径/XX903/EL-MON-C08-G01-N04</x:v>
      </x:c>
      <x:c r="V61" s="16" t="str">
        <x:v>已核对待部署</x:v>
      </x:c>
      <x:c r="W61" s="16" t="str">
        <x:f>IF(COUNTIF($D$5:$D$72,D61)&gt;1,"重复","正常")</x:f>
        <x:v>正常</x:v>
      </x:c>
      <x:c r="X61" s="16" t="str">
        <x:f>IF(OR(D61="",F61="",H61="",I61="",J61="",L61="",M61=""),"缺失","正常")</x:f>
        <x:v>正常</x:v>
      </x:c>
      <x:c r="Y61" s="16" t="str">
        <x:v>Idx取自现服最大Idx之后的未占用区间；模板复用现服Idx 794</x:v>
      </x:c>
    </x:row>
    <x:row r="62">
      <x:c r="A62" s="16" t="str">
        <x:v>EL-MAT-C08-Q02</x:v>
      </x:c>
      <x:c r="B62" s="16" t="str">
        <x:v>C08</x:v>
      </x:c>
      <x:c r="C62" s="16" t="str">
        <x:v>裂峰号角片</x:v>
      </x:c>
      <x:c r="D62" s="16" t="n">
        <x:v>961</x:v>
      </x:c>
      <x:c r="E62" s="16" t="str">
        <x:v>规划新建</x:v>
      </x:c>
      <x:c r="F62" s="16" t="n">
        <x:v>800</x:v>
      </x:c>
      <x:c r="G62" s="16" t="str">
        <x:v>神力源石</x:v>
      </x:c>
      <x:c r="H62" s="16" t="n">
        <x:v>46</x:v>
      </x:c>
      <x:c r="I62" s="16" t="n">
        <x:v>1</x:v>
      </x:c>
      <x:c r="J62" s="16" t="n">
        <x:v>6198</x:v>
      </x:c>
      <x:c r="K62" s="16" t="str">
        <x:v>证物·紫</x:v>
      </x:c>
      <x:c r="L62" s="16" t="str">
        <x:v>Color</x:v>
      </x:c>
      <x:c r="M62" s="16" t="n">
        <x:v>242</x:v>
      </x:c>
      <x:c r="N62" s="16" t="str">
        <x:v>浅紫 242 (#DDAAFF)</x:v>
      </x:c>
      <x:c r="O62" s="16" t="n">
        <x:v>0</x:v>
      </x:c>
      <x:c r="P62" s="16" t="n">
        <x:v>99999</x:v>
      </x:c>
      <x:c r="Q62" s="16" t="n">
        <x:v>0</x:v>
      </x:c>
      <x:c r="R62" s="16" t="n">
        <x:v>5</x:v>
      </x:c>
      <x:c r="S62" s="16" t="n">
        <x:v>2</x:v>
      </x:c>
      <x:c r="T62" s="16" t="str">
        <x:v>非绑定/可交易/NPC售价0</x:v>
      </x:c>
      <x:c r="U62" s="16" t="str">
        <x:v>断冰峰群/XX316/EL-MON-C08-G02-R02</x:v>
      </x:c>
      <x:c r="V62" s="16" t="str">
        <x:v>已核对待部署</x:v>
      </x:c>
      <x:c r="W62" s="16" t="str">
        <x:f>IF(COUNTIF($D$5:$D$72,D62)&gt;1,"重复","正常")</x:f>
        <x:v>正常</x:v>
      </x:c>
      <x:c r="X62" s="16" t="str">
        <x:f>IF(OR(D62="",F62="",H62="",I62="",J62="",L62="",M62=""),"缺失","正常")</x:f>
        <x:v>正常</x:v>
      </x:c>
      <x:c r="Y62" s="16" t="str">
        <x:v>Idx取自现服最大Idx之后的未占用区间；模板复用现服Idx 800</x:v>
      </x:c>
    </x:row>
    <x:row r="63">
      <x:c r="A63" s="16" t="str">
        <x:v>EL-MAT-C08-Q03</x:v>
      </x:c>
      <x:c r="B63" s="16" t="str">
        <x:v>C08</x:v>
      </x:c>
      <x:c r="C63" s="16" t="str">
        <x:v>冰宫守门铃</x:v>
      </x:c>
      <x:c r="D63" s="16" t="n">
        <x:v>962</x:v>
      </x:c>
      <x:c r="E63" s="16" t="str">
        <x:v>规划新建</x:v>
      </x:c>
      <x:c r="F63" s="16" t="n">
        <x:v>795</x:v>
      </x:c>
      <x:c r="G63" s="16" t="str">
        <x:v>龙鳞碎片</x:v>
      </x:c>
      <x:c r="H63" s="16" t="n">
        <x:v>46</x:v>
      </x:c>
      <x:c r="I63" s="16" t="n">
        <x:v>1</x:v>
      </x:c>
      <x:c r="J63" s="16" t="n">
        <x:v>6193</x:v>
      </x:c>
      <x:c r="K63" s="16" t="str">
        <x:v>证物·橙</x:v>
      </x:c>
      <x:c r="L63" s="16" t="str">
        <x:v>Color</x:v>
      </x:c>
      <x:c r="M63" s="16" t="n">
        <x:v>70</x:v>
      </x:c>
      <x:c r="N63" s="16" t="str">
        <x:v>橙色 70 (#FF7700)</x:v>
      </x:c>
      <x:c r="O63" s="16" t="n">
        <x:v>0</x:v>
      </x:c>
      <x:c r="P63" s="16" t="n">
        <x:v>99999</x:v>
      </x:c>
      <x:c r="Q63" s="16" t="n">
        <x:v>0</x:v>
      </x:c>
      <x:c r="R63" s="16" t="n">
        <x:v>5</x:v>
      </x:c>
      <x:c r="S63" s="16" t="n">
        <x:v>2</x:v>
      </x:c>
      <x:c r="T63" s="16" t="str">
        <x:v>非绑定/可交易/NPC售价0</x:v>
      </x:c>
      <x:c r="U63" s="16" t="str">
        <x:v>冰宫王庭/XX326/EL-MON-C08-G03-B01</x:v>
      </x:c>
      <x:c r="V63" s="16" t="str">
        <x:v>已核对待部署</x:v>
      </x:c>
      <x:c r="W63" s="16" t="str">
        <x:f>IF(COUNTIF($D$5:$D$72,D63)&gt;1,"重复","正常")</x:f>
        <x:v>正常</x:v>
      </x:c>
      <x:c r="X63" s="16" t="str">
        <x:f>IF(OR(D63="",F63="",H63="",I63="",J63="",L63="",M63=""),"缺失","正常")</x:f>
        <x:v>正常</x:v>
      </x:c>
      <x:c r="Y63" s="16" t="str">
        <x:v>Idx取自现服最大Idx之后的未占用区间；模板复用现服Idx 795</x:v>
      </x:c>
    </x:row>
    <x:row r="64">
      <x:c r="A64" s="16" t="str">
        <x:v>EL-MAT-C08-Q04</x:v>
      </x:c>
      <x:c r="B64" s="16" t="str">
        <x:v>C08</x:v>
      </x:c>
      <x:c r="C64" s="16" t="str">
        <x:v>王庭炉冠</x:v>
      </x:c>
      <x:c r="D64" s="16" t="n">
        <x:v>963</x:v>
      </x:c>
      <x:c r="E64" s="16" t="str">
        <x:v>规划新建</x:v>
      </x:c>
      <x:c r="F64" s="16" t="n">
        <x:v>796</x:v>
      </x:c>
      <x:c r="G64" s="16" t="str">
        <x:v>半神遗骨</x:v>
      </x:c>
      <x:c r="H64" s="16" t="n">
        <x:v>46</x:v>
      </x:c>
      <x:c r="I64" s="16" t="n">
        <x:v>1</x:v>
      </x:c>
      <x:c r="J64" s="16" t="n">
        <x:v>6194</x:v>
      </x:c>
      <x:c r="K64" s="16" t="str">
        <x:v>证物·金红</x:v>
      </x:c>
      <x:c r="L64" s="16" t="str">
        <x:v>Color</x:v>
      </x:c>
      <x:c r="M64" s="16" t="n">
        <x:v>249</x:v>
      </x:c>
      <x:c r="N64" s="16" t="str">
        <x:v>红色 249 (#FF0000)</x:v>
      </x:c>
      <x:c r="O64" s="16" t="n">
        <x:v>0</x:v>
      </x:c>
      <x:c r="P64" s="16" t="n">
        <x:v>99999</x:v>
      </x:c>
      <x:c r="Q64" s="16" t="n">
        <x:v>0</x:v>
      </x:c>
      <x:c r="R64" s="16" t="n">
        <x:v>5</x:v>
      </x:c>
      <x:c r="S64" s="16" t="n">
        <x:v>2</x:v>
      </x:c>
      <x:c r="T64" s="16" t="str">
        <x:v>非绑定/可交易/NPC售价0</x:v>
      </x:c>
      <x:c r="U64" s="16" t="str">
        <x:v>巨人王庭/XX897/EL-MON-C08-G04-G01</x:v>
      </x:c>
      <x:c r="V64" s="16" t="str">
        <x:v>已核对待部署</x:v>
      </x:c>
      <x:c r="W64" s="16" t="str">
        <x:f>IF(COUNTIF($D$5:$D$72,D64)&gt;1,"重复","正常")</x:f>
        <x:v>正常</x:v>
      </x:c>
      <x:c r="X64" s="16" t="str">
        <x:f>IF(OR(D64="",F64="",H64="",I64="",J64="",L64="",M64=""),"缺失","正常")</x:f>
        <x:v>正常</x:v>
      </x:c>
      <x:c r="Y64" s="16" t="str">
        <x:v>Idx取自现服最大Idx之后的未占用区间；模板复用现服Idx 796</x:v>
      </x:c>
    </x:row>
    <x:row r="65">
      <x:c r="A65" s="16" t="str">
        <x:v>EL-MAT-C09-Q01</x:v>
      </x:c>
      <x:c r="B65" s="16" t="str">
        <x:v>C09</x:v>
      </x:c>
      <x:c r="C65" s="16" t="str">
        <x:v>金叶驿票</x:v>
      </x:c>
      <x:c r="D65" s="16" t="n">
        <x:v>964</x:v>
      </x:c>
      <x:c r="E65" s="16" t="str">
        <x:v>规划新建</x:v>
      </x:c>
      <x:c r="F65" s="16" t="n">
        <x:v>794</x:v>
      </x:c>
      <x:c r="G65" s="16" t="str">
        <x:v>野兽骨片</x:v>
      </x:c>
      <x:c r="H65" s="16" t="n">
        <x:v>46</x:v>
      </x:c>
      <x:c r="I65" s="16" t="n">
        <x:v>1</x:v>
      </x:c>
      <x:c r="J65" s="16" t="n">
        <x:v>6192</x:v>
      </x:c>
      <x:c r="K65" s="16" t="str">
        <x:v>证物·蓝</x:v>
      </x:c>
      <x:c r="L65" s="16" t="str">
        <x:v>Color</x:v>
      </x:c>
      <x:c r="M65" s="16" t="n">
        <x:v>154</x:v>
      </x:c>
      <x:c r="N65" s="16" t="str">
        <x:v>亮蓝 154 (#39B5EF)</x:v>
      </x:c>
      <x:c r="O65" s="16" t="n">
        <x:v>0</x:v>
      </x:c>
      <x:c r="P65" s="16" t="n">
        <x:v>99999</x:v>
      </x:c>
      <x:c r="Q65" s="16" t="n">
        <x:v>0</x:v>
      </x:c>
      <x:c r="R65" s="16" t="n">
        <x:v>5</x:v>
      </x:c>
      <x:c r="S65" s="16" t="n">
        <x:v>2</x:v>
      </x:c>
      <x:c r="T65" s="16" t="str">
        <x:v>非绑定/可交易/NPC售价0</x:v>
      </x:c>
      <x:c r="U65" s="16" t="str">
        <x:v>金叶古道（组名待Codex正式落账）/XX717/EL-MON-C09-G01-N04</x:v>
      </x:c>
      <x:c r="V65" s="16" t="str">
        <x:v>已核对待部署</x:v>
      </x:c>
      <x:c r="W65" s="16" t="str">
        <x:f>IF(COUNTIF($D$5:$D$72,D65)&gt;1,"重复","正常")</x:f>
        <x:v>正常</x:v>
      </x:c>
      <x:c r="X65" s="16" t="str">
        <x:f>IF(OR(D65="",F65="",H65="",I65="",J65="",L65="",M65=""),"缺失","正常")</x:f>
        <x:v>正常</x:v>
      </x:c>
      <x:c r="Y65" s="16" t="str">
        <x:v>Idx取自现服最大Idx之后的未占用区间；模板复用现服Idx 794</x:v>
      </x:c>
    </x:row>
    <x:row r="66">
      <x:c r="A66" s="16" t="str">
        <x:v>EL-MAT-C09-Q02</x:v>
      </x:c>
      <x:c r="B66" s="16" t="str">
        <x:v>C09</x:v>
      </x:c>
      <x:c r="C66" s="16" t="str">
        <x:v>矿脉灯芯</x:v>
      </x:c>
      <x:c r="D66" s="16" t="n">
        <x:v>965</x:v>
      </x:c>
      <x:c r="E66" s="16" t="str">
        <x:v>规划新建</x:v>
      </x:c>
      <x:c r="F66" s="16" t="n">
        <x:v>800</x:v>
      </x:c>
      <x:c r="G66" s="16" t="str">
        <x:v>神力源石</x:v>
      </x:c>
      <x:c r="H66" s="16" t="n">
        <x:v>46</x:v>
      </x:c>
      <x:c r="I66" s="16" t="n">
        <x:v>1</x:v>
      </x:c>
      <x:c r="J66" s="16" t="n">
        <x:v>6198</x:v>
      </x:c>
      <x:c r="K66" s="16" t="str">
        <x:v>证物·紫</x:v>
      </x:c>
      <x:c r="L66" s="16" t="str">
        <x:v>Color</x:v>
      </x:c>
      <x:c r="M66" s="16" t="n">
        <x:v>242</x:v>
      </x:c>
      <x:c r="N66" s="16" t="str">
        <x:v>浅紫 242 (#DDAAFF)</x:v>
      </x:c>
      <x:c r="O66" s="16" t="n">
        <x:v>0</x:v>
      </x:c>
      <x:c r="P66" s="16" t="n">
        <x:v>99999</x:v>
      </x:c>
      <x:c r="Q66" s="16" t="n">
        <x:v>0</x:v>
      </x:c>
      <x:c r="R66" s="16" t="n">
        <x:v>5</x:v>
      </x:c>
      <x:c r="S66" s="16" t="n">
        <x:v>2</x:v>
      </x:c>
      <x:c r="T66" s="16" t="str">
        <x:v>非绑定/可交易/NPC售价0</x:v>
      </x:c>
      <x:c r="U66" s="16" t="str">
        <x:v>高原矿脉/XX824/EL-MON-C09-G02-R02</x:v>
      </x:c>
      <x:c r="V66" s="16" t="str">
        <x:v>已核对待部署</x:v>
      </x:c>
      <x:c r="W66" s="16" t="str">
        <x:f>IF(COUNTIF($D$5:$D$72,D66)&gt;1,"重复","正常")</x:f>
        <x:v>正常</x:v>
      </x:c>
      <x:c r="X66" s="16" t="str">
        <x:f>IF(OR(D66="",F66="",H66="",I66="",J66="",L66="",M66=""),"缺失","正常")</x:f>
        <x:v>正常</x:v>
      </x:c>
      <x:c r="Y66" s="16" t="str">
        <x:v>Idx取自现服最大Idx之后的未占用区间；模板复用现服Idx 800</x:v>
      </x:c>
    </x:row>
    <x:row r="67">
      <x:c r="A67" s="16" t="str">
        <x:v>EL-MAT-C09-Q03</x:v>
      </x:c>
      <x:c r="B67" s="16" t="str">
        <x:v>C09</x:v>
      </x:c>
      <x:c r="C67" s="16" t="str">
        <x:v>裁文蜡封</x:v>
      </x:c>
      <x:c r="D67" s="16" t="n">
        <x:v>966</x:v>
      </x:c>
      <x:c r="E67" s="16" t="str">
        <x:v>规划新建</x:v>
      </x:c>
      <x:c r="F67" s="16" t="n">
        <x:v>795</x:v>
      </x:c>
      <x:c r="G67" s="16" t="str">
        <x:v>龙鳞碎片</x:v>
      </x:c>
      <x:c r="H67" s="16" t="n">
        <x:v>46</x:v>
      </x:c>
      <x:c r="I67" s="16" t="n">
        <x:v>1</x:v>
      </x:c>
      <x:c r="J67" s="16" t="n">
        <x:v>6193</x:v>
      </x:c>
      <x:c r="K67" s="16" t="str">
        <x:v>证物·橙</x:v>
      </x:c>
      <x:c r="L67" s="16" t="str">
        <x:v>Color</x:v>
      </x:c>
      <x:c r="M67" s="16" t="n">
        <x:v>70</x:v>
      </x:c>
      <x:c r="N67" s="16" t="str">
        <x:v>橙色 70 (#FF7700)</x:v>
      </x:c>
      <x:c r="O67" s="16" t="n">
        <x:v>0</x:v>
      </x:c>
      <x:c r="P67" s="16" t="n">
        <x:v>99999</x:v>
      </x:c>
      <x:c r="Q67" s="16" t="n">
        <x:v>0</x:v>
      </x:c>
      <x:c r="R67" s="16" t="n">
        <x:v>5</x:v>
      </x:c>
      <x:c r="S67" s="16" t="n">
        <x:v>2</x:v>
      </x:c>
      <x:c r="T67" s="16" t="str">
        <x:v>非绑定/可交易/NPC售价0</x:v>
      </x:c>
      <x:c r="U67" s="16" t="str">
        <x:v>古律圣堂（工作名）/XX795/EL-MON-C09-G04-B01</x:v>
      </x:c>
      <x:c r="V67" s="16" t="str">
        <x:v>已核对待部署</x:v>
      </x:c>
      <x:c r="W67" s="16" t="str">
        <x:f>IF(COUNTIF($D$5:$D$72,D67)&gt;1,"重复","正常")</x:f>
        <x:v>正常</x:v>
      </x:c>
      <x:c r="X67" s="16" t="str">
        <x:f>IF(OR(D67="",F67="",H67="",I67="",J67="",L67="",M67=""),"缺失","正常")</x:f>
        <x:v>正常</x:v>
      </x:c>
      <x:c r="Y67" s="16" t="str">
        <x:v>Idx取自现服最大Idx之后的未占用区间；模板复用现服Idx 795</x:v>
      </x:c>
    </x:row>
    <x:row r="68">
      <x:c r="A68" s="16" t="str">
        <x:v>EL-MAT-C09-Q04</x:v>
      </x:c>
      <x:c r="B68" s="16" t="str">
        <x:v>C09</x:v>
      </x:c>
      <x:c r="C68" s="16" t="str">
        <x:v>高原王诏金版</x:v>
      </x:c>
      <x:c r="D68" s="16" t="n">
        <x:v>967</x:v>
      </x:c>
      <x:c r="E68" s="16" t="str">
        <x:v>规划新建</x:v>
      </x:c>
      <x:c r="F68" s="16" t="n">
        <x:v>796</x:v>
      </x:c>
      <x:c r="G68" s="16" t="str">
        <x:v>半神遗骨</x:v>
      </x:c>
      <x:c r="H68" s="16" t="n">
        <x:v>46</x:v>
      </x:c>
      <x:c r="I68" s="16" t="n">
        <x:v>1</x:v>
      </x:c>
      <x:c r="J68" s="16" t="n">
        <x:v>6194</x:v>
      </x:c>
      <x:c r="K68" s="16" t="str">
        <x:v>证物·金红</x:v>
      </x:c>
      <x:c r="L68" s="16" t="str">
        <x:v>Color</x:v>
      </x:c>
      <x:c r="M68" s="16" t="n">
        <x:v>249</x:v>
      </x:c>
      <x:c r="N68" s="16" t="str">
        <x:v>红色 249 (#FF0000)</x:v>
      </x:c>
      <x:c r="O68" s="16" t="n">
        <x:v>0</x:v>
      </x:c>
      <x:c r="P68" s="16" t="n">
        <x:v>99999</x:v>
      </x:c>
      <x:c r="Q68" s="16" t="n">
        <x:v>0</x:v>
      </x:c>
      <x:c r="R68" s="16" t="n">
        <x:v>5</x:v>
      </x:c>
      <x:c r="S68" s="16" t="n">
        <x:v>2</x:v>
      </x:c>
      <x:c r="T68" s="16" t="str">
        <x:v>非绑定/可交易/NPC售价0</x:v>
      </x:c>
      <x:c r="U68" s="16" t="str">
        <x:v>黄金树祭域（工作名）/XX639/EL-MON-C09-G05-G01</x:v>
      </x:c>
      <x:c r="V68" s="16" t="str">
        <x:v>已核对待部署</x:v>
      </x:c>
      <x:c r="W68" s="16" t="str">
        <x:f>IF(COUNTIF($D$5:$D$72,D68)&gt;1,"重复","正常")</x:f>
        <x:v>正常</x:v>
      </x:c>
      <x:c r="X68" s="16" t="str">
        <x:f>IF(OR(D68="",F68="",H68="",I68="",J68="",L68="",M68=""),"缺失","正常")</x:f>
        <x:v>正常</x:v>
      </x:c>
      <x:c r="Y68" s="16" t="str">
        <x:v>Idx取自现服最大Idx之后的未占用区间；模板复用现服Idx 796</x:v>
      </x:c>
    </x:row>
    <x:row r="69">
      <x:c r="A69" s="16" t="str">
        <x:v>EL-MAT-C10-Q01</x:v>
      </x:c>
      <x:c r="B69" s="16" t="str">
        <x:v>C10</x:v>
      </x:c>
      <x:c r="C69" s="16" t="str">
        <x:v>无名墓钉</x:v>
      </x:c>
      <x:c r="D69" s="16" t="n">
        <x:v>968</x:v>
      </x:c>
      <x:c r="E69" s="16" t="str">
        <x:v>规划新建</x:v>
      </x:c>
      <x:c r="F69" s="16" t="n">
        <x:v>794</x:v>
      </x:c>
      <x:c r="G69" s="16" t="str">
        <x:v>野兽骨片</x:v>
      </x:c>
      <x:c r="H69" s="16" t="n">
        <x:v>46</x:v>
      </x:c>
      <x:c r="I69" s="16" t="n">
        <x:v>1</x:v>
      </x:c>
      <x:c r="J69" s="16" t="n">
        <x:v>6192</x:v>
      </x:c>
      <x:c r="K69" s="16" t="str">
        <x:v>证物·蓝</x:v>
      </x:c>
      <x:c r="L69" s="16" t="str">
        <x:v>Color</x:v>
      </x:c>
      <x:c r="M69" s="16" t="n">
        <x:v>154</x:v>
      </x:c>
      <x:c r="N69" s="16" t="str">
        <x:v>亮蓝 154 (#39B5EF)</x:v>
      </x:c>
      <x:c r="O69" s="16" t="n">
        <x:v>0</x:v>
      </x:c>
      <x:c r="P69" s="16" t="n">
        <x:v>99999</x:v>
      </x:c>
      <x:c r="Q69" s="16" t="n">
        <x:v>0</x:v>
      </x:c>
      <x:c r="R69" s="16" t="n">
        <x:v>5</x:v>
      </x:c>
      <x:c r="S69" s="16" t="n">
        <x:v>2</x:v>
      </x:c>
      <x:c r="T69" s="16" t="str">
        <x:v>非绑定/可交易/NPC售价0</x:v>
      </x:c>
      <x:c r="U69" s="16" t="str">
        <x:v>王城下城区（组名待Codex正式落账）/XX930/EL-MON-C10-G01-N04</x:v>
      </x:c>
      <x:c r="V69" s="16" t="str">
        <x:v>已核对待部署</x:v>
      </x:c>
      <x:c r="W69" s="16" t="str">
        <x:f>IF(COUNTIF($D$5:$D$72,D69)&gt;1,"重复","正常")</x:f>
        <x:v>正常</x:v>
      </x:c>
      <x:c r="X69" s="16" t="str">
        <x:f>IF(OR(D69="",F69="",H69="",I69="",J69="",L69="",M69=""),"缺失","正常")</x:f>
        <x:v>正常</x:v>
      </x:c>
      <x:c r="Y69" s="16" t="str">
        <x:v>Idx取自现服最大Idx之后的未占用区间；模板复用现服Idx 794</x:v>
      </x:c>
    </x:row>
    <x:row r="70">
      <x:c r="A70" s="16" t="str">
        <x:v>EL-MAT-C10-Q02</x:v>
      </x:c>
      <x:c r="B70" s="16" t="str">
        <x:v>C10</x:v>
      </x:c>
      <x:c r="C70" s="16" t="str">
        <x:v>旧渠阀芯</x:v>
      </x:c>
      <x:c r="D70" s="16" t="n">
        <x:v>969</x:v>
      </x:c>
      <x:c r="E70" s="16" t="str">
        <x:v>规划新建</x:v>
      </x:c>
      <x:c r="F70" s="16" t="n">
        <x:v>800</x:v>
      </x:c>
      <x:c r="G70" s="16" t="str">
        <x:v>神力源石</x:v>
      </x:c>
      <x:c r="H70" s="16" t="n">
        <x:v>46</x:v>
      </x:c>
      <x:c r="I70" s="16" t="n">
        <x:v>1</x:v>
      </x:c>
      <x:c r="J70" s="16" t="n">
        <x:v>6198</x:v>
      </x:c>
      <x:c r="K70" s="16" t="str">
        <x:v>证物·紫</x:v>
      </x:c>
      <x:c r="L70" s="16" t="str">
        <x:v>Color</x:v>
      </x:c>
      <x:c r="M70" s="16" t="n">
        <x:v>242</x:v>
      </x:c>
      <x:c r="N70" s="16" t="str">
        <x:v>浅紫 242 (#DDAAFF)</x:v>
      </x:c>
      <x:c r="O70" s="16" t="n">
        <x:v>0</x:v>
      </x:c>
      <x:c r="P70" s="16" t="n">
        <x:v>99999</x:v>
      </x:c>
      <x:c r="Q70" s="16" t="n">
        <x:v>0</x:v>
      </x:c>
      <x:c r="R70" s="16" t="n">
        <x:v>5</x:v>
      </x:c>
      <x:c r="S70" s="16" t="n">
        <x:v>2</x:v>
      </x:c>
      <x:c r="T70" s="16" t="str">
        <x:v>非绑定/可交易/NPC售价0</x:v>
      </x:c>
      <x:c r="U70" s="16" t="str">
        <x:v>王城排水墓道（工作名）/XX624/EL-MON-C10-G02-R02</x:v>
      </x:c>
      <x:c r="V70" s="16" t="str">
        <x:v>已核对待部署</x:v>
      </x:c>
      <x:c r="W70" s="16" t="str">
        <x:f>IF(COUNTIF($D$5:$D$72,D70)&gt;1,"重复","正常")</x:f>
        <x:v>正常</x:v>
      </x:c>
      <x:c r="X70" s="16" t="str">
        <x:f>IF(OR(D70="",F70="",H70="",I70="",J70="",L70="",M70=""),"缺失","正常")</x:f>
        <x:v>正常</x:v>
      </x:c>
      <x:c r="Y70" s="16" t="str">
        <x:v>Idx取自现服最大Idx之后的未占用区间；模板复用现服Idx 800</x:v>
      </x:c>
    </x:row>
    <x:row r="71">
      <x:c r="A71" s="16" t="str">
        <x:v>EL-MAT-C10-Q03</x:v>
      </x:c>
      <x:c r="B71" s="16" t="str">
        <x:v>C10</x:v>
      </x:c>
      <x:c r="C71" s="16" t="str">
        <x:v>失温熔炉楔</x:v>
      </x:c>
      <x:c r="D71" s="16" t="n">
        <x:v>970</x:v>
      </x:c>
      <x:c r="E71" s="16" t="str">
        <x:v>规划新建</x:v>
      </x:c>
      <x:c r="F71" s="16" t="n">
        <x:v>795</x:v>
      </x:c>
      <x:c r="G71" s="16" t="str">
        <x:v>龙鳞碎片</x:v>
      </x:c>
      <x:c r="H71" s="16" t="n">
        <x:v>46</x:v>
      </x:c>
      <x:c r="I71" s="16" t="n">
        <x:v>1</x:v>
      </x:c>
      <x:c r="J71" s="16" t="n">
        <x:v>6193</x:v>
      </x:c>
      <x:c r="K71" s="16" t="str">
        <x:v>证物·橙</x:v>
      </x:c>
      <x:c r="L71" s="16" t="str">
        <x:v>Color</x:v>
      </x:c>
      <x:c r="M71" s="16" t="n">
        <x:v>70</x:v>
      </x:c>
      <x:c r="N71" s="16" t="str">
        <x:v>橙色 70 (#FF7700)</x:v>
      </x:c>
      <x:c r="O71" s="16" t="n">
        <x:v>0</x:v>
      </x:c>
      <x:c r="P71" s="16" t="n">
        <x:v>99999</x:v>
      </x:c>
      <x:c r="Q71" s="16" t="n">
        <x:v>0</x:v>
      </x:c>
      <x:c r="R71" s="16" t="n">
        <x:v>5</x:v>
      </x:c>
      <x:c r="S71" s="16" t="n">
        <x:v>2</x:v>
      </x:c>
      <x:c r="T71" s="16" t="str">
        <x:v>非绑定/可交易/NPC售价0</x:v>
      </x:c>
      <x:c r="U71" s="16" t="str">
        <x:v>地底工坊（组名待Codex正式落账）/XX956/EL-MON-C10-G03-B01</x:v>
      </x:c>
      <x:c r="V71" s="16" t="str">
        <x:v>已核对待部署</x:v>
      </x:c>
      <x:c r="W71" s="16" t="str">
        <x:f>IF(COUNTIF($D$5:$D$72,D71)&gt;1,"重复","正常")</x:f>
        <x:v>正常</x:v>
      </x:c>
      <x:c r="X71" s="16" t="str">
        <x:f>IF(OR(D71="",F71="",H71="",I71="",J71="",L71="",M71=""),"缺失","正常")</x:f>
        <x:v>正常</x:v>
      </x:c>
      <x:c r="Y71" s="16" t="str">
        <x:v>Idx取自现服最大Idx之后的未占用区间；模板复用现服Idx 795</x:v>
      </x:c>
    </x:row>
    <x:row r="72">
      <x:c r="A72" s="16" t="str">
        <x:v>EL-MAT-C10-Q04</x:v>
      </x:c>
      <x:c r="B72" s="16" t="str">
        <x:v>C10</x:v>
      </x:c>
      <x:c r="C72" s="16" t="str">
        <x:v>王宫断冠片</x:v>
      </x:c>
      <x:c r="D72" s="16" t="n">
        <x:v>971</x:v>
      </x:c>
      <x:c r="E72" s="16" t="str">
        <x:v>规划新建</x:v>
      </x:c>
      <x:c r="F72" s="16" t="n">
        <x:v>796</x:v>
      </x:c>
      <x:c r="G72" s="16" t="str">
        <x:v>半神遗骨</x:v>
      </x:c>
      <x:c r="H72" s="16" t="n">
        <x:v>46</x:v>
      </x:c>
      <x:c r="I72" s="16" t="n">
        <x:v>1</x:v>
      </x:c>
      <x:c r="J72" s="16" t="n">
        <x:v>6194</x:v>
      </x:c>
      <x:c r="K72" s="16" t="str">
        <x:v>证物·金红</x:v>
      </x:c>
      <x:c r="L72" s="16" t="str">
        <x:v>Color</x:v>
      </x:c>
      <x:c r="M72" s="16" t="n">
        <x:v>249</x:v>
      </x:c>
      <x:c r="N72" s="16" t="str">
        <x:v>红色 249 (#FF0000)</x:v>
      </x:c>
      <x:c r="O72" s="16" t="n">
        <x:v>0</x:v>
      </x:c>
      <x:c r="P72" s="16" t="n">
        <x:v>99999</x:v>
      </x:c>
      <x:c r="Q72" s="16" t="n">
        <x:v>0</x:v>
      </x:c>
      <x:c r="R72" s="16" t="n">
        <x:v>5</x:v>
      </x:c>
      <x:c r="S72" s="16" t="n">
        <x:v>2</x:v>
      </x:c>
      <x:c r="T72" s="16" t="str">
        <x:v>非绑定/可交易/NPC售价0</x:v>
      </x:c>
      <x:c r="U72" s="16" t="str">
        <x:v>王宫深殿（工作名）/XX386/EL-MON-C10-G05-G01</x:v>
      </x:c>
      <x:c r="V72" s="16" t="str">
        <x:v>已核对待部署</x:v>
      </x:c>
      <x:c r="W72" s="16" t="str">
        <x:f>IF(COUNTIF($D$5:$D$72,D72)&gt;1,"重复","正常")</x:f>
        <x:v>正常</x:v>
      </x:c>
      <x:c r="X72" s="16" t="str">
        <x:f>IF(OR(D72="",F72="",H72="",I72="",J72="",L72="",M72=""),"缺失","正常")</x:f>
        <x:v>正常</x:v>
      </x:c>
      <x:c r="Y72" s="16" t="str">
        <x:v>Idx取自现服最大Idx之后的未占用区间；模板复用现服Idx 796</x:v>
      </x:c>
    </x:row>
  </x:sheetData>
  <x:mergeCells>
    <x:mergeCell ref="A1:Y1"/>
    <x:mergeCell ref="A2:Y2"/>
  </x:mergeCells>
  <x:conditionalFormatting sqref="E5:E72">
    <x:cfRule type="containsText" dxfId="0" priority="1" operator="containsText" text="复用"/>
  </x:conditionalFormatting>
  <x:conditionalFormatting sqref="V5:V72">
    <x:cfRule type="containsText" dxfId="1" priority="2" operator="containsText" text="不一致"/>
  </x:conditionalFormatting>
  <x:conditionalFormatting sqref="W5:X72">
    <x:cfRule type="containsText" dxfId="2" priority="3" operator="containsText" text="重复"/>
  </x:conditionalFormatting>
  <x:pageMargins left="0.7" right="0.7" top="0.75" bottom="0.75" header="0.3" footer="0.3"/>
  <x:tableParts count="1">
    <x:tablePart xmlns:r="http://schemas.openxmlformats.org/officeDocument/2006/relationships" r:id="Rb702791c5b4249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24" hidden="0" customWidth="1"/>
    <x:col min="4" max="4" width="12" hidden="0" customWidth="1"/>
    <x:col min="5" max="5" width="14" hidden="0" customWidth="1"/>
    <x:col min="6" max="6" width="40" hidden="0" customWidth="1"/>
  </x:cols>
  <x:sheetData>
    <x:row r="1">
      <x:c r="A1" s="3" t="str">
        <x:v>12个未命名材料预留位</x:v>
      </x:c>
      <x:c r="B1" s="3"/>
      <x:c r="C1" s="3"/>
      <x:c r="D1" s="3"/>
      <x:c r="E1" s="3"/>
      <x:c r="F1" s="3"/>
    </x:row>
    <x:row r="2">
      <x:c r="A2" s="7" t="str">
        <x:v>只登记可用范围，不创建临时名称，不写入数据库。</x:v>
      </x:c>
      <x:c r="B2" s="7"/>
      <x:c r="C2" s="7"/>
      <x:c r="D2" s="7"/>
      <x:c r="E2" s="7"/>
      <x:c r="F2" s="7"/>
    </x:row>
    <x:row r="4">
      <x:c r="A4" s="13" t="str">
        <x:v>逻辑预留ID</x:v>
      </x:c>
      <x:c r="B4" s="13" t="str">
        <x:v>规划Idx</x:v>
      </x:c>
      <x:c r="C4" s="13" t="str">
        <x:v>状态</x:v>
      </x:c>
      <x:c r="D4" s="13" t="str">
        <x:v>现库占用</x:v>
      </x:c>
      <x:c r="E4" s="13" t="str">
        <x:v>是否创建物品</x:v>
      </x:c>
      <x:c r="F4" s="13" t="str">
        <x:v>备注</x:v>
      </x:c>
    </x:row>
    <x:row r="5">
      <x:c r="A5" s="16" t="str">
        <x:v>EL-MAT-RES-01</x:v>
      </x:c>
      <x:c r="B5" s="16" t="n">
        <x:v>972</x:v>
      </x:c>
      <x:c r="C5" s="16" t="str">
        <x:v>仅登记预留/未创建物品</x:v>
      </x:c>
      <x:c r="D5" s="16" t="str">
        <x:v>否</x:v>
      </x:c>
      <x:c r="E5" s="16" t="str">
        <x:v>否</x:v>
      </x:c>
      <x:c r="F5" s="16" t="str">
        <x:v>留待未来命名材料；正式启用前重新预检</x:v>
      </x:c>
    </x:row>
    <x:row r="6">
      <x:c r="A6" s="16" t="str">
        <x:v>EL-MAT-RES-02</x:v>
      </x:c>
      <x:c r="B6" s="16" t="n">
        <x:v>973</x:v>
      </x:c>
      <x:c r="C6" s="16" t="str">
        <x:v>仅登记预留/未创建物品</x:v>
      </x:c>
      <x:c r="D6" s="16" t="str">
        <x:v>否</x:v>
      </x:c>
      <x:c r="E6" s="16" t="str">
        <x:v>否</x:v>
      </x:c>
      <x:c r="F6" s="16" t="str">
        <x:v>留待未来命名材料；正式启用前重新预检</x:v>
      </x:c>
    </x:row>
    <x:row r="7">
      <x:c r="A7" s="16" t="str">
        <x:v>EL-MAT-RES-03</x:v>
      </x:c>
      <x:c r="B7" s="16" t="n">
        <x:v>974</x:v>
      </x:c>
      <x:c r="C7" s="16" t="str">
        <x:v>仅登记预留/未创建物品</x:v>
      </x:c>
      <x:c r="D7" s="16" t="str">
        <x:v>否</x:v>
      </x:c>
      <x:c r="E7" s="16" t="str">
        <x:v>否</x:v>
      </x:c>
      <x:c r="F7" s="16" t="str">
        <x:v>留待未来命名材料；正式启用前重新预检</x:v>
      </x:c>
    </x:row>
    <x:row r="8">
      <x:c r="A8" s="16" t="str">
        <x:v>EL-MAT-RES-04</x:v>
      </x:c>
      <x:c r="B8" s="16" t="n">
        <x:v>975</x:v>
      </x:c>
      <x:c r="C8" s="16" t="str">
        <x:v>仅登记预留/未创建物品</x:v>
      </x:c>
      <x:c r="D8" s="16" t="str">
        <x:v>否</x:v>
      </x:c>
      <x:c r="E8" s="16" t="str">
        <x:v>否</x:v>
      </x:c>
      <x:c r="F8" s="16" t="str">
        <x:v>留待未来命名材料；正式启用前重新预检</x:v>
      </x:c>
    </x:row>
    <x:row r="9">
      <x:c r="A9" s="16" t="str">
        <x:v>EL-MAT-RES-05</x:v>
      </x:c>
      <x:c r="B9" s="16" t="n">
        <x:v>976</x:v>
      </x:c>
      <x:c r="C9" s="16" t="str">
        <x:v>仅登记预留/未创建物品</x:v>
      </x:c>
      <x:c r="D9" s="16" t="str">
        <x:v>否</x:v>
      </x:c>
      <x:c r="E9" s="16" t="str">
        <x:v>否</x:v>
      </x:c>
      <x:c r="F9" s="16" t="str">
        <x:v>留待未来命名材料；正式启用前重新预检</x:v>
      </x:c>
    </x:row>
    <x:row r="10">
      <x:c r="A10" s="16" t="str">
        <x:v>EL-MAT-RES-06</x:v>
      </x:c>
      <x:c r="B10" s="16" t="n">
        <x:v>977</x:v>
      </x:c>
      <x:c r="C10" s="16" t="str">
        <x:v>仅登记预留/未创建物品</x:v>
      </x:c>
      <x:c r="D10" s="16" t="str">
        <x:v>否</x:v>
      </x:c>
      <x:c r="E10" s="16" t="str">
        <x:v>否</x:v>
      </x:c>
      <x:c r="F10" s="16" t="str">
        <x:v>留待未来命名材料；正式启用前重新预检</x:v>
      </x:c>
    </x:row>
    <x:row r="11">
      <x:c r="A11" s="16" t="str">
        <x:v>EL-MAT-RES-07</x:v>
      </x:c>
      <x:c r="B11" s="16" t="n">
        <x:v>978</x:v>
      </x:c>
      <x:c r="C11" s="16" t="str">
        <x:v>仅登记预留/未创建物品</x:v>
      </x:c>
      <x:c r="D11" s="16" t="str">
        <x:v>否</x:v>
      </x:c>
      <x:c r="E11" s="16" t="str">
        <x:v>否</x:v>
      </x:c>
      <x:c r="F11" s="16" t="str">
        <x:v>留待未来命名材料；正式启用前重新预检</x:v>
      </x:c>
    </x:row>
    <x:row r="12">
      <x:c r="A12" s="16" t="str">
        <x:v>EL-MAT-RES-08</x:v>
      </x:c>
      <x:c r="B12" s="16" t="n">
        <x:v>979</x:v>
      </x:c>
      <x:c r="C12" s="16" t="str">
        <x:v>仅登记预留/未创建物品</x:v>
      </x:c>
      <x:c r="D12" s="16" t="str">
        <x:v>否</x:v>
      </x:c>
      <x:c r="E12" s="16" t="str">
        <x:v>否</x:v>
      </x:c>
      <x:c r="F12" s="16" t="str">
        <x:v>留待未来命名材料；正式启用前重新预检</x:v>
      </x:c>
    </x:row>
    <x:row r="13">
      <x:c r="A13" s="16" t="str">
        <x:v>EL-MAT-RES-09</x:v>
      </x:c>
      <x:c r="B13" s="16" t="n">
        <x:v>980</x:v>
      </x:c>
      <x:c r="C13" s="16" t="str">
        <x:v>仅登记预留/未创建物品</x:v>
      </x:c>
      <x:c r="D13" s="16" t="str">
        <x:v>否</x:v>
      </x:c>
      <x:c r="E13" s="16" t="str">
        <x:v>否</x:v>
      </x:c>
      <x:c r="F13" s="16" t="str">
        <x:v>留待未来命名材料；正式启用前重新预检</x:v>
      </x:c>
    </x:row>
    <x:row r="14">
      <x:c r="A14" s="16" t="str">
        <x:v>EL-MAT-RES-10</x:v>
      </x:c>
      <x:c r="B14" s="16" t="n">
        <x:v>981</x:v>
      </x:c>
      <x:c r="C14" s="16" t="str">
        <x:v>仅登记预留/未创建物品</x:v>
      </x:c>
      <x:c r="D14" s="16" t="str">
        <x:v>否</x:v>
      </x:c>
      <x:c r="E14" s="16" t="str">
        <x:v>否</x:v>
      </x:c>
      <x:c r="F14" s="16" t="str">
        <x:v>留待未来命名材料；正式启用前重新预检</x:v>
      </x:c>
    </x:row>
    <x:row r="15">
      <x:c r="A15" s="16" t="str">
        <x:v>EL-MAT-RES-11</x:v>
      </x:c>
      <x:c r="B15" s="16" t="n">
        <x:v>982</x:v>
      </x:c>
      <x:c r="C15" s="16" t="str">
        <x:v>仅登记预留/未创建物品</x:v>
      </x:c>
      <x:c r="D15" s="16" t="str">
        <x:v>否</x:v>
      </x:c>
      <x:c r="E15" s="16" t="str">
        <x:v>否</x:v>
      </x:c>
      <x:c r="F15" s="16" t="str">
        <x:v>留待未来命名材料；正式启用前重新预检</x:v>
      </x:c>
    </x:row>
    <x:row r="16">
      <x:c r="A16" s="16" t="str">
        <x:v>EL-MAT-RES-12</x:v>
      </x:c>
      <x:c r="B16" s="16" t="n">
        <x:v>983</x:v>
      </x:c>
      <x:c r="C16" s="16" t="str">
        <x:v>仅登记预留/未创建物品</x:v>
      </x:c>
      <x:c r="D16" s="16" t="str">
        <x:v>否</x:v>
      </x:c>
      <x:c r="E16" s="16" t="str">
        <x:v>否</x:v>
      </x:c>
      <x:c r="F16" s="16" t="str">
        <x:v>留待未来命名材料；正式启用前重新预检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2" hidden="0" customWidth="1"/>
    <x:col min="5" max="5" width="16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3" t="str">
        <x:v>真实模板与颜色依据</x:v>
      </x:c>
      <x:c r="B1" s="3"/>
      <x:c r="C1" s="3"/>
      <x:c r="D1" s="3"/>
      <x:c r="E1" s="3"/>
      <x:c r="F1" s="3"/>
      <x:c r="G1" s="3"/>
      <x:c r="H1" s="3"/>
    </x:row>
    <x:row r="2">
      <x:c r="A2" s="7" t="str">
        <x:v>模板来自当前ApexM2.DB的真实StdMode46材料；颜色来自翎风官方256色值表。现服同名材料不改色。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模板Idx</x:v>
      </x:c>
      <x:c r="B4" s="13" t="str">
        <x:v>模板名称</x:v>
      </x:c>
      <x:c r="C4" s="13" t="str">
        <x:v>StdMode</x:v>
      </x:c>
      <x:c r="D4" s="13" t="str">
        <x:v>Shape</x:v>
      </x:c>
      <x:c r="E4" s="13" t="str">
        <x:v>Looks</x:v>
      </x:c>
      <x:c r="F4" s="13" t="str">
        <x:v>Color现值</x:v>
      </x:c>
      <x:c r="G4" s="13" t="str">
        <x:v>用途</x:v>
      </x:c>
      <x:c r="H4" s="13" t="str">
        <x:v>证据状态</x:v>
      </x:c>
    </x:row>
    <x:row r="5">
      <x:c r="A5" s="16" t="n">
        <x:v>793</x:v>
      </x:c>
      <x:c r="B5" s="16" t="str">
        <x:v>失色锻造石</x:v>
      </x:c>
      <x:c r="C5" s="16" t="n">
        <x:v>46</x:v>
      </x:c>
      <x:c r="D5" s="16" t="n">
        <x:v>1</x:v>
      </x:c>
      <x:c r="E5" s="16" t="n">
        <x:v>6191</x:v>
      </x:c>
      <x:c r="F5" s="16" t="n">
        <x:v>251</x:v>
      </x:c>
      <x:c r="G5" s="16" t="str">
        <x:v>全局分解材料</x:v>
      </x:c>
      <x:c r="H5" s="16" t="str">
        <x:v>ApexM2.DB实值</x:v>
      </x:c>
    </x:row>
    <x:row r="6">
      <x:c r="A6" s="16" t="n">
        <x:v>794</x:v>
      </x:c>
      <x:c r="B6" s="16" t="str">
        <x:v>野兽骨片</x:v>
      </x:c>
      <x:c r="C6" s="16" t="n">
        <x:v>46</x:v>
      </x:c>
      <x:c r="D6" s="16" t="n">
        <x:v>1</x:v>
      </x:c>
      <x:c r="E6" s="16" t="n">
        <x:v>6192</x:v>
      </x:c>
      <x:c r="F6" s="16" t="n">
        <x:v>251</x:v>
      </x:c>
      <x:c r="G6" s="16" t="str">
        <x:v>既有成长材料、普通怪证物</x:v>
      </x:c>
      <x:c r="H6" s="16" t="str">
        <x:v>ApexM2.DB实值</x:v>
      </x:c>
    </x:row>
    <x:row r="7">
      <x:c r="A7" s="16" t="n">
        <x:v>795</x:v>
      </x:c>
      <x:c r="B7" s="16" t="str">
        <x:v>龙鳞碎片</x:v>
      </x:c>
      <x:c r="C7" s="16" t="n">
        <x:v>46</x:v>
      </x:c>
      <x:c r="D7" s="16" t="n">
        <x:v>1</x:v>
      </x:c>
      <x:c r="E7" s="16" t="n">
        <x:v>6193</x:v>
      </x:c>
      <x:c r="F7" s="16" t="n">
        <x:v>251</x:v>
      </x:c>
      <x:c r="G7" s="16" t="str">
        <x:v>地图BOSS证物</x:v>
      </x:c>
      <x:c r="H7" s="16" t="str">
        <x:v>ApexM2.DB实值</x:v>
      </x:c>
    </x:row>
    <x:row r="8">
      <x:c r="A8" s="16" t="n">
        <x:v>796</x:v>
      </x:c>
      <x:c r="B8" s="16" t="str">
        <x:v>半神遗骨</x:v>
      </x:c>
      <x:c r="C8" s="16" t="n">
        <x:v>46</x:v>
      </x:c>
      <x:c r="D8" s="16" t="n">
        <x:v>1</x:v>
      </x:c>
      <x:c r="E8" s="16" t="n">
        <x:v>6194</x:v>
      </x:c>
      <x:c r="F8" s="16" t="n">
        <x:v>251</x:v>
      </x:c>
      <x:c r="G8" s="16" t="str">
        <x:v>守关BOSS证物</x:v>
      </x:c>
      <x:c r="H8" s="16" t="str">
        <x:v>ApexM2.DB实值</x:v>
      </x:c>
    </x:row>
    <x:row r="9">
      <x:c r="A9" s="16" t="n">
        <x:v>797</x:v>
      </x:c>
      <x:c r="B9" s="16" t="str">
        <x:v>古王金属片</x:v>
      </x:c>
      <x:c r="C9" s="16" t="n">
        <x:v>46</x:v>
      </x:c>
      <x:c r="D9" s="16" t="n">
        <x:v>1</x:v>
      </x:c>
      <x:c r="E9" s="16" t="n">
        <x:v>6195</x:v>
      </x:c>
      <x:c r="F9" s="16" t="n">
        <x:v>251</x:v>
      </x:c>
      <x:c r="G9" s="16" t="str">
        <x:v>大陆通用材料</x:v>
      </x:c>
      <x:c r="H9" s="16" t="str">
        <x:v>ApexM2.DB实值</x:v>
      </x:c>
    </x:row>
    <x:row r="10">
      <x:c r="A10" s="16" t="n">
        <x:v>798</x:v>
      </x:c>
      <x:c r="B10" s="16" t="str">
        <x:v>黄金树祝福</x:v>
      </x:c>
      <x:c r="C10" s="16" t="n">
        <x:v>46</x:v>
      </x:c>
      <x:c r="D10" s="16" t="n">
        <x:v>1</x:v>
      </x:c>
      <x:c r="E10" s="16" t="n">
        <x:v>6196</x:v>
      </x:c>
      <x:c r="F10" s="16" t="n">
        <x:v>251</x:v>
      </x:c>
      <x:c r="G10" s="16" t="str">
        <x:v>备用真实模板</x:v>
      </x:c>
      <x:c r="H10" s="16" t="str">
        <x:v>ApexM2.DB实值</x:v>
      </x:c>
    </x:row>
    <x:row r="11">
      <x:c r="A11" s="16" t="n">
        <x:v>799</x:v>
      </x:c>
      <x:c r="B11" s="16" t="str">
        <x:v>暴烈晶核</x:v>
      </x:c>
      <x:c r="C11" s="16" t="n">
        <x:v>46</x:v>
      </x:c>
      <x:c r="D11" s="16" t="n">
        <x:v>1</x:v>
      </x:c>
      <x:c r="E11" s="16" t="n">
        <x:v>6197</x:v>
      </x:c>
      <x:c r="F11" s="16" t="n">
        <x:v>251</x:v>
      </x:c>
      <x:c r="G11" s="16" t="str">
        <x:v>大陆稀有材料</x:v>
      </x:c>
      <x:c r="H11" s="16" t="str">
        <x:v>ApexM2.DB实值</x:v>
      </x:c>
    </x:row>
    <x:row r="12">
      <x:c r="A12" s="16" t="n">
        <x:v>800</x:v>
      </x:c>
      <x:c r="B12" s="16" t="str">
        <x:v>神力源石</x:v>
      </x:c>
      <x:c r="C12" s="16" t="n">
        <x:v>46</x:v>
      </x:c>
      <x:c r="D12" s="16" t="n">
        <x:v>1</x:v>
      </x:c>
      <x:c r="E12" s="16" t="n">
        <x:v>6198</x:v>
      </x:c>
      <x:c r="F12" s="16" t="n">
        <x:v>251</x:v>
      </x:c>
      <x:c r="G12" s="16" t="str">
        <x:v>精英证物</x:v>
      </x:c>
      <x:c r="H12" s="16" t="str">
        <x:v>ApexM2.DB实值</x:v>
      </x:c>
    </x:row>
    <x:row r="13">
      <x:c r="A13" s="16" t="n">
        <x:v>801</x:v>
      </x:c>
      <x:c r="B13" s="16" t="str">
        <x:v>圣杯露滴</x:v>
      </x:c>
      <x:c r="C13" s="16" t="n">
        <x:v>46</x:v>
      </x:c>
      <x:c r="D13" s="16" t="n">
        <x:v>1</x:v>
      </x:c>
      <x:c r="E13" s="16" t="n">
        <x:v>6199</x:v>
      </x:c>
      <x:c r="F13" s="16" t="n">
        <x:v>251</x:v>
      </x:c>
      <x:c r="G13" s="16" t="str">
        <x:v>备用真实模板</x:v>
      </x:c>
      <x:c r="H13" s="16" t="str">
        <x:v>ApexM2.DB实值</x:v>
      </x:c>
    </x:row>
    <x:row r="14">
      <x:c r="A14" s="16" t="n">
        <x:v>802</x:v>
      </x:c>
      <x:c r="B14" s="16" t="str">
        <x:v>神秘符文</x:v>
      </x:c>
      <x:c r="C14" s="16" t="n">
        <x:v>46</x:v>
      </x:c>
      <x:c r="D14" s="16" t="n">
        <x:v>1</x:v>
      </x:c>
      <x:c r="E14" s="16" t="n">
        <x:v>6200</x:v>
      </x:c>
      <x:c r="F14" s="16" t="n">
        <x:v>251</x:v>
      </x:c>
      <x:c r="G14" s="16" t="str">
        <x:v>剧情进度材料、大陆剧情印记</x:v>
      </x:c>
      <x:c r="H14" s="16" t="str">
        <x:v>ApexM2.DB实值</x:v>
      </x:c>
    </x:row>
    <x:row r="17">
      <x:c r="A17" s="13" t="str">
        <x:v>颜色语义</x:v>
      </x:c>
      <x:c r="B17" s="13" t="str">
        <x:v>Color值</x:v>
      </x:c>
      <x:c r="C17" s="13" t="str">
        <x:v>RGB</x:v>
      </x:c>
      <x:c r="D17" s="13" t="str">
        <x:v>显示名</x:v>
      </x:c>
      <x:c r="E17" s="13" t="str">
        <x:v>依据</x:v>
      </x:c>
    </x:row>
    <x:row r="18">
      <x:c r="A18" s="16" t="str">
        <x:v>锻造·橙金</x:v>
      </x:c>
      <x:c r="B18" s="16" t="n">
        <x:v>243</x:v>
      </x:c>
      <x:c r="C18" s="16" t="str">
        <x:v>#F0B42A</x:v>
      </x:c>
      <x:c r="D18" s="16" t="str">
        <x:v>橙金</x:v>
      </x:c>
      <x:c r="E18" s="16" t="str">
        <x:v>翎风256色值.htm</x:v>
      </x:c>
    </x:row>
    <x:row r="19">
      <x:c r="A19" s="16" t="str">
        <x:v>成长·蓝</x:v>
      </x:c>
      <x:c r="B19" s="16" t="n">
        <x:v>154</x:v>
      </x:c>
      <x:c r="C19" s="16" t="str">
        <x:v>#39B5EF</x:v>
      </x:c>
      <x:c r="D19" s="16" t="str">
        <x:v>亮蓝</x:v>
      </x:c>
      <x:c r="E19" s="16" t="str">
        <x:v>翎风256色值.htm</x:v>
      </x:c>
    </x:row>
    <x:row r="20">
      <x:c r="A20" s="16" t="str">
        <x:v>成长·紫</x:v>
      </x:c>
      <x:c r="B20" s="16" t="n">
        <x:v>242</x:v>
      </x:c>
      <x:c r="C20" s="16" t="str">
        <x:v>#DDAAFF</x:v>
      </x:c>
      <x:c r="D20" s="16" t="str">
        <x:v>浅紫</x:v>
      </x:c>
      <x:c r="E20" s="16" t="str">
        <x:v>翎风256色值.htm</x:v>
      </x:c>
    </x:row>
    <x:row r="21">
      <x:c r="A21" s="16" t="str">
        <x:v>剧情·金</x:v>
      </x:c>
      <x:c r="B21" s="16" t="n">
        <x:v>151</x:v>
      </x:c>
      <x:c r="C21" s="16" t="str">
        <x:v>#F7E700</x:v>
      </x:c>
      <x:c r="D21" s="16" t="str">
        <x:v>金黄</x:v>
      </x:c>
      <x:c r="E21" s="16" t="str">
        <x:v>翎风256色值.htm</x:v>
      </x:c>
    </x:row>
    <x:row r="22">
      <x:c r="A22" s="16" t="str">
        <x:v>常规·白</x:v>
      </x:c>
      <x:c r="B22" s="16" t="n">
        <x:v>255</x:v>
      </x:c>
      <x:c r="C22" s="16" t="str">
        <x:v>#FFFFFF</x:v>
      </x:c>
      <x:c r="D22" s="16" t="str">
        <x:v>默认白</x:v>
      </x:c>
      <x:c r="E22" s="16" t="str">
        <x:v>翎风256色值.htm</x:v>
      </x:c>
    </x:row>
    <x:row r="23">
      <x:c r="A23" s="16" t="str">
        <x:v>稀有·蓝紫</x:v>
      </x:c>
      <x:c r="B23" s="16" t="n">
        <x:v>242</x:v>
      </x:c>
      <x:c r="C23" s="16" t="str">
        <x:v>#DDAAFF</x:v>
      </x:c>
      <x:c r="D23" s="16" t="str">
        <x:v>蓝紫</x:v>
      </x:c>
      <x:c r="E23" s="16" t="str">
        <x:v>翎风256色值.htm</x:v>
      </x:c>
    </x:row>
    <x:row r="24">
      <x:c r="A24" s="16" t="str">
        <x:v>证物·蓝</x:v>
      </x:c>
      <x:c r="B24" s="16" t="n">
        <x:v>154</x:v>
      </x:c>
      <x:c r="C24" s="16" t="str">
        <x:v>#39B5EF</x:v>
      </x:c>
      <x:c r="D24" s="16" t="str">
        <x:v>亮蓝</x:v>
      </x:c>
      <x:c r="E24" s="16" t="str">
        <x:v>翎风256色值.htm</x:v>
      </x:c>
    </x:row>
    <x:row r="25">
      <x:c r="A25" s="16" t="str">
        <x:v>证物·紫</x:v>
      </x:c>
      <x:c r="B25" s="16" t="n">
        <x:v>242</x:v>
      </x:c>
      <x:c r="C25" s="16" t="str">
        <x:v>#DDAAFF</x:v>
      </x:c>
      <x:c r="D25" s="16" t="str">
        <x:v>浅紫</x:v>
      </x:c>
      <x:c r="E25" s="16" t="str">
        <x:v>翎风256色值.htm</x:v>
      </x:c>
    </x:row>
    <x:row r="26">
      <x:c r="A26" s="16" t="str">
        <x:v>证物·橙</x:v>
      </x:c>
      <x:c r="B26" s="16" t="n">
        <x:v>70</x:v>
      </x:c>
      <x:c r="C26" s="16" t="str">
        <x:v>#FF7700</x:v>
      </x:c>
      <x:c r="D26" s="16" t="str">
        <x:v>橙色</x:v>
      </x:c>
      <x:c r="E26" s="16" t="str">
        <x:v>翎风256色值.htm</x:v>
      </x:c>
    </x:row>
    <x:row r="27">
      <x:c r="A27" s="16" t="str">
        <x:v>证物·金红</x:v>
      </x:c>
      <x:c r="B27" s="16" t="n">
        <x:v>249</x:v>
      </x:c>
      <x:c r="C27" s="16" t="str">
        <x:v>#FF0000</x:v>
      </x:c>
      <x:c r="D27" s="16" t="str">
        <x:v>红色</x:v>
      </x:c>
      <x:c r="E27" s="16" t="str">
        <x:v>翎风256色值.htm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34" hidden="0" customWidth="1"/>
    <x:col min="7" max="7" width="28" hidden="0" customWidth="1"/>
    <x:col min="8" max="8" width="32" hidden="0" customWidth="1"/>
  </x:cols>
  <x:sheetData>
    <x:row r="1">
      <x:c r="A1" s="3" t="str">
        <x:v>编号冲突与边界摘要</x:v>
      </x:c>
      <x:c r="B1" s="3"/>
      <x:c r="C1" s="3"/>
      <x:c r="D1" s="3"/>
      <x:c r="E1" s="3"/>
      <x:c r="F1" s="3"/>
      <x:c r="G1" s="3"/>
      <x:c r="H1" s="3"/>
    </x:row>
    <x:row r="2">
      <x:c r="A2" s="7" t="str">
        <x:v>所有结论均为只读核对；没有修改服务端、客户端、装备母表或GitHub。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检查项</x:v>
      </x:c>
      <x:c r="B4" s="13" t="str">
        <x:v>范围</x:v>
      </x:c>
      <x:c r="C4" s="13" t="str">
        <x:v>结果</x:v>
      </x:c>
      <x:c r="D4" s="13" t="str">
        <x:v>阈值</x:v>
      </x:c>
      <x:c r="E4" s="13" t="str">
        <x:v>状态</x:v>
      </x:c>
      <x:c r="F4" s="13" t="str">
        <x:v>具体对象</x:v>
      </x:c>
      <x:c r="G4" s="13" t="str">
        <x:v>处理</x:v>
      </x:c>
      <x:c r="H4" s="13" t="str">
        <x:v>备注</x:v>
      </x:c>
    </x:row>
    <x:row r="5">
      <x:c r="A5" s="16" t="str">
        <x:v>材料数量</x:v>
      </x:c>
      <x:c r="B5" s="16" t="str">
        <x:v>本轮68项</x:v>
      </x:c>
      <x:c r="C5" s="16" t="n">
        <x:v>68</x:v>
      </x:c>
      <x:c r="D5" s="16" t="n">
        <x:v>68</x:v>
      </x:c>
      <x:c r="E5" s="16" t="str">
        <x:v>正常</x:v>
      </x:c>
      <x:c r="F5" s="16" t="str">
        <x:v>全部命名材料</x:v>
      </x:c>
      <x:c r="G5" s="16" t="str">
        <x:v>必须为68</x:v>
      </x:c>
      <x:c r="H5" s="16" t="str"/>
    </x:row>
    <x:row r="6">
      <x:c r="A6" s="16" t="str">
        <x:v>材料实际Idx重复</x:v>
      </x:c>
      <x:c r="B6" s="16" t="str">
        <x:v>本轮映射</x:v>
      </x:c>
      <x:c r="C6" s="16" t="n">
        <x:v>0</x:v>
      </x:c>
      <x:c r="D6" s="16" t="n">
        <x:v>0</x:v>
      </x:c>
      <x:c r="E6" s="16" t="str">
        <x:v>正常</x:v>
      </x:c>
      <x:c r="F6" s="16" t="str">
        <x:v>无</x:v>
      </x:c>
      <x:c r="G6" s="16" t="str">
        <x:v>必须为0</x:v>
      </x:c>
      <x:c r="H6" s="16" t="str"/>
    </x:row>
    <x:row r="7">
      <x:c r="A7" s="16" t="str">
        <x:v>StdItems.Idx重复</x:v>
      </x:c>
      <x:c r="B7" s="16" t="str">
        <x:v>现服907行</x:v>
      </x:c>
      <x:c r="C7" s="16" t="n">
        <x:v>0</x:v>
      </x:c>
      <x:c r="D7" s="16" t="n">
        <x:v>0</x:v>
      </x:c>
      <x:c r="E7" s="16" t="str">
        <x:v>正常</x:v>
      </x:c>
      <x:c r="F7" s="16" t="str">
        <x:v>无</x:v>
      </x:c>
      <x:c r="G7" s="16" t="str">
        <x:v>必须为0</x:v>
      </x:c>
      <x:c r="H7" s="16" t="str">
        <x:v>占用0-906</x:v>
      </x:c>
    </x:row>
    <x:row r="8">
      <x:c r="A8" s="16" t="str">
        <x:v>MapInfo XX地图号重复</x:v>
      </x:c>
      <x:c r="B8" s="16" t="str">
        <x:v>当前服务端</x:v>
      </x:c>
      <x:c r="C8" s="16" t="n">
        <x:v>1</x:v>
      </x:c>
      <x:c r="D8" s="16" t="n">
        <x:v>0</x:v>
      </x:c>
      <x:c r="E8" s="16" t="str">
        <x:v>阻断</x:v>
      </x:c>
      <x:c r="F8" s="16" t="str">
        <x:v>XX376</x:v>
      </x:c>
      <x:c r="G8" s="16" t="str">
        <x:v>必须为0</x:v>
      </x:c>
      <x:c r="H8" s="16" t="str">
        <x:v>大小写不敏感</x:v>
      </x:c>
    </x:row>
    <x:row r="9">
      <x:c r="A9" s="16" t="str">
        <x:v>C01装备来源号重复</x:v>
      </x:c>
      <x:c r="B9" s="16" t="str">
        <x:v>已填来源号</x:v>
      </x:c>
      <x:c r="C9" s="16" t="n">
        <x:v>0</x:v>
      </x:c>
      <x:c r="D9" s="16" t="n">
        <x:v>0</x:v>
      </x:c>
      <x:c r="E9" s="16" t="str">
        <x:v>正常</x:v>
      </x:c>
      <x:c r="F9" s="16" t="str">
        <x:v>无</x:v>
      </x:c>
      <x:c r="G9" s="16" t="str">
        <x:v>必须为0</x:v>
      </x:c>
      <x:c r="H9" s="16" t="str">
        <x:v>空白12项</x:v>
      </x:c>
    </x:row>
    <x:row r="10">
      <x:c r="A10" s="16" t="str">
        <x:v>地图号×有效装备来源号</x:v>
      </x:c>
      <x:c r="B10" s="16" t="str">
        <x:v>跨命名空间</x:v>
      </x:c>
      <x:c r="C10" s="16" t="n">
        <x:v>0</x:v>
      </x:c>
      <x:c r="D10" s="16" t="n">
        <x:v>0</x:v>
      </x:c>
      <x:c r="E10" s="16" t="str">
        <x:v>正常</x:v>
      </x:c>
      <x:c r="F10" s="16" t="str">
        <x:v>无</x:v>
      </x:c>
      <x:c r="G10" s="16" t="str">
        <x:v>有效号必须为0</x:v>
      </x:c>
      <x:c r="H10" s="16" t="str">
        <x:v>821/823/824按锁定替代关系另列</x:v>
      </x:c>
    </x:row>
    <x:row r="11">
      <x:c r="A11" s="16" t="str">
        <x:v>旧材料颜色语义差异</x:v>
      </x:c>
      <x:c r="B11" s="16" t="str">
        <x:v>复用同名旧资产</x:v>
      </x:c>
      <x:c r="C11" s="16" t="n">
        <x:v>3</x:v>
      </x:c>
      <x:c r="D11" s="16" t="n">
        <x:v>0</x:v>
      </x:c>
      <x:c r="E11" s="16" t="str">
        <x:v>已记录不覆盖</x:v>
      </x:c>
      <x:c r="F11" s="16" t="str">
        <x:v>失色锻造石:Color251；野兽骨片:Color251；神秘符文:Color251</x:v>
      </x:c>
      <x:c r="G11" s="16" t="str">
        <x:v>需另行审批才能改库</x:v>
      </x:c>
      <x:c r="H11" s="16" t="str">
        <x:v>不阻断怪物窗口做来源设计</x:v>
      </x:c>
    </x:row>
    <x:row r="14">
      <x:c r="A14" s="13" t="str">
        <x:v>已锁替代关系（只核验，不回写装备母表）</x:v>
      </x:c>
      <x:c r="B14" s="13"/>
      <x:c r="C14" s="13"/>
      <x:c r="D14" s="13"/>
      <x:c r="E14" s="13"/>
      <x:c r="F14" s="13"/>
      <x:c r="G14" s="13"/>
      <x:c r="H14" s="13"/>
    </x:row>
    <x:row r="15">
      <x:c r="A15" s="13" t="str">
        <x:v>装备</x:v>
      </x:c>
      <x:c r="B15" s="13" t="str">
        <x:v>地图号</x:v>
      </x:c>
      <x:c r="C15" s="13" t="str">
        <x:v>旧来源号</x:v>
      </x:c>
      <x:c r="D15" s="13" t="str">
        <x:v>新来源号</x:v>
      </x:c>
      <x:c r="E15" s="13" t="str">
        <x:v>替代资源</x:v>
      </x:c>
      <x:c r="F15" s="13" t="str">
        <x:v>新号与C01冲突</x:v>
      </x:c>
      <x:c r="G15" s="13" t="str">
        <x:v>旧号仍撞地图</x:v>
      </x:c>
      <x:c r="H15" s="13" t="str">
        <x:v>状态</x:v>
      </x:c>
    </x:row>
    <x:row r="16">
      <x:c r="A16" s="16" t="str">
        <x:v>褪色旅人战靴</x:v>
      </x:c>
      <x:c r="B16" s="16" t="str">
        <x:v>XX821</x:v>
      </x:c>
      <x:c r="C16" s="16" t="n">
        <x:v>821</x:v>
      </x:c>
      <x:c r="D16" s="16" t="n">
        <x:v>6407</x:v>
      </x:c>
      <x:c r="E16" s="16" t="str">
        <x:v>黄金圣树·初誓／鞋子</x:v>
      </x:c>
      <x:c r="F16" s="16" t="str">
        <x:v>否</x:v>
      </x:c>
      <x:c r="G16" s="16" t="str">
        <x:v>是</x:v>
      </x:c>
      <x:c r="H16" s="16" t="str">
        <x:v>替代号已锁定，待回写制式装备表</x:v>
      </x:c>
    </x:row>
    <x:row r="17">
      <x:c r="A17" s="16" t="str">
        <x:v>褪色旅人项链</x:v>
      </x:c>
      <x:c r="B17" s="16" t="str">
        <x:v>XX823</x:v>
      </x:c>
      <x:c r="C17" s="16" t="n">
        <x:v>823</x:v>
      </x:c>
      <x:c r="D17" s="16" t="n">
        <x:v>6401</x:v>
      </x:c>
      <x:c r="E17" s="16" t="str">
        <x:v>黄金圣树·初誓／项链</x:v>
      </x:c>
      <x:c r="F17" s="16" t="str">
        <x:v>否</x:v>
      </x:c>
      <x:c r="G17" s="16" t="str">
        <x:v>是</x:v>
      </x:c>
      <x:c r="H17" s="16" t="str">
        <x:v>替代号已锁定，待回写制式装备表</x:v>
      </x:c>
    </x:row>
    <x:row r="18">
      <x:c r="A18" s="16" t="str">
        <x:v>褪色旅人戒指</x:v>
      </x:c>
      <x:c r="B18" s="16" t="str">
        <x:v>XX824</x:v>
      </x:c>
      <x:c r="C18" s="16" t="n">
        <x:v>824</x:v>
      </x:c>
      <x:c r="D18" s="16" t="n">
        <x:v>6403</x:v>
      </x:c>
      <x:c r="E18" s="16" t="str">
        <x:v>黄金圣树·初誓／戒指</x:v>
      </x:c>
      <x:c r="F18" s="16" t="str">
        <x:v>否</x:v>
      </x:c>
      <x:c r="G18" s="16" t="str">
        <x:v>是</x:v>
      </x:c>
      <x:c r="H18" s="16" t="str">
        <x:v>替代号已锁定，待回写制式装备表</x:v>
      </x:c>
    </x:row>
    <x:row r="21">
      <x:c r="A21" s="13" t="str">
        <x:v>未解决项</x:v>
      </x:c>
      <x:c r="B21" s="13"/>
      <x:c r="C21" s="13"/>
      <x:c r="D21" s="13"/>
      <x:c r="E21" s="13"/>
      <x:c r="F21" s="13"/>
      <x:c r="G21" s="13"/>
      <x:c r="H21" s="13"/>
    </x:row>
    <x:row r="22">
      <x:c r="A22" s="16" t="n">
        <x:v>1</x:v>
      </x:c>
      <x:c r="B22" s="16" t="str">
        <x:v>GitHub只读分支未包含独立《08_地图外显与多层传送.xlsx》；地图号检查以当前MapInfo和本任务工作簿可追溯XX号为准，不能声称覆盖尚未进入这两处的未来地图。</x:v>
      </x:c>
      <x:c r="C22" s="16"/>
      <x:c r="D22" s="16"/>
      <x:c r="E22" s="16"/>
      <x:c r="F22" s="16"/>
      <x:c r="G22" s="16"/>
      <x:c r="H22" s="16"/>
    </x:row>
    <x:row r="23">
      <x:c r="A23" s="16" t="n">
        <x:v>2</x:v>
      </x:c>
      <x:c r="B23" s="16" t="str">
        <x:v>未找到独立的StdItems废止Idx登记库；当前ApexM2.DB的0-906全部实际占用，因此新规划从907开始，避免复用现有号。</x:v>
      </x:c>
      <x:c r="C23" s="16"/>
      <x:c r="D23" s="16"/>
      <x:c r="E23" s="16"/>
      <x:c r="F23" s="16"/>
      <x:c r="G23" s="16"/>
      <x:c r="H23" s="16"/>
    </x:row>
    <x:row r="24">
      <x:c r="A24" s="16" t="n">
        <x:v>3</x:v>
      </x:c>
      <x:c r="B24" s="16" t="str">
        <x:v>3个同名旧材料必须复用且不得覆盖，现服Color均为251，与设计颜色语义不一致；本轮仅记录差异，不改数据库。</x:v>
      </x:c>
      <x:c r="C24" s="16"/>
      <x:c r="D24" s="16"/>
      <x:c r="E24" s="16"/>
      <x:c r="F24" s="16"/>
      <x:c r="G24" s="16"/>
      <x:c r="H24" s="16"/>
    </x:row>
    <x:row r="25">
      <x:c r="A25" s="16" t="n">
        <x:v>4</x:v>
      </x:c>
      <x:c r="B25" s="16" t="str">
        <x:v>C01装备仍有12项来源编号为空，属于装备窗口后续实际外观母版选择，不在本轮猜填。</x:v>
      </x:c>
      <x:c r="C25" s="16"/>
      <x:c r="D25" s="16"/>
      <x:c r="E25" s="16"/>
      <x:c r="F25" s="16"/>
      <x:c r="G25" s="16"/>
      <x:c r="H25" s="16"/>
    </x:row>
  </x:sheetData>
  <x:mergeCells>
    <x:mergeCell ref="A1:H1"/>
    <x:mergeCell ref="A2:H2"/>
    <x:mergeCell ref="A14:H14"/>
    <x:mergeCell ref="A21:H21"/>
  </x:mergeCells>
  <x:pageMargins left="0.7" right="0.7" top="0.75" bottom="0.75" header="0.3" footer="0.3"/>
</x:worksheet>
</file>