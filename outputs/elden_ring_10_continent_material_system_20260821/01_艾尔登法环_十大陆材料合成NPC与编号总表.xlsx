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f1ab1b428747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与总览" sheetId="1" r:id="Rfac44a29ac844616"/>
    <x:sheet xmlns:r="http://schemas.openxmlformats.org/officeDocument/2006/relationships" name="01_材料总表" sheetId="2" r:id="R408f7b26c4734606"/>
    <x:sheet xmlns:r="http://schemas.openxmlformats.org/officeDocument/2006/relationships" name="02_来源与掉率" sheetId="3" r:id="Rc1d7e246e0ec4262"/>
    <x:sheet xmlns:r="http://schemas.openxmlformats.org/officeDocument/2006/relationships" name="03_材料产消" sheetId="4" r:id="Raf7aaa5bb4c1422d"/>
    <x:sheet xmlns:r="http://schemas.openxmlformats.org/officeDocument/2006/relationships" name="04_强合成配方" sheetId="5" r:id="R8b389082cfc54897"/>
    <x:sheet xmlns:r="http://schemas.openxmlformats.org/officeDocument/2006/relationships" name="05_NPC任务" sheetId="6" r:id="Rbbb2554b967446d4"/>
    <x:sheet xmlns:r="http://schemas.openxmlformats.org/officeDocument/2006/relationships" name="06_分解回收" sheetId="7" r:id="R8b78f02477ed4d8d"/>
    <x:sheet xmlns:r="http://schemas.openxmlformats.org/officeDocument/2006/relationships" name="07_ID登记" sheetId="8" r:id="Ra0d8ae932c2346c6"/>
    <x:sheet xmlns:r="http://schemas.openxmlformats.org/officeDocument/2006/relationships" name="08_Codex回填任务" sheetId="9" r:id="Rd824ebe665a44409"/>
    <x:sheet xmlns:r="http://schemas.openxmlformats.org/officeDocument/2006/relationships" name="09_检查与替代" sheetId="10" r:id="Ra92837cc11e140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"/>
    <x:numFmt numFmtId="202" formatCode="#,##0.00"/>
    <x:numFmt numFmtId="203" formatCode="0.0"/>
    <x:numFmt numFmtId="204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6352E"/>
      <x:name val="Carlito"/>
    </x:font>
    <x:font>
      <x:b/>
      <x:sz val="11"/>
      <x:color rgb="FF234E3A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B2A24"/>
      </x:patternFill>
    </x:fill>
    <x:fill>
      <x:patternFill patternType="solid">
        <x:fgColor rgb="FFF6E8BF"/>
      </x:patternFill>
    </x:fill>
    <x:fill>
      <x:patternFill patternType="solid">
        <x:fgColor rgb="FFE8F2EC"/>
      </x:patternFill>
    </x:fill>
    <x:fill>
      <x:patternFill patternType="solid">
        <x:fgColor rgb="FF234E3A"/>
      </x:patternFill>
    </x:fill>
    <x:fill>
      <x:patternFill patternType="solid">
        <x:fgColor rgb="FFB8862E"/>
      </x:patternFill>
    </x:fill>
    <x:fill>
      <x:patternFill patternType="solid">
        <x:fgColor rgb="FFFFFFFF"/>
      </x:patternFill>
    </x:fill>
    <x:fill>
      <x:patternFill patternType="solid">
        <x:fgColor rgb="FF2F6B4F"/>
      </x:patternFill>
    </x:fill>
    <x:fill>
      <x:patternFill patternType="solid">
        <x:fgColor rgb="FFE9F1F8"/>
      </x:patternFill>
    </x:fill>
    <x:fill>
      <x:patternFill patternType="solid">
        <x:fgColor rgb="FFF0EAF8"/>
      </x:patternFill>
    </x:fill>
    <x:fill>
      <x:patternFill patternType="solid">
        <x:fgColor rgb="FFFCEBD8"/>
      </x:patternFill>
    </x:fill>
    <x:fill>
      <x:patternFill patternType="solid">
        <x:fgColor rgb="FFF4F6F5"/>
      </x:patternFill>
    </x:fill>
    <x:fill>
      <x:patternFill patternType="solid">
        <x:fgColor rgb="FFF9E2E2"/>
      </x:patternFill>
    </x:fill>
  </x:fills>
  <x:borders count="2">
    <x:border/>
    <x:border>
      <x:left style="thin">
        <x:color rgb="FFCDD7D1"/>
      </x:left>
      <x:right style="thin">
        <x:color rgb="FFCDD7D1"/>
      </x:right>
      <x:top style="thin">
        <x:color rgb="FFCDD7D1"/>
      </x:top>
      <x:bottom style="thin">
        <x:color rgb="FFCDD7D1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vertical="center" wrapText="1"/>
    </x:xf>
    <x:xf numFmtId="200" fontId="2" fillId="7" borderId="1" xfId="0" applyNumberFormat="1" applyFont="1" applyFill="1" applyBorder="1" applyAlignment="1">
      <x:alignment horizontal="center" vertical="center" wrapText="1"/>
    </x:xf>
    <x:xf numFmtId="201" fontId="2" fillId="7" borderId="1" xfId="0" applyNumberFormat="1" applyFont="1" applyFill="1" applyBorder="1" applyAlignment="1">
      <x:alignment horizontal="center" vertical="center" wrapText="1"/>
    </x:xf>
    <x:xf numFmtId="202" fontId="2" fillId="7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203" fontId="2" fillId="7" borderId="1" xfId="0" applyNumberFormat="1" applyFont="1" applyFill="1" applyBorder="1" applyAlignment="1">
      <x:alignment horizontal="center" vertical="center" wrapText="1"/>
    </x:xf>
    <x:xf numFmtId="201" fontId="2" fillId="7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 wrapText="1"/>
    </x:xf>
    <x:xf numFmtId="204" fontId="2" fillId="7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1" xfId="0" applyNumberFormat="1" applyFont="1" applyFill="1" applyBorder="1"/>
    <x:xf numFmtId="0" fontId="2" fillId="12" borderId="1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vertical="center" wrapText="1"/>
    </x:xf>
    <x:xf numFmtId="0" fontId="2" fillId="12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5">
    <x:dxf>
      <x:font>
        <x:b/>
        <x:color rgb="FF27734D"/>
      </x:font>
      <x:fill>
        <x:patternFill patternType="solid">
          <x:bgColor rgb="FFDDF1E4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A66A13"/>
      </x:font>
      <x:fill>
        <x:patternFill patternType="solid">
          <x:bgColor rgb="FFFFF0CF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3CACA"/>
        </x:patternFill>
      </x:fill>
    </x:dxf>
    <x:dxf>
      <x:font>
        <x:b/>
        <x:color rgb="FF27734D"/>
      </x:font>
      <x:fill>
        <x:patternFill patternType="solid">
          <x:bgColor rgb="FFDDF1E4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A66A13"/>
      </x:font>
      <x:fill>
        <x:patternFill patternType="solid">
          <x:bgColor rgb="FFFFF0CF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3CACA"/>
        </x:patternFill>
      </x:fill>
    </x:dxf>
    <x:dxf>
      <x:font>
        <x:b/>
        <x:color rgb="FF27734D"/>
      </x:font>
      <x:fill>
        <x:patternFill patternType="solid">
          <x:bgColor rgb="FFDDF1E4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A66A13"/>
      </x:font>
      <x:fill>
        <x:patternFill patternType="solid">
          <x:bgColor rgb="FFFFF0CF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3CACA"/>
        </x:patternFill>
      </x:fill>
    </x:dxf>
    <x:dxf>
      <x:font>
        <x:b/>
        <x:color rgb="FF27734D"/>
      </x:font>
      <x:fill>
        <x:patternFill patternType="solid">
          <x:bgColor rgb="FFDDF1E4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A66A13"/>
      </x:font>
      <x:fill>
        <x:patternFill patternType="solid">
          <x:bgColor rgb="FFFFF0CF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3CACA"/>
        </x:patternFill>
      </x:fill>
    </x:dxf>
    <x:dxf>
      <x:font>
        <x:b/>
        <x:color rgb="FF27734D"/>
      </x:font>
      <x:fill>
        <x:patternFill patternType="solid">
          <x:bgColor rgb="FFDDF1E4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A66A13"/>
      </x:font>
      <x:fill>
        <x:patternFill patternType="solid">
          <x:bgColor rgb="FFFFF0CF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3CACA"/>
        </x:patternFill>
      </x:fill>
    </x:dxf>
    <x:dxf>
      <x:font>
        <x:b/>
        <x:color rgb="FF27734D"/>
      </x:font>
      <x:fill>
        <x:patternFill patternType="solid">
          <x:bgColor rgb="FFDDF1E4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A66A13"/>
      </x:font>
      <x:fill>
        <x:patternFill patternType="solid">
          <x:bgColor rgb="FFFFF0CF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3CACA"/>
        </x:patternFill>
      </x:fill>
    </x:dxf>
    <x:dxf>
      <x:font>
        <x:b/>
        <x:color rgb="FF27734D"/>
      </x:font>
      <x:fill>
        <x:patternFill patternType="solid">
          <x:bgColor rgb="FFDDF1E4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A66A13"/>
      </x:font>
      <x:fill>
        <x:patternFill patternType="solid">
          <x:bgColor rgb="FFFFF0CF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3CACA"/>
        </x:patternFill>
      </x:fill>
    </x:dxf>
    <x:dxf>
      <x:font>
        <x:b/>
        <x:color rgb="FF27734D"/>
      </x:font>
      <x:fill>
        <x:patternFill patternType="solid">
          <x:bgColor rgb="FFDDF1E4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A66A13"/>
      </x:font>
      <x:fill>
        <x:patternFill patternType="solid">
          <x:bgColor rgb="FFFFF0CF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3CACA"/>
        </x:patternFill>
      </x:fill>
    </x:dxf>
    <x:dxf>
      <x:font>
        <x:b/>
        <x:color rgb="FF27734D"/>
      </x:font>
      <x:fill>
        <x:patternFill patternType="solid">
          <x:bgColor rgb="FFDDF1E4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A66A13"/>
      </x:font>
      <x:fill>
        <x:patternFill patternType="solid">
          <x:bgColor rgb="FFFFF0CF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3CACA"/>
        </x:patternFill>
      </x:fill>
    </x:dxf>
    <x:dxf>
      <x:font>
        <x:b/>
        <x:color rgb="FF27734D"/>
      </x:font>
      <x:fill>
        <x:patternFill patternType="solid">
          <x:bgColor rgb="FFDDF1E4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A66A13"/>
      </x:font>
      <x:fill>
        <x:patternFill patternType="solid">
          <x:bgColor rgb="FFFFF0CF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3CACA"/>
        </x:patternFill>
      </x:fill>
    </x:dxf>
    <x:dxf>
      <x:font>
        <x:b/>
        <x:color rgb="FF27734D"/>
      </x:font>
      <x:fill>
        <x:patternFill patternType="solid">
          <x:bgColor rgb="FFDDF1E4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A66A13"/>
      </x:font>
      <x:fill>
        <x:patternFill patternType="solid">
          <x:bgColor rgb="FFFFF0CF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3CACA"/>
        </x:patternFill>
      </x:fill>
    </x:dxf>
    <x:dxf>
      <x:font>
        <x:b/>
        <x:color rgb="FF27734D"/>
      </x:font>
      <x:fill>
        <x:patternFill patternType="solid">
          <x:bgColor rgb="FFDDF1E4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A66A13"/>
      </x:font>
      <x:fill>
        <x:patternFill patternType="solid">
          <x:bgColor rgb="FFFFF0CF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3CACA"/>
        </x:patternFill>
      </x:fill>
    </x:dxf>
    <x:dxf>
      <x:font>
        <x:b/>
        <x:color rgb="FF27734D"/>
      </x:font>
      <x:fill>
        <x:patternFill patternType="solid">
          <x:bgColor rgb="FFDDF1E4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A66A13"/>
      </x:font>
      <x:fill>
        <x:patternFill patternType="solid">
          <x:bgColor rgb="FFFFF0CF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3CACA"/>
        </x:patternFill>
      </x:fill>
    </x:dxf>
    <x:dxf>
      <x:font>
        <x:b/>
        <x:color rgb="FF27734D"/>
      </x:font>
      <x:fill>
        <x:patternFill patternType="solid">
          <x:bgColor rgb="FFDDF1E4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A66A13"/>
      </x:font>
      <x:fill>
        <x:patternFill patternType="solid">
          <x:bgColor rgb="FFFFF0CF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3CACA"/>
        </x:patternFill>
      </x:fill>
    </x:dxf>
    <x:dxf>
      <x:font>
        <x:b/>
        <x:color rgb="FF27734D"/>
      </x:font>
      <x:fill>
        <x:patternFill patternType="solid">
          <x:bgColor rgb="FFDDF1E4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27734D"/>
      </x:font>
      <x:fill>
        <x:patternFill patternType="solid">
          <x:bgColor rgb="FFE4F0E8"/>
        </x:patternFill>
      </x:fill>
    </x:dxf>
    <x:dxf>
      <x:font>
        <x:b/>
        <x:color rgb="FFA66A13"/>
      </x:font>
      <x:fill>
        <x:patternFill patternType="solid">
          <x:bgColor rgb="FFFFF0CF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9DEDE"/>
        </x:patternFill>
      </x:fill>
    </x:dxf>
    <x:dxf>
      <x:font>
        <x:b/>
        <x:color rgb="FFA33A3A"/>
      </x:font>
      <x:fill>
        <x:patternFill patternType="solid">
          <x:bgColor rgb="FFF3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436198fe584094" /><Relationship Type="http://schemas.openxmlformats.org/officeDocument/2006/relationships/theme" Target="/xl/theme/theme1.xml" Id="R1f438c13c2c3494d" /><Relationship Type="http://schemas.openxmlformats.org/officeDocument/2006/relationships/sharedStrings" Target="/xl/sharedStrings.xml" Id="R2d1073a8f1a349d8" /><Relationship Type="http://schemas.openxmlformats.org/officeDocument/2006/relationships/worksheet" Target="/xl/worksheets/sheet1.xml" Id="Rfac44a29ac844616" /><Relationship Type="http://schemas.openxmlformats.org/officeDocument/2006/relationships/worksheet" Target="/xl/worksheets/sheet2.xml" Id="R408f7b26c4734606" /><Relationship Type="http://schemas.openxmlformats.org/officeDocument/2006/relationships/worksheet" Target="/xl/worksheets/sheet3.xml" Id="Rc1d7e246e0ec4262" /><Relationship Type="http://schemas.openxmlformats.org/officeDocument/2006/relationships/worksheet" Target="/xl/worksheets/sheet4.xml" Id="Raf7aaa5bb4c1422d" /><Relationship Type="http://schemas.openxmlformats.org/officeDocument/2006/relationships/worksheet" Target="/xl/worksheets/sheet5.xml" Id="R8b389082cfc54897" /><Relationship Type="http://schemas.openxmlformats.org/officeDocument/2006/relationships/worksheet" Target="/xl/worksheets/sheet6.xml" Id="Rbbb2554b967446d4" /><Relationship Type="http://schemas.openxmlformats.org/officeDocument/2006/relationships/worksheet" Target="/xl/worksheets/sheet7.xml" Id="R8b78f02477ed4d8d" /><Relationship Type="http://schemas.openxmlformats.org/officeDocument/2006/relationships/worksheet" Target="/xl/worksheets/sheet8.xml" Id="Ra0d8ae932c2346c6" /><Relationship Type="http://schemas.openxmlformats.org/officeDocument/2006/relationships/worksheet" Target="/xl/worksheets/sheet9.xml" Id="Rd824ebe665a44409" /><Relationship Type="http://schemas.openxmlformats.org/officeDocument/2006/relationships/worksheet" Target="/xl/worksheets/sheet10.xml" Id="Ra92837cc11e140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00000190734863" hidden="0" customWidth="1"/>
    <x:col min="2" max="2" width="12.600000381469727" hidden="0" customWidth="1"/>
    <x:col min="3" max="3" width="7" hidden="0" customWidth="1"/>
    <x:col min="4" max="4" width="7" hidden="0" customWidth="1"/>
    <x:col min="5" max="5" width="7.599999904632568" hidden="0" customWidth="1"/>
    <x:col min="6" max="6" width="9" hidden="0" customWidth="1"/>
    <x:col min="7" max="7" width="10.5" hidden="0" customWidth="1"/>
    <x:col min="8" max="8" width="10.5" hidden="0" customWidth="1"/>
    <x:col min="9" max="9" width="11" hidden="0" customWidth="1"/>
    <x:col min="10" max="10" width="17" hidden="0" customWidth="1"/>
    <x:col min="11" max="11" width="7.599999904632568" hidden="0" customWidth="1"/>
    <x:col min="12" max="12" width="8.600000381469727" hidden="0" customWidth="1"/>
    <x:col min="13" max="13" width="11.800000190734863" hidden="0" customWidth="1"/>
    <x:col min="14" max="14" width="13" hidden="0" customWidth="1"/>
    <x:col min="15" max="15" width="15" hidden="0" customWidth="1"/>
  </x:cols>
  <x:sheetData>
    <x:row r="1" ht="28.5" customHeight="1">
      <x:c r="A1" s="4" t="str">
        <x:v>《艾尔登法环》十大陆材料、合成、NPC与编号总账</x:v>
      </x:c>
      <x:c r="B1" s="4" t="str">
        <x:v>《艾尔登法环》十大陆材料、合成、NPC与编号总账</x:v>
      </x:c>
      <x:c r="C1" s="4" t="str">
        <x:v>《艾尔登法环》十大陆材料、合成、NPC与编号总账</x:v>
      </x:c>
      <x:c r="D1" s="4" t="str">
        <x:v>《艾尔登法环》十大陆材料、合成、NPC与编号总账</x:v>
      </x:c>
      <x:c r="E1" s="4" t="str">
        <x:v>《艾尔登法环》十大陆材料、合成、NPC与编号总账</x:v>
      </x:c>
      <x:c r="F1" s="4" t="str">
        <x:v>《艾尔登法环》十大陆材料、合成、NPC与编号总账</x:v>
      </x:c>
      <x:c r="G1" s="4" t="str">
        <x:v>《艾尔登法环》十大陆材料、合成、NPC与编号总账</x:v>
      </x:c>
      <x:c r="H1" s="4" t="str">
        <x:v>《艾尔登法环》十大陆材料、合成、NPC与编号总账</x:v>
      </x:c>
      <x:c r="I1" s="4" t="str">
        <x:v>《艾尔登法环》十大陆材料、合成、NPC与编号总账</x:v>
      </x:c>
      <x:c r="J1" s="4" t="str">
        <x:v>《艾尔登法环》十大陆材料、合成、NPC与编号总账</x:v>
      </x:c>
      <x:c r="K1" s="4" t="str">
        <x:v>《艾尔登法环》十大陆材料、合成、NPC与编号总账</x:v>
      </x:c>
      <x:c r="L1" s="4" t="str">
        <x:v>《艾尔登法环》十大陆材料、合成、NPC与编号总账</x:v>
      </x:c>
      <x:c r="M1" s="4" t="str">
        <x:v>《艾尔登法环》十大陆材料、合成、NPC与编号总账</x:v>
      </x:c>
      <x:c r="N1" s="4" t="str">
        <x:v>《艾尔登法环》十大陆材料、合成、NPC与编号总账</x:v>
      </x:c>
      <x:c r="O1" s="4" t="str">
        <x:v>《艾尔登法环》十大陆材料、合成、NPC与编号总账</x:v>
      </x:c>
    </x:row>
    <x:row r="2" ht="31.5" customHeight="1">
      <x:c r="A2" s="8" t="str">
        <x:v>本表是设计与Codex交互总账，不等于已部署。现有怪物、装备、地图和脚本成品只读；实际物品Idx、颜色代码、模板字段、精确怪物名与NPC坐标由两个Codex窗口按08页顺序回填。地图大小不检查。</x:v>
      </x:c>
      <x:c r="B2" s="8" t="str">
        <x:v>本表是设计与Codex交互总账，不等于已部署。现有怪物、装备、地图和脚本成品只读；实际物品Idx、颜色代码、模板字段、精确怪物名与NPC坐标由两个Codex窗口按08页顺序回填。地图大小不检查。</x:v>
      </x:c>
      <x:c r="C2" s="8" t="str">
        <x:v>本表是设计与Codex交互总账，不等于已部署。现有怪物、装备、地图和脚本成品只读；实际物品Idx、颜色代码、模板字段、精确怪物名与NPC坐标由两个Codex窗口按08页顺序回填。地图大小不检查。</x:v>
      </x:c>
      <x:c r="D2" s="8" t="str">
        <x:v>本表是设计与Codex交互总账，不等于已部署。现有怪物、装备、地图和脚本成品只读；实际物品Idx、颜色代码、模板字段、精确怪物名与NPC坐标由两个Codex窗口按08页顺序回填。地图大小不检查。</x:v>
      </x:c>
      <x:c r="E2" s="8" t="str">
        <x:v>本表是设计与Codex交互总账，不等于已部署。现有怪物、装备、地图和脚本成品只读；实际物品Idx、颜色代码、模板字段、精确怪物名与NPC坐标由两个Codex窗口按08页顺序回填。地图大小不检查。</x:v>
      </x:c>
      <x:c r="F2" s="8" t="str">
        <x:v>本表是设计与Codex交互总账，不等于已部署。现有怪物、装备、地图和脚本成品只读；实际物品Idx、颜色代码、模板字段、精确怪物名与NPC坐标由两个Codex窗口按08页顺序回填。地图大小不检查。</x:v>
      </x:c>
      <x:c r="G2" s="8" t="str">
        <x:v>本表是设计与Codex交互总账，不等于已部署。现有怪物、装备、地图和脚本成品只读；实际物品Idx、颜色代码、模板字段、精确怪物名与NPC坐标由两个Codex窗口按08页顺序回填。地图大小不检查。</x:v>
      </x:c>
      <x:c r="H2" s="8" t="str">
        <x:v>本表是设计与Codex交互总账，不等于已部署。现有怪物、装备、地图和脚本成品只读；实际物品Idx、颜色代码、模板字段、精确怪物名与NPC坐标由两个Codex窗口按08页顺序回填。地图大小不检查。</x:v>
      </x:c>
      <x:c r="I2" s="8" t="str">
        <x:v>本表是设计与Codex交互总账，不等于已部署。现有怪物、装备、地图和脚本成品只读；实际物品Idx、颜色代码、模板字段、精确怪物名与NPC坐标由两个Codex窗口按08页顺序回填。地图大小不检查。</x:v>
      </x:c>
      <x:c r="J2" s="8" t="str">
        <x:v>本表是设计与Codex交互总账，不等于已部署。现有怪物、装备、地图和脚本成品只读；实际物品Idx、颜色代码、模板字段、精确怪物名与NPC坐标由两个Codex窗口按08页顺序回填。地图大小不检查。</x:v>
      </x:c>
      <x:c r="K2" s="8" t="str">
        <x:v>本表是设计与Codex交互总账，不等于已部署。现有怪物、装备、地图和脚本成品只读；实际物品Idx、颜色代码、模板字段、精确怪物名与NPC坐标由两个Codex窗口按08页顺序回填。地图大小不检查。</x:v>
      </x:c>
      <x:c r="L2" s="8" t="str">
        <x:v>本表是设计与Codex交互总账，不等于已部署。现有怪物、装备、地图和脚本成品只读；实际物品Idx、颜色代码、模板字段、精确怪物名与NPC坐标由两个Codex窗口按08页顺序回填。地图大小不检查。</x:v>
      </x:c>
      <x:c r="M2" s="8" t="str">
        <x:v>本表是设计与Codex交互总账，不等于已部署。现有怪物、装备、地图和脚本成品只读；实际物品Idx、颜色代码、模板字段、精确怪物名与NPC坐标由两个Codex窗口按08页顺序回填。地图大小不检查。</x:v>
      </x:c>
      <x:c r="N2" s="8" t="str">
        <x:v>本表是设计与Codex交互总账，不等于已部署。现有怪物、装备、地图和脚本成品只读；实际物品Idx、颜色代码、模板字段、精确怪物名与NPC坐标由两个Codex窗口按08页顺序回填。地图大小不检查。</x:v>
      </x:c>
      <x:c r="O2" s="8" t="str">
        <x:v>本表是设计与Codex交互总账，不等于已部署。现有怪物、装备、地图和脚本成品只读；实际物品Idx、颜色代码、模板字段、精确怪物名与NPC坐标由两个Codex窗口按08页顺序回填。地图大小不检查。</x:v>
      </x:c>
    </x:row>
    <x:row r="4">
      <x:c r="A4" s="15" t="str">
        <x:v>十大陆</x:v>
      </x:c>
      <x:c r="B4" s="15" t="n">
        <x:v>10</x:v>
      </x:c>
      <x:c r="C4" s="15" t="str">
        <x:v>核心材料</x:v>
      </x:c>
      <x:c r="D4" s="15" t="n">
        <x:v>30</x:v>
      </x:c>
      <x:c r="E4" s="15" t="str">
        <x:v>四证材料</x:v>
      </x:c>
      <x:c r="F4" s="15" t="n">
        <x:v>32</x:v>
      </x:c>
      <x:c r="G4" s="15" t="str">
        <x:v>强合成</x:v>
      </x:c>
      <x:c r="H4" s="15" t="n">
        <x:v>11</x:v>
      </x:c>
      <x:c r="I4" s="15" t="str">
        <x:v>新增四证NPC</x:v>
      </x:c>
      <x:c r="J4" s="15" t="n">
        <x:v>8</x:v>
      </x:c>
    </x:row>
    <x:row r="5">
      <x:c r="A5" s="15" t="str">
        <x:v>材料已命名</x:v>
      </x:c>
      <x:c r="B5" s="15" t="n">
        <x:v>68</x:v>
      </x:c>
      <x:c r="C5" s="15" t="str">
        <x:v>材料预留容量</x:v>
      </x:c>
      <x:c r="D5" s="15" t="n">
        <x:v>80</x:v>
      </x:c>
      <x:c r="E5" s="15" t="str">
        <x:v>失色分解档</x:v>
      </x:c>
      <x:c r="F5" s="15" t="n">
        <x:v>40</x:v>
      </x:c>
      <x:c r="G5" s="15" t="str">
        <x:v>现有任务保留</x:v>
      </x:c>
      <x:c r="H5" s="15" t="n">
        <x:v>8</x:v>
      </x:c>
      <x:c r="I5" s="15" t="str">
        <x:v>已知编号冲突</x:v>
      </x:c>
      <x:c r="J5" s="15" t="n">
        <x:v>3</x:v>
      </x:c>
    </x:row>
    <x:row r="7" ht="21" customHeight="1">
      <x:c r="A7" s="18" t="str">
        <x:v>十大陆材料与投放骨架</x:v>
      </x:c>
      <x:c r="B7" s="18" t="str">
        <x:v>十大陆材料与投放骨架</x:v>
      </x:c>
      <x:c r="C7" s="18" t="str">
        <x:v>十大陆材料与投放骨架</x:v>
      </x:c>
      <x:c r="D7" s="18" t="str">
        <x:v>十大陆材料与投放骨架</x:v>
      </x:c>
      <x:c r="E7" s="18" t="str">
        <x:v>十大陆材料与投放骨架</x:v>
      </x:c>
      <x:c r="F7" s="18" t="str">
        <x:v>十大陆材料与投放骨架</x:v>
      </x:c>
      <x:c r="G7" s="18" t="str">
        <x:v>十大陆材料与投放骨架</x:v>
      </x:c>
      <x:c r="H7" s="18" t="str">
        <x:v>十大陆材料与投放骨架</x:v>
      </x:c>
      <x:c r="I7" s="18" t="str">
        <x:v>十大陆材料与投放骨架</x:v>
      </x:c>
      <x:c r="J7" s="18" t="str">
        <x:v>十大陆材料与投放骨架</x:v>
      </x:c>
      <x:c r="K7" s="18" t="str">
        <x:v>十大陆材料与投放骨架</x:v>
      </x:c>
      <x:c r="L7" s="18" t="str">
        <x:v>十大陆材料与投放骨架</x:v>
      </x:c>
      <x:c r="M7" s="18" t="str">
        <x:v>十大陆材料与投放骨架</x:v>
      </x:c>
      <x:c r="N7" s="18" t="str">
        <x:v>十大陆材料与投放骨架</x:v>
      </x:c>
      <x:c r="O7" s="18" t="str">
        <x:v>十大陆材料与投放骨架</x:v>
      </x:c>
    </x:row>
    <x:row r="8" ht="24" customHeight="1">
      <x:c r="A8" s="24" t="str">
        <x:v>大陆</x:v>
      </x:c>
      <x:c r="B8" s="24" t="str">
        <x:v>正式名称</x:v>
      </x:c>
      <x:c r="C8" s="24" t="str">
        <x:v>地图组</x:v>
      </x:c>
      <x:c r="D8" s="24" t="str">
        <x:v>地图数</x:v>
      </x:c>
      <x:c r="E8" s="24" t="str">
        <x:v>怪物数</x:v>
      </x:c>
      <x:c r="F8" s="24" t="str">
        <x:v>人物爆率M</x:v>
      </x:c>
      <x:c r="G8" s="24" t="str">
        <x:v>通用材料</x:v>
      </x:c>
      <x:c r="H8" s="24" t="str">
        <x:v>稀有材料</x:v>
      </x:c>
      <x:c r="I8" s="24" t="str">
        <x:v>剧情印记</x:v>
      </x:c>
      <x:c r="J8" s="24" t="str">
        <x:v>货币篮子</x:v>
      </x:c>
      <x:c r="K8" s="24" t="str">
        <x:v>强合成数</x:v>
      </x:c>
      <x:c r="L8" s="24" t="str">
        <x:v>赐福地图</x:v>
      </x:c>
      <x:c r="M8" s="24" t="str">
        <x:v>赐福点</x:v>
      </x:c>
      <x:c r="N8" s="24" t="str">
        <x:v>坐标状态</x:v>
      </x:c>
      <x:c r="O8" s="24" t="str">
        <x:v>设计状态</x:v>
      </x:c>
    </x:row>
    <x:row r="9" ht="25.5" customHeight="1">
      <x:c r="A9" s="30" t="str">
        <x:v>C01</x:v>
      </x:c>
      <x:c r="B9" s="30" t="str">
        <x:v>漂流群岛</x:v>
      </x:c>
      <x:c r="C9" s="30" t="n">
        <x:v>3</x:v>
      </x:c>
      <x:c r="D9" s="30" t="n">
        <x:v>11</x:v>
      </x:c>
      <x:c r="E9" s="30" t="n">
        <x:v>36</x:v>
      </x:c>
      <x:c r="F9" s="30" t="n">
        <x:v>5</x:v>
      </x:c>
      <x:c r="G9" s="29" t="str">
        <x:v>海蚀铁片</x:v>
      </x:c>
      <x:c r="H9" s="29" t="str">
        <x:v>潮痕结晶</x:v>
      </x:c>
      <x:c r="I9" s="29" t="str">
        <x:v>漂流大陆印记</x:v>
      </x:c>
      <x:c r="J9" s="29" t="str">
        <x:v>金币</x:v>
      </x:c>
      <x:c r="K9" s="30" t="n">
        <x:v>0</x:v>
      </x:c>
      <x:c r="L9" s="30" t="str">
        <x:v>XX113</x:v>
      </x:c>
      <x:c r="M9" s="30" t="str">
        <x:v>失乡者海岸</x:v>
      </x:c>
      <x:c r="N9" s="30" t="str">
        <x:v>待Codex实图回填</x:v>
      </x:c>
      <x:c r="O9" s="30" t="str">
        <x:v>V1已生成；本表不覆盖</x:v>
      </x:c>
    </x:row>
    <x:row r="10" ht="25.5" customHeight="1">
      <x:c r="A10" s="30" t="str">
        <x:v>C02</x:v>
      </x:c>
      <x:c r="B10" s="30" t="str">
        <x:v>宁姆格福</x:v>
      </x:c>
      <x:c r="C10" s="30" t="n">
        <x:v>5</x:v>
      </x:c>
      <x:c r="D10" s="30" t="n">
        <x:v>16</x:v>
      </x:c>
      <x:c r="E10" s="30" t="n">
        <x:v>61</x:v>
      </x:c>
      <x:c r="F10" s="30" t="n">
        <x:v>7</x:v>
      </x:c>
      <x:c r="G10" s="29" t="str">
        <x:v>风暴石片</x:v>
      </x:c>
      <x:c r="H10" s="29" t="str">
        <x:v>黄金树芽</x:v>
      </x:c>
      <x:c r="I10" s="29" t="str">
        <x:v>接肢王印</x:v>
      </x:c>
      <x:c r="J10" s="29" t="str">
        <x:v>金币</x:v>
      </x:c>
      <x:c r="K10" s="30" t="n">
        <x:v>0</x:v>
      </x:c>
      <x:c r="L10" s="30" t="str">
        <x:v>XX144</x:v>
      </x:c>
      <x:c r="M10" s="30" t="str">
        <x:v>史东薇尔王城</x:v>
      </x:c>
      <x:c r="N10" s="30" t="str">
        <x:v>待Codex实图回填</x:v>
      </x:c>
      <x:c r="O10" s="30" t="str">
        <x:v>待重算</x:v>
      </x:c>
    </x:row>
    <x:row r="11" ht="25.5" customHeight="1">
      <x:c r="A11" s="30" t="str">
        <x:v>C03</x:v>
      </x:c>
      <x:c r="B11" s="30" t="str">
        <x:v>宁姆格福西域</x:v>
      </x:c>
      <x:c r="C11" s="30" t="n">
        <x:v>6</x:v>
      </x:c>
      <x:c r="D11" s="30" t="n">
        <x:v>20</x:v>
      </x:c>
      <x:c r="E11" s="30" t="n">
        <x:v>72</x:v>
      </x:c>
      <x:c r="F11" s="30" t="n">
        <x:v>10</x:v>
      </x:c>
      <x:c r="G11" s="29" t="str">
        <x:v>风蚀铁片</x:v>
      </x:c>
      <x:c r="H11" s="29" t="str">
        <x:v>西境战旗</x:v>
      </x:c>
      <x:c r="I11" s="29" t="str">
        <x:v>西境战旗印</x:v>
      </x:c>
      <x:c r="J11" s="29" t="str">
        <x:v>元宝</x:v>
      </x:c>
      <x:c r="K11" s="30" t="n">
        <x:v>1</x:v>
      </x:c>
      <x:c r="L11" s="30" t="str">
        <x:v>XX776</x:v>
      </x:c>
      <x:c r="M11" s="30" t="str">
        <x:v>西境荒原</x:v>
      </x:c>
      <x:c r="N11" s="30" t="str">
        <x:v>待Codex实图回填</x:v>
      </x:c>
      <x:c r="O11" s="30" t="str">
        <x:v>材料设计定稿待施工</x:v>
      </x:c>
    </x:row>
    <x:row r="12" ht="25.5" customHeight="1">
      <x:c r="A12" s="30" t="str">
        <x:v>C04</x:v>
      </x:c>
      <x:c r="B12" s="30" t="str">
        <x:v>利耶尼亚海域</x:v>
      </x:c>
      <x:c r="C12" s="30" t="n">
        <x:v>6</x:v>
      </x:c>
      <x:c r="D12" s="30" t="n">
        <x:v>17</x:v>
      </x:c>
      <x:c r="E12" s="30" t="n">
        <x:v>72</x:v>
      </x:c>
      <x:c r="F12" s="30" t="n">
        <x:v>14</x:v>
      </x:c>
      <x:c r="G12" s="29" t="str">
        <x:v>湖盐结晶</x:v>
      </x:c>
      <x:c r="H12" s="29" t="str">
        <x:v>幽船铆钉</x:v>
      </x:c>
      <x:c r="I12" s="29" t="str">
        <x:v>沉湖王印</x:v>
      </x:c>
      <x:c r="J12" s="29" t="str">
        <x:v>元宝</x:v>
      </x:c>
      <x:c r="K12" s="30" t="n">
        <x:v>2</x:v>
      </x:c>
      <x:c r="L12" s="30" t="str">
        <x:v>XX341</x:v>
      </x:c>
      <x:c r="M12" s="30" t="str">
        <x:v>雾潮湿地</x:v>
      </x:c>
      <x:c r="N12" s="30" t="str">
        <x:v>待Codex实图回填</x:v>
      </x:c>
      <x:c r="O12" s="30" t="str">
        <x:v>材料设计定稿待施工</x:v>
      </x:c>
    </x:row>
    <x:row r="13" ht="25.5" customHeight="1">
      <x:c r="A13" s="30" t="str">
        <x:v>C05</x:v>
      </x:c>
      <x:c r="B13" s="30" t="str">
        <x:v>湖之利耶尼亚</x:v>
      </x:c>
      <x:c r="C13" s="30" t="n">
        <x:v>6</x:v>
      </x:c>
      <x:c r="D13" s="30" t="n">
        <x:v>22</x:v>
      </x:c>
      <x:c r="E13" s="30" t="n">
        <x:v>72</x:v>
      </x:c>
      <x:c r="F13" s="30" t="n">
        <x:v>20</x:v>
      </x:c>
      <x:c r="G13" s="29" t="str">
        <x:v>辉石碎晶</x:v>
      </x:c>
      <x:c r="H13" s="29" t="str">
        <x:v>卡利亚月露</x:v>
      </x:c>
      <x:c r="I13" s="29" t="str">
        <x:v>满月王室印</x:v>
      </x:c>
      <x:c r="J13" s="29" t="str">
        <x:v>元宝</x:v>
      </x:c>
      <x:c r="K13" s="30" t="n">
        <x:v>1</x:v>
      </x:c>
      <x:c r="L13" s="30" t="str">
        <x:v>XX338</x:v>
      </x:c>
      <x:c r="M13" s="30" t="str">
        <x:v>雾月水庭</x:v>
      </x:c>
      <x:c r="N13" s="30" t="str">
        <x:v>待Codex实图回填</x:v>
      </x:c>
      <x:c r="O13" s="30" t="str">
        <x:v>材料设计定稿待施工</x:v>
      </x:c>
    </x:row>
    <x:row r="14" ht="25.5" customHeight="1">
      <x:c r="A14" s="30" t="str">
        <x:v>C06</x:v>
      </x:c>
      <x:c r="B14" s="30" t="str">
        <x:v>盖利德</x:v>
      </x:c>
      <x:c r="C14" s="30" t="n">
        <x:v>3</x:v>
      </x:c>
      <x:c r="D14" s="30" t="n">
        <x:v>15</x:v>
      </x:c>
      <x:c r="E14" s="30" t="n">
        <x:v>36</x:v>
      </x:c>
      <x:c r="F14" s="30" t="n">
        <x:v>28</x:v>
      </x:c>
      <x:c r="G14" s="29" t="str">
        <x:v>猩红矿渣</x:v>
      </x:c>
      <x:c r="H14" s="29" t="str">
        <x:v>龙火鳞</x:v>
      </x:c>
      <x:c r="I14" s="29" t="str">
        <x:v>红狮战印</x:v>
      </x:c>
      <x:c r="J14" s="29" t="str">
        <x:v>金刚石</x:v>
      </x:c>
      <x:c r="K14" s="30" t="n">
        <x:v>1</x:v>
      </x:c>
      <x:c r="L14" s="30" t="str">
        <x:v>XX304</x:v>
      </x:c>
      <x:c r="M14" s="30" t="str">
        <x:v>猩红熔原</x:v>
      </x:c>
      <x:c r="N14" s="30" t="str">
        <x:v>待Codex实图回填</x:v>
      </x:c>
      <x:c r="O14" s="30" t="str">
        <x:v>材料设计定稿待施工</x:v>
      </x:c>
    </x:row>
    <x:row r="15" ht="25.5" customHeight="1">
      <x:c r="A15" s="30" t="str">
        <x:v>C07</x:v>
      </x:c>
      <x:c r="B15" s="30" t="str">
        <x:v>化圣雪原</x:v>
      </x:c>
      <x:c r="C15" s="30" t="n">
        <x:v>3</x:v>
      </x:c>
      <x:c r="D15" s="30" t="n">
        <x:v>13</x:v>
      </x:c>
      <x:c r="E15" s="30" t="n">
        <x:v>36</x:v>
      </x:c>
      <x:c r="F15" s="30" t="n">
        <x:v>40</x:v>
      </x:c>
      <x:c r="G15" s="29" t="str">
        <x:v>冻晶尘</x:v>
      </x:c>
      <x:c r="H15" s="29" t="str">
        <x:v>白金纺线</x:v>
      </x:c>
      <x:c r="I15" s="29" t="str">
        <x:v>圣雪誓印</x:v>
      </x:c>
      <x:c r="J15" s="29" t="str">
        <x:v>金刚石</x:v>
      </x:c>
      <x:c r="K15" s="30" t="n">
        <x:v>2</x:v>
      </x:c>
      <x:c r="L15" s="30" t="str">
        <x:v>XX149</x:v>
      </x:c>
      <x:c r="M15" s="30" t="str">
        <x:v>苍白雪原</x:v>
      </x:c>
      <x:c r="N15" s="30" t="str">
        <x:v>待Codex实图回填</x:v>
      </x:c>
      <x:c r="O15" s="30" t="str">
        <x:v>材料设计定稿待施工</x:v>
      </x:c>
    </x:row>
    <x:row r="16" ht="25.5" customHeight="1">
      <x:c r="A16" s="30" t="str">
        <x:v>C08</x:v>
      </x:c>
      <x:c r="B16" s="30" t="str">
        <x:v>巨人山顶</x:v>
      </x:c>
      <x:c r="C16" s="30" t="n">
        <x:v>4</x:v>
      </x:c>
      <x:c r="D16" s="30" t="n">
        <x:v>16</x:v>
      </x:c>
      <x:c r="E16" s="30" t="n">
        <x:v>48</x:v>
      </x:c>
      <x:c r="F16" s="30" t="n">
        <x:v>55</x:v>
      </x:c>
      <x:c r="G16" s="29" t="str">
        <x:v>霜脊铁</x:v>
      </x:c>
      <x:c r="H16" s="29" t="str">
        <x:v>巨人火种</x:v>
      </x:c>
      <x:c r="I16" s="29" t="str">
        <x:v>巨人火印</x:v>
      </x:c>
      <x:c r="J16" s="29" t="str">
        <x:v>元宝70%＋金刚石30%</x:v>
      </x:c>
      <x:c r="K16" s="30" t="n">
        <x:v>1</x:v>
      </x:c>
      <x:c r="L16" s="30" t="str">
        <x:v>XX900</x:v>
      </x:c>
      <x:c r="M16" s="30" t="str">
        <x:v>寒霜山径</x:v>
      </x:c>
      <x:c r="N16" s="30" t="str">
        <x:v>待Codex实图回填</x:v>
      </x:c>
      <x:c r="O16" s="30" t="str">
        <x:v>材料设计定稿待施工</x:v>
      </x:c>
    </x:row>
    <x:row r="17" ht="25.5" customHeight="1">
      <x:c r="A17" s="30" t="str">
        <x:v>C09</x:v>
      </x:c>
      <x:c r="B17" s="30" t="str">
        <x:v>亚坛高原</x:v>
      </x:c>
      <x:c r="C17" s="30" t="n">
        <x:v>5</x:v>
      </x:c>
      <x:c r="D17" s="30" t="n">
        <x:v>22</x:v>
      </x:c>
      <x:c r="E17" s="30" t="n">
        <x:v>60</x:v>
      </x:c>
      <x:c r="F17" s="30" t="n">
        <x:v>75</x:v>
      </x:c>
      <x:c r="G17" s="29" t="str">
        <x:v>黄金叶脉</x:v>
      </x:c>
      <x:c r="H17" s="29" t="str">
        <x:v>古王律页</x:v>
      </x:c>
      <x:c r="I17" s="29" t="str">
        <x:v>黄金律印</x:v>
      </x:c>
      <x:c r="J17" s="29" t="str">
        <x:v>元宝50%＋金刚石50%</x:v>
      </x:c>
      <x:c r="K17" s="30" t="n">
        <x:v>1</x:v>
      </x:c>
      <x:c r="L17" s="30" t="str">
        <x:v>XX720</x:v>
      </x:c>
      <x:c r="M17" s="30" t="str">
        <x:v>金叶古道</x:v>
      </x:c>
      <x:c r="N17" s="30" t="str">
        <x:v>待Codex实图回填</x:v>
      </x:c>
      <x:c r="O17" s="30" t="str">
        <x:v>材料设计定稿待施工</x:v>
      </x:c>
    </x:row>
    <x:row r="18" ht="25.5" customHeight="1">
      <x:c r="A18" s="30" t="str">
        <x:v>C10</x:v>
      </x:c>
      <x:c r="B18" s="30" t="str">
        <x:v>王城罗德尔</x:v>
      </x:c>
      <x:c r="C18" s="30" t="n">
        <x:v>5</x:v>
      </x:c>
      <x:c r="D18" s="30" t="n">
        <x:v>19</x:v>
      </x:c>
      <x:c r="E18" s="30" t="n">
        <x:v>60</x:v>
      </x:c>
      <x:c r="F18" s="30" t="n">
        <x:v>100</x:v>
      </x:c>
      <x:c r="G18" s="29" t="str">
        <x:v>王城金屑</x:v>
      </x:c>
      <x:c r="H18" s="29" t="str">
        <x:v>王宫律文</x:v>
      </x:c>
      <x:c r="I18" s="29" t="str">
        <x:v>艾尔登王印</x:v>
      </x:c>
      <x:c r="J18" s="29" t="str">
        <x:v>元宝40%＋金刚石60%</x:v>
      </x:c>
      <x:c r="K18" s="30" t="n">
        <x:v>2</x:v>
      </x:c>
      <x:c r="L18" s="30" t="str">
        <x:v>XX932</x:v>
      </x:c>
      <x:c r="M18" s="30" t="str">
        <x:v>王城下城区</x:v>
      </x:c>
      <x:c r="N18" s="30" t="str">
        <x:v>待Codex实图回填</x:v>
      </x:c>
      <x:c r="O18" s="30" t="str">
        <x:v>材料设计定稿待施工</x:v>
      </x:c>
    </x:row>
    <x:row r="20" ht="21" customHeight="1">
      <x:c r="A20" s="18" t="str">
        <x:v>本轮生效规则</x:v>
      </x:c>
      <x:c r="B20" s="18" t="str">
        <x:v>本轮生效规则</x:v>
      </x:c>
      <x:c r="C20" s="18" t="str">
        <x:v>本轮生效规则</x:v>
      </x:c>
      <x:c r="D20" s="18" t="str">
        <x:v>本轮生效规则</x:v>
      </x:c>
      <x:c r="E20" s="18" t="str">
        <x:v>本轮生效规则</x:v>
      </x:c>
      <x:c r="F20" s="18" t="str">
        <x:v>本轮生效规则</x:v>
      </x:c>
      <x:c r="G20" s="18" t="str">
        <x:v>本轮生效规则</x:v>
      </x:c>
      <x:c r="H20" s="18" t="str">
        <x:v>本轮生效规则</x:v>
      </x:c>
      <x:c r="I20" s="18" t="str">
        <x:v>本轮生效规则</x:v>
      </x:c>
      <x:c r="J20" s="18" t="str">
        <x:v>本轮生效规则</x:v>
      </x:c>
      <x:c r="K20" s="18" t="str">
        <x:v>本轮生效规则</x:v>
      </x:c>
      <x:c r="L20" s="18" t="str">
        <x:v>本轮生效规则</x:v>
      </x:c>
      <x:c r="M20" s="18" t="str">
        <x:v>本轮生效规则</x:v>
      </x:c>
      <x:c r="N20" s="18" t="str">
        <x:v>本轮生效规则</x:v>
      </x:c>
      <x:c r="O20" s="18" t="str">
        <x:v>本轮生效规则</x:v>
      </x:c>
    </x:row>
    <x:row r="21" ht="24" customHeight="1">
      <x:c r="A21" s="36" t="str">
        <x:v>规则号</x:v>
      </x:c>
      <x:c r="B21" s="36" t="str">
        <x:v>分类</x:v>
      </x:c>
      <x:c r="C21" s="36" t="str">
        <x:v>规则内容</x:v>
      </x:c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</x:row>
    <x:row r="22" ht="33" customHeight="1">
      <x:c r="A22" s="30" t="str">
        <x:v>R01</x:v>
      </x:c>
      <x:c r="B22" s="29" t="str">
        <x:v>材料层次</x:v>
      </x:c>
      <x:c r="C22" s="29" t="str">
        <x:v>每大陆3种核心材料；C03—C10另有4种跨地图组四证材料；全局失色锻造石承接专属分解。</x:v>
      </x:c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</x:row>
    <x:row r="23" ht="33" customHeight="1">
      <x:c r="A23" s="30" t="str">
        <x:v>R02</x:v>
      </x:c>
      <x:c r="B23" s="29" t="str">
        <x:v>NPC位置</x:v>
      </x:c>
      <x:c r="C23" s="29" t="str">
        <x:v>只用本地图材料→该地图最后一层；使用全大陆材料→该大陆赐福点附近，切比雪夫距离4—8。</x:v>
      </x:c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</x:row>
    <x:row r="24" ht="33" customHeight="1">
      <x:c r="A24" s="30" t="str">
        <x:v>R03</x:v>
      </x:c>
      <x:c r="B24" s="29" t="str">
        <x:v>旧方案废止</x:v>
      </x:c>
      <x:c r="C24" s="29" t="str">
        <x:v>地图魂魄不再直接发称号、永久韧性或永久处决；现有任务/NPC/剧情壳继续保留。</x:v>
      </x:c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</x:row>
    <x:row r="25" ht="33" customHeight="1">
      <x:c r="A25" s="30" t="str">
        <x:v>R04</x:v>
      </x:c>
      <x:c r="B25" s="29" t="str">
        <x:v>强合成</x:v>
      </x:c>
      <x:c r="C25" s="29" t="str">
        <x:v>C01—C02无强合成；C03—C10共11件，100%成功，2件BOSS主材＋2件同槽非BOSS专属＋本地材料＋货币。</x:v>
      </x:c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</x:row>
    <x:row r="26" ht="33" customHeight="1">
      <x:c r="A26" s="30" t="str">
        <x:v>R05</x:v>
      </x:c>
      <x:c r="B26" s="29" t="str">
        <x:v>爆率闭环</x:v>
      </x:c>
      <x:c r="C26" s="29" t="str">
        <x:v>人物爆率从5倍成长到100倍；当前大陆掉率按本大陆M反推，不做高大陆返回低大陆惩罚。</x:v>
      </x:c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</x:row>
    <x:row r="27" ht="33" customHeight="1">
      <x:c r="A27" s="30" t="str">
        <x:v>R06</x:v>
      </x:c>
      <x:c r="B27" s="29" t="str">
        <x:v>四证奖励</x:v>
      </x:c>
      <x:c r="C27" s="29" t="str">
        <x:v>4件任务装备＋4个隐藏称号；最大爆率从原大陆装备预算中重分配，规划M不增加；不加韧性/处决。</x:v>
      </x:c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</x:row>
    <x:row r="28" ht="33" customHeight="1">
      <x:c r="A28" s="30" t="str">
        <x:v>R07</x:v>
      </x:c>
      <x:c r="B28" s="29" t="str">
        <x:v>分解</x:v>
      </x:c>
      <x:c r="C28" s="29" t="str">
        <x:v>大陆序号K：普通/精英/地图BOSS/守关BOSS专属分解失色锻造石=K/2K/3K/5K。</x:v>
      </x:c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</x:row>
    <x:row r="29" ht="33" customHeight="1">
      <x:c r="A29" s="30" t="str">
        <x:v>R08</x:v>
      </x:c>
      <x:c r="B29" s="29" t="str">
        <x:v>编号</x:v>
      </x:c>
      <x:c r="C29" s="29" t="str">
        <x:v>实际Idx、颜色、模板字段不猜；Codex扫描真实数据库后回填，已用与废止编号永久占用。</x:v>
      </x:c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</x:row>
    <x:row r="30" ht="33" customHeight="1">
      <x:c r="A30" s="30" t="str">
        <x:v>R09</x:v>
      </x:c>
      <x:c r="B30" s="29" t="str">
        <x:v>仓库</x:v>
      </x:c>
      <x:c r="C30" s="29" t="str">
        <x:v>无限仓库已经存在，本表不设计材料仓库、扩容券或仓库任务。</x:v>
      </x:c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</x:row>
  </x:sheetData>
  <x:mergeCells>
    <x:mergeCell ref="A1:O1"/>
    <x:mergeCell ref="A2:O2"/>
    <x:mergeCell ref="A7:O7"/>
    <x:mergeCell ref="A20:O20"/>
    <x:mergeCell ref="C21:O21"/>
    <x:mergeCell ref="C22:O22"/>
    <x:mergeCell ref="C23:O23"/>
    <x:mergeCell ref="C24:O24"/>
    <x:mergeCell ref="C25:O25"/>
    <x:mergeCell ref="C26:O26"/>
    <x:mergeCell ref="C27:O27"/>
    <x:mergeCell ref="C28:O28"/>
    <x:mergeCell ref="C29:O29"/>
    <x:mergeCell ref="C30:O30"/>
  </x:mergeCells>
  <x:conditionalFormatting sqref="N9:O18">
    <x:cfRule type="containsText" dxfId="0" priority="1" operator="containsText" text="已确认"/>
    <x:cfRule type="containsText" dxfId="1" priority="2" operator="containsText" text="定稿"/>
    <x:cfRule type="containsText" dxfId="2" priority="3" operator="containsText" text="正常"/>
    <x:cfRule type="containsText" dxfId="3" priority="4" operator="containsText" text="待"/>
    <x:cfRule type="containsText" dxfId="4" priority="5" operator="containsText" text="缺失"/>
    <x:cfRule type="containsText" dxfId="5" priority="6" operator="containsText" text="重复"/>
    <x:cfRule type="containsText" dxfId="6" priority="7" operator="containsText" text="严重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.5" hidden="0" customWidth="1"/>
    <x:col min="3" max="3" width="11.199999809265137" hidden="0" customWidth="1"/>
    <x:col min="4" max="4" width="10.5" hidden="0" customWidth="1"/>
    <x:col min="5" max="5" width="9" hidden="0" customWidth="1"/>
    <x:col min="6" max="6" width="23" hidden="0" customWidth="1"/>
    <x:col min="7" max="7" width="18" hidden="0" customWidth="1"/>
    <x:col min="8" max="8" width="18" hidden="0" customWidth="1"/>
    <x:col min="9" max="9" width="17" hidden="0" customWidth="1"/>
    <x:col min="10" max="10" width="19" hidden="0" customWidth="1"/>
    <x:col min="11" max="11" width="7" hidden="0" customWidth="1"/>
    <x:col min="12" max="12" width="7" hidden="0" customWidth="1"/>
    <x:col min="13" max="13" width="7.400000095367432" hidden="0" customWidth="1"/>
    <x:col min="14" max="14" width="22" hidden="0" customWidth="1"/>
    <x:col min="15" max="15" width="13" hidden="0" customWidth="1"/>
    <x:col min="16" max="16" width="12" hidden="0" customWidth="1"/>
    <x:col min="17" max="17" width="22" hidden="0" customWidth="1"/>
    <x:col min="18" max="18" width="9.5" hidden="0" customWidth="1"/>
    <x:col min="19" max="19" width="9" hidden="0" customWidth="1"/>
  </x:cols>
  <x:sheetData>
    <x:row r="1" ht="28.5" customHeight="1">
      <x:c r="A1" s="4" t="str">
        <x:v>材料总表｜68个已命名对象</x:v>
      </x:c>
      <x:c r="B1" s="4" t="str">
        <x:v>材料总表｜68个已命名对象</x:v>
      </x:c>
      <x:c r="C1" s="4" t="str">
        <x:v>材料总表｜68个已命名对象</x:v>
      </x:c>
      <x:c r="D1" s="4" t="str">
        <x:v>材料总表｜68个已命名对象</x:v>
      </x:c>
      <x:c r="E1" s="4" t="str">
        <x:v>材料总表｜68个已命名对象</x:v>
      </x:c>
      <x:c r="F1" s="4" t="str">
        <x:v>材料总表｜68个已命名对象</x:v>
      </x:c>
      <x:c r="G1" s="4" t="str">
        <x:v>材料总表｜68个已命名对象</x:v>
      </x:c>
      <x:c r="H1" s="4" t="str">
        <x:v>材料总表｜68个已命名对象</x:v>
      </x:c>
      <x:c r="I1" s="4" t="str">
        <x:v>材料总表｜68个已命名对象</x:v>
      </x:c>
      <x:c r="J1" s="4" t="str">
        <x:v>材料总表｜68个已命名对象</x:v>
      </x:c>
      <x:c r="K1" s="4" t="str">
        <x:v>材料总表｜68个已命名对象</x:v>
      </x:c>
      <x:c r="L1" s="4" t="str">
        <x:v>材料总表｜68个已命名对象</x:v>
      </x:c>
      <x:c r="M1" s="4" t="str">
        <x:v>材料总表｜68个已命名对象</x:v>
      </x:c>
      <x:c r="N1" s="4" t="str">
        <x:v>材料总表｜68个已命名对象</x:v>
      </x:c>
      <x:c r="O1" s="4" t="str">
        <x:v>材料总表｜68个已命名对象</x:v>
      </x:c>
      <x:c r="P1" s="4" t="str">
        <x:v>材料总表｜68个已命名对象</x:v>
      </x:c>
      <x:c r="Q1" s="4" t="str">
        <x:v>材料总表｜68个已命名对象</x:v>
      </x:c>
      <x:c r="R1" s="4" t="str">
        <x:v>材料总表｜68个已命名对象</x:v>
      </x:c>
      <x:c r="S1" s="4" t="str">
        <x:v>材料总表｜68个已命名对象</x:v>
      </x:c>
    </x:row>
    <x:row r="2" ht="31.5" customHeight="1">
      <x:c r="A2" s="40" t="str">
        <x:v>材料允许自由交易，NPC售价默认0；四证材料不可分解。C09/C10工作组名仅供定位，必须由Codex写入正式maps.json后才能标记已验证。实际颜色代码只在07_ID登记回填。</x:v>
      </x:c>
      <x:c r="B2" s="40" t="str">
        <x:v>材料允许自由交易，NPC售价默认0；四证材料不可分解。C09/C10工作组名仅供定位，必须由Codex写入正式maps.json后才能标记已验证。实际颜色代码只在07_ID登记回填。</x:v>
      </x:c>
      <x:c r="C2" s="40" t="str">
        <x:v>材料允许自由交易，NPC售价默认0；四证材料不可分解。C09/C10工作组名仅供定位，必须由Codex写入正式maps.json后才能标记已验证。实际颜色代码只在07_ID登记回填。</x:v>
      </x:c>
      <x:c r="D2" s="40" t="str">
        <x:v>材料允许自由交易，NPC售价默认0；四证材料不可分解。C09/C10工作组名仅供定位，必须由Codex写入正式maps.json后才能标记已验证。实际颜色代码只在07_ID登记回填。</x:v>
      </x:c>
      <x:c r="E2" s="40" t="str">
        <x:v>材料允许自由交易，NPC售价默认0；四证材料不可分解。C09/C10工作组名仅供定位，必须由Codex写入正式maps.json后才能标记已验证。实际颜色代码只在07_ID登记回填。</x:v>
      </x:c>
      <x:c r="F2" s="40" t="str">
        <x:v>材料允许自由交易，NPC售价默认0；四证材料不可分解。C09/C10工作组名仅供定位，必须由Codex写入正式maps.json后才能标记已验证。实际颜色代码只在07_ID登记回填。</x:v>
      </x:c>
      <x:c r="G2" s="40" t="str">
        <x:v>材料允许自由交易，NPC售价默认0；四证材料不可分解。C09/C10工作组名仅供定位，必须由Codex写入正式maps.json后才能标记已验证。实际颜色代码只在07_ID登记回填。</x:v>
      </x:c>
      <x:c r="H2" s="40" t="str">
        <x:v>材料允许自由交易，NPC售价默认0；四证材料不可分解。C09/C10工作组名仅供定位，必须由Codex写入正式maps.json后才能标记已验证。实际颜色代码只在07_ID登记回填。</x:v>
      </x:c>
      <x:c r="I2" s="40" t="str">
        <x:v>材料允许自由交易，NPC售价默认0；四证材料不可分解。C09/C10工作组名仅供定位，必须由Codex写入正式maps.json后才能标记已验证。实际颜色代码只在07_ID登记回填。</x:v>
      </x:c>
      <x:c r="J2" s="40" t="str">
        <x:v>材料允许自由交易，NPC售价默认0；四证材料不可分解。C09/C10工作组名仅供定位，必须由Codex写入正式maps.json后才能标记已验证。实际颜色代码只在07_ID登记回填。</x:v>
      </x:c>
      <x:c r="K2" s="40" t="str">
        <x:v>材料允许自由交易，NPC售价默认0；四证材料不可分解。C09/C10工作组名仅供定位，必须由Codex写入正式maps.json后才能标记已验证。实际颜色代码只在07_ID登记回填。</x:v>
      </x:c>
      <x:c r="L2" s="40" t="str">
        <x:v>材料允许自由交易，NPC售价默认0；四证材料不可分解。C09/C10工作组名仅供定位，必须由Codex写入正式maps.json后才能标记已验证。实际颜色代码只在07_ID登记回填。</x:v>
      </x:c>
      <x:c r="M2" s="40" t="str">
        <x:v>材料允许自由交易，NPC售价默认0；四证材料不可分解。C09/C10工作组名仅供定位，必须由Codex写入正式maps.json后才能标记已验证。实际颜色代码只在07_ID登记回填。</x:v>
      </x:c>
      <x:c r="N2" s="40" t="str">
        <x:v>材料允许自由交易，NPC售价默认0；四证材料不可分解。C09/C10工作组名仅供定位，必须由Codex写入正式maps.json后才能标记已验证。实际颜色代码只在07_ID登记回填。</x:v>
      </x:c>
      <x:c r="O2" s="40" t="str">
        <x:v>材料允许自由交易，NPC售价默认0；四证材料不可分解。C09/C10工作组名仅供定位，必须由Codex写入正式maps.json后才能标记已验证。实际颜色代码只在07_ID登记回填。</x:v>
      </x:c>
      <x:c r="P2" s="40" t="str">
        <x:v>材料允许自由交易，NPC售价默认0；四证材料不可分解。C09/C10工作组名仅供定位，必须由Codex写入正式maps.json后才能标记已验证。实际颜色代码只在07_ID登记回填。</x:v>
      </x:c>
      <x:c r="Q2" s="40" t="str">
        <x:v>材料允许自由交易，NPC售价默认0；四证材料不可分解。C09/C10工作组名仅供定位，必须由Codex写入正式maps.json后才能标记已验证。实际颜色代码只在07_ID登记回填。</x:v>
      </x:c>
      <x:c r="R2" s="40" t="str">
        <x:v>材料允许自由交易，NPC售价默认0；四证材料不可分解。C09/C10工作组名仅供定位，必须由Codex写入正式maps.json后才能标记已验证。实际颜色代码只在07_ID登记回填。</x:v>
      </x:c>
      <x:c r="S2" s="40" t="str">
        <x:v>材料允许自由交易，NPC售价默认0；四证材料不可分解。C09/C10工作组名仅供定位，必须由Codex写入正式maps.json后才能标记已验证。实际颜色代码只在07_ID登记回填。</x:v>
      </x:c>
    </x:row>
    <x:row r="4" ht="24" customHeight="1">
      <x:c r="A4" s="24" t="str">
        <x:v>逻辑编号</x:v>
      </x:c>
      <x:c r="B4" s="24" t="str">
        <x:v>大陆</x:v>
      </x:c>
      <x:c r="C4" s="24" t="str">
        <x:v>材料名称</x:v>
      </x:c>
      <x:c r="D4" s="24" t="str">
        <x:v>分类</x:v>
      </x:c>
      <x:c r="E4" s="24" t="str">
        <x:v>颜色语义</x:v>
      </x:c>
      <x:c r="F4" s="24" t="str">
        <x:v>主要来源</x:v>
      </x:c>
      <x:c r="G4" s="24" t="str">
        <x:v>称号用途</x:v>
      </x:c>
      <x:c r="H4" s="24" t="str">
        <x:v>强合成用途</x:v>
      </x:c>
      <x:c r="I4" s="24" t="str">
        <x:v>任务用途</x:v>
      </x:c>
      <x:c r="J4" s="24" t="str">
        <x:v>其他用途/产量</x:v>
      </x:c>
      <x:c r="K4" s="24" t="str">
        <x:v>绑定</x:v>
      </x:c>
      <x:c r="L4" s="24" t="str">
        <x:v>交易</x:v>
      </x:c>
      <x:c r="M4" s="24" t="str">
        <x:v>NPC售价</x:v>
      </x:c>
      <x:c r="N4" s="24" t="str">
        <x:v>完成后处理</x:v>
      </x:c>
      <x:c r="O4" s="24" t="str">
        <x:v>设计状态</x:v>
      </x:c>
      <x:c r="P4" s="24" t="str">
        <x:v>ID/颜色状态</x:v>
      </x:c>
      <x:c r="Q4" s="24" t="str">
        <x:v>备注</x:v>
      </x:c>
      <x:c r="R4" s="24" t="str">
        <x:v>逻辑编号检查</x:v>
      </x:c>
      <x:c r="S4" s="24" t="str">
        <x:v>名称检查</x:v>
      </x:c>
    </x:row>
    <x:row r="5" ht="30" customHeight="1">
      <x:c r="A5" s="30" t="str">
        <x:v>EL-MAT-GLOBAL-SOMBER</x:v>
      </x:c>
      <x:c r="B5" s="30" t="str">
        <x:v>ALL</x:v>
      </x:c>
      <x:c r="C5" s="30" t="str">
        <x:v>失色锻造石</x:v>
      </x:c>
      <x:c r="D5" s="30" t="str">
        <x:v>全局分解材料</x:v>
      </x:c>
      <x:c r="E5" s="30" t="str">
        <x:v>锻造·橙金</x:v>
      </x:c>
      <x:c r="F5" s="29" t="str">
        <x:v>怪物专属装备分解</x:v>
      </x:c>
      <x:c r="G5" s="29" t="str">
        <x:v>不消耗</x:v>
      </x:c>
      <x:c r="H5" s="29" t="str">
        <x:v>专属锻造/洗练消耗；具体表由脚本窗口回填</x:v>
      </x:c>
      <x:c r="I5" s="29" t="str">
        <x:v>可作为后续任务货币</x:v>
      </x:c>
      <x:c r="J5" s="29" t="str">
        <x:v>C01起按来源等级递增产出</x:v>
      </x:c>
      <x:c r="K5" s="30" t="str">
        <x:v>非绑定</x:v>
      </x:c>
      <x:c r="L5" s="30" t="str">
        <x:v>可交易</x:v>
      </x:c>
      <x:c r="M5" s="41" t="n">
        <x:v>0</x:v>
      </x:c>
      <x:c r="N5" s="30" t="str">
        <x:v>永久保留编号</x:v>
      </x:c>
      <x:c r="O5" s="30" t="str">
        <x:v>规则已确认</x:v>
      </x:c>
      <x:c r="P5" s="30" t="str">
        <x:v>待Codex扫描</x:v>
      </x:c>
      <x:c r="Q5" s="30" t="str">
        <x:v>不得擅自替换同名旧资产</x:v>
      </x:c>
      <x:c r="R5" s="30" t="str">
        <x:f>IF(COUNTIF($A$5:$A$72,A5)&gt;1,"重复","正常")</x:f>
        <x:v>正常</x:v>
      </x:c>
      <x:c r="S5" s="30" t="str">
        <x:f>IF(COUNTIF($C$5:$C$72,C5)&gt;1,"重名","正常")</x:f>
        <x:v>正常</x:v>
      </x:c>
    </x:row>
    <x:row r="6" ht="30" customHeight="1">
      <x:c r="A6" s="30" t="str">
        <x:v>EL-MAT-C02-BONE</x:v>
      </x:c>
      <x:c r="B6" s="30" t="str">
        <x:v>C02</x:v>
      </x:c>
      <x:c r="C6" s="30" t="str">
        <x:v>野兽骨片</x:v>
      </x:c>
      <x:c r="D6" s="30" t="str">
        <x:v>既有成长材料</x:v>
      </x:c>
      <x:c r="E6" s="30" t="str">
        <x:v>成长·蓝</x:v>
      </x:c>
      <x:c r="F6" s="29" t="str">
        <x:v>沿用宁姆格福既有掉落</x:v>
      </x:c>
      <x:c r="G6" s="29" t="str">
        <x:v>不进入新五阶段大陆称号</x:v>
      </x:c>
      <x:c r="H6" s="29" t="str">
        <x:v>不进入强合成</x:v>
      </x:c>
      <x:c r="I6" s="29" t="str">
        <x:v>宁姆格福200层锻体</x:v>
      </x:c>
      <x:c r="J6" s="29" t="str">
        <x:v>既有资产不可改名/删除</x:v>
      </x:c>
      <x:c r="K6" s="30" t="str">
        <x:v>非绑定</x:v>
      </x:c>
      <x:c r="L6" s="30" t="str">
        <x:v>可交易</x:v>
      </x:c>
      <x:c r="M6" s="41" t="n">
        <x:v>0</x:v>
      </x:c>
      <x:c r="N6" s="30" t="str">
        <x:v>永久保留编号</x:v>
      </x:c>
      <x:c r="O6" s="30" t="str">
        <x:v>既有资产待核号</x:v>
      </x:c>
      <x:c r="P6" s="30" t="str">
        <x:v>待Codex扫描</x:v>
      </x:c>
      <x:c r="Q6" s="30" t="str">
        <x:v>不得擅自替换同名旧资产</x:v>
      </x:c>
      <x:c r="R6" s="30" t="str">
        <x:f>IF(COUNTIF($A$5:$A$72,A6)&gt;1,"重复","正常")</x:f>
        <x:v>正常</x:v>
      </x:c>
      <x:c r="S6" s="30" t="str">
        <x:f>IF(COUNTIF($C$5:$C$72,C6)&gt;1,"重名","正常")</x:f>
        <x:v>正常</x:v>
      </x:c>
    </x:row>
    <x:row r="7" ht="30" customHeight="1">
      <x:c r="A7" s="30" t="str">
        <x:v>EL-MAT-C02-RUNE</x:v>
      </x:c>
      <x:c r="B7" s="30" t="str">
        <x:v>C02</x:v>
      </x:c>
      <x:c r="C7" s="30" t="str">
        <x:v>神秘符文</x:v>
      </x:c>
      <x:c r="D7" s="30" t="str">
        <x:v>既有成长材料</x:v>
      </x:c>
      <x:c r="E7" s="30" t="str">
        <x:v>成长·紫</x:v>
      </x:c>
      <x:c r="F7" s="29" t="str">
        <x:v>沿用现有任务/称号脚本</x:v>
      </x:c>
      <x:c r="G7" s="29" t="str">
        <x:v>保留原链；不替代风暴石片/黄金树芽</x:v>
      </x:c>
      <x:c r="H7" s="29" t="str">
        <x:v>不进入强合成</x:v>
      </x:c>
      <x:c r="I7" s="29" t="str">
        <x:v>原有成长称号</x:v>
      </x:c>
      <x:c r="J7" s="29" t="str">
        <x:v>既有资产不可改名/删除</x:v>
      </x:c>
      <x:c r="K7" s="30" t="str">
        <x:v>非绑定</x:v>
      </x:c>
      <x:c r="L7" s="30" t="str">
        <x:v>可交易</x:v>
      </x:c>
      <x:c r="M7" s="41" t="n">
        <x:v>0</x:v>
      </x:c>
      <x:c r="N7" s="30" t="str">
        <x:v>永久保留编号</x:v>
      </x:c>
      <x:c r="O7" s="30" t="str">
        <x:v>既有资产待核号</x:v>
      </x:c>
      <x:c r="P7" s="30" t="str">
        <x:v>待Codex扫描</x:v>
      </x:c>
      <x:c r="Q7" s="30" t="str">
        <x:v>不得擅自替换同名旧资产</x:v>
      </x:c>
      <x:c r="R7" s="30" t="str">
        <x:f>IF(COUNTIF($A$5:$A$72,A7)&gt;1,"重复","正常")</x:f>
        <x:v>正常</x:v>
      </x:c>
      <x:c r="S7" s="30" t="str">
        <x:f>IF(COUNTIF($C$5:$C$72,C7)&gt;1,"重名","正常")</x:f>
        <x:v>正常</x:v>
      </x:c>
    </x:row>
    <x:row r="8" ht="30" customHeight="1">
      <x:c r="A8" s="30" t="str">
        <x:v>EL-MAT-C01-WITNESS-TIDE</x:v>
      </x:c>
      <x:c r="B8" s="30" t="str">
        <x:v>C01</x:v>
      </x:c>
      <x:c r="C8" s="30" t="str">
        <x:v>漂流见证·潮</x:v>
      </x:c>
      <x:c r="D8" s="30" t="str">
        <x:v>剧情进度材料</x:v>
      </x:c>
      <x:c r="E8" s="30" t="str">
        <x:v>剧情·金</x:v>
      </x:c>
      <x:c r="F8" s="29" t="str">
        <x:v>海岸亡魂任务固定奖励</x:v>
      </x:c>
      <x:c r="G8" s="29" t="str">
        <x:v>只记剧情，不直接加韧性</x:v>
      </x:c>
      <x:c r="H8" s="29" t="str">
        <x:v>不进入强合成</x:v>
      </x:c>
      <x:c r="I8" s="29" t="str">
        <x:v>原任务替代奖励</x:v>
      </x:c>
      <x:c r="J8" s="29" t="str">
        <x:v>永久保留任务壳</x:v>
      </x:c>
      <x:c r="K8" s="30" t="str">
        <x:v>非绑定</x:v>
      </x:c>
      <x:c r="L8" s="30" t="str">
        <x:v>可交易</x:v>
      </x:c>
      <x:c r="M8" s="41" t="n">
        <x:v>0</x:v>
      </x:c>
      <x:c r="N8" s="30" t="str">
        <x:v>永久保留编号</x:v>
      </x:c>
      <x:c r="O8" s="30" t="str">
        <x:v>规则已确认</x:v>
      </x:c>
      <x:c r="P8" s="30" t="str">
        <x:v>待Codex扫描</x:v>
      </x:c>
      <x:c r="Q8" s="30" t="str">
        <x:v>不得擅自替换同名旧资产</x:v>
      </x:c>
      <x:c r="R8" s="30" t="str">
        <x:f>IF(COUNTIF($A$5:$A$72,A8)&gt;1,"重复","正常")</x:f>
        <x:v>正常</x:v>
      </x:c>
      <x:c r="S8" s="30" t="str">
        <x:f>IF(COUNTIF($C$5:$C$72,C8)&gt;1,"重名","正常")</x:f>
        <x:v>正常</x:v>
      </x:c>
    </x:row>
    <x:row r="9" ht="30" customHeight="1">
      <x:c r="A9" s="30" t="str">
        <x:v>EL-MAT-C01-WITNESS-STORM</x:v>
      </x:c>
      <x:c r="B9" s="30" t="str">
        <x:v>C01</x:v>
      </x:c>
      <x:c r="C9" s="30" t="str">
        <x:v>漂流见证·雷</x:v>
      </x:c>
      <x:c r="D9" s="30" t="str">
        <x:v>剧情进度材料</x:v>
      </x:c>
      <x:c r="E9" s="30" t="str">
        <x:v>剧情·金</x:v>
      </x:c>
      <x:c r="F9" s="29" t="str">
        <x:v>风暴遗誓任务固定奖励</x:v>
      </x:c>
      <x:c r="G9" s="29" t="str">
        <x:v>只记剧情，不直接加韧性</x:v>
      </x:c>
      <x:c r="H9" s="29" t="str">
        <x:v>不进入强合成</x:v>
      </x:c>
      <x:c r="I9" s="29" t="str">
        <x:v>原任务替代奖励</x:v>
      </x:c>
      <x:c r="J9" s="29" t="str">
        <x:v>永久保留任务壳</x:v>
      </x:c>
      <x:c r="K9" s="30" t="str">
        <x:v>非绑定</x:v>
      </x:c>
      <x:c r="L9" s="30" t="str">
        <x:v>可交易</x:v>
      </x:c>
      <x:c r="M9" s="41" t="n">
        <x:v>0</x:v>
      </x:c>
      <x:c r="N9" s="30" t="str">
        <x:v>永久保留编号</x:v>
      </x:c>
      <x:c r="O9" s="30" t="str">
        <x:v>规则已确认</x:v>
      </x:c>
      <x:c r="P9" s="30" t="str">
        <x:v>待Codex扫描</x:v>
      </x:c>
      <x:c r="Q9" s="30" t="str">
        <x:v>不得擅自替换同名旧资产</x:v>
      </x:c>
      <x:c r="R9" s="30" t="str">
        <x:f>IF(COUNTIF($A$5:$A$72,A9)&gt;1,"重复","正常")</x:f>
        <x:v>正常</x:v>
      </x:c>
      <x:c r="S9" s="30" t="str">
        <x:f>IF(COUNTIF($C$5:$C$72,C9)&gt;1,"重名","正常")</x:f>
        <x:v>正常</x:v>
      </x:c>
    </x:row>
    <x:row r="10" ht="30" customHeight="1">
      <x:c r="A10" s="30" t="str">
        <x:v>EL-MAT-C02-OATHPAGE</x:v>
      </x:c>
      <x:c r="B10" s="30" t="str">
        <x:v>C02</x:v>
      </x:c>
      <x:c r="C10" s="30" t="str">
        <x:v>宁姆格福誓页</x:v>
      </x:c>
      <x:c r="D10" s="30" t="str">
        <x:v>剧情进度材料</x:v>
      </x:c>
      <x:c r="E10" s="30" t="str">
        <x:v>剧情·金</x:v>
      </x:c>
      <x:c r="F10" s="29" t="str">
        <x:v>宁姆格福前四任务固定奖励</x:v>
      </x:c>
      <x:c r="G10" s="29" t="str">
        <x:v>只记剧情，不直接加韧性</x:v>
      </x:c>
      <x:c r="H10" s="29" t="str">
        <x:v>不进入强合成</x:v>
      </x:c>
      <x:c r="I10" s="29" t="str">
        <x:v>原任务替代奖励</x:v>
      </x:c>
      <x:c r="J10" s="29" t="str">
        <x:v>原21种任务材料名称/来源关系保留</x:v>
      </x:c>
      <x:c r="K10" s="30" t="str">
        <x:v>非绑定</x:v>
      </x:c>
      <x:c r="L10" s="30" t="str">
        <x:v>可交易</x:v>
      </x:c>
      <x:c r="M10" s="41" t="n">
        <x:v>0</x:v>
      </x:c>
      <x:c r="N10" s="30" t="str">
        <x:v>永久保留编号</x:v>
      </x:c>
      <x:c r="O10" s="30" t="str">
        <x:v>规则已确认</x:v>
      </x:c>
      <x:c r="P10" s="30" t="str">
        <x:v>待Codex扫描</x:v>
      </x:c>
      <x:c r="Q10" s="30" t="str">
        <x:v>不得擅自替换同名旧资产</x:v>
      </x:c>
      <x:c r="R10" s="30" t="str">
        <x:f>IF(COUNTIF($A$5:$A$72,A10)&gt;1,"重复","正常")</x:f>
        <x:v>正常</x:v>
      </x:c>
      <x:c r="S10" s="30" t="str">
        <x:f>IF(COUNTIF($C$5:$C$72,C10)&gt;1,"重名","正常")</x:f>
        <x:v>正常</x:v>
      </x:c>
    </x:row>
    <x:row r="11" ht="30" customHeight="1">
      <x:c r="A11" s="30" t="str">
        <x:v>EL-MAT-C01-COM</x:v>
      </x:c>
      <x:c r="B11" s="30" t="str">
        <x:v>C01</x:v>
      </x:c>
      <x:c r="C11" s="30" t="str">
        <x:v>海蚀铁片</x:v>
      </x:c>
      <x:c r="D11" s="30" t="str">
        <x:v>大陆通用材料</x:v>
      </x:c>
      <x:c r="E11" s="30" t="str">
        <x:v>常规·白</x:v>
      </x:c>
      <x:c r="F11" s="29" t="str">
        <x:v>本大陆普通怪独立掉落</x:v>
      </x:c>
      <x:c r="G11" s="29" t="str">
        <x:v>五阶段合计450</x:v>
      </x:c>
      <x:c r="H11" s="29" t="str">
        <x:v>本大陆不开强合成</x:v>
      </x:c>
      <x:c r="I11" s="29" t="str">
        <x:v>可作同大陆支线辅料</x:v>
      </x:c>
      <x:c r="J11" s="29" t="str">
        <x:v>稳定目标60/小时</x:v>
      </x:c>
      <x:c r="K11" s="30" t="str">
        <x:v>非绑定</x:v>
      </x:c>
      <x:c r="L11" s="30" t="str">
        <x:v>可交易</x:v>
      </x:c>
      <x:c r="M11" s="41" t="n">
        <x:v>0</x:v>
      </x:c>
      <x:c r="N11" s="30" t="str">
        <x:v>永久保留编号</x:v>
      </x:c>
      <x:c r="O11" s="30" t="str">
        <x:v>正式设计待编号</x:v>
      </x:c>
      <x:c r="P11" s="30" t="str">
        <x:v>待Codex扫描</x:v>
      </x:c>
      <x:c r="Q11" s="30" t="str">
        <x:v>不得擅自替换同名旧资产</x:v>
      </x:c>
      <x:c r="R11" s="30" t="str">
        <x:f>IF(COUNTIF($A$5:$A$72,A11)&gt;1,"重复","正常")</x:f>
        <x:v>正常</x:v>
      </x:c>
      <x:c r="S11" s="30" t="str">
        <x:f>IF(COUNTIF($C$5:$C$72,C11)&gt;1,"重名","正常")</x:f>
        <x:v>正常</x:v>
      </x:c>
    </x:row>
    <x:row r="12" ht="30" customHeight="1">
      <x:c r="A12" s="30" t="str">
        <x:v>EL-MAT-C01-RARE</x:v>
      </x:c>
      <x:c r="B12" s="30" t="str">
        <x:v>C01</x:v>
      </x:c>
      <x:c r="C12" s="30" t="str">
        <x:v>潮痕结晶</x:v>
      </x:c>
      <x:c r="D12" s="30" t="str">
        <x:v>大陆稀有材料</x:v>
      </x:c>
      <x:c r="E12" s="30" t="str">
        <x:v>稀有·蓝紫</x:v>
      </x:c>
      <x:c r="F12" s="29" t="str">
        <x:v>本大陆精英怪独立掉落</x:v>
      </x:c>
      <x:c r="G12" s="29" t="str">
        <x:v>五阶段合计20</x:v>
      </x:c>
      <x:c r="H12" s="29" t="str">
        <x:v>本大陆不开强合成</x:v>
      </x:c>
      <x:c r="I12" s="29" t="str">
        <x:v>可作同大陆支线辅料</x:v>
      </x:c>
      <x:c r="J12" s="29" t="str">
        <x:v>稳定目标4/小时</x:v>
      </x:c>
      <x:c r="K12" s="30" t="str">
        <x:v>非绑定</x:v>
      </x:c>
      <x:c r="L12" s="30" t="str">
        <x:v>可交易</x:v>
      </x:c>
      <x:c r="M12" s="41" t="n">
        <x:v>0</x:v>
      </x:c>
      <x:c r="N12" s="30" t="str">
        <x:v>永久保留编号</x:v>
      </x:c>
      <x:c r="O12" s="30" t="str">
        <x:v>正式设计待编号</x:v>
      </x:c>
      <x:c r="P12" s="30" t="str">
        <x:v>待Codex扫描</x:v>
      </x:c>
      <x:c r="Q12" s="30" t="str">
        <x:v>不得擅自替换同名旧资产</x:v>
      </x:c>
      <x:c r="R12" s="30" t="str">
        <x:f>IF(COUNTIF($A$5:$A$72,A12)&gt;1,"重复","正常")</x:f>
        <x:v>正常</x:v>
      </x:c>
      <x:c r="S12" s="30" t="str">
        <x:f>IF(COUNTIF($C$5:$C$72,C12)&gt;1,"重名","正常")</x:f>
        <x:v>正常</x:v>
      </x:c>
    </x:row>
    <x:row r="13" ht="30" customHeight="1">
      <x:c r="A13" s="30" t="str">
        <x:v>EL-MAT-C01-MARK</x:v>
      </x:c>
      <x:c r="B13" s="30" t="str">
        <x:v>C01</x:v>
      </x:c>
      <x:c r="C13" s="30" t="str">
        <x:v>漂流大陆印记</x:v>
      </x:c>
      <x:c r="D13" s="30" t="str">
        <x:v>大陆剧情印记</x:v>
      </x:c>
      <x:c r="E13" s="30" t="str">
        <x:v>剧情·金</x:v>
      </x:c>
      <x:c r="F13" s="29" t="str">
        <x:v>主任务/守关BOSS首杀固定1</x:v>
      </x:c>
      <x:c r="G13" s="29" t="str">
        <x:v>第5阶段消耗1</x:v>
      </x:c>
      <x:c r="H13" s="29" t="str">
        <x:v>不可进入随机合成消耗</x:v>
      </x:c>
      <x:c r="I13" s="29" t="str">
        <x:v>大陆完成凭证</x:v>
      </x:c>
      <x:c r="J13" s="29" t="str">
        <x:v>不进入随机掉落池</x:v>
      </x:c>
      <x:c r="K13" s="30" t="str">
        <x:v>非绑定</x:v>
      </x:c>
      <x:c r="L13" s="30" t="str">
        <x:v>可交易</x:v>
      </x:c>
      <x:c r="M13" s="41" t="n">
        <x:v>0</x:v>
      </x:c>
      <x:c r="N13" s="30" t="str">
        <x:v>永久保留编号</x:v>
      </x:c>
      <x:c r="O13" s="30" t="str">
        <x:v>正式设计待编号</x:v>
      </x:c>
      <x:c r="P13" s="30" t="str">
        <x:v>待Codex扫描</x:v>
      </x:c>
      <x:c r="Q13" s="30" t="str">
        <x:v>不得擅自替换同名旧资产</x:v>
      </x:c>
      <x:c r="R13" s="30" t="str">
        <x:f>IF(COUNTIF($A$5:$A$72,A13)&gt;1,"重复","正常")</x:f>
        <x:v>正常</x:v>
      </x:c>
      <x:c r="S13" s="30" t="str">
        <x:f>IF(COUNTIF($C$5:$C$72,C13)&gt;1,"重名","正常")</x:f>
        <x:v>正常</x:v>
      </x:c>
    </x:row>
    <x:row r="14" ht="30" customHeight="1">
      <x:c r="A14" s="30" t="str">
        <x:v>EL-MAT-C02-COM</x:v>
      </x:c>
      <x:c r="B14" s="30" t="str">
        <x:v>C02</x:v>
      </x:c>
      <x:c r="C14" s="30" t="str">
        <x:v>风暴石片</x:v>
      </x:c>
      <x:c r="D14" s="30" t="str">
        <x:v>大陆通用材料</x:v>
      </x:c>
      <x:c r="E14" s="30" t="str">
        <x:v>常规·白</x:v>
      </x:c>
      <x:c r="F14" s="29" t="str">
        <x:v>本大陆普通怪独立掉落</x:v>
      </x:c>
      <x:c r="G14" s="29" t="str">
        <x:v>五阶段合计450</x:v>
      </x:c>
      <x:c r="H14" s="29" t="str">
        <x:v>本大陆不开强合成</x:v>
      </x:c>
      <x:c r="I14" s="29" t="str">
        <x:v>可作同大陆支线辅料</x:v>
      </x:c>
      <x:c r="J14" s="29" t="str">
        <x:v>稳定目标60/小时</x:v>
      </x:c>
      <x:c r="K14" s="30" t="str">
        <x:v>非绑定</x:v>
      </x:c>
      <x:c r="L14" s="30" t="str">
        <x:v>可交易</x:v>
      </x:c>
      <x:c r="M14" s="41" t="n">
        <x:v>0</x:v>
      </x:c>
      <x:c r="N14" s="30" t="str">
        <x:v>永久保留编号</x:v>
      </x:c>
      <x:c r="O14" s="30" t="str">
        <x:v>正式设计待编号</x:v>
      </x:c>
      <x:c r="P14" s="30" t="str">
        <x:v>待Codex扫描</x:v>
      </x:c>
      <x:c r="Q14" s="30" t="str">
        <x:v>不得擅自替换同名旧资产</x:v>
      </x:c>
      <x:c r="R14" s="30" t="str">
        <x:f>IF(COUNTIF($A$5:$A$72,A14)&gt;1,"重复","正常")</x:f>
        <x:v>正常</x:v>
      </x:c>
      <x:c r="S14" s="30" t="str">
        <x:f>IF(COUNTIF($C$5:$C$72,C14)&gt;1,"重名","正常")</x:f>
        <x:v>正常</x:v>
      </x:c>
    </x:row>
    <x:row r="15" ht="30" customHeight="1">
      <x:c r="A15" s="30" t="str">
        <x:v>EL-MAT-C02-RARE</x:v>
      </x:c>
      <x:c r="B15" s="30" t="str">
        <x:v>C02</x:v>
      </x:c>
      <x:c r="C15" s="30" t="str">
        <x:v>黄金树芽</x:v>
      </x:c>
      <x:c r="D15" s="30" t="str">
        <x:v>大陆稀有材料</x:v>
      </x:c>
      <x:c r="E15" s="30" t="str">
        <x:v>稀有·蓝紫</x:v>
      </x:c>
      <x:c r="F15" s="29" t="str">
        <x:v>本大陆精英怪独立掉落</x:v>
      </x:c>
      <x:c r="G15" s="29" t="str">
        <x:v>五阶段合计20</x:v>
      </x:c>
      <x:c r="H15" s="29" t="str">
        <x:v>本大陆不开强合成</x:v>
      </x:c>
      <x:c r="I15" s="29" t="str">
        <x:v>可作同大陆支线辅料</x:v>
      </x:c>
      <x:c r="J15" s="29" t="str">
        <x:v>稳定目标4/小时</x:v>
      </x:c>
      <x:c r="K15" s="30" t="str">
        <x:v>非绑定</x:v>
      </x:c>
      <x:c r="L15" s="30" t="str">
        <x:v>可交易</x:v>
      </x:c>
      <x:c r="M15" s="41" t="n">
        <x:v>0</x:v>
      </x:c>
      <x:c r="N15" s="30" t="str">
        <x:v>永久保留编号</x:v>
      </x:c>
      <x:c r="O15" s="30" t="str">
        <x:v>正式设计待编号</x:v>
      </x:c>
      <x:c r="P15" s="30" t="str">
        <x:v>待Codex扫描</x:v>
      </x:c>
      <x:c r="Q15" s="30" t="str">
        <x:v>不得擅自替换同名旧资产</x:v>
      </x:c>
      <x:c r="R15" s="30" t="str">
        <x:f>IF(COUNTIF($A$5:$A$72,A15)&gt;1,"重复","正常")</x:f>
        <x:v>正常</x:v>
      </x:c>
      <x:c r="S15" s="30" t="str">
        <x:f>IF(COUNTIF($C$5:$C$72,C15)&gt;1,"重名","正常")</x:f>
        <x:v>正常</x:v>
      </x:c>
    </x:row>
    <x:row r="16" ht="30" customHeight="1">
      <x:c r="A16" s="30" t="str">
        <x:v>EL-MAT-C02-MARK</x:v>
      </x:c>
      <x:c r="B16" s="30" t="str">
        <x:v>C02</x:v>
      </x:c>
      <x:c r="C16" s="30" t="str">
        <x:v>接肢王印</x:v>
      </x:c>
      <x:c r="D16" s="30" t="str">
        <x:v>大陆剧情印记</x:v>
      </x:c>
      <x:c r="E16" s="30" t="str">
        <x:v>剧情·金</x:v>
      </x:c>
      <x:c r="F16" s="29" t="str">
        <x:v>主任务/守关BOSS首杀固定1</x:v>
      </x:c>
      <x:c r="G16" s="29" t="str">
        <x:v>第5阶段消耗1</x:v>
      </x:c>
      <x:c r="H16" s="29" t="str">
        <x:v>不可进入随机合成消耗</x:v>
      </x:c>
      <x:c r="I16" s="29" t="str">
        <x:v>大陆完成凭证</x:v>
      </x:c>
      <x:c r="J16" s="29" t="str">
        <x:v>不进入随机掉落池</x:v>
      </x:c>
      <x:c r="K16" s="30" t="str">
        <x:v>非绑定</x:v>
      </x:c>
      <x:c r="L16" s="30" t="str">
        <x:v>可交易</x:v>
      </x:c>
      <x:c r="M16" s="41" t="n">
        <x:v>0</x:v>
      </x:c>
      <x:c r="N16" s="30" t="str">
        <x:v>永久保留编号</x:v>
      </x:c>
      <x:c r="O16" s="30" t="str">
        <x:v>正式设计待编号</x:v>
      </x:c>
      <x:c r="P16" s="30" t="str">
        <x:v>待Codex扫描</x:v>
      </x:c>
      <x:c r="Q16" s="30" t="str">
        <x:v>不得擅自替换同名旧资产</x:v>
      </x:c>
      <x:c r="R16" s="30" t="str">
        <x:f>IF(COUNTIF($A$5:$A$72,A16)&gt;1,"重复","正常")</x:f>
        <x:v>正常</x:v>
      </x:c>
      <x:c r="S16" s="30" t="str">
        <x:f>IF(COUNTIF($C$5:$C$72,C16)&gt;1,"重名","正常")</x:f>
        <x:v>正常</x:v>
      </x:c>
    </x:row>
    <x:row r="17" ht="30" customHeight="1">
      <x:c r="A17" s="30" t="str">
        <x:v>EL-MAT-C03-COM</x:v>
      </x:c>
      <x:c r="B17" s="30" t="str">
        <x:v>C03</x:v>
      </x:c>
      <x:c r="C17" s="30" t="str">
        <x:v>风蚀铁片</x:v>
      </x:c>
      <x:c r="D17" s="30" t="str">
        <x:v>大陆通用材料</x:v>
      </x:c>
      <x:c r="E17" s="30" t="str">
        <x:v>常规·白</x:v>
      </x:c>
      <x:c r="F17" s="29" t="str">
        <x:v>本大陆普通怪独立掉落</x:v>
      </x:c>
      <x:c r="G17" s="29" t="str">
        <x:v>五阶段合计450</x:v>
      </x:c>
      <x:c r="H17" s="29" t="str">
        <x:v>强合成合计360</x:v>
      </x:c>
      <x:c r="I17" s="29" t="str">
        <x:v>可作同大陆支线辅料</x:v>
      </x:c>
      <x:c r="J17" s="29" t="str">
        <x:v>稳定目标60/小时</x:v>
      </x:c>
      <x:c r="K17" s="30" t="str">
        <x:v>非绑定</x:v>
      </x:c>
      <x:c r="L17" s="30" t="str">
        <x:v>可交易</x:v>
      </x:c>
      <x:c r="M17" s="41" t="n">
        <x:v>0</x:v>
      </x:c>
      <x:c r="N17" s="30" t="str">
        <x:v>永久保留编号</x:v>
      </x:c>
      <x:c r="O17" s="30" t="str">
        <x:v>正式设计待编号</x:v>
      </x:c>
      <x:c r="P17" s="30" t="str">
        <x:v>待Codex扫描</x:v>
      </x:c>
      <x:c r="Q17" s="30" t="str">
        <x:v>不得擅自替换同名旧资产</x:v>
      </x:c>
      <x:c r="R17" s="30" t="str">
        <x:f>IF(COUNTIF($A$5:$A$72,A17)&gt;1,"重复","正常")</x:f>
        <x:v>正常</x:v>
      </x:c>
      <x:c r="S17" s="30" t="str">
        <x:f>IF(COUNTIF($C$5:$C$72,C17)&gt;1,"重名","正常")</x:f>
        <x:v>正常</x:v>
      </x:c>
    </x:row>
    <x:row r="18" ht="30" customHeight="1">
      <x:c r="A18" s="30" t="str">
        <x:v>EL-MAT-C03-RARE</x:v>
      </x:c>
      <x:c r="B18" s="30" t="str">
        <x:v>C03</x:v>
      </x:c>
      <x:c r="C18" s="30" t="str">
        <x:v>西境战旗</x:v>
      </x:c>
      <x:c r="D18" s="30" t="str">
        <x:v>大陆稀有材料</x:v>
      </x:c>
      <x:c r="E18" s="30" t="str">
        <x:v>稀有·蓝紫</x:v>
      </x:c>
      <x:c r="F18" s="29" t="str">
        <x:v>本大陆精英怪独立掉落</x:v>
      </x:c>
      <x:c r="G18" s="29" t="str">
        <x:v>五阶段合计20</x:v>
      </x:c>
      <x:c r="H18" s="29" t="str">
        <x:v>强合成合计24</x:v>
      </x:c>
      <x:c r="I18" s="29" t="str">
        <x:v>可作同大陆支线辅料</x:v>
      </x:c>
      <x:c r="J18" s="29" t="str">
        <x:v>稳定目标4/小时</x:v>
      </x:c>
      <x:c r="K18" s="30" t="str">
        <x:v>非绑定</x:v>
      </x:c>
      <x:c r="L18" s="30" t="str">
        <x:v>可交易</x:v>
      </x:c>
      <x:c r="M18" s="41" t="n">
        <x:v>0</x:v>
      </x:c>
      <x:c r="N18" s="30" t="str">
        <x:v>永久保留编号</x:v>
      </x:c>
      <x:c r="O18" s="30" t="str">
        <x:v>正式设计待编号</x:v>
      </x:c>
      <x:c r="P18" s="30" t="str">
        <x:v>待Codex扫描</x:v>
      </x:c>
      <x:c r="Q18" s="30" t="str">
        <x:v>不得擅自替换同名旧资产</x:v>
      </x:c>
      <x:c r="R18" s="30" t="str">
        <x:f>IF(COUNTIF($A$5:$A$72,A18)&gt;1,"重复","正常")</x:f>
        <x:v>正常</x:v>
      </x:c>
      <x:c r="S18" s="30" t="str">
        <x:f>IF(COUNTIF($C$5:$C$72,C18)&gt;1,"重名","正常")</x:f>
        <x:v>正常</x:v>
      </x:c>
    </x:row>
    <x:row r="19" ht="30" customHeight="1">
      <x:c r="A19" s="30" t="str">
        <x:v>EL-MAT-C03-MARK</x:v>
      </x:c>
      <x:c r="B19" s="30" t="str">
        <x:v>C03</x:v>
      </x:c>
      <x:c r="C19" s="30" t="str">
        <x:v>西境战旗印</x:v>
      </x:c>
      <x:c r="D19" s="30" t="str">
        <x:v>大陆剧情印记</x:v>
      </x:c>
      <x:c r="E19" s="30" t="str">
        <x:v>剧情·金</x:v>
      </x:c>
      <x:c r="F19" s="29" t="str">
        <x:v>主任务/守关BOSS首杀固定1</x:v>
      </x:c>
      <x:c r="G19" s="29" t="str">
        <x:v>第5阶段消耗1</x:v>
      </x:c>
      <x:c r="H19" s="29" t="str">
        <x:v>不可进入随机合成消耗</x:v>
      </x:c>
      <x:c r="I19" s="29" t="str">
        <x:v>大陆完成凭证</x:v>
      </x:c>
      <x:c r="J19" s="29" t="str">
        <x:v>不进入随机掉落池</x:v>
      </x:c>
      <x:c r="K19" s="30" t="str">
        <x:v>非绑定</x:v>
      </x:c>
      <x:c r="L19" s="30" t="str">
        <x:v>可交易</x:v>
      </x:c>
      <x:c r="M19" s="41" t="n">
        <x:v>0</x:v>
      </x:c>
      <x:c r="N19" s="30" t="str">
        <x:v>永久保留编号</x:v>
      </x:c>
      <x:c r="O19" s="30" t="str">
        <x:v>正式设计待编号</x:v>
      </x:c>
      <x:c r="P19" s="30" t="str">
        <x:v>待Codex扫描</x:v>
      </x:c>
      <x:c r="Q19" s="30" t="str">
        <x:v>不得擅自替换同名旧资产</x:v>
      </x:c>
      <x:c r="R19" s="30" t="str">
        <x:f>IF(COUNTIF($A$5:$A$72,A19)&gt;1,"重复","正常")</x:f>
        <x:v>正常</x:v>
      </x:c>
      <x:c r="S19" s="30" t="str">
        <x:f>IF(COUNTIF($C$5:$C$72,C19)&gt;1,"重名","正常")</x:f>
        <x:v>正常</x:v>
      </x:c>
    </x:row>
    <x:row r="20" ht="30" customHeight="1">
      <x:c r="A20" s="30" t="str">
        <x:v>EL-MAT-C04-COM</x:v>
      </x:c>
      <x:c r="B20" s="30" t="str">
        <x:v>C04</x:v>
      </x:c>
      <x:c r="C20" s="30" t="str">
        <x:v>湖盐结晶</x:v>
      </x:c>
      <x:c r="D20" s="30" t="str">
        <x:v>大陆通用材料</x:v>
      </x:c>
      <x:c r="E20" s="30" t="str">
        <x:v>常规·白</x:v>
      </x:c>
      <x:c r="F20" s="29" t="str">
        <x:v>本大陆普通怪独立掉落</x:v>
      </x:c>
      <x:c r="G20" s="29" t="str">
        <x:v>五阶段合计450</x:v>
      </x:c>
      <x:c r="H20" s="29" t="str">
        <x:v>强合成合计360</x:v>
      </x:c>
      <x:c r="I20" s="29" t="str">
        <x:v>可作同大陆支线辅料</x:v>
      </x:c>
      <x:c r="J20" s="29" t="str">
        <x:v>稳定目标60/小时</x:v>
      </x:c>
      <x:c r="K20" s="30" t="str">
        <x:v>非绑定</x:v>
      </x:c>
      <x:c r="L20" s="30" t="str">
        <x:v>可交易</x:v>
      </x:c>
      <x:c r="M20" s="41" t="n">
        <x:v>0</x:v>
      </x:c>
      <x:c r="N20" s="30" t="str">
        <x:v>永久保留编号</x:v>
      </x:c>
      <x:c r="O20" s="30" t="str">
        <x:v>正式设计待编号</x:v>
      </x:c>
      <x:c r="P20" s="30" t="str">
        <x:v>待Codex扫描</x:v>
      </x:c>
      <x:c r="Q20" s="30" t="str">
        <x:v>不得擅自替换同名旧资产</x:v>
      </x:c>
      <x:c r="R20" s="30" t="str">
        <x:f>IF(COUNTIF($A$5:$A$72,A20)&gt;1,"重复","正常")</x:f>
        <x:v>正常</x:v>
      </x:c>
      <x:c r="S20" s="30" t="str">
        <x:f>IF(COUNTIF($C$5:$C$72,C20)&gt;1,"重名","正常")</x:f>
        <x:v>正常</x:v>
      </x:c>
    </x:row>
    <x:row r="21" ht="30" customHeight="1">
      <x:c r="A21" s="30" t="str">
        <x:v>EL-MAT-C04-RARE</x:v>
      </x:c>
      <x:c r="B21" s="30" t="str">
        <x:v>C04</x:v>
      </x:c>
      <x:c r="C21" s="30" t="str">
        <x:v>幽船铆钉</x:v>
      </x:c>
      <x:c r="D21" s="30" t="str">
        <x:v>大陆稀有材料</x:v>
      </x:c>
      <x:c r="E21" s="30" t="str">
        <x:v>稀有·蓝紫</x:v>
      </x:c>
      <x:c r="F21" s="29" t="str">
        <x:v>本大陆精英怪独立掉落</x:v>
      </x:c>
      <x:c r="G21" s="29" t="str">
        <x:v>五阶段合计20</x:v>
      </x:c>
      <x:c r="H21" s="29" t="str">
        <x:v>强合成合计24</x:v>
      </x:c>
      <x:c r="I21" s="29" t="str">
        <x:v>可作同大陆支线辅料</x:v>
      </x:c>
      <x:c r="J21" s="29" t="str">
        <x:v>稳定目标4/小时</x:v>
      </x:c>
      <x:c r="K21" s="30" t="str">
        <x:v>非绑定</x:v>
      </x:c>
      <x:c r="L21" s="30" t="str">
        <x:v>可交易</x:v>
      </x:c>
      <x:c r="M21" s="41" t="n">
        <x:v>0</x:v>
      </x:c>
      <x:c r="N21" s="30" t="str">
        <x:v>永久保留编号</x:v>
      </x:c>
      <x:c r="O21" s="30" t="str">
        <x:v>正式设计待编号</x:v>
      </x:c>
      <x:c r="P21" s="30" t="str">
        <x:v>待Codex扫描</x:v>
      </x:c>
      <x:c r="Q21" s="30" t="str">
        <x:v>不得擅自替换同名旧资产</x:v>
      </x:c>
      <x:c r="R21" s="30" t="str">
        <x:f>IF(COUNTIF($A$5:$A$72,A21)&gt;1,"重复","正常")</x:f>
        <x:v>正常</x:v>
      </x:c>
      <x:c r="S21" s="30" t="str">
        <x:f>IF(COUNTIF($C$5:$C$72,C21)&gt;1,"重名","正常")</x:f>
        <x:v>正常</x:v>
      </x:c>
    </x:row>
    <x:row r="22" ht="30" customHeight="1">
      <x:c r="A22" s="30" t="str">
        <x:v>EL-MAT-C04-MARK</x:v>
      </x:c>
      <x:c r="B22" s="30" t="str">
        <x:v>C04</x:v>
      </x:c>
      <x:c r="C22" s="30" t="str">
        <x:v>沉湖王印</x:v>
      </x:c>
      <x:c r="D22" s="30" t="str">
        <x:v>大陆剧情印记</x:v>
      </x:c>
      <x:c r="E22" s="30" t="str">
        <x:v>剧情·金</x:v>
      </x:c>
      <x:c r="F22" s="29" t="str">
        <x:v>主任务/守关BOSS首杀固定1</x:v>
      </x:c>
      <x:c r="G22" s="29" t="str">
        <x:v>第5阶段消耗1</x:v>
      </x:c>
      <x:c r="H22" s="29" t="str">
        <x:v>不可进入随机合成消耗</x:v>
      </x:c>
      <x:c r="I22" s="29" t="str">
        <x:v>大陆完成凭证</x:v>
      </x:c>
      <x:c r="J22" s="29" t="str">
        <x:v>不进入随机掉落池</x:v>
      </x:c>
      <x:c r="K22" s="30" t="str">
        <x:v>非绑定</x:v>
      </x:c>
      <x:c r="L22" s="30" t="str">
        <x:v>可交易</x:v>
      </x:c>
      <x:c r="M22" s="41" t="n">
        <x:v>0</x:v>
      </x:c>
      <x:c r="N22" s="30" t="str">
        <x:v>永久保留编号</x:v>
      </x:c>
      <x:c r="O22" s="30" t="str">
        <x:v>正式设计待编号</x:v>
      </x:c>
      <x:c r="P22" s="30" t="str">
        <x:v>待Codex扫描</x:v>
      </x:c>
      <x:c r="Q22" s="30" t="str">
        <x:v>不得擅自替换同名旧资产</x:v>
      </x:c>
      <x:c r="R22" s="30" t="str">
        <x:f>IF(COUNTIF($A$5:$A$72,A22)&gt;1,"重复","正常")</x:f>
        <x:v>正常</x:v>
      </x:c>
      <x:c r="S22" s="30" t="str">
        <x:f>IF(COUNTIF($C$5:$C$72,C22)&gt;1,"重名","正常")</x:f>
        <x:v>正常</x:v>
      </x:c>
    </x:row>
    <x:row r="23" ht="30" customHeight="1">
      <x:c r="A23" s="30" t="str">
        <x:v>EL-MAT-C05-COM</x:v>
      </x:c>
      <x:c r="B23" s="30" t="str">
        <x:v>C05</x:v>
      </x:c>
      <x:c r="C23" s="30" t="str">
        <x:v>辉石碎晶</x:v>
      </x:c>
      <x:c r="D23" s="30" t="str">
        <x:v>大陆通用材料</x:v>
      </x:c>
      <x:c r="E23" s="30" t="str">
        <x:v>常规·白</x:v>
      </x:c>
      <x:c r="F23" s="29" t="str">
        <x:v>本大陆普通怪独立掉落</x:v>
      </x:c>
      <x:c r="G23" s="29" t="str">
        <x:v>五阶段合计450</x:v>
      </x:c>
      <x:c r="H23" s="29" t="str">
        <x:v>强合成合计360</x:v>
      </x:c>
      <x:c r="I23" s="29" t="str">
        <x:v>可作同大陆支线辅料</x:v>
      </x:c>
      <x:c r="J23" s="29" t="str">
        <x:v>稳定目标60/小时</x:v>
      </x:c>
      <x:c r="K23" s="30" t="str">
        <x:v>非绑定</x:v>
      </x:c>
      <x:c r="L23" s="30" t="str">
        <x:v>可交易</x:v>
      </x:c>
      <x:c r="M23" s="41" t="n">
        <x:v>0</x:v>
      </x:c>
      <x:c r="N23" s="30" t="str">
        <x:v>永久保留编号</x:v>
      </x:c>
      <x:c r="O23" s="30" t="str">
        <x:v>正式设计待编号</x:v>
      </x:c>
      <x:c r="P23" s="30" t="str">
        <x:v>待Codex扫描</x:v>
      </x:c>
      <x:c r="Q23" s="30" t="str">
        <x:v>不得擅自替换同名旧资产</x:v>
      </x:c>
      <x:c r="R23" s="30" t="str">
        <x:f>IF(COUNTIF($A$5:$A$72,A23)&gt;1,"重复","正常")</x:f>
        <x:v>正常</x:v>
      </x:c>
      <x:c r="S23" s="30" t="str">
        <x:f>IF(COUNTIF($C$5:$C$72,C23)&gt;1,"重名","正常")</x:f>
        <x:v>正常</x:v>
      </x:c>
    </x:row>
    <x:row r="24" ht="30" customHeight="1">
      <x:c r="A24" s="30" t="str">
        <x:v>EL-MAT-C05-RARE</x:v>
      </x:c>
      <x:c r="B24" s="30" t="str">
        <x:v>C05</x:v>
      </x:c>
      <x:c r="C24" s="30" t="str">
        <x:v>卡利亚月露</x:v>
      </x:c>
      <x:c r="D24" s="30" t="str">
        <x:v>大陆稀有材料</x:v>
      </x:c>
      <x:c r="E24" s="30" t="str">
        <x:v>稀有·蓝紫</x:v>
      </x:c>
      <x:c r="F24" s="29" t="str">
        <x:v>本大陆精英怪独立掉落</x:v>
      </x:c>
      <x:c r="G24" s="29" t="str">
        <x:v>五阶段合计20</x:v>
      </x:c>
      <x:c r="H24" s="29" t="str">
        <x:v>强合成合计24</x:v>
      </x:c>
      <x:c r="I24" s="29" t="str">
        <x:v>可作同大陆支线辅料</x:v>
      </x:c>
      <x:c r="J24" s="29" t="str">
        <x:v>稳定目标4/小时</x:v>
      </x:c>
      <x:c r="K24" s="30" t="str">
        <x:v>非绑定</x:v>
      </x:c>
      <x:c r="L24" s="30" t="str">
        <x:v>可交易</x:v>
      </x:c>
      <x:c r="M24" s="41" t="n">
        <x:v>0</x:v>
      </x:c>
      <x:c r="N24" s="30" t="str">
        <x:v>永久保留编号</x:v>
      </x:c>
      <x:c r="O24" s="30" t="str">
        <x:v>正式设计待编号</x:v>
      </x:c>
      <x:c r="P24" s="30" t="str">
        <x:v>待Codex扫描</x:v>
      </x:c>
      <x:c r="Q24" s="30" t="str">
        <x:v>不得擅自替换同名旧资产</x:v>
      </x:c>
      <x:c r="R24" s="30" t="str">
        <x:f>IF(COUNTIF($A$5:$A$72,A24)&gt;1,"重复","正常")</x:f>
        <x:v>正常</x:v>
      </x:c>
      <x:c r="S24" s="30" t="str">
        <x:f>IF(COUNTIF($C$5:$C$72,C24)&gt;1,"重名","正常")</x:f>
        <x:v>正常</x:v>
      </x:c>
    </x:row>
    <x:row r="25" ht="30" customHeight="1">
      <x:c r="A25" s="30" t="str">
        <x:v>EL-MAT-C05-MARK</x:v>
      </x:c>
      <x:c r="B25" s="30" t="str">
        <x:v>C05</x:v>
      </x:c>
      <x:c r="C25" s="30" t="str">
        <x:v>满月王室印</x:v>
      </x:c>
      <x:c r="D25" s="30" t="str">
        <x:v>大陆剧情印记</x:v>
      </x:c>
      <x:c r="E25" s="30" t="str">
        <x:v>剧情·金</x:v>
      </x:c>
      <x:c r="F25" s="29" t="str">
        <x:v>主任务/守关BOSS首杀固定1</x:v>
      </x:c>
      <x:c r="G25" s="29" t="str">
        <x:v>第5阶段消耗1</x:v>
      </x:c>
      <x:c r="H25" s="29" t="str">
        <x:v>不可进入随机合成消耗</x:v>
      </x:c>
      <x:c r="I25" s="29" t="str">
        <x:v>大陆完成凭证</x:v>
      </x:c>
      <x:c r="J25" s="29" t="str">
        <x:v>不进入随机掉落池</x:v>
      </x:c>
      <x:c r="K25" s="30" t="str">
        <x:v>非绑定</x:v>
      </x:c>
      <x:c r="L25" s="30" t="str">
        <x:v>可交易</x:v>
      </x:c>
      <x:c r="M25" s="41" t="n">
        <x:v>0</x:v>
      </x:c>
      <x:c r="N25" s="30" t="str">
        <x:v>永久保留编号</x:v>
      </x:c>
      <x:c r="O25" s="30" t="str">
        <x:v>正式设计待编号</x:v>
      </x:c>
      <x:c r="P25" s="30" t="str">
        <x:v>待Codex扫描</x:v>
      </x:c>
      <x:c r="Q25" s="30" t="str">
        <x:v>不得擅自替换同名旧资产</x:v>
      </x:c>
      <x:c r="R25" s="30" t="str">
        <x:f>IF(COUNTIF($A$5:$A$72,A25)&gt;1,"重复","正常")</x:f>
        <x:v>正常</x:v>
      </x:c>
      <x:c r="S25" s="30" t="str">
        <x:f>IF(COUNTIF($C$5:$C$72,C25)&gt;1,"重名","正常")</x:f>
        <x:v>正常</x:v>
      </x:c>
    </x:row>
    <x:row r="26" ht="30" customHeight="1">
      <x:c r="A26" s="30" t="str">
        <x:v>EL-MAT-C06-COM</x:v>
      </x:c>
      <x:c r="B26" s="30" t="str">
        <x:v>C06</x:v>
      </x:c>
      <x:c r="C26" s="30" t="str">
        <x:v>猩红矿渣</x:v>
      </x:c>
      <x:c r="D26" s="30" t="str">
        <x:v>大陆通用材料</x:v>
      </x:c>
      <x:c r="E26" s="30" t="str">
        <x:v>常规·白</x:v>
      </x:c>
      <x:c r="F26" s="29" t="str">
        <x:v>本大陆普通怪独立掉落</x:v>
      </x:c>
      <x:c r="G26" s="29" t="str">
        <x:v>五阶段合计450</x:v>
      </x:c>
      <x:c r="H26" s="29" t="str">
        <x:v>强合成合计360</x:v>
      </x:c>
      <x:c r="I26" s="29" t="str">
        <x:v>可作同大陆支线辅料</x:v>
      </x:c>
      <x:c r="J26" s="29" t="str">
        <x:v>稳定目标60/小时</x:v>
      </x:c>
      <x:c r="K26" s="30" t="str">
        <x:v>非绑定</x:v>
      </x:c>
      <x:c r="L26" s="30" t="str">
        <x:v>可交易</x:v>
      </x:c>
      <x:c r="M26" s="41" t="n">
        <x:v>0</x:v>
      </x:c>
      <x:c r="N26" s="30" t="str">
        <x:v>永久保留编号</x:v>
      </x:c>
      <x:c r="O26" s="30" t="str">
        <x:v>正式设计待编号</x:v>
      </x:c>
      <x:c r="P26" s="30" t="str">
        <x:v>待Codex扫描</x:v>
      </x:c>
      <x:c r="Q26" s="30" t="str">
        <x:v>不得擅自替换同名旧资产</x:v>
      </x:c>
      <x:c r="R26" s="30" t="str">
        <x:f>IF(COUNTIF($A$5:$A$72,A26)&gt;1,"重复","正常")</x:f>
        <x:v>正常</x:v>
      </x:c>
      <x:c r="S26" s="30" t="str">
        <x:f>IF(COUNTIF($C$5:$C$72,C26)&gt;1,"重名","正常")</x:f>
        <x:v>正常</x:v>
      </x:c>
    </x:row>
    <x:row r="27" ht="30" customHeight="1">
      <x:c r="A27" s="30" t="str">
        <x:v>EL-MAT-C06-RARE</x:v>
      </x:c>
      <x:c r="B27" s="30" t="str">
        <x:v>C06</x:v>
      </x:c>
      <x:c r="C27" s="30" t="str">
        <x:v>龙火鳞</x:v>
      </x:c>
      <x:c r="D27" s="30" t="str">
        <x:v>大陆稀有材料</x:v>
      </x:c>
      <x:c r="E27" s="30" t="str">
        <x:v>稀有·蓝紫</x:v>
      </x:c>
      <x:c r="F27" s="29" t="str">
        <x:v>本大陆精英怪独立掉落</x:v>
      </x:c>
      <x:c r="G27" s="29" t="str">
        <x:v>五阶段合计20</x:v>
      </x:c>
      <x:c r="H27" s="29" t="str">
        <x:v>强合成合计24</x:v>
      </x:c>
      <x:c r="I27" s="29" t="str">
        <x:v>可作同大陆支线辅料</x:v>
      </x:c>
      <x:c r="J27" s="29" t="str">
        <x:v>稳定目标4/小时</x:v>
      </x:c>
      <x:c r="K27" s="30" t="str">
        <x:v>非绑定</x:v>
      </x:c>
      <x:c r="L27" s="30" t="str">
        <x:v>可交易</x:v>
      </x:c>
      <x:c r="M27" s="41" t="n">
        <x:v>0</x:v>
      </x:c>
      <x:c r="N27" s="30" t="str">
        <x:v>永久保留编号</x:v>
      </x:c>
      <x:c r="O27" s="30" t="str">
        <x:v>正式设计待编号</x:v>
      </x:c>
      <x:c r="P27" s="30" t="str">
        <x:v>待Codex扫描</x:v>
      </x:c>
      <x:c r="Q27" s="30" t="str">
        <x:v>不得擅自替换同名旧资产</x:v>
      </x:c>
      <x:c r="R27" s="30" t="str">
        <x:f>IF(COUNTIF($A$5:$A$72,A27)&gt;1,"重复","正常")</x:f>
        <x:v>正常</x:v>
      </x:c>
      <x:c r="S27" s="30" t="str">
        <x:f>IF(COUNTIF($C$5:$C$72,C27)&gt;1,"重名","正常")</x:f>
        <x:v>正常</x:v>
      </x:c>
    </x:row>
    <x:row r="28" ht="30" customHeight="1">
      <x:c r="A28" s="30" t="str">
        <x:v>EL-MAT-C06-MARK</x:v>
      </x:c>
      <x:c r="B28" s="30" t="str">
        <x:v>C06</x:v>
      </x:c>
      <x:c r="C28" s="30" t="str">
        <x:v>红狮战印</x:v>
      </x:c>
      <x:c r="D28" s="30" t="str">
        <x:v>大陆剧情印记</x:v>
      </x:c>
      <x:c r="E28" s="30" t="str">
        <x:v>剧情·金</x:v>
      </x:c>
      <x:c r="F28" s="29" t="str">
        <x:v>主任务/守关BOSS首杀固定1</x:v>
      </x:c>
      <x:c r="G28" s="29" t="str">
        <x:v>第5阶段消耗1</x:v>
      </x:c>
      <x:c r="H28" s="29" t="str">
        <x:v>不可进入随机合成消耗</x:v>
      </x:c>
      <x:c r="I28" s="29" t="str">
        <x:v>大陆完成凭证</x:v>
      </x:c>
      <x:c r="J28" s="29" t="str">
        <x:v>不进入随机掉落池</x:v>
      </x:c>
      <x:c r="K28" s="30" t="str">
        <x:v>非绑定</x:v>
      </x:c>
      <x:c r="L28" s="30" t="str">
        <x:v>可交易</x:v>
      </x:c>
      <x:c r="M28" s="41" t="n">
        <x:v>0</x:v>
      </x:c>
      <x:c r="N28" s="30" t="str">
        <x:v>永久保留编号</x:v>
      </x:c>
      <x:c r="O28" s="30" t="str">
        <x:v>正式设计待编号</x:v>
      </x:c>
      <x:c r="P28" s="30" t="str">
        <x:v>待Codex扫描</x:v>
      </x:c>
      <x:c r="Q28" s="30" t="str">
        <x:v>不得擅自替换同名旧资产</x:v>
      </x:c>
      <x:c r="R28" s="30" t="str">
        <x:f>IF(COUNTIF($A$5:$A$72,A28)&gt;1,"重复","正常")</x:f>
        <x:v>正常</x:v>
      </x:c>
      <x:c r="S28" s="30" t="str">
        <x:f>IF(COUNTIF($C$5:$C$72,C28)&gt;1,"重名","正常")</x:f>
        <x:v>正常</x:v>
      </x:c>
    </x:row>
    <x:row r="29" ht="30" customHeight="1">
      <x:c r="A29" s="30" t="str">
        <x:v>EL-MAT-C07-COM</x:v>
      </x:c>
      <x:c r="B29" s="30" t="str">
        <x:v>C07</x:v>
      </x:c>
      <x:c r="C29" s="30" t="str">
        <x:v>冻晶尘</x:v>
      </x:c>
      <x:c r="D29" s="30" t="str">
        <x:v>大陆通用材料</x:v>
      </x:c>
      <x:c r="E29" s="30" t="str">
        <x:v>常规·白</x:v>
      </x:c>
      <x:c r="F29" s="29" t="str">
        <x:v>本大陆普通怪独立掉落</x:v>
      </x:c>
      <x:c r="G29" s="29" t="str">
        <x:v>五阶段合计450</x:v>
      </x:c>
      <x:c r="H29" s="29" t="str">
        <x:v>强合成合计360</x:v>
      </x:c>
      <x:c r="I29" s="29" t="str">
        <x:v>可作同大陆支线辅料</x:v>
      </x:c>
      <x:c r="J29" s="29" t="str">
        <x:v>稳定目标60/小时</x:v>
      </x:c>
      <x:c r="K29" s="30" t="str">
        <x:v>非绑定</x:v>
      </x:c>
      <x:c r="L29" s="30" t="str">
        <x:v>可交易</x:v>
      </x:c>
      <x:c r="M29" s="41" t="n">
        <x:v>0</x:v>
      </x:c>
      <x:c r="N29" s="30" t="str">
        <x:v>永久保留编号</x:v>
      </x:c>
      <x:c r="O29" s="30" t="str">
        <x:v>正式设计待编号</x:v>
      </x:c>
      <x:c r="P29" s="30" t="str">
        <x:v>待Codex扫描</x:v>
      </x:c>
      <x:c r="Q29" s="30" t="str">
        <x:v>不得擅自替换同名旧资产</x:v>
      </x:c>
      <x:c r="R29" s="30" t="str">
        <x:f>IF(COUNTIF($A$5:$A$72,A29)&gt;1,"重复","正常")</x:f>
        <x:v>正常</x:v>
      </x:c>
      <x:c r="S29" s="30" t="str">
        <x:f>IF(COUNTIF($C$5:$C$72,C29)&gt;1,"重名","正常")</x:f>
        <x:v>正常</x:v>
      </x:c>
    </x:row>
    <x:row r="30" ht="30" customHeight="1">
      <x:c r="A30" s="30" t="str">
        <x:v>EL-MAT-C07-RARE</x:v>
      </x:c>
      <x:c r="B30" s="30" t="str">
        <x:v>C07</x:v>
      </x:c>
      <x:c r="C30" s="30" t="str">
        <x:v>白金纺线</x:v>
      </x:c>
      <x:c r="D30" s="30" t="str">
        <x:v>大陆稀有材料</x:v>
      </x:c>
      <x:c r="E30" s="30" t="str">
        <x:v>稀有·蓝紫</x:v>
      </x:c>
      <x:c r="F30" s="29" t="str">
        <x:v>本大陆精英怪独立掉落</x:v>
      </x:c>
      <x:c r="G30" s="29" t="str">
        <x:v>五阶段合计20</x:v>
      </x:c>
      <x:c r="H30" s="29" t="str">
        <x:v>强合成合计24</x:v>
      </x:c>
      <x:c r="I30" s="29" t="str">
        <x:v>可作同大陆支线辅料</x:v>
      </x:c>
      <x:c r="J30" s="29" t="str">
        <x:v>稳定目标4/小时</x:v>
      </x:c>
      <x:c r="K30" s="30" t="str">
        <x:v>非绑定</x:v>
      </x:c>
      <x:c r="L30" s="30" t="str">
        <x:v>可交易</x:v>
      </x:c>
      <x:c r="M30" s="41" t="n">
        <x:v>0</x:v>
      </x:c>
      <x:c r="N30" s="30" t="str">
        <x:v>永久保留编号</x:v>
      </x:c>
      <x:c r="O30" s="30" t="str">
        <x:v>正式设计待编号</x:v>
      </x:c>
      <x:c r="P30" s="30" t="str">
        <x:v>待Codex扫描</x:v>
      </x:c>
      <x:c r="Q30" s="30" t="str">
        <x:v>不得擅自替换同名旧资产</x:v>
      </x:c>
      <x:c r="R30" s="30" t="str">
        <x:f>IF(COUNTIF($A$5:$A$72,A30)&gt;1,"重复","正常")</x:f>
        <x:v>正常</x:v>
      </x:c>
      <x:c r="S30" s="30" t="str">
        <x:f>IF(COUNTIF($C$5:$C$72,C30)&gt;1,"重名","正常")</x:f>
        <x:v>正常</x:v>
      </x:c>
    </x:row>
    <x:row r="31" ht="30" customHeight="1">
      <x:c r="A31" s="30" t="str">
        <x:v>EL-MAT-C07-MARK</x:v>
      </x:c>
      <x:c r="B31" s="30" t="str">
        <x:v>C07</x:v>
      </x:c>
      <x:c r="C31" s="30" t="str">
        <x:v>圣雪誓印</x:v>
      </x:c>
      <x:c r="D31" s="30" t="str">
        <x:v>大陆剧情印记</x:v>
      </x:c>
      <x:c r="E31" s="30" t="str">
        <x:v>剧情·金</x:v>
      </x:c>
      <x:c r="F31" s="29" t="str">
        <x:v>主任务/守关BOSS首杀固定1</x:v>
      </x:c>
      <x:c r="G31" s="29" t="str">
        <x:v>第5阶段消耗1</x:v>
      </x:c>
      <x:c r="H31" s="29" t="str">
        <x:v>不可进入随机合成消耗</x:v>
      </x:c>
      <x:c r="I31" s="29" t="str">
        <x:v>大陆完成凭证</x:v>
      </x:c>
      <x:c r="J31" s="29" t="str">
        <x:v>不进入随机掉落池</x:v>
      </x:c>
      <x:c r="K31" s="30" t="str">
        <x:v>非绑定</x:v>
      </x:c>
      <x:c r="L31" s="30" t="str">
        <x:v>可交易</x:v>
      </x:c>
      <x:c r="M31" s="41" t="n">
        <x:v>0</x:v>
      </x:c>
      <x:c r="N31" s="30" t="str">
        <x:v>永久保留编号</x:v>
      </x:c>
      <x:c r="O31" s="30" t="str">
        <x:v>正式设计待编号</x:v>
      </x:c>
      <x:c r="P31" s="30" t="str">
        <x:v>待Codex扫描</x:v>
      </x:c>
      <x:c r="Q31" s="30" t="str">
        <x:v>不得擅自替换同名旧资产</x:v>
      </x:c>
      <x:c r="R31" s="30" t="str">
        <x:f>IF(COUNTIF($A$5:$A$72,A31)&gt;1,"重复","正常")</x:f>
        <x:v>正常</x:v>
      </x:c>
      <x:c r="S31" s="30" t="str">
        <x:f>IF(COUNTIF($C$5:$C$72,C31)&gt;1,"重名","正常")</x:f>
        <x:v>正常</x:v>
      </x:c>
    </x:row>
    <x:row r="32" ht="30" customHeight="1">
      <x:c r="A32" s="30" t="str">
        <x:v>EL-MAT-C08-COM</x:v>
      </x:c>
      <x:c r="B32" s="30" t="str">
        <x:v>C08</x:v>
      </x:c>
      <x:c r="C32" s="30" t="str">
        <x:v>霜脊铁</x:v>
      </x:c>
      <x:c r="D32" s="30" t="str">
        <x:v>大陆通用材料</x:v>
      </x:c>
      <x:c r="E32" s="30" t="str">
        <x:v>常规·白</x:v>
      </x:c>
      <x:c r="F32" s="29" t="str">
        <x:v>本大陆普通怪独立掉落</x:v>
      </x:c>
      <x:c r="G32" s="29" t="str">
        <x:v>五阶段合计450</x:v>
      </x:c>
      <x:c r="H32" s="29" t="str">
        <x:v>强合成合计360</x:v>
      </x:c>
      <x:c r="I32" s="29" t="str">
        <x:v>可作同大陆支线辅料</x:v>
      </x:c>
      <x:c r="J32" s="29" t="str">
        <x:v>稳定目标60/小时</x:v>
      </x:c>
      <x:c r="K32" s="30" t="str">
        <x:v>非绑定</x:v>
      </x:c>
      <x:c r="L32" s="30" t="str">
        <x:v>可交易</x:v>
      </x:c>
      <x:c r="M32" s="41" t="n">
        <x:v>0</x:v>
      </x:c>
      <x:c r="N32" s="30" t="str">
        <x:v>永久保留编号</x:v>
      </x:c>
      <x:c r="O32" s="30" t="str">
        <x:v>正式设计待编号</x:v>
      </x:c>
      <x:c r="P32" s="30" t="str">
        <x:v>待Codex扫描</x:v>
      </x:c>
      <x:c r="Q32" s="30" t="str">
        <x:v>不得擅自替换同名旧资产</x:v>
      </x:c>
      <x:c r="R32" s="30" t="str">
        <x:f>IF(COUNTIF($A$5:$A$72,A32)&gt;1,"重复","正常")</x:f>
        <x:v>正常</x:v>
      </x:c>
      <x:c r="S32" s="30" t="str">
        <x:f>IF(COUNTIF($C$5:$C$72,C32)&gt;1,"重名","正常")</x:f>
        <x:v>正常</x:v>
      </x:c>
    </x:row>
    <x:row r="33" ht="30" customHeight="1">
      <x:c r="A33" s="30" t="str">
        <x:v>EL-MAT-C08-RARE</x:v>
      </x:c>
      <x:c r="B33" s="30" t="str">
        <x:v>C08</x:v>
      </x:c>
      <x:c r="C33" s="30" t="str">
        <x:v>巨人火种</x:v>
      </x:c>
      <x:c r="D33" s="30" t="str">
        <x:v>大陆稀有材料</x:v>
      </x:c>
      <x:c r="E33" s="30" t="str">
        <x:v>稀有·蓝紫</x:v>
      </x:c>
      <x:c r="F33" s="29" t="str">
        <x:v>本大陆精英怪独立掉落</x:v>
      </x:c>
      <x:c r="G33" s="29" t="str">
        <x:v>五阶段合计20</x:v>
      </x:c>
      <x:c r="H33" s="29" t="str">
        <x:v>强合成合计24</x:v>
      </x:c>
      <x:c r="I33" s="29" t="str">
        <x:v>可作同大陆支线辅料</x:v>
      </x:c>
      <x:c r="J33" s="29" t="str">
        <x:v>稳定目标4/小时</x:v>
      </x:c>
      <x:c r="K33" s="30" t="str">
        <x:v>非绑定</x:v>
      </x:c>
      <x:c r="L33" s="30" t="str">
        <x:v>可交易</x:v>
      </x:c>
      <x:c r="M33" s="41" t="n">
        <x:v>0</x:v>
      </x:c>
      <x:c r="N33" s="30" t="str">
        <x:v>永久保留编号</x:v>
      </x:c>
      <x:c r="O33" s="30" t="str">
        <x:v>正式设计待编号</x:v>
      </x:c>
      <x:c r="P33" s="30" t="str">
        <x:v>待Codex扫描</x:v>
      </x:c>
      <x:c r="Q33" s="30" t="str">
        <x:v>不得擅自替换同名旧资产</x:v>
      </x:c>
      <x:c r="R33" s="30" t="str">
        <x:f>IF(COUNTIF($A$5:$A$72,A33)&gt;1,"重复","正常")</x:f>
        <x:v>正常</x:v>
      </x:c>
      <x:c r="S33" s="30" t="str">
        <x:f>IF(COUNTIF($C$5:$C$72,C33)&gt;1,"重名","正常")</x:f>
        <x:v>正常</x:v>
      </x:c>
    </x:row>
    <x:row r="34" ht="30" customHeight="1">
      <x:c r="A34" s="30" t="str">
        <x:v>EL-MAT-C08-MARK</x:v>
      </x:c>
      <x:c r="B34" s="30" t="str">
        <x:v>C08</x:v>
      </x:c>
      <x:c r="C34" s="30" t="str">
        <x:v>巨人火印</x:v>
      </x:c>
      <x:c r="D34" s="30" t="str">
        <x:v>大陆剧情印记</x:v>
      </x:c>
      <x:c r="E34" s="30" t="str">
        <x:v>剧情·金</x:v>
      </x:c>
      <x:c r="F34" s="29" t="str">
        <x:v>主任务/守关BOSS首杀固定1</x:v>
      </x:c>
      <x:c r="G34" s="29" t="str">
        <x:v>第5阶段消耗1</x:v>
      </x:c>
      <x:c r="H34" s="29" t="str">
        <x:v>不可进入随机合成消耗</x:v>
      </x:c>
      <x:c r="I34" s="29" t="str">
        <x:v>大陆完成凭证</x:v>
      </x:c>
      <x:c r="J34" s="29" t="str">
        <x:v>不进入随机掉落池</x:v>
      </x:c>
      <x:c r="K34" s="30" t="str">
        <x:v>非绑定</x:v>
      </x:c>
      <x:c r="L34" s="30" t="str">
        <x:v>可交易</x:v>
      </x:c>
      <x:c r="M34" s="41" t="n">
        <x:v>0</x:v>
      </x:c>
      <x:c r="N34" s="30" t="str">
        <x:v>永久保留编号</x:v>
      </x:c>
      <x:c r="O34" s="30" t="str">
        <x:v>正式设计待编号</x:v>
      </x:c>
      <x:c r="P34" s="30" t="str">
        <x:v>待Codex扫描</x:v>
      </x:c>
      <x:c r="Q34" s="30" t="str">
        <x:v>不得擅自替换同名旧资产</x:v>
      </x:c>
      <x:c r="R34" s="30" t="str">
        <x:f>IF(COUNTIF($A$5:$A$72,A34)&gt;1,"重复","正常")</x:f>
        <x:v>正常</x:v>
      </x:c>
      <x:c r="S34" s="30" t="str">
        <x:f>IF(COUNTIF($C$5:$C$72,C34)&gt;1,"重名","正常")</x:f>
        <x:v>正常</x:v>
      </x:c>
    </x:row>
    <x:row r="35" ht="30" customHeight="1">
      <x:c r="A35" s="30" t="str">
        <x:v>EL-MAT-C09-COM</x:v>
      </x:c>
      <x:c r="B35" s="30" t="str">
        <x:v>C09</x:v>
      </x:c>
      <x:c r="C35" s="30" t="str">
        <x:v>黄金叶脉</x:v>
      </x:c>
      <x:c r="D35" s="30" t="str">
        <x:v>大陆通用材料</x:v>
      </x:c>
      <x:c r="E35" s="30" t="str">
        <x:v>常规·白</x:v>
      </x:c>
      <x:c r="F35" s="29" t="str">
        <x:v>本大陆普通怪独立掉落</x:v>
      </x:c>
      <x:c r="G35" s="29" t="str">
        <x:v>五阶段合计450</x:v>
      </x:c>
      <x:c r="H35" s="29" t="str">
        <x:v>强合成合计360</x:v>
      </x:c>
      <x:c r="I35" s="29" t="str">
        <x:v>可作同大陆支线辅料</x:v>
      </x:c>
      <x:c r="J35" s="29" t="str">
        <x:v>稳定目标60/小时</x:v>
      </x:c>
      <x:c r="K35" s="30" t="str">
        <x:v>非绑定</x:v>
      </x:c>
      <x:c r="L35" s="30" t="str">
        <x:v>可交易</x:v>
      </x:c>
      <x:c r="M35" s="41" t="n">
        <x:v>0</x:v>
      </x:c>
      <x:c r="N35" s="30" t="str">
        <x:v>永久保留编号</x:v>
      </x:c>
      <x:c r="O35" s="30" t="str">
        <x:v>正式设计待编号</x:v>
      </x:c>
      <x:c r="P35" s="30" t="str">
        <x:v>待Codex扫描</x:v>
      </x:c>
      <x:c r="Q35" s="30" t="str">
        <x:v>不得擅自替换同名旧资产</x:v>
      </x:c>
      <x:c r="R35" s="30" t="str">
        <x:f>IF(COUNTIF($A$5:$A$72,A35)&gt;1,"重复","正常")</x:f>
        <x:v>正常</x:v>
      </x:c>
      <x:c r="S35" s="30" t="str">
        <x:f>IF(COUNTIF($C$5:$C$72,C35)&gt;1,"重名","正常")</x:f>
        <x:v>正常</x:v>
      </x:c>
    </x:row>
    <x:row r="36" ht="30" customHeight="1">
      <x:c r="A36" s="30" t="str">
        <x:v>EL-MAT-C09-RARE</x:v>
      </x:c>
      <x:c r="B36" s="30" t="str">
        <x:v>C09</x:v>
      </x:c>
      <x:c r="C36" s="30" t="str">
        <x:v>古王律页</x:v>
      </x:c>
      <x:c r="D36" s="30" t="str">
        <x:v>大陆稀有材料</x:v>
      </x:c>
      <x:c r="E36" s="30" t="str">
        <x:v>稀有·蓝紫</x:v>
      </x:c>
      <x:c r="F36" s="29" t="str">
        <x:v>本大陆精英怪独立掉落</x:v>
      </x:c>
      <x:c r="G36" s="29" t="str">
        <x:v>五阶段合计20</x:v>
      </x:c>
      <x:c r="H36" s="29" t="str">
        <x:v>强合成合计24</x:v>
      </x:c>
      <x:c r="I36" s="29" t="str">
        <x:v>可作同大陆支线辅料</x:v>
      </x:c>
      <x:c r="J36" s="29" t="str">
        <x:v>稳定目标4/小时</x:v>
      </x:c>
      <x:c r="K36" s="30" t="str">
        <x:v>非绑定</x:v>
      </x:c>
      <x:c r="L36" s="30" t="str">
        <x:v>可交易</x:v>
      </x:c>
      <x:c r="M36" s="41" t="n">
        <x:v>0</x:v>
      </x:c>
      <x:c r="N36" s="30" t="str">
        <x:v>永久保留编号</x:v>
      </x:c>
      <x:c r="O36" s="30" t="str">
        <x:v>正式设计待编号</x:v>
      </x:c>
      <x:c r="P36" s="30" t="str">
        <x:v>待Codex扫描</x:v>
      </x:c>
      <x:c r="Q36" s="30" t="str">
        <x:v>不得擅自替换同名旧资产</x:v>
      </x:c>
      <x:c r="R36" s="30" t="str">
        <x:f>IF(COUNTIF($A$5:$A$72,A36)&gt;1,"重复","正常")</x:f>
        <x:v>正常</x:v>
      </x:c>
      <x:c r="S36" s="30" t="str">
        <x:f>IF(COUNTIF($C$5:$C$72,C36)&gt;1,"重名","正常")</x:f>
        <x:v>正常</x:v>
      </x:c>
    </x:row>
    <x:row r="37" ht="30" customHeight="1">
      <x:c r="A37" s="30" t="str">
        <x:v>EL-MAT-C09-MARK</x:v>
      </x:c>
      <x:c r="B37" s="30" t="str">
        <x:v>C09</x:v>
      </x:c>
      <x:c r="C37" s="30" t="str">
        <x:v>黄金律印</x:v>
      </x:c>
      <x:c r="D37" s="30" t="str">
        <x:v>大陆剧情印记</x:v>
      </x:c>
      <x:c r="E37" s="30" t="str">
        <x:v>剧情·金</x:v>
      </x:c>
      <x:c r="F37" s="29" t="str">
        <x:v>主任务/守关BOSS首杀固定1</x:v>
      </x:c>
      <x:c r="G37" s="29" t="str">
        <x:v>第5阶段消耗1</x:v>
      </x:c>
      <x:c r="H37" s="29" t="str">
        <x:v>不可进入随机合成消耗</x:v>
      </x:c>
      <x:c r="I37" s="29" t="str">
        <x:v>大陆完成凭证</x:v>
      </x:c>
      <x:c r="J37" s="29" t="str">
        <x:v>不进入随机掉落池</x:v>
      </x:c>
      <x:c r="K37" s="30" t="str">
        <x:v>非绑定</x:v>
      </x:c>
      <x:c r="L37" s="30" t="str">
        <x:v>可交易</x:v>
      </x:c>
      <x:c r="M37" s="41" t="n">
        <x:v>0</x:v>
      </x:c>
      <x:c r="N37" s="30" t="str">
        <x:v>永久保留编号</x:v>
      </x:c>
      <x:c r="O37" s="30" t="str">
        <x:v>正式设计待编号</x:v>
      </x:c>
      <x:c r="P37" s="30" t="str">
        <x:v>待Codex扫描</x:v>
      </x:c>
      <x:c r="Q37" s="30" t="str">
        <x:v>不得擅自替换同名旧资产</x:v>
      </x:c>
      <x:c r="R37" s="30" t="str">
        <x:f>IF(COUNTIF($A$5:$A$72,A37)&gt;1,"重复","正常")</x:f>
        <x:v>正常</x:v>
      </x:c>
      <x:c r="S37" s="30" t="str">
        <x:f>IF(COUNTIF($C$5:$C$72,C37)&gt;1,"重名","正常")</x:f>
        <x:v>正常</x:v>
      </x:c>
    </x:row>
    <x:row r="38" ht="30" customHeight="1">
      <x:c r="A38" s="30" t="str">
        <x:v>EL-MAT-C10-COM</x:v>
      </x:c>
      <x:c r="B38" s="30" t="str">
        <x:v>C10</x:v>
      </x:c>
      <x:c r="C38" s="30" t="str">
        <x:v>王城金屑</x:v>
      </x:c>
      <x:c r="D38" s="30" t="str">
        <x:v>大陆通用材料</x:v>
      </x:c>
      <x:c r="E38" s="30" t="str">
        <x:v>常规·白</x:v>
      </x:c>
      <x:c r="F38" s="29" t="str">
        <x:v>本大陆普通怪独立掉落</x:v>
      </x:c>
      <x:c r="G38" s="29" t="str">
        <x:v>五阶段合计450</x:v>
      </x:c>
      <x:c r="H38" s="29" t="str">
        <x:v>强合成合计360</x:v>
      </x:c>
      <x:c r="I38" s="29" t="str">
        <x:v>可作同大陆支线辅料</x:v>
      </x:c>
      <x:c r="J38" s="29" t="str">
        <x:v>稳定目标60/小时</x:v>
      </x:c>
      <x:c r="K38" s="30" t="str">
        <x:v>非绑定</x:v>
      </x:c>
      <x:c r="L38" s="30" t="str">
        <x:v>可交易</x:v>
      </x:c>
      <x:c r="M38" s="41" t="n">
        <x:v>0</x:v>
      </x:c>
      <x:c r="N38" s="30" t="str">
        <x:v>永久保留编号</x:v>
      </x:c>
      <x:c r="O38" s="30" t="str">
        <x:v>正式设计待编号</x:v>
      </x:c>
      <x:c r="P38" s="30" t="str">
        <x:v>待Codex扫描</x:v>
      </x:c>
      <x:c r="Q38" s="30" t="str">
        <x:v>不得擅自替换同名旧资产</x:v>
      </x:c>
      <x:c r="R38" s="30" t="str">
        <x:f>IF(COUNTIF($A$5:$A$72,A38)&gt;1,"重复","正常")</x:f>
        <x:v>正常</x:v>
      </x:c>
      <x:c r="S38" s="30" t="str">
        <x:f>IF(COUNTIF($C$5:$C$72,C38)&gt;1,"重名","正常")</x:f>
        <x:v>正常</x:v>
      </x:c>
    </x:row>
    <x:row r="39" ht="30" customHeight="1">
      <x:c r="A39" s="30" t="str">
        <x:v>EL-MAT-C10-RARE</x:v>
      </x:c>
      <x:c r="B39" s="30" t="str">
        <x:v>C10</x:v>
      </x:c>
      <x:c r="C39" s="30" t="str">
        <x:v>王宫律文</x:v>
      </x:c>
      <x:c r="D39" s="30" t="str">
        <x:v>大陆稀有材料</x:v>
      </x:c>
      <x:c r="E39" s="30" t="str">
        <x:v>稀有·蓝紫</x:v>
      </x:c>
      <x:c r="F39" s="29" t="str">
        <x:v>本大陆精英怪独立掉落</x:v>
      </x:c>
      <x:c r="G39" s="29" t="str">
        <x:v>五阶段合计20</x:v>
      </x:c>
      <x:c r="H39" s="29" t="str">
        <x:v>强合成合计24</x:v>
      </x:c>
      <x:c r="I39" s="29" t="str">
        <x:v>可作同大陆支线辅料</x:v>
      </x:c>
      <x:c r="J39" s="29" t="str">
        <x:v>稳定目标4/小时</x:v>
      </x:c>
      <x:c r="K39" s="30" t="str">
        <x:v>非绑定</x:v>
      </x:c>
      <x:c r="L39" s="30" t="str">
        <x:v>可交易</x:v>
      </x:c>
      <x:c r="M39" s="41" t="n">
        <x:v>0</x:v>
      </x:c>
      <x:c r="N39" s="30" t="str">
        <x:v>永久保留编号</x:v>
      </x:c>
      <x:c r="O39" s="30" t="str">
        <x:v>正式设计待编号</x:v>
      </x:c>
      <x:c r="P39" s="30" t="str">
        <x:v>待Codex扫描</x:v>
      </x:c>
      <x:c r="Q39" s="30" t="str">
        <x:v>不得擅自替换同名旧资产</x:v>
      </x:c>
      <x:c r="R39" s="30" t="str">
        <x:f>IF(COUNTIF($A$5:$A$72,A39)&gt;1,"重复","正常")</x:f>
        <x:v>正常</x:v>
      </x:c>
      <x:c r="S39" s="30" t="str">
        <x:f>IF(COUNTIF($C$5:$C$72,C39)&gt;1,"重名","正常")</x:f>
        <x:v>正常</x:v>
      </x:c>
    </x:row>
    <x:row r="40" ht="30" customHeight="1">
      <x:c r="A40" s="30" t="str">
        <x:v>EL-MAT-C10-MARK</x:v>
      </x:c>
      <x:c r="B40" s="30" t="str">
        <x:v>C10</x:v>
      </x:c>
      <x:c r="C40" s="30" t="str">
        <x:v>艾尔登王印</x:v>
      </x:c>
      <x:c r="D40" s="30" t="str">
        <x:v>大陆剧情印记</x:v>
      </x:c>
      <x:c r="E40" s="30" t="str">
        <x:v>剧情·金</x:v>
      </x:c>
      <x:c r="F40" s="29" t="str">
        <x:v>主任务/守关BOSS首杀固定1</x:v>
      </x:c>
      <x:c r="G40" s="29" t="str">
        <x:v>第5阶段消耗1</x:v>
      </x:c>
      <x:c r="H40" s="29" t="str">
        <x:v>不可进入随机合成消耗</x:v>
      </x:c>
      <x:c r="I40" s="29" t="str">
        <x:v>大陆完成凭证</x:v>
      </x:c>
      <x:c r="J40" s="29" t="str">
        <x:v>不进入随机掉落池</x:v>
      </x:c>
      <x:c r="K40" s="30" t="str">
        <x:v>非绑定</x:v>
      </x:c>
      <x:c r="L40" s="30" t="str">
        <x:v>可交易</x:v>
      </x:c>
      <x:c r="M40" s="41" t="n">
        <x:v>0</x:v>
      </x:c>
      <x:c r="N40" s="30" t="str">
        <x:v>永久保留编号</x:v>
      </x:c>
      <x:c r="O40" s="30" t="str">
        <x:v>正式设计待编号</x:v>
      </x:c>
      <x:c r="P40" s="30" t="str">
        <x:v>待Codex扫描</x:v>
      </x:c>
      <x:c r="Q40" s="30" t="str">
        <x:v>不得擅自替换同名旧资产</x:v>
      </x:c>
      <x:c r="R40" s="30" t="str">
        <x:f>IF(COUNTIF($A$5:$A$72,A40)&gt;1,"重复","正常")</x:f>
        <x:v>正常</x:v>
      </x:c>
      <x:c r="S40" s="30" t="str">
        <x:f>IF(COUNTIF($C$5:$C$72,C40)&gt;1,"重名","正常")</x:f>
        <x:v>正常</x:v>
      </x:c>
    </x:row>
    <x:row r="41" ht="30" customHeight="1">
      <x:c r="A41" s="30" t="str">
        <x:v>EL-MAT-C03-Q01</x:v>
      </x:c>
      <x:c r="B41" s="30" t="str">
        <x:v>C03</x:v>
      </x:c>
      <x:c r="C41" s="30" t="str">
        <x:v>裂风崖羽</x:v>
      </x:c>
      <x:c r="D41" s="30" t="str">
        <x:v>普通怪证物</x:v>
      </x:c>
      <x:c r="E41" s="30" t="str">
        <x:v>证物·蓝</x:v>
      </x:c>
      <x:c r="F41" s="29" t="str">
        <x:v>海风断崖/XX335/EL-MON-C03-G02-N04</x:v>
      </x:c>
      <x:c r="G41" s="29" t="str">
        <x:v>不进入大陆称号</x:v>
      </x:c>
      <x:c r="H41" s="29" t="str">
        <x:v>不进入11件强合成</x:v>
      </x:c>
      <x:c r="I41" s="29" t="str">
        <x:v>断路商队各1件组合任务</x:v>
      </x:c>
      <x:c r="J41" s="29" t="str">
        <x:v>可交易；NPC售价0；不可分解</x:v>
      </x:c>
      <x:c r="K41" s="30" t="str">
        <x:v>非绑定</x:v>
      </x:c>
      <x:c r="L41" s="30" t="str">
        <x:v>可交易</x:v>
      </x:c>
      <x:c r="M41" s="41" t="n">
        <x:v>0</x:v>
      </x:c>
      <x:c r="N41" s="30" t="str">
        <x:v>任务完成后条件掉落停止；不支持则低比例换通用材料</x:v>
      </x:c>
      <x:c r="O41" s="30" t="str">
        <x:v>设计定稿待编号</x:v>
      </x:c>
      <x:c r="P41" s="30" t="str">
        <x:v>待Codex扫描</x:v>
      </x:c>
      <x:c r="Q41" s="30" t="str">
        <x:v>不得擅自替换同名旧资产</x:v>
      </x:c>
      <x:c r="R41" s="30" t="str">
        <x:f>IF(COUNTIF($A$5:$A$72,A41)&gt;1,"重复","正常")</x:f>
        <x:v>正常</x:v>
      </x:c>
      <x:c r="S41" s="30" t="str">
        <x:f>IF(COUNTIF($C$5:$C$72,C41)&gt;1,"重名","正常")</x:f>
        <x:v>正常</x:v>
      </x:c>
    </x:row>
    <x:row r="42" ht="30" customHeight="1">
      <x:c r="A42" s="30" t="str">
        <x:v>EL-MAT-C03-Q02</x:v>
      </x:c>
      <x:c r="B42" s="30" t="str">
        <x:v>C03</x:v>
      </x:c>
      <x:c r="C42" s="30" t="str">
        <x:v>商队火漆</x:v>
      </x:c>
      <x:c r="D42" s="30" t="str">
        <x:v>精英证物</x:v>
      </x:c>
      <x:c r="E42" s="30" t="str">
        <x:v>证物·紫</x:v>
      </x:c>
      <x:c r="F42" s="29" t="str">
        <x:v>失落驿道/XX345/EL-MON-C03-G03-R02</x:v>
      </x:c>
      <x:c r="G42" s="29" t="str">
        <x:v>不进入大陆称号</x:v>
      </x:c>
      <x:c r="H42" s="29" t="str">
        <x:v>不进入11件强合成</x:v>
      </x:c>
      <x:c r="I42" s="29" t="str">
        <x:v>断路商队各1件组合任务</x:v>
      </x:c>
      <x:c r="J42" s="29" t="str">
        <x:v>可交易；NPC售价0；不可分解</x:v>
      </x:c>
      <x:c r="K42" s="30" t="str">
        <x:v>非绑定</x:v>
      </x:c>
      <x:c r="L42" s="30" t="str">
        <x:v>可交易</x:v>
      </x:c>
      <x:c r="M42" s="41" t="n">
        <x:v>0</x:v>
      </x:c>
      <x:c r="N42" s="30" t="str">
        <x:v>任务完成后条件掉落停止；不支持则低比例换通用材料</x:v>
      </x:c>
      <x:c r="O42" s="30" t="str">
        <x:v>设计定稿待编号</x:v>
      </x:c>
      <x:c r="P42" s="30" t="str">
        <x:v>待Codex扫描</x:v>
      </x:c>
      <x:c r="Q42" s="30" t="str">
        <x:v>不得擅自替换同名旧资产</x:v>
      </x:c>
      <x:c r="R42" s="30" t="str">
        <x:f>IF(COUNTIF($A$5:$A$72,A42)&gt;1,"重复","正常")</x:f>
        <x:v>正常</x:v>
      </x:c>
      <x:c r="S42" s="30" t="str">
        <x:f>IF(COUNTIF($C$5:$C$72,C42)&gt;1,"重名","正常")</x:f>
        <x:v>正常</x:v>
      </x:c>
    </x:row>
    <x:row r="43" ht="30" customHeight="1">
      <x:c r="A43" s="30" t="str">
        <x:v>EL-MAT-C03-Q03</x:v>
      </x:c>
      <x:c r="B43" s="30" t="str">
        <x:v>C03</x:v>
      </x:c>
      <x:c r="C43" s="30" t="str">
        <x:v>守垒铜钥</x:v>
      </x:c>
      <x:c r="D43" s="30" t="str">
        <x:v>地图BOSS证物</x:v>
      </x:c>
      <x:c r="E43" s="30" t="str">
        <x:v>证物·橙</x:v>
      </x:c>
      <x:c r="F43" s="29" t="str">
        <x:v>风蚀古垒/XX516/EL-MON-C03-G05-B01</x:v>
      </x:c>
      <x:c r="G43" s="29" t="str">
        <x:v>不进入大陆称号</x:v>
      </x:c>
      <x:c r="H43" s="29" t="str">
        <x:v>不进入11件强合成</x:v>
      </x:c>
      <x:c r="I43" s="29" t="str">
        <x:v>断路商队各1件组合任务</x:v>
      </x:c>
      <x:c r="J43" s="29" t="str">
        <x:v>可交易；NPC售价0；不可分解</x:v>
      </x:c>
      <x:c r="K43" s="30" t="str">
        <x:v>非绑定</x:v>
      </x:c>
      <x:c r="L43" s="30" t="str">
        <x:v>可交易</x:v>
      </x:c>
      <x:c r="M43" s="41" t="n">
        <x:v>0</x:v>
      </x:c>
      <x:c r="N43" s="30" t="str">
        <x:v>任务完成后条件掉落停止；不支持则低比例换通用材料</x:v>
      </x:c>
      <x:c r="O43" s="30" t="str">
        <x:v>设计定稿待编号</x:v>
      </x:c>
      <x:c r="P43" s="30" t="str">
        <x:v>待Codex扫描</x:v>
      </x:c>
      <x:c r="Q43" s="30" t="str">
        <x:v>不得擅自替换同名旧资产</x:v>
      </x:c>
      <x:c r="R43" s="30" t="str">
        <x:f>IF(COUNTIF($A$5:$A$72,A43)&gt;1,"重复","正常")</x:f>
        <x:v>正常</x:v>
      </x:c>
      <x:c r="S43" s="30" t="str">
        <x:f>IF(COUNTIF($C$5:$C$72,C43)&gt;1,"重名","正常")</x:f>
        <x:v>正常</x:v>
      </x:c>
    </x:row>
    <x:row r="44" ht="30" customHeight="1">
      <x:c r="A44" s="30" t="str">
        <x:v>EL-MAT-C03-Q04</x:v>
      </x:c>
      <x:c r="B44" s="30" t="str">
        <x:v>C03</x:v>
      </x:c>
      <x:c r="C44" s="30" t="str">
        <x:v>哨垒旗冠</x:v>
      </x:c>
      <x:c r="D44" s="30" t="str">
        <x:v>守关BOSS证物</x:v>
      </x:c>
      <x:c r="E44" s="30" t="str">
        <x:v>证物·金红</x:v>
      </x:c>
      <x:c r="F44" s="29" t="str">
        <x:v>黄金树哨垒/XX169/EL-MON-C03-G06-G01</x:v>
      </x:c>
      <x:c r="G44" s="29" t="str">
        <x:v>不进入大陆称号</x:v>
      </x:c>
      <x:c r="H44" s="29" t="str">
        <x:v>不进入11件强合成</x:v>
      </x:c>
      <x:c r="I44" s="29" t="str">
        <x:v>断路商队各1件组合任务</x:v>
      </x:c>
      <x:c r="J44" s="29" t="str">
        <x:v>可交易；NPC售价0；不可分解</x:v>
      </x:c>
      <x:c r="K44" s="30" t="str">
        <x:v>非绑定</x:v>
      </x:c>
      <x:c r="L44" s="30" t="str">
        <x:v>可交易</x:v>
      </x:c>
      <x:c r="M44" s="41" t="n">
        <x:v>0</x:v>
      </x:c>
      <x:c r="N44" s="30" t="str">
        <x:v>任务完成后条件掉落停止；不支持则低比例换通用材料</x:v>
      </x:c>
      <x:c r="O44" s="30" t="str">
        <x:v>设计定稿待编号</x:v>
      </x:c>
      <x:c r="P44" s="30" t="str">
        <x:v>待Codex扫描</x:v>
      </x:c>
      <x:c r="Q44" s="30" t="str">
        <x:v>不得擅自替换同名旧资产</x:v>
      </x:c>
      <x:c r="R44" s="30" t="str">
        <x:f>IF(COUNTIF($A$5:$A$72,A44)&gt;1,"重复","正常")</x:f>
        <x:v>正常</x:v>
      </x:c>
      <x:c r="S44" s="30" t="str">
        <x:f>IF(COUNTIF($C$5:$C$72,C44)&gt;1,"重名","正常")</x:f>
        <x:v>正常</x:v>
      </x:c>
    </x:row>
    <x:row r="45" ht="30" customHeight="1">
      <x:c r="A45" s="30" t="str">
        <x:v>EL-MAT-C04-Q01</x:v>
      </x:c>
      <x:c r="B45" s="30" t="str">
        <x:v>C04</x:v>
      </x:c>
      <x:c r="C45" s="30" t="str">
        <x:v>雾潮银鳞</x:v>
      </x:c>
      <x:c r="D45" s="30" t="str">
        <x:v>普通怪证物</x:v>
      </x:c>
      <x:c r="E45" s="30" t="str">
        <x:v>证物·蓝</x:v>
      </x:c>
      <x:c r="F45" s="29" t="str">
        <x:v>雾潮湿地/XX342/EL-MON-C04-G01-N04</x:v>
      </x:c>
      <x:c r="G45" s="29" t="str">
        <x:v>不进入大陆称号</x:v>
      </x:c>
      <x:c r="H45" s="29" t="str">
        <x:v>不进入11件强合成</x:v>
      </x:c>
      <x:c r="I45" s="29" t="str">
        <x:v>沉船守誓者各1件组合任务</x:v>
      </x:c>
      <x:c r="J45" s="29" t="str">
        <x:v>可交易；NPC售价0；不可分解</x:v>
      </x:c>
      <x:c r="K45" s="30" t="str">
        <x:v>非绑定</x:v>
      </x:c>
      <x:c r="L45" s="30" t="str">
        <x:v>可交易</x:v>
      </x:c>
      <x:c r="M45" s="41" t="n">
        <x:v>0</x:v>
      </x:c>
      <x:c r="N45" s="30" t="str">
        <x:v>任务完成后条件掉落停止；不支持则低比例换通用材料</x:v>
      </x:c>
      <x:c r="O45" s="30" t="str">
        <x:v>设计定稿待编号</x:v>
      </x:c>
      <x:c r="P45" s="30" t="str">
        <x:v>待Codex扫描</x:v>
      </x:c>
      <x:c r="Q45" s="30" t="str">
        <x:v>不得擅自替换同名旧资产</x:v>
      </x:c>
      <x:c r="R45" s="30" t="str">
        <x:f>IF(COUNTIF($A$5:$A$72,A45)&gt;1,"重复","正常")</x:f>
        <x:v>正常</x:v>
      </x:c>
      <x:c r="S45" s="30" t="str">
        <x:f>IF(COUNTIF($C$5:$C$72,C45)&gt;1,"重名","正常")</x:f>
        <x:v>正常</x:v>
      </x:c>
    </x:row>
    <x:row r="46" ht="30" customHeight="1">
      <x:c r="A46" s="30" t="str">
        <x:v>EL-MAT-C04-Q02</x:v>
      </x:c>
      <x:c r="B46" s="30" t="str">
        <x:v>C04</x:v>
      </x:c>
      <x:c r="C46" s="30" t="str">
        <x:v>沉船缆扣</x:v>
      </x:c>
      <x:c r="D46" s="30" t="str">
        <x:v>精英证物</x:v>
      </x:c>
      <x:c r="E46" s="30" t="str">
        <x:v>证物·紫</x:v>
      </x:c>
      <x:c r="F46" s="29" t="str">
        <x:v>湖心沉船/XX351/EL-MON-C04-G03-R02</x:v>
      </x:c>
      <x:c r="G46" s="29" t="str">
        <x:v>不进入大陆称号</x:v>
      </x:c>
      <x:c r="H46" s="29" t="str">
        <x:v>不进入11件强合成</x:v>
      </x:c>
      <x:c r="I46" s="29" t="str">
        <x:v>沉船守誓者各1件组合任务</x:v>
      </x:c>
      <x:c r="J46" s="29" t="str">
        <x:v>可交易；NPC售价0；不可分解</x:v>
      </x:c>
      <x:c r="K46" s="30" t="str">
        <x:v>非绑定</x:v>
      </x:c>
      <x:c r="L46" s="30" t="str">
        <x:v>可交易</x:v>
      </x:c>
      <x:c r="M46" s="41" t="n">
        <x:v>0</x:v>
      </x:c>
      <x:c r="N46" s="30" t="str">
        <x:v>任务完成后条件掉落停止；不支持则低比例换通用材料</x:v>
      </x:c>
      <x:c r="O46" s="30" t="str">
        <x:v>设计定稿待编号</x:v>
      </x:c>
      <x:c r="P46" s="30" t="str">
        <x:v>待Codex扫描</x:v>
      </x:c>
      <x:c r="Q46" s="30" t="str">
        <x:v>不得擅自替换同名旧资产</x:v>
      </x:c>
      <x:c r="R46" s="30" t="str">
        <x:f>IF(COUNTIF($A$5:$A$72,A46)&gt;1,"重复","正常")</x:f>
        <x:v>正常</x:v>
      </x:c>
      <x:c r="S46" s="30" t="str">
        <x:f>IF(COUNTIF($C$5:$C$72,C46)&gt;1,"重名","正常")</x:f>
        <x:v>正常</x:v>
      </x:c>
    </x:row>
    <x:row r="47" ht="30" customHeight="1">
      <x:c r="A47" s="30" t="str">
        <x:v>EL-MAT-C04-Q03</x:v>
      </x:c>
      <x:c r="B47" s="30" t="str">
        <x:v>C04</x:v>
      </x:c>
      <x:c r="C47" s="30" t="str">
        <x:v>深湖压舱印</x:v>
      </x:c>
      <x:c r="D47" s="30" t="str">
        <x:v>地图BOSS证物</x:v>
      </x:c>
      <x:c r="E47" s="30" t="str">
        <x:v>证物·橙</x:v>
      </x:c>
      <x:c r="F47" s="29" t="str">
        <x:v>深湖水道/XX391/EL-MON-C04-G05-B01</x:v>
      </x:c>
      <x:c r="G47" s="29" t="str">
        <x:v>不进入大陆称号</x:v>
      </x:c>
      <x:c r="H47" s="29" t="str">
        <x:v>不进入11件强合成</x:v>
      </x:c>
      <x:c r="I47" s="29" t="str">
        <x:v>沉船守誓者各1件组合任务</x:v>
      </x:c>
      <x:c r="J47" s="29" t="str">
        <x:v>可交易；NPC售价0；不可分解</x:v>
      </x:c>
      <x:c r="K47" s="30" t="str">
        <x:v>非绑定</x:v>
      </x:c>
      <x:c r="L47" s="30" t="str">
        <x:v>可交易</x:v>
      </x:c>
      <x:c r="M47" s="41" t="n">
        <x:v>0</x:v>
      </x:c>
      <x:c r="N47" s="30" t="str">
        <x:v>任务完成后条件掉落停止；不支持则低比例换通用材料</x:v>
      </x:c>
      <x:c r="O47" s="30" t="str">
        <x:v>设计定稿待编号</x:v>
      </x:c>
      <x:c r="P47" s="30" t="str">
        <x:v>待Codex扫描</x:v>
      </x:c>
      <x:c r="Q47" s="30" t="str">
        <x:v>不得擅自替换同名旧资产</x:v>
      </x:c>
      <x:c r="R47" s="30" t="str">
        <x:f>IF(COUNTIF($A$5:$A$72,A47)&gt;1,"重复","正常")</x:f>
        <x:v>正常</x:v>
      </x:c>
      <x:c r="S47" s="30" t="str">
        <x:f>IF(COUNTIF($C$5:$C$72,C47)&gt;1,"重名","正常")</x:f>
        <x:v>正常</x:v>
      </x:c>
    </x:row>
    <x:row r="48" ht="30" customHeight="1">
      <x:c r="A48" s="30" t="str">
        <x:v>EL-MAT-C04-Q04</x:v>
      </x:c>
      <x:c r="B48" s="30" t="str">
        <x:v>C04</x:v>
      </x:c>
      <x:c r="C48" s="30" t="str">
        <x:v>湖底封门珠</x:v>
      </x:c>
      <x:c r="D48" s="30" t="str">
        <x:v>守关BOSS证物</x:v>
      </x:c>
      <x:c r="E48" s="30" t="str">
        <x:v>证物·金红</x:v>
      </x:c>
      <x:c r="F48" s="29" t="str">
        <x:v>湖底密道/XX369/EL-MON-C04-G06-G01</x:v>
      </x:c>
      <x:c r="G48" s="29" t="str">
        <x:v>不进入大陆称号</x:v>
      </x:c>
      <x:c r="H48" s="29" t="str">
        <x:v>不进入11件强合成</x:v>
      </x:c>
      <x:c r="I48" s="29" t="str">
        <x:v>沉船守誓者各1件组合任务</x:v>
      </x:c>
      <x:c r="J48" s="29" t="str">
        <x:v>可交易；NPC售价0；不可分解</x:v>
      </x:c>
      <x:c r="K48" s="30" t="str">
        <x:v>非绑定</x:v>
      </x:c>
      <x:c r="L48" s="30" t="str">
        <x:v>可交易</x:v>
      </x:c>
      <x:c r="M48" s="41" t="n">
        <x:v>0</x:v>
      </x:c>
      <x:c r="N48" s="30" t="str">
        <x:v>任务完成后条件掉落停止；不支持则低比例换通用材料</x:v>
      </x:c>
      <x:c r="O48" s="30" t="str">
        <x:v>设计定稿待编号</x:v>
      </x:c>
      <x:c r="P48" s="30" t="str">
        <x:v>待Codex扫描</x:v>
      </x:c>
      <x:c r="Q48" s="30" t="str">
        <x:v>不得擅自替换同名旧资产</x:v>
      </x:c>
      <x:c r="R48" s="30" t="str">
        <x:f>IF(COUNTIF($A$5:$A$72,A48)&gt;1,"重复","正常")</x:f>
        <x:v>正常</x:v>
      </x:c>
      <x:c r="S48" s="30" t="str">
        <x:f>IF(COUNTIF($C$5:$C$72,C48)&gt;1,"重名","正常")</x:f>
        <x:v>正常</x:v>
      </x:c>
    </x:row>
    <x:row r="49" ht="30" customHeight="1">
      <x:c r="A49" s="30" t="str">
        <x:v>EL-MAT-C05-Q01</x:v>
      </x:c>
      <x:c r="B49" s="30" t="str">
        <x:v>C05</x:v>
      </x:c>
      <x:c r="C49" s="30" t="str">
        <x:v>雾月星砂</x:v>
      </x:c>
      <x:c r="D49" s="30" t="str">
        <x:v>普通怪证物</x:v>
      </x:c>
      <x:c r="E49" s="30" t="str">
        <x:v>证物·蓝</x:v>
      </x:c>
      <x:c r="F49" s="29" t="str">
        <x:v>雾月水庭/XX331/EL-MON-C05-G01-N04</x:v>
      </x:c>
      <x:c r="G49" s="29" t="str">
        <x:v>不进入大陆称号</x:v>
      </x:c>
      <x:c r="H49" s="29" t="str">
        <x:v>不进入11件强合成</x:v>
      </x:c>
      <x:c r="I49" s="29" t="str">
        <x:v>被封印的讲义各1件组合任务</x:v>
      </x:c>
      <x:c r="J49" s="29" t="str">
        <x:v>可交易；NPC售价0；不可分解</x:v>
      </x:c>
      <x:c r="K49" s="30" t="str">
        <x:v>非绑定</x:v>
      </x:c>
      <x:c r="L49" s="30" t="str">
        <x:v>可交易</x:v>
      </x:c>
      <x:c r="M49" s="41" t="n">
        <x:v>0</x:v>
      </x:c>
      <x:c r="N49" s="30" t="str">
        <x:v>任务完成后条件掉落停止；不支持则低比例换通用材料</x:v>
      </x:c>
      <x:c r="O49" s="30" t="str">
        <x:v>设计定稿待编号</x:v>
      </x:c>
      <x:c r="P49" s="30" t="str">
        <x:v>待Codex扫描</x:v>
      </x:c>
      <x:c r="Q49" s="30" t="str">
        <x:v>不得擅自替换同名旧资产</x:v>
      </x:c>
      <x:c r="R49" s="30" t="str">
        <x:f>IF(COUNTIF($A$5:$A$72,A49)&gt;1,"重复","正常")</x:f>
        <x:v>正常</x:v>
      </x:c>
      <x:c r="S49" s="30" t="str">
        <x:f>IF(COUNTIF($C$5:$C$72,C49)&gt;1,"重名","正常")</x:f>
        <x:v>正常</x:v>
      </x:c>
    </x:row>
    <x:row r="50" ht="30" customHeight="1">
      <x:c r="A50" s="30" t="str">
        <x:v>EL-MAT-C05-Q02</x:v>
      </x:c>
      <x:c r="B50" s="30" t="str">
        <x:v>C05</x:v>
      </x:c>
      <x:c r="C50" s="30" t="str">
        <x:v>学院封蜡</x:v>
      </x:c>
      <x:c r="D50" s="30" t="str">
        <x:v>精英证物</x:v>
      </x:c>
      <x:c r="E50" s="30" t="str">
        <x:v>证物·紫</x:v>
      </x:c>
      <x:c r="F50" s="29" t="str">
        <x:v>辉石遗迹/XX816/EL-MON-C05-G02-R02</x:v>
      </x:c>
      <x:c r="G50" s="29" t="str">
        <x:v>不进入大陆称号</x:v>
      </x:c>
      <x:c r="H50" s="29" t="str">
        <x:v>不进入11件强合成</x:v>
      </x:c>
      <x:c r="I50" s="29" t="str">
        <x:v>被封印的讲义各1件组合任务</x:v>
      </x:c>
      <x:c r="J50" s="29" t="str">
        <x:v>可交易；NPC售价0；不可分解</x:v>
      </x:c>
      <x:c r="K50" s="30" t="str">
        <x:v>非绑定</x:v>
      </x:c>
      <x:c r="L50" s="30" t="str">
        <x:v>可交易</x:v>
      </x:c>
      <x:c r="M50" s="41" t="n">
        <x:v>0</x:v>
      </x:c>
      <x:c r="N50" s="30" t="str">
        <x:v>任务完成后条件掉落停止；不支持则低比例换通用材料</x:v>
      </x:c>
      <x:c r="O50" s="30" t="str">
        <x:v>设计定稿待编号</x:v>
      </x:c>
      <x:c r="P50" s="30" t="str">
        <x:v>待Codex扫描</x:v>
      </x:c>
      <x:c r="Q50" s="30" t="str">
        <x:v>不得擅自替换同名旧资产</x:v>
      </x:c>
      <x:c r="R50" s="30" t="str">
        <x:f>IF(COUNTIF($A$5:$A$72,A50)&gt;1,"重复","正常")</x:f>
        <x:v>正常</x:v>
      </x:c>
      <x:c r="S50" s="30" t="str">
        <x:f>IF(COUNTIF($C$5:$C$72,C50)&gt;1,"重名","正常")</x:f>
        <x:v>正常</x:v>
      </x:c>
    </x:row>
    <x:row r="51" ht="30" customHeight="1">
      <x:c r="A51" s="30" t="str">
        <x:v>EL-MAT-C05-Q03</x:v>
      </x:c>
      <x:c r="B51" s="30" t="str">
        <x:v>C05</x:v>
      </x:c>
      <x:c r="C51" s="30" t="str">
        <x:v>月蚀镜片</x:v>
      </x:c>
      <x:c r="D51" s="30" t="str">
        <x:v>地图BOSS证物</x:v>
      </x:c>
      <x:c r="E51" s="30" t="str">
        <x:v>证物·橙</x:v>
      </x:c>
      <x:c r="F51" s="29" t="str">
        <x:v>满月书库/XX1066/EL-MON-C05-G04-B01</x:v>
      </x:c>
      <x:c r="G51" s="29" t="str">
        <x:v>不进入大陆称号</x:v>
      </x:c>
      <x:c r="H51" s="29" t="str">
        <x:v>不进入11件强合成</x:v>
      </x:c>
      <x:c r="I51" s="29" t="str">
        <x:v>被封印的讲义各1件组合任务</x:v>
      </x:c>
      <x:c r="J51" s="29" t="str">
        <x:v>可交易；NPC售价0；不可分解</x:v>
      </x:c>
      <x:c r="K51" s="30" t="str">
        <x:v>非绑定</x:v>
      </x:c>
      <x:c r="L51" s="30" t="str">
        <x:v>可交易</x:v>
      </x:c>
      <x:c r="M51" s="41" t="n">
        <x:v>0</x:v>
      </x:c>
      <x:c r="N51" s="30" t="str">
        <x:v>任务完成后条件掉落停止；不支持则低比例换通用材料</x:v>
      </x:c>
      <x:c r="O51" s="30" t="str">
        <x:v>设计定稿待编号</x:v>
      </x:c>
      <x:c r="P51" s="30" t="str">
        <x:v>待Codex扫描</x:v>
      </x:c>
      <x:c r="Q51" s="30" t="str">
        <x:v>不得擅自替换同名旧资产</x:v>
      </x:c>
      <x:c r="R51" s="30" t="str">
        <x:f>IF(COUNTIF($A$5:$A$72,A51)&gt;1,"重复","正常")</x:f>
        <x:v>正常</x:v>
      </x:c>
      <x:c r="S51" s="30" t="str">
        <x:f>IF(COUNTIF($C$5:$C$72,C51)&gt;1,"重名","正常")</x:f>
        <x:v>正常</x:v>
      </x:c>
    </x:row>
    <x:row r="52" ht="30" customHeight="1">
      <x:c r="A52" s="30" t="str">
        <x:v>EL-MAT-C05-Q04</x:v>
      </x:c>
      <x:c r="B52" s="30" t="str">
        <x:v>C05</x:v>
      </x:c>
      <x:c r="C52" s="30" t="str">
        <x:v>禁域星钥</x:v>
      </x:c>
      <x:c r="D52" s="30" t="str">
        <x:v>守关BOSS证物</x:v>
      </x:c>
      <x:c r="E52" s="30" t="str">
        <x:v>证物·金红</x:v>
      </x:c>
      <x:c r="F52" s="29" t="str">
        <x:v>卡利亚禁域/XX924/EL-MON-C05-G06-G01</x:v>
      </x:c>
      <x:c r="G52" s="29" t="str">
        <x:v>不进入大陆称号</x:v>
      </x:c>
      <x:c r="H52" s="29" t="str">
        <x:v>不进入11件强合成</x:v>
      </x:c>
      <x:c r="I52" s="29" t="str">
        <x:v>被封印的讲义各1件组合任务</x:v>
      </x:c>
      <x:c r="J52" s="29" t="str">
        <x:v>可交易；NPC售价0；不可分解</x:v>
      </x:c>
      <x:c r="K52" s="30" t="str">
        <x:v>非绑定</x:v>
      </x:c>
      <x:c r="L52" s="30" t="str">
        <x:v>可交易</x:v>
      </x:c>
      <x:c r="M52" s="41" t="n">
        <x:v>0</x:v>
      </x:c>
      <x:c r="N52" s="30" t="str">
        <x:v>任务完成后条件掉落停止；不支持则低比例换通用材料</x:v>
      </x:c>
      <x:c r="O52" s="30" t="str">
        <x:v>设计定稿待编号</x:v>
      </x:c>
      <x:c r="P52" s="30" t="str">
        <x:v>待Codex扫描</x:v>
      </x:c>
      <x:c r="Q52" s="30" t="str">
        <x:v>不得擅自替换同名旧资产</x:v>
      </x:c>
      <x:c r="R52" s="30" t="str">
        <x:f>IF(COUNTIF($A$5:$A$72,A52)&gt;1,"重复","正常")</x:f>
        <x:v>正常</x:v>
      </x:c>
      <x:c r="S52" s="30" t="str">
        <x:f>IF(COUNTIF($C$5:$C$72,C52)&gt;1,"重名","正常")</x:f>
        <x:v>正常</x:v>
      </x:c>
    </x:row>
    <x:row r="53" ht="30" customHeight="1">
      <x:c r="A53" s="30" t="str">
        <x:v>EL-MAT-C06-Q01</x:v>
      </x:c>
      <x:c r="B53" s="30" t="str">
        <x:v>C06</x:v>
      </x:c>
      <x:c r="C53" s="30" t="str">
        <x:v>红狮断箭</x:v>
      </x:c>
      <x:c r="D53" s="30" t="str">
        <x:v>普通怪证物</x:v>
      </x:c>
      <x:c r="E53" s="30" t="str">
        <x:v>证物·蓝</x:v>
      </x:c>
      <x:c r="F53" s="29" t="str">
        <x:v>猩红熔原/XX308/EL-MON-C06-G01-N04</x:v>
      </x:c>
      <x:c r="G53" s="29" t="str">
        <x:v>不进入大陆称号</x:v>
      </x:c>
      <x:c r="H53" s="29" t="str">
        <x:v>不进入11件强合成</x:v>
      </x:c>
      <x:c r="I53" s="29" t="str">
        <x:v>腐心不屈各1件组合任务</x:v>
      </x:c>
      <x:c r="J53" s="29" t="str">
        <x:v>可交易；NPC售价0；不可分解</x:v>
      </x:c>
      <x:c r="K53" s="30" t="str">
        <x:v>非绑定</x:v>
      </x:c>
      <x:c r="L53" s="30" t="str">
        <x:v>可交易</x:v>
      </x:c>
      <x:c r="M53" s="41" t="n">
        <x:v>0</x:v>
      </x:c>
      <x:c r="N53" s="30" t="str">
        <x:v>任务完成后条件掉落停止；不支持则低比例换通用材料</x:v>
      </x:c>
      <x:c r="O53" s="30" t="str">
        <x:v>设计定稿待编号</x:v>
      </x:c>
      <x:c r="P53" s="30" t="str">
        <x:v>待Codex扫描</x:v>
      </x:c>
      <x:c r="Q53" s="30" t="str">
        <x:v>不得擅自替换同名旧资产</x:v>
      </x:c>
      <x:c r="R53" s="30" t="str">
        <x:f>IF(COUNTIF($A$5:$A$72,A53)&gt;1,"重复","正常")</x:f>
        <x:v>正常</x:v>
      </x:c>
      <x:c r="S53" s="30" t="str">
        <x:f>IF(COUNTIF($C$5:$C$72,C53)&gt;1,"重名","正常")</x:f>
        <x:v>正常</x:v>
      </x:c>
    </x:row>
    <x:row r="54" ht="30" customHeight="1">
      <x:c r="A54" s="30" t="str">
        <x:v>EL-MAT-C06-Q02</x:v>
      </x:c>
      <x:c r="B54" s="30" t="str">
        <x:v>C06</x:v>
      </x:c>
      <x:c r="C54" s="30" t="str">
        <x:v>净火腺囊</x:v>
      </x:c>
      <x:c r="D54" s="30" t="str">
        <x:v>精英证物</x:v>
      </x:c>
      <x:c r="E54" s="30" t="str">
        <x:v>证物·紫</x:v>
      </x:c>
      <x:c r="F54" s="29" t="str">
        <x:v>腐败火狱/XX361/EL-MON-C06-G02-R02</x:v>
      </x:c>
      <x:c r="G54" s="29" t="str">
        <x:v>不进入大陆称号</x:v>
      </x:c>
      <x:c r="H54" s="29" t="str">
        <x:v>不进入11件强合成</x:v>
      </x:c>
      <x:c r="I54" s="29" t="str">
        <x:v>腐心不屈各1件组合任务</x:v>
      </x:c>
      <x:c r="J54" s="29" t="str">
        <x:v>可交易；NPC售价0；不可分解</x:v>
      </x:c>
      <x:c r="K54" s="30" t="str">
        <x:v>非绑定</x:v>
      </x:c>
      <x:c r="L54" s="30" t="str">
        <x:v>可交易</x:v>
      </x:c>
      <x:c r="M54" s="41" t="n">
        <x:v>0</x:v>
      </x:c>
      <x:c r="N54" s="30" t="str">
        <x:v>任务完成后条件掉落停止；不支持则低比例换通用材料</x:v>
      </x:c>
      <x:c r="O54" s="30" t="str">
        <x:v>设计定稿待编号</x:v>
      </x:c>
      <x:c r="P54" s="30" t="str">
        <x:v>待Codex扫描</x:v>
      </x:c>
      <x:c r="Q54" s="30" t="str">
        <x:v>不得擅自替换同名旧资产</x:v>
      </x:c>
      <x:c r="R54" s="30" t="str">
        <x:f>IF(COUNTIF($A$5:$A$72,A54)&gt;1,"重复","正常")</x:f>
        <x:v>正常</x:v>
      </x:c>
      <x:c r="S54" s="30" t="str">
        <x:f>IF(COUNTIF($C$5:$C$72,C54)&gt;1,"重名","正常")</x:f>
        <x:v>正常</x:v>
      </x:c>
    </x:row>
    <x:row r="55" ht="30" customHeight="1">
      <x:c r="A55" s="30" t="str">
        <x:v>EL-MAT-C06-Q03</x:v>
      </x:c>
      <x:c r="B55" s="30" t="str">
        <x:v>C06</x:v>
      </x:c>
      <x:c r="C55" s="30" t="str">
        <x:v>龙窟熔牙</x:v>
      </x:c>
      <x:c r="D55" s="30" t="str">
        <x:v>地图BOSS证物</x:v>
      </x:c>
      <x:c r="E55" s="30" t="str">
        <x:v>证物·橙</x:v>
      </x:c>
      <x:c r="F55" s="29" t="str">
        <x:v>红狮龙窟/XX482/EL-MON-C06-G03-B01</x:v>
      </x:c>
      <x:c r="G55" s="29" t="str">
        <x:v>不进入大陆称号</x:v>
      </x:c>
      <x:c r="H55" s="29" t="str">
        <x:v>不进入11件强合成</x:v>
      </x:c>
      <x:c r="I55" s="29" t="str">
        <x:v>腐心不屈各1件组合任务</x:v>
      </x:c>
      <x:c r="J55" s="29" t="str">
        <x:v>可交易；NPC售价0；不可分解</x:v>
      </x:c>
      <x:c r="K55" s="30" t="str">
        <x:v>非绑定</x:v>
      </x:c>
      <x:c r="L55" s="30" t="str">
        <x:v>可交易</x:v>
      </x:c>
      <x:c r="M55" s="41" t="n">
        <x:v>0</x:v>
      </x:c>
      <x:c r="N55" s="30" t="str">
        <x:v>任务完成后条件掉落停止；不支持则低比例换通用材料</x:v>
      </x:c>
      <x:c r="O55" s="30" t="str">
        <x:v>设计定稿待编号</x:v>
      </x:c>
      <x:c r="P55" s="30" t="str">
        <x:v>待Codex扫描</x:v>
      </x:c>
      <x:c r="Q55" s="30" t="str">
        <x:v>不得擅自替换同名旧资产</x:v>
      </x:c>
      <x:c r="R55" s="30" t="str">
        <x:f>IF(COUNTIF($A$5:$A$72,A55)&gt;1,"重复","正常")</x:f>
        <x:v>正常</x:v>
      </x:c>
      <x:c r="S55" s="30" t="str">
        <x:f>IF(COUNTIF($C$5:$C$72,C55)&gt;1,"重名","正常")</x:f>
        <x:v>正常</x:v>
      </x:c>
    </x:row>
    <x:row r="56" ht="30" customHeight="1">
      <x:c r="A56" s="30" t="str">
        <x:v>EL-MAT-C06-Q04</x:v>
      </x:c>
      <x:c r="B56" s="30" t="str">
        <x:v>C06</x:v>
      </x:c>
      <x:c r="C56" s="30" t="str">
        <x:v>碎星仪仗钉</x:v>
      </x:c>
      <x:c r="D56" s="30" t="str">
        <x:v>守关BOSS证物</x:v>
      </x:c>
      <x:c r="E56" s="30" t="str">
        <x:v>证物·金红</x:v>
      </x:c>
      <x:c r="F56" s="29" t="str">
        <x:v>红狮龙窟/XX481/EL-MON-C06-G03-G01</x:v>
      </x:c>
      <x:c r="G56" s="29" t="str">
        <x:v>不进入大陆称号</x:v>
      </x:c>
      <x:c r="H56" s="29" t="str">
        <x:v>不进入11件强合成</x:v>
      </x:c>
      <x:c r="I56" s="29" t="str">
        <x:v>腐心不屈各1件组合任务</x:v>
      </x:c>
      <x:c r="J56" s="29" t="str">
        <x:v>可交易；NPC售价0；不可分解</x:v>
      </x:c>
      <x:c r="K56" s="30" t="str">
        <x:v>非绑定</x:v>
      </x:c>
      <x:c r="L56" s="30" t="str">
        <x:v>可交易</x:v>
      </x:c>
      <x:c r="M56" s="41" t="n">
        <x:v>0</x:v>
      </x:c>
      <x:c r="N56" s="30" t="str">
        <x:v>任务完成后条件掉落停止；不支持则低比例换通用材料</x:v>
      </x:c>
      <x:c r="O56" s="30" t="str">
        <x:v>设计定稿待编号</x:v>
      </x:c>
      <x:c r="P56" s="30" t="str">
        <x:v>待Codex扫描</x:v>
      </x:c>
      <x:c r="Q56" s="30" t="str">
        <x:v>不得擅自替换同名旧资产</x:v>
      </x:c>
      <x:c r="R56" s="30" t="str">
        <x:f>IF(COUNTIF($A$5:$A$72,A56)&gt;1,"重复","正常")</x:f>
        <x:v>正常</x:v>
      </x:c>
      <x:c r="S56" s="30" t="str">
        <x:f>IF(COUNTIF($C$5:$C$72,C56)&gt;1,"重名","正常")</x:f>
        <x:v>正常</x:v>
      </x:c>
    </x:row>
    <x:row r="57" ht="30" customHeight="1">
      <x:c r="A57" s="30" t="str">
        <x:v>EL-MAT-C07-Q01</x:v>
      </x:c>
      <x:c r="B57" s="30" t="str">
        <x:v>C07</x:v>
      </x:c>
      <x:c r="C57" s="30" t="str">
        <x:v>白金路标片</x:v>
      </x:c>
      <x:c r="D57" s="30" t="str">
        <x:v>普通怪证物</x:v>
      </x:c>
      <x:c r="E57" s="30" t="str">
        <x:v>证物·蓝</x:v>
      </x:c>
      <x:c r="F57" s="29" t="str">
        <x:v>苍白雪原/XX150/EL-MON-C07-G01-N04</x:v>
      </x:c>
      <x:c r="G57" s="29" t="str">
        <x:v>不进入大陆称号</x:v>
      </x:c>
      <x:c r="H57" s="29" t="str">
        <x:v>不进入11件强合成</x:v>
      </x:c>
      <x:c r="I57" s="29" t="str">
        <x:v>白金族的归途各1件组合任务</x:v>
      </x:c>
      <x:c r="J57" s="29" t="str">
        <x:v>可交易；NPC售价0；不可分解</x:v>
      </x:c>
      <x:c r="K57" s="30" t="str">
        <x:v>非绑定</x:v>
      </x:c>
      <x:c r="L57" s="30" t="str">
        <x:v>可交易</x:v>
      </x:c>
      <x:c r="M57" s="41" t="n">
        <x:v>0</x:v>
      </x:c>
      <x:c r="N57" s="30" t="str">
        <x:v>任务完成后条件掉落停止；不支持则低比例换通用材料</x:v>
      </x:c>
      <x:c r="O57" s="30" t="str">
        <x:v>设计定稿待编号</x:v>
      </x:c>
      <x:c r="P57" s="30" t="str">
        <x:v>待Codex扫描</x:v>
      </x:c>
      <x:c r="Q57" s="30" t="str">
        <x:v>不得擅自替换同名旧资产</x:v>
      </x:c>
      <x:c r="R57" s="30" t="str">
        <x:f>IF(COUNTIF($A$5:$A$72,A57)&gt;1,"重复","正常")</x:f>
        <x:v>正常</x:v>
      </x:c>
      <x:c r="S57" s="30" t="str">
        <x:f>IF(COUNTIF($C$5:$C$72,C57)&gt;1,"重名","正常")</x:f>
        <x:v>正常</x:v>
      </x:c>
    </x:row>
    <x:row r="58" ht="30" customHeight="1">
      <x:c r="A58" s="30" t="str">
        <x:v>EL-MAT-C07-Q02</x:v>
      </x:c>
      <x:c r="B58" s="30" t="str">
        <x:v>C07</x:v>
      </x:c>
      <x:c r="C58" s="30" t="str">
        <x:v>冻原银角</x:v>
      </x:c>
      <x:c r="D58" s="30" t="str">
        <x:v>精英证物</x:v>
      </x:c>
      <x:c r="E58" s="30" t="str">
        <x:v>证物·紫</x:v>
      </x:c>
      <x:c r="F58" s="29" t="str">
        <x:v>永冻荒境/XX905/EL-MON-C07-G02-R02</x:v>
      </x:c>
      <x:c r="G58" s="29" t="str">
        <x:v>不进入大陆称号</x:v>
      </x:c>
      <x:c r="H58" s="29" t="str">
        <x:v>不进入11件强合成</x:v>
      </x:c>
      <x:c r="I58" s="29" t="str">
        <x:v>白金族的归途各1件组合任务</x:v>
      </x:c>
      <x:c r="J58" s="29" t="str">
        <x:v>可交易；NPC售价0；不可分解</x:v>
      </x:c>
      <x:c r="K58" s="30" t="str">
        <x:v>非绑定</x:v>
      </x:c>
      <x:c r="L58" s="30" t="str">
        <x:v>可交易</x:v>
      </x:c>
      <x:c r="M58" s="41" t="n">
        <x:v>0</x:v>
      </x:c>
      <x:c r="N58" s="30" t="str">
        <x:v>任务完成后条件掉落停止；不支持则低比例换通用材料</x:v>
      </x:c>
      <x:c r="O58" s="30" t="str">
        <x:v>设计定稿待编号</x:v>
      </x:c>
      <x:c r="P58" s="30" t="str">
        <x:v>待Codex扫描</x:v>
      </x:c>
      <x:c r="Q58" s="30" t="str">
        <x:v>不得擅自替换同名旧资产</x:v>
      </x:c>
      <x:c r="R58" s="30" t="str">
        <x:f>IF(COUNTIF($A$5:$A$72,A58)&gt;1,"重复","正常")</x:f>
        <x:v>正常</x:v>
      </x:c>
      <x:c r="S58" s="30" t="str">
        <x:f>IF(COUNTIF($C$5:$C$72,C58)&gt;1,"重名","正常")</x:f>
        <x:v>正常</x:v>
      </x:c>
    </x:row>
    <x:row r="59" ht="30" customHeight="1">
      <x:c r="A59" s="30" t="str">
        <x:v>EL-MAT-C07-Q03</x:v>
      </x:c>
      <x:c r="B59" s="30" t="str">
        <x:v>C07</x:v>
      </x:c>
      <x:c r="C59" s="30" t="str">
        <x:v>秘树霜芽</x:v>
      </x:c>
      <x:c r="D59" s="30" t="str">
        <x:v>地图BOSS证物</x:v>
      </x:c>
      <x:c r="E59" s="30" t="str">
        <x:v>证物·橙</x:v>
      </x:c>
      <x:c r="F59" s="29" t="str">
        <x:v>极寒禁域/XX910/EL-MON-C07-G03-B01</x:v>
      </x:c>
      <x:c r="G59" s="29" t="str">
        <x:v>不进入大陆称号</x:v>
      </x:c>
      <x:c r="H59" s="29" t="str">
        <x:v>不进入11件强合成</x:v>
      </x:c>
      <x:c r="I59" s="29" t="str">
        <x:v>白金族的归途各1件组合任务</x:v>
      </x:c>
      <x:c r="J59" s="29" t="str">
        <x:v>可交易；NPC售价0；不可分解</x:v>
      </x:c>
      <x:c r="K59" s="30" t="str">
        <x:v>非绑定</x:v>
      </x:c>
      <x:c r="L59" s="30" t="str">
        <x:v>可交易</x:v>
      </x:c>
      <x:c r="M59" s="41" t="n">
        <x:v>0</x:v>
      </x:c>
      <x:c r="N59" s="30" t="str">
        <x:v>任务完成后条件掉落停止；不支持则低比例换通用材料</x:v>
      </x:c>
      <x:c r="O59" s="30" t="str">
        <x:v>设计定稿待编号</x:v>
      </x:c>
      <x:c r="P59" s="30" t="str">
        <x:v>待Codex扫描</x:v>
      </x:c>
      <x:c r="Q59" s="30" t="str">
        <x:v>不得擅自替换同名旧资产</x:v>
      </x:c>
      <x:c r="R59" s="30" t="str">
        <x:f>IF(COUNTIF($A$5:$A$72,A59)&gt;1,"重复","正常")</x:f>
        <x:v>正常</x:v>
      </x:c>
      <x:c r="S59" s="30" t="str">
        <x:f>IF(COUNTIF($C$5:$C$72,C59)&gt;1,"重名","正常")</x:f>
        <x:v>正常</x:v>
      </x:c>
    </x:row>
    <x:row r="60" ht="30" customHeight="1">
      <x:c r="A60" s="30" t="str">
        <x:v>EL-MAT-C07-Q04</x:v>
      </x:c>
      <x:c r="B60" s="30" t="str">
        <x:v>C07</x:v>
      </x:c>
      <x:c r="C60" s="30" t="str">
        <x:v>圣雪门楔</x:v>
      </x:c>
      <x:c r="D60" s="30" t="str">
        <x:v>守关BOSS证物</x:v>
      </x:c>
      <x:c r="E60" s="30" t="str">
        <x:v>证物·金红</x:v>
      </x:c>
      <x:c r="F60" s="29" t="str">
        <x:v>极寒禁域/XX911/EL-MON-C07-G03-G01</x:v>
      </x:c>
      <x:c r="G60" s="29" t="str">
        <x:v>不进入大陆称号</x:v>
      </x:c>
      <x:c r="H60" s="29" t="str">
        <x:v>不进入11件强合成</x:v>
      </x:c>
      <x:c r="I60" s="29" t="str">
        <x:v>白金族的归途各1件组合任务</x:v>
      </x:c>
      <x:c r="J60" s="29" t="str">
        <x:v>可交易；NPC售价0；不可分解</x:v>
      </x:c>
      <x:c r="K60" s="30" t="str">
        <x:v>非绑定</x:v>
      </x:c>
      <x:c r="L60" s="30" t="str">
        <x:v>可交易</x:v>
      </x:c>
      <x:c r="M60" s="41" t="n">
        <x:v>0</x:v>
      </x:c>
      <x:c r="N60" s="30" t="str">
        <x:v>任务完成后条件掉落停止；不支持则低比例换通用材料</x:v>
      </x:c>
      <x:c r="O60" s="30" t="str">
        <x:v>设计定稿待编号</x:v>
      </x:c>
      <x:c r="P60" s="30" t="str">
        <x:v>待Codex扫描</x:v>
      </x:c>
      <x:c r="Q60" s="30" t="str">
        <x:v>不得擅自替换同名旧资产</x:v>
      </x:c>
      <x:c r="R60" s="30" t="str">
        <x:f>IF(COUNTIF($A$5:$A$72,A60)&gt;1,"重复","正常")</x:f>
        <x:v>正常</x:v>
      </x:c>
      <x:c r="S60" s="30" t="str">
        <x:f>IF(COUNTIF($C$5:$C$72,C60)&gt;1,"重名","正常")</x:f>
        <x:v>正常</x:v>
      </x:c>
    </x:row>
    <x:row r="61" ht="30" customHeight="1">
      <x:c r="A61" s="30" t="str">
        <x:v>EL-MAT-C08-Q01</x:v>
      </x:c>
      <x:c r="B61" s="30" t="str">
        <x:v>C08</x:v>
      </x:c>
      <x:c r="C61" s="30" t="str">
        <x:v>登山铁楔</x:v>
      </x:c>
      <x:c r="D61" s="30" t="str">
        <x:v>普通怪证物</x:v>
      </x:c>
      <x:c r="E61" s="30" t="str">
        <x:v>证物·蓝</x:v>
      </x:c>
      <x:c r="F61" s="29" t="str">
        <x:v>寒霜山径/XX903/EL-MON-C08-G01-N04</x:v>
      </x:c>
      <x:c r="G61" s="29" t="str">
        <x:v>不进入大陆称号</x:v>
      </x:c>
      <x:c r="H61" s="29" t="str">
        <x:v>不进入11件强合成</x:v>
      </x:c>
      <x:c r="I61" s="29" t="str">
        <x:v>山巅守火人各1件组合任务</x:v>
      </x:c>
      <x:c r="J61" s="29" t="str">
        <x:v>可交易；NPC售价0；不可分解</x:v>
      </x:c>
      <x:c r="K61" s="30" t="str">
        <x:v>非绑定</x:v>
      </x:c>
      <x:c r="L61" s="30" t="str">
        <x:v>可交易</x:v>
      </x:c>
      <x:c r="M61" s="41" t="n">
        <x:v>0</x:v>
      </x:c>
      <x:c r="N61" s="30" t="str">
        <x:v>任务完成后条件掉落停止；不支持则低比例换通用材料</x:v>
      </x:c>
      <x:c r="O61" s="30" t="str">
        <x:v>设计定稿待编号</x:v>
      </x:c>
      <x:c r="P61" s="30" t="str">
        <x:v>待Codex扫描</x:v>
      </x:c>
      <x:c r="Q61" s="30" t="str">
        <x:v>不得擅自替换同名旧资产</x:v>
      </x:c>
      <x:c r="R61" s="30" t="str">
        <x:f>IF(COUNTIF($A$5:$A$72,A61)&gt;1,"重复","正常")</x:f>
        <x:v>正常</x:v>
      </x:c>
      <x:c r="S61" s="30" t="str">
        <x:f>IF(COUNTIF($C$5:$C$72,C61)&gt;1,"重名","正常")</x:f>
        <x:v>正常</x:v>
      </x:c>
    </x:row>
    <x:row r="62" ht="30" customHeight="1">
      <x:c r="A62" s="30" t="str">
        <x:v>EL-MAT-C08-Q02</x:v>
      </x:c>
      <x:c r="B62" s="30" t="str">
        <x:v>C08</x:v>
      </x:c>
      <x:c r="C62" s="30" t="str">
        <x:v>裂峰号角片</x:v>
      </x:c>
      <x:c r="D62" s="30" t="str">
        <x:v>精英证物</x:v>
      </x:c>
      <x:c r="E62" s="30" t="str">
        <x:v>证物·紫</x:v>
      </x:c>
      <x:c r="F62" s="29" t="str">
        <x:v>断冰峰群/XX316/EL-MON-C08-G02-R02</x:v>
      </x:c>
      <x:c r="G62" s="29" t="str">
        <x:v>不进入大陆称号</x:v>
      </x:c>
      <x:c r="H62" s="29" t="str">
        <x:v>不进入11件强合成</x:v>
      </x:c>
      <x:c r="I62" s="29" t="str">
        <x:v>山巅守火人各1件组合任务</x:v>
      </x:c>
      <x:c r="J62" s="29" t="str">
        <x:v>可交易；NPC售价0；不可分解</x:v>
      </x:c>
      <x:c r="K62" s="30" t="str">
        <x:v>非绑定</x:v>
      </x:c>
      <x:c r="L62" s="30" t="str">
        <x:v>可交易</x:v>
      </x:c>
      <x:c r="M62" s="41" t="n">
        <x:v>0</x:v>
      </x:c>
      <x:c r="N62" s="30" t="str">
        <x:v>任务完成后条件掉落停止；不支持则低比例换通用材料</x:v>
      </x:c>
      <x:c r="O62" s="30" t="str">
        <x:v>设计定稿待编号</x:v>
      </x:c>
      <x:c r="P62" s="30" t="str">
        <x:v>待Codex扫描</x:v>
      </x:c>
      <x:c r="Q62" s="30" t="str">
        <x:v>不得擅自替换同名旧资产</x:v>
      </x:c>
      <x:c r="R62" s="30" t="str">
        <x:f>IF(COUNTIF($A$5:$A$72,A62)&gt;1,"重复","正常")</x:f>
        <x:v>正常</x:v>
      </x:c>
      <x:c r="S62" s="30" t="str">
        <x:f>IF(COUNTIF($C$5:$C$72,C62)&gt;1,"重名","正常")</x:f>
        <x:v>正常</x:v>
      </x:c>
    </x:row>
    <x:row r="63" ht="30" customHeight="1">
      <x:c r="A63" s="30" t="str">
        <x:v>EL-MAT-C08-Q03</x:v>
      </x:c>
      <x:c r="B63" s="30" t="str">
        <x:v>C08</x:v>
      </x:c>
      <x:c r="C63" s="30" t="str">
        <x:v>冰宫守门铃</x:v>
      </x:c>
      <x:c r="D63" s="30" t="str">
        <x:v>地图BOSS证物</x:v>
      </x:c>
      <x:c r="E63" s="30" t="str">
        <x:v>证物·橙</x:v>
      </x:c>
      <x:c r="F63" s="29" t="str">
        <x:v>冰宫王庭/XX326/EL-MON-C08-G03-B01</x:v>
      </x:c>
      <x:c r="G63" s="29" t="str">
        <x:v>不进入大陆称号</x:v>
      </x:c>
      <x:c r="H63" s="29" t="str">
        <x:v>不进入11件强合成</x:v>
      </x:c>
      <x:c r="I63" s="29" t="str">
        <x:v>山巅守火人各1件组合任务</x:v>
      </x:c>
      <x:c r="J63" s="29" t="str">
        <x:v>可交易；NPC售价0；不可分解</x:v>
      </x:c>
      <x:c r="K63" s="30" t="str">
        <x:v>非绑定</x:v>
      </x:c>
      <x:c r="L63" s="30" t="str">
        <x:v>可交易</x:v>
      </x:c>
      <x:c r="M63" s="41" t="n">
        <x:v>0</x:v>
      </x:c>
      <x:c r="N63" s="30" t="str">
        <x:v>任务完成后条件掉落停止；不支持则低比例换通用材料</x:v>
      </x:c>
      <x:c r="O63" s="30" t="str">
        <x:v>设计定稿待编号</x:v>
      </x:c>
      <x:c r="P63" s="30" t="str">
        <x:v>待Codex扫描</x:v>
      </x:c>
      <x:c r="Q63" s="30" t="str">
        <x:v>不得擅自替换同名旧资产</x:v>
      </x:c>
      <x:c r="R63" s="30" t="str">
        <x:f>IF(COUNTIF($A$5:$A$72,A63)&gt;1,"重复","正常")</x:f>
        <x:v>正常</x:v>
      </x:c>
      <x:c r="S63" s="30" t="str">
        <x:f>IF(COUNTIF($C$5:$C$72,C63)&gt;1,"重名","正常")</x:f>
        <x:v>正常</x:v>
      </x:c>
    </x:row>
    <x:row r="64" ht="30" customHeight="1">
      <x:c r="A64" s="30" t="str">
        <x:v>EL-MAT-C08-Q04</x:v>
      </x:c>
      <x:c r="B64" s="30" t="str">
        <x:v>C08</x:v>
      </x:c>
      <x:c r="C64" s="30" t="str">
        <x:v>王庭炉冠</x:v>
      </x:c>
      <x:c r="D64" s="30" t="str">
        <x:v>守关BOSS证物</x:v>
      </x:c>
      <x:c r="E64" s="30" t="str">
        <x:v>证物·金红</x:v>
      </x:c>
      <x:c r="F64" s="29" t="str">
        <x:v>巨人王庭/XX897/EL-MON-C08-G04-G01</x:v>
      </x:c>
      <x:c r="G64" s="29" t="str">
        <x:v>不进入大陆称号</x:v>
      </x:c>
      <x:c r="H64" s="29" t="str">
        <x:v>不进入11件强合成</x:v>
      </x:c>
      <x:c r="I64" s="29" t="str">
        <x:v>山巅守火人各1件组合任务</x:v>
      </x:c>
      <x:c r="J64" s="29" t="str">
        <x:v>可交易；NPC售价0；不可分解</x:v>
      </x:c>
      <x:c r="K64" s="30" t="str">
        <x:v>非绑定</x:v>
      </x:c>
      <x:c r="L64" s="30" t="str">
        <x:v>可交易</x:v>
      </x:c>
      <x:c r="M64" s="41" t="n">
        <x:v>0</x:v>
      </x:c>
      <x:c r="N64" s="30" t="str">
        <x:v>任务完成后条件掉落停止；不支持则低比例换通用材料</x:v>
      </x:c>
      <x:c r="O64" s="30" t="str">
        <x:v>设计定稿待编号</x:v>
      </x:c>
      <x:c r="P64" s="30" t="str">
        <x:v>待Codex扫描</x:v>
      </x:c>
      <x:c r="Q64" s="30" t="str">
        <x:v>不得擅自替换同名旧资产</x:v>
      </x:c>
      <x:c r="R64" s="30" t="str">
        <x:f>IF(COUNTIF($A$5:$A$72,A64)&gt;1,"重复","正常")</x:f>
        <x:v>正常</x:v>
      </x:c>
      <x:c r="S64" s="30" t="str">
        <x:f>IF(COUNTIF($C$5:$C$72,C64)&gt;1,"重名","正常")</x:f>
        <x:v>正常</x:v>
      </x:c>
    </x:row>
    <x:row r="65" ht="30" customHeight="1">
      <x:c r="A65" s="30" t="str">
        <x:v>EL-MAT-C09-Q01</x:v>
      </x:c>
      <x:c r="B65" s="30" t="str">
        <x:v>C09</x:v>
      </x:c>
      <x:c r="C65" s="30" t="str">
        <x:v>金叶驿票</x:v>
      </x:c>
      <x:c r="D65" s="30" t="str">
        <x:v>普通怪证物</x:v>
      </x:c>
      <x:c r="E65" s="30" t="str">
        <x:v>证物·蓝</x:v>
      </x:c>
      <x:c r="F65" s="29" t="str">
        <x:v>金叶古道（组名待Codex正式落账）/XX717/EL-MON-C09-G01-N04</x:v>
      </x:c>
      <x:c r="G65" s="29" t="str">
        <x:v>不进入大陆称号</x:v>
      </x:c>
      <x:c r="H65" s="29" t="str">
        <x:v>不进入11件强合成</x:v>
      </x:c>
      <x:c r="I65" s="29" t="str">
        <x:v>矿脉最后一班各1件组合任务</x:v>
      </x:c>
      <x:c r="J65" s="29" t="str">
        <x:v>可交易；NPC售价0；不可分解</x:v>
      </x:c>
      <x:c r="K65" s="30" t="str">
        <x:v>非绑定</x:v>
      </x:c>
      <x:c r="L65" s="30" t="str">
        <x:v>可交易</x:v>
      </x:c>
      <x:c r="M65" s="41" t="n">
        <x:v>0</x:v>
      </x:c>
      <x:c r="N65" s="30" t="str">
        <x:v>任务完成后条件掉落停止；不支持则低比例换通用材料</x:v>
      </x:c>
      <x:c r="O65" s="30" t="str">
        <x:v>设计定稿；组名待核</x:v>
      </x:c>
      <x:c r="P65" s="30" t="str">
        <x:v>待Codex扫描</x:v>
      </x:c>
      <x:c r="Q65" s="30" t="str">
        <x:v>不得擅自替换同名旧资产</x:v>
      </x:c>
      <x:c r="R65" s="30" t="str">
        <x:f>IF(COUNTIF($A$5:$A$72,A65)&gt;1,"重复","正常")</x:f>
        <x:v>正常</x:v>
      </x:c>
      <x:c r="S65" s="30" t="str">
        <x:f>IF(COUNTIF($C$5:$C$72,C65)&gt;1,"重名","正常")</x:f>
        <x:v>正常</x:v>
      </x:c>
    </x:row>
    <x:row r="66" ht="30" customHeight="1">
      <x:c r="A66" s="30" t="str">
        <x:v>EL-MAT-C09-Q02</x:v>
      </x:c>
      <x:c r="B66" s="30" t="str">
        <x:v>C09</x:v>
      </x:c>
      <x:c r="C66" s="30" t="str">
        <x:v>矿脉灯芯</x:v>
      </x:c>
      <x:c r="D66" s="30" t="str">
        <x:v>精英证物</x:v>
      </x:c>
      <x:c r="E66" s="30" t="str">
        <x:v>证物·紫</x:v>
      </x:c>
      <x:c r="F66" s="29" t="str">
        <x:v>高原矿脉/XX824/EL-MON-C09-G02-R02</x:v>
      </x:c>
      <x:c r="G66" s="29" t="str">
        <x:v>不进入大陆称号</x:v>
      </x:c>
      <x:c r="H66" s="29" t="str">
        <x:v>不进入11件强合成</x:v>
      </x:c>
      <x:c r="I66" s="29" t="str">
        <x:v>矿脉最后一班各1件组合任务</x:v>
      </x:c>
      <x:c r="J66" s="29" t="str">
        <x:v>可交易；NPC售价0；不可分解</x:v>
      </x:c>
      <x:c r="K66" s="30" t="str">
        <x:v>非绑定</x:v>
      </x:c>
      <x:c r="L66" s="30" t="str">
        <x:v>可交易</x:v>
      </x:c>
      <x:c r="M66" s="41" t="n">
        <x:v>0</x:v>
      </x:c>
      <x:c r="N66" s="30" t="str">
        <x:v>任务完成后条件掉落停止；不支持则低比例换通用材料</x:v>
      </x:c>
      <x:c r="O66" s="30" t="str">
        <x:v>设计定稿；组名待核</x:v>
      </x:c>
      <x:c r="P66" s="30" t="str">
        <x:v>待Codex扫描</x:v>
      </x:c>
      <x:c r="Q66" s="30" t="str">
        <x:v>不得擅自替换同名旧资产</x:v>
      </x:c>
      <x:c r="R66" s="30" t="str">
        <x:f>IF(COUNTIF($A$5:$A$72,A66)&gt;1,"重复","正常")</x:f>
        <x:v>正常</x:v>
      </x:c>
      <x:c r="S66" s="30" t="str">
        <x:f>IF(COUNTIF($C$5:$C$72,C66)&gt;1,"重名","正常")</x:f>
        <x:v>正常</x:v>
      </x:c>
    </x:row>
    <x:row r="67" ht="30" customHeight="1">
      <x:c r="A67" s="30" t="str">
        <x:v>EL-MAT-C09-Q03</x:v>
      </x:c>
      <x:c r="B67" s="30" t="str">
        <x:v>C09</x:v>
      </x:c>
      <x:c r="C67" s="30" t="str">
        <x:v>裁文蜡封</x:v>
      </x:c>
      <x:c r="D67" s="30" t="str">
        <x:v>地图BOSS证物</x:v>
      </x:c>
      <x:c r="E67" s="30" t="str">
        <x:v>证物·橙</x:v>
      </x:c>
      <x:c r="F67" s="29" t="str">
        <x:v>古律圣堂（工作名）/XX795/EL-MON-C09-G04-B01</x:v>
      </x:c>
      <x:c r="G67" s="29" t="str">
        <x:v>不进入大陆称号</x:v>
      </x:c>
      <x:c r="H67" s="29" t="str">
        <x:v>不进入11件强合成</x:v>
      </x:c>
      <x:c r="I67" s="29" t="str">
        <x:v>矿脉最后一班各1件组合任务</x:v>
      </x:c>
      <x:c r="J67" s="29" t="str">
        <x:v>可交易；NPC售价0；不可分解</x:v>
      </x:c>
      <x:c r="K67" s="30" t="str">
        <x:v>非绑定</x:v>
      </x:c>
      <x:c r="L67" s="30" t="str">
        <x:v>可交易</x:v>
      </x:c>
      <x:c r="M67" s="41" t="n">
        <x:v>0</x:v>
      </x:c>
      <x:c r="N67" s="30" t="str">
        <x:v>任务完成后条件掉落停止；不支持则低比例换通用材料</x:v>
      </x:c>
      <x:c r="O67" s="30" t="str">
        <x:v>设计定稿；组名待核</x:v>
      </x:c>
      <x:c r="P67" s="30" t="str">
        <x:v>待Codex扫描</x:v>
      </x:c>
      <x:c r="Q67" s="30" t="str">
        <x:v>不得擅自替换同名旧资产</x:v>
      </x:c>
      <x:c r="R67" s="30" t="str">
        <x:f>IF(COUNTIF($A$5:$A$72,A67)&gt;1,"重复","正常")</x:f>
        <x:v>正常</x:v>
      </x:c>
      <x:c r="S67" s="30" t="str">
        <x:f>IF(COUNTIF($C$5:$C$72,C67)&gt;1,"重名","正常")</x:f>
        <x:v>正常</x:v>
      </x:c>
    </x:row>
    <x:row r="68" ht="30" customHeight="1">
      <x:c r="A68" s="30" t="str">
        <x:v>EL-MAT-C09-Q04</x:v>
      </x:c>
      <x:c r="B68" s="30" t="str">
        <x:v>C09</x:v>
      </x:c>
      <x:c r="C68" s="30" t="str">
        <x:v>高原王诏金版</x:v>
      </x:c>
      <x:c r="D68" s="30" t="str">
        <x:v>守关BOSS证物</x:v>
      </x:c>
      <x:c r="E68" s="30" t="str">
        <x:v>证物·金红</x:v>
      </x:c>
      <x:c r="F68" s="29" t="str">
        <x:v>黄金树祭域（工作名）/XX639/EL-MON-C09-G05-G01</x:v>
      </x:c>
      <x:c r="G68" s="29" t="str">
        <x:v>不进入大陆称号</x:v>
      </x:c>
      <x:c r="H68" s="29" t="str">
        <x:v>不进入11件强合成</x:v>
      </x:c>
      <x:c r="I68" s="29" t="str">
        <x:v>矿脉最后一班各1件组合任务</x:v>
      </x:c>
      <x:c r="J68" s="29" t="str">
        <x:v>可交易；NPC售价0；不可分解</x:v>
      </x:c>
      <x:c r="K68" s="30" t="str">
        <x:v>非绑定</x:v>
      </x:c>
      <x:c r="L68" s="30" t="str">
        <x:v>可交易</x:v>
      </x:c>
      <x:c r="M68" s="41" t="n">
        <x:v>0</x:v>
      </x:c>
      <x:c r="N68" s="30" t="str">
        <x:v>任务完成后条件掉落停止；不支持则低比例换通用材料</x:v>
      </x:c>
      <x:c r="O68" s="30" t="str">
        <x:v>设计定稿；组名待核</x:v>
      </x:c>
      <x:c r="P68" s="30" t="str">
        <x:v>待Codex扫描</x:v>
      </x:c>
      <x:c r="Q68" s="30" t="str">
        <x:v>不得擅自替换同名旧资产</x:v>
      </x:c>
      <x:c r="R68" s="30" t="str">
        <x:f>IF(COUNTIF($A$5:$A$72,A68)&gt;1,"重复","正常")</x:f>
        <x:v>正常</x:v>
      </x:c>
      <x:c r="S68" s="30" t="str">
        <x:f>IF(COUNTIF($C$5:$C$72,C68)&gt;1,"重名","正常")</x:f>
        <x:v>正常</x:v>
      </x:c>
    </x:row>
    <x:row r="69" ht="30" customHeight="1">
      <x:c r="A69" s="30" t="str">
        <x:v>EL-MAT-C10-Q01</x:v>
      </x:c>
      <x:c r="B69" s="30" t="str">
        <x:v>C10</x:v>
      </x:c>
      <x:c r="C69" s="30" t="str">
        <x:v>无名墓钉</x:v>
      </x:c>
      <x:c r="D69" s="30" t="str">
        <x:v>普通怪证物</x:v>
      </x:c>
      <x:c r="E69" s="30" t="str">
        <x:v>证物·蓝</x:v>
      </x:c>
      <x:c r="F69" s="29" t="str">
        <x:v>王城下城区（组名待Codex正式落账）/XX930/EL-MON-C10-G01-N04</x:v>
      </x:c>
      <x:c r="G69" s="29" t="str">
        <x:v>不进入大陆称号</x:v>
      </x:c>
      <x:c r="H69" s="29" t="str">
        <x:v>不进入11件强合成</x:v>
      </x:c>
      <x:c r="I69" s="29" t="str">
        <x:v>王城终誓各1件组合任务</x:v>
      </x:c>
      <x:c r="J69" s="29" t="str">
        <x:v>可交易；NPC售价0；不可分解</x:v>
      </x:c>
      <x:c r="K69" s="30" t="str">
        <x:v>非绑定</x:v>
      </x:c>
      <x:c r="L69" s="30" t="str">
        <x:v>可交易</x:v>
      </x:c>
      <x:c r="M69" s="41" t="n">
        <x:v>0</x:v>
      </x:c>
      <x:c r="N69" s="30" t="str">
        <x:v>任务完成后条件掉落停止；不支持则低比例换通用材料</x:v>
      </x:c>
      <x:c r="O69" s="30" t="str">
        <x:v>设计定稿；组名待核</x:v>
      </x:c>
      <x:c r="P69" s="30" t="str">
        <x:v>待Codex扫描</x:v>
      </x:c>
      <x:c r="Q69" s="30" t="str">
        <x:v>不得擅自替换同名旧资产</x:v>
      </x:c>
      <x:c r="R69" s="30" t="str">
        <x:f>IF(COUNTIF($A$5:$A$72,A69)&gt;1,"重复","正常")</x:f>
        <x:v>正常</x:v>
      </x:c>
      <x:c r="S69" s="30" t="str">
        <x:f>IF(COUNTIF($C$5:$C$72,C69)&gt;1,"重名","正常")</x:f>
        <x:v>正常</x:v>
      </x:c>
    </x:row>
    <x:row r="70" ht="30" customHeight="1">
      <x:c r="A70" s="30" t="str">
        <x:v>EL-MAT-C10-Q02</x:v>
      </x:c>
      <x:c r="B70" s="30" t="str">
        <x:v>C10</x:v>
      </x:c>
      <x:c r="C70" s="30" t="str">
        <x:v>旧渠阀芯</x:v>
      </x:c>
      <x:c r="D70" s="30" t="str">
        <x:v>精英证物</x:v>
      </x:c>
      <x:c r="E70" s="30" t="str">
        <x:v>证物·紫</x:v>
      </x:c>
      <x:c r="F70" s="29" t="str">
        <x:v>王城排水墓道（工作名）/XX624/EL-MON-C10-G02-R02</x:v>
      </x:c>
      <x:c r="G70" s="29" t="str">
        <x:v>不进入大陆称号</x:v>
      </x:c>
      <x:c r="H70" s="29" t="str">
        <x:v>不进入11件强合成</x:v>
      </x:c>
      <x:c r="I70" s="29" t="str">
        <x:v>王城终誓各1件组合任务</x:v>
      </x:c>
      <x:c r="J70" s="29" t="str">
        <x:v>可交易；NPC售价0；不可分解</x:v>
      </x:c>
      <x:c r="K70" s="30" t="str">
        <x:v>非绑定</x:v>
      </x:c>
      <x:c r="L70" s="30" t="str">
        <x:v>可交易</x:v>
      </x:c>
      <x:c r="M70" s="41" t="n">
        <x:v>0</x:v>
      </x:c>
      <x:c r="N70" s="30" t="str">
        <x:v>任务完成后条件掉落停止；不支持则低比例换通用材料</x:v>
      </x:c>
      <x:c r="O70" s="30" t="str">
        <x:v>设计定稿；组名待核</x:v>
      </x:c>
      <x:c r="P70" s="30" t="str">
        <x:v>待Codex扫描</x:v>
      </x:c>
      <x:c r="Q70" s="30" t="str">
        <x:v>不得擅自替换同名旧资产</x:v>
      </x:c>
      <x:c r="R70" s="30" t="str">
        <x:f>IF(COUNTIF($A$5:$A$72,A70)&gt;1,"重复","正常")</x:f>
        <x:v>正常</x:v>
      </x:c>
      <x:c r="S70" s="30" t="str">
        <x:f>IF(COUNTIF($C$5:$C$72,C70)&gt;1,"重名","正常")</x:f>
        <x:v>正常</x:v>
      </x:c>
    </x:row>
    <x:row r="71" ht="30" customHeight="1">
      <x:c r="A71" s="30" t="str">
        <x:v>EL-MAT-C10-Q03</x:v>
      </x:c>
      <x:c r="B71" s="30" t="str">
        <x:v>C10</x:v>
      </x:c>
      <x:c r="C71" s="30" t="str">
        <x:v>失温熔炉楔</x:v>
      </x:c>
      <x:c r="D71" s="30" t="str">
        <x:v>地图BOSS证物</x:v>
      </x:c>
      <x:c r="E71" s="30" t="str">
        <x:v>证物·橙</x:v>
      </x:c>
      <x:c r="F71" s="29" t="str">
        <x:v>地底工坊（组名待Codex正式落账）/XX956/EL-MON-C10-G03-B01</x:v>
      </x:c>
      <x:c r="G71" s="29" t="str">
        <x:v>不进入大陆称号</x:v>
      </x:c>
      <x:c r="H71" s="29" t="str">
        <x:v>不进入11件强合成</x:v>
      </x:c>
      <x:c r="I71" s="29" t="str">
        <x:v>王城终誓各1件组合任务</x:v>
      </x:c>
      <x:c r="J71" s="29" t="str">
        <x:v>可交易；NPC售价0；不可分解</x:v>
      </x:c>
      <x:c r="K71" s="30" t="str">
        <x:v>非绑定</x:v>
      </x:c>
      <x:c r="L71" s="30" t="str">
        <x:v>可交易</x:v>
      </x:c>
      <x:c r="M71" s="41" t="n">
        <x:v>0</x:v>
      </x:c>
      <x:c r="N71" s="30" t="str">
        <x:v>任务完成后条件掉落停止；不支持则低比例换通用材料</x:v>
      </x:c>
      <x:c r="O71" s="30" t="str">
        <x:v>设计定稿；组名待核</x:v>
      </x:c>
      <x:c r="P71" s="30" t="str">
        <x:v>待Codex扫描</x:v>
      </x:c>
      <x:c r="Q71" s="30" t="str">
        <x:v>不得擅自替换同名旧资产</x:v>
      </x:c>
      <x:c r="R71" s="30" t="str">
        <x:f>IF(COUNTIF($A$5:$A$72,A71)&gt;1,"重复","正常")</x:f>
        <x:v>正常</x:v>
      </x:c>
      <x:c r="S71" s="30" t="str">
        <x:f>IF(COUNTIF($C$5:$C$72,C71)&gt;1,"重名","正常")</x:f>
        <x:v>正常</x:v>
      </x:c>
    </x:row>
    <x:row r="72" ht="30" customHeight="1">
      <x:c r="A72" s="30" t="str">
        <x:v>EL-MAT-C10-Q04</x:v>
      </x:c>
      <x:c r="B72" s="30" t="str">
        <x:v>C10</x:v>
      </x:c>
      <x:c r="C72" s="30" t="str">
        <x:v>王宫断冠片</x:v>
      </x:c>
      <x:c r="D72" s="30" t="str">
        <x:v>守关BOSS证物</x:v>
      </x:c>
      <x:c r="E72" s="30" t="str">
        <x:v>证物·金红</x:v>
      </x:c>
      <x:c r="F72" s="29" t="str">
        <x:v>王宫深殿（工作名）/XX386/EL-MON-C10-G05-G01</x:v>
      </x:c>
      <x:c r="G72" s="29" t="str">
        <x:v>不进入大陆称号</x:v>
      </x:c>
      <x:c r="H72" s="29" t="str">
        <x:v>不进入11件强合成</x:v>
      </x:c>
      <x:c r="I72" s="29" t="str">
        <x:v>王城终誓各1件组合任务</x:v>
      </x:c>
      <x:c r="J72" s="29" t="str">
        <x:v>可交易；NPC售价0；不可分解</x:v>
      </x:c>
      <x:c r="K72" s="30" t="str">
        <x:v>非绑定</x:v>
      </x:c>
      <x:c r="L72" s="30" t="str">
        <x:v>可交易</x:v>
      </x:c>
      <x:c r="M72" s="41" t="n">
        <x:v>0</x:v>
      </x:c>
      <x:c r="N72" s="30" t="str">
        <x:v>任务完成后条件掉落停止；不支持则低比例换通用材料</x:v>
      </x:c>
      <x:c r="O72" s="30" t="str">
        <x:v>设计定稿；组名待核</x:v>
      </x:c>
      <x:c r="P72" s="30" t="str">
        <x:v>待Codex扫描</x:v>
      </x:c>
      <x:c r="Q72" s="30" t="str">
        <x:v>不得擅自替换同名旧资产</x:v>
      </x:c>
      <x:c r="R72" s="30" t="str">
        <x:f>IF(COUNTIF($A$5:$A$72,A72)&gt;1,"重复","正常")</x:f>
        <x:v>正常</x:v>
      </x:c>
      <x:c r="S72" s="30" t="str">
        <x:f>IF(COUNTIF($C$5:$C$72,C72)&gt;1,"重名","正常")</x:f>
        <x:v>正常</x:v>
      </x:c>
    </x:row>
  </x:sheetData>
  <x:mergeCells>
    <x:mergeCell ref="A1:S1"/>
    <x:mergeCell ref="A2:S2"/>
  </x:mergeCells>
  <x:conditionalFormatting sqref="O5:S72">
    <x:cfRule type="containsText" dxfId="7" priority="1" operator="containsText" text="已确认"/>
    <x:cfRule type="containsText" dxfId="8" priority="2" operator="containsText" text="定稿"/>
    <x:cfRule type="containsText" dxfId="9" priority="3" operator="containsText" text="正常"/>
    <x:cfRule type="containsText" dxfId="10" priority="4" operator="containsText" text="待"/>
    <x:cfRule type="containsText" dxfId="11" priority="5" operator="containsText" text="缺失"/>
    <x:cfRule type="containsText" dxfId="12" priority="6" operator="containsText" text="重复"/>
    <x:cfRule type="containsText" dxfId="13" priority="7" operator="containsText" text="严重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600000381469727" hidden="0" customWidth="1"/>
    <x:col min="2" max="2" width="6.199999809265137" hidden="0" customWidth="1"/>
    <x:col min="3" max="3" width="10.800000190734863" hidden="0" customWidth="1"/>
    <x:col min="4" max="4" width="9" hidden="0" customWidth="1"/>
    <x:col min="5" max="5" width="9" hidden="0" customWidth="1"/>
    <x:col min="6" max="6" width="19" hidden="0" customWidth="1"/>
    <x:col min="7" max="7" width="8.199999809265137" hidden="0" customWidth="1"/>
    <x:col min="8" max="8" width="17" hidden="0" customWidth="1"/>
    <x:col min="9" max="9" width="11" hidden="0" customWidth="1"/>
    <x:col min="10" max="10" width="7.5" hidden="0" customWidth="1"/>
    <x:col min="11" max="11" width="7.5" hidden="0" customWidth="1"/>
    <x:col min="12" max="12" width="7" hidden="0" customWidth="1"/>
    <x:col min="13" max="13" width="8.5" hidden="0" customWidth="1"/>
    <x:col min="14" max="14" width="10" hidden="0" customWidth="1"/>
    <x:col min="15" max="15" width="9" hidden="0" customWidth="1"/>
    <x:col min="16" max="16" width="8" hidden="0" customWidth="1"/>
    <x:col min="17" max="17" width="8.199999809265137" hidden="0" customWidth="1"/>
    <x:col min="18" max="18" width="13" hidden="0" customWidth="1"/>
    <x:col min="19" max="19" width="19" hidden="0" customWidth="1"/>
    <x:col min="20" max="20" width="12" hidden="0" customWidth="1"/>
    <x:col min="21" max="21" width="22" hidden="0" customWidth="1"/>
  </x:cols>
  <x:sheetData>
    <x:row r="1" ht="28.5" customHeight="1">
      <x:c r="A1" s="4" t="str">
        <x:v>材料来源与掉率母线</x:v>
      </x:c>
      <x:c r="B1" s="4" t="str">
        <x:v>材料来源与掉率母线</x:v>
      </x:c>
      <x:c r="C1" s="4" t="str">
        <x:v>材料来源与掉率母线</x:v>
      </x:c>
      <x:c r="D1" s="4" t="str">
        <x:v>材料来源与掉率母线</x:v>
      </x:c>
      <x:c r="E1" s="4" t="str">
        <x:v>材料来源与掉率母线</x:v>
      </x:c>
      <x:c r="F1" s="4" t="str">
        <x:v>材料来源与掉率母线</x:v>
      </x:c>
      <x:c r="G1" s="4" t="str">
        <x:v>材料来源与掉率母线</x:v>
      </x:c>
      <x:c r="H1" s="4" t="str">
        <x:v>材料来源与掉率母线</x:v>
      </x:c>
      <x:c r="I1" s="4" t="str">
        <x:v>材料来源与掉率母线</x:v>
      </x:c>
      <x:c r="J1" s="4" t="str">
        <x:v>材料来源与掉率母线</x:v>
      </x:c>
      <x:c r="K1" s="4" t="str">
        <x:v>材料来源与掉率母线</x:v>
      </x:c>
      <x:c r="L1" s="4" t="str">
        <x:v>材料来源与掉率母线</x:v>
      </x:c>
      <x:c r="M1" s="4" t="str">
        <x:v>材料来源与掉率母线</x:v>
      </x:c>
      <x:c r="N1" s="4" t="str">
        <x:v>材料来源与掉率母线</x:v>
      </x:c>
      <x:c r="O1" s="4" t="str">
        <x:v>材料来源与掉率母线</x:v>
      </x:c>
      <x:c r="P1" s="4" t="str">
        <x:v>材料来源与掉率母线</x:v>
      </x:c>
      <x:c r="Q1" s="4" t="str">
        <x:v>材料来源与掉率母线</x:v>
      </x:c>
      <x:c r="R1" s="4" t="str">
        <x:v>材料来源与掉率母线</x:v>
      </x:c>
      <x:c r="S1" s="4" t="str">
        <x:v>材料来源与掉率母线</x:v>
      </x:c>
      <x:c r="T1" s="4" t="str">
        <x:v>材料来源与掉率母线</x:v>
      </x:c>
      <x:c r="U1" s="4" t="str">
        <x:v>材料来源与掉率母线</x:v>
      </x:c>
    </x:row>
    <x:row r="2" ht="31.5" customHeight="1">
      <x:c r="A2" s="40" t="str">
        <x:v>基础分母公式 D=标准击杀K×人物爆率M÷目标产出E。Codex必须用实际刷新/击杀K反校准；四证为独立掉落行，BOSS首杀固定发1，复刷再按分母。</x:v>
      </x:c>
      <x:c r="B2" s="40" t="str">
        <x:v>基础分母公式 D=标准击杀K×人物爆率M÷目标产出E。Codex必须用实际刷新/击杀K反校准；四证为独立掉落行，BOSS首杀固定发1，复刷再按分母。</x:v>
      </x:c>
      <x:c r="C2" s="40" t="str">
        <x:v>基础分母公式 D=标准击杀K×人物爆率M÷目标产出E。Codex必须用实际刷新/击杀K反校准；四证为独立掉落行，BOSS首杀固定发1，复刷再按分母。</x:v>
      </x:c>
      <x:c r="D2" s="40" t="str">
        <x:v>基础分母公式 D=标准击杀K×人物爆率M÷目标产出E。Codex必须用实际刷新/击杀K反校准；四证为独立掉落行，BOSS首杀固定发1，复刷再按分母。</x:v>
      </x:c>
      <x:c r="E2" s="40" t="str">
        <x:v>基础分母公式 D=标准击杀K×人物爆率M÷目标产出E。Codex必须用实际刷新/击杀K反校准；四证为独立掉落行，BOSS首杀固定发1，复刷再按分母。</x:v>
      </x:c>
      <x:c r="F2" s="40" t="str">
        <x:v>基础分母公式 D=标准击杀K×人物爆率M÷目标产出E。Codex必须用实际刷新/击杀K反校准；四证为独立掉落行，BOSS首杀固定发1，复刷再按分母。</x:v>
      </x:c>
      <x:c r="G2" s="40" t="str">
        <x:v>基础分母公式 D=标准击杀K×人物爆率M÷目标产出E。Codex必须用实际刷新/击杀K反校准；四证为独立掉落行，BOSS首杀固定发1，复刷再按分母。</x:v>
      </x:c>
      <x:c r="H2" s="40" t="str">
        <x:v>基础分母公式 D=标准击杀K×人物爆率M÷目标产出E。Codex必须用实际刷新/击杀K反校准；四证为独立掉落行，BOSS首杀固定发1，复刷再按分母。</x:v>
      </x:c>
      <x:c r="I2" s="40" t="str">
        <x:v>基础分母公式 D=标准击杀K×人物爆率M÷目标产出E。Codex必须用实际刷新/击杀K反校准；四证为独立掉落行，BOSS首杀固定发1，复刷再按分母。</x:v>
      </x:c>
      <x:c r="J2" s="40" t="str">
        <x:v>基础分母公式 D=标准击杀K×人物爆率M÷目标产出E。Codex必须用实际刷新/击杀K反校准；四证为独立掉落行，BOSS首杀固定发1，复刷再按分母。</x:v>
      </x:c>
      <x:c r="K2" s="40" t="str">
        <x:v>基础分母公式 D=标准击杀K×人物爆率M÷目标产出E。Codex必须用实际刷新/击杀K反校准；四证为独立掉落行，BOSS首杀固定发1，复刷再按分母。</x:v>
      </x:c>
      <x:c r="L2" s="40" t="str">
        <x:v>基础分母公式 D=标准击杀K×人物爆率M÷目标产出E。Codex必须用实际刷新/击杀K反校准；四证为独立掉落行，BOSS首杀固定发1，复刷再按分母。</x:v>
      </x:c>
      <x:c r="M2" s="40" t="str">
        <x:v>基础分母公式 D=标准击杀K×人物爆率M÷目标产出E。Codex必须用实际刷新/击杀K反校准；四证为独立掉落行，BOSS首杀固定发1，复刷再按分母。</x:v>
      </x:c>
      <x:c r="N2" s="40" t="str">
        <x:v>基础分母公式 D=标准击杀K×人物爆率M÷目标产出E。Codex必须用实际刷新/击杀K反校准；四证为独立掉落行，BOSS首杀固定发1，复刷再按分母。</x:v>
      </x:c>
      <x:c r="O2" s="40" t="str">
        <x:v>基础分母公式 D=标准击杀K×人物爆率M÷目标产出E。Codex必须用实际刷新/击杀K反校准；四证为独立掉落行，BOSS首杀固定发1，复刷再按分母。</x:v>
      </x:c>
      <x:c r="P2" s="40" t="str">
        <x:v>基础分母公式 D=标准击杀K×人物爆率M÷目标产出E。Codex必须用实际刷新/击杀K反校准；四证为独立掉落行，BOSS首杀固定发1，复刷再按分母。</x:v>
      </x:c>
      <x:c r="Q2" s="40" t="str">
        <x:v>基础分母公式 D=标准击杀K×人物爆率M÷目标产出E。Codex必须用实际刷新/击杀K反校准；四证为独立掉落行，BOSS首杀固定发1，复刷再按分母。</x:v>
      </x:c>
      <x:c r="R2" s="40" t="str">
        <x:v>基础分母公式 D=标准击杀K×人物爆率M÷目标产出E。Codex必须用实际刷新/击杀K反校准；四证为独立掉落行，BOSS首杀固定发1，复刷再按分母。</x:v>
      </x:c>
      <x:c r="S2" s="40" t="str">
        <x:v>基础分母公式 D=标准击杀K×人物爆率M÷目标产出E。Codex必须用实际刷新/击杀K反校准；四证为独立掉落行，BOSS首杀固定发1，复刷再按分母。</x:v>
      </x:c>
      <x:c r="T2" s="40" t="str">
        <x:v>基础分母公式 D=标准击杀K×人物爆率M÷目标产出E。Codex必须用实际刷新/击杀K反校准；四证为独立掉落行，BOSS首杀固定发1，复刷再按分母。</x:v>
      </x:c>
      <x:c r="U2" s="40" t="str">
        <x:v>基础分母公式 D=标准击杀K×人物爆率M÷目标产出E。Codex必须用实际刷新/击杀K反校准；四证为独立掉落行，BOSS首杀固定发1，复刷再按分母。</x:v>
      </x:c>
    </x:row>
    <x:row r="4" ht="24" customHeight="1">
      <x:c r="A4" s="24" t="str">
        <x:v>逻辑编号</x:v>
      </x:c>
      <x:c r="B4" s="24" t="str">
        <x:v>大陆</x:v>
      </x:c>
      <x:c r="C4" s="24" t="str">
        <x:v>材料</x:v>
      </x:c>
      <x:c r="D4" s="24" t="str">
        <x:v>来源层级</x:v>
      </x:c>
      <x:c r="E4" s="24" t="str">
        <x:v>地图组ID</x:v>
      </x:c>
      <x:c r="F4" s="24" t="str">
        <x:v>地图组/范围</x:v>
      </x:c>
      <x:c r="G4" s="24" t="str">
        <x:v>地图号</x:v>
      </x:c>
      <x:c r="H4" s="24" t="str">
        <x:v>怪物逻辑ID</x:v>
      </x:c>
      <x:c r="I4" s="24" t="str">
        <x:v>来源类型</x:v>
      </x:c>
      <x:c r="J4" s="24" t="str">
        <x:v>标准K/h</x:v>
      </x:c>
      <x:c r="K4" s="24" t="str">
        <x:v>目标E/h</x:v>
      </x:c>
      <x:c r="L4" s="24" t="str">
        <x:v>人物M</x:v>
      </x:c>
      <x:c r="M4" s="24" t="str">
        <x:v>母线系数</x:v>
      </x:c>
      <x:c r="N4" s="24" t="str">
        <x:v>基础分母D</x:v>
      </x:c>
      <x:c r="O4" s="24" t="str">
        <x:v>有效分母</x:v>
      </x:c>
      <x:c r="P4" s="24" t="str">
        <x:v>预计E/h</x:v>
      </x:c>
      <x:c r="Q4" s="24" t="str">
        <x:v>首杀</x:v>
      </x:c>
      <x:c r="R4" s="24" t="str">
        <x:v>任务需求</x:v>
      </x:c>
      <x:c r="S4" s="24" t="str">
        <x:v>掉落条件</x:v>
      </x:c>
      <x:c r="T4" s="24" t="str">
        <x:v>状态</x:v>
      </x:c>
      <x:c r="U4" s="24" t="str">
        <x:v>备注</x:v>
      </x:c>
    </x:row>
    <x:row r="5" ht="27" customHeight="1">
      <x:c r="A5" s="30" t="str">
        <x:v>EL-MAT-GLOBAL-SOMBER</x:v>
      </x:c>
      <x:c r="B5" s="30" t="str">
        <x:v>ALL</x:v>
      </x:c>
      <x:c r="C5" s="30" t="str">
        <x:v>失色锻造石</x:v>
      </x:c>
      <x:c r="D5" s="30" t="str">
        <x:v>分解</x:v>
      </x:c>
      <x:c r="E5" s="30" t="str">
        <x:v>全局</x:v>
      </x:c>
      <x:c r="F5" s="29" t="str">
        <x:v>全部大陆</x:v>
      </x:c>
      <x:c r="G5" s="30" t="str">
        <x:v>—</x:v>
      </x:c>
      <x:c r="H5" s="30" t="str">
        <x:v>装备来源账本</x:v>
      </x:c>
      <x:c r="I5" s="30" t="str">
        <x:v>专属装备分解</x:v>
      </x:c>
      <x:c r="J5" s="42"/>
      <x:c r="K5" s="42"/>
      <x:c r="L5" s="42"/>
      <x:c r="M5" s="42"/>
      <x:c r="N5" s="43" t="str">
        <x:f>IF(OR(J5="",K5="",L5=""),"",ROUND(J5*L5/K5,0))</x:f>
      </x:c>
      <x:c r="O5" s="43" t="str">
        <x:f>IFERROR(N5/L5,"")</x:f>
      </x:c>
      <x:c r="P5" s="42" t="str">
        <x:f>IFERROR(J5*L5/N5,"")</x:f>
      </x:c>
      <x:c r="Q5" s="30" t="str">
        <x:v>—</x:v>
      </x:c>
      <x:c r="R5" s="30" t="str">
        <x:v>按装备件数</x:v>
      </x:c>
      <x:c r="S5" s="29" t="str">
        <x:v>分解成功后发放</x:v>
      </x:c>
      <x:c r="T5" s="29" t="str">
        <x:v>规则已确认</x:v>
      </x:c>
      <x:c r="U5" s="29" t="str">
        <x:v>见06页</x:v>
      </x:c>
    </x:row>
    <x:row r="6" ht="27" customHeight="1">
      <x:c r="A6" s="30" t="str">
        <x:v>EL-MAT-C02-BONE</x:v>
      </x:c>
      <x:c r="B6" s="30" t="str">
        <x:v>C02</x:v>
      </x:c>
      <x:c r="C6" s="30" t="str">
        <x:v>野兽骨片</x:v>
      </x:c>
      <x:c r="D6" s="30" t="str">
        <x:v>既有资产</x:v>
      </x:c>
      <x:c r="E6" s="30" t="str">
        <x:v>沿用</x:v>
      </x:c>
      <x:c r="F6" s="29" t="str">
        <x:v>沿用旧脚本</x:v>
      </x:c>
      <x:c r="G6" s="30" t="str">
        <x:v>待回读</x:v>
      </x:c>
      <x:c r="H6" s="30" t="str">
        <x:v>待回读</x:v>
      </x:c>
      <x:c r="I6" s="30" t="str">
        <x:v>既有来源</x:v>
      </x:c>
      <x:c r="J6" s="42"/>
      <x:c r="K6" s="42"/>
      <x:c r="L6" s="42"/>
      <x:c r="M6" s="42"/>
      <x:c r="N6" s="43" t="str">
        <x:f>IF(OR(J6="",K6="",L6=""),"",ROUND(J6*L6/K6,0))</x:f>
      </x:c>
      <x:c r="O6" s="43" t="str">
        <x:f>IFERROR(N6/L6,"")</x:f>
      </x:c>
      <x:c r="P6" s="42" t="str">
        <x:f>IFERROR(J6*L6/N6,"")</x:f>
      </x:c>
      <x:c r="Q6" s="30" t="str">
        <x:v>沿用</x:v>
      </x:c>
      <x:c r="R6" s="30" t="str">
        <x:v>沿用</x:v>
      </x:c>
      <x:c r="S6" s="29" t="str">
        <x:v>不得覆盖</x:v>
      </x:c>
      <x:c r="T6" s="29" t="str">
        <x:v>待Codex回读</x:v>
      </x:c>
      <x:c r="U6" s="29" t="str">
        <x:v>保留名称/来源关系</x:v>
      </x:c>
    </x:row>
    <x:row r="7" ht="27" customHeight="1">
      <x:c r="A7" s="30" t="str">
        <x:v>EL-MAT-C02-RUNE</x:v>
      </x:c>
      <x:c r="B7" s="30" t="str">
        <x:v>C02</x:v>
      </x:c>
      <x:c r="C7" s="30" t="str">
        <x:v>神秘符文</x:v>
      </x:c>
      <x:c r="D7" s="30" t="str">
        <x:v>既有资产</x:v>
      </x:c>
      <x:c r="E7" s="30" t="str">
        <x:v>沿用</x:v>
      </x:c>
      <x:c r="F7" s="29" t="str">
        <x:v>沿用旧脚本</x:v>
      </x:c>
      <x:c r="G7" s="30" t="str">
        <x:v>待回读</x:v>
      </x:c>
      <x:c r="H7" s="30" t="str">
        <x:v>待回读</x:v>
      </x:c>
      <x:c r="I7" s="30" t="str">
        <x:v>既有来源</x:v>
      </x:c>
      <x:c r="J7" s="42"/>
      <x:c r="K7" s="42"/>
      <x:c r="L7" s="42"/>
      <x:c r="M7" s="42"/>
      <x:c r="N7" s="43" t="str">
        <x:f>IF(OR(J7="",K7="",L7=""),"",ROUND(J7*L7/K7,0))</x:f>
      </x:c>
      <x:c r="O7" s="43" t="str">
        <x:f>IFERROR(N7/L7,"")</x:f>
      </x:c>
      <x:c r="P7" s="42" t="str">
        <x:f>IFERROR(J7*L7/N7,"")</x:f>
      </x:c>
      <x:c r="Q7" s="30" t="str">
        <x:v>沿用</x:v>
      </x:c>
      <x:c r="R7" s="30" t="str">
        <x:v>沿用</x:v>
      </x:c>
      <x:c r="S7" s="29" t="str">
        <x:v>不得覆盖</x:v>
      </x:c>
      <x:c r="T7" s="29" t="str">
        <x:v>待Codex回读</x:v>
      </x:c>
      <x:c r="U7" s="29" t="str">
        <x:v>保留名称/来源关系</x:v>
      </x:c>
    </x:row>
    <x:row r="8" ht="27" customHeight="1">
      <x:c r="A8" s="30" t="str">
        <x:v>EL-MAT-C01-WITNESS-TIDE</x:v>
      </x:c>
      <x:c r="B8" s="30" t="str">
        <x:v>C01</x:v>
      </x:c>
      <x:c r="C8" s="30" t="str">
        <x:v>漂流见证·潮</x:v>
      </x:c>
      <x:c r="D8" s="30" t="str">
        <x:v>既有资产</x:v>
      </x:c>
      <x:c r="E8" s="30" t="str">
        <x:v>沿用</x:v>
      </x:c>
      <x:c r="F8" s="29" t="str">
        <x:v>沿用旧脚本</x:v>
      </x:c>
      <x:c r="G8" s="30" t="str">
        <x:v>待回读</x:v>
      </x:c>
      <x:c r="H8" s="30" t="str">
        <x:v>待回读</x:v>
      </x:c>
      <x:c r="I8" s="30" t="str">
        <x:v>既有来源</x:v>
      </x:c>
      <x:c r="J8" s="42"/>
      <x:c r="K8" s="42"/>
      <x:c r="L8" s="42"/>
      <x:c r="M8" s="42"/>
      <x:c r="N8" s="43" t="str">
        <x:f>IF(OR(J8="",K8="",L8=""),"",ROUND(J8*L8/K8,0))</x:f>
      </x:c>
      <x:c r="O8" s="43" t="str">
        <x:f>IFERROR(N8/L8,"")</x:f>
      </x:c>
      <x:c r="P8" s="42" t="str">
        <x:f>IFERROR(J8*L8/N8,"")</x:f>
      </x:c>
      <x:c r="Q8" s="30" t="str">
        <x:v>沿用</x:v>
      </x:c>
      <x:c r="R8" s="30" t="str">
        <x:v>沿用</x:v>
      </x:c>
      <x:c r="S8" s="29" t="str">
        <x:v>不得覆盖</x:v>
      </x:c>
      <x:c r="T8" s="29" t="str">
        <x:v>待Codex回读</x:v>
      </x:c>
      <x:c r="U8" s="29" t="str">
        <x:v>保留名称/来源关系</x:v>
      </x:c>
    </x:row>
    <x:row r="9" ht="27" customHeight="1">
      <x:c r="A9" s="30" t="str">
        <x:v>EL-MAT-C01-WITNESS-STORM</x:v>
      </x:c>
      <x:c r="B9" s="30" t="str">
        <x:v>C01</x:v>
      </x:c>
      <x:c r="C9" s="30" t="str">
        <x:v>漂流见证·雷</x:v>
      </x:c>
      <x:c r="D9" s="30" t="str">
        <x:v>既有资产</x:v>
      </x:c>
      <x:c r="E9" s="30" t="str">
        <x:v>沿用</x:v>
      </x:c>
      <x:c r="F9" s="29" t="str">
        <x:v>沿用旧脚本</x:v>
      </x:c>
      <x:c r="G9" s="30" t="str">
        <x:v>待回读</x:v>
      </x:c>
      <x:c r="H9" s="30" t="str">
        <x:v>待回读</x:v>
      </x:c>
      <x:c r="I9" s="30" t="str">
        <x:v>既有来源</x:v>
      </x:c>
      <x:c r="J9" s="42"/>
      <x:c r="K9" s="42"/>
      <x:c r="L9" s="42"/>
      <x:c r="M9" s="42"/>
      <x:c r="N9" s="43" t="str">
        <x:f>IF(OR(J9="",K9="",L9=""),"",ROUND(J9*L9/K9,0))</x:f>
      </x:c>
      <x:c r="O9" s="43" t="str">
        <x:f>IFERROR(N9/L9,"")</x:f>
      </x:c>
      <x:c r="P9" s="42" t="str">
        <x:f>IFERROR(J9*L9/N9,"")</x:f>
      </x:c>
      <x:c r="Q9" s="30" t="str">
        <x:v>沿用</x:v>
      </x:c>
      <x:c r="R9" s="30" t="str">
        <x:v>沿用</x:v>
      </x:c>
      <x:c r="S9" s="29" t="str">
        <x:v>不得覆盖</x:v>
      </x:c>
      <x:c r="T9" s="29" t="str">
        <x:v>待Codex回读</x:v>
      </x:c>
      <x:c r="U9" s="29" t="str">
        <x:v>保留名称/来源关系</x:v>
      </x:c>
    </x:row>
    <x:row r="10" ht="27" customHeight="1">
      <x:c r="A10" s="30" t="str">
        <x:v>EL-MAT-C02-OATHPAGE</x:v>
      </x:c>
      <x:c r="B10" s="30" t="str">
        <x:v>C02</x:v>
      </x:c>
      <x:c r="C10" s="30" t="str">
        <x:v>宁姆格福誓页</x:v>
      </x:c>
      <x:c r="D10" s="30" t="str">
        <x:v>既有资产</x:v>
      </x:c>
      <x:c r="E10" s="30" t="str">
        <x:v>沿用</x:v>
      </x:c>
      <x:c r="F10" s="29" t="str">
        <x:v>沿用旧脚本</x:v>
      </x:c>
      <x:c r="G10" s="30" t="str">
        <x:v>待回读</x:v>
      </x:c>
      <x:c r="H10" s="30" t="str">
        <x:v>待回读</x:v>
      </x:c>
      <x:c r="I10" s="30" t="str">
        <x:v>既有来源</x:v>
      </x:c>
      <x:c r="J10" s="42"/>
      <x:c r="K10" s="42"/>
      <x:c r="L10" s="42"/>
      <x:c r="M10" s="42"/>
      <x:c r="N10" s="43" t="str">
        <x:f>IF(OR(J10="",K10="",L10=""),"",ROUND(J10*L10/K10,0))</x:f>
      </x:c>
      <x:c r="O10" s="43" t="str">
        <x:f>IFERROR(N10/L10,"")</x:f>
      </x:c>
      <x:c r="P10" s="42" t="str">
        <x:f>IFERROR(J10*L10/N10,"")</x:f>
      </x:c>
      <x:c r="Q10" s="30" t="str">
        <x:v>沿用</x:v>
      </x:c>
      <x:c r="R10" s="30" t="str">
        <x:v>沿用</x:v>
      </x:c>
      <x:c r="S10" s="29" t="str">
        <x:v>不得覆盖</x:v>
      </x:c>
      <x:c r="T10" s="29" t="str">
        <x:v>待Codex回读</x:v>
      </x:c>
      <x:c r="U10" s="29" t="str">
        <x:v>保留名称/来源关系</x:v>
      </x:c>
    </x:row>
    <x:row r="11" ht="27" customHeight="1">
      <x:c r="A11" s="30" t="str">
        <x:v>EL-MAT-C01-COM</x:v>
      </x:c>
      <x:c r="B11" s="30" t="str">
        <x:v>C01</x:v>
      </x:c>
      <x:c r="C11" s="30" t="str">
        <x:v>海蚀铁片</x:v>
      </x:c>
      <x:c r="D11" s="30" t="str">
        <x:v>核心通用</x:v>
      </x:c>
      <x:c r="E11" s="30" t="str">
        <x:v>全大陆</x:v>
      </x:c>
      <x:c r="F11" s="29" t="str">
        <x:v>漂流群岛普通怪集合</x:v>
      </x:c>
      <x:c r="G11" s="30" t="str">
        <x:v>多地图</x:v>
      </x:c>
      <x:c r="H11" s="30" t="str">
        <x:v>C01全部N类</x:v>
      </x:c>
      <x:c r="I11" s="30" t="str">
        <x:v>普通怪通用</x:v>
      </x:c>
      <x:c r="J11" s="42" t="n">
        <x:v>900</x:v>
      </x:c>
      <x:c r="K11" s="42" t="n">
        <x:v>60</x:v>
      </x:c>
      <x:c r="L11" s="42" t="n">
        <x:v>5</x:v>
      </x:c>
      <x:c r="M11" s="42" t="n">
        <x:v>15</x:v>
      </x:c>
      <x:c r="N11" s="43" t="n">
        <x:f>IF(OR(J11="",K11="",L11=""),"",ROUND(J11*L11/K11,0))</x:f>
        <x:v>75</x:v>
      </x:c>
      <x:c r="O11" s="43" t="n">
        <x:f>IFERROR(N11/L11,"")</x:f>
        <x:v>15</x:v>
      </x:c>
      <x:c r="P11" s="42" t="n">
        <x:f>IFERROR(J11*L11/N11,"")</x:f>
        <x:v>60</x:v>
      </x:c>
      <x:c r="Q11" s="30" t="str">
        <x:v>无</x:v>
      </x:c>
      <x:c r="R11" s="30" t="str">
        <x:v>称号450＋合成</x:v>
      </x:c>
      <x:c r="S11" s="29" t="str">
        <x:v>常驻独立掉落</x:v>
      </x:c>
      <x:c r="T11" s="29" t="str">
        <x:v>母线已定</x:v>
      </x:c>
      <x:c r="U11" s="29" t="str">
        <x:v>不与装备池争权重</x:v>
      </x:c>
    </x:row>
    <x:row r="12" ht="27" customHeight="1">
      <x:c r="A12" s="30" t="str">
        <x:v>EL-MAT-C01-RARE</x:v>
      </x:c>
      <x:c r="B12" s="30" t="str">
        <x:v>C01</x:v>
      </x:c>
      <x:c r="C12" s="30" t="str">
        <x:v>潮痕结晶</x:v>
      </x:c>
      <x:c r="D12" s="30" t="str">
        <x:v>核心稀有</x:v>
      </x:c>
      <x:c r="E12" s="30" t="str">
        <x:v>全大陆</x:v>
      </x:c>
      <x:c r="F12" s="29" t="str">
        <x:v>漂流群岛精英怪集合</x:v>
      </x:c>
      <x:c r="G12" s="30" t="str">
        <x:v>多地图</x:v>
      </x:c>
      <x:c r="H12" s="30" t="str">
        <x:v>C01全部R类</x:v>
      </x:c>
      <x:c r="I12" s="30" t="str">
        <x:v>精英怪稀有</x:v>
      </x:c>
      <x:c r="J12" s="42" t="n">
        <x:v>60</x:v>
      </x:c>
      <x:c r="K12" s="42" t="n">
        <x:v>4</x:v>
      </x:c>
      <x:c r="L12" s="42" t="n">
        <x:v>5</x:v>
      </x:c>
      <x:c r="M12" s="42" t="n">
        <x:v>15</x:v>
      </x:c>
      <x:c r="N12" s="43" t="n">
        <x:f>IF(OR(J12="",K12="",L12=""),"",ROUND(J12*L12/K12,0))</x:f>
        <x:v>75</x:v>
      </x:c>
      <x:c r="O12" s="43" t="n">
        <x:f>IFERROR(N12/L12,"")</x:f>
        <x:v>15</x:v>
      </x:c>
      <x:c r="P12" s="42" t="n">
        <x:f>IFERROR(J12*L12/N12,"")</x:f>
        <x:v>4</x:v>
      </x:c>
      <x:c r="Q12" s="30" t="str">
        <x:v>无</x:v>
      </x:c>
      <x:c r="R12" s="30" t="str">
        <x:v>称号20＋合成</x:v>
      </x:c>
      <x:c r="S12" s="29" t="str">
        <x:v>常驻独立掉落</x:v>
      </x:c>
      <x:c r="T12" s="29" t="str">
        <x:v>母线已定</x:v>
      </x:c>
      <x:c r="U12" s="29" t="str">
        <x:v>不与装备池争权重</x:v>
      </x:c>
    </x:row>
    <x:row r="13" ht="27" customHeight="1">
      <x:c r="A13" s="30" t="str">
        <x:v>EL-MAT-C01-MARK</x:v>
      </x:c>
      <x:c r="B13" s="30" t="str">
        <x:v>C01</x:v>
      </x:c>
      <x:c r="C13" s="30" t="str">
        <x:v>漂流大陆印记</x:v>
      </x:c>
      <x:c r="D13" s="30" t="str">
        <x:v>剧情印记</x:v>
      </x:c>
      <x:c r="E13" s="30" t="str">
        <x:v>C01-末组</x:v>
      </x:c>
      <x:c r="F13" s="29" t="str">
        <x:v>漂流群岛最终地图组</x:v>
      </x:c>
      <x:c r="G13" s="30" t="str">
        <x:v>守关地图</x:v>
      </x:c>
      <x:c r="H13" s="30" t="str">
        <x:v>C01-Gxx-G01</x:v>
      </x:c>
      <x:c r="I13" s="30" t="str">
        <x:v>主任务/守关首杀</x:v>
      </x:c>
      <x:c r="J13" s="42"/>
      <x:c r="K13" s="42"/>
      <x:c r="L13" s="42" t="n">
        <x:v>5</x:v>
      </x:c>
      <x:c r="M13" s="42"/>
      <x:c r="N13" s="43" t="str">
        <x:f>IF(OR(J13="",K13="",L13=""),"",ROUND(J13*L13/K13,0))</x:f>
      </x:c>
      <x:c r="O13" s="43" t="n">
        <x:f>IFERROR(N13/L13,"")</x:f>
        <x:v>0</x:v>
      </x:c>
      <x:c r="P13" s="42" t="str">
        <x:f>IFERROR(J13*L13/N13,"")</x:f>
      </x:c>
      <x:c r="Q13" s="30" t="str">
        <x:v>固定1</x:v>
      </x:c>
      <x:c r="R13" s="30" t="str">
        <x:v>称号阶段5×1</x:v>
      </x:c>
      <x:c r="S13" s="29" t="str">
        <x:v>首次完成固定发放</x:v>
      </x:c>
      <x:c r="T13" s="29" t="str">
        <x:v>来源已定待对象</x:v>
      </x:c>
      <x:c r="U13" s="29" t="str">
        <x:v>不进入随机掉落池</x:v>
      </x:c>
    </x:row>
    <x:row r="14" ht="27" customHeight="1">
      <x:c r="A14" s="30" t="str">
        <x:v>EL-MAT-C02-COM</x:v>
      </x:c>
      <x:c r="B14" s="30" t="str">
        <x:v>C02</x:v>
      </x:c>
      <x:c r="C14" s="30" t="str">
        <x:v>风暴石片</x:v>
      </x:c>
      <x:c r="D14" s="30" t="str">
        <x:v>核心通用</x:v>
      </x:c>
      <x:c r="E14" s="30" t="str">
        <x:v>全大陆</x:v>
      </x:c>
      <x:c r="F14" s="29" t="str">
        <x:v>宁姆格福普通怪集合</x:v>
      </x:c>
      <x:c r="G14" s="30" t="str">
        <x:v>多地图</x:v>
      </x:c>
      <x:c r="H14" s="30" t="str">
        <x:v>C02全部N类</x:v>
      </x:c>
      <x:c r="I14" s="30" t="str">
        <x:v>普通怪通用</x:v>
      </x:c>
      <x:c r="J14" s="42" t="n">
        <x:v>900</x:v>
      </x:c>
      <x:c r="K14" s="42" t="n">
        <x:v>60</x:v>
      </x:c>
      <x:c r="L14" s="42" t="n">
        <x:v>7</x:v>
      </x:c>
      <x:c r="M14" s="42" t="n">
        <x:v>15</x:v>
      </x:c>
      <x:c r="N14" s="43" t="n">
        <x:f>IF(OR(J14="",K14="",L14=""),"",ROUND(J14*L14/K14,0))</x:f>
        <x:v>105</x:v>
      </x:c>
      <x:c r="O14" s="43" t="n">
        <x:f>IFERROR(N14/L14,"")</x:f>
        <x:v>15</x:v>
      </x:c>
      <x:c r="P14" s="42" t="n">
        <x:f>IFERROR(J14*L14/N14,"")</x:f>
        <x:v>60</x:v>
      </x:c>
      <x:c r="Q14" s="30" t="str">
        <x:v>无</x:v>
      </x:c>
      <x:c r="R14" s="30" t="str">
        <x:v>称号450＋合成</x:v>
      </x:c>
      <x:c r="S14" s="29" t="str">
        <x:v>常驻独立掉落</x:v>
      </x:c>
      <x:c r="T14" s="29" t="str">
        <x:v>母线已定</x:v>
      </x:c>
      <x:c r="U14" s="29" t="str">
        <x:v>不与装备池争权重</x:v>
      </x:c>
    </x:row>
    <x:row r="15" ht="27" customHeight="1">
      <x:c r="A15" s="30" t="str">
        <x:v>EL-MAT-C02-RARE</x:v>
      </x:c>
      <x:c r="B15" s="30" t="str">
        <x:v>C02</x:v>
      </x:c>
      <x:c r="C15" s="30" t="str">
        <x:v>黄金树芽</x:v>
      </x:c>
      <x:c r="D15" s="30" t="str">
        <x:v>核心稀有</x:v>
      </x:c>
      <x:c r="E15" s="30" t="str">
        <x:v>全大陆</x:v>
      </x:c>
      <x:c r="F15" s="29" t="str">
        <x:v>宁姆格福精英怪集合</x:v>
      </x:c>
      <x:c r="G15" s="30" t="str">
        <x:v>多地图</x:v>
      </x:c>
      <x:c r="H15" s="30" t="str">
        <x:v>C02全部R类</x:v>
      </x:c>
      <x:c r="I15" s="30" t="str">
        <x:v>精英怪稀有</x:v>
      </x:c>
      <x:c r="J15" s="42" t="n">
        <x:v>60</x:v>
      </x:c>
      <x:c r="K15" s="42" t="n">
        <x:v>4</x:v>
      </x:c>
      <x:c r="L15" s="42" t="n">
        <x:v>7</x:v>
      </x:c>
      <x:c r="M15" s="42" t="n">
        <x:v>15</x:v>
      </x:c>
      <x:c r="N15" s="43" t="n">
        <x:f>IF(OR(J15="",K15="",L15=""),"",ROUND(J15*L15/K15,0))</x:f>
        <x:v>105</x:v>
      </x:c>
      <x:c r="O15" s="43" t="n">
        <x:f>IFERROR(N15/L15,"")</x:f>
        <x:v>15</x:v>
      </x:c>
      <x:c r="P15" s="42" t="n">
        <x:f>IFERROR(J15*L15/N15,"")</x:f>
        <x:v>4</x:v>
      </x:c>
      <x:c r="Q15" s="30" t="str">
        <x:v>无</x:v>
      </x:c>
      <x:c r="R15" s="30" t="str">
        <x:v>称号20＋合成</x:v>
      </x:c>
      <x:c r="S15" s="29" t="str">
        <x:v>常驻独立掉落</x:v>
      </x:c>
      <x:c r="T15" s="29" t="str">
        <x:v>母线已定</x:v>
      </x:c>
      <x:c r="U15" s="29" t="str">
        <x:v>不与装备池争权重</x:v>
      </x:c>
    </x:row>
    <x:row r="16" ht="27" customHeight="1">
      <x:c r="A16" s="30" t="str">
        <x:v>EL-MAT-C02-MARK</x:v>
      </x:c>
      <x:c r="B16" s="30" t="str">
        <x:v>C02</x:v>
      </x:c>
      <x:c r="C16" s="30" t="str">
        <x:v>接肢王印</x:v>
      </x:c>
      <x:c r="D16" s="30" t="str">
        <x:v>剧情印记</x:v>
      </x:c>
      <x:c r="E16" s="30" t="str">
        <x:v>C02-末组</x:v>
      </x:c>
      <x:c r="F16" s="29" t="str">
        <x:v>宁姆格福最终地图组</x:v>
      </x:c>
      <x:c r="G16" s="30" t="str">
        <x:v>守关地图</x:v>
      </x:c>
      <x:c r="H16" s="30" t="str">
        <x:v>C02-Gxx-G01</x:v>
      </x:c>
      <x:c r="I16" s="30" t="str">
        <x:v>主任务/守关首杀</x:v>
      </x:c>
      <x:c r="J16" s="42"/>
      <x:c r="K16" s="42"/>
      <x:c r="L16" s="42" t="n">
        <x:v>7</x:v>
      </x:c>
      <x:c r="M16" s="42"/>
      <x:c r="N16" s="43" t="str">
        <x:f>IF(OR(J16="",K16="",L16=""),"",ROUND(J16*L16/K16,0))</x:f>
      </x:c>
      <x:c r="O16" s="43" t="n">
        <x:f>IFERROR(N16/L16,"")</x:f>
        <x:v>0</x:v>
      </x:c>
      <x:c r="P16" s="42" t="str">
        <x:f>IFERROR(J16*L16/N16,"")</x:f>
      </x:c>
      <x:c r="Q16" s="30" t="str">
        <x:v>固定1</x:v>
      </x:c>
      <x:c r="R16" s="30" t="str">
        <x:v>称号阶段5×1</x:v>
      </x:c>
      <x:c r="S16" s="29" t="str">
        <x:v>首次完成固定发放</x:v>
      </x:c>
      <x:c r="T16" s="29" t="str">
        <x:v>来源已定待对象</x:v>
      </x:c>
      <x:c r="U16" s="29" t="str">
        <x:v>不进入随机掉落池</x:v>
      </x:c>
    </x:row>
    <x:row r="17" ht="27" customHeight="1">
      <x:c r="A17" s="30" t="str">
        <x:v>EL-MAT-C03-COM</x:v>
      </x:c>
      <x:c r="B17" s="30" t="str">
        <x:v>C03</x:v>
      </x:c>
      <x:c r="C17" s="30" t="str">
        <x:v>风蚀铁片</x:v>
      </x:c>
      <x:c r="D17" s="30" t="str">
        <x:v>核心通用</x:v>
      </x:c>
      <x:c r="E17" s="30" t="str">
        <x:v>全大陆</x:v>
      </x:c>
      <x:c r="F17" s="29" t="str">
        <x:v>宁姆格福西域普通怪集合</x:v>
      </x:c>
      <x:c r="G17" s="30" t="str">
        <x:v>多地图</x:v>
      </x:c>
      <x:c r="H17" s="30" t="str">
        <x:v>C03全部N类</x:v>
      </x:c>
      <x:c r="I17" s="30" t="str">
        <x:v>普通怪通用</x:v>
      </x:c>
      <x:c r="J17" s="42" t="n">
        <x:v>900</x:v>
      </x:c>
      <x:c r="K17" s="42" t="n">
        <x:v>60</x:v>
      </x:c>
      <x:c r="L17" s="42" t="n">
        <x:v>10</x:v>
      </x:c>
      <x:c r="M17" s="42" t="n">
        <x:v>15</x:v>
      </x:c>
      <x:c r="N17" s="43" t="n">
        <x:f>IF(OR(J17="",K17="",L17=""),"",ROUND(J17*L17/K17,0))</x:f>
        <x:v>150</x:v>
      </x:c>
      <x:c r="O17" s="43" t="n">
        <x:f>IFERROR(N17/L17,"")</x:f>
        <x:v>15</x:v>
      </x:c>
      <x:c r="P17" s="42" t="n">
        <x:f>IFERROR(J17*L17/N17,"")</x:f>
        <x:v>60</x:v>
      </x:c>
      <x:c r="Q17" s="30" t="str">
        <x:v>无</x:v>
      </x:c>
      <x:c r="R17" s="30" t="str">
        <x:v>称号450＋合成</x:v>
      </x:c>
      <x:c r="S17" s="29" t="str">
        <x:v>常驻独立掉落</x:v>
      </x:c>
      <x:c r="T17" s="29" t="str">
        <x:v>母线已定</x:v>
      </x:c>
      <x:c r="U17" s="29" t="str">
        <x:v>不与装备池争权重</x:v>
      </x:c>
    </x:row>
    <x:row r="18" ht="27" customHeight="1">
      <x:c r="A18" s="30" t="str">
        <x:v>EL-MAT-C03-RARE</x:v>
      </x:c>
      <x:c r="B18" s="30" t="str">
        <x:v>C03</x:v>
      </x:c>
      <x:c r="C18" s="30" t="str">
        <x:v>西境战旗</x:v>
      </x:c>
      <x:c r="D18" s="30" t="str">
        <x:v>核心稀有</x:v>
      </x:c>
      <x:c r="E18" s="30" t="str">
        <x:v>全大陆</x:v>
      </x:c>
      <x:c r="F18" s="29" t="str">
        <x:v>宁姆格福西域精英怪集合</x:v>
      </x:c>
      <x:c r="G18" s="30" t="str">
        <x:v>多地图</x:v>
      </x:c>
      <x:c r="H18" s="30" t="str">
        <x:v>C03全部R类</x:v>
      </x:c>
      <x:c r="I18" s="30" t="str">
        <x:v>精英怪稀有</x:v>
      </x:c>
      <x:c r="J18" s="42" t="n">
        <x:v>60</x:v>
      </x:c>
      <x:c r="K18" s="42" t="n">
        <x:v>4</x:v>
      </x:c>
      <x:c r="L18" s="42" t="n">
        <x:v>10</x:v>
      </x:c>
      <x:c r="M18" s="42" t="n">
        <x:v>15</x:v>
      </x:c>
      <x:c r="N18" s="43" t="n">
        <x:f>IF(OR(J18="",K18="",L18=""),"",ROUND(J18*L18/K18,0))</x:f>
        <x:v>150</x:v>
      </x:c>
      <x:c r="O18" s="43" t="n">
        <x:f>IFERROR(N18/L18,"")</x:f>
        <x:v>15</x:v>
      </x:c>
      <x:c r="P18" s="42" t="n">
        <x:f>IFERROR(J18*L18/N18,"")</x:f>
        <x:v>4</x:v>
      </x:c>
      <x:c r="Q18" s="30" t="str">
        <x:v>无</x:v>
      </x:c>
      <x:c r="R18" s="30" t="str">
        <x:v>称号20＋合成</x:v>
      </x:c>
      <x:c r="S18" s="29" t="str">
        <x:v>常驻独立掉落</x:v>
      </x:c>
      <x:c r="T18" s="29" t="str">
        <x:v>母线已定</x:v>
      </x:c>
      <x:c r="U18" s="29" t="str">
        <x:v>不与装备池争权重</x:v>
      </x:c>
    </x:row>
    <x:row r="19" ht="27" customHeight="1">
      <x:c r="A19" s="30" t="str">
        <x:v>EL-MAT-C03-MARK</x:v>
      </x:c>
      <x:c r="B19" s="30" t="str">
        <x:v>C03</x:v>
      </x:c>
      <x:c r="C19" s="30" t="str">
        <x:v>西境战旗印</x:v>
      </x:c>
      <x:c r="D19" s="30" t="str">
        <x:v>剧情印记</x:v>
      </x:c>
      <x:c r="E19" s="30" t="str">
        <x:v>C03-末组</x:v>
      </x:c>
      <x:c r="F19" s="29" t="str">
        <x:v>宁姆格福西域最终地图组</x:v>
      </x:c>
      <x:c r="G19" s="30" t="str">
        <x:v>守关地图</x:v>
      </x:c>
      <x:c r="H19" s="30" t="str">
        <x:v>C03-Gxx-G01</x:v>
      </x:c>
      <x:c r="I19" s="30" t="str">
        <x:v>主任务/守关首杀</x:v>
      </x:c>
      <x:c r="J19" s="42"/>
      <x:c r="K19" s="42"/>
      <x:c r="L19" s="42" t="n">
        <x:v>10</x:v>
      </x:c>
      <x:c r="M19" s="42"/>
      <x:c r="N19" s="43" t="str">
        <x:f>IF(OR(J19="",K19="",L19=""),"",ROUND(J19*L19/K19,0))</x:f>
      </x:c>
      <x:c r="O19" s="43" t="n">
        <x:f>IFERROR(N19/L19,"")</x:f>
        <x:v>0</x:v>
      </x:c>
      <x:c r="P19" s="42" t="str">
        <x:f>IFERROR(J19*L19/N19,"")</x:f>
      </x:c>
      <x:c r="Q19" s="30" t="str">
        <x:v>固定1</x:v>
      </x:c>
      <x:c r="R19" s="30" t="str">
        <x:v>称号阶段5×1</x:v>
      </x:c>
      <x:c r="S19" s="29" t="str">
        <x:v>首次完成固定发放</x:v>
      </x:c>
      <x:c r="T19" s="29" t="str">
        <x:v>来源已定待对象</x:v>
      </x:c>
      <x:c r="U19" s="29" t="str">
        <x:v>不进入随机掉落池</x:v>
      </x:c>
    </x:row>
    <x:row r="20" ht="27" customHeight="1">
      <x:c r="A20" s="30" t="str">
        <x:v>EL-MAT-C04-COM</x:v>
      </x:c>
      <x:c r="B20" s="30" t="str">
        <x:v>C04</x:v>
      </x:c>
      <x:c r="C20" s="30" t="str">
        <x:v>湖盐结晶</x:v>
      </x:c>
      <x:c r="D20" s="30" t="str">
        <x:v>核心通用</x:v>
      </x:c>
      <x:c r="E20" s="30" t="str">
        <x:v>全大陆</x:v>
      </x:c>
      <x:c r="F20" s="29" t="str">
        <x:v>利耶尼亚海域普通怪集合</x:v>
      </x:c>
      <x:c r="G20" s="30" t="str">
        <x:v>多地图</x:v>
      </x:c>
      <x:c r="H20" s="30" t="str">
        <x:v>C04全部N类</x:v>
      </x:c>
      <x:c r="I20" s="30" t="str">
        <x:v>普通怪通用</x:v>
      </x:c>
      <x:c r="J20" s="42" t="n">
        <x:v>900</x:v>
      </x:c>
      <x:c r="K20" s="42" t="n">
        <x:v>60</x:v>
      </x:c>
      <x:c r="L20" s="42" t="n">
        <x:v>14</x:v>
      </x:c>
      <x:c r="M20" s="42" t="n">
        <x:v>15</x:v>
      </x:c>
      <x:c r="N20" s="43" t="n">
        <x:f>IF(OR(J20="",K20="",L20=""),"",ROUND(J20*L20/K20,0))</x:f>
        <x:v>210</x:v>
      </x:c>
      <x:c r="O20" s="43" t="n">
        <x:f>IFERROR(N20/L20,"")</x:f>
        <x:v>15</x:v>
      </x:c>
      <x:c r="P20" s="42" t="n">
        <x:f>IFERROR(J20*L20/N20,"")</x:f>
        <x:v>60</x:v>
      </x:c>
      <x:c r="Q20" s="30" t="str">
        <x:v>无</x:v>
      </x:c>
      <x:c r="R20" s="30" t="str">
        <x:v>称号450＋合成</x:v>
      </x:c>
      <x:c r="S20" s="29" t="str">
        <x:v>常驻独立掉落</x:v>
      </x:c>
      <x:c r="T20" s="29" t="str">
        <x:v>母线已定</x:v>
      </x:c>
      <x:c r="U20" s="29" t="str">
        <x:v>不与装备池争权重</x:v>
      </x:c>
    </x:row>
    <x:row r="21" ht="27" customHeight="1">
      <x:c r="A21" s="30" t="str">
        <x:v>EL-MAT-C04-RARE</x:v>
      </x:c>
      <x:c r="B21" s="30" t="str">
        <x:v>C04</x:v>
      </x:c>
      <x:c r="C21" s="30" t="str">
        <x:v>幽船铆钉</x:v>
      </x:c>
      <x:c r="D21" s="30" t="str">
        <x:v>核心稀有</x:v>
      </x:c>
      <x:c r="E21" s="30" t="str">
        <x:v>全大陆</x:v>
      </x:c>
      <x:c r="F21" s="29" t="str">
        <x:v>利耶尼亚海域精英怪集合</x:v>
      </x:c>
      <x:c r="G21" s="30" t="str">
        <x:v>多地图</x:v>
      </x:c>
      <x:c r="H21" s="30" t="str">
        <x:v>C04全部R类</x:v>
      </x:c>
      <x:c r="I21" s="30" t="str">
        <x:v>精英怪稀有</x:v>
      </x:c>
      <x:c r="J21" s="42" t="n">
        <x:v>60</x:v>
      </x:c>
      <x:c r="K21" s="42" t="n">
        <x:v>4</x:v>
      </x:c>
      <x:c r="L21" s="42" t="n">
        <x:v>14</x:v>
      </x:c>
      <x:c r="M21" s="42" t="n">
        <x:v>15</x:v>
      </x:c>
      <x:c r="N21" s="43" t="n">
        <x:f>IF(OR(J21="",K21="",L21=""),"",ROUND(J21*L21/K21,0))</x:f>
        <x:v>210</x:v>
      </x:c>
      <x:c r="O21" s="43" t="n">
        <x:f>IFERROR(N21/L21,"")</x:f>
        <x:v>15</x:v>
      </x:c>
      <x:c r="P21" s="42" t="n">
        <x:f>IFERROR(J21*L21/N21,"")</x:f>
        <x:v>4</x:v>
      </x:c>
      <x:c r="Q21" s="30" t="str">
        <x:v>无</x:v>
      </x:c>
      <x:c r="R21" s="30" t="str">
        <x:v>称号20＋合成</x:v>
      </x:c>
      <x:c r="S21" s="29" t="str">
        <x:v>常驻独立掉落</x:v>
      </x:c>
      <x:c r="T21" s="29" t="str">
        <x:v>母线已定</x:v>
      </x:c>
      <x:c r="U21" s="29" t="str">
        <x:v>不与装备池争权重</x:v>
      </x:c>
    </x:row>
    <x:row r="22" ht="27" customHeight="1">
      <x:c r="A22" s="30" t="str">
        <x:v>EL-MAT-C04-MARK</x:v>
      </x:c>
      <x:c r="B22" s="30" t="str">
        <x:v>C04</x:v>
      </x:c>
      <x:c r="C22" s="30" t="str">
        <x:v>沉湖王印</x:v>
      </x:c>
      <x:c r="D22" s="30" t="str">
        <x:v>剧情印记</x:v>
      </x:c>
      <x:c r="E22" s="30" t="str">
        <x:v>C04-末组</x:v>
      </x:c>
      <x:c r="F22" s="29" t="str">
        <x:v>利耶尼亚海域最终地图组</x:v>
      </x:c>
      <x:c r="G22" s="30" t="str">
        <x:v>守关地图</x:v>
      </x:c>
      <x:c r="H22" s="30" t="str">
        <x:v>C04-Gxx-G01</x:v>
      </x:c>
      <x:c r="I22" s="30" t="str">
        <x:v>主任务/守关首杀</x:v>
      </x:c>
      <x:c r="J22" s="42"/>
      <x:c r="K22" s="42"/>
      <x:c r="L22" s="42" t="n">
        <x:v>14</x:v>
      </x:c>
      <x:c r="M22" s="42"/>
      <x:c r="N22" s="43" t="str">
        <x:f>IF(OR(J22="",K22="",L22=""),"",ROUND(J22*L22/K22,0))</x:f>
      </x:c>
      <x:c r="O22" s="43" t="n">
        <x:f>IFERROR(N22/L22,"")</x:f>
        <x:v>0</x:v>
      </x:c>
      <x:c r="P22" s="42" t="str">
        <x:f>IFERROR(J22*L22/N22,"")</x:f>
      </x:c>
      <x:c r="Q22" s="30" t="str">
        <x:v>固定1</x:v>
      </x:c>
      <x:c r="R22" s="30" t="str">
        <x:v>称号阶段5×1</x:v>
      </x:c>
      <x:c r="S22" s="29" t="str">
        <x:v>首次完成固定发放</x:v>
      </x:c>
      <x:c r="T22" s="29" t="str">
        <x:v>来源已定待对象</x:v>
      </x:c>
      <x:c r="U22" s="29" t="str">
        <x:v>不进入随机掉落池</x:v>
      </x:c>
    </x:row>
    <x:row r="23" ht="27" customHeight="1">
      <x:c r="A23" s="30" t="str">
        <x:v>EL-MAT-C05-COM</x:v>
      </x:c>
      <x:c r="B23" s="30" t="str">
        <x:v>C05</x:v>
      </x:c>
      <x:c r="C23" s="30" t="str">
        <x:v>辉石碎晶</x:v>
      </x:c>
      <x:c r="D23" s="30" t="str">
        <x:v>核心通用</x:v>
      </x:c>
      <x:c r="E23" s="30" t="str">
        <x:v>全大陆</x:v>
      </x:c>
      <x:c r="F23" s="29" t="str">
        <x:v>湖之利耶尼亚普通怪集合</x:v>
      </x:c>
      <x:c r="G23" s="30" t="str">
        <x:v>多地图</x:v>
      </x:c>
      <x:c r="H23" s="30" t="str">
        <x:v>C05全部N类</x:v>
      </x:c>
      <x:c r="I23" s="30" t="str">
        <x:v>普通怪通用</x:v>
      </x:c>
      <x:c r="J23" s="42" t="n">
        <x:v>900</x:v>
      </x:c>
      <x:c r="K23" s="42" t="n">
        <x:v>60</x:v>
      </x:c>
      <x:c r="L23" s="42" t="n">
        <x:v>20</x:v>
      </x:c>
      <x:c r="M23" s="42" t="n">
        <x:v>15</x:v>
      </x:c>
      <x:c r="N23" s="43" t="n">
        <x:f>IF(OR(J23="",K23="",L23=""),"",ROUND(J23*L23/K23,0))</x:f>
        <x:v>300</x:v>
      </x:c>
      <x:c r="O23" s="43" t="n">
        <x:f>IFERROR(N23/L23,"")</x:f>
        <x:v>15</x:v>
      </x:c>
      <x:c r="P23" s="42" t="n">
        <x:f>IFERROR(J23*L23/N23,"")</x:f>
        <x:v>60</x:v>
      </x:c>
      <x:c r="Q23" s="30" t="str">
        <x:v>无</x:v>
      </x:c>
      <x:c r="R23" s="30" t="str">
        <x:v>称号450＋合成</x:v>
      </x:c>
      <x:c r="S23" s="29" t="str">
        <x:v>常驻独立掉落</x:v>
      </x:c>
      <x:c r="T23" s="29" t="str">
        <x:v>母线已定</x:v>
      </x:c>
      <x:c r="U23" s="29" t="str">
        <x:v>不与装备池争权重</x:v>
      </x:c>
    </x:row>
    <x:row r="24" ht="27" customHeight="1">
      <x:c r="A24" s="30" t="str">
        <x:v>EL-MAT-C05-RARE</x:v>
      </x:c>
      <x:c r="B24" s="30" t="str">
        <x:v>C05</x:v>
      </x:c>
      <x:c r="C24" s="30" t="str">
        <x:v>卡利亚月露</x:v>
      </x:c>
      <x:c r="D24" s="30" t="str">
        <x:v>核心稀有</x:v>
      </x:c>
      <x:c r="E24" s="30" t="str">
        <x:v>全大陆</x:v>
      </x:c>
      <x:c r="F24" s="29" t="str">
        <x:v>湖之利耶尼亚精英怪集合</x:v>
      </x:c>
      <x:c r="G24" s="30" t="str">
        <x:v>多地图</x:v>
      </x:c>
      <x:c r="H24" s="30" t="str">
        <x:v>C05全部R类</x:v>
      </x:c>
      <x:c r="I24" s="30" t="str">
        <x:v>精英怪稀有</x:v>
      </x:c>
      <x:c r="J24" s="42" t="n">
        <x:v>60</x:v>
      </x:c>
      <x:c r="K24" s="42" t="n">
        <x:v>4</x:v>
      </x:c>
      <x:c r="L24" s="42" t="n">
        <x:v>20</x:v>
      </x:c>
      <x:c r="M24" s="42" t="n">
        <x:v>15</x:v>
      </x:c>
      <x:c r="N24" s="43" t="n">
        <x:f>IF(OR(J24="",K24="",L24=""),"",ROUND(J24*L24/K24,0))</x:f>
        <x:v>300</x:v>
      </x:c>
      <x:c r="O24" s="43" t="n">
        <x:f>IFERROR(N24/L24,"")</x:f>
        <x:v>15</x:v>
      </x:c>
      <x:c r="P24" s="42" t="n">
        <x:f>IFERROR(J24*L24/N24,"")</x:f>
        <x:v>4</x:v>
      </x:c>
      <x:c r="Q24" s="30" t="str">
        <x:v>无</x:v>
      </x:c>
      <x:c r="R24" s="30" t="str">
        <x:v>称号20＋合成</x:v>
      </x:c>
      <x:c r="S24" s="29" t="str">
        <x:v>常驻独立掉落</x:v>
      </x:c>
      <x:c r="T24" s="29" t="str">
        <x:v>母线已定</x:v>
      </x:c>
      <x:c r="U24" s="29" t="str">
        <x:v>不与装备池争权重</x:v>
      </x:c>
    </x:row>
    <x:row r="25" ht="27" customHeight="1">
      <x:c r="A25" s="30" t="str">
        <x:v>EL-MAT-C05-MARK</x:v>
      </x:c>
      <x:c r="B25" s="30" t="str">
        <x:v>C05</x:v>
      </x:c>
      <x:c r="C25" s="30" t="str">
        <x:v>满月王室印</x:v>
      </x:c>
      <x:c r="D25" s="30" t="str">
        <x:v>剧情印记</x:v>
      </x:c>
      <x:c r="E25" s="30" t="str">
        <x:v>C05-末组</x:v>
      </x:c>
      <x:c r="F25" s="29" t="str">
        <x:v>湖之利耶尼亚最终地图组</x:v>
      </x:c>
      <x:c r="G25" s="30" t="str">
        <x:v>守关地图</x:v>
      </x:c>
      <x:c r="H25" s="30" t="str">
        <x:v>C05-Gxx-G01</x:v>
      </x:c>
      <x:c r="I25" s="30" t="str">
        <x:v>主任务/守关首杀</x:v>
      </x:c>
      <x:c r="J25" s="42"/>
      <x:c r="K25" s="42"/>
      <x:c r="L25" s="42" t="n">
        <x:v>20</x:v>
      </x:c>
      <x:c r="M25" s="42"/>
      <x:c r="N25" s="43" t="str">
        <x:f>IF(OR(J25="",K25="",L25=""),"",ROUND(J25*L25/K25,0))</x:f>
      </x:c>
      <x:c r="O25" s="43" t="n">
        <x:f>IFERROR(N25/L25,"")</x:f>
        <x:v>0</x:v>
      </x:c>
      <x:c r="P25" s="42" t="str">
        <x:f>IFERROR(J25*L25/N25,"")</x:f>
      </x:c>
      <x:c r="Q25" s="30" t="str">
        <x:v>固定1</x:v>
      </x:c>
      <x:c r="R25" s="30" t="str">
        <x:v>称号阶段5×1</x:v>
      </x:c>
      <x:c r="S25" s="29" t="str">
        <x:v>首次完成固定发放</x:v>
      </x:c>
      <x:c r="T25" s="29" t="str">
        <x:v>来源已定待对象</x:v>
      </x:c>
      <x:c r="U25" s="29" t="str">
        <x:v>不进入随机掉落池</x:v>
      </x:c>
    </x:row>
    <x:row r="26" ht="27" customHeight="1">
      <x:c r="A26" s="30" t="str">
        <x:v>EL-MAT-C06-COM</x:v>
      </x:c>
      <x:c r="B26" s="30" t="str">
        <x:v>C06</x:v>
      </x:c>
      <x:c r="C26" s="30" t="str">
        <x:v>猩红矿渣</x:v>
      </x:c>
      <x:c r="D26" s="30" t="str">
        <x:v>核心通用</x:v>
      </x:c>
      <x:c r="E26" s="30" t="str">
        <x:v>全大陆</x:v>
      </x:c>
      <x:c r="F26" s="29" t="str">
        <x:v>盖利德普通怪集合</x:v>
      </x:c>
      <x:c r="G26" s="30" t="str">
        <x:v>多地图</x:v>
      </x:c>
      <x:c r="H26" s="30" t="str">
        <x:v>C06全部N类</x:v>
      </x:c>
      <x:c r="I26" s="30" t="str">
        <x:v>普通怪通用</x:v>
      </x:c>
      <x:c r="J26" s="42" t="n">
        <x:v>900</x:v>
      </x:c>
      <x:c r="K26" s="42" t="n">
        <x:v>60</x:v>
      </x:c>
      <x:c r="L26" s="42" t="n">
        <x:v>28</x:v>
      </x:c>
      <x:c r="M26" s="42" t="n">
        <x:v>15</x:v>
      </x:c>
      <x:c r="N26" s="43" t="n">
        <x:f>IF(OR(J26="",K26="",L26=""),"",ROUND(J26*L26/K26,0))</x:f>
        <x:v>420</x:v>
      </x:c>
      <x:c r="O26" s="43" t="n">
        <x:f>IFERROR(N26/L26,"")</x:f>
        <x:v>15</x:v>
      </x:c>
      <x:c r="P26" s="42" t="n">
        <x:f>IFERROR(J26*L26/N26,"")</x:f>
        <x:v>60</x:v>
      </x:c>
      <x:c r="Q26" s="30" t="str">
        <x:v>无</x:v>
      </x:c>
      <x:c r="R26" s="30" t="str">
        <x:v>称号450＋合成</x:v>
      </x:c>
      <x:c r="S26" s="29" t="str">
        <x:v>常驻独立掉落</x:v>
      </x:c>
      <x:c r="T26" s="29" t="str">
        <x:v>母线已定</x:v>
      </x:c>
      <x:c r="U26" s="29" t="str">
        <x:v>不与装备池争权重</x:v>
      </x:c>
    </x:row>
    <x:row r="27" ht="27" customHeight="1">
      <x:c r="A27" s="30" t="str">
        <x:v>EL-MAT-C06-RARE</x:v>
      </x:c>
      <x:c r="B27" s="30" t="str">
        <x:v>C06</x:v>
      </x:c>
      <x:c r="C27" s="30" t="str">
        <x:v>龙火鳞</x:v>
      </x:c>
      <x:c r="D27" s="30" t="str">
        <x:v>核心稀有</x:v>
      </x:c>
      <x:c r="E27" s="30" t="str">
        <x:v>全大陆</x:v>
      </x:c>
      <x:c r="F27" s="29" t="str">
        <x:v>盖利德精英怪集合</x:v>
      </x:c>
      <x:c r="G27" s="30" t="str">
        <x:v>多地图</x:v>
      </x:c>
      <x:c r="H27" s="30" t="str">
        <x:v>C06全部R类</x:v>
      </x:c>
      <x:c r="I27" s="30" t="str">
        <x:v>精英怪稀有</x:v>
      </x:c>
      <x:c r="J27" s="42" t="n">
        <x:v>60</x:v>
      </x:c>
      <x:c r="K27" s="42" t="n">
        <x:v>4</x:v>
      </x:c>
      <x:c r="L27" s="42" t="n">
        <x:v>28</x:v>
      </x:c>
      <x:c r="M27" s="42" t="n">
        <x:v>15</x:v>
      </x:c>
      <x:c r="N27" s="43" t="n">
        <x:f>IF(OR(J27="",K27="",L27=""),"",ROUND(J27*L27/K27,0))</x:f>
        <x:v>420</x:v>
      </x:c>
      <x:c r="O27" s="43" t="n">
        <x:f>IFERROR(N27/L27,"")</x:f>
        <x:v>15</x:v>
      </x:c>
      <x:c r="P27" s="42" t="n">
        <x:f>IFERROR(J27*L27/N27,"")</x:f>
        <x:v>4</x:v>
      </x:c>
      <x:c r="Q27" s="30" t="str">
        <x:v>无</x:v>
      </x:c>
      <x:c r="R27" s="30" t="str">
        <x:v>称号20＋合成</x:v>
      </x:c>
      <x:c r="S27" s="29" t="str">
        <x:v>常驻独立掉落</x:v>
      </x:c>
      <x:c r="T27" s="29" t="str">
        <x:v>母线已定</x:v>
      </x:c>
      <x:c r="U27" s="29" t="str">
        <x:v>不与装备池争权重</x:v>
      </x:c>
    </x:row>
    <x:row r="28" ht="27" customHeight="1">
      <x:c r="A28" s="30" t="str">
        <x:v>EL-MAT-C06-MARK</x:v>
      </x:c>
      <x:c r="B28" s="30" t="str">
        <x:v>C06</x:v>
      </x:c>
      <x:c r="C28" s="30" t="str">
        <x:v>红狮战印</x:v>
      </x:c>
      <x:c r="D28" s="30" t="str">
        <x:v>剧情印记</x:v>
      </x:c>
      <x:c r="E28" s="30" t="str">
        <x:v>C06-末组</x:v>
      </x:c>
      <x:c r="F28" s="29" t="str">
        <x:v>盖利德最终地图组</x:v>
      </x:c>
      <x:c r="G28" s="30" t="str">
        <x:v>守关地图</x:v>
      </x:c>
      <x:c r="H28" s="30" t="str">
        <x:v>C06-Gxx-G01</x:v>
      </x:c>
      <x:c r="I28" s="30" t="str">
        <x:v>主任务/守关首杀</x:v>
      </x:c>
      <x:c r="J28" s="42"/>
      <x:c r="K28" s="42"/>
      <x:c r="L28" s="42" t="n">
        <x:v>28</x:v>
      </x:c>
      <x:c r="M28" s="42"/>
      <x:c r="N28" s="43" t="str">
        <x:f>IF(OR(J28="",K28="",L28=""),"",ROUND(J28*L28/K28,0))</x:f>
      </x:c>
      <x:c r="O28" s="43" t="n">
        <x:f>IFERROR(N28/L28,"")</x:f>
        <x:v>0</x:v>
      </x:c>
      <x:c r="P28" s="42" t="str">
        <x:f>IFERROR(J28*L28/N28,"")</x:f>
      </x:c>
      <x:c r="Q28" s="30" t="str">
        <x:v>固定1</x:v>
      </x:c>
      <x:c r="R28" s="30" t="str">
        <x:v>称号阶段5×1</x:v>
      </x:c>
      <x:c r="S28" s="29" t="str">
        <x:v>首次完成固定发放</x:v>
      </x:c>
      <x:c r="T28" s="29" t="str">
        <x:v>来源已定待对象</x:v>
      </x:c>
      <x:c r="U28" s="29" t="str">
        <x:v>不进入随机掉落池</x:v>
      </x:c>
    </x:row>
    <x:row r="29" ht="27" customHeight="1">
      <x:c r="A29" s="30" t="str">
        <x:v>EL-MAT-C07-COM</x:v>
      </x:c>
      <x:c r="B29" s="30" t="str">
        <x:v>C07</x:v>
      </x:c>
      <x:c r="C29" s="30" t="str">
        <x:v>冻晶尘</x:v>
      </x:c>
      <x:c r="D29" s="30" t="str">
        <x:v>核心通用</x:v>
      </x:c>
      <x:c r="E29" s="30" t="str">
        <x:v>全大陆</x:v>
      </x:c>
      <x:c r="F29" s="29" t="str">
        <x:v>化圣雪原普通怪集合</x:v>
      </x:c>
      <x:c r="G29" s="30" t="str">
        <x:v>多地图</x:v>
      </x:c>
      <x:c r="H29" s="30" t="str">
        <x:v>C07全部N类</x:v>
      </x:c>
      <x:c r="I29" s="30" t="str">
        <x:v>普通怪通用</x:v>
      </x:c>
      <x:c r="J29" s="42" t="n">
        <x:v>900</x:v>
      </x:c>
      <x:c r="K29" s="42" t="n">
        <x:v>60</x:v>
      </x:c>
      <x:c r="L29" s="42" t="n">
        <x:v>40</x:v>
      </x:c>
      <x:c r="M29" s="42" t="n">
        <x:v>15</x:v>
      </x:c>
      <x:c r="N29" s="43" t="n">
        <x:f>IF(OR(J29="",K29="",L29=""),"",ROUND(J29*L29/K29,0))</x:f>
        <x:v>600</x:v>
      </x:c>
      <x:c r="O29" s="43" t="n">
        <x:f>IFERROR(N29/L29,"")</x:f>
        <x:v>15</x:v>
      </x:c>
      <x:c r="P29" s="42" t="n">
        <x:f>IFERROR(J29*L29/N29,"")</x:f>
        <x:v>60</x:v>
      </x:c>
      <x:c r="Q29" s="30" t="str">
        <x:v>无</x:v>
      </x:c>
      <x:c r="R29" s="30" t="str">
        <x:v>称号450＋合成</x:v>
      </x:c>
      <x:c r="S29" s="29" t="str">
        <x:v>常驻独立掉落</x:v>
      </x:c>
      <x:c r="T29" s="29" t="str">
        <x:v>母线已定</x:v>
      </x:c>
      <x:c r="U29" s="29" t="str">
        <x:v>不与装备池争权重</x:v>
      </x:c>
    </x:row>
    <x:row r="30" ht="27" customHeight="1">
      <x:c r="A30" s="30" t="str">
        <x:v>EL-MAT-C07-RARE</x:v>
      </x:c>
      <x:c r="B30" s="30" t="str">
        <x:v>C07</x:v>
      </x:c>
      <x:c r="C30" s="30" t="str">
        <x:v>白金纺线</x:v>
      </x:c>
      <x:c r="D30" s="30" t="str">
        <x:v>核心稀有</x:v>
      </x:c>
      <x:c r="E30" s="30" t="str">
        <x:v>全大陆</x:v>
      </x:c>
      <x:c r="F30" s="29" t="str">
        <x:v>化圣雪原精英怪集合</x:v>
      </x:c>
      <x:c r="G30" s="30" t="str">
        <x:v>多地图</x:v>
      </x:c>
      <x:c r="H30" s="30" t="str">
        <x:v>C07全部R类</x:v>
      </x:c>
      <x:c r="I30" s="30" t="str">
        <x:v>精英怪稀有</x:v>
      </x:c>
      <x:c r="J30" s="42" t="n">
        <x:v>60</x:v>
      </x:c>
      <x:c r="K30" s="42" t="n">
        <x:v>4</x:v>
      </x:c>
      <x:c r="L30" s="42" t="n">
        <x:v>40</x:v>
      </x:c>
      <x:c r="M30" s="42" t="n">
        <x:v>15</x:v>
      </x:c>
      <x:c r="N30" s="43" t="n">
        <x:f>IF(OR(J30="",K30="",L30=""),"",ROUND(J30*L30/K30,0))</x:f>
        <x:v>600</x:v>
      </x:c>
      <x:c r="O30" s="43" t="n">
        <x:f>IFERROR(N30/L30,"")</x:f>
        <x:v>15</x:v>
      </x:c>
      <x:c r="P30" s="42" t="n">
        <x:f>IFERROR(J30*L30/N30,"")</x:f>
        <x:v>4</x:v>
      </x:c>
      <x:c r="Q30" s="30" t="str">
        <x:v>无</x:v>
      </x:c>
      <x:c r="R30" s="30" t="str">
        <x:v>称号20＋合成</x:v>
      </x:c>
      <x:c r="S30" s="29" t="str">
        <x:v>常驻独立掉落</x:v>
      </x:c>
      <x:c r="T30" s="29" t="str">
        <x:v>母线已定</x:v>
      </x:c>
      <x:c r="U30" s="29" t="str">
        <x:v>不与装备池争权重</x:v>
      </x:c>
    </x:row>
    <x:row r="31" ht="27" customHeight="1">
      <x:c r="A31" s="30" t="str">
        <x:v>EL-MAT-C07-MARK</x:v>
      </x:c>
      <x:c r="B31" s="30" t="str">
        <x:v>C07</x:v>
      </x:c>
      <x:c r="C31" s="30" t="str">
        <x:v>圣雪誓印</x:v>
      </x:c>
      <x:c r="D31" s="30" t="str">
        <x:v>剧情印记</x:v>
      </x:c>
      <x:c r="E31" s="30" t="str">
        <x:v>C07-末组</x:v>
      </x:c>
      <x:c r="F31" s="29" t="str">
        <x:v>化圣雪原最终地图组</x:v>
      </x:c>
      <x:c r="G31" s="30" t="str">
        <x:v>守关地图</x:v>
      </x:c>
      <x:c r="H31" s="30" t="str">
        <x:v>C07-Gxx-G01</x:v>
      </x:c>
      <x:c r="I31" s="30" t="str">
        <x:v>主任务/守关首杀</x:v>
      </x:c>
      <x:c r="J31" s="42"/>
      <x:c r="K31" s="42"/>
      <x:c r="L31" s="42" t="n">
        <x:v>40</x:v>
      </x:c>
      <x:c r="M31" s="42"/>
      <x:c r="N31" s="43" t="str">
        <x:f>IF(OR(J31="",K31="",L31=""),"",ROUND(J31*L31/K31,0))</x:f>
      </x:c>
      <x:c r="O31" s="43" t="n">
        <x:f>IFERROR(N31/L31,"")</x:f>
        <x:v>0</x:v>
      </x:c>
      <x:c r="P31" s="42" t="str">
        <x:f>IFERROR(J31*L31/N31,"")</x:f>
      </x:c>
      <x:c r="Q31" s="30" t="str">
        <x:v>固定1</x:v>
      </x:c>
      <x:c r="R31" s="30" t="str">
        <x:v>称号阶段5×1</x:v>
      </x:c>
      <x:c r="S31" s="29" t="str">
        <x:v>首次完成固定发放</x:v>
      </x:c>
      <x:c r="T31" s="29" t="str">
        <x:v>来源已定待对象</x:v>
      </x:c>
      <x:c r="U31" s="29" t="str">
        <x:v>不进入随机掉落池</x:v>
      </x:c>
    </x:row>
    <x:row r="32" ht="27" customHeight="1">
      <x:c r="A32" s="30" t="str">
        <x:v>EL-MAT-C08-COM</x:v>
      </x:c>
      <x:c r="B32" s="30" t="str">
        <x:v>C08</x:v>
      </x:c>
      <x:c r="C32" s="30" t="str">
        <x:v>霜脊铁</x:v>
      </x:c>
      <x:c r="D32" s="30" t="str">
        <x:v>核心通用</x:v>
      </x:c>
      <x:c r="E32" s="30" t="str">
        <x:v>全大陆</x:v>
      </x:c>
      <x:c r="F32" s="29" t="str">
        <x:v>巨人山顶普通怪集合</x:v>
      </x:c>
      <x:c r="G32" s="30" t="str">
        <x:v>多地图</x:v>
      </x:c>
      <x:c r="H32" s="30" t="str">
        <x:v>C08全部N类</x:v>
      </x:c>
      <x:c r="I32" s="30" t="str">
        <x:v>普通怪通用</x:v>
      </x:c>
      <x:c r="J32" s="42" t="n">
        <x:v>900</x:v>
      </x:c>
      <x:c r="K32" s="42" t="n">
        <x:v>60</x:v>
      </x:c>
      <x:c r="L32" s="42" t="n">
        <x:v>55</x:v>
      </x:c>
      <x:c r="M32" s="42" t="n">
        <x:v>15</x:v>
      </x:c>
      <x:c r="N32" s="43" t="n">
        <x:f>IF(OR(J32="",K32="",L32=""),"",ROUND(J32*L32/K32,0))</x:f>
        <x:v>825</x:v>
      </x:c>
      <x:c r="O32" s="43" t="n">
        <x:f>IFERROR(N32/L32,"")</x:f>
        <x:v>15</x:v>
      </x:c>
      <x:c r="P32" s="42" t="n">
        <x:f>IFERROR(J32*L32/N32,"")</x:f>
        <x:v>60</x:v>
      </x:c>
      <x:c r="Q32" s="30" t="str">
        <x:v>无</x:v>
      </x:c>
      <x:c r="R32" s="30" t="str">
        <x:v>称号450＋合成</x:v>
      </x:c>
      <x:c r="S32" s="29" t="str">
        <x:v>常驻独立掉落</x:v>
      </x:c>
      <x:c r="T32" s="29" t="str">
        <x:v>母线已定</x:v>
      </x:c>
      <x:c r="U32" s="29" t="str">
        <x:v>不与装备池争权重</x:v>
      </x:c>
    </x:row>
    <x:row r="33" ht="27" customHeight="1">
      <x:c r="A33" s="30" t="str">
        <x:v>EL-MAT-C08-RARE</x:v>
      </x:c>
      <x:c r="B33" s="30" t="str">
        <x:v>C08</x:v>
      </x:c>
      <x:c r="C33" s="30" t="str">
        <x:v>巨人火种</x:v>
      </x:c>
      <x:c r="D33" s="30" t="str">
        <x:v>核心稀有</x:v>
      </x:c>
      <x:c r="E33" s="30" t="str">
        <x:v>全大陆</x:v>
      </x:c>
      <x:c r="F33" s="29" t="str">
        <x:v>巨人山顶精英怪集合</x:v>
      </x:c>
      <x:c r="G33" s="30" t="str">
        <x:v>多地图</x:v>
      </x:c>
      <x:c r="H33" s="30" t="str">
        <x:v>C08全部R类</x:v>
      </x:c>
      <x:c r="I33" s="30" t="str">
        <x:v>精英怪稀有</x:v>
      </x:c>
      <x:c r="J33" s="42" t="n">
        <x:v>60</x:v>
      </x:c>
      <x:c r="K33" s="42" t="n">
        <x:v>4</x:v>
      </x:c>
      <x:c r="L33" s="42" t="n">
        <x:v>55</x:v>
      </x:c>
      <x:c r="M33" s="42" t="n">
        <x:v>15</x:v>
      </x:c>
      <x:c r="N33" s="43" t="n">
        <x:f>IF(OR(J33="",K33="",L33=""),"",ROUND(J33*L33/K33,0))</x:f>
        <x:v>825</x:v>
      </x:c>
      <x:c r="O33" s="43" t="n">
        <x:f>IFERROR(N33/L33,"")</x:f>
        <x:v>15</x:v>
      </x:c>
      <x:c r="P33" s="42" t="n">
        <x:f>IFERROR(J33*L33/N33,"")</x:f>
        <x:v>4</x:v>
      </x:c>
      <x:c r="Q33" s="30" t="str">
        <x:v>无</x:v>
      </x:c>
      <x:c r="R33" s="30" t="str">
        <x:v>称号20＋合成</x:v>
      </x:c>
      <x:c r="S33" s="29" t="str">
        <x:v>常驻独立掉落</x:v>
      </x:c>
      <x:c r="T33" s="29" t="str">
        <x:v>母线已定</x:v>
      </x:c>
      <x:c r="U33" s="29" t="str">
        <x:v>不与装备池争权重</x:v>
      </x:c>
    </x:row>
    <x:row r="34" ht="27" customHeight="1">
      <x:c r="A34" s="30" t="str">
        <x:v>EL-MAT-C08-MARK</x:v>
      </x:c>
      <x:c r="B34" s="30" t="str">
        <x:v>C08</x:v>
      </x:c>
      <x:c r="C34" s="30" t="str">
        <x:v>巨人火印</x:v>
      </x:c>
      <x:c r="D34" s="30" t="str">
        <x:v>剧情印记</x:v>
      </x:c>
      <x:c r="E34" s="30" t="str">
        <x:v>C08-末组</x:v>
      </x:c>
      <x:c r="F34" s="29" t="str">
        <x:v>巨人山顶最终地图组</x:v>
      </x:c>
      <x:c r="G34" s="30" t="str">
        <x:v>守关地图</x:v>
      </x:c>
      <x:c r="H34" s="30" t="str">
        <x:v>C08-Gxx-G01</x:v>
      </x:c>
      <x:c r="I34" s="30" t="str">
        <x:v>主任务/守关首杀</x:v>
      </x:c>
      <x:c r="J34" s="42"/>
      <x:c r="K34" s="42"/>
      <x:c r="L34" s="42" t="n">
        <x:v>55</x:v>
      </x:c>
      <x:c r="M34" s="42"/>
      <x:c r="N34" s="43" t="str">
        <x:f>IF(OR(J34="",K34="",L34=""),"",ROUND(J34*L34/K34,0))</x:f>
      </x:c>
      <x:c r="O34" s="43" t="n">
        <x:f>IFERROR(N34/L34,"")</x:f>
        <x:v>0</x:v>
      </x:c>
      <x:c r="P34" s="42" t="str">
        <x:f>IFERROR(J34*L34/N34,"")</x:f>
      </x:c>
      <x:c r="Q34" s="30" t="str">
        <x:v>固定1</x:v>
      </x:c>
      <x:c r="R34" s="30" t="str">
        <x:v>称号阶段5×1</x:v>
      </x:c>
      <x:c r="S34" s="29" t="str">
        <x:v>首次完成固定发放</x:v>
      </x:c>
      <x:c r="T34" s="29" t="str">
        <x:v>来源已定待对象</x:v>
      </x:c>
      <x:c r="U34" s="29" t="str">
        <x:v>不进入随机掉落池</x:v>
      </x:c>
    </x:row>
    <x:row r="35" ht="27" customHeight="1">
      <x:c r="A35" s="30" t="str">
        <x:v>EL-MAT-C09-COM</x:v>
      </x:c>
      <x:c r="B35" s="30" t="str">
        <x:v>C09</x:v>
      </x:c>
      <x:c r="C35" s="30" t="str">
        <x:v>黄金叶脉</x:v>
      </x:c>
      <x:c r="D35" s="30" t="str">
        <x:v>核心通用</x:v>
      </x:c>
      <x:c r="E35" s="30" t="str">
        <x:v>全大陆</x:v>
      </x:c>
      <x:c r="F35" s="29" t="str">
        <x:v>亚坛高原普通怪集合</x:v>
      </x:c>
      <x:c r="G35" s="30" t="str">
        <x:v>多地图</x:v>
      </x:c>
      <x:c r="H35" s="30" t="str">
        <x:v>C09全部N类</x:v>
      </x:c>
      <x:c r="I35" s="30" t="str">
        <x:v>普通怪通用</x:v>
      </x:c>
      <x:c r="J35" s="42" t="n">
        <x:v>900</x:v>
      </x:c>
      <x:c r="K35" s="42" t="n">
        <x:v>60</x:v>
      </x:c>
      <x:c r="L35" s="42" t="n">
        <x:v>75</x:v>
      </x:c>
      <x:c r="M35" s="42" t="n">
        <x:v>15</x:v>
      </x:c>
      <x:c r="N35" s="43" t="n">
        <x:f>IF(OR(J35="",K35="",L35=""),"",ROUND(J35*L35/K35,0))</x:f>
        <x:v>1125</x:v>
      </x:c>
      <x:c r="O35" s="43" t="n">
        <x:f>IFERROR(N35/L35,"")</x:f>
        <x:v>15</x:v>
      </x:c>
      <x:c r="P35" s="42" t="n">
        <x:f>IFERROR(J35*L35/N35,"")</x:f>
        <x:v>60</x:v>
      </x:c>
      <x:c r="Q35" s="30" t="str">
        <x:v>无</x:v>
      </x:c>
      <x:c r="R35" s="30" t="str">
        <x:v>称号450＋合成</x:v>
      </x:c>
      <x:c r="S35" s="29" t="str">
        <x:v>常驻独立掉落</x:v>
      </x:c>
      <x:c r="T35" s="29" t="str">
        <x:v>母线已定</x:v>
      </x:c>
      <x:c r="U35" s="29" t="str">
        <x:v>不与装备池争权重</x:v>
      </x:c>
    </x:row>
    <x:row r="36" ht="27" customHeight="1">
      <x:c r="A36" s="30" t="str">
        <x:v>EL-MAT-C09-RARE</x:v>
      </x:c>
      <x:c r="B36" s="30" t="str">
        <x:v>C09</x:v>
      </x:c>
      <x:c r="C36" s="30" t="str">
        <x:v>古王律页</x:v>
      </x:c>
      <x:c r="D36" s="30" t="str">
        <x:v>核心稀有</x:v>
      </x:c>
      <x:c r="E36" s="30" t="str">
        <x:v>全大陆</x:v>
      </x:c>
      <x:c r="F36" s="29" t="str">
        <x:v>亚坛高原精英怪集合</x:v>
      </x:c>
      <x:c r="G36" s="30" t="str">
        <x:v>多地图</x:v>
      </x:c>
      <x:c r="H36" s="30" t="str">
        <x:v>C09全部R类</x:v>
      </x:c>
      <x:c r="I36" s="30" t="str">
        <x:v>精英怪稀有</x:v>
      </x:c>
      <x:c r="J36" s="42" t="n">
        <x:v>60</x:v>
      </x:c>
      <x:c r="K36" s="42" t="n">
        <x:v>4</x:v>
      </x:c>
      <x:c r="L36" s="42" t="n">
        <x:v>75</x:v>
      </x:c>
      <x:c r="M36" s="42" t="n">
        <x:v>15</x:v>
      </x:c>
      <x:c r="N36" s="43" t="n">
        <x:f>IF(OR(J36="",K36="",L36=""),"",ROUND(J36*L36/K36,0))</x:f>
        <x:v>1125</x:v>
      </x:c>
      <x:c r="O36" s="43" t="n">
        <x:f>IFERROR(N36/L36,"")</x:f>
        <x:v>15</x:v>
      </x:c>
      <x:c r="P36" s="42" t="n">
        <x:f>IFERROR(J36*L36/N36,"")</x:f>
        <x:v>4</x:v>
      </x:c>
      <x:c r="Q36" s="30" t="str">
        <x:v>无</x:v>
      </x:c>
      <x:c r="R36" s="30" t="str">
        <x:v>称号20＋合成</x:v>
      </x:c>
      <x:c r="S36" s="29" t="str">
        <x:v>常驻独立掉落</x:v>
      </x:c>
      <x:c r="T36" s="29" t="str">
        <x:v>母线已定</x:v>
      </x:c>
      <x:c r="U36" s="29" t="str">
        <x:v>不与装备池争权重</x:v>
      </x:c>
    </x:row>
    <x:row r="37" ht="27" customHeight="1">
      <x:c r="A37" s="30" t="str">
        <x:v>EL-MAT-C09-MARK</x:v>
      </x:c>
      <x:c r="B37" s="30" t="str">
        <x:v>C09</x:v>
      </x:c>
      <x:c r="C37" s="30" t="str">
        <x:v>黄金律印</x:v>
      </x:c>
      <x:c r="D37" s="30" t="str">
        <x:v>剧情印记</x:v>
      </x:c>
      <x:c r="E37" s="30" t="str">
        <x:v>C09-末组</x:v>
      </x:c>
      <x:c r="F37" s="29" t="str">
        <x:v>亚坛高原最终地图组</x:v>
      </x:c>
      <x:c r="G37" s="30" t="str">
        <x:v>守关地图</x:v>
      </x:c>
      <x:c r="H37" s="30" t="str">
        <x:v>C09-Gxx-G01</x:v>
      </x:c>
      <x:c r="I37" s="30" t="str">
        <x:v>主任务/守关首杀</x:v>
      </x:c>
      <x:c r="J37" s="42"/>
      <x:c r="K37" s="42"/>
      <x:c r="L37" s="42" t="n">
        <x:v>75</x:v>
      </x:c>
      <x:c r="M37" s="42"/>
      <x:c r="N37" s="43" t="str">
        <x:f>IF(OR(J37="",K37="",L37=""),"",ROUND(J37*L37/K37,0))</x:f>
      </x:c>
      <x:c r="O37" s="43" t="n">
        <x:f>IFERROR(N37/L37,"")</x:f>
        <x:v>0</x:v>
      </x:c>
      <x:c r="P37" s="42" t="str">
        <x:f>IFERROR(J37*L37/N37,"")</x:f>
      </x:c>
      <x:c r="Q37" s="30" t="str">
        <x:v>固定1</x:v>
      </x:c>
      <x:c r="R37" s="30" t="str">
        <x:v>称号阶段5×1</x:v>
      </x:c>
      <x:c r="S37" s="29" t="str">
        <x:v>首次完成固定发放</x:v>
      </x:c>
      <x:c r="T37" s="29" t="str">
        <x:v>来源已定待对象</x:v>
      </x:c>
      <x:c r="U37" s="29" t="str">
        <x:v>不进入随机掉落池</x:v>
      </x:c>
    </x:row>
    <x:row r="38" ht="27" customHeight="1">
      <x:c r="A38" s="30" t="str">
        <x:v>EL-MAT-C10-COM</x:v>
      </x:c>
      <x:c r="B38" s="30" t="str">
        <x:v>C10</x:v>
      </x:c>
      <x:c r="C38" s="30" t="str">
        <x:v>王城金屑</x:v>
      </x:c>
      <x:c r="D38" s="30" t="str">
        <x:v>核心通用</x:v>
      </x:c>
      <x:c r="E38" s="30" t="str">
        <x:v>全大陆</x:v>
      </x:c>
      <x:c r="F38" s="29" t="str">
        <x:v>王城罗德尔普通怪集合</x:v>
      </x:c>
      <x:c r="G38" s="30" t="str">
        <x:v>多地图</x:v>
      </x:c>
      <x:c r="H38" s="30" t="str">
        <x:v>C10全部N类</x:v>
      </x:c>
      <x:c r="I38" s="30" t="str">
        <x:v>普通怪通用</x:v>
      </x:c>
      <x:c r="J38" s="42" t="n">
        <x:v>900</x:v>
      </x:c>
      <x:c r="K38" s="42" t="n">
        <x:v>60</x:v>
      </x:c>
      <x:c r="L38" s="42" t="n">
        <x:v>100</x:v>
      </x:c>
      <x:c r="M38" s="42" t="n">
        <x:v>15</x:v>
      </x:c>
      <x:c r="N38" s="43" t="n">
        <x:f>IF(OR(J38="",K38="",L38=""),"",ROUND(J38*L38/K38,0))</x:f>
        <x:v>1500</x:v>
      </x:c>
      <x:c r="O38" s="43" t="n">
        <x:f>IFERROR(N38/L38,"")</x:f>
        <x:v>15</x:v>
      </x:c>
      <x:c r="P38" s="42" t="n">
        <x:f>IFERROR(J38*L38/N38,"")</x:f>
        <x:v>60</x:v>
      </x:c>
      <x:c r="Q38" s="30" t="str">
        <x:v>无</x:v>
      </x:c>
      <x:c r="R38" s="30" t="str">
        <x:v>称号450＋合成</x:v>
      </x:c>
      <x:c r="S38" s="29" t="str">
        <x:v>常驻独立掉落</x:v>
      </x:c>
      <x:c r="T38" s="29" t="str">
        <x:v>母线已定</x:v>
      </x:c>
      <x:c r="U38" s="29" t="str">
        <x:v>不与装备池争权重</x:v>
      </x:c>
    </x:row>
    <x:row r="39" ht="27" customHeight="1">
      <x:c r="A39" s="30" t="str">
        <x:v>EL-MAT-C10-RARE</x:v>
      </x:c>
      <x:c r="B39" s="30" t="str">
        <x:v>C10</x:v>
      </x:c>
      <x:c r="C39" s="30" t="str">
        <x:v>王宫律文</x:v>
      </x:c>
      <x:c r="D39" s="30" t="str">
        <x:v>核心稀有</x:v>
      </x:c>
      <x:c r="E39" s="30" t="str">
        <x:v>全大陆</x:v>
      </x:c>
      <x:c r="F39" s="29" t="str">
        <x:v>王城罗德尔精英怪集合</x:v>
      </x:c>
      <x:c r="G39" s="30" t="str">
        <x:v>多地图</x:v>
      </x:c>
      <x:c r="H39" s="30" t="str">
        <x:v>C10全部R类</x:v>
      </x:c>
      <x:c r="I39" s="30" t="str">
        <x:v>精英怪稀有</x:v>
      </x:c>
      <x:c r="J39" s="42" t="n">
        <x:v>60</x:v>
      </x:c>
      <x:c r="K39" s="42" t="n">
        <x:v>4</x:v>
      </x:c>
      <x:c r="L39" s="42" t="n">
        <x:v>100</x:v>
      </x:c>
      <x:c r="M39" s="42" t="n">
        <x:v>15</x:v>
      </x:c>
      <x:c r="N39" s="43" t="n">
        <x:f>IF(OR(J39="",K39="",L39=""),"",ROUND(J39*L39/K39,0))</x:f>
        <x:v>1500</x:v>
      </x:c>
      <x:c r="O39" s="43" t="n">
        <x:f>IFERROR(N39/L39,"")</x:f>
        <x:v>15</x:v>
      </x:c>
      <x:c r="P39" s="42" t="n">
        <x:f>IFERROR(J39*L39/N39,"")</x:f>
        <x:v>4</x:v>
      </x:c>
      <x:c r="Q39" s="30" t="str">
        <x:v>无</x:v>
      </x:c>
      <x:c r="R39" s="30" t="str">
        <x:v>称号20＋合成</x:v>
      </x:c>
      <x:c r="S39" s="29" t="str">
        <x:v>常驻独立掉落</x:v>
      </x:c>
      <x:c r="T39" s="29" t="str">
        <x:v>母线已定</x:v>
      </x:c>
      <x:c r="U39" s="29" t="str">
        <x:v>不与装备池争权重</x:v>
      </x:c>
    </x:row>
    <x:row r="40" ht="27" customHeight="1">
      <x:c r="A40" s="30" t="str">
        <x:v>EL-MAT-C10-MARK</x:v>
      </x:c>
      <x:c r="B40" s="30" t="str">
        <x:v>C10</x:v>
      </x:c>
      <x:c r="C40" s="30" t="str">
        <x:v>艾尔登王印</x:v>
      </x:c>
      <x:c r="D40" s="30" t="str">
        <x:v>剧情印记</x:v>
      </x:c>
      <x:c r="E40" s="30" t="str">
        <x:v>C10-末组</x:v>
      </x:c>
      <x:c r="F40" s="29" t="str">
        <x:v>王城罗德尔最终地图组</x:v>
      </x:c>
      <x:c r="G40" s="30" t="str">
        <x:v>守关地图</x:v>
      </x:c>
      <x:c r="H40" s="30" t="str">
        <x:v>C10-Gxx-G01</x:v>
      </x:c>
      <x:c r="I40" s="30" t="str">
        <x:v>主任务/守关首杀</x:v>
      </x:c>
      <x:c r="J40" s="42"/>
      <x:c r="K40" s="42"/>
      <x:c r="L40" s="42" t="n">
        <x:v>100</x:v>
      </x:c>
      <x:c r="M40" s="42"/>
      <x:c r="N40" s="43" t="str">
        <x:f>IF(OR(J40="",K40="",L40=""),"",ROUND(J40*L40/K40,0))</x:f>
      </x:c>
      <x:c r="O40" s="43" t="n">
        <x:f>IFERROR(N40/L40,"")</x:f>
        <x:v>0</x:v>
      </x:c>
      <x:c r="P40" s="42" t="str">
        <x:f>IFERROR(J40*L40/N40,"")</x:f>
      </x:c>
      <x:c r="Q40" s="30" t="str">
        <x:v>固定1</x:v>
      </x:c>
      <x:c r="R40" s="30" t="str">
        <x:v>称号阶段5×1</x:v>
      </x:c>
      <x:c r="S40" s="29" t="str">
        <x:v>首次完成固定发放</x:v>
      </x:c>
      <x:c r="T40" s="29" t="str">
        <x:v>来源已定待对象</x:v>
      </x:c>
      <x:c r="U40" s="29" t="str">
        <x:v>不进入随机掉落池</x:v>
      </x:c>
    </x:row>
    <x:row r="41" ht="27" customHeight="1">
      <x:c r="A41" s="30" t="str">
        <x:v>EL-MAT-C03-Q01</x:v>
      </x:c>
      <x:c r="B41" s="30" t="str">
        <x:v>C03</x:v>
      </x:c>
      <x:c r="C41" s="30" t="str">
        <x:v>裂风崖羽</x:v>
      </x:c>
      <x:c r="D41" s="30" t="str">
        <x:v>四证任务</x:v>
      </x:c>
      <x:c r="E41" s="30" t="str">
        <x:v>C03-G02</x:v>
      </x:c>
      <x:c r="F41" s="29" t="str">
        <x:v>海风断崖</x:v>
      </x:c>
      <x:c r="G41" s="30" t="str">
        <x:v>XX335</x:v>
      </x:c>
      <x:c r="H41" s="30" t="str">
        <x:v>EL-MON-C03-G02-N04</x:v>
      </x:c>
      <x:c r="I41" s="30" t="str">
        <x:v>普通怪证物</x:v>
      </x:c>
      <x:c r="J41" s="42" t="n">
        <x:v>900</x:v>
      </x:c>
      <x:c r="K41" s="42" t="n">
        <x:v>1.5</x:v>
      </x:c>
      <x:c r="L41" s="42" t="n">
        <x:v>10</x:v>
      </x:c>
      <x:c r="M41" s="42" t="n">
        <x:v>600</x:v>
      </x:c>
      <x:c r="N41" s="43" t="n">
        <x:f>IF(OR(J41="",K41="",L41=""),"",ROUND(J41*L41/K41,0))</x:f>
        <x:v>6000</x:v>
      </x:c>
      <x:c r="O41" s="43" t="n">
        <x:f>IFERROR(N41/L41,"")</x:f>
        <x:v>600</x:v>
      </x:c>
      <x:c r="P41" s="42" t="n">
        <x:f>IFERROR(J41*L41/N41,"")</x:f>
        <x:v>1.5</x:v>
      </x:c>
      <x:c r="Q41" s="30" t="str">
        <x:v>无</x:v>
      </x:c>
      <x:c r="R41" s="30" t="str">
        <x:v>断路商队×1</x:v>
      </x:c>
      <x:c r="S41" s="29" t="str">
        <x:v>独立掉落；任务完成后停止</x:v>
      </x:c>
      <x:c r="T41" s="29" t="str">
        <x:v>来源逻辑已定</x:v>
      </x:c>
      <x:c r="U41" s="29" t="str">
        <x:v>准确怪名/怪物ID由怪物窗口回填</x:v>
      </x:c>
    </x:row>
    <x:row r="42" ht="27" customHeight="1">
      <x:c r="A42" s="30" t="str">
        <x:v>EL-MAT-C03-Q02</x:v>
      </x:c>
      <x:c r="B42" s="30" t="str">
        <x:v>C03</x:v>
      </x:c>
      <x:c r="C42" s="30" t="str">
        <x:v>商队火漆</x:v>
      </x:c>
      <x:c r="D42" s="30" t="str">
        <x:v>四证任务</x:v>
      </x:c>
      <x:c r="E42" s="30" t="str">
        <x:v>C03-G03</x:v>
      </x:c>
      <x:c r="F42" s="29" t="str">
        <x:v>失落驿道</x:v>
      </x:c>
      <x:c r="G42" s="30" t="str">
        <x:v>XX345</x:v>
      </x:c>
      <x:c r="H42" s="30" t="str">
        <x:v>EL-MON-C03-G03-R02</x:v>
      </x:c>
      <x:c r="I42" s="30" t="str">
        <x:v>精英证物</x:v>
      </x:c>
      <x:c r="J42" s="42" t="n">
        <x:v>60</x:v>
      </x:c>
      <x:c r="K42" s="42" t="n">
        <x:v>0.8</x:v>
      </x:c>
      <x:c r="L42" s="42" t="n">
        <x:v>10</x:v>
      </x:c>
      <x:c r="M42" s="42" t="n">
        <x:v>75</x:v>
      </x:c>
      <x:c r="N42" s="43" t="n">
        <x:f>IF(OR(J42="",K42="",L42=""),"",ROUND(J42*L42/K42,0))</x:f>
        <x:v>750</x:v>
      </x:c>
      <x:c r="O42" s="43" t="n">
        <x:f>IFERROR(N42/L42,"")</x:f>
        <x:v>75</x:v>
      </x:c>
      <x:c r="P42" s="42" t="n">
        <x:f>IFERROR(J42*L42/N42,"")</x:f>
        <x:v>0.8</x:v>
      </x:c>
      <x:c r="Q42" s="30" t="str">
        <x:v>无</x:v>
      </x:c>
      <x:c r="R42" s="30" t="str">
        <x:v>断路商队×1</x:v>
      </x:c>
      <x:c r="S42" s="29" t="str">
        <x:v>独立掉落；任务完成后停止</x:v>
      </x:c>
      <x:c r="T42" s="29" t="str">
        <x:v>来源逻辑已定</x:v>
      </x:c>
      <x:c r="U42" s="29" t="str">
        <x:v>准确怪名/怪物ID由怪物窗口回填</x:v>
      </x:c>
    </x:row>
    <x:row r="43" ht="27" customHeight="1">
      <x:c r="A43" s="30" t="str">
        <x:v>EL-MAT-C03-Q03</x:v>
      </x:c>
      <x:c r="B43" s="30" t="str">
        <x:v>C03</x:v>
      </x:c>
      <x:c r="C43" s="30" t="str">
        <x:v>守垒铜钥</x:v>
      </x:c>
      <x:c r="D43" s="30" t="str">
        <x:v>四证任务</x:v>
      </x:c>
      <x:c r="E43" s="30" t="str">
        <x:v>C03-G05</x:v>
      </x:c>
      <x:c r="F43" s="29" t="str">
        <x:v>风蚀古垒</x:v>
      </x:c>
      <x:c r="G43" s="30" t="str">
        <x:v>XX516</x:v>
      </x:c>
      <x:c r="H43" s="30" t="str">
        <x:v>EL-MON-C03-G05-B01</x:v>
      </x:c>
      <x:c r="I43" s="30" t="str">
        <x:v>地图BOSS证物</x:v>
      </x:c>
      <x:c r="J43" s="42" t="n">
        <x:v>6</x:v>
      </x:c>
      <x:c r="K43" s="42" t="n">
        <x:v>0.3</x:v>
      </x:c>
      <x:c r="L43" s="42" t="n">
        <x:v>10</x:v>
      </x:c>
      <x:c r="M43" s="42" t="n">
        <x:v>20</x:v>
      </x:c>
      <x:c r="N43" s="43" t="n">
        <x:f>IF(OR(J43="",K43="",L43=""),"",ROUND(J43*L43/K43,0))</x:f>
        <x:v>200</x:v>
      </x:c>
      <x:c r="O43" s="43" t="n">
        <x:f>IFERROR(N43/L43,"")</x:f>
        <x:v>20</x:v>
      </x:c>
      <x:c r="P43" s="42" t="n">
        <x:f>IFERROR(J43*L43/N43,"")</x:f>
        <x:v>0.3</x:v>
      </x:c>
      <x:c r="Q43" s="30" t="str">
        <x:v>固定1</x:v>
      </x:c>
      <x:c r="R43" s="30" t="str">
        <x:v>断路商队×1</x:v>
      </x:c>
      <x:c r="S43" s="29" t="str">
        <x:v>独立掉落；任务完成后停止</x:v>
      </x:c>
      <x:c r="T43" s="29" t="str">
        <x:v>来源逻辑已定</x:v>
      </x:c>
      <x:c r="U43" s="29" t="str">
        <x:v>准确怪名/怪物ID由怪物窗口回填</x:v>
      </x:c>
    </x:row>
    <x:row r="44" ht="27" customHeight="1">
      <x:c r="A44" s="30" t="str">
        <x:v>EL-MAT-C03-Q04</x:v>
      </x:c>
      <x:c r="B44" s="30" t="str">
        <x:v>C03</x:v>
      </x:c>
      <x:c r="C44" s="30" t="str">
        <x:v>哨垒旗冠</x:v>
      </x:c>
      <x:c r="D44" s="30" t="str">
        <x:v>四证任务</x:v>
      </x:c>
      <x:c r="E44" s="30" t="str">
        <x:v>C03-G06</x:v>
      </x:c>
      <x:c r="F44" s="29" t="str">
        <x:v>黄金树哨垒</x:v>
      </x:c>
      <x:c r="G44" s="30" t="str">
        <x:v>XX169</x:v>
      </x:c>
      <x:c r="H44" s="30" t="str">
        <x:v>EL-MON-C03-G06-G01</x:v>
      </x:c>
      <x:c r="I44" s="30" t="str">
        <x:v>守关BOSS证物</x:v>
      </x:c>
      <x:c r="J44" s="42" t="n">
        <x:v>1.5</x:v>
      </x:c>
      <x:c r="K44" s="42" t="n">
        <x:v>0.15</x:v>
      </x:c>
      <x:c r="L44" s="42" t="n">
        <x:v>10</x:v>
      </x:c>
      <x:c r="M44" s="42" t="n">
        <x:v>10</x:v>
      </x:c>
      <x:c r="N44" s="43" t="n">
        <x:f>IF(OR(J44="",K44="",L44=""),"",ROUND(J44*L44/K44,0))</x:f>
        <x:v>100</x:v>
      </x:c>
      <x:c r="O44" s="43" t="n">
        <x:f>IFERROR(N44/L44,"")</x:f>
        <x:v>10</x:v>
      </x:c>
      <x:c r="P44" s="42" t="n">
        <x:f>IFERROR(J44*L44/N44,"")</x:f>
        <x:v>0.15</x:v>
      </x:c>
      <x:c r="Q44" s="30" t="str">
        <x:v>固定1</x:v>
      </x:c>
      <x:c r="R44" s="30" t="str">
        <x:v>断路商队×1</x:v>
      </x:c>
      <x:c r="S44" s="29" t="str">
        <x:v>独立掉落；任务完成后停止</x:v>
      </x:c>
      <x:c r="T44" s="29" t="str">
        <x:v>来源逻辑已定</x:v>
      </x:c>
      <x:c r="U44" s="29" t="str">
        <x:v>准确怪名/怪物ID由怪物窗口回填</x:v>
      </x:c>
    </x:row>
    <x:row r="45" ht="27" customHeight="1">
      <x:c r="A45" s="30" t="str">
        <x:v>EL-MAT-C04-Q01</x:v>
      </x:c>
      <x:c r="B45" s="30" t="str">
        <x:v>C04</x:v>
      </x:c>
      <x:c r="C45" s="30" t="str">
        <x:v>雾潮银鳞</x:v>
      </x:c>
      <x:c r="D45" s="30" t="str">
        <x:v>四证任务</x:v>
      </x:c>
      <x:c r="E45" s="30" t="str">
        <x:v>C04-G01</x:v>
      </x:c>
      <x:c r="F45" s="29" t="str">
        <x:v>雾潮湿地</x:v>
      </x:c>
      <x:c r="G45" s="30" t="str">
        <x:v>XX342</x:v>
      </x:c>
      <x:c r="H45" s="30" t="str">
        <x:v>EL-MON-C04-G01-N04</x:v>
      </x:c>
      <x:c r="I45" s="30" t="str">
        <x:v>普通怪证物</x:v>
      </x:c>
      <x:c r="J45" s="42" t="n">
        <x:v>900</x:v>
      </x:c>
      <x:c r="K45" s="42" t="n">
        <x:v>1.5</x:v>
      </x:c>
      <x:c r="L45" s="42" t="n">
        <x:v>14</x:v>
      </x:c>
      <x:c r="M45" s="42" t="n">
        <x:v>600</x:v>
      </x:c>
      <x:c r="N45" s="43" t="n">
        <x:f>IF(OR(J45="",K45="",L45=""),"",ROUND(J45*L45/K45,0))</x:f>
        <x:v>8400</x:v>
      </x:c>
      <x:c r="O45" s="43" t="n">
        <x:f>IFERROR(N45/L45,"")</x:f>
        <x:v>600</x:v>
      </x:c>
      <x:c r="P45" s="42" t="n">
        <x:f>IFERROR(J45*L45/N45,"")</x:f>
        <x:v>1.5</x:v>
      </x:c>
      <x:c r="Q45" s="30" t="str">
        <x:v>无</x:v>
      </x:c>
      <x:c r="R45" s="30" t="str">
        <x:v>沉船守誓者×1</x:v>
      </x:c>
      <x:c r="S45" s="29" t="str">
        <x:v>独立掉落；任务完成后停止</x:v>
      </x:c>
      <x:c r="T45" s="29" t="str">
        <x:v>来源逻辑已定</x:v>
      </x:c>
      <x:c r="U45" s="29" t="str">
        <x:v>准确怪名/怪物ID由怪物窗口回填</x:v>
      </x:c>
    </x:row>
    <x:row r="46" ht="27" customHeight="1">
      <x:c r="A46" s="30" t="str">
        <x:v>EL-MAT-C04-Q02</x:v>
      </x:c>
      <x:c r="B46" s="30" t="str">
        <x:v>C04</x:v>
      </x:c>
      <x:c r="C46" s="30" t="str">
        <x:v>沉船缆扣</x:v>
      </x:c>
      <x:c r="D46" s="30" t="str">
        <x:v>四证任务</x:v>
      </x:c>
      <x:c r="E46" s="30" t="str">
        <x:v>C04-G03</x:v>
      </x:c>
      <x:c r="F46" s="29" t="str">
        <x:v>湖心沉船</x:v>
      </x:c>
      <x:c r="G46" s="30" t="str">
        <x:v>XX351</x:v>
      </x:c>
      <x:c r="H46" s="30" t="str">
        <x:v>EL-MON-C04-G03-R02</x:v>
      </x:c>
      <x:c r="I46" s="30" t="str">
        <x:v>精英证物</x:v>
      </x:c>
      <x:c r="J46" s="42" t="n">
        <x:v>60</x:v>
      </x:c>
      <x:c r="K46" s="42" t="n">
        <x:v>0.8</x:v>
      </x:c>
      <x:c r="L46" s="42" t="n">
        <x:v>14</x:v>
      </x:c>
      <x:c r="M46" s="42" t="n">
        <x:v>75</x:v>
      </x:c>
      <x:c r="N46" s="43" t="n">
        <x:f>IF(OR(J46="",K46="",L46=""),"",ROUND(J46*L46/K46,0))</x:f>
        <x:v>1050</x:v>
      </x:c>
      <x:c r="O46" s="43" t="n">
        <x:f>IFERROR(N46/L46,"")</x:f>
        <x:v>75</x:v>
      </x:c>
      <x:c r="P46" s="42" t="n">
        <x:f>IFERROR(J46*L46/N46,"")</x:f>
        <x:v>0.8</x:v>
      </x:c>
      <x:c r="Q46" s="30" t="str">
        <x:v>无</x:v>
      </x:c>
      <x:c r="R46" s="30" t="str">
        <x:v>沉船守誓者×1</x:v>
      </x:c>
      <x:c r="S46" s="29" t="str">
        <x:v>独立掉落；任务完成后停止</x:v>
      </x:c>
      <x:c r="T46" s="29" t="str">
        <x:v>来源逻辑已定</x:v>
      </x:c>
      <x:c r="U46" s="29" t="str">
        <x:v>准确怪名/怪物ID由怪物窗口回填</x:v>
      </x:c>
    </x:row>
    <x:row r="47" ht="27" customHeight="1">
      <x:c r="A47" s="30" t="str">
        <x:v>EL-MAT-C04-Q03</x:v>
      </x:c>
      <x:c r="B47" s="30" t="str">
        <x:v>C04</x:v>
      </x:c>
      <x:c r="C47" s="30" t="str">
        <x:v>深湖压舱印</x:v>
      </x:c>
      <x:c r="D47" s="30" t="str">
        <x:v>四证任务</x:v>
      </x:c>
      <x:c r="E47" s="30" t="str">
        <x:v>C04-G05</x:v>
      </x:c>
      <x:c r="F47" s="29" t="str">
        <x:v>深湖水道</x:v>
      </x:c>
      <x:c r="G47" s="30" t="str">
        <x:v>XX391</x:v>
      </x:c>
      <x:c r="H47" s="30" t="str">
        <x:v>EL-MON-C04-G05-B01</x:v>
      </x:c>
      <x:c r="I47" s="30" t="str">
        <x:v>地图BOSS证物</x:v>
      </x:c>
      <x:c r="J47" s="42" t="n">
        <x:v>6</x:v>
      </x:c>
      <x:c r="K47" s="42" t="n">
        <x:v>0.3</x:v>
      </x:c>
      <x:c r="L47" s="42" t="n">
        <x:v>14</x:v>
      </x:c>
      <x:c r="M47" s="42" t="n">
        <x:v>20</x:v>
      </x:c>
      <x:c r="N47" s="43" t="n">
        <x:f>IF(OR(J47="",K47="",L47=""),"",ROUND(J47*L47/K47,0))</x:f>
        <x:v>280</x:v>
      </x:c>
      <x:c r="O47" s="43" t="n">
        <x:f>IFERROR(N47/L47,"")</x:f>
        <x:v>20</x:v>
      </x:c>
      <x:c r="P47" s="42" t="n">
        <x:f>IFERROR(J47*L47/N47,"")</x:f>
        <x:v>0.3</x:v>
      </x:c>
      <x:c r="Q47" s="30" t="str">
        <x:v>固定1</x:v>
      </x:c>
      <x:c r="R47" s="30" t="str">
        <x:v>沉船守誓者×1</x:v>
      </x:c>
      <x:c r="S47" s="29" t="str">
        <x:v>独立掉落；任务完成后停止</x:v>
      </x:c>
      <x:c r="T47" s="29" t="str">
        <x:v>来源逻辑已定</x:v>
      </x:c>
      <x:c r="U47" s="29" t="str">
        <x:v>准确怪名/怪物ID由怪物窗口回填</x:v>
      </x:c>
    </x:row>
    <x:row r="48" ht="27" customHeight="1">
      <x:c r="A48" s="30" t="str">
        <x:v>EL-MAT-C04-Q04</x:v>
      </x:c>
      <x:c r="B48" s="30" t="str">
        <x:v>C04</x:v>
      </x:c>
      <x:c r="C48" s="30" t="str">
        <x:v>湖底封门珠</x:v>
      </x:c>
      <x:c r="D48" s="30" t="str">
        <x:v>四证任务</x:v>
      </x:c>
      <x:c r="E48" s="30" t="str">
        <x:v>C04-G06</x:v>
      </x:c>
      <x:c r="F48" s="29" t="str">
        <x:v>湖底密道</x:v>
      </x:c>
      <x:c r="G48" s="30" t="str">
        <x:v>XX369</x:v>
      </x:c>
      <x:c r="H48" s="30" t="str">
        <x:v>EL-MON-C04-G06-G01</x:v>
      </x:c>
      <x:c r="I48" s="30" t="str">
        <x:v>守关BOSS证物</x:v>
      </x:c>
      <x:c r="J48" s="42" t="n">
        <x:v>1.5</x:v>
      </x:c>
      <x:c r="K48" s="42" t="n">
        <x:v>0.15</x:v>
      </x:c>
      <x:c r="L48" s="42" t="n">
        <x:v>14</x:v>
      </x:c>
      <x:c r="M48" s="42" t="n">
        <x:v>10</x:v>
      </x:c>
      <x:c r="N48" s="43" t="n">
        <x:f>IF(OR(J48="",K48="",L48=""),"",ROUND(J48*L48/K48,0))</x:f>
        <x:v>140</x:v>
      </x:c>
      <x:c r="O48" s="43" t="n">
        <x:f>IFERROR(N48/L48,"")</x:f>
        <x:v>10</x:v>
      </x:c>
      <x:c r="P48" s="42" t="n">
        <x:f>IFERROR(J48*L48/N48,"")</x:f>
        <x:v>0.15</x:v>
      </x:c>
      <x:c r="Q48" s="30" t="str">
        <x:v>固定1</x:v>
      </x:c>
      <x:c r="R48" s="30" t="str">
        <x:v>沉船守誓者×1</x:v>
      </x:c>
      <x:c r="S48" s="29" t="str">
        <x:v>独立掉落；任务完成后停止</x:v>
      </x:c>
      <x:c r="T48" s="29" t="str">
        <x:v>来源逻辑已定</x:v>
      </x:c>
      <x:c r="U48" s="29" t="str">
        <x:v>准确怪名/怪物ID由怪物窗口回填</x:v>
      </x:c>
    </x:row>
    <x:row r="49" ht="27" customHeight="1">
      <x:c r="A49" s="30" t="str">
        <x:v>EL-MAT-C05-Q01</x:v>
      </x:c>
      <x:c r="B49" s="30" t="str">
        <x:v>C05</x:v>
      </x:c>
      <x:c r="C49" s="30" t="str">
        <x:v>雾月星砂</x:v>
      </x:c>
      <x:c r="D49" s="30" t="str">
        <x:v>四证任务</x:v>
      </x:c>
      <x:c r="E49" s="30" t="str">
        <x:v>C05-G01</x:v>
      </x:c>
      <x:c r="F49" s="29" t="str">
        <x:v>雾月水庭</x:v>
      </x:c>
      <x:c r="G49" s="30" t="str">
        <x:v>XX331</x:v>
      </x:c>
      <x:c r="H49" s="30" t="str">
        <x:v>EL-MON-C05-G01-N04</x:v>
      </x:c>
      <x:c r="I49" s="30" t="str">
        <x:v>普通怪证物</x:v>
      </x:c>
      <x:c r="J49" s="42" t="n">
        <x:v>900</x:v>
      </x:c>
      <x:c r="K49" s="42" t="n">
        <x:v>1.5</x:v>
      </x:c>
      <x:c r="L49" s="42" t="n">
        <x:v>20</x:v>
      </x:c>
      <x:c r="M49" s="42" t="n">
        <x:v>600</x:v>
      </x:c>
      <x:c r="N49" s="43" t="n">
        <x:f>IF(OR(J49="",K49="",L49=""),"",ROUND(J49*L49/K49,0))</x:f>
        <x:v>12000</x:v>
      </x:c>
      <x:c r="O49" s="43" t="n">
        <x:f>IFERROR(N49/L49,"")</x:f>
        <x:v>600</x:v>
      </x:c>
      <x:c r="P49" s="42" t="n">
        <x:f>IFERROR(J49*L49/N49,"")</x:f>
        <x:v>1.5</x:v>
      </x:c>
      <x:c r="Q49" s="30" t="str">
        <x:v>无</x:v>
      </x:c>
      <x:c r="R49" s="30" t="str">
        <x:v>被封印的讲义×1</x:v>
      </x:c>
      <x:c r="S49" s="29" t="str">
        <x:v>独立掉落；任务完成后停止</x:v>
      </x:c>
      <x:c r="T49" s="29" t="str">
        <x:v>来源逻辑已定</x:v>
      </x:c>
      <x:c r="U49" s="29" t="str">
        <x:v>准确怪名/怪物ID由怪物窗口回填</x:v>
      </x:c>
    </x:row>
    <x:row r="50" ht="27" customHeight="1">
      <x:c r="A50" s="30" t="str">
        <x:v>EL-MAT-C05-Q02</x:v>
      </x:c>
      <x:c r="B50" s="30" t="str">
        <x:v>C05</x:v>
      </x:c>
      <x:c r="C50" s="30" t="str">
        <x:v>学院封蜡</x:v>
      </x:c>
      <x:c r="D50" s="30" t="str">
        <x:v>四证任务</x:v>
      </x:c>
      <x:c r="E50" s="30" t="str">
        <x:v>C05-G02</x:v>
      </x:c>
      <x:c r="F50" s="29" t="str">
        <x:v>辉石遗迹</x:v>
      </x:c>
      <x:c r="G50" s="30" t="str">
        <x:v>XX816</x:v>
      </x:c>
      <x:c r="H50" s="30" t="str">
        <x:v>EL-MON-C05-G02-R02</x:v>
      </x:c>
      <x:c r="I50" s="30" t="str">
        <x:v>精英证物</x:v>
      </x:c>
      <x:c r="J50" s="42" t="n">
        <x:v>60</x:v>
      </x:c>
      <x:c r="K50" s="42" t="n">
        <x:v>0.8</x:v>
      </x:c>
      <x:c r="L50" s="42" t="n">
        <x:v>20</x:v>
      </x:c>
      <x:c r="M50" s="42" t="n">
        <x:v>75</x:v>
      </x:c>
      <x:c r="N50" s="43" t="n">
        <x:f>IF(OR(J50="",K50="",L50=""),"",ROUND(J50*L50/K50,0))</x:f>
        <x:v>1500</x:v>
      </x:c>
      <x:c r="O50" s="43" t="n">
        <x:f>IFERROR(N50/L50,"")</x:f>
        <x:v>75</x:v>
      </x:c>
      <x:c r="P50" s="42" t="n">
        <x:f>IFERROR(J50*L50/N50,"")</x:f>
        <x:v>0.8</x:v>
      </x:c>
      <x:c r="Q50" s="30" t="str">
        <x:v>无</x:v>
      </x:c>
      <x:c r="R50" s="30" t="str">
        <x:v>被封印的讲义×1</x:v>
      </x:c>
      <x:c r="S50" s="29" t="str">
        <x:v>独立掉落；任务完成后停止</x:v>
      </x:c>
      <x:c r="T50" s="29" t="str">
        <x:v>来源逻辑已定</x:v>
      </x:c>
      <x:c r="U50" s="29" t="str">
        <x:v>准确怪名/怪物ID由怪物窗口回填</x:v>
      </x:c>
    </x:row>
    <x:row r="51" ht="27" customHeight="1">
      <x:c r="A51" s="30" t="str">
        <x:v>EL-MAT-C05-Q03</x:v>
      </x:c>
      <x:c r="B51" s="30" t="str">
        <x:v>C05</x:v>
      </x:c>
      <x:c r="C51" s="30" t="str">
        <x:v>月蚀镜片</x:v>
      </x:c>
      <x:c r="D51" s="30" t="str">
        <x:v>四证任务</x:v>
      </x:c>
      <x:c r="E51" s="30" t="str">
        <x:v>C05-G04</x:v>
      </x:c>
      <x:c r="F51" s="29" t="str">
        <x:v>满月书库</x:v>
      </x:c>
      <x:c r="G51" s="30" t="str">
        <x:v>XX1066</x:v>
      </x:c>
      <x:c r="H51" s="30" t="str">
        <x:v>EL-MON-C05-G04-B01</x:v>
      </x:c>
      <x:c r="I51" s="30" t="str">
        <x:v>地图BOSS证物</x:v>
      </x:c>
      <x:c r="J51" s="42" t="n">
        <x:v>6</x:v>
      </x:c>
      <x:c r="K51" s="42" t="n">
        <x:v>0.3</x:v>
      </x:c>
      <x:c r="L51" s="42" t="n">
        <x:v>20</x:v>
      </x:c>
      <x:c r="M51" s="42" t="n">
        <x:v>20</x:v>
      </x:c>
      <x:c r="N51" s="43" t="n">
        <x:f>IF(OR(J51="",K51="",L51=""),"",ROUND(J51*L51/K51,0))</x:f>
        <x:v>400</x:v>
      </x:c>
      <x:c r="O51" s="43" t="n">
        <x:f>IFERROR(N51/L51,"")</x:f>
        <x:v>20</x:v>
      </x:c>
      <x:c r="P51" s="42" t="n">
        <x:f>IFERROR(J51*L51/N51,"")</x:f>
        <x:v>0.3</x:v>
      </x:c>
      <x:c r="Q51" s="30" t="str">
        <x:v>固定1</x:v>
      </x:c>
      <x:c r="R51" s="30" t="str">
        <x:v>被封印的讲义×1</x:v>
      </x:c>
      <x:c r="S51" s="29" t="str">
        <x:v>独立掉落；任务完成后停止</x:v>
      </x:c>
      <x:c r="T51" s="29" t="str">
        <x:v>来源逻辑已定</x:v>
      </x:c>
      <x:c r="U51" s="29" t="str">
        <x:v>准确怪名/怪物ID由怪物窗口回填</x:v>
      </x:c>
    </x:row>
    <x:row r="52" ht="27" customHeight="1">
      <x:c r="A52" s="30" t="str">
        <x:v>EL-MAT-C05-Q04</x:v>
      </x:c>
      <x:c r="B52" s="30" t="str">
        <x:v>C05</x:v>
      </x:c>
      <x:c r="C52" s="30" t="str">
        <x:v>禁域星钥</x:v>
      </x:c>
      <x:c r="D52" s="30" t="str">
        <x:v>四证任务</x:v>
      </x:c>
      <x:c r="E52" s="30" t="str">
        <x:v>C05-G06</x:v>
      </x:c>
      <x:c r="F52" s="29" t="str">
        <x:v>卡利亚禁域</x:v>
      </x:c>
      <x:c r="G52" s="30" t="str">
        <x:v>XX924</x:v>
      </x:c>
      <x:c r="H52" s="30" t="str">
        <x:v>EL-MON-C05-G06-G01</x:v>
      </x:c>
      <x:c r="I52" s="30" t="str">
        <x:v>守关BOSS证物</x:v>
      </x:c>
      <x:c r="J52" s="42" t="n">
        <x:v>1.5</x:v>
      </x:c>
      <x:c r="K52" s="42" t="n">
        <x:v>0.15</x:v>
      </x:c>
      <x:c r="L52" s="42" t="n">
        <x:v>20</x:v>
      </x:c>
      <x:c r="M52" s="42" t="n">
        <x:v>10</x:v>
      </x:c>
      <x:c r="N52" s="43" t="n">
        <x:f>IF(OR(J52="",K52="",L52=""),"",ROUND(J52*L52/K52,0))</x:f>
        <x:v>200</x:v>
      </x:c>
      <x:c r="O52" s="43" t="n">
        <x:f>IFERROR(N52/L52,"")</x:f>
        <x:v>10</x:v>
      </x:c>
      <x:c r="P52" s="42" t="n">
        <x:f>IFERROR(J52*L52/N52,"")</x:f>
        <x:v>0.15</x:v>
      </x:c>
      <x:c r="Q52" s="30" t="str">
        <x:v>固定1</x:v>
      </x:c>
      <x:c r="R52" s="30" t="str">
        <x:v>被封印的讲义×1</x:v>
      </x:c>
      <x:c r="S52" s="29" t="str">
        <x:v>独立掉落；任务完成后停止</x:v>
      </x:c>
      <x:c r="T52" s="29" t="str">
        <x:v>来源逻辑已定</x:v>
      </x:c>
      <x:c r="U52" s="29" t="str">
        <x:v>准确怪名/怪物ID由怪物窗口回填</x:v>
      </x:c>
    </x:row>
    <x:row r="53" ht="27" customHeight="1">
      <x:c r="A53" s="30" t="str">
        <x:v>EL-MAT-C06-Q01</x:v>
      </x:c>
      <x:c r="B53" s="30" t="str">
        <x:v>C06</x:v>
      </x:c>
      <x:c r="C53" s="30" t="str">
        <x:v>红狮断箭</x:v>
      </x:c>
      <x:c r="D53" s="30" t="str">
        <x:v>四证任务</x:v>
      </x:c>
      <x:c r="E53" s="30" t="str">
        <x:v>C06-G01</x:v>
      </x:c>
      <x:c r="F53" s="29" t="str">
        <x:v>猩红熔原</x:v>
      </x:c>
      <x:c r="G53" s="30" t="str">
        <x:v>XX308</x:v>
      </x:c>
      <x:c r="H53" s="30" t="str">
        <x:v>EL-MON-C06-G01-N04</x:v>
      </x:c>
      <x:c r="I53" s="30" t="str">
        <x:v>普通怪证物</x:v>
      </x:c>
      <x:c r="J53" s="42" t="n">
        <x:v>900</x:v>
      </x:c>
      <x:c r="K53" s="42" t="n">
        <x:v>1.5</x:v>
      </x:c>
      <x:c r="L53" s="42" t="n">
        <x:v>28</x:v>
      </x:c>
      <x:c r="M53" s="42" t="n">
        <x:v>600</x:v>
      </x:c>
      <x:c r="N53" s="43" t="n">
        <x:f>IF(OR(J53="",K53="",L53=""),"",ROUND(J53*L53/K53,0))</x:f>
        <x:v>16800</x:v>
      </x:c>
      <x:c r="O53" s="43" t="n">
        <x:f>IFERROR(N53/L53,"")</x:f>
        <x:v>600</x:v>
      </x:c>
      <x:c r="P53" s="42" t="n">
        <x:f>IFERROR(J53*L53/N53,"")</x:f>
        <x:v>1.5</x:v>
      </x:c>
      <x:c r="Q53" s="30" t="str">
        <x:v>无</x:v>
      </x:c>
      <x:c r="R53" s="30" t="str">
        <x:v>腐心不屈×1</x:v>
      </x:c>
      <x:c r="S53" s="29" t="str">
        <x:v>独立掉落；任务完成后停止</x:v>
      </x:c>
      <x:c r="T53" s="29" t="str">
        <x:v>来源逻辑已定</x:v>
      </x:c>
      <x:c r="U53" s="29" t="str">
        <x:v>准确怪名/怪物ID由怪物窗口回填</x:v>
      </x:c>
    </x:row>
    <x:row r="54" ht="27" customHeight="1">
      <x:c r="A54" s="30" t="str">
        <x:v>EL-MAT-C06-Q02</x:v>
      </x:c>
      <x:c r="B54" s="30" t="str">
        <x:v>C06</x:v>
      </x:c>
      <x:c r="C54" s="30" t="str">
        <x:v>净火腺囊</x:v>
      </x:c>
      <x:c r="D54" s="30" t="str">
        <x:v>四证任务</x:v>
      </x:c>
      <x:c r="E54" s="30" t="str">
        <x:v>C06-G02</x:v>
      </x:c>
      <x:c r="F54" s="29" t="str">
        <x:v>腐败火狱</x:v>
      </x:c>
      <x:c r="G54" s="30" t="str">
        <x:v>XX361</x:v>
      </x:c>
      <x:c r="H54" s="30" t="str">
        <x:v>EL-MON-C06-G02-R02</x:v>
      </x:c>
      <x:c r="I54" s="30" t="str">
        <x:v>精英证物</x:v>
      </x:c>
      <x:c r="J54" s="42" t="n">
        <x:v>60</x:v>
      </x:c>
      <x:c r="K54" s="42" t="n">
        <x:v>0.8</x:v>
      </x:c>
      <x:c r="L54" s="42" t="n">
        <x:v>28</x:v>
      </x:c>
      <x:c r="M54" s="42" t="n">
        <x:v>75</x:v>
      </x:c>
      <x:c r="N54" s="43" t="n">
        <x:f>IF(OR(J54="",K54="",L54=""),"",ROUND(J54*L54/K54,0))</x:f>
        <x:v>2100</x:v>
      </x:c>
      <x:c r="O54" s="43" t="n">
        <x:f>IFERROR(N54/L54,"")</x:f>
        <x:v>75</x:v>
      </x:c>
      <x:c r="P54" s="42" t="n">
        <x:f>IFERROR(J54*L54/N54,"")</x:f>
        <x:v>0.8</x:v>
      </x:c>
      <x:c r="Q54" s="30" t="str">
        <x:v>无</x:v>
      </x:c>
      <x:c r="R54" s="30" t="str">
        <x:v>腐心不屈×1</x:v>
      </x:c>
      <x:c r="S54" s="29" t="str">
        <x:v>独立掉落；任务完成后停止</x:v>
      </x:c>
      <x:c r="T54" s="29" t="str">
        <x:v>来源逻辑已定</x:v>
      </x:c>
      <x:c r="U54" s="29" t="str">
        <x:v>准确怪名/怪物ID由怪物窗口回填</x:v>
      </x:c>
    </x:row>
    <x:row r="55" ht="27" customHeight="1">
      <x:c r="A55" s="30" t="str">
        <x:v>EL-MAT-C06-Q03</x:v>
      </x:c>
      <x:c r="B55" s="30" t="str">
        <x:v>C06</x:v>
      </x:c>
      <x:c r="C55" s="30" t="str">
        <x:v>龙窟熔牙</x:v>
      </x:c>
      <x:c r="D55" s="30" t="str">
        <x:v>四证任务</x:v>
      </x:c>
      <x:c r="E55" s="30" t="str">
        <x:v>C06-G03</x:v>
      </x:c>
      <x:c r="F55" s="29" t="str">
        <x:v>红狮龙窟</x:v>
      </x:c>
      <x:c r="G55" s="30" t="str">
        <x:v>XX482</x:v>
      </x:c>
      <x:c r="H55" s="30" t="str">
        <x:v>EL-MON-C06-G03-B01</x:v>
      </x:c>
      <x:c r="I55" s="30" t="str">
        <x:v>地图BOSS证物</x:v>
      </x:c>
      <x:c r="J55" s="42" t="n">
        <x:v>6</x:v>
      </x:c>
      <x:c r="K55" s="42" t="n">
        <x:v>0.3</x:v>
      </x:c>
      <x:c r="L55" s="42" t="n">
        <x:v>28</x:v>
      </x:c>
      <x:c r="M55" s="42" t="n">
        <x:v>20</x:v>
      </x:c>
      <x:c r="N55" s="43" t="n">
        <x:f>IF(OR(J55="",K55="",L55=""),"",ROUND(J55*L55/K55,0))</x:f>
        <x:v>560</x:v>
      </x:c>
      <x:c r="O55" s="43" t="n">
        <x:f>IFERROR(N55/L55,"")</x:f>
        <x:v>20</x:v>
      </x:c>
      <x:c r="P55" s="42" t="n">
        <x:f>IFERROR(J55*L55/N55,"")</x:f>
        <x:v>0.3</x:v>
      </x:c>
      <x:c r="Q55" s="30" t="str">
        <x:v>固定1</x:v>
      </x:c>
      <x:c r="R55" s="30" t="str">
        <x:v>腐心不屈×1</x:v>
      </x:c>
      <x:c r="S55" s="29" t="str">
        <x:v>独立掉落；任务完成后停止</x:v>
      </x:c>
      <x:c r="T55" s="29" t="str">
        <x:v>来源逻辑已定</x:v>
      </x:c>
      <x:c r="U55" s="29" t="str">
        <x:v>准确怪名/怪物ID由怪物窗口回填</x:v>
      </x:c>
    </x:row>
    <x:row r="56" ht="27" customHeight="1">
      <x:c r="A56" s="30" t="str">
        <x:v>EL-MAT-C06-Q04</x:v>
      </x:c>
      <x:c r="B56" s="30" t="str">
        <x:v>C06</x:v>
      </x:c>
      <x:c r="C56" s="30" t="str">
        <x:v>碎星仪仗钉</x:v>
      </x:c>
      <x:c r="D56" s="30" t="str">
        <x:v>四证任务</x:v>
      </x:c>
      <x:c r="E56" s="30" t="str">
        <x:v>C06-G03</x:v>
      </x:c>
      <x:c r="F56" s="29" t="str">
        <x:v>红狮龙窟</x:v>
      </x:c>
      <x:c r="G56" s="30" t="str">
        <x:v>XX481</x:v>
      </x:c>
      <x:c r="H56" s="30" t="str">
        <x:v>EL-MON-C06-G03-G01</x:v>
      </x:c>
      <x:c r="I56" s="30" t="str">
        <x:v>守关BOSS证物</x:v>
      </x:c>
      <x:c r="J56" s="42" t="n">
        <x:v>1.5</x:v>
      </x:c>
      <x:c r="K56" s="42" t="n">
        <x:v>0.15</x:v>
      </x:c>
      <x:c r="L56" s="42" t="n">
        <x:v>28</x:v>
      </x:c>
      <x:c r="M56" s="42" t="n">
        <x:v>10</x:v>
      </x:c>
      <x:c r="N56" s="43" t="n">
        <x:f>IF(OR(J56="",K56="",L56=""),"",ROUND(J56*L56/K56,0))</x:f>
        <x:v>280</x:v>
      </x:c>
      <x:c r="O56" s="43" t="n">
        <x:f>IFERROR(N56/L56,"")</x:f>
        <x:v>10</x:v>
      </x:c>
      <x:c r="P56" s="42" t="n">
        <x:f>IFERROR(J56*L56/N56,"")</x:f>
        <x:v>0.15</x:v>
      </x:c>
      <x:c r="Q56" s="30" t="str">
        <x:v>固定1</x:v>
      </x:c>
      <x:c r="R56" s="30" t="str">
        <x:v>腐心不屈×1</x:v>
      </x:c>
      <x:c r="S56" s="29" t="str">
        <x:v>独立掉落；任务完成后停止</x:v>
      </x:c>
      <x:c r="T56" s="29" t="str">
        <x:v>来源逻辑已定</x:v>
      </x:c>
      <x:c r="U56" s="29" t="str">
        <x:v>准确怪名/怪物ID由怪物窗口回填</x:v>
      </x:c>
    </x:row>
    <x:row r="57" ht="27" customHeight="1">
      <x:c r="A57" s="30" t="str">
        <x:v>EL-MAT-C07-Q01</x:v>
      </x:c>
      <x:c r="B57" s="30" t="str">
        <x:v>C07</x:v>
      </x:c>
      <x:c r="C57" s="30" t="str">
        <x:v>白金路标片</x:v>
      </x:c>
      <x:c r="D57" s="30" t="str">
        <x:v>四证任务</x:v>
      </x:c>
      <x:c r="E57" s="30" t="str">
        <x:v>C07-G01</x:v>
      </x:c>
      <x:c r="F57" s="29" t="str">
        <x:v>苍白雪原</x:v>
      </x:c>
      <x:c r="G57" s="30" t="str">
        <x:v>XX150</x:v>
      </x:c>
      <x:c r="H57" s="30" t="str">
        <x:v>EL-MON-C07-G01-N04</x:v>
      </x:c>
      <x:c r="I57" s="30" t="str">
        <x:v>普通怪证物</x:v>
      </x:c>
      <x:c r="J57" s="42" t="n">
        <x:v>900</x:v>
      </x:c>
      <x:c r="K57" s="42" t="n">
        <x:v>1.5</x:v>
      </x:c>
      <x:c r="L57" s="42" t="n">
        <x:v>40</x:v>
      </x:c>
      <x:c r="M57" s="42" t="n">
        <x:v>600</x:v>
      </x:c>
      <x:c r="N57" s="43" t="n">
        <x:f>IF(OR(J57="",K57="",L57=""),"",ROUND(J57*L57/K57,0))</x:f>
        <x:v>24000</x:v>
      </x:c>
      <x:c r="O57" s="43" t="n">
        <x:f>IFERROR(N57/L57,"")</x:f>
        <x:v>600</x:v>
      </x:c>
      <x:c r="P57" s="42" t="n">
        <x:f>IFERROR(J57*L57/N57,"")</x:f>
        <x:v>1.5</x:v>
      </x:c>
      <x:c r="Q57" s="30" t="str">
        <x:v>无</x:v>
      </x:c>
      <x:c r="R57" s="30" t="str">
        <x:v>白金族的归途×1</x:v>
      </x:c>
      <x:c r="S57" s="29" t="str">
        <x:v>独立掉落；任务完成后停止</x:v>
      </x:c>
      <x:c r="T57" s="29" t="str">
        <x:v>来源逻辑已定</x:v>
      </x:c>
      <x:c r="U57" s="29" t="str">
        <x:v>准确怪名/怪物ID由怪物窗口回填</x:v>
      </x:c>
    </x:row>
    <x:row r="58" ht="27" customHeight="1">
      <x:c r="A58" s="30" t="str">
        <x:v>EL-MAT-C07-Q02</x:v>
      </x:c>
      <x:c r="B58" s="30" t="str">
        <x:v>C07</x:v>
      </x:c>
      <x:c r="C58" s="30" t="str">
        <x:v>冻原银角</x:v>
      </x:c>
      <x:c r="D58" s="30" t="str">
        <x:v>四证任务</x:v>
      </x:c>
      <x:c r="E58" s="30" t="str">
        <x:v>C07-G02</x:v>
      </x:c>
      <x:c r="F58" s="29" t="str">
        <x:v>永冻荒境</x:v>
      </x:c>
      <x:c r="G58" s="30" t="str">
        <x:v>XX905</x:v>
      </x:c>
      <x:c r="H58" s="30" t="str">
        <x:v>EL-MON-C07-G02-R02</x:v>
      </x:c>
      <x:c r="I58" s="30" t="str">
        <x:v>精英证物</x:v>
      </x:c>
      <x:c r="J58" s="42" t="n">
        <x:v>60</x:v>
      </x:c>
      <x:c r="K58" s="42" t="n">
        <x:v>0.8</x:v>
      </x:c>
      <x:c r="L58" s="42" t="n">
        <x:v>40</x:v>
      </x:c>
      <x:c r="M58" s="42" t="n">
        <x:v>75</x:v>
      </x:c>
      <x:c r="N58" s="43" t="n">
        <x:f>IF(OR(J58="",K58="",L58=""),"",ROUND(J58*L58/K58,0))</x:f>
        <x:v>3000</x:v>
      </x:c>
      <x:c r="O58" s="43" t="n">
        <x:f>IFERROR(N58/L58,"")</x:f>
        <x:v>75</x:v>
      </x:c>
      <x:c r="P58" s="42" t="n">
        <x:f>IFERROR(J58*L58/N58,"")</x:f>
        <x:v>0.8</x:v>
      </x:c>
      <x:c r="Q58" s="30" t="str">
        <x:v>无</x:v>
      </x:c>
      <x:c r="R58" s="30" t="str">
        <x:v>白金族的归途×1</x:v>
      </x:c>
      <x:c r="S58" s="29" t="str">
        <x:v>独立掉落；任务完成后停止</x:v>
      </x:c>
      <x:c r="T58" s="29" t="str">
        <x:v>来源逻辑已定</x:v>
      </x:c>
      <x:c r="U58" s="29" t="str">
        <x:v>准确怪名/怪物ID由怪物窗口回填</x:v>
      </x:c>
    </x:row>
    <x:row r="59" ht="27" customHeight="1">
      <x:c r="A59" s="30" t="str">
        <x:v>EL-MAT-C07-Q03</x:v>
      </x:c>
      <x:c r="B59" s="30" t="str">
        <x:v>C07</x:v>
      </x:c>
      <x:c r="C59" s="30" t="str">
        <x:v>秘树霜芽</x:v>
      </x:c>
      <x:c r="D59" s="30" t="str">
        <x:v>四证任务</x:v>
      </x:c>
      <x:c r="E59" s="30" t="str">
        <x:v>C07-G03</x:v>
      </x:c>
      <x:c r="F59" s="29" t="str">
        <x:v>极寒禁域</x:v>
      </x:c>
      <x:c r="G59" s="30" t="str">
        <x:v>XX910</x:v>
      </x:c>
      <x:c r="H59" s="30" t="str">
        <x:v>EL-MON-C07-G03-B01</x:v>
      </x:c>
      <x:c r="I59" s="30" t="str">
        <x:v>地图BOSS证物</x:v>
      </x:c>
      <x:c r="J59" s="42" t="n">
        <x:v>6</x:v>
      </x:c>
      <x:c r="K59" s="42" t="n">
        <x:v>0.3</x:v>
      </x:c>
      <x:c r="L59" s="42" t="n">
        <x:v>40</x:v>
      </x:c>
      <x:c r="M59" s="42" t="n">
        <x:v>20</x:v>
      </x:c>
      <x:c r="N59" s="43" t="n">
        <x:f>IF(OR(J59="",K59="",L59=""),"",ROUND(J59*L59/K59,0))</x:f>
        <x:v>800</x:v>
      </x:c>
      <x:c r="O59" s="43" t="n">
        <x:f>IFERROR(N59/L59,"")</x:f>
        <x:v>20</x:v>
      </x:c>
      <x:c r="P59" s="42" t="n">
        <x:f>IFERROR(J59*L59/N59,"")</x:f>
        <x:v>0.3</x:v>
      </x:c>
      <x:c r="Q59" s="30" t="str">
        <x:v>固定1</x:v>
      </x:c>
      <x:c r="R59" s="30" t="str">
        <x:v>白金族的归途×1</x:v>
      </x:c>
      <x:c r="S59" s="29" t="str">
        <x:v>独立掉落；任务完成后停止</x:v>
      </x:c>
      <x:c r="T59" s="29" t="str">
        <x:v>来源逻辑已定</x:v>
      </x:c>
      <x:c r="U59" s="29" t="str">
        <x:v>准确怪名/怪物ID由怪物窗口回填</x:v>
      </x:c>
    </x:row>
    <x:row r="60" ht="27" customHeight="1">
      <x:c r="A60" s="30" t="str">
        <x:v>EL-MAT-C07-Q04</x:v>
      </x:c>
      <x:c r="B60" s="30" t="str">
        <x:v>C07</x:v>
      </x:c>
      <x:c r="C60" s="30" t="str">
        <x:v>圣雪门楔</x:v>
      </x:c>
      <x:c r="D60" s="30" t="str">
        <x:v>四证任务</x:v>
      </x:c>
      <x:c r="E60" s="30" t="str">
        <x:v>C07-G03</x:v>
      </x:c>
      <x:c r="F60" s="29" t="str">
        <x:v>极寒禁域</x:v>
      </x:c>
      <x:c r="G60" s="30" t="str">
        <x:v>XX911</x:v>
      </x:c>
      <x:c r="H60" s="30" t="str">
        <x:v>EL-MON-C07-G03-G01</x:v>
      </x:c>
      <x:c r="I60" s="30" t="str">
        <x:v>守关BOSS证物</x:v>
      </x:c>
      <x:c r="J60" s="42" t="n">
        <x:v>1.5</x:v>
      </x:c>
      <x:c r="K60" s="42" t="n">
        <x:v>0.15</x:v>
      </x:c>
      <x:c r="L60" s="42" t="n">
        <x:v>40</x:v>
      </x:c>
      <x:c r="M60" s="42" t="n">
        <x:v>10</x:v>
      </x:c>
      <x:c r="N60" s="43" t="n">
        <x:f>IF(OR(J60="",K60="",L60=""),"",ROUND(J60*L60/K60,0))</x:f>
        <x:v>400</x:v>
      </x:c>
      <x:c r="O60" s="43" t="n">
        <x:f>IFERROR(N60/L60,"")</x:f>
        <x:v>10</x:v>
      </x:c>
      <x:c r="P60" s="42" t="n">
        <x:f>IFERROR(J60*L60/N60,"")</x:f>
        <x:v>0.15</x:v>
      </x:c>
      <x:c r="Q60" s="30" t="str">
        <x:v>固定1</x:v>
      </x:c>
      <x:c r="R60" s="30" t="str">
        <x:v>白金族的归途×1</x:v>
      </x:c>
      <x:c r="S60" s="29" t="str">
        <x:v>独立掉落；任务完成后停止</x:v>
      </x:c>
      <x:c r="T60" s="29" t="str">
        <x:v>来源逻辑已定</x:v>
      </x:c>
      <x:c r="U60" s="29" t="str">
        <x:v>准确怪名/怪物ID由怪物窗口回填</x:v>
      </x:c>
    </x:row>
    <x:row r="61" ht="27" customHeight="1">
      <x:c r="A61" s="30" t="str">
        <x:v>EL-MAT-C08-Q01</x:v>
      </x:c>
      <x:c r="B61" s="30" t="str">
        <x:v>C08</x:v>
      </x:c>
      <x:c r="C61" s="30" t="str">
        <x:v>登山铁楔</x:v>
      </x:c>
      <x:c r="D61" s="30" t="str">
        <x:v>四证任务</x:v>
      </x:c>
      <x:c r="E61" s="30" t="str">
        <x:v>C08-G01</x:v>
      </x:c>
      <x:c r="F61" s="29" t="str">
        <x:v>寒霜山径</x:v>
      </x:c>
      <x:c r="G61" s="30" t="str">
        <x:v>XX903</x:v>
      </x:c>
      <x:c r="H61" s="30" t="str">
        <x:v>EL-MON-C08-G01-N04</x:v>
      </x:c>
      <x:c r="I61" s="30" t="str">
        <x:v>普通怪证物</x:v>
      </x:c>
      <x:c r="J61" s="42" t="n">
        <x:v>900</x:v>
      </x:c>
      <x:c r="K61" s="42" t="n">
        <x:v>1.5</x:v>
      </x:c>
      <x:c r="L61" s="42" t="n">
        <x:v>55</x:v>
      </x:c>
      <x:c r="M61" s="42" t="n">
        <x:v>600</x:v>
      </x:c>
      <x:c r="N61" s="43" t="n">
        <x:f>IF(OR(J61="",K61="",L61=""),"",ROUND(J61*L61/K61,0))</x:f>
        <x:v>33000</x:v>
      </x:c>
      <x:c r="O61" s="43" t="n">
        <x:f>IFERROR(N61/L61,"")</x:f>
        <x:v>600</x:v>
      </x:c>
      <x:c r="P61" s="42" t="n">
        <x:f>IFERROR(J61*L61/N61,"")</x:f>
        <x:v>1.5</x:v>
      </x:c>
      <x:c r="Q61" s="30" t="str">
        <x:v>无</x:v>
      </x:c>
      <x:c r="R61" s="30" t="str">
        <x:v>山巅守火人×1</x:v>
      </x:c>
      <x:c r="S61" s="29" t="str">
        <x:v>独立掉落；任务完成后停止</x:v>
      </x:c>
      <x:c r="T61" s="29" t="str">
        <x:v>来源逻辑已定</x:v>
      </x:c>
      <x:c r="U61" s="29" t="str">
        <x:v>准确怪名/怪物ID由怪物窗口回填</x:v>
      </x:c>
    </x:row>
    <x:row r="62" ht="27" customHeight="1">
      <x:c r="A62" s="30" t="str">
        <x:v>EL-MAT-C08-Q02</x:v>
      </x:c>
      <x:c r="B62" s="30" t="str">
        <x:v>C08</x:v>
      </x:c>
      <x:c r="C62" s="30" t="str">
        <x:v>裂峰号角片</x:v>
      </x:c>
      <x:c r="D62" s="30" t="str">
        <x:v>四证任务</x:v>
      </x:c>
      <x:c r="E62" s="30" t="str">
        <x:v>C08-G02</x:v>
      </x:c>
      <x:c r="F62" s="29" t="str">
        <x:v>断冰峰群</x:v>
      </x:c>
      <x:c r="G62" s="30" t="str">
        <x:v>XX316</x:v>
      </x:c>
      <x:c r="H62" s="30" t="str">
        <x:v>EL-MON-C08-G02-R02</x:v>
      </x:c>
      <x:c r="I62" s="30" t="str">
        <x:v>精英证物</x:v>
      </x:c>
      <x:c r="J62" s="42" t="n">
        <x:v>60</x:v>
      </x:c>
      <x:c r="K62" s="42" t="n">
        <x:v>0.8</x:v>
      </x:c>
      <x:c r="L62" s="42" t="n">
        <x:v>55</x:v>
      </x:c>
      <x:c r="M62" s="42" t="n">
        <x:v>75</x:v>
      </x:c>
      <x:c r="N62" s="43" t="n">
        <x:f>IF(OR(J62="",K62="",L62=""),"",ROUND(J62*L62/K62,0))</x:f>
        <x:v>4125</x:v>
      </x:c>
      <x:c r="O62" s="43" t="n">
        <x:f>IFERROR(N62/L62,"")</x:f>
        <x:v>75</x:v>
      </x:c>
      <x:c r="P62" s="42" t="n">
        <x:f>IFERROR(J62*L62/N62,"")</x:f>
        <x:v>0.8</x:v>
      </x:c>
      <x:c r="Q62" s="30" t="str">
        <x:v>无</x:v>
      </x:c>
      <x:c r="R62" s="30" t="str">
        <x:v>山巅守火人×1</x:v>
      </x:c>
      <x:c r="S62" s="29" t="str">
        <x:v>独立掉落；任务完成后停止</x:v>
      </x:c>
      <x:c r="T62" s="29" t="str">
        <x:v>来源逻辑已定</x:v>
      </x:c>
      <x:c r="U62" s="29" t="str">
        <x:v>准确怪名/怪物ID由怪物窗口回填</x:v>
      </x:c>
    </x:row>
    <x:row r="63" ht="27" customHeight="1">
      <x:c r="A63" s="30" t="str">
        <x:v>EL-MAT-C08-Q03</x:v>
      </x:c>
      <x:c r="B63" s="30" t="str">
        <x:v>C08</x:v>
      </x:c>
      <x:c r="C63" s="30" t="str">
        <x:v>冰宫守门铃</x:v>
      </x:c>
      <x:c r="D63" s="30" t="str">
        <x:v>四证任务</x:v>
      </x:c>
      <x:c r="E63" s="30" t="str">
        <x:v>C08-G03</x:v>
      </x:c>
      <x:c r="F63" s="29" t="str">
        <x:v>冰宫王庭</x:v>
      </x:c>
      <x:c r="G63" s="30" t="str">
        <x:v>XX326</x:v>
      </x:c>
      <x:c r="H63" s="30" t="str">
        <x:v>EL-MON-C08-G03-B01</x:v>
      </x:c>
      <x:c r="I63" s="30" t="str">
        <x:v>地图BOSS证物</x:v>
      </x:c>
      <x:c r="J63" s="42" t="n">
        <x:v>6</x:v>
      </x:c>
      <x:c r="K63" s="42" t="n">
        <x:v>0.3</x:v>
      </x:c>
      <x:c r="L63" s="42" t="n">
        <x:v>55</x:v>
      </x:c>
      <x:c r="M63" s="42" t="n">
        <x:v>20</x:v>
      </x:c>
      <x:c r="N63" s="43" t="n">
        <x:f>IF(OR(J63="",K63="",L63=""),"",ROUND(J63*L63/K63,0))</x:f>
        <x:v>1100</x:v>
      </x:c>
      <x:c r="O63" s="43" t="n">
        <x:f>IFERROR(N63/L63,"")</x:f>
        <x:v>20</x:v>
      </x:c>
      <x:c r="P63" s="42" t="n">
        <x:f>IFERROR(J63*L63/N63,"")</x:f>
        <x:v>0.3</x:v>
      </x:c>
      <x:c r="Q63" s="30" t="str">
        <x:v>固定1</x:v>
      </x:c>
      <x:c r="R63" s="30" t="str">
        <x:v>山巅守火人×1</x:v>
      </x:c>
      <x:c r="S63" s="29" t="str">
        <x:v>独立掉落；任务完成后停止</x:v>
      </x:c>
      <x:c r="T63" s="29" t="str">
        <x:v>来源逻辑已定</x:v>
      </x:c>
      <x:c r="U63" s="29" t="str">
        <x:v>准确怪名/怪物ID由怪物窗口回填</x:v>
      </x:c>
    </x:row>
    <x:row r="64" ht="27" customHeight="1">
      <x:c r="A64" s="30" t="str">
        <x:v>EL-MAT-C08-Q04</x:v>
      </x:c>
      <x:c r="B64" s="30" t="str">
        <x:v>C08</x:v>
      </x:c>
      <x:c r="C64" s="30" t="str">
        <x:v>王庭炉冠</x:v>
      </x:c>
      <x:c r="D64" s="30" t="str">
        <x:v>四证任务</x:v>
      </x:c>
      <x:c r="E64" s="30" t="str">
        <x:v>C08-G04</x:v>
      </x:c>
      <x:c r="F64" s="29" t="str">
        <x:v>巨人王庭</x:v>
      </x:c>
      <x:c r="G64" s="30" t="str">
        <x:v>XX897</x:v>
      </x:c>
      <x:c r="H64" s="30" t="str">
        <x:v>EL-MON-C08-G04-G01</x:v>
      </x:c>
      <x:c r="I64" s="30" t="str">
        <x:v>守关BOSS证物</x:v>
      </x:c>
      <x:c r="J64" s="42" t="n">
        <x:v>1.5</x:v>
      </x:c>
      <x:c r="K64" s="42" t="n">
        <x:v>0.15</x:v>
      </x:c>
      <x:c r="L64" s="42" t="n">
        <x:v>55</x:v>
      </x:c>
      <x:c r="M64" s="42" t="n">
        <x:v>10</x:v>
      </x:c>
      <x:c r="N64" s="43" t="n">
        <x:f>IF(OR(J64="",K64="",L64=""),"",ROUND(J64*L64/K64,0))</x:f>
        <x:v>550</x:v>
      </x:c>
      <x:c r="O64" s="43" t="n">
        <x:f>IFERROR(N64/L64,"")</x:f>
        <x:v>10</x:v>
      </x:c>
      <x:c r="P64" s="42" t="n">
        <x:f>IFERROR(J64*L64/N64,"")</x:f>
        <x:v>0.15</x:v>
      </x:c>
      <x:c r="Q64" s="30" t="str">
        <x:v>固定1</x:v>
      </x:c>
      <x:c r="R64" s="30" t="str">
        <x:v>山巅守火人×1</x:v>
      </x:c>
      <x:c r="S64" s="29" t="str">
        <x:v>独立掉落；任务完成后停止</x:v>
      </x:c>
      <x:c r="T64" s="29" t="str">
        <x:v>来源逻辑已定</x:v>
      </x:c>
      <x:c r="U64" s="29" t="str">
        <x:v>准确怪名/怪物ID由怪物窗口回填</x:v>
      </x:c>
    </x:row>
    <x:row r="65" ht="27" customHeight="1">
      <x:c r="A65" s="30" t="str">
        <x:v>EL-MAT-C09-Q01</x:v>
      </x:c>
      <x:c r="B65" s="30" t="str">
        <x:v>C09</x:v>
      </x:c>
      <x:c r="C65" s="30" t="str">
        <x:v>金叶驿票</x:v>
      </x:c>
      <x:c r="D65" s="30" t="str">
        <x:v>四证任务</x:v>
      </x:c>
      <x:c r="E65" s="30" t="str">
        <x:v>C09-G01</x:v>
      </x:c>
      <x:c r="F65" s="29" t="str">
        <x:v>金叶古道（组名待Codex正式落账）</x:v>
      </x:c>
      <x:c r="G65" s="30" t="str">
        <x:v>XX717</x:v>
      </x:c>
      <x:c r="H65" s="30" t="str">
        <x:v>EL-MON-C09-G01-N04</x:v>
      </x:c>
      <x:c r="I65" s="30" t="str">
        <x:v>普通怪证物</x:v>
      </x:c>
      <x:c r="J65" s="42" t="n">
        <x:v>900</x:v>
      </x:c>
      <x:c r="K65" s="42" t="n">
        <x:v>1.5</x:v>
      </x:c>
      <x:c r="L65" s="42" t="n">
        <x:v>75</x:v>
      </x:c>
      <x:c r="M65" s="42" t="n">
        <x:v>600</x:v>
      </x:c>
      <x:c r="N65" s="43" t="n">
        <x:f>IF(OR(J65="",K65="",L65=""),"",ROUND(J65*L65/K65,0))</x:f>
        <x:v>45000</x:v>
      </x:c>
      <x:c r="O65" s="43" t="n">
        <x:f>IFERROR(N65/L65,"")</x:f>
        <x:v>600</x:v>
      </x:c>
      <x:c r="P65" s="42" t="n">
        <x:f>IFERROR(J65*L65/N65,"")</x:f>
        <x:v>1.5</x:v>
      </x:c>
      <x:c r="Q65" s="30" t="str">
        <x:v>无</x:v>
      </x:c>
      <x:c r="R65" s="30" t="str">
        <x:v>矿脉最后一班×1</x:v>
      </x:c>
      <x:c r="S65" s="29" t="str">
        <x:v>独立掉落；任务完成后停止</x:v>
      </x:c>
      <x:c r="T65" s="29" t="str">
        <x:v>地图组名待核</x:v>
      </x:c>
      <x:c r="U65" s="29" t="str">
        <x:v>准确怪名/怪物ID由怪物窗口回填</x:v>
      </x:c>
    </x:row>
    <x:row r="66" ht="27" customHeight="1">
      <x:c r="A66" s="30" t="str">
        <x:v>EL-MAT-C09-Q02</x:v>
      </x:c>
      <x:c r="B66" s="30" t="str">
        <x:v>C09</x:v>
      </x:c>
      <x:c r="C66" s="30" t="str">
        <x:v>矿脉灯芯</x:v>
      </x:c>
      <x:c r="D66" s="30" t="str">
        <x:v>四证任务</x:v>
      </x:c>
      <x:c r="E66" s="30" t="str">
        <x:v>C09-G02</x:v>
      </x:c>
      <x:c r="F66" s="29" t="str">
        <x:v>高原矿脉</x:v>
      </x:c>
      <x:c r="G66" s="30" t="str">
        <x:v>XX824</x:v>
      </x:c>
      <x:c r="H66" s="30" t="str">
        <x:v>EL-MON-C09-G02-R02</x:v>
      </x:c>
      <x:c r="I66" s="30" t="str">
        <x:v>精英证物</x:v>
      </x:c>
      <x:c r="J66" s="42" t="n">
        <x:v>60</x:v>
      </x:c>
      <x:c r="K66" s="42" t="n">
        <x:v>0.8</x:v>
      </x:c>
      <x:c r="L66" s="42" t="n">
        <x:v>75</x:v>
      </x:c>
      <x:c r="M66" s="42" t="n">
        <x:v>75</x:v>
      </x:c>
      <x:c r="N66" s="43" t="n">
        <x:f>IF(OR(J66="",K66="",L66=""),"",ROUND(J66*L66/K66,0))</x:f>
        <x:v>5625</x:v>
      </x:c>
      <x:c r="O66" s="43" t="n">
        <x:f>IFERROR(N66/L66,"")</x:f>
        <x:v>75</x:v>
      </x:c>
      <x:c r="P66" s="42" t="n">
        <x:f>IFERROR(J66*L66/N66,"")</x:f>
        <x:v>0.8</x:v>
      </x:c>
      <x:c r="Q66" s="30" t="str">
        <x:v>无</x:v>
      </x:c>
      <x:c r="R66" s="30" t="str">
        <x:v>矿脉最后一班×1</x:v>
      </x:c>
      <x:c r="S66" s="29" t="str">
        <x:v>独立掉落；任务完成后停止</x:v>
      </x:c>
      <x:c r="T66" s="29" t="str">
        <x:v>地图组名待核</x:v>
      </x:c>
      <x:c r="U66" s="29" t="str">
        <x:v>准确怪名/怪物ID由怪物窗口回填</x:v>
      </x:c>
    </x:row>
    <x:row r="67" ht="27" customHeight="1">
      <x:c r="A67" s="30" t="str">
        <x:v>EL-MAT-C09-Q03</x:v>
      </x:c>
      <x:c r="B67" s="30" t="str">
        <x:v>C09</x:v>
      </x:c>
      <x:c r="C67" s="30" t="str">
        <x:v>裁文蜡封</x:v>
      </x:c>
      <x:c r="D67" s="30" t="str">
        <x:v>四证任务</x:v>
      </x:c>
      <x:c r="E67" s="30" t="str">
        <x:v>C09-G04</x:v>
      </x:c>
      <x:c r="F67" s="29" t="str">
        <x:v>古律圣堂（工作名）</x:v>
      </x:c>
      <x:c r="G67" s="30" t="str">
        <x:v>XX795</x:v>
      </x:c>
      <x:c r="H67" s="30" t="str">
        <x:v>EL-MON-C09-G04-B01</x:v>
      </x:c>
      <x:c r="I67" s="30" t="str">
        <x:v>地图BOSS证物</x:v>
      </x:c>
      <x:c r="J67" s="42" t="n">
        <x:v>6</x:v>
      </x:c>
      <x:c r="K67" s="42" t="n">
        <x:v>0.3</x:v>
      </x:c>
      <x:c r="L67" s="42" t="n">
        <x:v>75</x:v>
      </x:c>
      <x:c r="M67" s="42" t="n">
        <x:v>20</x:v>
      </x:c>
      <x:c r="N67" s="43" t="n">
        <x:f>IF(OR(J67="",K67="",L67=""),"",ROUND(J67*L67/K67,0))</x:f>
        <x:v>1500</x:v>
      </x:c>
      <x:c r="O67" s="43" t="n">
        <x:f>IFERROR(N67/L67,"")</x:f>
        <x:v>20</x:v>
      </x:c>
      <x:c r="P67" s="42" t="n">
        <x:f>IFERROR(J67*L67/N67,"")</x:f>
        <x:v>0.3</x:v>
      </x:c>
      <x:c r="Q67" s="30" t="str">
        <x:v>固定1</x:v>
      </x:c>
      <x:c r="R67" s="30" t="str">
        <x:v>矿脉最后一班×1</x:v>
      </x:c>
      <x:c r="S67" s="29" t="str">
        <x:v>独立掉落；任务完成后停止</x:v>
      </x:c>
      <x:c r="T67" s="29" t="str">
        <x:v>地图组名待核</x:v>
      </x:c>
      <x:c r="U67" s="29" t="str">
        <x:v>准确怪名/怪物ID由怪物窗口回填</x:v>
      </x:c>
    </x:row>
    <x:row r="68" ht="27" customHeight="1">
      <x:c r="A68" s="30" t="str">
        <x:v>EL-MAT-C09-Q04</x:v>
      </x:c>
      <x:c r="B68" s="30" t="str">
        <x:v>C09</x:v>
      </x:c>
      <x:c r="C68" s="30" t="str">
        <x:v>高原王诏金版</x:v>
      </x:c>
      <x:c r="D68" s="30" t="str">
        <x:v>四证任务</x:v>
      </x:c>
      <x:c r="E68" s="30" t="str">
        <x:v>C09-G05</x:v>
      </x:c>
      <x:c r="F68" s="29" t="str">
        <x:v>黄金树祭域（工作名）</x:v>
      </x:c>
      <x:c r="G68" s="30" t="str">
        <x:v>XX639</x:v>
      </x:c>
      <x:c r="H68" s="30" t="str">
        <x:v>EL-MON-C09-G05-G01</x:v>
      </x:c>
      <x:c r="I68" s="30" t="str">
        <x:v>守关BOSS证物</x:v>
      </x:c>
      <x:c r="J68" s="42" t="n">
        <x:v>1.5</x:v>
      </x:c>
      <x:c r="K68" s="42" t="n">
        <x:v>0.15</x:v>
      </x:c>
      <x:c r="L68" s="42" t="n">
        <x:v>75</x:v>
      </x:c>
      <x:c r="M68" s="42" t="n">
        <x:v>10</x:v>
      </x:c>
      <x:c r="N68" s="43" t="n">
        <x:f>IF(OR(J68="",K68="",L68=""),"",ROUND(J68*L68/K68,0))</x:f>
        <x:v>750</x:v>
      </x:c>
      <x:c r="O68" s="43" t="n">
        <x:f>IFERROR(N68/L68,"")</x:f>
        <x:v>10</x:v>
      </x:c>
      <x:c r="P68" s="42" t="n">
        <x:f>IFERROR(J68*L68/N68,"")</x:f>
        <x:v>0.15</x:v>
      </x:c>
      <x:c r="Q68" s="30" t="str">
        <x:v>固定1</x:v>
      </x:c>
      <x:c r="R68" s="30" t="str">
        <x:v>矿脉最后一班×1</x:v>
      </x:c>
      <x:c r="S68" s="29" t="str">
        <x:v>独立掉落；任务完成后停止</x:v>
      </x:c>
      <x:c r="T68" s="29" t="str">
        <x:v>地图组名待核</x:v>
      </x:c>
      <x:c r="U68" s="29" t="str">
        <x:v>准确怪名/怪物ID由怪物窗口回填</x:v>
      </x:c>
    </x:row>
    <x:row r="69" ht="27" customHeight="1">
      <x:c r="A69" s="30" t="str">
        <x:v>EL-MAT-C10-Q01</x:v>
      </x:c>
      <x:c r="B69" s="30" t="str">
        <x:v>C10</x:v>
      </x:c>
      <x:c r="C69" s="30" t="str">
        <x:v>无名墓钉</x:v>
      </x:c>
      <x:c r="D69" s="30" t="str">
        <x:v>四证任务</x:v>
      </x:c>
      <x:c r="E69" s="30" t="str">
        <x:v>C10-G01</x:v>
      </x:c>
      <x:c r="F69" s="29" t="str">
        <x:v>王城下城区（组名待Codex正式落账）</x:v>
      </x:c>
      <x:c r="G69" s="30" t="str">
        <x:v>XX930</x:v>
      </x:c>
      <x:c r="H69" s="30" t="str">
        <x:v>EL-MON-C10-G01-N04</x:v>
      </x:c>
      <x:c r="I69" s="30" t="str">
        <x:v>普通怪证物</x:v>
      </x:c>
      <x:c r="J69" s="42" t="n">
        <x:v>900</x:v>
      </x:c>
      <x:c r="K69" s="42" t="n">
        <x:v>1.5</x:v>
      </x:c>
      <x:c r="L69" s="42" t="n">
        <x:v>100</x:v>
      </x:c>
      <x:c r="M69" s="42" t="n">
        <x:v>600</x:v>
      </x:c>
      <x:c r="N69" s="43" t="n">
        <x:f>IF(OR(J69="",K69="",L69=""),"",ROUND(J69*L69/K69,0))</x:f>
        <x:v>60000</x:v>
      </x:c>
      <x:c r="O69" s="43" t="n">
        <x:f>IFERROR(N69/L69,"")</x:f>
        <x:v>600</x:v>
      </x:c>
      <x:c r="P69" s="42" t="n">
        <x:f>IFERROR(J69*L69/N69,"")</x:f>
        <x:v>1.5</x:v>
      </x:c>
      <x:c r="Q69" s="30" t="str">
        <x:v>无</x:v>
      </x:c>
      <x:c r="R69" s="30" t="str">
        <x:v>王城终誓×1</x:v>
      </x:c>
      <x:c r="S69" s="29" t="str">
        <x:v>独立掉落；任务完成后停止</x:v>
      </x:c>
      <x:c r="T69" s="29" t="str">
        <x:v>地图组名待核</x:v>
      </x:c>
      <x:c r="U69" s="29" t="str">
        <x:v>准确怪名/怪物ID由怪物窗口回填</x:v>
      </x:c>
    </x:row>
    <x:row r="70" ht="27" customHeight="1">
      <x:c r="A70" s="30" t="str">
        <x:v>EL-MAT-C10-Q02</x:v>
      </x:c>
      <x:c r="B70" s="30" t="str">
        <x:v>C10</x:v>
      </x:c>
      <x:c r="C70" s="30" t="str">
        <x:v>旧渠阀芯</x:v>
      </x:c>
      <x:c r="D70" s="30" t="str">
        <x:v>四证任务</x:v>
      </x:c>
      <x:c r="E70" s="30" t="str">
        <x:v>C10-G02</x:v>
      </x:c>
      <x:c r="F70" s="29" t="str">
        <x:v>王城排水墓道（工作名）</x:v>
      </x:c>
      <x:c r="G70" s="30" t="str">
        <x:v>XX624</x:v>
      </x:c>
      <x:c r="H70" s="30" t="str">
        <x:v>EL-MON-C10-G02-R02</x:v>
      </x:c>
      <x:c r="I70" s="30" t="str">
        <x:v>精英证物</x:v>
      </x:c>
      <x:c r="J70" s="42" t="n">
        <x:v>60</x:v>
      </x:c>
      <x:c r="K70" s="42" t="n">
        <x:v>0.8</x:v>
      </x:c>
      <x:c r="L70" s="42" t="n">
        <x:v>100</x:v>
      </x:c>
      <x:c r="M70" s="42" t="n">
        <x:v>75</x:v>
      </x:c>
      <x:c r="N70" s="43" t="n">
        <x:f>IF(OR(J70="",K70="",L70=""),"",ROUND(J70*L70/K70,0))</x:f>
        <x:v>7500</x:v>
      </x:c>
      <x:c r="O70" s="43" t="n">
        <x:f>IFERROR(N70/L70,"")</x:f>
        <x:v>75</x:v>
      </x:c>
      <x:c r="P70" s="42" t="n">
        <x:f>IFERROR(J70*L70/N70,"")</x:f>
        <x:v>0.8</x:v>
      </x:c>
      <x:c r="Q70" s="30" t="str">
        <x:v>无</x:v>
      </x:c>
      <x:c r="R70" s="30" t="str">
        <x:v>王城终誓×1</x:v>
      </x:c>
      <x:c r="S70" s="29" t="str">
        <x:v>独立掉落；任务完成后停止</x:v>
      </x:c>
      <x:c r="T70" s="29" t="str">
        <x:v>地图组名待核</x:v>
      </x:c>
      <x:c r="U70" s="29" t="str">
        <x:v>准确怪名/怪物ID由怪物窗口回填</x:v>
      </x:c>
    </x:row>
    <x:row r="71" ht="27" customHeight="1">
      <x:c r="A71" s="30" t="str">
        <x:v>EL-MAT-C10-Q03</x:v>
      </x:c>
      <x:c r="B71" s="30" t="str">
        <x:v>C10</x:v>
      </x:c>
      <x:c r="C71" s="30" t="str">
        <x:v>失温熔炉楔</x:v>
      </x:c>
      <x:c r="D71" s="30" t="str">
        <x:v>四证任务</x:v>
      </x:c>
      <x:c r="E71" s="30" t="str">
        <x:v>C10-G03</x:v>
      </x:c>
      <x:c r="F71" s="29" t="str">
        <x:v>地底工坊（组名待Codex正式落账）</x:v>
      </x:c>
      <x:c r="G71" s="30" t="str">
        <x:v>XX956</x:v>
      </x:c>
      <x:c r="H71" s="30" t="str">
        <x:v>EL-MON-C10-G03-B01</x:v>
      </x:c>
      <x:c r="I71" s="30" t="str">
        <x:v>地图BOSS证物</x:v>
      </x:c>
      <x:c r="J71" s="42" t="n">
        <x:v>6</x:v>
      </x:c>
      <x:c r="K71" s="42" t="n">
        <x:v>0.3</x:v>
      </x:c>
      <x:c r="L71" s="42" t="n">
        <x:v>100</x:v>
      </x:c>
      <x:c r="M71" s="42" t="n">
        <x:v>20</x:v>
      </x:c>
      <x:c r="N71" s="43" t="n">
        <x:f>IF(OR(J71="",K71="",L71=""),"",ROUND(J71*L71/K71,0))</x:f>
        <x:v>2000</x:v>
      </x:c>
      <x:c r="O71" s="43" t="n">
        <x:f>IFERROR(N71/L71,"")</x:f>
        <x:v>20</x:v>
      </x:c>
      <x:c r="P71" s="42" t="n">
        <x:f>IFERROR(J71*L71/N71,"")</x:f>
        <x:v>0.3</x:v>
      </x:c>
      <x:c r="Q71" s="30" t="str">
        <x:v>固定1</x:v>
      </x:c>
      <x:c r="R71" s="30" t="str">
        <x:v>王城终誓×1</x:v>
      </x:c>
      <x:c r="S71" s="29" t="str">
        <x:v>独立掉落；任务完成后停止</x:v>
      </x:c>
      <x:c r="T71" s="29" t="str">
        <x:v>地图组名待核</x:v>
      </x:c>
      <x:c r="U71" s="29" t="str">
        <x:v>准确怪名/怪物ID由怪物窗口回填</x:v>
      </x:c>
    </x:row>
    <x:row r="72" ht="27" customHeight="1">
      <x:c r="A72" s="30" t="str">
        <x:v>EL-MAT-C10-Q04</x:v>
      </x:c>
      <x:c r="B72" s="30" t="str">
        <x:v>C10</x:v>
      </x:c>
      <x:c r="C72" s="30" t="str">
        <x:v>王宫断冠片</x:v>
      </x:c>
      <x:c r="D72" s="30" t="str">
        <x:v>四证任务</x:v>
      </x:c>
      <x:c r="E72" s="30" t="str">
        <x:v>C10-G05</x:v>
      </x:c>
      <x:c r="F72" s="29" t="str">
        <x:v>王宫深殿（工作名）</x:v>
      </x:c>
      <x:c r="G72" s="30" t="str">
        <x:v>XX386</x:v>
      </x:c>
      <x:c r="H72" s="30" t="str">
        <x:v>EL-MON-C10-G05-G01</x:v>
      </x:c>
      <x:c r="I72" s="30" t="str">
        <x:v>守关BOSS证物</x:v>
      </x:c>
      <x:c r="J72" s="42" t="n">
        <x:v>1.5</x:v>
      </x:c>
      <x:c r="K72" s="42" t="n">
        <x:v>0.15</x:v>
      </x:c>
      <x:c r="L72" s="42" t="n">
        <x:v>100</x:v>
      </x:c>
      <x:c r="M72" s="42" t="n">
        <x:v>10</x:v>
      </x:c>
      <x:c r="N72" s="43" t="n">
        <x:f>IF(OR(J72="",K72="",L72=""),"",ROUND(J72*L72/K72,0))</x:f>
        <x:v>1000</x:v>
      </x:c>
      <x:c r="O72" s="43" t="n">
        <x:f>IFERROR(N72/L72,"")</x:f>
        <x:v>10</x:v>
      </x:c>
      <x:c r="P72" s="42" t="n">
        <x:f>IFERROR(J72*L72/N72,"")</x:f>
        <x:v>0.15</x:v>
      </x:c>
      <x:c r="Q72" s="30" t="str">
        <x:v>固定1</x:v>
      </x:c>
      <x:c r="R72" s="30" t="str">
        <x:v>王城终誓×1</x:v>
      </x:c>
      <x:c r="S72" s="29" t="str">
        <x:v>独立掉落；任务完成后停止</x:v>
      </x:c>
      <x:c r="T72" s="29" t="str">
        <x:v>地图组名待核</x:v>
      </x:c>
      <x:c r="U72" s="29" t="str">
        <x:v>准确怪名/怪物ID由怪物窗口回填</x:v>
      </x:c>
    </x:row>
  </x:sheetData>
  <x:mergeCells>
    <x:mergeCell ref="A1:U1"/>
    <x:mergeCell ref="A2:U2"/>
  </x:mergeCells>
  <x:conditionalFormatting sqref="T5:T72">
    <x:cfRule type="containsText" dxfId="14" priority="1" operator="containsText" text="已确认"/>
    <x:cfRule type="containsText" dxfId="15" priority="2" operator="containsText" text="定稿"/>
    <x:cfRule type="containsText" dxfId="16" priority="3" operator="containsText" text="正常"/>
    <x:cfRule type="containsText" dxfId="17" priority="4" operator="containsText" text="待"/>
    <x:cfRule type="containsText" dxfId="18" priority="5" operator="containsText" text="缺失"/>
    <x:cfRule type="containsText" dxfId="19" priority="6" operator="containsText" text="重复"/>
    <x:cfRule type="containsText" dxfId="20" priority="7" operator="containsText" text="严重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7.800000190734863" hidden="0" customWidth="1"/>
    <x:col min="4" max="4" width="8.600000381469727" hidden="0" customWidth="1"/>
    <x:col min="5" max="5" width="9" hidden="0" customWidth="1"/>
    <x:col min="6" max="6" width="9.199999809265137" hidden="0" customWidth="1"/>
    <x:col min="7" max="7" width="9.199999809265137" hidden="0" customWidth="1"/>
    <x:col min="8" max="8" width="9" hidden="0" customWidth="1"/>
    <x:col min="9" max="9" width="8.800000190734863" hidden="0" customWidth="1"/>
    <x:col min="10" max="10" width="8.800000190734863" hidden="0" customWidth="1"/>
    <x:col min="11" max="11" width="8.800000190734863" hidden="0" customWidth="1"/>
    <x:col min="12" max="12" width="9" hidden="0" customWidth="1"/>
    <x:col min="13" max="13" width="8.800000190734863" hidden="0" customWidth="1"/>
    <x:col min="14" max="14" width="9" hidden="0" customWidth="1"/>
    <x:col min="15" max="15" width="9.199999809265137" hidden="0" customWidth="1"/>
    <x:col min="16" max="16" width="15.5" hidden="0" customWidth="1"/>
  </x:cols>
  <x:sheetData>
    <x:row r="1" ht="28.5" customHeight="1">
      <x:c r="A1" s="4" t="str">
        <x:v>材料生产—消耗闭环</x:v>
      </x:c>
      <x:c r="B1" s="4" t="str">
        <x:v>材料生产—消耗闭环</x:v>
      </x:c>
      <x:c r="C1" s="4" t="str">
        <x:v>材料生产—消耗闭环</x:v>
      </x:c>
      <x:c r="D1" s="4" t="str">
        <x:v>材料生产—消耗闭环</x:v>
      </x:c>
      <x:c r="E1" s="4" t="str">
        <x:v>材料生产—消耗闭环</x:v>
      </x:c>
      <x:c r="F1" s="4" t="str">
        <x:v>材料生产—消耗闭环</x:v>
      </x:c>
      <x:c r="G1" s="4" t="str">
        <x:v>材料生产—消耗闭环</x:v>
      </x:c>
      <x:c r="H1" s="4" t="str">
        <x:v>材料生产—消耗闭环</x:v>
      </x:c>
      <x:c r="I1" s="4" t="str">
        <x:v>材料生产—消耗闭环</x:v>
      </x:c>
      <x:c r="J1" s="4" t="str">
        <x:v>材料生产—消耗闭环</x:v>
      </x:c>
      <x:c r="K1" s="4" t="str">
        <x:v>材料生产—消耗闭环</x:v>
      </x:c>
      <x:c r="L1" s="4" t="str">
        <x:v>材料生产—消耗闭环</x:v>
      </x:c>
      <x:c r="M1" s="4" t="str">
        <x:v>材料生产—消耗闭环</x:v>
      </x:c>
      <x:c r="N1" s="4" t="str">
        <x:v>材料生产—消耗闭环</x:v>
      </x:c>
      <x:c r="O1" s="4" t="str">
        <x:v>材料生产—消耗闭环</x:v>
      </x:c>
      <x:c r="P1" s="4" t="str">
        <x:v>材料生产—消耗闭环</x:v>
      </x:c>
    </x:row>
    <x:row r="2" ht="31.5" customHeight="1">
      <x:c r="A2" s="45" t="str">
        <x:v>核心材料按称号＋本大陆全部强合成的总量计算；两个配方大陆只拆分同一份360/24/6小时，不重复翻倍。货币金额必须由本大陆实测中位产出换算，表内只锁工时。</x:v>
      </x:c>
      <x:c r="B2" s="45" t="str">
        <x:v>核心材料按称号＋本大陆全部强合成的总量计算；两个配方大陆只拆分同一份360/24/6小时，不重复翻倍。货币金额必须由本大陆实测中位产出换算，表内只锁工时。</x:v>
      </x:c>
      <x:c r="C2" s="45" t="str">
        <x:v>核心材料按称号＋本大陆全部强合成的总量计算；两个配方大陆只拆分同一份360/24/6小时，不重复翻倍。货币金额必须由本大陆实测中位产出换算，表内只锁工时。</x:v>
      </x:c>
      <x:c r="D2" s="45" t="str">
        <x:v>核心材料按称号＋本大陆全部强合成的总量计算；两个配方大陆只拆分同一份360/24/6小时，不重复翻倍。货币金额必须由本大陆实测中位产出换算，表内只锁工时。</x:v>
      </x:c>
      <x:c r="E2" s="45" t="str">
        <x:v>核心材料按称号＋本大陆全部强合成的总量计算；两个配方大陆只拆分同一份360/24/6小时，不重复翻倍。货币金额必须由本大陆实测中位产出换算，表内只锁工时。</x:v>
      </x:c>
      <x:c r="F2" s="45" t="str">
        <x:v>核心材料按称号＋本大陆全部强合成的总量计算；两个配方大陆只拆分同一份360/24/6小时，不重复翻倍。货币金额必须由本大陆实测中位产出换算，表内只锁工时。</x:v>
      </x:c>
      <x:c r="G2" s="45" t="str">
        <x:v>核心材料按称号＋本大陆全部强合成的总量计算；两个配方大陆只拆分同一份360/24/6小时，不重复翻倍。货币金额必须由本大陆实测中位产出换算，表内只锁工时。</x:v>
      </x:c>
      <x:c r="H2" s="45" t="str">
        <x:v>核心材料按称号＋本大陆全部强合成的总量计算；两个配方大陆只拆分同一份360/24/6小时，不重复翻倍。货币金额必须由本大陆实测中位产出换算，表内只锁工时。</x:v>
      </x:c>
      <x:c r="I2" s="45" t="str">
        <x:v>核心材料按称号＋本大陆全部强合成的总量计算；两个配方大陆只拆分同一份360/24/6小时，不重复翻倍。货币金额必须由本大陆实测中位产出换算，表内只锁工时。</x:v>
      </x:c>
      <x:c r="J2" s="45" t="str">
        <x:v>核心材料按称号＋本大陆全部强合成的总量计算；两个配方大陆只拆分同一份360/24/6小时，不重复翻倍。货币金额必须由本大陆实测中位产出换算，表内只锁工时。</x:v>
      </x:c>
      <x:c r="K2" s="45" t="str">
        <x:v>核心材料按称号＋本大陆全部强合成的总量计算；两个配方大陆只拆分同一份360/24/6小时，不重复翻倍。货币金额必须由本大陆实测中位产出换算，表内只锁工时。</x:v>
      </x:c>
      <x:c r="L2" s="45" t="str">
        <x:v>核心材料按称号＋本大陆全部强合成的总量计算；两个配方大陆只拆分同一份360/24/6小时，不重复翻倍。货币金额必须由本大陆实测中位产出换算，表内只锁工时。</x:v>
      </x:c>
      <x:c r="M2" s="45" t="str">
        <x:v>核心材料按称号＋本大陆全部强合成的总量计算；两个配方大陆只拆分同一份360/24/6小时，不重复翻倍。货币金额必须由本大陆实测中位产出换算，表内只锁工时。</x:v>
      </x:c>
      <x:c r="N2" s="45" t="str">
        <x:v>核心材料按称号＋本大陆全部强合成的总量计算；两个配方大陆只拆分同一份360/24/6小时，不重复翻倍。货币金额必须由本大陆实测中位产出换算，表内只锁工时。</x:v>
      </x:c>
      <x:c r="O2" s="45" t="str">
        <x:v>核心材料按称号＋本大陆全部强合成的总量计算；两个配方大陆只拆分同一份360/24/6小时，不重复翻倍。货币金额必须由本大陆实测中位产出换算，表内只锁工时。</x:v>
      </x:c>
      <x:c r="P2" s="45" t="str">
        <x:v>核心材料按称号＋本大陆全部强合成的总量计算；两个配方大陆只拆分同一份360/24/6小时，不重复翻倍。货币金额必须由本大陆实测中位产出换算，表内只锁工时。</x:v>
      </x:c>
    </x:row>
    <x:row r="4" ht="21" customHeight="1">
      <x:c r="A4" s="18" t="str">
        <x:v>每大陆核心材料总需求</x:v>
      </x:c>
      <x:c r="B4" s="18" t="str">
        <x:v>每大陆核心材料总需求</x:v>
      </x:c>
      <x:c r="C4" s="18" t="str">
        <x:v>每大陆核心材料总需求</x:v>
      </x:c>
      <x:c r="D4" s="18" t="str">
        <x:v>每大陆核心材料总需求</x:v>
      </x:c>
      <x:c r="E4" s="18" t="str">
        <x:v>每大陆核心材料总需求</x:v>
      </x:c>
      <x:c r="F4" s="18" t="str">
        <x:v>每大陆核心材料总需求</x:v>
      </x:c>
      <x:c r="G4" s="18" t="str">
        <x:v>每大陆核心材料总需求</x:v>
      </x:c>
      <x:c r="H4" s="18" t="str">
        <x:v>每大陆核心材料总需求</x:v>
      </x:c>
      <x:c r="I4" s="18" t="str">
        <x:v>每大陆核心材料总需求</x:v>
      </x:c>
      <x:c r="J4" s="18" t="str">
        <x:v>每大陆核心材料总需求</x:v>
      </x:c>
      <x:c r="K4" s="18" t="str">
        <x:v>每大陆核心材料总需求</x:v>
      </x:c>
      <x:c r="L4" s="18" t="str">
        <x:v>每大陆核心材料总需求</x:v>
      </x:c>
      <x:c r="M4" s="18" t="str">
        <x:v>每大陆核心材料总需求</x:v>
      </x:c>
      <x:c r="N4" s="18" t="str">
        <x:v>每大陆核心材料总需求</x:v>
      </x:c>
      <x:c r="O4" s="18" t="str">
        <x:v>每大陆核心材料总需求</x:v>
      </x:c>
      <x:c r="P4" s="18" t="str">
        <x:v>每大陆核心材料总需求</x:v>
      </x:c>
    </x:row>
    <x:row r="5" ht="24" customHeight="1">
      <x:c r="A5" s="24" t="str">
        <x:v>大陆</x:v>
      </x:c>
      <x:c r="B5" s="24" t="str">
        <x:v>名称</x:v>
      </x:c>
      <x:c r="C5" s="24" t="str">
        <x:v>强合成数</x:v>
      </x:c>
      <x:c r="D5" s="24" t="str">
        <x:v>通用产出/h</x:v>
      </x:c>
      <x:c r="E5" s="24" t="str">
        <x:v>称号通用</x:v>
      </x:c>
      <x:c r="F5" s="24" t="str">
        <x:v>合成通用</x:v>
      </x:c>
      <x:c r="G5" s="24" t="str">
        <x:v>通用总耗</x:v>
      </x:c>
      <x:c r="H5" s="24" t="str">
        <x:v>通用工时</x:v>
      </x:c>
      <x:c r="I5" s="24" t="str">
        <x:v>稀有产出/h</x:v>
      </x:c>
      <x:c r="J5" s="24" t="str">
        <x:v>称号稀有</x:v>
      </x:c>
      <x:c r="K5" s="24" t="str">
        <x:v>合成稀有</x:v>
      </x:c>
      <x:c r="L5" s="24" t="str">
        <x:v>稀有总耗</x:v>
      </x:c>
      <x:c r="M5" s="24" t="str">
        <x:v>稀有工时</x:v>
      </x:c>
      <x:c r="N5" s="24" t="str">
        <x:v>瓶颈工时</x:v>
      </x:c>
      <x:c r="O5" s="24" t="str">
        <x:v>剧情印记</x:v>
      </x:c>
      <x:c r="P5" s="24" t="str">
        <x:v>结论</x:v>
      </x:c>
    </x:row>
    <x:row r="6" ht="22.5" customHeight="1">
      <x:c r="A6" s="30" t="str">
        <x:v>C01</x:v>
      </x:c>
      <x:c r="B6" s="30" t="str">
        <x:v>漂流群岛</x:v>
      </x:c>
      <x:c r="C6" s="30" t="n">
        <x:v>0</x:v>
      </x:c>
      <x:c r="D6" s="30" t="n">
        <x:v>60</x:v>
      </x:c>
      <x:c r="E6" s="30" t="n">
        <x:v>450</x:v>
      </x:c>
      <x:c r="F6" s="30" t="n">
        <x:v>0</x:v>
      </x:c>
      <x:c r="G6" s="30" t="n">
        <x:f>E6+F6</x:f>
        <x:v>450</x:v>
      </x:c>
      <x:c r="H6" s="42" t="n">
        <x:f>G6/D6</x:f>
        <x:v>7.5</x:v>
      </x:c>
      <x:c r="I6" s="30" t="n">
        <x:v>4</x:v>
      </x:c>
      <x:c r="J6" s="30" t="n">
        <x:v>20</x:v>
      </x:c>
      <x:c r="K6" s="30" t="n">
        <x:v>0</x:v>
      </x:c>
      <x:c r="L6" s="30" t="n">
        <x:f>J6+K6</x:f>
        <x:v>20</x:v>
      </x:c>
      <x:c r="M6" s="42" t="n">
        <x:f>L6/I6</x:f>
        <x:v>5</x:v>
      </x:c>
      <x:c r="N6" s="42" t="n">
        <x:f>MAX(H6,M6)</x:f>
        <x:v>7.5</x:v>
      </x:c>
      <x:c r="O6" s="30" t="n">
        <x:v>1</x:v>
      </x:c>
      <x:c r="P6" s="30" t="str">
        <x:f>IF(N6&lt;=14,"闭环可控","需要降耗/提产")</x:f>
        <x:v>闭环可控</x:v>
      </x:c>
    </x:row>
    <x:row r="7" ht="22.5" customHeight="1">
      <x:c r="A7" s="30" t="str">
        <x:v>C02</x:v>
      </x:c>
      <x:c r="B7" s="30" t="str">
        <x:v>宁姆格福</x:v>
      </x:c>
      <x:c r="C7" s="30" t="n">
        <x:v>0</x:v>
      </x:c>
      <x:c r="D7" s="30" t="n">
        <x:v>60</x:v>
      </x:c>
      <x:c r="E7" s="30" t="n">
        <x:v>450</x:v>
      </x:c>
      <x:c r="F7" s="30" t="n">
        <x:v>0</x:v>
      </x:c>
      <x:c r="G7" s="30" t="n">
        <x:f>E7+F7</x:f>
        <x:v>450</x:v>
      </x:c>
      <x:c r="H7" s="42" t="n">
        <x:f>G7/D7</x:f>
        <x:v>7.5</x:v>
      </x:c>
      <x:c r="I7" s="30" t="n">
        <x:v>4</x:v>
      </x:c>
      <x:c r="J7" s="30" t="n">
        <x:v>20</x:v>
      </x:c>
      <x:c r="K7" s="30" t="n">
        <x:v>0</x:v>
      </x:c>
      <x:c r="L7" s="30" t="n">
        <x:f>J7+K7</x:f>
        <x:v>20</x:v>
      </x:c>
      <x:c r="M7" s="42" t="n">
        <x:f>L7/I7</x:f>
        <x:v>5</x:v>
      </x:c>
      <x:c r="N7" s="42" t="n">
        <x:f>MAX(H7,M7)</x:f>
        <x:v>7.5</x:v>
      </x:c>
      <x:c r="O7" s="30" t="n">
        <x:v>1</x:v>
      </x:c>
      <x:c r="P7" s="30" t="str">
        <x:f>IF(N7&lt;=14,"闭环可控","需要降耗/提产")</x:f>
        <x:v>闭环可控</x:v>
      </x:c>
    </x:row>
    <x:row r="8" ht="22.5" customHeight="1">
      <x:c r="A8" s="30" t="str">
        <x:v>C03</x:v>
      </x:c>
      <x:c r="B8" s="30" t="str">
        <x:v>宁姆格福西域</x:v>
      </x:c>
      <x:c r="C8" s="30" t="n">
        <x:v>1</x:v>
      </x:c>
      <x:c r="D8" s="30" t="n">
        <x:v>60</x:v>
      </x:c>
      <x:c r="E8" s="30" t="n">
        <x:v>450</x:v>
      </x:c>
      <x:c r="F8" s="30" t="n">
        <x:v>360</x:v>
      </x:c>
      <x:c r="G8" s="30" t="n">
        <x:f>E8+F8</x:f>
        <x:v>810</x:v>
      </x:c>
      <x:c r="H8" s="42" t="n">
        <x:f>G8/D8</x:f>
        <x:v>13.5</x:v>
      </x:c>
      <x:c r="I8" s="30" t="n">
        <x:v>4</x:v>
      </x:c>
      <x:c r="J8" s="30" t="n">
        <x:v>20</x:v>
      </x:c>
      <x:c r="K8" s="30" t="n">
        <x:v>24</x:v>
      </x:c>
      <x:c r="L8" s="30" t="n">
        <x:f>J8+K8</x:f>
        <x:v>44</x:v>
      </x:c>
      <x:c r="M8" s="42" t="n">
        <x:f>L8/I8</x:f>
        <x:v>11</x:v>
      </x:c>
      <x:c r="N8" s="42" t="n">
        <x:f>MAX(H8,M8)</x:f>
        <x:v>13.5</x:v>
      </x:c>
      <x:c r="O8" s="30" t="n">
        <x:v>1</x:v>
      </x:c>
      <x:c r="P8" s="30" t="str">
        <x:f>IF(N8&lt;=14,"闭环可控","需要降耗/提产")</x:f>
        <x:v>闭环可控</x:v>
      </x:c>
    </x:row>
    <x:row r="9" ht="22.5" customHeight="1">
      <x:c r="A9" s="30" t="str">
        <x:v>C04</x:v>
      </x:c>
      <x:c r="B9" s="30" t="str">
        <x:v>利耶尼亚海域</x:v>
      </x:c>
      <x:c r="C9" s="30" t="n">
        <x:v>2</x:v>
      </x:c>
      <x:c r="D9" s="30" t="n">
        <x:v>60</x:v>
      </x:c>
      <x:c r="E9" s="30" t="n">
        <x:v>450</x:v>
      </x:c>
      <x:c r="F9" s="30" t="n">
        <x:v>360</x:v>
      </x:c>
      <x:c r="G9" s="30" t="n">
        <x:f>E9+F9</x:f>
        <x:v>810</x:v>
      </x:c>
      <x:c r="H9" s="42" t="n">
        <x:f>G9/D9</x:f>
        <x:v>13.5</x:v>
      </x:c>
      <x:c r="I9" s="30" t="n">
        <x:v>4</x:v>
      </x:c>
      <x:c r="J9" s="30" t="n">
        <x:v>20</x:v>
      </x:c>
      <x:c r="K9" s="30" t="n">
        <x:v>24</x:v>
      </x:c>
      <x:c r="L9" s="30" t="n">
        <x:f>J9+K9</x:f>
        <x:v>44</x:v>
      </x:c>
      <x:c r="M9" s="42" t="n">
        <x:f>L9/I9</x:f>
        <x:v>11</x:v>
      </x:c>
      <x:c r="N9" s="42" t="n">
        <x:f>MAX(H9,M9)</x:f>
        <x:v>13.5</x:v>
      </x:c>
      <x:c r="O9" s="30" t="n">
        <x:v>1</x:v>
      </x:c>
      <x:c r="P9" s="30" t="str">
        <x:f>IF(N9&lt;=14,"闭环可控","需要降耗/提产")</x:f>
        <x:v>闭环可控</x:v>
      </x:c>
    </x:row>
    <x:row r="10" ht="22.5" customHeight="1">
      <x:c r="A10" s="30" t="str">
        <x:v>C05</x:v>
      </x:c>
      <x:c r="B10" s="30" t="str">
        <x:v>湖之利耶尼亚</x:v>
      </x:c>
      <x:c r="C10" s="30" t="n">
        <x:v>1</x:v>
      </x:c>
      <x:c r="D10" s="30" t="n">
        <x:v>60</x:v>
      </x:c>
      <x:c r="E10" s="30" t="n">
        <x:v>450</x:v>
      </x:c>
      <x:c r="F10" s="30" t="n">
        <x:v>360</x:v>
      </x:c>
      <x:c r="G10" s="30" t="n">
        <x:f>E10+F10</x:f>
        <x:v>810</x:v>
      </x:c>
      <x:c r="H10" s="42" t="n">
        <x:f>G10/D10</x:f>
        <x:v>13.5</x:v>
      </x:c>
      <x:c r="I10" s="30" t="n">
        <x:v>4</x:v>
      </x:c>
      <x:c r="J10" s="30" t="n">
        <x:v>20</x:v>
      </x:c>
      <x:c r="K10" s="30" t="n">
        <x:v>24</x:v>
      </x:c>
      <x:c r="L10" s="30" t="n">
        <x:f>J10+K10</x:f>
        <x:v>44</x:v>
      </x:c>
      <x:c r="M10" s="42" t="n">
        <x:f>L10/I10</x:f>
        <x:v>11</x:v>
      </x:c>
      <x:c r="N10" s="42" t="n">
        <x:f>MAX(H10,M10)</x:f>
        <x:v>13.5</x:v>
      </x:c>
      <x:c r="O10" s="30" t="n">
        <x:v>1</x:v>
      </x:c>
      <x:c r="P10" s="30" t="str">
        <x:f>IF(N10&lt;=14,"闭环可控","需要降耗/提产")</x:f>
        <x:v>闭环可控</x:v>
      </x:c>
    </x:row>
    <x:row r="11" ht="22.5" customHeight="1">
      <x:c r="A11" s="30" t="str">
        <x:v>C06</x:v>
      </x:c>
      <x:c r="B11" s="30" t="str">
        <x:v>盖利德</x:v>
      </x:c>
      <x:c r="C11" s="30" t="n">
        <x:v>1</x:v>
      </x:c>
      <x:c r="D11" s="30" t="n">
        <x:v>60</x:v>
      </x:c>
      <x:c r="E11" s="30" t="n">
        <x:v>450</x:v>
      </x:c>
      <x:c r="F11" s="30" t="n">
        <x:v>360</x:v>
      </x:c>
      <x:c r="G11" s="30" t="n">
        <x:f>E11+F11</x:f>
        <x:v>810</x:v>
      </x:c>
      <x:c r="H11" s="42" t="n">
        <x:f>G11/D11</x:f>
        <x:v>13.5</x:v>
      </x:c>
      <x:c r="I11" s="30" t="n">
        <x:v>4</x:v>
      </x:c>
      <x:c r="J11" s="30" t="n">
        <x:v>20</x:v>
      </x:c>
      <x:c r="K11" s="30" t="n">
        <x:v>24</x:v>
      </x:c>
      <x:c r="L11" s="30" t="n">
        <x:f>J11+K11</x:f>
        <x:v>44</x:v>
      </x:c>
      <x:c r="M11" s="42" t="n">
        <x:f>L11/I11</x:f>
        <x:v>11</x:v>
      </x:c>
      <x:c r="N11" s="42" t="n">
        <x:f>MAX(H11,M11)</x:f>
        <x:v>13.5</x:v>
      </x:c>
      <x:c r="O11" s="30" t="n">
        <x:v>1</x:v>
      </x:c>
      <x:c r="P11" s="30" t="str">
        <x:f>IF(N11&lt;=14,"闭环可控","需要降耗/提产")</x:f>
        <x:v>闭环可控</x:v>
      </x:c>
    </x:row>
    <x:row r="12" ht="22.5" customHeight="1">
      <x:c r="A12" s="30" t="str">
        <x:v>C07</x:v>
      </x:c>
      <x:c r="B12" s="30" t="str">
        <x:v>化圣雪原</x:v>
      </x:c>
      <x:c r="C12" s="30" t="n">
        <x:v>2</x:v>
      </x:c>
      <x:c r="D12" s="30" t="n">
        <x:v>60</x:v>
      </x:c>
      <x:c r="E12" s="30" t="n">
        <x:v>450</x:v>
      </x:c>
      <x:c r="F12" s="30" t="n">
        <x:v>360</x:v>
      </x:c>
      <x:c r="G12" s="30" t="n">
        <x:f>E12+F12</x:f>
        <x:v>810</x:v>
      </x:c>
      <x:c r="H12" s="42" t="n">
        <x:f>G12/D12</x:f>
        <x:v>13.5</x:v>
      </x:c>
      <x:c r="I12" s="30" t="n">
        <x:v>4</x:v>
      </x:c>
      <x:c r="J12" s="30" t="n">
        <x:v>20</x:v>
      </x:c>
      <x:c r="K12" s="30" t="n">
        <x:v>24</x:v>
      </x:c>
      <x:c r="L12" s="30" t="n">
        <x:f>J12+K12</x:f>
        <x:v>44</x:v>
      </x:c>
      <x:c r="M12" s="42" t="n">
        <x:f>L12/I12</x:f>
        <x:v>11</x:v>
      </x:c>
      <x:c r="N12" s="42" t="n">
        <x:f>MAX(H12,M12)</x:f>
        <x:v>13.5</x:v>
      </x:c>
      <x:c r="O12" s="30" t="n">
        <x:v>1</x:v>
      </x:c>
      <x:c r="P12" s="30" t="str">
        <x:f>IF(N12&lt;=14,"闭环可控","需要降耗/提产")</x:f>
        <x:v>闭环可控</x:v>
      </x:c>
    </x:row>
    <x:row r="13" ht="22.5" customHeight="1">
      <x:c r="A13" s="30" t="str">
        <x:v>C08</x:v>
      </x:c>
      <x:c r="B13" s="30" t="str">
        <x:v>巨人山顶</x:v>
      </x:c>
      <x:c r="C13" s="30" t="n">
        <x:v>1</x:v>
      </x:c>
      <x:c r="D13" s="30" t="n">
        <x:v>60</x:v>
      </x:c>
      <x:c r="E13" s="30" t="n">
        <x:v>450</x:v>
      </x:c>
      <x:c r="F13" s="30" t="n">
        <x:v>360</x:v>
      </x:c>
      <x:c r="G13" s="30" t="n">
        <x:f>E13+F13</x:f>
        <x:v>810</x:v>
      </x:c>
      <x:c r="H13" s="42" t="n">
        <x:f>G13/D13</x:f>
        <x:v>13.5</x:v>
      </x:c>
      <x:c r="I13" s="30" t="n">
        <x:v>4</x:v>
      </x:c>
      <x:c r="J13" s="30" t="n">
        <x:v>20</x:v>
      </x:c>
      <x:c r="K13" s="30" t="n">
        <x:v>24</x:v>
      </x:c>
      <x:c r="L13" s="30" t="n">
        <x:f>J13+K13</x:f>
        <x:v>44</x:v>
      </x:c>
      <x:c r="M13" s="42" t="n">
        <x:f>L13/I13</x:f>
        <x:v>11</x:v>
      </x:c>
      <x:c r="N13" s="42" t="n">
        <x:f>MAX(H13,M13)</x:f>
        <x:v>13.5</x:v>
      </x:c>
      <x:c r="O13" s="30" t="n">
        <x:v>1</x:v>
      </x:c>
      <x:c r="P13" s="30" t="str">
        <x:f>IF(N13&lt;=14,"闭环可控","需要降耗/提产")</x:f>
        <x:v>闭环可控</x:v>
      </x:c>
    </x:row>
    <x:row r="14" ht="22.5" customHeight="1">
      <x:c r="A14" s="30" t="str">
        <x:v>C09</x:v>
      </x:c>
      <x:c r="B14" s="30" t="str">
        <x:v>亚坛高原</x:v>
      </x:c>
      <x:c r="C14" s="30" t="n">
        <x:v>1</x:v>
      </x:c>
      <x:c r="D14" s="30" t="n">
        <x:v>60</x:v>
      </x:c>
      <x:c r="E14" s="30" t="n">
        <x:v>450</x:v>
      </x:c>
      <x:c r="F14" s="30" t="n">
        <x:v>360</x:v>
      </x:c>
      <x:c r="G14" s="30" t="n">
        <x:f>E14+F14</x:f>
        <x:v>810</x:v>
      </x:c>
      <x:c r="H14" s="42" t="n">
        <x:f>G14/D14</x:f>
        <x:v>13.5</x:v>
      </x:c>
      <x:c r="I14" s="30" t="n">
        <x:v>4</x:v>
      </x:c>
      <x:c r="J14" s="30" t="n">
        <x:v>20</x:v>
      </x:c>
      <x:c r="K14" s="30" t="n">
        <x:v>24</x:v>
      </x:c>
      <x:c r="L14" s="30" t="n">
        <x:f>J14+K14</x:f>
        <x:v>44</x:v>
      </x:c>
      <x:c r="M14" s="42" t="n">
        <x:f>L14/I14</x:f>
        <x:v>11</x:v>
      </x:c>
      <x:c r="N14" s="42" t="n">
        <x:f>MAX(H14,M14)</x:f>
        <x:v>13.5</x:v>
      </x:c>
      <x:c r="O14" s="30" t="n">
        <x:v>1</x:v>
      </x:c>
      <x:c r="P14" s="30" t="str">
        <x:f>IF(N14&lt;=14,"闭环可控","需要降耗/提产")</x:f>
        <x:v>闭环可控</x:v>
      </x:c>
    </x:row>
    <x:row r="15" ht="22.5" customHeight="1">
      <x:c r="A15" s="30" t="str">
        <x:v>C10</x:v>
      </x:c>
      <x:c r="B15" s="30" t="str">
        <x:v>王城罗德尔</x:v>
      </x:c>
      <x:c r="C15" s="30" t="n">
        <x:v>2</x:v>
      </x:c>
      <x:c r="D15" s="30" t="n">
        <x:v>60</x:v>
      </x:c>
      <x:c r="E15" s="30" t="n">
        <x:v>450</x:v>
      </x:c>
      <x:c r="F15" s="30" t="n">
        <x:v>360</x:v>
      </x:c>
      <x:c r="G15" s="30" t="n">
        <x:f>E15+F15</x:f>
        <x:v>810</x:v>
      </x:c>
      <x:c r="H15" s="42" t="n">
        <x:f>G15/D15</x:f>
        <x:v>13.5</x:v>
      </x:c>
      <x:c r="I15" s="30" t="n">
        <x:v>4</x:v>
      </x:c>
      <x:c r="J15" s="30" t="n">
        <x:v>20</x:v>
      </x:c>
      <x:c r="K15" s="30" t="n">
        <x:v>24</x:v>
      </x:c>
      <x:c r="L15" s="30" t="n">
        <x:f>J15+K15</x:f>
        <x:v>44</x:v>
      </x:c>
      <x:c r="M15" s="42" t="n">
        <x:f>L15/I15</x:f>
        <x:v>11</x:v>
      </x:c>
      <x:c r="N15" s="42" t="n">
        <x:f>MAX(H15,M15)</x:f>
        <x:v>13.5</x:v>
      </x:c>
      <x:c r="O15" s="30" t="n">
        <x:v>1</x:v>
      </x:c>
      <x:c r="P15" s="30" t="str">
        <x:f>IF(N15&lt;=14,"闭环可控","需要降耗/提产")</x:f>
        <x:v>闭环可控</x:v>
      </x:c>
    </x:row>
    <x:row r="17" ht="21" customHeight="1">
      <x:c r="A17" s="18" t="str">
        <x:v>五阶段大陆称号固定消耗</x:v>
      </x:c>
      <x:c r="B17" s="18" t="str">
        <x:v>五阶段大陆称号固定消耗</x:v>
      </x:c>
      <x:c r="C17" s="18" t="str">
        <x:v>五阶段大陆称号固定消耗</x:v>
      </x:c>
      <x:c r="D17" s="18" t="str">
        <x:v>五阶段大陆称号固定消耗</x:v>
      </x:c>
      <x:c r="E17" s="18" t="str">
        <x:v>五阶段大陆称号固定消耗</x:v>
      </x:c>
      <x:c r="F17" s="18" t="str">
        <x:v>五阶段大陆称号固定消耗</x:v>
      </x:c>
      <x:c r="G17" s="18" t="str">
        <x:v>五阶段大陆称号固定消耗</x:v>
      </x:c>
      <x:c r="H17" s="18" t="str">
        <x:v>五阶段大陆称号固定消耗</x:v>
      </x:c>
      <x:c r="I17" s="18" t="str">
        <x:v>五阶段大陆称号固定消耗</x:v>
      </x:c>
      <x:c r="J17" s="18" t="str">
        <x:v>五阶段大陆称号固定消耗</x:v>
      </x:c>
    </x:row>
    <x:row r="18" ht="24" customHeight="1">
      <x:c r="A18" s="36" t="str">
        <x:v>阶段</x:v>
      </x:c>
      <x:c r="B18" s="36" t="str">
        <x:v>通用材料</x:v>
      </x:c>
      <x:c r="C18" s="36" t="str">
        <x:v>稀有材料</x:v>
      </x:c>
      <x:c r="D18" s="36" t="str">
        <x:v>货币工时</x:v>
      </x:c>
      <x:c r="E18" s="36" t="str">
        <x:v>剧情印记</x:v>
      </x:c>
      <x:c r="F18" s="36" t="str">
        <x:v>累计通用</x:v>
      </x:c>
      <x:c r="G18" s="36" t="str">
        <x:v>累计稀有</x:v>
      </x:c>
      <x:c r="H18" s="36" t="str">
        <x:v>累计工时</x:v>
      </x:c>
      <x:c r="I18" s="36" t="str">
        <x:v>NPC显示</x:v>
      </x:c>
      <x:c r="J18" s="36" t="str">
        <x:v>说明</x:v>
      </x:c>
    </x:row>
    <x:row r="19" ht="25.5" customHeight="1">
      <x:c r="A19" s="30" t="n">
        <x:v>1</x:v>
      </x:c>
      <x:c r="B19" s="30" t="n">
        <x:v>30</x:v>
      </x:c>
      <x:c r="C19" s="30" t="n">
        <x:v>0</x:v>
      </x:c>
      <x:c r="D19" s="46" t="n">
        <x:v>0.5</x:v>
      </x:c>
      <x:c r="E19" s="30" t="n">
        <x:v>0</x:v>
      </x:c>
      <x:c r="F19" s="30" t="n">
        <x:f>SUM($B$19:B19)</x:f>
        <x:v>30</x:v>
      </x:c>
      <x:c r="G19" s="30" t="n">
        <x:f>SUM($C$19:C19)</x:f>
        <x:v>0</x:v>
      </x:c>
      <x:c r="H19" s="46" t="n">
        <x:f>SUM($D$19:D19)</x:f>
        <x:v>0.5</x:v>
      </x:c>
      <x:c r="I19" s="30" t="str">
        <x:v>只显示下一阶段</x:v>
      </x:c>
      <x:c r="J19" s="29" t="str">
        <x:v>称号覆盖写当前总属性</x:v>
      </x:c>
    </x:row>
    <x:row r="20" ht="25.5" customHeight="1">
      <x:c r="A20" s="30" t="n">
        <x:v>2</x:v>
      </x:c>
      <x:c r="B20" s="30" t="n">
        <x:v>60</x:v>
      </x:c>
      <x:c r="C20" s="30" t="n">
        <x:v>2</x:v>
      </x:c>
      <x:c r="D20" s="46" t="n">
        <x:v>0.5</x:v>
      </x:c>
      <x:c r="E20" s="30" t="n">
        <x:v>0</x:v>
      </x:c>
      <x:c r="F20" s="30" t="n">
        <x:f>SUM($B$19:B20)</x:f>
        <x:v>90</x:v>
      </x:c>
      <x:c r="G20" s="30" t="n">
        <x:f>SUM($C$19:C20)</x:f>
        <x:v>2</x:v>
      </x:c>
      <x:c r="H20" s="46" t="n">
        <x:f>SUM($D$19:D20)</x:f>
        <x:v>1</x:v>
      </x:c>
      <x:c r="I20" s="30" t="str">
        <x:v>只显示下一阶段</x:v>
      </x:c>
      <x:c r="J20" s="29" t="str">
        <x:v>称号覆盖写当前总属性</x:v>
      </x:c>
    </x:row>
    <x:row r="21" ht="25.5" customHeight="1">
      <x:c r="A21" s="30" t="n">
        <x:v>3</x:v>
      </x:c>
      <x:c r="B21" s="30" t="n">
        <x:v>90</x:v>
      </x:c>
      <x:c r="C21" s="30" t="n">
        <x:v>4</x:v>
      </x:c>
      <x:c r="D21" s="46" t="n">
        <x:v>1</x:v>
      </x:c>
      <x:c r="E21" s="30" t="n">
        <x:v>0</x:v>
      </x:c>
      <x:c r="F21" s="30" t="n">
        <x:f>SUM($B$19:B21)</x:f>
        <x:v>180</x:v>
      </x:c>
      <x:c r="G21" s="30" t="n">
        <x:f>SUM($C$19:C21)</x:f>
        <x:v>6</x:v>
      </x:c>
      <x:c r="H21" s="46" t="n">
        <x:f>SUM($D$19:D21)</x:f>
        <x:v>2</x:v>
      </x:c>
      <x:c r="I21" s="30" t="str">
        <x:v>只显示下一阶段</x:v>
      </x:c>
      <x:c r="J21" s="29" t="str">
        <x:v>称号覆盖写当前总属性</x:v>
      </x:c>
    </x:row>
    <x:row r="22" ht="25.5" customHeight="1">
      <x:c r="A22" s="30" t="n">
        <x:v>4</x:v>
      </x:c>
      <x:c r="B22" s="30" t="n">
        <x:v>120</x:v>
      </x:c>
      <x:c r="C22" s="30" t="n">
        <x:v>6</x:v>
      </x:c>
      <x:c r="D22" s="46" t="n">
        <x:v>1.5</x:v>
      </x:c>
      <x:c r="E22" s="30" t="n">
        <x:v>0</x:v>
      </x:c>
      <x:c r="F22" s="30" t="n">
        <x:f>SUM($B$19:B22)</x:f>
        <x:v>300</x:v>
      </x:c>
      <x:c r="G22" s="30" t="n">
        <x:f>SUM($C$19:C22)</x:f>
        <x:v>12</x:v>
      </x:c>
      <x:c r="H22" s="46" t="n">
        <x:f>SUM($D$19:D22)</x:f>
        <x:v>3.5</x:v>
      </x:c>
      <x:c r="I22" s="30" t="str">
        <x:v>只显示下一阶段</x:v>
      </x:c>
      <x:c r="J22" s="29" t="str">
        <x:v>称号覆盖写当前总属性</x:v>
      </x:c>
    </x:row>
    <x:row r="23" ht="25.5" customHeight="1">
      <x:c r="A23" s="30" t="n">
        <x:v>5</x:v>
      </x:c>
      <x:c r="B23" s="30" t="n">
        <x:v>150</x:v>
      </x:c>
      <x:c r="C23" s="30" t="n">
        <x:v>8</x:v>
      </x:c>
      <x:c r="D23" s="46" t="n">
        <x:v>2</x:v>
      </x:c>
      <x:c r="E23" s="30" t="n">
        <x:v>1</x:v>
      </x:c>
      <x:c r="F23" s="30" t="n">
        <x:f>SUM($B$19:B23)</x:f>
        <x:v>450</x:v>
      </x:c>
      <x:c r="G23" s="30" t="n">
        <x:f>SUM($C$19:C23)</x:f>
        <x:v>20</x:v>
      </x:c>
      <x:c r="H23" s="46" t="n">
        <x:f>SUM($D$19:D23)</x:f>
        <x:v>5.5</x:v>
      </x:c>
      <x:c r="I23" s="30" t="str">
        <x:v>只显示下一阶段</x:v>
      </x:c>
      <x:c r="J23" s="29" t="str">
        <x:v>印记由主任务/守关首杀固定发</x:v>
      </x:c>
    </x:row>
    <x:row r="25" ht="21" customHeight="1">
      <x:c r="A25" s="18" t="str">
        <x:v>C03—C10四证任务产消</x:v>
      </x:c>
      <x:c r="B25" s="18" t="str">
        <x:v>C03—C10四证任务产消</x:v>
      </x:c>
      <x:c r="C25" s="18" t="str">
        <x:v>C03—C10四证任务产消</x:v>
      </x:c>
      <x:c r="D25" s="18" t="str">
        <x:v>C03—C10四证任务产消</x:v>
      </x:c>
      <x:c r="E25" s="18" t="str">
        <x:v>C03—C10四证任务产消</x:v>
      </x:c>
      <x:c r="F25" s="18" t="str">
        <x:v>C03—C10四证任务产消</x:v>
      </x:c>
      <x:c r="G25" s="18" t="str">
        <x:v>C03—C10四证任务产消</x:v>
      </x:c>
      <x:c r="H25" s="18" t="str">
        <x:v>C03—C10四证任务产消</x:v>
      </x:c>
      <x:c r="I25" s="18" t="str">
        <x:v>C03—C10四证任务产消</x:v>
      </x:c>
      <x:c r="J25" s="18" t="str">
        <x:v>C03—C10四证任务产消</x:v>
      </x:c>
    </x:row>
    <x:row r="26" ht="24" customHeight="1">
      <x:c r="A26" s="36" t="str">
        <x:v>大陆</x:v>
      </x:c>
      <x:c r="B26" s="36" t="str">
        <x:v>任务</x:v>
      </x:c>
      <x:c r="C26" s="36" t="str">
        <x:v>普通E/h</x:v>
      </x:c>
      <x:c r="D26" s="36" t="str">
        <x:v>精英E/h</x:v>
      </x:c>
      <x:c r="E26" s="36" t="str">
        <x:v>地图Boss E/h</x:v>
      </x:c>
      <x:c r="F26" s="36" t="str">
        <x:v>守关E/h</x:v>
      </x:c>
      <x:c r="G26" s="36" t="str">
        <x:v>一次消耗</x:v>
      </x:c>
      <x:c r="H26" s="36" t="str">
        <x:v>首杀保护</x:v>
      </x:c>
      <x:c r="I26" s="36" t="str">
        <x:v>余料处理</x:v>
      </x:c>
      <x:c r="J26" s="36" t="str">
        <x:v>预计最长复刷工时</x:v>
      </x:c>
    </x:row>
    <x:row r="27" ht="31.5" customHeight="1">
      <x:c r="A27" s="30" t="str">
        <x:v>C03</x:v>
      </x:c>
      <x:c r="B27" s="30" t="str">
        <x:v>断路商队</x:v>
      </x:c>
      <x:c r="C27" s="42" t="n">
        <x:v>1.5</x:v>
      </x:c>
      <x:c r="D27" s="42" t="n">
        <x:v>0.8</x:v>
      </x:c>
      <x:c r="E27" s="42" t="n">
        <x:v>0.3</x:v>
      </x:c>
      <x:c r="F27" s="42" t="n">
        <x:v>0.15</x:v>
      </x:c>
      <x:c r="G27" s="30" t="str">
        <x:v>四种各1</x:v>
      </x:c>
      <x:c r="H27" s="30" t="str">
        <x:v>两类Boss首次固定1</x:v>
      </x:c>
      <x:c r="I27" s="29" t="str">
        <x:v>任务完成后停止；不支持条件掉落则低比例换通用材料</x:v>
      </x:c>
      <x:c r="J27" s="47" t="n">
        <x:f>MAX(1/C27,1/D27,1/E27)</x:f>
        <x:v>3.3333333333333335</x:v>
      </x:c>
    </x:row>
    <x:row r="28" ht="31.5" customHeight="1">
      <x:c r="A28" s="30" t="str">
        <x:v>C04</x:v>
      </x:c>
      <x:c r="B28" s="30" t="str">
        <x:v>沉船守誓者</x:v>
      </x:c>
      <x:c r="C28" s="42" t="n">
        <x:v>1.5</x:v>
      </x:c>
      <x:c r="D28" s="42" t="n">
        <x:v>0.8</x:v>
      </x:c>
      <x:c r="E28" s="42" t="n">
        <x:v>0.3</x:v>
      </x:c>
      <x:c r="F28" s="42" t="n">
        <x:v>0.15</x:v>
      </x:c>
      <x:c r="G28" s="30" t="str">
        <x:v>四种各1</x:v>
      </x:c>
      <x:c r="H28" s="30" t="str">
        <x:v>两类Boss首次固定1</x:v>
      </x:c>
      <x:c r="I28" s="29" t="str">
        <x:v>任务完成后停止；不支持条件掉落则低比例换通用材料</x:v>
      </x:c>
      <x:c r="J28" s="47" t="n">
        <x:f>MAX(1/C28,1/D28,1/E28)</x:f>
        <x:v>3.3333333333333335</x:v>
      </x:c>
    </x:row>
    <x:row r="29" ht="31.5" customHeight="1">
      <x:c r="A29" s="30" t="str">
        <x:v>C05</x:v>
      </x:c>
      <x:c r="B29" s="30" t="str">
        <x:v>被封印的讲义</x:v>
      </x:c>
      <x:c r="C29" s="42" t="n">
        <x:v>1.5</x:v>
      </x:c>
      <x:c r="D29" s="42" t="n">
        <x:v>0.8</x:v>
      </x:c>
      <x:c r="E29" s="42" t="n">
        <x:v>0.3</x:v>
      </x:c>
      <x:c r="F29" s="42" t="n">
        <x:v>0.15</x:v>
      </x:c>
      <x:c r="G29" s="30" t="str">
        <x:v>四种各1</x:v>
      </x:c>
      <x:c r="H29" s="30" t="str">
        <x:v>两类Boss首次固定1</x:v>
      </x:c>
      <x:c r="I29" s="29" t="str">
        <x:v>任务完成后停止；不支持条件掉落则低比例换通用材料</x:v>
      </x:c>
      <x:c r="J29" s="47" t="n">
        <x:f>MAX(1/C29,1/D29,1/E29)</x:f>
        <x:v>3.3333333333333335</x:v>
      </x:c>
    </x:row>
    <x:row r="30" ht="31.5" customHeight="1">
      <x:c r="A30" s="30" t="str">
        <x:v>C06</x:v>
      </x:c>
      <x:c r="B30" s="30" t="str">
        <x:v>腐心不屈</x:v>
      </x:c>
      <x:c r="C30" s="42" t="n">
        <x:v>1.5</x:v>
      </x:c>
      <x:c r="D30" s="42" t="n">
        <x:v>0.8</x:v>
      </x:c>
      <x:c r="E30" s="42" t="n">
        <x:v>0.3</x:v>
      </x:c>
      <x:c r="F30" s="42" t="n">
        <x:v>0.15</x:v>
      </x:c>
      <x:c r="G30" s="30" t="str">
        <x:v>四种各1</x:v>
      </x:c>
      <x:c r="H30" s="30" t="str">
        <x:v>两类Boss首次固定1</x:v>
      </x:c>
      <x:c r="I30" s="29" t="str">
        <x:v>任务完成后停止；不支持条件掉落则低比例换通用材料</x:v>
      </x:c>
      <x:c r="J30" s="47" t="n">
        <x:f>MAX(1/C30,1/D30,1/E30)</x:f>
        <x:v>3.3333333333333335</x:v>
      </x:c>
    </x:row>
    <x:row r="31" ht="31.5" customHeight="1">
      <x:c r="A31" s="30" t="str">
        <x:v>C07</x:v>
      </x:c>
      <x:c r="B31" s="30" t="str">
        <x:v>白金族的归途</x:v>
      </x:c>
      <x:c r="C31" s="42" t="n">
        <x:v>1.5</x:v>
      </x:c>
      <x:c r="D31" s="42" t="n">
        <x:v>0.8</x:v>
      </x:c>
      <x:c r="E31" s="42" t="n">
        <x:v>0.3</x:v>
      </x:c>
      <x:c r="F31" s="42" t="n">
        <x:v>0.15</x:v>
      </x:c>
      <x:c r="G31" s="30" t="str">
        <x:v>四种各1</x:v>
      </x:c>
      <x:c r="H31" s="30" t="str">
        <x:v>两类Boss首次固定1</x:v>
      </x:c>
      <x:c r="I31" s="29" t="str">
        <x:v>任务完成后停止；不支持条件掉落则低比例换通用材料</x:v>
      </x:c>
      <x:c r="J31" s="47" t="n">
        <x:f>MAX(1/C31,1/D31,1/E31)</x:f>
        <x:v>3.3333333333333335</x:v>
      </x:c>
    </x:row>
    <x:row r="32" ht="31.5" customHeight="1">
      <x:c r="A32" s="30" t="str">
        <x:v>C08</x:v>
      </x:c>
      <x:c r="B32" s="30" t="str">
        <x:v>山巅守火人</x:v>
      </x:c>
      <x:c r="C32" s="42" t="n">
        <x:v>1.5</x:v>
      </x:c>
      <x:c r="D32" s="42" t="n">
        <x:v>0.8</x:v>
      </x:c>
      <x:c r="E32" s="42" t="n">
        <x:v>0.3</x:v>
      </x:c>
      <x:c r="F32" s="42" t="n">
        <x:v>0.15</x:v>
      </x:c>
      <x:c r="G32" s="30" t="str">
        <x:v>四种各1</x:v>
      </x:c>
      <x:c r="H32" s="30" t="str">
        <x:v>两类Boss首次固定1</x:v>
      </x:c>
      <x:c r="I32" s="29" t="str">
        <x:v>任务完成后停止；不支持条件掉落则低比例换通用材料</x:v>
      </x:c>
      <x:c r="J32" s="47" t="n">
        <x:f>MAX(1/C32,1/D32,1/E32)</x:f>
        <x:v>3.3333333333333335</x:v>
      </x:c>
    </x:row>
    <x:row r="33" ht="31.5" customHeight="1">
      <x:c r="A33" s="30" t="str">
        <x:v>C09</x:v>
      </x:c>
      <x:c r="B33" s="30" t="str">
        <x:v>矿脉最后一班</x:v>
      </x:c>
      <x:c r="C33" s="42" t="n">
        <x:v>1.5</x:v>
      </x:c>
      <x:c r="D33" s="42" t="n">
        <x:v>0.8</x:v>
      </x:c>
      <x:c r="E33" s="42" t="n">
        <x:v>0.3</x:v>
      </x:c>
      <x:c r="F33" s="42" t="n">
        <x:v>0.15</x:v>
      </x:c>
      <x:c r="G33" s="30" t="str">
        <x:v>四种各1</x:v>
      </x:c>
      <x:c r="H33" s="30" t="str">
        <x:v>两类Boss首次固定1</x:v>
      </x:c>
      <x:c r="I33" s="29" t="str">
        <x:v>任务完成后停止；不支持条件掉落则低比例换通用材料</x:v>
      </x:c>
      <x:c r="J33" s="47" t="n">
        <x:f>MAX(1/C33,1/D33,1/E33)</x:f>
        <x:v>3.3333333333333335</x:v>
      </x:c>
    </x:row>
    <x:row r="34" ht="31.5" customHeight="1">
      <x:c r="A34" s="30" t="str">
        <x:v>C10</x:v>
      </x:c>
      <x:c r="B34" s="30" t="str">
        <x:v>王城终誓</x:v>
      </x:c>
      <x:c r="C34" s="42" t="n">
        <x:v>1.5</x:v>
      </x:c>
      <x:c r="D34" s="42" t="n">
        <x:v>0.8</x:v>
      </x:c>
      <x:c r="E34" s="42" t="n">
        <x:v>0.3</x:v>
      </x:c>
      <x:c r="F34" s="42" t="n">
        <x:v>0.15</x:v>
      </x:c>
      <x:c r="G34" s="30" t="str">
        <x:v>四种各1</x:v>
      </x:c>
      <x:c r="H34" s="30" t="str">
        <x:v>两类Boss首次固定1</x:v>
      </x:c>
      <x:c r="I34" s="29" t="str">
        <x:v>任务完成后停止；不支持条件掉落则低比例换通用材料</x:v>
      </x:c>
      <x:c r="J34" s="47" t="n">
        <x:f>MAX(1/C34,1/D34,1/E34)</x:f>
        <x:v>3.3333333333333335</x:v>
      </x:c>
    </x:row>
  </x:sheetData>
  <x:mergeCells>
    <x:mergeCell ref="A1:P1"/>
    <x:mergeCell ref="A2:P2"/>
    <x:mergeCell ref="A4:P4"/>
    <x:mergeCell ref="A17:J17"/>
    <x:mergeCell ref="A25:J25"/>
  </x:mergeCells>
  <x:conditionalFormatting sqref="P6:P15">
    <x:cfRule type="containsText" dxfId="21" priority="1" operator="containsText" text="已确认"/>
    <x:cfRule type="containsText" dxfId="22" priority="2" operator="containsText" text="定稿"/>
    <x:cfRule type="containsText" dxfId="23" priority="3" operator="containsText" text="正常"/>
    <x:cfRule type="containsText" dxfId="24" priority="4" operator="containsText" text="待"/>
    <x:cfRule type="containsText" dxfId="25" priority="5" operator="containsText" text="缺失"/>
    <x:cfRule type="containsText" dxfId="26" priority="6" operator="containsText" text="重复"/>
    <x:cfRule type="containsText" dxfId="27" priority="7" operator="containsText" text="严重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6" hidden="0" customWidth="1"/>
    <x:col min="3" max="3" width="11.800000190734863" hidden="0" customWidth="1"/>
    <x:col min="4" max="4" width="8" hidden="0" customWidth="1"/>
    <x:col min="5" max="5" width="22.5" hidden="0" customWidth="1"/>
    <x:col min="6" max="6" width="22.5" hidden="0" customWidth="1"/>
    <x:col min="7" max="7" width="22" hidden="0" customWidth="1"/>
    <x:col min="8" max="8" width="22" hidden="0" customWidth="1"/>
    <x:col min="9" max="9" width="11" hidden="0" customWidth="1"/>
    <x:col min="10" max="10" width="6.599999904632568" hidden="0" customWidth="1"/>
    <x:col min="11" max="11" width="11" hidden="0" customWidth="1"/>
    <x:col min="12" max="12" width="6.599999904632568" hidden="0" customWidth="1"/>
    <x:col min="13" max="13" width="15" hidden="0" customWidth="1"/>
    <x:col min="14" max="14" width="8.199999809265137" hidden="0" customWidth="1"/>
    <x:col min="15" max="15" width="7.599999904632568" hidden="0" customWidth="1"/>
    <x:col min="16" max="16" width="24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12" hidden="0" customWidth="1"/>
    <x:col min="22" max="22" width="24" hidden="0" customWidth="1"/>
    <x:col min="23" max="23" width="13.5" hidden="0" customWidth="1"/>
  </x:cols>
  <x:sheetData>
    <x:row r="1" ht="28.5" customHeight="1">
      <x:c r="A1" s="4" t="str">
        <x:v>C03—C10｜11件强合成完整配方</x:v>
      </x:c>
      <x:c r="B1" s="4" t="str">
        <x:v>C03—C10｜11件强合成完整配方</x:v>
      </x:c>
      <x:c r="C1" s="4" t="str">
        <x:v>C03—C10｜11件强合成完整配方</x:v>
      </x:c>
      <x:c r="D1" s="4" t="str">
        <x:v>C03—C10｜11件强合成完整配方</x:v>
      </x:c>
      <x:c r="E1" s="4" t="str">
        <x:v>C03—C10｜11件强合成完整配方</x:v>
      </x:c>
      <x:c r="F1" s="4" t="str">
        <x:v>C03—C10｜11件强合成完整配方</x:v>
      </x:c>
      <x:c r="G1" s="4" t="str">
        <x:v>C03—C10｜11件强合成完整配方</x:v>
      </x:c>
      <x:c r="H1" s="4" t="str">
        <x:v>C03—C10｜11件强合成完整配方</x:v>
      </x:c>
      <x:c r="I1" s="4" t="str">
        <x:v>C03—C10｜11件强合成完整配方</x:v>
      </x:c>
      <x:c r="J1" s="4" t="str">
        <x:v>C03—C10｜11件强合成完整配方</x:v>
      </x:c>
      <x:c r="K1" s="4" t="str">
        <x:v>C03—C10｜11件强合成完整配方</x:v>
      </x:c>
      <x:c r="L1" s="4" t="str">
        <x:v>C03—C10｜11件强合成完整配方</x:v>
      </x:c>
      <x:c r="M1" s="4" t="str">
        <x:v>C03—C10｜11件强合成完整配方</x:v>
      </x:c>
      <x:c r="N1" s="4" t="str">
        <x:v>C03—C10｜11件强合成完整配方</x:v>
      </x:c>
      <x:c r="O1" s="4" t="str">
        <x:v>C03—C10｜11件强合成完整配方</x:v>
      </x:c>
      <x:c r="P1" s="4" t="str">
        <x:v>C03—C10｜11件强合成完整配方</x:v>
      </x:c>
      <x:c r="Q1" s="4" t="str">
        <x:v>C03—C10｜11件强合成完整配方</x:v>
      </x:c>
      <x:c r="R1" s="4" t="str">
        <x:v>C03—C10｜11件强合成完整配方</x:v>
      </x:c>
      <x:c r="S1" s="4" t="str">
        <x:v>C03—C10｜11件强合成完整配方</x:v>
      </x:c>
      <x:c r="T1" s="4" t="str">
        <x:v>C03—C10｜11件强合成完整配方</x:v>
      </x:c>
      <x:c r="U1" s="4" t="str">
        <x:v>C03—C10｜11件强合成完整配方</x:v>
      </x:c>
      <x:c r="V1" s="4" t="str">
        <x:v>C03—C10｜11件强合成完整配方</x:v>
      </x:c>
      <x:c r="W1" s="4" t="str">
        <x:v>C03—C10｜11件强合成完整配方</x:v>
      </x:c>
    </x:row>
    <x:row r="2" ht="31.5" customHeight="1">
      <x:c r="A2" s="51" t="str">
        <x:v>四证奖励开始占用本大陆最大爆率预算，因此强合成最大爆率由旧分配下调，但大陆装备最大爆率总增量不变，规划M仍为10/14/20/28/40/55/75/100。固定核心词条不可洗。</x:v>
      </x:c>
      <x:c r="B2" s="51" t="str">
        <x:v>四证奖励开始占用本大陆最大爆率预算，因此强合成最大爆率由旧分配下调，但大陆装备最大爆率总增量不变，规划M仍为10/14/20/28/40/55/75/100。固定核心词条不可洗。</x:v>
      </x:c>
      <x:c r="C2" s="51" t="str">
        <x:v>四证奖励开始占用本大陆最大爆率预算，因此强合成最大爆率由旧分配下调，但大陆装备最大爆率总增量不变，规划M仍为10/14/20/28/40/55/75/100。固定核心词条不可洗。</x:v>
      </x:c>
      <x:c r="D2" s="51" t="str">
        <x:v>四证奖励开始占用本大陆最大爆率预算，因此强合成最大爆率由旧分配下调，但大陆装备最大爆率总增量不变，规划M仍为10/14/20/28/40/55/75/100。固定核心词条不可洗。</x:v>
      </x:c>
      <x:c r="E2" s="51" t="str">
        <x:v>四证奖励开始占用本大陆最大爆率预算，因此强合成最大爆率由旧分配下调，但大陆装备最大爆率总增量不变，规划M仍为10/14/20/28/40/55/75/100。固定核心词条不可洗。</x:v>
      </x:c>
      <x:c r="F2" s="51" t="str">
        <x:v>四证奖励开始占用本大陆最大爆率预算，因此强合成最大爆率由旧分配下调，但大陆装备最大爆率总增量不变，规划M仍为10/14/20/28/40/55/75/100。固定核心词条不可洗。</x:v>
      </x:c>
      <x:c r="G2" s="51" t="str">
        <x:v>四证奖励开始占用本大陆最大爆率预算，因此强合成最大爆率由旧分配下调，但大陆装备最大爆率总增量不变，规划M仍为10/14/20/28/40/55/75/100。固定核心词条不可洗。</x:v>
      </x:c>
      <x:c r="H2" s="51" t="str">
        <x:v>四证奖励开始占用本大陆最大爆率预算，因此强合成最大爆率由旧分配下调，但大陆装备最大爆率总增量不变，规划M仍为10/14/20/28/40/55/75/100。固定核心词条不可洗。</x:v>
      </x:c>
      <x:c r="I2" s="51" t="str">
        <x:v>四证奖励开始占用本大陆最大爆率预算，因此强合成最大爆率由旧分配下调，但大陆装备最大爆率总增量不变，规划M仍为10/14/20/28/40/55/75/100。固定核心词条不可洗。</x:v>
      </x:c>
      <x:c r="J2" s="51" t="str">
        <x:v>四证奖励开始占用本大陆最大爆率预算，因此强合成最大爆率由旧分配下调，但大陆装备最大爆率总增量不变，规划M仍为10/14/20/28/40/55/75/100。固定核心词条不可洗。</x:v>
      </x:c>
      <x:c r="K2" s="51" t="str">
        <x:v>四证奖励开始占用本大陆最大爆率预算，因此强合成最大爆率由旧分配下调，但大陆装备最大爆率总增量不变，规划M仍为10/14/20/28/40/55/75/100。固定核心词条不可洗。</x:v>
      </x:c>
      <x:c r="L2" s="51" t="str">
        <x:v>四证奖励开始占用本大陆最大爆率预算，因此强合成最大爆率由旧分配下调，但大陆装备最大爆率总增量不变，规划M仍为10/14/20/28/40/55/75/100。固定核心词条不可洗。</x:v>
      </x:c>
      <x:c r="M2" s="51" t="str">
        <x:v>四证奖励开始占用本大陆最大爆率预算，因此强合成最大爆率由旧分配下调，但大陆装备最大爆率总增量不变，规划M仍为10/14/20/28/40/55/75/100。固定核心词条不可洗。</x:v>
      </x:c>
      <x:c r="N2" s="51" t="str">
        <x:v>四证奖励开始占用本大陆最大爆率预算，因此强合成最大爆率由旧分配下调，但大陆装备最大爆率总增量不变，规划M仍为10/14/20/28/40/55/75/100。固定核心词条不可洗。</x:v>
      </x:c>
      <x:c r="O2" s="51" t="str">
        <x:v>四证奖励开始占用本大陆最大爆率预算，因此强合成最大爆率由旧分配下调，但大陆装备最大爆率总增量不变，规划M仍为10/14/20/28/40/55/75/100。固定核心词条不可洗。</x:v>
      </x:c>
      <x:c r="P2" s="51" t="str">
        <x:v>四证奖励开始占用本大陆最大爆率预算，因此强合成最大爆率由旧分配下调，但大陆装备最大爆率总增量不变，规划M仍为10/14/20/28/40/55/75/100。固定核心词条不可洗。</x:v>
      </x:c>
      <x:c r="Q2" s="51" t="str">
        <x:v>四证奖励开始占用本大陆最大爆率预算，因此强合成最大爆率由旧分配下调，但大陆装备最大爆率总增量不变，规划M仍为10/14/20/28/40/55/75/100。固定核心词条不可洗。</x:v>
      </x:c>
      <x:c r="R2" s="51" t="str">
        <x:v>四证奖励开始占用本大陆最大爆率预算，因此强合成最大爆率由旧分配下调，但大陆装备最大爆率总增量不变，规划M仍为10/14/20/28/40/55/75/100。固定核心词条不可洗。</x:v>
      </x:c>
      <x:c r="S2" s="51" t="str">
        <x:v>四证奖励开始占用本大陆最大爆率预算，因此强合成最大爆率由旧分配下调，但大陆装备最大爆率总增量不变，规划M仍为10/14/20/28/40/55/75/100。固定核心词条不可洗。</x:v>
      </x:c>
      <x:c r="T2" s="51" t="str">
        <x:v>四证奖励开始占用本大陆最大爆率预算，因此强合成最大爆率由旧分配下调，但大陆装备最大爆率总增量不变，规划M仍为10/14/20/28/40/55/75/100。固定核心词条不可洗。</x:v>
      </x:c>
      <x:c r="U2" s="51" t="str">
        <x:v>四证奖励开始占用本大陆最大爆率预算，因此强合成最大爆率由旧分配下调，但大陆装备最大爆率总增量不变，规划M仍为10/14/20/28/40/55/75/100。固定核心词条不可洗。</x:v>
      </x:c>
      <x:c r="V2" s="51" t="str">
        <x:v>四证奖励开始占用本大陆最大爆率预算，因此强合成最大爆率由旧分配下调，但大陆装备最大爆率总增量不变，规划M仍为10/14/20/28/40/55/75/100。固定核心词条不可洗。</x:v>
      </x:c>
      <x:c r="W2" s="51" t="str">
        <x:v>四证奖励开始占用本大陆最大爆率预算，因此强合成最大爆率由旧分配下调，但大陆装备最大爆率总增量不变，规划M仍为10/14/20/28/40/55/75/100。固定核心词条不可洗。</x:v>
      </x:c>
    </x:row>
    <x:row r="4" ht="24" customHeight="1">
      <x:c r="A4" s="24" t="str">
        <x:v>配方ID</x:v>
      </x:c>
      <x:c r="B4" s="24" t="str">
        <x:v>大陆</x:v>
      </x:c>
      <x:c r="C4" s="24" t="str">
        <x:v>合成装备</x:v>
      </x:c>
      <x:c r="D4" s="24" t="str">
        <x:v>部位</x:v>
      </x:c>
      <x:c r="E4" s="24" t="str">
        <x:v>BOSS主材A</x:v>
      </x:c>
      <x:c r="F4" s="24" t="str">
        <x:v>BOSS主材B</x:v>
      </x:c>
      <x:c r="G4" s="24" t="str">
        <x:v>同槽非BOSS A</x:v>
      </x:c>
      <x:c r="H4" s="24" t="str">
        <x:v>同槽非BOSS B</x:v>
      </x:c>
      <x:c r="I4" s="24" t="str">
        <x:v>通用材料</x:v>
      </x:c>
      <x:c r="J4" s="24" t="str">
        <x:v>数量</x:v>
      </x:c>
      <x:c r="K4" s="24" t="str">
        <x:v>稀有材料</x:v>
      </x:c>
      <x:c r="L4" s="24" t="str">
        <x:v>数量</x:v>
      </x:c>
      <x:c r="M4" s="24" t="str">
        <x:v>货币篮子</x:v>
      </x:c>
      <x:c r="N4" s="24" t="str">
        <x:v>货币工时</x:v>
      </x:c>
      <x:c r="O4" s="24" t="str">
        <x:v>成功率</x:v>
      </x:c>
      <x:c r="P4" s="24" t="str">
        <x:v>固定核心词条</x:v>
      </x:c>
      <x:c r="Q4" s="24" t="str">
        <x:v>旧最大爆率</x:v>
      </x:c>
      <x:c r="R4" s="24" t="str">
        <x:v>新最大爆率</x:v>
      </x:c>
      <x:c r="S4" s="24" t="str">
        <x:v>任务奖励预留</x:v>
      </x:c>
      <x:c r="T4" s="24" t="str">
        <x:v>大陆预算校验</x:v>
      </x:c>
      <x:c r="U4" s="24" t="str">
        <x:v>综合战力/最强耗材</x:v>
      </x:c>
      <x:c r="V4" s="24" t="str">
        <x:v>NPC/位置</x:v>
      </x:c>
      <x:c r="W4" s="24" t="str">
        <x:v>状态</x:v>
      </x:c>
    </x:row>
    <x:row r="5" ht="48" customHeight="1">
      <x:c r="A5" s="30" t="str">
        <x:v>EL-SYN-C03-01</x:v>
      </x:c>
      <x:c r="B5" s="30" t="str">
        <x:v>C03</x:v>
      </x:c>
      <x:c r="C5" s="30" t="str">
        <x:v>西境风暴缚腕</x:v>
      </x:c>
      <x:c r="D5" s="30" t="str">
        <x:v>手镯</x:v>
      </x:c>
      <x:c r="E5" s="29" t="str">
        <x:v>断旗战腕×1｜西境战旗主·罗德里克</x:v>
      </x:c>
      <x:c r="F5" s="29" t="str">
        <x:v>风蚀护腕×1｜风蚀守将·卡恩</x:v>
      </x:c>
      <x:c r="G5" s="29" t="str">
        <x:v>荒原铁誓腕×1｜荒风重骑/XX780</x:v>
      </x:c>
      <x:c r="H5" s="29" t="str">
        <x:v>哨垒树纹腕×1｜树纹哨卫/XX136</x:v>
      </x:c>
      <x:c r="I5" s="30" t="str">
        <x:v>风蚀铁片</x:v>
      </x:c>
      <x:c r="J5" s="30" t="n">
        <x:v>360</x:v>
      </x:c>
      <x:c r="K5" s="30" t="str">
        <x:v>西境战旗</x:v>
      </x:c>
      <x:c r="L5" s="30" t="n">
        <x:v>24</x:v>
      </x:c>
      <x:c r="M5" s="30" t="str">
        <x:v>元宝</x:v>
      </x:c>
      <x:c r="N5" s="30" t="n">
        <x:v>6</x:v>
      </x:c>
      <x:c r="O5" s="52" t="n">
        <x:v>1</x:v>
      </x:c>
      <x:c r="P5" s="29" t="str">
        <x:v>伤害系数+4%、致命几率+1%</x:v>
      </x:c>
      <x:c r="Q5" s="52" t="n">
        <x:v>0.53</x:v>
      </x:c>
      <x:c r="R5" s="52" t="n">
        <x:v>0.47</x:v>
      </x:c>
      <x:c r="S5" s="52" t="n">
        <x:v>0.06</x:v>
      </x:c>
      <x:c r="T5" s="52" t="n">
        <x:f>SUMIF($B$5:$B$15,B5,$R$5:$R$15)+S5-SUMIF($B$5:$B$15,B5,$Q$5:$Q$15)</x:f>
        <x:v>0</x:v>
      </x:c>
      <x:c r="U5" s="42" t="n">
        <x:v>1.45</x:v>
      </x:c>
      <x:c r="V5" s="29" t="str">
        <x:v>西境缚腕匠·洛哈｜XX776 西境荒原赐福点4—8坐标</x:v>
      </x:c>
      <x:c r="W5" s="29" t="str">
        <x:v>设计定稿待字段/ID</x:v>
      </x:c>
    </x:row>
    <x:row r="6" ht="48" customHeight="1">
      <x:c r="A6" s="30" t="str">
        <x:v>EL-SYN-C04-01</x:v>
      </x:c>
      <x:c r="B6" s="30" t="str">
        <x:v>C04</x:v>
      </x:c>
      <x:c r="C6" s="30" t="str">
        <x:v>幽潮执政束带</x:v>
      </x:c>
      <x:c r="D6" s="30" t="str">
        <x:v>腰带</x:v>
      </x:c>
      <x:c r="E6" s="29" t="str">
        <x:v>亡舟腰链×1｜亡舟提督·莫尔</x:v>
      </x:c>
      <x:c r="F6" s="29" t="str">
        <x:v>涅拉潮核×1｜深渊蛟王·涅拉</x:v>
      </x:c>
      <x:c r="G6" s="29" t="str">
        <x:v>雾潮缚盐腰带×1｜腐雾缚潮者/XX342</x:v>
      </x:c>
      <x:c r="H6" s="29" t="str">
        <x:v>亡舟锈链腰带×1｜船舱锁链奴/XX362</x:v>
      </x:c>
      <x:c r="I6" s="30" t="str">
        <x:v>湖盐结晶</x:v>
      </x:c>
      <x:c r="J6" s="30" t="n">
        <x:v>216</x:v>
      </x:c>
      <x:c r="K6" s="30" t="str">
        <x:v>幽船铆钉</x:v>
      </x:c>
      <x:c r="L6" s="30" t="n">
        <x:v>15</x:v>
      </x:c>
      <x:c r="M6" s="30" t="str">
        <x:v>元宝</x:v>
      </x:c>
      <x:c r="N6" s="30" t="n">
        <x:v>3.6</x:v>
      </x:c>
      <x:c r="O6" s="52" t="n">
        <x:v>1</x:v>
      </x:c>
      <x:c r="P6" s="29" t="str">
        <x:v>韧性+6、对怪吸收+4%</x:v>
      </x:c>
      <x:c r="Q6" s="52" t="n">
        <x:v>0.42</x:v>
      </x:c>
      <x:c r="R6" s="52" t="n">
        <x:v>0.37</x:v>
      </x:c>
      <x:c r="S6" s="52" t="n">
        <x:v>0.08</x:v>
      </x:c>
      <x:c r="T6" s="52" t="n">
        <x:f>SUMIF($B$5:$B$15,B6,$R$5:$R$15)+S6-SUMIF($B$5:$B$15,B6,$Q$5:$Q$15)</x:f>
        <x:v>0</x:v>
      </x:c>
      <x:c r="U6" s="42" t="n">
        <x:v>1.45</x:v>
      </x:c>
      <x:c r="V6" s="29" t="str">
        <x:v>幽潮铸政师·莫娜｜XX341 雾潮湿地赐福点4—8坐标</x:v>
      </x:c>
      <x:c r="W6" s="29" t="str">
        <x:v>设计定稿待字段/ID</x:v>
      </x:c>
    </x:row>
    <x:row r="7" ht="48" customHeight="1">
      <x:c r="A7" s="30" t="str">
        <x:v>EL-SYN-C04-02</x:v>
      </x:c>
      <x:c r="B7" s="30" t="str">
        <x:v>C04</x:v>
      </x:c>
      <x:c r="C7" s="30" t="str">
        <x:v>沉湖回响戒</x:v>
      </x:c>
      <x:c r="D7" s="30" t="str">
        <x:v>戒指</x:v>
      </x:c>
      <x:c r="E7" s="29" t="str">
        <x:v>沉湖祷戒×1｜沉湖祭司·阿妲</x:v>
      </x:c>
      <x:c r="F7" s="29" t="str">
        <x:v>腐雾指环×1｜腐雾领主·泽恩</x:v>
      </x:c>
      <x:c r="G7" s="29" t="str">
        <x:v>月河回声戒×1｜月河祷师/XX392</x:v>
      </x:c>
      <x:c r="H7" s="29" t="str">
        <x:v>幽船灯誓戒×1｜幽灯舵手/XX457</x:v>
      </x:c>
      <x:c r="I7" s="30" t="str">
        <x:v>湖盐结晶</x:v>
      </x:c>
      <x:c r="J7" s="30" t="n">
        <x:v>144</x:v>
      </x:c>
      <x:c r="K7" s="30" t="str">
        <x:v>幽船铆钉</x:v>
      </x:c>
      <x:c r="L7" s="30" t="n">
        <x:v>9</x:v>
      </x:c>
      <x:c r="M7" s="30" t="str">
        <x:v>元宝</x:v>
      </x:c>
      <x:c r="N7" s="30" t="n">
        <x:v>2.4</x:v>
      </x:c>
      <x:c r="O7" s="52" t="n">
        <x:v>1</x:v>
      </x:c>
      <x:c r="P7" s="29" t="str">
        <x:v>致命几率+2%、致命伤害+25%</x:v>
      </x:c>
      <x:c r="Q7" s="52" t="n">
        <x:v>0.25</x:v>
      </x:c>
      <x:c r="R7" s="52" t="n">
        <x:v>0.22</x:v>
      </x:c>
      <x:c r="S7" s="52" t="n">
        <x:v>0</x:v>
      </x:c>
      <x:c r="T7" s="52" t="n">
        <x:v>0</x:v>
      </x:c>
      <x:c r="U7" s="42" t="n">
        <x:v>1.48</x:v>
      </x:c>
      <x:c r="V7" s="29" t="str">
        <x:v>幽潮铸政师·莫娜｜XX341 雾潮湿地赐福点4—8坐标</x:v>
      </x:c>
      <x:c r="W7" s="29" t="str">
        <x:v>设计定稿待字段/ID</x:v>
      </x:c>
    </x:row>
    <x:row r="8" ht="48" customHeight="1">
      <x:c r="A8" s="30" t="str">
        <x:v>EL-SYN-C05-01</x:v>
      </x:c>
      <x:c r="B8" s="30" t="str">
        <x:v>C05</x:v>
      </x:c>
      <x:c r="C8" s="30" t="str">
        <x:v>满月辉石项链</x:v>
      </x:c>
      <x:c r="D8" s="30" t="str">
        <x:v>项链</x:v>
      </x:c>
      <x:c r="E8" s="29" t="str">
        <x:v>失色辉石项链×1｜满月守秘者·雷诺</x:v>
      </x:c>
      <x:c r="F8" s="29" t="str">
        <x:v>卡利亚王室核心×1｜王室封印兽·埃尔</x:v>
      </x:c>
      <x:c r="G8" s="29" t="str">
        <x:v>学院星砂链×1｜晶辉讲师/XX815</x:v>
      </x:c>
      <x:c r="H8" s="29" t="str">
        <x:v>月影银露链×1｜月华侍女/XX378</x:v>
      </x:c>
      <x:c r="I8" s="30" t="str">
        <x:v>辉石碎晶</x:v>
      </x:c>
      <x:c r="J8" s="30" t="n">
        <x:v>360</x:v>
      </x:c>
      <x:c r="K8" s="30" t="str">
        <x:v>卡利亚月露</x:v>
      </x:c>
      <x:c r="L8" s="30" t="n">
        <x:v>24</x:v>
      </x:c>
      <x:c r="M8" s="30" t="str">
        <x:v>元宝</x:v>
      </x:c>
      <x:c r="N8" s="30" t="n">
        <x:v>6</x:v>
      </x:c>
      <x:c r="O8" s="52" t="n">
        <x:v>1</x:v>
      </x:c>
      <x:c r="P8" s="29" t="str">
        <x:v>伤害系数+6%、致命伤害+40%</x:v>
      </x:c>
      <x:c r="Q8" s="52" t="n">
        <x:v>1</x:v>
      </x:c>
      <x:c r="R8" s="52" t="n">
        <x:v>0.9</x:v>
      </x:c>
      <x:c r="S8" s="52" t="n">
        <x:v>0.1</x:v>
      </x:c>
      <x:c r="T8" s="52" t="n">
        <x:f>SUMIF($B$5:$B$15,B8,$R$5:$R$15)+S8-SUMIF($B$5:$B$15,B8,$Q$5:$Q$15)</x:f>
        <x:v>0</x:v>
      </x:c>
      <x:c r="U8" s="42" t="n">
        <x:v>1.5</x:v>
      </x:c>
      <x:c r="V8" s="29" t="str">
        <x:v>辉石共鸣师·塞琳｜XX338 雾月水庭赐福点4—8坐标</x:v>
      </x:c>
      <x:c r="W8" s="29" t="str">
        <x:v>设计定稿待字段/ID</x:v>
      </x:c>
    </x:row>
    <x:row r="9" ht="48" customHeight="1">
      <x:c r="A9" s="30" t="str">
        <x:v>EL-SYN-C06-01</x:v>
      </x:c>
      <x:c r="B9" s="30" t="str">
        <x:v>C06</x:v>
      </x:c>
      <x:c r="C9" s="30" t="str">
        <x:v>红狮腐焰盔</x:v>
      </x:c>
      <x:c r="D9" s="30" t="str">
        <x:v>头盔</x:v>
      </x:c>
      <x:c r="E9" s="29" t="str">
        <x:v>红狮战盔×1｜红狮将军·杰廉</x:v>
      </x:c>
      <x:c r="F9" s="29" t="str">
        <x:v>腐败龙核×1｜腐败龙王·艾格基斯</x:v>
      </x:c>
      <x:c r="G9" s="29" t="str">
        <x:v>赤焰巡猎盔×1｜赤焰巡猎者/XX483</x:v>
      </x:c>
      <x:c r="H9" s="29" t="str">
        <x:v>熔心避疫盔×1｜避疫拾荒者/XX360</x:v>
      </x:c>
      <x:c r="I9" s="30" t="str">
        <x:v>猩红矿渣</x:v>
      </x:c>
      <x:c r="J9" s="30" t="n">
        <x:v>360</x:v>
      </x:c>
      <x:c r="K9" s="30" t="str">
        <x:v>龙火鳞</x:v>
      </x:c>
      <x:c r="L9" s="30" t="n">
        <x:v>24</x:v>
      </x:c>
      <x:c r="M9" s="30" t="str">
        <x:v>金刚石</x:v>
      </x:c>
      <x:c r="N9" s="30" t="n">
        <x:v>6</x:v>
      </x:c>
      <x:c r="O9" s="52" t="n">
        <x:v>1</x:v>
      </x:c>
      <x:c r="P9" s="29" t="str">
        <x:v>韧性+15、对怪吸收+5%</x:v>
      </x:c>
      <x:c r="Q9" s="52" t="n">
        <x:v>0.6</x:v>
      </x:c>
      <x:c r="R9" s="52" t="n">
        <x:v>0.48</x:v>
      </x:c>
      <x:c r="S9" s="52" t="n">
        <x:v>0.12</x:v>
      </x:c>
      <x:c r="T9" s="52" t="n">
        <x:f>SUMIF($B$5:$B$15,B9,$R$5:$R$15)+S9-SUMIF($B$5:$B$15,B9,$Q$5:$Q$15)</x:f>
        <x:v>0</x:v>
      </x:c>
      <x:c r="U9" s="42" t="n">
        <x:v>1.5</x:v>
      </x:c>
      <x:c r="V9" s="29" t="str">
        <x:v>腐焰铁匠·盖恩｜XX304 猩红熔原赐福点4—8坐标</x:v>
      </x:c>
      <x:c r="W9" s="29" t="str">
        <x:v>设计定稿待字段/ID</x:v>
      </x:c>
    </x:row>
    <x:row r="10" ht="48" customHeight="1">
      <x:c r="A10" s="30" t="str">
        <x:v>EL-SYN-C07-01</x:v>
      </x:c>
      <x:c r="B10" s="30" t="str">
        <x:v>C07</x:v>
      </x:c>
      <x:c r="C10" s="30" t="str">
        <x:v>白金踏雪靴</x:v>
      </x:c>
      <x:c r="D10" s="30" t="str">
        <x:v>鞋</x:v>
      </x:c>
      <x:c r="E10" s="29" t="str">
        <x:v>白金战靴×1｜白金守望者·勒缇娜</x:v>
      </x:c>
      <x:c r="F10" s="29" t="str">
        <x:v>冻雾足甲×1｜冻雾猎王·哈罗</x:v>
      </x:c>
      <x:c r="G10" s="29" t="str">
        <x:v>霜风引路靴×1｜霜风引路者/XX148</x:v>
      </x:c>
      <x:c r="H10" s="29" t="str">
        <x:v>白金纺线靴×1｜白金纺工/XX906</x:v>
      </x:c>
      <x:c r="I10" s="30" t="str">
        <x:v>冻晶尘</x:v>
      </x:c>
      <x:c r="J10" s="30" t="n">
        <x:v>144</x:v>
      </x:c>
      <x:c r="K10" s="30" t="str">
        <x:v>白金纺线</x:v>
      </x:c>
      <x:c r="L10" s="30" t="n">
        <x:v>9</x:v>
      </x:c>
      <x:c r="M10" s="30" t="str">
        <x:v>金刚石</x:v>
      </x:c>
      <x:c r="N10" s="30" t="n">
        <x:v>2.4</x:v>
      </x:c>
      <x:c r="O10" s="52" t="n">
        <x:v>1</x:v>
      </x:c>
      <x:c r="P10" s="29" t="str">
        <x:v>伤害系数+7%、致命几率+2%</x:v>
      </x:c>
      <x:c r="Q10" s="52" t="n">
        <x:v>0.5</x:v>
      </x:c>
      <x:c r="R10" s="52" t="n">
        <x:v>0.43</x:v>
      </x:c>
      <x:c r="S10" s="52" t="n">
        <x:v>0.14</x:v>
      </x:c>
      <x:c r="T10" s="52" t="n">
        <x:f>SUMIF($B$5:$B$15,B10,$R$5:$R$15)+S10-SUMIF($B$5:$B$15,B10,$Q$5:$Q$15)</x:f>
        <x:v>0</x:v>
      </x:c>
      <x:c r="U10" s="42" t="n">
        <x:v>1.55</x:v>
      </x:c>
      <x:c r="V10" s="29" t="str">
        <x:v>圣雪织誓师·弥拉｜XX149 苍白雪原赐福点4—8坐标</x:v>
      </x:c>
      <x:c r="W10" s="29" t="str">
        <x:v>设计定稿待字段/ID</x:v>
      </x:c>
    </x:row>
    <x:row r="11" ht="48" customHeight="1">
      <x:c r="A11" s="30" t="str">
        <x:v>EL-SYN-C07-02</x:v>
      </x:c>
      <x:c r="B11" s="30" t="str">
        <x:v>C07</x:v>
      </x:c>
      <x:c r="C11" s="30" t="str">
        <x:v>圣雪守誓披风</x:v>
      </x:c>
      <x:c r="D11" s="30" t="str">
        <x:v>时装衣服</x:v>
      </x:c>
      <x:c r="E11" s="29" t="str">
        <x:v>雪原守望披风×1｜圣雪守关者·欧尔</x:v>
      </x:c>
      <x:c r="F11" s="29" t="str">
        <x:v>霜夜礼衣×1｜霜夜女王·希拉</x:v>
      </x:c>
      <x:c r="G11" s="29" t="str">
        <x:v>极昼雪纱×1｜极昼祭司/XX907</x:v>
      </x:c>
      <x:c r="H11" s="29" t="str">
        <x:v>苍白祭衣×1｜苍白送葬者/XX150</x:v>
      </x:c>
      <x:c r="I11" s="30" t="str">
        <x:v>冻晶尘</x:v>
      </x:c>
      <x:c r="J11" s="30" t="n">
        <x:v>216</x:v>
      </x:c>
      <x:c r="K11" s="30" t="str">
        <x:v>白金纺线</x:v>
      </x:c>
      <x:c r="L11" s="30" t="n">
        <x:v>15</x:v>
      </x:c>
      <x:c r="M11" s="30" t="str">
        <x:v>金刚石</x:v>
      </x:c>
      <x:c r="N11" s="30" t="n">
        <x:v>3.6</x:v>
      </x:c>
      <x:c r="O11" s="52" t="n">
        <x:v>1</x:v>
      </x:c>
      <x:c r="P11" s="29" t="str">
        <x:v>韧性+25、致命防御+10%</x:v>
      </x:c>
      <x:c r="Q11" s="52" t="n">
        <x:v>0.57</x:v>
      </x:c>
      <x:c r="R11" s="52" t="n">
        <x:v>0.5</x:v>
      </x:c>
      <x:c r="S11" s="52" t="n">
        <x:v>0</x:v>
      </x:c>
      <x:c r="T11" s="52" t="n">
        <x:v>0</x:v>
      </x:c>
      <x:c r="U11" s="42" t="n">
        <x:v>1.55</x:v>
      </x:c>
      <x:c r="V11" s="29" t="str">
        <x:v>圣雪织誓师·弥拉｜XX149 苍白雪原赐福点4—8坐标</x:v>
      </x:c>
      <x:c r="W11" s="29" t="str">
        <x:v>设计定稿待字段/ID</x:v>
      </x:c>
    </x:row>
    <x:row r="12" ht="48" customHeight="1">
      <x:c r="A12" s="30" t="str">
        <x:v>EL-SYN-C08-01</x:v>
      </x:c>
      <x:c r="B12" s="30" t="str">
        <x:v>C08</x:v>
      </x:c>
      <x:c r="C12" s="30" t="str">
        <x:v>火焰巨人战铠</x:v>
      </x:c>
      <x:c r="D12" s="30" t="str">
        <x:v>衣服</x:v>
      </x:c>
      <x:c r="E12" s="29" t="str">
        <x:v>火焰巨人残铠×1｜火焰巨人·阿德尔</x:v>
      </x:c>
      <x:c r="F12" s="29" t="str">
        <x:v>山巅王庭核心×1｜山巅王·赫隆</x:v>
      </x:c>
      <x:c r="G12" s="29" t="str">
        <x:v>断峰火纹铠×1｜断峰守火卒/XX319</x:v>
      </x:c>
      <x:c r="H12" s="29" t="str">
        <x:v>冰宫王庭战衣×1｜冰宫廷卫/XX321</x:v>
      </x:c>
      <x:c r="I12" s="30" t="str">
        <x:v>霜脊铁</x:v>
      </x:c>
      <x:c r="J12" s="30" t="n">
        <x:v>360</x:v>
      </x:c>
      <x:c r="K12" s="30" t="str">
        <x:v>巨人火种</x:v>
      </x:c>
      <x:c r="L12" s="30" t="n">
        <x:v>24</x:v>
      </x:c>
      <x:c r="M12" s="30" t="str">
        <x:v>元宝70%＋金刚石30%</x:v>
      </x:c>
      <x:c r="N12" s="30" t="n">
        <x:v>6</x:v>
      </x:c>
      <x:c r="O12" s="52" t="n">
        <x:v>1</x:v>
      </x:c>
      <x:c r="P12" s="29" t="str">
        <x:v>韧性+40、对怪吸收+8%</x:v>
      </x:c>
      <x:c r="Q12" s="52" t="n">
        <x:v>1.19</x:v>
      </x:c>
      <x:c r="R12" s="52" t="n">
        <x:v>1.03</x:v>
      </x:c>
      <x:c r="S12" s="52" t="n">
        <x:v>0.16</x:v>
      </x:c>
      <x:c r="T12" s="52" t="n">
        <x:f>SUMIF($B$5:$B$15,B12,$R$5:$R$15)+S12-SUMIF($B$5:$B$15,B12,$Q$5:$Q$15)</x:f>
        <x:v>0</x:v>
      </x:c>
      <x:c r="U12" s="42" t="n">
        <x:v>1.6</x:v>
      </x:c>
      <x:c r="V12" s="29" t="str">
        <x:v>山巅承火匠·欧贡｜XX900 寒霜山径赐福点4—8坐标</x:v>
      </x:c>
      <x:c r="W12" s="29" t="str">
        <x:v>设计定稿待字段/ID</x:v>
      </x:c>
    </x:row>
    <x:row r="13" ht="48" customHeight="1">
      <x:c r="A13" s="30" t="str">
        <x:v>EL-SYN-C09-01</x:v>
      </x:c>
      <x:c r="B13" s="30" t="str">
        <x:v>C09</x:v>
      </x:c>
      <x:c r="C13" s="30" t="str">
        <x:v>黄金律法勋章</x:v>
      </x:c>
      <x:c r="D13" s="30" t="str">
        <x:v>勋章</x:v>
      </x:c>
      <x:c r="E13" s="29" t="str">
        <x:v>古王遗勋×1｜古王陵主·奥瑞斯</x:v>
      </x:c>
      <x:c r="F13" s="29" t="str">
        <x:v>黄金律法核心×1｜圣堂守律者·奥兰</x:v>
      </x:c>
      <x:c r="G13" s="29" t="str">
        <x:v>金叶巡礼勋×1｜金叶巡礼骑士/XX718</x:v>
      </x:c>
      <x:c r="H13" s="29" t="str">
        <x:v>古律执事章×1｜古律执事/XX796</x:v>
      </x:c>
      <x:c r="I13" s="30" t="str">
        <x:v>黄金叶脉</x:v>
      </x:c>
      <x:c r="J13" s="30" t="n">
        <x:v>360</x:v>
      </x:c>
      <x:c r="K13" s="30" t="str">
        <x:v>古王律页</x:v>
      </x:c>
      <x:c r="L13" s="30" t="n">
        <x:v>24</x:v>
      </x:c>
      <x:c r="M13" s="30" t="str">
        <x:v>元宝50%＋金刚石50%</x:v>
      </x:c>
      <x:c r="N13" s="30" t="n">
        <x:v>6</x:v>
      </x:c>
      <x:c r="O13" s="52" t="n">
        <x:v>1</x:v>
      </x:c>
      <x:c r="P13" s="29" t="str">
        <x:v>伤害系数+10%、致命几率+4%、致命伤害+80%</x:v>
      </x:c>
      <x:c r="Q13" s="52" t="n">
        <x:v>1.52</x:v>
      </x:c>
      <x:c r="R13" s="52" t="n">
        <x:v>1.34</x:v>
      </x:c>
      <x:c r="S13" s="52" t="n">
        <x:v>0.18</x:v>
      </x:c>
      <x:c r="T13" s="52" t="n">
        <x:f>SUMIF($B$5:$B$15,B13,$R$5:$R$15)+S13-SUMIF($B$5:$B$15,B13,$Q$5:$Q$15)</x:f>
        <x:v>0</x:v>
      </x:c>
      <x:c r="U13" s="42" t="n">
        <x:v>1.65</x:v>
      </x:c>
      <x:c r="V13" s="29" t="str">
        <x:v>黄金律铸印师·奥尔｜XX720 金叶古道赐福点4—8坐标</x:v>
      </x:c>
      <x:c r="W13" s="29" t="str">
        <x:v>设计定稿待字段/ID</x:v>
      </x:c>
    </x:row>
    <x:row r="14" ht="48" customHeight="1">
      <x:c r="A14" s="30" t="str">
        <x:v>EL-SYN-C10-01</x:v>
      </x:c>
      <x:c r="B14" s="30" t="str">
        <x:v>C10</x:v>
      </x:c>
      <x:c r="C14" s="30" t="str">
        <x:v>罗德尔弑王刃</x:v>
      </x:c>
      <x:c r="D14" s="30" t="str">
        <x:v>武器</x:v>
      </x:c>
      <x:c r="E14" s="29" t="str">
        <x:v>初王残刃×1｜初王幻身·葛孚雷</x:v>
      </x:c>
      <x:c r="F14" s="29" t="str">
        <x:v>黄金王宫核心×1｜黄金王·摩洛</x:v>
      </x:c>
      <x:c r="G14" s="29" t="str">
        <x:v>下城守门刃×1｜下城门卫/XX933</x:v>
      </x:c>
      <x:c r="H14" s="29" t="str">
        <x:v>地底锻王剑×1｜地底锻徒/XX955</x:v>
      </x:c>
      <x:c r="I14" s="30" t="str">
        <x:v>王城金屑</x:v>
      </x:c>
      <x:c r="J14" s="30" t="n">
        <x:v>216</x:v>
      </x:c>
      <x:c r="K14" s="30" t="str">
        <x:v>王宫律文</x:v>
      </x:c>
      <x:c r="L14" s="30" t="n">
        <x:v>15</x:v>
      </x:c>
      <x:c r="M14" s="30" t="str">
        <x:v>元宝40%＋金刚石60%</x:v>
      </x:c>
      <x:c r="N14" s="30" t="n">
        <x:v>3.6</x:v>
      </x:c>
      <x:c r="O14" s="52" t="n">
        <x:v>1</x:v>
      </x:c>
      <x:c r="P14" s="29" t="str">
        <x:v>伤害系数+12%、致命几率+5%、致命伤害+100%、处决+2%</x:v>
      </x:c>
      <x:c r="Q14" s="52" t="n">
        <x:v>0.31</x:v>
      </x:c>
      <x:c r="R14" s="52" t="n">
        <x:v>0.21</x:v>
      </x:c>
      <x:c r="S14" s="52" t="n">
        <x:v>0.2</x:v>
      </x:c>
      <x:c r="T14" s="52" t="n">
        <x:f>SUMIF($B$5:$B$15,B14,$R$5:$R$15)+S14-SUMIF($B$5:$B$15,B14,$Q$5:$Q$15)</x:f>
        <x:v>0</x:v>
      </x:c>
      <x:c r="U14" s="42" t="n">
        <x:v>1.7</x:v>
      </x:c>
      <x:c r="V14" s="29" t="str">
        <x:v>王城终锻师·海塔｜XX932 王城下城区赐福点4—8坐标</x:v>
      </x:c>
      <x:c r="W14" s="29" t="str">
        <x:v>设计定稿待字段/ID</x:v>
      </x:c>
    </x:row>
    <x:row r="15" ht="48" customHeight="1">
      <x:c r="A15" s="30" t="str">
        <x:v>EL-SYN-C10-02</x:v>
      </x:c>
      <x:c r="B15" s="30" t="str">
        <x:v>C10</x:v>
      </x:c>
      <x:c r="C15" s="30" t="str">
        <x:v>王城黄金塔盾</x:v>
      </x:c>
      <x:c r="D15" s="30" t="str">
        <x:v>盾牌</x:v>
      </x:c>
      <x:c r="E15" s="29" t="str">
        <x:v>王城守卫塔盾×1｜龙装树卫·克雷格</x:v>
      </x:c>
      <x:c r="F15" s="29" t="str">
        <x:v>地穴王核×1｜地穴王·奥德里安</x:v>
      </x:c>
      <x:c r="G15" s="29" t="str">
        <x:v>王宫廊卫盾×1｜王宫廊卫/XX372</x:v>
      </x:c>
      <x:c r="H15" s="29" t="str">
        <x:v>下水道闸盾×1｜排水守闸者/XX631</x:v>
      </x:c>
      <x:c r="I15" s="30" t="str">
        <x:v>王城金屑</x:v>
      </x:c>
      <x:c r="J15" s="30" t="n">
        <x:v>144</x:v>
      </x:c>
      <x:c r="K15" s="30" t="str">
        <x:v>王宫律文</x:v>
      </x:c>
      <x:c r="L15" s="30" t="n">
        <x:v>9</x:v>
      </x:c>
      <x:c r="M15" s="30" t="str">
        <x:v>元宝40%＋金刚石60%</x:v>
      </x:c>
      <x:c r="N15" s="30" t="n">
        <x:v>2.4</x:v>
      </x:c>
      <x:c r="O15" s="52" t="n">
        <x:v>1</x:v>
      </x:c>
      <x:c r="P15" s="29" t="str">
        <x:v>韧性+80、对怪吸收+10%、致命防御+20%</x:v>
      </x:c>
      <x:c r="Q15" s="52" t="n">
        <x:v>0.31</x:v>
      </x:c>
      <x:c r="R15" s="52" t="n">
        <x:v>0.21</x:v>
      </x:c>
      <x:c r="S15" s="52" t="n">
        <x:v>0</x:v>
      </x:c>
      <x:c r="T15" s="52" t="n">
        <x:v>0</x:v>
      </x:c>
      <x:c r="U15" s="42" t="n">
        <x:v>1.7</x:v>
      </x:c>
      <x:c r="V15" s="29" t="str">
        <x:v>王城终锻师·海塔｜XX932 王城下城区赐福点4—8坐标</x:v>
      </x:c>
      <x:c r="W15" s="29" t="str">
        <x:v>设计定稿待字段/ID</x:v>
      </x:c>
    </x:row>
    <x:row r="17" ht="21" customHeight="1">
      <x:c r="A17" s="18" t="str">
        <x:v>大陆最大爆率预算复核</x:v>
      </x:c>
      <x:c r="B17" s="18" t="str">
        <x:v>大陆最大爆率预算复核</x:v>
      </x:c>
      <x:c r="C17" s="18" t="str">
        <x:v>大陆最大爆率预算复核</x:v>
      </x:c>
      <x:c r="D17" s="18" t="str">
        <x:v>大陆最大爆率预算复核</x:v>
      </x:c>
      <x:c r="E17" s="18" t="str">
        <x:v>大陆最大爆率预算复核</x:v>
      </x:c>
      <x:c r="F17" s="18" t="str">
        <x:v>大陆最大爆率预算复核</x:v>
      </x:c>
      <x:c r="G17" s="18" t="str">
        <x:v>大陆最大爆率预算复核</x:v>
      </x:c>
      <x:c r="H17" s="18" t="str">
        <x:v>大陆最大爆率预算复核</x:v>
      </x:c>
    </x:row>
    <x:row r="18" ht="24" customHeight="1">
      <x:c r="A18" s="36" t="str">
        <x:v>大陆</x:v>
      </x:c>
      <x:c r="B18" s="36" t="str">
        <x:v>原装备增量</x:v>
      </x:c>
      <x:c r="C18" s="36" t="str">
        <x:v>强合成新合计</x:v>
      </x:c>
      <x:c r="D18" s="36" t="str">
        <x:v>四证奖励</x:v>
      </x:c>
      <x:c r="E18" s="36" t="str">
        <x:v>新合计</x:v>
      </x:c>
      <x:c r="F18" s="36" t="str">
        <x:v>差额</x:v>
      </x:c>
      <x:c r="G18" s="36" t="str">
        <x:v>人物M</x:v>
      </x:c>
      <x:c r="H18" s="36" t="str">
        <x:v>结论</x:v>
      </x:c>
    </x:row>
    <x:row r="19" ht="24" customHeight="1">
      <x:c r="A19" s="30" t="str">
        <x:v>C03</x:v>
      </x:c>
      <x:c r="B19" s="52" t="n">
        <x:v>0.53</x:v>
      </x:c>
      <x:c r="C19" s="52" t="n">
        <x:f>SUMIF($B$5:$B$15,A19,$R$5:$R$15)</x:f>
        <x:v>0.47</x:v>
      </x:c>
      <x:c r="D19" s="52" t="n">
        <x:v>0.06</x:v>
      </x:c>
      <x:c r="E19" s="52" t="n">
        <x:f>C19+D19</x:f>
        <x:v>0.53</x:v>
      </x:c>
      <x:c r="F19" s="52" t="n">
        <x:f>E19-B19</x:f>
        <x:v>0</x:v>
      </x:c>
      <x:c r="G19" s="30" t="n">
        <x:v>10</x:v>
      </x:c>
      <x:c r="H19" s="30" t="str">
        <x:f>IF(ABS(F19)&lt;0.0001,"预算守恒","需校正")</x:f>
        <x:v>预算守恒</x:v>
      </x:c>
    </x:row>
    <x:row r="20" ht="24" customHeight="1">
      <x:c r="A20" s="30" t="str">
        <x:v>C04</x:v>
      </x:c>
      <x:c r="B20" s="52" t="n">
        <x:v>0.67</x:v>
      </x:c>
      <x:c r="C20" s="52" t="n">
        <x:f>SUMIF($B$5:$B$15,A20,$R$5:$R$15)</x:f>
        <x:v>0.59</x:v>
      </x:c>
      <x:c r="D20" s="52" t="n">
        <x:v>0.08</x:v>
      </x:c>
      <x:c r="E20" s="52" t="n">
        <x:f>C20+D20</x:f>
        <x:v>0.6699999999999999</x:v>
      </x:c>
      <x:c r="F20" s="52" t="n">
        <x:f>E20-B20</x:f>
        <x:v>-1.1102230246251565e-16</x:v>
      </x:c>
      <x:c r="G20" s="30" t="n">
        <x:v>14</x:v>
      </x:c>
      <x:c r="H20" s="30" t="str">
        <x:f>IF(ABS(F20)&lt;0.0001,"预算守恒","需校正")</x:f>
        <x:v>预算守恒</x:v>
      </x:c>
    </x:row>
    <x:row r="21" ht="24" customHeight="1">
      <x:c r="A21" s="30" t="str">
        <x:v>C05</x:v>
      </x:c>
      <x:c r="B21" s="52" t="n">
        <x:v>1</x:v>
      </x:c>
      <x:c r="C21" s="52" t="n">
        <x:f>SUMIF($B$5:$B$15,A21,$R$5:$R$15)</x:f>
        <x:v>0.9</x:v>
      </x:c>
      <x:c r="D21" s="52" t="n">
        <x:v>0.1</x:v>
      </x:c>
      <x:c r="E21" s="52" t="n">
        <x:f>C21+D21</x:f>
        <x:v>1</x:v>
      </x:c>
      <x:c r="F21" s="52" t="n">
        <x:f>E21-B21</x:f>
        <x:v>0</x:v>
      </x:c>
      <x:c r="G21" s="30" t="n">
        <x:v>20</x:v>
      </x:c>
      <x:c r="H21" s="30" t="str">
        <x:f>IF(ABS(F21)&lt;0.0001,"预算守恒","需校正")</x:f>
        <x:v>预算守恒</x:v>
      </x:c>
    </x:row>
    <x:row r="22" ht="24" customHeight="1">
      <x:c r="A22" s="30" t="str">
        <x:v>C06</x:v>
      </x:c>
      <x:c r="B22" s="52" t="n">
        <x:v>0.6</x:v>
      </x:c>
      <x:c r="C22" s="52" t="n">
        <x:f>SUMIF($B$5:$B$15,A22,$R$5:$R$15)</x:f>
        <x:v>0.48</x:v>
      </x:c>
      <x:c r="D22" s="52" t="n">
        <x:v>0.12</x:v>
      </x:c>
      <x:c r="E22" s="52" t="n">
        <x:f>C22+D22</x:f>
        <x:v>0.6</x:v>
      </x:c>
      <x:c r="F22" s="52" t="n">
        <x:f>E22-B22</x:f>
        <x:v>0</x:v>
      </x:c>
      <x:c r="G22" s="30" t="n">
        <x:v>28</x:v>
      </x:c>
      <x:c r="H22" s="30" t="str">
        <x:f>IF(ABS(F22)&lt;0.0001,"预算守恒","需校正")</x:f>
        <x:v>预算守恒</x:v>
      </x:c>
    </x:row>
    <x:row r="23" ht="24" customHeight="1">
      <x:c r="A23" s="30" t="str">
        <x:v>C07</x:v>
      </x:c>
      <x:c r="B23" s="52" t="n">
        <x:v>1.07</x:v>
      </x:c>
      <x:c r="C23" s="52" t="n">
        <x:f>SUMIF($B$5:$B$15,A23,$R$5:$R$15)</x:f>
        <x:v>0.9299999999999999</x:v>
      </x:c>
      <x:c r="D23" s="52" t="n">
        <x:v>0.14</x:v>
      </x:c>
      <x:c r="E23" s="52" t="n">
        <x:f>C23+D23</x:f>
        <x:v>1.0699999999999998</x:v>
      </x:c>
      <x:c r="F23" s="52" t="n">
        <x:f>E23-B23</x:f>
        <x:v>-2.220446049250313e-16</x:v>
      </x:c>
      <x:c r="G23" s="30" t="n">
        <x:v>40</x:v>
      </x:c>
      <x:c r="H23" s="30" t="str">
        <x:f>IF(ABS(F23)&lt;0.0001,"预算守恒","需校正")</x:f>
        <x:v>预算守恒</x:v>
      </x:c>
    </x:row>
    <x:row r="24" ht="24" customHeight="1">
      <x:c r="A24" s="30" t="str">
        <x:v>C08</x:v>
      </x:c>
      <x:c r="B24" s="52" t="n">
        <x:v>1.19</x:v>
      </x:c>
      <x:c r="C24" s="52" t="n">
        <x:f>SUMIF($B$5:$B$15,A24,$R$5:$R$15)</x:f>
        <x:v>1.03</x:v>
      </x:c>
      <x:c r="D24" s="52" t="n">
        <x:v>0.16</x:v>
      </x:c>
      <x:c r="E24" s="52" t="n">
        <x:f>C24+D24</x:f>
        <x:v>1.19</x:v>
      </x:c>
      <x:c r="F24" s="52" t="n">
        <x:f>E24-B24</x:f>
        <x:v>0</x:v>
      </x:c>
      <x:c r="G24" s="30" t="n">
        <x:v>55</x:v>
      </x:c>
      <x:c r="H24" s="30" t="str">
        <x:f>IF(ABS(F24)&lt;0.0001,"预算守恒","需校正")</x:f>
        <x:v>预算守恒</x:v>
      </x:c>
    </x:row>
    <x:row r="25" ht="24" customHeight="1">
      <x:c r="A25" s="30" t="str">
        <x:v>C09</x:v>
      </x:c>
      <x:c r="B25" s="52" t="n">
        <x:v>1.52</x:v>
      </x:c>
      <x:c r="C25" s="52" t="n">
        <x:f>SUMIF($B$5:$B$15,A25,$R$5:$R$15)</x:f>
        <x:v>1.34</x:v>
      </x:c>
      <x:c r="D25" s="52" t="n">
        <x:v>0.18</x:v>
      </x:c>
      <x:c r="E25" s="52" t="n">
        <x:f>C25+D25</x:f>
        <x:v>1.52</x:v>
      </x:c>
      <x:c r="F25" s="52" t="n">
        <x:f>E25-B25</x:f>
        <x:v>0</x:v>
      </x:c>
      <x:c r="G25" s="30" t="n">
        <x:v>75</x:v>
      </x:c>
      <x:c r="H25" s="30" t="str">
        <x:f>IF(ABS(F25)&lt;0.0001,"预算守恒","需校正")</x:f>
        <x:v>预算守恒</x:v>
      </x:c>
    </x:row>
    <x:row r="26" ht="24" customHeight="1">
      <x:c r="A26" s="30" t="str">
        <x:v>C10</x:v>
      </x:c>
      <x:c r="B26" s="52" t="n">
        <x:v>0.62</x:v>
      </x:c>
      <x:c r="C26" s="52" t="n">
        <x:f>SUMIF($B$5:$B$15,A26,$R$5:$R$15)</x:f>
        <x:v>0.42</x:v>
      </x:c>
      <x:c r="D26" s="52" t="n">
        <x:v>0.2</x:v>
      </x:c>
      <x:c r="E26" s="52" t="n">
        <x:f>C26+D26</x:f>
        <x:v>0.62</x:v>
      </x:c>
      <x:c r="F26" s="52" t="n">
        <x:f>E26-B26</x:f>
        <x:v>0</x:v>
      </x:c>
      <x:c r="G26" s="30" t="n">
        <x:v>100</x:v>
      </x:c>
      <x:c r="H26" s="30" t="str">
        <x:f>IF(ABS(F26)&lt;0.0001,"预算守恒","需校正")</x:f>
        <x:v>预算守恒</x:v>
      </x:c>
    </x:row>
  </x:sheetData>
  <x:mergeCells>
    <x:mergeCell ref="A1:W1"/>
    <x:mergeCell ref="A2:W2"/>
    <x:mergeCell ref="A17:H17"/>
  </x:mergeCells>
  <x:conditionalFormatting sqref="W5:W15">
    <x:cfRule type="containsText" dxfId="28" priority="1" operator="containsText" text="已确认"/>
    <x:cfRule type="containsText" dxfId="29" priority="2" operator="containsText" text="定稿"/>
    <x:cfRule type="containsText" dxfId="30" priority="3" operator="containsText" text="正常"/>
    <x:cfRule type="containsText" dxfId="31" priority="4" operator="containsText" text="待"/>
    <x:cfRule type="containsText" dxfId="32" priority="5" operator="containsText" text="缺失"/>
    <x:cfRule type="containsText" dxfId="33" priority="6" operator="containsText" text="重复"/>
    <x:cfRule type="containsText" dxfId="34" priority="7" operator="containsText" text="严重"/>
  </x:conditionalFormatting>
  <x:conditionalFormatting sqref="H19:H26">
    <x:cfRule type="containsText" dxfId="35" priority="8" operator="containsText" text="已确认"/>
    <x:cfRule type="containsText" dxfId="36" priority="9" operator="containsText" text="定稿"/>
    <x:cfRule type="containsText" dxfId="37" priority="10" operator="containsText" text="正常"/>
    <x:cfRule type="containsText" dxfId="38" priority="11" operator="containsText" text="待"/>
    <x:cfRule type="containsText" dxfId="39" priority="12" operator="containsText" text="缺失"/>
    <x:cfRule type="containsText" dxfId="40" priority="13" operator="containsText" text="重复"/>
    <x:cfRule type="containsText" dxfId="41" priority="14" operator="containsText" text="严重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6.199999809265137" hidden="0" customWidth="1"/>
    <x:col min="3" max="3" width="8.600000381469727" hidden="0" customWidth="1"/>
    <x:col min="4" max="4" width="13" hidden="0" customWidth="1"/>
    <x:col min="5" max="5" width="13" hidden="0" customWidth="1"/>
    <x:col min="6" max="6" width="8.600000381469727" hidden="0" customWidth="1"/>
    <x:col min="7" max="7" width="15" hidden="0" customWidth="1"/>
    <x:col min="8" max="8" width="7.800000190734863" hidden="0" customWidth="1"/>
    <x:col min="9" max="9" width="12" hidden="0" customWidth="1"/>
    <x:col min="10" max="10" width="7.199999809265137" hidden="0" customWidth="1"/>
    <x:col min="11" max="11" width="7.199999809265137" hidden="0" customWidth="1"/>
    <x:col min="12" max="12" width="7.199999809265137" hidden="0" customWidth="1"/>
    <x:col min="13" max="13" width="7.199999809265137" hidden="0" customWidth="1"/>
    <x:col min="14" max="14" width="7" hidden="0" customWidth="1"/>
    <x:col min="15" max="15" width="29" hidden="0" customWidth="1"/>
    <x:col min="16" max="16" width="26" hidden="0" customWidth="1"/>
    <x:col min="17" max="17" width="33" hidden="0" customWidth="1"/>
    <x:col min="18" max="18" width="11" hidden="0" customWidth="1"/>
    <x:col min="19" max="19" width="13" hidden="0" customWidth="1"/>
    <x:col min="20" max="20" width="23" hidden="0" customWidth="1"/>
  </x:cols>
  <x:sheetData>
    <x:row r="1" ht="28.5" customHeight="1">
      <x:c r="A1" s="4" t="str">
        <x:v>NPC、任务、对话与位置总表</x:v>
      </x:c>
      <x:c r="B1" s="4" t="str">
        <x:v>NPC、任务、对话与位置总表</x:v>
      </x:c>
      <x:c r="C1" s="4" t="str">
        <x:v>NPC、任务、对话与位置总表</x:v>
      </x:c>
      <x:c r="D1" s="4" t="str">
        <x:v>NPC、任务、对话与位置总表</x:v>
      </x:c>
      <x:c r="E1" s="4" t="str">
        <x:v>NPC、任务、对话与位置总表</x:v>
      </x:c>
      <x:c r="F1" s="4" t="str">
        <x:v>NPC、任务、对话与位置总表</x:v>
      </x:c>
      <x:c r="G1" s="4" t="str">
        <x:v>NPC、任务、对话与位置总表</x:v>
      </x:c>
      <x:c r="H1" s="4" t="str">
        <x:v>NPC、任务、对话与位置总表</x:v>
      </x:c>
      <x:c r="I1" s="4" t="str">
        <x:v>NPC、任务、对话与位置总表</x:v>
      </x:c>
      <x:c r="J1" s="4" t="str">
        <x:v>NPC、任务、对话与位置总表</x:v>
      </x:c>
      <x:c r="K1" s="4" t="str">
        <x:v>NPC、任务、对话与位置总表</x:v>
      </x:c>
      <x:c r="L1" s="4" t="str">
        <x:v>NPC、任务、对话与位置总表</x:v>
      </x:c>
      <x:c r="M1" s="4" t="str">
        <x:v>NPC、任务、对话与位置总表</x:v>
      </x:c>
      <x:c r="N1" s="4" t="str">
        <x:v>NPC、任务、对话与位置总表</x:v>
      </x:c>
      <x:c r="O1" s="4" t="str">
        <x:v>NPC、任务、对话与位置总表</x:v>
      </x:c>
      <x:c r="P1" s="4" t="str">
        <x:v>NPC、任务、对话与位置总表</x:v>
      </x:c>
      <x:c r="Q1" s="4" t="str">
        <x:v>NPC、任务、对话与位置总表</x:v>
      </x:c>
      <x:c r="R1" s="4" t="str">
        <x:v>NPC、任务、对话与位置总表</x:v>
      </x:c>
      <x:c r="S1" s="4" t="str">
        <x:v>NPC、任务、对话与位置总表</x:v>
      </x:c>
      <x:c r="T1" s="4" t="str">
        <x:v>NPC、任务、对话与位置总表</x:v>
      </x:c>
    </x:row>
    <x:row r="2" ht="31.5" customHeight="1">
      <x:c r="A2" s="8" t="str">
        <x:v>精确坐标一律不猜。使用全大陆材料的称号/四证/合成NPC均放赐福点附近4—8坐标；同一赐福点NPC之间至少相隔3格。使用本地图材料的既有任务NPC放该地图最后一层。</x:v>
      </x:c>
      <x:c r="B2" s="8" t="str">
        <x:v>精确坐标一律不猜。使用全大陆材料的称号/四证/合成NPC均放赐福点附近4—8坐标；同一赐福点NPC之间至少相隔3格。使用本地图材料的既有任务NPC放该地图最后一层。</x:v>
      </x:c>
      <x:c r="C2" s="8" t="str">
        <x:v>精确坐标一律不猜。使用全大陆材料的称号/四证/合成NPC均放赐福点附近4—8坐标；同一赐福点NPC之间至少相隔3格。使用本地图材料的既有任务NPC放该地图最后一层。</x:v>
      </x:c>
      <x:c r="D2" s="8" t="str">
        <x:v>精确坐标一律不猜。使用全大陆材料的称号/四证/合成NPC均放赐福点附近4—8坐标；同一赐福点NPC之间至少相隔3格。使用本地图材料的既有任务NPC放该地图最后一层。</x:v>
      </x:c>
      <x:c r="E2" s="8" t="str">
        <x:v>精确坐标一律不猜。使用全大陆材料的称号/四证/合成NPC均放赐福点附近4—8坐标；同一赐福点NPC之间至少相隔3格。使用本地图材料的既有任务NPC放该地图最后一层。</x:v>
      </x:c>
      <x:c r="F2" s="8" t="str">
        <x:v>精确坐标一律不猜。使用全大陆材料的称号/四证/合成NPC均放赐福点附近4—8坐标；同一赐福点NPC之间至少相隔3格。使用本地图材料的既有任务NPC放该地图最后一层。</x:v>
      </x:c>
      <x:c r="G2" s="8" t="str">
        <x:v>精确坐标一律不猜。使用全大陆材料的称号/四证/合成NPC均放赐福点附近4—8坐标；同一赐福点NPC之间至少相隔3格。使用本地图材料的既有任务NPC放该地图最后一层。</x:v>
      </x:c>
      <x:c r="H2" s="8" t="str">
        <x:v>精确坐标一律不猜。使用全大陆材料的称号/四证/合成NPC均放赐福点附近4—8坐标；同一赐福点NPC之间至少相隔3格。使用本地图材料的既有任务NPC放该地图最后一层。</x:v>
      </x:c>
      <x:c r="I2" s="8" t="str">
        <x:v>精确坐标一律不猜。使用全大陆材料的称号/四证/合成NPC均放赐福点附近4—8坐标；同一赐福点NPC之间至少相隔3格。使用本地图材料的既有任务NPC放该地图最后一层。</x:v>
      </x:c>
      <x:c r="J2" s="8" t="str">
        <x:v>精确坐标一律不猜。使用全大陆材料的称号/四证/合成NPC均放赐福点附近4—8坐标；同一赐福点NPC之间至少相隔3格。使用本地图材料的既有任务NPC放该地图最后一层。</x:v>
      </x:c>
      <x:c r="K2" s="8" t="str">
        <x:v>精确坐标一律不猜。使用全大陆材料的称号/四证/合成NPC均放赐福点附近4—8坐标；同一赐福点NPC之间至少相隔3格。使用本地图材料的既有任务NPC放该地图最后一层。</x:v>
      </x:c>
      <x:c r="L2" s="8" t="str">
        <x:v>精确坐标一律不猜。使用全大陆材料的称号/四证/合成NPC均放赐福点附近4—8坐标；同一赐福点NPC之间至少相隔3格。使用本地图材料的既有任务NPC放该地图最后一层。</x:v>
      </x:c>
      <x:c r="M2" s="8" t="str">
        <x:v>精确坐标一律不猜。使用全大陆材料的称号/四证/合成NPC均放赐福点附近4—8坐标；同一赐福点NPC之间至少相隔3格。使用本地图材料的既有任务NPC放该地图最后一层。</x:v>
      </x:c>
      <x:c r="N2" s="8" t="str">
        <x:v>精确坐标一律不猜。使用全大陆材料的称号/四证/合成NPC均放赐福点附近4—8坐标；同一赐福点NPC之间至少相隔3格。使用本地图材料的既有任务NPC放该地图最后一层。</x:v>
      </x:c>
      <x:c r="O2" s="8" t="str">
        <x:v>精确坐标一律不猜。使用全大陆材料的称号/四证/合成NPC均放赐福点附近4—8坐标；同一赐福点NPC之间至少相隔3格。使用本地图材料的既有任务NPC放该地图最后一层。</x:v>
      </x:c>
      <x:c r="P2" s="8" t="str">
        <x:v>精确坐标一律不猜。使用全大陆材料的称号/四证/合成NPC均放赐福点附近4—8坐标；同一赐福点NPC之间至少相隔3格。使用本地图材料的既有任务NPC放该地图最后一层。</x:v>
      </x:c>
      <x:c r="Q2" s="8" t="str">
        <x:v>精确坐标一律不猜。使用全大陆材料的称号/四证/合成NPC均放赐福点附近4—8坐标；同一赐福点NPC之间至少相隔3格。使用本地图材料的既有任务NPC放该地图最后一层。</x:v>
      </x:c>
      <x:c r="R2" s="8" t="str">
        <x:v>精确坐标一律不猜。使用全大陆材料的称号/四证/合成NPC均放赐福点附近4—8坐标；同一赐福点NPC之间至少相隔3格。使用本地图材料的既有任务NPC放该地图最后一层。</x:v>
      </x:c>
      <x:c r="S2" s="8" t="str">
        <x:v>精确坐标一律不猜。使用全大陆材料的称号/四证/合成NPC均放赐福点附近4—8坐标；同一赐福点NPC之间至少相隔3格。使用本地图材料的既有任务NPC放该地图最后一层。</x:v>
      </x:c>
      <x:c r="T2" s="8" t="str">
        <x:v>精确坐标一律不猜。使用全大陆材料的称号/四证/合成NPC均放赐福点附近4—8坐标；同一赐福点NPC之间至少相隔3格。使用本地图材料的既有任务NPC放该地图最后一层。</x:v>
      </x:c>
    </x:row>
    <x:row r="4" ht="24" customHeight="1">
      <x:c r="A4" s="24" t="str">
        <x:v>NPC逻辑ID</x:v>
      </x:c>
      <x:c r="B4" s="24" t="str">
        <x:v>大陆</x:v>
      </x:c>
      <x:c r="C4" s="24" t="str">
        <x:v>类型</x:v>
      </x:c>
      <x:c r="D4" s="24" t="str">
        <x:v>任务/功能</x:v>
      </x:c>
      <x:c r="E4" s="24" t="str">
        <x:v>NPC名称</x:v>
      </x:c>
      <x:c r="F4" s="24" t="str">
        <x:v>材料范围</x:v>
      </x:c>
      <x:c r="G4" s="24" t="str">
        <x:v>位置规则</x:v>
      </x:c>
      <x:c r="H4" s="24" t="str">
        <x:v>地图号</x:v>
      </x:c>
      <x:c r="I4" s="24" t="str">
        <x:v>地图/赐福点</x:v>
      </x:c>
      <x:c r="J4" s="24" t="str">
        <x:v>赐福X</x:v>
      </x:c>
      <x:c r="K4" s="24" t="str">
        <x:v>赐福Y</x:v>
      </x:c>
      <x:c r="L4" s="24" t="str">
        <x:v>NPC X</x:v>
      </x:c>
      <x:c r="M4" s="24" t="str">
        <x:v>NPC Y</x:v>
      </x:c>
      <x:c r="N4" s="24" t="str">
        <x:v>距离</x:v>
      </x:c>
      <x:c r="O4" s="24" t="str">
        <x:v>材料/条件</x:v>
      </x:c>
      <x:c r="P4" s="24" t="str">
        <x:v>奖励</x:v>
      </x:c>
      <x:c r="Q4" s="24" t="str">
        <x:v>剧情对白</x:v>
      </x:c>
      <x:c r="R4" s="24" t="str">
        <x:v>坐标检查</x:v>
      </x:c>
      <x:c r="S4" s="24" t="str">
        <x:v>设计状态</x:v>
      </x:c>
      <x:c r="T4" s="24" t="str">
        <x:v>备注</x:v>
      </x:c>
    </x:row>
    <x:row r="5" ht="57" customHeight="1">
      <x:c r="A5" s="30" t="str">
        <x:v>EL-NPC-C01-TITLE</x:v>
      </x:c>
      <x:c r="B5" s="30" t="str">
        <x:v>C01</x:v>
      </x:c>
      <x:c r="C5" s="30" t="str">
        <x:v>大陆称号</x:v>
      </x:c>
      <x:c r="D5" s="30" t="str">
        <x:v>漂流群岛五阶段称号</x:v>
      </x:c>
      <x:c r="E5" s="30" t="str">
        <x:v>渡海铭誓官·伊莱恩</x:v>
      </x:c>
      <x:c r="F5" s="30" t="str">
        <x:v>全大陆</x:v>
      </x:c>
      <x:c r="G5" s="30" t="str">
        <x:v>赐福点附近4—8坐标</x:v>
      </x:c>
      <x:c r="H5" s="30" t="str">
        <x:v>XX113</x:v>
      </x:c>
      <x:c r="I5" s="30" t="str">
        <x:v>失乡者海岸</x:v>
      </x:c>
      <x:c r="J5" s="30"/>
      <x:c r="K5" s="30"/>
      <x:c r="L5" s="30"/>
      <x:c r="M5" s="30"/>
      <x:c r="N5" s="41" t="str">
        <x:f>IF(COUNT(J5:M5)&lt;4,"",MAX(ABS(L5-J5),ABS(M5-K5)))</x:f>
      </x:c>
      <x:c r="O5" s="29" t="str">
        <x:v>通用30/60/90/120/150；稀有0/2/4/6/8；货币0.5/0.5/1/1.5/2小时；阶段5 漂流大陆印记×1</x:v>
      </x:c>
      <x:c r="P5" s="29" t="str">
        <x:v>累计韧性＋普通爆率；只显示下一阶段</x:v>
      </x:c>
      <x:c r="Q5" s="29" t="str">
        <x:v>亡者的名字不该换来力量。带来这片群岛仍承认的材料，我替你记下活人的功绩。</x:v>
      </x:c>
      <x:c r="R5" s="29" t="str">
        <x:f>IF(H5="","地图号缺失",IF(OR(L5="",M5=""),"坐标缺失",IF(F5="全大陆",IF(AND(N5&gt;=4,N5&lt;=8),"距离合格","距离不合格"),"待实图验点")))</x:f>
        <x:v>坐标缺失</x:v>
      </x:c>
      <x:c r="S5" s="29" t="str">
        <x:v>设计定稿待坐标</x:v>
      </x:c>
      <x:c r="T5" s="29" t="str">
        <x:v>称号替代旧地图魂魄直升链</x:v>
      </x:c>
    </x:row>
    <x:row r="6" ht="57" customHeight="1">
      <x:c r="A6" s="30" t="str">
        <x:v>EL-NPC-C02-TITLE</x:v>
      </x:c>
      <x:c r="B6" s="30" t="str">
        <x:v>C02</x:v>
      </x:c>
      <x:c r="C6" s="30" t="str">
        <x:v>大陆称号</x:v>
      </x:c>
      <x:c r="D6" s="30" t="str">
        <x:v>宁姆格福五阶段称号</x:v>
      </x:c>
      <x:c r="E6" s="30" t="str">
        <x:v>风暴授勋官·艾德加</x:v>
      </x:c>
      <x:c r="F6" s="30" t="str">
        <x:v>全大陆</x:v>
      </x:c>
      <x:c r="G6" s="30" t="str">
        <x:v>赐福点附近4—8坐标</x:v>
      </x:c>
      <x:c r="H6" s="30" t="str">
        <x:v>XX144</x:v>
      </x:c>
      <x:c r="I6" s="30" t="str">
        <x:v>史东薇尔王城</x:v>
      </x:c>
      <x:c r="J6" s="30"/>
      <x:c r="K6" s="30"/>
      <x:c r="L6" s="30"/>
      <x:c r="M6" s="30"/>
      <x:c r="N6" s="41" t="str">
        <x:f>IF(COUNT(J6:M6)&lt;4,"",MAX(ABS(L6-J6),ABS(M6-K6)))</x:f>
      </x:c>
      <x:c r="O6" s="29" t="str">
        <x:v>通用30/60/90/120/150；稀有0/2/4/6/8；货币0.5/0.5/1/1.5/2小时；阶段5 接肢王印×1</x:v>
      </x:c>
      <x:c r="P6" s="29" t="str">
        <x:v>累计韧性＋普通爆率；只显示下一阶段</x:v>
      </x:c>
      <x:c r="Q6" s="29" t="str">
        <x:v>风暴不记得谁曾跪下，只记得谁把旗重新立起。材料与金币都备齐了吗？</x:v>
      </x:c>
      <x:c r="R6" s="29" t="str">
        <x:f>IF(H6="","地图号缺失",IF(OR(L6="",M6=""),"坐标缺失",IF(F6="全大陆",IF(AND(N6&gt;=4,N6&lt;=8),"距离合格","距离不合格"),"待实图验点")))</x:f>
        <x:v>坐标缺失</x:v>
      </x:c>
      <x:c r="S6" s="29" t="str">
        <x:v>设计定稿待坐标</x:v>
      </x:c>
      <x:c r="T6" s="29" t="str">
        <x:v>称号替代旧地图魂魄直升链</x:v>
      </x:c>
    </x:row>
    <x:row r="7" ht="57" customHeight="1">
      <x:c r="A7" s="30" t="str">
        <x:v>EL-NPC-C03-TITLE</x:v>
      </x:c>
      <x:c r="B7" s="30" t="str">
        <x:v>C03</x:v>
      </x:c>
      <x:c r="C7" s="30" t="str">
        <x:v>大陆称号</x:v>
      </x:c>
      <x:c r="D7" s="30" t="str">
        <x:v>宁姆格福西域五阶段称号</x:v>
      </x:c>
      <x:c r="E7" s="30" t="str">
        <x:v>西境铭誓官·赫尔达</x:v>
      </x:c>
      <x:c r="F7" s="30" t="str">
        <x:v>全大陆</x:v>
      </x:c>
      <x:c r="G7" s="30" t="str">
        <x:v>赐福点附近4—8坐标</x:v>
      </x:c>
      <x:c r="H7" s="30" t="str">
        <x:v>XX776</x:v>
      </x:c>
      <x:c r="I7" s="30" t="str">
        <x:v>西境荒原</x:v>
      </x:c>
      <x:c r="J7" s="30"/>
      <x:c r="K7" s="30"/>
      <x:c r="L7" s="30"/>
      <x:c r="M7" s="30"/>
      <x:c r="N7" s="41" t="str">
        <x:f>IF(COUNT(J7:M7)&lt;4,"",MAX(ABS(L7-J7),ABS(M7-K7)))</x:f>
      </x:c>
      <x:c r="O7" s="29" t="str">
        <x:v>通用30/60/90/120/150；稀有0/2/4/6/8；货币0.5/0.5/1/1.5/2小时；阶段5 西境战旗印×1</x:v>
      </x:c>
      <x:c r="P7" s="29" t="str">
        <x:v>累计韧性＋普通爆率；只显示下一阶段</x:v>
      </x:c>
      <x:c r="Q7" s="29" t="str">
        <x:v>西境没有王替你作证。交出荒原的材料与货币，我只按你亲手走过的路刻字。</x:v>
      </x:c>
      <x:c r="R7" s="29" t="str">
        <x:f>IF(H7="","地图号缺失",IF(OR(L7="",M7=""),"坐标缺失",IF(F7="全大陆",IF(AND(N7&gt;=4,N7&lt;=8),"距离合格","距离不合格"),"待实图验点")))</x:f>
        <x:v>坐标缺失</x:v>
      </x:c>
      <x:c r="S7" s="29" t="str">
        <x:v>设计定稿待坐标</x:v>
      </x:c>
      <x:c r="T7" s="29" t="str">
        <x:v>称号替代旧地图魂魄直升链</x:v>
      </x:c>
    </x:row>
    <x:row r="8" ht="57" customHeight="1">
      <x:c r="A8" s="30" t="str">
        <x:v>EL-NPC-C04-TITLE</x:v>
      </x:c>
      <x:c r="B8" s="30" t="str">
        <x:v>C04</x:v>
      </x:c>
      <x:c r="C8" s="30" t="str">
        <x:v>大陆称号</x:v>
      </x:c>
      <x:c r="D8" s="30" t="str">
        <x:v>利耶尼亚海域五阶段称号</x:v>
      </x:c>
      <x:c r="E8" s="30" t="str">
        <x:v>湖誓司祭·涅芙</x:v>
      </x:c>
      <x:c r="F8" s="30" t="str">
        <x:v>全大陆</x:v>
      </x:c>
      <x:c r="G8" s="30" t="str">
        <x:v>赐福点附近4—8坐标</x:v>
      </x:c>
      <x:c r="H8" s="30" t="str">
        <x:v>XX341</x:v>
      </x:c>
      <x:c r="I8" s="30" t="str">
        <x:v>雾潮湿地</x:v>
      </x:c>
      <x:c r="J8" s="30"/>
      <x:c r="K8" s="30"/>
      <x:c r="L8" s="30"/>
      <x:c r="M8" s="30"/>
      <x:c r="N8" s="41" t="str">
        <x:f>IF(COUNT(J8:M8)&lt;4,"",MAX(ABS(L8-J8),ABS(M8-K8)))</x:f>
      </x:c>
      <x:c r="O8" s="29" t="str">
        <x:v>通用30/60/90/120/150；稀有0/2/4/6/8；货币0.5/0.5/1/1.5/2小时；阶段5 沉湖王印×1</x:v>
      </x:c>
      <x:c r="P8" s="29" t="str">
        <x:v>累计韧性＋普通爆率；只显示下一阶段</x:v>
      </x:c>
      <x:c r="Q8" s="29" t="str">
        <x:v>湖水会记住每一次沉没。把海域的材料交给我，我替你把誓言写在水退之后。</x:v>
      </x:c>
      <x:c r="R8" s="29" t="str">
        <x:f>IF(H8="","地图号缺失",IF(OR(L8="",M8=""),"坐标缺失",IF(F8="全大陆",IF(AND(N8&gt;=4,N8&lt;=8),"距离合格","距离不合格"),"待实图验点")))</x:f>
        <x:v>坐标缺失</x:v>
      </x:c>
      <x:c r="S8" s="29" t="str">
        <x:v>设计定稿待坐标</x:v>
      </x:c>
      <x:c r="T8" s="29" t="str">
        <x:v>称号替代旧地图魂魄直升链</x:v>
      </x:c>
    </x:row>
    <x:row r="9" ht="57" customHeight="1">
      <x:c r="A9" s="30" t="str">
        <x:v>EL-NPC-C05-TITLE</x:v>
      </x:c>
      <x:c r="B9" s="30" t="str">
        <x:v>C05</x:v>
      </x:c>
      <x:c r="C9" s="30" t="str">
        <x:v>大陆称号</x:v>
      </x:c>
      <x:c r="D9" s="30" t="str">
        <x:v>湖之利耶尼亚五阶段称号</x:v>
      </x:c>
      <x:c r="E9" s="30" t="str">
        <x:v>辉石记录官·米蕾</x:v>
      </x:c>
      <x:c r="F9" s="30" t="str">
        <x:v>全大陆</x:v>
      </x:c>
      <x:c r="G9" s="30" t="str">
        <x:v>赐福点附近4—8坐标</x:v>
      </x:c>
      <x:c r="H9" s="30" t="str">
        <x:v>XX338</x:v>
      </x:c>
      <x:c r="I9" s="30" t="str">
        <x:v>雾月水庭</x:v>
      </x:c>
      <x:c r="J9" s="30"/>
      <x:c r="K9" s="30"/>
      <x:c r="L9" s="30"/>
      <x:c r="M9" s="30"/>
      <x:c r="N9" s="41" t="str">
        <x:f>IF(COUNT(J9:M9)&lt;4,"",MAX(ABS(L9-J9),ABS(M9-K9)))</x:f>
      </x:c>
      <x:c r="O9" s="29" t="str">
        <x:v>通用30/60/90/120/150；稀有0/2/4/6/8；货币0.5/0.5/1/1.5/2小时；阶段5 满月王室印×1</x:v>
      </x:c>
      <x:c r="P9" s="29" t="str">
        <x:v>累计韧性＋普通爆率；只显示下一阶段</x:v>
      </x:c>
      <x:c r="Q9" s="29" t="str">
        <x:v>月光不奖赏聪明，只照出代价。材料、货币与印记齐全，我便记录你的求知。</x:v>
      </x:c>
      <x:c r="R9" s="29" t="str">
        <x:f>IF(H9="","地图号缺失",IF(OR(L9="",M9=""),"坐标缺失",IF(F9="全大陆",IF(AND(N9&gt;=4,N9&lt;=8),"距离合格","距离不合格"),"待实图验点")))</x:f>
        <x:v>坐标缺失</x:v>
      </x:c>
      <x:c r="S9" s="29" t="str">
        <x:v>设计定稿待坐标</x:v>
      </x:c>
      <x:c r="T9" s="29" t="str">
        <x:v>称号替代旧地图魂魄直升链</x:v>
      </x:c>
    </x:row>
    <x:row r="10" ht="57" customHeight="1">
      <x:c r="A10" s="30" t="str">
        <x:v>EL-NPC-C06-TITLE</x:v>
      </x:c>
      <x:c r="B10" s="30" t="str">
        <x:v>C06</x:v>
      </x:c>
      <x:c r="C10" s="30" t="str">
        <x:v>大陆称号</x:v>
      </x:c>
      <x:c r="D10" s="30" t="str">
        <x:v>盖利德五阶段称号</x:v>
      </x:c>
      <x:c r="E10" s="30" t="str">
        <x:v>红狮军需官·凯恩</x:v>
      </x:c>
      <x:c r="F10" s="30" t="str">
        <x:v>全大陆</x:v>
      </x:c>
      <x:c r="G10" s="30" t="str">
        <x:v>赐福点附近4—8坐标</x:v>
      </x:c>
      <x:c r="H10" s="30" t="str">
        <x:v>XX304</x:v>
      </x:c>
      <x:c r="I10" s="30" t="str">
        <x:v>猩红熔原</x:v>
      </x:c>
      <x:c r="J10" s="30"/>
      <x:c r="K10" s="30"/>
      <x:c r="L10" s="30"/>
      <x:c r="M10" s="30"/>
      <x:c r="N10" s="41" t="str">
        <x:f>IF(COUNT(J10:M10)&lt;4,"",MAX(ABS(L10-J10),ABS(M10-K10)))</x:f>
      </x:c>
      <x:c r="O10" s="29" t="str">
        <x:v>通用30/60/90/120/150；稀有0/2/4/6/8；货币0.5/0.5/1/1.5/2小时；阶段5 红狮战印×1</x:v>
      </x:c>
      <x:c r="P10" s="29" t="str">
        <x:v>累计韧性＋普通爆率；只显示下一阶段</x:v>
      </x:c>
      <x:c r="Q10" s="29" t="str">
        <x:v>盖利德只认还能站立的人。把熔原的材料交来，我按红狮军规为你记功。</x:v>
      </x:c>
      <x:c r="R10" s="29" t="str">
        <x:f>IF(H10="","地图号缺失",IF(OR(L10="",M10=""),"坐标缺失",IF(F10="全大陆",IF(AND(N10&gt;=4,N10&lt;=8),"距离合格","距离不合格"),"待实图验点")))</x:f>
        <x:v>坐标缺失</x:v>
      </x:c>
      <x:c r="S10" s="29" t="str">
        <x:v>设计定稿待坐标</x:v>
      </x:c>
      <x:c r="T10" s="29" t="str">
        <x:v>称号替代旧地图魂魄直升链</x:v>
      </x:c>
    </x:row>
    <x:row r="11" ht="57" customHeight="1">
      <x:c r="A11" s="30" t="str">
        <x:v>EL-NPC-C07-TITLE</x:v>
      </x:c>
      <x:c r="B11" s="30" t="str">
        <x:v>C07</x:v>
      </x:c>
      <x:c r="C11" s="30" t="str">
        <x:v>大陆称号</x:v>
      </x:c>
      <x:c r="D11" s="30" t="str">
        <x:v>化圣雪原五阶段称号</x:v>
      </x:c>
      <x:c r="E11" s="30" t="str">
        <x:v>雪原引路人·勒缇娜</x:v>
      </x:c>
      <x:c r="F11" s="30" t="str">
        <x:v>全大陆</x:v>
      </x:c>
      <x:c r="G11" s="30" t="str">
        <x:v>赐福点附近4—8坐标</x:v>
      </x:c>
      <x:c r="H11" s="30" t="str">
        <x:v>XX149</x:v>
      </x:c>
      <x:c r="I11" s="30" t="str">
        <x:v>苍白雪原</x:v>
      </x:c>
      <x:c r="J11" s="30"/>
      <x:c r="K11" s="30"/>
      <x:c r="L11" s="30"/>
      <x:c r="M11" s="30"/>
      <x:c r="N11" s="41" t="str">
        <x:f>IF(COUNT(J11:M11)&lt;4,"",MAX(ABS(L11-J11),ABS(M11-K11)))</x:f>
      </x:c>
      <x:c r="O11" s="29" t="str">
        <x:v>通用30/60/90/120/150；稀有0/2/4/6/8；货币0.5/0.5/1/1.5/2小时；阶段5 圣雪誓印×1</x:v>
      </x:c>
      <x:c r="P11" s="29" t="str">
        <x:v>累计韧性＋普通爆率；只显示下一阶段</x:v>
      </x:c>
      <x:c r="Q11" s="29" t="str">
        <x:v>风雪埋掉了路，却埋不掉脚步。带来雪原的材料，我替后来者留下你的路标。</x:v>
      </x:c>
      <x:c r="R11" s="29" t="str">
        <x:f>IF(H11="","地图号缺失",IF(OR(L11="",M11=""),"坐标缺失",IF(F11="全大陆",IF(AND(N11&gt;=4,N11&lt;=8),"距离合格","距离不合格"),"待实图验点")))</x:f>
        <x:v>坐标缺失</x:v>
      </x:c>
      <x:c r="S11" s="29" t="str">
        <x:v>设计定稿待坐标</x:v>
      </x:c>
      <x:c r="T11" s="29" t="str">
        <x:v>称号替代旧地图魂魄直升链</x:v>
      </x:c>
    </x:row>
    <x:row r="12" ht="57" customHeight="1">
      <x:c r="A12" s="30" t="str">
        <x:v>EL-NPC-C08-TITLE</x:v>
      </x:c>
      <x:c r="B12" s="30" t="str">
        <x:v>C08</x:v>
      </x:c>
      <x:c r="C12" s="30" t="str">
        <x:v>大陆称号</x:v>
      </x:c>
      <x:c r="D12" s="30" t="str">
        <x:v>巨人山顶五阶段称号</x:v>
      </x:c>
      <x:c r="E12" s="30" t="str">
        <x:v>山巅守火者·赫隆</x:v>
      </x:c>
      <x:c r="F12" s="30" t="str">
        <x:v>全大陆</x:v>
      </x:c>
      <x:c r="G12" s="30" t="str">
        <x:v>赐福点附近4—8坐标</x:v>
      </x:c>
      <x:c r="H12" s="30" t="str">
        <x:v>XX900</x:v>
      </x:c>
      <x:c r="I12" s="30" t="str">
        <x:v>寒霜山径</x:v>
      </x:c>
      <x:c r="J12" s="30"/>
      <x:c r="K12" s="30"/>
      <x:c r="L12" s="30"/>
      <x:c r="M12" s="30"/>
      <x:c r="N12" s="41" t="str">
        <x:f>IF(COUNT(J12:M12)&lt;4,"",MAX(ABS(L12-J12),ABS(M12-K12)))</x:f>
      </x:c>
      <x:c r="O12" s="29" t="str">
        <x:v>通用30/60/90/120/150；稀有0/2/4/6/8；货币0.5/0.5/1/1.5/2小时；阶段5 巨人火印×1</x:v>
      </x:c>
      <x:c r="P12" s="29" t="str">
        <x:v>累计韧性＋普通爆率；只显示下一阶段</x:v>
      </x:c>
      <x:c r="Q12" s="29" t="str">
        <x:v>上山的人很多，带火回来的人很少。把山巅的材料交来，我只为活着回来的人加印。</x:v>
      </x:c>
      <x:c r="R12" s="29" t="str">
        <x:f>IF(H12="","地图号缺失",IF(OR(L12="",M12=""),"坐标缺失",IF(F12="全大陆",IF(AND(N12&gt;=4,N12&lt;=8),"距离合格","距离不合格"),"待实图验点")))</x:f>
        <x:v>坐标缺失</x:v>
      </x:c>
      <x:c r="S12" s="29" t="str">
        <x:v>设计定稿待坐标</x:v>
      </x:c>
      <x:c r="T12" s="29" t="str">
        <x:v>称号替代旧地图魂魄直升链</x:v>
      </x:c>
    </x:row>
    <x:row r="13" ht="57" customHeight="1">
      <x:c r="A13" s="30" t="str">
        <x:v>EL-NPC-C09-TITLE</x:v>
      </x:c>
      <x:c r="B13" s="30" t="str">
        <x:v>C09</x:v>
      </x:c>
      <x:c r="C13" s="30" t="str">
        <x:v>大陆称号</x:v>
      </x:c>
      <x:c r="D13" s="30" t="str">
        <x:v>亚坛高原五阶段称号</x:v>
      </x:c>
      <x:c r="E13" s="30" t="str">
        <x:v>黄金律书记·柯林</x:v>
      </x:c>
      <x:c r="F13" s="30" t="str">
        <x:v>全大陆</x:v>
      </x:c>
      <x:c r="G13" s="30" t="str">
        <x:v>赐福点附近4—8坐标</x:v>
      </x:c>
      <x:c r="H13" s="30" t="str">
        <x:v>XX720</x:v>
      </x:c>
      <x:c r="I13" s="30" t="str">
        <x:v>金叶古道</x:v>
      </x:c>
      <x:c r="J13" s="30"/>
      <x:c r="K13" s="30"/>
      <x:c r="L13" s="30"/>
      <x:c r="M13" s="30"/>
      <x:c r="N13" s="41" t="str">
        <x:f>IF(COUNT(J13:M13)&lt;4,"",MAX(ABS(L13-J13),ABS(M13-K13)))</x:f>
      </x:c>
      <x:c r="O13" s="29" t="str">
        <x:v>通用30/60/90/120/150；稀有0/2/4/6/8；货币0.5/0.5/1/1.5/2小时；阶段5 黄金律印×1</x:v>
      </x:c>
      <x:c r="P13" s="29" t="str">
        <x:v>累计韧性＋普通爆率；只显示下一阶段</x:v>
      </x:c>
      <x:c r="Q13" s="29" t="str">
        <x:v>黄金会让功绩显得相同，所以我只看材料背后的来源。把你亲手取得的证据放下。</x:v>
      </x:c>
      <x:c r="R13" s="29" t="str">
        <x:f>IF(H13="","地图号缺失",IF(OR(L13="",M13=""),"坐标缺失",IF(F13="全大陆",IF(AND(N13&gt;=4,N13&lt;=8),"距离合格","距离不合格"),"待实图验点")))</x:f>
        <x:v>坐标缺失</x:v>
      </x:c>
      <x:c r="S13" s="29" t="str">
        <x:v>设计定稿待坐标</x:v>
      </x:c>
      <x:c r="T13" s="29" t="str">
        <x:v>称号替代旧地图魂魄直升链</x:v>
      </x:c>
    </x:row>
    <x:row r="14" ht="57" customHeight="1">
      <x:c r="A14" s="30" t="str">
        <x:v>EL-NPC-C10-TITLE</x:v>
      </x:c>
      <x:c r="B14" s="30" t="str">
        <x:v>C10</x:v>
      </x:c>
      <x:c r="C14" s="30" t="str">
        <x:v>大陆称号</x:v>
      </x:c>
      <x:c r="D14" s="30" t="str">
        <x:v>王城罗德尔五阶段称号</x:v>
      </x:c>
      <x:c r="E14" s="30" t="str">
        <x:v>王城誓约官·莱达</x:v>
      </x:c>
      <x:c r="F14" s="30" t="str">
        <x:v>全大陆</x:v>
      </x:c>
      <x:c r="G14" s="30" t="str">
        <x:v>赐福点附近4—8坐标</x:v>
      </x:c>
      <x:c r="H14" s="30" t="str">
        <x:v>XX932</x:v>
      </x:c>
      <x:c r="I14" s="30" t="str">
        <x:v>王城下城区</x:v>
      </x:c>
      <x:c r="J14" s="30"/>
      <x:c r="K14" s="30"/>
      <x:c r="L14" s="30"/>
      <x:c r="M14" s="30"/>
      <x:c r="N14" s="41" t="str">
        <x:f>IF(COUNT(J14:M14)&lt;4,"",MAX(ABS(L14-J14),ABS(M14-K14)))</x:f>
      </x:c>
      <x:c r="O14" s="29" t="str">
        <x:v>通用30/60/90/120/150；稀有0/2/4/6/8；货币0.5/0.5/1/1.5/2小时；阶段5 艾尔登王印×1</x:v>
      </x:c>
      <x:c r="P14" s="29" t="str">
        <x:v>累计韧性＋普通爆率；只显示下一阶段</x:v>
      </x:c>
      <x:c r="Q14" s="29" t="str">
        <x:v>王城不缺冠冕，缺的是走完整条路的人。材料、货币与王印齐全，我便写下最后一阶。</x:v>
      </x:c>
      <x:c r="R14" s="29" t="str">
        <x:f>IF(H14="","地图号缺失",IF(OR(L14="",M14=""),"坐标缺失",IF(F14="全大陆",IF(AND(N14&gt;=4,N14&lt;=8),"距离合格","距离不合格"),"待实图验点")))</x:f>
        <x:v>坐标缺失</x:v>
      </x:c>
      <x:c r="S14" s="29" t="str">
        <x:v>设计定稿待坐标</x:v>
      </x:c>
      <x:c r="T14" s="29" t="str">
        <x:v>称号替代旧地图魂魄直升链</x:v>
      </x:c>
    </x:row>
    <x:row r="15" ht="57" customHeight="1">
      <x:c r="A15" s="30" t="str">
        <x:v>EL-NPC-C03-QUEST</x:v>
      </x:c>
      <x:c r="B15" s="30" t="str">
        <x:v>C03</x:v>
      </x:c>
      <x:c r="C15" s="30" t="str">
        <x:v>四证任务</x:v>
      </x:c>
      <x:c r="D15" s="30" t="str">
        <x:v>断路商队</x:v>
      </x:c>
      <x:c r="E15" s="30" t="str">
        <x:v>断路商会书记·洛温</x:v>
      </x:c>
      <x:c r="F15" s="30" t="str">
        <x:v>全大陆</x:v>
      </x:c>
      <x:c r="G15" s="30" t="str">
        <x:v>赐福点附近4—8坐标</x:v>
      </x:c>
      <x:c r="H15" s="30" t="str">
        <x:v>XX776</x:v>
      </x:c>
      <x:c r="I15" s="30" t="str">
        <x:v>西境荒原</x:v>
      </x:c>
      <x:c r="J15" s="30"/>
      <x:c r="K15" s="30"/>
      <x:c r="L15" s="30"/>
      <x:c r="M15" s="30"/>
      <x:c r="N15" s="41" t="str">
        <x:f>IF(COUNT(J15:M15)&lt;4,"",MAX(ABS(L15-J15),ABS(M15-K15)))</x:f>
      </x:c>
      <x:c r="O15" s="29" t="str">
        <x:v>裂风崖羽×1＋商队火漆×1＋守垒铜钥×1＋哨垒旗冠×1</x:v>
      </x:c>
      <x:c r="P15" s="29" t="str">
        <x:v>西境契印护符｜装备·护身符｜伤害系数+1%、致命几率+1%、最大爆率+6%</x:v>
      </x:c>
      <x:c r="Q15" s="29" t="str">
        <x:v>账册只剩封皮，四条商路各丢了一页。把能证明他们来过的四件证物带回来；少一样，我都不能替死者结账。</x:v>
      </x:c>
      <x:c r="R15" s="29" t="str">
        <x:f>IF(H15="","地图号缺失",IF(OR(L15="",M15=""),"坐标缺失",IF(F15="全大陆",IF(AND(N15&gt;=4,N15&lt;=8),"距离合格","距离不合格"),"待实图验点")))</x:f>
        <x:v>坐标缺失</x:v>
      </x:c>
      <x:c r="S15" s="29" t="str">
        <x:v>设计定稿待坐标</x:v>
      </x:c>
      <x:c r="T15" s="29" t="str">
        <x:v>一次性；100%交付；不加永久韧性/处决</x:v>
      </x:c>
    </x:row>
    <x:row r="16" ht="57" customHeight="1">
      <x:c r="A16" s="30" t="str">
        <x:v>EL-NPC-C04-QUEST</x:v>
      </x:c>
      <x:c r="B16" s="30" t="str">
        <x:v>C04</x:v>
      </x:c>
      <x:c r="C16" s="30" t="str">
        <x:v>四证任务</x:v>
      </x:c>
      <x:c r="D16" s="30" t="str">
        <x:v>沉船守誓者</x:v>
      </x:c>
      <x:c r="E16" s="30" t="str">
        <x:v>亡舟记名官·梅洛</x:v>
      </x:c>
      <x:c r="F16" s="30" t="str">
        <x:v>全大陆</x:v>
      </x:c>
      <x:c r="G16" s="30" t="str">
        <x:v>赐福点附近4—8坐标</x:v>
      </x:c>
      <x:c r="H16" s="30" t="str">
        <x:v>XX341</x:v>
      </x:c>
      <x:c r="I16" s="30" t="str">
        <x:v>雾潮湿地</x:v>
      </x:c>
      <x:c r="J16" s="30"/>
      <x:c r="K16" s="30"/>
      <x:c r="L16" s="30"/>
      <x:c r="M16" s="30"/>
      <x:c r="N16" s="41" t="str">
        <x:f>IF(COUNT(J16:M16)&lt;4,"",MAX(ABS(L16-J16),ABS(M16-K16)))</x:f>
      </x:c>
      <x:c r="O16" s="29" t="str">
        <x:v>雾潮银鳞×1＋沉船缆扣×1＋深湖压舱印×1＋湖底封门珠×1</x:v>
      </x:c>
      <x:c r="P16" s="29" t="str">
        <x:v>沉船守誓者｜隐藏称号｜最大爆率+8%、最大HP+2%、致命防御+3%；不加韧性/处决</x:v>
      </x:c>
      <x:c r="Q16" s="29" t="str">
        <x:v>湖底没有墓碑，只有没写完的船名。把四条沉没航线的证据带回来；最后一艘船也该被记下。</x:v>
      </x:c>
      <x:c r="R16" s="29" t="str">
        <x:f>IF(H16="","地图号缺失",IF(OR(L16="",M16=""),"坐标缺失",IF(F16="全大陆",IF(AND(N16&gt;=4,N16&lt;=8),"距离合格","距离不合格"),"待实图验点")))</x:f>
        <x:v>坐标缺失</x:v>
      </x:c>
      <x:c r="S16" s="29" t="str">
        <x:v>设计定稿待坐标</x:v>
      </x:c>
      <x:c r="T16" s="29" t="str">
        <x:v>一次性；100%交付；不加永久韧性/处决</x:v>
      </x:c>
    </x:row>
    <x:row r="17" ht="57" customHeight="1">
      <x:c r="A17" s="30" t="str">
        <x:v>EL-NPC-C05-QUEST</x:v>
      </x:c>
      <x:c r="B17" s="30" t="str">
        <x:v>C05</x:v>
      </x:c>
      <x:c r="C17" s="30" t="str">
        <x:v>四证任务</x:v>
      </x:c>
      <x:c r="D17" s="30" t="str">
        <x:v>被封印的讲义</x:v>
      </x:c>
      <x:c r="E17" s="30" t="str">
        <x:v>封印讲师·塞伊芙</x:v>
      </x:c>
      <x:c r="F17" s="30" t="str">
        <x:v>全大陆</x:v>
      </x:c>
      <x:c r="G17" s="30" t="str">
        <x:v>赐福点附近4—8坐标</x:v>
      </x:c>
      <x:c r="H17" s="30" t="str">
        <x:v>XX338</x:v>
      </x:c>
      <x:c r="I17" s="30" t="str">
        <x:v>雾月水庭</x:v>
      </x:c>
      <x:c r="J17" s="30"/>
      <x:c r="K17" s="30"/>
      <x:c r="L17" s="30"/>
      <x:c r="M17" s="30"/>
      <x:c r="N17" s="41" t="str">
        <x:f>IF(COUNT(J17:M17)&lt;4,"",MAX(ABS(L17-J17),ABS(M17-K17)))</x:f>
      </x:c>
      <x:c r="O17" s="29" t="str">
        <x:v>雾月星砂×1＋学院封蜡×1＋月蚀镜片×1＋禁域星钥×1</x:v>
      </x:c>
      <x:c r="P17" s="29" t="str">
        <x:v>归档辉石宝珠｜装备·宝石｜伤害系数+2%、致命伤害+12%、最大爆率+10%</x:v>
      </x:c>
      <x:c r="Q17" s="29" t="str">
        <x:v>被撕走的不是四页纸，是四种人不愿留下的证词。四件都在，文字才不会再次被改写。</x:v>
      </x:c>
      <x:c r="R17" s="29" t="str">
        <x:f>IF(H17="","地图号缺失",IF(OR(L17="",M17=""),"坐标缺失",IF(F17="全大陆",IF(AND(N17&gt;=4,N17&lt;=8),"距离合格","距离不合格"),"待实图验点")))</x:f>
        <x:v>坐标缺失</x:v>
      </x:c>
      <x:c r="S17" s="29" t="str">
        <x:v>设计定稿待坐标</x:v>
      </x:c>
      <x:c r="T17" s="29" t="str">
        <x:v>一次性；100%交付；不加永久韧性/处决</x:v>
      </x:c>
    </x:row>
    <x:row r="18" ht="57" customHeight="1">
      <x:c r="A18" s="30" t="str">
        <x:v>EL-NPC-C06-QUEST</x:v>
      </x:c>
      <x:c r="B18" s="30" t="str">
        <x:v>C06</x:v>
      </x:c>
      <x:c r="C18" s="30" t="str">
        <x:v>四证任务</x:v>
      </x:c>
      <x:c r="D18" s="30" t="str">
        <x:v>腐心不屈</x:v>
      </x:c>
      <x:c r="E18" s="30" t="str">
        <x:v>红狮残旗官·塔尔</x:v>
      </x:c>
      <x:c r="F18" s="30" t="str">
        <x:v>全大陆</x:v>
      </x:c>
      <x:c r="G18" s="30" t="str">
        <x:v>赐福点附近4—8坐标</x:v>
      </x:c>
      <x:c r="H18" s="30" t="str">
        <x:v>XX304</x:v>
      </x:c>
      <x:c r="I18" s="30" t="str">
        <x:v>猩红熔原</x:v>
      </x:c>
      <x:c r="J18" s="30"/>
      <x:c r="K18" s="30"/>
      <x:c r="L18" s="30"/>
      <x:c r="M18" s="30"/>
      <x:c r="N18" s="41" t="str">
        <x:f>IF(COUNT(J18:M18)&lt;4,"",MAX(ABS(L18-J18),ABS(M18-K18)))</x:f>
      </x:c>
      <x:c r="O18" s="29" t="str">
        <x:v>红狮断箭×1＋净火腺囊×1＋龙窟熔牙×1＋碎星仪仗钉×1</x:v>
      </x:c>
      <x:c r="P18" s="29" t="str">
        <x:v>腐心不屈者｜隐藏称号｜最大爆率+12%、最大HP+3%、致命防御+5%；不加韧性/处决</x:v>
      </x:c>
      <x:c r="Q18" s="29" t="str">
        <x:v>腐败最先吃掉命令，最后才吃掉人。我要四件还认得红狮军规的东西；旗缺一角也不能重新竖起。</x:v>
      </x:c>
      <x:c r="R18" s="29" t="str">
        <x:f>IF(H18="","地图号缺失",IF(OR(L18="",M18=""),"坐标缺失",IF(F18="全大陆",IF(AND(N18&gt;=4,N18&lt;=8),"距离合格","距离不合格"),"待实图验点")))</x:f>
        <x:v>坐标缺失</x:v>
      </x:c>
      <x:c r="S18" s="29" t="str">
        <x:v>设计定稿待坐标</x:v>
      </x:c>
      <x:c r="T18" s="29" t="str">
        <x:v>一次性；100%交付；不加永久韧性/处决</x:v>
      </x:c>
    </x:row>
    <x:row r="19" ht="57" customHeight="1">
      <x:c r="A19" s="30" t="str">
        <x:v>EL-NPC-C07-QUEST</x:v>
      </x:c>
      <x:c r="B19" s="30" t="str">
        <x:v>C07</x:v>
      </x:c>
      <x:c r="C19" s="30" t="str">
        <x:v>四证任务</x:v>
      </x:c>
      <x:c r="D19" s="30" t="str">
        <x:v>白金族的归途</x:v>
      </x:c>
      <x:c r="E19" s="30" t="str">
        <x:v>白金灯守·缇安</x:v>
      </x:c>
      <x:c r="F19" s="30" t="str">
        <x:v>全大陆</x:v>
      </x:c>
      <x:c r="G19" s="30" t="str">
        <x:v>赐福点附近4—8坐标</x:v>
      </x:c>
      <x:c r="H19" s="30" t="str">
        <x:v>XX149</x:v>
      </x:c>
      <x:c r="I19" s="30" t="str">
        <x:v>苍白雪原</x:v>
      </x:c>
      <x:c r="J19" s="30"/>
      <x:c r="K19" s="30"/>
      <x:c r="L19" s="30"/>
      <x:c r="M19" s="30"/>
      <x:c r="N19" s="41" t="str">
        <x:f>IF(COUNT(J19:M19)&lt;4,"",MAX(ABS(L19-J19),ABS(M19-K19)))</x:f>
      </x:c>
      <x:c r="O19" s="29" t="str">
        <x:v>白金路标片×1＋冻原银角×1＋秘树霜芽×1＋圣雪门楔×1</x:v>
      </x:c>
      <x:c r="P19" s="29" t="str">
        <x:v>白金引路斗笠｜装备·斗笠｜伤害系数+2%、致命防御+6%、最大爆率+14%</x:v>
      </x:c>
      <x:c r="Q19" s="29" t="str">
        <x:v>路灯熄灭后，他们只剩风雪能作证。把四段归途重新接起来，让灯照到最后一个人。</x:v>
      </x:c>
      <x:c r="R19" s="29" t="str">
        <x:f>IF(H19="","地图号缺失",IF(OR(L19="",M19=""),"坐标缺失",IF(F19="全大陆",IF(AND(N19&gt;=4,N19&lt;=8),"距离合格","距离不合格"),"待实图验点")))</x:f>
        <x:v>坐标缺失</x:v>
      </x:c>
      <x:c r="S19" s="29" t="str">
        <x:v>设计定稿待坐标</x:v>
      </x:c>
      <x:c r="T19" s="29" t="str">
        <x:v>一次性；100%交付；不加永久韧性/处决</x:v>
      </x:c>
    </x:row>
    <x:row r="20" ht="57" customHeight="1">
      <x:c r="A20" s="30" t="str">
        <x:v>EL-NPC-C08-QUEST</x:v>
      </x:c>
      <x:c r="B20" s="30" t="str">
        <x:v>C08</x:v>
      </x:c>
      <x:c r="C20" s="30" t="str">
        <x:v>四证任务</x:v>
      </x:c>
      <x:c r="D20" s="30" t="str">
        <x:v>山巅守火人</x:v>
      </x:c>
      <x:c r="E20" s="30" t="str">
        <x:v>熔火锻祷师·奥赫</x:v>
      </x:c>
      <x:c r="F20" s="30" t="str">
        <x:v>全大陆</x:v>
      </x:c>
      <x:c r="G20" s="30" t="str">
        <x:v>赐福点附近4—8坐标</x:v>
      </x:c>
      <x:c r="H20" s="30" t="str">
        <x:v>XX900</x:v>
      </x:c>
      <x:c r="I20" s="30" t="str">
        <x:v>寒霜山径</x:v>
      </x:c>
      <x:c r="J20" s="30"/>
      <x:c r="K20" s="30"/>
      <x:c r="L20" s="30"/>
      <x:c r="M20" s="30"/>
      <x:c r="N20" s="41" t="str">
        <x:f>IF(COUNT(J20:M20)&lt;4,"",MAX(ABS(L20-J20),ABS(M20-K20)))</x:f>
      </x:c>
      <x:c r="O20" s="29" t="str">
        <x:v>登山铁楔×1＋裂峰号角片×1＋冰宫守门铃×1＋王庭炉冠×1</x:v>
      </x:c>
      <x:c r="P20" s="29" t="str">
        <x:v>山巅守火人｜隐藏称号｜最大爆率+16%、最大HP+4%、致命伤害+10%；不加韧性/处决</x:v>
      </x:c>
      <x:c r="Q20" s="29" t="str">
        <x:v>火不是从山顶带下来的，是一路上没有让它熄灭。四件遗物少一样，火都过不了风口。</x:v>
      </x:c>
      <x:c r="R20" s="29" t="str">
        <x:f>IF(H20="","地图号缺失",IF(OR(L20="",M20=""),"坐标缺失",IF(F20="全大陆",IF(AND(N20&gt;=4,N20&lt;=8),"距离合格","距离不合格"),"待实图验点")))</x:f>
        <x:v>坐标缺失</x:v>
      </x:c>
      <x:c r="S20" s="29" t="str">
        <x:v>设计定稿待坐标</x:v>
      </x:c>
      <x:c r="T20" s="29" t="str">
        <x:v>一次性；100%交付；不加永久韧性/处决</x:v>
      </x:c>
    </x:row>
    <x:row r="21" ht="57" customHeight="1">
      <x:c r="A21" s="30" t="str">
        <x:v>EL-NPC-C09-QUEST</x:v>
      </x:c>
      <x:c r="B21" s="30" t="str">
        <x:v>C09</x:v>
      </x:c>
      <x:c r="C21" s="30" t="str">
        <x:v>四证任务</x:v>
      </x:c>
      <x:c r="D21" s="30" t="str">
        <x:v>矿脉最后一班</x:v>
      </x:c>
      <x:c r="E21" s="30" t="str">
        <x:v>矿脉账房·格雷</x:v>
      </x:c>
      <x:c r="F21" s="30" t="str">
        <x:v>全大陆</x:v>
      </x:c>
      <x:c r="G21" s="30" t="str">
        <x:v>赐福点附近4—8坐标</x:v>
      </x:c>
      <x:c r="H21" s="30" t="str">
        <x:v>XX720</x:v>
      </x:c>
      <x:c r="I21" s="30" t="str">
        <x:v>金叶古道</x:v>
      </x:c>
      <x:c r="J21" s="30"/>
      <x:c r="K21" s="30"/>
      <x:c r="L21" s="30"/>
      <x:c r="M21" s="30"/>
      <x:c r="N21" s="41" t="str">
        <x:f>IF(COUNT(J21:M21)&lt;4,"",MAX(ABS(L21-J21),ABS(M21-K21)))</x:f>
      </x:c>
      <x:c r="O21" s="29" t="str">
        <x:v>金叶驿票×1＋矿脉灯芯×1＋裁文蜡封×1＋高原王诏金版×1</x:v>
      </x:c>
      <x:c r="P21" s="29" t="str">
        <x:v>末班送行军鼓｜装备·军鼓｜伤害系数+3%、致命伤害+20%、最大爆率+18%</x:v>
      </x:c>
      <x:c r="Q21" s="29" t="str">
        <x:v>矿井停了，账却没结。四处都有人拿走不属于自己的那一页；找齐后，最后一班人才算真正下工。</x:v>
      </x:c>
      <x:c r="R21" s="29" t="str">
        <x:f>IF(H21="","地图号缺失",IF(OR(L21="",M21=""),"坐标缺失",IF(F21="全大陆",IF(AND(N21&gt;=4,N21&lt;=8),"距离合格","距离不合格"),"待实图验点")))</x:f>
        <x:v>坐标缺失</x:v>
      </x:c>
      <x:c r="S21" s="29" t="str">
        <x:v>设计定稿；地图组名待核</x:v>
      </x:c>
      <x:c r="T21" s="29" t="str">
        <x:v>一次性；100%交付；不加永久韧性/处决</x:v>
      </x:c>
    </x:row>
    <x:row r="22" ht="57" customHeight="1">
      <x:c r="A22" s="30" t="str">
        <x:v>EL-NPC-C10-QUEST</x:v>
      </x:c>
      <x:c r="B22" s="30" t="str">
        <x:v>C10</x:v>
      </x:c>
      <x:c r="C22" s="30" t="str">
        <x:v>四证任务</x:v>
      </x:c>
      <x:c r="D22" s="30" t="str">
        <x:v>王城终誓</x:v>
      </x:c>
      <x:c r="E22" s="30" t="str">
        <x:v>终誓记录官·涅伊</x:v>
      </x:c>
      <x:c r="F22" s="30" t="str">
        <x:v>全大陆</x:v>
      </x:c>
      <x:c r="G22" s="30" t="str">
        <x:v>赐福点附近4—8坐标</x:v>
      </x:c>
      <x:c r="H22" s="30" t="str">
        <x:v>XX932</x:v>
      </x:c>
      <x:c r="I22" s="30" t="str">
        <x:v>王城下城区</x:v>
      </x:c>
      <x:c r="J22" s="30"/>
      <x:c r="K22" s="30"/>
      <x:c r="L22" s="30"/>
      <x:c r="M22" s="30"/>
      <x:c r="N22" s="41" t="str">
        <x:f>IF(COUNT(J22:M22)&lt;4,"",MAX(ABS(L22-J22),ABS(M22-K22)))</x:f>
      </x:c>
      <x:c r="O22" s="29" t="str">
        <x:v>无名墓钉×1＋旧渠阀芯×1＋失温熔炉楔×1＋王宫断冠片×1</x:v>
      </x:c>
      <x:c r="P22" s="29" t="str">
        <x:v>无冠终誓见证人｜隐藏称号｜最大爆率+20%、最大HP+5%、致命防御+10%；不加韧性/处决</x:v>
      </x:c>
      <x:c r="Q22" s="29" t="str">
        <x:v>王城的誓言太多，真正走到底的只有四件证物。缺一件都只是另一场加冕；齐了，终誓才属于你。</x:v>
      </x:c>
      <x:c r="R22" s="29" t="str">
        <x:f>IF(H22="","地图号缺失",IF(OR(L22="",M22=""),"坐标缺失",IF(F22="全大陆",IF(AND(N22&gt;=4,N22&lt;=8),"距离合格","距离不合格"),"待实图验点")))</x:f>
        <x:v>坐标缺失</x:v>
      </x:c>
      <x:c r="S22" s="29" t="str">
        <x:v>设计定稿；地图组名待核</x:v>
      </x:c>
      <x:c r="T22" s="29" t="str">
        <x:v>一次性；100%交付；不加永久韧性/处决</x:v>
      </x:c>
    </x:row>
    <x:row r="23" ht="57" customHeight="1">
      <x:c r="A23" s="30" t="str">
        <x:v>EL-NPC-C03-SYN</x:v>
      </x:c>
      <x:c r="B23" s="30" t="str">
        <x:v>C03</x:v>
      </x:c>
      <x:c r="C23" s="30" t="str">
        <x:v>强合成</x:v>
      </x:c>
      <x:c r="D23" s="30" t="str">
        <x:v>西境风暴缚腕</x:v>
      </x:c>
      <x:c r="E23" s="30" t="str">
        <x:v>西境缚腕匠·洛哈</x:v>
      </x:c>
      <x:c r="F23" s="30" t="str">
        <x:v>全大陆</x:v>
      </x:c>
      <x:c r="G23" s="30" t="str">
        <x:v>赐福点附近4—8坐标</x:v>
      </x:c>
      <x:c r="H23" s="30" t="str">
        <x:v>XX776</x:v>
      </x:c>
      <x:c r="I23" s="30" t="str">
        <x:v>西境荒原</x:v>
      </x:c>
      <x:c r="J23" s="30"/>
      <x:c r="K23" s="30"/>
      <x:c r="L23" s="30"/>
      <x:c r="M23" s="30"/>
      <x:c r="N23" s="41" t="str">
        <x:f>IF(COUNT(J23:M23)&lt;4,"",MAX(ABS(L23-J23),ABS(M23-K23)))</x:f>
      </x:c>
      <x:c r="O23" s="29" t="str">
        <x:v>详见04_强合成配方；每条2件BOSS主材＋2件同槽非BOSS专属＋材料＋货币</x:v>
      </x:c>
      <x:c r="P23" s="29" t="str">
        <x:v>西境风暴缚腕｜成功率100%</x:v>
      </x:c>
      <x:c r="Q23" s="29" t="str">
        <x:v>两位守将各留下一半风暴。把它们交给我，我把败军的铁铸成胜者的腕甲。</x:v>
      </x:c>
      <x:c r="R23" s="29" t="str">
        <x:f>IF(H23="","地图号缺失",IF(OR(L23="",M23=""),"坐标缺失",IF(F23="全大陆",IF(AND(N23&gt;=4,N23&lt;=8),"距离合格","距离不合格"),"待实图验点")))</x:f>
        <x:v>坐标缺失</x:v>
      </x:c>
      <x:c r="S23" s="29" t="str">
        <x:v>设计定稿待坐标</x:v>
      </x:c>
      <x:c r="T23" s="29" t="str">
        <x:v>替代旧内地图合成投放点；旧地图只保留剧情用途</x:v>
      </x:c>
    </x:row>
    <x:row r="24" ht="57" customHeight="1">
      <x:c r="A24" s="30" t="str">
        <x:v>EL-NPC-C04-SYN</x:v>
      </x:c>
      <x:c r="B24" s="30" t="str">
        <x:v>C04</x:v>
      </x:c>
      <x:c r="C24" s="30" t="str">
        <x:v>强合成</x:v>
      </x:c>
      <x:c r="D24" s="30" t="str">
        <x:v>幽潮执政束带／沉湖回响戒</x:v>
      </x:c>
      <x:c r="E24" s="30" t="str">
        <x:v>幽潮铸政师·莫娜</x:v>
      </x:c>
      <x:c r="F24" s="30" t="str">
        <x:v>全大陆</x:v>
      </x:c>
      <x:c r="G24" s="30" t="str">
        <x:v>赐福点附近4—8坐标</x:v>
      </x:c>
      <x:c r="H24" s="30" t="str">
        <x:v>XX341</x:v>
      </x:c>
      <x:c r="I24" s="30" t="str">
        <x:v>雾潮湿地</x:v>
      </x:c>
      <x:c r="J24" s="30"/>
      <x:c r="K24" s="30"/>
      <x:c r="L24" s="30"/>
      <x:c r="M24" s="30"/>
      <x:c r="N24" s="41" t="str">
        <x:f>IF(COUNT(J24:M24)&lt;4,"",MAX(ABS(L24-J24),ABS(M24-K24)))</x:f>
      </x:c>
      <x:c r="O24" s="29" t="str">
        <x:v>详见04_强合成配方；每条2件BOSS主材＋2件同槽非BOSS专属＋材料＋货币</x:v>
      </x:c>
      <x:c r="P24" s="29" t="str">
        <x:v>幽潮执政束带／沉湖回响戒｜成功率100%</x:v>
      </x:c>
      <x:c r="Q24" s="29" t="str">
        <x:v>湖水会吞掉名字，却吞不掉铁上的誓言。把两位船主的遗物带来。</x:v>
      </x:c>
      <x:c r="R24" s="29" t="str">
        <x:f>IF(H24="","地图号缺失",IF(OR(L24="",M24=""),"坐标缺失",IF(F24="全大陆",IF(AND(N24&gt;=4,N24&lt;=8),"距离合格","距离不合格"),"待实图验点")))</x:f>
        <x:v>坐标缺失</x:v>
      </x:c>
      <x:c r="S24" s="29" t="str">
        <x:v>设计定稿待坐标</x:v>
      </x:c>
      <x:c r="T24" s="29" t="str">
        <x:v>替代旧内地图合成投放点；旧地图只保留剧情用途</x:v>
      </x:c>
    </x:row>
    <x:row r="25" ht="57" customHeight="1">
      <x:c r="A25" s="30" t="str">
        <x:v>EL-NPC-C05-SYN</x:v>
      </x:c>
      <x:c r="B25" s="30" t="str">
        <x:v>C05</x:v>
      </x:c>
      <x:c r="C25" s="30" t="str">
        <x:v>强合成</x:v>
      </x:c>
      <x:c r="D25" s="30" t="str">
        <x:v>满月辉石项链</x:v>
      </x:c>
      <x:c r="E25" s="30" t="str">
        <x:v>辉石共鸣师·塞琳</x:v>
      </x:c>
      <x:c r="F25" s="30" t="str">
        <x:v>全大陆</x:v>
      </x:c>
      <x:c r="G25" s="30" t="str">
        <x:v>赐福点附近4—8坐标</x:v>
      </x:c>
      <x:c r="H25" s="30" t="str">
        <x:v>XX338</x:v>
      </x:c>
      <x:c r="I25" s="30" t="str">
        <x:v>雾月水庭</x:v>
      </x:c>
      <x:c r="J25" s="30"/>
      <x:c r="K25" s="30"/>
      <x:c r="L25" s="30"/>
      <x:c r="M25" s="30"/>
      <x:c r="N25" s="41" t="str">
        <x:f>IF(COUNT(J25:M25)&lt;4,"",MAX(ABS(L25-J25),ABS(M25-K25)))</x:f>
      </x:c>
      <x:c r="O25" s="29" t="str">
        <x:v>详见04_强合成配方；每条2件BOSS主材＋2件同槽非BOSS专属＋材料＋货币</x:v>
      </x:c>
      <x:c r="P25" s="29" t="str">
        <x:v>满月辉石项链｜成功率100%</x:v>
      </x:c>
      <x:c r="Q25" s="29" t="str">
        <x:v>辉石照见力量，也照见贪念。只有两枚王室遗物都承认你，我才会让它们共鸣。</x:v>
      </x:c>
      <x:c r="R25" s="29" t="str">
        <x:f>IF(H25="","地图号缺失",IF(OR(L25="",M25=""),"坐标缺失",IF(F25="全大陆",IF(AND(N25&gt;=4,N25&lt;=8),"距离合格","距离不合格"),"待实图验点")))</x:f>
        <x:v>坐标缺失</x:v>
      </x:c>
      <x:c r="S25" s="29" t="str">
        <x:v>设计定稿待坐标</x:v>
      </x:c>
      <x:c r="T25" s="29" t="str">
        <x:v>替代旧内地图合成投放点；旧地图只保留剧情用途</x:v>
      </x:c>
    </x:row>
    <x:row r="26" ht="57" customHeight="1">
      <x:c r="A26" s="30" t="str">
        <x:v>EL-NPC-C06-SYN</x:v>
      </x:c>
      <x:c r="B26" s="30" t="str">
        <x:v>C06</x:v>
      </x:c>
      <x:c r="C26" s="30" t="str">
        <x:v>强合成</x:v>
      </x:c>
      <x:c r="D26" s="30" t="str">
        <x:v>红狮腐焰盔</x:v>
      </x:c>
      <x:c r="E26" s="30" t="str">
        <x:v>腐焰铁匠·盖恩</x:v>
      </x:c>
      <x:c r="F26" s="30" t="str">
        <x:v>全大陆</x:v>
      </x:c>
      <x:c r="G26" s="30" t="str">
        <x:v>赐福点附近4—8坐标</x:v>
      </x:c>
      <x:c r="H26" s="30" t="str">
        <x:v>XX304</x:v>
      </x:c>
      <x:c r="I26" s="30" t="str">
        <x:v>猩红熔原</x:v>
      </x:c>
      <x:c r="J26" s="30"/>
      <x:c r="K26" s="30"/>
      <x:c r="L26" s="30"/>
      <x:c r="M26" s="30"/>
      <x:c r="N26" s="41" t="str">
        <x:f>IF(COUNT(J26:M26)&lt;4,"",MAX(ABS(L26-J26),ABS(M26-K26)))</x:f>
      </x:c>
      <x:c r="O26" s="29" t="str">
        <x:v>详见04_强合成配方；每条2件BOSS主材＋2件同槽非BOSS专属＋材料＋货币</x:v>
      </x:c>
      <x:c r="P26" s="29" t="str">
        <x:v>红狮腐焰盔｜成功率100%</x:v>
      </x:c>
      <x:c r="Q26" s="29" t="str">
        <x:v>腐败会吃掉铁，红狮的火会把它逼回去。把两颗心都放上铁砧。</x:v>
      </x:c>
      <x:c r="R26" s="29" t="str">
        <x:f>IF(H26="","地图号缺失",IF(OR(L26="",M26=""),"坐标缺失",IF(F26="全大陆",IF(AND(N26&gt;=4,N26&lt;=8),"距离合格","距离不合格"),"待实图验点")))</x:f>
        <x:v>坐标缺失</x:v>
      </x:c>
      <x:c r="S26" s="29" t="str">
        <x:v>设计定稿待坐标</x:v>
      </x:c>
      <x:c r="T26" s="29" t="str">
        <x:v>替代旧内地图合成投放点；旧地图只保留剧情用途</x:v>
      </x:c>
    </x:row>
    <x:row r="27" ht="57" customHeight="1">
      <x:c r="A27" s="30" t="str">
        <x:v>EL-NPC-C07-SYN</x:v>
      </x:c>
      <x:c r="B27" s="30" t="str">
        <x:v>C07</x:v>
      </x:c>
      <x:c r="C27" s="30" t="str">
        <x:v>强合成</x:v>
      </x:c>
      <x:c r="D27" s="30" t="str">
        <x:v>白金踏雪靴／圣雪守誓披风</x:v>
      </x:c>
      <x:c r="E27" s="30" t="str">
        <x:v>圣雪织誓师·弥拉</x:v>
      </x:c>
      <x:c r="F27" s="30" t="str">
        <x:v>全大陆</x:v>
      </x:c>
      <x:c r="G27" s="30" t="str">
        <x:v>赐福点附近4—8坐标</x:v>
      </x:c>
      <x:c r="H27" s="30" t="str">
        <x:v>XX149</x:v>
      </x:c>
      <x:c r="I27" s="30" t="str">
        <x:v>苍白雪原</x:v>
      </x:c>
      <x:c r="J27" s="30"/>
      <x:c r="K27" s="30"/>
      <x:c r="L27" s="30"/>
      <x:c r="M27" s="30"/>
      <x:c r="N27" s="41" t="str">
        <x:f>IF(COUNT(J27:M27)&lt;4,"",MAX(ABS(L27-J27),ABS(M27-K27)))</x:f>
      </x:c>
      <x:c r="O27" s="29" t="str">
        <x:v>详见04_强合成配方；每条2件BOSS主材＋2件同槽非BOSS专属＋材料＋货币</x:v>
      </x:c>
      <x:c r="P27" s="29" t="str">
        <x:v>白金踏雪靴／圣雪守誓披风｜成功率100%</x:v>
      </x:c>
      <x:c r="Q27" s="29" t="str">
        <x:v>雪会抹掉脚印，却抹不掉归途。带来白金丝与守望者的遗物。</x:v>
      </x:c>
      <x:c r="R27" s="29" t="str">
        <x:f>IF(H27="","地图号缺失",IF(OR(L27="",M27=""),"坐标缺失",IF(F27="全大陆",IF(AND(N27&gt;=4,N27&lt;=8),"距离合格","距离不合格"),"待实图验点")))</x:f>
        <x:v>坐标缺失</x:v>
      </x:c>
      <x:c r="S27" s="29" t="str">
        <x:v>设计定稿待坐标</x:v>
      </x:c>
      <x:c r="T27" s="29" t="str">
        <x:v>替代旧内地图合成投放点；旧地图只保留剧情用途</x:v>
      </x:c>
    </x:row>
    <x:row r="28" ht="57" customHeight="1">
      <x:c r="A28" s="30" t="str">
        <x:v>EL-NPC-C08-SYN</x:v>
      </x:c>
      <x:c r="B28" s="30" t="str">
        <x:v>C08</x:v>
      </x:c>
      <x:c r="C28" s="30" t="str">
        <x:v>强合成</x:v>
      </x:c>
      <x:c r="D28" s="30" t="str">
        <x:v>火焰巨人战铠</x:v>
      </x:c>
      <x:c r="E28" s="30" t="str">
        <x:v>山巅承火匠·欧贡</x:v>
      </x:c>
      <x:c r="F28" s="30" t="str">
        <x:v>全大陆</x:v>
      </x:c>
      <x:c r="G28" s="30" t="str">
        <x:v>赐福点附近4—8坐标</x:v>
      </x:c>
      <x:c r="H28" s="30" t="str">
        <x:v>XX900</x:v>
      </x:c>
      <x:c r="I28" s="30" t="str">
        <x:v>寒霜山径</x:v>
      </x:c>
      <x:c r="J28" s="30"/>
      <x:c r="K28" s="30"/>
      <x:c r="L28" s="30"/>
      <x:c r="M28" s="30"/>
      <x:c r="N28" s="41" t="str">
        <x:f>IF(COUNT(J28:M28)&lt;4,"",MAX(ABS(L28-J28),ABS(M28-K28)))</x:f>
      </x:c>
      <x:c r="O28" s="29" t="str">
        <x:v>详见04_强合成配方；每条2件BOSS主材＋2件同槽非BOSS专属＋材料＋货币</x:v>
      </x:c>
      <x:c r="P28" s="29" t="str">
        <x:v>火焰巨人战铠｜成功率100%</x:v>
      </x:c>
      <x:c r="Q28" s="29" t="str">
        <x:v>巨人的火不该熄灭，也不该失控。带来火种与王庭核心，我替你做一副能承受它的甲。</x:v>
      </x:c>
      <x:c r="R28" s="29" t="str">
        <x:f>IF(H28="","地图号缺失",IF(OR(L28="",M28=""),"坐标缺失",IF(F28="全大陆",IF(AND(N28&gt;=4,N28&lt;=8),"距离合格","距离不合格"),"待实图验点")))</x:f>
        <x:v>坐标缺失</x:v>
      </x:c>
      <x:c r="S28" s="29" t="str">
        <x:v>设计定稿待坐标</x:v>
      </x:c>
      <x:c r="T28" s="29" t="str">
        <x:v>替代旧内地图合成投放点；旧地图只保留剧情用途</x:v>
      </x:c>
    </x:row>
    <x:row r="29" ht="57" customHeight="1">
      <x:c r="A29" s="30" t="str">
        <x:v>EL-NPC-C09-SYN</x:v>
      </x:c>
      <x:c r="B29" s="30" t="str">
        <x:v>C09</x:v>
      </x:c>
      <x:c r="C29" s="30" t="str">
        <x:v>强合成</x:v>
      </x:c>
      <x:c r="D29" s="30" t="str">
        <x:v>黄金律法勋章</x:v>
      </x:c>
      <x:c r="E29" s="30" t="str">
        <x:v>黄金律铸印师·奥尔</x:v>
      </x:c>
      <x:c r="F29" s="30" t="str">
        <x:v>全大陆</x:v>
      </x:c>
      <x:c r="G29" s="30" t="str">
        <x:v>赐福点附近4—8坐标</x:v>
      </x:c>
      <x:c r="H29" s="30" t="str">
        <x:v>XX720</x:v>
      </x:c>
      <x:c r="I29" s="30" t="str">
        <x:v>金叶古道</x:v>
      </x:c>
      <x:c r="J29" s="30"/>
      <x:c r="K29" s="30"/>
      <x:c r="L29" s="30"/>
      <x:c r="M29" s="30"/>
      <x:c r="N29" s="41" t="str">
        <x:f>IF(COUNT(J29:M29)&lt;4,"",MAX(ABS(L29-J29),ABS(M29-K29)))</x:f>
      </x:c>
      <x:c r="O29" s="29" t="str">
        <x:v>详见04_强合成配方；每条2件BOSS主材＋2件同槽非BOSS专属＋材料＋货币</x:v>
      </x:c>
      <x:c r="P29" s="29" t="str">
        <x:v>黄金律法勋章｜成功率100%</x:v>
      </x:c>
      <x:c r="Q29" s="29" t="str">
        <x:v>律法若只剩金色，就与枷锁无异。把古王的勋章和被删去的律文带来。</x:v>
      </x:c>
      <x:c r="R29" s="29" t="str">
        <x:f>IF(H29="","地图号缺失",IF(OR(L29="",M29=""),"坐标缺失",IF(F29="全大陆",IF(AND(N29&gt;=4,N29&lt;=8),"距离合格","距离不合格"),"待实图验点")))</x:f>
        <x:v>坐标缺失</x:v>
      </x:c>
      <x:c r="S29" s="29" t="str">
        <x:v>设计定稿待坐标</x:v>
      </x:c>
      <x:c r="T29" s="29" t="str">
        <x:v>替代旧内地图合成投放点；旧地图只保留剧情用途</x:v>
      </x:c>
    </x:row>
    <x:row r="30" ht="57" customHeight="1">
      <x:c r="A30" s="30" t="str">
        <x:v>EL-NPC-C10-SYN</x:v>
      </x:c>
      <x:c r="B30" s="30" t="str">
        <x:v>C10</x:v>
      </x:c>
      <x:c r="C30" s="30" t="str">
        <x:v>强合成</x:v>
      </x:c>
      <x:c r="D30" s="30" t="str">
        <x:v>罗德尔弑王刃／王城黄金塔盾</x:v>
      </x:c>
      <x:c r="E30" s="30" t="str">
        <x:v>王城终锻师·海塔</x:v>
      </x:c>
      <x:c r="F30" s="30" t="str">
        <x:v>全大陆</x:v>
      </x:c>
      <x:c r="G30" s="30" t="str">
        <x:v>赐福点附近4—8坐标</x:v>
      </x:c>
      <x:c r="H30" s="30" t="str">
        <x:v>XX932</x:v>
      </x:c>
      <x:c r="I30" s="30" t="str">
        <x:v>王城下城区</x:v>
      </x:c>
      <x:c r="J30" s="30"/>
      <x:c r="K30" s="30"/>
      <x:c r="L30" s="30"/>
      <x:c r="M30" s="30"/>
      <x:c r="N30" s="41" t="str">
        <x:f>IF(COUNT(J30:M30)&lt;4,"",MAX(ABS(L30-J30),ABS(M30-K30)))</x:f>
      </x:c>
      <x:c r="O30" s="29" t="str">
        <x:v>详见04_强合成配方；每条2件BOSS主材＋2件同槽非BOSS专属＋材料＋货币</x:v>
      </x:c>
      <x:c r="P30" s="29" t="str">
        <x:v>罗德尔弑王刃／王城黄金塔盾｜成功率100%</x:v>
      </x:c>
      <x:c r="Q30" s="29" t="str">
        <x:v>王城的金子只会遮住裂缝。把王与守卫的遗物放下，我铸的是终结，不是王冠。</x:v>
      </x:c>
      <x:c r="R30" s="29" t="str">
        <x:f>IF(H30="","地图号缺失",IF(OR(L30="",M30=""),"坐标缺失",IF(F30="全大陆",IF(AND(N30&gt;=4,N30&lt;=8),"距离合格","距离不合格"),"待实图验点")))</x:f>
        <x:v>坐标缺失</x:v>
      </x:c>
      <x:c r="S30" s="29" t="str">
        <x:v>设计定稿待坐标</x:v>
      </x:c>
      <x:c r="T30" s="29" t="str">
        <x:v>替代旧内地图合成投放点；旧地图只保留剧情用途</x:v>
      </x:c>
    </x:row>
    <x:row r="31" ht="57" customHeight="1">
      <x:c r="A31" s="30" t="str">
        <x:v>EL-NPC-C01-OLD-01</x:v>
      </x:c>
      <x:c r="B31" s="30" t="str">
        <x:v>C01</x:v>
      </x:c>
      <x:c r="C31" s="30" t="str">
        <x:v>既有任务</x:v>
      </x:c>
      <x:c r="D31" s="30" t="str">
        <x:v>海岸亡魂</x:v>
      </x:c>
      <x:c r="E31" s="30" t="str">
        <x:v>拾骸女·梅芙</x:v>
      </x:c>
      <x:c r="F31" s="30" t="str">
        <x:v>本地图</x:v>
      </x:c>
      <x:c r="G31" s="30" t="str">
        <x:v>本地图最后一层</x:v>
      </x:c>
      <x:c r="H31" s="30" t="str">
        <x:v>XX330</x:v>
      </x:c>
      <x:c r="I31" s="30" t="str">
        <x:v>失乡者王座</x:v>
      </x:c>
      <x:c r="J31" s="30"/>
      <x:c r="K31" s="30"/>
      <x:c r="L31" s="30"/>
      <x:c r="M31" s="30"/>
      <x:c r="N31" s="41" t="str">
        <x:f>IF(COUNT(J31:M31)&lt;4,"",MAX(ABS(L31-J31),ABS(M31-K31)))</x:f>
      </x:c>
      <x:c r="O31" s="29" t="str">
        <x:v>保留原收集材料与一次完成限制；旧脚本回读</x:v>
      </x:c>
      <x:c r="P31" s="29" t="str">
        <x:v>漂流见证·潮×1、海蚀铁片60、0.5小时货币</x:v>
      </x:c>
      <x:c r="Q31" s="29" t="str">
        <x:v>保留原剧情对白，不改任务壳</x:v>
      </x:c>
      <x:c r="R31" s="29" t="str">
        <x:f>IF(H31="","地图号缺失",IF(OR(L31="",M31=""),"坐标缺失",IF(F31="全大陆",IF(AND(N31&gt;=4,N31&lt;=8),"距离合格","距离不合格"),"待实图验点")))</x:f>
        <x:v>坐标缺失</x:v>
      </x:c>
      <x:c r="S31" s="29" t="str">
        <x:v>保留；待回读坐标/脚本</x:v>
      </x:c>
      <x:c r="T31" s="29" t="str">
        <x:v>删除旧称号/永久韧性/永久处决奖励耦合</x:v>
      </x:c>
    </x:row>
    <x:row r="32" ht="57" customHeight="1">
      <x:c r="A32" s="30" t="str">
        <x:v>EL-NPC-C01-OLD-02</x:v>
      </x:c>
      <x:c r="B32" s="30" t="str">
        <x:v>C01</x:v>
      </x:c>
      <x:c r="C32" s="30" t="str">
        <x:v>既有任务</x:v>
      </x:c>
      <x:c r="D32" s="30" t="str">
        <x:v>风暴遗誓</x:v>
      </x:c>
      <x:c r="E32" s="30" t="str">
        <x:v>断誓骑士·罗恩</x:v>
      </x:c>
      <x:c r="F32" s="30" t="str">
        <x:v>本地图</x:v>
      </x:c>
      <x:c r="G32" s="30" t="str">
        <x:v>本地图最后一层</x:v>
      </x:c>
      <x:c r="H32" s="30" t="str">
        <x:v>XX106</x:v>
      </x:c>
      <x:c r="I32" s="30" t="str">
        <x:v>风暴断崖4层</x:v>
      </x:c>
      <x:c r="J32" s="30"/>
      <x:c r="K32" s="30"/>
      <x:c r="L32" s="30"/>
      <x:c r="M32" s="30"/>
      <x:c r="N32" s="41" t="str">
        <x:f>IF(COUNT(J32:M32)&lt;4,"",MAX(ABS(L32-J32),ABS(M32-K32)))</x:f>
      </x:c>
      <x:c r="O32" s="29" t="str">
        <x:v>保留原收集材料与一次完成限制；旧脚本回读</x:v>
      </x:c>
      <x:c r="P32" s="29" t="str">
        <x:v>漂流见证·雷×1、潮痕结晶6、0.5小时货币</x:v>
      </x:c>
      <x:c r="Q32" s="29" t="str">
        <x:v>保留原剧情对白，不改任务壳</x:v>
      </x:c>
      <x:c r="R32" s="29" t="str">
        <x:f>IF(H32="","地图号缺失",IF(OR(L32="",M32=""),"坐标缺失",IF(F32="全大陆",IF(AND(N32&gt;=4,N32&lt;=8),"距离合格","距离不合格"),"待实图验点")))</x:f>
        <x:v>坐标缺失</x:v>
      </x:c>
      <x:c r="S32" s="29" t="str">
        <x:v>保留；待回读坐标/脚本</x:v>
      </x:c>
      <x:c r="T32" s="29" t="str">
        <x:v>删除旧称号/永久韧性/永久处决奖励耦合</x:v>
      </x:c>
    </x:row>
    <x:row r="33" ht="57" customHeight="1">
      <x:c r="A33" s="30" t="str">
        <x:v>EL-NPC-C01-OLD-03</x:v>
      </x:c>
      <x:c r="B33" s="30" t="str">
        <x:v>C01</x:v>
      </x:c>
      <x:c r="C33" s="30" t="str">
        <x:v>既有任务</x:v>
      </x:c>
      <x:c r="D33" s="30" t="str">
        <x:v>沉王终曲</x:v>
      </x:c>
      <x:c r="E33" s="30" t="str">
        <x:v>无冠史官·塞蕾</x:v>
      </x:c>
      <x:c r="F33" s="30" t="str">
        <x:v>本地图</x:v>
      </x:c>
      <x:c r="G33" s="30" t="str">
        <x:v>本地图最后一层</x:v>
      </x:c>
      <x:c r="H33" s="30" t="str">
        <x:v>XX105</x:v>
      </x:c>
      <x:c r="I33" s="30" t="str">
        <x:v>沉没王座</x:v>
      </x:c>
      <x:c r="J33" s="30"/>
      <x:c r="K33" s="30"/>
      <x:c r="L33" s="30"/>
      <x:c r="M33" s="30"/>
      <x:c r="N33" s="41" t="str">
        <x:f>IF(COUNT(J33:M33)&lt;4,"",MAX(ABS(L33-J33),ABS(M33-K33)))</x:f>
      </x:c>
      <x:c r="O33" s="29" t="str">
        <x:v>保留原收集材料与一次完成限制；旧脚本回读</x:v>
      </x:c>
      <x:c r="P33" s="29" t="str">
        <x:v>漂流大陆印记×1、海蚀铁片90、1小时货币</x:v>
      </x:c>
      <x:c r="Q33" s="29" t="str">
        <x:v>保留原剧情对白，不改任务壳</x:v>
      </x:c>
      <x:c r="R33" s="29" t="str">
        <x:f>IF(H33="","地图号缺失",IF(OR(L33="",M33=""),"坐标缺失",IF(F33="全大陆",IF(AND(N33&gt;=4,N33&lt;=8),"距离合格","距离不合格"),"待实图验点")))</x:f>
        <x:v>坐标缺失</x:v>
      </x:c>
      <x:c r="S33" s="29" t="str">
        <x:v>保留；待回读坐标/脚本</x:v>
      </x:c>
      <x:c r="T33" s="29" t="str">
        <x:v>删除旧称号/永久韧性/永久处决奖励耦合</x:v>
      </x:c>
    </x:row>
    <x:row r="34" ht="57" customHeight="1">
      <x:c r="A34" s="30" t="str">
        <x:v>EL-NPC-C02-OLD-01</x:v>
      </x:c>
      <x:c r="B34" s="30" t="str">
        <x:v>C02</x:v>
      </x:c>
      <x:c r="C34" s="30" t="str">
        <x:v>既有任务</x:v>
      </x:c>
      <x:c r="D34" s="30" t="str">
        <x:v>墓火归乡</x:v>
      </x:c>
      <x:c r="E34" s="30" t="str">
        <x:v>待回读旧脚本</x:v>
      </x:c>
      <x:c r="F34" s="30" t="str">
        <x:v>本地图</x:v>
      </x:c>
      <x:c r="G34" s="30" t="str">
        <x:v>本地图最后一层</x:v>
      </x:c>
      <x:c r="H34" s="30" t="str">
        <x:v>XX348</x:v>
      </x:c>
      <x:c r="I34" s="30" t="str">
        <x:v>英雄长眠之所</x:v>
      </x:c>
      <x:c r="J34" s="30"/>
      <x:c r="K34" s="30"/>
      <x:c r="L34" s="30"/>
      <x:c r="M34" s="30"/>
      <x:c r="N34" s="41" t="str">
        <x:f>IF(COUNT(J34:M34)&lt;4,"",MAX(ABS(L34-J34),ABS(M34-K34)))</x:f>
      </x:c>
      <x:c r="O34" s="29" t="str">
        <x:v>保留原收集材料与一次完成限制；旧脚本回读</x:v>
      </x:c>
      <x:c r="P34" s="29" t="str">
        <x:v>宁姆格福誓页×1、风暴石片60</x:v>
      </x:c>
      <x:c r="Q34" s="29" t="str">
        <x:v>保留原剧情对白，不改任务壳</x:v>
      </x:c>
      <x:c r="R34" s="29" t="str">
        <x:f>IF(H34="","地图号缺失",IF(OR(L34="",M34=""),"坐标缺失",IF(F34="全大陆",IF(AND(N34&gt;=4,N34&lt;=8),"距离合格","距离不合格"),"待实图验点")))</x:f>
        <x:v>坐标缺失</x:v>
      </x:c>
      <x:c r="S34" s="29" t="str">
        <x:v>保留；待回读坐标/脚本</x:v>
      </x:c>
      <x:c r="T34" s="29" t="str">
        <x:v>删除旧称号/永久韧性/永久处决奖励耦合</x:v>
      </x:c>
    </x:row>
    <x:row r="35" ht="57" customHeight="1">
      <x:c r="A35" s="30" t="str">
        <x:v>EL-NPC-C02-OLD-02</x:v>
      </x:c>
      <x:c r="B35" s="30" t="str">
        <x:v>C02</x:v>
      </x:c>
      <x:c r="C35" s="30" t="str">
        <x:v>既有任务</x:v>
      </x:c>
      <x:c r="D35" s="30" t="str">
        <x:v>关隘断旗</x:v>
      </x:c>
      <x:c r="E35" s="30" t="str">
        <x:v>待回读旧脚本</x:v>
      </x:c>
      <x:c r="F35" s="30" t="str">
        <x:v>本地图</x:v>
      </x:c>
      <x:c r="G35" s="30" t="str">
        <x:v>本地图最后一层</x:v>
      </x:c>
      <x:c r="H35" s="30" t="str">
        <x:v>XX115</x:v>
      </x:c>
      <x:c r="I35" s="30" t="str">
        <x:v>关隘祭场</x:v>
      </x:c>
      <x:c r="J35" s="30"/>
      <x:c r="K35" s="30"/>
      <x:c r="L35" s="30"/>
      <x:c r="M35" s="30"/>
      <x:c r="N35" s="41" t="str">
        <x:f>IF(COUNT(J35:M35)&lt;4,"",MAX(ABS(L35-J35),ABS(M35-K35)))</x:f>
      </x:c>
      <x:c r="O35" s="29" t="str">
        <x:v>保留原收集材料与一次完成限制；旧脚本回读</x:v>
      </x:c>
      <x:c r="P35" s="29" t="str">
        <x:v>宁姆格福誓页×1、黄金树芽6</x:v>
      </x:c>
      <x:c r="Q35" s="29" t="str">
        <x:v>保留原剧情对白，不改任务壳</x:v>
      </x:c>
      <x:c r="R35" s="29" t="str">
        <x:f>IF(H35="","地图号缺失",IF(OR(L35="",M35=""),"坐标缺失",IF(F35="全大陆",IF(AND(N35&gt;=4,N35&lt;=8),"距离合格","距离不合格"),"待实图验点")))</x:f>
        <x:v>坐标缺失</x:v>
      </x:c>
      <x:c r="S35" s="29" t="str">
        <x:v>保留；待回读坐标/脚本</x:v>
      </x:c>
      <x:c r="T35" s="29" t="str">
        <x:v>删除旧称号/永久韧性/永久处决奖励耦合</x:v>
      </x:c>
    </x:row>
    <x:row r="36" ht="57" customHeight="1">
      <x:c r="A36" s="30" t="str">
        <x:v>EL-NPC-C02-OLD-03</x:v>
      </x:c>
      <x:c r="B36" s="30" t="str">
        <x:v>C02</x:v>
      </x:c>
      <x:c r="C36" s="30" t="str">
        <x:v>既有任务</x:v>
      </x:c>
      <x:c r="D36" s="30" t="str">
        <x:v>雾林祖魂</x:v>
      </x:c>
      <x:c r="E36" s="30" t="str">
        <x:v>待回读旧脚本</x:v>
      </x:c>
      <x:c r="F36" s="30" t="str">
        <x:v>本地图</x:v>
      </x:c>
      <x:c r="G36" s="30" t="str">
        <x:v>本地图最后一层</x:v>
      </x:c>
      <x:c r="H36" s="30" t="str">
        <x:v>XX167</x:v>
      </x:c>
      <x:c r="I36" s="30" t="str">
        <x:v>古树祭坛</x:v>
      </x:c>
      <x:c r="J36" s="30"/>
      <x:c r="K36" s="30"/>
      <x:c r="L36" s="30"/>
      <x:c r="M36" s="30"/>
      <x:c r="N36" s="41" t="str">
        <x:f>IF(COUNT(J36:M36)&lt;4,"",MAX(ABS(L36-J36),ABS(M36-K36)))</x:f>
      </x:c>
      <x:c r="O36" s="29" t="str">
        <x:v>保留原收集材料与一次完成限制；旧脚本回读</x:v>
      </x:c>
      <x:c r="P36" s="29" t="str">
        <x:v>宁姆格福誓页×1、风暴石片90</x:v>
      </x:c>
      <x:c r="Q36" s="29" t="str">
        <x:v>保留原剧情对白，不改任务壳</x:v>
      </x:c>
      <x:c r="R36" s="29" t="str">
        <x:f>IF(H36="","地图号缺失",IF(OR(L36="",M36=""),"坐标缺失",IF(F36="全大陆",IF(AND(N36&gt;=4,N36&lt;=8),"距离合格","距离不合格"),"待实图验点")))</x:f>
        <x:v>坐标缺失</x:v>
      </x:c>
      <x:c r="S36" s="29" t="str">
        <x:v>保留；待回读坐标/脚本</x:v>
      </x:c>
      <x:c r="T36" s="29" t="str">
        <x:v>删除旧称号/永久韧性/永久处决奖励耦合</x:v>
      </x:c>
    </x:row>
    <x:row r="37" ht="57" customHeight="1">
      <x:c r="A37" s="30" t="str">
        <x:v>EL-NPC-C02-OLD-04</x:v>
      </x:c>
      <x:c r="B37" s="30" t="str">
        <x:v>C02</x:v>
      </x:c>
      <x:c r="C37" s="30" t="str">
        <x:v>既有任务</x:v>
      </x:c>
      <x:c r="D37" s="30" t="str">
        <x:v>踏碎风暴</x:v>
      </x:c>
      <x:c r="E37" s="30" t="str">
        <x:v>待回读旧脚本</x:v>
      </x:c>
      <x:c r="F37" s="30" t="str">
        <x:v>本地图</x:v>
      </x:c>
      <x:c r="G37" s="30" t="str">
        <x:v>本地图最后一层</x:v>
      </x:c>
      <x:c r="H37" s="30" t="str">
        <x:v>XX101</x:v>
      </x:c>
      <x:c r="I37" s="30" t="str">
        <x:v>风暴祭台</x:v>
      </x:c>
      <x:c r="J37" s="30"/>
      <x:c r="K37" s="30"/>
      <x:c r="L37" s="30"/>
      <x:c r="M37" s="30"/>
      <x:c r="N37" s="41" t="str">
        <x:f>IF(COUNT(J37:M37)&lt;4,"",MAX(ABS(L37-J37),ABS(M37-K37)))</x:f>
      </x:c>
      <x:c r="O37" s="29" t="str">
        <x:v>保留原收集材料与一次完成限制；旧脚本回读</x:v>
      </x:c>
      <x:c r="P37" s="29" t="str">
        <x:v>宁姆格福誓页×1、黄金树芽8</x:v>
      </x:c>
      <x:c r="Q37" s="29" t="str">
        <x:v>保留原剧情对白，不改任务壳</x:v>
      </x:c>
      <x:c r="R37" s="29" t="str">
        <x:f>IF(H37="","地图号缺失",IF(OR(L37="",M37=""),"坐标缺失",IF(F37="全大陆",IF(AND(N37&gt;=4,N37&lt;=8),"距离合格","距离不合格"),"待实图验点")))</x:f>
        <x:v>坐标缺失</x:v>
      </x:c>
      <x:c r="S37" s="29" t="str">
        <x:v>保留；待回读坐标/脚本</x:v>
      </x:c>
      <x:c r="T37" s="29" t="str">
        <x:v>删除旧称号/永久韧性/永久处决奖励耦合</x:v>
      </x:c>
    </x:row>
    <x:row r="38" ht="57" customHeight="1">
      <x:c r="A38" s="30" t="str">
        <x:v>EL-NPC-C02-OLD-05</x:v>
      </x:c>
      <x:c r="B38" s="30" t="str">
        <x:v>C02</x:v>
      </x:c>
      <x:c r="C38" s="30" t="str">
        <x:v>既有任务</x:v>
      </x:c>
      <x:c r="D38" s="30" t="str">
        <x:v>接肢王座的终结</x:v>
      </x:c>
      <x:c r="E38" s="30" t="str">
        <x:v>待回读旧脚本</x:v>
      </x:c>
      <x:c r="F38" s="30" t="str">
        <x:v>本地图</x:v>
      </x:c>
      <x:c r="G38" s="30" t="str">
        <x:v>本地图最后一层</x:v>
      </x:c>
      <x:c r="H38" s="30" t="str">
        <x:v>XX279</x:v>
      </x:c>
      <x:c r="I38" s="30" t="str">
        <x:v>接肢王座</x:v>
      </x:c>
      <x:c r="J38" s="30"/>
      <x:c r="K38" s="30"/>
      <x:c r="L38" s="30"/>
      <x:c r="M38" s="30"/>
      <x:c r="N38" s="41" t="str">
        <x:f>IF(COUNT(J38:M38)&lt;4,"",MAX(ABS(L38-J38),ABS(M38-K38)))</x:f>
      </x:c>
      <x:c r="O38" s="29" t="str">
        <x:v>保留原收集材料与一次完成限制；旧脚本回读</x:v>
      </x:c>
      <x:c r="P38" s="29" t="str">
        <x:v>接肢王印×1、2小时货币、第二大陆纪念宝箱</x:v>
      </x:c>
      <x:c r="Q38" s="29" t="str">
        <x:v>保留原剧情对白，不改任务壳</x:v>
      </x:c>
      <x:c r="R38" s="29" t="str">
        <x:f>IF(H38="","地图号缺失",IF(OR(L38="",M38=""),"坐标缺失",IF(F38="全大陆",IF(AND(N38&gt;=4,N38&lt;=8),"距离合格","距离不合格"),"待实图验点")))</x:f>
        <x:v>坐标缺失</x:v>
      </x:c>
      <x:c r="S38" s="29" t="str">
        <x:v>保留；待回读坐标/脚本</x:v>
      </x:c>
      <x:c r="T38" s="29" t="str">
        <x:v>删除旧称号/永久韧性/永久处决奖励耦合</x:v>
      </x:c>
    </x:row>
  </x:sheetData>
  <x:mergeCells>
    <x:mergeCell ref="A1:T1"/>
    <x:mergeCell ref="A2:T2"/>
  </x:mergeCells>
  <x:conditionalFormatting sqref="R5:S38">
    <x:cfRule type="containsText" dxfId="42" priority="1" operator="containsText" text="已确认"/>
    <x:cfRule type="containsText" dxfId="43" priority="2" operator="containsText" text="定稿"/>
    <x:cfRule type="containsText" dxfId="44" priority="3" operator="containsText" text="正常"/>
    <x:cfRule type="containsText" dxfId="45" priority="4" operator="containsText" text="待"/>
    <x:cfRule type="containsText" dxfId="46" priority="5" operator="containsText" text="缺失"/>
    <x:cfRule type="containsText" dxfId="47" priority="6" operator="containsText" text="重复"/>
    <x:cfRule type="containsText" dxfId="48" priority="7" operator="containsText" text="严重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5" hidden="0" customWidth="1"/>
    <x:col min="2" max="2" width="11.600000381469727" hidden="0" customWidth="1"/>
    <x:col min="3" max="3" width="12" hidden="0" customWidth="1"/>
    <x:col min="4" max="4" width="12" hidden="0" customWidth="1"/>
    <x:col min="5" max="5" width="11.5" hidden="0" customWidth="1"/>
    <x:col min="6" max="6" width="9.5" hidden="0" customWidth="1"/>
    <x:col min="7" max="7" width="9.5" hidden="0" customWidth="1"/>
    <x:col min="8" max="8" width="12.5" hidden="0" customWidth="1"/>
    <x:col min="9" max="9" width="10" hidden="0" customWidth="1"/>
    <x:col min="10" max="10" width="25.5" hidden="0" customWidth="1"/>
  </x:cols>
  <x:sheetData>
    <x:row r="1" ht="28.5" customHeight="1">
      <x:c r="A1" s="4" t="str">
        <x:v>专属装备分解与材料回收保护</x:v>
      </x:c>
      <x:c r="B1" s="4" t="str">
        <x:v>专属装备分解与材料回收保护</x:v>
      </x:c>
      <x:c r="C1" s="4" t="str">
        <x:v>专属装备分解与材料回收保护</x:v>
      </x:c>
      <x:c r="D1" s="4" t="str">
        <x:v>专属装备分解与材料回收保护</x:v>
      </x:c>
      <x:c r="E1" s="4" t="str">
        <x:v>专属装备分解与材料回收保护</x:v>
      </x:c>
      <x:c r="F1" s="4" t="str">
        <x:v>专属装备分解与材料回收保护</x:v>
      </x:c>
      <x:c r="G1" s="4" t="str">
        <x:v>专属装备分解与材料回收保护</x:v>
      </x:c>
      <x:c r="H1" s="4" t="str">
        <x:v>专属装备分解与材料回收保护</x:v>
      </x:c>
      <x:c r="I1" s="4" t="str">
        <x:v>专属装备分解与材料回收保护</x:v>
      </x:c>
      <x:c r="J1" s="4" t="str">
        <x:v>专属装备分解与材料回收保护</x:v>
      </x:c>
    </x:row>
    <x:row r="2" ht="31.5" customHeight="1">
      <x:c r="A2" s="56" t="str">
        <x:v>失色锻造石按装备登记的唯一来源等级计算，不随强化、洗练或极品属性增加。多来源异常时先取最低等级并标错；多阶段BOSS只在最终阶段登记一次。</x:v>
      </x:c>
      <x:c r="B2" s="56" t="str">
        <x:v>失色锻造石按装备登记的唯一来源等级计算，不随强化、洗练或极品属性增加。多来源异常时先取最低等级并标错；多阶段BOSS只在最终阶段登记一次。</x:v>
      </x:c>
      <x:c r="C2" s="56" t="str">
        <x:v>失色锻造石按装备登记的唯一来源等级计算，不随强化、洗练或极品属性增加。多来源异常时先取最低等级并标错；多阶段BOSS只在最终阶段登记一次。</x:v>
      </x:c>
      <x:c r="D2" s="56" t="str">
        <x:v>失色锻造石按装备登记的唯一来源等级计算，不随强化、洗练或极品属性增加。多来源异常时先取最低等级并标错；多阶段BOSS只在最终阶段登记一次。</x:v>
      </x:c>
      <x:c r="E2" s="56" t="str">
        <x:v>失色锻造石按装备登记的唯一来源等级计算，不随强化、洗练或极品属性增加。多来源异常时先取最低等级并标错；多阶段BOSS只在最终阶段登记一次。</x:v>
      </x:c>
      <x:c r="F2" s="56" t="str">
        <x:v>失色锻造石按装备登记的唯一来源等级计算，不随强化、洗练或极品属性增加。多来源异常时先取最低等级并标错；多阶段BOSS只在最终阶段登记一次。</x:v>
      </x:c>
      <x:c r="G2" s="56" t="str">
        <x:v>失色锻造石按装备登记的唯一来源等级计算，不随强化、洗练或极品属性增加。多来源异常时先取最低等级并标错；多阶段BOSS只在最终阶段登记一次。</x:v>
      </x:c>
      <x:c r="H2" s="56" t="str">
        <x:v>失色锻造石按装备登记的唯一来源等级计算，不随强化、洗练或极品属性增加。多来源异常时先取最低等级并标错；多阶段BOSS只在最终阶段登记一次。</x:v>
      </x:c>
      <x:c r="I2" s="56" t="str">
        <x:v>失色锻造石按装备登记的唯一来源等级计算，不随强化、洗练或极品属性增加。多来源异常时先取最低等级并标错；多阶段BOSS只在最终阶段登记一次。</x:v>
      </x:c>
      <x:c r="J2" s="56" t="str">
        <x:v>失色锻造石按装备登记的唯一来源等级计算，不随强化、洗练或极品属性增加。多来源异常时先取最低等级并标错；多阶段BOSS只在最终阶段登记一次。</x:v>
      </x:c>
    </x:row>
    <x:row r="4" ht="24" customHeight="1">
      <x:c r="A4" s="24" t="str">
        <x:v>大陆</x:v>
      </x:c>
      <x:c r="B4" s="24" t="str">
        <x:v>名称</x:v>
      </x:c>
      <x:c r="C4" s="24" t="str">
        <x:v>大陆系数K</x:v>
      </x:c>
      <x:c r="D4" s="24" t="str">
        <x:v>普通专属</x:v>
      </x:c>
      <x:c r="E4" s="24" t="str">
        <x:v>精英专属</x:v>
      </x:c>
      <x:c r="F4" s="24" t="str">
        <x:v>地图BOSS专属</x:v>
      </x:c>
      <x:c r="G4" s="24" t="str">
        <x:v>守关BOSS专属</x:v>
      </x:c>
      <x:c r="H4" s="24" t="str">
        <x:v>产物</x:v>
      </x:c>
      <x:c r="I4" s="24" t="str">
        <x:v>计算规则</x:v>
      </x:c>
      <x:c r="J4" s="24" t="str">
        <x:v>状态</x:v>
      </x:c>
    </x:row>
    <x:row r="5" ht="24" customHeight="1">
      <x:c r="A5" s="30" t="str">
        <x:v>C01</x:v>
      </x:c>
      <x:c r="B5" s="30" t="str">
        <x:v>漂流群岛</x:v>
      </x:c>
      <x:c r="C5" s="30" t="n">
        <x:v>1</x:v>
      </x:c>
      <x:c r="D5" s="30" t="n">
        <x:f>C5</x:f>
        <x:v>1</x:v>
      </x:c>
      <x:c r="E5" s="30" t="n">
        <x:f>2*C5</x:f>
        <x:v>2</x:v>
      </x:c>
      <x:c r="F5" s="30" t="n">
        <x:f>3*C5</x:f>
        <x:v>3</x:v>
      </x:c>
      <x:c r="G5" s="30" t="n">
        <x:f>5*C5</x:f>
        <x:v>5</x:v>
      </x:c>
      <x:c r="H5" s="30" t="str">
        <x:v>失色锻造石</x:v>
      </x:c>
      <x:c r="I5" s="30" t="str">
        <x:v>K/2K/3K/5K</x:v>
      </x:c>
      <x:c r="J5" s="30" t="str">
        <x:v>规则已确认</x:v>
      </x:c>
    </x:row>
    <x:row r="6" ht="24" customHeight="1">
      <x:c r="A6" s="30" t="str">
        <x:v>C02</x:v>
      </x:c>
      <x:c r="B6" s="30" t="str">
        <x:v>宁姆格福</x:v>
      </x:c>
      <x:c r="C6" s="30" t="n">
        <x:v>2</x:v>
      </x:c>
      <x:c r="D6" s="30" t="n">
        <x:f>C6</x:f>
        <x:v>2</x:v>
      </x:c>
      <x:c r="E6" s="30" t="n">
        <x:f>2*C6</x:f>
        <x:v>4</x:v>
      </x:c>
      <x:c r="F6" s="30" t="n">
        <x:f>3*C6</x:f>
        <x:v>6</x:v>
      </x:c>
      <x:c r="G6" s="30" t="n">
        <x:f>5*C6</x:f>
        <x:v>10</x:v>
      </x:c>
      <x:c r="H6" s="30" t="str">
        <x:v>失色锻造石</x:v>
      </x:c>
      <x:c r="I6" s="30" t="str">
        <x:v>K/2K/3K/5K</x:v>
      </x:c>
      <x:c r="J6" s="30" t="str">
        <x:v>规则已确认</x:v>
      </x:c>
    </x:row>
    <x:row r="7" ht="24" customHeight="1">
      <x:c r="A7" s="30" t="str">
        <x:v>C03</x:v>
      </x:c>
      <x:c r="B7" s="30" t="str">
        <x:v>宁姆格福西域</x:v>
      </x:c>
      <x:c r="C7" s="30" t="n">
        <x:v>3</x:v>
      </x:c>
      <x:c r="D7" s="30" t="n">
        <x:f>C7</x:f>
        <x:v>3</x:v>
      </x:c>
      <x:c r="E7" s="30" t="n">
        <x:f>2*C7</x:f>
        <x:v>6</x:v>
      </x:c>
      <x:c r="F7" s="30" t="n">
        <x:f>3*C7</x:f>
        <x:v>9</x:v>
      </x:c>
      <x:c r="G7" s="30" t="n">
        <x:f>5*C7</x:f>
        <x:v>15</x:v>
      </x:c>
      <x:c r="H7" s="30" t="str">
        <x:v>失色锻造石</x:v>
      </x:c>
      <x:c r="I7" s="30" t="str">
        <x:v>K/2K/3K/5K</x:v>
      </x:c>
      <x:c r="J7" s="30" t="str">
        <x:v>规则已确认</x:v>
      </x:c>
    </x:row>
    <x:row r="8" ht="24" customHeight="1">
      <x:c r="A8" s="30" t="str">
        <x:v>C04</x:v>
      </x:c>
      <x:c r="B8" s="30" t="str">
        <x:v>利耶尼亚海域</x:v>
      </x:c>
      <x:c r="C8" s="30" t="n">
        <x:v>4</x:v>
      </x:c>
      <x:c r="D8" s="30" t="n">
        <x:f>C8</x:f>
        <x:v>4</x:v>
      </x:c>
      <x:c r="E8" s="30" t="n">
        <x:f>2*C8</x:f>
        <x:v>8</x:v>
      </x:c>
      <x:c r="F8" s="30" t="n">
        <x:f>3*C8</x:f>
        <x:v>12</x:v>
      </x:c>
      <x:c r="G8" s="30" t="n">
        <x:f>5*C8</x:f>
        <x:v>20</x:v>
      </x:c>
      <x:c r="H8" s="30" t="str">
        <x:v>失色锻造石</x:v>
      </x:c>
      <x:c r="I8" s="30" t="str">
        <x:v>K/2K/3K/5K</x:v>
      </x:c>
      <x:c r="J8" s="30" t="str">
        <x:v>规则已确认</x:v>
      </x:c>
    </x:row>
    <x:row r="9" ht="24" customHeight="1">
      <x:c r="A9" s="30" t="str">
        <x:v>C05</x:v>
      </x:c>
      <x:c r="B9" s="30" t="str">
        <x:v>湖之利耶尼亚</x:v>
      </x:c>
      <x:c r="C9" s="30" t="n">
        <x:v>5</x:v>
      </x:c>
      <x:c r="D9" s="30" t="n">
        <x:f>C9</x:f>
        <x:v>5</x:v>
      </x:c>
      <x:c r="E9" s="30" t="n">
        <x:f>2*C9</x:f>
        <x:v>10</x:v>
      </x:c>
      <x:c r="F9" s="30" t="n">
        <x:f>3*C9</x:f>
        <x:v>15</x:v>
      </x:c>
      <x:c r="G9" s="30" t="n">
        <x:f>5*C9</x:f>
        <x:v>25</x:v>
      </x:c>
      <x:c r="H9" s="30" t="str">
        <x:v>失色锻造石</x:v>
      </x:c>
      <x:c r="I9" s="30" t="str">
        <x:v>K/2K/3K/5K</x:v>
      </x:c>
      <x:c r="J9" s="30" t="str">
        <x:v>规则已确认</x:v>
      </x:c>
    </x:row>
    <x:row r="10" ht="24" customHeight="1">
      <x:c r="A10" s="30" t="str">
        <x:v>C06</x:v>
      </x:c>
      <x:c r="B10" s="30" t="str">
        <x:v>盖利德</x:v>
      </x:c>
      <x:c r="C10" s="30" t="n">
        <x:v>6</x:v>
      </x:c>
      <x:c r="D10" s="30" t="n">
        <x:f>C10</x:f>
        <x:v>6</x:v>
      </x:c>
      <x:c r="E10" s="30" t="n">
        <x:f>2*C10</x:f>
        <x:v>12</x:v>
      </x:c>
      <x:c r="F10" s="30" t="n">
        <x:f>3*C10</x:f>
        <x:v>18</x:v>
      </x:c>
      <x:c r="G10" s="30" t="n">
        <x:f>5*C10</x:f>
        <x:v>30</x:v>
      </x:c>
      <x:c r="H10" s="30" t="str">
        <x:v>失色锻造石</x:v>
      </x:c>
      <x:c r="I10" s="30" t="str">
        <x:v>K/2K/3K/5K</x:v>
      </x:c>
      <x:c r="J10" s="30" t="str">
        <x:v>规则已确认</x:v>
      </x:c>
    </x:row>
    <x:row r="11" ht="24" customHeight="1">
      <x:c r="A11" s="30" t="str">
        <x:v>C07</x:v>
      </x:c>
      <x:c r="B11" s="30" t="str">
        <x:v>化圣雪原</x:v>
      </x:c>
      <x:c r="C11" s="30" t="n">
        <x:v>7</x:v>
      </x:c>
      <x:c r="D11" s="30" t="n">
        <x:f>C11</x:f>
        <x:v>7</x:v>
      </x:c>
      <x:c r="E11" s="30" t="n">
        <x:f>2*C11</x:f>
        <x:v>14</x:v>
      </x:c>
      <x:c r="F11" s="30" t="n">
        <x:f>3*C11</x:f>
        <x:v>21</x:v>
      </x:c>
      <x:c r="G11" s="30" t="n">
        <x:f>5*C11</x:f>
        <x:v>35</x:v>
      </x:c>
      <x:c r="H11" s="30" t="str">
        <x:v>失色锻造石</x:v>
      </x:c>
      <x:c r="I11" s="30" t="str">
        <x:v>K/2K/3K/5K</x:v>
      </x:c>
      <x:c r="J11" s="30" t="str">
        <x:v>规则已确认</x:v>
      </x:c>
    </x:row>
    <x:row r="12" ht="24" customHeight="1">
      <x:c r="A12" s="30" t="str">
        <x:v>C08</x:v>
      </x:c>
      <x:c r="B12" s="30" t="str">
        <x:v>巨人山顶</x:v>
      </x:c>
      <x:c r="C12" s="30" t="n">
        <x:v>8</x:v>
      </x:c>
      <x:c r="D12" s="30" t="n">
        <x:f>C12</x:f>
        <x:v>8</x:v>
      </x:c>
      <x:c r="E12" s="30" t="n">
        <x:f>2*C12</x:f>
        <x:v>16</x:v>
      </x:c>
      <x:c r="F12" s="30" t="n">
        <x:f>3*C12</x:f>
        <x:v>24</x:v>
      </x:c>
      <x:c r="G12" s="30" t="n">
        <x:f>5*C12</x:f>
        <x:v>40</x:v>
      </x:c>
      <x:c r="H12" s="30" t="str">
        <x:v>失色锻造石</x:v>
      </x:c>
      <x:c r="I12" s="30" t="str">
        <x:v>K/2K/3K/5K</x:v>
      </x:c>
      <x:c r="J12" s="30" t="str">
        <x:v>规则已确认</x:v>
      </x:c>
    </x:row>
    <x:row r="13" ht="24" customHeight="1">
      <x:c r="A13" s="30" t="str">
        <x:v>C09</x:v>
      </x:c>
      <x:c r="B13" s="30" t="str">
        <x:v>亚坛高原</x:v>
      </x:c>
      <x:c r="C13" s="30" t="n">
        <x:v>9</x:v>
      </x:c>
      <x:c r="D13" s="30" t="n">
        <x:f>C13</x:f>
        <x:v>9</x:v>
      </x:c>
      <x:c r="E13" s="30" t="n">
        <x:f>2*C13</x:f>
        <x:v>18</x:v>
      </x:c>
      <x:c r="F13" s="30" t="n">
        <x:f>3*C13</x:f>
        <x:v>27</x:v>
      </x:c>
      <x:c r="G13" s="30" t="n">
        <x:f>5*C13</x:f>
        <x:v>45</x:v>
      </x:c>
      <x:c r="H13" s="30" t="str">
        <x:v>失色锻造石</x:v>
      </x:c>
      <x:c r="I13" s="30" t="str">
        <x:v>K/2K/3K/5K</x:v>
      </x:c>
      <x:c r="J13" s="30" t="str">
        <x:v>规则已确认</x:v>
      </x:c>
    </x:row>
    <x:row r="14" ht="24" customHeight="1">
      <x:c r="A14" s="30" t="str">
        <x:v>C10</x:v>
      </x:c>
      <x:c r="B14" s="30" t="str">
        <x:v>王城罗德尔</x:v>
      </x:c>
      <x:c r="C14" s="30" t="n">
        <x:v>10</x:v>
      </x:c>
      <x:c r="D14" s="30" t="n">
        <x:f>C14</x:f>
        <x:v>10</x:v>
      </x:c>
      <x:c r="E14" s="30" t="n">
        <x:f>2*C14</x:f>
        <x:v>20</x:v>
      </x:c>
      <x:c r="F14" s="30" t="n">
        <x:f>3*C14</x:f>
        <x:v>30</x:v>
      </x:c>
      <x:c r="G14" s="30" t="n">
        <x:f>5*C14</x:f>
        <x:v>50</x:v>
      </x:c>
      <x:c r="H14" s="30" t="str">
        <x:v>失色锻造石</x:v>
      </x:c>
      <x:c r="I14" s="30" t="str">
        <x:v>K/2K/3K/5K</x:v>
      </x:c>
      <x:c r="J14" s="30" t="str">
        <x:v>规则已确认</x:v>
      </x:c>
    </x:row>
    <x:row r="16" ht="21" customHeight="1">
      <x:c r="A16" s="18" t="str">
        <x:v>回收与防循环规则</x:v>
      </x:c>
      <x:c r="B16" s="18" t="str">
        <x:v>回收与防循环规则</x:v>
      </x:c>
      <x:c r="C16" s="18" t="str">
        <x:v>回收与防循环规则</x:v>
      </x:c>
      <x:c r="D16" s="18" t="str">
        <x:v>回收与防循环规则</x:v>
      </x:c>
      <x:c r="E16" s="18" t="str">
        <x:v>回收与防循环规则</x:v>
      </x:c>
      <x:c r="F16" s="18" t="str">
        <x:v>回收与防循环规则</x:v>
      </x:c>
      <x:c r="G16" s="18" t="str">
        <x:v>回收与防循环规则</x:v>
      </x:c>
      <x:c r="H16" s="18" t="str">
        <x:v>回收与防循环规则</x:v>
      </x:c>
      <x:c r="I16" s="18" t="str">
        <x:v>回收与防循环规则</x:v>
      </x:c>
      <x:c r="J16" s="18" t="str">
        <x:v>回收与防循环规则</x:v>
      </x:c>
    </x:row>
    <x:row r="17" ht="24" customHeight="1">
      <x:c r="A17" s="36" t="str">
        <x:v>对象</x:v>
      </x:c>
      <x:c r="B17" s="36" t="str">
        <x:v>失色返还</x:v>
      </x:c>
      <x:c r="C17" s="36" t="str">
        <x:v>通用材料返还</x:v>
      </x:c>
      <x:c r="D17" s="36" t="str">
        <x:v>稀有材料返还</x:v>
      </x:c>
      <x:c r="E17" s="36" t="str">
        <x:v>BOSS主材返还</x:v>
      </x:c>
      <x:c r="F17" s="36" t="str">
        <x:v>印记返还</x:v>
      </x:c>
      <x:c r="G17" s="36" t="str">
        <x:v>货币返还</x:v>
      </x:c>
      <x:c r="H17" s="36" t="str">
        <x:v>出售</x:v>
      </x:c>
      <x:c r="I17" s="36" t="str">
        <x:v>分解</x:v>
      </x:c>
      <x:c r="J17" s="36" t="str">
        <x:v>说明</x:v>
      </x:c>
    </x:row>
    <x:row r="18" ht="28.5" customHeight="1">
      <x:c r="A18" s="29" t="str">
        <x:v>怪物直接掉落专属</x:v>
      </x:c>
      <x:c r="B18" s="30" t="str">
        <x:v>按上表</x:v>
      </x:c>
      <x:c r="C18" s="30" t="n">
        <x:v>0</x:v>
      </x:c>
      <x:c r="D18" s="30" t="n">
        <x:v>0</x:v>
      </x:c>
      <x:c r="E18" s="30" t="n">
        <x:v>0</x:v>
      </x:c>
      <x:c r="F18" s="30" t="n">
        <x:v>0</x:v>
      </x:c>
      <x:c r="G18" s="30" t="n">
        <x:v>0</x:v>
      </x:c>
      <x:c r="H18" s="30" t="str">
        <x:v>按既有装备规则</x:v>
      </x:c>
      <x:c r="I18" s="30" t="str">
        <x:v>允许</x:v>
      </x:c>
      <x:c r="J18" s="29" t="str">
        <x:v>唯一来源等级决定</x:v>
      </x:c>
    </x:row>
    <x:row r="19" ht="28.5" customHeight="1">
      <x:c r="A19" s="29" t="str">
        <x:v>11件强合成成品</x:v>
      </x:c>
      <x:c r="B19" s="30" t="n">
        <x:v>0</x:v>
      </x:c>
      <x:c r="C19" s="30" t="str">
        <x:v>原配方30%向下取整</x:v>
      </x:c>
      <x:c r="D19" s="30" t="str">
        <x:v>原配方20%向下取整</x:v>
      </x:c>
      <x:c r="E19" s="30" t="n">
        <x:v>0</x:v>
      </x:c>
      <x:c r="F19" s="30" t="n">
        <x:v>0</x:v>
      </x:c>
      <x:c r="G19" s="30" t="n">
        <x:v>0</x:v>
      </x:c>
      <x:c r="H19" s="30" t="str">
        <x:v>不建议</x:v>
      </x:c>
      <x:c r="I19" s="30" t="str">
        <x:v>受控回收</x:v>
      </x:c>
      <x:c r="J19" s="29" t="str">
        <x:v>防止Boss专属循环复制</x:v>
      </x:c>
    </x:row>
    <x:row r="20" ht="28.5" customHeight="1">
      <x:c r="A20" s="29" t="str">
        <x:v>四证任务奖励装备</x:v>
      </x:c>
      <x:c r="B20" s="30" t="n">
        <x:v>0</x:v>
      </x:c>
      <x:c r="C20" s="30" t="n">
        <x:v>0</x:v>
      </x:c>
      <x:c r="D20" s="30" t="n">
        <x:v>0</x:v>
      </x:c>
      <x:c r="E20" s="30" t="n">
        <x:v>0</x:v>
      </x:c>
      <x:c r="F20" s="30" t="n">
        <x:v>0</x:v>
      </x:c>
      <x:c r="G20" s="30" t="n">
        <x:v>0</x:v>
      </x:c>
      <x:c r="H20" s="30" t="str">
        <x:v>按既有装备规则</x:v>
      </x:c>
      <x:c r="I20" s="30" t="str">
        <x:v>默认关闭</x:v>
      </x:c>
      <x:c r="J20" s="29" t="str">
        <x:v>唯一任务奖励，避免误删</x:v>
      </x:c>
    </x:row>
    <x:row r="21" ht="28.5" customHeight="1">
      <x:c r="A21" s="29" t="str">
        <x:v>大陆剧情印记</x:v>
      </x:c>
      <x:c r="B21" s="30" t="n">
        <x:v>0</x:v>
      </x:c>
      <x:c r="C21" s="30" t="n">
        <x:v>0</x:v>
      </x:c>
      <x:c r="D21" s="30" t="n">
        <x:v>0</x:v>
      </x:c>
      <x:c r="E21" s="30" t="n">
        <x:v>0</x:v>
      </x:c>
      <x:c r="F21" s="30" t="n">
        <x:v>0</x:v>
      </x:c>
      <x:c r="G21" s="30" t="n">
        <x:v>0</x:v>
      </x:c>
      <x:c r="H21" s="30" t="str">
        <x:v>NPC售价0</x:v>
      </x:c>
      <x:c r="I21" s="30" t="str">
        <x:v>禁止</x:v>
      </x:c>
      <x:c r="J21" s="29" t="str">
        <x:v>永久编号，不退款</x:v>
      </x:c>
    </x:row>
    <x:row r="22" ht="28.5" customHeight="1">
      <x:c r="A22" s="29" t="str">
        <x:v>四证材料</x:v>
      </x:c>
      <x:c r="B22" s="30" t="n">
        <x:v>0</x:v>
      </x:c>
      <x:c r="C22" s="30" t="n">
        <x:v>0</x:v>
      </x:c>
      <x:c r="D22" s="30" t="n">
        <x:v>0</x:v>
      </x:c>
      <x:c r="E22" s="30" t="n">
        <x:v>0</x:v>
      </x:c>
      <x:c r="F22" s="30" t="n">
        <x:v>0</x:v>
      </x:c>
      <x:c r="G22" s="30" t="n">
        <x:v>0</x:v>
      </x:c>
      <x:c r="H22" s="30" t="str">
        <x:v>NPC售价0</x:v>
      </x:c>
      <x:c r="I22" s="30" t="str">
        <x:v>禁止</x:v>
      </x:c>
      <x:c r="J22" s="29" t="str">
        <x:v>任务后停掉落；可交易</x:v>
      </x:c>
    </x:row>
    <x:row r="23" ht="28.5" customHeight="1">
      <x:c r="A23" s="29" t="str">
        <x:v>通用/稀有材料</x:v>
      </x:c>
      <x:c r="B23" s="30" t="n">
        <x:v>0</x:v>
      </x:c>
      <x:c r="C23" s="30" t="n">
        <x:v>0</x:v>
      </x:c>
      <x:c r="D23" s="30" t="n">
        <x:v>0</x:v>
      </x:c>
      <x:c r="E23" s="30" t="n">
        <x:v>0</x:v>
      </x:c>
      <x:c r="F23" s="30" t="n">
        <x:v>0</x:v>
      </x:c>
      <x:c r="G23" s="30" t="n">
        <x:v>0</x:v>
      </x:c>
      <x:c r="H23" s="30" t="str">
        <x:v>NPC售价0</x:v>
      </x:c>
      <x:c r="I23" s="30" t="str">
        <x:v>禁止</x:v>
      </x:c>
      <x:c r="J23" s="29" t="str">
        <x:v>先由称号/合成/任务形成消耗</x:v>
      </x:c>
    </x:row>
    <x:row r="24" ht="28.5" customHeight="1">
      <x:c r="A24" s="29" t="str">
        <x:v>废止材料</x:v>
      </x:c>
      <x:c r="B24" s="30" t="n">
        <x:v>0</x:v>
      </x:c>
      <x:c r="C24" s="30" t="n">
        <x:v>0</x:v>
      </x:c>
      <x:c r="D24" s="30" t="n">
        <x:v>0</x:v>
      </x:c>
      <x:c r="E24" s="30" t="n">
        <x:v>0</x:v>
      </x:c>
      <x:c r="F24" s="30" t="n">
        <x:v>0</x:v>
      </x:c>
      <x:c r="G24" s="30" t="n">
        <x:v>0</x:v>
      </x:c>
      <x:c r="H24" s="30" t="str">
        <x:v>关闭</x:v>
      </x:c>
      <x:c r="I24" s="30" t="str">
        <x:v>禁止</x:v>
      </x:c>
      <x:c r="J24" s="29" t="str">
        <x:v>旧编号永久占用；需填写替代关系</x:v>
      </x:c>
    </x:row>
    <x:row r="25" ht="28.5" customHeight="1">
      <x:c r="A25" s="29" t="str">
        <x:v>已激活称号</x:v>
      </x:c>
      <x:c r="B25" s="30" t="n">
        <x:v>0</x:v>
      </x:c>
      <x:c r="C25" s="30" t="n">
        <x:v>0</x:v>
      </x:c>
      <x:c r="D25" s="30" t="n">
        <x:v>0</x:v>
      </x:c>
      <x:c r="E25" s="30" t="n">
        <x:v>0</x:v>
      </x:c>
      <x:c r="F25" s="30" t="n">
        <x:v>0</x:v>
      </x:c>
      <x:c r="G25" s="30" t="n">
        <x:v>0</x:v>
      </x:c>
      <x:c r="H25" s="30" t="str">
        <x:v>不适用</x:v>
      </x:c>
      <x:c r="I25" s="30" t="str">
        <x:v>不适用</x:v>
      </x:c>
      <x:c r="J25" s="29" t="str">
        <x:v>称号升级后不退款</x:v>
      </x:c>
    </x:row>
  </x:sheetData>
  <x:mergeCells>
    <x:mergeCell ref="A1:J1"/>
    <x:mergeCell ref="A2:J2"/>
    <x:mergeCell ref="A16:J16"/>
  </x:mergeCells>
  <x:conditionalFormatting sqref="J5:J14">
    <x:cfRule type="containsText" dxfId="49" priority="1" operator="containsText" text="已确认"/>
    <x:cfRule type="containsText" dxfId="50" priority="2" operator="containsText" text="定稿"/>
    <x:cfRule type="containsText" dxfId="51" priority="3" operator="containsText" text="正常"/>
    <x:cfRule type="containsText" dxfId="52" priority="4" operator="containsText" text="待"/>
    <x:cfRule type="containsText" dxfId="53" priority="5" operator="containsText" text="缺失"/>
    <x:cfRule type="containsText" dxfId="54" priority="6" operator="containsText" text="重复"/>
    <x:cfRule type="containsText" dxfId="55" priority="7" operator="containsText" text="严重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600000381469727" hidden="0" customWidth="1"/>
    <x:col min="2" max="2" width="12" hidden="0" customWidth="1"/>
    <x:col min="3" max="3" width="10.5" hidden="0" customWidth="1"/>
    <x:col min="4" max="4" width="6.599999904632568" hidden="0" customWidth="1"/>
    <x:col min="5" max="5" width="12.199999809265137" hidden="0" customWidth="1"/>
    <x:col min="6" max="6" width="12" hidden="0" customWidth="1"/>
    <x:col min="7" max="7" width="8.199999809265137" hidden="0" customWidth="1"/>
    <x:col min="8" max="8" width="15" hidden="0" customWidth="1"/>
    <x:col min="9" max="9" width="10.5" hidden="0" customWidth="1"/>
    <x:col min="10" max="10" width="7.5" hidden="0" customWidth="1"/>
    <x:col min="11" max="11" width="7.5" hidden="0" customWidth="1"/>
    <x:col min="12" max="12" width="7.5" hidden="0" customWidth="1"/>
    <x:col min="13" max="13" width="9.5" hidden="0" customWidth="1"/>
    <x:col min="14" max="14" width="7.5" hidden="0" customWidth="1"/>
    <x:col min="15" max="15" width="9" hidden="0" customWidth="1"/>
    <x:col min="16" max="16" width="16" hidden="0" customWidth="1"/>
    <x:col min="17" max="17" width="25" hidden="0" customWidth="1"/>
    <x:col min="18" max="18" width="12" hidden="0" customWidth="1"/>
    <x:col min="19" max="19" width="8.5" hidden="0" customWidth="1"/>
    <x:col min="20" max="20" width="11" hidden="0" customWidth="1"/>
    <x:col min="21" max="21" width="22" hidden="0" customWidth="1"/>
  </x:cols>
  <x:sheetData>
    <x:row r="1" ht="28.5" customHeight="1">
      <x:c r="A1" s="4" t="str">
        <x:v>ID、颜色与模板登记｜80个材料容量＋3个已锁来源号</x:v>
      </x:c>
      <x:c r="B1" s="4" t="str">
        <x:v>ID、颜色与模板登记｜80个材料容量＋3个已锁来源号</x:v>
      </x:c>
      <x:c r="C1" s="4" t="str">
        <x:v>ID、颜色与模板登记｜80个材料容量＋3个已锁来源号</x:v>
      </x:c>
      <x:c r="D1" s="4" t="str">
        <x:v>ID、颜色与模板登记｜80个材料容量＋3个已锁来源号</x:v>
      </x:c>
      <x:c r="E1" s="4" t="str">
        <x:v>ID、颜色与模板登记｜80个材料容量＋3个已锁来源号</x:v>
      </x:c>
      <x:c r="F1" s="4" t="str">
        <x:v>ID、颜色与模板登记｜80个材料容量＋3个已锁来源号</x:v>
      </x:c>
      <x:c r="G1" s="4" t="str">
        <x:v>ID、颜色与模板登记｜80个材料容量＋3个已锁来源号</x:v>
      </x:c>
      <x:c r="H1" s="4" t="str">
        <x:v>ID、颜色与模板登记｜80个材料容量＋3个已锁来源号</x:v>
      </x:c>
      <x:c r="I1" s="4" t="str">
        <x:v>ID、颜色与模板登记｜80个材料容量＋3个已锁来源号</x:v>
      </x:c>
      <x:c r="J1" s="4" t="str">
        <x:v>ID、颜色与模板登记｜80个材料容量＋3个已锁来源号</x:v>
      </x:c>
      <x:c r="K1" s="4" t="str">
        <x:v>ID、颜色与模板登记｜80个材料容量＋3个已锁来源号</x:v>
      </x:c>
      <x:c r="L1" s="4" t="str">
        <x:v>ID、颜色与模板登记｜80个材料容量＋3个已锁来源号</x:v>
      </x:c>
      <x:c r="M1" s="4" t="str">
        <x:v>ID、颜色与模板登记｜80个材料容量＋3个已锁来源号</x:v>
      </x:c>
      <x:c r="N1" s="4" t="str">
        <x:v>ID、颜色与模板登记｜80个材料容量＋3个已锁来源号</x:v>
      </x:c>
      <x:c r="O1" s="4" t="str">
        <x:v>ID、颜色与模板登记｜80个材料容量＋3个已锁来源号</x:v>
      </x:c>
      <x:c r="P1" s="4" t="str">
        <x:v>ID、颜色与模板登记｜80个材料容量＋3个已锁来源号</x:v>
      </x:c>
      <x:c r="Q1" s="4" t="str">
        <x:v>ID、颜色与模板登记｜80个材料容量＋3个已锁来源号</x:v>
      </x:c>
      <x:c r="R1" s="4" t="str">
        <x:v>ID、颜色与模板登记｜80个材料容量＋3个已锁来源号</x:v>
      </x:c>
      <x:c r="S1" s="4" t="str">
        <x:v>ID、颜色与模板登记｜80个材料容量＋3个已锁来源号</x:v>
      </x:c>
      <x:c r="T1" s="4" t="str">
        <x:v>ID、颜色与模板登记｜80个材料容量＋3个已锁来源号</x:v>
      </x:c>
      <x:c r="U1" s="4" t="str">
        <x:v>ID、颜色与模板登记｜80个材料容量＋3个已锁来源号</x:v>
      </x:c>
    </x:row>
    <x:row r="2" ht="31.5" customHeight="1">
      <x:c r="A2" s="56" t="str">
        <x:v>脚本Codex只在本页回填真实字段。模板来源编号可以复用，实际Idx不可复用；废止编号也永久占用。状态为已部署时，Idx、表/文件、模板、颜色字段和值均不得为空。</x:v>
      </x:c>
      <x:c r="B2" s="56" t="str">
        <x:v>脚本Codex只在本页回填真实字段。模板来源编号可以复用，实际Idx不可复用；废止编号也永久占用。状态为已部署时，Idx、表/文件、模板、颜色字段和值均不得为空。</x:v>
      </x:c>
      <x:c r="C2" s="56" t="str">
        <x:v>脚本Codex只在本页回填真实字段。模板来源编号可以复用，实际Idx不可复用；废止编号也永久占用。状态为已部署时，Idx、表/文件、模板、颜色字段和值均不得为空。</x:v>
      </x:c>
      <x:c r="D2" s="56" t="str">
        <x:v>脚本Codex只在本页回填真实字段。模板来源编号可以复用，实际Idx不可复用；废止编号也永久占用。状态为已部署时，Idx、表/文件、模板、颜色字段和值均不得为空。</x:v>
      </x:c>
      <x:c r="E2" s="56" t="str">
        <x:v>脚本Codex只在本页回填真实字段。模板来源编号可以复用，实际Idx不可复用；废止编号也永久占用。状态为已部署时，Idx、表/文件、模板、颜色字段和值均不得为空。</x:v>
      </x:c>
      <x:c r="F2" s="56" t="str">
        <x:v>脚本Codex只在本页回填真实字段。模板来源编号可以复用，实际Idx不可复用；废止编号也永久占用。状态为已部署时，Idx、表/文件、模板、颜色字段和值均不得为空。</x:v>
      </x:c>
      <x:c r="G2" s="56" t="str">
        <x:v>脚本Codex只在本页回填真实字段。模板来源编号可以复用，实际Idx不可复用；废止编号也永久占用。状态为已部署时，Idx、表/文件、模板、颜色字段和值均不得为空。</x:v>
      </x:c>
      <x:c r="H2" s="56" t="str">
        <x:v>脚本Codex只在本页回填真实字段。模板来源编号可以复用，实际Idx不可复用；废止编号也永久占用。状态为已部署时，Idx、表/文件、模板、颜色字段和值均不得为空。</x:v>
      </x:c>
      <x:c r="I2" s="56" t="str">
        <x:v>脚本Codex只在本页回填真实字段。模板来源编号可以复用，实际Idx不可复用；废止编号也永久占用。状态为已部署时，Idx、表/文件、模板、颜色字段和值均不得为空。</x:v>
      </x:c>
      <x:c r="J2" s="56" t="str">
        <x:v>脚本Codex只在本页回填真实字段。模板来源编号可以复用，实际Idx不可复用；废止编号也永久占用。状态为已部署时，Idx、表/文件、模板、颜色字段和值均不得为空。</x:v>
      </x:c>
      <x:c r="K2" s="56" t="str">
        <x:v>脚本Codex只在本页回填真实字段。模板来源编号可以复用，实际Idx不可复用；废止编号也永久占用。状态为已部署时，Idx、表/文件、模板、颜色字段和值均不得为空。</x:v>
      </x:c>
      <x:c r="L2" s="56" t="str">
        <x:v>脚本Codex只在本页回填真实字段。模板来源编号可以复用，实际Idx不可复用；废止编号也永久占用。状态为已部署时，Idx、表/文件、模板、颜色字段和值均不得为空。</x:v>
      </x:c>
      <x:c r="M2" s="56" t="str">
        <x:v>脚本Codex只在本页回填真实字段。模板来源编号可以复用，实际Idx不可复用；废止编号也永久占用。状态为已部署时，Idx、表/文件、模板、颜色字段和值均不得为空。</x:v>
      </x:c>
      <x:c r="N2" s="56" t="str">
        <x:v>脚本Codex只在本页回填真实字段。模板来源编号可以复用，实际Idx不可复用；废止编号也永久占用。状态为已部署时，Idx、表/文件、模板、颜色字段和值均不得为空。</x:v>
      </x:c>
      <x:c r="O2" s="56" t="str">
        <x:v>脚本Codex只在本页回填真实字段。模板来源编号可以复用，实际Idx不可复用；废止编号也永久占用。状态为已部署时，Idx、表/文件、模板、颜色字段和值均不得为空。</x:v>
      </x:c>
      <x:c r="P2" s="56" t="str">
        <x:v>脚本Codex只在本页回填真实字段。模板来源编号可以复用，实际Idx不可复用；废止编号也永久占用。状态为已部署时，Idx、表/文件、模板、颜色字段和值均不得为空。</x:v>
      </x:c>
      <x:c r="Q2" s="56" t="str">
        <x:v>脚本Codex只在本页回填真实字段。模板来源编号可以复用，实际Idx不可复用；废止编号也永久占用。状态为已部署时，Idx、表/文件、模板、颜色字段和值均不得为空。</x:v>
      </x:c>
      <x:c r="R2" s="56" t="str">
        <x:v>脚本Codex只在本页回填真实字段。模板来源编号可以复用，实际Idx不可复用；废止编号也永久占用。状态为已部署时，Idx、表/文件、模板、颜色字段和值均不得为空。</x:v>
      </x:c>
      <x:c r="S2" s="56" t="str">
        <x:v>脚本Codex只在本页回填真实字段。模板来源编号可以复用，实际Idx不可复用；废止编号也永久占用。状态为已部署时，Idx、表/文件、模板、颜色字段和值均不得为空。</x:v>
      </x:c>
      <x:c r="T2" s="56" t="str">
        <x:v>脚本Codex只在本页回填真实字段。模板来源编号可以复用，实际Idx不可复用；废止编号也永久占用。状态为已部署时，Idx、表/文件、模板、颜色字段和值均不得为空。</x:v>
      </x:c>
      <x:c r="U2" s="56" t="str">
        <x:v>脚本Codex只在本页回填真实字段。模板来源编号可以复用，实际Idx不可复用；废止编号也永久占用。状态为已部署时，Idx、表/文件、模板、颜色字段和值均不得为空。</x:v>
      </x:c>
    </x:row>
    <x:row r="4" ht="24" customHeight="1">
      <x:c r="A4" s="24" t="str">
        <x:v>逻辑编号</x:v>
      </x:c>
      <x:c r="B4" s="24" t="str">
        <x:v>命名空间</x:v>
      </x:c>
      <x:c r="C4" s="24" t="str">
        <x:v>对象类型</x:v>
      </x:c>
      <x:c r="D4" s="24" t="str">
        <x:v>大陆</x:v>
      </x:c>
      <x:c r="E4" s="24" t="str">
        <x:v>中文名称</x:v>
      </x:c>
      <x:c r="F4" s="24" t="str">
        <x:v>状态</x:v>
      </x:c>
      <x:c r="G4" s="24" t="str">
        <x:v>实际编号</x:v>
      </x:c>
      <x:c r="H4" s="24" t="str">
        <x:v>数据表/文件</x:v>
      </x:c>
      <x:c r="I4" s="24" t="str">
        <x:v>模板来源编号</x:v>
      </x:c>
      <x:c r="J4" s="24" t="str">
        <x:v>StdMode</x:v>
      </x:c>
      <x:c r="K4" s="24" t="str">
        <x:v>Shape</x:v>
      </x:c>
      <x:c r="L4" s="24" t="str">
        <x:v>Looks</x:v>
      </x:c>
      <x:c r="M4" s="24" t="str">
        <x:v>颜色字段</x:v>
      </x:c>
      <x:c r="N4" s="24" t="str">
        <x:v>颜色值</x:v>
      </x:c>
      <x:c r="O4" s="24" t="str">
        <x:v>显示颜色</x:v>
      </x:c>
      <x:c r="P4" s="24" t="str">
        <x:v>交易设置</x:v>
      </x:c>
      <x:c r="Q4" s="24" t="str">
        <x:v>来源定位</x:v>
      </x:c>
      <x:c r="R4" s="24" t="str">
        <x:v>替代对象/旧号</x:v>
      </x:c>
      <x:c r="S4" s="24" t="str">
        <x:v>永久占用</x:v>
      </x:c>
      <x:c r="T4" s="24" t="str">
        <x:v>自动检查</x:v>
      </x:c>
      <x:c r="U4" s="24" t="str">
        <x:v>备注</x:v>
      </x:c>
    </x:row>
    <x:row r="5" ht="30" customHeight="1">
      <x:c r="A5" s="30" t="str">
        <x:v>EL-MAT-GLOBAL-SOMBER</x:v>
      </x:c>
      <x:c r="B5" s="30" t="str">
        <x:v>StdItems.Idx</x:v>
      </x:c>
      <x:c r="C5" s="30" t="str">
        <x:v>材料</x:v>
      </x:c>
      <x:c r="D5" s="30" t="str">
        <x:v>ALL</x:v>
      </x:c>
      <x:c r="E5" s="30" t="str">
        <x:v>失色锻造石</x:v>
      </x:c>
      <x:c r="F5" s="30" t="str">
        <x:v>待扫描</x:v>
      </x:c>
      <x:c r="G5" s="30"/>
      <x:c r="H5" s="29"/>
      <x:c r="I5" s="30"/>
      <x:c r="J5" s="30"/>
      <x:c r="K5" s="30"/>
      <x:c r="L5" s="30"/>
      <x:c r="M5" s="30"/>
      <x:c r="N5" s="30"/>
      <x:c r="O5" s="30" t="str">
        <x:v>锻造·橙金</x:v>
      </x:c>
      <x:c r="P5" s="30" t="str">
        <x:v>非绑定/可交易/NPC售价0</x:v>
      </x:c>
      <x:c r="Q5" s="30" t="str">
        <x:v>怪物专属装备分解</x:v>
      </x:c>
      <x:c r="R5" s="30"/>
      <x:c r="S5" s="30" t="str">
        <x:v>是</x:v>
      </x:c>
      <x:c r="T5" s="30" t="str">
        <x:f>IF(F5="预留未命名","预留",IF(G5="","待回填",IF(COUNTIFS($B$5:$B$87,B5,$G$5:$G$87,G5)&gt;1,"实际编号重复","正常")))</x:f>
        <x:v>待回填</x:v>
      </x:c>
      <x:c r="U5" s="29" t="str">
        <x:v>由脚本窗口扫描，不猜编号或颜色</x:v>
      </x:c>
    </x:row>
    <x:row r="6" ht="30" customHeight="1">
      <x:c r="A6" s="30" t="str">
        <x:v>EL-MAT-C02-BONE</x:v>
      </x:c>
      <x:c r="B6" s="30" t="str">
        <x:v>StdItems.Idx</x:v>
      </x:c>
      <x:c r="C6" s="30" t="str">
        <x:v>材料</x:v>
      </x:c>
      <x:c r="D6" s="30" t="str">
        <x:v>C02</x:v>
      </x:c>
      <x:c r="E6" s="30" t="str">
        <x:v>野兽骨片</x:v>
      </x:c>
      <x:c r="F6" s="30" t="str">
        <x:v>待扫描</x:v>
      </x:c>
      <x:c r="G6" s="30"/>
      <x:c r="H6" s="29"/>
      <x:c r="I6" s="30"/>
      <x:c r="J6" s="30"/>
      <x:c r="K6" s="30"/>
      <x:c r="L6" s="30"/>
      <x:c r="M6" s="30"/>
      <x:c r="N6" s="30"/>
      <x:c r="O6" s="30" t="str">
        <x:v>成长·蓝</x:v>
      </x:c>
      <x:c r="P6" s="30" t="str">
        <x:v>非绑定/可交易/NPC售价0</x:v>
      </x:c>
      <x:c r="Q6" s="30" t="str">
        <x:v>沿用宁姆格福既有掉落</x:v>
      </x:c>
      <x:c r="R6" s="30"/>
      <x:c r="S6" s="30" t="str">
        <x:v>是</x:v>
      </x:c>
      <x:c r="T6" s="30" t="str">
        <x:f>IF(F6="预留未命名","预留",IF(G6="","待回填",IF(COUNTIFS($B$5:$B$87,B6,$G$5:$G$87,G6)&gt;1,"实际编号重复","正常")))</x:f>
        <x:v>待回填</x:v>
      </x:c>
      <x:c r="U6" s="29" t="str">
        <x:v>由脚本窗口扫描，不猜编号或颜色</x:v>
      </x:c>
    </x:row>
    <x:row r="7" ht="30" customHeight="1">
      <x:c r="A7" s="30" t="str">
        <x:v>EL-MAT-C02-RUNE</x:v>
      </x:c>
      <x:c r="B7" s="30" t="str">
        <x:v>StdItems.Idx</x:v>
      </x:c>
      <x:c r="C7" s="30" t="str">
        <x:v>材料</x:v>
      </x:c>
      <x:c r="D7" s="30" t="str">
        <x:v>C02</x:v>
      </x:c>
      <x:c r="E7" s="30" t="str">
        <x:v>神秘符文</x:v>
      </x:c>
      <x:c r="F7" s="30" t="str">
        <x:v>待扫描</x:v>
      </x:c>
      <x:c r="G7" s="30"/>
      <x:c r="H7" s="29"/>
      <x:c r="I7" s="30"/>
      <x:c r="J7" s="30"/>
      <x:c r="K7" s="30"/>
      <x:c r="L7" s="30"/>
      <x:c r="M7" s="30"/>
      <x:c r="N7" s="30"/>
      <x:c r="O7" s="30" t="str">
        <x:v>成长·紫</x:v>
      </x:c>
      <x:c r="P7" s="30" t="str">
        <x:v>非绑定/可交易/NPC售价0</x:v>
      </x:c>
      <x:c r="Q7" s="30" t="str">
        <x:v>沿用现有任务/称号脚本</x:v>
      </x:c>
      <x:c r="R7" s="30"/>
      <x:c r="S7" s="30" t="str">
        <x:v>是</x:v>
      </x:c>
      <x:c r="T7" s="30" t="str">
        <x:f>IF(F7="预留未命名","预留",IF(G7="","待回填",IF(COUNTIFS($B$5:$B$87,B7,$G$5:$G$87,G7)&gt;1,"实际编号重复","正常")))</x:f>
        <x:v>待回填</x:v>
      </x:c>
      <x:c r="U7" s="29" t="str">
        <x:v>由脚本窗口扫描，不猜编号或颜色</x:v>
      </x:c>
    </x:row>
    <x:row r="8" ht="30" customHeight="1">
      <x:c r="A8" s="30" t="str">
        <x:v>EL-MAT-C01-WITNESS-TIDE</x:v>
      </x:c>
      <x:c r="B8" s="30" t="str">
        <x:v>StdItems.Idx</x:v>
      </x:c>
      <x:c r="C8" s="30" t="str">
        <x:v>材料</x:v>
      </x:c>
      <x:c r="D8" s="30" t="str">
        <x:v>C01</x:v>
      </x:c>
      <x:c r="E8" s="30" t="str">
        <x:v>漂流见证·潮</x:v>
      </x:c>
      <x:c r="F8" s="30" t="str">
        <x:v>待扫描</x:v>
      </x:c>
      <x:c r="G8" s="30"/>
      <x:c r="H8" s="29"/>
      <x:c r="I8" s="30"/>
      <x:c r="J8" s="30"/>
      <x:c r="K8" s="30"/>
      <x:c r="L8" s="30"/>
      <x:c r="M8" s="30"/>
      <x:c r="N8" s="30"/>
      <x:c r="O8" s="30" t="str">
        <x:v>剧情·金</x:v>
      </x:c>
      <x:c r="P8" s="30" t="str">
        <x:v>非绑定/可交易/NPC售价0</x:v>
      </x:c>
      <x:c r="Q8" s="30" t="str">
        <x:v>海岸亡魂任务固定奖励</x:v>
      </x:c>
      <x:c r="R8" s="30"/>
      <x:c r="S8" s="30" t="str">
        <x:v>是</x:v>
      </x:c>
      <x:c r="T8" s="30" t="str">
        <x:f>IF(F8="预留未命名","预留",IF(G8="","待回填",IF(COUNTIFS($B$5:$B$87,B8,$G$5:$G$87,G8)&gt;1,"实际编号重复","正常")))</x:f>
        <x:v>待回填</x:v>
      </x:c>
      <x:c r="U8" s="29" t="str">
        <x:v>由脚本窗口扫描，不猜编号或颜色</x:v>
      </x:c>
    </x:row>
    <x:row r="9" ht="30" customHeight="1">
      <x:c r="A9" s="30" t="str">
        <x:v>EL-MAT-C01-WITNESS-STORM</x:v>
      </x:c>
      <x:c r="B9" s="30" t="str">
        <x:v>StdItems.Idx</x:v>
      </x:c>
      <x:c r="C9" s="30" t="str">
        <x:v>材料</x:v>
      </x:c>
      <x:c r="D9" s="30" t="str">
        <x:v>C01</x:v>
      </x:c>
      <x:c r="E9" s="30" t="str">
        <x:v>漂流见证·雷</x:v>
      </x:c>
      <x:c r="F9" s="30" t="str">
        <x:v>待扫描</x:v>
      </x:c>
      <x:c r="G9" s="30"/>
      <x:c r="H9" s="29"/>
      <x:c r="I9" s="30"/>
      <x:c r="J9" s="30"/>
      <x:c r="K9" s="30"/>
      <x:c r="L9" s="30"/>
      <x:c r="M9" s="30"/>
      <x:c r="N9" s="30"/>
      <x:c r="O9" s="30" t="str">
        <x:v>剧情·金</x:v>
      </x:c>
      <x:c r="P9" s="30" t="str">
        <x:v>非绑定/可交易/NPC售价0</x:v>
      </x:c>
      <x:c r="Q9" s="30" t="str">
        <x:v>风暴遗誓任务固定奖励</x:v>
      </x:c>
      <x:c r="R9" s="30"/>
      <x:c r="S9" s="30" t="str">
        <x:v>是</x:v>
      </x:c>
      <x:c r="T9" s="30" t="str">
        <x:f>IF(F9="预留未命名","预留",IF(G9="","待回填",IF(COUNTIFS($B$5:$B$87,B9,$G$5:$G$87,G9)&gt;1,"实际编号重复","正常")))</x:f>
        <x:v>待回填</x:v>
      </x:c>
      <x:c r="U9" s="29" t="str">
        <x:v>由脚本窗口扫描，不猜编号或颜色</x:v>
      </x:c>
    </x:row>
    <x:row r="10" ht="30" customHeight="1">
      <x:c r="A10" s="30" t="str">
        <x:v>EL-MAT-C02-OATHPAGE</x:v>
      </x:c>
      <x:c r="B10" s="30" t="str">
        <x:v>StdItems.Idx</x:v>
      </x:c>
      <x:c r="C10" s="30" t="str">
        <x:v>材料</x:v>
      </x:c>
      <x:c r="D10" s="30" t="str">
        <x:v>C02</x:v>
      </x:c>
      <x:c r="E10" s="30" t="str">
        <x:v>宁姆格福誓页</x:v>
      </x:c>
      <x:c r="F10" s="30" t="str">
        <x:v>待扫描</x:v>
      </x:c>
      <x:c r="G10" s="30"/>
      <x:c r="H10" s="29"/>
      <x:c r="I10" s="30"/>
      <x:c r="J10" s="30"/>
      <x:c r="K10" s="30"/>
      <x:c r="L10" s="30"/>
      <x:c r="M10" s="30"/>
      <x:c r="N10" s="30"/>
      <x:c r="O10" s="30" t="str">
        <x:v>剧情·金</x:v>
      </x:c>
      <x:c r="P10" s="30" t="str">
        <x:v>非绑定/可交易/NPC售价0</x:v>
      </x:c>
      <x:c r="Q10" s="30" t="str">
        <x:v>宁姆格福前四任务固定奖励</x:v>
      </x:c>
      <x:c r="R10" s="30"/>
      <x:c r="S10" s="30" t="str">
        <x:v>是</x:v>
      </x:c>
      <x:c r="T10" s="30" t="str">
        <x:f>IF(F10="预留未命名","预留",IF(G10="","待回填",IF(COUNTIFS($B$5:$B$87,B10,$G$5:$G$87,G10)&gt;1,"实际编号重复","正常")))</x:f>
        <x:v>待回填</x:v>
      </x:c>
      <x:c r="U10" s="29" t="str">
        <x:v>由脚本窗口扫描，不猜编号或颜色</x:v>
      </x:c>
    </x:row>
    <x:row r="11" ht="30" customHeight="1">
      <x:c r="A11" s="30" t="str">
        <x:v>EL-MAT-C01-COM</x:v>
      </x:c>
      <x:c r="B11" s="30" t="str">
        <x:v>StdItems.Idx</x:v>
      </x:c>
      <x:c r="C11" s="30" t="str">
        <x:v>材料</x:v>
      </x:c>
      <x:c r="D11" s="30" t="str">
        <x:v>C01</x:v>
      </x:c>
      <x:c r="E11" s="30" t="str">
        <x:v>海蚀铁片</x:v>
      </x:c>
      <x:c r="F11" s="30" t="str">
        <x:v>待扫描</x:v>
      </x:c>
      <x:c r="G11" s="30"/>
      <x:c r="H11" s="29"/>
      <x:c r="I11" s="30"/>
      <x:c r="J11" s="30"/>
      <x:c r="K11" s="30"/>
      <x:c r="L11" s="30"/>
      <x:c r="M11" s="30"/>
      <x:c r="N11" s="30"/>
      <x:c r="O11" s="30" t="str">
        <x:v>常规·白</x:v>
      </x:c>
      <x:c r="P11" s="30" t="str">
        <x:v>非绑定/可交易/NPC售价0</x:v>
      </x:c>
      <x:c r="Q11" s="30" t="str">
        <x:v>本大陆普通怪独立掉落</x:v>
      </x:c>
      <x:c r="R11" s="30"/>
      <x:c r="S11" s="30" t="str">
        <x:v>是</x:v>
      </x:c>
      <x:c r="T11" s="30" t="str">
        <x:f>IF(F11="预留未命名","预留",IF(G11="","待回填",IF(COUNTIFS($B$5:$B$87,B11,$G$5:$G$87,G11)&gt;1,"实际编号重复","正常")))</x:f>
        <x:v>待回填</x:v>
      </x:c>
      <x:c r="U11" s="29" t="str">
        <x:v>由脚本窗口扫描，不猜编号或颜色</x:v>
      </x:c>
    </x:row>
    <x:row r="12" ht="30" customHeight="1">
      <x:c r="A12" s="30" t="str">
        <x:v>EL-MAT-C01-RARE</x:v>
      </x:c>
      <x:c r="B12" s="30" t="str">
        <x:v>StdItems.Idx</x:v>
      </x:c>
      <x:c r="C12" s="30" t="str">
        <x:v>材料</x:v>
      </x:c>
      <x:c r="D12" s="30" t="str">
        <x:v>C01</x:v>
      </x:c>
      <x:c r="E12" s="30" t="str">
        <x:v>潮痕结晶</x:v>
      </x:c>
      <x:c r="F12" s="30" t="str">
        <x:v>待扫描</x:v>
      </x:c>
      <x:c r="G12" s="30"/>
      <x:c r="H12" s="29"/>
      <x:c r="I12" s="30"/>
      <x:c r="J12" s="30"/>
      <x:c r="K12" s="30"/>
      <x:c r="L12" s="30"/>
      <x:c r="M12" s="30"/>
      <x:c r="N12" s="30"/>
      <x:c r="O12" s="30" t="str">
        <x:v>稀有·蓝紫</x:v>
      </x:c>
      <x:c r="P12" s="30" t="str">
        <x:v>非绑定/可交易/NPC售价0</x:v>
      </x:c>
      <x:c r="Q12" s="30" t="str">
        <x:v>本大陆精英怪独立掉落</x:v>
      </x:c>
      <x:c r="R12" s="30"/>
      <x:c r="S12" s="30" t="str">
        <x:v>是</x:v>
      </x:c>
      <x:c r="T12" s="30" t="str">
        <x:f>IF(F12="预留未命名","预留",IF(G12="","待回填",IF(COUNTIFS($B$5:$B$87,B12,$G$5:$G$87,G12)&gt;1,"实际编号重复","正常")))</x:f>
        <x:v>待回填</x:v>
      </x:c>
      <x:c r="U12" s="29" t="str">
        <x:v>由脚本窗口扫描，不猜编号或颜色</x:v>
      </x:c>
    </x:row>
    <x:row r="13" ht="30" customHeight="1">
      <x:c r="A13" s="30" t="str">
        <x:v>EL-MAT-C01-MARK</x:v>
      </x:c>
      <x:c r="B13" s="30" t="str">
        <x:v>StdItems.Idx</x:v>
      </x:c>
      <x:c r="C13" s="30" t="str">
        <x:v>材料</x:v>
      </x:c>
      <x:c r="D13" s="30" t="str">
        <x:v>C01</x:v>
      </x:c>
      <x:c r="E13" s="30" t="str">
        <x:v>漂流大陆印记</x:v>
      </x:c>
      <x:c r="F13" s="30" t="str">
        <x:v>待扫描</x:v>
      </x:c>
      <x:c r="G13" s="30"/>
      <x:c r="H13" s="29"/>
      <x:c r="I13" s="30"/>
      <x:c r="J13" s="30"/>
      <x:c r="K13" s="30"/>
      <x:c r="L13" s="30"/>
      <x:c r="M13" s="30"/>
      <x:c r="N13" s="30"/>
      <x:c r="O13" s="30" t="str">
        <x:v>剧情·金</x:v>
      </x:c>
      <x:c r="P13" s="30" t="str">
        <x:v>非绑定/可交易/NPC售价0</x:v>
      </x:c>
      <x:c r="Q13" s="30" t="str">
        <x:v>主任务/守关BOSS首杀固定1</x:v>
      </x:c>
      <x:c r="R13" s="30"/>
      <x:c r="S13" s="30" t="str">
        <x:v>是</x:v>
      </x:c>
      <x:c r="T13" s="30" t="str">
        <x:f>IF(F13="预留未命名","预留",IF(G13="","待回填",IF(COUNTIFS($B$5:$B$87,B13,$G$5:$G$87,G13)&gt;1,"实际编号重复","正常")))</x:f>
        <x:v>待回填</x:v>
      </x:c>
      <x:c r="U13" s="29" t="str">
        <x:v>由脚本窗口扫描，不猜编号或颜色</x:v>
      </x:c>
    </x:row>
    <x:row r="14" ht="30" customHeight="1">
      <x:c r="A14" s="30" t="str">
        <x:v>EL-MAT-C02-COM</x:v>
      </x:c>
      <x:c r="B14" s="30" t="str">
        <x:v>StdItems.Idx</x:v>
      </x:c>
      <x:c r="C14" s="30" t="str">
        <x:v>材料</x:v>
      </x:c>
      <x:c r="D14" s="30" t="str">
        <x:v>C02</x:v>
      </x:c>
      <x:c r="E14" s="30" t="str">
        <x:v>风暴石片</x:v>
      </x:c>
      <x:c r="F14" s="30" t="str">
        <x:v>待扫描</x:v>
      </x:c>
      <x:c r="G14" s="30"/>
      <x:c r="H14" s="29"/>
      <x:c r="I14" s="30"/>
      <x:c r="J14" s="30"/>
      <x:c r="K14" s="30"/>
      <x:c r="L14" s="30"/>
      <x:c r="M14" s="30"/>
      <x:c r="N14" s="30"/>
      <x:c r="O14" s="30" t="str">
        <x:v>常规·白</x:v>
      </x:c>
      <x:c r="P14" s="30" t="str">
        <x:v>非绑定/可交易/NPC售价0</x:v>
      </x:c>
      <x:c r="Q14" s="30" t="str">
        <x:v>本大陆普通怪独立掉落</x:v>
      </x:c>
      <x:c r="R14" s="30"/>
      <x:c r="S14" s="30" t="str">
        <x:v>是</x:v>
      </x:c>
      <x:c r="T14" s="30" t="str">
        <x:f>IF(F14="预留未命名","预留",IF(G14="","待回填",IF(COUNTIFS($B$5:$B$87,B14,$G$5:$G$87,G14)&gt;1,"实际编号重复","正常")))</x:f>
        <x:v>待回填</x:v>
      </x:c>
      <x:c r="U14" s="29" t="str">
        <x:v>由脚本窗口扫描，不猜编号或颜色</x:v>
      </x:c>
    </x:row>
    <x:row r="15" ht="30" customHeight="1">
      <x:c r="A15" s="30" t="str">
        <x:v>EL-MAT-C02-RARE</x:v>
      </x:c>
      <x:c r="B15" s="30" t="str">
        <x:v>StdItems.Idx</x:v>
      </x:c>
      <x:c r="C15" s="30" t="str">
        <x:v>材料</x:v>
      </x:c>
      <x:c r="D15" s="30" t="str">
        <x:v>C02</x:v>
      </x:c>
      <x:c r="E15" s="30" t="str">
        <x:v>黄金树芽</x:v>
      </x:c>
      <x:c r="F15" s="30" t="str">
        <x:v>待扫描</x:v>
      </x:c>
      <x:c r="G15" s="30"/>
      <x:c r="H15" s="29"/>
      <x:c r="I15" s="30"/>
      <x:c r="J15" s="30"/>
      <x:c r="K15" s="30"/>
      <x:c r="L15" s="30"/>
      <x:c r="M15" s="30"/>
      <x:c r="N15" s="30"/>
      <x:c r="O15" s="30" t="str">
        <x:v>稀有·蓝紫</x:v>
      </x:c>
      <x:c r="P15" s="30" t="str">
        <x:v>非绑定/可交易/NPC售价0</x:v>
      </x:c>
      <x:c r="Q15" s="30" t="str">
        <x:v>本大陆精英怪独立掉落</x:v>
      </x:c>
      <x:c r="R15" s="30"/>
      <x:c r="S15" s="30" t="str">
        <x:v>是</x:v>
      </x:c>
      <x:c r="T15" s="30" t="str">
        <x:f>IF(F15="预留未命名","预留",IF(G15="","待回填",IF(COUNTIFS($B$5:$B$87,B15,$G$5:$G$87,G15)&gt;1,"实际编号重复","正常")))</x:f>
        <x:v>待回填</x:v>
      </x:c>
      <x:c r="U15" s="29" t="str">
        <x:v>由脚本窗口扫描，不猜编号或颜色</x:v>
      </x:c>
    </x:row>
    <x:row r="16" ht="30" customHeight="1">
      <x:c r="A16" s="30" t="str">
        <x:v>EL-MAT-C02-MARK</x:v>
      </x:c>
      <x:c r="B16" s="30" t="str">
        <x:v>StdItems.Idx</x:v>
      </x:c>
      <x:c r="C16" s="30" t="str">
        <x:v>材料</x:v>
      </x:c>
      <x:c r="D16" s="30" t="str">
        <x:v>C02</x:v>
      </x:c>
      <x:c r="E16" s="30" t="str">
        <x:v>接肢王印</x:v>
      </x:c>
      <x:c r="F16" s="30" t="str">
        <x:v>待扫描</x:v>
      </x:c>
      <x:c r="G16" s="30"/>
      <x:c r="H16" s="29"/>
      <x:c r="I16" s="30"/>
      <x:c r="J16" s="30"/>
      <x:c r="K16" s="30"/>
      <x:c r="L16" s="30"/>
      <x:c r="M16" s="30"/>
      <x:c r="N16" s="30"/>
      <x:c r="O16" s="30" t="str">
        <x:v>剧情·金</x:v>
      </x:c>
      <x:c r="P16" s="30" t="str">
        <x:v>非绑定/可交易/NPC售价0</x:v>
      </x:c>
      <x:c r="Q16" s="30" t="str">
        <x:v>主任务/守关BOSS首杀固定1</x:v>
      </x:c>
      <x:c r="R16" s="30"/>
      <x:c r="S16" s="30" t="str">
        <x:v>是</x:v>
      </x:c>
      <x:c r="T16" s="30" t="str">
        <x:f>IF(F16="预留未命名","预留",IF(G16="","待回填",IF(COUNTIFS($B$5:$B$87,B16,$G$5:$G$87,G16)&gt;1,"实际编号重复","正常")))</x:f>
        <x:v>待回填</x:v>
      </x:c>
      <x:c r="U16" s="29" t="str">
        <x:v>由脚本窗口扫描，不猜编号或颜色</x:v>
      </x:c>
    </x:row>
    <x:row r="17" ht="30" customHeight="1">
      <x:c r="A17" s="30" t="str">
        <x:v>EL-MAT-C03-COM</x:v>
      </x:c>
      <x:c r="B17" s="30" t="str">
        <x:v>StdItems.Idx</x:v>
      </x:c>
      <x:c r="C17" s="30" t="str">
        <x:v>材料</x:v>
      </x:c>
      <x:c r="D17" s="30" t="str">
        <x:v>C03</x:v>
      </x:c>
      <x:c r="E17" s="30" t="str">
        <x:v>风蚀铁片</x:v>
      </x:c>
      <x:c r="F17" s="30" t="str">
        <x:v>待扫描</x:v>
      </x:c>
      <x:c r="G17" s="30"/>
      <x:c r="H17" s="29"/>
      <x:c r="I17" s="30"/>
      <x:c r="J17" s="30"/>
      <x:c r="K17" s="30"/>
      <x:c r="L17" s="30"/>
      <x:c r="M17" s="30"/>
      <x:c r="N17" s="30"/>
      <x:c r="O17" s="30" t="str">
        <x:v>常规·白</x:v>
      </x:c>
      <x:c r="P17" s="30" t="str">
        <x:v>非绑定/可交易/NPC售价0</x:v>
      </x:c>
      <x:c r="Q17" s="30" t="str">
        <x:v>本大陆普通怪独立掉落</x:v>
      </x:c>
      <x:c r="R17" s="30"/>
      <x:c r="S17" s="30" t="str">
        <x:v>是</x:v>
      </x:c>
      <x:c r="T17" s="30" t="str">
        <x:f>IF(F17="预留未命名","预留",IF(G17="","待回填",IF(COUNTIFS($B$5:$B$87,B17,$G$5:$G$87,G17)&gt;1,"实际编号重复","正常")))</x:f>
        <x:v>待回填</x:v>
      </x:c>
      <x:c r="U17" s="29" t="str">
        <x:v>由脚本窗口扫描，不猜编号或颜色</x:v>
      </x:c>
    </x:row>
    <x:row r="18" ht="30" customHeight="1">
      <x:c r="A18" s="30" t="str">
        <x:v>EL-MAT-C03-RARE</x:v>
      </x:c>
      <x:c r="B18" s="30" t="str">
        <x:v>StdItems.Idx</x:v>
      </x:c>
      <x:c r="C18" s="30" t="str">
        <x:v>材料</x:v>
      </x:c>
      <x:c r="D18" s="30" t="str">
        <x:v>C03</x:v>
      </x:c>
      <x:c r="E18" s="30" t="str">
        <x:v>西境战旗</x:v>
      </x:c>
      <x:c r="F18" s="30" t="str">
        <x:v>待扫描</x:v>
      </x:c>
      <x:c r="G18" s="30"/>
      <x:c r="H18" s="29"/>
      <x:c r="I18" s="30"/>
      <x:c r="J18" s="30"/>
      <x:c r="K18" s="30"/>
      <x:c r="L18" s="30"/>
      <x:c r="M18" s="30"/>
      <x:c r="N18" s="30"/>
      <x:c r="O18" s="30" t="str">
        <x:v>稀有·蓝紫</x:v>
      </x:c>
      <x:c r="P18" s="30" t="str">
        <x:v>非绑定/可交易/NPC售价0</x:v>
      </x:c>
      <x:c r="Q18" s="30" t="str">
        <x:v>本大陆精英怪独立掉落</x:v>
      </x:c>
      <x:c r="R18" s="30"/>
      <x:c r="S18" s="30" t="str">
        <x:v>是</x:v>
      </x:c>
      <x:c r="T18" s="30" t="str">
        <x:f>IF(F18="预留未命名","预留",IF(G18="","待回填",IF(COUNTIFS($B$5:$B$87,B18,$G$5:$G$87,G18)&gt;1,"实际编号重复","正常")))</x:f>
        <x:v>待回填</x:v>
      </x:c>
      <x:c r="U18" s="29" t="str">
        <x:v>由脚本窗口扫描，不猜编号或颜色</x:v>
      </x:c>
    </x:row>
    <x:row r="19" ht="30" customHeight="1">
      <x:c r="A19" s="30" t="str">
        <x:v>EL-MAT-C03-MARK</x:v>
      </x:c>
      <x:c r="B19" s="30" t="str">
        <x:v>StdItems.Idx</x:v>
      </x:c>
      <x:c r="C19" s="30" t="str">
        <x:v>材料</x:v>
      </x:c>
      <x:c r="D19" s="30" t="str">
        <x:v>C03</x:v>
      </x:c>
      <x:c r="E19" s="30" t="str">
        <x:v>西境战旗印</x:v>
      </x:c>
      <x:c r="F19" s="30" t="str">
        <x:v>待扫描</x:v>
      </x:c>
      <x:c r="G19" s="30"/>
      <x:c r="H19" s="29"/>
      <x:c r="I19" s="30"/>
      <x:c r="J19" s="30"/>
      <x:c r="K19" s="30"/>
      <x:c r="L19" s="30"/>
      <x:c r="M19" s="30"/>
      <x:c r="N19" s="30"/>
      <x:c r="O19" s="30" t="str">
        <x:v>剧情·金</x:v>
      </x:c>
      <x:c r="P19" s="30" t="str">
        <x:v>非绑定/可交易/NPC售价0</x:v>
      </x:c>
      <x:c r="Q19" s="30" t="str">
        <x:v>主任务/守关BOSS首杀固定1</x:v>
      </x:c>
      <x:c r="R19" s="30"/>
      <x:c r="S19" s="30" t="str">
        <x:v>是</x:v>
      </x:c>
      <x:c r="T19" s="30" t="str">
        <x:f>IF(F19="预留未命名","预留",IF(G19="","待回填",IF(COUNTIFS($B$5:$B$87,B19,$G$5:$G$87,G19)&gt;1,"实际编号重复","正常")))</x:f>
        <x:v>待回填</x:v>
      </x:c>
      <x:c r="U19" s="29" t="str">
        <x:v>由脚本窗口扫描，不猜编号或颜色</x:v>
      </x:c>
    </x:row>
    <x:row r="20" ht="30" customHeight="1">
      <x:c r="A20" s="30" t="str">
        <x:v>EL-MAT-C04-COM</x:v>
      </x:c>
      <x:c r="B20" s="30" t="str">
        <x:v>StdItems.Idx</x:v>
      </x:c>
      <x:c r="C20" s="30" t="str">
        <x:v>材料</x:v>
      </x:c>
      <x:c r="D20" s="30" t="str">
        <x:v>C04</x:v>
      </x:c>
      <x:c r="E20" s="30" t="str">
        <x:v>湖盐结晶</x:v>
      </x:c>
      <x:c r="F20" s="30" t="str">
        <x:v>待扫描</x:v>
      </x:c>
      <x:c r="G20" s="30"/>
      <x:c r="H20" s="29"/>
      <x:c r="I20" s="30"/>
      <x:c r="J20" s="30"/>
      <x:c r="K20" s="30"/>
      <x:c r="L20" s="30"/>
      <x:c r="M20" s="30"/>
      <x:c r="N20" s="30"/>
      <x:c r="O20" s="30" t="str">
        <x:v>常规·白</x:v>
      </x:c>
      <x:c r="P20" s="30" t="str">
        <x:v>非绑定/可交易/NPC售价0</x:v>
      </x:c>
      <x:c r="Q20" s="30" t="str">
        <x:v>本大陆普通怪独立掉落</x:v>
      </x:c>
      <x:c r="R20" s="30"/>
      <x:c r="S20" s="30" t="str">
        <x:v>是</x:v>
      </x:c>
      <x:c r="T20" s="30" t="str">
        <x:f>IF(F20="预留未命名","预留",IF(G20="","待回填",IF(COUNTIFS($B$5:$B$87,B20,$G$5:$G$87,G20)&gt;1,"实际编号重复","正常")))</x:f>
        <x:v>待回填</x:v>
      </x:c>
      <x:c r="U20" s="29" t="str">
        <x:v>由脚本窗口扫描，不猜编号或颜色</x:v>
      </x:c>
    </x:row>
    <x:row r="21" ht="30" customHeight="1">
      <x:c r="A21" s="30" t="str">
        <x:v>EL-MAT-C04-RARE</x:v>
      </x:c>
      <x:c r="B21" s="30" t="str">
        <x:v>StdItems.Idx</x:v>
      </x:c>
      <x:c r="C21" s="30" t="str">
        <x:v>材料</x:v>
      </x:c>
      <x:c r="D21" s="30" t="str">
        <x:v>C04</x:v>
      </x:c>
      <x:c r="E21" s="30" t="str">
        <x:v>幽船铆钉</x:v>
      </x:c>
      <x:c r="F21" s="30" t="str">
        <x:v>待扫描</x:v>
      </x:c>
      <x:c r="G21" s="30"/>
      <x:c r="H21" s="29"/>
      <x:c r="I21" s="30"/>
      <x:c r="J21" s="30"/>
      <x:c r="K21" s="30"/>
      <x:c r="L21" s="30"/>
      <x:c r="M21" s="30"/>
      <x:c r="N21" s="30"/>
      <x:c r="O21" s="30" t="str">
        <x:v>稀有·蓝紫</x:v>
      </x:c>
      <x:c r="P21" s="30" t="str">
        <x:v>非绑定/可交易/NPC售价0</x:v>
      </x:c>
      <x:c r="Q21" s="30" t="str">
        <x:v>本大陆精英怪独立掉落</x:v>
      </x:c>
      <x:c r="R21" s="30"/>
      <x:c r="S21" s="30" t="str">
        <x:v>是</x:v>
      </x:c>
      <x:c r="T21" s="30" t="str">
        <x:f>IF(F21="预留未命名","预留",IF(G21="","待回填",IF(COUNTIFS($B$5:$B$87,B21,$G$5:$G$87,G21)&gt;1,"实际编号重复","正常")))</x:f>
        <x:v>待回填</x:v>
      </x:c>
      <x:c r="U21" s="29" t="str">
        <x:v>由脚本窗口扫描，不猜编号或颜色</x:v>
      </x:c>
    </x:row>
    <x:row r="22" ht="30" customHeight="1">
      <x:c r="A22" s="30" t="str">
        <x:v>EL-MAT-C04-MARK</x:v>
      </x:c>
      <x:c r="B22" s="30" t="str">
        <x:v>StdItems.Idx</x:v>
      </x:c>
      <x:c r="C22" s="30" t="str">
        <x:v>材料</x:v>
      </x:c>
      <x:c r="D22" s="30" t="str">
        <x:v>C04</x:v>
      </x:c>
      <x:c r="E22" s="30" t="str">
        <x:v>沉湖王印</x:v>
      </x:c>
      <x:c r="F22" s="30" t="str">
        <x:v>待扫描</x:v>
      </x:c>
      <x:c r="G22" s="30"/>
      <x:c r="H22" s="29"/>
      <x:c r="I22" s="30"/>
      <x:c r="J22" s="30"/>
      <x:c r="K22" s="30"/>
      <x:c r="L22" s="30"/>
      <x:c r="M22" s="30"/>
      <x:c r="N22" s="30"/>
      <x:c r="O22" s="30" t="str">
        <x:v>剧情·金</x:v>
      </x:c>
      <x:c r="P22" s="30" t="str">
        <x:v>非绑定/可交易/NPC售价0</x:v>
      </x:c>
      <x:c r="Q22" s="30" t="str">
        <x:v>主任务/守关BOSS首杀固定1</x:v>
      </x:c>
      <x:c r="R22" s="30"/>
      <x:c r="S22" s="30" t="str">
        <x:v>是</x:v>
      </x:c>
      <x:c r="T22" s="30" t="str">
        <x:f>IF(F22="预留未命名","预留",IF(G22="","待回填",IF(COUNTIFS($B$5:$B$87,B22,$G$5:$G$87,G22)&gt;1,"实际编号重复","正常")))</x:f>
        <x:v>待回填</x:v>
      </x:c>
      <x:c r="U22" s="29" t="str">
        <x:v>由脚本窗口扫描，不猜编号或颜色</x:v>
      </x:c>
    </x:row>
    <x:row r="23" ht="30" customHeight="1">
      <x:c r="A23" s="30" t="str">
        <x:v>EL-MAT-C05-COM</x:v>
      </x:c>
      <x:c r="B23" s="30" t="str">
        <x:v>StdItems.Idx</x:v>
      </x:c>
      <x:c r="C23" s="30" t="str">
        <x:v>材料</x:v>
      </x:c>
      <x:c r="D23" s="30" t="str">
        <x:v>C05</x:v>
      </x:c>
      <x:c r="E23" s="30" t="str">
        <x:v>辉石碎晶</x:v>
      </x:c>
      <x:c r="F23" s="30" t="str">
        <x:v>待扫描</x:v>
      </x:c>
      <x:c r="G23" s="30"/>
      <x:c r="H23" s="29"/>
      <x:c r="I23" s="30"/>
      <x:c r="J23" s="30"/>
      <x:c r="K23" s="30"/>
      <x:c r="L23" s="30"/>
      <x:c r="M23" s="30"/>
      <x:c r="N23" s="30"/>
      <x:c r="O23" s="30" t="str">
        <x:v>常规·白</x:v>
      </x:c>
      <x:c r="P23" s="30" t="str">
        <x:v>非绑定/可交易/NPC售价0</x:v>
      </x:c>
      <x:c r="Q23" s="30" t="str">
        <x:v>本大陆普通怪独立掉落</x:v>
      </x:c>
      <x:c r="R23" s="30"/>
      <x:c r="S23" s="30" t="str">
        <x:v>是</x:v>
      </x:c>
      <x:c r="T23" s="30" t="str">
        <x:f>IF(F23="预留未命名","预留",IF(G23="","待回填",IF(COUNTIFS($B$5:$B$87,B23,$G$5:$G$87,G23)&gt;1,"实际编号重复","正常")))</x:f>
        <x:v>待回填</x:v>
      </x:c>
      <x:c r="U23" s="29" t="str">
        <x:v>由脚本窗口扫描，不猜编号或颜色</x:v>
      </x:c>
    </x:row>
    <x:row r="24" ht="30" customHeight="1">
      <x:c r="A24" s="30" t="str">
        <x:v>EL-MAT-C05-RARE</x:v>
      </x:c>
      <x:c r="B24" s="30" t="str">
        <x:v>StdItems.Idx</x:v>
      </x:c>
      <x:c r="C24" s="30" t="str">
        <x:v>材料</x:v>
      </x:c>
      <x:c r="D24" s="30" t="str">
        <x:v>C05</x:v>
      </x:c>
      <x:c r="E24" s="30" t="str">
        <x:v>卡利亚月露</x:v>
      </x:c>
      <x:c r="F24" s="30" t="str">
        <x:v>待扫描</x:v>
      </x:c>
      <x:c r="G24" s="30"/>
      <x:c r="H24" s="29"/>
      <x:c r="I24" s="30"/>
      <x:c r="J24" s="30"/>
      <x:c r="K24" s="30"/>
      <x:c r="L24" s="30"/>
      <x:c r="M24" s="30"/>
      <x:c r="N24" s="30"/>
      <x:c r="O24" s="30" t="str">
        <x:v>稀有·蓝紫</x:v>
      </x:c>
      <x:c r="P24" s="30" t="str">
        <x:v>非绑定/可交易/NPC售价0</x:v>
      </x:c>
      <x:c r="Q24" s="30" t="str">
        <x:v>本大陆精英怪独立掉落</x:v>
      </x:c>
      <x:c r="R24" s="30"/>
      <x:c r="S24" s="30" t="str">
        <x:v>是</x:v>
      </x:c>
      <x:c r="T24" s="30" t="str">
        <x:f>IF(F24="预留未命名","预留",IF(G24="","待回填",IF(COUNTIFS($B$5:$B$87,B24,$G$5:$G$87,G24)&gt;1,"实际编号重复","正常")))</x:f>
        <x:v>待回填</x:v>
      </x:c>
      <x:c r="U24" s="29" t="str">
        <x:v>由脚本窗口扫描，不猜编号或颜色</x:v>
      </x:c>
    </x:row>
    <x:row r="25" ht="30" customHeight="1">
      <x:c r="A25" s="30" t="str">
        <x:v>EL-MAT-C05-MARK</x:v>
      </x:c>
      <x:c r="B25" s="30" t="str">
        <x:v>StdItems.Idx</x:v>
      </x:c>
      <x:c r="C25" s="30" t="str">
        <x:v>材料</x:v>
      </x:c>
      <x:c r="D25" s="30" t="str">
        <x:v>C05</x:v>
      </x:c>
      <x:c r="E25" s="30" t="str">
        <x:v>满月王室印</x:v>
      </x:c>
      <x:c r="F25" s="30" t="str">
        <x:v>待扫描</x:v>
      </x:c>
      <x:c r="G25" s="30"/>
      <x:c r="H25" s="29"/>
      <x:c r="I25" s="30"/>
      <x:c r="J25" s="30"/>
      <x:c r="K25" s="30"/>
      <x:c r="L25" s="30"/>
      <x:c r="M25" s="30"/>
      <x:c r="N25" s="30"/>
      <x:c r="O25" s="30" t="str">
        <x:v>剧情·金</x:v>
      </x:c>
      <x:c r="P25" s="30" t="str">
        <x:v>非绑定/可交易/NPC售价0</x:v>
      </x:c>
      <x:c r="Q25" s="30" t="str">
        <x:v>主任务/守关BOSS首杀固定1</x:v>
      </x:c>
      <x:c r="R25" s="30"/>
      <x:c r="S25" s="30" t="str">
        <x:v>是</x:v>
      </x:c>
      <x:c r="T25" s="30" t="str">
        <x:f>IF(F25="预留未命名","预留",IF(G25="","待回填",IF(COUNTIFS($B$5:$B$87,B25,$G$5:$G$87,G25)&gt;1,"实际编号重复","正常")))</x:f>
        <x:v>待回填</x:v>
      </x:c>
      <x:c r="U25" s="29" t="str">
        <x:v>由脚本窗口扫描，不猜编号或颜色</x:v>
      </x:c>
    </x:row>
    <x:row r="26" ht="30" customHeight="1">
      <x:c r="A26" s="30" t="str">
        <x:v>EL-MAT-C06-COM</x:v>
      </x:c>
      <x:c r="B26" s="30" t="str">
        <x:v>StdItems.Idx</x:v>
      </x:c>
      <x:c r="C26" s="30" t="str">
        <x:v>材料</x:v>
      </x:c>
      <x:c r="D26" s="30" t="str">
        <x:v>C06</x:v>
      </x:c>
      <x:c r="E26" s="30" t="str">
        <x:v>猩红矿渣</x:v>
      </x:c>
      <x:c r="F26" s="30" t="str">
        <x:v>待扫描</x:v>
      </x:c>
      <x:c r="G26" s="30"/>
      <x:c r="H26" s="29"/>
      <x:c r="I26" s="30"/>
      <x:c r="J26" s="30"/>
      <x:c r="K26" s="30"/>
      <x:c r="L26" s="30"/>
      <x:c r="M26" s="30"/>
      <x:c r="N26" s="30"/>
      <x:c r="O26" s="30" t="str">
        <x:v>常规·白</x:v>
      </x:c>
      <x:c r="P26" s="30" t="str">
        <x:v>非绑定/可交易/NPC售价0</x:v>
      </x:c>
      <x:c r="Q26" s="30" t="str">
        <x:v>本大陆普通怪独立掉落</x:v>
      </x:c>
      <x:c r="R26" s="30"/>
      <x:c r="S26" s="30" t="str">
        <x:v>是</x:v>
      </x:c>
      <x:c r="T26" s="30" t="str">
        <x:f>IF(F26="预留未命名","预留",IF(G26="","待回填",IF(COUNTIFS($B$5:$B$87,B26,$G$5:$G$87,G26)&gt;1,"实际编号重复","正常")))</x:f>
        <x:v>待回填</x:v>
      </x:c>
      <x:c r="U26" s="29" t="str">
        <x:v>由脚本窗口扫描，不猜编号或颜色</x:v>
      </x:c>
    </x:row>
    <x:row r="27" ht="30" customHeight="1">
      <x:c r="A27" s="30" t="str">
        <x:v>EL-MAT-C06-RARE</x:v>
      </x:c>
      <x:c r="B27" s="30" t="str">
        <x:v>StdItems.Idx</x:v>
      </x:c>
      <x:c r="C27" s="30" t="str">
        <x:v>材料</x:v>
      </x:c>
      <x:c r="D27" s="30" t="str">
        <x:v>C06</x:v>
      </x:c>
      <x:c r="E27" s="30" t="str">
        <x:v>龙火鳞</x:v>
      </x:c>
      <x:c r="F27" s="30" t="str">
        <x:v>待扫描</x:v>
      </x:c>
      <x:c r="G27" s="30"/>
      <x:c r="H27" s="29"/>
      <x:c r="I27" s="30"/>
      <x:c r="J27" s="30"/>
      <x:c r="K27" s="30"/>
      <x:c r="L27" s="30"/>
      <x:c r="M27" s="30"/>
      <x:c r="N27" s="30"/>
      <x:c r="O27" s="30" t="str">
        <x:v>稀有·蓝紫</x:v>
      </x:c>
      <x:c r="P27" s="30" t="str">
        <x:v>非绑定/可交易/NPC售价0</x:v>
      </x:c>
      <x:c r="Q27" s="30" t="str">
        <x:v>本大陆精英怪独立掉落</x:v>
      </x:c>
      <x:c r="R27" s="30"/>
      <x:c r="S27" s="30" t="str">
        <x:v>是</x:v>
      </x:c>
      <x:c r="T27" s="30" t="str">
        <x:f>IF(F27="预留未命名","预留",IF(G27="","待回填",IF(COUNTIFS($B$5:$B$87,B27,$G$5:$G$87,G27)&gt;1,"实际编号重复","正常")))</x:f>
        <x:v>待回填</x:v>
      </x:c>
      <x:c r="U27" s="29" t="str">
        <x:v>由脚本窗口扫描，不猜编号或颜色</x:v>
      </x:c>
    </x:row>
    <x:row r="28" ht="30" customHeight="1">
      <x:c r="A28" s="30" t="str">
        <x:v>EL-MAT-C06-MARK</x:v>
      </x:c>
      <x:c r="B28" s="30" t="str">
        <x:v>StdItems.Idx</x:v>
      </x:c>
      <x:c r="C28" s="30" t="str">
        <x:v>材料</x:v>
      </x:c>
      <x:c r="D28" s="30" t="str">
        <x:v>C06</x:v>
      </x:c>
      <x:c r="E28" s="30" t="str">
        <x:v>红狮战印</x:v>
      </x:c>
      <x:c r="F28" s="30" t="str">
        <x:v>待扫描</x:v>
      </x:c>
      <x:c r="G28" s="30"/>
      <x:c r="H28" s="29"/>
      <x:c r="I28" s="30"/>
      <x:c r="J28" s="30"/>
      <x:c r="K28" s="30"/>
      <x:c r="L28" s="30"/>
      <x:c r="M28" s="30"/>
      <x:c r="N28" s="30"/>
      <x:c r="O28" s="30" t="str">
        <x:v>剧情·金</x:v>
      </x:c>
      <x:c r="P28" s="30" t="str">
        <x:v>非绑定/可交易/NPC售价0</x:v>
      </x:c>
      <x:c r="Q28" s="30" t="str">
        <x:v>主任务/守关BOSS首杀固定1</x:v>
      </x:c>
      <x:c r="R28" s="30"/>
      <x:c r="S28" s="30" t="str">
        <x:v>是</x:v>
      </x:c>
      <x:c r="T28" s="30" t="str">
        <x:f>IF(F28="预留未命名","预留",IF(G28="","待回填",IF(COUNTIFS($B$5:$B$87,B28,$G$5:$G$87,G28)&gt;1,"实际编号重复","正常")))</x:f>
        <x:v>待回填</x:v>
      </x:c>
      <x:c r="U28" s="29" t="str">
        <x:v>由脚本窗口扫描，不猜编号或颜色</x:v>
      </x:c>
    </x:row>
    <x:row r="29" ht="30" customHeight="1">
      <x:c r="A29" s="30" t="str">
        <x:v>EL-MAT-C07-COM</x:v>
      </x:c>
      <x:c r="B29" s="30" t="str">
        <x:v>StdItems.Idx</x:v>
      </x:c>
      <x:c r="C29" s="30" t="str">
        <x:v>材料</x:v>
      </x:c>
      <x:c r="D29" s="30" t="str">
        <x:v>C07</x:v>
      </x:c>
      <x:c r="E29" s="30" t="str">
        <x:v>冻晶尘</x:v>
      </x:c>
      <x:c r="F29" s="30" t="str">
        <x:v>待扫描</x:v>
      </x:c>
      <x:c r="G29" s="30"/>
      <x:c r="H29" s="29"/>
      <x:c r="I29" s="30"/>
      <x:c r="J29" s="30"/>
      <x:c r="K29" s="30"/>
      <x:c r="L29" s="30"/>
      <x:c r="M29" s="30"/>
      <x:c r="N29" s="30"/>
      <x:c r="O29" s="30" t="str">
        <x:v>常规·白</x:v>
      </x:c>
      <x:c r="P29" s="30" t="str">
        <x:v>非绑定/可交易/NPC售价0</x:v>
      </x:c>
      <x:c r="Q29" s="30" t="str">
        <x:v>本大陆普通怪独立掉落</x:v>
      </x:c>
      <x:c r="R29" s="30"/>
      <x:c r="S29" s="30" t="str">
        <x:v>是</x:v>
      </x:c>
      <x:c r="T29" s="30" t="str">
        <x:f>IF(F29="预留未命名","预留",IF(G29="","待回填",IF(COUNTIFS($B$5:$B$87,B29,$G$5:$G$87,G29)&gt;1,"实际编号重复","正常")))</x:f>
        <x:v>待回填</x:v>
      </x:c>
      <x:c r="U29" s="29" t="str">
        <x:v>由脚本窗口扫描，不猜编号或颜色</x:v>
      </x:c>
    </x:row>
    <x:row r="30" ht="30" customHeight="1">
      <x:c r="A30" s="30" t="str">
        <x:v>EL-MAT-C07-RARE</x:v>
      </x:c>
      <x:c r="B30" s="30" t="str">
        <x:v>StdItems.Idx</x:v>
      </x:c>
      <x:c r="C30" s="30" t="str">
        <x:v>材料</x:v>
      </x:c>
      <x:c r="D30" s="30" t="str">
        <x:v>C07</x:v>
      </x:c>
      <x:c r="E30" s="30" t="str">
        <x:v>白金纺线</x:v>
      </x:c>
      <x:c r="F30" s="30" t="str">
        <x:v>待扫描</x:v>
      </x:c>
      <x:c r="G30" s="30"/>
      <x:c r="H30" s="29"/>
      <x:c r="I30" s="30"/>
      <x:c r="J30" s="30"/>
      <x:c r="K30" s="30"/>
      <x:c r="L30" s="30"/>
      <x:c r="M30" s="30"/>
      <x:c r="N30" s="30"/>
      <x:c r="O30" s="30" t="str">
        <x:v>稀有·蓝紫</x:v>
      </x:c>
      <x:c r="P30" s="30" t="str">
        <x:v>非绑定/可交易/NPC售价0</x:v>
      </x:c>
      <x:c r="Q30" s="30" t="str">
        <x:v>本大陆精英怪独立掉落</x:v>
      </x:c>
      <x:c r="R30" s="30"/>
      <x:c r="S30" s="30" t="str">
        <x:v>是</x:v>
      </x:c>
      <x:c r="T30" s="30" t="str">
        <x:f>IF(F30="预留未命名","预留",IF(G30="","待回填",IF(COUNTIFS($B$5:$B$87,B30,$G$5:$G$87,G30)&gt;1,"实际编号重复","正常")))</x:f>
        <x:v>待回填</x:v>
      </x:c>
      <x:c r="U30" s="29" t="str">
        <x:v>由脚本窗口扫描，不猜编号或颜色</x:v>
      </x:c>
    </x:row>
    <x:row r="31" ht="30" customHeight="1">
      <x:c r="A31" s="30" t="str">
        <x:v>EL-MAT-C07-MARK</x:v>
      </x:c>
      <x:c r="B31" s="30" t="str">
        <x:v>StdItems.Idx</x:v>
      </x:c>
      <x:c r="C31" s="30" t="str">
        <x:v>材料</x:v>
      </x:c>
      <x:c r="D31" s="30" t="str">
        <x:v>C07</x:v>
      </x:c>
      <x:c r="E31" s="30" t="str">
        <x:v>圣雪誓印</x:v>
      </x:c>
      <x:c r="F31" s="30" t="str">
        <x:v>待扫描</x:v>
      </x:c>
      <x:c r="G31" s="30"/>
      <x:c r="H31" s="29"/>
      <x:c r="I31" s="30"/>
      <x:c r="J31" s="30"/>
      <x:c r="K31" s="30"/>
      <x:c r="L31" s="30"/>
      <x:c r="M31" s="30"/>
      <x:c r="N31" s="30"/>
      <x:c r="O31" s="30" t="str">
        <x:v>剧情·金</x:v>
      </x:c>
      <x:c r="P31" s="30" t="str">
        <x:v>非绑定/可交易/NPC售价0</x:v>
      </x:c>
      <x:c r="Q31" s="30" t="str">
        <x:v>主任务/守关BOSS首杀固定1</x:v>
      </x:c>
      <x:c r="R31" s="30"/>
      <x:c r="S31" s="30" t="str">
        <x:v>是</x:v>
      </x:c>
      <x:c r="T31" s="30" t="str">
        <x:f>IF(F31="预留未命名","预留",IF(G31="","待回填",IF(COUNTIFS($B$5:$B$87,B31,$G$5:$G$87,G31)&gt;1,"实际编号重复","正常")))</x:f>
        <x:v>待回填</x:v>
      </x:c>
      <x:c r="U31" s="29" t="str">
        <x:v>由脚本窗口扫描，不猜编号或颜色</x:v>
      </x:c>
    </x:row>
    <x:row r="32" ht="30" customHeight="1">
      <x:c r="A32" s="30" t="str">
        <x:v>EL-MAT-C08-COM</x:v>
      </x:c>
      <x:c r="B32" s="30" t="str">
        <x:v>StdItems.Idx</x:v>
      </x:c>
      <x:c r="C32" s="30" t="str">
        <x:v>材料</x:v>
      </x:c>
      <x:c r="D32" s="30" t="str">
        <x:v>C08</x:v>
      </x:c>
      <x:c r="E32" s="30" t="str">
        <x:v>霜脊铁</x:v>
      </x:c>
      <x:c r="F32" s="30" t="str">
        <x:v>待扫描</x:v>
      </x:c>
      <x:c r="G32" s="30"/>
      <x:c r="H32" s="29"/>
      <x:c r="I32" s="30"/>
      <x:c r="J32" s="30"/>
      <x:c r="K32" s="30"/>
      <x:c r="L32" s="30"/>
      <x:c r="M32" s="30"/>
      <x:c r="N32" s="30"/>
      <x:c r="O32" s="30" t="str">
        <x:v>常规·白</x:v>
      </x:c>
      <x:c r="P32" s="30" t="str">
        <x:v>非绑定/可交易/NPC售价0</x:v>
      </x:c>
      <x:c r="Q32" s="30" t="str">
        <x:v>本大陆普通怪独立掉落</x:v>
      </x:c>
      <x:c r="R32" s="30"/>
      <x:c r="S32" s="30" t="str">
        <x:v>是</x:v>
      </x:c>
      <x:c r="T32" s="30" t="str">
        <x:f>IF(F32="预留未命名","预留",IF(G32="","待回填",IF(COUNTIFS($B$5:$B$87,B32,$G$5:$G$87,G32)&gt;1,"实际编号重复","正常")))</x:f>
        <x:v>待回填</x:v>
      </x:c>
      <x:c r="U32" s="29" t="str">
        <x:v>由脚本窗口扫描，不猜编号或颜色</x:v>
      </x:c>
    </x:row>
    <x:row r="33" ht="30" customHeight="1">
      <x:c r="A33" s="30" t="str">
        <x:v>EL-MAT-C08-RARE</x:v>
      </x:c>
      <x:c r="B33" s="30" t="str">
        <x:v>StdItems.Idx</x:v>
      </x:c>
      <x:c r="C33" s="30" t="str">
        <x:v>材料</x:v>
      </x:c>
      <x:c r="D33" s="30" t="str">
        <x:v>C08</x:v>
      </x:c>
      <x:c r="E33" s="30" t="str">
        <x:v>巨人火种</x:v>
      </x:c>
      <x:c r="F33" s="30" t="str">
        <x:v>待扫描</x:v>
      </x:c>
      <x:c r="G33" s="30"/>
      <x:c r="H33" s="29"/>
      <x:c r="I33" s="30"/>
      <x:c r="J33" s="30"/>
      <x:c r="K33" s="30"/>
      <x:c r="L33" s="30"/>
      <x:c r="M33" s="30"/>
      <x:c r="N33" s="30"/>
      <x:c r="O33" s="30" t="str">
        <x:v>稀有·蓝紫</x:v>
      </x:c>
      <x:c r="P33" s="30" t="str">
        <x:v>非绑定/可交易/NPC售价0</x:v>
      </x:c>
      <x:c r="Q33" s="30" t="str">
        <x:v>本大陆精英怪独立掉落</x:v>
      </x:c>
      <x:c r="R33" s="30"/>
      <x:c r="S33" s="30" t="str">
        <x:v>是</x:v>
      </x:c>
      <x:c r="T33" s="30" t="str">
        <x:f>IF(F33="预留未命名","预留",IF(G33="","待回填",IF(COUNTIFS($B$5:$B$87,B33,$G$5:$G$87,G33)&gt;1,"实际编号重复","正常")))</x:f>
        <x:v>待回填</x:v>
      </x:c>
      <x:c r="U33" s="29" t="str">
        <x:v>由脚本窗口扫描，不猜编号或颜色</x:v>
      </x:c>
    </x:row>
    <x:row r="34" ht="30" customHeight="1">
      <x:c r="A34" s="30" t="str">
        <x:v>EL-MAT-C08-MARK</x:v>
      </x:c>
      <x:c r="B34" s="30" t="str">
        <x:v>StdItems.Idx</x:v>
      </x:c>
      <x:c r="C34" s="30" t="str">
        <x:v>材料</x:v>
      </x:c>
      <x:c r="D34" s="30" t="str">
        <x:v>C08</x:v>
      </x:c>
      <x:c r="E34" s="30" t="str">
        <x:v>巨人火印</x:v>
      </x:c>
      <x:c r="F34" s="30" t="str">
        <x:v>待扫描</x:v>
      </x:c>
      <x:c r="G34" s="30"/>
      <x:c r="H34" s="29"/>
      <x:c r="I34" s="30"/>
      <x:c r="J34" s="30"/>
      <x:c r="K34" s="30"/>
      <x:c r="L34" s="30"/>
      <x:c r="M34" s="30"/>
      <x:c r="N34" s="30"/>
      <x:c r="O34" s="30" t="str">
        <x:v>剧情·金</x:v>
      </x:c>
      <x:c r="P34" s="30" t="str">
        <x:v>非绑定/可交易/NPC售价0</x:v>
      </x:c>
      <x:c r="Q34" s="30" t="str">
        <x:v>主任务/守关BOSS首杀固定1</x:v>
      </x:c>
      <x:c r="R34" s="30"/>
      <x:c r="S34" s="30" t="str">
        <x:v>是</x:v>
      </x:c>
      <x:c r="T34" s="30" t="str">
        <x:f>IF(F34="预留未命名","预留",IF(G34="","待回填",IF(COUNTIFS($B$5:$B$87,B34,$G$5:$G$87,G34)&gt;1,"实际编号重复","正常")))</x:f>
        <x:v>待回填</x:v>
      </x:c>
      <x:c r="U34" s="29" t="str">
        <x:v>由脚本窗口扫描，不猜编号或颜色</x:v>
      </x:c>
    </x:row>
    <x:row r="35" ht="30" customHeight="1">
      <x:c r="A35" s="30" t="str">
        <x:v>EL-MAT-C09-COM</x:v>
      </x:c>
      <x:c r="B35" s="30" t="str">
        <x:v>StdItems.Idx</x:v>
      </x:c>
      <x:c r="C35" s="30" t="str">
        <x:v>材料</x:v>
      </x:c>
      <x:c r="D35" s="30" t="str">
        <x:v>C09</x:v>
      </x:c>
      <x:c r="E35" s="30" t="str">
        <x:v>黄金叶脉</x:v>
      </x:c>
      <x:c r="F35" s="30" t="str">
        <x:v>待扫描</x:v>
      </x:c>
      <x:c r="G35" s="30"/>
      <x:c r="H35" s="29"/>
      <x:c r="I35" s="30"/>
      <x:c r="J35" s="30"/>
      <x:c r="K35" s="30"/>
      <x:c r="L35" s="30"/>
      <x:c r="M35" s="30"/>
      <x:c r="N35" s="30"/>
      <x:c r="O35" s="30" t="str">
        <x:v>常规·白</x:v>
      </x:c>
      <x:c r="P35" s="30" t="str">
        <x:v>非绑定/可交易/NPC售价0</x:v>
      </x:c>
      <x:c r="Q35" s="30" t="str">
        <x:v>本大陆普通怪独立掉落</x:v>
      </x:c>
      <x:c r="R35" s="30"/>
      <x:c r="S35" s="30" t="str">
        <x:v>是</x:v>
      </x:c>
      <x:c r="T35" s="30" t="str">
        <x:f>IF(F35="预留未命名","预留",IF(G35="","待回填",IF(COUNTIFS($B$5:$B$87,B35,$G$5:$G$87,G35)&gt;1,"实际编号重复","正常")))</x:f>
        <x:v>待回填</x:v>
      </x:c>
      <x:c r="U35" s="29" t="str">
        <x:v>由脚本窗口扫描，不猜编号或颜色</x:v>
      </x:c>
    </x:row>
    <x:row r="36" ht="30" customHeight="1">
      <x:c r="A36" s="30" t="str">
        <x:v>EL-MAT-C09-RARE</x:v>
      </x:c>
      <x:c r="B36" s="30" t="str">
        <x:v>StdItems.Idx</x:v>
      </x:c>
      <x:c r="C36" s="30" t="str">
        <x:v>材料</x:v>
      </x:c>
      <x:c r="D36" s="30" t="str">
        <x:v>C09</x:v>
      </x:c>
      <x:c r="E36" s="30" t="str">
        <x:v>古王律页</x:v>
      </x:c>
      <x:c r="F36" s="30" t="str">
        <x:v>待扫描</x:v>
      </x:c>
      <x:c r="G36" s="30"/>
      <x:c r="H36" s="29"/>
      <x:c r="I36" s="30"/>
      <x:c r="J36" s="30"/>
      <x:c r="K36" s="30"/>
      <x:c r="L36" s="30"/>
      <x:c r="M36" s="30"/>
      <x:c r="N36" s="30"/>
      <x:c r="O36" s="30" t="str">
        <x:v>稀有·蓝紫</x:v>
      </x:c>
      <x:c r="P36" s="30" t="str">
        <x:v>非绑定/可交易/NPC售价0</x:v>
      </x:c>
      <x:c r="Q36" s="30" t="str">
        <x:v>本大陆精英怪独立掉落</x:v>
      </x:c>
      <x:c r="R36" s="30"/>
      <x:c r="S36" s="30" t="str">
        <x:v>是</x:v>
      </x:c>
      <x:c r="T36" s="30" t="str">
        <x:f>IF(F36="预留未命名","预留",IF(G36="","待回填",IF(COUNTIFS($B$5:$B$87,B36,$G$5:$G$87,G36)&gt;1,"实际编号重复","正常")))</x:f>
        <x:v>待回填</x:v>
      </x:c>
      <x:c r="U36" s="29" t="str">
        <x:v>由脚本窗口扫描，不猜编号或颜色</x:v>
      </x:c>
    </x:row>
    <x:row r="37" ht="30" customHeight="1">
      <x:c r="A37" s="30" t="str">
        <x:v>EL-MAT-C09-MARK</x:v>
      </x:c>
      <x:c r="B37" s="30" t="str">
        <x:v>StdItems.Idx</x:v>
      </x:c>
      <x:c r="C37" s="30" t="str">
        <x:v>材料</x:v>
      </x:c>
      <x:c r="D37" s="30" t="str">
        <x:v>C09</x:v>
      </x:c>
      <x:c r="E37" s="30" t="str">
        <x:v>黄金律印</x:v>
      </x:c>
      <x:c r="F37" s="30" t="str">
        <x:v>待扫描</x:v>
      </x:c>
      <x:c r="G37" s="30"/>
      <x:c r="H37" s="29"/>
      <x:c r="I37" s="30"/>
      <x:c r="J37" s="30"/>
      <x:c r="K37" s="30"/>
      <x:c r="L37" s="30"/>
      <x:c r="M37" s="30"/>
      <x:c r="N37" s="30"/>
      <x:c r="O37" s="30" t="str">
        <x:v>剧情·金</x:v>
      </x:c>
      <x:c r="P37" s="30" t="str">
        <x:v>非绑定/可交易/NPC售价0</x:v>
      </x:c>
      <x:c r="Q37" s="30" t="str">
        <x:v>主任务/守关BOSS首杀固定1</x:v>
      </x:c>
      <x:c r="R37" s="30"/>
      <x:c r="S37" s="30" t="str">
        <x:v>是</x:v>
      </x:c>
      <x:c r="T37" s="30" t="str">
        <x:f>IF(F37="预留未命名","预留",IF(G37="","待回填",IF(COUNTIFS($B$5:$B$87,B37,$G$5:$G$87,G37)&gt;1,"实际编号重复","正常")))</x:f>
        <x:v>待回填</x:v>
      </x:c>
      <x:c r="U37" s="29" t="str">
        <x:v>由脚本窗口扫描，不猜编号或颜色</x:v>
      </x:c>
    </x:row>
    <x:row r="38" ht="30" customHeight="1">
      <x:c r="A38" s="30" t="str">
        <x:v>EL-MAT-C10-COM</x:v>
      </x:c>
      <x:c r="B38" s="30" t="str">
        <x:v>StdItems.Idx</x:v>
      </x:c>
      <x:c r="C38" s="30" t="str">
        <x:v>材料</x:v>
      </x:c>
      <x:c r="D38" s="30" t="str">
        <x:v>C10</x:v>
      </x:c>
      <x:c r="E38" s="30" t="str">
        <x:v>王城金屑</x:v>
      </x:c>
      <x:c r="F38" s="30" t="str">
        <x:v>待扫描</x:v>
      </x:c>
      <x:c r="G38" s="30"/>
      <x:c r="H38" s="29"/>
      <x:c r="I38" s="30"/>
      <x:c r="J38" s="30"/>
      <x:c r="K38" s="30"/>
      <x:c r="L38" s="30"/>
      <x:c r="M38" s="30"/>
      <x:c r="N38" s="30"/>
      <x:c r="O38" s="30" t="str">
        <x:v>常规·白</x:v>
      </x:c>
      <x:c r="P38" s="30" t="str">
        <x:v>非绑定/可交易/NPC售价0</x:v>
      </x:c>
      <x:c r="Q38" s="30" t="str">
        <x:v>本大陆普通怪独立掉落</x:v>
      </x:c>
      <x:c r="R38" s="30"/>
      <x:c r="S38" s="30" t="str">
        <x:v>是</x:v>
      </x:c>
      <x:c r="T38" s="30" t="str">
        <x:f>IF(F38="预留未命名","预留",IF(G38="","待回填",IF(COUNTIFS($B$5:$B$87,B38,$G$5:$G$87,G38)&gt;1,"实际编号重复","正常")))</x:f>
        <x:v>待回填</x:v>
      </x:c>
      <x:c r="U38" s="29" t="str">
        <x:v>由脚本窗口扫描，不猜编号或颜色</x:v>
      </x:c>
    </x:row>
    <x:row r="39" ht="30" customHeight="1">
      <x:c r="A39" s="30" t="str">
        <x:v>EL-MAT-C10-RARE</x:v>
      </x:c>
      <x:c r="B39" s="30" t="str">
        <x:v>StdItems.Idx</x:v>
      </x:c>
      <x:c r="C39" s="30" t="str">
        <x:v>材料</x:v>
      </x:c>
      <x:c r="D39" s="30" t="str">
        <x:v>C10</x:v>
      </x:c>
      <x:c r="E39" s="30" t="str">
        <x:v>王宫律文</x:v>
      </x:c>
      <x:c r="F39" s="30" t="str">
        <x:v>待扫描</x:v>
      </x:c>
      <x:c r="G39" s="30"/>
      <x:c r="H39" s="29"/>
      <x:c r="I39" s="30"/>
      <x:c r="J39" s="30"/>
      <x:c r="K39" s="30"/>
      <x:c r="L39" s="30"/>
      <x:c r="M39" s="30"/>
      <x:c r="N39" s="30"/>
      <x:c r="O39" s="30" t="str">
        <x:v>稀有·蓝紫</x:v>
      </x:c>
      <x:c r="P39" s="30" t="str">
        <x:v>非绑定/可交易/NPC售价0</x:v>
      </x:c>
      <x:c r="Q39" s="30" t="str">
        <x:v>本大陆精英怪独立掉落</x:v>
      </x:c>
      <x:c r="R39" s="30"/>
      <x:c r="S39" s="30" t="str">
        <x:v>是</x:v>
      </x:c>
      <x:c r="T39" s="30" t="str">
        <x:f>IF(F39="预留未命名","预留",IF(G39="","待回填",IF(COUNTIFS($B$5:$B$87,B39,$G$5:$G$87,G39)&gt;1,"实际编号重复","正常")))</x:f>
        <x:v>待回填</x:v>
      </x:c>
      <x:c r="U39" s="29" t="str">
        <x:v>由脚本窗口扫描，不猜编号或颜色</x:v>
      </x:c>
    </x:row>
    <x:row r="40" ht="30" customHeight="1">
      <x:c r="A40" s="30" t="str">
        <x:v>EL-MAT-C10-MARK</x:v>
      </x:c>
      <x:c r="B40" s="30" t="str">
        <x:v>StdItems.Idx</x:v>
      </x:c>
      <x:c r="C40" s="30" t="str">
        <x:v>材料</x:v>
      </x:c>
      <x:c r="D40" s="30" t="str">
        <x:v>C10</x:v>
      </x:c>
      <x:c r="E40" s="30" t="str">
        <x:v>艾尔登王印</x:v>
      </x:c>
      <x:c r="F40" s="30" t="str">
        <x:v>待扫描</x:v>
      </x:c>
      <x:c r="G40" s="30"/>
      <x:c r="H40" s="29"/>
      <x:c r="I40" s="30"/>
      <x:c r="J40" s="30"/>
      <x:c r="K40" s="30"/>
      <x:c r="L40" s="30"/>
      <x:c r="M40" s="30"/>
      <x:c r="N40" s="30"/>
      <x:c r="O40" s="30" t="str">
        <x:v>剧情·金</x:v>
      </x:c>
      <x:c r="P40" s="30" t="str">
        <x:v>非绑定/可交易/NPC售价0</x:v>
      </x:c>
      <x:c r="Q40" s="30" t="str">
        <x:v>主任务/守关BOSS首杀固定1</x:v>
      </x:c>
      <x:c r="R40" s="30"/>
      <x:c r="S40" s="30" t="str">
        <x:v>是</x:v>
      </x:c>
      <x:c r="T40" s="30" t="str">
        <x:f>IF(F40="预留未命名","预留",IF(G40="","待回填",IF(COUNTIFS($B$5:$B$87,B40,$G$5:$G$87,G40)&gt;1,"实际编号重复","正常")))</x:f>
        <x:v>待回填</x:v>
      </x:c>
      <x:c r="U40" s="29" t="str">
        <x:v>由脚本窗口扫描，不猜编号或颜色</x:v>
      </x:c>
    </x:row>
    <x:row r="41" ht="30" customHeight="1">
      <x:c r="A41" s="30" t="str">
        <x:v>EL-MAT-C03-Q01</x:v>
      </x:c>
      <x:c r="B41" s="30" t="str">
        <x:v>StdItems.Idx</x:v>
      </x:c>
      <x:c r="C41" s="30" t="str">
        <x:v>材料</x:v>
      </x:c>
      <x:c r="D41" s="30" t="str">
        <x:v>C03</x:v>
      </x:c>
      <x:c r="E41" s="30" t="str">
        <x:v>裂风崖羽</x:v>
      </x:c>
      <x:c r="F41" s="30" t="str">
        <x:v>待扫描</x:v>
      </x:c>
      <x:c r="G41" s="30"/>
      <x:c r="H41" s="29"/>
      <x:c r="I41" s="30"/>
      <x:c r="J41" s="30"/>
      <x:c r="K41" s="30"/>
      <x:c r="L41" s="30"/>
      <x:c r="M41" s="30"/>
      <x:c r="N41" s="30"/>
      <x:c r="O41" s="30" t="str">
        <x:v>证物·蓝</x:v>
      </x:c>
      <x:c r="P41" s="30" t="str">
        <x:v>非绑定/可交易/NPC售价0</x:v>
      </x:c>
      <x:c r="Q41" s="30" t="str">
        <x:v>海风断崖/XX335/EL-MON-C03-G02-N04</x:v>
      </x:c>
      <x:c r="R41" s="30"/>
      <x:c r="S41" s="30" t="str">
        <x:v>是</x:v>
      </x:c>
      <x:c r="T41" s="30" t="str">
        <x:f>IF(F41="预留未命名","预留",IF(G41="","待回填",IF(COUNTIFS($B$5:$B$87,B41,$G$5:$G$87,G41)&gt;1,"实际编号重复","正常")))</x:f>
        <x:v>待回填</x:v>
      </x:c>
      <x:c r="U41" s="29" t="str">
        <x:v>由脚本窗口扫描，不猜编号或颜色</x:v>
      </x:c>
    </x:row>
    <x:row r="42" ht="30" customHeight="1">
      <x:c r="A42" s="30" t="str">
        <x:v>EL-MAT-C03-Q02</x:v>
      </x:c>
      <x:c r="B42" s="30" t="str">
        <x:v>StdItems.Idx</x:v>
      </x:c>
      <x:c r="C42" s="30" t="str">
        <x:v>材料</x:v>
      </x:c>
      <x:c r="D42" s="30" t="str">
        <x:v>C03</x:v>
      </x:c>
      <x:c r="E42" s="30" t="str">
        <x:v>商队火漆</x:v>
      </x:c>
      <x:c r="F42" s="30" t="str">
        <x:v>待扫描</x:v>
      </x:c>
      <x:c r="G42" s="30"/>
      <x:c r="H42" s="29"/>
      <x:c r="I42" s="30"/>
      <x:c r="J42" s="30"/>
      <x:c r="K42" s="30"/>
      <x:c r="L42" s="30"/>
      <x:c r="M42" s="30"/>
      <x:c r="N42" s="30"/>
      <x:c r="O42" s="30" t="str">
        <x:v>证物·紫</x:v>
      </x:c>
      <x:c r="P42" s="30" t="str">
        <x:v>非绑定/可交易/NPC售价0</x:v>
      </x:c>
      <x:c r="Q42" s="30" t="str">
        <x:v>失落驿道/XX345/EL-MON-C03-G03-R02</x:v>
      </x:c>
      <x:c r="R42" s="30"/>
      <x:c r="S42" s="30" t="str">
        <x:v>是</x:v>
      </x:c>
      <x:c r="T42" s="30" t="str">
        <x:f>IF(F42="预留未命名","预留",IF(G42="","待回填",IF(COUNTIFS($B$5:$B$87,B42,$G$5:$G$87,G42)&gt;1,"实际编号重复","正常")))</x:f>
        <x:v>待回填</x:v>
      </x:c>
      <x:c r="U42" s="29" t="str">
        <x:v>由脚本窗口扫描，不猜编号或颜色</x:v>
      </x:c>
    </x:row>
    <x:row r="43" ht="30" customHeight="1">
      <x:c r="A43" s="30" t="str">
        <x:v>EL-MAT-C03-Q03</x:v>
      </x:c>
      <x:c r="B43" s="30" t="str">
        <x:v>StdItems.Idx</x:v>
      </x:c>
      <x:c r="C43" s="30" t="str">
        <x:v>材料</x:v>
      </x:c>
      <x:c r="D43" s="30" t="str">
        <x:v>C03</x:v>
      </x:c>
      <x:c r="E43" s="30" t="str">
        <x:v>守垒铜钥</x:v>
      </x:c>
      <x:c r="F43" s="30" t="str">
        <x:v>待扫描</x:v>
      </x:c>
      <x:c r="G43" s="30"/>
      <x:c r="H43" s="29"/>
      <x:c r="I43" s="30"/>
      <x:c r="J43" s="30"/>
      <x:c r="K43" s="30"/>
      <x:c r="L43" s="30"/>
      <x:c r="M43" s="30"/>
      <x:c r="N43" s="30"/>
      <x:c r="O43" s="30" t="str">
        <x:v>证物·橙</x:v>
      </x:c>
      <x:c r="P43" s="30" t="str">
        <x:v>非绑定/可交易/NPC售价0</x:v>
      </x:c>
      <x:c r="Q43" s="30" t="str">
        <x:v>风蚀古垒/XX516/EL-MON-C03-G05-B01</x:v>
      </x:c>
      <x:c r="R43" s="30"/>
      <x:c r="S43" s="30" t="str">
        <x:v>是</x:v>
      </x:c>
      <x:c r="T43" s="30" t="str">
        <x:f>IF(F43="预留未命名","预留",IF(G43="","待回填",IF(COUNTIFS($B$5:$B$87,B43,$G$5:$G$87,G43)&gt;1,"实际编号重复","正常")))</x:f>
        <x:v>待回填</x:v>
      </x:c>
      <x:c r="U43" s="29" t="str">
        <x:v>由脚本窗口扫描，不猜编号或颜色</x:v>
      </x:c>
    </x:row>
    <x:row r="44" ht="30" customHeight="1">
      <x:c r="A44" s="30" t="str">
        <x:v>EL-MAT-C03-Q04</x:v>
      </x:c>
      <x:c r="B44" s="30" t="str">
        <x:v>StdItems.Idx</x:v>
      </x:c>
      <x:c r="C44" s="30" t="str">
        <x:v>材料</x:v>
      </x:c>
      <x:c r="D44" s="30" t="str">
        <x:v>C03</x:v>
      </x:c>
      <x:c r="E44" s="30" t="str">
        <x:v>哨垒旗冠</x:v>
      </x:c>
      <x:c r="F44" s="30" t="str">
        <x:v>待扫描</x:v>
      </x:c>
      <x:c r="G44" s="30"/>
      <x:c r="H44" s="29"/>
      <x:c r="I44" s="30"/>
      <x:c r="J44" s="30"/>
      <x:c r="K44" s="30"/>
      <x:c r="L44" s="30"/>
      <x:c r="M44" s="30"/>
      <x:c r="N44" s="30"/>
      <x:c r="O44" s="30" t="str">
        <x:v>证物·金红</x:v>
      </x:c>
      <x:c r="P44" s="30" t="str">
        <x:v>非绑定/可交易/NPC售价0</x:v>
      </x:c>
      <x:c r="Q44" s="30" t="str">
        <x:v>黄金树哨垒/XX169/EL-MON-C03-G06-G01</x:v>
      </x:c>
      <x:c r="R44" s="30"/>
      <x:c r="S44" s="30" t="str">
        <x:v>是</x:v>
      </x:c>
      <x:c r="T44" s="30" t="str">
        <x:f>IF(F44="预留未命名","预留",IF(G44="","待回填",IF(COUNTIFS($B$5:$B$87,B44,$G$5:$G$87,G44)&gt;1,"实际编号重复","正常")))</x:f>
        <x:v>待回填</x:v>
      </x:c>
      <x:c r="U44" s="29" t="str">
        <x:v>由脚本窗口扫描，不猜编号或颜色</x:v>
      </x:c>
    </x:row>
    <x:row r="45" ht="30" customHeight="1">
      <x:c r="A45" s="30" t="str">
        <x:v>EL-MAT-C04-Q01</x:v>
      </x:c>
      <x:c r="B45" s="30" t="str">
        <x:v>StdItems.Idx</x:v>
      </x:c>
      <x:c r="C45" s="30" t="str">
        <x:v>材料</x:v>
      </x:c>
      <x:c r="D45" s="30" t="str">
        <x:v>C04</x:v>
      </x:c>
      <x:c r="E45" s="30" t="str">
        <x:v>雾潮银鳞</x:v>
      </x:c>
      <x:c r="F45" s="30" t="str">
        <x:v>待扫描</x:v>
      </x:c>
      <x:c r="G45" s="30"/>
      <x:c r="H45" s="29"/>
      <x:c r="I45" s="30"/>
      <x:c r="J45" s="30"/>
      <x:c r="K45" s="30"/>
      <x:c r="L45" s="30"/>
      <x:c r="M45" s="30"/>
      <x:c r="N45" s="30"/>
      <x:c r="O45" s="30" t="str">
        <x:v>证物·蓝</x:v>
      </x:c>
      <x:c r="P45" s="30" t="str">
        <x:v>非绑定/可交易/NPC售价0</x:v>
      </x:c>
      <x:c r="Q45" s="30" t="str">
        <x:v>雾潮湿地/XX342/EL-MON-C04-G01-N04</x:v>
      </x:c>
      <x:c r="R45" s="30"/>
      <x:c r="S45" s="30" t="str">
        <x:v>是</x:v>
      </x:c>
      <x:c r="T45" s="30" t="str">
        <x:f>IF(F45="预留未命名","预留",IF(G45="","待回填",IF(COUNTIFS($B$5:$B$87,B45,$G$5:$G$87,G45)&gt;1,"实际编号重复","正常")))</x:f>
        <x:v>待回填</x:v>
      </x:c>
      <x:c r="U45" s="29" t="str">
        <x:v>由脚本窗口扫描，不猜编号或颜色</x:v>
      </x:c>
    </x:row>
    <x:row r="46" ht="30" customHeight="1">
      <x:c r="A46" s="30" t="str">
        <x:v>EL-MAT-C04-Q02</x:v>
      </x:c>
      <x:c r="B46" s="30" t="str">
        <x:v>StdItems.Idx</x:v>
      </x:c>
      <x:c r="C46" s="30" t="str">
        <x:v>材料</x:v>
      </x:c>
      <x:c r="D46" s="30" t="str">
        <x:v>C04</x:v>
      </x:c>
      <x:c r="E46" s="30" t="str">
        <x:v>沉船缆扣</x:v>
      </x:c>
      <x:c r="F46" s="30" t="str">
        <x:v>待扫描</x:v>
      </x:c>
      <x:c r="G46" s="30"/>
      <x:c r="H46" s="29"/>
      <x:c r="I46" s="30"/>
      <x:c r="J46" s="30"/>
      <x:c r="K46" s="30"/>
      <x:c r="L46" s="30"/>
      <x:c r="M46" s="30"/>
      <x:c r="N46" s="30"/>
      <x:c r="O46" s="30" t="str">
        <x:v>证物·紫</x:v>
      </x:c>
      <x:c r="P46" s="30" t="str">
        <x:v>非绑定/可交易/NPC售价0</x:v>
      </x:c>
      <x:c r="Q46" s="30" t="str">
        <x:v>湖心沉船/XX351/EL-MON-C04-G03-R02</x:v>
      </x:c>
      <x:c r="R46" s="30"/>
      <x:c r="S46" s="30" t="str">
        <x:v>是</x:v>
      </x:c>
      <x:c r="T46" s="30" t="str">
        <x:f>IF(F46="预留未命名","预留",IF(G46="","待回填",IF(COUNTIFS($B$5:$B$87,B46,$G$5:$G$87,G46)&gt;1,"实际编号重复","正常")))</x:f>
        <x:v>待回填</x:v>
      </x:c>
      <x:c r="U46" s="29" t="str">
        <x:v>由脚本窗口扫描，不猜编号或颜色</x:v>
      </x:c>
    </x:row>
    <x:row r="47" ht="30" customHeight="1">
      <x:c r="A47" s="30" t="str">
        <x:v>EL-MAT-C04-Q03</x:v>
      </x:c>
      <x:c r="B47" s="30" t="str">
        <x:v>StdItems.Idx</x:v>
      </x:c>
      <x:c r="C47" s="30" t="str">
        <x:v>材料</x:v>
      </x:c>
      <x:c r="D47" s="30" t="str">
        <x:v>C04</x:v>
      </x:c>
      <x:c r="E47" s="30" t="str">
        <x:v>深湖压舱印</x:v>
      </x:c>
      <x:c r="F47" s="30" t="str">
        <x:v>待扫描</x:v>
      </x:c>
      <x:c r="G47" s="30"/>
      <x:c r="H47" s="29"/>
      <x:c r="I47" s="30"/>
      <x:c r="J47" s="30"/>
      <x:c r="K47" s="30"/>
      <x:c r="L47" s="30"/>
      <x:c r="M47" s="30"/>
      <x:c r="N47" s="30"/>
      <x:c r="O47" s="30" t="str">
        <x:v>证物·橙</x:v>
      </x:c>
      <x:c r="P47" s="30" t="str">
        <x:v>非绑定/可交易/NPC售价0</x:v>
      </x:c>
      <x:c r="Q47" s="30" t="str">
        <x:v>深湖水道/XX391/EL-MON-C04-G05-B01</x:v>
      </x:c>
      <x:c r="R47" s="30"/>
      <x:c r="S47" s="30" t="str">
        <x:v>是</x:v>
      </x:c>
      <x:c r="T47" s="30" t="str">
        <x:f>IF(F47="预留未命名","预留",IF(G47="","待回填",IF(COUNTIFS($B$5:$B$87,B47,$G$5:$G$87,G47)&gt;1,"实际编号重复","正常")))</x:f>
        <x:v>待回填</x:v>
      </x:c>
      <x:c r="U47" s="29" t="str">
        <x:v>由脚本窗口扫描，不猜编号或颜色</x:v>
      </x:c>
    </x:row>
    <x:row r="48" ht="30" customHeight="1">
      <x:c r="A48" s="30" t="str">
        <x:v>EL-MAT-C04-Q04</x:v>
      </x:c>
      <x:c r="B48" s="30" t="str">
        <x:v>StdItems.Idx</x:v>
      </x:c>
      <x:c r="C48" s="30" t="str">
        <x:v>材料</x:v>
      </x:c>
      <x:c r="D48" s="30" t="str">
        <x:v>C04</x:v>
      </x:c>
      <x:c r="E48" s="30" t="str">
        <x:v>湖底封门珠</x:v>
      </x:c>
      <x:c r="F48" s="30" t="str">
        <x:v>待扫描</x:v>
      </x:c>
      <x:c r="G48" s="30"/>
      <x:c r="H48" s="29"/>
      <x:c r="I48" s="30"/>
      <x:c r="J48" s="30"/>
      <x:c r="K48" s="30"/>
      <x:c r="L48" s="30"/>
      <x:c r="M48" s="30"/>
      <x:c r="N48" s="30"/>
      <x:c r="O48" s="30" t="str">
        <x:v>证物·金红</x:v>
      </x:c>
      <x:c r="P48" s="30" t="str">
        <x:v>非绑定/可交易/NPC售价0</x:v>
      </x:c>
      <x:c r="Q48" s="30" t="str">
        <x:v>湖底密道/XX369/EL-MON-C04-G06-G01</x:v>
      </x:c>
      <x:c r="R48" s="30"/>
      <x:c r="S48" s="30" t="str">
        <x:v>是</x:v>
      </x:c>
      <x:c r="T48" s="30" t="str">
        <x:f>IF(F48="预留未命名","预留",IF(G48="","待回填",IF(COUNTIFS($B$5:$B$87,B48,$G$5:$G$87,G48)&gt;1,"实际编号重复","正常")))</x:f>
        <x:v>待回填</x:v>
      </x:c>
      <x:c r="U48" s="29" t="str">
        <x:v>由脚本窗口扫描，不猜编号或颜色</x:v>
      </x:c>
    </x:row>
    <x:row r="49" ht="30" customHeight="1">
      <x:c r="A49" s="30" t="str">
        <x:v>EL-MAT-C05-Q01</x:v>
      </x:c>
      <x:c r="B49" s="30" t="str">
        <x:v>StdItems.Idx</x:v>
      </x:c>
      <x:c r="C49" s="30" t="str">
        <x:v>材料</x:v>
      </x:c>
      <x:c r="D49" s="30" t="str">
        <x:v>C05</x:v>
      </x:c>
      <x:c r="E49" s="30" t="str">
        <x:v>雾月星砂</x:v>
      </x:c>
      <x:c r="F49" s="30" t="str">
        <x:v>待扫描</x:v>
      </x:c>
      <x:c r="G49" s="30"/>
      <x:c r="H49" s="29"/>
      <x:c r="I49" s="30"/>
      <x:c r="J49" s="30"/>
      <x:c r="K49" s="30"/>
      <x:c r="L49" s="30"/>
      <x:c r="M49" s="30"/>
      <x:c r="N49" s="30"/>
      <x:c r="O49" s="30" t="str">
        <x:v>证物·蓝</x:v>
      </x:c>
      <x:c r="P49" s="30" t="str">
        <x:v>非绑定/可交易/NPC售价0</x:v>
      </x:c>
      <x:c r="Q49" s="30" t="str">
        <x:v>雾月水庭/XX331/EL-MON-C05-G01-N04</x:v>
      </x:c>
      <x:c r="R49" s="30"/>
      <x:c r="S49" s="30" t="str">
        <x:v>是</x:v>
      </x:c>
      <x:c r="T49" s="30" t="str">
        <x:f>IF(F49="预留未命名","预留",IF(G49="","待回填",IF(COUNTIFS($B$5:$B$87,B49,$G$5:$G$87,G49)&gt;1,"实际编号重复","正常")))</x:f>
        <x:v>待回填</x:v>
      </x:c>
      <x:c r="U49" s="29" t="str">
        <x:v>由脚本窗口扫描，不猜编号或颜色</x:v>
      </x:c>
    </x:row>
    <x:row r="50" ht="30" customHeight="1">
      <x:c r="A50" s="30" t="str">
        <x:v>EL-MAT-C05-Q02</x:v>
      </x:c>
      <x:c r="B50" s="30" t="str">
        <x:v>StdItems.Idx</x:v>
      </x:c>
      <x:c r="C50" s="30" t="str">
        <x:v>材料</x:v>
      </x:c>
      <x:c r="D50" s="30" t="str">
        <x:v>C05</x:v>
      </x:c>
      <x:c r="E50" s="30" t="str">
        <x:v>学院封蜡</x:v>
      </x:c>
      <x:c r="F50" s="30" t="str">
        <x:v>待扫描</x:v>
      </x:c>
      <x:c r="G50" s="30"/>
      <x:c r="H50" s="29"/>
      <x:c r="I50" s="30"/>
      <x:c r="J50" s="30"/>
      <x:c r="K50" s="30"/>
      <x:c r="L50" s="30"/>
      <x:c r="M50" s="30"/>
      <x:c r="N50" s="30"/>
      <x:c r="O50" s="30" t="str">
        <x:v>证物·紫</x:v>
      </x:c>
      <x:c r="P50" s="30" t="str">
        <x:v>非绑定/可交易/NPC售价0</x:v>
      </x:c>
      <x:c r="Q50" s="30" t="str">
        <x:v>辉石遗迹/XX816/EL-MON-C05-G02-R02</x:v>
      </x:c>
      <x:c r="R50" s="30"/>
      <x:c r="S50" s="30" t="str">
        <x:v>是</x:v>
      </x:c>
      <x:c r="T50" s="30" t="str">
        <x:f>IF(F50="预留未命名","预留",IF(G50="","待回填",IF(COUNTIFS($B$5:$B$87,B50,$G$5:$G$87,G50)&gt;1,"实际编号重复","正常")))</x:f>
        <x:v>待回填</x:v>
      </x:c>
      <x:c r="U50" s="29" t="str">
        <x:v>由脚本窗口扫描，不猜编号或颜色</x:v>
      </x:c>
    </x:row>
    <x:row r="51" ht="30" customHeight="1">
      <x:c r="A51" s="30" t="str">
        <x:v>EL-MAT-C05-Q03</x:v>
      </x:c>
      <x:c r="B51" s="30" t="str">
        <x:v>StdItems.Idx</x:v>
      </x:c>
      <x:c r="C51" s="30" t="str">
        <x:v>材料</x:v>
      </x:c>
      <x:c r="D51" s="30" t="str">
        <x:v>C05</x:v>
      </x:c>
      <x:c r="E51" s="30" t="str">
        <x:v>月蚀镜片</x:v>
      </x:c>
      <x:c r="F51" s="30" t="str">
        <x:v>待扫描</x:v>
      </x:c>
      <x:c r="G51" s="30"/>
      <x:c r="H51" s="29"/>
      <x:c r="I51" s="30"/>
      <x:c r="J51" s="30"/>
      <x:c r="K51" s="30"/>
      <x:c r="L51" s="30"/>
      <x:c r="M51" s="30"/>
      <x:c r="N51" s="30"/>
      <x:c r="O51" s="30" t="str">
        <x:v>证物·橙</x:v>
      </x:c>
      <x:c r="P51" s="30" t="str">
        <x:v>非绑定/可交易/NPC售价0</x:v>
      </x:c>
      <x:c r="Q51" s="30" t="str">
        <x:v>满月书库/XX1066/EL-MON-C05-G04-B01</x:v>
      </x:c>
      <x:c r="R51" s="30"/>
      <x:c r="S51" s="30" t="str">
        <x:v>是</x:v>
      </x:c>
      <x:c r="T51" s="30" t="str">
        <x:f>IF(F51="预留未命名","预留",IF(G51="","待回填",IF(COUNTIFS($B$5:$B$87,B51,$G$5:$G$87,G51)&gt;1,"实际编号重复","正常")))</x:f>
        <x:v>待回填</x:v>
      </x:c>
      <x:c r="U51" s="29" t="str">
        <x:v>由脚本窗口扫描，不猜编号或颜色</x:v>
      </x:c>
    </x:row>
    <x:row r="52" ht="30" customHeight="1">
      <x:c r="A52" s="30" t="str">
        <x:v>EL-MAT-C05-Q04</x:v>
      </x:c>
      <x:c r="B52" s="30" t="str">
        <x:v>StdItems.Idx</x:v>
      </x:c>
      <x:c r="C52" s="30" t="str">
        <x:v>材料</x:v>
      </x:c>
      <x:c r="D52" s="30" t="str">
        <x:v>C05</x:v>
      </x:c>
      <x:c r="E52" s="30" t="str">
        <x:v>禁域星钥</x:v>
      </x:c>
      <x:c r="F52" s="30" t="str">
        <x:v>待扫描</x:v>
      </x:c>
      <x:c r="G52" s="30"/>
      <x:c r="H52" s="29"/>
      <x:c r="I52" s="30"/>
      <x:c r="J52" s="30"/>
      <x:c r="K52" s="30"/>
      <x:c r="L52" s="30"/>
      <x:c r="M52" s="30"/>
      <x:c r="N52" s="30"/>
      <x:c r="O52" s="30" t="str">
        <x:v>证物·金红</x:v>
      </x:c>
      <x:c r="P52" s="30" t="str">
        <x:v>非绑定/可交易/NPC售价0</x:v>
      </x:c>
      <x:c r="Q52" s="30" t="str">
        <x:v>卡利亚禁域/XX924/EL-MON-C05-G06-G01</x:v>
      </x:c>
      <x:c r="R52" s="30"/>
      <x:c r="S52" s="30" t="str">
        <x:v>是</x:v>
      </x:c>
      <x:c r="T52" s="30" t="str">
        <x:f>IF(F52="预留未命名","预留",IF(G52="","待回填",IF(COUNTIFS($B$5:$B$87,B52,$G$5:$G$87,G52)&gt;1,"实际编号重复","正常")))</x:f>
        <x:v>待回填</x:v>
      </x:c>
      <x:c r="U52" s="29" t="str">
        <x:v>由脚本窗口扫描，不猜编号或颜色</x:v>
      </x:c>
    </x:row>
    <x:row r="53" ht="30" customHeight="1">
      <x:c r="A53" s="30" t="str">
        <x:v>EL-MAT-C06-Q01</x:v>
      </x:c>
      <x:c r="B53" s="30" t="str">
        <x:v>StdItems.Idx</x:v>
      </x:c>
      <x:c r="C53" s="30" t="str">
        <x:v>材料</x:v>
      </x:c>
      <x:c r="D53" s="30" t="str">
        <x:v>C06</x:v>
      </x:c>
      <x:c r="E53" s="30" t="str">
        <x:v>红狮断箭</x:v>
      </x:c>
      <x:c r="F53" s="30" t="str">
        <x:v>待扫描</x:v>
      </x:c>
      <x:c r="G53" s="30"/>
      <x:c r="H53" s="29"/>
      <x:c r="I53" s="30"/>
      <x:c r="J53" s="30"/>
      <x:c r="K53" s="30"/>
      <x:c r="L53" s="30"/>
      <x:c r="M53" s="30"/>
      <x:c r="N53" s="30"/>
      <x:c r="O53" s="30" t="str">
        <x:v>证物·蓝</x:v>
      </x:c>
      <x:c r="P53" s="30" t="str">
        <x:v>非绑定/可交易/NPC售价0</x:v>
      </x:c>
      <x:c r="Q53" s="30" t="str">
        <x:v>猩红熔原/XX308/EL-MON-C06-G01-N04</x:v>
      </x:c>
      <x:c r="R53" s="30"/>
      <x:c r="S53" s="30" t="str">
        <x:v>是</x:v>
      </x:c>
      <x:c r="T53" s="30" t="str">
        <x:f>IF(F53="预留未命名","预留",IF(G53="","待回填",IF(COUNTIFS($B$5:$B$87,B53,$G$5:$G$87,G53)&gt;1,"实际编号重复","正常")))</x:f>
        <x:v>待回填</x:v>
      </x:c>
      <x:c r="U53" s="29" t="str">
        <x:v>由脚本窗口扫描，不猜编号或颜色</x:v>
      </x:c>
    </x:row>
    <x:row r="54" ht="30" customHeight="1">
      <x:c r="A54" s="30" t="str">
        <x:v>EL-MAT-C06-Q02</x:v>
      </x:c>
      <x:c r="B54" s="30" t="str">
        <x:v>StdItems.Idx</x:v>
      </x:c>
      <x:c r="C54" s="30" t="str">
        <x:v>材料</x:v>
      </x:c>
      <x:c r="D54" s="30" t="str">
        <x:v>C06</x:v>
      </x:c>
      <x:c r="E54" s="30" t="str">
        <x:v>净火腺囊</x:v>
      </x:c>
      <x:c r="F54" s="30" t="str">
        <x:v>待扫描</x:v>
      </x:c>
      <x:c r="G54" s="30"/>
      <x:c r="H54" s="29"/>
      <x:c r="I54" s="30"/>
      <x:c r="J54" s="30"/>
      <x:c r="K54" s="30"/>
      <x:c r="L54" s="30"/>
      <x:c r="M54" s="30"/>
      <x:c r="N54" s="30"/>
      <x:c r="O54" s="30" t="str">
        <x:v>证物·紫</x:v>
      </x:c>
      <x:c r="P54" s="30" t="str">
        <x:v>非绑定/可交易/NPC售价0</x:v>
      </x:c>
      <x:c r="Q54" s="30" t="str">
        <x:v>腐败火狱/XX361/EL-MON-C06-G02-R02</x:v>
      </x:c>
      <x:c r="R54" s="30"/>
      <x:c r="S54" s="30" t="str">
        <x:v>是</x:v>
      </x:c>
      <x:c r="T54" s="30" t="str">
        <x:f>IF(F54="预留未命名","预留",IF(G54="","待回填",IF(COUNTIFS($B$5:$B$87,B54,$G$5:$G$87,G54)&gt;1,"实际编号重复","正常")))</x:f>
        <x:v>待回填</x:v>
      </x:c>
      <x:c r="U54" s="29" t="str">
        <x:v>由脚本窗口扫描，不猜编号或颜色</x:v>
      </x:c>
    </x:row>
    <x:row r="55" ht="30" customHeight="1">
      <x:c r="A55" s="30" t="str">
        <x:v>EL-MAT-C06-Q03</x:v>
      </x:c>
      <x:c r="B55" s="30" t="str">
        <x:v>StdItems.Idx</x:v>
      </x:c>
      <x:c r="C55" s="30" t="str">
        <x:v>材料</x:v>
      </x:c>
      <x:c r="D55" s="30" t="str">
        <x:v>C06</x:v>
      </x:c>
      <x:c r="E55" s="30" t="str">
        <x:v>龙窟熔牙</x:v>
      </x:c>
      <x:c r="F55" s="30" t="str">
        <x:v>待扫描</x:v>
      </x:c>
      <x:c r="G55" s="30"/>
      <x:c r="H55" s="29"/>
      <x:c r="I55" s="30"/>
      <x:c r="J55" s="30"/>
      <x:c r="K55" s="30"/>
      <x:c r="L55" s="30"/>
      <x:c r="M55" s="30"/>
      <x:c r="N55" s="30"/>
      <x:c r="O55" s="30" t="str">
        <x:v>证物·橙</x:v>
      </x:c>
      <x:c r="P55" s="30" t="str">
        <x:v>非绑定/可交易/NPC售价0</x:v>
      </x:c>
      <x:c r="Q55" s="30" t="str">
        <x:v>红狮龙窟/XX482/EL-MON-C06-G03-B01</x:v>
      </x:c>
      <x:c r="R55" s="30"/>
      <x:c r="S55" s="30" t="str">
        <x:v>是</x:v>
      </x:c>
      <x:c r="T55" s="30" t="str">
        <x:f>IF(F55="预留未命名","预留",IF(G55="","待回填",IF(COUNTIFS($B$5:$B$87,B55,$G$5:$G$87,G55)&gt;1,"实际编号重复","正常")))</x:f>
        <x:v>待回填</x:v>
      </x:c>
      <x:c r="U55" s="29" t="str">
        <x:v>由脚本窗口扫描，不猜编号或颜色</x:v>
      </x:c>
    </x:row>
    <x:row r="56" ht="30" customHeight="1">
      <x:c r="A56" s="30" t="str">
        <x:v>EL-MAT-C06-Q04</x:v>
      </x:c>
      <x:c r="B56" s="30" t="str">
        <x:v>StdItems.Idx</x:v>
      </x:c>
      <x:c r="C56" s="30" t="str">
        <x:v>材料</x:v>
      </x:c>
      <x:c r="D56" s="30" t="str">
        <x:v>C06</x:v>
      </x:c>
      <x:c r="E56" s="30" t="str">
        <x:v>碎星仪仗钉</x:v>
      </x:c>
      <x:c r="F56" s="30" t="str">
        <x:v>待扫描</x:v>
      </x:c>
      <x:c r="G56" s="30"/>
      <x:c r="H56" s="29"/>
      <x:c r="I56" s="30"/>
      <x:c r="J56" s="30"/>
      <x:c r="K56" s="30"/>
      <x:c r="L56" s="30"/>
      <x:c r="M56" s="30"/>
      <x:c r="N56" s="30"/>
      <x:c r="O56" s="30" t="str">
        <x:v>证物·金红</x:v>
      </x:c>
      <x:c r="P56" s="30" t="str">
        <x:v>非绑定/可交易/NPC售价0</x:v>
      </x:c>
      <x:c r="Q56" s="30" t="str">
        <x:v>红狮龙窟/XX481/EL-MON-C06-G03-G01</x:v>
      </x:c>
      <x:c r="R56" s="30"/>
      <x:c r="S56" s="30" t="str">
        <x:v>是</x:v>
      </x:c>
      <x:c r="T56" s="30" t="str">
        <x:f>IF(F56="预留未命名","预留",IF(G56="","待回填",IF(COUNTIFS($B$5:$B$87,B56,$G$5:$G$87,G56)&gt;1,"实际编号重复","正常")))</x:f>
        <x:v>待回填</x:v>
      </x:c>
      <x:c r="U56" s="29" t="str">
        <x:v>由脚本窗口扫描，不猜编号或颜色</x:v>
      </x:c>
    </x:row>
    <x:row r="57" ht="30" customHeight="1">
      <x:c r="A57" s="30" t="str">
        <x:v>EL-MAT-C07-Q01</x:v>
      </x:c>
      <x:c r="B57" s="30" t="str">
        <x:v>StdItems.Idx</x:v>
      </x:c>
      <x:c r="C57" s="30" t="str">
        <x:v>材料</x:v>
      </x:c>
      <x:c r="D57" s="30" t="str">
        <x:v>C07</x:v>
      </x:c>
      <x:c r="E57" s="30" t="str">
        <x:v>白金路标片</x:v>
      </x:c>
      <x:c r="F57" s="30" t="str">
        <x:v>待扫描</x:v>
      </x:c>
      <x:c r="G57" s="30"/>
      <x:c r="H57" s="29"/>
      <x:c r="I57" s="30"/>
      <x:c r="J57" s="30"/>
      <x:c r="K57" s="30"/>
      <x:c r="L57" s="30"/>
      <x:c r="M57" s="30"/>
      <x:c r="N57" s="30"/>
      <x:c r="O57" s="30" t="str">
        <x:v>证物·蓝</x:v>
      </x:c>
      <x:c r="P57" s="30" t="str">
        <x:v>非绑定/可交易/NPC售价0</x:v>
      </x:c>
      <x:c r="Q57" s="30" t="str">
        <x:v>苍白雪原/XX150/EL-MON-C07-G01-N04</x:v>
      </x:c>
      <x:c r="R57" s="30"/>
      <x:c r="S57" s="30" t="str">
        <x:v>是</x:v>
      </x:c>
      <x:c r="T57" s="30" t="str">
        <x:f>IF(F57="预留未命名","预留",IF(G57="","待回填",IF(COUNTIFS($B$5:$B$87,B57,$G$5:$G$87,G57)&gt;1,"实际编号重复","正常")))</x:f>
        <x:v>待回填</x:v>
      </x:c>
      <x:c r="U57" s="29" t="str">
        <x:v>由脚本窗口扫描，不猜编号或颜色</x:v>
      </x:c>
    </x:row>
    <x:row r="58" ht="30" customHeight="1">
      <x:c r="A58" s="30" t="str">
        <x:v>EL-MAT-C07-Q02</x:v>
      </x:c>
      <x:c r="B58" s="30" t="str">
        <x:v>StdItems.Idx</x:v>
      </x:c>
      <x:c r="C58" s="30" t="str">
        <x:v>材料</x:v>
      </x:c>
      <x:c r="D58" s="30" t="str">
        <x:v>C07</x:v>
      </x:c>
      <x:c r="E58" s="30" t="str">
        <x:v>冻原银角</x:v>
      </x:c>
      <x:c r="F58" s="30" t="str">
        <x:v>待扫描</x:v>
      </x:c>
      <x:c r="G58" s="30"/>
      <x:c r="H58" s="29"/>
      <x:c r="I58" s="30"/>
      <x:c r="J58" s="30"/>
      <x:c r="K58" s="30"/>
      <x:c r="L58" s="30"/>
      <x:c r="M58" s="30"/>
      <x:c r="N58" s="30"/>
      <x:c r="O58" s="30" t="str">
        <x:v>证物·紫</x:v>
      </x:c>
      <x:c r="P58" s="30" t="str">
        <x:v>非绑定/可交易/NPC售价0</x:v>
      </x:c>
      <x:c r="Q58" s="30" t="str">
        <x:v>永冻荒境/XX905/EL-MON-C07-G02-R02</x:v>
      </x:c>
      <x:c r="R58" s="30"/>
      <x:c r="S58" s="30" t="str">
        <x:v>是</x:v>
      </x:c>
      <x:c r="T58" s="30" t="str">
        <x:f>IF(F58="预留未命名","预留",IF(G58="","待回填",IF(COUNTIFS($B$5:$B$87,B58,$G$5:$G$87,G58)&gt;1,"实际编号重复","正常")))</x:f>
        <x:v>待回填</x:v>
      </x:c>
      <x:c r="U58" s="29" t="str">
        <x:v>由脚本窗口扫描，不猜编号或颜色</x:v>
      </x:c>
    </x:row>
    <x:row r="59" ht="30" customHeight="1">
      <x:c r="A59" s="30" t="str">
        <x:v>EL-MAT-C07-Q03</x:v>
      </x:c>
      <x:c r="B59" s="30" t="str">
        <x:v>StdItems.Idx</x:v>
      </x:c>
      <x:c r="C59" s="30" t="str">
        <x:v>材料</x:v>
      </x:c>
      <x:c r="D59" s="30" t="str">
        <x:v>C07</x:v>
      </x:c>
      <x:c r="E59" s="30" t="str">
        <x:v>秘树霜芽</x:v>
      </x:c>
      <x:c r="F59" s="30" t="str">
        <x:v>待扫描</x:v>
      </x:c>
      <x:c r="G59" s="30"/>
      <x:c r="H59" s="29"/>
      <x:c r="I59" s="30"/>
      <x:c r="J59" s="30"/>
      <x:c r="K59" s="30"/>
      <x:c r="L59" s="30"/>
      <x:c r="M59" s="30"/>
      <x:c r="N59" s="30"/>
      <x:c r="O59" s="30" t="str">
        <x:v>证物·橙</x:v>
      </x:c>
      <x:c r="P59" s="30" t="str">
        <x:v>非绑定/可交易/NPC售价0</x:v>
      </x:c>
      <x:c r="Q59" s="30" t="str">
        <x:v>极寒禁域/XX910/EL-MON-C07-G03-B01</x:v>
      </x:c>
      <x:c r="R59" s="30"/>
      <x:c r="S59" s="30" t="str">
        <x:v>是</x:v>
      </x:c>
      <x:c r="T59" s="30" t="str">
        <x:f>IF(F59="预留未命名","预留",IF(G59="","待回填",IF(COUNTIFS($B$5:$B$87,B59,$G$5:$G$87,G59)&gt;1,"实际编号重复","正常")))</x:f>
        <x:v>待回填</x:v>
      </x:c>
      <x:c r="U59" s="29" t="str">
        <x:v>由脚本窗口扫描，不猜编号或颜色</x:v>
      </x:c>
    </x:row>
    <x:row r="60" ht="30" customHeight="1">
      <x:c r="A60" s="30" t="str">
        <x:v>EL-MAT-C07-Q04</x:v>
      </x:c>
      <x:c r="B60" s="30" t="str">
        <x:v>StdItems.Idx</x:v>
      </x:c>
      <x:c r="C60" s="30" t="str">
        <x:v>材料</x:v>
      </x:c>
      <x:c r="D60" s="30" t="str">
        <x:v>C07</x:v>
      </x:c>
      <x:c r="E60" s="30" t="str">
        <x:v>圣雪门楔</x:v>
      </x:c>
      <x:c r="F60" s="30" t="str">
        <x:v>待扫描</x:v>
      </x:c>
      <x:c r="G60" s="30"/>
      <x:c r="H60" s="29"/>
      <x:c r="I60" s="30"/>
      <x:c r="J60" s="30"/>
      <x:c r="K60" s="30"/>
      <x:c r="L60" s="30"/>
      <x:c r="M60" s="30"/>
      <x:c r="N60" s="30"/>
      <x:c r="O60" s="30" t="str">
        <x:v>证物·金红</x:v>
      </x:c>
      <x:c r="P60" s="30" t="str">
        <x:v>非绑定/可交易/NPC售价0</x:v>
      </x:c>
      <x:c r="Q60" s="30" t="str">
        <x:v>极寒禁域/XX911/EL-MON-C07-G03-G01</x:v>
      </x:c>
      <x:c r="R60" s="30"/>
      <x:c r="S60" s="30" t="str">
        <x:v>是</x:v>
      </x:c>
      <x:c r="T60" s="30" t="str">
        <x:f>IF(F60="预留未命名","预留",IF(G60="","待回填",IF(COUNTIFS($B$5:$B$87,B60,$G$5:$G$87,G60)&gt;1,"实际编号重复","正常")))</x:f>
        <x:v>待回填</x:v>
      </x:c>
      <x:c r="U60" s="29" t="str">
        <x:v>由脚本窗口扫描，不猜编号或颜色</x:v>
      </x:c>
    </x:row>
    <x:row r="61" ht="30" customHeight="1">
      <x:c r="A61" s="30" t="str">
        <x:v>EL-MAT-C08-Q01</x:v>
      </x:c>
      <x:c r="B61" s="30" t="str">
        <x:v>StdItems.Idx</x:v>
      </x:c>
      <x:c r="C61" s="30" t="str">
        <x:v>材料</x:v>
      </x:c>
      <x:c r="D61" s="30" t="str">
        <x:v>C08</x:v>
      </x:c>
      <x:c r="E61" s="30" t="str">
        <x:v>登山铁楔</x:v>
      </x:c>
      <x:c r="F61" s="30" t="str">
        <x:v>待扫描</x:v>
      </x:c>
      <x:c r="G61" s="30"/>
      <x:c r="H61" s="29"/>
      <x:c r="I61" s="30"/>
      <x:c r="J61" s="30"/>
      <x:c r="K61" s="30"/>
      <x:c r="L61" s="30"/>
      <x:c r="M61" s="30"/>
      <x:c r="N61" s="30"/>
      <x:c r="O61" s="30" t="str">
        <x:v>证物·蓝</x:v>
      </x:c>
      <x:c r="P61" s="30" t="str">
        <x:v>非绑定/可交易/NPC售价0</x:v>
      </x:c>
      <x:c r="Q61" s="30" t="str">
        <x:v>寒霜山径/XX903/EL-MON-C08-G01-N04</x:v>
      </x:c>
      <x:c r="R61" s="30"/>
      <x:c r="S61" s="30" t="str">
        <x:v>是</x:v>
      </x:c>
      <x:c r="T61" s="30" t="str">
        <x:f>IF(F61="预留未命名","预留",IF(G61="","待回填",IF(COUNTIFS($B$5:$B$87,B61,$G$5:$G$87,G61)&gt;1,"实际编号重复","正常")))</x:f>
        <x:v>待回填</x:v>
      </x:c>
      <x:c r="U61" s="29" t="str">
        <x:v>由脚本窗口扫描，不猜编号或颜色</x:v>
      </x:c>
    </x:row>
    <x:row r="62" ht="30" customHeight="1">
      <x:c r="A62" s="30" t="str">
        <x:v>EL-MAT-C08-Q02</x:v>
      </x:c>
      <x:c r="B62" s="30" t="str">
        <x:v>StdItems.Idx</x:v>
      </x:c>
      <x:c r="C62" s="30" t="str">
        <x:v>材料</x:v>
      </x:c>
      <x:c r="D62" s="30" t="str">
        <x:v>C08</x:v>
      </x:c>
      <x:c r="E62" s="30" t="str">
        <x:v>裂峰号角片</x:v>
      </x:c>
      <x:c r="F62" s="30" t="str">
        <x:v>待扫描</x:v>
      </x:c>
      <x:c r="G62" s="30"/>
      <x:c r="H62" s="29"/>
      <x:c r="I62" s="30"/>
      <x:c r="J62" s="30"/>
      <x:c r="K62" s="30"/>
      <x:c r="L62" s="30"/>
      <x:c r="M62" s="30"/>
      <x:c r="N62" s="30"/>
      <x:c r="O62" s="30" t="str">
        <x:v>证物·紫</x:v>
      </x:c>
      <x:c r="P62" s="30" t="str">
        <x:v>非绑定/可交易/NPC售价0</x:v>
      </x:c>
      <x:c r="Q62" s="30" t="str">
        <x:v>断冰峰群/XX316/EL-MON-C08-G02-R02</x:v>
      </x:c>
      <x:c r="R62" s="30"/>
      <x:c r="S62" s="30" t="str">
        <x:v>是</x:v>
      </x:c>
      <x:c r="T62" s="30" t="str">
        <x:f>IF(F62="预留未命名","预留",IF(G62="","待回填",IF(COUNTIFS($B$5:$B$87,B62,$G$5:$G$87,G62)&gt;1,"实际编号重复","正常")))</x:f>
        <x:v>待回填</x:v>
      </x:c>
      <x:c r="U62" s="29" t="str">
        <x:v>由脚本窗口扫描，不猜编号或颜色</x:v>
      </x:c>
    </x:row>
    <x:row r="63" ht="30" customHeight="1">
      <x:c r="A63" s="30" t="str">
        <x:v>EL-MAT-C08-Q03</x:v>
      </x:c>
      <x:c r="B63" s="30" t="str">
        <x:v>StdItems.Idx</x:v>
      </x:c>
      <x:c r="C63" s="30" t="str">
        <x:v>材料</x:v>
      </x:c>
      <x:c r="D63" s="30" t="str">
        <x:v>C08</x:v>
      </x:c>
      <x:c r="E63" s="30" t="str">
        <x:v>冰宫守门铃</x:v>
      </x:c>
      <x:c r="F63" s="30" t="str">
        <x:v>待扫描</x:v>
      </x:c>
      <x:c r="G63" s="30"/>
      <x:c r="H63" s="29"/>
      <x:c r="I63" s="30"/>
      <x:c r="J63" s="30"/>
      <x:c r="K63" s="30"/>
      <x:c r="L63" s="30"/>
      <x:c r="M63" s="30"/>
      <x:c r="N63" s="30"/>
      <x:c r="O63" s="30" t="str">
        <x:v>证物·橙</x:v>
      </x:c>
      <x:c r="P63" s="30" t="str">
        <x:v>非绑定/可交易/NPC售价0</x:v>
      </x:c>
      <x:c r="Q63" s="30" t="str">
        <x:v>冰宫王庭/XX326/EL-MON-C08-G03-B01</x:v>
      </x:c>
      <x:c r="R63" s="30"/>
      <x:c r="S63" s="30" t="str">
        <x:v>是</x:v>
      </x:c>
      <x:c r="T63" s="30" t="str">
        <x:f>IF(F63="预留未命名","预留",IF(G63="","待回填",IF(COUNTIFS($B$5:$B$87,B63,$G$5:$G$87,G63)&gt;1,"实际编号重复","正常")))</x:f>
        <x:v>待回填</x:v>
      </x:c>
      <x:c r="U63" s="29" t="str">
        <x:v>由脚本窗口扫描，不猜编号或颜色</x:v>
      </x:c>
    </x:row>
    <x:row r="64" ht="30" customHeight="1">
      <x:c r="A64" s="30" t="str">
        <x:v>EL-MAT-C08-Q04</x:v>
      </x:c>
      <x:c r="B64" s="30" t="str">
        <x:v>StdItems.Idx</x:v>
      </x:c>
      <x:c r="C64" s="30" t="str">
        <x:v>材料</x:v>
      </x:c>
      <x:c r="D64" s="30" t="str">
        <x:v>C08</x:v>
      </x:c>
      <x:c r="E64" s="30" t="str">
        <x:v>王庭炉冠</x:v>
      </x:c>
      <x:c r="F64" s="30" t="str">
        <x:v>待扫描</x:v>
      </x:c>
      <x:c r="G64" s="30"/>
      <x:c r="H64" s="29"/>
      <x:c r="I64" s="30"/>
      <x:c r="J64" s="30"/>
      <x:c r="K64" s="30"/>
      <x:c r="L64" s="30"/>
      <x:c r="M64" s="30"/>
      <x:c r="N64" s="30"/>
      <x:c r="O64" s="30" t="str">
        <x:v>证物·金红</x:v>
      </x:c>
      <x:c r="P64" s="30" t="str">
        <x:v>非绑定/可交易/NPC售价0</x:v>
      </x:c>
      <x:c r="Q64" s="30" t="str">
        <x:v>巨人王庭/XX897/EL-MON-C08-G04-G01</x:v>
      </x:c>
      <x:c r="R64" s="30"/>
      <x:c r="S64" s="30" t="str">
        <x:v>是</x:v>
      </x:c>
      <x:c r="T64" s="30" t="str">
        <x:f>IF(F64="预留未命名","预留",IF(G64="","待回填",IF(COUNTIFS($B$5:$B$87,B64,$G$5:$G$87,G64)&gt;1,"实际编号重复","正常")))</x:f>
        <x:v>待回填</x:v>
      </x:c>
      <x:c r="U64" s="29" t="str">
        <x:v>由脚本窗口扫描，不猜编号或颜色</x:v>
      </x:c>
    </x:row>
    <x:row r="65" ht="30" customHeight="1">
      <x:c r="A65" s="30" t="str">
        <x:v>EL-MAT-C09-Q01</x:v>
      </x:c>
      <x:c r="B65" s="30" t="str">
        <x:v>StdItems.Idx</x:v>
      </x:c>
      <x:c r="C65" s="30" t="str">
        <x:v>材料</x:v>
      </x:c>
      <x:c r="D65" s="30" t="str">
        <x:v>C09</x:v>
      </x:c>
      <x:c r="E65" s="30" t="str">
        <x:v>金叶驿票</x:v>
      </x:c>
      <x:c r="F65" s="30" t="str">
        <x:v>待扫描</x:v>
      </x:c>
      <x:c r="G65" s="30"/>
      <x:c r="H65" s="29"/>
      <x:c r="I65" s="30"/>
      <x:c r="J65" s="30"/>
      <x:c r="K65" s="30"/>
      <x:c r="L65" s="30"/>
      <x:c r="M65" s="30"/>
      <x:c r="N65" s="30"/>
      <x:c r="O65" s="30" t="str">
        <x:v>证物·蓝</x:v>
      </x:c>
      <x:c r="P65" s="30" t="str">
        <x:v>非绑定/可交易/NPC售价0</x:v>
      </x:c>
      <x:c r="Q65" s="30" t="str">
        <x:v>金叶古道（组名待Codex正式落账）/XX717/EL-MON-C09-G01-N04</x:v>
      </x:c>
      <x:c r="R65" s="30"/>
      <x:c r="S65" s="30" t="str">
        <x:v>是</x:v>
      </x:c>
      <x:c r="T65" s="30" t="str">
        <x:f>IF(F65="预留未命名","预留",IF(G65="","待回填",IF(COUNTIFS($B$5:$B$87,B65,$G$5:$G$87,G65)&gt;1,"实际编号重复","正常")))</x:f>
        <x:v>待回填</x:v>
      </x:c>
      <x:c r="U65" s="29" t="str">
        <x:v>由脚本窗口扫描，不猜编号或颜色</x:v>
      </x:c>
    </x:row>
    <x:row r="66" ht="30" customHeight="1">
      <x:c r="A66" s="30" t="str">
        <x:v>EL-MAT-C09-Q02</x:v>
      </x:c>
      <x:c r="B66" s="30" t="str">
        <x:v>StdItems.Idx</x:v>
      </x:c>
      <x:c r="C66" s="30" t="str">
        <x:v>材料</x:v>
      </x:c>
      <x:c r="D66" s="30" t="str">
        <x:v>C09</x:v>
      </x:c>
      <x:c r="E66" s="30" t="str">
        <x:v>矿脉灯芯</x:v>
      </x:c>
      <x:c r="F66" s="30" t="str">
        <x:v>待扫描</x:v>
      </x:c>
      <x:c r="G66" s="30"/>
      <x:c r="H66" s="29"/>
      <x:c r="I66" s="30"/>
      <x:c r="J66" s="30"/>
      <x:c r="K66" s="30"/>
      <x:c r="L66" s="30"/>
      <x:c r="M66" s="30"/>
      <x:c r="N66" s="30"/>
      <x:c r="O66" s="30" t="str">
        <x:v>证物·紫</x:v>
      </x:c>
      <x:c r="P66" s="30" t="str">
        <x:v>非绑定/可交易/NPC售价0</x:v>
      </x:c>
      <x:c r="Q66" s="30" t="str">
        <x:v>高原矿脉/XX824/EL-MON-C09-G02-R02</x:v>
      </x:c>
      <x:c r="R66" s="30"/>
      <x:c r="S66" s="30" t="str">
        <x:v>是</x:v>
      </x:c>
      <x:c r="T66" s="30" t="str">
        <x:f>IF(F66="预留未命名","预留",IF(G66="","待回填",IF(COUNTIFS($B$5:$B$87,B66,$G$5:$G$87,G66)&gt;1,"实际编号重复","正常")))</x:f>
        <x:v>待回填</x:v>
      </x:c>
      <x:c r="U66" s="29" t="str">
        <x:v>由脚本窗口扫描，不猜编号或颜色</x:v>
      </x:c>
    </x:row>
    <x:row r="67" ht="30" customHeight="1">
      <x:c r="A67" s="30" t="str">
        <x:v>EL-MAT-C09-Q03</x:v>
      </x:c>
      <x:c r="B67" s="30" t="str">
        <x:v>StdItems.Idx</x:v>
      </x:c>
      <x:c r="C67" s="30" t="str">
        <x:v>材料</x:v>
      </x:c>
      <x:c r="D67" s="30" t="str">
        <x:v>C09</x:v>
      </x:c>
      <x:c r="E67" s="30" t="str">
        <x:v>裁文蜡封</x:v>
      </x:c>
      <x:c r="F67" s="30" t="str">
        <x:v>待扫描</x:v>
      </x:c>
      <x:c r="G67" s="30"/>
      <x:c r="H67" s="29"/>
      <x:c r="I67" s="30"/>
      <x:c r="J67" s="30"/>
      <x:c r="K67" s="30"/>
      <x:c r="L67" s="30"/>
      <x:c r="M67" s="30"/>
      <x:c r="N67" s="30"/>
      <x:c r="O67" s="30" t="str">
        <x:v>证物·橙</x:v>
      </x:c>
      <x:c r="P67" s="30" t="str">
        <x:v>非绑定/可交易/NPC售价0</x:v>
      </x:c>
      <x:c r="Q67" s="30" t="str">
        <x:v>古律圣堂（工作名）/XX795/EL-MON-C09-G04-B01</x:v>
      </x:c>
      <x:c r="R67" s="30"/>
      <x:c r="S67" s="30" t="str">
        <x:v>是</x:v>
      </x:c>
      <x:c r="T67" s="30" t="str">
        <x:f>IF(F67="预留未命名","预留",IF(G67="","待回填",IF(COUNTIFS($B$5:$B$87,B67,$G$5:$G$87,G67)&gt;1,"实际编号重复","正常")))</x:f>
        <x:v>待回填</x:v>
      </x:c>
      <x:c r="U67" s="29" t="str">
        <x:v>由脚本窗口扫描，不猜编号或颜色</x:v>
      </x:c>
    </x:row>
    <x:row r="68" ht="30" customHeight="1">
      <x:c r="A68" s="30" t="str">
        <x:v>EL-MAT-C09-Q04</x:v>
      </x:c>
      <x:c r="B68" s="30" t="str">
        <x:v>StdItems.Idx</x:v>
      </x:c>
      <x:c r="C68" s="30" t="str">
        <x:v>材料</x:v>
      </x:c>
      <x:c r="D68" s="30" t="str">
        <x:v>C09</x:v>
      </x:c>
      <x:c r="E68" s="30" t="str">
        <x:v>高原王诏金版</x:v>
      </x:c>
      <x:c r="F68" s="30" t="str">
        <x:v>待扫描</x:v>
      </x:c>
      <x:c r="G68" s="30"/>
      <x:c r="H68" s="29"/>
      <x:c r="I68" s="30"/>
      <x:c r="J68" s="30"/>
      <x:c r="K68" s="30"/>
      <x:c r="L68" s="30"/>
      <x:c r="M68" s="30"/>
      <x:c r="N68" s="30"/>
      <x:c r="O68" s="30" t="str">
        <x:v>证物·金红</x:v>
      </x:c>
      <x:c r="P68" s="30" t="str">
        <x:v>非绑定/可交易/NPC售价0</x:v>
      </x:c>
      <x:c r="Q68" s="30" t="str">
        <x:v>黄金树祭域（工作名）/XX639/EL-MON-C09-G05-G01</x:v>
      </x:c>
      <x:c r="R68" s="30"/>
      <x:c r="S68" s="30" t="str">
        <x:v>是</x:v>
      </x:c>
      <x:c r="T68" s="30" t="str">
        <x:f>IF(F68="预留未命名","预留",IF(G68="","待回填",IF(COUNTIFS($B$5:$B$87,B68,$G$5:$G$87,G68)&gt;1,"实际编号重复","正常")))</x:f>
        <x:v>待回填</x:v>
      </x:c>
      <x:c r="U68" s="29" t="str">
        <x:v>由脚本窗口扫描，不猜编号或颜色</x:v>
      </x:c>
    </x:row>
    <x:row r="69" ht="30" customHeight="1">
      <x:c r="A69" s="30" t="str">
        <x:v>EL-MAT-C10-Q01</x:v>
      </x:c>
      <x:c r="B69" s="30" t="str">
        <x:v>StdItems.Idx</x:v>
      </x:c>
      <x:c r="C69" s="30" t="str">
        <x:v>材料</x:v>
      </x:c>
      <x:c r="D69" s="30" t="str">
        <x:v>C10</x:v>
      </x:c>
      <x:c r="E69" s="30" t="str">
        <x:v>无名墓钉</x:v>
      </x:c>
      <x:c r="F69" s="30" t="str">
        <x:v>待扫描</x:v>
      </x:c>
      <x:c r="G69" s="30"/>
      <x:c r="H69" s="29"/>
      <x:c r="I69" s="30"/>
      <x:c r="J69" s="30"/>
      <x:c r="K69" s="30"/>
      <x:c r="L69" s="30"/>
      <x:c r="M69" s="30"/>
      <x:c r="N69" s="30"/>
      <x:c r="O69" s="30" t="str">
        <x:v>证物·蓝</x:v>
      </x:c>
      <x:c r="P69" s="30" t="str">
        <x:v>非绑定/可交易/NPC售价0</x:v>
      </x:c>
      <x:c r="Q69" s="30" t="str">
        <x:v>王城下城区（组名待Codex正式落账）/XX930/EL-MON-C10-G01-N04</x:v>
      </x:c>
      <x:c r="R69" s="30"/>
      <x:c r="S69" s="30" t="str">
        <x:v>是</x:v>
      </x:c>
      <x:c r="T69" s="30" t="str">
        <x:f>IF(F69="预留未命名","预留",IF(G69="","待回填",IF(COUNTIFS($B$5:$B$87,B69,$G$5:$G$87,G69)&gt;1,"实际编号重复","正常")))</x:f>
        <x:v>待回填</x:v>
      </x:c>
      <x:c r="U69" s="29" t="str">
        <x:v>由脚本窗口扫描，不猜编号或颜色</x:v>
      </x:c>
    </x:row>
    <x:row r="70" ht="30" customHeight="1">
      <x:c r="A70" s="30" t="str">
        <x:v>EL-MAT-C10-Q02</x:v>
      </x:c>
      <x:c r="B70" s="30" t="str">
        <x:v>StdItems.Idx</x:v>
      </x:c>
      <x:c r="C70" s="30" t="str">
        <x:v>材料</x:v>
      </x:c>
      <x:c r="D70" s="30" t="str">
        <x:v>C10</x:v>
      </x:c>
      <x:c r="E70" s="30" t="str">
        <x:v>旧渠阀芯</x:v>
      </x:c>
      <x:c r="F70" s="30" t="str">
        <x:v>待扫描</x:v>
      </x:c>
      <x:c r="G70" s="30"/>
      <x:c r="H70" s="29"/>
      <x:c r="I70" s="30"/>
      <x:c r="J70" s="30"/>
      <x:c r="K70" s="30"/>
      <x:c r="L70" s="30"/>
      <x:c r="M70" s="30"/>
      <x:c r="N70" s="30"/>
      <x:c r="O70" s="30" t="str">
        <x:v>证物·紫</x:v>
      </x:c>
      <x:c r="P70" s="30" t="str">
        <x:v>非绑定/可交易/NPC售价0</x:v>
      </x:c>
      <x:c r="Q70" s="30" t="str">
        <x:v>王城排水墓道（工作名）/XX624/EL-MON-C10-G02-R02</x:v>
      </x:c>
      <x:c r="R70" s="30"/>
      <x:c r="S70" s="30" t="str">
        <x:v>是</x:v>
      </x:c>
      <x:c r="T70" s="30" t="str">
        <x:f>IF(F70="预留未命名","预留",IF(G70="","待回填",IF(COUNTIFS($B$5:$B$87,B70,$G$5:$G$87,G70)&gt;1,"实际编号重复","正常")))</x:f>
        <x:v>待回填</x:v>
      </x:c>
      <x:c r="U70" s="29" t="str">
        <x:v>由脚本窗口扫描，不猜编号或颜色</x:v>
      </x:c>
    </x:row>
    <x:row r="71" ht="30" customHeight="1">
      <x:c r="A71" s="30" t="str">
        <x:v>EL-MAT-C10-Q03</x:v>
      </x:c>
      <x:c r="B71" s="30" t="str">
        <x:v>StdItems.Idx</x:v>
      </x:c>
      <x:c r="C71" s="30" t="str">
        <x:v>材料</x:v>
      </x:c>
      <x:c r="D71" s="30" t="str">
        <x:v>C10</x:v>
      </x:c>
      <x:c r="E71" s="30" t="str">
        <x:v>失温熔炉楔</x:v>
      </x:c>
      <x:c r="F71" s="30" t="str">
        <x:v>待扫描</x:v>
      </x:c>
      <x:c r="G71" s="30"/>
      <x:c r="H71" s="29"/>
      <x:c r="I71" s="30"/>
      <x:c r="J71" s="30"/>
      <x:c r="K71" s="30"/>
      <x:c r="L71" s="30"/>
      <x:c r="M71" s="30"/>
      <x:c r="N71" s="30"/>
      <x:c r="O71" s="30" t="str">
        <x:v>证物·橙</x:v>
      </x:c>
      <x:c r="P71" s="30" t="str">
        <x:v>非绑定/可交易/NPC售价0</x:v>
      </x:c>
      <x:c r="Q71" s="30" t="str">
        <x:v>地底工坊（组名待Codex正式落账）/XX956/EL-MON-C10-G03-B01</x:v>
      </x:c>
      <x:c r="R71" s="30"/>
      <x:c r="S71" s="30" t="str">
        <x:v>是</x:v>
      </x:c>
      <x:c r="T71" s="30" t="str">
        <x:f>IF(F71="预留未命名","预留",IF(G71="","待回填",IF(COUNTIFS($B$5:$B$87,B71,$G$5:$G$87,G71)&gt;1,"实际编号重复","正常")))</x:f>
        <x:v>待回填</x:v>
      </x:c>
      <x:c r="U71" s="29" t="str">
        <x:v>由脚本窗口扫描，不猜编号或颜色</x:v>
      </x:c>
    </x:row>
    <x:row r="72" ht="30" customHeight="1">
      <x:c r="A72" s="30" t="str">
        <x:v>EL-MAT-C10-Q04</x:v>
      </x:c>
      <x:c r="B72" s="30" t="str">
        <x:v>StdItems.Idx</x:v>
      </x:c>
      <x:c r="C72" s="30" t="str">
        <x:v>材料</x:v>
      </x:c>
      <x:c r="D72" s="30" t="str">
        <x:v>C10</x:v>
      </x:c>
      <x:c r="E72" s="30" t="str">
        <x:v>王宫断冠片</x:v>
      </x:c>
      <x:c r="F72" s="30" t="str">
        <x:v>待扫描</x:v>
      </x:c>
      <x:c r="G72" s="30"/>
      <x:c r="H72" s="29"/>
      <x:c r="I72" s="30"/>
      <x:c r="J72" s="30"/>
      <x:c r="K72" s="30"/>
      <x:c r="L72" s="30"/>
      <x:c r="M72" s="30"/>
      <x:c r="N72" s="30"/>
      <x:c r="O72" s="30" t="str">
        <x:v>证物·金红</x:v>
      </x:c>
      <x:c r="P72" s="30" t="str">
        <x:v>非绑定/可交易/NPC售价0</x:v>
      </x:c>
      <x:c r="Q72" s="30" t="str">
        <x:v>王宫深殿（工作名）/XX386/EL-MON-C10-G05-G01</x:v>
      </x:c>
      <x:c r="R72" s="30"/>
      <x:c r="S72" s="30" t="str">
        <x:v>是</x:v>
      </x:c>
      <x:c r="T72" s="30" t="str">
        <x:f>IF(F72="预留未命名","预留",IF(G72="","待回填",IF(COUNTIFS($B$5:$B$87,B72,$G$5:$G$87,G72)&gt;1,"实际编号重复","正常")))</x:f>
        <x:v>待回填</x:v>
      </x:c>
      <x:c r="U72" s="29" t="str">
        <x:v>由脚本窗口扫描，不猜编号或颜色</x:v>
      </x:c>
    </x:row>
    <x:row r="73" ht="30" customHeight="1">
      <x:c r="A73" s="30" t="str">
        <x:v>EL-MAT-RES-01</x:v>
      </x:c>
      <x:c r="B73" s="30" t="str">
        <x:v>StdItems.Idx</x:v>
      </x:c>
      <x:c r="C73" s="30" t="str">
        <x:v>材料预留</x:v>
      </x:c>
      <x:c r="D73" s="30" t="str">
        <x:v>待分配</x:v>
      </x:c>
      <x:c r="E73" s="30" t="str"/>
      <x:c r="F73" s="30" t="str">
        <x:v>预留未命名</x:v>
      </x:c>
      <x:c r="G73" s="30"/>
      <x:c r="H73" s="29"/>
      <x:c r="I73" s="30"/>
      <x:c r="J73" s="30"/>
      <x:c r="K73" s="30"/>
      <x:c r="L73" s="30"/>
      <x:c r="M73" s="30"/>
      <x:c r="N73" s="30"/>
      <x:c r="O73" s="30" t="str"/>
      <x:c r="P73" s="30" t="str">
        <x:v>待定</x:v>
      </x:c>
      <x:c r="Q73" s="30" t="str">
        <x:v>未来任务材料</x:v>
      </x:c>
      <x:c r="R73" s="30"/>
      <x:c r="S73" s="30" t="str">
        <x:v>是</x:v>
      </x:c>
      <x:c r="T73" s="30" t="str">
        <x:f>IF(F73="预留未命名","预留",IF(G73="","待回填",IF(COUNTIFS($B$5:$B$87,B73,$G$5:$G$87,G73)&gt;1,"实际编号重复","正常")))</x:f>
        <x:v>预留</x:v>
      </x:c>
      <x:c r="U73" s="29" t="str">
        <x:v>总容量补足80个材料位</x:v>
      </x:c>
    </x:row>
    <x:row r="74" ht="30" customHeight="1">
      <x:c r="A74" s="30" t="str">
        <x:v>EL-MAT-RES-02</x:v>
      </x:c>
      <x:c r="B74" s="30" t="str">
        <x:v>StdItems.Idx</x:v>
      </x:c>
      <x:c r="C74" s="30" t="str">
        <x:v>材料预留</x:v>
      </x:c>
      <x:c r="D74" s="30" t="str">
        <x:v>待分配</x:v>
      </x:c>
      <x:c r="E74" s="30" t="str"/>
      <x:c r="F74" s="30" t="str">
        <x:v>预留未命名</x:v>
      </x:c>
      <x:c r="G74" s="30"/>
      <x:c r="H74" s="29"/>
      <x:c r="I74" s="30"/>
      <x:c r="J74" s="30"/>
      <x:c r="K74" s="30"/>
      <x:c r="L74" s="30"/>
      <x:c r="M74" s="30"/>
      <x:c r="N74" s="30"/>
      <x:c r="O74" s="30" t="str"/>
      <x:c r="P74" s="30" t="str">
        <x:v>待定</x:v>
      </x:c>
      <x:c r="Q74" s="30" t="str">
        <x:v>未来任务材料</x:v>
      </x:c>
      <x:c r="R74" s="30"/>
      <x:c r="S74" s="30" t="str">
        <x:v>是</x:v>
      </x:c>
      <x:c r="T74" s="30" t="str">
        <x:f>IF(F74="预留未命名","预留",IF(G74="","待回填",IF(COUNTIFS($B$5:$B$87,B74,$G$5:$G$87,G74)&gt;1,"实际编号重复","正常")))</x:f>
        <x:v>预留</x:v>
      </x:c>
      <x:c r="U74" s="29" t="str">
        <x:v>总容量补足80个材料位</x:v>
      </x:c>
    </x:row>
    <x:row r="75" ht="30" customHeight="1">
      <x:c r="A75" s="30" t="str">
        <x:v>EL-MAT-RES-03</x:v>
      </x:c>
      <x:c r="B75" s="30" t="str">
        <x:v>StdItems.Idx</x:v>
      </x:c>
      <x:c r="C75" s="30" t="str">
        <x:v>材料预留</x:v>
      </x:c>
      <x:c r="D75" s="30" t="str">
        <x:v>待分配</x:v>
      </x:c>
      <x:c r="E75" s="30" t="str"/>
      <x:c r="F75" s="30" t="str">
        <x:v>预留未命名</x:v>
      </x:c>
      <x:c r="G75" s="30"/>
      <x:c r="H75" s="29"/>
      <x:c r="I75" s="30"/>
      <x:c r="J75" s="30"/>
      <x:c r="K75" s="30"/>
      <x:c r="L75" s="30"/>
      <x:c r="M75" s="30"/>
      <x:c r="N75" s="30"/>
      <x:c r="O75" s="30" t="str"/>
      <x:c r="P75" s="30" t="str">
        <x:v>待定</x:v>
      </x:c>
      <x:c r="Q75" s="30" t="str">
        <x:v>未来任务材料</x:v>
      </x:c>
      <x:c r="R75" s="30"/>
      <x:c r="S75" s="30" t="str">
        <x:v>是</x:v>
      </x:c>
      <x:c r="T75" s="30" t="str">
        <x:f>IF(F75="预留未命名","预留",IF(G75="","待回填",IF(COUNTIFS($B$5:$B$87,B75,$G$5:$G$87,G75)&gt;1,"实际编号重复","正常")))</x:f>
        <x:v>预留</x:v>
      </x:c>
      <x:c r="U75" s="29" t="str">
        <x:v>总容量补足80个材料位</x:v>
      </x:c>
    </x:row>
    <x:row r="76" ht="30" customHeight="1">
      <x:c r="A76" s="30" t="str">
        <x:v>EL-MAT-RES-04</x:v>
      </x:c>
      <x:c r="B76" s="30" t="str">
        <x:v>StdItems.Idx</x:v>
      </x:c>
      <x:c r="C76" s="30" t="str">
        <x:v>材料预留</x:v>
      </x:c>
      <x:c r="D76" s="30" t="str">
        <x:v>待分配</x:v>
      </x:c>
      <x:c r="E76" s="30" t="str"/>
      <x:c r="F76" s="30" t="str">
        <x:v>预留未命名</x:v>
      </x:c>
      <x:c r="G76" s="30"/>
      <x:c r="H76" s="29"/>
      <x:c r="I76" s="30"/>
      <x:c r="J76" s="30"/>
      <x:c r="K76" s="30"/>
      <x:c r="L76" s="30"/>
      <x:c r="M76" s="30"/>
      <x:c r="N76" s="30"/>
      <x:c r="O76" s="30" t="str"/>
      <x:c r="P76" s="30" t="str">
        <x:v>待定</x:v>
      </x:c>
      <x:c r="Q76" s="30" t="str">
        <x:v>未来任务材料</x:v>
      </x:c>
      <x:c r="R76" s="30"/>
      <x:c r="S76" s="30" t="str">
        <x:v>是</x:v>
      </x:c>
      <x:c r="T76" s="30" t="str">
        <x:f>IF(F76="预留未命名","预留",IF(G76="","待回填",IF(COUNTIFS($B$5:$B$87,B76,$G$5:$G$87,G76)&gt;1,"实际编号重复","正常")))</x:f>
        <x:v>预留</x:v>
      </x:c>
      <x:c r="U76" s="29" t="str">
        <x:v>总容量补足80个材料位</x:v>
      </x:c>
    </x:row>
    <x:row r="77" ht="30" customHeight="1">
      <x:c r="A77" s="30" t="str">
        <x:v>EL-MAT-RES-05</x:v>
      </x:c>
      <x:c r="B77" s="30" t="str">
        <x:v>StdItems.Idx</x:v>
      </x:c>
      <x:c r="C77" s="30" t="str">
        <x:v>材料预留</x:v>
      </x:c>
      <x:c r="D77" s="30" t="str">
        <x:v>待分配</x:v>
      </x:c>
      <x:c r="E77" s="30" t="str"/>
      <x:c r="F77" s="30" t="str">
        <x:v>预留未命名</x:v>
      </x:c>
      <x:c r="G77" s="30"/>
      <x:c r="H77" s="29"/>
      <x:c r="I77" s="30"/>
      <x:c r="J77" s="30"/>
      <x:c r="K77" s="30"/>
      <x:c r="L77" s="30"/>
      <x:c r="M77" s="30"/>
      <x:c r="N77" s="30"/>
      <x:c r="O77" s="30" t="str"/>
      <x:c r="P77" s="30" t="str">
        <x:v>待定</x:v>
      </x:c>
      <x:c r="Q77" s="30" t="str">
        <x:v>未来任务材料</x:v>
      </x:c>
      <x:c r="R77" s="30"/>
      <x:c r="S77" s="30" t="str">
        <x:v>是</x:v>
      </x:c>
      <x:c r="T77" s="30" t="str">
        <x:f>IF(F77="预留未命名","预留",IF(G77="","待回填",IF(COUNTIFS($B$5:$B$87,B77,$G$5:$G$87,G77)&gt;1,"实际编号重复","正常")))</x:f>
        <x:v>预留</x:v>
      </x:c>
      <x:c r="U77" s="29" t="str">
        <x:v>总容量补足80个材料位</x:v>
      </x:c>
    </x:row>
    <x:row r="78" ht="30" customHeight="1">
      <x:c r="A78" s="30" t="str">
        <x:v>EL-MAT-RES-06</x:v>
      </x:c>
      <x:c r="B78" s="30" t="str">
        <x:v>StdItems.Idx</x:v>
      </x:c>
      <x:c r="C78" s="30" t="str">
        <x:v>材料预留</x:v>
      </x:c>
      <x:c r="D78" s="30" t="str">
        <x:v>待分配</x:v>
      </x:c>
      <x:c r="E78" s="30" t="str"/>
      <x:c r="F78" s="30" t="str">
        <x:v>预留未命名</x:v>
      </x:c>
      <x:c r="G78" s="30"/>
      <x:c r="H78" s="29"/>
      <x:c r="I78" s="30"/>
      <x:c r="J78" s="30"/>
      <x:c r="K78" s="30"/>
      <x:c r="L78" s="30"/>
      <x:c r="M78" s="30"/>
      <x:c r="N78" s="30"/>
      <x:c r="O78" s="30" t="str"/>
      <x:c r="P78" s="30" t="str">
        <x:v>待定</x:v>
      </x:c>
      <x:c r="Q78" s="30" t="str">
        <x:v>未来任务材料</x:v>
      </x:c>
      <x:c r="R78" s="30"/>
      <x:c r="S78" s="30" t="str">
        <x:v>是</x:v>
      </x:c>
      <x:c r="T78" s="30" t="str">
        <x:f>IF(F78="预留未命名","预留",IF(G78="","待回填",IF(COUNTIFS($B$5:$B$87,B78,$G$5:$G$87,G78)&gt;1,"实际编号重复","正常")))</x:f>
        <x:v>预留</x:v>
      </x:c>
      <x:c r="U78" s="29" t="str">
        <x:v>总容量补足80个材料位</x:v>
      </x:c>
    </x:row>
    <x:row r="79" ht="30" customHeight="1">
      <x:c r="A79" s="30" t="str">
        <x:v>EL-MAT-RES-07</x:v>
      </x:c>
      <x:c r="B79" s="30" t="str">
        <x:v>StdItems.Idx</x:v>
      </x:c>
      <x:c r="C79" s="30" t="str">
        <x:v>材料预留</x:v>
      </x:c>
      <x:c r="D79" s="30" t="str">
        <x:v>待分配</x:v>
      </x:c>
      <x:c r="E79" s="30" t="str"/>
      <x:c r="F79" s="30" t="str">
        <x:v>预留未命名</x:v>
      </x:c>
      <x:c r="G79" s="30"/>
      <x:c r="H79" s="29"/>
      <x:c r="I79" s="30"/>
      <x:c r="J79" s="30"/>
      <x:c r="K79" s="30"/>
      <x:c r="L79" s="30"/>
      <x:c r="M79" s="30"/>
      <x:c r="N79" s="30"/>
      <x:c r="O79" s="30" t="str"/>
      <x:c r="P79" s="30" t="str">
        <x:v>待定</x:v>
      </x:c>
      <x:c r="Q79" s="30" t="str">
        <x:v>未来任务材料</x:v>
      </x:c>
      <x:c r="R79" s="30"/>
      <x:c r="S79" s="30" t="str">
        <x:v>是</x:v>
      </x:c>
      <x:c r="T79" s="30" t="str">
        <x:f>IF(F79="预留未命名","预留",IF(G79="","待回填",IF(COUNTIFS($B$5:$B$87,B79,$G$5:$G$87,G79)&gt;1,"实际编号重复","正常")))</x:f>
        <x:v>预留</x:v>
      </x:c>
      <x:c r="U79" s="29" t="str">
        <x:v>总容量补足80个材料位</x:v>
      </x:c>
    </x:row>
    <x:row r="80" ht="30" customHeight="1">
      <x:c r="A80" s="30" t="str">
        <x:v>EL-MAT-RES-08</x:v>
      </x:c>
      <x:c r="B80" s="30" t="str">
        <x:v>StdItems.Idx</x:v>
      </x:c>
      <x:c r="C80" s="30" t="str">
        <x:v>材料预留</x:v>
      </x:c>
      <x:c r="D80" s="30" t="str">
        <x:v>待分配</x:v>
      </x:c>
      <x:c r="E80" s="30" t="str"/>
      <x:c r="F80" s="30" t="str">
        <x:v>预留未命名</x:v>
      </x:c>
      <x:c r="G80" s="30"/>
      <x:c r="H80" s="29"/>
      <x:c r="I80" s="30"/>
      <x:c r="J80" s="30"/>
      <x:c r="K80" s="30"/>
      <x:c r="L80" s="30"/>
      <x:c r="M80" s="30"/>
      <x:c r="N80" s="30"/>
      <x:c r="O80" s="30" t="str"/>
      <x:c r="P80" s="30" t="str">
        <x:v>待定</x:v>
      </x:c>
      <x:c r="Q80" s="30" t="str">
        <x:v>未来任务材料</x:v>
      </x:c>
      <x:c r="R80" s="30"/>
      <x:c r="S80" s="30" t="str">
        <x:v>是</x:v>
      </x:c>
      <x:c r="T80" s="30" t="str">
        <x:f>IF(F80="预留未命名","预留",IF(G80="","待回填",IF(COUNTIFS($B$5:$B$87,B80,$G$5:$G$87,G80)&gt;1,"实际编号重复","正常")))</x:f>
        <x:v>预留</x:v>
      </x:c>
      <x:c r="U80" s="29" t="str">
        <x:v>总容量补足80个材料位</x:v>
      </x:c>
    </x:row>
    <x:row r="81" ht="30" customHeight="1">
      <x:c r="A81" s="30" t="str">
        <x:v>EL-MAT-RES-09</x:v>
      </x:c>
      <x:c r="B81" s="30" t="str">
        <x:v>StdItems.Idx</x:v>
      </x:c>
      <x:c r="C81" s="30" t="str">
        <x:v>材料预留</x:v>
      </x:c>
      <x:c r="D81" s="30" t="str">
        <x:v>待分配</x:v>
      </x:c>
      <x:c r="E81" s="30" t="str"/>
      <x:c r="F81" s="30" t="str">
        <x:v>预留未命名</x:v>
      </x:c>
      <x:c r="G81" s="30"/>
      <x:c r="H81" s="29"/>
      <x:c r="I81" s="30"/>
      <x:c r="J81" s="30"/>
      <x:c r="K81" s="30"/>
      <x:c r="L81" s="30"/>
      <x:c r="M81" s="30"/>
      <x:c r="N81" s="30"/>
      <x:c r="O81" s="30" t="str"/>
      <x:c r="P81" s="30" t="str">
        <x:v>待定</x:v>
      </x:c>
      <x:c r="Q81" s="30" t="str">
        <x:v>未来任务材料</x:v>
      </x:c>
      <x:c r="R81" s="30"/>
      <x:c r="S81" s="30" t="str">
        <x:v>是</x:v>
      </x:c>
      <x:c r="T81" s="30" t="str">
        <x:f>IF(F81="预留未命名","预留",IF(G81="","待回填",IF(COUNTIFS($B$5:$B$87,B81,$G$5:$G$87,G81)&gt;1,"实际编号重复","正常")))</x:f>
        <x:v>预留</x:v>
      </x:c>
      <x:c r="U81" s="29" t="str">
        <x:v>总容量补足80个材料位</x:v>
      </x:c>
    </x:row>
    <x:row r="82" ht="30" customHeight="1">
      <x:c r="A82" s="30" t="str">
        <x:v>EL-MAT-RES-10</x:v>
      </x:c>
      <x:c r="B82" s="30" t="str">
        <x:v>StdItems.Idx</x:v>
      </x:c>
      <x:c r="C82" s="30" t="str">
        <x:v>材料预留</x:v>
      </x:c>
      <x:c r="D82" s="30" t="str">
        <x:v>待分配</x:v>
      </x:c>
      <x:c r="E82" s="30" t="str"/>
      <x:c r="F82" s="30" t="str">
        <x:v>预留未命名</x:v>
      </x:c>
      <x:c r="G82" s="30"/>
      <x:c r="H82" s="29"/>
      <x:c r="I82" s="30"/>
      <x:c r="J82" s="30"/>
      <x:c r="K82" s="30"/>
      <x:c r="L82" s="30"/>
      <x:c r="M82" s="30"/>
      <x:c r="N82" s="30"/>
      <x:c r="O82" s="30" t="str"/>
      <x:c r="P82" s="30" t="str">
        <x:v>待定</x:v>
      </x:c>
      <x:c r="Q82" s="30" t="str">
        <x:v>未来任务材料</x:v>
      </x:c>
      <x:c r="R82" s="30"/>
      <x:c r="S82" s="30" t="str">
        <x:v>是</x:v>
      </x:c>
      <x:c r="T82" s="30" t="str">
        <x:f>IF(F82="预留未命名","预留",IF(G82="","待回填",IF(COUNTIFS($B$5:$B$87,B82,$G$5:$G$87,G82)&gt;1,"实际编号重复","正常")))</x:f>
        <x:v>预留</x:v>
      </x:c>
      <x:c r="U82" s="29" t="str">
        <x:v>总容量补足80个材料位</x:v>
      </x:c>
    </x:row>
    <x:row r="83" ht="30" customHeight="1">
      <x:c r="A83" s="30" t="str">
        <x:v>EL-MAT-RES-11</x:v>
      </x:c>
      <x:c r="B83" s="30" t="str">
        <x:v>StdItems.Idx</x:v>
      </x:c>
      <x:c r="C83" s="30" t="str">
        <x:v>材料预留</x:v>
      </x:c>
      <x:c r="D83" s="30" t="str">
        <x:v>待分配</x:v>
      </x:c>
      <x:c r="E83" s="30" t="str"/>
      <x:c r="F83" s="30" t="str">
        <x:v>预留未命名</x:v>
      </x:c>
      <x:c r="G83" s="30"/>
      <x:c r="H83" s="29"/>
      <x:c r="I83" s="30"/>
      <x:c r="J83" s="30"/>
      <x:c r="K83" s="30"/>
      <x:c r="L83" s="30"/>
      <x:c r="M83" s="30"/>
      <x:c r="N83" s="30"/>
      <x:c r="O83" s="30" t="str"/>
      <x:c r="P83" s="30" t="str">
        <x:v>待定</x:v>
      </x:c>
      <x:c r="Q83" s="30" t="str">
        <x:v>未来任务材料</x:v>
      </x:c>
      <x:c r="R83" s="30"/>
      <x:c r="S83" s="30" t="str">
        <x:v>是</x:v>
      </x:c>
      <x:c r="T83" s="30" t="str">
        <x:f>IF(F83="预留未命名","预留",IF(G83="","待回填",IF(COUNTIFS($B$5:$B$87,B83,$G$5:$G$87,G83)&gt;1,"实际编号重复","正常")))</x:f>
        <x:v>预留</x:v>
      </x:c>
      <x:c r="U83" s="29" t="str">
        <x:v>总容量补足80个材料位</x:v>
      </x:c>
    </x:row>
    <x:row r="84" ht="30" customHeight="1">
      <x:c r="A84" s="30" t="str">
        <x:v>EL-MAT-RES-12</x:v>
      </x:c>
      <x:c r="B84" s="30" t="str">
        <x:v>StdItems.Idx</x:v>
      </x:c>
      <x:c r="C84" s="30" t="str">
        <x:v>材料预留</x:v>
      </x:c>
      <x:c r="D84" s="30" t="str">
        <x:v>待分配</x:v>
      </x:c>
      <x:c r="E84" s="30" t="str"/>
      <x:c r="F84" s="30" t="str">
        <x:v>预留未命名</x:v>
      </x:c>
      <x:c r="G84" s="30"/>
      <x:c r="H84" s="29"/>
      <x:c r="I84" s="30"/>
      <x:c r="J84" s="30"/>
      <x:c r="K84" s="30"/>
      <x:c r="L84" s="30"/>
      <x:c r="M84" s="30"/>
      <x:c r="N84" s="30"/>
      <x:c r="O84" s="30" t="str"/>
      <x:c r="P84" s="30" t="str">
        <x:v>待定</x:v>
      </x:c>
      <x:c r="Q84" s="30" t="str">
        <x:v>未来任务材料</x:v>
      </x:c>
      <x:c r="R84" s="30"/>
      <x:c r="S84" s="30" t="str">
        <x:v>是</x:v>
      </x:c>
      <x:c r="T84" s="30" t="str">
        <x:f>IF(F84="预留未命名","预留",IF(G84="","待回填",IF(COUNTIFS($B$5:$B$87,B84,$G$5:$G$87,G84)&gt;1,"实际编号重复","正常")))</x:f>
        <x:v>预留</x:v>
      </x:c>
      <x:c r="U84" s="29" t="str">
        <x:v>总容量补足80个材料位</x:v>
      </x:c>
    </x:row>
    <x:row r="85" ht="30" customHeight="1">
      <x:c r="A85" s="30" t="str">
        <x:v>EL-EQSRC-REPLACE-821</x:v>
      </x:c>
      <x:c r="B85" s="30" t="str">
        <x:v>EquipSourceNo</x:v>
      </x:c>
      <x:c r="C85" s="30" t="str">
        <x:v>装备来源编号</x:v>
      </x:c>
      <x:c r="D85" s="30" t="str">
        <x:v>全局</x:v>
      </x:c>
      <x:c r="E85" s="30" t="str">
        <x:v>褪色旅人战靴</x:v>
      </x:c>
      <x:c r="F85" s="30" t="str">
        <x:v>已预留待回写</x:v>
      </x:c>
      <x:c r="G85" s="30" t="n">
        <x:v>6407</x:v>
      </x:c>
      <x:c r="H85" s="29" t="str">
        <x:v>制式装备三库</x:v>
      </x:c>
      <x:c r="I85" s="30"/>
      <x:c r="J85" s="30"/>
      <x:c r="K85" s="30"/>
      <x:c r="L85" s="30"/>
      <x:c r="M85" s="30"/>
      <x:c r="N85" s="30"/>
      <x:c r="O85" s="30" t="str"/>
      <x:c r="P85" s="30" t="str">
        <x:v>不适用</x:v>
      </x:c>
      <x:c r="Q85" s="30" t="str">
        <x:v>黄金圣树·初誓/鞋子</x:v>
      </x:c>
      <x:c r="R85" s="30" t="str">
        <x:v>旧号821</x:v>
      </x:c>
      <x:c r="S85" s="30" t="str">
        <x:v>是</x:v>
      </x:c>
      <x:c r="T85" s="30" t="str">
        <x:f>IF(F85="预留未命名","预留",IF(G85="","待回填",IF(COUNTIFS($B$5:$B$87,B85,$G$5:$G$87,G85)&gt;1,"实际编号重复","正常")))</x:f>
        <x:v>正常</x:v>
      </x:c>
      <x:c r="U85" s="29" t="str">
        <x:v>地图XX821保留</x:v>
      </x:c>
    </x:row>
    <x:row r="86" ht="30" customHeight="1">
      <x:c r="A86" s="30" t="str">
        <x:v>EL-EQSRC-REPLACE-823</x:v>
      </x:c>
      <x:c r="B86" s="30" t="str">
        <x:v>EquipSourceNo</x:v>
      </x:c>
      <x:c r="C86" s="30" t="str">
        <x:v>装备来源编号</x:v>
      </x:c>
      <x:c r="D86" s="30" t="str">
        <x:v>全局</x:v>
      </x:c>
      <x:c r="E86" s="30" t="str">
        <x:v>褪色旅人项链</x:v>
      </x:c>
      <x:c r="F86" s="30" t="str">
        <x:v>已预留待回写</x:v>
      </x:c>
      <x:c r="G86" s="30" t="n">
        <x:v>6401</x:v>
      </x:c>
      <x:c r="H86" s="29" t="str">
        <x:v>制式装备三库</x:v>
      </x:c>
      <x:c r="I86" s="30"/>
      <x:c r="J86" s="30"/>
      <x:c r="K86" s="30"/>
      <x:c r="L86" s="30"/>
      <x:c r="M86" s="30"/>
      <x:c r="N86" s="30"/>
      <x:c r="O86" s="30" t="str"/>
      <x:c r="P86" s="30" t="str">
        <x:v>不适用</x:v>
      </x:c>
      <x:c r="Q86" s="30" t="str">
        <x:v>黄金圣树·初誓/项链</x:v>
      </x:c>
      <x:c r="R86" s="30" t="str">
        <x:v>旧号823</x:v>
      </x:c>
      <x:c r="S86" s="30" t="str">
        <x:v>是</x:v>
      </x:c>
      <x:c r="T86" s="30" t="str">
        <x:f>IF(F86="预留未命名","预留",IF(G86="","待回填",IF(COUNTIFS($B$5:$B$87,B86,$G$5:$G$87,G86)&gt;1,"实际编号重复","正常")))</x:f>
        <x:v>正常</x:v>
      </x:c>
      <x:c r="U86" s="29" t="str">
        <x:v>地图XX823保留</x:v>
      </x:c>
    </x:row>
    <x:row r="87" ht="30" customHeight="1">
      <x:c r="A87" s="30" t="str">
        <x:v>EL-EQSRC-REPLACE-824</x:v>
      </x:c>
      <x:c r="B87" s="30" t="str">
        <x:v>EquipSourceNo</x:v>
      </x:c>
      <x:c r="C87" s="30" t="str">
        <x:v>装备来源编号</x:v>
      </x:c>
      <x:c r="D87" s="30" t="str">
        <x:v>全局</x:v>
      </x:c>
      <x:c r="E87" s="30" t="str">
        <x:v>褪色旅人戒指</x:v>
      </x:c>
      <x:c r="F87" s="30" t="str">
        <x:v>已预留待回写</x:v>
      </x:c>
      <x:c r="G87" s="30" t="n">
        <x:v>6403</x:v>
      </x:c>
      <x:c r="H87" s="29" t="str">
        <x:v>制式装备三库</x:v>
      </x:c>
      <x:c r="I87" s="30"/>
      <x:c r="J87" s="30"/>
      <x:c r="K87" s="30"/>
      <x:c r="L87" s="30"/>
      <x:c r="M87" s="30"/>
      <x:c r="N87" s="30"/>
      <x:c r="O87" s="30" t="str"/>
      <x:c r="P87" s="30" t="str">
        <x:v>不适用</x:v>
      </x:c>
      <x:c r="Q87" s="30" t="str">
        <x:v>黄金圣树·初誓/戒指</x:v>
      </x:c>
      <x:c r="R87" s="30" t="str">
        <x:v>旧号824</x:v>
      </x:c>
      <x:c r="S87" s="30" t="str">
        <x:v>是</x:v>
      </x:c>
      <x:c r="T87" s="30" t="str">
        <x:f>IF(F87="预留未命名","预留",IF(G87="","待回填",IF(COUNTIFS($B$5:$B$87,B87,$G$5:$G$87,G87)&gt;1,"实际编号重复","正常")))</x:f>
        <x:v>正常</x:v>
      </x:c>
      <x:c r="U87" s="29" t="str">
        <x:v>地图XX824保留</x:v>
      </x:c>
    </x:row>
  </x:sheetData>
  <x:mergeCells>
    <x:mergeCell ref="A1:U1"/>
    <x:mergeCell ref="A2:U2"/>
  </x:mergeCells>
  <x:conditionalFormatting sqref="F5:F87">
    <x:cfRule type="containsText" dxfId="56" priority="1" operator="containsText" text="已确认"/>
    <x:cfRule type="containsText" dxfId="57" priority="2" operator="containsText" text="定稿"/>
    <x:cfRule type="containsText" dxfId="58" priority="3" operator="containsText" text="正常"/>
    <x:cfRule type="containsText" dxfId="59" priority="4" operator="containsText" text="待"/>
    <x:cfRule type="containsText" dxfId="60" priority="5" operator="containsText" text="缺失"/>
    <x:cfRule type="containsText" dxfId="61" priority="6" operator="containsText" text="重复"/>
    <x:cfRule type="containsText" dxfId="62" priority="7" operator="containsText" text="严重"/>
  </x:conditionalFormatting>
  <x:conditionalFormatting sqref="T5:T87">
    <x:cfRule type="containsText" dxfId="63" priority="8" operator="containsText" text="已确认"/>
    <x:cfRule type="containsText" dxfId="64" priority="9" operator="containsText" text="定稿"/>
    <x:cfRule type="containsText" dxfId="65" priority="10" operator="containsText" text="正常"/>
    <x:cfRule type="containsText" dxfId="66" priority="11" operator="containsText" text="待"/>
    <x:cfRule type="containsText" dxfId="67" priority="12" operator="containsText" text="缺失"/>
    <x:cfRule type="containsText" dxfId="68" priority="13" operator="containsText" text="重复"/>
    <x:cfRule type="containsText" dxfId="69" priority="14" operator="containsText" text="严重"/>
  </x:conditionalFormatting>
  <x:dataValidations count="1">
    <x:dataValidation type="list" sqref="F5:F87">
      <x:formula1>"待扫描,预留未命名,已预留,已分配,已验证,已部署,废止,已预留待回写"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7" hidden="0" customWidth="1"/>
    <x:col min="5" max="5" width="31" hidden="0" customWidth="1"/>
    <x:col min="6" max="6" width="29" hidden="0" customWidth="1"/>
    <x:col min="7" max="7" width="21" hidden="0" customWidth="1"/>
  </x:cols>
  <x:sheetData>
    <x:row r="1" ht="28.5" customHeight="1">
      <x:c r="A1" s="4" t="str">
        <x:v>两个Codex窗口的交互任务单</x:v>
      </x:c>
      <x:c r="B1" s="4" t="str">
        <x:v>两个Codex窗口的交互任务单</x:v>
      </x:c>
      <x:c r="C1" s="4" t="str">
        <x:v>两个Codex窗口的交互任务单</x:v>
      </x:c>
      <x:c r="D1" s="4" t="str">
        <x:v>两个Codex窗口的交互任务单</x:v>
      </x:c>
      <x:c r="E1" s="4" t="str">
        <x:v>两个Codex窗口的交互任务单</x:v>
      </x:c>
      <x:c r="F1" s="4" t="str">
        <x:v>两个Codex窗口的交互任务单</x:v>
      </x:c>
      <x:c r="G1" s="4" t="str">
        <x:v>两个Codex窗口的交互任务单</x:v>
      </x:c>
    </x:row>
    <x:row r="2" ht="31.5" customHeight="1">
      <x:c r="A2" s="45" t="str">
        <x:v>这不是让一个窗口同时包办。脚本窗口先给真实物品编号/颜色→怪物窗口绑定真实来源/掉落→脚本窗口完成NPC/合成/分解→双方复核。每轮产物都要回填本工作簿并提交。</x:v>
      </x:c>
      <x:c r="B2" s="45" t="str">
        <x:v>这不是让一个窗口同时包办。脚本窗口先给真实物品编号/颜色→怪物窗口绑定真实来源/掉落→脚本窗口完成NPC/合成/分解→双方复核。每轮产物都要回填本工作簿并提交。</x:v>
      </x:c>
      <x:c r="C2" s="45" t="str">
        <x:v>这不是让一个窗口同时包办。脚本窗口先给真实物品编号/颜色→怪物窗口绑定真实来源/掉落→脚本窗口完成NPC/合成/分解→双方复核。每轮产物都要回填本工作簿并提交。</x:v>
      </x:c>
      <x:c r="D2" s="45" t="str">
        <x:v>这不是让一个窗口同时包办。脚本窗口先给真实物品编号/颜色→怪物窗口绑定真实来源/掉落→脚本窗口完成NPC/合成/分解→双方复核。每轮产物都要回填本工作簿并提交。</x:v>
      </x:c>
      <x:c r="E2" s="45" t="str">
        <x:v>这不是让一个窗口同时包办。脚本窗口先给真实物品编号/颜色→怪物窗口绑定真实来源/掉落→脚本窗口完成NPC/合成/分解→双方复核。每轮产物都要回填本工作簿并提交。</x:v>
      </x:c>
      <x:c r="F2" s="45" t="str">
        <x:v>这不是让一个窗口同时包办。脚本窗口先给真实物品编号/颜色→怪物窗口绑定真实来源/掉落→脚本窗口完成NPC/合成/分解→双方复核。每轮产物都要回填本工作簿并提交。</x:v>
      </x:c>
      <x:c r="G2" s="45" t="str">
        <x:v>这不是让一个窗口同时包办。脚本窗口先给真实物品编号/颜色→怪物窗口绑定真实来源/掉落→脚本窗口完成NPC/合成/分解→双方复核。每轮产物都要回填本工作簿并提交。</x:v>
      </x:c>
    </x:row>
    <x:row r="4" ht="24" customHeight="1">
      <x:c r="A4" s="24" t="str">
        <x:v>阶段</x:v>
      </x:c>
      <x:c r="B4" s="24" t="str">
        <x:v>责任窗口</x:v>
      </x:c>
      <x:c r="C4" s="24" t="str">
        <x:v>读取输入</x:v>
      </x:c>
      <x:c r="D4" s="24" t="str">
        <x:v>必须执行</x:v>
      </x:c>
      <x:c r="E4" s="24" t="str">
        <x:v>回传字段</x:v>
      </x:c>
      <x:c r="F4" s="24" t="str">
        <x:v>禁止事项</x:v>
      </x:c>
      <x:c r="G4" s="24" t="str">
        <x:v>完成标志</x:v>
      </x:c>
    </x:row>
    <x:row r="5" ht="84" customHeight="1">
      <x:c r="A5" s="30" t="str">
        <x:v>1</x:v>
      </x:c>
      <x:c r="B5" s="30" t="str">
        <x:v>脚本窗口</x:v>
      </x:c>
      <x:c r="C5" s="29" t="str">
        <x:v>07_ID登记＋真实StdItems/物品模板/颜色字段</x:v>
      </x:c>
      <x:c r="D5" s="29" t="str">
        <x:v>扫描现有与废止编号；为68个已命名材料匹配或分配Idx；补足12个预留；回填StdMode/Shape/Looks/颜色/交易设置；检查地图号与来源号</x:v>
      </x:c>
      <x:c r="E5" s="29" t="str">
        <x:v>逻辑材料ID、名称、实际Idx、颜色、模板、所属大陆、预定来源类型</x:v>
      </x:c>
      <x:c r="F5" s="29" t="str">
        <x:v>不得猜字段；不得改材料名称/用途/数量；不得覆盖现有成品</x:v>
      </x:c>
      <x:c r="G5" s="29" t="str">
        <x:v>07页所有已命名材料从待扫描变为已验证；输出冲突报告</x:v>
      </x:c>
    </x:row>
    <x:row r="6" ht="84" customHeight="1">
      <x:c r="A6" s="30" t="str">
        <x:v>2</x:v>
      </x:c>
      <x:c r="B6" s="30" t="str">
        <x:v>怪物窗口</x:v>
      </x:c>
      <x:c r="C6" s="29" t="str">
        <x:v>阶段1映射＋02来源与掉率＋怪物重做母表</x:v>
      </x:c>
      <x:c r="D6" s="29" t="str">
        <x:v>按逻辑怪物ID落实准确怪名/编号/地图/层；写独立掉落行；用实际K反算分母；给每件专属登记唯一来源等级</x:v>
      </x:c>
      <x:c r="E6" s="29" t="str">
        <x:v>逻辑材料ID、实际Idx、怪物ID/名、地图号/层、来源等级、分母、首杀规则、实测K</x:v>
      </x:c>
      <x:c r="F6" s="29" t="str">
        <x:v>不得改NPC对白/合成/称号/物品模板；不得使用XX怪魂魄式命名</x:v>
      </x:c>
      <x:c r="G6" s="29" t="str">
        <x:v>02页来源对象全部可追溯；重复/缺失清单为0或逐项阻断</x:v>
      </x:c>
    </x:row>
    <x:row r="7" ht="84" customHeight="1">
      <x:c r="A7" s="30" t="str">
        <x:v>3</x:v>
      </x:c>
      <x:c r="B7" s="30" t="str">
        <x:v>脚本窗口</x:v>
      </x:c>
      <x:c r="C7" s="29" t="str">
        <x:v>阶段2来源映射＋04/05/06页</x:v>
      </x:c>
      <x:c r="D7" s="29" t="str">
        <x:v>生成条件掉落、五阶段称号、四证任务、11强合成和专属分解脚本；赐福点4—8选可行走坐标；同点NPC间隔≥3</x:v>
      </x:c>
      <x:c r="E7" s="29" t="str">
        <x:v>NPC编号、任务Flag、配方ID、地图号、赐福XY、NPC XY、脚本路径、提交号</x:v>
      </x:c>
      <x:c r="F7" s="29" t="str">
        <x:v>不得恢复地图魂魄直升韧性/处决；不得编造坐标；不得跨大陆配方</x:v>
      </x:c>
      <x:c r="G7" s="29" t="str">
        <x:v>05页坐标检查合格；11配方100%；分解40档可测试</x:v>
      </x:c>
    </x:row>
    <x:row r="8" ht="84" customHeight="1">
      <x:c r="A8" s="30" t="str">
        <x:v>4</x:v>
      </x:c>
      <x:c r="B8" s="30" t="str">
        <x:v>双方复核</x:v>
      </x:c>
      <x:c r="C8" s="29" t="str">
        <x:v>09检查与替代＋三个阶段产物</x:v>
      </x:c>
      <x:c r="D8" s="29" t="str">
        <x:v>检查Idx、MapNo、MonsterID、NPCIndex、QuestFlag、RecipeID、TitleID、EquipSourceNo；复核传送缺口和C09/C10外显名</x:v>
      </x:c>
      <x:c r="E8" s="29" t="str">
        <x:v>最终冲突报告、未解决阻断项、提交SHA/路径</x:v>
      </x:c>
      <x:c r="F8" s="29" t="str">
        <x:v>任何缺编号/坐标对象不得写已部署</x:v>
      </x:c>
      <x:c r="G8" s="29" t="str">
        <x:v>公式错误0；重复0；所有替代关系有旧→新记录</x:v>
      </x:c>
    </x:row>
    <x:row r="10" ht="21" customHeight="1">
      <x:c r="A10" s="18" t="str">
        <x:v>脚本窗口第一轮最小回传格式</x:v>
      </x:c>
      <x:c r="B10" s="18" t="str">
        <x:v>脚本窗口第一轮最小回传格式</x:v>
      </x:c>
      <x:c r="C10" s="18" t="str">
        <x:v>脚本窗口第一轮最小回传格式</x:v>
      </x:c>
      <x:c r="D10" s="18" t="str">
        <x:v>脚本窗口第一轮最小回传格式</x:v>
      </x:c>
      <x:c r="E10" s="18" t="str">
        <x:v>脚本窗口第一轮最小回传格式</x:v>
      </x:c>
      <x:c r="F10" s="18" t="str">
        <x:v>脚本窗口第一轮最小回传格式</x:v>
      </x:c>
      <x:c r="G10" s="18" t="str">
        <x:v>脚本窗口第一轮最小回传格式</x:v>
      </x:c>
    </x:row>
    <x:row r="11" ht="24" customHeight="1">
      <x:c r="A11" s="36" t="str">
        <x:v>逻辑材料ID</x:v>
      </x:c>
      <x:c r="B11" s="36" t="str">
        <x:v>中文名</x:v>
      </x:c>
      <x:c r="C11" s="36" t="str">
        <x:v>实际Idx</x:v>
      </x:c>
      <x:c r="D11" s="36" t="str">
        <x:v>颜色字段/值</x:v>
      </x:c>
      <x:c r="E11" s="36" t="str">
        <x:v>模板字段</x:v>
      </x:c>
      <x:c r="F11" s="36" t="str">
        <x:v>交易设置</x:v>
      </x:c>
      <x:c r="G11" s="36" t="str">
        <x:v>验证状态</x:v>
      </x:c>
    </x:row>
    <x:row r="12" ht="33" customHeight="1">
      <x:c r="A12" s="62" t="str">
        <x:v>EL-MAT-C03-Q01</x:v>
      </x:c>
      <x:c r="B12" s="62" t="str">
        <x:v>裂风崖羽</x:v>
      </x:c>
      <x:c r="C12" s="62" t="str">
        <x:v>由Codex回填</x:v>
      </x:c>
      <x:c r="D12" s="62" t="str">
        <x:v>字段名=值</x:v>
      </x:c>
      <x:c r="E12" s="62" t="str">
        <x:v>StdMode/Shape/Looks</x:v>
      </x:c>
      <x:c r="F12" s="62" t="str">
        <x:v>非绑定/可交易/NPC售价0</x:v>
      </x:c>
      <x:c r="G12" s="62" t="str">
        <x:v>待扫描</x:v>
      </x:c>
    </x:row>
    <x:row r="13" ht="33" customHeight="1">
      <x:c r="A13" s="62" t="str">
        <x:v>EL-MAT-C03-COM</x:v>
      </x:c>
      <x:c r="B13" s="62" t="str">
        <x:v>风蚀铁片</x:v>
      </x:c>
      <x:c r="C13" s="62" t="str">
        <x:v>由Codex回填</x:v>
      </x:c>
      <x:c r="D13" s="62" t="str">
        <x:v>字段名=值</x:v>
      </x:c>
      <x:c r="E13" s="62" t="str">
        <x:v>StdMode/Shape/Looks</x:v>
      </x:c>
      <x:c r="F13" s="62" t="str">
        <x:v>非绑定/可交易/NPC售价0</x:v>
      </x:c>
      <x:c r="G13" s="62" t="str">
        <x:v>待扫描</x:v>
      </x:c>
    </x:row>
    <x:row r="14" ht="33" customHeight="1">
      <x:c r="A14" s="62" t="str">
        <x:v>EL-MAT-GLOBAL-SOMBER</x:v>
      </x:c>
      <x:c r="B14" s="62" t="str">
        <x:v>失色锻造石</x:v>
      </x:c>
      <x:c r="C14" s="62" t="str">
        <x:v>由Codex回填</x:v>
      </x:c>
      <x:c r="D14" s="62" t="str">
        <x:v>字段名=值</x:v>
      </x:c>
      <x:c r="E14" s="62" t="str">
        <x:v>StdMode/Shape/Looks</x:v>
      </x:c>
      <x:c r="F14" s="62" t="str">
        <x:v>非绑定/可交易/NPC售价0</x:v>
      </x:c>
      <x:c r="G14" s="62" t="str">
        <x:v>待扫描</x:v>
      </x:c>
    </x:row>
    <x:row r="16" ht="21" customHeight="1">
      <x:c r="A16" s="18" t="str">
        <x:v>怪物窗口最小回传格式</x:v>
      </x:c>
      <x:c r="B16" s="18" t="str">
        <x:v>怪物窗口最小回传格式</x:v>
      </x:c>
      <x:c r="C16" s="18" t="str">
        <x:v>怪物窗口最小回传格式</x:v>
      </x:c>
      <x:c r="D16" s="18" t="str">
        <x:v>怪物窗口最小回传格式</x:v>
      </x:c>
      <x:c r="E16" s="18" t="str">
        <x:v>怪物窗口最小回传格式</x:v>
      </x:c>
      <x:c r="F16" s="18" t="str">
        <x:v>怪物窗口最小回传格式</x:v>
      </x:c>
      <x:c r="G16" s="18" t="str">
        <x:v>怪物窗口最小回传格式</x:v>
      </x:c>
    </x:row>
    <x:row r="17" ht="24" customHeight="1">
      <x:c r="A17" s="36" t="str">
        <x:v>逻辑材料ID</x:v>
      </x:c>
      <x:c r="B17" s="36" t="str">
        <x:v>实际Idx</x:v>
      </x:c>
      <x:c r="C17" s="36" t="str">
        <x:v>怪物ID/名称</x:v>
      </x:c>
      <x:c r="D17" s="36" t="str">
        <x:v>地图号/层</x:v>
      </x:c>
      <x:c r="E17" s="36" t="str">
        <x:v>来源等级</x:v>
      </x:c>
      <x:c r="F17" s="36" t="str">
        <x:v>基础分母</x:v>
      </x:c>
      <x:c r="G17" s="36" t="str">
        <x:v>实测K/备注</x:v>
      </x:c>
    </x:row>
    <x:row r="18" ht="33" customHeight="1">
      <x:c r="A18" s="62" t="str">
        <x:v>EL-MAT-C03-Q01</x:v>
      </x:c>
      <x:c r="B18" s="62" t="str">
        <x:v>接阶段1</x:v>
      </x:c>
      <x:c r="C18" s="62" t="str">
        <x:v>EL-MON-C03-G02-N04/准确怪名</x:v>
      </x:c>
      <x:c r="D18" s="62" t="str">
        <x:v>XX335/准确层</x:v>
      </x:c>
      <x:c r="E18" s="62" t="str">
        <x:v>普通</x:v>
      </x:c>
      <x:c r="F18" s="62" t="str">
        <x:v>母线6000后按K校准</x:v>
      </x:c>
      <x:c r="G18" s="62" t="str">
        <x:v>回填</x:v>
      </x:c>
    </x:row>
    <x:row r="19" ht="33" customHeight="1">
      <x:c r="A19" s="62" t="str">
        <x:v>EL-MAT-C03-Q03</x:v>
      </x:c>
      <x:c r="B19" s="62" t="str">
        <x:v>接阶段1</x:v>
      </x:c>
      <x:c r="C19" s="62" t="str">
        <x:v>EL-MON-C03-G05-B01/准确怪名</x:v>
      </x:c>
      <x:c r="D19" s="62" t="str">
        <x:v>XX516/准确层</x:v>
      </x:c>
      <x:c r="E19" s="62" t="str">
        <x:v>地图BOSS</x:v>
      </x:c>
      <x:c r="F19" s="62" t="str">
        <x:v>母线200＋首杀1</x:v>
      </x:c>
      <x:c r="G19" s="62" t="str">
        <x:v>回填</x:v>
      </x:c>
    </x:row>
    <x:row r="20" ht="33" customHeight="1">
      <x:c r="A20" s="62" t="str">
        <x:v>EL-MAT-C03-Q04</x:v>
      </x:c>
      <x:c r="B20" s="62" t="str">
        <x:v>接阶段1</x:v>
      </x:c>
      <x:c r="C20" s="62" t="str">
        <x:v>EL-MON-C03-G06-G01/准确怪名</x:v>
      </x:c>
      <x:c r="D20" s="62" t="str">
        <x:v>XX169/准确层</x:v>
      </x:c>
      <x:c r="E20" s="62" t="str">
        <x:v>守关BOSS</x:v>
      </x:c>
      <x:c r="F20" s="62" t="str">
        <x:v>母线100＋首杀1</x:v>
      </x:c>
      <x:c r="G20" s="62" t="str">
        <x:v>回填</x:v>
      </x:c>
    </x:row>
  </x:sheetData>
  <x:mergeCells>
    <x:mergeCell ref="A1:G1"/>
    <x:mergeCell ref="A2:G2"/>
    <x:mergeCell ref="A10:G10"/>
    <x:mergeCell ref="A16:G1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" hidden="0" customWidth="1"/>
    <x:col min="2" max="2" width="14.5" hidden="0" customWidth="1"/>
    <x:col min="3" max="3" width="13" hidden="0" customWidth="1"/>
    <x:col min="4" max="4" width="9.5" hidden="0" customWidth="1"/>
    <x:col min="5" max="5" width="10.5" hidden="0" customWidth="1"/>
    <x:col min="6" max="6" width="11" hidden="0" customWidth="1"/>
    <x:col min="7" max="7" width="20" hidden="0" customWidth="1"/>
    <x:col min="8" max="8" width="24" hidden="0" customWidth="1"/>
  </x:cols>
  <x:sheetData>
    <x:row r="1" ht="28.5" customHeight="1">
      <x:c r="A1" s="4" t="str">
        <x:v>完整性、坐标、编号与替代关系检查</x:v>
      </x:c>
      <x:c r="B1" s="4" t="str">
        <x:v>完整性、坐标、编号与替代关系检查</x:v>
      </x:c>
      <x:c r="C1" s="4" t="str">
        <x:v>完整性、坐标、编号与替代关系检查</x:v>
      </x:c>
      <x:c r="D1" s="4" t="str">
        <x:v>完整性、坐标、编号与替代关系检查</x:v>
      </x:c>
      <x:c r="E1" s="4" t="str">
        <x:v>完整性、坐标、编号与替代关系检查</x:v>
      </x:c>
      <x:c r="F1" s="4" t="str">
        <x:v>完整性、坐标、编号与替代关系检查</x:v>
      </x:c>
      <x:c r="G1" s="4" t="str">
        <x:v>完整性、坐标、编号与替代关系检查</x:v>
      </x:c>
      <x:c r="H1" s="4" t="str">
        <x:v>完整性、坐标、编号与替代关系检查</x:v>
      </x:c>
    </x:row>
    <x:row r="2" ht="31.5" customHeight="1">
      <x:c r="A2" s="66" t="str">
        <x:v>当前是设计完成、部署未完成。编号和坐标缺失是明确阻断项，不是设计空白；地图大小不检查。已知地图/来源冲突与传送坐标缺口如下，Codex不得静默跳过。</x:v>
      </x:c>
      <x:c r="B2" s="66" t="str">
        <x:v>当前是设计完成、部署未完成。编号和坐标缺失是明确阻断项，不是设计空白；地图大小不检查。已知地图/来源冲突与传送坐标缺口如下，Codex不得静默跳过。</x:v>
      </x:c>
      <x:c r="C2" s="66" t="str">
        <x:v>当前是设计完成、部署未完成。编号和坐标缺失是明确阻断项，不是设计空白；地图大小不检查。已知地图/来源冲突与传送坐标缺口如下，Codex不得静默跳过。</x:v>
      </x:c>
      <x:c r="D2" s="66" t="str">
        <x:v>当前是设计完成、部署未完成。编号和坐标缺失是明确阻断项，不是设计空白；地图大小不检查。已知地图/来源冲突与传送坐标缺口如下，Codex不得静默跳过。</x:v>
      </x:c>
      <x:c r="E2" s="66" t="str">
        <x:v>当前是设计完成、部署未完成。编号和坐标缺失是明确阻断项，不是设计空白；地图大小不检查。已知地图/来源冲突与传送坐标缺口如下，Codex不得静默跳过。</x:v>
      </x:c>
      <x:c r="F2" s="66" t="str">
        <x:v>当前是设计完成、部署未完成。编号和坐标缺失是明确阻断项，不是设计空白；地图大小不检查。已知地图/来源冲突与传送坐标缺口如下，Codex不得静默跳过。</x:v>
      </x:c>
      <x:c r="G2" s="66" t="str">
        <x:v>当前是设计完成、部署未完成。编号和坐标缺失是明确阻断项，不是设计空白；地图大小不检查。已知地图/来源冲突与传送坐标缺口如下，Codex不得静默跳过。</x:v>
      </x:c>
      <x:c r="H2" s="66" t="str">
        <x:v>当前是设计完成、部署未完成。编号和坐标缺失是明确阻断项，不是设计空白；地图大小不检查。已知地图/来源冲突与传送坐标缺口如下，Codex不得静默跳过。</x:v>
      </x:c>
    </x:row>
    <x:row r="4" ht="21" customHeight="1">
      <x:c r="A4" s="18" t="str">
        <x:v>自动检查摘要</x:v>
      </x:c>
      <x:c r="B4" s="18" t="str">
        <x:v>自动检查摘要</x:v>
      </x:c>
      <x:c r="C4" s="18" t="str">
        <x:v>自动检查摘要</x:v>
      </x:c>
      <x:c r="D4" s="18" t="str">
        <x:v>自动检查摘要</x:v>
      </x:c>
      <x:c r="E4" s="18" t="str">
        <x:v>自动检查摘要</x:v>
      </x:c>
      <x:c r="F4" s="18" t="str">
        <x:v>自动检查摘要</x:v>
      </x:c>
      <x:c r="G4" s="18" t="str">
        <x:v>自动检查摘要</x:v>
      </x:c>
      <x:c r="H4" s="18" t="str">
        <x:v>自动检查摘要</x:v>
      </x:c>
    </x:row>
    <x:row r="5" ht="24" customHeight="1">
      <x:c r="A5" s="24" t="str">
        <x:v>检查项</x:v>
      </x:c>
      <x:c r="B5" s="24" t="str">
        <x:v>范围</x:v>
      </x:c>
      <x:c r="C5" s="24" t="str">
        <x:v>结果</x:v>
      </x:c>
      <x:c r="D5" s="24" t="str">
        <x:v>阈值</x:v>
      </x:c>
      <x:c r="E5" s="24" t="str">
        <x:v>状态</x:v>
      </x:c>
      <x:c r="F5" s="24" t="str">
        <x:v>责任窗口</x:v>
      </x:c>
      <x:c r="G5" s="24" t="str">
        <x:v>具体对象</x:v>
      </x:c>
      <x:c r="H5" s="24" t="str">
        <x:v>处理</x:v>
      </x:c>
    </x:row>
    <x:row r="6" ht="28.5" customHeight="1">
      <x:c r="A6" s="30" t="str">
        <x:v>材料逻辑编号重复</x:v>
      </x:c>
      <x:c r="B6" s="30" t="str">
        <x:v>01页</x:v>
      </x:c>
      <x:c r="C6" s="30" t="n">
        <x:f>COUNTIF('01_材料总表'!R5:R72,"重复")</x:f>
        <x:v>0</x:v>
      </x:c>
      <x:c r="D6" s="30" t="n">
        <x:v>0</x:v>
      </x:c>
      <x:c r="E6" s="30" t="str">
        <x:f>IF(C6=D6,"正常","阻断/待处理")</x:f>
        <x:v>正常</x:v>
      </x:c>
      <x:c r="F6" s="30" t="str">
        <x:v>主设计</x:v>
      </x:c>
      <x:c r="G6" s="29" t="str">
        <x:v>由公式统计</x:v>
      </x:c>
      <x:c r="H6" s="29" t="str">
        <x:v>必须为0</x:v>
      </x:c>
    </x:row>
    <x:row r="7" ht="28.5" customHeight="1">
      <x:c r="A7" s="30" t="str">
        <x:v>材料名称重复</x:v>
      </x:c>
      <x:c r="B7" s="30" t="str">
        <x:v>01页</x:v>
      </x:c>
      <x:c r="C7" s="30" t="n">
        <x:f>COUNTIF('01_材料总表'!S5:S72,"重名")</x:f>
        <x:v>0</x:v>
      </x:c>
      <x:c r="D7" s="30" t="n">
        <x:v>0</x:v>
      </x:c>
      <x:c r="E7" s="30" t="str">
        <x:f>IF(C7=D7,"正常","阻断/待处理")</x:f>
        <x:v>正常</x:v>
      </x:c>
      <x:c r="F7" s="30" t="str">
        <x:v>主设计</x:v>
      </x:c>
      <x:c r="G7" s="29" t="str">
        <x:v>由公式统计</x:v>
      </x:c>
      <x:c r="H7" s="29" t="str">
        <x:v>同名旧资产只能复用，不得新建</x:v>
      </x:c>
    </x:row>
    <x:row r="8" ht="28.5" customHeight="1">
      <x:c r="A8" s="30" t="str">
        <x:v>实际Idx待回填</x:v>
      </x:c>
      <x:c r="B8" s="30" t="str">
        <x:v>07页</x:v>
      </x:c>
      <x:c r="C8" s="30" t="n">
        <x:f>COUNTIF('07_ID登记'!T5:T87,"待回填")</x:f>
        <x:v>68</x:v>
      </x:c>
      <x:c r="D8" s="30" t="n">
        <x:v>0</x:v>
      </x:c>
      <x:c r="E8" s="30" t="str">
        <x:f>IF(C8=D8,"正常","阻断/待处理")</x:f>
        <x:v>阻断/待处理</x:v>
      </x:c>
      <x:c r="F8" s="30" t="str">
        <x:v>脚本窗口</x:v>
      </x:c>
      <x:c r="G8" s="29" t="str">
        <x:v>68个已命名材料</x:v>
      </x:c>
      <x:c r="H8" s="29" t="str">
        <x:v>扫描数据库并回填</x:v>
      </x:c>
    </x:row>
    <x:row r="9" ht="28.5" customHeight="1">
      <x:c r="A9" s="30" t="str">
        <x:v>实际编号重复</x:v>
      </x:c>
      <x:c r="B9" s="30" t="str">
        <x:v>07页</x:v>
      </x:c>
      <x:c r="C9" s="30" t="n">
        <x:f>COUNTIF('07_ID登记'!T5:T87,"实际编号重复")</x:f>
        <x:v>0</x:v>
      </x:c>
      <x:c r="D9" s="30" t="n">
        <x:v>0</x:v>
      </x:c>
      <x:c r="E9" s="30" t="str">
        <x:f>IF(C9=D9,"正常","阻断/待处理")</x:f>
        <x:v>正常</x:v>
      </x:c>
      <x:c r="F9" s="30" t="str">
        <x:v>脚本窗口</x:v>
      </x:c>
      <x:c r="G9" s="29" t="str">
        <x:v>由公式统计</x:v>
      </x:c>
      <x:c r="H9" s="29" t="str">
        <x:v>冲突编号永久停用或重新分配</x:v>
      </x:c>
    </x:row>
    <x:row r="10" ht="28.5" customHeight="1">
      <x:c r="A10" s="30" t="str">
        <x:v>NPC坐标缺失</x:v>
      </x:c>
      <x:c r="B10" s="30" t="str">
        <x:v>05页</x:v>
      </x:c>
      <x:c r="C10" s="30" t="n">
        <x:f>COUNTIF('05_NPC任务'!R5:R38,"坐标缺失")</x:f>
        <x:v>34</x:v>
      </x:c>
      <x:c r="D10" s="30" t="n">
        <x:v>0</x:v>
      </x:c>
      <x:c r="E10" s="30" t="str">
        <x:f>IF(C10=D10,"正常","阻断/待处理")</x:f>
        <x:v>阻断/待处理</x:v>
      </x:c>
      <x:c r="F10" s="30" t="str">
        <x:v>脚本窗口</x:v>
      </x:c>
      <x:c r="G10" s="29" t="str">
        <x:v>称号10＋四证8＋合成8＋既有任务8</x:v>
      </x:c>
      <x:c r="H10" s="29" t="str">
        <x:v>实图选择可行走点</x:v>
      </x:c>
    </x:row>
    <x:row r="11" ht="28.5" customHeight="1">
      <x:c r="A11" s="30" t="str">
        <x:v>材料来源地图号缺失</x:v>
      </x:c>
      <x:c r="B11" s="30" t="str">
        <x:v>02页</x:v>
      </x:c>
      <x:c r="C11" s="30" t="n">
        <x:f>COUNTBLANK('02_来源与掉率'!G41:G72)</x:f>
        <x:v>0</x:v>
      </x:c>
      <x:c r="D11" s="30" t="n">
        <x:v>0</x:v>
      </x:c>
      <x:c r="E11" s="30" t="str">
        <x:f>IF(C11=D11,"正常","阻断/待处理")</x:f>
        <x:v>正常</x:v>
      </x:c>
      <x:c r="F11" s="30" t="str">
        <x:v>怪物窗口</x:v>
      </x:c>
      <x:c r="G11" s="29" t="str">
        <x:v>既有资产回读项除外</x:v>
      </x:c>
      <x:c r="H11" s="29" t="str">
        <x:v>绑定准确地图/层</x:v>
      </x:c>
    </x:row>
    <x:row r="12" ht="28.5" customHeight="1">
      <x:c r="A12" s="30" t="str">
        <x:v>强合成预算差额</x:v>
      </x:c>
      <x:c r="B12" s="30" t="str">
        <x:v>04页</x:v>
      </x:c>
      <x:c r="C12" s="30" t="n">
        <x:f>COUNTIF('04_强合成配方'!H19:H26,"需校正")</x:f>
        <x:v>0</x:v>
      </x:c>
      <x:c r="D12" s="30" t="n">
        <x:v>0</x:v>
      </x:c>
      <x:c r="E12" s="30" t="str">
        <x:f>IF(C12=D12,"正常","阻断/待处理")</x:f>
        <x:v>正常</x:v>
      </x:c>
      <x:c r="F12" s="30" t="str">
        <x:v>主设计</x:v>
      </x:c>
      <x:c r="G12" s="29" t="str">
        <x:v>C03—C10八大陆</x:v>
      </x:c>
      <x:c r="H12" s="29" t="str">
        <x:v>差额必须为0</x:v>
      </x:c>
    </x:row>
    <x:row r="14" ht="21" customHeight="1">
      <x:c r="A14" s="18" t="str">
        <x:v>传送坐标缺口（每轮必须复核）</x:v>
      </x:c>
      <x:c r="B14" s="18" t="str">
        <x:v>传送坐标缺口（每轮必须复核）</x:v>
      </x:c>
      <x:c r="C14" s="18" t="str">
        <x:v>传送坐标缺口（每轮必须复核）</x:v>
      </x:c>
      <x:c r="D14" s="18" t="str">
        <x:v>传送坐标缺口（每轮必须复核）</x:v>
      </x:c>
      <x:c r="E14" s="18" t="str">
        <x:v>传送坐标缺口（每轮必须复核）</x:v>
      </x:c>
      <x:c r="F14" s="18" t="str">
        <x:v>传送坐标缺口（每轮必须复核）</x:v>
      </x:c>
      <x:c r="G14" s="18" t="str">
        <x:v>传送坐标缺口（每轮必须复核）</x:v>
      </x:c>
      <x:c r="H14" s="18" t="str">
        <x:v>传送坐标缺口（每轮必须复核）</x:v>
      </x:c>
    </x:row>
    <x:row r="15" ht="24" customHeight="1">
      <x:c r="A15" s="36" t="str">
        <x:v>对象</x:v>
      </x:c>
      <x:c r="B15" s="36" t="str">
        <x:v>大陆</x:v>
      </x:c>
      <x:c r="C15" s="36" t="str">
        <x:v>缺失内容</x:v>
      </x:c>
      <x:c r="D15" s="36" t="str">
        <x:v>数量口径</x:v>
      </x:c>
      <x:c r="E15" s="36" t="str">
        <x:v>状态</x:v>
      </x:c>
      <x:c r="F15" s="36" t="str">
        <x:v>影响</x:v>
      </x:c>
      <x:c r="G15" s="36" t="str">
        <x:v>负责人</x:v>
      </x:c>
      <x:c r="H15" s="36" t="str">
        <x:v>备注</x:v>
      </x:c>
    </x:row>
    <x:row r="16" ht="31.5" customHeight="1">
      <x:c r="A16" s="30" t="str">
        <x:v>XX113↔XX112</x:v>
      </x:c>
      <x:c r="B16" s="30" t="str">
        <x:v>C01</x:v>
      </x:c>
      <x:c r="C16" s="30" t="str">
        <x:v>双方触发点与双方落点共8坐标缺失</x:v>
      </x:c>
      <x:c r="D16" s="30" t="n">
        <x:v>1</x:v>
      </x:c>
      <x:c r="E16" s="30" t="str">
        <x:v>待配置</x:v>
      </x:c>
      <x:c r="F16" s="30" t="str">
        <x:v>阻断该连接部署</x:v>
      </x:c>
      <x:c r="G16" s="30" t="str">
        <x:v>地图/脚本</x:v>
      </x:c>
      <x:c r="H16" s="30" t="str">
        <x:v>地图大小不检查</x:v>
      </x:c>
    </x:row>
    <x:row r="17" ht="31.5" customHeight="1">
      <x:c r="A17" s="30" t="str">
        <x:v>XX112↔XX330</x:v>
      </x:c>
      <x:c r="B17" s="30" t="str">
        <x:v>C01</x:v>
      </x:c>
      <x:c r="C17" s="30" t="str">
        <x:v>双方触发点与双方落点共8坐标缺失</x:v>
      </x:c>
      <x:c r="D17" s="30" t="n">
        <x:v>1</x:v>
      </x:c>
      <x:c r="E17" s="30" t="str">
        <x:v>待配置</x:v>
      </x:c>
      <x:c r="F17" s="30" t="str">
        <x:v>阻断该连接部署</x:v>
      </x:c>
      <x:c r="G17" s="30" t="str">
        <x:v>地图/脚本</x:v>
      </x:c>
      <x:c r="H17" s="30" t="str">
        <x:v>地图大小不检查</x:v>
      </x:c>
    </x:row>
    <x:row r="18" ht="31.5" customHeight="1">
      <x:c r="A18" s="30" t="str">
        <x:v>XX246↔XX101</x:v>
      </x:c>
      <x:c r="B18" s="30" t="str">
        <x:v>C02</x:v>
      </x:c>
      <x:c r="C18" s="30" t="str">
        <x:v>仅XX101最终防反弹落点X/Y缺失</x:v>
      </x:c>
      <x:c r="D18" s="30" t="n">
        <x:v>1</x:v>
      </x:c>
      <x:c r="E18" s="30" t="str">
        <x:v>待配置</x:v>
      </x:c>
      <x:c r="F18" s="30" t="str">
        <x:v>阻断该连接最终验收</x:v>
      </x:c>
      <x:c r="G18" s="30" t="str">
        <x:v>地图/脚本</x:v>
      </x:c>
      <x:c r="H18" s="30" t="str">
        <x:v>其余坐标已具备</x:v>
      </x:c>
    </x:row>
    <x:row r="19" ht="31.5" customHeight="1">
      <x:c r="A19" s="30" t="str">
        <x:v>C09 17条组内关系</x:v>
      </x:c>
      <x:c r="B19" s="30" t="str">
        <x:v>C09</x:v>
      </x:c>
      <x:c r="C19" s="30" t="str">
        <x:v>17条关系触发点/落点均缺</x:v>
      </x:c>
      <x:c r="D19" s="30" t="n">
        <x:v>17</x:v>
      </x:c>
      <x:c r="E19" s="30" t="str">
        <x:v>待配置</x:v>
      </x:c>
      <x:c r="F19" s="30" t="str">
        <x:v>阻断C09传送部署</x:v>
      </x:c>
      <x:c r="G19" s="30" t="str">
        <x:v>地图/脚本</x:v>
      </x:c>
      <x:c r="H19" s="30" t="str">
        <x:v>地图顺序已锁</x:v>
      </x:c>
    </x:row>
    <x:row r="20" ht="31.5" customHeight="1">
      <x:c r="A20" s="30" t="str">
        <x:v>C10 14条组内关系</x:v>
      </x:c>
      <x:c r="B20" s="30" t="str">
        <x:v>C10</x:v>
      </x:c>
      <x:c r="C20" s="30" t="str">
        <x:v>14条关系触发点/落点均缺</x:v>
      </x:c>
      <x:c r="D20" s="30" t="n">
        <x:v>14</x:v>
      </x:c>
      <x:c r="E20" s="30" t="str">
        <x:v>待配置</x:v>
      </x:c>
      <x:c r="F20" s="30" t="str">
        <x:v>阻断C10传送部署</x:v>
      </x:c>
      <x:c r="G20" s="30" t="str">
        <x:v>地图/脚本</x:v>
      </x:c>
      <x:c r="H20" s="30" t="str">
        <x:v>地图顺序已锁</x:v>
      </x:c>
    </x:row>
    <x:row r="22" ht="21" customHeight="1">
      <x:c r="A22" s="18" t="str">
        <x:v>地图号与装备来源编号冲突</x:v>
      </x:c>
      <x:c r="B22" s="18" t="str">
        <x:v>地图号与装备来源编号冲突</x:v>
      </x:c>
      <x:c r="C22" s="18" t="str">
        <x:v>地图号与装备来源编号冲突</x:v>
      </x:c>
      <x:c r="D22" s="18" t="str">
        <x:v>地图号与装备来源编号冲突</x:v>
      </x:c>
      <x:c r="E22" s="18" t="str">
        <x:v>地图号与装备来源编号冲突</x:v>
      </x:c>
      <x:c r="F22" s="18" t="str">
        <x:v>地图号与装备来源编号冲突</x:v>
      </x:c>
      <x:c r="G22" s="18" t="str">
        <x:v>地图号与装备来源编号冲突</x:v>
      </x:c>
      <x:c r="H22" s="18" t="str">
        <x:v>地图号与装备来源编号冲突</x:v>
      </x:c>
    </x:row>
    <x:row r="23" ht="24" customHeight="1">
      <x:c r="A23" s="36" t="str">
        <x:v>地图对象</x:v>
      </x:c>
      <x:c r="B23" s="36" t="str">
        <x:v>装备对象</x:v>
      </x:c>
      <x:c r="C23" s="36" t="str">
        <x:v>旧来源号</x:v>
      </x:c>
      <x:c r="D23" s="36" t="str">
        <x:v>新来源号</x:v>
      </x:c>
      <x:c r="E23" s="36" t="str">
        <x:v>替代资源</x:v>
      </x:c>
      <x:c r="F23" s="36" t="str">
        <x:v>状态</x:v>
      </x:c>
      <x:c r="G23" s="36" t="str">
        <x:v>验证</x:v>
      </x:c>
      <x:c r="H23" s="36" t="str">
        <x:v>备注</x:v>
      </x:c>
    </x:row>
    <x:row r="24" ht="30" customHeight="1">
      <x:c r="A24" s="30" t="str">
        <x:v>XX821 黄金矿道</x:v>
      </x:c>
      <x:c r="B24" s="30" t="str">
        <x:v>褪色旅人战靴</x:v>
      </x:c>
      <x:c r="C24" s="30" t="n">
        <x:v>821</x:v>
      </x:c>
      <x:c r="D24" s="30" t="n">
        <x:v>6407</x:v>
      </x:c>
      <x:c r="E24" s="30" t="str">
        <x:v>黄金圣树·初誓/鞋子</x:v>
      </x:c>
      <x:c r="F24" s="30" t="str">
        <x:v>替代号已锁</x:v>
      </x:c>
      <x:c r="G24" s="30" t="str">
        <x:v>三库同码预检通过</x:v>
      </x:c>
      <x:c r="H24" s="30" t="str">
        <x:v>地图号保留；待回写装备表</x:v>
      </x:c>
    </x:row>
    <x:row r="25" ht="30" customHeight="1">
      <x:c r="A25" s="30" t="str">
        <x:v>XX823 深层矿井</x:v>
      </x:c>
      <x:c r="B25" s="30" t="str">
        <x:v>褪色旅人项链</x:v>
      </x:c>
      <x:c r="C25" s="30" t="n">
        <x:v>823</x:v>
      </x:c>
      <x:c r="D25" s="30" t="n">
        <x:v>6401</x:v>
      </x:c>
      <x:c r="E25" s="30" t="str">
        <x:v>黄金圣树·初誓/项链</x:v>
      </x:c>
      <x:c r="F25" s="30" t="str">
        <x:v>替代号已锁</x:v>
      </x:c>
      <x:c r="G25" s="30" t="str">
        <x:v>三库同码预检通过</x:v>
      </x:c>
      <x:c r="H25" s="30" t="str">
        <x:v>地图号保留；待回写装备表</x:v>
      </x:c>
    </x:row>
    <x:row r="26" ht="30" customHeight="1">
      <x:c r="A26" s="30" t="str">
        <x:v>XX824 矿脉核心</x:v>
      </x:c>
      <x:c r="B26" s="30" t="str">
        <x:v>褪色旅人戒指</x:v>
      </x:c>
      <x:c r="C26" s="30" t="n">
        <x:v>824</x:v>
      </x:c>
      <x:c r="D26" s="30" t="n">
        <x:v>6403</x:v>
      </x:c>
      <x:c r="E26" s="30" t="str">
        <x:v>黄金圣树·初誓/戒指</x:v>
      </x:c>
      <x:c r="F26" s="30" t="str">
        <x:v>替代号已锁</x:v>
      </x:c>
      <x:c r="G26" s="30" t="str">
        <x:v>三库同码预检通过</x:v>
      </x:c>
      <x:c r="H26" s="30" t="str">
        <x:v>地图号保留；待回写装备表</x:v>
      </x:c>
    </x:row>
    <x:row r="28" ht="21" customHeight="1">
      <x:c r="A28" s="18" t="str">
        <x:v>名称与地图组待统一</x:v>
      </x:c>
      <x:c r="B28" s="18" t="str">
        <x:v>名称与地图组待统一</x:v>
      </x:c>
      <x:c r="C28" s="18" t="str">
        <x:v>名称与地图组待统一</x:v>
      </x:c>
      <x:c r="D28" s="18" t="str">
        <x:v>名称与地图组待统一</x:v>
      </x:c>
      <x:c r="E28" s="18" t="str">
        <x:v>名称与地图组待统一</x:v>
      </x:c>
      <x:c r="F28" s="18" t="str">
        <x:v>名称与地图组待统一</x:v>
      </x:c>
      <x:c r="G28" s="18" t="str">
        <x:v>名称与地图组待统一</x:v>
      </x:c>
      <x:c r="H28" s="18" t="str">
        <x:v>名称与地图组待统一</x:v>
      </x:c>
    </x:row>
    <x:row r="29" ht="24" customHeight="1">
      <x:c r="A29" s="36" t="str">
        <x:v>对象</x:v>
      </x:c>
      <x:c r="B29" s="36" t="str">
        <x:v>旧/工作名</x:v>
      </x:c>
      <x:c r="C29" s="36" t="str">
        <x:v>当前采用</x:v>
      </x:c>
      <x:c r="D29" s="36" t="str">
        <x:v>状态</x:v>
      </x:c>
      <x:c r="E29" s="36" t="str">
        <x:v>依据</x:v>
      </x:c>
      <x:c r="F29" s="36" t="str">
        <x:v>阻断范围</x:v>
      </x:c>
      <x:c r="G29" s="36" t="str">
        <x:v>负责人</x:v>
      </x:c>
      <x:c r="H29" s="36" t="str">
        <x:v>说明</x:v>
      </x:c>
    </x:row>
    <x:row r="30" ht="31.5" customHeight="1">
      <x:c r="A30" s="30" t="str">
        <x:v>C01-G02</x:v>
      </x:c>
      <x:c r="B30" s="30" t="str">
        <x:v>风暴断礁</x:v>
      </x:c>
      <x:c r="C30" s="30" t="str">
        <x:v>风暴断崖</x:v>
      </x:c>
      <x:c r="D30" s="30" t="str">
        <x:v>正式替代</x:v>
      </x:c>
      <x:c r="E30" s="30" t="str">
        <x:v>当前规格</x:v>
      </x:c>
      <x:c r="F30" s="30" t="str">
        <x:v>旧地图表回写</x:v>
      </x:c>
      <x:c r="G30" s="30" t="str">
        <x:v>地图窗口</x:v>
      </x:c>
      <x:c r="H30" s="30" t="str">
        <x:v>不得再生成风暴断礁</x:v>
      </x:c>
    </x:row>
    <x:row r="31" ht="31.5" customHeight="1">
      <x:c r="A31" s="30" t="str">
        <x:v>XX319</x:v>
      </x:c>
      <x:c r="B31" s="30" t="str">
        <x:v>寒眠裂谷</x:v>
      </x:c>
      <x:c r="C31" s="30" t="str">
        <x:v>寒峰裂谷</x:v>
      </x:c>
      <x:c r="D31" s="30" t="str">
        <x:v>待统一</x:v>
      </x:c>
      <x:c r="E31" s="30" t="str">
        <x:v>地图外显总表优先</x:v>
      </x:c>
      <x:c r="F31" s="30" t="str">
        <x:v>spec旧称回写</x:v>
      </x:c>
      <x:c r="G31" s="30" t="str">
        <x:v>地图窗口</x:v>
      </x:c>
      <x:c r="H31" s="30" t="str">
        <x:v>本表采用寒峰裂谷</x:v>
      </x:c>
    </x:row>
    <x:row r="32" ht="31.5" customHeight="1">
      <x:c r="A32" s="30" t="str">
        <x:v>C09/C10九个地图组</x:v>
      </x:c>
      <x:c r="B32" s="30" t="str">
        <x:v>工作名/首图名</x:v>
      </x:c>
      <x:c r="C32" s="30" t="str">
        <x:v>地图序列已锁；正式组名待maps.json</x:v>
      </x:c>
      <x:c r="D32" s="30" t="str">
        <x:v>待Codex核实</x:v>
      </x:c>
      <x:c r="E32" s="30" t="str">
        <x:v>现有总账未完整落名</x:v>
      </x:c>
      <x:c r="F32" s="30" t="str">
        <x:v>部署与怪名最终化</x:v>
      </x:c>
      <x:c r="G32" s="30" t="str">
        <x:v>地图/怪物</x:v>
      </x:c>
      <x:c r="H32" s="30" t="str">
        <x:v>不得把工作名写成已确认</x:v>
      </x:c>
    </x:row>
    <x:row r="34" ht="21" customHeight="1">
      <x:c r="A34" s="18" t="str">
        <x:v>方案替代关系</x:v>
      </x:c>
      <x:c r="B34" s="18" t="str">
        <x:v>方案替代关系</x:v>
      </x:c>
      <x:c r="C34" s="18" t="str">
        <x:v>方案替代关系</x:v>
      </x:c>
      <x:c r="D34" s="18" t="str">
        <x:v>方案替代关系</x:v>
      </x:c>
      <x:c r="E34" s="18" t="str">
        <x:v>方案替代关系</x:v>
      </x:c>
      <x:c r="F34" s="18" t="str">
        <x:v>方案替代关系</x:v>
      </x:c>
      <x:c r="G34" s="18" t="str">
        <x:v>方案替代关系</x:v>
      </x:c>
      <x:c r="H34" s="18" t="str">
        <x:v>方案替代关系</x:v>
      </x:c>
    </x:row>
    <x:row r="35" ht="24" customHeight="1">
      <x:c r="A35" s="36" t="str">
        <x:v>变更</x:v>
      </x:c>
      <x:c r="B35" s="36" t="str">
        <x:v>原方案</x:v>
      </x:c>
      <x:c r="C35" s="36" t="str">
        <x:v>现方案</x:v>
      </x:c>
      <x:c r="D35" s="36" t="str">
        <x:v>保留内容</x:v>
      </x:c>
      <x:c r="E35" s="36" t="str">
        <x:v>受影响对象</x:v>
      </x:c>
      <x:c r="F35" s="36" t="str">
        <x:v>状态</x:v>
      </x:c>
      <x:c r="G35" s="36" t="str">
        <x:v>不得恢复</x:v>
      </x:c>
      <x:c r="H35" s="36" t="str">
        <x:v>备注</x:v>
      </x:c>
    </x:row>
    <x:row r="36" ht="40.5" customHeight="1">
      <x:c r="A36" s="29" t="str">
        <x:v>称号韧性</x:v>
      </x:c>
      <x:c r="B36" s="29" t="str">
        <x:v>每地图魂魄NPC直接发称号/永久韧性</x:v>
      </x:c>
      <x:c r="C36" s="29" t="str">
        <x:v>每大陆1名材料＋货币五阶段称号NPC</x:v>
      </x:c>
      <x:c r="D36" s="29" t="str">
        <x:v>既有任务/NPC/剧情/材料资产</x:v>
      </x:c>
      <x:c r="E36" s="29" t="str">
        <x:v>C01—C10</x:v>
      </x:c>
      <x:c r="F36" s="29" t="str">
        <x:v>已替代</x:v>
      </x:c>
      <x:c r="G36" s="29" t="str">
        <x:v>魂魄直升韧性/处决</x:v>
      </x:c>
      <x:c r="H36" s="29" t="str">
        <x:v>衣服与时装衣服仍可有韧性</x:v>
      </x:c>
    </x:row>
    <x:row r="37" ht="40.5" customHeight="1">
      <x:c r="A37" s="29" t="str">
        <x:v>合成NPC位置</x:v>
      </x:c>
      <x:c r="B37" s="29" t="str">
        <x:v>C03—C10合成NPC放内地图</x:v>
      </x:c>
      <x:c r="C37" s="29" t="str">
        <x:v>全大陆材料配方改放赐福点附近4—8坐标</x:v>
      </x:c>
      <x:c r="D37" s="29" t="str">
        <x:v>原内地图可保留剧情/支线用途</x:v>
      </x:c>
      <x:c r="E37" s="29" t="str">
        <x:v>8名合成NPC</x:v>
      </x:c>
      <x:c r="F37" s="29" t="str">
        <x:v>本轮替代</x:v>
      </x:c>
      <x:c r="G37" s="29" t="str">
        <x:v>编造坐标</x:v>
      </x:c>
      <x:c r="H37" s="29" t="str">
        <x:v>以用户最新位置规则为准</x:v>
      </x:c>
    </x:row>
    <x:row r="38" ht="40.5" customHeight="1">
      <x:c r="A38" s="29" t="str">
        <x:v>最大爆率分配</x:v>
      </x:c>
      <x:c r="B38" s="29" t="str">
        <x:v>11强合成独占本大陆装备最大爆率增量</x:v>
      </x:c>
      <x:c r="C38" s="29" t="str">
        <x:v>强合成＋四证奖励共同占用，合计不变</x:v>
      </x:c>
      <x:c r="D38" s="29" t="str">
        <x:v>人物M与大陆总预算</x:v>
      </x:c>
      <x:c r="E38" s="29" t="str">
        <x:v>C03—C10</x:v>
      </x:c>
      <x:c r="F38" s="29" t="str">
        <x:v>本轮替代</x:v>
      </x:c>
      <x:c r="G38" s="29" t="str">
        <x:v>把奖励爆率额外叠加</x:v>
      </x:c>
      <x:c r="H38" s="29" t="str">
        <x:v>04页预算差额必须为0</x:v>
      </x:c>
    </x:row>
    <x:row r="39" ht="40.5" customHeight="1">
      <x:c r="A39" s="29" t="str">
        <x:v>材料命名</x:v>
      </x:c>
      <x:c r="B39" s="29" t="str">
        <x:v>以XX怪魂魄作任务凭证</x:v>
      </x:c>
      <x:c r="C39" s="29" t="str">
        <x:v>实体证物：羽、火漆、钥、旗冠等32种</x:v>
      </x:c>
      <x:c r="D39" s="29" t="str">
        <x:v>任务收集与一次完成逻辑</x:v>
      </x:c>
      <x:c r="E39" s="29" t="str">
        <x:v>C03—C10四证任务</x:v>
      </x:c>
      <x:c r="F39" s="29" t="str">
        <x:v>本轮替代</x:v>
      </x:c>
      <x:c r="G39" s="29" t="str">
        <x:v>XX怪魂魄式批量命名</x:v>
      </x:c>
      <x:c r="H39" s="29" t="str">
        <x:v>Boss类仍可首杀固定发</x:v>
      </x:c>
    </x:row>
  </x:sheetData>
  <x:mergeCells>
    <x:mergeCell ref="A1:H1"/>
    <x:mergeCell ref="A2:H2"/>
    <x:mergeCell ref="A4:H4"/>
    <x:mergeCell ref="A14:H14"/>
    <x:mergeCell ref="A22:H22"/>
    <x:mergeCell ref="A28:H28"/>
    <x:mergeCell ref="A34:H34"/>
  </x:mergeCells>
  <x:conditionalFormatting sqref="E6:E12">
    <x:cfRule type="containsText" dxfId="70" priority="1" operator="containsText" text="已确认"/>
    <x:cfRule type="containsText" dxfId="71" priority="2" operator="containsText" text="定稿"/>
    <x:cfRule type="containsText" dxfId="72" priority="3" operator="containsText" text="正常"/>
    <x:cfRule type="containsText" dxfId="73" priority="4" operator="containsText" text="待"/>
    <x:cfRule type="containsText" dxfId="74" priority="5" operator="containsText" text="缺失"/>
    <x:cfRule type="containsText" dxfId="75" priority="6" operator="containsText" text="重复"/>
    <x:cfRule type="containsText" dxfId="76" priority="7" operator="containsText" text="严重"/>
  </x:conditionalFormatting>
  <x:conditionalFormatting sqref="E16:E20">
    <x:cfRule type="containsText" dxfId="77" priority="8" operator="containsText" text="已确认"/>
    <x:cfRule type="containsText" dxfId="78" priority="9" operator="containsText" text="定稿"/>
    <x:cfRule type="containsText" dxfId="79" priority="10" operator="containsText" text="正常"/>
    <x:cfRule type="containsText" dxfId="80" priority="11" operator="containsText" text="待"/>
    <x:cfRule type="containsText" dxfId="81" priority="12" operator="containsText" text="缺失"/>
    <x:cfRule type="containsText" dxfId="82" priority="13" operator="containsText" text="重复"/>
    <x:cfRule type="containsText" dxfId="83" priority="14" operator="containsText" text="严重"/>
  </x:conditionalFormatting>
  <x:conditionalFormatting sqref="F24:F26">
    <x:cfRule type="containsText" dxfId="84" priority="15" operator="containsText" text="已确认"/>
    <x:cfRule type="containsText" dxfId="85" priority="16" operator="containsText" text="定稿"/>
    <x:cfRule type="containsText" dxfId="86" priority="17" operator="containsText" text="正常"/>
    <x:cfRule type="containsText" dxfId="87" priority="18" operator="containsText" text="待"/>
    <x:cfRule type="containsText" dxfId="88" priority="19" operator="containsText" text="缺失"/>
    <x:cfRule type="containsText" dxfId="89" priority="20" operator="containsText" text="重复"/>
    <x:cfRule type="containsText" dxfId="90" priority="21" operator="containsText" text="严重"/>
  </x:conditionalFormatting>
  <x:conditionalFormatting sqref="D30:D32">
    <x:cfRule type="containsText" dxfId="91" priority="22" operator="containsText" text="已确认"/>
    <x:cfRule type="containsText" dxfId="92" priority="23" operator="containsText" text="定稿"/>
    <x:cfRule type="containsText" dxfId="93" priority="24" operator="containsText" text="正常"/>
    <x:cfRule type="containsText" dxfId="94" priority="25" operator="containsText" text="待"/>
    <x:cfRule type="containsText" dxfId="95" priority="26" operator="containsText" text="缺失"/>
    <x:cfRule type="containsText" dxfId="96" priority="27" operator="containsText" text="重复"/>
    <x:cfRule type="containsText" dxfId="97" priority="28" operator="containsText" text="严重"/>
  </x:conditionalFormatting>
  <x:conditionalFormatting sqref="F36:F39">
    <x:cfRule type="containsText" dxfId="98" priority="29" operator="containsText" text="已确认"/>
    <x:cfRule type="containsText" dxfId="99" priority="30" operator="containsText" text="定稿"/>
    <x:cfRule type="containsText" dxfId="100" priority="31" operator="containsText" text="正常"/>
    <x:cfRule type="containsText" dxfId="101" priority="32" operator="containsText" text="待"/>
    <x:cfRule type="containsText" dxfId="102" priority="33" operator="containsText" text="缺失"/>
    <x:cfRule type="containsText" dxfId="103" priority="34" operator="containsText" text="重复"/>
    <x:cfRule type="containsText" dxfId="104" priority="35" operator="containsText" text="严重"/>
  </x:conditionalFormatting>
  <x:pageMargins left="0.7" right="0.7" top="0.75" bottom="0.75" header="0.3" footer="0.3"/>
</x:worksheet>
</file>