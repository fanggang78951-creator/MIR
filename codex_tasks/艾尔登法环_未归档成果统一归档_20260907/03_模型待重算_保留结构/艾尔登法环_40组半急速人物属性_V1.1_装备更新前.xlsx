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5ef398f75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果导览" sheetId="1" r:id="Rce82fa664be341d5"/>
    <x:sheet xmlns:r="http://schemas.openxmlformats.org/officeDocument/2006/relationships" name="13_参数与假设" sheetId="2" r:id="R27ade2903d8d4ec8"/>
    <x:sheet xmlns:r="http://schemas.openxmlformats.org/officeDocument/2006/relationships" name="02_属性来源" sheetId="3" r:id="Rb4be1bc472cc4681"/>
    <x:sheet xmlns:r="http://schemas.openxmlformats.org/officeDocument/2006/relationships" name="01_属性汇总" sheetId="4" r:id="R04a22d9eb47246b6"/>
    <x:sheet xmlns:r="http://schemas.openxmlformats.org/officeDocument/2006/relationships" name="03_战斗派生" sheetId="5" r:id="R03b118bb531d4f3b"/>
    <x:sheet xmlns:r="http://schemas.openxmlformats.org/officeDocument/2006/relationships" name="04_处决条件计算" sheetId="6" r:id="Rca74849b05d043fe"/>
    <x:sheet xmlns:r="http://schemas.openxmlformats.org/officeDocument/2006/relationships" name="05_逐件穿戴" sheetId="7" r:id="Rb43e2dcc80e148f5"/>
    <x:sheet xmlns:r="http://schemas.openxmlformats.org/officeDocument/2006/relationships" name="06_逐条洗练" sheetId="8" r:id="Red51e4125eeb4493"/>
    <x:sheet xmlns:r="http://schemas.openxmlformats.org/officeDocument/2006/relationships" name="07_已开槽全彩" sheetId="9" r:id="Rbb529eab3ee84d60"/>
    <x:sheet xmlns:r="http://schemas.openxmlformats.org/officeDocument/2006/relationships" name="08_成长进度" sheetId="10" r:id="R20a6c889ffa0439a"/>
    <x:sheet xmlns:r="http://schemas.openxmlformats.org/officeDocument/2006/relationships" name="09_图鉴核对" sheetId="11" r:id="R8c1953200de947cf"/>
    <x:sheet xmlns:r="http://schemas.openxmlformats.org/officeDocument/2006/relationships" name="10_自产需求" sheetId="12" r:id="R5c65e449fd8e4073"/>
    <x:sheet xmlns:r="http://schemas.openxmlformats.org/officeDocument/2006/relationships" name="11_支付分类账" sheetId="13" r:id="R979b68b239424ca9"/>
    <x:sheet xmlns:r="http://schemas.openxmlformats.org/officeDocument/2006/relationships" name="12_敏感性对照" sheetId="14" r:id="Ra0f1abbb89e24f59"/>
    <x:sheet xmlns:r="http://schemas.openxmlformats.org/officeDocument/2006/relationships" name="14_边界与发现" sheetId="15" r:id="R820914f43a424cca"/>
    <x:sheet xmlns:r="http://schemas.openxmlformats.org/officeDocument/2006/relationships" name="15_输入与校验" sheetId="16" r:id="R1207754819b6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####"/>
    <x:numFmt numFmtId="201" formatCode="#,##0.00"/>
    <x:numFmt numFmtId="202" formatCode="0.0%"/>
    <x:numFmt numFmtId="203" formatCode="0.00&quot;x&quot;"/>
    <x:numFmt numFmtId="204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8516B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1663A6"/>
      <x:name val="Carlito"/>
    </x:font>
    <x:font>
      <x:b/>
      <x:sz val="10"/>
      <x:color rgb="FF704F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D567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3" fillId="4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3" fillId="4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/>
    <x:xf numFmtId="203" fontId="3" fillId="4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3" fillId="4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ca1a972739440b" /><Relationship Type="http://schemas.openxmlformats.org/officeDocument/2006/relationships/theme" Target="/xl/theme/theme1.xml" Id="R69950a3f2aaa4788" /><Relationship Type="http://schemas.openxmlformats.org/officeDocument/2006/relationships/sharedStrings" Target="/xl/sharedStrings.xml" Id="R2c5f34a9cd104651" /><Relationship Type="http://schemas.openxmlformats.org/officeDocument/2006/relationships/worksheet" Target="/xl/worksheets/sheet1.xml" Id="Rce82fa664be341d5" /><Relationship Type="http://schemas.openxmlformats.org/officeDocument/2006/relationships/worksheet" Target="/xl/worksheets/sheet2.xml" Id="R27ade2903d8d4ec8" /><Relationship Type="http://schemas.openxmlformats.org/officeDocument/2006/relationships/worksheet" Target="/xl/worksheets/sheet3.xml" Id="Rb4be1bc472cc4681" /><Relationship Type="http://schemas.openxmlformats.org/officeDocument/2006/relationships/worksheet" Target="/xl/worksheets/sheet4.xml" Id="R04a22d9eb47246b6" /><Relationship Type="http://schemas.openxmlformats.org/officeDocument/2006/relationships/worksheet" Target="/xl/worksheets/sheet5.xml" Id="R03b118bb531d4f3b" /><Relationship Type="http://schemas.openxmlformats.org/officeDocument/2006/relationships/worksheet" Target="/xl/worksheets/sheet6.xml" Id="Rca74849b05d043fe" /><Relationship Type="http://schemas.openxmlformats.org/officeDocument/2006/relationships/worksheet" Target="/xl/worksheets/sheet7.xml" Id="Rb43e2dcc80e148f5" /><Relationship Type="http://schemas.openxmlformats.org/officeDocument/2006/relationships/worksheet" Target="/xl/worksheets/sheet8.xml" Id="Red51e4125eeb4493" /><Relationship Type="http://schemas.openxmlformats.org/officeDocument/2006/relationships/worksheet" Target="/xl/worksheets/sheet9.xml" Id="Rbb529eab3ee84d60" /><Relationship Type="http://schemas.openxmlformats.org/officeDocument/2006/relationships/worksheet" Target="/xl/worksheets/sheet10.xml" Id="R20a6c889ffa0439a" /><Relationship Type="http://schemas.openxmlformats.org/officeDocument/2006/relationships/worksheet" Target="/xl/worksheets/sheet11.xml" Id="R8c1953200de947cf" /><Relationship Type="http://schemas.openxmlformats.org/officeDocument/2006/relationships/worksheet" Target="/xl/worksheets/sheet12.xml" Id="R5c65e449fd8e4073" /><Relationship Type="http://schemas.openxmlformats.org/officeDocument/2006/relationships/worksheet" Target="/xl/worksheets/sheet13.xml" Id="R979b68b239424ca9" /><Relationship Type="http://schemas.openxmlformats.org/officeDocument/2006/relationships/worksheet" Target="/xl/worksheets/sheet14.xml" Id="Ra0f1abbb89e24f59" /><Relationship Type="http://schemas.openxmlformats.org/officeDocument/2006/relationships/worksheet" Target="/xl/worksheets/sheet15.xml" Id="R820914f43a424cca" /><Relationship Type="http://schemas.openxmlformats.org/officeDocument/2006/relationships/worksheet" Target="/xl/worksheets/sheet16.xml" Id="R1207754819b6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0" hidden="0" customWidth="1"/>
    <x:col min="3" max="3" width="10" hidden="0" customWidth="1"/>
    <x:col min="4" max="4" width="10" hidden="0" customWidth="1"/>
    <x:col min="5" max="5" width="22" hidden="0" customWidth="1"/>
    <x:col min="6" max="6" width="22" hidden="0" customWidth="1"/>
    <x:col min="7" max="7" width="24" hidden="0" customWidth="1"/>
    <x:col min="8" max="8" width="20" hidden="0" customWidth="1"/>
    <x:col min="9" max="9" width="19" hidden="0" customWidth="1"/>
    <x:col min="10" max="10" width="17" hidden="0" customWidth="1"/>
    <x:col min="11" max="11" width="15" hidden="0" customWidth="1"/>
  </x:cols>
  <x:sheetData>
    <x:row r="1" ht="29" customHeight="1">
      <x:c r="A1" s="4" t="str">
        <x:v>半急速人物属性｜40组计算结果 V1.1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3" customHeight="1">
      <x:c r="A2" s="11" t="str">
        <x:v>满充值、前两大陆使用既有灵符路径；装备材料自产。下面是半急速毕业样本，不含怪物防御/处决的有效常规DPS。其他30档及来源明细在各页。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19" t="str">
        <x:v>大陆</x:v>
      </x:c>
      <x:c r="B4" s="19" t="str">
        <x:v>全彩槽</x:v>
      </x:c>
      <x:c r="C4" s="19" t="str">
        <x:v>神印</x:v>
      </x:c>
      <x:c r="D4" s="19" t="str">
        <x:v>转生</x:v>
      </x:c>
      <x:c r="E4" s="19" t="str">
        <x:v>面板攻击上限</x:v>
      </x:c>
      <x:c r="F4" s="19" t="str">
        <x:v>HP</x:v>
      </x:c>
      <x:c r="G4" s="19" t="str">
        <x:v>常规DPS</x:v>
      </x:c>
      <x:c r="H4" s="19" t="str">
        <x:v>推算爆率倍数</x:v>
      </x:c>
      <x:c r="I4" s="19" t="str">
        <x:v>旧阶段目标</x:v>
      </x:c>
      <x:c r="J4" s="19" t="str">
        <x:v>压力DPS比</x:v>
      </x:c>
      <x:c r="K4" s="19" t="str">
        <x:v>状态</x:v>
      </x:c>
    </x:row>
    <x:row r="5">
      <x:c r="A5" s="25" t="str">
        <x:v>漂流群岛</x:v>
      </x:c>
      <x:c r="B5" s="25" t="n">
        <x:f>'08_成长进度'!F7</x:f>
        <x:v>1</x:v>
      </x:c>
      <x:c r="C5" s="25" t="n">
        <x:f>'08_成长进度'!G7</x:f>
        <x:v>0</x:v>
      </x:c>
      <x:c r="D5" s="25" t="n">
        <x:f>'08_成长进度'!H7</x:f>
        <x:v>0</x:v>
      </x:c>
      <x:c r="E5" s="40" t="n">
        <x:f>'03_战斗派生'!E7</x:f>
        <x:v>2624.16</x:v>
      </x:c>
      <x:c r="F5" s="40" t="n">
        <x:f>'03_战斗派生'!J7</x:f>
        <x:v>336733.2</x:v>
      </x:c>
      <x:c r="G5" s="40" t="n">
        <x:f>'03_战斗派生'!W7</x:f>
        <x:v>19497.38812656643</x:v>
      </x:c>
      <x:c r="H5" s="38" t="n">
        <x:f>'03_战斗派生'!AB7</x:f>
        <x:v>11.5</x:v>
      </x:c>
      <x:c r="I5" s="38" t="n">
        <x:v>12</x:v>
      </x:c>
      <x:c r="J5" s="38" t="n">
        <x:f>'03_战斗派生'!W8/'03_战斗派生'!W7</x:f>
        <x:v>3.54998923194514</x:v>
      </x:c>
      <x:c r="K5" s="25" t="str">
        <x:v>离线模型</x:v>
      </x:c>
    </x:row>
    <x:row r="6">
      <x:c r="A6" s="25" t="str">
        <x:v>宁姆格福</x:v>
      </x:c>
      <x:c r="B6" s="25" t="n">
        <x:f>'08_成长进度'!F11</x:f>
        <x:v>2</x:v>
      </x:c>
      <x:c r="C6" s="25" t="n">
        <x:f>'08_成长进度'!G11</x:f>
        <x:v>50</x:v>
      </x:c>
      <x:c r="D6" s="25" t="n">
        <x:f>'08_成长进度'!H11</x:f>
        <x:v>0</x:v>
      </x:c>
      <x:c r="E6" s="40" t="n">
        <x:f>'03_战斗派生'!E11</x:f>
        <x:v>46142.299999999996</x:v>
      </x:c>
      <x:c r="F6" s="40" t="n">
        <x:f>'03_战斗派生'!J11</x:f>
        <x:v>1333711.16</x:v>
      </x:c>
      <x:c r="G6" s="40" t="n">
        <x:f>'03_战斗派生'!W11</x:f>
        <x:v>696284.7878672007</x:v>
      </x:c>
      <x:c r="H6" s="38" t="n">
        <x:f>'03_战斗派生'!AB11</x:f>
        <x:v>18.134999999999998</x:v>
      </x:c>
      <x:c r="I6" s="38" t="n">
        <x:v>16</x:v>
      </x:c>
      <x:c r="J6" s="38" t="n">
        <x:f>'03_战斗派生'!W12/'03_战斗派生'!W11</x:f>
        <x:v>2.958751841215452</x:v>
      </x:c>
      <x:c r="K6" s="25" t="str">
        <x:v>离线模型</x:v>
      </x:c>
    </x:row>
    <x:row r="7">
      <x:c r="A7" s="25" t="str">
        <x:v>宁姆格福西域</x:v>
      </x:c>
      <x:c r="B7" s="25" t="n">
        <x:f>'08_成长进度'!F15</x:f>
        <x:v>3</x:v>
      </x:c>
      <x:c r="C7" s="25" t="n">
        <x:f>'08_成长进度'!G15</x:f>
        <x:v>80</x:v>
      </x:c>
      <x:c r="D7" s="25" t="n">
        <x:f>'08_成长进度'!H15</x:f>
        <x:v>0</x:v>
      </x:c>
      <x:c r="E7" s="40" t="n">
        <x:f>'03_战斗派生'!E15</x:f>
        <x:v>95594.16</x:v>
      </x:c>
      <x:c r="F7" s="40" t="n">
        <x:f>'03_战斗派生'!J15</x:f>
        <x:v>2893603.5000000005</x:v>
      </x:c>
      <x:c r="G7" s="40" t="n">
        <x:f>'03_战斗派生'!W15</x:f>
        <x:v>1888946.8885232934</x:v>
      </x:c>
      <x:c r="H7" s="38" t="n">
        <x:f>'03_战斗派生'!AB15</x:f>
        <x:v>22.015</x:v>
      </x:c>
      <x:c r="I7" s="38" t="n">
        <x:v>22</x:v>
      </x:c>
      <x:c r="J7" s="38" t="n">
        <x:f>'03_战斗派生'!W16/'03_战斗派生'!W15</x:f>
        <x:v>2.901541209182169</x:v>
      </x:c>
      <x:c r="K7" s="25" t="str">
        <x:v>离线模型</x:v>
      </x:c>
    </x:row>
    <x:row r="8">
      <x:c r="A8" s="25" t="str">
        <x:v>利耶尼亚海域</x:v>
      </x:c>
      <x:c r="B8" s="25" t="n">
        <x:f>'08_成长进度'!F19</x:f>
        <x:v>4</x:v>
      </x:c>
      <x:c r="C8" s="25" t="n">
        <x:f>'08_成长进度'!G19</x:f>
        <x:v>110</x:v>
      </x:c>
      <x:c r="D8" s="25" t="n">
        <x:f>'08_成长进度'!H19</x:f>
        <x:v>5</x:v>
      </x:c>
      <x:c r="E8" s="40" t="n">
        <x:f>'03_战斗派生'!E19</x:f>
        <x:v>157887</x:v>
      </x:c>
      <x:c r="F8" s="40" t="n">
        <x:f>'03_战斗派生'!J19</x:f>
        <x:v>4247264</x:v>
      </x:c>
      <x:c r="G8" s="40" t="n">
        <x:f>'03_战斗派生'!W19</x:f>
        <x:v>4835352.729665027</x:v>
      </x:c>
      <x:c r="H8" s="38" t="n">
        <x:f>'03_战斗派生'!AB19</x:f>
        <x:v>26.549999999999997</x:v>
      </x:c>
      <x:c r="I8" s="38" t="n">
        <x:v>30</x:v>
      </x:c>
      <x:c r="J8" s="38" t="n">
        <x:f>'03_战斗派生'!W20/'03_战斗派生'!W19</x:f>
        <x:v>3.8810182557896313</x:v>
      </x:c>
      <x:c r="K8" s="25" t="str">
        <x:v>离线模型</x:v>
      </x:c>
    </x:row>
    <x:row r="9">
      <x:c r="A9" s="25" t="str">
        <x:v>湖之利耶尼亚</x:v>
      </x:c>
      <x:c r="B9" s="25" t="n">
        <x:f>'08_成长进度'!F23</x:f>
        <x:v>5</x:v>
      </x:c>
      <x:c r="C9" s="25" t="n">
        <x:f>'08_成长进度'!G23</x:f>
        <x:v>140</x:v>
      </x:c>
      <x:c r="D9" s="25" t="n">
        <x:f>'08_成长进度'!H23</x:f>
        <x:v>5</x:v>
      </x:c>
      <x:c r="E9" s="40" t="n">
        <x:f>'03_战斗派生'!E23</x:f>
        <x:v>368351.12999999995</x:v>
      </x:c>
      <x:c r="F9" s="40" t="n">
        <x:f>'03_战斗派生'!J23</x:f>
        <x:v>7264422.000000001</x:v>
      </x:c>
      <x:c r="G9" s="40" t="n">
        <x:f>'03_战斗派生'!W23</x:f>
        <x:v>14304223.667567495</x:v>
      </x:c>
      <x:c r="H9" s="38" t="n">
        <x:f>'03_战斗派生'!AB23</x:f>
        <x:v>32.449999999999996</x:v>
      </x:c>
      <x:c r="I9" s="38" t="n">
        <x:v>40</x:v>
      </x:c>
      <x:c r="J9" s="38" t="n">
        <x:f>'03_战斗派生'!W24/'03_战斗派生'!W23</x:f>
        <x:v>3.0062486970020745</x:v>
      </x:c>
      <x:c r="K9" s="25" t="str">
        <x:v>离线模型</x:v>
      </x:c>
    </x:row>
    <x:row r="10">
      <x:c r="A10" s="25" t="str">
        <x:v>盖利德</x:v>
      </x:c>
      <x:c r="B10" s="25" t="n">
        <x:f>'08_成长进度'!F27</x:f>
        <x:v>6</x:v>
      </x:c>
      <x:c r="C10" s="25" t="n">
        <x:f>'08_成长进度'!G27</x:f>
        <x:v>170</x:v>
      </x:c>
      <x:c r="D10" s="25" t="n">
        <x:f>'08_成长进度'!H27</x:f>
        <x:v>10</x:v>
      </x:c>
      <x:c r="E10" s="40" t="n">
        <x:f>'03_战斗派生'!E27</x:f>
        <x:v>490128.34</x:v>
      </x:c>
      <x:c r="F10" s="40" t="n">
        <x:f>'03_战斗派生'!J27</x:f>
        <x:v>13999773</x:v>
      </x:c>
      <x:c r="G10" s="40" t="n">
        <x:f>'03_战斗派生'!W27</x:f>
        <x:v>24728433.649641156</x:v>
      </x:c>
      <x:c r="H10" s="38" t="n">
        <x:f>'03_战斗派生'!AB27</x:f>
        <x:v>39.864999999999995</x:v>
      </x:c>
      <x:c r="I10" s="38" t="n">
        <x:v>52</x:v>
      </x:c>
      <x:c r="J10" s="38" t="n">
        <x:f>'03_战斗派生'!W28/'03_战斗派生'!W27</x:f>
        <x:v>4.963091167960823</x:v>
      </x:c>
      <x:c r="K10" s="25" t="str">
        <x:v>离线模型</x:v>
      </x:c>
    </x:row>
    <x:row r="11">
      <x:c r="A11" s="25" t="str">
        <x:v>化圣雪原</x:v>
      </x:c>
      <x:c r="B11" s="25" t="n">
        <x:f>'08_成长进度'!F31</x:f>
        <x:v>6</x:v>
      </x:c>
      <x:c r="C11" s="25" t="n">
        <x:f>'08_成长进度'!G31</x:f>
        <x:v>195</x:v>
      </x:c>
      <x:c r="D11" s="25" t="n">
        <x:f>'08_成长进度'!H31</x:f>
        <x:v>10</x:v>
      </x:c>
      <x:c r="E11" s="40" t="n">
        <x:f>'03_战斗派生'!E31</x:f>
        <x:v>802784.4600000001</x:v>
      </x:c>
      <x:c r="F11" s="40" t="n">
        <x:f>'03_战斗派生'!J31</x:f>
        <x:v>19856312</x:v>
      </x:c>
      <x:c r="G11" s="40" t="n">
        <x:f>'03_战斗派生'!W31</x:f>
        <x:v>51335213.150519095</x:v>
      </x:c>
      <x:c r="H11" s="38" t="n">
        <x:f>'03_战斗派生'!AB31</x:f>
        <x:v>50.214999999999996</x:v>
      </x:c>
      <x:c r="I11" s="38" t="n">
        <x:v>65</x:v>
      </x:c>
      <x:c r="J11" s="38" t="n">
        <x:f>'03_战斗派生'!W32/'03_战斗派生'!W31</x:f>
        <x:v>4.100088909178788</x:v>
      </x:c>
      <x:c r="K11" s="25" t="str">
        <x:v>离线模型</x:v>
      </x:c>
    </x:row>
    <x:row r="12">
      <x:c r="A12" s="25" t="str">
        <x:v>巨人山顶</x:v>
      </x:c>
      <x:c r="B12" s="25" t="n">
        <x:f>'08_成长进度'!F35</x:f>
        <x:v>7</x:v>
      </x:c>
      <x:c r="C12" s="25" t="n">
        <x:f>'08_成长进度'!G35</x:f>
        <x:v>220</x:v>
      </x:c>
      <x:c r="D12" s="25" t="n">
        <x:f>'08_成长进度'!H35</x:f>
        <x:v>15</x:v>
      </x:c>
      <x:c r="E12" s="40" t="n">
        <x:f>'03_战斗派生'!E35</x:f>
        <x:v>1122575.26</x:v>
      </x:c>
      <x:c r="F12" s="40" t="n">
        <x:f>'03_战斗派生'!J35</x:f>
        <x:v>36328857</x:v>
      </x:c>
      <x:c r="G12" s="40" t="n">
        <x:f>'03_战斗派生'!W35</x:f>
        <x:v>85805644.52073114</x:v>
      </x:c>
      <x:c r="H12" s="38" t="n">
        <x:f>'03_战斗派生'!AB35</x:f>
        <x:v>62.115</x:v>
      </x:c>
      <x:c r="I12" s="38" t="n">
        <x:v>78</x:v>
      </x:c>
      <x:c r="J12" s="38" t="n">
        <x:f>'03_战斗派生'!W36/'03_战斗派生'!W35</x:f>
        <x:v>7.6321057878866</x:v>
      </x:c>
      <x:c r="K12" s="25" t="str">
        <x:v>离线模型</x:v>
      </x:c>
    </x:row>
    <x:row r="13">
      <x:c r="A13" s="25" t="str">
        <x:v>亚坛高原</x:v>
      </x:c>
      <x:c r="B13" s="25" t="n">
        <x:f>'08_成长进度'!F39</x:f>
        <x:v>7</x:v>
      </x:c>
      <x:c r="C13" s="25" t="n">
        <x:f>'08_成长进度'!G39</x:f>
        <x:v>240</x:v>
      </x:c>
      <x:c r="D13" s="25" t="n">
        <x:f>'08_成长进度'!H39</x:f>
        <x:v>15</x:v>
      </x:c>
      <x:c r="E13" s="40" t="n">
        <x:f>'03_战斗派生'!E39</x:f>
        <x:v>2162546.1</x:v>
      </x:c>
      <x:c r="F13" s="40" t="n">
        <x:f>'03_战斗派生'!J39</x:f>
        <x:v>59754738.99999999</x:v>
      </x:c>
      <x:c r="G13" s="40" t="n">
        <x:f>'03_战斗派生'!W39</x:f>
        <x:v>294352767.4683159</x:v>
      </x:c>
      <x:c r="H13" s="38" t="n">
        <x:f>'03_战斗派生'!AB39</x:f>
        <x:v>74.375</x:v>
      </x:c>
      <x:c r="I13" s="38" t="n">
        <x:v>90</x:v>
      </x:c>
      <x:c r="J13" s="38" t="n">
        <x:f>'03_战斗派生'!W40/'03_战斗派生'!W39</x:f>
        <x:v>6.089733757447963</x:v>
      </x:c>
      <x:c r="K13" s="25" t="str">
        <x:v>离线模型</x:v>
      </x:c>
    </x:row>
    <x:row r="14">
      <x:c r="A14" s="25" t="str">
        <x:v>王城罗德尔</x:v>
      </x:c>
      <x:c r="B14" s="25" t="n">
        <x:f>'08_成长进度'!F43</x:f>
        <x:v>8</x:v>
      </x:c>
      <x:c r="C14" s="25" t="n">
        <x:f>'08_成长进度'!G43</x:f>
        <x:v>255</x:v>
      </x:c>
      <x:c r="D14" s="25" t="n">
        <x:f>'08_成长进度'!H43</x:f>
        <x:v>20</x:v>
      </x:c>
      <x:c r="E14" s="40" t="n">
        <x:f>'03_战斗派生'!E43</x:f>
        <x:v>4078440.21</x:v>
      </x:c>
      <x:c r="F14" s="40" t="n">
        <x:f>'03_战斗派生'!J43</x:f>
        <x:v>91497335</x:v>
      </x:c>
      <x:c r="G14" s="40" t="n">
        <x:f>'03_战斗派生'!W43</x:f>
        <x:v>662460004.0483102</x:v>
      </x:c>
      <x:c r="H14" s="38" t="n">
        <x:f>'03_战斗派生'!AB43</x:f>
        <x:v>99.82</x:v>
      </x:c>
      <x:c r="I14" s="38" t="n">
        <x:v>100</x:v>
      </x:c>
      <x:c r="J14" s="38" t="n">
        <x:f>'03_战斗派生'!W44/'03_战斗派生'!W43</x:f>
        <x:v>7.615931394426475</x:v>
      </x:c>
      <x:c r="K14" s="25" t="str">
        <x:v>离线模型</x:v>
      </x:c>
    </x:row>
    <x:row r="17" ht="27" customHeight="1">
      <x:c r="A17" s="11" t="str">
        <x:v>本批是完整来源汇总与可复算情景，不是40个实服账号。命格开槽、部分付费路径和引擎单位采用明示假设；120/150/200倍只是压力情景，不是硬上限。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27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20" ht="32" customHeight="1">
      <x:c r="A20" s="56" t="str">
        <x:v>已算出：40组面板、3,374条来源、1,151条穿戴、逐条洗练、累计自产需求、400条敏感性。未做：561怪最终爆率、怪物HP/攻击、真实时间闭环及GitHub归档。</x:v>
      </x:c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</x:row>
    <x:row r="21" ht="32" customHeight="1">
      <x:c r="A21" s="56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</x:row>
  </x:sheetData>
  <x:mergeCells>
    <x:mergeCell ref="A1:K1"/>
    <x:mergeCell ref="A2:K2"/>
    <x:mergeCell ref="A17:K18"/>
    <x:mergeCell ref="A20:K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47" hidden="0" customWidth="1"/>
    <x:col min="4" max="4" width="47" hidden="0" customWidth="1"/>
    <x:col min="5" max="5" width="47" hidden="0" customWidth="1"/>
  </x:cols>
  <x:sheetData>
    <x:row r="1" ht="29" customHeight="1">
      <x:c r="A1" s="4" t="str">
        <x:v>计算参数｜蓝色数值为可替换假设或既有规则</x:v>
      </x:c>
      <x:c r="B1" s="4"/>
      <x:c r="C1" s="4"/>
      <x:c r="D1" s="4"/>
    </x:row>
    <x:row r="2" ht="43" customHeight="1">
      <x:c r="A2" s="11" t="str">
        <x:v>修改参数只重算派生值，不自动重新选择装备或模拟洗练。重新选配须运行build_profiles.py。</x:v>
      </x:c>
      <x:c r="B2" s="11"/>
      <x:c r="C2" s="11"/>
      <x:c r="D2" s="11"/>
    </x:row>
    <x:row r="4" ht="42" customHeight="1">
      <x:c r="A4" s="19" t="str">
        <x:v>参数</x:v>
      </x:c>
      <x:c r="B4" s="19" t="str">
        <x:v>数值</x:v>
      </x:c>
      <x:c r="C4" s="19" t="str">
        <x:v>单位</x:v>
      </x:c>
      <x:c r="D4" s="19" t="str">
        <x:v>来源等级</x:v>
      </x:c>
    </x:row>
    <x:row r="5">
      <x:c r="A5" s="25" t="str">
        <x:v>命中率</x:v>
      </x:c>
      <x:c r="B5" s="28" t="n">
        <x:v>0.95</x:v>
      </x:c>
      <x:c r="C5" s="25" t="str">
        <x:v>比率</x:v>
      </x:c>
      <x:c r="D5" s="25" t="str">
        <x:v>A10</x:v>
      </x:c>
    </x:row>
    <x:row r="6">
      <x:c r="A6" s="25" t="str">
        <x:v>有效输出时间</x:v>
      </x:c>
      <x:c r="B6" s="28" t="n">
        <x:v>0.8</x:v>
      </x:c>
      <x:c r="C6" s="25" t="str">
        <x:v>比率</x:v>
      </x:c>
      <x:c r="D6" s="25" t="str">
        <x:v>A10</x:v>
      </x:c>
    </x:row>
    <x:row r="7">
      <x:c r="A7" s="25" t="str">
        <x:v>攻击伤害每点换算</x:v>
      </x:c>
      <x:c r="B7" s="28" t="n">
        <x:v>0.01</x:v>
      </x:c>
      <x:c r="C7" s="25" t="str">
        <x:v>每点增幅</x:v>
      </x:c>
      <x:c r="D7" s="25" t="str">
        <x:v>A11</x:v>
      </x:c>
    </x:row>
    <x:row r="8">
      <x:c r="A8" s="25" t="str">
        <x:v>人物爆率每点主换算</x:v>
      </x:c>
      <x:c r="B8" s="28" t="n">
        <x:v>1</x:v>
      </x:c>
      <x:c r="C8" s="25" t="str">
        <x:v>倍</x:v>
      </x:c>
      <x:c r="D8" s="25" t="str">
        <x:v>A13</x:v>
      </x:c>
    </x:row>
    <x:row r="9">
      <x:c r="A9" s="25" t="str">
        <x:v>人物爆率小单位对照</x:v>
      </x:c>
      <x:c r="B9" s="28" t="n">
        <x:v>0.01</x:v>
      </x:c>
      <x:c r="C9" s="25" t="str">
        <x:v>倍</x:v>
      </x:c>
      <x:c r="D9" s="25" t="str">
        <x:v>A13</x:v>
      </x:c>
    </x:row>
    <x:row r="10">
      <x:c r="A10" s="25" t="str">
        <x:v>暴击基础总倍率</x:v>
      </x:c>
      <x:c r="B10" s="28" t="n">
        <x:v>2</x:v>
      </x:c>
      <x:c r="C10" s="25" t="str">
        <x:v>倍</x:v>
      </x:c>
      <x:c r="D10" s="25" t="str">
        <x:v>A12</x:v>
      </x:c>
    </x:row>
    <x:row r="11">
      <x:c r="A11" s="25" t="str">
        <x:v>致命基础总倍率</x:v>
      </x:c>
      <x:c r="B11" s="28" t="n">
        <x:v>2</x:v>
      </x:c>
      <x:c r="C11" s="25" t="str">
        <x:v>倍</x:v>
      </x:c>
      <x:c r="D11" s="25" t="str">
        <x:v>A12</x:v>
      </x:c>
    </x:row>
    <x:row r="12">
      <x:c r="A12" s="25" t="str">
        <x:v>吸收基础上限</x:v>
      </x:c>
      <x:c r="B12" s="28" t="n">
        <x:v>0.6</x:v>
      </x:c>
      <x:c r="C12" s="25" t="str">
        <x:v>比率</x:v>
      </x:c>
      <x:c r="D12" s="25" t="str">
        <x:v>项目规则</x:v>
      </x:c>
    </x:row>
    <x:row r="13">
      <x:c r="A13" s="25" t="str">
        <x:v>数学防除零吸收限</x:v>
      </x:c>
      <x:c r="B13" s="28" t="n">
        <x:v>0.99</x:v>
      </x:c>
      <x:c r="C13" s="25" t="str">
        <x:v>比率</x:v>
      </x:c>
      <x:c r="D13" s="25" t="str">
        <x:v>不是引擎硬上限</x:v>
      </x:c>
    </x:row>
    <x:row r="14">
      <x:c r="A14" s="25" t="str">
        <x:v>普通攻速上限</x:v>
      </x:c>
      <x:c r="B14" s="28" t="n">
        <x:v>20</x:v>
      </x:c>
      <x:c r="C14" s="25" t="str">
        <x:v>点</x:v>
      </x:c>
      <x:c r="D14" s="25" t="str">
        <x:v>项目规则</x:v>
      </x:c>
    </x:row>
    <x:row r="15">
      <x:c r="A15" s="25" t="str">
        <x:v>突破技术上限</x:v>
      </x:c>
      <x:c r="B15" s="28" t="n">
        <x:v>30</x:v>
      </x:c>
      <x:c r="C15" s="25" t="str">
        <x:v>点</x:v>
      </x:c>
      <x:c r="D15" s="25" t="str">
        <x:v>项目规则</x:v>
      </x:c>
    </x:row>
    <x:row r="16">
      <x:c r="A16" s="25" t="str">
        <x:v>生效攻速技术上限</x:v>
      </x:c>
      <x:c r="B16" s="28" t="n">
        <x:v>50</x:v>
      </x:c>
      <x:c r="C16" s="25" t="str">
        <x:v>点</x:v>
      </x:c>
      <x:c r="D16" s="25" t="str">
        <x:v>项目规则</x:v>
      </x:c>
    </x:row>
    <x:row r="17">
      <x:c r="A17" s="25" t="str">
        <x:v>低攻速间隔截距</x:v>
      </x:c>
      <x:c r="B17" s="28" t="n">
        <x:v>570.11143</x:v>
      </x:c>
      <x:c r="C17" s="25" t="str">
        <x:v>毫秒</x:v>
      </x:c>
      <x:c r="D17" s="25" t="str">
        <x:v>原端拟合</x:v>
      </x:c>
    </x:row>
    <x:row r="18">
      <x:c r="A18" s="25" t="str">
        <x:v>低攻速间隔斜率</x:v>
      </x:c>
      <x:c r="B18" s="28" t="n">
        <x:v>11.295503</x:v>
      </x:c>
      <x:c r="C18" s="25" t="str">
        <x:v>毫秒/点</x:v>
      </x:c>
      <x:c r="D18" s="25" t="str">
        <x:v>原端拟合</x:v>
      </x:c>
    </x:row>
    <x:row r="19">
      <x:c r="A19" s="25" t="str">
        <x:v>攻速0刀速</x:v>
      </x:c>
      <x:c r="B19" s="28" t="n">
        <x:v>1.75</x:v>
      </x:c>
      <x:c r="C19" s="25" t="str">
        <x:v>刀/秒</x:v>
      </x:c>
      <x:c r="D19" s="25" t="str">
        <x:v>原端实测</x:v>
      </x:c>
    </x:row>
    <x:row r="20">
      <x:c r="A20" s="25" t="str">
        <x:v>攻速10刀速</x:v>
      </x:c>
      <x:c r="B20" s="28" t="n">
        <x:v>2.2</x:v>
      </x:c>
      <x:c r="C20" s="25" t="str">
        <x:v>刀/秒</x:v>
      </x:c>
      <x:c r="D20" s="25" t="str">
        <x:v>原端实测</x:v>
      </x:c>
    </x:row>
    <x:row r="21">
      <x:c r="A21" s="25" t="str">
        <x:v>攻速20刀速</x:v>
      </x:c>
      <x:c r="B21" s="28" t="n">
        <x:v>2.9</x:v>
      </x:c>
      <x:c r="C21" s="25" t="str">
        <x:v>刀/秒</x:v>
      </x:c>
      <x:c r="D21" s="25" t="str">
        <x:v>原端实测</x:v>
      </x:c>
    </x:row>
    <x:row r="22">
      <x:c r="A22" s="25" t="str">
        <x:v>攻速30刀速</x:v>
      </x:c>
      <x:c r="B22" s="28" t="n">
        <x:v>4.3</x:v>
      </x:c>
      <x:c r="C22" s="25" t="str">
        <x:v>刀/秒</x:v>
      </x:c>
      <x:c r="D22" s="25" t="str">
        <x:v>原端实测</x:v>
      </x:c>
    </x:row>
    <x:row r="23">
      <x:c r="A23" s="25" t="str">
        <x:v>攻速40刀速</x:v>
      </x:c>
      <x:c r="B23" s="28" t="n">
        <x:v>8.5</x:v>
      </x:c>
      <x:c r="C23" s="25" t="str">
        <x:v>刀/秒</x:v>
      </x:c>
      <x:c r="D23" s="25" t="str">
        <x:v>原端实测</x:v>
      </x:c>
    </x:row>
    <x:row r="24">
      <x:c r="A24" s="25" t="str">
        <x:v>攻速50刀速</x:v>
      </x:c>
      <x:c r="B24" s="28" t="n">
        <x:v>14.3</x:v>
      </x:c>
      <x:c r="C24" s="25" t="str">
        <x:v>刀/秒</x:v>
      </x:c>
      <x:c r="D24" s="25" t="str">
        <x:v>原端实测</x:v>
      </x:c>
    </x:row>
    <x:row r="25">
      <x:c r="A25" s="25" t="str">
        <x:v>固定最大攻击幸运阈值</x:v>
      </x:c>
      <x:c r="B25" s="28" t="n">
        <x:v>12</x:v>
      </x:c>
      <x:c r="C25" s="25" t="str">
        <x:v>点</x:v>
      </x:c>
      <x:c r="D25" s="25" t="str">
        <x:v>项目规则</x:v>
      </x:c>
    </x:row>
    <x:row r="26">
      <x:c r="A26" s="25" t="str">
        <x:v>幸运额外奖励阈值</x:v>
      </x:c>
      <x:c r="B26" s="28" t="n">
        <x:v>15</x:v>
      </x:c>
      <x:c r="C26" s="25" t="str">
        <x:v>点</x:v>
      </x:c>
      <x:c r="D26" s="25" t="str">
        <x:v>项目规则</x:v>
      </x:c>
    </x:row>
    <x:row r="27">
      <x:c r="A27" s="25" t="str">
        <x:v>幸运额外伤害系数</x:v>
      </x:c>
      <x:c r="B27" s="28" t="n">
        <x:v>15</x:v>
      </x:c>
      <x:c r="C27" s="25" t="str">
        <x:v>百分点</x:v>
      </x:c>
      <x:c r="D27" s="25" t="str">
        <x:v>项目规则</x:v>
      </x:c>
    </x:row>
    <x:row r="28">
      <x:c r="A28" s="25" t="str">
        <x:v>幸运额外处决</x:v>
      </x:c>
      <x:c r="B28" s="28" t="n">
        <x:v>5</x:v>
      </x:c>
      <x:c r="C28" s="25" t="str">
        <x:v>百分点</x:v>
      </x:c>
      <x:c r="D28" s="25" t="str">
        <x:v>项目规则</x:v>
      </x:c>
    </x:row>
    <x:row r="29">
      <x:c r="A29" s="25" t="str">
        <x:v>处决基础持续</x:v>
      </x:c>
      <x:c r="B29" s="28" t="n">
        <x:v>1</x:v>
      </x:c>
      <x:c r="C29" s="25" t="str">
        <x:v>秒</x:v>
      </x:c>
      <x:c r="D29" s="25" t="str">
        <x:v>PVE应用为假设A14</x:v>
      </x:c>
    </x:row>
    <x:row r="30">
      <x:c r="A30" s="25" t="str">
        <x:v>处决每档持续增长</x:v>
      </x:c>
      <x:c r="B30" s="28" t="n">
        <x:v>0.2</x:v>
      </x:c>
      <x:c r="C30" s="25" t="str">
        <x:v>秒/百分点</x:v>
      </x:c>
      <x:c r="D30" s="25" t="str">
        <x:v>A14</x:v>
      </x:c>
    </x:row>
    <x:row r="31">
      <x:c r="A31" s="25" t="str">
        <x:v>处决基础总倍率</x:v>
      </x:c>
      <x:c r="B31" s="28" t="n">
        <x:v>2</x:v>
      </x:c>
      <x:c r="C31" s="25" t="str">
        <x:v>倍</x:v>
      </x:c>
      <x:c r="D31" s="25" t="str">
        <x:v>A14</x:v>
      </x:c>
    </x:row>
    <x:row r="32">
      <x:c r="A32" s="25" t="str">
        <x:v>处决每档倍率增长</x:v>
      </x:c>
      <x:c r="B32" s="28" t="n">
        <x:v>0.2</x:v>
      </x:c>
      <x:c r="C32" s="25" t="str">
        <x:v>倍/百分点</x:v>
      </x:c>
      <x:c r="D32" s="25" t="str">
        <x:v>A14</x:v>
      </x:c>
    </x:row>
    <x:row r="33">
      <x:c r="A33" s="25" t="str">
        <x:v>回收货币总倍率</x:v>
      </x:c>
      <x:c r="B33" s="28" t="n">
        <x:v>1.5</x:v>
      </x:c>
      <x:c r="C33" s="25" t="str">
        <x:v>倍</x:v>
      </x:c>
      <x:c r="D33" s="25" t="str">
        <x:v>只作总预算，不叠第二遍命格</x:v>
      </x:c>
    </x:row>
    <x:row r="38">
      <x:c r="A38" s="19" t="str">
        <x:v>ID</x:v>
      </x:c>
      <x:c r="B38" s="19" t="str">
        <x:v>对象</x:v>
      </x:c>
      <x:c r="C38" s="19" t="str">
        <x:v>模型处理</x:v>
      </x:c>
      <x:c r="D38" s="19" t="str">
        <x:v>依据与状态</x:v>
      </x:c>
      <x:c r="E38" s="19" t="str">
        <x:v>敏感性/边界</x:v>
      </x:c>
    </x:row>
    <x:row r="39" ht="73" customHeight="1">
      <x:c r="A39" s="30" t="str">
        <x:v>A01</x:v>
      </x:c>
      <x:c r="B39" s="30" t="str">
        <x:v>人物底板</x:v>
      </x:c>
      <x:c r="C39" s="30" t="str">
        <x:v>等效40级，攻击7—13、HP1000、MP200；每10级攻击上限+5、下限+2、HP+400、MP+100</x:v>
      </x:c>
      <x:c r="D39" s="30" t="str">
        <x:v>继承前置推定；并非本机等级表</x:v>
      </x:c>
      <x:c r="E39" s="30" t="str">
        <x:v>自然攻击±50%、HP±50%只对自然来源变化</x:v>
      </x:c>
    </x:row>
    <x:row r="40" ht="73" customHeight="1">
      <x:c r="A40" s="30" t="str">
        <x:v>A02</x:v>
      </x:c>
      <x:c r="B40" s="30" t="str">
        <x:v>命格开槽</x:v>
      </x:c>
      <x:c r="C40" s="30" t="str">
        <x:v>C1/C2/C3/C4/C5/C6/C8/C10中期分别达到1/2/3/4/5/6/7/8槽；C1入场即1槽</x:v>
      </x:c>
      <x:c r="D40" s="30" t="str">
        <x:v>因实际阈值未提供，作为可替换节奏假设；不改变解锁脚本</x:v>
      </x:c>
      <x:c r="E40" s="30" t="str">
        <x:v>C3以后新槽全彩所需100次材料进入自产需求，不能视作免费赠送</x:v>
      </x:c>
    </x:row>
    <x:row r="41" ht="73" customHeight="1">
      <x:c r="A41" s="30" t="str">
        <x:v>A03</x:v>
      </x:c>
      <x:c r="B41" s="30" t="str">
        <x:v>彩色组合</x:v>
      </x:c>
      <x:c r="C41" s="30" t="str">
        <x:v>半急速用明确列出的均衡彩色组合；无命格攻速突破；已开放槽全部为彩色</x:v>
      </x:c>
      <x:c r="D41" s="30" t="str">
        <x:v>用户边界＋模型选配，非宣称彩池等强或P65精确分位</x:v>
      </x:c>
      <x:c r="E41" s="30" t="str">
        <x:v>不使用黄/橙平均值，也不宣称最佳彩色</x:v>
      </x:c>
    </x:row>
    <x:row r="42" ht="73" customHeight="1">
      <x:c r="A42" s="30" t="str">
        <x:v>A04</x:v>
      </x:c>
      <x:c r="B42" s="30" t="str">
        <x:v>C2成长装备灵符路线</x:v>
      </x:c>
      <x:c r="C42" s="30" t="str">
        <x:v>主情景假设圣律真言/黄金之心在C2可用灵符升至LV10；C2入场采用</x:v>
      </x:c>
      <x:c r="D42" s="30" t="str">
        <x:v>推定可支付路线，不是已验证脚本事实；另算只有LV1/延迟升满对照</x:v>
      </x:c>
      <x:c r="E42" s="30" t="str">
        <x:v>若实际不支持，替换路线开关，不新增付费接口</x:v>
      </x:c>
    </x:row>
    <x:row r="43" ht="73" customHeight="1">
      <x:c r="A43" s="30" t="str">
        <x:v>A05</x:v>
      </x:c>
      <x:c r="B43" s="30" t="str">
        <x:v>神印/洗练/幸运/技能</x:v>
      </x:c>
      <x:c r="C43" s="30" t="str">
        <x:v>目前无明确灵符替代证据的路径按自产材料/货币；不自动C2神印255或洗练极品</x:v>
      </x:c>
      <x:c r="D43" s="30" t="str">
        <x:v>遵守只使用已支持支付路径；神印主情景C2毕业50</x:v>
      </x:c>
      <x:c r="E43" s="30" t="str">
        <x:v>额外给C2神印255的孤立敏感性，非正式付费设计</x:v>
      </x:c>
    </x:row>
    <x:row r="44" ht="73" customHeight="1">
      <x:c r="A44" s="30" t="str">
        <x:v>A06</x:v>
      </x:c>
      <x:c r="B44" s="30" t="str">
        <x:v>装备取得</x:v>
      </x:c>
      <x:c r="C44" s="30" t="str">
        <x:v>普通/稀有逐阶段替换，当前大陆BOSS装备名额中期1、毕业2；当前重点合成毕业1件，生肖与群攻另计</x:v>
      </x:c>
      <x:c r="D44" s="30" t="str">
        <x:v>自打取得的规划情景；不购买玩家物品</x:v>
      </x:c>
      <x:c r="E44" s="30" t="str">
        <x:v>获取次数与原材料列入反算需求，尚不证明固定小时内可取得</x:v>
      </x:c>
    </x:row>
    <x:row r="45" ht="73" customHeight="1">
      <x:c r="A45" s="30" t="str">
        <x:v>A07</x:v>
      </x:c>
      <x:c r="B45" s="30" t="str">
        <x:v>词条抽样</x:v>
      </x:c>
      <x:c r="C45" s="30" t="str">
        <x:v>固定种子20260905；洗练只用用户池；普通整件重洗，7/8条开光固定数量</x:v>
      </x:c>
      <x:c r="D45" s="30" t="str">
        <x:v>随机模拟一次可实现样本，不把平均词条数当每件真实属性</x:v>
      </x:c>
      <x:c r="E45" s="30" t="str">
        <x:v>使用两份自产同名装备轮换试洗，不回滚历史结果或新增锁条功能</x:v>
      </x:c>
    </x:row>
    <x:row r="46" ht="73" customHeight="1">
      <x:c r="A46" s="30" t="str">
        <x:v>A08</x:v>
      </x:c>
      <x:c r="B46" s="30" t="str">
        <x:v>幸运</x:v>
      </x:c>
      <x:c r="C46" s="30" t="str">
        <x:v>武器幸运按7点计且成本忽略；项链幸运为人物永久进度，换项链不重置；前250次2.4%，后20%</x:v>
      </x:c>
      <x:c r="D46" s="30" t="str">
        <x:v>用户2026-09-05纠正：项链幸运绑定人物；武器幸运成本忽略</x:v>
      </x:c>
      <x:c r="E46" s="30" t="str">
        <x:v>幸运12固定上限；达到人物项链幸运8后永久保留，后续换项链不重新付费</x:v>
      </x:c>
    </x:row>
    <x:row r="47" ht="73" customHeight="1">
      <x:c r="A47" s="30" t="str">
        <x:v>A09</x:v>
      </x:c>
      <x:c r="B47" s="30" t="str">
        <x:v>技能循环</x:v>
      </x:c>
      <x:c r="C47" s="30" t="str">
        <x:v>C1入场/中期/毕业平均普通伤害系数1/1.08/1.16，C2中期1.25、毕业以后1.35；极端1.60</x:v>
      </x:c>
      <x:c r="D47" s="30" t="str">
        <x:v>仅技能循环估计系数，不作为人物永久属性，不修改技能</x:v>
      </x:c>
      <x:c r="E47" s="30" t="str">
        <x:v>另给不含技能DPS；技能系数区间1—1.60</x:v>
      </x:c>
    </x:row>
    <x:row r="48" ht="73" customHeight="1">
      <x:c r="A48" s="30" t="str">
        <x:v>A10</x:v>
      </x:c>
      <x:c r="B48" s="30" t="str">
        <x:v>命中与有效时间</x:v>
      </x:c>
      <x:c r="C48" s="30" t="str">
        <x:v>命中0.95，有效输出时间0.80；作用各一次</x:v>
      </x:c>
      <x:c r="D48" s="30" t="str">
        <x:v>缺少实测时沿用假设</x:v>
      </x:c>
      <x:c r="E48" s="30" t="str">
        <x:v>命中0.85—1，有效时间0.65—0.95</x:v>
      </x:c>
    </x:row>
    <x:row r="49" ht="73" customHeight="1">
      <x:c r="A49" s="30" t="str">
        <x:v>A11</x:v>
      </x:c>
      <x:c r="B49" s="30" t="str">
        <x:v>神力/攻击伤害</x:v>
      </x:c>
      <x:c r="C49" s="30" t="str">
        <x:v>神力来源按增量加算后1+总增量；攻击伤害每点按0.01独立增幅</x:v>
      </x:c>
      <x:c r="D49" s="30" t="str">
        <x:v>同类加算是项目规则；攻击伤害单位为假设</x:v>
      </x:c>
      <x:c r="E49" s="30" t="str">
        <x:v>攻击伤害每点0.10另列敏感性</x:v>
      </x:c>
    </x:row>
    <x:row r="50" ht="73" customHeight="1">
      <x:c r="A50" s="30" t="str">
        <x:v>A12</x:v>
      </x:c>
      <x:c r="B50" s="30" t="str">
        <x:v>暴击/致命</x:v>
      </x:c>
      <x:c r="C50" s="30" t="str">
        <x:v>各基础总倍率2；概率封于0—100%；二者独立期望相乘</x:v>
      </x:c>
      <x:c r="D50" s="30" t="str">
        <x:v>基础倍率为假设，概率公式为数学定义</x:v>
      </x:c>
      <x:c r="E50" s="30" t="str">
        <x:v>基础倍率1.5敏感性</x:v>
      </x:c>
    </x:row>
    <x:row r="51" ht="73" customHeight="1">
      <x:c r="A51" s="30" t="str">
        <x:v>A13</x:v>
      </x:c>
      <x:c r="B51" s="30" t="str">
        <x:v>爆率字段</x:v>
      </x:c>
      <x:c r="C51" s="30" t="str">
        <x:v>M=(1+基础爆率百分点/100+人物爆率点×1)×(1+最大爆率百分点/100)</x:v>
      </x:c>
      <x:c r="D51" s="30" t="str">
        <x:v>内部字段换算假设；不是实际Apex公式；不补差凑100</x:v>
      </x:c>
      <x:c r="E51" s="30" t="str">
        <x:v>同时算人物爆率每点0.01倍；两个结果均输出</x:v>
      </x:c>
    </x:row>
    <x:row r="52" ht="73" customHeight="1">
      <x:c r="A52" s="30" t="str">
        <x:v>A14</x:v>
      </x:c>
      <x:c r="B52" s="30" t="str">
        <x:v>处决</x:v>
      </x:c>
      <x:c r="C52" s="30" t="str">
        <x:v>单独算地图抵扣0/10/20/30个百分点；持续1+0.2×(有效概率百分点-1)+额外秒；总倍率2+0.2×(百分点-1)+额外倍率</x:v>
      </x:c>
      <x:c r="D52" s="30" t="str">
        <x:v>PVE概率扣地图值为规则；将持续/倍率框架用于PVE窗口是模型假设</x:v>
      </x:c>
      <x:c r="E52" s="30" t="str">
        <x:v>常规DPS不含处决，零抵扣窗口不是怪物实际净DPS</x:v>
      </x:c>
    </x:row>
    <x:row r="53" ht="73" customHeight="1">
      <x:c r="A53" s="30" t="str">
        <x:v>A15</x:v>
      </x:c>
      <x:c r="B53" s="30" t="str">
        <x:v>承伤</x:v>
      </x:c>
      <x:c r="C53" s="30" t="str">
        <x:v>有效吸收=min(原始吸收,60%+上限增量,99%)；85%仅设计警戒，不偷偷当引擎硬封顶</x:v>
      </x:c>
      <x:c r="D53" s="30" t="str">
        <x:v>60/85为项目边界，99%仅避免数学除零</x:v>
      </x:c>
      <x:c r="E53" s="30" t="str">
        <x:v>EHP不含怪物防御/控制；回血上限按有效伤害，不计尾刀/过量伤害</x:v>
      </x:c>
    </x:row>
    <x:row r="54" ht="73" customHeight="1">
      <x:c r="A54" s="30" t="str">
        <x:v>A16</x:v>
      </x:c>
      <x:c r="B54" s="30" t="str">
        <x:v>旧任务与保护</x:v>
      </x:c>
      <x:c r="C54" s="30" t="str">
        <x:v>C2原5魂魄任务按来源继承；C1魂魄任务按原件每图攻魔道+30、韧性+20；用户改过16卷与6神器主情景不预装</x:v>
      </x:c>
      <x:c r="D54" s="30" t="str">
        <x:v>C1任务原件已读取；未知本机改版原件不得覆盖</x:v>
      </x:c>
      <x:c r="E54" s="30" t="str">
        <x:v>本批压力档也不套用旧神器数值；不代表含本机6神器/16称号卷的全服绝对极限</x:v>
      </x:c>
    </x:row>
    <x:row r="55" ht="73" customHeight="1">
      <x:c r="A55" s="30" t="str">
        <x:v>A17</x:v>
      </x:c>
      <x:c r="B55" s="30" t="str">
        <x:v>群攻</x:v>
      </x:c>
      <x:c r="C55" s="30" t="str">
        <x:v>群星之核攻击力伤害/间隔，主情景单目标；同目标不重复乘群怪数量；不乘暴击/技能系数</x:v>
      </x:c>
      <x:c r="D55" s="30" t="str">
        <x:v>基于原效果的保守映射假设</x:v>
      </x:c>
      <x:c r="E55" s="30" t="str">
        <x:v>是否吃其他乘区/多目标吸血留接口，不纳入主回血</x:v>
      </x:c>
    </x:row>
    <x:row r="56" ht="73" customHeight="1">
      <x:c r="A56" s="30" t="str">
        <x:v>A18</x:v>
      </x:c>
      <x:c r="B56" s="30" t="str">
        <x:v>彩色投入与数值尺度</x:v>
      </x:c>
      <x:c r="C56" s="30" t="str">
        <x:v>C1/C2彩色命格按灵符路径；C3以后每新槽100次保底预算。游戏内金币/元宝统一按原尺度×100，失色锻造石产出/消耗按原尺度×10</x:v>
      </x:c>
      <x:c r="D56" s="30" t="str">
        <x:v>用户2026-09-05数值尺度修订；只放大数值显示与资源颗粒，不改变原比例</x:v>
      </x:c>
      <x:c r="E56" s="30" t="str">
        <x:v>不存在21765灵符与12小时的换算；其他材料数量不按本条放大</x:v>
      </x:c>
    </x:row>
    <x:row r="57" ht="73" customHeight="1">
      <x:c r="A57" s="30" t="str">
        <x:v>A19</x:v>
      </x:c>
      <x:c r="B57" s="30" t="str">
        <x:v>版本状态</x:v>
      </x:c>
      <x:c r="C57" s="30" t="str">
        <x:v>本轮只生成离线人物配置、属性和派生结果；不改原表、正式服或GitHub</x:v>
      </x:c>
      <x:c r="D57" s="30" t="str">
        <x:v>用户指令</x:v>
      </x:c>
      <x:c r="E57" s="30" t="str">
        <x:v>40组不是一批已经实测过的游戏账号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8" hidden="0" customWidth="1"/>
    <x:col min="5" max="5" width="31" hidden="0" customWidth="1"/>
    <x:col min="6" max="6" width="24" hidden="0" customWidth="1"/>
    <x:col min="7" max="7" width="20" hidden="0" customWidth="1"/>
    <x:col min="8" max="8" width="4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</x:cols>
  <x:sheetData>
    <x:row r="1" ht="29" customHeight="1">
      <x:c r="A1" s="4" t="str">
        <x:v>来源分类账｜3,374条逐项来源见完整数据JSON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</x:row>
    <x:row r="2" ht="43" customHeight="1">
      <x:c r="A2" s="11" t="str">
        <x:v>由完整JSON按人物和来源类别聚合，逐项未丢弃。空值按0；百分比输入为百分点，神力为增量。最终汇总使用SUM公式。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来源分类</x:v>
      </x:c>
      <x:c r="E4" s="19" t="str">
        <x:v>来源名称</x:v>
      </x:c>
      <x:c r="F4" s="19" t="str">
        <x:v>来源文件/依据</x:v>
      </x:c>
      <x:c r="G4" s="19" t="str">
        <x:v>证据性质</x:v>
      </x:c>
      <x:c r="H4" s="19" t="str">
        <x:v>备注</x:v>
      </x:c>
      <x:c r="I4" s="19" t="str">
        <x:v>攻击下限</x:v>
      </x:c>
      <x:c r="J4" s="19" t="str">
        <x:v>攻击上限</x:v>
      </x:c>
      <x:c r="K4" s="19" t="str">
        <x:v>魔法下限</x:v>
      </x:c>
      <x:c r="L4" s="19" t="str">
        <x:v>魔法上限</x:v>
      </x:c>
      <x:c r="M4" s="19" t="str">
        <x:v>道术下限</x:v>
      </x:c>
      <x:c r="N4" s="19" t="str">
        <x:v>道术上限</x:v>
      </x:c>
      <x:c r="O4" s="19" t="str">
        <x:v>HP</x:v>
      </x:c>
      <x:c r="P4" s="19" t="str">
        <x:v>MP</x:v>
      </x:c>
      <x:c r="Q4" s="19" t="str">
        <x:v>防御下限</x:v>
      </x:c>
      <x:c r="R4" s="19" t="str">
        <x:v>防御上限</x:v>
      </x:c>
      <x:c r="S4" s="19" t="str">
        <x:v>魔御下限</x:v>
      </x:c>
      <x:c r="T4" s="19" t="str">
        <x:v>魔御上限</x:v>
      </x:c>
      <x:c r="U4" s="19" t="str">
        <x:v>攻击加成</x:v>
      </x:c>
      <x:c r="V4" s="19" t="str">
        <x:v>魔法加成</x:v>
      </x:c>
      <x:c r="W4" s="19" t="str">
        <x:v>道术加成</x:v>
      </x:c>
      <x:c r="X4" s="19" t="str">
        <x:v>神力增量</x:v>
      </x:c>
      <x:c r="Y4" s="19" t="str">
        <x:v>伤害系数</x:v>
      </x:c>
      <x:c r="Z4" s="19" t="str">
        <x:v>打怪伤害</x:v>
      </x:c>
      <x:c r="AA4" s="19" t="str">
        <x:v>攻击伤害</x:v>
      </x:c>
      <x:c r="AB4" s="19" t="str">
        <x:v>暴击几率</x:v>
      </x:c>
      <x:c r="AC4" s="19" t="str">
        <x:v>暴击伤害</x:v>
      </x:c>
      <x:c r="AD4" s="19" t="str">
        <x:v>致命几率</x:v>
      </x:c>
      <x:c r="AE4" s="19" t="str">
        <x:v>致命伤害</x:v>
      </x:c>
      <x:c r="AF4" s="19" t="str">
        <x:v>固定切割</x:v>
      </x:c>
      <x:c r="AG4" s="19" t="str">
        <x:v>每秒回血</x:v>
      </x:c>
      <x:c r="AH4" s="19" t="str">
        <x:v>攻击速度</x:v>
      </x:c>
      <x:c r="AI4" s="19" t="str">
        <x:v>攻速突破</x:v>
      </x:c>
      <x:c r="AJ4" s="19" t="str">
        <x:v>准确</x:v>
      </x:c>
      <x:c r="AK4" s="19" t="str">
        <x:v>武器幸运</x:v>
      </x:c>
      <x:c r="AL4" s="19" t="str">
        <x:v>项链幸运</x:v>
      </x:c>
      <x:c r="AM4" s="19" t="str">
        <x:v>处决概率</x:v>
      </x:c>
      <x:c r="AN4" s="19" t="str">
        <x:v>处决倍率</x:v>
      </x:c>
      <x:c r="AO4" s="19" t="str">
        <x:v>处决时间</x:v>
      </x:c>
      <x:c r="AP4" s="19" t="str">
        <x:v>韧性</x:v>
      </x:c>
      <x:c r="AQ4" s="19" t="str">
        <x:v>对怪伤害吸收</x:v>
      </x:c>
      <x:c r="AR4" s="19" t="str">
        <x:v>伤害吸收上限</x:v>
      </x:c>
      <x:c r="AS4" s="19" t="str">
        <x:v>吸血</x:v>
      </x:c>
      <x:c r="AT4" s="19" t="str">
        <x:v>爆率</x:v>
      </x:c>
      <x:c r="AU4" s="19" t="str">
        <x:v>最大爆率</x:v>
      </x:c>
      <x:c r="AV4" s="19" t="str">
        <x:v>人物爆率</x:v>
      </x:c>
      <x:c r="AW4" s="19" t="str">
        <x:v>鞭尸</x:v>
      </x:c>
      <x:c r="AX4" s="19" t="str">
        <x:v>首刀斩杀</x:v>
      </x:c>
      <x:c r="AY4" s="19" t="str">
        <x:v>尾刀斩杀</x:v>
      </x:c>
      <x:c r="AZ4" s="19" t="str">
        <x:v>HP百分比</x:v>
      </x:c>
      <x:c r="BA4" s="19" t="str">
        <x:v>回收增加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str">
        <x:v>人物自然</x:v>
      </x:c>
      <x:c r="E5" s="25" t="str">
        <x:v>本类1项（逐项见完整JSON）</x:v>
      </x:c>
      <x:c r="F5" s="25" t="str">
        <x:v>A01</x:v>
      </x:c>
      <x:c r="G5" s="25" t="str">
        <x:v>模型假设</x:v>
      </x:c>
      <x:c r="H5" s="25" t="str">
        <x:v>由同包逐项数据聚合，便于核对</x:v>
      </x:c>
      <x:c r="I5" s="32" t="n">
        <x:v>7</x:v>
      </x:c>
      <x:c r="J5" s="32" t="n">
        <x:v>13</x:v>
      </x:c>
      <x:c r="K5" s="32"/>
      <x:c r="L5" s="32"/>
      <x:c r="M5" s="32"/>
      <x:c r="N5" s="32"/>
      <x:c r="O5" s="32" t="n">
        <x:v>1000</x:v>
      </x:c>
      <x:c r="P5" s="32" t="n">
        <x:v>200</x:v>
      </x:c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/>
      <x:c r="AJ5" s="32"/>
      <x:c r="AK5" s="32"/>
      <x:c r="AL5" s="32"/>
      <x:c r="AM5" s="32"/>
      <x:c r="AN5" s="32"/>
      <x:c r="AO5" s="32"/>
      <x:c r="AP5" s="32"/>
      <x:c r="AQ5" s="32"/>
      <x:c r="AR5" s="32"/>
      <x:c r="AS5" s="32"/>
      <x:c r="AT5" s="32"/>
      <x:c r="AU5" s="32"/>
      <x:c r="AV5" s="32"/>
      <x:c r="AW5" s="32"/>
      <x:c r="AX5" s="32"/>
      <x:c r="AY5" s="32"/>
      <x:c r="AZ5" s="32"/>
      <x:c r="BA5" s="32"/>
    </x:row>
    <x:row r="6">
      <x:c r="A6" s="25" t="str">
        <x:v>C01-E</x:v>
      </x:c>
      <x:c r="B6" s="25" t="str">
        <x:v>漂流群岛</x:v>
      </x:c>
      <x:c r="C6" s="25" t="str">
        <x:v>半急速入场</x:v>
      </x:c>
      <x:c r="D6" s="25" t="str">
        <x:v>付费状态</x:v>
      </x:c>
      <x:c r="E6" s="25" t="str">
        <x:v>本类3项（逐项见完整JSON）</x:v>
      </x:c>
      <x:c r="F6" s="25" t="str">
        <x:v>20260903总档</x:v>
      </x:c>
      <x:c r="G6" s="25" t="str">
        <x:v>原表数值</x:v>
      </x:c>
      <x:c r="H6" s="25" t="str">
        <x:v>由同包逐项数据聚合，便于核对</x:v>
      </x:c>
      <x:c r="I6" s="32" t="n">
        <x:v>149</x:v>
      </x:c>
      <x:c r="J6" s="32" t="n">
        <x:v>149</x:v>
      </x:c>
      <x:c r="K6" s="32" t="n">
        <x:v>149</x:v>
      </x:c>
      <x:c r="L6" s="32" t="n">
        <x:v>149</x:v>
      </x:c>
      <x:c r="M6" s="32" t="n">
        <x:v>149</x:v>
      </x:c>
      <x:c r="N6" s="32" t="n">
        <x:v>149</x:v>
      </x:c>
      <x:c r="O6" s="32" t="n">
        <x:v>10000</x:v>
      </x:c>
      <x:c r="P6" s="32"/>
      <x:c r="Q6" s="32"/>
      <x:c r="R6" s="32"/>
      <x:c r="S6" s="32"/>
      <x:c r="T6" s="32"/>
      <x:c r="U6" s="32"/>
      <x:c r="V6" s="32"/>
      <x:c r="W6" s="32"/>
      <x:c r="X6" s="32"/>
      <x:c r="Y6" s="32" t="n">
        <x:v>10</x:v>
      </x:c>
      <x:c r="Z6" s="32"/>
      <x:c r="AA6" s="32"/>
      <x:c r="AB6" s="32" t="n">
        <x:v>20</x:v>
      </x:c>
      <x:c r="AC6" s="32"/>
      <x:c r="AD6" s="32"/>
      <x:c r="AE6" s="32"/>
      <x:c r="AF6" s="32"/>
      <x:c r="AG6" s="32"/>
      <x:c r="AH6" s="32"/>
      <x:c r="AI6" s="32"/>
      <x:c r="AJ6" s="32"/>
      <x:c r="AK6" s="32"/>
      <x:c r="AL6" s="32"/>
      <x:c r="AM6" s="32" t="n">
        <x:v>10</x:v>
      </x:c>
      <x:c r="AN6" s="32"/>
      <x:c r="AO6" s="32"/>
      <x:c r="AP6" s="32" t="n">
        <x:v>50</x:v>
      </x:c>
      <x:c r="AQ6" s="32"/>
      <x:c r="AR6" s="32"/>
      <x:c r="AS6" s="32"/>
      <x:c r="AT6" s="32" t="n">
        <x:v>700</x:v>
      </x:c>
      <x:c r="AU6" s="32" t="n">
        <x:v>15</x:v>
      </x:c>
      <x:c r="AV6" s="32"/>
      <x:c r="AW6" s="32"/>
      <x:c r="AX6" s="32"/>
      <x:c r="AY6" s="32"/>
      <x:c r="AZ6" s="32"/>
      <x:c r="BA6" s="32"/>
    </x:row>
    <x:row r="7">
      <x:c r="A7" s="25" t="str">
        <x:v>C01-E</x:v>
      </x:c>
      <x:c r="B7" s="25" t="str">
        <x:v>漂流群岛</x:v>
      </x:c>
      <x:c r="C7" s="25" t="str">
        <x:v>半急速入场</x:v>
      </x:c>
      <x:c r="D7" s="25" t="str">
        <x:v>成长装备</x:v>
      </x:c>
      <x:c r="E7" s="25" t="str">
        <x:v>本类2项（逐项见完整JSON）</x:v>
      </x:c>
      <x:c r="F7" s="25" t="str">
        <x:v>20260903总档 / A04</x:v>
      </x:c>
      <x:c r="G7" s="25" t="str">
        <x:v>原表＋支付路径假设</x:v>
      </x:c>
      <x:c r="H7" s="25" t="str">
        <x:v>由同包逐项数据聚合，便于核对</x:v>
      </x:c>
      <x:c r="I7" s="32" t="n">
        <x:v>100</x:v>
      </x:c>
      <x:c r="J7" s="32" t="n">
        <x:v>100</x:v>
      </x:c>
      <x:c r="K7" s="32" t="n">
        <x:v>100</x:v>
      </x:c>
      <x:c r="L7" s="32" t="n">
        <x:v>100</x:v>
      </x:c>
      <x:c r="M7" s="32" t="n">
        <x:v>100</x:v>
      </x:c>
      <x:c r="N7" s="32" t="n">
        <x:v>100</x:v>
      </x:c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 t="n">
        <x:v>5000</x:v>
      </x:c>
      <x:c r="AG7" s="32" t="n">
        <x:v>2000</x:v>
      </x:c>
      <x:c r="AH7" s="32"/>
      <x:c r="AI7" s="32"/>
      <x:c r="AJ7" s="32"/>
      <x:c r="AK7" s="32"/>
      <x:c r="AL7" s="32"/>
      <x:c r="AM7" s="32"/>
      <x:c r="AN7" s="32"/>
      <x:c r="AO7" s="32"/>
      <x:c r="AP7" s="32"/>
      <x:c r="AQ7" s="32"/>
      <x:c r="AR7" s="32"/>
      <x:c r="AS7" s="32"/>
      <x:c r="AT7" s="32"/>
      <x:c r="AU7" s="32"/>
      <x:c r="AV7" s="32"/>
      <x:c r="AW7" s="32"/>
      <x:c r="AX7" s="32"/>
      <x:c r="AY7" s="32"/>
      <x:c r="AZ7" s="32"/>
      <x:c r="BA7" s="32"/>
    </x:row>
    <x:row r="8">
      <x:c r="A8" s="25" t="str">
        <x:v>C01-E</x:v>
      </x:c>
      <x:c r="B8" s="25" t="str">
        <x:v>漂流群岛</x:v>
      </x:c>
      <x:c r="C8" s="25" t="str">
        <x:v>半急速入场</x:v>
      </x:c>
      <x:c r="D8" s="25" t="str">
        <x:v>贯穿称号</x:v>
      </x:c>
      <x:c r="E8" s="25" t="str">
        <x:v>本类1项（逐项见完整JSON）</x:v>
      </x:c>
      <x:c r="F8" s="25" t="str">
        <x:v>S04/01_贯穿称号</x:v>
      </x:c>
      <x:c r="G8" s="25" t="str">
        <x:v>原表数值</x:v>
      </x:c>
      <x:c r="H8" s="25" t="str">
        <x:v>由同包逐项数据聚合，便于核对</x:v>
      </x:c>
      <x:c r="I8" s="32" t="n">
        <x:v>100</x:v>
      </x:c>
      <x:c r="J8" s="32" t="n">
        <x:v>100</x:v>
      </x:c>
      <x:c r="K8" s="32" t="n">
        <x:v>100</x:v>
      </x:c>
      <x:c r="L8" s="32" t="n">
        <x:v>100</x:v>
      </x:c>
      <x:c r="M8" s="32" t="n">
        <x:v>100</x:v>
      </x:c>
      <x:c r="N8" s="32" t="n">
        <x:v>100</x:v>
      </x:c>
      <x:c r="O8" s="32" t="n">
        <x:v>10000</x:v>
      </x:c>
      <x:c r="P8" s="32" t="n">
        <x:v>10000</x:v>
      </x:c>
      <x:c r="Q8" s="32"/>
      <x:c r="R8" s="32"/>
      <x:c r="S8" s="32"/>
      <x:c r="T8" s="32"/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/>
      <x:c r="AJ8" s="32"/>
      <x:c r="AK8" s="32"/>
      <x:c r="AL8" s="32"/>
      <x:c r="AM8" s="32"/>
      <x:c r="AN8" s="32"/>
      <x:c r="AO8" s="32"/>
      <x:c r="AP8" s="32"/>
      <x:c r="AQ8" s="32"/>
      <x:c r="AR8" s="32"/>
      <x:c r="AS8" s="32"/>
      <x:c r="AT8" s="32" t="n">
        <x:v>200</x:v>
      </x:c>
      <x:c r="AU8" s="32"/>
      <x:c r="AV8" s="32"/>
      <x:c r="AW8" s="32"/>
      <x:c r="AX8" s="32"/>
      <x:c r="AY8" s="32"/>
      <x:c r="AZ8" s="32"/>
      <x:c r="BA8" s="32"/>
    </x:row>
    <x:row r="9">
      <x:c r="A9" s="25" t="str">
        <x:v>C01-E</x:v>
      </x:c>
      <x:c r="B9" s="25" t="str">
        <x:v>漂流群岛</x:v>
      </x:c>
      <x:c r="C9" s="25" t="str">
        <x:v>半急速入场</x:v>
      </x:c>
      <x:c r="D9" s="25" t="str">
        <x:v>神印</x:v>
      </x:c>
      <x:c r="E9" s="25" t="str">
        <x:v>本类1项（逐项见完整JSON）</x:v>
      </x:c>
      <x:c r="F9" s="25" t="str">
        <x:v>S04 / 神印公式</x:v>
      </x:c>
      <x:c r="G9" s="25" t="str">
        <x:v>自给进度假设＋原公式</x:v>
      </x:c>
      <x:c r="H9" s="25" t="str">
        <x:v>由同包逐项数据聚合，便于核对</x:v>
      </x:c>
      <x:c r="I9" s="32" t="n">
        <x:v>0</x:v>
      </x:c>
      <x:c r="J9" s="32" t="n">
        <x:v>0</x:v>
      </x:c>
      <x:c r="K9" s="32" t="n">
        <x:v>0</x:v>
      </x:c>
      <x:c r="L9" s="32" t="n">
        <x:v>0</x:v>
      </x:c>
      <x:c r="M9" s="32" t="n">
        <x:v>0</x:v>
      </x:c>
      <x:c r="N9" s="32" t="n">
        <x:v>0</x:v>
      </x:c>
      <x:c r="O9" s="32" t="n">
        <x:v>0</x:v>
      </x:c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/>
      <x:c r="AJ9" s="32"/>
      <x:c r="AK9" s="32"/>
      <x:c r="AL9" s="32"/>
      <x:c r="AM9" s="32"/>
      <x:c r="AN9" s="32"/>
      <x:c r="AO9" s="32"/>
      <x:c r="AP9" s="32"/>
      <x:c r="AQ9" s="32"/>
      <x:c r="AR9" s="32"/>
      <x:c r="AS9" s="32"/>
      <x:c r="AT9" s="32"/>
      <x:c r="AU9" s="32"/>
      <x:c r="AV9" s="32"/>
      <x:c r="AW9" s="32"/>
      <x:c r="AX9" s="32"/>
      <x:c r="AY9" s="32"/>
      <x:c r="AZ9" s="32"/>
      <x:c r="BA9" s="32"/>
    </x:row>
    <x:row r="10">
      <x:c r="A10" s="25" t="str">
        <x:v>C01-E</x:v>
      </x:c>
      <x:c r="B10" s="25" t="str">
        <x:v>漂流群岛</x:v>
      </x:c>
      <x:c r="C10" s="25" t="str">
        <x:v>半急速入场</x:v>
      </x:c>
      <x:c r="D10" s="25" t="str">
        <x:v>转生</x:v>
      </x:c>
      <x:c r="E10" s="25" t="str">
        <x:v>本类1项（逐项见完整JSON）</x:v>
      </x:c>
      <x:c r="F10" s="25" t="str">
        <x:v>S07/20转</x:v>
      </x:c>
      <x:c r="G10" s="25" t="str">
        <x:v>原表累计</x:v>
      </x:c>
      <x:c r="H10" s="25" t="str">
        <x:v>由同包逐项数据聚合，便于核对</x:v>
      </x:c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 t="n">
        <x:v>0</x:v>
      </x:c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/>
      <x:c r="AJ10" s="32"/>
      <x:c r="AK10" s="32"/>
      <x:c r="AL10" s="32"/>
      <x:c r="AM10" s="32"/>
      <x:c r="AN10" s="32"/>
      <x:c r="AO10" s="32"/>
      <x:c r="AP10" s="32"/>
      <x:c r="AQ10" s="32"/>
      <x:c r="AR10" s="32"/>
      <x:c r="AS10" s="32"/>
      <x:c r="AT10" s="32"/>
      <x:c r="AU10" s="32"/>
      <x:c r="AV10" s="32"/>
      <x:c r="AW10" s="32"/>
      <x:c r="AX10" s="32"/>
      <x:c r="AY10" s="32"/>
      <x:c r="AZ10" s="32"/>
      <x:c r="BA10" s="32"/>
    </x:row>
    <x:row r="11">
      <x:c r="A11" s="25" t="str">
        <x:v>C01-E</x:v>
      </x:c>
      <x:c r="B11" s="25" t="str">
        <x:v>漂流群岛</x:v>
      </x:c>
      <x:c r="C11" s="25" t="str">
        <x:v>半急速入场</x:v>
      </x:c>
      <x:c r="D11" s="25" t="str">
        <x:v>单件图鉴</x:v>
      </x:c>
      <x:c r="E11" s="25" t="str">
        <x:v>本类1项（逐项见完整JSON）</x:v>
      </x:c>
      <x:c r="F11" s="25" t="str">
        <x:v>S07/collection_single</x:v>
      </x:c>
      <x:c r="G11" s="25" t="str">
        <x:v>原表累计</x:v>
      </x:c>
      <x:c r="H11" s="25" t="str">
        <x:v>由同包逐项数据聚合，便于核对</x:v>
      </x:c>
      <x:c r="I11" s="32" t="n">
        <x:v>0</x:v>
      </x:c>
      <x:c r="J11" s="32" t="n">
        <x:v>0</x:v>
      </x:c>
      <x:c r="K11" s="32" t="n">
        <x:v>0</x:v>
      </x:c>
      <x:c r="L11" s="32" t="n">
        <x:v>0</x:v>
      </x:c>
      <x:c r="M11" s="32" t="n">
        <x:v>0</x:v>
      </x:c>
      <x:c r="N11" s="32" t="n">
        <x:v>0</x:v>
      </x:c>
      <x:c r="O11" s="32" t="n">
        <x:v>0</x:v>
      </x:c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/>
      <x:c r="AJ11" s="32"/>
      <x:c r="AK11" s="32"/>
      <x:c r="AL11" s="32"/>
      <x:c r="AM11" s="32"/>
      <x:c r="AN11" s="32"/>
      <x:c r="AO11" s="32"/>
      <x:c r="AP11" s="32"/>
      <x:c r="AQ11" s="32"/>
      <x:c r="AR11" s="32"/>
      <x:c r="AS11" s="32"/>
      <x:c r="AT11" s="32"/>
      <x:c r="AU11" s="32"/>
      <x:c r="AV11" s="32"/>
      <x:c r="AW11" s="32"/>
      <x:c r="AX11" s="32"/>
      <x:c r="AY11" s="32"/>
      <x:c r="AZ11" s="32"/>
      <x:c r="BA11" s="32"/>
    </x:row>
    <x:row r="12">
      <x:c r="A12" s="25" t="str">
        <x:v>C01-E</x:v>
      </x:c>
      <x:c r="B12" s="25" t="str">
        <x:v>漂流群岛</x:v>
      </x:c>
      <x:c r="C12" s="25" t="str">
        <x:v>半急速入场</x:v>
      </x:c>
      <x:c r="D12" s="25" t="str">
        <x:v>旧任务</x:v>
      </x:c>
      <x:c r="E12" s="25" t="str">
        <x:v>本类1项（逐项见完整JSON）</x:v>
      </x:c>
      <x:c r="F12" s="25" t="str">
        <x:v>第一大陆_地图魂魄任务.txt</x:v>
      </x:c>
      <x:c r="G12" s="25" t="str">
        <x:v>原件确认</x:v>
      </x:c>
      <x:c r="H12" s="25" t="str">
        <x:v>由同包逐项数据聚合，便于核对</x:v>
      </x:c>
      <x:c r="I12" s="32" t="n">
        <x:v>0</x:v>
      </x:c>
      <x:c r="J12" s="32" t="n">
        <x:v>0</x:v>
      </x:c>
      <x:c r="K12" s="32" t="n">
        <x:v>0</x:v>
      </x:c>
      <x:c r="L12" s="32" t="n">
        <x:v>0</x:v>
      </x:c>
      <x:c r="M12" s="32" t="n">
        <x:v>0</x:v>
      </x:c>
      <x:c r="N12" s="32" t="n">
        <x:v>0</x:v>
      </x:c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/>
      <x:c r="AJ12" s="32"/>
      <x:c r="AK12" s="32"/>
      <x:c r="AL12" s="32"/>
      <x:c r="AM12" s="32"/>
      <x:c r="AN12" s="32"/>
      <x:c r="AO12" s="32"/>
      <x:c r="AP12" s="32" t="n">
        <x:v>0</x:v>
      </x:c>
      <x:c r="AQ12" s="32"/>
      <x:c r="AR12" s="32"/>
      <x:c r="AS12" s="32"/>
      <x:c r="AT12" s="32"/>
      <x:c r="AU12" s="32"/>
      <x:c r="AV12" s="32"/>
      <x:c r="AW12" s="32"/>
      <x:c r="AX12" s="32"/>
      <x:c r="AY12" s="32"/>
      <x:c r="AZ12" s="32"/>
      <x:c r="BA12" s="32"/>
    </x:row>
    <x:row r="13">
      <x:c r="A13" s="25" t="str">
        <x:v>C01-E</x:v>
      </x:c>
      <x:c r="B13" s="25" t="str">
        <x:v>漂流群岛</x:v>
      </x:c>
      <x:c r="C13" s="25" t="str">
        <x:v>半急速入场</x:v>
      </x:c>
      <x:c r="D13" s="25" t="str">
        <x:v>命格</x:v>
      </x:c>
      <x:c r="E13" s="25" t="str">
        <x:v>本类1项（逐项见完整JSON）</x:v>
      </x:c>
      <x:c r="F13" s="25" t="str">
        <x:v>S03/命格ID1092</x:v>
      </x:c>
      <x:c r="G13" s="25" t="str">
        <x:v>原表彩色＋选配假设</x:v>
      </x:c>
      <x:c r="H13" s="25" t="str">
        <x:v>由同包逐项数据聚合，便于核对</x:v>
      </x:c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 t="n">
        <x:v>3</x:v>
      </x:c>
      <x:c r="AA13" s="32"/>
      <x:c r="AB13" s="32"/>
      <x:c r="AC13" s="32"/>
      <x:c r="AD13" s="32"/>
      <x:c r="AE13" s="32"/>
      <x:c r="AF13" s="32"/>
      <x:c r="AG13" s="32"/>
      <x:c r="AH13" s="32" t="n">
        <x:v>2</x:v>
      </x:c>
      <x:c r="AI13" s="32"/>
      <x:c r="AJ13" s="32" t="n">
        <x:v>10</x:v>
      </x:c>
      <x:c r="AK13" s="32"/>
      <x:c r="AL13" s="32"/>
      <x:c r="AM13" s="32"/>
      <x:c r="AN13" s="32"/>
      <x:c r="AO13" s="32"/>
      <x:c r="AP13" s="32"/>
      <x:c r="AQ13" s="32"/>
      <x:c r="AR13" s="32"/>
      <x:c r="AS13" s="32"/>
      <x:c r="AT13" s="32"/>
      <x:c r="AU13" s="32"/>
      <x:c r="AV13" s="32"/>
      <x:c r="AW13" s="32"/>
      <x:c r="AX13" s="32"/>
      <x:c r="AY13" s="32"/>
      <x:c r="AZ13" s="32"/>
      <x:c r="BA13" s="32"/>
    </x:row>
    <x:row r="14">
      <x:c r="A14" s="25" t="str">
        <x:v>C01-E</x:v>
      </x:c>
      <x:c r="B14" s="25" t="str">
        <x:v>漂流群岛</x:v>
      </x:c>
      <x:c r="C14" s="25" t="str">
        <x:v>半急速入场</x:v>
      </x:c>
      <x:c r="D14" s="25" t="str">
        <x:v>后天幸运</x:v>
      </x:c>
      <x:c r="E14" s="25" t="str">
        <x:v>本类1项（逐项见完整JSON）</x:v>
      </x:c>
      <x:c r="F14" s="25" t="str">
        <x:v>A08</x:v>
      </x:c>
      <x:c r="G14" s="25" t="str">
        <x:v>人物永久进度</x:v>
      </x:c>
      <x:c r="H14" s="25" t="str">
        <x:v>由同包逐项数据聚合，便于核对</x:v>
      </x:c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  <x:c r="AK14" s="32" t="n">
        <x:v>0</x:v>
      </x:c>
      <x:c r="AL14" s="32" t="n">
        <x:v>0</x:v>
      </x:c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  <x:c r="AY14" s="32"/>
      <x:c r="AZ14" s="32"/>
      <x:c r="BA14" s="32"/>
    </x:row>
    <x:row r="15">
      <x:c r="A15" s="25" t="str">
        <x:v>C01-E</x:v>
      </x:c>
      <x:c r="B15" s="25" t="str">
        <x:v>漂流群岛</x:v>
      </x:c>
      <x:c r="C15" s="25" t="str">
        <x:v>半急速入场</x:v>
      </x:c>
      <x:c r="D15" s="25" t="str">
        <x:v>回收预算</x:v>
      </x:c>
      <x:c r="E15" s="25" t="str">
        <x:v>本类1项（逐项见完整JSON）</x:v>
      </x:c>
      <x:c r="F15" s="25" t="str">
        <x:v>用户总回收50%</x:v>
      </x:c>
      <x:c r="G15" s="25" t="str">
        <x:v>经济输入，不是新增属性来源</x:v>
      </x:c>
      <x:c r="H15" s="25" t="str">
        <x:v>由同包逐项数据聚合，便于核对</x:v>
      </x:c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  <x:c r="AY15" s="32"/>
      <x:c r="AZ15" s="32"/>
      <x:c r="BA15" s="32" t="n">
        <x:v>50</x:v>
      </x:c>
    </x:row>
    <x:row r="16">
      <x:c r="A16" s="25" t="str">
        <x:v>C01-M</x:v>
      </x:c>
      <x:c r="B16" s="25" t="str">
        <x:v>漂流群岛</x:v>
      </x:c>
      <x:c r="C16" s="25" t="str">
        <x:v>半急速中期</x:v>
      </x:c>
      <x:c r="D16" s="25" t="str">
        <x:v>人物自然</x:v>
      </x:c>
      <x:c r="E16" s="25" t="str">
        <x:v>本类1项（逐项见完整JSON）</x:v>
      </x:c>
      <x:c r="F16" s="25" t="str">
        <x:v>A01</x:v>
      </x:c>
      <x:c r="G16" s="25" t="str">
        <x:v>模型假设</x:v>
      </x:c>
      <x:c r="H16" s="25" t="str">
        <x:v>由同包逐项数据聚合，便于核对</x:v>
      </x:c>
      <x:c r="I16" s="32" t="n">
        <x:v>8</x:v>
      </x:c>
      <x:c r="J16" s="32" t="n">
        <x:v>15.5</x:v>
      </x:c>
      <x:c r="K16" s="32"/>
      <x:c r="L16" s="32"/>
      <x:c r="M16" s="32"/>
      <x:c r="N16" s="32"/>
      <x:c r="O16" s="32" t="n">
        <x:v>1200</x:v>
      </x:c>
      <x:c r="P16" s="32" t="n">
        <x:v>250</x:v>
      </x:c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  <x:c r="AY16" s="32"/>
      <x:c r="AZ16" s="32"/>
      <x:c r="BA16" s="32"/>
    </x:row>
    <x:row r="17">
      <x:c r="A17" s="25" t="str">
        <x:v>C01-M</x:v>
      </x:c>
      <x:c r="B17" s="25" t="str">
        <x:v>漂流群岛</x:v>
      </x:c>
      <x:c r="C17" s="25" t="str">
        <x:v>半急速中期</x:v>
      </x:c>
      <x:c r="D17" s="25" t="str">
        <x:v>付费状态</x:v>
      </x:c>
      <x:c r="E17" s="25" t="str">
        <x:v>本类3项（逐项见完整JSON）</x:v>
      </x:c>
      <x:c r="F17" s="25" t="str">
        <x:v>20260903总档</x:v>
      </x:c>
      <x:c r="G17" s="25" t="str">
        <x:v>原表数值</x:v>
      </x:c>
      <x:c r="H17" s="25" t="str">
        <x:v>由同包逐项数据聚合，便于核对</x:v>
      </x:c>
      <x:c r="I17" s="32" t="n">
        <x:v>149</x:v>
      </x:c>
      <x:c r="J17" s="32" t="n">
        <x:v>149</x:v>
      </x:c>
      <x:c r="K17" s="32" t="n">
        <x:v>149</x:v>
      </x:c>
      <x:c r="L17" s="32" t="n">
        <x:v>149</x:v>
      </x:c>
      <x:c r="M17" s="32" t="n">
        <x:v>149</x:v>
      </x:c>
      <x:c r="N17" s="32" t="n">
        <x:v>149</x:v>
      </x:c>
      <x:c r="O17" s="32" t="n">
        <x:v>10000</x:v>
      </x:c>
      <x:c r="P17" s="32"/>
      <x:c r="Q17" s="32"/>
      <x:c r="R17" s="32"/>
      <x:c r="S17" s="32"/>
      <x:c r="T17" s="32"/>
      <x:c r="U17" s="32"/>
      <x:c r="V17" s="32"/>
      <x:c r="W17" s="32"/>
      <x:c r="X17" s="32"/>
      <x:c r="Y17" s="32" t="n">
        <x:v>10</x:v>
      </x:c>
      <x:c r="Z17" s="32"/>
      <x:c r="AA17" s="32"/>
      <x:c r="AB17" s="32" t="n">
        <x:v>20</x:v>
      </x:c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 t="n">
        <x:v>10</x:v>
      </x:c>
      <x:c r="AN17" s="32"/>
      <x:c r="AO17" s="32"/>
      <x:c r="AP17" s="32" t="n">
        <x:v>50</x:v>
      </x:c>
      <x:c r="AQ17" s="32"/>
      <x:c r="AR17" s="32"/>
      <x:c r="AS17" s="32"/>
      <x:c r="AT17" s="32" t="n">
        <x:v>700</x:v>
      </x:c>
      <x:c r="AU17" s="32" t="n">
        <x:v>15</x:v>
      </x:c>
      <x:c r="AV17" s="32"/>
      <x:c r="AW17" s="32"/>
      <x:c r="AX17" s="32"/>
      <x:c r="AY17" s="32"/>
      <x:c r="AZ17" s="32"/>
      <x:c r="BA17" s="32"/>
    </x:row>
    <x:row r="18">
      <x:c r="A18" s="25" t="str">
        <x:v>C01-M</x:v>
      </x:c>
      <x:c r="B18" s="25" t="str">
        <x:v>漂流群岛</x:v>
      </x:c>
      <x:c r="C18" s="25" t="str">
        <x:v>半急速中期</x:v>
      </x:c>
      <x:c r="D18" s="25" t="str">
        <x:v>成长装备</x:v>
      </x:c>
      <x:c r="E18" s="25" t="str">
        <x:v>本类2项（逐项见完整JSON）</x:v>
      </x:c>
      <x:c r="F18" s="25" t="str">
        <x:v>20260903总档 / A04</x:v>
      </x:c>
      <x:c r="G18" s="25" t="str">
        <x:v>原表＋支付路径假设</x:v>
      </x:c>
      <x:c r="H18" s="25" t="str">
        <x:v>由同包逐项数据聚合，便于核对</x:v>
      </x:c>
      <x:c r="I18" s="32" t="n">
        <x:v>100</x:v>
      </x:c>
      <x:c r="J18" s="32" t="n">
        <x:v>100</x:v>
      </x:c>
      <x:c r="K18" s="32" t="n">
        <x:v>100</x:v>
      </x:c>
      <x:c r="L18" s="32" t="n">
        <x:v>100</x:v>
      </x:c>
      <x:c r="M18" s="32" t="n">
        <x:v>100</x:v>
      </x:c>
      <x:c r="N18" s="32" t="n">
        <x:v>100</x:v>
      </x:c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 t="n">
        <x:v>5000</x:v>
      </x:c>
      <x:c r="AG18" s="32" t="n">
        <x:v>2000</x:v>
      </x:c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  <x:c r="AY18" s="32"/>
      <x:c r="AZ18" s="32"/>
      <x:c r="BA18" s="32"/>
    </x:row>
    <x:row r="19">
      <x:c r="A19" s="25" t="str">
        <x:v>C01-M</x:v>
      </x:c>
      <x:c r="B19" s="25" t="str">
        <x:v>漂流群岛</x:v>
      </x:c>
      <x:c r="C19" s="25" t="str">
        <x:v>半急速中期</x:v>
      </x:c>
      <x:c r="D19" s="25" t="str">
        <x:v>贯穿称号</x:v>
      </x:c>
      <x:c r="E19" s="25" t="str">
        <x:v>本类1项（逐项见完整JSON）</x:v>
      </x:c>
      <x:c r="F19" s="25" t="str">
        <x:v>S04/01_贯穿称号</x:v>
      </x:c>
      <x:c r="G19" s="25" t="str">
        <x:v>原表数值</x:v>
      </x:c>
      <x:c r="H19" s="25" t="str">
        <x:v>由同包逐项数据聚合，便于核对</x:v>
      </x:c>
      <x:c r="I19" s="32" t="n">
        <x:v>100</x:v>
      </x:c>
      <x:c r="J19" s="32" t="n">
        <x:v>100</x:v>
      </x:c>
      <x:c r="K19" s="32" t="n">
        <x:v>100</x:v>
      </x:c>
      <x:c r="L19" s="32" t="n">
        <x:v>100</x:v>
      </x:c>
      <x:c r="M19" s="32" t="n">
        <x:v>100</x:v>
      </x:c>
      <x:c r="N19" s="32" t="n">
        <x:v>100</x:v>
      </x:c>
      <x:c r="O19" s="32" t="n">
        <x:v>10000</x:v>
      </x:c>
      <x:c r="P19" s="32" t="n">
        <x:v>10000</x:v>
      </x:c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 t="n">
        <x:v>200</x:v>
      </x:c>
      <x:c r="AU19" s="32"/>
      <x:c r="AV19" s="32"/>
      <x:c r="AW19" s="32"/>
      <x:c r="AX19" s="32"/>
      <x:c r="AY19" s="32"/>
      <x:c r="AZ19" s="32"/>
      <x:c r="BA19" s="32"/>
    </x:row>
    <x:row r="20">
      <x:c r="A20" s="25" t="str">
        <x:v>C01-M</x:v>
      </x:c>
      <x:c r="B20" s="25" t="str">
        <x:v>漂流群岛</x:v>
      </x:c>
      <x:c r="C20" s="25" t="str">
        <x:v>半急速中期</x:v>
      </x:c>
      <x:c r="D20" s="25" t="str">
        <x:v>神印</x:v>
      </x:c>
      <x:c r="E20" s="25" t="str">
        <x:v>本类1项（逐项见完整JSON）</x:v>
      </x:c>
      <x:c r="F20" s="25" t="str">
        <x:v>S04 / 神印公式</x:v>
      </x:c>
      <x:c r="G20" s="25" t="str">
        <x:v>自给进度假设＋原公式</x:v>
      </x:c>
      <x:c r="H20" s="25" t="str">
        <x:v>由同包逐项数据聚合，便于核对</x:v>
      </x:c>
      <x:c r="I20" s="32" t="n">
        <x:v>0</x:v>
      </x:c>
      <x:c r="J20" s="32" t="n">
        <x:v>0</x:v>
      </x:c>
      <x:c r="K20" s="32" t="n">
        <x:v>0</x:v>
      </x:c>
      <x:c r="L20" s="32" t="n">
        <x:v>0</x:v>
      </x:c>
      <x:c r="M20" s="32" t="n">
        <x:v>0</x:v>
      </x:c>
      <x:c r="N20" s="32" t="n">
        <x:v>0</x:v>
      </x:c>
      <x:c r="O20" s="32" t="n">
        <x:v>0</x:v>
      </x:c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  <x:c r="AY20" s="32"/>
      <x:c r="AZ20" s="32"/>
      <x:c r="BA20" s="32"/>
    </x:row>
    <x:row r="21">
      <x:c r="A21" s="25" t="str">
        <x:v>C01-M</x:v>
      </x:c>
      <x:c r="B21" s="25" t="str">
        <x:v>漂流群岛</x:v>
      </x:c>
      <x:c r="C21" s="25" t="str">
        <x:v>半急速中期</x:v>
      </x:c>
      <x:c r="D21" s="25" t="str">
        <x:v>转生</x:v>
      </x:c>
      <x:c r="E21" s="25" t="str">
        <x:v>本类1项（逐项见完整JSON）</x:v>
      </x:c>
      <x:c r="F21" s="25" t="str">
        <x:v>S07/20转</x:v>
      </x:c>
      <x:c r="G21" s="25" t="str">
        <x:v>原表累计</x:v>
      </x:c>
      <x:c r="H21" s="25" t="str">
        <x:v>由同包逐项数据聚合，便于核对</x:v>
      </x:c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 t="n">
        <x:v>0</x:v>
      </x:c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Y21" s="32"/>
      <x:c r="AZ21" s="32"/>
      <x:c r="BA21" s="32"/>
    </x:row>
    <x:row r="22">
      <x:c r="A22" s="25" t="str">
        <x:v>C01-M</x:v>
      </x:c>
      <x:c r="B22" s="25" t="str">
        <x:v>漂流群岛</x:v>
      </x:c>
      <x:c r="C22" s="25" t="str">
        <x:v>半急速中期</x:v>
      </x:c>
      <x:c r="D22" s="25" t="str">
        <x:v>单件图鉴</x:v>
      </x:c>
      <x:c r="E22" s="25" t="str">
        <x:v>本类1项（逐项见完整JSON）</x:v>
      </x:c>
      <x:c r="F22" s="25" t="str">
        <x:v>S07/collection_single</x:v>
      </x:c>
      <x:c r="G22" s="25" t="str">
        <x:v>原表累计</x:v>
      </x:c>
      <x:c r="H22" s="25" t="str">
        <x:v>由同包逐项数据聚合，便于核对</x:v>
      </x:c>
      <x:c r="I22" s="32" t="n">
        <x:v>8</x:v>
      </x:c>
      <x:c r="J22" s="32" t="n">
        <x:v>8</x:v>
      </x:c>
      <x:c r="K22" s="32" t="n">
        <x:v>8</x:v>
      </x:c>
      <x:c r="L22" s="32" t="n">
        <x:v>8</x:v>
      </x:c>
      <x:c r="M22" s="32" t="n">
        <x:v>8</x:v>
      </x:c>
      <x:c r="N22" s="32" t="n">
        <x:v>8</x:v>
      </x:c>
      <x:c r="O22" s="32" t="n">
        <x:v>800</x:v>
      </x:c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Y22" s="32"/>
      <x:c r="AZ22" s="32"/>
      <x:c r="BA22" s="32"/>
    </x:row>
    <x:row r="23">
      <x:c r="A23" s="25" t="str">
        <x:v>C01-M</x:v>
      </x:c>
      <x:c r="B23" s="25" t="str">
        <x:v>漂流群岛</x:v>
      </x:c>
      <x:c r="C23" s="25" t="str">
        <x:v>半急速中期</x:v>
      </x:c>
      <x:c r="D23" s="25" t="str">
        <x:v>旧任务</x:v>
      </x:c>
      <x:c r="E23" s="25" t="str">
        <x:v>本类1项（逐项见完整JSON）</x:v>
      </x:c>
      <x:c r="F23" s="25" t="str">
        <x:v>第一大陆_地图魂魄任务.txt</x:v>
      </x:c>
      <x:c r="G23" s="25" t="str">
        <x:v>原件确认</x:v>
      </x:c>
      <x:c r="H23" s="25" t="str">
        <x:v>由同包逐项数据聚合，便于核对</x:v>
      </x:c>
      <x:c r="I23" s="32" t="n">
        <x:v>0</x:v>
      </x:c>
      <x:c r="J23" s="32" t="n">
        <x:v>0</x:v>
      </x:c>
      <x:c r="K23" s="32" t="n">
        <x:v>0</x:v>
      </x:c>
      <x:c r="L23" s="32" t="n">
        <x:v>0</x:v>
      </x:c>
      <x:c r="M23" s="32" t="n">
        <x:v>0</x:v>
      </x:c>
      <x:c r="N23" s="32" t="n">
        <x:v>0</x:v>
      </x:c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 t="n">
        <x:v>0</x:v>
      </x:c>
      <x:c r="AQ23" s="32"/>
      <x:c r="AR23" s="32"/>
      <x:c r="AS23" s="32"/>
      <x:c r="AT23" s="32"/>
      <x:c r="AU23" s="32"/>
      <x:c r="AV23" s="32"/>
      <x:c r="AW23" s="32"/>
      <x:c r="AX23" s="32"/>
      <x:c r="AY23" s="32"/>
      <x:c r="AZ23" s="32"/>
      <x:c r="BA23" s="32"/>
    </x:row>
    <x:row r="24">
      <x:c r="A24" s="25" t="str">
        <x:v>C01-M</x:v>
      </x:c>
      <x:c r="B24" s="25" t="str">
        <x:v>漂流群岛</x:v>
      </x:c>
      <x:c r="C24" s="25" t="str">
        <x:v>半急速中期</x:v>
      </x:c>
      <x:c r="D24" s="25" t="str">
        <x:v>装备</x:v>
      </x:c>
      <x:c r="E24" s="25" t="str">
        <x:v>本类13项（逐项见完整JSON）</x:v>
      </x:c>
      <x:c r="F24" s="25" t="str">
        <x:v>S01；S02</x:v>
      </x:c>
      <x:c r="G24" s="25" t="str">
        <x:v>原表数值</x:v>
      </x:c>
      <x:c r="H24" s="25" t="str">
        <x:v>由同包逐项数据聚合，便于核对</x:v>
      </x:c>
      <x:c r="I24" s="32" t="n">
        <x:v>235</x:v>
      </x:c>
      <x:c r="J24" s="32" t="n">
        <x:v>468</x:v>
      </x:c>
      <x:c r="K24" s="32" t="n">
        <x:v>235</x:v>
      </x:c>
      <x:c r="L24" s="32" t="n">
        <x:v>468</x:v>
      </x:c>
      <x:c r="M24" s="32" t="n">
        <x:v>235</x:v>
      </x:c>
      <x:c r="N24" s="32" t="n">
        <x:v>468</x:v>
      </x:c>
      <x:c r="O24" s="32" t="n">
        <x:v>84551</x:v>
      </x:c>
      <x:c r="P24" s="32"/>
      <x:c r="Q24" s="32" t="n">
        <x:v>90</x:v>
      </x:c>
      <x:c r="R24" s="32" t="n">
        <x:v>167</x:v>
      </x:c>
      <x:c r="S24" s="32" t="n">
        <x:v>72</x:v>
      </x:c>
      <x:c r="T24" s="32" t="n">
        <x:v>136</x:v>
      </x:c>
      <x:c r="U24" s="32" t="n">
        <x:v>59</x:v>
      </x:c>
      <x:c r="V24" s="32" t="n">
        <x:v>59</x:v>
      </x:c>
      <x:c r="W24" s="32" t="n">
        <x:v>59</x:v>
      </x:c>
      <x:c r="X24" s="32"/>
      <x:c r="Y24" s="32"/>
      <x:c r="Z24" s="32" t="n">
        <x:v>18</x:v>
      </x:c>
      <x:c r="AA24" s="32" t="n">
        <x:v>9</x:v>
      </x:c>
      <x:c r="AB24" s="32"/>
      <x:c r="AC24" s="32" t="n">
        <x:v>13</x:v>
      </x:c>
      <x:c r="AD24" s="32"/>
      <x:c r="AE24" s="32"/>
      <x:c r="AF24" s="32" t="n">
        <x:v>1030</x:v>
      </x:c>
      <x:c r="AG24" s="32"/>
      <x:c r="AH24" s="32" t="n">
        <x:v>6</x:v>
      </x:c>
      <x:c r="AI24" s="32"/>
      <x:c r="AJ24" s="32" t="n">
        <x:v>54</x:v>
      </x:c>
      <x:c r="AK24" s="32"/>
      <x:c r="AL24" s="32"/>
      <x:c r="AM24" s="32"/>
      <x:c r="AN24" s="32"/>
      <x:c r="AO24" s="32"/>
      <x:c r="AP24" s="32"/>
      <x:c r="AQ24" s="32" t="n">
        <x:v>29</x:v>
      </x:c>
      <x:c r="AR24" s="32"/>
      <x:c r="AS24" s="32" t="n">
        <x:v>2</x:v>
      </x:c>
      <x:c r="AT24" s="32"/>
      <x:c r="AU24" s="32"/>
      <x:c r="AV24" s="32"/>
      <x:c r="AW24" s="32"/>
      <x:c r="AX24" s="32"/>
      <x:c r="AY24" s="32"/>
      <x:c r="AZ24" s="32" t="n">
        <x:v>3</x:v>
      </x:c>
      <x:c r="BA24" s="32"/>
    </x:row>
    <x:row r="25">
      <x:c r="A25" s="25" t="str">
        <x:v>C01-M</x:v>
      </x:c>
      <x:c r="B25" s="25" t="str">
        <x:v>漂流群岛</x:v>
      </x:c>
      <x:c r="C25" s="25" t="str">
        <x:v>半急速中期</x:v>
      </x:c>
      <x:c r="D25" s="25" t="str">
        <x:v>命格</x:v>
      </x:c>
      <x:c r="E25" s="25" t="str">
        <x:v>本类1项（逐项见完整JSON）</x:v>
      </x:c>
      <x:c r="F25" s="25" t="str">
        <x:v>S03/命格ID1092</x:v>
      </x:c>
      <x:c r="G25" s="25" t="str">
        <x:v>原表彩色＋选配假设</x:v>
      </x:c>
      <x:c r="H25" s="25" t="str">
        <x:v>由同包逐项数据聚合，便于核对</x:v>
      </x:c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 t="n">
        <x:v>3</x:v>
      </x:c>
      <x:c r="AA25" s="32"/>
      <x:c r="AB25" s="32"/>
      <x:c r="AC25" s="32"/>
      <x:c r="AD25" s="32"/>
      <x:c r="AE25" s="32"/>
      <x:c r="AF25" s="32"/>
      <x:c r="AG25" s="32"/>
      <x:c r="AH25" s="32" t="n">
        <x:v>2</x:v>
      </x:c>
      <x:c r="AI25" s="32"/>
      <x:c r="AJ25" s="32" t="n">
        <x:v>10</x:v>
      </x:c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Y25" s="32"/>
      <x:c r="AZ25" s="32"/>
      <x:c r="BA25" s="32"/>
    </x:row>
    <x:row r="26">
      <x:c r="A26" s="25" t="str">
        <x:v>C01-M</x:v>
      </x:c>
      <x:c r="B26" s="25" t="str">
        <x:v>漂流群岛</x:v>
      </x:c>
      <x:c r="C26" s="25" t="str">
        <x:v>半急速中期</x:v>
      </x:c>
      <x:c r="D26" s="25" t="str">
        <x:v>后天幸运</x:v>
      </x:c>
      <x:c r="E26" s="25" t="str">
        <x:v>本类1项（逐项见完整JSON）</x:v>
      </x:c>
      <x:c r="F26" s="25" t="str">
        <x:v>A08</x:v>
      </x:c>
      <x:c r="G26" s="25" t="str">
        <x:v>人物永久进度</x:v>
      </x:c>
      <x:c r="H26" s="25" t="str">
        <x:v>由同包逐项数据聚合，便于核对</x:v>
      </x:c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 t="n">
        <x:v>7</x:v>
      </x:c>
      <x:c r="AL26" s="32" t="n">
        <x:v>0</x:v>
      </x:c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Y26" s="32"/>
      <x:c r="AZ26" s="32"/>
      <x:c r="BA26" s="32"/>
    </x:row>
    <x:row r="27">
      <x:c r="A27" s="25" t="str">
        <x:v>C01-M</x:v>
      </x:c>
      <x:c r="B27" s="25" t="str">
        <x:v>漂流群岛</x:v>
      </x:c>
      <x:c r="C27" s="25" t="str">
        <x:v>半急速中期</x:v>
      </x:c>
      <x:c r="D27" s="25" t="str">
        <x:v>回收预算</x:v>
      </x:c>
      <x:c r="E27" s="25" t="str">
        <x:v>本类1项（逐项见完整JSON）</x:v>
      </x:c>
      <x:c r="F27" s="25" t="str">
        <x:v>用户总回收50%</x:v>
      </x:c>
      <x:c r="G27" s="25" t="str">
        <x:v>经济输入，不是新增属性来源</x:v>
      </x:c>
      <x:c r="H27" s="25" t="str">
        <x:v>由同包逐项数据聚合，便于核对</x:v>
      </x:c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Y27" s="32"/>
      <x:c r="AZ27" s="32"/>
      <x:c r="BA27" s="32" t="n">
        <x:v>50</x:v>
      </x:c>
    </x:row>
    <x:row r="28">
      <x:c r="A28" s="25" t="str">
        <x:v>C01-G</x:v>
      </x:c>
      <x:c r="B28" s="25" t="str">
        <x:v>漂流群岛</x:v>
      </x:c>
      <x:c r="C28" s="25" t="str">
        <x:v>半急速毕业</x:v>
      </x:c>
      <x:c r="D28" s="25" t="str">
        <x:v>人物自然</x:v>
      </x:c>
      <x:c r="E28" s="25" t="str">
        <x:v>本类1项（逐项见完整JSON）</x:v>
      </x:c>
      <x:c r="F28" s="25" t="str">
        <x:v>A01</x:v>
      </x:c>
      <x:c r="G28" s="25" t="str">
        <x:v>模型假设</x:v>
      </x:c>
      <x:c r="H28" s="25" t="str">
        <x:v>由同包逐项数据聚合，便于核对</x:v>
      </x:c>
      <x:c r="I28" s="32" t="n">
        <x:v>9</x:v>
      </x:c>
      <x:c r="J28" s="32" t="n">
        <x:v>18</x:v>
      </x:c>
      <x:c r="K28" s="32"/>
      <x:c r="L28" s="32"/>
      <x:c r="M28" s="32"/>
      <x:c r="N28" s="32"/>
      <x:c r="O28" s="32" t="n">
        <x:v>1400</x:v>
      </x:c>
      <x:c r="P28" s="32" t="n">
        <x:v>300</x:v>
      </x:c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Y28" s="32"/>
      <x:c r="AZ28" s="32"/>
      <x:c r="BA28" s="32"/>
    </x:row>
    <x:row r="29">
      <x:c r="A29" s="25" t="str">
        <x:v>C01-G</x:v>
      </x:c>
      <x:c r="B29" s="25" t="str">
        <x:v>漂流群岛</x:v>
      </x:c>
      <x:c r="C29" s="25" t="str">
        <x:v>半急速毕业</x:v>
      </x:c>
      <x:c r="D29" s="25" t="str">
        <x:v>付费状态</x:v>
      </x:c>
      <x:c r="E29" s="25" t="str">
        <x:v>本类3项（逐项见完整JSON）</x:v>
      </x:c>
      <x:c r="F29" s="25" t="str">
        <x:v>20260903总档</x:v>
      </x:c>
      <x:c r="G29" s="25" t="str">
        <x:v>原表数值</x:v>
      </x:c>
      <x:c r="H29" s="25" t="str">
        <x:v>由同包逐项数据聚合，便于核对</x:v>
      </x:c>
      <x:c r="I29" s="32" t="n">
        <x:v>149</x:v>
      </x:c>
      <x:c r="J29" s="32" t="n">
        <x:v>149</x:v>
      </x:c>
      <x:c r="K29" s="32" t="n">
        <x:v>149</x:v>
      </x:c>
      <x:c r="L29" s="32" t="n">
        <x:v>149</x:v>
      </x:c>
      <x:c r="M29" s="32" t="n">
        <x:v>149</x:v>
      </x:c>
      <x:c r="N29" s="32" t="n">
        <x:v>149</x:v>
      </x:c>
      <x:c r="O29" s="32" t="n">
        <x:v>10000</x:v>
      </x:c>
      <x:c r="P29" s="32"/>
      <x:c r="Q29" s="32"/>
      <x:c r="R29" s="32"/>
      <x:c r="S29" s="32"/>
      <x:c r="T29" s="32"/>
      <x:c r="U29" s="32"/>
      <x:c r="V29" s="32"/>
      <x:c r="W29" s="32"/>
      <x:c r="X29" s="32"/>
      <x:c r="Y29" s="32" t="n">
        <x:v>10</x:v>
      </x:c>
      <x:c r="Z29" s="32"/>
      <x:c r="AA29" s="32"/>
      <x:c r="AB29" s="32" t="n">
        <x:v>20</x:v>
      </x:c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 t="n">
        <x:v>10</x:v>
      </x:c>
      <x:c r="AN29" s="32"/>
      <x:c r="AO29" s="32"/>
      <x:c r="AP29" s="32" t="n">
        <x:v>50</x:v>
      </x:c>
      <x:c r="AQ29" s="32"/>
      <x:c r="AR29" s="32"/>
      <x:c r="AS29" s="32"/>
      <x:c r="AT29" s="32" t="n">
        <x:v>700</x:v>
      </x:c>
      <x:c r="AU29" s="32" t="n">
        <x:v>15</x:v>
      </x:c>
      <x:c r="AV29" s="32"/>
      <x:c r="AW29" s="32"/>
      <x:c r="AX29" s="32"/>
      <x:c r="AY29" s="32"/>
      <x:c r="AZ29" s="32"/>
      <x:c r="BA29" s="32"/>
    </x:row>
    <x:row r="30">
      <x:c r="A30" s="25" t="str">
        <x:v>C01-G</x:v>
      </x:c>
      <x:c r="B30" s="25" t="str">
        <x:v>漂流群岛</x:v>
      </x:c>
      <x:c r="C30" s="25" t="str">
        <x:v>半急速毕业</x:v>
      </x:c>
      <x:c r="D30" s="25" t="str">
        <x:v>成长装备</x:v>
      </x:c>
      <x:c r="E30" s="25" t="str">
        <x:v>本类2项（逐项见完整JSON）</x:v>
      </x:c>
      <x:c r="F30" s="25" t="str">
        <x:v>20260903总档 / A04</x:v>
      </x:c>
      <x:c r="G30" s="25" t="str">
        <x:v>原表＋支付路径假设</x:v>
      </x:c>
      <x:c r="H30" s="25" t="str">
        <x:v>由同包逐项数据聚合，便于核对</x:v>
      </x:c>
      <x:c r="I30" s="32" t="n">
        <x:v>100</x:v>
      </x:c>
      <x:c r="J30" s="32" t="n">
        <x:v>100</x:v>
      </x:c>
      <x:c r="K30" s="32" t="n">
        <x:v>100</x:v>
      </x:c>
      <x:c r="L30" s="32" t="n">
        <x:v>100</x:v>
      </x:c>
      <x:c r="M30" s="32" t="n">
        <x:v>100</x:v>
      </x:c>
      <x:c r="N30" s="32" t="n">
        <x:v>100</x:v>
      </x:c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 t="n">
        <x:v>5000</x:v>
      </x:c>
      <x:c r="AG30" s="32" t="n">
        <x:v>2000</x:v>
      </x:c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Y30" s="32"/>
      <x:c r="AZ30" s="32"/>
      <x:c r="BA30" s="32"/>
    </x:row>
    <x:row r="31">
      <x:c r="A31" s="25" t="str">
        <x:v>C01-G</x:v>
      </x:c>
      <x:c r="B31" s="25" t="str">
        <x:v>漂流群岛</x:v>
      </x:c>
      <x:c r="C31" s="25" t="str">
        <x:v>半急速毕业</x:v>
      </x:c>
      <x:c r="D31" s="25" t="str">
        <x:v>贯穿称号</x:v>
      </x:c>
      <x:c r="E31" s="25" t="str">
        <x:v>本类1项（逐项见完整JSON）</x:v>
      </x:c>
      <x:c r="F31" s="25" t="str">
        <x:v>S04/01_贯穿称号</x:v>
      </x:c>
      <x:c r="G31" s="25" t="str">
        <x:v>原表数值</x:v>
      </x:c>
      <x:c r="H31" s="25" t="str">
        <x:v>由同包逐项数据聚合，便于核对</x:v>
      </x:c>
      <x:c r="I31" s="32" t="n">
        <x:v>100</x:v>
      </x:c>
      <x:c r="J31" s="32" t="n">
        <x:v>100</x:v>
      </x:c>
      <x:c r="K31" s="32" t="n">
        <x:v>100</x:v>
      </x:c>
      <x:c r="L31" s="32" t="n">
        <x:v>100</x:v>
      </x:c>
      <x:c r="M31" s="32" t="n">
        <x:v>100</x:v>
      </x:c>
      <x:c r="N31" s="32" t="n">
        <x:v>100</x:v>
      </x:c>
      <x:c r="O31" s="32" t="n">
        <x:v>10000</x:v>
      </x:c>
      <x:c r="P31" s="32" t="n">
        <x:v>10000</x:v>
      </x:c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 t="n">
        <x:v>200</x:v>
      </x:c>
      <x:c r="AU31" s="32"/>
      <x:c r="AV31" s="32"/>
      <x:c r="AW31" s="32"/>
      <x:c r="AX31" s="32"/>
      <x:c r="AY31" s="32"/>
      <x:c r="AZ31" s="32"/>
      <x:c r="BA31" s="32"/>
    </x:row>
    <x:row r="32">
      <x:c r="A32" s="25" t="str">
        <x:v>C01-G</x:v>
      </x:c>
      <x:c r="B32" s="25" t="str">
        <x:v>漂流群岛</x:v>
      </x:c>
      <x:c r="C32" s="25" t="str">
        <x:v>半急速毕业</x:v>
      </x:c>
      <x:c r="D32" s="25" t="str">
        <x:v>神印</x:v>
      </x:c>
      <x:c r="E32" s="25" t="str">
        <x:v>本类1项（逐项见完整JSON）</x:v>
      </x:c>
      <x:c r="F32" s="25" t="str">
        <x:v>S04 / 神印公式</x:v>
      </x:c>
      <x:c r="G32" s="25" t="str">
        <x:v>自给进度假设＋原公式</x:v>
      </x:c>
      <x:c r="H32" s="25" t="str">
        <x:v>由同包逐项数据聚合，便于核对</x:v>
      </x:c>
      <x:c r="I32" s="32" t="n">
        <x:v>0</x:v>
      </x:c>
      <x:c r="J32" s="32" t="n">
        <x:v>0</x:v>
      </x:c>
      <x:c r="K32" s="32" t="n">
        <x:v>0</x:v>
      </x:c>
      <x:c r="L32" s="32" t="n">
        <x:v>0</x:v>
      </x:c>
      <x:c r="M32" s="32" t="n">
        <x:v>0</x:v>
      </x:c>
      <x:c r="N32" s="32" t="n">
        <x:v>0</x:v>
      </x:c>
      <x:c r="O32" s="32" t="n">
        <x:v>0</x:v>
      </x:c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</x:row>
    <x:row r="33">
      <x:c r="A33" s="25" t="str">
        <x:v>C01-G</x:v>
      </x:c>
      <x:c r="B33" s="25" t="str">
        <x:v>漂流群岛</x:v>
      </x:c>
      <x:c r="C33" s="25" t="str">
        <x:v>半急速毕业</x:v>
      </x:c>
      <x:c r="D33" s="25" t="str">
        <x:v>转生</x:v>
      </x:c>
      <x:c r="E33" s="25" t="str">
        <x:v>本类1项（逐项见完整JSON）</x:v>
      </x:c>
      <x:c r="F33" s="25" t="str">
        <x:v>S07/20转</x:v>
      </x:c>
      <x:c r="G33" s="25" t="str">
        <x:v>原表累计</x:v>
      </x:c>
      <x:c r="H33" s="25" t="str">
        <x:v>由同包逐项数据聚合，便于核对</x:v>
      </x:c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 t="n">
        <x:v>0</x:v>
      </x:c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Y33" s="32"/>
      <x:c r="AZ33" s="32"/>
      <x:c r="BA33" s="32"/>
    </x:row>
    <x:row r="34">
      <x:c r="A34" s="25" t="str">
        <x:v>C01-G</x:v>
      </x:c>
      <x:c r="B34" s="25" t="str">
        <x:v>漂流群岛</x:v>
      </x:c>
      <x:c r="C34" s="25" t="str">
        <x:v>半急速毕业</x:v>
      </x:c>
      <x:c r="D34" s="25" t="str">
        <x:v>独立称号</x:v>
      </x:c>
      <x:c r="E34" s="25" t="str">
        <x:v>本类1项（逐项见完整JSON）</x:v>
      </x:c>
      <x:c r="F34" s="25" t="str">
        <x:v>S04/02_独立称号</x:v>
      </x:c>
      <x:c r="G34" s="25" t="str">
        <x:v>原表数值</x:v>
      </x:c>
      <x:c r="H34" s="25" t="str">
        <x:v>由同包逐项数据聚合，便于核对</x:v>
      </x:c>
      <x:c r="I34" s="32" t="n">
        <x:v>30</x:v>
      </x:c>
      <x:c r="J34" s="32" t="n">
        <x:v>30</x:v>
      </x:c>
      <x:c r="K34" s="32" t="n">
        <x:v>30</x:v>
      </x:c>
      <x:c r="L34" s="32" t="n">
        <x:v>30</x:v>
      </x:c>
      <x:c r="M34" s="32" t="n">
        <x:v>30</x:v>
      </x:c>
      <x:c r="N34" s="32" t="n">
        <x:v>30</x:v>
      </x:c>
      <x:c r="O34" s="32" t="n">
        <x:v>3000</x:v>
      </x:c>
      <x:c r="P34" s="32"/>
      <x:c r="Q34" s="32"/>
      <x:c r="R34" s="32"/>
      <x:c r="S34" s="32"/>
      <x:c r="T34" s="32"/>
      <x:c r="U34" s="32"/>
      <x:c r="V34" s="32"/>
      <x:c r="W34" s="32"/>
      <x:c r="X34" s="32" t="n">
        <x:v>0</x:v>
      </x:c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 t="n">
        <x:v>0</x:v>
      </x:c>
      <x:c r="AN34" s="32"/>
      <x:c r="AO34" s="32"/>
      <x:c r="AP34" s="32" t="n">
        <x:v>0</x:v>
      </x:c>
      <x:c r="AQ34" s="32"/>
      <x:c r="AR34" s="32"/>
      <x:c r="AS34" s="32"/>
      <x:c r="AT34" s="32"/>
      <x:c r="AU34" s="32"/>
      <x:c r="AV34" s="32"/>
      <x:c r="AW34" s="32"/>
      <x:c r="AX34" s="32"/>
      <x:c r="AY34" s="32"/>
      <x:c r="AZ34" s="32"/>
      <x:c r="BA34" s="32"/>
    </x:row>
    <x:row r="35">
      <x:c r="A35" s="25" t="str">
        <x:v>C01-G</x:v>
      </x:c>
      <x:c r="B35" s="25" t="str">
        <x:v>漂流群岛</x:v>
      </x:c>
      <x:c r="C35" s="25" t="str">
        <x:v>半急速毕业</x:v>
      </x:c>
      <x:c r="D35" s="25" t="str">
        <x:v>单件图鉴</x:v>
      </x:c>
      <x:c r="E35" s="25" t="str">
        <x:v>本类1项（逐项见完整JSON）</x:v>
      </x:c>
      <x:c r="F35" s="25" t="str">
        <x:v>S07/collection_single</x:v>
      </x:c>
      <x:c r="G35" s="25" t="str">
        <x:v>原表累计</x:v>
      </x:c>
      <x:c r="H35" s="25" t="str">
        <x:v>由同包逐项数据聚合，便于核对</x:v>
      </x:c>
      <x:c r="I35" s="32" t="n">
        <x:v>29</x:v>
      </x:c>
      <x:c r="J35" s="32" t="n">
        <x:v>29</x:v>
      </x:c>
      <x:c r="K35" s="32" t="n">
        <x:v>29</x:v>
      </x:c>
      <x:c r="L35" s="32" t="n">
        <x:v>29</x:v>
      </x:c>
      <x:c r="M35" s="32" t="n">
        <x:v>29</x:v>
      </x:c>
      <x:c r="N35" s="32" t="n">
        <x:v>29</x:v>
      </x:c>
      <x:c r="O35" s="32" t="n">
        <x:v>2900</x:v>
      </x:c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Y35" s="32"/>
      <x:c r="AZ35" s="32"/>
      <x:c r="BA35" s="32"/>
    </x:row>
    <x:row r="36">
      <x:c r="A36" s="25" t="str">
        <x:v>C01-G</x:v>
      </x:c>
      <x:c r="B36" s="25" t="str">
        <x:v>漂流群岛</x:v>
      </x:c>
      <x:c r="C36" s="25" t="str">
        <x:v>半急速毕业</x:v>
      </x:c>
      <x:c r="D36" s="25" t="str">
        <x:v>地图整页</x:v>
      </x:c>
      <x:c r="E36" s="25" t="str">
        <x:v>本类1项（逐项见完整JSON）</x:v>
      </x:c>
      <x:c r="F36" s="25" t="str">
        <x:v>S07/collection_pages</x:v>
      </x:c>
      <x:c r="G36" s="25" t="str">
        <x:v>原表数值</x:v>
      </x:c>
      <x:c r="H36" s="25" t="str">
        <x:v>由同包逐项数据聚合，便于核对</x:v>
      </x:c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 t="n">
        <x:v>0.01</x:v>
      </x:c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 t="n">
        <x:v>0.5</x:v>
      </x:c>
      <x:c r="AN36" s="32"/>
      <x:c r="AO36" s="32"/>
      <x:c r="AP36" s="32" t="n">
        <x:v>20</x:v>
      </x:c>
      <x:c r="AQ36" s="32"/>
      <x:c r="AR36" s="32"/>
      <x:c r="AS36" s="32"/>
      <x:c r="AT36" s="32"/>
      <x:c r="AU36" s="32"/>
      <x:c r="AV36" s="32"/>
      <x:c r="AW36" s="32"/>
      <x:c r="AX36" s="32"/>
      <x:c r="AY36" s="32"/>
      <x:c r="AZ36" s="32"/>
      <x:c r="BA36" s="32"/>
    </x:row>
    <x:row r="37">
      <x:c r="A37" s="25" t="str">
        <x:v>C01-G</x:v>
      </x:c>
      <x:c r="B37" s="25" t="str">
        <x:v>漂流群岛</x:v>
      </x:c>
      <x:c r="C37" s="25" t="str">
        <x:v>半急速毕业</x:v>
      </x:c>
      <x:c r="D37" s="25" t="str">
        <x:v>旧任务</x:v>
      </x:c>
      <x:c r="E37" s="25" t="str">
        <x:v>本类1项（逐项见完整JSON）</x:v>
      </x:c>
      <x:c r="F37" s="25" t="str">
        <x:v>第一大陆_地图魂魄任务.txt</x:v>
      </x:c>
      <x:c r="G37" s="25" t="str">
        <x:v>原件确认</x:v>
      </x:c>
      <x:c r="H37" s="25" t="str">
        <x:v>由同包逐项数据聚合，便于核对</x:v>
      </x:c>
      <x:c r="I37" s="32" t="n">
        <x:v>30</x:v>
      </x:c>
      <x:c r="J37" s="32" t="n">
        <x:v>30</x:v>
      </x:c>
      <x:c r="K37" s="32" t="n">
        <x:v>30</x:v>
      </x:c>
      <x:c r="L37" s="32" t="n">
        <x:v>30</x:v>
      </x:c>
      <x:c r="M37" s="32" t="n">
        <x:v>30</x:v>
      </x:c>
      <x:c r="N37" s="32" t="n">
        <x:v>30</x:v>
      </x:c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 t="n">
        <x:v>20</x:v>
      </x:c>
      <x:c r="AQ37" s="32"/>
      <x:c r="AR37" s="32"/>
      <x:c r="AS37" s="32"/>
      <x:c r="AT37" s="32"/>
      <x:c r="AU37" s="32"/>
      <x:c r="AV37" s="32"/>
      <x:c r="AW37" s="32"/>
      <x:c r="AX37" s="32"/>
      <x:c r="AY37" s="32"/>
      <x:c r="AZ37" s="32"/>
      <x:c r="BA37" s="32"/>
    </x:row>
    <x:row r="38">
      <x:c r="A38" s="25" t="str">
        <x:v>C01-G</x:v>
      </x:c>
      <x:c r="B38" s="25" t="str">
        <x:v>漂流群岛</x:v>
      </x:c>
      <x:c r="C38" s="25" t="str">
        <x:v>半急速毕业</x:v>
      </x:c>
      <x:c r="D38" s="25" t="str">
        <x:v>装备</x:v>
      </x:c>
      <x:c r="E38" s="25" t="str">
        <x:v>本类14项（逐项见完整JSON）</x:v>
      </x:c>
      <x:c r="F38" s="25" t="str">
        <x:v>S01；S02；S07</x:v>
      </x:c>
      <x:c r="G38" s="25" t="str">
        <x:v>原表数值</x:v>
      </x:c>
      <x:c r="H38" s="25" t="str">
        <x:v>由同包逐项数据聚合，便于核对</x:v>
      </x:c>
      <x:c r="I38" s="32" t="n">
        <x:v>396</x:v>
      </x:c>
      <x:c r="J38" s="32" t="n">
        <x:v>776</x:v>
      </x:c>
      <x:c r="K38" s="32" t="n">
        <x:v>396</x:v>
      </x:c>
      <x:c r="L38" s="32" t="n">
        <x:v>776</x:v>
      </x:c>
      <x:c r="M38" s="32" t="n">
        <x:v>396</x:v>
      </x:c>
      <x:c r="N38" s="32" t="n">
        <x:v>776</x:v>
      </x:c>
      <x:c r="O38" s="32" t="n">
        <x:v>268080</x:v>
      </x:c>
      <x:c r="P38" s="32"/>
      <x:c r="Q38" s="32" t="n">
        <x:v>198</x:v>
      </x:c>
      <x:c r="R38" s="32" t="n">
        <x:v>376</x:v>
      </x:c>
      <x:c r="S38" s="32" t="n">
        <x:v>162</x:v>
      </x:c>
      <x:c r="T38" s="32" t="n">
        <x:v>305</x:v>
      </x:c>
      <x:c r="U38" s="32" t="n">
        <x:v>113</x:v>
      </x:c>
      <x:c r="V38" s="32" t="n">
        <x:v>113</x:v>
      </x:c>
      <x:c r="W38" s="32" t="n">
        <x:v>113</x:v>
      </x:c>
      <x:c r="X38" s="32"/>
      <x:c r="Y38" s="32"/>
      <x:c r="Z38" s="32" t="n">
        <x:v>38</x:v>
      </x:c>
      <x:c r="AA38" s="32" t="n">
        <x:v>17</x:v>
      </x:c>
      <x:c r="AB38" s="32"/>
      <x:c r="AC38" s="32" t="n">
        <x:v>39</x:v>
      </x:c>
      <x:c r="AD38" s="32"/>
      <x:c r="AE38" s="32"/>
      <x:c r="AF38" s="32"/>
      <x:c r="AG38" s="32"/>
      <x:c r="AH38" s="32" t="n">
        <x:v>8</x:v>
      </x:c>
      <x:c r="AI38" s="32"/>
      <x:c r="AJ38" s="32" t="n">
        <x:v>57</x:v>
      </x:c>
      <x:c r="AK38" s="32"/>
      <x:c r="AL38" s="32"/>
      <x:c r="AM38" s="32" t="n">
        <x:v>1</x:v>
      </x:c>
      <x:c r="AN38" s="32" t="n">
        <x:v>1</x:v>
      </x:c>
      <x:c r="AO38" s="32" t="n">
        <x:v>1</x:v>
      </x:c>
      <x:c r="AP38" s="32" t="n">
        <x:v>3</x:v>
      </x:c>
      <x:c r="AQ38" s="32" t="n">
        <x:v>57</x:v>
      </x:c>
      <x:c r="AR38" s="32"/>
      <x:c r="AS38" s="32" t="n">
        <x:v>8</x:v>
      </x:c>
      <x:c r="AT38" s="32"/>
      <x:c r="AU38" s="32"/>
      <x:c r="AV38" s="32"/>
      <x:c r="AW38" s="32"/>
      <x:c r="AX38" s="32"/>
      <x:c r="AY38" s="32"/>
      <x:c r="AZ38" s="32" t="n">
        <x:v>14</x:v>
      </x:c>
      <x:c r="BA38" s="32"/>
    </x:row>
    <x:row r="39">
      <x:c r="A39" s="25" t="str">
        <x:v>C01-G</x:v>
      </x:c>
      <x:c r="B39" s="25" t="str">
        <x:v>漂流群岛</x:v>
      </x:c>
      <x:c r="C39" s="25" t="str">
        <x:v>半急速毕业</x:v>
      </x:c>
      <x:c r="D39" s="25" t="str">
        <x:v>命格</x:v>
      </x:c>
      <x:c r="E39" s="25" t="str">
        <x:v>本类1项（逐项见完整JSON）</x:v>
      </x:c>
      <x:c r="F39" s="25" t="str">
        <x:v>S03/命格ID1092</x:v>
      </x:c>
      <x:c r="G39" s="25" t="str">
        <x:v>原表彩色＋选配假设</x:v>
      </x:c>
      <x:c r="H39" s="25" t="str">
        <x:v>由同包逐项数据聚合，便于核对</x:v>
      </x:c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 t="n">
        <x:v>3</x:v>
      </x:c>
      <x:c r="AA39" s="32"/>
      <x:c r="AB39" s="32"/>
      <x:c r="AC39" s="32"/>
      <x:c r="AD39" s="32"/>
      <x:c r="AE39" s="32"/>
      <x:c r="AF39" s="32"/>
      <x:c r="AG39" s="32"/>
      <x:c r="AH39" s="32" t="n">
        <x:v>2</x:v>
      </x:c>
      <x:c r="AI39" s="32"/>
      <x:c r="AJ39" s="32" t="n">
        <x:v>10</x:v>
      </x:c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Y39" s="32"/>
      <x:c r="AZ39" s="32"/>
      <x:c r="BA39" s="32"/>
    </x:row>
    <x:row r="40">
      <x:c r="A40" s="25" t="str">
        <x:v>C01-G</x:v>
      </x:c>
      <x:c r="B40" s="25" t="str">
        <x:v>漂流群岛</x:v>
      </x:c>
      <x:c r="C40" s="25" t="str">
        <x:v>半急速毕业</x:v>
      </x:c>
      <x:c r="D40" s="25" t="str">
        <x:v>后天幸运</x:v>
      </x:c>
      <x:c r="E40" s="25" t="str">
        <x:v>本类1项（逐项见完整JSON）</x:v>
      </x:c>
      <x:c r="F40" s="25" t="str">
        <x:v>A08</x:v>
      </x:c>
      <x:c r="G40" s="25" t="str">
        <x:v>人物永久进度</x:v>
      </x:c>
      <x:c r="H40" s="25" t="str">
        <x:v>由同包逐项数据聚合，便于核对</x:v>
      </x:c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 t="n">
        <x:v>7</x:v>
      </x:c>
      <x:c r="AL40" s="32" t="n">
        <x:v>0</x:v>
      </x:c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Y40" s="32"/>
      <x:c r="AZ40" s="32"/>
      <x:c r="BA40" s="32"/>
    </x:row>
    <x:row r="41">
      <x:c r="A41" s="25" t="str">
        <x:v>C01-G</x:v>
      </x:c>
      <x:c r="B41" s="25" t="str">
        <x:v>漂流群岛</x:v>
      </x:c>
      <x:c r="C41" s="25" t="str">
        <x:v>半急速毕业</x:v>
      </x:c>
      <x:c r="D41" s="25" t="str">
        <x:v>回收预算</x:v>
      </x:c>
      <x:c r="E41" s="25" t="str">
        <x:v>本类1项（逐项见完整JSON）</x:v>
      </x:c>
      <x:c r="F41" s="25" t="str">
        <x:v>用户总回收50%</x:v>
      </x:c>
      <x:c r="G41" s="25" t="str">
        <x:v>经济输入，不是新增属性来源</x:v>
      </x:c>
      <x:c r="H41" s="25" t="str">
        <x:v>由同包逐项数据聚合，便于核对</x:v>
      </x:c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Y41" s="32"/>
      <x:c r="AZ41" s="32"/>
      <x:c r="BA41" s="32" t="n">
        <x:v>50</x:v>
      </x:c>
    </x:row>
    <x:row r="42">
      <x:c r="A42" s="25" t="str">
        <x:v>C01-X</x:v>
      </x:c>
      <x:c r="B42" s="25" t="str">
        <x:v>漂流群岛</x:v>
      </x:c>
      <x:c r="C42" s="25" t="str">
        <x:v>极端压力</x:v>
      </x:c>
      <x:c r="D42" s="25" t="str">
        <x:v>人物自然</x:v>
      </x:c>
      <x:c r="E42" s="25" t="str">
        <x:v>本类1项（逐项见完整JSON）</x:v>
      </x:c>
      <x:c r="F42" s="25" t="str">
        <x:v>A01</x:v>
      </x:c>
      <x:c r="G42" s="25" t="str">
        <x:v>模型假设</x:v>
      </x:c>
      <x:c r="H42" s="25" t="str">
        <x:v>由同包逐项数据聚合，便于核对</x:v>
      </x:c>
      <x:c r="I42" s="32" t="n">
        <x:v>9</x:v>
      </x:c>
      <x:c r="J42" s="32" t="n">
        <x:v>18</x:v>
      </x:c>
      <x:c r="K42" s="32"/>
      <x:c r="L42" s="32"/>
      <x:c r="M42" s="32"/>
      <x:c r="N42" s="32"/>
      <x:c r="O42" s="32" t="n">
        <x:v>1400</x:v>
      </x:c>
      <x:c r="P42" s="32" t="n">
        <x:v>300</x:v>
      </x:c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Y42" s="32"/>
      <x:c r="AZ42" s="32"/>
      <x:c r="BA42" s="32"/>
    </x:row>
    <x:row r="43">
      <x:c r="A43" s="25" t="str">
        <x:v>C01-X</x:v>
      </x:c>
      <x:c r="B43" s="25" t="str">
        <x:v>漂流群岛</x:v>
      </x:c>
      <x:c r="C43" s="25" t="str">
        <x:v>极端压力</x:v>
      </x:c>
      <x:c r="D43" s="25" t="str">
        <x:v>付费状态</x:v>
      </x:c>
      <x:c r="E43" s="25" t="str">
        <x:v>本类3项（逐项见完整JSON）</x:v>
      </x:c>
      <x:c r="F43" s="25" t="str">
        <x:v>20260903总档</x:v>
      </x:c>
      <x:c r="G43" s="25" t="str">
        <x:v>原表数值</x:v>
      </x:c>
      <x:c r="H43" s="25" t="str">
        <x:v>由同包逐项数据聚合，便于核对</x:v>
      </x:c>
      <x:c r="I43" s="32" t="n">
        <x:v>149</x:v>
      </x:c>
      <x:c r="J43" s="32" t="n">
        <x:v>149</x:v>
      </x:c>
      <x:c r="K43" s="32" t="n">
        <x:v>149</x:v>
      </x:c>
      <x:c r="L43" s="32" t="n">
        <x:v>149</x:v>
      </x:c>
      <x:c r="M43" s="32" t="n">
        <x:v>149</x:v>
      </x:c>
      <x:c r="N43" s="32" t="n">
        <x:v>149</x:v>
      </x:c>
      <x:c r="O43" s="32" t="n">
        <x:v>10000</x:v>
      </x:c>
      <x:c r="P43" s="32"/>
      <x:c r="Q43" s="32"/>
      <x:c r="R43" s="32"/>
      <x:c r="S43" s="32"/>
      <x:c r="T43" s="32"/>
      <x:c r="U43" s="32"/>
      <x:c r="V43" s="32"/>
      <x:c r="W43" s="32"/>
      <x:c r="X43" s="32"/>
      <x:c r="Y43" s="32" t="n">
        <x:v>10</x:v>
      </x:c>
      <x:c r="Z43" s="32"/>
      <x:c r="AA43" s="32"/>
      <x:c r="AB43" s="32" t="n">
        <x:v>20</x:v>
      </x:c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 t="n">
        <x:v>10</x:v>
      </x:c>
      <x:c r="AN43" s="32"/>
      <x:c r="AO43" s="32"/>
      <x:c r="AP43" s="32" t="n">
        <x:v>50</x:v>
      </x:c>
      <x:c r="AQ43" s="32"/>
      <x:c r="AR43" s="32"/>
      <x:c r="AS43" s="32"/>
      <x:c r="AT43" s="32" t="n">
        <x:v>700</x:v>
      </x:c>
      <x:c r="AU43" s="32" t="n">
        <x:v>15</x:v>
      </x:c>
      <x:c r="AV43" s="32"/>
      <x:c r="AW43" s="32"/>
      <x:c r="AX43" s="32"/>
      <x:c r="AY43" s="32"/>
      <x:c r="AZ43" s="32"/>
      <x:c r="BA43" s="32"/>
    </x:row>
    <x:row r="44">
      <x:c r="A44" s="25" t="str">
        <x:v>C01-X</x:v>
      </x:c>
      <x:c r="B44" s="25" t="str">
        <x:v>漂流群岛</x:v>
      </x:c>
      <x:c r="C44" s="25" t="str">
        <x:v>极端压力</x:v>
      </x:c>
      <x:c r="D44" s="25" t="str">
        <x:v>成长装备</x:v>
      </x:c>
      <x:c r="E44" s="25" t="str">
        <x:v>本类2项（逐项见完整JSON）</x:v>
      </x:c>
      <x:c r="F44" s="25" t="str">
        <x:v>20260903总档 / A04</x:v>
      </x:c>
      <x:c r="G44" s="25" t="str">
        <x:v>原表＋支付路径假设</x:v>
      </x:c>
      <x:c r="H44" s="25" t="str">
        <x:v>由同包逐项数据聚合，便于核对</x:v>
      </x:c>
      <x:c r="I44" s="32" t="n">
        <x:v>100</x:v>
      </x:c>
      <x:c r="J44" s="32" t="n">
        <x:v>100</x:v>
      </x:c>
      <x:c r="K44" s="32" t="n">
        <x:v>100</x:v>
      </x:c>
      <x:c r="L44" s="32" t="n">
        <x:v>100</x:v>
      </x:c>
      <x:c r="M44" s="32" t="n">
        <x:v>100</x:v>
      </x:c>
      <x:c r="N44" s="32" t="n">
        <x:v>100</x:v>
      </x:c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 t="n">
        <x:v>5000</x:v>
      </x:c>
      <x:c r="AG44" s="32" t="n">
        <x:v>2000</x:v>
      </x:c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Y44" s="32"/>
      <x:c r="AZ44" s="32"/>
      <x:c r="BA44" s="32"/>
    </x:row>
    <x:row r="45">
      <x:c r="A45" s="25" t="str">
        <x:v>C01-X</x:v>
      </x:c>
      <x:c r="B45" s="25" t="str">
        <x:v>漂流群岛</x:v>
      </x:c>
      <x:c r="C45" s="25" t="str">
        <x:v>极端压力</x:v>
      </x:c>
      <x:c r="D45" s="25" t="str">
        <x:v>贯穿称号</x:v>
      </x:c>
      <x:c r="E45" s="25" t="str">
        <x:v>本类1项（逐项见完整JSON）</x:v>
      </x:c>
      <x:c r="F45" s="25" t="str">
        <x:v>S04/01_贯穿称号</x:v>
      </x:c>
      <x:c r="G45" s="25" t="str">
        <x:v>原表数值</x:v>
      </x:c>
      <x:c r="H45" s="25" t="str">
        <x:v>由同包逐项数据聚合，便于核对</x:v>
      </x:c>
      <x:c r="I45" s="32" t="n">
        <x:v>100</x:v>
      </x:c>
      <x:c r="J45" s="32" t="n">
        <x:v>100</x:v>
      </x:c>
      <x:c r="K45" s="32" t="n">
        <x:v>100</x:v>
      </x:c>
      <x:c r="L45" s="32" t="n">
        <x:v>100</x:v>
      </x:c>
      <x:c r="M45" s="32" t="n">
        <x:v>100</x:v>
      </x:c>
      <x:c r="N45" s="32" t="n">
        <x:v>100</x:v>
      </x:c>
      <x:c r="O45" s="32" t="n">
        <x:v>10000</x:v>
      </x:c>
      <x:c r="P45" s="32" t="n">
        <x:v>10000</x:v>
      </x:c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 t="n">
        <x:v>200</x:v>
      </x:c>
      <x:c r="AU45" s="32"/>
      <x:c r="AV45" s="32"/>
      <x:c r="AW45" s="32"/>
      <x:c r="AX45" s="32"/>
      <x:c r="AY45" s="32"/>
      <x:c r="AZ45" s="32"/>
      <x:c r="BA45" s="32"/>
    </x:row>
    <x:row r="46">
      <x:c r="A46" s="25" t="str">
        <x:v>C01-X</x:v>
      </x:c>
      <x:c r="B46" s="25" t="str">
        <x:v>漂流群岛</x:v>
      </x:c>
      <x:c r="C46" s="25" t="str">
        <x:v>极端压力</x:v>
      </x:c>
      <x:c r="D46" s="25" t="str">
        <x:v>神印</x:v>
      </x:c>
      <x:c r="E46" s="25" t="str">
        <x:v>本类1项（逐项见完整JSON）</x:v>
      </x:c>
      <x:c r="F46" s="25" t="str">
        <x:v>S04 / 神印公式</x:v>
      </x:c>
      <x:c r="G46" s="25" t="str">
        <x:v>自给进度假设＋原公式</x:v>
      </x:c>
      <x:c r="H46" s="25" t="str">
        <x:v>由同包逐项数据聚合，便于核对</x:v>
      </x:c>
      <x:c r="I46" s="32" t="n">
        <x:v>0</x:v>
      </x:c>
      <x:c r="J46" s="32" t="n">
        <x:v>0</x:v>
      </x:c>
      <x:c r="K46" s="32" t="n">
        <x:v>0</x:v>
      </x:c>
      <x:c r="L46" s="32" t="n">
        <x:v>0</x:v>
      </x:c>
      <x:c r="M46" s="32" t="n">
        <x:v>0</x:v>
      </x:c>
      <x:c r="N46" s="32" t="n">
        <x:v>0</x:v>
      </x:c>
      <x:c r="O46" s="32" t="n">
        <x:v>0</x:v>
      </x:c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Y46" s="32"/>
      <x:c r="AZ46" s="32"/>
      <x:c r="BA46" s="32"/>
    </x:row>
    <x:row r="47">
      <x:c r="A47" s="25" t="str">
        <x:v>C01-X</x:v>
      </x:c>
      <x:c r="B47" s="25" t="str">
        <x:v>漂流群岛</x:v>
      </x:c>
      <x:c r="C47" s="25" t="str">
        <x:v>极端压力</x:v>
      </x:c>
      <x:c r="D47" s="25" t="str">
        <x:v>转生</x:v>
      </x:c>
      <x:c r="E47" s="25" t="str">
        <x:v>本类1项（逐项见完整JSON）</x:v>
      </x:c>
      <x:c r="F47" s="25" t="str">
        <x:v>S07/20转</x:v>
      </x:c>
      <x:c r="G47" s="25" t="str">
        <x:v>原表累计</x:v>
      </x:c>
      <x:c r="H47" s="25" t="str">
        <x:v>由同包逐项数据聚合，便于核对</x:v>
      </x:c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 t="n">
        <x:v>0</x:v>
      </x:c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Y47" s="32"/>
      <x:c r="AZ47" s="32"/>
      <x:c r="BA47" s="32"/>
    </x:row>
    <x:row r="48">
      <x:c r="A48" s="25" t="str">
        <x:v>C01-X</x:v>
      </x:c>
      <x:c r="B48" s="25" t="str">
        <x:v>漂流群岛</x:v>
      </x:c>
      <x:c r="C48" s="25" t="str">
        <x:v>极端压力</x:v>
      </x:c>
      <x:c r="D48" s="25" t="str">
        <x:v>独立称号</x:v>
      </x:c>
      <x:c r="E48" s="25" t="str">
        <x:v>本类1项（逐项见完整JSON）</x:v>
      </x:c>
      <x:c r="F48" s="25" t="str">
        <x:v>S04/02_独立称号</x:v>
      </x:c>
      <x:c r="G48" s="25" t="str">
        <x:v>原表数值</x:v>
      </x:c>
      <x:c r="H48" s="25" t="str">
        <x:v>由同包逐项数据聚合，便于核对</x:v>
      </x:c>
      <x:c r="I48" s="32" t="n">
        <x:v>30</x:v>
      </x:c>
      <x:c r="J48" s="32" t="n">
        <x:v>30</x:v>
      </x:c>
      <x:c r="K48" s="32" t="n">
        <x:v>30</x:v>
      </x:c>
      <x:c r="L48" s="32" t="n">
        <x:v>30</x:v>
      </x:c>
      <x:c r="M48" s="32" t="n">
        <x:v>30</x:v>
      </x:c>
      <x:c r="N48" s="32" t="n">
        <x:v>30</x:v>
      </x:c>
      <x:c r="O48" s="32" t="n">
        <x:v>3000</x:v>
      </x:c>
      <x:c r="P48" s="32"/>
      <x:c r="Q48" s="32"/>
      <x:c r="R48" s="32"/>
      <x:c r="S48" s="32"/>
      <x:c r="T48" s="32"/>
      <x:c r="U48" s="32"/>
      <x:c r="V48" s="32"/>
      <x:c r="W48" s="32"/>
      <x:c r="X48" s="32" t="n">
        <x:v>0</x:v>
      </x:c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 t="n">
        <x:v>0</x:v>
      </x:c>
      <x:c r="AN48" s="32"/>
      <x:c r="AO48" s="32"/>
      <x:c r="AP48" s="32" t="n">
        <x:v>0</x:v>
      </x:c>
      <x:c r="AQ48" s="32"/>
      <x:c r="AR48" s="32"/>
      <x:c r="AS48" s="32"/>
      <x:c r="AT48" s="32"/>
      <x:c r="AU48" s="32"/>
      <x:c r="AV48" s="32"/>
      <x:c r="AW48" s="32"/>
      <x:c r="AX48" s="32"/>
      <x:c r="AY48" s="32"/>
      <x:c r="AZ48" s="32"/>
      <x:c r="BA48" s="32"/>
    </x:row>
    <x:row r="49">
      <x:c r="A49" s="25" t="str">
        <x:v>C01-X</x:v>
      </x:c>
      <x:c r="B49" s="25" t="str">
        <x:v>漂流群岛</x:v>
      </x:c>
      <x:c r="C49" s="25" t="str">
        <x:v>极端压力</x:v>
      </x:c>
      <x:c r="D49" s="25" t="str">
        <x:v>单件图鉴</x:v>
      </x:c>
      <x:c r="E49" s="25" t="str">
        <x:v>本类1项（逐项见完整JSON）</x:v>
      </x:c>
      <x:c r="F49" s="25" t="str">
        <x:v>S07/collection_single</x:v>
      </x:c>
      <x:c r="G49" s="25" t="str">
        <x:v>原表累计</x:v>
      </x:c>
      <x:c r="H49" s="25" t="str">
        <x:v>由同包逐项数据聚合，便于核对</x:v>
      </x:c>
      <x:c r="I49" s="32" t="n">
        <x:v>71</x:v>
      </x:c>
      <x:c r="J49" s="32" t="n">
        <x:v>71</x:v>
      </x:c>
      <x:c r="K49" s="32" t="n">
        <x:v>71</x:v>
      </x:c>
      <x:c r="L49" s="32" t="n">
        <x:v>71</x:v>
      </x:c>
      <x:c r="M49" s="32" t="n">
        <x:v>71</x:v>
      </x:c>
      <x:c r="N49" s="32" t="n">
        <x:v>71</x:v>
      </x:c>
      <x:c r="O49" s="32" t="n">
        <x:v>7100</x:v>
      </x:c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Y49" s="32"/>
      <x:c r="AZ49" s="32"/>
      <x:c r="BA49" s="32"/>
    </x:row>
    <x:row r="50">
      <x:c r="A50" s="25" t="str">
        <x:v>C01-X</x:v>
      </x:c>
      <x:c r="B50" s="25" t="str">
        <x:v>漂流群岛</x:v>
      </x:c>
      <x:c r="C50" s="25" t="str">
        <x:v>极端压力</x:v>
      </x:c>
      <x:c r="D50" s="25" t="str">
        <x:v>地图整页</x:v>
      </x:c>
      <x:c r="E50" s="25" t="str">
        <x:v>本类3项（逐项见完整JSON）</x:v>
      </x:c>
      <x:c r="F50" s="25" t="str">
        <x:v>S07/collection_pages</x:v>
      </x:c>
      <x:c r="G50" s="25" t="str">
        <x:v>原表数值</x:v>
      </x:c>
      <x:c r="H50" s="25" t="str">
        <x:v>由同包逐项数据聚合，便于核对</x:v>
      </x:c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 t="n">
        <x:v>0.03</x:v>
      </x:c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 t="n">
        <x:v>1.5</x:v>
      </x:c>
      <x:c r="AN50" s="32"/>
      <x:c r="AO50" s="32"/>
      <x:c r="AP50" s="32" t="n">
        <x:v>60</x:v>
      </x:c>
      <x:c r="AQ50" s="32"/>
      <x:c r="AR50" s="32"/>
      <x:c r="AS50" s="32"/>
      <x:c r="AT50" s="32"/>
      <x:c r="AU50" s="32"/>
      <x:c r="AV50" s="32"/>
      <x:c r="AW50" s="32"/>
      <x:c r="AX50" s="32"/>
      <x:c r="AY50" s="32"/>
      <x:c r="AZ50" s="32"/>
      <x:c r="BA50" s="32"/>
    </x:row>
    <x:row r="51">
      <x:c r="A51" s="25" t="str">
        <x:v>C01-X</x:v>
      </x:c>
      <x:c r="B51" s="25" t="str">
        <x:v>漂流群岛</x:v>
      </x:c>
      <x:c r="C51" s="25" t="str">
        <x:v>极端压力</x:v>
      </x:c>
      <x:c r="D51" s="25" t="str">
        <x:v>大陆全收集</x:v>
      </x:c>
      <x:c r="E51" s="25" t="str">
        <x:v>本类1项（逐项见完整JSON）</x:v>
      </x:c>
      <x:c r="F51" s="25" t="str">
        <x:v>S07/collection_continents</x:v>
      </x:c>
      <x:c r="G51" s="25" t="str">
        <x:v>原表累计</x:v>
      </x:c>
      <x:c r="H51" s="25" t="str">
        <x:v>由同包逐项数据聚合，便于核对</x:v>
      </x:c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  <x:c r="AA51" s="32"/>
      <x:c r="AB51" s="32" t="n">
        <x:v>1</x:v>
      </x:c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Y51" s="32"/>
      <x:c r="AZ51" s="32"/>
      <x:c r="BA51" s="32"/>
    </x:row>
    <x:row r="52">
      <x:c r="A52" s="25" t="str">
        <x:v>C01-X</x:v>
      </x:c>
      <x:c r="B52" s="25" t="str">
        <x:v>漂流群岛</x:v>
      </x:c>
      <x:c r="C52" s="25" t="str">
        <x:v>极端压力</x:v>
      </x:c>
      <x:c r="D52" s="25" t="str">
        <x:v>旧任务</x:v>
      </x:c>
      <x:c r="E52" s="25" t="str">
        <x:v>本类1项（逐项见完整JSON）</x:v>
      </x:c>
      <x:c r="F52" s="25" t="str">
        <x:v>第一大陆_地图魂魄任务.txt</x:v>
      </x:c>
      <x:c r="G52" s="25" t="str">
        <x:v>原件确认</x:v>
      </x:c>
      <x:c r="H52" s="25" t="str">
        <x:v>由同包逐项数据聚合，便于核对</x:v>
      </x:c>
      <x:c r="I52" s="32" t="n">
        <x:v>90</x:v>
      </x:c>
      <x:c r="J52" s="32" t="n">
        <x:v>90</x:v>
      </x:c>
      <x:c r="K52" s="32" t="n">
        <x:v>90</x:v>
      </x:c>
      <x:c r="L52" s="32" t="n">
        <x:v>90</x:v>
      </x:c>
      <x:c r="M52" s="32" t="n">
        <x:v>90</x:v>
      </x:c>
      <x:c r="N52" s="32" t="n">
        <x:v>90</x:v>
      </x:c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 t="n">
        <x:v>60</x:v>
      </x:c>
      <x:c r="AQ52" s="32"/>
      <x:c r="AR52" s="32"/>
      <x:c r="AS52" s="32"/>
      <x:c r="AT52" s="32"/>
      <x:c r="AU52" s="32"/>
      <x:c r="AV52" s="32"/>
      <x:c r="AW52" s="32"/>
      <x:c r="AX52" s="32"/>
      <x:c r="AY52" s="32"/>
      <x:c r="AZ52" s="32"/>
      <x:c r="BA52" s="32"/>
    </x:row>
    <x:row r="53">
      <x:c r="A53" s="25" t="str">
        <x:v>C01-X</x:v>
      </x:c>
      <x:c r="B53" s="25" t="str">
        <x:v>漂流群岛</x:v>
      </x:c>
      <x:c r="C53" s="25" t="str">
        <x:v>极端压力</x:v>
      </x:c>
      <x:c r="D53" s="25" t="str">
        <x:v>装备</x:v>
      </x:c>
      <x:c r="E53" s="25" t="str">
        <x:v>本类15项（逐项见完整JSON）</x:v>
      </x:c>
      <x:c r="F53" s="25" t="str">
        <x:v>S02；S07</x:v>
      </x:c>
      <x:c r="G53" s="25" t="str">
        <x:v>原表数值</x:v>
      </x:c>
      <x:c r="H53" s="25" t="str">
        <x:v>由同包逐项数据聚合，便于核对</x:v>
      </x:c>
      <x:c r="I53" s="32" t="n">
        <x:v>865</x:v>
      </x:c>
      <x:c r="J53" s="32" t="n">
        <x:v>1663</x:v>
      </x:c>
      <x:c r="K53" s="32" t="n">
        <x:v>865</x:v>
      </x:c>
      <x:c r="L53" s="32" t="n">
        <x:v>1663</x:v>
      </x:c>
      <x:c r="M53" s="32" t="n">
        <x:v>865</x:v>
      </x:c>
      <x:c r="N53" s="32" t="n">
        <x:v>1663</x:v>
      </x:c>
      <x:c r="O53" s="32" t="n">
        <x:v>404000</x:v>
      </x:c>
      <x:c r="P53" s="32"/>
      <x:c r="Q53" s="32" t="n">
        <x:v>320</x:v>
      </x:c>
      <x:c r="R53" s="32" t="n">
        <x:v>588</x:v>
      </x:c>
      <x:c r="S53" s="32" t="n">
        <x:v>264</x:v>
      </x:c>
      <x:c r="T53" s="32" t="n">
        <x:v>482</x:v>
      </x:c>
      <x:c r="U53" s="32" t="n">
        <x:v>192</x:v>
      </x:c>
      <x:c r="V53" s="32" t="n">
        <x:v>192</x:v>
      </x:c>
      <x:c r="W53" s="32" t="n">
        <x:v>192</x:v>
      </x:c>
      <x:c r="X53" s="32"/>
      <x:c r="Y53" s="32"/>
      <x:c r="Z53" s="32" t="n">
        <x:v>73</x:v>
      </x:c>
      <x:c r="AA53" s="32" t="n">
        <x:v>31</x:v>
      </x:c>
      <x:c r="AB53" s="32"/>
      <x:c r="AC53" s="32" t="n">
        <x:v>81</x:v>
      </x:c>
      <x:c r="AD53" s="32"/>
      <x:c r="AE53" s="32"/>
      <x:c r="AF53" s="32"/>
      <x:c r="AG53" s="32"/>
      <x:c r="AH53" s="32" t="n">
        <x:v>10</x:v>
      </x:c>
      <x:c r="AI53" s="32" t="n">
        <x:v>1</x:v>
      </x:c>
      <x:c r="AJ53" s="32" t="n">
        <x:v>114</x:v>
      </x:c>
      <x:c r="AK53" s="32"/>
      <x:c r="AL53" s="32"/>
      <x:c r="AM53" s="32" t="n">
        <x:v>1</x:v>
      </x:c>
      <x:c r="AN53" s="32" t="n">
        <x:v>1</x:v>
      </x:c>
      <x:c r="AO53" s="32" t="n">
        <x:v>1</x:v>
      </x:c>
      <x:c r="AP53" s="32" t="n">
        <x:v>5</x:v>
      </x:c>
      <x:c r="AQ53" s="32" t="n">
        <x:v>69</x:v>
      </x:c>
      <x:c r="AR53" s="32"/>
      <x:c r="AS53" s="32" t="n">
        <x:v>15</x:v>
      </x:c>
      <x:c r="AT53" s="32"/>
      <x:c r="AU53" s="32"/>
      <x:c r="AV53" s="32"/>
      <x:c r="AW53" s="32"/>
      <x:c r="AX53" s="32"/>
      <x:c r="AY53" s="32"/>
      <x:c r="AZ53" s="32" t="n">
        <x:v>16</x:v>
      </x:c>
      <x:c r="BA53" s="32"/>
    </x:row>
    <x:row r="54">
      <x:c r="A54" s="25" t="str">
        <x:v>C01-X</x:v>
      </x:c>
      <x:c r="B54" s="25" t="str">
        <x:v>漂流群岛</x:v>
      </x:c>
      <x:c r="C54" s="25" t="str">
        <x:v>极端压力</x:v>
      </x:c>
      <x:c r="D54" s="25" t="str">
        <x:v>命格</x:v>
      </x:c>
      <x:c r="E54" s="25" t="str">
        <x:v>本类1项（逐项见完整JSON）</x:v>
      </x:c>
      <x:c r="F54" s="25" t="str">
        <x:v>S03/命格ID1092</x:v>
      </x:c>
      <x:c r="G54" s="25" t="str">
        <x:v>原表彩色＋选配假设</x:v>
      </x:c>
      <x:c r="H54" s="25" t="str">
        <x:v>由同包逐项数据聚合，便于核对</x:v>
      </x:c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 t="n">
        <x:v>3</x:v>
      </x:c>
      <x:c r="AA54" s="32"/>
      <x:c r="AB54" s="32"/>
      <x:c r="AC54" s="32"/>
      <x:c r="AD54" s="32"/>
      <x:c r="AE54" s="32"/>
      <x:c r="AF54" s="32"/>
      <x:c r="AG54" s="32"/>
      <x:c r="AH54" s="32" t="n">
        <x:v>2</x:v>
      </x:c>
      <x:c r="AI54" s="32"/>
      <x:c r="AJ54" s="32" t="n">
        <x:v>10</x:v>
      </x:c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Y54" s="32"/>
      <x:c r="AZ54" s="32"/>
      <x:c r="BA54" s="32"/>
    </x:row>
    <x:row r="55">
      <x:c r="A55" s="25" t="str">
        <x:v>C01-X</x:v>
      </x:c>
      <x:c r="B55" s="25" t="str">
        <x:v>漂流群岛</x:v>
      </x:c>
      <x:c r="C55" s="25" t="str">
        <x:v>极端压力</x:v>
      </x:c>
      <x:c r="D55" s="25" t="str">
        <x:v>后天幸运</x:v>
      </x:c>
      <x:c r="E55" s="25" t="str">
        <x:v>本类1项（逐项见完整JSON）</x:v>
      </x:c>
      <x:c r="F55" s="25" t="str">
        <x:v>A08</x:v>
      </x:c>
      <x:c r="G55" s="25" t="str">
        <x:v>人物永久进度</x:v>
      </x:c>
      <x:c r="H55" s="25" t="str">
        <x:v>由同包逐项数据聚合，便于核对</x:v>
      </x:c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 t="n">
        <x:v>7</x:v>
      </x:c>
      <x:c r="AL55" s="32" t="n">
        <x:v>0</x:v>
      </x:c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Y55" s="32"/>
      <x:c r="AZ55" s="32"/>
      <x:c r="BA55" s="32"/>
    </x:row>
    <x:row r="56">
      <x:c r="A56" s="25" t="str">
        <x:v>C01-X</x:v>
      </x:c>
      <x:c r="B56" s="25" t="str">
        <x:v>漂流群岛</x:v>
      </x:c>
      <x:c r="C56" s="25" t="str">
        <x:v>极端压力</x:v>
      </x:c>
      <x:c r="D56" s="25" t="str">
        <x:v>回收预算</x:v>
      </x:c>
      <x:c r="E56" s="25" t="str">
        <x:v>本类1项（逐项见完整JSON）</x:v>
      </x:c>
      <x:c r="F56" s="25" t="str">
        <x:v>用户总回收50%</x:v>
      </x:c>
      <x:c r="G56" s="25" t="str">
        <x:v>经济输入，不是新增属性来源</x:v>
      </x:c>
      <x:c r="H56" s="25" t="str">
        <x:v>由同包逐项数据聚合，便于核对</x:v>
      </x:c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Y56" s="32"/>
      <x:c r="AZ56" s="32"/>
      <x:c r="BA56" s="32" t="n">
        <x:v>50</x:v>
      </x:c>
    </x:row>
    <x:row r="57">
      <x:c r="A57" s="25" t="str">
        <x:v>C02-E</x:v>
      </x:c>
      <x:c r="B57" s="25" t="str">
        <x:v>宁姆格福</x:v>
      </x:c>
      <x:c r="C57" s="25" t="str">
        <x:v>半急速入场</x:v>
      </x:c>
      <x:c r="D57" s="25" t="str">
        <x:v>人物自然</x:v>
      </x:c>
      <x:c r="E57" s="25" t="str">
        <x:v>本类1项（逐项见完整JSON）</x:v>
      </x:c>
      <x:c r="F57" s="25" t="str">
        <x:v>A01</x:v>
      </x:c>
      <x:c r="G57" s="25" t="str">
        <x:v>模型假设</x:v>
      </x:c>
      <x:c r="H57" s="25" t="str">
        <x:v>由同包逐项数据聚合，便于核对</x:v>
      </x:c>
      <x:c r="I57" s="32" t="n">
        <x:v>9</x:v>
      </x:c>
      <x:c r="J57" s="32" t="n">
        <x:v>18</x:v>
      </x:c>
      <x:c r="K57" s="32"/>
      <x:c r="L57" s="32"/>
      <x:c r="M57" s="32"/>
      <x:c r="N57" s="32"/>
      <x:c r="O57" s="32" t="n">
        <x:v>1400</x:v>
      </x:c>
      <x:c r="P57" s="32" t="n">
        <x:v>300</x:v>
      </x:c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Y57" s="32"/>
      <x:c r="AZ57" s="32"/>
      <x:c r="BA57" s="32"/>
    </x:row>
    <x:row r="58">
      <x:c r="A58" s="25" t="str">
        <x:v>C02-E</x:v>
      </x:c>
      <x:c r="B58" s="25" t="str">
        <x:v>宁姆格福</x:v>
      </x:c>
      <x:c r="C58" s="25" t="str">
        <x:v>半急速入场</x:v>
      </x:c>
      <x:c r="D58" s="25" t="str">
        <x:v>付费状态</x:v>
      </x:c>
      <x:c r="E58" s="25" t="str">
        <x:v>本类3项（逐项见完整JSON）</x:v>
      </x:c>
      <x:c r="F58" s="25" t="str">
        <x:v>20260903总档</x:v>
      </x:c>
      <x:c r="G58" s="25" t="str">
        <x:v>原表数值</x:v>
      </x:c>
      <x:c r="H58" s="25" t="str">
        <x:v>由同包逐项数据聚合，便于核对</x:v>
      </x:c>
      <x:c r="I58" s="32" t="n">
        <x:v>149</x:v>
      </x:c>
      <x:c r="J58" s="32" t="n">
        <x:v>149</x:v>
      </x:c>
      <x:c r="K58" s="32" t="n">
        <x:v>149</x:v>
      </x:c>
      <x:c r="L58" s="32" t="n">
        <x:v>149</x:v>
      </x:c>
      <x:c r="M58" s="32" t="n">
        <x:v>149</x:v>
      </x:c>
      <x:c r="N58" s="32" t="n">
        <x:v>149</x:v>
      </x:c>
      <x:c r="O58" s="32" t="n">
        <x:v>10000</x:v>
      </x:c>
      <x:c r="P58" s="32"/>
      <x:c r="Q58" s="32"/>
      <x:c r="R58" s="32"/>
      <x:c r="S58" s="32"/>
      <x:c r="T58" s="32"/>
      <x:c r="U58" s="32"/>
      <x:c r="V58" s="32"/>
      <x:c r="W58" s="32"/>
      <x:c r="X58" s="32"/>
      <x:c r="Y58" s="32" t="n">
        <x:v>10</x:v>
      </x:c>
      <x:c r="Z58" s="32"/>
      <x:c r="AA58" s="32"/>
      <x:c r="AB58" s="32" t="n">
        <x:v>20</x:v>
      </x:c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 t="n">
        <x:v>10</x:v>
      </x:c>
      <x:c r="AN58" s="32"/>
      <x:c r="AO58" s="32"/>
      <x:c r="AP58" s="32" t="n">
        <x:v>50</x:v>
      </x:c>
      <x:c r="AQ58" s="32"/>
      <x:c r="AR58" s="32"/>
      <x:c r="AS58" s="32"/>
      <x:c r="AT58" s="32" t="n">
        <x:v>700</x:v>
      </x:c>
      <x:c r="AU58" s="32" t="n">
        <x:v>15</x:v>
      </x:c>
      <x:c r="AV58" s="32"/>
      <x:c r="AW58" s="32"/>
      <x:c r="AX58" s="32"/>
      <x:c r="AY58" s="32"/>
      <x:c r="AZ58" s="32"/>
      <x:c r="BA58" s="32"/>
    </x:row>
    <x:row r="59">
      <x:c r="A59" s="25" t="str">
        <x:v>C02-E</x:v>
      </x:c>
      <x:c r="B59" s="25" t="str">
        <x:v>宁姆格福</x:v>
      </x:c>
      <x:c r="C59" s="25" t="str">
        <x:v>半急速入场</x:v>
      </x:c>
      <x:c r="D59" s="25" t="str">
        <x:v>成长装备</x:v>
      </x:c>
      <x:c r="E59" s="25" t="str">
        <x:v>本类2项（逐项见完整JSON）</x:v>
      </x:c>
      <x:c r="F59" s="25" t="str">
        <x:v>20260903总档 / A04</x:v>
      </x:c>
      <x:c r="G59" s="25" t="str">
        <x:v>原表＋支付路径假设</x:v>
      </x:c>
      <x:c r="H59" s="25" t="str">
        <x:v>由同包逐项数据聚合，便于核对</x:v>
      </x:c>
      <x:c r="I59" s="32" t="n">
        <x:v>1100</x:v>
      </x:c>
      <x:c r="J59" s="32" t="n">
        <x:v>1100</x:v>
      </x:c>
      <x:c r="K59" s="32" t="n">
        <x:v>1100</x:v>
      </x:c>
      <x:c r="L59" s="32" t="n">
        <x:v>1100</x:v>
      </x:c>
      <x:c r="M59" s="32" t="n">
        <x:v>1100</x:v>
      </x:c>
      <x:c r="N59" s="32" t="n">
        <x:v>1100</x:v>
      </x:c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 t="n">
        <x:v>10</x:v>
      </x:c>
      <x:c r="AX59" s="32" t="n">
        <x:v>10</x:v>
      </x:c>
      <x:c r="AY59" s="32"/>
      <x:c r="AZ59" s="32"/>
      <x:c r="BA59" s="32"/>
    </x:row>
    <x:row r="60">
      <x:c r="A60" s="25" t="str">
        <x:v>C02-E</x:v>
      </x:c>
      <x:c r="B60" s="25" t="str">
        <x:v>宁姆格福</x:v>
      </x:c>
      <x:c r="C60" s="25" t="str">
        <x:v>半急速入场</x:v>
      </x:c>
      <x:c r="D60" s="25" t="str">
        <x:v>贯穿称号</x:v>
      </x:c>
      <x:c r="E60" s="25" t="str">
        <x:v>本类1项（逐项见完整JSON）</x:v>
      </x:c>
      <x:c r="F60" s="25" t="str">
        <x:v>S04/01_贯穿称号</x:v>
      </x:c>
      <x:c r="G60" s="25" t="str">
        <x:v>原表数值</x:v>
      </x:c>
      <x:c r="H60" s="25" t="str">
        <x:v>由同包逐项数据聚合，便于核对</x:v>
      </x:c>
      <x:c r="I60" s="32" t="n">
        <x:v>300</x:v>
      </x:c>
      <x:c r="J60" s="32" t="n">
        <x:v>300</x:v>
      </x:c>
      <x:c r="K60" s="32" t="n">
        <x:v>300</x:v>
      </x:c>
      <x:c r="L60" s="32" t="n">
        <x:v>300</x:v>
      </x:c>
      <x:c r="M60" s="32" t="n">
        <x:v>300</x:v>
      </x:c>
      <x:c r="N60" s="32" t="n">
        <x:v>300</x:v>
      </x:c>
      <x:c r="O60" s="32" t="n">
        <x:v>30000</x:v>
      </x:c>
      <x:c r="P60" s="32" t="n">
        <x:v>30000</x:v>
      </x:c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 t="n">
        <x:v>400</x:v>
      </x:c>
      <x:c r="AU60" s="32"/>
      <x:c r="AV60" s="32"/>
      <x:c r="AW60" s="32"/>
      <x:c r="AX60" s="32"/>
      <x:c r="AY60" s="32"/>
      <x:c r="AZ60" s="32"/>
      <x:c r="BA60" s="32"/>
    </x:row>
    <x:row r="61">
      <x:c r="A61" s="25" t="str">
        <x:v>C02-E</x:v>
      </x:c>
      <x:c r="B61" s="25" t="str">
        <x:v>宁姆格福</x:v>
      </x:c>
      <x:c r="C61" s="25" t="str">
        <x:v>半急速入场</x:v>
      </x:c>
      <x:c r="D61" s="25" t="str">
        <x:v>神印</x:v>
      </x:c>
      <x:c r="E61" s="25" t="str">
        <x:v>本类1项（逐项见完整JSON）</x:v>
      </x:c>
      <x:c r="F61" s="25" t="str">
        <x:v>S04 / 神印公式</x:v>
      </x:c>
      <x:c r="G61" s="25" t="str">
        <x:v>自给进度假设＋原公式</x:v>
      </x:c>
      <x:c r="H61" s="25" t="str">
        <x:v>由同包逐项数据聚合，便于核对</x:v>
      </x:c>
      <x:c r="I61" s="32" t="n">
        <x:v>0</x:v>
      </x:c>
      <x:c r="J61" s="32" t="n">
        <x:v>0</x:v>
      </x:c>
      <x:c r="K61" s="32" t="n">
        <x:v>0</x:v>
      </x:c>
      <x:c r="L61" s="32" t="n">
        <x:v>0</x:v>
      </x:c>
      <x:c r="M61" s="32" t="n">
        <x:v>0</x:v>
      </x:c>
      <x:c r="N61" s="32" t="n">
        <x:v>0</x:v>
      </x:c>
      <x:c r="O61" s="32" t="n">
        <x:v>0</x:v>
      </x:c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Y61" s="32"/>
      <x:c r="AZ61" s="32"/>
      <x:c r="BA61" s="32"/>
    </x:row>
    <x:row r="62">
      <x:c r="A62" s="25" t="str">
        <x:v>C02-E</x:v>
      </x:c>
      <x:c r="B62" s="25" t="str">
        <x:v>宁姆格福</x:v>
      </x:c>
      <x:c r="C62" s="25" t="str">
        <x:v>半急速入场</x:v>
      </x:c>
      <x:c r="D62" s="25" t="str">
        <x:v>转生</x:v>
      </x:c>
      <x:c r="E62" s="25" t="str">
        <x:v>本类1项（逐项见完整JSON）</x:v>
      </x:c>
      <x:c r="F62" s="25" t="str">
        <x:v>S07/20转</x:v>
      </x:c>
      <x:c r="G62" s="25" t="str">
        <x:v>原表累计</x:v>
      </x:c>
      <x:c r="H62" s="25" t="str">
        <x:v>由同包逐项数据聚合，便于核对</x:v>
      </x:c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 t="n">
        <x:v>0</x:v>
      </x:c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Y62" s="32"/>
      <x:c r="AZ62" s="32"/>
      <x:c r="BA62" s="32"/>
    </x:row>
    <x:row r="63">
      <x:c r="A63" s="25" t="str">
        <x:v>C02-E</x:v>
      </x:c>
      <x:c r="B63" s="25" t="str">
        <x:v>宁姆格福</x:v>
      </x:c>
      <x:c r="C63" s="25" t="str">
        <x:v>半急速入场</x:v>
      </x:c>
      <x:c r="D63" s="25" t="str">
        <x:v>独立称号</x:v>
      </x:c>
      <x:c r="E63" s="25" t="str">
        <x:v>本类1项（逐项见完整JSON）</x:v>
      </x:c>
      <x:c r="F63" s="25" t="str">
        <x:v>S04/02_独立称号</x:v>
      </x:c>
      <x:c r="G63" s="25" t="str">
        <x:v>原表数值</x:v>
      </x:c>
      <x:c r="H63" s="25" t="str">
        <x:v>由同包逐项数据聚合，便于核对</x:v>
      </x:c>
      <x:c r="I63" s="32" t="n">
        <x:v>30</x:v>
      </x:c>
      <x:c r="J63" s="32" t="n">
        <x:v>30</x:v>
      </x:c>
      <x:c r="K63" s="32" t="n">
        <x:v>30</x:v>
      </x:c>
      <x:c r="L63" s="32" t="n">
        <x:v>30</x:v>
      </x:c>
      <x:c r="M63" s="32" t="n">
        <x:v>30</x:v>
      </x:c>
      <x:c r="N63" s="32" t="n">
        <x:v>30</x:v>
      </x:c>
      <x:c r="O63" s="32" t="n">
        <x:v>3000</x:v>
      </x:c>
      <x:c r="P63" s="32"/>
      <x:c r="Q63" s="32"/>
      <x:c r="R63" s="32"/>
      <x:c r="S63" s="32"/>
      <x:c r="T63" s="32"/>
      <x:c r="U63" s="32"/>
      <x:c r="V63" s="32"/>
      <x:c r="W63" s="32"/>
      <x:c r="X63" s="32" t="n">
        <x:v>0</x:v>
      </x:c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 t="n">
        <x:v>0</x:v>
      </x:c>
      <x:c r="AN63" s="32"/>
      <x:c r="AO63" s="32"/>
      <x:c r="AP63" s="32" t="n">
        <x:v>0</x:v>
      </x:c>
      <x:c r="AQ63" s="32"/>
      <x:c r="AR63" s="32"/>
      <x:c r="AS63" s="32"/>
      <x:c r="AT63" s="32"/>
      <x:c r="AU63" s="32"/>
      <x:c r="AV63" s="32"/>
      <x:c r="AW63" s="32"/>
      <x:c r="AX63" s="32"/>
      <x:c r="AY63" s="32"/>
      <x:c r="AZ63" s="32"/>
      <x:c r="BA63" s="32"/>
    </x:row>
    <x:row r="64">
      <x:c r="A64" s="25" t="str">
        <x:v>C02-E</x:v>
      </x:c>
      <x:c r="B64" s="25" t="str">
        <x:v>宁姆格福</x:v>
      </x:c>
      <x:c r="C64" s="25" t="str">
        <x:v>半急速入场</x:v>
      </x:c>
      <x:c r="D64" s="25" t="str">
        <x:v>单件图鉴</x:v>
      </x:c>
      <x:c r="E64" s="25" t="str">
        <x:v>本类1项（逐项见完整JSON）</x:v>
      </x:c>
      <x:c r="F64" s="25" t="str">
        <x:v>S07/collection_single</x:v>
      </x:c>
      <x:c r="G64" s="25" t="str">
        <x:v>原表累计</x:v>
      </x:c>
      <x:c r="H64" s="25" t="str">
        <x:v>由同包逐项数据聚合，便于核对</x:v>
      </x:c>
      <x:c r="I64" s="32" t="n">
        <x:v>29</x:v>
      </x:c>
      <x:c r="J64" s="32" t="n">
        <x:v>29</x:v>
      </x:c>
      <x:c r="K64" s="32" t="n">
        <x:v>29</x:v>
      </x:c>
      <x:c r="L64" s="32" t="n">
        <x:v>29</x:v>
      </x:c>
      <x:c r="M64" s="32" t="n">
        <x:v>29</x:v>
      </x:c>
      <x:c r="N64" s="32" t="n">
        <x:v>29</x:v>
      </x:c>
      <x:c r="O64" s="32" t="n">
        <x:v>2900</x:v>
      </x:c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Y64" s="32"/>
      <x:c r="AZ64" s="32"/>
      <x:c r="BA64" s="32"/>
    </x:row>
    <x:row r="65">
      <x:c r="A65" s="25" t="str">
        <x:v>C02-E</x:v>
      </x:c>
      <x:c r="B65" s="25" t="str">
        <x:v>宁姆格福</x:v>
      </x:c>
      <x:c r="C65" s="25" t="str">
        <x:v>半急速入场</x:v>
      </x:c>
      <x:c r="D65" s="25" t="str">
        <x:v>地图整页</x:v>
      </x:c>
      <x:c r="E65" s="25" t="str">
        <x:v>本类1项（逐项见完整JSON）</x:v>
      </x:c>
      <x:c r="F65" s="25" t="str">
        <x:v>S07/collection_pages</x:v>
      </x:c>
      <x:c r="G65" s="25" t="str">
        <x:v>原表数值</x:v>
      </x:c>
      <x:c r="H65" s="25" t="str">
        <x:v>由同包逐项数据聚合，便于核对</x:v>
      </x:c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 t="n">
        <x:v>0.01</x:v>
      </x:c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 t="n">
        <x:v>0.5</x:v>
      </x:c>
      <x:c r="AN65" s="32"/>
      <x:c r="AO65" s="32"/>
      <x:c r="AP65" s="32" t="n">
        <x:v>20</x:v>
      </x:c>
      <x:c r="AQ65" s="32"/>
      <x:c r="AR65" s="32"/>
      <x:c r="AS65" s="32"/>
      <x:c r="AT65" s="32"/>
      <x:c r="AU65" s="32"/>
      <x:c r="AV65" s="32"/>
      <x:c r="AW65" s="32"/>
      <x:c r="AX65" s="32"/>
      <x:c r="AY65" s="32"/>
      <x:c r="AZ65" s="32"/>
      <x:c r="BA65" s="32"/>
    </x:row>
    <x:row r="66">
      <x:c r="A66" s="25" t="str">
        <x:v>C02-E</x:v>
      </x:c>
      <x:c r="B66" s="25" t="str">
        <x:v>宁姆格福</x:v>
      </x:c>
      <x:c r="C66" s="25" t="str">
        <x:v>半急速入场</x:v>
      </x:c>
      <x:c r="D66" s="25" t="str">
        <x:v>旧任务</x:v>
      </x:c>
      <x:c r="E66" s="25" t="str">
        <x:v>本类1项（逐项见完整JSON）</x:v>
      </x:c>
      <x:c r="F66" s="25" t="str">
        <x:v>第一大陆_地图魂魄任务.txt</x:v>
      </x:c>
      <x:c r="G66" s="25" t="str">
        <x:v>原件确认</x:v>
      </x:c>
      <x:c r="H66" s="25" t="str">
        <x:v>由同包逐项数据聚合，便于核对</x:v>
      </x:c>
      <x:c r="I66" s="32" t="n">
        <x:v>30</x:v>
      </x:c>
      <x:c r="J66" s="32" t="n">
        <x:v>30</x:v>
      </x:c>
      <x:c r="K66" s="32" t="n">
        <x:v>30</x:v>
      </x:c>
      <x:c r="L66" s="32" t="n">
        <x:v>30</x:v>
      </x:c>
      <x:c r="M66" s="32" t="n">
        <x:v>30</x:v>
      </x:c>
      <x:c r="N66" s="32" t="n">
        <x:v>30</x:v>
      </x:c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 t="n">
        <x:v>20</x:v>
      </x:c>
      <x:c r="AQ66" s="32"/>
      <x:c r="AR66" s="32"/>
      <x:c r="AS66" s="32"/>
      <x:c r="AT66" s="32"/>
      <x:c r="AU66" s="32"/>
      <x:c r="AV66" s="32"/>
      <x:c r="AW66" s="32"/>
      <x:c r="AX66" s="32"/>
      <x:c r="AY66" s="32"/>
      <x:c r="AZ66" s="32"/>
      <x:c r="BA66" s="32"/>
    </x:row>
    <x:row r="67">
      <x:c r="A67" s="25" t="str">
        <x:v>C02-E</x:v>
      </x:c>
      <x:c r="B67" s="25" t="str">
        <x:v>宁姆格福</x:v>
      </x:c>
      <x:c r="C67" s="25" t="str">
        <x:v>半急速入场</x:v>
      </x:c>
      <x:c r="D67" s="25" t="str">
        <x:v>装备</x:v>
      </x:c>
      <x:c r="E67" s="25" t="str">
        <x:v>本类14项（逐项见完整JSON）</x:v>
      </x:c>
      <x:c r="F67" s="25" t="str">
        <x:v>S01；S02；S07</x:v>
      </x:c>
      <x:c r="G67" s="25" t="str">
        <x:v>原表数值</x:v>
      </x:c>
      <x:c r="H67" s="25" t="str">
        <x:v>由同包逐项数据聚合，便于核对</x:v>
      </x:c>
      <x:c r="I67" s="32" t="n">
        <x:v>396</x:v>
      </x:c>
      <x:c r="J67" s="32" t="n">
        <x:v>776</x:v>
      </x:c>
      <x:c r="K67" s="32" t="n">
        <x:v>396</x:v>
      </x:c>
      <x:c r="L67" s="32" t="n">
        <x:v>776</x:v>
      </x:c>
      <x:c r="M67" s="32" t="n">
        <x:v>396</x:v>
      </x:c>
      <x:c r="N67" s="32" t="n">
        <x:v>776</x:v>
      </x:c>
      <x:c r="O67" s="32" t="n">
        <x:v>268080</x:v>
      </x:c>
      <x:c r="P67" s="32"/>
      <x:c r="Q67" s="32" t="n">
        <x:v>198</x:v>
      </x:c>
      <x:c r="R67" s="32" t="n">
        <x:v>376</x:v>
      </x:c>
      <x:c r="S67" s="32" t="n">
        <x:v>162</x:v>
      </x:c>
      <x:c r="T67" s="32" t="n">
        <x:v>305</x:v>
      </x:c>
      <x:c r="U67" s="32" t="n">
        <x:v>113</x:v>
      </x:c>
      <x:c r="V67" s="32" t="n">
        <x:v>113</x:v>
      </x:c>
      <x:c r="W67" s="32" t="n">
        <x:v>113</x:v>
      </x:c>
      <x:c r="X67" s="32"/>
      <x:c r="Y67" s="32"/>
      <x:c r="Z67" s="32" t="n">
        <x:v>38</x:v>
      </x:c>
      <x:c r="AA67" s="32" t="n">
        <x:v>17</x:v>
      </x:c>
      <x:c r="AB67" s="32"/>
      <x:c r="AC67" s="32" t="n">
        <x:v>39</x:v>
      </x:c>
      <x:c r="AD67" s="32"/>
      <x:c r="AE67" s="32"/>
      <x:c r="AF67" s="32"/>
      <x:c r="AG67" s="32"/>
      <x:c r="AH67" s="32" t="n">
        <x:v>8</x:v>
      </x:c>
      <x:c r="AI67" s="32"/>
      <x:c r="AJ67" s="32" t="n">
        <x:v>57</x:v>
      </x:c>
      <x:c r="AK67" s="32"/>
      <x:c r="AL67" s="32"/>
      <x:c r="AM67" s="32" t="n">
        <x:v>1</x:v>
      </x:c>
      <x:c r="AN67" s="32" t="n">
        <x:v>1</x:v>
      </x:c>
      <x:c r="AO67" s="32" t="n">
        <x:v>1</x:v>
      </x:c>
      <x:c r="AP67" s="32" t="n">
        <x:v>3</x:v>
      </x:c>
      <x:c r="AQ67" s="32" t="n">
        <x:v>57</x:v>
      </x:c>
      <x:c r="AR67" s="32"/>
      <x:c r="AS67" s="32" t="n">
        <x:v>8</x:v>
      </x:c>
      <x:c r="AT67" s="32"/>
      <x:c r="AU67" s="32"/>
      <x:c r="AV67" s="32"/>
      <x:c r="AW67" s="32"/>
      <x:c r="AX67" s="32"/>
      <x:c r="AY67" s="32"/>
      <x:c r="AZ67" s="32" t="n">
        <x:v>14</x:v>
      </x:c>
      <x:c r="BA67" s="32"/>
    </x:row>
    <x:row r="68">
      <x:c r="A68" s="25" t="str">
        <x:v>C02-E</x:v>
      </x:c>
      <x:c r="B68" s="25" t="str">
        <x:v>宁姆格福</x:v>
      </x:c>
      <x:c r="C68" s="25" t="str">
        <x:v>半急速入场</x:v>
      </x:c>
      <x:c r="D68" s="25" t="str">
        <x:v>命格</x:v>
      </x:c>
      <x:c r="E68" s="25" t="str">
        <x:v>本类2项（逐项见完整JSON）</x:v>
      </x:c>
      <x:c r="F68" s="25" t="str">
        <x:v>S03/命格ID1092；S03/命格ID1093</x:v>
      </x:c>
      <x:c r="G68" s="25" t="str">
        <x:v>原表彩色＋选配假设</x:v>
      </x:c>
      <x:c r="H68" s="25" t="str">
        <x:v>由同包逐项数据聚合，便于核对</x:v>
      </x:c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 t="n">
        <x:v>3</x:v>
      </x:c>
      <x:c r="AA68" s="32"/>
      <x:c r="AB68" s="32"/>
      <x:c r="AC68" s="32"/>
      <x:c r="AD68" s="32"/>
      <x:c r="AE68" s="32"/>
      <x:c r="AF68" s="32"/>
      <x:c r="AG68" s="32"/>
      <x:c r="AH68" s="32" t="n">
        <x:v>2</x:v>
      </x:c>
      <x:c r="AI68" s="32"/>
      <x:c r="AJ68" s="32" t="n">
        <x:v>10</x:v>
      </x:c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 t="n">
        <x:v>50</x:v>
      </x:c>
      <x:c r="AU68" s="32" t="n">
        <x:v>2</x:v>
      </x:c>
      <x:c r="AV68" s="32" t="n">
        <x:v>3</x:v>
      </x:c>
      <x:c r="AW68" s="32"/>
      <x:c r="AX68" s="32"/>
      <x:c r="AY68" s="32"/>
      <x:c r="AZ68" s="32"/>
      <x:c r="BA68" s="32"/>
    </x:row>
    <x:row r="69">
      <x:c r="A69" s="25" t="str">
        <x:v>C02-E</x:v>
      </x:c>
      <x:c r="B69" s="25" t="str">
        <x:v>宁姆格福</x:v>
      </x:c>
      <x:c r="C69" s="25" t="str">
        <x:v>半急速入场</x:v>
      </x:c>
      <x:c r="D69" s="25" t="str">
        <x:v>后天幸运</x:v>
      </x:c>
      <x:c r="E69" s="25" t="str">
        <x:v>本类1项（逐项见完整JSON）</x:v>
      </x:c>
      <x:c r="F69" s="25" t="str">
        <x:v>A08</x:v>
      </x:c>
      <x:c r="G69" s="25" t="str">
        <x:v>人物永久进度</x:v>
      </x:c>
      <x:c r="H69" s="25" t="str">
        <x:v>由同包逐项数据聚合，便于核对</x:v>
      </x:c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 t="n">
        <x:v>7</x:v>
      </x:c>
      <x:c r="AL69" s="32" t="n">
        <x:v>0</x:v>
      </x:c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Y69" s="32"/>
      <x:c r="AZ69" s="32"/>
      <x:c r="BA69" s="32"/>
    </x:row>
    <x:row r="70">
      <x:c r="A70" s="25" t="str">
        <x:v>C02-E</x:v>
      </x:c>
      <x:c r="B70" s="25" t="str">
        <x:v>宁姆格福</x:v>
      </x:c>
      <x:c r="C70" s="25" t="str">
        <x:v>半急速入场</x:v>
      </x:c>
      <x:c r="D70" s="25" t="str">
        <x:v>回收预算</x:v>
      </x:c>
      <x:c r="E70" s="25" t="str">
        <x:v>本类1项（逐项见完整JSON）</x:v>
      </x:c>
      <x:c r="F70" s="25" t="str">
        <x:v>用户总回收50%</x:v>
      </x:c>
      <x:c r="G70" s="25" t="str">
        <x:v>经济输入，不是新增属性来源</x:v>
      </x:c>
      <x:c r="H70" s="25" t="str">
        <x:v>由同包逐项数据聚合，便于核对</x:v>
      </x:c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Y70" s="32"/>
      <x:c r="AZ70" s="32"/>
      <x:c r="BA70" s="32" t="n">
        <x:v>50</x:v>
      </x:c>
    </x:row>
    <x:row r="71">
      <x:c r="A71" s="25" t="str">
        <x:v>C02-M</x:v>
      </x:c>
      <x:c r="B71" s="25" t="str">
        <x:v>宁姆格福</x:v>
      </x:c>
      <x:c r="C71" s="25" t="str">
        <x:v>半急速中期</x:v>
      </x:c>
      <x:c r="D71" s="25" t="str">
        <x:v>人物自然</x:v>
      </x:c>
      <x:c r="E71" s="25" t="str">
        <x:v>本类1项（逐项见完整JSON）</x:v>
      </x:c>
      <x:c r="F71" s="25" t="str">
        <x:v>A01</x:v>
      </x:c>
      <x:c r="G71" s="25" t="str">
        <x:v>模型假设</x:v>
      </x:c>
      <x:c r="H71" s="25" t="str">
        <x:v>由同包逐项数据聚合，便于核对</x:v>
      </x:c>
      <x:c r="I71" s="32" t="n">
        <x:v>10</x:v>
      </x:c>
      <x:c r="J71" s="32" t="n">
        <x:v>20.5</x:v>
      </x:c>
      <x:c r="K71" s="32"/>
      <x:c r="L71" s="32"/>
      <x:c r="M71" s="32"/>
      <x:c r="N71" s="32"/>
      <x:c r="O71" s="32" t="n">
        <x:v>1600</x:v>
      </x:c>
      <x:c r="P71" s="32" t="n">
        <x:v>350</x:v>
      </x:c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Y71" s="32"/>
      <x:c r="AZ71" s="32"/>
      <x:c r="BA71" s="32"/>
    </x:row>
    <x:row r="72">
      <x:c r="A72" s="25" t="str">
        <x:v>C02-M</x:v>
      </x:c>
      <x:c r="B72" s="25" t="str">
        <x:v>宁姆格福</x:v>
      </x:c>
      <x:c r="C72" s="25" t="str">
        <x:v>半急速中期</x:v>
      </x:c>
      <x:c r="D72" s="25" t="str">
        <x:v>付费状态</x:v>
      </x:c>
      <x:c r="E72" s="25" t="str">
        <x:v>本类3项（逐项见完整JSON）</x:v>
      </x:c>
      <x:c r="F72" s="25" t="str">
        <x:v>20260903总档</x:v>
      </x:c>
      <x:c r="G72" s="25" t="str">
        <x:v>原表数值</x:v>
      </x:c>
      <x:c r="H72" s="25" t="str">
        <x:v>由同包逐项数据聚合，便于核对</x:v>
      </x:c>
      <x:c r="I72" s="32" t="n">
        <x:v>149</x:v>
      </x:c>
      <x:c r="J72" s="32" t="n">
        <x:v>149</x:v>
      </x:c>
      <x:c r="K72" s="32" t="n">
        <x:v>149</x:v>
      </x:c>
      <x:c r="L72" s="32" t="n">
        <x:v>149</x:v>
      </x:c>
      <x:c r="M72" s="32" t="n">
        <x:v>149</x:v>
      </x:c>
      <x:c r="N72" s="32" t="n">
        <x:v>149</x:v>
      </x:c>
      <x:c r="O72" s="32" t="n">
        <x:v>10000</x:v>
      </x:c>
      <x:c r="P72" s="32"/>
      <x:c r="Q72" s="32"/>
      <x:c r="R72" s="32"/>
      <x:c r="S72" s="32"/>
      <x:c r="T72" s="32"/>
      <x:c r="U72" s="32"/>
      <x:c r="V72" s="32"/>
      <x:c r="W72" s="32"/>
      <x:c r="X72" s="32"/>
      <x:c r="Y72" s="32" t="n">
        <x:v>10</x:v>
      </x:c>
      <x:c r="Z72" s="32"/>
      <x:c r="AA72" s="32"/>
      <x:c r="AB72" s="32" t="n">
        <x:v>20</x:v>
      </x:c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 t="n">
        <x:v>10</x:v>
      </x:c>
      <x:c r="AN72" s="32"/>
      <x:c r="AO72" s="32"/>
      <x:c r="AP72" s="32" t="n">
        <x:v>50</x:v>
      </x:c>
      <x:c r="AQ72" s="32"/>
      <x:c r="AR72" s="32"/>
      <x:c r="AS72" s="32"/>
      <x:c r="AT72" s="32" t="n">
        <x:v>700</x:v>
      </x:c>
      <x:c r="AU72" s="32" t="n">
        <x:v>15</x:v>
      </x:c>
      <x:c r="AV72" s="32"/>
      <x:c r="AW72" s="32"/>
      <x:c r="AX72" s="32"/>
      <x:c r="AY72" s="32"/>
      <x:c r="AZ72" s="32"/>
      <x:c r="BA72" s="32"/>
    </x:row>
    <x:row r="73">
      <x:c r="A73" s="25" t="str">
        <x:v>C02-M</x:v>
      </x:c>
      <x:c r="B73" s="25" t="str">
        <x:v>宁姆格福</x:v>
      </x:c>
      <x:c r="C73" s="25" t="str">
        <x:v>半急速中期</x:v>
      </x:c>
      <x:c r="D73" s="25" t="str">
        <x:v>成长装备</x:v>
      </x:c>
      <x:c r="E73" s="25" t="str">
        <x:v>本类2项（逐项见完整JSON）</x:v>
      </x:c>
      <x:c r="F73" s="25" t="str">
        <x:v>20260903总档 / A04</x:v>
      </x:c>
      <x:c r="G73" s="25" t="str">
        <x:v>原表＋支付路径假设</x:v>
      </x:c>
      <x:c r="H73" s="25" t="str">
        <x:v>由同包逐项数据聚合，便于核对</x:v>
      </x:c>
      <x:c r="I73" s="32" t="n">
        <x:v>1100</x:v>
      </x:c>
      <x:c r="J73" s="32" t="n">
        <x:v>1100</x:v>
      </x:c>
      <x:c r="K73" s="32" t="n">
        <x:v>1100</x:v>
      </x:c>
      <x:c r="L73" s="32" t="n">
        <x:v>1100</x:v>
      </x:c>
      <x:c r="M73" s="32" t="n">
        <x:v>1100</x:v>
      </x:c>
      <x:c r="N73" s="32" t="n">
        <x:v>1100</x:v>
      </x:c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 t="n">
        <x:v>10</x:v>
      </x:c>
      <x:c r="AX73" s="32" t="n">
        <x:v>10</x:v>
      </x:c>
      <x:c r="AY73" s="32"/>
      <x:c r="AZ73" s="32"/>
      <x:c r="BA73" s="32"/>
    </x:row>
    <x:row r="74">
      <x:c r="A74" s="25" t="str">
        <x:v>C02-M</x:v>
      </x:c>
      <x:c r="B74" s="25" t="str">
        <x:v>宁姆格福</x:v>
      </x:c>
      <x:c r="C74" s="25" t="str">
        <x:v>半急速中期</x:v>
      </x:c>
      <x:c r="D74" s="25" t="str">
        <x:v>贯穿称号</x:v>
      </x:c>
      <x:c r="E74" s="25" t="str">
        <x:v>本类1项（逐项见完整JSON）</x:v>
      </x:c>
      <x:c r="F74" s="25" t="str">
        <x:v>S04/01_贯穿称号</x:v>
      </x:c>
      <x:c r="G74" s="25" t="str">
        <x:v>原表数值</x:v>
      </x:c>
      <x:c r="H74" s="25" t="str">
        <x:v>由同包逐项数据聚合，便于核对</x:v>
      </x:c>
      <x:c r="I74" s="32" t="n">
        <x:v>300</x:v>
      </x:c>
      <x:c r="J74" s="32" t="n">
        <x:v>300</x:v>
      </x:c>
      <x:c r="K74" s="32" t="n">
        <x:v>300</x:v>
      </x:c>
      <x:c r="L74" s="32" t="n">
        <x:v>300</x:v>
      </x:c>
      <x:c r="M74" s="32" t="n">
        <x:v>300</x:v>
      </x:c>
      <x:c r="N74" s="32" t="n">
        <x:v>300</x:v>
      </x:c>
      <x:c r="O74" s="32" t="n">
        <x:v>30000</x:v>
      </x:c>
      <x:c r="P74" s="32" t="n">
        <x:v>30000</x:v>
      </x:c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 t="n">
        <x:v>400</x:v>
      </x:c>
      <x:c r="AU74" s="32"/>
      <x:c r="AV74" s="32"/>
      <x:c r="AW74" s="32"/>
      <x:c r="AX74" s="32"/>
      <x:c r="AY74" s="32"/>
      <x:c r="AZ74" s="32"/>
      <x:c r="BA74" s="32"/>
    </x:row>
    <x:row r="75">
      <x:c r="A75" s="25" t="str">
        <x:v>C02-M</x:v>
      </x:c>
      <x:c r="B75" s="25" t="str">
        <x:v>宁姆格福</x:v>
      </x:c>
      <x:c r="C75" s="25" t="str">
        <x:v>半急速中期</x:v>
      </x:c>
      <x:c r="D75" s="25" t="str">
        <x:v>神印</x:v>
      </x:c>
      <x:c r="E75" s="25" t="str">
        <x:v>本类1项（逐项见完整JSON）</x:v>
      </x:c>
      <x:c r="F75" s="25" t="str">
        <x:v>S04 / 神印公式</x:v>
      </x:c>
      <x:c r="G75" s="25" t="str">
        <x:v>自给进度假设＋原公式</x:v>
      </x:c>
      <x:c r="H75" s="25" t="str">
        <x:v>由同包逐项数据聚合，便于核对</x:v>
      </x:c>
      <x:c r="I75" s="32" t="n">
        <x:v>325</x:v>
      </x:c>
      <x:c r="J75" s="32" t="n">
        <x:v>325</x:v>
      </x:c>
      <x:c r="K75" s="32" t="n">
        <x:v>325</x:v>
      </x:c>
      <x:c r="L75" s="32" t="n">
        <x:v>325</x:v>
      </x:c>
      <x:c r="M75" s="32" t="n">
        <x:v>325</x:v>
      </x:c>
      <x:c r="N75" s="32" t="n">
        <x:v>325</x:v>
      </x:c>
      <x:c r="O75" s="32" t="n">
        <x:v>32500</x:v>
      </x:c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Y75" s="32"/>
      <x:c r="AZ75" s="32"/>
      <x:c r="BA75" s="32"/>
    </x:row>
    <x:row r="76">
      <x:c r="A76" s="25" t="str">
        <x:v>C02-M</x:v>
      </x:c>
      <x:c r="B76" s="25" t="str">
        <x:v>宁姆格福</x:v>
      </x:c>
      <x:c r="C76" s="25" t="str">
        <x:v>半急速中期</x:v>
      </x:c>
      <x:c r="D76" s="25" t="str">
        <x:v>转生</x:v>
      </x:c>
      <x:c r="E76" s="25" t="str">
        <x:v>本类1项（逐项见完整JSON）</x:v>
      </x:c>
      <x:c r="F76" s="25" t="str">
        <x:v>S07/20转</x:v>
      </x:c>
      <x:c r="G76" s="25" t="str">
        <x:v>原表累计</x:v>
      </x:c>
      <x:c r="H76" s="25" t="str">
        <x:v>由同包逐项数据聚合，便于核对</x:v>
      </x:c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 t="n">
        <x:v>0</x:v>
      </x:c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Y76" s="32"/>
      <x:c r="AZ76" s="32"/>
      <x:c r="BA76" s="32"/>
    </x:row>
    <x:row r="77">
      <x:c r="A77" s="25" t="str">
        <x:v>C02-M</x:v>
      </x:c>
      <x:c r="B77" s="25" t="str">
        <x:v>宁姆格福</x:v>
      </x:c>
      <x:c r="C77" s="25" t="str">
        <x:v>半急速中期</x:v>
      </x:c>
      <x:c r="D77" s="25" t="str">
        <x:v>独立称号</x:v>
      </x:c>
      <x:c r="E77" s="25" t="str">
        <x:v>本类1项（逐项见完整JSON）</x:v>
      </x:c>
      <x:c r="F77" s="25" t="str">
        <x:v>S04/02_独立称号</x:v>
      </x:c>
      <x:c r="G77" s="25" t="str">
        <x:v>原表数值</x:v>
      </x:c>
      <x:c r="H77" s="25" t="str">
        <x:v>由同包逐项数据聚合，便于核对</x:v>
      </x:c>
      <x:c r="I77" s="32" t="n">
        <x:v>30</x:v>
      </x:c>
      <x:c r="J77" s="32" t="n">
        <x:v>30</x:v>
      </x:c>
      <x:c r="K77" s="32" t="n">
        <x:v>30</x:v>
      </x:c>
      <x:c r="L77" s="32" t="n">
        <x:v>30</x:v>
      </x:c>
      <x:c r="M77" s="32" t="n">
        <x:v>30</x:v>
      </x:c>
      <x:c r="N77" s="32" t="n">
        <x:v>30</x:v>
      </x:c>
      <x:c r="O77" s="32" t="n">
        <x:v>3000</x:v>
      </x:c>
      <x:c r="P77" s="32"/>
      <x:c r="Q77" s="32"/>
      <x:c r="R77" s="32"/>
      <x:c r="S77" s="32"/>
      <x:c r="T77" s="32"/>
      <x:c r="U77" s="32"/>
      <x:c r="V77" s="32"/>
      <x:c r="W77" s="32"/>
      <x:c r="X77" s="32" t="n">
        <x:v>0</x:v>
      </x:c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 t="n">
        <x:v>0</x:v>
      </x:c>
      <x:c r="AN77" s="32"/>
      <x:c r="AO77" s="32"/>
      <x:c r="AP77" s="32" t="n">
        <x:v>0</x:v>
      </x:c>
      <x:c r="AQ77" s="32"/>
      <x:c r="AR77" s="32"/>
      <x:c r="AS77" s="32"/>
      <x:c r="AT77" s="32"/>
      <x:c r="AU77" s="32"/>
      <x:c r="AV77" s="32"/>
      <x:c r="AW77" s="32"/>
      <x:c r="AX77" s="32"/>
      <x:c r="AY77" s="32"/>
      <x:c r="AZ77" s="32"/>
      <x:c r="BA77" s="32"/>
    </x:row>
    <x:row r="78">
      <x:c r="A78" s="25" t="str">
        <x:v>C02-M</x:v>
      </x:c>
      <x:c r="B78" s="25" t="str">
        <x:v>宁姆格福</x:v>
      </x:c>
      <x:c r="C78" s="25" t="str">
        <x:v>半急速中期</x:v>
      </x:c>
      <x:c r="D78" s="25" t="str">
        <x:v>单件图鉴</x:v>
      </x:c>
      <x:c r="E78" s="25" t="str">
        <x:v>本类1项（逐项见完整JSON）</x:v>
      </x:c>
      <x:c r="F78" s="25" t="str">
        <x:v>S07/collection_single</x:v>
      </x:c>
      <x:c r="G78" s="25" t="str">
        <x:v>原表累计</x:v>
      </x:c>
      <x:c r="H78" s="25" t="str">
        <x:v>由同包逐项数据聚合，便于核对</x:v>
      </x:c>
      <x:c r="I78" s="32" t="n">
        <x:v>105</x:v>
      </x:c>
      <x:c r="J78" s="32" t="n">
        <x:v>105</x:v>
      </x:c>
      <x:c r="K78" s="32" t="n">
        <x:v>105</x:v>
      </x:c>
      <x:c r="L78" s="32" t="n">
        <x:v>105</x:v>
      </x:c>
      <x:c r="M78" s="32" t="n">
        <x:v>105</x:v>
      </x:c>
      <x:c r="N78" s="32" t="n">
        <x:v>105</x:v>
      </x:c>
      <x:c r="O78" s="32" t="n">
        <x:v>10500</x:v>
      </x:c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Y78" s="32"/>
      <x:c r="AZ78" s="32"/>
      <x:c r="BA78" s="32"/>
    </x:row>
    <x:row r="79">
      <x:c r="A79" s="25" t="str">
        <x:v>C02-M</x:v>
      </x:c>
      <x:c r="B79" s="25" t="str">
        <x:v>宁姆格福</x:v>
      </x:c>
      <x:c r="C79" s="25" t="str">
        <x:v>半急速中期</x:v>
      </x:c>
      <x:c r="D79" s="25" t="str">
        <x:v>地图整页</x:v>
      </x:c>
      <x:c r="E79" s="25" t="str">
        <x:v>本类3项（逐项见完整JSON）</x:v>
      </x:c>
      <x:c r="F79" s="25" t="str">
        <x:v>S07/collection_pages</x:v>
      </x:c>
      <x:c r="G79" s="25" t="str">
        <x:v>原表数值</x:v>
      </x:c>
      <x:c r="H79" s="25" t="str">
        <x:v>由同包逐项数据聚合，便于核对</x:v>
      </x:c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 t="n">
        <x:v>0.03</x:v>
      </x:c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 t="n">
        <x:v>1.5</x:v>
      </x:c>
      <x:c r="AN79" s="32"/>
      <x:c r="AO79" s="32"/>
      <x:c r="AP79" s="32" t="n">
        <x:v>60</x:v>
      </x:c>
      <x:c r="AQ79" s="32"/>
      <x:c r="AR79" s="32"/>
      <x:c r="AS79" s="32"/>
      <x:c r="AT79" s="32"/>
      <x:c r="AU79" s="32"/>
      <x:c r="AV79" s="32"/>
      <x:c r="AW79" s="32"/>
      <x:c r="AX79" s="32"/>
      <x:c r="AY79" s="32"/>
      <x:c r="AZ79" s="32"/>
      <x:c r="BA79" s="32"/>
    </x:row>
    <x:row r="80">
      <x:c r="A80" s="25" t="str">
        <x:v>C02-M</x:v>
      </x:c>
      <x:c r="B80" s="25" t="str">
        <x:v>宁姆格福</x:v>
      </x:c>
      <x:c r="C80" s="25" t="str">
        <x:v>半急速中期</x:v>
      </x:c>
      <x:c r="D80" s="25" t="str">
        <x:v>旧任务</x:v>
      </x:c>
      <x:c r="E80" s="25" t="str">
        <x:v>本类3项（逐项见完整JSON）</x:v>
      </x:c>
      <x:c r="F80" s="25" t="str">
        <x:v>宁姆格福_完整怪物装备任务爆率规划/地图任务；第一大陆_地图魂魄任务.txt</x:v>
      </x:c>
      <x:c r="G80" s="25" t="str">
        <x:v>原件确认；原表数值</x:v>
      </x:c>
      <x:c r="H80" s="25" t="str">
        <x:v>由同包逐项数据聚合，便于核对</x:v>
      </x:c>
      <x:c r="I80" s="32" t="n">
        <x:v>60</x:v>
      </x:c>
      <x:c r="J80" s="32" t="n">
        <x:v>60</x:v>
      </x:c>
      <x:c r="K80" s="32" t="n">
        <x:v>60</x:v>
      </x:c>
      <x:c r="L80" s="32" t="n">
        <x:v>60</x:v>
      </x:c>
      <x:c r="M80" s="32" t="n">
        <x:v>60</x:v>
      </x:c>
      <x:c r="N80" s="32" t="n">
        <x:v>60</x:v>
      </x:c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 t="n">
        <x:v>80</x:v>
      </x:c>
      <x:c r="AQ80" s="32"/>
      <x:c r="AR80" s="32"/>
      <x:c r="AS80" s="32"/>
      <x:c r="AT80" s="32"/>
      <x:c r="AU80" s="32"/>
      <x:c r="AV80" s="32"/>
      <x:c r="AW80" s="32"/>
      <x:c r="AX80" s="32"/>
      <x:c r="AY80" s="32"/>
      <x:c r="AZ80" s="32"/>
      <x:c r="BA80" s="32"/>
    </x:row>
    <x:row r="81">
      <x:c r="A81" s="25" t="str">
        <x:v>C02-M</x:v>
      </x:c>
      <x:c r="B81" s="25" t="str">
        <x:v>宁姆格福</x:v>
      </x:c>
      <x:c r="C81" s="25" t="str">
        <x:v>半急速中期</x:v>
      </x:c>
      <x:c r="D81" s="25" t="str">
        <x:v>装备</x:v>
      </x:c>
      <x:c r="E81" s="25" t="str">
        <x:v>本类22项（逐项见完整JSON）</x:v>
      </x:c>
      <x:c r="F81" s="25" t="str">
        <x:v>S01；S02；S07</x:v>
      </x:c>
      <x:c r="G81" s="25" t="str">
        <x:v>原表数值</x:v>
      </x:c>
      <x:c r="H81" s="25" t="str">
        <x:v>由同包逐项数据聚合，便于核对</x:v>
      </x:c>
      <x:c r="I81" s="32" t="n">
        <x:v>919</x:v>
      </x:c>
      <x:c r="J81" s="32" t="n">
        <x:v>1785</x:v>
      </x:c>
      <x:c r="K81" s="32" t="n">
        <x:v>919</x:v>
      </x:c>
      <x:c r="L81" s="32" t="n">
        <x:v>1785</x:v>
      </x:c>
      <x:c r="M81" s="32" t="n">
        <x:v>919</x:v>
      </x:c>
      <x:c r="N81" s="32" t="n">
        <x:v>1785</x:v>
      </x:c>
      <x:c r="O81" s="32" t="n">
        <x:v>573310</x:v>
      </x:c>
      <x:c r="P81" s="32"/>
      <x:c r="Q81" s="32" t="n">
        <x:v>425</x:v>
      </x:c>
      <x:c r="R81" s="32" t="n">
        <x:v>794</x:v>
      </x:c>
      <x:c r="S81" s="32" t="n">
        <x:v>346</x:v>
      </x:c>
      <x:c r="T81" s="32" t="n">
        <x:v>645</x:v>
      </x:c>
      <x:c r="U81" s="32" t="n">
        <x:v>251</x:v>
      </x:c>
      <x:c r="V81" s="32" t="n">
        <x:v>251</x:v>
      </x:c>
      <x:c r="W81" s="32" t="n">
        <x:v>251</x:v>
      </x:c>
      <x:c r="X81" s="32"/>
      <x:c r="Y81" s="32"/>
      <x:c r="Z81" s="32" t="n">
        <x:v>84</x:v>
      </x:c>
      <x:c r="AA81" s="32" t="n">
        <x:v>36</x:v>
      </x:c>
      <x:c r="AB81" s="32"/>
      <x:c r="AC81" s="32" t="n">
        <x:v>86</x:v>
      </x:c>
      <x:c r="AD81" s="32"/>
      <x:c r="AE81" s="32"/>
      <x:c r="AF81" s="32"/>
      <x:c r="AG81" s="32"/>
      <x:c r="AH81" s="32" t="n">
        <x:v>11</x:v>
      </x:c>
      <x:c r="AI81" s="32"/>
      <x:c r="AJ81" s="32" t="n">
        <x:v>114</x:v>
      </x:c>
      <x:c r="AK81" s="32"/>
      <x:c r="AL81" s="32"/>
      <x:c r="AM81" s="32" t="n">
        <x:v>1</x:v>
      </x:c>
      <x:c r="AN81" s="32" t="n">
        <x:v>1</x:v>
      </x:c>
      <x:c r="AO81" s="32" t="n">
        <x:v>1</x:v>
      </x:c>
      <x:c r="AP81" s="32" t="n">
        <x:v>3</x:v>
      </x:c>
      <x:c r="AQ81" s="32" t="n">
        <x:v>86</x:v>
      </x:c>
      <x:c r="AR81" s="32"/>
      <x:c r="AS81" s="32" t="n">
        <x:v>11</x:v>
      </x:c>
      <x:c r="AT81" s="32"/>
      <x:c r="AU81" s="32"/>
      <x:c r="AV81" s="32"/>
      <x:c r="AW81" s="32"/>
      <x:c r="AX81" s="32"/>
      <x:c r="AY81" s="32"/>
      <x:c r="AZ81" s="32" t="n">
        <x:v>16</x:v>
      </x:c>
      <x:c r="BA81" s="32"/>
    </x:row>
    <x:row r="82">
      <x:c r="A82" s="25" t="str">
        <x:v>C02-M</x:v>
      </x:c>
      <x:c r="B82" s="25" t="str">
        <x:v>宁姆格福</x:v>
      </x:c>
      <x:c r="C82" s="25" t="str">
        <x:v>半急速中期</x:v>
      </x:c>
      <x:c r="D82" s="25" t="str">
        <x:v>洗练</x:v>
      </x:c>
      <x:c r="E82" s="25" t="str">
        <x:v>本类10项（逐项见完整JSON）</x:v>
      </x:c>
      <x:c r="F82" s="25" t="str">
        <x:v>S06＋固定种子</x:v>
      </x:c>
      <x:c r="G82" s="25" t="str">
        <x:v>可实现随机样本</x:v>
      </x:c>
      <x:c r="H82" s="25" t="str">
        <x:v>由同包逐项数据聚合，便于核对</x:v>
      </x:c>
      <x:c r="I82" s="32"/>
      <x:c r="J82" s="32"/>
      <x:c r="K82" s="32" t="n">
        <x:v>9</x:v>
      </x:c>
      <x:c r="L82" s="32" t="n">
        <x:v>9</x:v>
      </x:c>
      <x:c r="M82" s="32" t="n">
        <x:v>57</x:v>
      </x:c>
      <x:c r="N82" s="32" t="n">
        <x:v>57</x:v>
      </x:c>
      <x:c r="O82" s="32"/>
      <x:c r="P82" s="32"/>
      <x:c r="Q82" s="32"/>
      <x:c r="R82" s="32"/>
      <x:c r="S82" s="32"/>
      <x:c r="T82" s="32"/>
      <x:c r="U82" s="32" t="n">
        <x:v>235</x:v>
      </x:c>
      <x:c r="V82" s="32"/>
      <x:c r="W82" s="32"/>
      <x:c r="X82" s="32"/>
      <x:c r="Y82" s="32" t="n">
        <x:v>5</x:v>
      </x:c>
      <x:c r="Z82" s="32"/>
      <x:c r="AA82" s="32"/>
      <x:c r="AB82" s="32" t="n">
        <x:v>3</x:v>
      </x:c>
      <x:c r="AC82" s="32"/>
      <x:c r="AD82" s="32" t="n">
        <x:v>2</x:v>
      </x:c>
      <x:c r="AE82" s="32"/>
      <x:c r="AF82" s="32"/>
      <x:c r="AG82" s="32"/>
      <x:c r="AH82" s="32" t="n">
        <x:v>2</x:v>
      </x:c>
      <x:c r="AI82" s="32"/>
      <x:c r="AJ82" s="32"/>
      <x:c r="AK82" s="32"/>
      <x:c r="AL82" s="32"/>
      <x:c r="AM82" s="32" t="n">
        <x:v>5</x:v>
      </x:c>
      <x:c r="AN82" s="32" t="n">
        <x:v>4</x:v>
      </x:c>
      <x:c r="AO82" s="32" t="n">
        <x:v>4</x:v>
      </x:c>
      <x:c r="AP82" s="32" t="n">
        <x:v>30</x:v>
      </x:c>
      <x:c r="AQ82" s="32"/>
      <x:c r="AR82" s="32"/>
      <x:c r="AS82" s="32"/>
      <x:c r="AT82" s="32"/>
      <x:c r="AU82" s="32" t="n">
        <x:v>2</x:v>
      </x:c>
      <x:c r="AV82" s="32"/>
      <x:c r="AW82" s="32"/>
      <x:c r="AX82" s="32"/>
      <x:c r="AY82" s="32"/>
      <x:c r="AZ82" s="32"/>
      <x:c r="BA82" s="32"/>
    </x:row>
    <x:row r="83">
      <x:c r="A83" s="25" t="str">
        <x:v>C02-M</x:v>
      </x:c>
      <x:c r="B83" s="25" t="str">
        <x:v>宁姆格福</x:v>
      </x:c>
      <x:c r="C83" s="25" t="str">
        <x:v>半急速中期</x:v>
      </x:c>
      <x:c r="D83" s="25" t="str">
        <x:v>命格</x:v>
      </x:c>
      <x:c r="E83" s="25" t="str">
        <x:v>本类2项（逐项见完整JSON）</x:v>
      </x:c>
      <x:c r="F83" s="25" t="str">
        <x:v>S03/命格ID1092；S03/命格ID1093</x:v>
      </x:c>
      <x:c r="G83" s="25" t="str">
        <x:v>原表彩色＋选配假设</x:v>
      </x:c>
      <x:c r="H83" s="25" t="str">
        <x:v>由同包逐项数据聚合，便于核对</x:v>
      </x:c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 t="n">
        <x:v>3</x:v>
      </x:c>
      <x:c r="AA83" s="32"/>
      <x:c r="AB83" s="32"/>
      <x:c r="AC83" s="32"/>
      <x:c r="AD83" s="32"/>
      <x:c r="AE83" s="32"/>
      <x:c r="AF83" s="32"/>
      <x:c r="AG83" s="32"/>
      <x:c r="AH83" s="32" t="n">
        <x:v>2</x:v>
      </x:c>
      <x:c r="AI83" s="32"/>
      <x:c r="AJ83" s="32" t="n">
        <x:v>10</x:v>
      </x:c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 t="n">
        <x:v>50</x:v>
      </x:c>
      <x:c r="AU83" s="32" t="n">
        <x:v>2</x:v>
      </x:c>
      <x:c r="AV83" s="32" t="n">
        <x:v>3</x:v>
      </x:c>
      <x:c r="AW83" s="32"/>
      <x:c r="AX83" s="32"/>
      <x:c r="AY83" s="32"/>
      <x:c r="AZ83" s="32"/>
      <x:c r="BA83" s="32"/>
    </x:row>
    <x:row r="84">
      <x:c r="A84" s="25" t="str">
        <x:v>C02-M</x:v>
      </x:c>
      <x:c r="B84" s="25" t="str">
        <x:v>宁姆格福</x:v>
      </x:c>
      <x:c r="C84" s="25" t="str">
        <x:v>半急速中期</x:v>
      </x:c>
      <x:c r="D84" s="25" t="str">
        <x:v>后天幸运</x:v>
      </x:c>
      <x:c r="E84" s="25" t="str">
        <x:v>本类1项（逐项见完整JSON）</x:v>
      </x:c>
      <x:c r="F84" s="25" t="str">
        <x:v>A08</x:v>
      </x:c>
      <x:c r="G84" s="25" t="str">
        <x:v>人物永久进度</x:v>
      </x:c>
      <x:c r="H84" s="25" t="str">
        <x:v>由同包逐项数据聚合，便于核对</x:v>
      </x:c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 t="n">
        <x:v>7</x:v>
      </x:c>
      <x:c r="AL84" s="32" t="n">
        <x:v>3</x:v>
      </x:c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Y84" s="32"/>
      <x:c r="AZ84" s="32"/>
      <x:c r="BA84" s="32"/>
    </x:row>
    <x:row r="85">
      <x:c r="A85" s="25" t="str">
        <x:v>C02-M</x:v>
      </x:c>
      <x:c r="B85" s="25" t="str">
        <x:v>宁姆格福</x:v>
      </x:c>
      <x:c r="C85" s="25" t="str">
        <x:v>半急速中期</x:v>
      </x:c>
      <x:c r="D85" s="25" t="str">
        <x:v>回收预算</x:v>
      </x:c>
      <x:c r="E85" s="25" t="str">
        <x:v>本类1项（逐项见完整JSON）</x:v>
      </x:c>
      <x:c r="F85" s="25" t="str">
        <x:v>用户总回收50%</x:v>
      </x:c>
      <x:c r="G85" s="25" t="str">
        <x:v>经济输入，不是新增属性来源</x:v>
      </x:c>
      <x:c r="H85" s="25" t="str">
        <x:v>由同包逐项数据聚合，便于核对</x:v>
      </x:c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Y85" s="32"/>
      <x:c r="AZ85" s="32"/>
      <x:c r="BA85" s="32" t="n">
        <x:v>50</x:v>
      </x:c>
    </x:row>
    <x:row r="86">
      <x:c r="A86" s="25" t="str">
        <x:v>C02-G</x:v>
      </x:c>
      <x:c r="B86" s="25" t="str">
        <x:v>宁姆格福</x:v>
      </x:c>
      <x:c r="C86" s="25" t="str">
        <x:v>半急速毕业</x:v>
      </x:c>
      <x:c r="D86" s="25" t="str">
        <x:v>人物自然</x:v>
      </x:c>
      <x:c r="E86" s="25" t="str">
        <x:v>本类1项（逐项见完整JSON）</x:v>
      </x:c>
      <x:c r="F86" s="25" t="str">
        <x:v>A01</x:v>
      </x:c>
      <x:c r="G86" s="25" t="str">
        <x:v>模型假设</x:v>
      </x:c>
      <x:c r="H86" s="25" t="str">
        <x:v>由同包逐项数据聚合，便于核对</x:v>
      </x:c>
      <x:c r="I86" s="32" t="n">
        <x:v>11</x:v>
      </x:c>
      <x:c r="J86" s="32" t="n">
        <x:v>23</x:v>
      </x:c>
      <x:c r="K86" s="32"/>
      <x:c r="L86" s="32"/>
      <x:c r="M86" s="32"/>
      <x:c r="N86" s="32"/>
      <x:c r="O86" s="32" t="n">
        <x:v>1800</x:v>
      </x:c>
      <x:c r="P86" s="32" t="n">
        <x:v>400</x:v>
      </x:c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Y86" s="32"/>
      <x:c r="AZ86" s="32"/>
      <x:c r="BA86" s="32"/>
    </x:row>
    <x:row r="87">
      <x:c r="A87" s="25" t="str">
        <x:v>C02-G</x:v>
      </x:c>
      <x:c r="B87" s="25" t="str">
        <x:v>宁姆格福</x:v>
      </x:c>
      <x:c r="C87" s="25" t="str">
        <x:v>半急速毕业</x:v>
      </x:c>
      <x:c r="D87" s="25" t="str">
        <x:v>付费状态</x:v>
      </x:c>
      <x:c r="E87" s="25" t="str">
        <x:v>本类3项（逐项见完整JSON）</x:v>
      </x:c>
      <x:c r="F87" s="25" t="str">
        <x:v>20260903总档</x:v>
      </x:c>
      <x:c r="G87" s="25" t="str">
        <x:v>原表数值</x:v>
      </x:c>
      <x:c r="H87" s="25" t="str">
        <x:v>由同包逐项数据聚合，便于核对</x:v>
      </x:c>
      <x:c r="I87" s="32" t="n">
        <x:v>149</x:v>
      </x:c>
      <x:c r="J87" s="32" t="n">
        <x:v>149</x:v>
      </x:c>
      <x:c r="K87" s="32" t="n">
        <x:v>149</x:v>
      </x:c>
      <x:c r="L87" s="32" t="n">
        <x:v>149</x:v>
      </x:c>
      <x:c r="M87" s="32" t="n">
        <x:v>149</x:v>
      </x:c>
      <x:c r="N87" s="32" t="n">
        <x:v>149</x:v>
      </x:c>
      <x:c r="O87" s="32" t="n">
        <x:v>10000</x:v>
      </x:c>
      <x:c r="P87" s="32"/>
      <x:c r="Q87" s="32"/>
      <x:c r="R87" s="32"/>
      <x:c r="S87" s="32"/>
      <x:c r="T87" s="32"/>
      <x:c r="U87" s="32"/>
      <x:c r="V87" s="32"/>
      <x:c r="W87" s="32"/>
      <x:c r="X87" s="32"/>
      <x:c r="Y87" s="32" t="n">
        <x:v>10</x:v>
      </x:c>
      <x:c r="Z87" s="32"/>
      <x:c r="AA87" s="32"/>
      <x:c r="AB87" s="32" t="n">
        <x:v>20</x:v>
      </x:c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 t="n">
        <x:v>10</x:v>
      </x:c>
      <x:c r="AN87" s="32"/>
      <x:c r="AO87" s="32"/>
      <x:c r="AP87" s="32" t="n">
        <x:v>50</x:v>
      </x:c>
      <x:c r="AQ87" s="32"/>
      <x:c r="AR87" s="32"/>
      <x:c r="AS87" s="32"/>
      <x:c r="AT87" s="32" t="n">
        <x:v>700</x:v>
      </x:c>
      <x:c r="AU87" s="32" t="n">
        <x:v>15</x:v>
      </x:c>
      <x:c r="AV87" s="32"/>
      <x:c r="AW87" s="32"/>
      <x:c r="AX87" s="32"/>
      <x:c r="AY87" s="32"/>
      <x:c r="AZ87" s="32"/>
      <x:c r="BA87" s="32"/>
    </x:row>
    <x:row r="88">
      <x:c r="A88" s="25" t="str">
        <x:v>C02-G</x:v>
      </x:c>
      <x:c r="B88" s="25" t="str">
        <x:v>宁姆格福</x:v>
      </x:c>
      <x:c r="C88" s="25" t="str">
        <x:v>半急速毕业</x:v>
      </x:c>
      <x:c r="D88" s="25" t="str">
        <x:v>成长装备</x:v>
      </x:c>
      <x:c r="E88" s="25" t="str">
        <x:v>本类2项（逐项见完整JSON）</x:v>
      </x:c>
      <x:c r="F88" s="25" t="str">
        <x:v>20260903总档 / A04</x:v>
      </x:c>
      <x:c r="G88" s="25" t="str">
        <x:v>原表＋支付路径假设</x:v>
      </x:c>
      <x:c r="H88" s="25" t="str">
        <x:v>由同包逐项数据聚合，便于核对</x:v>
      </x:c>
      <x:c r="I88" s="32" t="n">
        <x:v>1100</x:v>
      </x:c>
      <x:c r="J88" s="32" t="n">
        <x:v>1100</x:v>
      </x:c>
      <x:c r="K88" s="32" t="n">
        <x:v>1100</x:v>
      </x:c>
      <x:c r="L88" s="32" t="n">
        <x:v>1100</x:v>
      </x:c>
      <x:c r="M88" s="32" t="n">
        <x:v>1100</x:v>
      </x:c>
      <x:c r="N88" s="32" t="n">
        <x:v>1100</x:v>
      </x:c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 t="n">
        <x:v>10</x:v>
      </x:c>
      <x:c r="AX88" s="32" t="n">
        <x:v>10</x:v>
      </x:c>
      <x:c r="AY88" s="32"/>
      <x:c r="AZ88" s="32"/>
      <x:c r="BA88" s="32"/>
    </x:row>
    <x:row r="89">
      <x:c r="A89" s="25" t="str">
        <x:v>C02-G</x:v>
      </x:c>
      <x:c r="B89" s="25" t="str">
        <x:v>宁姆格福</x:v>
      </x:c>
      <x:c r="C89" s="25" t="str">
        <x:v>半急速毕业</x:v>
      </x:c>
      <x:c r="D89" s="25" t="str">
        <x:v>贯穿称号</x:v>
      </x:c>
      <x:c r="E89" s="25" t="str">
        <x:v>本类1项（逐项见完整JSON）</x:v>
      </x:c>
      <x:c r="F89" s="25" t="str">
        <x:v>S04/01_贯穿称号</x:v>
      </x:c>
      <x:c r="G89" s="25" t="str">
        <x:v>原表数值</x:v>
      </x:c>
      <x:c r="H89" s="25" t="str">
        <x:v>由同包逐项数据聚合，便于核对</x:v>
      </x:c>
      <x:c r="I89" s="32" t="n">
        <x:v>300</x:v>
      </x:c>
      <x:c r="J89" s="32" t="n">
        <x:v>300</x:v>
      </x:c>
      <x:c r="K89" s="32" t="n">
        <x:v>300</x:v>
      </x:c>
      <x:c r="L89" s="32" t="n">
        <x:v>300</x:v>
      </x:c>
      <x:c r="M89" s="32" t="n">
        <x:v>300</x:v>
      </x:c>
      <x:c r="N89" s="32" t="n">
        <x:v>300</x:v>
      </x:c>
      <x:c r="O89" s="32" t="n">
        <x:v>30000</x:v>
      </x:c>
      <x:c r="P89" s="32" t="n">
        <x:v>30000</x:v>
      </x:c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 t="n">
        <x:v>400</x:v>
      </x:c>
      <x:c r="AU89" s="32"/>
      <x:c r="AV89" s="32"/>
      <x:c r="AW89" s="32"/>
      <x:c r="AX89" s="32"/>
      <x:c r="AY89" s="32"/>
      <x:c r="AZ89" s="32"/>
      <x:c r="BA89" s="32"/>
    </x:row>
    <x:row r="90">
      <x:c r="A90" s="25" t="str">
        <x:v>C02-G</x:v>
      </x:c>
      <x:c r="B90" s="25" t="str">
        <x:v>宁姆格福</x:v>
      </x:c>
      <x:c r="C90" s="25" t="str">
        <x:v>半急速毕业</x:v>
      </x:c>
      <x:c r="D90" s="25" t="str">
        <x:v>神印</x:v>
      </x:c>
      <x:c r="E90" s="25" t="str">
        <x:v>本类1项（逐项见完整JSON）</x:v>
      </x:c>
      <x:c r="F90" s="25" t="str">
        <x:v>S04 / 神印公式</x:v>
      </x:c>
      <x:c r="G90" s="25" t="str">
        <x:v>自给进度假设＋原公式</x:v>
      </x:c>
      <x:c r="H90" s="25" t="str">
        <x:v>由同包逐项数据聚合，便于核对</x:v>
      </x:c>
      <x:c r="I90" s="32" t="n">
        <x:v>1275</x:v>
      </x:c>
      <x:c r="J90" s="32" t="n">
        <x:v>1275</x:v>
      </x:c>
      <x:c r="K90" s="32" t="n">
        <x:v>1275</x:v>
      </x:c>
      <x:c r="L90" s="32" t="n">
        <x:v>1275</x:v>
      </x:c>
      <x:c r="M90" s="32" t="n">
        <x:v>1275</x:v>
      </x:c>
      <x:c r="N90" s="32" t="n">
        <x:v>1275</x:v>
      </x:c>
      <x:c r="O90" s="32" t="n">
        <x:v>127500</x:v>
      </x:c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Y90" s="32"/>
      <x:c r="AZ90" s="32"/>
      <x:c r="BA90" s="32"/>
    </x:row>
    <x:row r="91">
      <x:c r="A91" s="25" t="str">
        <x:v>C02-G</x:v>
      </x:c>
      <x:c r="B91" s="25" t="str">
        <x:v>宁姆格福</x:v>
      </x:c>
      <x:c r="C91" s="25" t="str">
        <x:v>半急速毕业</x:v>
      </x:c>
      <x:c r="D91" s="25" t="str">
        <x:v>转生</x:v>
      </x:c>
      <x:c r="E91" s="25" t="str">
        <x:v>本类1项（逐项见完整JSON）</x:v>
      </x:c>
      <x:c r="F91" s="25" t="str">
        <x:v>S07/20转</x:v>
      </x:c>
      <x:c r="G91" s="25" t="str">
        <x:v>原表累计</x:v>
      </x:c>
      <x:c r="H91" s="25" t="str">
        <x:v>由同包逐项数据聚合，便于核对</x:v>
      </x:c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 t="n">
        <x:v>0</x:v>
      </x:c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Y91" s="32"/>
      <x:c r="AZ91" s="32"/>
      <x:c r="BA91" s="32"/>
    </x:row>
    <x:row r="92">
      <x:c r="A92" s="25" t="str">
        <x:v>C02-G</x:v>
      </x:c>
      <x:c r="B92" s="25" t="str">
        <x:v>宁姆格福</x:v>
      </x:c>
      <x:c r="C92" s="25" t="str">
        <x:v>半急速毕业</x:v>
      </x:c>
      <x:c r="D92" s="25" t="str">
        <x:v>独立称号</x:v>
      </x:c>
      <x:c r="E92" s="25" t="str">
        <x:v>本类1项（逐项见完整JSON）</x:v>
      </x:c>
      <x:c r="F92" s="25" t="str">
        <x:v>S04/02_独立称号</x:v>
      </x:c>
      <x:c r="G92" s="25" t="str">
        <x:v>原表数值</x:v>
      </x:c>
      <x:c r="H92" s="25" t="str">
        <x:v>由同包逐项数据聚合，便于核对</x:v>
      </x:c>
      <x:c r="I92" s="32" t="n">
        <x:v>30</x:v>
      </x:c>
      <x:c r="J92" s="32" t="n">
        <x:v>30</x:v>
      </x:c>
      <x:c r="K92" s="32" t="n">
        <x:v>30</x:v>
      </x:c>
      <x:c r="L92" s="32" t="n">
        <x:v>30</x:v>
      </x:c>
      <x:c r="M92" s="32" t="n">
        <x:v>30</x:v>
      </x:c>
      <x:c r="N92" s="32" t="n">
        <x:v>30</x:v>
      </x:c>
      <x:c r="O92" s="32" t="n">
        <x:v>3000</x:v>
      </x:c>
      <x:c r="P92" s="32"/>
      <x:c r="Q92" s="32"/>
      <x:c r="R92" s="32"/>
      <x:c r="S92" s="32"/>
      <x:c r="T92" s="32"/>
      <x:c r="U92" s="32"/>
      <x:c r="V92" s="32"/>
      <x:c r="W92" s="32"/>
      <x:c r="X92" s="32" t="n">
        <x:v>0</x:v>
      </x:c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 t="n">
        <x:v>0</x:v>
      </x:c>
      <x:c r="AN92" s="32"/>
      <x:c r="AO92" s="32"/>
      <x:c r="AP92" s="32" t="n">
        <x:v>0</x:v>
      </x:c>
      <x:c r="AQ92" s="32"/>
      <x:c r="AR92" s="32"/>
      <x:c r="AS92" s="32"/>
      <x:c r="AT92" s="32"/>
      <x:c r="AU92" s="32"/>
      <x:c r="AV92" s="32"/>
      <x:c r="AW92" s="32"/>
      <x:c r="AX92" s="32"/>
      <x:c r="AY92" s="32"/>
      <x:c r="AZ92" s="32"/>
      <x:c r="BA92" s="32"/>
    </x:row>
    <x:row r="93">
      <x:c r="A93" s="25" t="str">
        <x:v>C02-G</x:v>
      </x:c>
      <x:c r="B93" s="25" t="str">
        <x:v>宁姆格福</x:v>
      </x:c>
      <x:c r="C93" s="25" t="str">
        <x:v>半急速毕业</x:v>
      </x:c>
      <x:c r="D93" s="25" t="str">
        <x:v>单件图鉴</x:v>
      </x:c>
      <x:c r="E93" s="25" t="str">
        <x:v>本类1项（逐项见完整JSON）</x:v>
      </x:c>
      <x:c r="F93" s="25" t="str">
        <x:v>S07/collection_single</x:v>
      </x:c>
      <x:c r="G93" s="25" t="str">
        <x:v>原表累计</x:v>
      </x:c>
      <x:c r="H93" s="25" t="str">
        <x:v>由同包逐项数据聚合，便于核对</x:v>
      </x:c>
      <x:c r="I93" s="32" t="n">
        <x:v>185</x:v>
      </x:c>
      <x:c r="J93" s="32" t="n">
        <x:v>185</x:v>
      </x:c>
      <x:c r="K93" s="32" t="n">
        <x:v>185</x:v>
      </x:c>
      <x:c r="L93" s="32" t="n">
        <x:v>185</x:v>
      </x:c>
      <x:c r="M93" s="32" t="n">
        <x:v>185</x:v>
      </x:c>
      <x:c r="N93" s="32" t="n">
        <x:v>185</x:v>
      </x:c>
      <x:c r="O93" s="32" t="n">
        <x:v>18500</x:v>
      </x:c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Y93" s="32"/>
      <x:c r="AZ93" s="32"/>
      <x:c r="BA93" s="32"/>
    </x:row>
    <x:row r="94">
      <x:c r="A94" s="25" t="str">
        <x:v>C02-G</x:v>
      </x:c>
      <x:c r="B94" s="25" t="str">
        <x:v>宁姆格福</x:v>
      </x:c>
      <x:c r="C94" s="25" t="str">
        <x:v>半急速毕业</x:v>
      </x:c>
      <x:c r="D94" s="25" t="str">
        <x:v>地图整页</x:v>
      </x:c>
      <x:c r="E94" s="25" t="str">
        <x:v>本类5项（逐项见完整JSON）</x:v>
      </x:c>
      <x:c r="F94" s="25" t="str">
        <x:v>S07/collection_pages</x:v>
      </x:c>
      <x:c r="G94" s="25" t="str">
        <x:v>原表数值</x:v>
      </x:c>
      <x:c r="H94" s="25" t="str">
        <x:v>由同包逐项数据聚合，便于核对</x:v>
      </x:c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 t="n">
        <x:v>0.05</x:v>
      </x:c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 t="n">
        <x:v>2.5</x:v>
      </x:c>
      <x:c r="AN94" s="32"/>
      <x:c r="AO94" s="32"/>
      <x:c r="AP94" s="32" t="n">
        <x:v>100</x:v>
      </x:c>
      <x:c r="AQ94" s="32"/>
      <x:c r="AR94" s="32"/>
      <x:c r="AS94" s="32"/>
      <x:c r="AT94" s="32"/>
      <x:c r="AU94" s="32"/>
      <x:c r="AV94" s="32"/>
      <x:c r="AW94" s="32"/>
      <x:c r="AX94" s="32"/>
      <x:c r="AY94" s="32"/>
      <x:c r="AZ94" s="32"/>
      <x:c r="BA94" s="32"/>
    </x:row>
    <x:row r="95">
      <x:c r="A95" s="25" t="str">
        <x:v>C02-G</x:v>
      </x:c>
      <x:c r="B95" s="25" t="str">
        <x:v>宁姆格福</x:v>
      </x:c>
      <x:c r="C95" s="25" t="str">
        <x:v>半急速毕业</x:v>
      </x:c>
      <x:c r="D95" s="25" t="str">
        <x:v>旧任务</x:v>
      </x:c>
      <x:c r="E95" s="25" t="str">
        <x:v>本类5项（逐项见完整JSON）</x:v>
      </x:c>
      <x:c r="F95" s="25" t="str">
        <x:v>宁姆格福_完整怪物装备任务爆率规划/地图任务；第一大陆_地图魂魄任务.txt</x:v>
      </x:c>
      <x:c r="G95" s="25" t="str">
        <x:v>原件确认；原表数值</x:v>
      </x:c>
      <x:c r="H95" s="25" t="str">
        <x:v>由同包逐项数据聚合，便于核对</x:v>
      </x:c>
      <x:c r="I95" s="32" t="n">
        <x:v>60</x:v>
      </x:c>
      <x:c r="J95" s="32" t="n">
        <x:v>60</x:v>
      </x:c>
      <x:c r="K95" s="32" t="n">
        <x:v>60</x:v>
      </x:c>
      <x:c r="L95" s="32" t="n">
        <x:v>60</x:v>
      </x:c>
      <x:c r="M95" s="32" t="n">
        <x:v>60</x:v>
      </x:c>
      <x:c r="N95" s="32" t="n">
        <x:v>60</x:v>
      </x:c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 t="n">
        <x:v>120</x:v>
      </x:c>
      <x:c r="AQ95" s="32"/>
      <x:c r="AR95" s="32"/>
      <x:c r="AS95" s="32"/>
      <x:c r="AT95" s="32"/>
      <x:c r="AU95" s="32"/>
      <x:c r="AV95" s="32"/>
      <x:c r="AW95" s="32"/>
      <x:c r="AX95" s="32"/>
      <x:c r="AY95" s="32"/>
      <x:c r="AZ95" s="32"/>
      <x:c r="BA95" s="32"/>
    </x:row>
    <x:row r="96">
      <x:c r="A96" s="25" t="str">
        <x:v>C02-G</x:v>
      </x:c>
      <x:c r="B96" s="25" t="str">
        <x:v>宁姆格福</x:v>
      </x:c>
      <x:c r="C96" s="25" t="str">
        <x:v>半急速毕业</x:v>
      </x:c>
      <x:c r="D96" s="25" t="str">
        <x:v>装备</x:v>
      </x:c>
      <x:c r="E96" s="25" t="str">
        <x:v>本类26项（逐项见完整JSON）</x:v>
      </x:c>
      <x:c r="F96" s="25" t="str">
        <x:v>S01；S02；S07</x:v>
      </x:c>
      <x:c r="G96" s="25" t="str">
        <x:v>原表数值</x:v>
      </x:c>
      <x:c r="H96" s="25" t="str">
        <x:v>由同包逐项数据聚合，便于核对</x:v>
      </x:c>
      <x:c r="I96" s="32" t="n">
        <x:v>1369</x:v>
      </x:c>
      <x:c r="J96" s="32" t="n">
        <x:v>2672</x:v>
      </x:c>
      <x:c r="K96" s="32" t="n">
        <x:v>1369</x:v>
      </x:c>
      <x:c r="L96" s="32" t="n">
        <x:v>2672</x:v>
      </x:c>
      <x:c r="M96" s="32" t="n">
        <x:v>1369</x:v>
      </x:c>
      <x:c r="N96" s="32" t="n">
        <x:v>2672</x:v>
      </x:c>
      <x:c r="O96" s="32" t="n">
        <x:v>958951</x:v>
      </x:c>
      <x:c r="P96" s="32"/>
      <x:c r="Q96" s="32" t="n">
        <x:v>588</x:v>
      </x:c>
      <x:c r="R96" s="32" t="n">
        <x:v>1088</x:v>
      </x:c>
      <x:c r="S96" s="32" t="n">
        <x:v>480</x:v>
      </x:c>
      <x:c r="T96" s="32" t="n">
        <x:v>887</x:v>
      </x:c>
      <x:c r="U96" s="32" t="n">
        <x:v>331</x:v>
      </x:c>
      <x:c r="V96" s="32" t="n">
        <x:v>331</x:v>
      </x:c>
      <x:c r="W96" s="32" t="n">
        <x:v>331</x:v>
      </x:c>
      <x:c r="X96" s="32"/>
      <x:c r="Y96" s="32"/>
      <x:c r="Z96" s="32" t="n">
        <x:v>98</x:v>
      </x:c>
      <x:c r="AA96" s="32" t="n">
        <x:v>40</x:v>
      </x:c>
      <x:c r="AB96" s="32"/>
      <x:c r="AC96" s="32" t="n">
        <x:v>99</x:v>
      </x:c>
      <x:c r="AD96" s="32"/>
      <x:c r="AE96" s="32"/>
      <x:c r="AF96" s="32"/>
      <x:c r="AG96" s="32"/>
      <x:c r="AH96" s="32" t="n">
        <x:v>13</x:v>
      </x:c>
      <x:c r="AI96" s="32"/>
      <x:c r="AJ96" s="32" t="n">
        <x:v>125</x:v>
      </x:c>
      <x:c r="AK96" s="32"/>
      <x:c r="AL96" s="32"/>
      <x:c r="AM96" s="32"/>
      <x:c r="AN96" s="32"/>
      <x:c r="AO96" s="32"/>
      <x:c r="AP96" s="32" t="n">
        <x:v>3</x:v>
      </x:c>
      <x:c r="AQ96" s="32" t="n">
        <x:v>88</x:v>
      </x:c>
      <x:c r="AR96" s="32"/>
      <x:c r="AS96" s="32" t="n">
        <x:v>8</x:v>
      </x:c>
      <x:c r="AT96" s="32"/>
      <x:c r="AU96" s="32"/>
      <x:c r="AV96" s="32"/>
      <x:c r="AW96" s="32"/>
      <x:c r="AX96" s="32"/>
      <x:c r="AY96" s="32"/>
      <x:c r="AZ96" s="32" t="n">
        <x:v>16</x:v>
      </x:c>
      <x:c r="BA96" s="32"/>
    </x:row>
    <x:row r="97">
      <x:c r="A97" s="25" t="str">
        <x:v>C02-G</x:v>
      </x:c>
      <x:c r="B97" s="25" t="str">
        <x:v>宁姆格福</x:v>
      </x:c>
      <x:c r="C97" s="25" t="str">
        <x:v>半急速毕业</x:v>
      </x:c>
      <x:c r="D97" s="25" t="str">
        <x:v>洗练</x:v>
      </x:c>
      <x:c r="E97" s="25" t="str">
        <x:v>本类10项（逐项见完整JSON）</x:v>
      </x:c>
      <x:c r="F97" s="25" t="str">
        <x:v>S06＋固定种子</x:v>
      </x:c>
      <x:c r="G97" s="25" t="str">
        <x:v>可实现随机样本</x:v>
      </x:c>
      <x:c r="H97" s="25" t="str">
        <x:v>由同包逐项数据聚合，便于核对</x:v>
      </x:c>
      <x:c r="I97" s="32" t="n">
        <x:v>84</x:v>
      </x:c>
      <x:c r="J97" s="32" t="n">
        <x:v>84</x:v>
      </x:c>
      <x:c r="K97" s="32" t="n">
        <x:v>73</x:v>
      </x:c>
      <x:c r="L97" s="32" t="n">
        <x:v>73</x:v>
      </x:c>
      <x:c r="M97" s="32" t="n">
        <x:v>6</x:v>
      </x:c>
      <x:c r="N97" s="32" t="n">
        <x:v>6</x:v>
      </x:c>
      <x:c r="O97" s="32"/>
      <x:c r="P97" s="32"/>
      <x:c r="Q97" s="32"/>
      <x:c r="R97" s="32"/>
      <x:c r="S97" s="32"/>
      <x:c r="T97" s="32"/>
      <x:c r="U97" s="32" t="n">
        <x:v>354</x:v>
      </x:c>
      <x:c r="V97" s="32"/>
      <x:c r="W97" s="32"/>
      <x:c r="X97" s="32"/>
      <x:c r="Y97" s="32" t="n">
        <x:v>4</x:v>
      </x:c>
      <x:c r="Z97" s="32"/>
      <x:c r="AA97" s="32"/>
      <x:c r="AB97" s="32" t="n">
        <x:v>4</x:v>
      </x:c>
      <x:c r="AC97" s="32"/>
      <x:c r="AD97" s="32" t="n">
        <x:v>2</x:v>
      </x:c>
      <x:c r="AE97" s="32"/>
      <x:c r="AF97" s="32"/>
      <x:c r="AG97" s="32"/>
      <x:c r="AH97" s="32"/>
      <x:c r="AI97" s="32"/>
      <x:c r="AJ97" s="32"/>
      <x:c r="AK97" s="32"/>
      <x:c r="AL97" s="32"/>
      <x:c r="AM97" s="32" t="n">
        <x:v>1</x:v>
      </x:c>
      <x:c r="AN97" s="32" t="n">
        <x:v>3</x:v>
      </x:c>
      <x:c r="AO97" s="32"/>
      <x:c r="AP97" s="32" t="n">
        <x:v>50</x:v>
      </x:c>
      <x:c r="AQ97" s="32"/>
      <x:c r="AR97" s="32"/>
      <x:c r="AS97" s="32"/>
      <x:c r="AT97" s="32"/>
      <x:c r="AU97" s="32"/>
      <x:c r="AV97" s="32"/>
      <x:c r="AW97" s="32"/>
      <x:c r="AX97" s="32"/>
      <x:c r="AY97" s="32"/>
      <x:c r="AZ97" s="32"/>
      <x:c r="BA97" s="32"/>
    </x:row>
    <x:row r="98">
      <x:c r="A98" s="25" t="str">
        <x:v>C02-G</x:v>
      </x:c>
      <x:c r="B98" s="25" t="str">
        <x:v>宁姆格福</x:v>
      </x:c>
      <x:c r="C98" s="25" t="str">
        <x:v>半急速毕业</x:v>
      </x:c>
      <x:c r="D98" s="25" t="str">
        <x:v>命格</x:v>
      </x:c>
      <x:c r="E98" s="25" t="str">
        <x:v>本类2项（逐项见完整JSON）</x:v>
      </x:c>
      <x:c r="F98" s="25" t="str">
        <x:v>S03/命格ID1092；S03/命格ID1093</x:v>
      </x:c>
      <x:c r="G98" s="25" t="str">
        <x:v>原表彩色＋选配假设</x:v>
      </x:c>
      <x:c r="H98" s="25" t="str">
        <x:v>由同包逐项数据聚合，便于核对</x:v>
      </x:c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 t="n">
        <x:v>3</x:v>
      </x:c>
      <x:c r="AA98" s="32"/>
      <x:c r="AB98" s="32"/>
      <x:c r="AC98" s="32"/>
      <x:c r="AD98" s="32"/>
      <x:c r="AE98" s="32"/>
      <x:c r="AF98" s="32"/>
      <x:c r="AG98" s="32"/>
      <x:c r="AH98" s="32" t="n">
        <x:v>2</x:v>
      </x:c>
      <x:c r="AI98" s="32"/>
      <x:c r="AJ98" s="32" t="n">
        <x:v>10</x:v>
      </x:c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 t="n">
        <x:v>50</x:v>
      </x:c>
      <x:c r="AU98" s="32" t="n">
        <x:v>2</x:v>
      </x:c>
      <x:c r="AV98" s="32" t="n">
        <x:v>3</x:v>
      </x:c>
      <x:c r="AW98" s="32"/>
      <x:c r="AX98" s="32"/>
      <x:c r="AY98" s="32"/>
      <x:c r="AZ98" s="32"/>
      <x:c r="BA98" s="32"/>
    </x:row>
    <x:row r="99">
      <x:c r="A99" s="25" t="str">
        <x:v>C02-G</x:v>
      </x:c>
      <x:c r="B99" s="25" t="str">
        <x:v>宁姆格福</x:v>
      </x:c>
      <x:c r="C99" s="25" t="str">
        <x:v>半急速毕业</x:v>
      </x:c>
      <x:c r="D99" s="25" t="str">
        <x:v>后天幸运</x:v>
      </x:c>
      <x:c r="E99" s="25" t="str">
        <x:v>本类1项（逐项见完整JSON）</x:v>
      </x:c>
      <x:c r="F99" s="25" t="str">
        <x:v>A08</x:v>
      </x:c>
      <x:c r="G99" s="25" t="str">
        <x:v>人物永久进度</x:v>
      </x:c>
      <x:c r="H99" s="25" t="str">
        <x:v>由同包逐项数据聚合，便于核对</x:v>
      </x:c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 t="n">
        <x:v>7</x:v>
      </x:c>
      <x:c r="AL99" s="32" t="n">
        <x:v>8</x:v>
      </x:c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Y99" s="32"/>
      <x:c r="AZ99" s="32"/>
      <x:c r="BA99" s="32"/>
    </x:row>
    <x:row r="100">
      <x:c r="A100" s="25" t="str">
        <x:v>C02-G</x:v>
      </x:c>
      <x:c r="B100" s="25" t="str">
        <x:v>宁姆格福</x:v>
      </x:c>
      <x:c r="C100" s="25" t="str">
        <x:v>半急速毕业</x:v>
      </x:c>
      <x:c r="D100" s="25" t="str">
        <x:v>回收预算</x:v>
      </x:c>
      <x:c r="E100" s="25" t="str">
        <x:v>本类1项（逐项见完整JSON）</x:v>
      </x:c>
      <x:c r="F100" s="25" t="str">
        <x:v>用户总回收50%</x:v>
      </x:c>
      <x:c r="G100" s="25" t="str">
        <x:v>经济输入，不是新增属性来源</x:v>
      </x:c>
      <x:c r="H100" s="25" t="str">
        <x:v>由同包逐项数据聚合，便于核对</x:v>
      </x:c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Y100" s="32"/>
      <x:c r="AZ100" s="32"/>
      <x:c r="BA100" s="32" t="n">
        <x:v>50</x:v>
      </x:c>
    </x:row>
    <x:row r="101">
      <x:c r="A101" s="25" t="str">
        <x:v>C02-X</x:v>
      </x:c>
      <x:c r="B101" s="25" t="str">
        <x:v>宁姆格福</x:v>
      </x:c>
      <x:c r="C101" s="25" t="str">
        <x:v>极端压力</x:v>
      </x:c>
      <x:c r="D101" s="25" t="str">
        <x:v>人物自然</x:v>
      </x:c>
      <x:c r="E101" s="25" t="str">
        <x:v>本类1项（逐项见完整JSON）</x:v>
      </x:c>
      <x:c r="F101" s="25" t="str">
        <x:v>A01</x:v>
      </x:c>
      <x:c r="G101" s="25" t="str">
        <x:v>模型假设</x:v>
      </x:c>
      <x:c r="H101" s="25" t="str">
        <x:v>由同包逐项数据聚合，便于核对</x:v>
      </x:c>
      <x:c r="I101" s="32" t="n">
        <x:v>11</x:v>
      </x:c>
      <x:c r="J101" s="32" t="n">
        <x:v>23</x:v>
      </x:c>
      <x:c r="K101" s="32"/>
      <x:c r="L101" s="32"/>
      <x:c r="M101" s="32"/>
      <x:c r="N101" s="32"/>
      <x:c r="O101" s="32" t="n">
        <x:v>1800</x:v>
      </x:c>
      <x:c r="P101" s="32" t="n">
        <x:v>400</x:v>
      </x:c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Y101" s="32"/>
      <x:c r="AZ101" s="32"/>
      <x:c r="BA101" s="32"/>
    </x:row>
    <x:row r="102">
      <x:c r="A102" s="25" t="str">
        <x:v>C02-X</x:v>
      </x:c>
      <x:c r="B102" s="25" t="str">
        <x:v>宁姆格福</x:v>
      </x:c>
      <x:c r="C102" s="25" t="str">
        <x:v>极端压力</x:v>
      </x:c>
      <x:c r="D102" s="25" t="str">
        <x:v>付费状态</x:v>
      </x:c>
      <x:c r="E102" s="25" t="str">
        <x:v>本类3项（逐项见完整JSON）</x:v>
      </x:c>
      <x:c r="F102" s="25" t="str">
        <x:v>20260903总档</x:v>
      </x:c>
      <x:c r="G102" s="25" t="str">
        <x:v>原表数值</x:v>
      </x:c>
      <x:c r="H102" s="25" t="str">
        <x:v>由同包逐项数据聚合，便于核对</x:v>
      </x:c>
      <x:c r="I102" s="32" t="n">
        <x:v>149</x:v>
      </x:c>
      <x:c r="J102" s="32" t="n">
        <x:v>149</x:v>
      </x:c>
      <x:c r="K102" s="32" t="n">
        <x:v>149</x:v>
      </x:c>
      <x:c r="L102" s="32" t="n">
        <x:v>149</x:v>
      </x:c>
      <x:c r="M102" s="32" t="n">
        <x:v>149</x:v>
      </x:c>
      <x:c r="N102" s="32" t="n">
        <x:v>149</x:v>
      </x:c>
      <x:c r="O102" s="32" t="n">
        <x:v>10000</x:v>
      </x:c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 t="n">
        <x:v>10</x:v>
      </x:c>
      <x:c r="Z102" s="32"/>
      <x:c r="AA102" s="32"/>
      <x:c r="AB102" s="32" t="n">
        <x:v>20</x:v>
      </x:c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 t="n">
        <x:v>10</x:v>
      </x:c>
      <x:c r="AN102" s="32"/>
      <x:c r="AO102" s="32"/>
      <x:c r="AP102" s="32" t="n">
        <x:v>50</x:v>
      </x:c>
      <x:c r="AQ102" s="32"/>
      <x:c r="AR102" s="32"/>
      <x:c r="AS102" s="32"/>
      <x:c r="AT102" s="32" t="n">
        <x:v>700</x:v>
      </x:c>
      <x:c r="AU102" s="32" t="n">
        <x:v>15</x:v>
      </x:c>
      <x:c r="AV102" s="32"/>
      <x:c r="AW102" s="32"/>
      <x:c r="AX102" s="32"/>
      <x:c r="AY102" s="32"/>
      <x:c r="AZ102" s="32"/>
      <x:c r="BA102" s="32"/>
    </x:row>
    <x:row r="103">
      <x:c r="A103" s="25" t="str">
        <x:v>C02-X</x:v>
      </x:c>
      <x:c r="B103" s="25" t="str">
        <x:v>宁姆格福</x:v>
      </x:c>
      <x:c r="C103" s="25" t="str">
        <x:v>极端压力</x:v>
      </x:c>
      <x:c r="D103" s="25" t="str">
        <x:v>成长装备</x:v>
      </x:c>
      <x:c r="E103" s="25" t="str">
        <x:v>本类2项（逐项见完整JSON）</x:v>
      </x:c>
      <x:c r="F103" s="25" t="str">
        <x:v>20260903总档 / A04</x:v>
      </x:c>
      <x:c r="G103" s="25" t="str">
        <x:v>原表＋支付路径假设</x:v>
      </x:c>
      <x:c r="H103" s="25" t="str">
        <x:v>由同包逐项数据聚合，便于核对</x:v>
      </x:c>
      <x:c r="I103" s="32" t="n">
        <x:v>1100</x:v>
      </x:c>
      <x:c r="J103" s="32" t="n">
        <x:v>1100</x:v>
      </x:c>
      <x:c r="K103" s="32" t="n">
        <x:v>1100</x:v>
      </x:c>
      <x:c r="L103" s="32" t="n">
        <x:v>1100</x:v>
      </x:c>
      <x:c r="M103" s="32" t="n">
        <x:v>1100</x:v>
      </x:c>
      <x:c r="N103" s="32" t="n">
        <x:v>1100</x:v>
      </x:c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 t="n">
        <x:v>10</x:v>
      </x:c>
      <x:c r="AX103" s="32" t="n">
        <x:v>10</x:v>
      </x:c>
      <x:c r="AY103" s="32"/>
      <x:c r="AZ103" s="32"/>
      <x:c r="BA103" s="32"/>
    </x:row>
    <x:row r="104">
      <x:c r="A104" s="25" t="str">
        <x:v>C02-X</x:v>
      </x:c>
      <x:c r="B104" s="25" t="str">
        <x:v>宁姆格福</x:v>
      </x:c>
      <x:c r="C104" s="25" t="str">
        <x:v>极端压力</x:v>
      </x:c>
      <x:c r="D104" s="25" t="str">
        <x:v>贯穿称号</x:v>
      </x:c>
      <x:c r="E104" s="25" t="str">
        <x:v>本类1项（逐项见完整JSON）</x:v>
      </x:c>
      <x:c r="F104" s="25" t="str">
        <x:v>S04/01_贯穿称号</x:v>
      </x:c>
      <x:c r="G104" s="25" t="str">
        <x:v>原表数值</x:v>
      </x:c>
      <x:c r="H104" s="25" t="str">
        <x:v>由同包逐项数据聚合，便于核对</x:v>
      </x:c>
      <x:c r="I104" s="32" t="n">
        <x:v>300</x:v>
      </x:c>
      <x:c r="J104" s="32" t="n">
        <x:v>300</x:v>
      </x:c>
      <x:c r="K104" s="32" t="n">
        <x:v>300</x:v>
      </x:c>
      <x:c r="L104" s="32" t="n">
        <x:v>300</x:v>
      </x:c>
      <x:c r="M104" s="32" t="n">
        <x:v>300</x:v>
      </x:c>
      <x:c r="N104" s="32" t="n">
        <x:v>300</x:v>
      </x:c>
      <x:c r="O104" s="32" t="n">
        <x:v>30000</x:v>
      </x:c>
      <x:c r="P104" s="32" t="n">
        <x:v>30000</x:v>
      </x:c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 t="n">
        <x:v>400</x:v>
      </x:c>
      <x:c r="AU104" s="32"/>
      <x:c r="AV104" s="32"/>
      <x:c r="AW104" s="32"/>
      <x:c r="AX104" s="32"/>
      <x:c r="AY104" s="32"/>
      <x:c r="AZ104" s="32"/>
      <x:c r="BA104" s="32"/>
    </x:row>
    <x:row r="105">
      <x:c r="A105" s="25" t="str">
        <x:v>C02-X</x:v>
      </x:c>
      <x:c r="B105" s="25" t="str">
        <x:v>宁姆格福</x:v>
      </x:c>
      <x:c r="C105" s="25" t="str">
        <x:v>极端压力</x:v>
      </x:c>
      <x:c r="D105" s="25" t="str">
        <x:v>神印</x:v>
      </x:c>
      <x:c r="E105" s="25" t="str">
        <x:v>本类1项（逐项见完整JSON）</x:v>
      </x:c>
      <x:c r="F105" s="25" t="str">
        <x:v>S04 / 神印公式</x:v>
      </x:c>
      <x:c r="G105" s="25" t="str">
        <x:v>自给进度假设＋原公式</x:v>
      </x:c>
      <x:c r="H105" s="25" t="str">
        <x:v>由同包逐项数据聚合，便于核对</x:v>
      </x:c>
      <x:c r="I105" s="32" t="n">
        <x:v>1275</x:v>
      </x:c>
      <x:c r="J105" s="32" t="n">
        <x:v>1275</x:v>
      </x:c>
      <x:c r="K105" s="32" t="n">
        <x:v>1275</x:v>
      </x:c>
      <x:c r="L105" s="32" t="n">
        <x:v>1275</x:v>
      </x:c>
      <x:c r="M105" s="32" t="n">
        <x:v>1275</x:v>
      </x:c>
      <x:c r="N105" s="32" t="n">
        <x:v>1275</x:v>
      </x:c>
      <x:c r="O105" s="32" t="n">
        <x:v>127500</x:v>
      </x:c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Y105" s="32"/>
      <x:c r="AZ105" s="32"/>
      <x:c r="BA105" s="32"/>
    </x:row>
    <x:row r="106">
      <x:c r="A106" s="25" t="str">
        <x:v>C02-X</x:v>
      </x:c>
      <x:c r="B106" s="25" t="str">
        <x:v>宁姆格福</x:v>
      </x:c>
      <x:c r="C106" s="25" t="str">
        <x:v>极端压力</x:v>
      </x:c>
      <x:c r="D106" s="25" t="str">
        <x:v>转生</x:v>
      </x:c>
      <x:c r="E106" s="25" t="str">
        <x:v>本类1项（逐项见完整JSON）</x:v>
      </x:c>
      <x:c r="F106" s="25" t="str">
        <x:v>S07/20转</x:v>
      </x:c>
      <x:c r="G106" s="25" t="str">
        <x:v>原表累计</x:v>
      </x:c>
      <x:c r="H106" s="25" t="str">
        <x:v>由同包逐项数据聚合，便于核对</x:v>
      </x:c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 t="n">
        <x:v>0</x:v>
      </x:c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Y106" s="32"/>
      <x:c r="AZ106" s="32"/>
      <x:c r="BA106" s="32"/>
    </x:row>
    <x:row r="107">
      <x:c r="A107" s="25" t="str">
        <x:v>C02-X</x:v>
      </x:c>
      <x:c r="B107" s="25" t="str">
        <x:v>宁姆格福</x:v>
      </x:c>
      <x:c r="C107" s="25" t="str">
        <x:v>极端压力</x:v>
      </x:c>
      <x:c r="D107" s="25" t="str">
        <x:v>独立称号</x:v>
      </x:c>
      <x:c r="E107" s="25" t="str">
        <x:v>本类1项（逐项见完整JSON）</x:v>
      </x:c>
      <x:c r="F107" s="25" t="str">
        <x:v>S04/02_独立称号</x:v>
      </x:c>
      <x:c r="G107" s="25" t="str">
        <x:v>原表数值</x:v>
      </x:c>
      <x:c r="H107" s="25" t="str">
        <x:v>由同包逐项数据聚合，便于核对</x:v>
      </x:c>
      <x:c r="I107" s="32" t="n">
        <x:v>30</x:v>
      </x:c>
      <x:c r="J107" s="32" t="n">
        <x:v>30</x:v>
      </x:c>
      <x:c r="K107" s="32" t="n">
        <x:v>30</x:v>
      </x:c>
      <x:c r="L107" s="32" t="n">
        <x:v>30</x:v>
      </x:c>
      <x:c r="M107" s="32" t="n">
        <x:v>30</x:v>
      </x:c>
      <x:c r="N107" s="32" t="n">
        <x:v>30</x:v>
      </x:c>
      <x:c r="O107" s="32" t="n">
        <x:v>3000</x:v>
      </x:c>
      <x:c r="P107" s="32"/>
      <x:c r="Q107" s="32"/>
      <x:c r="R107" s="32"/>
      <x:c r="S107" s="32"/>
      <x:c r="T107" s="32"/>
      <x:c r="U107" s="32"/>
      <x:c r="V107" s="32"/>
      <x:c r="W107" s="32"/>
      <x:c r="X107" s="32" t="n">
        <x:v>0</x:v>
      </x:c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 t="n">
        <x:v>0</x:v>
      </x:c>
      <x:c r="AN107" s="32"/>
      <x:c r="AO107" s="32"/>
      <x:c r="AP107" s="32" t="n">
        <x:v>0</x:v>
      </x:c>
      <x:c r="AQ107" s="32"/>
      <x:c r="AR107" s="32"/>
      <x:c r="AS107" s="32"/>
      <x:c r="AT107" s="32"/>
      <x:c r="AU107" s="32"/>
      <x:c r="AV107" s="32"/>
      <x:c r="AW107" s="32"/>
      <x:c r="AX107" s="32"/>
      <x:c r="AY107" s="32"/>
      <x:c r="AZ107" s="32"/>
      <x:c r="BA107" s="32"/>
    </x:row>
    <x:row r="108">
      <x:c r="A108" s="25" t="str">
        <x:v>C02-X</x:v>
      </x:c>
      <x:c r="B108" s="25" t="str">
        <x:v>宁姆格福</x:v>
      </x:c>
      <x:c r="C108" s="25" t="str">
        <x:v>极端压力</x:v>
      </x:c>
      <x:c r="D108" s="25" t="str">
        <x:v>单件图鉴</x:v>
      </x:c>
      <x:c r="E108" s="25" t="str">
        <x:v>本类1项（逐项见完整JSON）</x:v>
      </x:c>
      <x:c r="F108" s="25" t="str">
        <x:v>S07/collection_single</x:v>
      </x:c>
      <x:c r="G108" s="25" t="str">
        <x:v>原表累计</x:v>
      </x:c>
      <x:c r="H108" s="25" t="str">
        <x:v>由同包逐项数据聚合，便于核对</x:v>
      </x:c>
      <x:c r="I108" s="32" t="n">
        <x:v>279</x:v>
      </x:c>
      <x:c r="J108" s="32" t="n">
        <x:v>279</x:v>
      </x:c>
      <x:c r="K108" s="32" t="n">
        <x:v>279</x:v>
      </x:c>
      <x:c r="L108" s="32" t="n">
        <x:v>279</x:v>
      </x:c>
      <x:c r="M108" s="32" t="n">
        <x:v>279</x:v>
      </x:c>
      <x:c r="N108" s="32" t="n">
        <x:v>279</x:v>
      </x:c>
      <x:c r="O108" s="32" t="n">
        <x:v>27900</x:v>
      </x:c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Y108" s="32"/>
      <x:c r="AZ108" s="32"/>
      <x:c r="BA108" s="32"/>
    </x:row>
    <x:row r="109">
      <x:c r="A109" s="25" t="str">
        <x:v>C02-X</x:v>
      </x:c>
      <x:c r="B109" s="25" t="str">
        <x:v>宁姆格福</x:v>
      </x:c>
      <x:c r="C109" s="25" t="str">
        <x:v>极端压力</x:v>
      </x:c>
      <x:c r="D109" s="25" t="str">
        <x:v>地图整页</x:v>
      </x:c>
      <x:c r="E109" s="25" t="str">
        <x:v>本类8项（逐项见完整JSON）</x:v>
      </x:c>
      <x:c r="F109" s="25" t="str">
        <x:v>S07/collection_pages</x:v>
      </x:c>
      <x:c r="G109" s="25" t="str">
        <x:v>原表数值</x:v>
      </x:c>
      <x:c r="H109" s="25" t="str">
        <x:v>由同包逐项数据聚合，便于核对</x:v>
      </x:c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 t="n">
        <x:v>0.08</x:v>
      </x:c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 t="n">
        <x:v>4</x:v>
      </x:c>
      <x:c r="AN109" s="32"/>
      <x:c r="AO109" s="32"/>
      <x:c r="AP109" s="32" t="n">
        <x:v>160</x:v>
      </x:c>
      <x:c r="AQ109" s="32"/>
      <x:c r="AR109" s="32"/>
      <x:c r="AS109" s="32"/>
      <x:c r="AT109" s="32"/>
      <x:c r="AU109" s="32"/>
      <x:c r="AV109" s="32"/>
      <x:c r="AW109" s="32"/>
      <x:c r="AX109" s="32"/>
      <x:c r="AY109" s="32"/>
      <x:c r="AZ109" s="32"/>
      <x:c r="BA109" s="32"/>
    </x:row>
    <x:row r="110">
      <x:c r="A110" s="25" t="str">
        <x:v>C02-X</x:v>
      </x:c>
      <x:c r="B110" s="25" t="str">
        <x:v>宁姆格福</x:v>
      </x:c>
      <x:c r="C110" s="25" t="str">
        <x:v>极端压力</x:v>
      </x:c>
      <x:c r="D110" s="25" t="str">
        <x:v>大陆全收集</x:v>
      </x:c>
      <x:c r="E110" s="25" t="str">
        <x:v>本类2项（逐项见完整JSON）</x:v>
      </x:c>
      <x:c r="F110" s="25" t="str">
        <x:v>S07/collection_continents</x:v>
      </x:c>
      <x:c r="G110" s="25" t="str">
        <x:v>原表累计</x:v>
      </x:c>
      <x:c r="H110" s="25" t="str">
        <x:v>由同包逐项数据聚合，便于核对</x:v>
      </x:c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  <x:c r="AA110" s="32"/>
      <x:c r="AB110" s="32" t="n">
        <x:v>2</x:v>
      </x:c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Y110" s="32"/>
      <x:c r="AZ110" s="32"/>
      <x:c r="BA110" s="32"/>
    </x:row>
    <x:row r="111">
      <x:c r="A111" s="25" t="str">
        <x:v>C02-X</x:v>
      </x:c>
      <x:c r="B111" s="25" t="str">
        <x:v>宁姆格福</x:v>
      </x:c>
      <x:c r="C111" s="25" t="str">
        <x:v>极端压力</x:v>
      </x:c>
      <x:c r="D111" s="25" t="str">
        <x:v>旧任务</x:v>
      </x:c>
      <x:c r="E111" s="25" t="str">
        <x:v>本类5项（逐项见完整JSON）</x:v>
      </x:c>
      <x:c r="F111" s="25" t="str">
        <x:v>宁姆格福_完整怪物装备任务爆率规划/地图任务；第一大陆_地图魂魄任务.txt</x:v>
      </x:c>
      <x:c r="G111" s="25" t="str">
        <x:v>原件确认；原表数值</x:v>
      </x:c>
      <x:c r="H111" s="25" t="str">
        <x:v>由同包逐项数据聚合，便于核对</x:v>
      </x:c>
      <x:c r="I111" s="32" t="n">
        <x:v>90</x:v>
      </x:c>
      <x:c r="J111" s="32" t="n">
        <x:v>90</x:v>
      </x:c>
      <x:c r="K111" s="32" t="n">
        <x:v>90</x:v>
      </x:c>
      <x:c r="L111" s="32" t="n">
        <x:v>90</x:v>
      </x:c>
      <x:c r="M111" s="32" t="n">
        <x:v>90</x:v>
      </x:c>
      <x:c r="N111" s="32" t="n">
        <x:v>90</x:v>
      </x:c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 t="n">
        <x:v>140</x:v>
      </x:c>
      <x:c r="AQ111" s="32"/>
      <x:c r="AR111" s="32"/>
      <x:c r="AS111" s="32"/>
      <x:c r="AT111" s="32"/>
      <x:c r="AU111" s="32"/>
      <x:c r="AV111" s="32"/>
      <x:c r="AW111" s="32"/>
      <x:c r="AX111" s="32"/>
      <x:c r="AY111" s="32"/>
      <x:c r="AZ111" s="32"/>
      <x:c r="BA111" s="32"/>
    </x:row>
    <x:row r="112">
      <x:c r="A112" s="25" t="str">
        <x:v>C02-X</x:v>
      </x:c>
      <x:c r="B112" s="25" t="str">
        <x:v>宁姆格福</x:v>
      </x:c>
      <x:c r="C112" s="25" t="str">
        <x:v>极端压力</x:v>
      </x:c>
      <x:c r="D112" s="25" t="str">
        <x:v>装备</x:v>
      </x:c>
      <x:c r="E112" s="25" t="str">
        <x:v>本类33项（逐项见完整JSON）</x:v>
      </x:c>
      <x:c r="F112" s="25" t="str">
        <x:v>S02；S07</x:v>
      </x:c>
      <x:c r="G112" s="25" t="str">
        <x:v>原表数值</x:v>
      </x:c>
      <x:c r="H112" s="25" t="str">
        <x:v>由同包逐项数据聚合，便于核对</x:v>
      </x:c>
      <x:c r="I112" s="32" t="n">
        <x:v>1957</x:v>
      </x:c>
      <x:c r="J112" s="32" t="n">
        <x:v>3769</x:v>
      </x:c>
      <x:c r="K112" s="32" t="n">
        <x:v>1957</x:v>
      </x:c>
      <x:c r="L112" s="32" t="n">
        <x:v>3769</x:v>
      </x:c>
      <x:c r="M112" s="32" t="n">
        <x:v>1957</x:v>
      </x:c>
      <x:c r="N112" s="32" t="n">
        <x:v>3769</x:v>
      </x:c>
      <x:c r="O112" s="32" t="n">
        <x:v>2149500</x:v>
      </x:c>
      <x:c r="P112" s="32"/>
      <x:c r="Q112" s="32" t="n">
        <x:v>1194</x:v>
      </x:c>
      <x:c r="R112" s="32" t="n">
        <x:v>2177</x:v>
      </x:c>
      <x:c r="S112" s="32" t="n">
        <x:v>978</x:v>
      </x:c>
      <x:c r="T112" s="32" t="n">
        <x:v>1782</x:v>
      </x:c>
      <x:c r="U112" s="32" t="n">
        <x:v>544</x:v>
      </x:c>
      <x:c r="V112" s="32" t="n">
        <x:v>544</x:v>
      </x:c>
      <x:c r="W112" s="32" t="n">
        <x:v>544</x:v>
      </x:c>
      <x:c r="X112" s="32"/>
      <x:c r="Y112" s="32"/>
      <x:c r="Z112" s="32" t="n">
        <x:v>144</x:v>
      </x:c>
      <x:c r="AA112" s="32" t="n">
        <x:v>58</x:v>
      </x:c>
      <x:c r="AB112" s="32"/>
      <x:c r="AC112" s="32" t="n">
        <x:v>155</x:v>
      </x:c>
      <x:c r="AD112" s="32"/>
      <x:c r="AE112" s="32"/>
      <x:c r="AF112" s="32"/>
      <x:c r="AG112" s="32"/>
      <x:c r="AH112" s="32" t="n">
        <x:v>11</x:v>
      </x:c>
      <x:c r="AI112" s="32" t="n">
        <x:v>1</x:v>
      </x:c>
      <x:c r="AJ112" s="32" t="n">
        <x:v>119</x:v>
      </x:c>
      <x:c r="AK112" s="32"/>
      <x:c r="AL112" s="32"/>
      <x:c r="AM112" s="32" t="n">
        <x:v>1</x:v>
      </x:c>
      <x:c r="AN112" s="32" t="n">
        <x:v>1</x:v>
      </x:c>
      <x:c r="AO112" s="32" t="n">
        <x:v>1</x:v>
      </x:c>
      <x:c r="AP112" s="32" t="n">
        <x:v>7</x:v>
      </x:c>
      <x:c r="AQ112" s="32" t="n">
        <x:v>126</x:v>
      </x:c>
      <x:c r="AR112" s="32" t="n">
        <x:v>2</x:v>
      </x:c>
      <x:c r="AS112" s="32" t="n">
        <x:v>13</x:v>
      </x:c>
      <x:c r="AT112" s="32"/>
      <x:c r="AU112" s="32"/>
      <x:c r="AV112" s="32"/>
      <x:c r="AW112" s="32"/>
      <x:c r="AX112" s="32"/>
      <x:c r="AY112" s="32"/>
      <x:c r="AZ112" s="32" t="n">
        <x:v>19</x:v>
      </x:c>
      <x:c r="BA112" s="32"/>
    </x:row>
    <x:row r="113">
      <x:c r="A113" s="25" t="str">
        <x:v>C02-X</x:v>
      </x:c>
      <x:c r="B113" s="25" t="str">
        <x:v>宁姆格福</x:v>
      </x:c>
      <x:c r="C113" s="25" t="str">
        <x:v>极端压力</x:v>
      </x:c>
      <x:c r="D113" s="25" t="str">
        <x:v>洗练</x:v>
      </x:c>
      <x:c r="E113" s="25" t="str">
        <x:v>本类10项（逐项见完整JSON）</x:v>
      </x:c>
      <x:c r="F113" s="25" t="str">
        <x:v>S06＋固定种子</x:v>
      </x:c>
      <x:c r="G113" s="25" t="str">
        <x:v>可实现随机样本</x:v>
      </x:c>
      <x:c r="H113" s="25" t="str">
        <x:v>由同包逐项数据聚合，便于核对</x:v>
      </x:c>
      <x:c r="I113" s="32" t="n">
        <x:v>562</x:v>
      </x:c>
      <x:c r="J113" s="32" t="n">
        <x:v>562</x:v>
      </x:c>
      <x:c r="K113" s="32" t="n">
        <x:v>37</x:v>
      </x:c>
      <x:c r="L113" s="32" t="n">
        <x:v>37</x:v>
      </x:c>
      <x:c r="M113" s="32" t="n">
        <x:v>14</x:v>
      </x:c>
      <x:c r="N113" s="32" t="n">
        <x:v>14</x:v>
      </x:c>
      <x:c r="O113" s="32"/>
      <x:c r="P113" s="32"/>
      <x:c r="Q113" s="32"/>
      <x:c r="R113" s="32"/>
      <x:c r="S113" s="32"/>
      <x:c r="T113" s="32"/>
      <x:c r="U113" s="32" t="n">
        <x:v>384</x:v>
      </x:c>
      <x:c r="V113" s="32"/>
      <x:c r="W113" s="32"/>
      <x:c r="X113" s="32"/>
      <x:c r="Y113" s="32" t="n">
        <x:v>2</x:v>
      </x:c>
      <x:c r="Z113" s="32"/>
      <x:c r="AA113" s="32"/>
      <x:c r="AB113" s="32" t="n">
        <x:v>2</x:v>
      </x:c>
      <x:c r="AC113" s="32"/>
      <x:c r="AD113" s="32" t="n">
        <x:v>1</x:v>
      </x:c>
      <x:c r="AE113" s="32"/>
      <x:c r="AF113" s="32"/>
      <x:c r="AG113" s="32"/>
      <x:c r="AH113" s="32" t="n">
        <x:v>2</x:v>
      </x:c>
      <x:c r="AI113" s="32"/>
      <x:c r="AJ113" s="32"/>
      <x:c r="AK113" s="32"/>
      <x:c r="AL113" s="32"/>
      <x:c r="AM113" s="32" t="n">
        <x:v>7</x:v>
      </x:c>
      <x:c r="AN113" s="32" t="n">
        <x:v>8</x:v>
      </x:c>
      <x:c r="AO113" s="32" t="n">
        <x:v>1</x:v>
      </x:c>
      <x:c r="AP113" s="32" t="n">
        <x:v>20</x:v>
      </x:c>
      <x:c r="AQ113" s="32"/>
      <x:c r="AR113" s="32"/>
      <x:c r="AS113" s="32" t="n">
        <x:v>2</x:v>
      </x:c>
      <x:c r="AT113" s="32"/>
      <x:c r="AU113" s="32" t="n">
        <x:v>5</x:v>
      </x:c>
      <x:c r="AV113" s="32"/>
      <x:c r="AW113" s="32"/>
      <x:c r="AX113" s="32"/>
      <x:c r="AY113" s="32"/>
      <x:c r="AZ113" s="32"/>
      <x:c r="BA113" s="32"/>
    </x:row>
    <x:row r="114">
      <x:c r="A114" s="25" t="str">
        <x:v>C02-X</x:v>
      </x:c>
      <x:c r="B114" s="25" t="str">
        <x:v>宁姆格福</x:v>
      </x:c>
      <x:c r="C114" s="25" t="str">
        <x:v>极端压力</x:v>
      </x:c>
      <x:c r="D114" s="25" t="str">
        <x:v>命格</x:v>
      </x:c>
      <x:c r="E114" s="25" t="str">
        <x:v>本类2项（逐项见完整JSON）</x:v>
      </x:c>
      <x:c r="F114" s="25" t="str">
        <x:v>S03/命格ID1092；S03/命格ID1093</x:v>
      </x:c>
      <x:c r="G114" s="25" t="str">
        <x:v>原表彩色＋选配假设</x:v>
      </x:c>
      <x:c r="H114" s="25" t="str">
        <x:v>由同包逐项数据聚合，便于核对</x:v>
      </x:c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 t="n">
        <x:v>3</x:v>
      </x:c>
      <x:c r="AA114" s="32"/>
      <x:c r="AB114" s="32"/>
      <x:c r="AC114" s="32"/>
      <x:c r="AD114" s="32"/>
      <x:c r="AE114" s="32"/>
      <x:c r="AF114" s="32"/>
      <x:c r="AG114" s="32"/>
      <x:c r="AH114" s="32" t="n">
        <x:v>2</x:v>
      </x:c>
      <x:c r="AI114" s="32"/>
      <x:c r="AJ114" s="32" t="n">
        <x:v>10</x:v>
      </x:c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 t="n">
        <x:v>50</x:v>
      </x:c>
      <x:c r="AU114" s="32" t="n">
        <x:v>2</x:v>
      </x:c>
      <x:c r="AV114" s="32" t="n">
        <x:v>3</x:v>
      </x:c>
      <x:c r="AW114" s="32"/>
      <x:c r="AX114" s="32"/>
      <x:c r="AY114" s="32"/>
      <x:c r="AZ114" s="32"/>
      <x:c r="BA114" s="32"/>
    </x:row>
    <x:row r="115">
      <x:c r="A115" s="25" t="str">
        <x:v>C02-X</x:v>
      </x:c>
      <x:c r="B115" s="25" t="str">
        <x:v>宁姆格福</x:v>
      </x:c>
      <x:c r="C115" s="25" t="str">
        <x:v>极端压力</x:v>
      </x:c>
      <x:c r="D115" s="25" t="str">
        <x:v>后天幸运</x:v>
      </x:c>
      <x:c r="E115" s="25" t="str">
        <x:v>本类1项（逐项见完整JSON）</x:v>
      </x:c>
      <x:c r="F115" s="25" t="str">
        <x:v>A08</x:v>
      </x:c>
      <x:c r="G115" s="25" t="str">
        <x:v>人物永久进度</x:v>
      </x:c>
      <x:c r="H115" s="25" t="str">
        <x:v>由同包逐项数据聚合，便于核对</x:v>
      </x:c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 t="n">
        <x:v>7</x:v>
      </x:c>
      <x:c r="AL115" s="32" t="n">
        <x:v>8</x:v>
      </x:c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Y115" s="32"/>
      <x:c r="AZ115" s="32"/>
      <x:c r="BA115" s="32"/>
    </x:row>
    <x:row r="116">
      <x:c r="A116" s="25" t="str">
        <x:v>C02-X</x:v>
      </x:c>
      <x:c r="B116" s="25" t="str">
        <x:v>宁姆格福</x:v>
      </x:c>
      <x:c r="C116" s="25" t="str">
        <x:v>极端压力</x:v>
      </x:c>
      <x:c r="D116" s="25" t="str">
        <x:v>回收预算</x:v>
      </x:c>
      <x:c r="E116" s="25" t="str">
        <x:v>本类1项（逐项见完整JSON）</x:v>
      </x:c>
      <x:c r="F116" s="25" t="str">
        <x:v>用户总回收50%</x:v>
      </x:c>
      <x:c r="G116" s="25" t="str">
        <x:v>经济输入，不是新增属性来源</x:v>
      </x:c>
      <x:c r="H116" s="25" t="str">
        <x:v>由同包逐项数据聚合，便于核对</x:v>
      </x:c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Y116" s="32"/>
      <x:c r="AZ116" s="32"/>
      <x:c r="BA116" s="32" t="n">
        <x:v>50</x:v>
      </x:c>
    </x:row>
    <x:row r="117">
      <x:c r="A117" s="25" t="str">
        <x:v>C03-E</x:v>
      </x:c>
      <x:c r="B117" s="25" t="str">
        <x:v>宁姆格福西域</x:v>
      </x:c>
      <x:c r="C117" s="25" t="str">
        <x:v>半急速入场</x:v>
      </x:c>
      <x:c r="D117" s="25" t="str">
        <x:v>人物自然</x:v>
      </x:c>
      <x:c r="E117" s="25" t="str">
        <x:v>本类1项（逐项见完整JSON）</x:v>
      </x:c>
      <x:c r="F117" s="25" t="str">
        <x:v>A01</x:v>
      </x:c>
      <x:c r="G117" s="25" t="str">
        <x:v>模型假设</x:v>
      </x:c>
      <x:c r="H117" s="25" t="str">
        <x:v>由同包逐项数据聚合，便于核对</x:v>
      </x:c>
      <x:c r="I117" s="32" t="n">
        <x:v>11</x:v>
      </x:c>
      <x:c r="J117" s="32" t="n">
        <x:v>23</x:v>
      </x:c>
      <x:c r="K117" s="32"/>
      <x:c r="L117" s="32"/>
      <x:c r="M117" s="32"/>
      <x:c r="N117" s="32"/>
      <x:c r="O117" s="32" t="n">
        <x:v>1800</x:v>
      </x:c>
      <x:c r="P117" s="32" t="n">
        <x:v>400</x:v>
      </x:c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Y117" s="32"/>
      <x:c r="AZ117" s="32"/>
      <x:c r="BA117" s="32"/>
    </x:row>
    <x:row r="118">
      <x:c r="A118" s="25" t="str">
        <x:v>C03-E</x:v>
      </x:c>
      <x:c r="B118" s="25" t="str">
        <x:v>宁姆格福西域</x:v>
      </x:c>
      <x:c r="C118" s="25" t="str">
        <x:v>半急速入场</x:v>
      </x:c>
      <x:c r="D118" s="25" t="str">
        <x:v>付费状态</x:v>
      </x:c>
      <x:c r="E118" s="25" t="str">
        <x:v>本类3项（逐项见完整JSON）</x:v>
      </x:c>
      <x:c r="F118" s="25" t="str">
        <x:v>20260903总档</x:v>
      </x:c>
      <x:c r="G118" s="25" t="str">
        <x:v>原表数值</x:v>
      </x:c>
      <x:c r="H118" s="25" t="str">
        <x:v>由同包逐项数据聚合，便于核对</x:v>
      </x:c>
      <x:c r="I118" s="32" t="n">
        <x:v>149</x:v>
      </x:c>
      <x:c r="J118" s="32" t="n">
        <x:v>149</x:v>
      </x:c>
      <x:c r="K118" s="32" t="n">
        <x:v>149</x:v>
      </x:c>
      <x:c r="L118" s="32" t="n">
        <x:v>149</x:v>
      </x:c>
      <x:c r="M118" s="32" t="n">
        <x:v>149</x:v>
      </x:c>
      <x:c r="N118" s="32" t="n">
        <x:v>149</x:v>
      </x:c>
      <x:c r="O118" s="32" t="n">
        <x:v>10000</x:v>
      </x:c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 t="n">
        <x:v>10</x:v>
      </x:c>
      <x:c r="Z118" s="32"/>
      <x:c r="AA118" s="32"/>
      <x:c r="AB118" s="32" t="n">
        <x:v>20</x:v>
      </x:c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 t="n">
        <x:v>10</x:v>
      </x:c>
      <x:c r="AN118" s="32"/>
      <x:c r="AO118" s="32"/>
      <x:c r="AP118" s="32" t="n">
        <x:v>50</x:v>
      </x:c>
      <x:c r="AQ118" s="32"/>
      <x:c r="AR118" s="32"/>
      <x:c r="AS118" s="32"/>
      <x:c r="AT118" s="32" t="n">
        <x:v>700</x:v>
      </x:c>
      <x:c r="AU118" s="32" t="n">
        <x:v>15</x:v>
      </x:c>
      <x:c r="AV118" s="32"/>
      <x:c r="AW118" s="32"/>
      <x:c r="AX118" s="32"/>
      <x:c r="AY118" s="32"/>
      <x:c r="AZ118" s="32"/>
      <x:c r="BA118" s="32"/>
    </x:row>
    <x:row r="119">
      <x:c r="A119" s="25" t="str">
        <x:v>C03-E</x:v>
      </x:c>
      <x:c r="B119" s="25" t="str">
        <x:v>宁姆格福西域</x:v>
      </x:c>
      <x:c r="C119" s="25" t="str">
        <x:v>半急速入场</x:v>
      </x:c>
      <x:c r="D119" s="25" t="str">
        <x:v>成长装备</x:v>
      </x:c>
      <x:c r="E119" s="25" t="str">
        <x:v>本类2项（逐项见完整JSON）</x:v>
      </x:c>
      <x:c r="F119" s="25" t="str">
        <x:v>20260903总档 / A04</x:v>
      </x:c>
      <x:c r="G119" s="25" t="str">
        <x:v>原表＋支付路径假设</x:v>
      </x:c>
      <x:c r="H119" s="25" t="str">
        <x:v>由同包逐项数据聚合，便于核对</x:v>
      </x:c>
      <x:c r="I119" s="32" t="n">
        <x:v>1100</x:v>
      </x:c>
      <x:c r="J119" s="32" t="n">
        <x:v>1100</x:v>
      </x:c>
      <x:c r="K119" s="32" t="n">
        <x:v>1100</x:v>
      </x:c>
      <x:c r="L119" s="32" t="n">
        <x:v>1100</x:v>
      </x:c>
      <x:c r="M119" s="32" t="n">
        <x:v>1100</x:v>
      </x:c>
      <x:c r="N119" s="32" t="n">
        <x:v>1100</x:v>
      </x:c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 t="n">
        <x:v>10</x:v>
      </x:c>
      <x:c r="AX119" s="32" t="n">
        <x:v>10</x:v>
      </x:c>
      <x:c r="AY119" s="32"/>
      <x:c r="AZ119" s="32"/>
      <x:c r="BA119" s="32"/>
    </x:row>
    <x:row r="120">
      <x:c r="A120" s="25" t="str">
        <x:v>C03-E</x:v>
      </x:c>
      <x:c r="B120" s="25" t="str">
        <x:v>宁姆格福西域</x:v>
      </x:c>
      <x:c r="C120" s="25" t="str">
        <x:v>半急速入场</x:v>
      </x:c>
      <x:c r="D120" s="25" t="str">
        <x:v>贯穿称号</x:v>
      </x:c>
      <x:c r="E120" s="25" t="str">
        <x:v>本类1项（逐项见完整JSON）</x:v>
      </x:c>
      <x:c r="F120" s="25" t="str">
        <x:v>S04/01_贯穿称号</x:v>
      </x:c>
      <x:c r="G120" s="25" t="str">
        <x:v>原表数值</x:v>
      </x:c>
      <x:c r="H120" s="25" t="str">
        <x:v>由同包逐项数据聚合，便于核对</x:v>
      </x:c>
      <x:c r="I120" s="32" t="n">
        <x:v>300</x:v>
      </x:c>
      <x:c r="J120" s="32" t="n">
        <x:v>300</x:v>
      </x:c>
      <x:c r="K120" s="32" t="n">
        <x:v>300</x:v>
      </x:c>
      <x:c r="L120" s="32" t="n">
        <x:v>300</x:v>
      </x:c>
      <x:c r="M120" s="32" t="n">
        <x:v>300</x:v>
      </x:c>
      <x:c r="N120" s="32" t="n">
        <x:v>300</x:v>
      </x:c>
      <x:c r="O120" s="32" t="n">
        <x:v>30000</x:v>
      </x:c>
      <x:c r="P120" s="32" t="n">
        <x:v>30000</x:v>
      </x:c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 t="n">
        <x:v>400</x:v>
      </x:c>
      <x:c r="AU120" s="32"/>
      <x:c r="AV120" s="32"/>
      <x:c r="AW120" s="32"/>
      <x:c r="AX120" s="32"/>
      <x:c r="AY120" s="32"/>
      <x:c r="AZ120" s="32"/>
      <x:c r="BA120" s="32"/>
    </x:row>
    <x:row r="121">
      <x:c r="A121" s="25" t="str">
        <x:v>C03-E</x:v>
      </x:c>
      <x:c r="B121" s="25" t="str">
        <x:v>宁姆格福西域</x:v>
      </x:c>
      <x:c r="C121" s="25" t="str">
        <x:v>半急速入场</x:v>
      </x:c>
      <x:c r="D121" s="25" t="str">
        <x:v>神印</x:v>
      </x:c>
      <x:c r="E121" s="25" t="str">
        <x:v>本类1项（逐项见完整JSON）</x:v>
      </x:c>
      <x:c r="F121" s="25" t="str">
        <x:v>S04 / 神印公式</x:v>
      </x:c>
      <x:c r="G121" s="25" t="str">
        <x:v>自给进度假设＋原公式</x:v>
      </x:c>
      <x:c r="H121" s="25" t="str">
        <x:v>由同包逐项数据聚合，便于核对</x:v>
      </x:c>
      <x:c r="I121" s="32" t="n">
        <x:v>1275</x:v>
      </x:c>
      <x:c r="J121" s="32" t="n">
        <x:v>1275</x:v>
      </x:c>
      <x:c r="K121" s="32" t="n">
        <x:v>1275</x:v>
      </x:c>
      <x:c r="L121" s="32" t="n">
        <x:v>1275</x:v>
      </x:c>
      <x:c r="M121" s="32" t="n">
        <x:v>1275</x:v>
      </x:c>
      <x:c r="N121" s="32" t="n">
        <x:v>1275</x:v>
      </x:c>
      <x:c r="O121" s="32" t="n">
        <x:v>127500</x:v>
      </x:c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Y121" s="32"/>
      <x:c r="AZ121" s="32"/>
      <x:c r="BA121" s="32"/>
    </x:row>
    <x:row r="122">
      <x:c r="A122" s="25" t="str">
        <x:v>C03-E</x:v>
      </x:c>
      <x:c r="B122" s="25" t="str">
        <x:v>宁姆格福西域</x:v>
      </x:c>
      <x:c r="C122" s="25" t="str">
        <x:v>半急速入场</x:v>
      </x:c>
      <x:c r="D122" s="25" t="str">
        <x:v>转生</x:v>
      </x:c>
      <x:c r="E122" s="25" t="str">
        <x:v>本类1项（逐项见完整JSON）</x:v>
      </x:c>
      <x:c r="F122" s="25" t="str">
        <x:v>S07/20转</x:v>
      </x:c>
      <x:c r="G122" s="25" t="str">
        <x:v>原表累计</x:v>
      </x:c>
      <x:c r="H122" s="25" t="str">
        <x:v>由同包逐项数据聚合，便于核对</x:v>
      </x:c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 t="n">
        <x:v>0</x:v>
      </x:c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Y122" s="32"/>
      <x:c r="AZ122" s="32"/>
      <x:c r="BA122" s="32"/>
    </x:row>
    <x:row r="123">
      <x:c r="A123" s="25" t="str">
        <x:v>C03-E</x:v>
      </x:c>
      <x:c r="B123" s="25" t="str">
        <x:v>宁姆格福西域</x:v>
      </x:c>
      <x:c r="C123" s="25" t="str">
        <x:v>半急速入场</x:v>
      </x:c>
      <x:c r="D123" s="25" t="str">
        <x:v>独立称号</x:v>
      </x:c>
      <x:c r="E123" s="25" t="str">
        <x:v>本类1项（逐项见完整JSON）</x:v>
      </x:c>
      <x:c r="F123" s="25" t="str">
        <x:v>S04/02_独立称号</x:v>
      </x:c>
      <x:c r="G123" s="25" t="str">
        <x:v>原表数值</x:v>
      </x:c>
      <x:c r="H123" s="25" t="str">
        <x:v>由同包逐项数据聚合，便于核对</x:v>
      </x:c>
      <x:c r="I123" s="32" t="n">
        <x:v>30</x:v>
      </x:c>
      <x:c r="J123" s="32" t="n">
        <x:v>30</x:v>
      </x:c>
      <x:c r="K123" s="32" t="n">
        <x:v>30</x:v>
      </x:c>
      <x:c r="L123" s="32" t="n">
        <x:v>30</x:v>
      </x:c>
      <x:c r="M123" s="32" t="n">
        <x:v>30</x:v>
      </x:c>
      <x:c r="N123" s="32" t="n">
        <x:v>30</x:v>
      </x:c>
      <x:c r="O123" s="32" t="n">
        <x:v>3000</x:v>
      </x:c>
      <x:c r="P123" s="32"/>
      <x:c r="Q123" s="32"/>
      <x:c r="R123" s="32"/>
      <x:c r="S123" s="32"/>
      <x:c r="T123" s="32"/>
      <x:c r="U123" s="32"/>
      <x:c r="V123" s="32"/>
      <x:c r="W123" s="32"/>
      <x:c r="X123" s="32" t="n">
        <x:v>0</x:v>
      </x:c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 t="n">
        <x:v>0</x:v>
      </x:c>
      <x:c r="AN123" s="32"/>
      <x:c r="AO123" s="32"/>
      <x:c r="AP123" s="32" t="n">
        <x:v>0</x:v>
      </x:c>
      <x:c r="AQ123" s="32"/>
      <x:c r="AR123" s="32"/>
      <x:c r="AS123" s="32"/>
      <x:c r="AT123" s="32"/>
      <x:c r="AU123" s="32"/>
      <x:c r="AV123" s="32"/>
      <x:c r="AW123" s="32"/>
      <x:c r="AX123" s="32"/>
      <x:c r="AY123" s="32"/>
      <x:c r="AZ123" s="32"/>
      <x:c r="BA123" s="32"/>
    </x:row>
    <x:row r="124">
      <x:c r="A124" s="25" t="str">
        <x:v>C03-E</x:v>
      </x:c>
      <x:c r="B124" s="25" t="str">
        <x:v>宁姆格福西域</x:v>
      </x:c>
      <x:c r="C124" s="25" t="str">
        <x:v>半急速入场</x:v>
      </x:c>
      <x:c r="D124" s="25" t="str">
        <x:v>单件图鉴</x:v>
      </x:c>
      <x:c r="E124" s="25" t="str">
        <x:v>本类1项（逐项见完整JSON）</x:v>
      </x:c>
      <x:c r="F124" s="25" t="str">
        <x:v>S07/collection_single</x:v>
      </x:c>
      <x:c r="G124" s="25" t="str">
        <x:v>原表累计</x:v>
      </x:c>
      <x:c r="H124" s="25" t="str">
        <x:v>由同包逐项数据聚合，便于核对</x:v>
      </x:c>
      <x:c r="I124" s="32" t="n">
        <x:v>185</x:v>
      </x:c>
      <x:c r="J124" s="32" t="n">
        <x:v>185</x:v>
      </x:c>
      <x:c r="K124" s="32" t="n">
        <x:v>185</x:v>
      </x:c>
      <x:c r="L124" s="32" t="n">
        <x:v>185</x:v>
      </x:c>
      <x:c r="M124" s="32" t="n">
        <x:v>185</x:v>
      </x:c>
      <x:c r="N124" s="32" t="n">
        <x:v>185</x:v>
      </x:c>
      <x:c r="O124" s="32" t="n">
        <x:v>18500</x:v>
      </x:c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Y124" s="32"/>
      <x:c r="AZ124" s="32"/>
      <x:c r="BA124" s="32"/>
    </x:row>
    <x:row r="125">
      <x:c r="A125" s="25" t="str">
        <x:v>C03-E</x:v>
      </x:c>
      <x:c r="B125" s="25" t="str">
        <x:v>宁姆格福西域</x:v>
      </x:c>
      <x:c r="C125" s="25" t="str">
        <x:v>半急速入场</x:v>
      </x:c>
      <x:c r="D125" s="25" t="str">
        <x:v>地图整页</x:v>
      </x:c>
      <x:c r="E125" s="25" t="str">
        <x:v>本类5项（逐项见完整JSON）</x:v>
      </x:c>
      <x:c r="F125" s="25" t="str">
        <x:v>S07/collection_pages</x:v>
      </x:c>
      <x:c r="G125" s="25" t="str">
        <x:v>原表数值</x:v>
      </x:c>
      <x:c r="H125" s="25" t="str">
        <x:v>由同包逐项数据聚合，便于核对</x:v>
      </x:c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 t="n">
        <x:v>0.05</x:v>
      </x:c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 t="n">
        <x:v>2.5</x:v>
      </x:c>
      <x:c r="AN125" s="32"/>
      <x:c r="AO125" s="32"/>
      <x:c r="AP125" s="32" t="n">
        <x:v>100</x:v>
      </x:c>
      <x:c r="AQ125" s="32"/>
      <x:c r="AR125" s="32"/>
      <x:c r="AS125" s="32"/>
      <x:c r="AT125" s="32"/>
      <x:c r="AU125" s="32"/>
      <x:c r="AV125" s="32"/>
      <x:c r="AW125" s="32"/>
      <x:c r="AX125" s="32"/>
      <x:c r="AY125" s="32"/>
      <x:c r="AZ125" s="32"/>
      <x:c r="BA125" s="32"/>
    </x:row>
    <x:row r="126">
      <x:c r="A126" s="25" t="str">
        <x:v>C03-E</x:v>
      </x:c>
      <x:c r="B126" s="25" t="str">
        <x:v>宁姆格福西域</x:v>
      </x:c>
      <x:c r="C126" s="25" t="str">
        <x:v>半急速入场</x:v>
      </x:c>
      <x:c r="D126" s="25" t="str">
        <x:v>旧任务</x:v>
      </x:c>
      <x:c r="E126" s="25" t="str">
        <x:v>本类5项（逐项见完整JSON）</x:v>
      </x:c>
      <x:c r="F126" s="25" t="str">
        <x:v>宁姆格福_完整怪物装备任务爆率规划/地图任务；第一大陆_地图魂魄任务.txt</x:v>
      </x:c>
      <x:c r="G126" s="25" t="str">
        <x:v>原件确认；原表数值</x:v>
      </x:c>
      <x:c r="H126" s="25" t="str">
        <x:v>由同包逐项数据聚合，便于核对</x:v>
      </x:c>
      <x:c r="I126" s="32" t="n">
        <x:v>60</x:v>
      </x:c>
      <x:c r="J126" s="32" t="n">
        <x:v>60</x:v>
      </x:c>
      <x:c r="K126" s="32" t="n">
        <x:v>60</x:v>
      </x:c>
      <x:c r="L126" s="32" t="n">
        <x:v>60</x:v>
      </x:c>
      <x:c r="M126" s="32" t="n">
        <x:v>60</x:v>
      </x:c>
      <x:c r="N126" s="32" t="n">
        <x:v>60</x:v>
      </x:c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 t="n">
        <x:v>120</x:v>
      </x:c>
      <x:c r="AQ126" s="32"/>
      <x:c r="AR126" s="32"/>
      <x:c r="AS126" s="32"/>
      <x:c r="AT126" s="32"/>
      <x:c r="AU126" s="32"/>
      <x:c r="AV126" s="32"/>
      <x:c r="AW126" s="32"/>
      <x:c r="AX126" s="32"/>
      <x:c r="AY126" s="32"/>
      <x:c r="AZ126" s="32"/>
      <x:c r="BA126" s="32"/>
    </x:row>
    <x:row r="127">
      <x:c r="A127" s="25" t="str">
        <x:v>C03-E</x:v>
      </x:c>
      <x:c r="B127" s="25" t="str">
        <x:v>宁姆格福西域</x:v>
      </x:c>
      <x:c r="C127" s="25" t="str">
        <x:v>半急速入场</x:v>
      </x:c>
      <x:c r="D127" s="25" t="str">
        <x:v>装备</x:v>
      </x:c>
      <x:c r="E127" s="25" t="str">
        <x:v>本类26项（逐项见完整JSON）</x:v>
      </x:c>
      <x:c r="F127" s="25" t="str">
        <x:v>S01；S02；S07</x:v>
      </x:c>
      <x:c r="G127" s="25" t="str">
        <x:v>原表数值</x:v>
      </x:c>
      <x:c r="H127" s="25" t="str">
        <x:v>由同包逐项数据聚合，便于核对</x:v>
      </x:c>
      <x:c r="I127" s="32" t="n">
        <x:v>1369</x:v>
      </x:c>
      <x:c r="J127" s="32" t="n">
        <x:v>2672</x:v>
      </x:c>
      <x:c r="K127" s="32" t="n">
        <x:v>1369</x:v>
      </x:c>
      <x:c r="L127" s="32" t="n">
        <x:v>2672</x:v>
      </x:c>
      <x:c r="M127" s="32" t="n">
        <x:v>1369</x:v>
      </x:c>
      <x:c r="N127" s="32" t="n">
        <x:v>2672</x:v>
      </x:c>
      <x:c r="O127" s="32" t="n">
        <x:v>958951</x:v>
      </x:c>
      <x:c r="P127" s="32"/>
      <x:c r="Q127" s="32" t="n">
        <x:v>588</x:v>
      </x:c>
      <x:c r="R127" s="32" t="n">
        <x:v>1088</x:v>
      </x:c>
      <x:c r="S127" s="32" t="n">
        <x:v>480</x:v>
      </x:c>
      <x:c r="T127" s="32" t="n">
        <x:v>887</x:v>
      </x:c>
      <x:c r="U127" s="32" t="n">
        <x:v>331</x:v>
      </x:c>
      <x:c r="V127" s="32" t="n">
        <x:v>331</x:v>
      </x:c>
      <x:c r="W127" s="32" t="n">
        <x:v>331</x:v>
      </x:c>
      <x:c r="X127" s="32"/>
      <x:c r="Y127" s="32"/>
      <x:c r="Z127" s="32" t="n">
        <x:v>98</x:v>
      </x:c>
      <x:c r="AA127" s="32" t="n">
        <x:v>40</x:v>
      </x:c>
      <x:c r="AB127" s="32"/>
      <x:c r="AC127" s="32" t="n">
        <x:v>99</x:v>
      </x:c>
      <x:c r="AD127" s="32"/>
      <x:c r="AE127" s="32"/>
      <x:c r="AF127" s="32"/>
      <x:c r="AG127" s="32"/>
      <x:c r="AH127" s="32" t="n">
        <x:v>13</x:v>
      </x:c>
      <x:c r="AI127" s="32"/>
      <x:c r="AJ127" s="32" t="n">
        <x:v>125</x:v>
      </x:c>
      <x:c r="AK127" s="32"/>
      <x:c r="AL127" s="32"/>
      <x:c r="AM127" s="32"/>
      <x:c r="AN127" s="32"/>
      <x:c r="AO127" s="32"/>
      <x:c r="AP127" s="32" t="n">
        <x:v>3</x:v>
      </x:c>
      <x:c r="AQ127" s="32" t="n">
        <x:v>88</x:v>
      </x:c>
      <x:c r="AR127" s="32"/>
      <x:c r="AS127" s="32" t="n">
        <x:v>8</x:v>
      </x:c>
      <x:c r="AT127" s="32"/>
      <x:c r="AU127" s="32"/>
      <x:c r="AV127" s="32"/>
      <x:c r="AW127" s="32"/>
      <x:c r="AX127" s="32"/>
      <x:c r="AY127" s="32"/>
      <x:c r="AZ127" s="32" t="n">
        <x:v>16</x:v>
      </x:c>
      <x:c r="BA127" s="32"/>
    </x:row>
    <x:row r="128">
      <x:c r="A128" s="25" t="str">
        <x:v>C03-E</x:v>
      </x:c>
      <x:c r="B128" s="25" t="str">
        <x:v>宁姆格福西域</x:v>
      </x:c>
      <x:c r="C128" s="25" t="str">
        <x:v>半急速入场</x:v>
      </x:c>
      <x:c r="D128" s="25" t="str">
        <x:v>洗练</x:v>
      </x:c>
      <x:c r="E128" s="25" t="str">
        <x:v>本类10项（逐项见完整JSON）</x:v>
      </x:c>
      <x:c r="F128" s="25" t="str">
        <x:v>S06＋固定种子</x:v>
      </x:c>
      <x:c r="G128" s="25" t="str">
        <x:v>可实现随机样本</x:v>
      </x:c>
      <x:c r="H128" s="25" t="str">
        <x:v>由同包逐项数据聚合，便于核对</x:v>
      </x:c>
      <x:c r="I128" s="32" t="n">
        <x:v>84</x:v>
      </x:c>
      <x:c r="J128" s="32" t="n">
        <x:v>84</x:v>
      </x:c>
      <x:c r="K128" s="32" t="n">
        <x:v>73</x:v>
      </x:c>
      <x:c r="L128" s="32" t="n">
        <x:v>73</x:v>
      </x:c>
      <x:c r="M128" s="32" t="n">
        <x:v>6</x:v>
      </x:c>
      <x:c r="N128" s="32" t="n">
        <x:v>6</x:v>
      </x:c>
      <x:c r="O128" s="32"/>
      <x:c r="P128" s="32"/>
      <x:c r="Q128" s="32"/>
      <x:c r="R128" s="32"/>
      <x:c r="S128" s="32"/>
      <x:c r="T128" s="32"/>
      <x:c r="U128" s="32" t="n">
        <x:v>354</x:v>
      </x:c>
      <x:c r="V128" s="32"/>
      <x:c r="W128" s="32"/>
      <x:c r="X128" s="32"/>
      <x:c r="Y128" s="32" t="n">
        <x:v>4</x:v>
      </x:c>
      <x:c r="Z128" s="32"/>
      <x:c r="AA128" s="32"/>
      <x:c r="AB128" s="32" t="n">
        <x:v>4</x:v>
      </x:c>
      <x:c r="AC128" s="32"/>
      <x:c r="AD128" s="32" t="n">
        <x:v>2</x:v>
      </x:c>
      <x:c r="AE128" s="32"/>
      <x:c r="AF128" s="32"/>
      <x:c r="AG128" s="32"/>
      <x:c r="AH128" s="32"/>
      <x:c r="AI128" s="32"/>
      <x:c r="AJ128" s="32"/>
      <x:c r="AK128" s="32"/>
      <x:c r="AL128" s="32"/>
      <x:c r="AM128" s="32" t="n">
        <x:v>1</x:v>
      </x:c>
      <x:c r="AN128" s="32" t="n">
        <x:v>3</x:v>
      </x:c>
      <x:c r="AO128" s="32"/>
      <x:c r="AP128" s="32" t="n">
        <x:v>50</x:v>
      </x:c>
      <x:c r="AQ128" s="32"/>
      <x:c r="AR128" s="32"/>
      <x:c r="AS128" s="32"/>
      <x:c r="AT128" s="32"/>
      <x:c r="AU128" s="32"/>
      <x:c r="AV128" s="32"/>
      <x:c r="AW128" s="32"/>
      <x:c r="AX128" s="32"/>
      <x:c r="AY128" s="32"/>
      <x:c r="AZ128" s="32"/>
      <x:c r="BA128" s="32"/>
    </x:row>
    <x:row r="129">
      <x:c r="A129" s="25" t="str">
        <x:v>C03-E</x:v>
      </x:c>
      <x:c r="B129" s="25" t="str">
        <x:v>宁姆格福西域</x:v>
      </x:c>
      <x:c r="C129" s="25" t="str">
        <x:v>半急速入场</x:v>
      </x:c>
      <x:c r="D129" s="25" t="str">
        <x:v>命格</x:v>
      </x:c>
      <x:c r="E129" s="25" t="str">
        <x:v>本类2项（逐项见完整JSON）</x:v>
      </x:c>
      <x:c r="F129" s="25" t="str">
        <x:v>S03/命格ID1092；S03/命格ID1093</x:v>
      </x:c>
      <x:c r="G129" s="25" t="str">
        <x:v>原表彩色＋选配假设</x:v>
      </x:c>
      <x:c r="H129" s="25" t="str">
        <x:v>由同包逐项数据聚合，便于核对</x:v>
      </x:c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 t="n">
        <x:v>3</x:v>
      </x:c>
      <x:c r="AA129" s="32"/>
      <x:c r="AB129" s="32"/>
      <x:c r="AC129" s="32"/>
      <x:c r="AD129" s="32"/>
      <x:c r="AE129" s="32"/>
      <x:c r="AF129" s="32"/>
      <x:c r="AG129" s="32"/>
      <x:c r="AH129" s="32" t="n">
        <x:v>2</x:v>
      </x:c>
      <x:c r="AI129" s="32"/>
      <x:c r="AJ129" s="32" t="n">
        <x:v>10</x:v>
      </x:c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 t="n">
        <x:v>50</x:v>
      </x:c>
      <x:c r="AU129" s="32" t="n">
        <x:v>2</x:v>
      </x:c>
      <x:c r="AV129" s="32" t="n">
        <x:v>3</x:v>
      </x:c>
      <x:c r="AW129" s="32"/>
      <x:c r="AX129" s="32"/>
      <x:c r="AY129" s="32"/>
      <x:c r="AZ129" s="32"/>
      <x:c r="BA129" s="32"/>
    </x:row>
    <x:row r="130">
      <x:c r="A130" s="25" t="str">
        <x:v>C03-E</x:v>
      </x:c>
      <x:c r="B130" s="25" t="str">
        <x:v>宁姆格福西域</x:v>
      </x:c>
      <x:c r="C130" s="25" t="str">
        <x:v>半急速入场</x:v>
      </x:c>
      <x:c r="D130" s="25" t="str">
        <x:v>后天幸运</x:v>
      </x:c>
      <x:c r="E130" s="25" t="str">
        <x:v>本类1项（逐项见完整JSON）</x:v>
      </x:c>
      <x:c r="F130" s="25" t="str">
        <x:v>A08</x:v>
      </x:c>
      <x:c r="G130" s="25" t="str">
        <x:v>人物永久进度</x:v>
      </x:c>
      <x:c r="H130" s="25" t="str">
        <x:v>由同包逐项数据聚合，便于核对</x:v>
      </x:c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 t="n">
        <x:v>7</x:v>
      </x:c>
      <x:c r="AL130" s="32" t="n">
        <x:v>8</x:v>
      </x:c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Y130" s="32"/>
      <x:c r="AZ130" s="32"/>
      <x:c r="BA130" s="32"/>
    </x:row>
    <x:row r="131">
      <x:c r="A131" s="25" t="str">
        <x:v>C03-E</x:v>
      </x:c>
      <x:c r="B131" s="25" t="str">
        <x:v>宁姆格福西域</x:v>
      </x:c>
      <x:c r="C131" s="25" t="str">
        <x:v>半急速入场</x:v>
      </x:c>
      <x:c r="D131" s="25" t="str">
        <x:v>回收预算</x:v>
      </x:c>
      <x:c r="E131" s="25" t="str">
        <x:v>本类1项（逐项见完整JSON）</x:v>
      </x:c>
      <x:c r="F131" s="25" t="str">
        <x:v>用户总回收50%</x:v>
      </x:c>
      <x:c r="G131" s="25" t="str">
        <x:v>经济输入，不是新增属性来源</x:v>
      </x:c>
      <x:c r="H131" s="25" t="str">
        <x:v>由同包逐项数据聚合，便于核对</x:v>
      </x:c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Y131" s="32"/>
      <x:c r="AZ131" s="32"/>
      <x:c r="BA131" s="32" t="n">
        <x:v>50</x:v>
      </x:c>
    </x:row>
    <x:row r="132">
      <x:c r="A132" s="25" t="str">
        <x:v>C03-M</x:v>
      </x:c>
      <x:c r="B132" s="25" t="str">
        <x:v>宁姆格福西域</x:v>
      </x:c>
      <x:c r="C132" s="25" t="str">
        <x:v>半急速中期</x:v>
      </x:c>
      <x:c r="D132" s="25" t="str">
        <x:v>人物自然</x:v>
      </x:c>
      <x:c r="E132" s="25" t="str">
        <x:v>本类1项（逐项见完整JSON）</x:v>
      </x:c>
      <x:c r="F132" s="25" t="str">
        <x:v>A01</x:v>
      </x:c>
      <x:c r="G132" s="25" t="str">
        <x:v>模型假设</x:v>
      </x:c>
      <x:c r="H132" s="25" t="str">
        <x:v>由同包逐项数据聚合，便于核对</x:v>
      </x:c>
      <x:c r="I132" s="32" t="n">
        <x:v>12</x:v>
      </x:c>
      <x:c r="J132" s="32" t="n">
        <x:v>25.5</x:v>
      </x:c>
      <x:c r="K132" s="32"/>
      <x:c r="L132" s="32"/>
      <x:c r="M132" s="32"/>
      <x:c r="N132" s="32"/>
      <x:c r="O132" s="32" t="n">
        <x:v>2000</x:v>
      </x:c>
      <x:c r="P132" s="32" t="n">
        <x:v>450</x:v>
      </x:c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Y132" s="32"/>
      <x:c r="AZ132" s="32"/>
      <x:c r="BA132" s="32"/>
    </x:row>
    <x:row r="133">
      <x:c r="A133" s="25" t="str">
        <x:v>C03-M</x:v>
      </x:c>
      <x:c r="B133" s="25" t="str">
        <x:v>宁姆格福西域</x:v>
      </x:c>
      <x:c r="C133" s="25" t="str">
        <x:v>半急速中期</x:v>
      </x:c>
      <x:c r="D133" s="25" t="str">
        <x:v>付费状态</x:v>
      </x:c>
      <x:c r="E133" s="25" t="str">
        <x:v>本类3项（逐项见完整JSON）</x:v>
      </x:c>
      <x:c r="F133" s="25" t="str">
        <x:v>20260903总档</x:v>
      </x:c>
      <x:c r="G133" s="25" t="str">
        <x:v>原表数值</x:v>
      </x:c>
      <x:c r="H133" s="25" t="str">
        <x:v>由同包逐项数据聚合，便于核对</x:v>
      </x:c>
      <x:c r="I133" s="32" t="n">
        <x:v>149</x:v>
      </x:c>
      <x:c r="J133" s="32" t="n">
        <x:v>149</x:v>
      </x:c>
      <x:c r="K133" s="32" t="n">
        <x:v>149</x:v>
      </x:c>
      <x:c r="L133" s="32" t="n">
        <x:v>149</x:v>
      </x:c>
      <x:c r="M133" s="32" t="n">
        <x:v>149</x:v>
      </x:c>
      <x:c r="N133" s="32" t="n">
        <x:v>149</x:v>
      </x:c>
      <x:c r="O133" s="32" t="n">
        <x:v>10000</x:v>
      </x:c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 t="n">
        <x:v>10</x:v>
      </x:c>
      <x:c r="Z133" s="32"/>
      <x:c r="AA133" s="32"/>
      <x:c r="AB133" s="32" t="n">
        <x:v>20</x:v>
      </x:c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 t="n">
        <x:v>10</x:v>
      </x:c>
      <x:c r="AN133" s="32"/>
      <x:c r="AO133" s="32"/>
      <x:c r="AP133" s="32" t="n">
        <x:v>50</x:v>
      </x:c>
      <x:c r="AQ133" s="32"/>
      <x:c r="AR133" s="32"/>
      <x:c r="AS133" s="32"/>
      <x:c r="AT133" s="32" t="n">
        <x:v>700</x:v>
      </x:c>
      <x:c r="AU133" s="32" t="n">
        <x:v>15</x:v>
      </x:c>
      <x:c r="AV133" s="32"/>
      <x:c r="AW133" s="32"/>
      <x:c r="AX133" s="32"/>
      <x:c r="AY133" s="32"/>
      <x:c r="AZ133" s="32"/>
      <x:c r="BA133" s="32"/>
    </x:row>
    <x:row r="134">
      <x:c r="A134" s="25" t="str">
        <x:v>C03-M</x:v>
      </x:c>
      <x:c r="B134" s="25" t="str">
        <x:v>宁姆格福西域</x:v>
      </x:c>
      <x:c r="C134" s="25" t="str">
        <x:v>半急速中期</x:v>
      </x:c>
      <x:c r="D134" s="25" t="str">
        <x:v>成长装备</x:v>
      </x:c>
      <x:c r="E134" s="25" t="str">
        <x:v>本类2项（逐项见完整JSON）</x:v>
      </x:c>
      <x:c r="F134" s="25" t="str">
        <x:v>20260903总档 / A04</x:v>
      </x:c>
      <x:c r="G134" s="25" t="str">
        <x:v>原表＋支付路径假设</x:v>
      </x:c>
      <x:c r="H134" s="25" t="str">
        <x:v>由同包逐项数据聚合，便于核对</x:v>
      </x:c>
      <x:c r="I134" s="32" t="n">
        <x:v>1100</x:v>
      </x:c>
      <x:c r="J134" s="32" t="n">
        <x:v>1100</x:v>
      </x:c>
      <x:c r="K134" s="32" t="n">
        <x:v>1100</x:v>
      </x:c>
      <x:c r="L134" s="32" t="n">
        <x:v>1100</x:v>
      </x:c>
      <x:c r="M134" s="32" t="n">
        <x:v>1100</x:v>
      </x:c>
      <x:c r="N134" s="32" t="n">
        <x:v>1100</x:v>
      </x:c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 t="n">
        <x:v>10</x:v>
      </x:c>
      <x:c r="AX134" s="32" t="n">
        <x:v>10</x:v>
      </x:c>
      <x:c r="AY134" s="32"/>
      <x:c r="AZ134" s="32"/>
      <x:c r="BA134" s="32"/>
    </x:row>
    <x:row r="135">
      <x:c r="A135" s="25" t="str">
        <x:v>C03-M</x:v>
      </x:c>
      <x:c r="B135" s="25" t="str">
        <x:v>宁姆格福西域</x:v>
      </x:c>
      <x:c r="C135" s="25" t="str">
        <x:v>半急速中期</x:v>
      </x:c>
      <x:c r="D135" s="25" t="str">
        <x:v>贯穿称号</x:v>
      </x:c>
      <x:c r="E135" s="25" t="str">
        <x:v>本类1项（逐项见完整JSON）</x:v>
      </x:c>
      <x:c r="F135" s="25" t="str">
        <x:v>S04/01_贯穿称号</x:v>
      </x:c>
      <x:c r="G135" s="25" t="str">
        <x:v>原表数值</x:v>
      </x:c>
      <x:c r="H135" s="25" t="str">
        <x:v>由同包逐项数据聚合，便于核对</x:v>
      </x:c>
      <x:c r="I135" s="32" t="n">
        <x:v>800</x:v>
      </x:c>
      <x:c r="J135" s="32" t="n">
        <x:v>800</x:v>
      </x:c>
      <x:c r="K135" s="32" t="n">
        <x:v>800</x:v>
      </x:c>
      <x:c r="L135" s="32" t="n">
        <x:v>800</x:v>
      </x:c>
      <x:c r="M135" s="32" t="n">
        <x:v>800</x:v>
      </x:c>
      <x:c r="N135" s="32" t="n">
        <x:v>800</x:v>
      </x:c>
      <x:c r="O135" s="32" t="n">
        <x:v>80000</x:v>
      </x:c>
      <x:c r="P135" s="32" t="n">
        <x:v>80000</x:v>
      </x:c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 t="n">
        <x:v>700</x:v>
      </x:c>
      <x:c r="AU135" s="32"/>
      <x:c r="AV135" s="32"/>
      <x:c r="AW135" s="32"/>
      <x:c r="AX135" s="32"/>
      <x:c r="AY135" s="32"/>
      <x:c r="AZ135" s="32"/>
      <x:c r="BA135" s="32"/>
    </x:row>
    <x:row r="136">
      <x:c r="A136" s="25" t="str">
        <x:v>C03-M</x:v>
      </x:c>
      <x:c r="B136" s="25" t="str">
        <x:v>宁姆格福西域</x:v>
      </x:c>
      <x:c r="C136" s="25" t="str">
        <x:v>半急速中期</x:v>
      </x:c>
      <x:c r="D136" s="25" t="str">
        <x:v>神印</x:v>
      </x:c>
      <x:c r="E136" s="25" t="str">
        <x:v>本类1项（逐项见完整JSON）</x:v>
      </x:c>
      <x:c r="F136" s="25" t="str">
        <x:v>S04 / 神印公式</x:v>
      </x:c>
      <x:c r="G136" s="25" t="str">
        <x:v>自给进度假设＋原公式</x:v>
      </x:c>
      <x:c r="H136" s="25" t="str">
        <x:v>由同包逐项数据聚合，便于核对</x:v>
      </x:c>
      <x:c r="I136" s="32" t="n">
        <x:v>2145</x:v>
      </x:c>
      <x:c r="J136" s="32" t="n">
        <x:v>2145</x:v>
      </x:c>
      <x:c r="K136" s="32" t="n">
        <x:v>2145</x:v>
      </x:c>
      <x:c r="L136" s="32" t="n">
        <x:v>2145</x:v>
      </x:c>
      <x:c r="M136" s="32" t="n">
        <x:v>2145</x:v>
      </x:c>
      <x:c r="N136" s="32" t="n">
        <x:v>2145</x:v>
      </x:c>
      <x:c r="O136" s="32" t="n">
        <x:v>214500</x:v>
      </x:c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Y136" s="32"/>
      <x:c r="AZ136" s="32"/>
      <x:c r="BA136" s="32"/>
    </x:row>
    <x:row r="137">
      <x:c r="A137" s="25" t="str">
        <x:v>C03-M</x:v>
      </x:c>
      <x:c r="B137" s="25" t="str">
        <x:v>宁姆格福西域</x:v>
      </x:c>
      <x:c r="C137" s="25" t="str">
        <x:v>半急速中期</x:v>
      </x:c>
      <x:c r="D137" s="25" t="str">
        <x:v>转生</x:v>
      </x:c>
      <x:c r="E137" s="25" t="str">
        <x:v>本类1项（逐项见完整JSON）</x:v>
      </x:c>
      <x:c r="F137" s="25" t="str">
        <x:v>S07/20转</x:v>
      </x:c>
      <x:c r="G137" s="25" t="str">
        <x:v>原表累计</x:v>
      </x:c>
      <x:c r="H137" s="25" t="str">
        <x:v>由同包逐项数据聚合，便于核对</x:v>
      </x:c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 t="n">
        <x:v>0</x:v>
      </x:c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Y137" s="32"/>
      <x:c r="AZ137" s="32"/>
      <x:c r="BA137" s="32"/>
    </x:row>
    <x:row r="138">
      <x:c r="A138" s="25" t="str">
        <x:v>C03-M</x:v>
      </x:c>
      <x:c r="B138" s="25" t="str">
        <x:v>宁姆格福西域</x:v>
      </x:c>
      <x:c r="C138" s="25" t="str">
        <x:v>半急速中期</x:v>
      </x:c>
      <x:c r="D138" s="25" t="str">
        <x:v>独立称号</x:v>
      </x:c>
      <x:c r="E138" s="25" t="str">
        <x:v>本类1项（逐项见完整JSON）</x:v>
      </x:c>
      <x:c r="F138" s="25" t="str">
        <x:v>S04/02_独立称号</x:v>
      </x:c>
      <x:c r="G138" s="25" t="str">
        <x:v>原表数值</x:v>
      </x:c>
      <x:c r="H138" s="25" t="str">
        <x:v>由同包逐项数据聚合，便于核对</x:v>
      </x:c>
      <x:c r="I138" s="32" t="n">
        <x:v>30</x:v>
      </x:c>
      <x:c r="J138" s="32" t="n">
        <x:v>30</x:v>
      </x:c>
      <x:c r="K138" s="32" t="n">
        <x:v>30</x:v>
      </x:c>
      <x:c r="L138" s="32" t="n">
        <x:v>30</x:v>
      </x:c>
      <x:c r="M138" s="32" t="n">
        <x:v>30</x:v>
      </x:c>
      <x:c r="N138" s="32" t="n">
        <x:v>30</x:v>
      </x:c>
      <x:c r="O138" s="32" t="n">
        <x:v>3000</x:v>
      </x:c>
      <x:c r="P138" s="32"/>
      <x:c r="Q138" s="32"/>
      <x:c r="R138" s="32"/>
      <x:c r="S138" s="32"/>
      <x:c r="T138" s="32"/>
      <x:c r="U138" s="32"/>
      <x:c r="V138" s="32"/>
      <x:c r="W138" s="32"/>
      <x:c r="X138" s="32" t="n">
        <x:v>0</x:v>
      </x:c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 t="n">
        <x:v>0</x:v>
      </x:c>
      <x:c r="AN138" s="32"/>
      <x:c r="AO138" s="32"/>
      <x:c r="AP138" s="32" t="n">
        <x:v>0</x:v>
      </x:c>
      <x:c r="AQ138" s="32"/>
      <x:c r="AR138" s="32"/>
      <x:c r="AS138" s="32"/>
      <x:c r="AT138" s="32"/>
      <x:c r="AU138" s="32"/>
      <x:c r="AV138" s="32"/>
      <x:c r="AW138" s="32"/>
      <x:c r="AX138" s="32"/>
      <x:c r="AY138" s="32"/>
      <x:c r="AZ138" s="32"/>
      <x:c r="BA138" s="32"/>
    </x:row>
    <x:row r="139">
      <x:c r="A139" s="25" t="str">
        <x:v>C03-M</x:v>
      </x:c>
      <x:c r="B139" s="25" t="str">
        <x:v>宁姆格福西域</x:v>
      </x:c>
      <x:c r="C139" s="25" t="str">
        <x:v>半急速中期</x:v>
      </x:c>
      <x:c r="D139" s="25" t="str">
        <x:v>单件图鉴</x:v>
      </x:c>
      <x:c r="E139" s="25" t="str">
        <x:v>本类1项（逐项见完整JSON）</x:v>
      </x:c>
      <x:c r="F139" s="25" t="str">
        <x:v>S07/collection_single</x:v>
      </x:c>
      <x:c r="G139" s="25" t="str">
        <x:v>原表累计</x:v>
      </x:c>
      <x:c r="H139" s="25" t="str">
        <x:v>由同包逐项数据聚合，便于核对</x:v>
      </x:c>
      <x:c r="I139" s="32" t="n">
        <x:v>320</x:v>
      </x:c>
      <x:c r="J139" s="32" t="n">
        <x:v>320</x:v>
      </x:c>
      <x:c r="K139" s="32" t="n">
        <x:v>320</x:v>
      </x:c>
      <x:c r="L139" s="32" t="n">
        <x:v>320</x:v>
      </x:c>
      <x:c r="M139" s="32" t="n">
        <x:v>320</x:v>
      </x:c>
      <x:c r="N139" s="32" t="n">
        <x:v>320</x:v>
      </x:c>
      <x:c r="O139" s="32" t="n">
        <x:v>32000</x:v>
      </x:c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Y139" s="32"/>
      <x:c r="AZ139" s="32"/>
      <x:c r="BA139" s="32"/>
    </x:row>
    <x:row r="140">
      <x:c r="A140" s="25" t="str">
        <x:v>C03-M</x:v>
      </x:c>
      <x:c r="B140" s="25" t="str">
        <x:v>宁姆格福西域</x:v>
      </x:c>
      <x:c r="C140" s="25" t="str">
        <x:v>半急速中期</x:v>
      </x:c>
      <x:c r="D140" s="25" t="str">
        <x:v>地图整页</x:v>
      </x:c>
      <x:c r="E140" s="25" t="str">
        <x:v>本类7项（逐项见完整JSON）</x:v>
      </x:c>
      <x:c r="F140" s="25" t="str">
        <x:v>S07/collection_pages</x:v>
      </x:c>
      <x:c r="G140" s="25" t="str">
        <x:v>原表数值</x:v>
      </x:c>
      <x:c r="H140" s="25" t="str">
        <x:v>由同包逐项数据聚合，便于核对</x:v>
      </x:c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 t="n">
        <x:v>0.08</x:v>
      </x:c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 t="n">
        <x:v>3.5</x:v>
      </x:c>
      <x:c r="AN140" s="32"/>
      <x:c r="AO140" s="32"/>
      <x:c r="AP140" s="32" t="n">
        <x:v>145</x:v>
      </x:c>
      <x:c r="AQ140" s="32"/>
      <x:c r="AR140" s="32"/>
      <x:c r="AS140" s="32"/>
      <x:c r="AT140" s="32"/>
      <x:c r="AU140" s="32"/>
      <x:c r="AV140" s="32"/>
      <x:c r="AW140" s="32"/>
      <x:c r="AX140" s="32"/>
      <x:c r="AY140" s="32"/>
      <x:c r="AZ140" s="32"/>
      <x:c r="BA140" s="32"/>
    </x:row>
    <x:row r="141">
      <x:c r="A141" s="25" t="str">
        <x:v>C03-M</x:v>
      </x:c>
      <x:c r="B141" s="25" t="str">
        <x:v>宁姆格福西域</x:v>
      </x:c>
      <x:c r="C141" s="25" t="str">
        <x:v>半急速中期</x:v>
      </x:c>
      <x:c r="D141" s="25" t="str">
        <x:v>旧任务</x:v>
      </x:c>
      <x:c r="E141" s="25" t="str">
        <x:v>本类6项（逐项见完整JSON）</x:v>
      </x:c>
      <x:c r="F141" s="25" t="str">
        <x:v>宁姆格福_完整怪物装备任务爆率规划/地图任务；第一大陆_地图魂魄任务.txt</x:v>
      </x:c>
      <x:c r="G141" s="25" t="str">
        <x:v>原件确认；原表数值</x:v>
      </x:c>
      <x:c r="H141" s="25" t="str">
        <x:v>由同包逐项数据聚合，便于核对</x:v>
      </x:c>
      <x:c r="I141" s="32" t="n">
        <x:v>60</x:v>
      </x:c>
      <x:c r="J141" s="32" t="n">
        <x:v>60</x:v>
      </x:c>
      <x:c r="K141" s="32" t="n">
        <x:v>60</x:v>
      </x:c>
      <x:c r="L141" s="32" t="n">
        <x:v>60</x:v>
      </x:c>
      <x:c r="M141" s="32" t="n">
        <x:v>60</x:v>
      </x:c>
      <x:c r="N141" s="32" t="n">
        <x:v>60</x:v>
      </x:c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 t="n">
        <x:v>2</x:v>
      </x:c>
      <x:c r="AN141" s="32"/>
      <x:c r="AO141" s="32"/>
      <x:c r="AP141" s="32" t="n">
        <x:v>120</x:v>
      </x:c>
      <x:c r="AQ141" s="32"/>
      <x:c r="AR141" s="32"/>
      <x:c r="AS141" s="32"/>
      <x:c r="AT141" s="32"/>
      <x:c r="AU141" s="32"/>
      <x:c r="AV141" s="32"/>
      <x:c r="AW141" s="32"/>
      <x:c r="AX141" s="32"/>
      <x:c r="AY141" s="32"/>
      <x:c r="AZ141" s="32"/>
      <x:c r="BA141" s="32"/>
    </x:row>
    <x:row r="142">
      <x:c r="A142" s="25" t="str">
        <x:v>C03-M</x:v>
      </x:c>
      <x:c r="B142" s="25" t="str">
        <x:v>宁姆格福西域</x:v>
      </x:c>
      <x:c r="C142" s="25" t="str">
        <x:v>半急速中期</x:v>
      </x:c>
      <x:c r="D142" s="25" t="str">
        <x:v>装备</x:v>
      </x:c>
      <x:c r="E142" s="25" t="str">
        <x:v>本类31项（逐项见完整JSON）</x:v>
      </x:c>
      <x:c r="F142" s="25" t="str">
        <x:v>S01；S02；S07</x:v>
      </x:c>
      <x:c r="G142" s="25" t="str">
        <x:v>原表数值</x:v>
      </x:c>
      <x:c r="H142" s="25" t="str">
        <x:v>由同包逐项数据聚合，便于核对</x:v>
      </x:c>
      <x:c r="I142" s="32" t="n">
        <x:v>1596</x:v>
      </x:c>
      <x:c r="J142" s="32" t="n">
        <x:v>3081</x:v>
      </x:c>
      <x:c r="K142" s="32" t="n">
        <x:v>1596</x:v>
      </x:c>
      <x:c r="L142" s="32" t="n">
        <x:v>3081</x:v>
      </x:c>
      <x:c r="M142" s="32" t="n">
        <x:v>1596</x:v>
      </x:c>
      <x:c r="N142" s="32" t="n">
        <x:v>3081</x:v>
      </x:c>
      <x:c r="O142" s="32" t="n">
        <x:v>1379150</x:v>
      </x:c>
      <x:c r="P142" s="32"/>
      <x:c r="Q142" s="32" t="n">
        <x:v>825</x:v>
      </x:c>
      <x:c r="R142" s="32" t="n">
        <x:v>1519</x:v>
      </x:c>
      <x:c r="S142" s="32" t="n">
        <x:v>673</x:v>
      </x:c>
      <x:c r="T142" s="32" t="n">
        <x:v>1239</x:v>
      </x:c>
      <x:c r="U142" s="32" t="n">
        <x:v>421</x:v>
      </x:c>
      <x:c r="V142" s="32" t="n">
        <x:v>421</x:v>
      </x:c>
      <x:c r="W142" s="32" t="n">
        <x:v>421</x:v>
      </x:c>
      <x:c r="X142" s="32"/>
      <x:c r="Y142" s="32"/>
      <x:c r="Z142" s="32" t="n">
        <x:v>99</x:v>
      </x:c>
      <x:c r="AA142" s="32" t="n">
        <x:v>40</x:v>
      </x:c>
      <x:c r="AB142" s="32"/>
      <x:c r="AC142" s="32" t="n">
        <x:v>111</x:v>
      </x:c>
      <x:c r="AD142" s="32"/>
      <x:c r="AE142" s="32"/>
      <x:c r="AF142" s="32"/>
      <x:c r="AG142" s="32"/>
      <x:c r="AH142" s="32" t="n">
        <x:v>11</x:v>
      </x:c>
      <x:c r="AI142" s="32" t="n">
        <x:v>1</x:v>
      </x:c>
      <x:c r="AJ142" s="32" t="n">
        <x:v>118</x:v>
      </x:c>
      <x:c r="AK142" s="32"/>
      <x:c r="AL142" s="32"/>
      <x:c r="AM142" s="32" t="n">
        <x:v>1</x:v>
      </x:c>
      <x:c r="AN142" s="32" t="n">
        <x:v>1</x:v>
      </x:c>
      <x:c r="AO142" s="32" t="n">
        <x:v>1</x:v>
      </x:c>
      <x:c r="AP142" s="32" t="n">
        <x:v>3</x:v>
      </x:c>
      <x:c r="AQ142" s="32" t="n">
        <x:v>88</x:v>
      </x:c>
      <x:c r="AR142" s="32"/>
      <x:c r="AS142" s="32" t="n">
        <x:v>11</x:v>
      </x:c>
      <x:c r="AT142" s="32"/>
      <x:c r="AU142" s="32"/>
      <x:c r="AV142" s="32"/>
      <x:c r="AW142" s="32"/>
      <x:c r="AX142" s="32"/>
      <x:c r="AY142" s="32"/>
      <x:c r="AZ142" s="32" t="n">
        <x:v>16</x:v>
      </x:c>
      <x:c r="BA142" s="32"/>
    </x:row>
    <x:row r="143">
      <x:c r="A143" s="25" t="str">
        <x:v>C03-M</x:v>
      </x:c>
      <x:c r="B143" s="25" t="str">
        <x:v>宁姆格福西域</x:v>
      </x:c>
      <x:c r="C143" s="25" t="str">
        <x:v>半急速中期</x:v>
      </x:c>
      <x:c r="D143" s="25" t="str">
        <x:v>洗练</x:v>
      </x:c>
      <x:c r="E143" s="25" t="str">
        <x:v>本类10项（逐项见完整JSON）</x:v>
      </x:c>
      <x:c r="F143" s="25" t="str">
        <x:v>S06＋固定种子</x:v>
      </x:c>
      <x:c r="G143" s="25" t="str">
        <x:v>可实现随机样本</x:v>
      </x:c>
      <x:c r="H143" s="25" t="str">
        <x:v>由同包逐项数据聚合，便于核对</x:v>
      </x:c>
      <x:c r="I143" s="32" t="n">
        <x:v>84</x:v>
      </x:c>
      <x:c r="J143" s="32" t="n">
        <x:v>84</x:v>
      </x:c>
      <x:c r="K143" s="32" t="n">
        <x:v>5</x:v>
      </x:c>
      <x:c r="L143" s="32" t="n">
        <x:v>5</x:v>
      </x:c>
      <x:c r="M143" s="32" t="n">
        <x:v>6</x:v>
      </x:c>
      <x:c r="N143" s="32" t="n">
        <x:v>6</x:v>
      </x:c>
      <x:c r="O143" s="32"/>
      <x:c r="P143" s="32"/>
      <x:c r="Q143" s="32"/>
      <x:c r="R143" s="32"/>
      <x:c r="S143" s="32"/>
      <x:c r="T143" s="32"/>
      <x:c r="U143" s="32" t="n">
        <x:v>353</x:v>
      </x:c>
      <x:c r="V143" s="32"/>
      <x:c r="W143" s="32"/>
      <x:c r="X143" s="32"/>
      <x:c r="Y143" s="32" t="n">
        <x:v>2</x:v>
      </x:c>
      <x:c r="Z143" s="32"/>
      <x:c r="AA143" s="32"/>
      <x:c r="AB143" s="32" t="n">
        <x:v>4</x:v>
      </x:c>
      <x:c r="AC143" s="32"/>
      <x:c r="AD143" s="32" t="n">
        <x:v>2</x:v>
      </x:c>
      <x:c r="AE143" s="32"/>
      <x:c r="AF143" s="32"/>
      <x:c r="AG143" s="32"/>
      <x:c r="AH143" s="32" t="n">
        <x:v>3</x:v>
      </x:c>
      <x:c r="AI143" s="32"/>
      <x:c r="AJ143" s="32"/>
      <x:c r="AK143" s="32"/>
      <x:c r="AL143" s="32"/>
      <x:c r="AM143" s="32"/>
      <x:c r="AN143" s="32" t="n">
        <x:v>4</x:v>
      </x:c>
      <x:c r="AO143" s="32"/>
      <x:c r="AP143" s="32" t="n">
        <x:v>20</x:v>
      </x:c>
      <x:c r="AQ143" s="32"/>
      <x:c r="AR143" s="32"/>
      <x:c r="AS143" s="32"/>
      <x:c r="AT143" s="32"/>
      <x:c r="AU143" s="32"/>
      <x:c r="AV143" s="32"/>
      <x:c r="AW143" s="32"/>
      <x:c r="AX143" s="32"/>
      <x:c r="AY143" s="32"/>
      <x:c r="AZ143" s="32"/>
      <x:c r="BA143" s="32"/>
    </x:row>
    <x:row r="144">
      <x:c r="A144" s="25" t="str">
        <x:v>C03-M</x:v>
      </x:c>
      <x:c r="B144" s="25" t="str">
        <x:v>宁姆格福西域</x:v>
      </x:c>
      <x:c r="C144" s="25" t="str">
        <x:v>半急速中期</x:v>
      </x:c>
      <x:c r="D144" s="25" t="str">
        <x:v>命格</x:v>
      </x:c>
      <x:c r="E144" s="25" t="str">
        <x:v>本类3项（逐项见完整JSON）</x:v>
      </x:c>
      <x:c r="F144" s="25" t="str">
        <x:v>S03/命格ID1081；S03/命格ID1092；S03/命格ID1093</x:v>
      </x:c>
      <x:c r="G144" s="25" t="str">
        <x:v>原表彩色＋选配假设</x:v>
      </x:c>
      <x:c r="H144" s="25" t="str">
        <x:v>由同包逐项数据聚合，便于核对</x:v>
      </x:c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 t="n">
        <x:v>6</x:v>
      </x:c>
      <x:c r="Z144" s="32" t="n">
        <x:v>3</x:v>
      </x:c>
      <x:c r="AA144" s="32"/>
      <x:c r="AB144" s="32"/>
      <x:c r="AC144" s="32"/>
      <x:c r="AD144" s="32"/>
      <x:c r="AE144" s="32"/>
      <x:c r="AF144" s="32"/>
      <x:c r="AG144" s="32"/>
      <x:c r="AH144" s="32" t="n">
        <x:v>2</x:v>
      </x:c>
      <x:c r="AI144" s="32"/>
      <x:c r="AJ144" s="32" t="n">
        <x:v>10</x:v>
      </x:c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 t="n">
        <x:v>50</x:v>
      </x:c>
      <x:c r="AU144" s="32" t="n">
        <x:v>2</x:v>
      </x:c>
      <x:c r="AV144" s="32" t="n">
        <x:v>3</x:v>
      </x:c>
      <x:c r="AW144" s="32"/>
      <x:c r="AX144" s="32"/>
      <x:c r="AY144" s="32"/>
      <x:c r="AZ144" s="32"/>
      <x:c r="BA144" s="32"/>
    </x:row>
    <x:row r="145">
      <x:c r="A145" s="25" t="str">
        <x:v>C03-M</x:v>
      </x:c>
      <x:c r="B145" s="25" t="str">
        <x:v>宁姆格福西域</x:v>
      </x:c>
      <x:c r="C145" s="25" t="str">
        <x:v>半急速中期</x:v>
      </x:c>
      <x:c r="D145" s="25" t="str">
        <x:v>后天幸运</x:v>
      </x:c>
      <x:c r="E145" s="25" t="str">
        <x:v>本类1项（逐项见完整JSON）</x:v>
      </x:c>
      <x:c r="F145" s="25" t="str">
        <x:v>A08</x:v>
      </x:c>
      <x:c r="G145" s="25" t="str">
        <x:v>人物永久进度</x:v>
      </x:c>
      <x:c r="H145" s="25" t="str">
        <x:v>由同包逐项数据聚合，便于核对</x:v>
      </x:c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 t="n">
        <x:v>7</x:v>
      </x:c>
      <x:c r="AL145" s="32" t="n">
        <x:v>8</x:v>
      </x:c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Y145" s="32"/>
      <x:c r="AZ145" s="32"/>
      <x:c r="BA145" s="32"/>
    </x:row>
    <x:row r="146">
      <x:c r="A146" s="25" t="str">
        <x:v>C03-M</x:v>
      </x:c>
      <x:c r="B146" s="25" t="str">
        <x:v>宁姆格福西域</x:v>
      </x:c>
      <x:c r="C146" s="25" t="str">
        <x:v>半急速中期</x:v>
      </x:c>
      <x:c r="D146" s="25" t="str">
        <x:v>回收预算</x:v>
      </x:c>
      <x:c r="E146" s="25" t="str">
        <x:v>本类1项（逐项见完整JSON）</x:v>
      </x:c>
      <x:c r="F146" s="25" t="str">
        <x:v>用户总回收50%</x:v>
      </x:c>
      <x:c r="G146" s="25" t="str">
        <x:v>经济输入，不是新增属性来源</x:v>
      </x:c>
      <x:c r="H146" s="25" t="str">
        <x:v>由同包逐项数据聚合，便于核对</x:v>
      </x:c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Y146" s="32"/>
      <x:c r="AZ146" s="32"/>
      <x:c r="BA146" s="32" t="n">
        <x:v>50</x:v>
      </x:c>
    </x:row>
    <x:row r="147">
      <x:c r="A147" s="25" t="str">
        <x:v>C03-G</x:v>
      </x:c>
      <x:c r="B147" s="25" t="str">
        <x:v>宁姆格福西域</x:v>
      </x:c>
      <x:c r="C147" s="25" t="str">
        <x:v>半急速毕业</x:v>
      </x:c>
      <x:c r="D147" s="25" t="str">
        <x:v>人物自然</x:v>
      </x:c>
      <x:c r="E147" s="25" t="str">
        <x:v>本类1项（逐项见完整JSON）</x:v>
      </x:c>
      <x:c r="F147" s="25" t="str">
        <x:v>A01</x:v>
      </x:c>
      <x:c r="G147" s="25" t="str">
        <x:v>模型假设</x:v>
      </x:c>
      <x:c r="H147" s="25" t="str">
        <x:v>由同包逐项数据聚合，便于核对</x:v>
      </x:c>
      <x:c r="I147" s="32" t="n">
        <x:v>13</x:v>
      </x:c>
      <x:c r="J147" s="32" t="n">
        <x:v>28</x:v>
      </x:c>
      <x:c r="K147" s="32"/>
      <x:c r="L147" s="32"/>
      <x:c r="M147" s="32"/>
      <x:c r="N147" s="32"/>
      <x:c r="O147" s="32" t="n">
        <x:v>2200</x:v>
      </x:c>
      <x:c r="P147" s="32" t="n">
        <x:v>500</x:v>
      </x:c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Y147" s="32"/>
      <x:c r="AZ147" s="32"/>
      <x:c r="BA147" s="32"/>
    </x:row>
    <x:row r="148">
      <x:c r="A148" s="25" t="str">
        <x:v>C03-G</x:v>
      </x:c>
      <x:c r="B148" s="25" t="str">
        <x:v>宁姆格福西域</x:v>
      </x:c>
      <x:c r="C148" s="25" t="str">
        <x:v>半急速毕业</x:v>
      </x:c>
      <x:c r="D148" s="25" t="str">
        <x:v>付费状态</x:v>
      </x:c>
      <x:c r="E148" s="25" t="str">
        <x:v>本类3项（逐项见完整JSON）</x:v>
      </x:c>
      <x:c r="F148" s="25" t="str">
        <x:v>20260903总档</x:v>
      </x:c>
      <x:c r="G148" s="25" t="str">
        <x:v>原表数值</x:v>
      </x:c>
      <x:c r="H148" s="25" t="str">
        <x:v>由同包逐项数据聚合，便于核对</x:v>
      </x:c>
      <x:c r="I148" s="32" t="n">
        <x:v>149</x:v>
      </x:c>
      <x:c r="J148" s="32" t="n">
        <x:v>149</x:v>
      </x:c>
      <x:c r="K148" s="32" t="n">
        <x:v>149</x:v>
      </x:c>
      <x:c r="L148" s="32" t="n">
        <x:v>149</x:v>
      </x:c>
      <x:c r="M148" s="32" t="n">
        <x:v>149</x:v>
      </x:c>
      <x:c r="N148" s="32" t="n">
        <x:v>149</x:v>
      </x:c>
      <x:c r="O148" s="32" t="n">
        <x:v>10000</x:v>
      </x:c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 t="n">
        <x:v>10</x:v>
      </x:c>
      <x:c r="Z148" s="32"/>
      <x:c r="AA148" s="32"/>
      <x:c r="AB148" s="32" t="n">
        <x:v>20</x:v>
      </x:c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 t="n">
        <x:v>10</x:v>
      </x:c>
      <x:c r="AN148" s="32"/>
      <x:c r="AO148" s="32"/>
      <x:c r="AP148" s="32" t="n">
        <x:v>50</x:v>
      </x:c>
      <x:c r="AQ148" s="32"/>
      <x:c r="AR148" s="32"/>
      <x:c r="AS148" s="32"/>
      <x:c r="AT148" s="32" t="n">
        <x:v>700</x:v>
      </x:c>
      <x:c r="AU148" s="32" t="n">
        <x:v>15</x:v>
      </x:c>
      <x:c r="AV148" s="32"/>
      <x:c r="AW148" s="32"/>
      <x:c r="AX148" s="32"/>
      <x:c r="AY148" s="32"/>
      <x:c r="AZ148" s="32"/>
      <x:c r="BA148" s="32"/>
    </x:row>
    <x:row r="149">
      <x:c r="A149" s="25" t="str">
        <x:v>C03-G</x:v>
      </x:c>
      <x:c r="B149" s="25" t="str">
        <x:v>宁姆格福西域</x:v>
      </x:c>
      <x:c r="C149" s="25" t="str">
        <x:v>半急速毕业</x:v>
      </x:c>
      <x:c r="D149" s="25" t="str">
        <x:v>成长装备</x:v>
      </x:c>
      <x:c r="E149" s="25" t="str">
        <x:v>本类2项（逐项见完整JSON）</x:v>
      </x:c>
      <x:c r="F149" s="25" t="str">
        <x:v>20260903总档 / A04</x:v>
      </x:c>
      <x:c r="G149" s="25" t="str">
        <x:v>原表＋支付路径假设</x:v>
      </x:c>
      <x:c r="H149" s="25" t="str">
        <x:v>由同包逐项数据聚合，便于核对</x:v>
      </x:c>
      <x:c r="I149" s="32" t="n">
        <x:v>1100</x:v>
      </x:c>
      <x:c r="J149" s="32" t="n">
        <x:v>1100</x:v>
      </x:c>
      <x:c r="K149" s="32" t="n">
        <x:v>1100</x:v>
      </x:c>
      <x:c r="L149" s="32" t="n">
        <x:v>1100</x:v>
      </x:c>
      <x:c r="M149" s="32" t="n">
        <x:v>1100</x:v>
      </x:c>
      <x:c r="N149" s="32" t="n">
        <x:v>1100</x:v>
      </x:c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 t="n">
        <x:v>10</x:v>
      </x:c>
      <x:c r="AX149" s="32" t="n">
        <x:v>10</x:v>
      </x:c>
      <x:c r="AY149" s="32"/>
      <x:c r="AZ149" s="32"/>
      <x:c r="BA149" s="32"/>
    </x:row>
    <x:row r="150">
      <x:c r="A150" s="25" t="str">
        <x:v>C03-G</x:v>
      </x:c>
      <x:c r="B150" s="25" t="str">
        <x:v>宁姆格福西域</x:v>
      </x:c>
      <x:c r="C150" s="25" t="str">
        <x:v>半急速毕业</x:v>
      </x:c>
      <x:c r="D150" s="25" t="str">
        <x:v>贯穿称号</x:v>
      </x:c>
      <x:c r="E150" s="25" t="str">
        <x:v>本类1项（逐项见完整JSON）</x:v>
      </x:c>
      <x:c r="F150" s="25" t="str">
        <x:v>S04/01_贯穿称号</x:v>
      </x:c>
      <x:c r="G150" s="25" t="str">
        <x:v>原表数值</x:v>
      </x:c>
      <x:c r="H150" s="25" t="str">
        <x:v>由同包逐项数据聚合，便于核对</x:v>
      </x:c>
      <x:c r="I150" s="32" t="n">
        <x:v>800</x:v>
      </x:c>
      <x:c r="J150" s="32" t="n">
        <x:v>800</x:v>
      </x:c>
      <x:c r="K150" s="32" t="n">
        <x:v>800</x:v>
      </x:c>
      <x:c r="L150" s="32" t="n">
        <x:v>800</x:v>
      </x:c>
      <x:c r="M150" s="32" t="n">
        <x:v>800</x:v>
      </x:c>
      <x:c r="N150" s="32" t="n">
        <x:v>800</x:v>
      </x:c>
      <x:c r="O150" s="32" t="n">
        <x:v>80000</x:v>
      </x:c>
      <x:c r="P150" s="32" t="n">
        <x:v>80000</x:v>
      </x:c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 t="n">
        <x:v>700</x:v>
      </x:c>
      <x:c r="AU150" s="32"/>
      <x:c r="AV150" s="32"/>
      <x:c r="AW150" s="32"/>
      <x:c r="AX150" s="32"/>
      <x:c r="AY150" s="32"/>
      <x:c r="AZ150" s="32"/>
      <x:c r="BA150" s="32"/>
    </x:row>
    <x:row r="151">
      <x:c r="A151" s="25" t="str">
        <x:v>C03-G</x:v>
      </x:c>
      <x:c r="B151" s="25" t="str">
        <x:v>宁姆格福西域</x:v>
      </x:c>
      <x:c r="C151" s="25" t="str">
        <x:v>半急速毕业</x:v>
      </x:c>
      <x:c r="D151" s="25" t="str">
        <x:v>神印</x:v>
      </x:c>
      <x:c r="E151" s="25" t="str">
        <x:v>本类1项（逐项见完整JSON）</x:v>
      </x:c>
      <x:c r="F151" s="25" t="str">
        <x:v>S04 / 神印公式</x:v>
      </x:c>
      <x:c r="G151" s="25" t="str">
        <x:v>自给进度假设＋原公式</x:v>
      </x:c>
      <x:c r="H151" s="25" t="str">
        <x:v>由同包逐项数据聚合，便于核对</x:v>
      </x:c>
      <x:c r="I151" s="32" t="n">
        <x:v>3240</x:v>
      </x:c>
      <x:c r="J151" s="32" t="n">
        <x:v>3240</x:v>
      </x:c>
      <x:c r="K151" s="32" t="n">
        <x:v>3240</x:v>
      </x:c>
      <x:c r="L151" s="32" t="n">
        <x:v>3240</x:v>
      </x:c>
      <x:c r="M151" s="32" t="n">
        <x:v>3240</x:v>
      </x:c>
      <x:c r="N151" s="32" t="n">
        <x:v>3240</x:v>
      </x:c>
      <x:c r="O151" s="32" t="n">
        <x:v>324000</x:v>
      </x:c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Y151" s="32"/>
      <x:c r="AZ151" s="32"/>
      <x:c r="BA151" s="32"/>
    </x:row>
    <x:row r="152">
      <x:c r="A152" s="25" t="str">
        <x:v>C03-G</x:v>
      </x:c>
      <x:c r="B152" s="25" t="str">
        <x:v>宁姆格福西域</x:v>
      </x:c>
      <x:c r="C152" s="25" t="str">
        <x:v>半急速毕业</x:v>
      </x:c>
      <x:c r="D152" s="25" t="str">
        <x:v>转生</x:v>
      </x:c>
      <x:c r="E152" s="25" t="str">
        <x:v>本类1项（逐项见完整JSON）</x:v>
      </x:c>
      <x:c r="F152" s="25" t="str">
        <x:v>S07/20转</x:v>
      </x:c>
      <x:c r="G152" s="25" t="str">
        <x:v>原表累计</x:v>
      </x:c>
      <x:c r="H152" s="25" t="str">
        <x:v>由同包逐项数据聚合，便于核对</x:v>
      </x:c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 t="n">
        <x:v>0</x:v>
      </x:c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Y152" s="32"/>
      <x:c r="AZ152" s="32"/>
      <x:c r="BA152" s="32"/>
    </x:row>
    <x:row r="153">
      <x:c r="A153" s="25" t="str">
        <x:v>C03-G</x:v>
      </x:c>
      <x:c r="B153" s="25" t="str">
        <x:v>宁姆格福西域</x:v>
      </x:c>
      <x:c r="C153" s="25" t="str">
        <x:v>半急速毕业</x:v>
      </x:c>
      <x:c r="D153" s="25" t="str">
        <x:v>独立称号</x:v>
      </x:c>
      <x:c r="E153" s="25" t="str">
        <x:v>本类2项（逐项见完整JSON）</x:v>
      </x:c>
      <x:c r="F153" s="25" t="str">
        <x:v>S04/02_独立称号</x:v>
      </x:c>
      <x:c r="G153" s="25" t="str">
        <x:v>原表数值</x:v>
      </x:c>
      <x:c r="H153" s="25" t="str">
        <x:v>由同包逐项数据聚合，便于核对</x:v>
      </x:c>
      <x:c r="I153" s="32" t="n">
        <x:v>210</x:v>
      </x:c>
      <x:c r="J153" s="32" t="n">
        <x:v>210</x:v>
      </x:c>
      <x:c r="K153" s="32" t="n">
        <x:v>210</x:v>
      </x:c>
      <x:c r="L153" s="32" t="n">
        <x:v>210</x:v>
      </x:c>
      <x:c r="M153" s="32" t="n">
        <x:v>210</x:v>
      </x:c>
      <x:c r="N153" s="32" t="n">
        <x:v>210</x:v>
      </x:c>
      <x:c r="O153" s="32" t="n">
        <x:v>21000</x:v>
      </x:c>
      <x:c r="P153" s="32"/>
      <x:c r="Q153" s="32"/>
      <x:c r="R153" s="32"/>
      <x:c r="S153" s="32"/>
      <x:c r="T153" s="32"/>
      <x:c r="U153" s="32"/>
      <x:c r="V153" s="32"/>
      <x:c r="W153" s="32"/>
      <x:c r="X153" s="32" t="n">
        <x:v>0</x:v>
      </x:c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 t="n">
        <x:v>0</x:v>
      </x:c>
      <x:c r="AN153" s="32"/>
      <x:c r="AO153" s="32"/>
      <x:c r="AP153" s="32" t="n">
        <x:v>0</x:v>
      </x:c>
      <x:c r="AQ153" s="32"/>
      <x:c r="AR153" s="32"/>
      <x:c r="AS153" s="32"/>
      <x:c r="AT153" s="32"/>
      <x:c r="AU153" s="32"/>
      <x:c r="AV153" s="32"/>
      <x:c r="AW153" s="32"/>
      <x:c r="AX153" s="32"/>
      <x:c r="AY153" s="32"/>
      <x:c r="AZ153" s="32"/>
      <x:c r="BA153" s="32"/>
    </x:row>
    <x:row r="154">
      <x:c r="A154" s="25" t="str">
        <x:v>C03-G</x:v>
      </x:c>
      <x:c r="B154" s="25" t="str">
        <x:v>宁姆格福西域</x:v>
      </x:c>
      <x:c r="C154" s="25" t="str">
        <x:v>半急速毕业</x:v>
      </x:c>
      <x:c r="D154" s="25" t="str">
        <x:v>单件图鉴</x:v>
      </x:c>
      <x:c r="E154" s="25" t="str">
        <x:v>本类1项（逐项见完整JSON）</x:v>
      </x:c>
      <x:c r="F154" s="25" t="str">
        <x:v>S07/collection_single</x:v>
      </x:c>
      <x:c r="G154" s="25" t="str">
        <x:v>原表累计</x:v>
      </x:c>
      <x:c r="H154" s="25" t="str">
        <x:v>由同包逐项数据聚合，便于核对</x:v>
      </x:c>
      <x:c r="I154" s="32" t="n">
        <x:v>431</x:v>
      </x:c>
      <x:c r="J154" s="32" t="n">
        <x:v>431</x:v>
      </x:c>
      <x:c r="K154" s="32" t="n">
        <x:v>431</x:v>
      </x:c>
      <x:c r="L154" s="32" t="n">
        <x:v>431</x:v>
      </x:c>
      <x:c r="M154" s="32" t="n">
        <x:v>431</x:v>
      </x:c>
      <x:c r="N154" s="32" t="n">
        <x:v>431</x:v>
      </x:c>
      <x:c r="O154" s="32" t="n">
        <x:v>43100</x:v>
      </x:c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Y154" s="32"/>
      <x:c r="AZ154" s="32"/>
      <x:c r="BA154" s="32"/>
    </x:row>
    <x:row r="155">
      <x:c r="A155" s="25" t="str">
        <x:v>C03-G</x:v>
      </x:c>
      <x:c r="B155" s="25" t="str">
        <x:v>宁姆格福西域</x:v>
      </x:c>
      <x:c r="C155" s="25" t="str">
        <x:v>半急速毕业</x:v>
      </x:c>
      <x:c r="D155" s="25" t="str">
        <x:v>地图整页</x:v>
      </x:c>
      <x:c r="E155" s="25" t="str">
        <x:v>本类9项（逐项见完整JSON）</x:v>
      </x:c>
      <x:c r="F155" s="25" t="str">
        <x:v>S07/collection_pages</x:v>
      </x:c>
      <x:c r="G155" s="25" t="str">
        <x:v>原表数值</x:v>
      </x:c>
      <x:c r="H155" s="25" t="str">
        <x:v>由同包逐项数据聚合，便于核对</x:v>
      </x:c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 t="n">
        <x:v>0.12000000000000001</x:v>
      </x:c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 t="n">
        <x:v>4.5</x:v>
      </x:c>
      <x:c r="AN155" s="32"/>
      <x:c r="AO155" s="32"/>
      <x:c r="AP155" s="32" t="n">
        <x:v>195</x:v>
      </x:c>
      <x:c r="AQ155" s="32"/>
      <x:c r="AR155" s="32"/>
      <x:c r="AS155" s="32"/>
      <x:c r="AT155" s="32"/>
      <x:c r="AU155" s="32"/>
      <x:c r="AV155" s="32"/>
      <x:c r="AW155" s="32"/>
      <x:c r="AX155" s="32"/>
      <x:c r="AY155" s="32"/>
      <x:c r="AZ155" s="32"/>
      <x:c r="BA155" s="32"/>
    </x:row>
    <x:row r="156">
      <x:c r="A156" s="25" t="str">
        <x:v>C03-G</x:v>
      </x:c>
      <x:c r="B156" s="25" t="str">
        <x:v>宁姆格福西域</x:v>
      </x:c>
      <x:c r="C156" s="25" t="str">
        <x:v>半急速毕业</x:v>
      </x:c>
      <x:c r="D156" s="25" t="str">
        <x:v>旧任务</x:v>
      </x:c>
      <x:c r="E156" s="25" t="str">
        <x:v>本类6项（逐项见完整JSON）</x:v>
      </x:c>
      <x:c r="F156" s="25" t="str">
        <x:v>宁姆格福_完整怪物装备任务爆率规划/地图任务；第一大陆_地图魂魄任务.txt</x:v>
      </x:c>
      <x:c r="G156" s="25" t="str">
        <x:v>原件确认；原表数值</x:v>
      </x:c>
      <x:c r="H156" s="25" t="str">
        <x:v>由同包逐项数据聚合，便于核对</x:v>
      </x:c>
      <x:c r="I156" s="32" t="n">
        <x:v>60</x:v>
      </x:c>
      <x:c r="J156" s="32" t="n">
        <x:v>60</x:v>
      </x:c>
      <x:c r="K156" s="32" t="n">
        <x:v>60</x:v>
      </x:c>
      <x:c r="L156" s="32" t="n">
        <x:v>60</x:v>
      </x:c>
      <x:c r="M156" s="32" t="n">
        <x:v>60</x:v>
      </x:c>
      <x:c r="N156" s="32" t="n">
        <x:v>60</x:v>
      </x:c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 t="n">
        <x:v>2</x:v>
      </x:c>
      <x:c r="AN156" s="32"/>
      <x:c r="AO156" s="32"/>
      <x:c r="AP156" s="32" t="n">
        <x:v>120</x:v>
      </x:c>
      <x:c r="AQ156" s="32"/>
      <x:c r="AR156" s="32"/>
      <x:c r="AS156" s="32"/>
      <x:c r="AT156" s="32"/>
      <x:c r="AU156" s="32"/>
      <x:c r="AV156" s="32"/>
      <x:c r="AW156" s="32"/>
      <x:c r="AX156" s="32"/>
      <x:c r="AY156" s="32"/>
      <x:c r="AZ156" s="32"/>
      <x:c r="BA156" s="32"/>
    </x:row>
    <x:row r="157">
      <x:c r="A157" s="25" t="str">
        <x:v>C03-G</x:v>
      </x:c>
      <x:c r="B157" s="25" t="str">
        <x:v>宁姆格福西域</x:v>
      </x:c>
      <x:c r="C157" s="25" t="str">
        <x:v>半急速毕业</x:v>
      </x:c>
      <x:c r="D157" s="25" t="str">
        <x:v>装备</x:v>
      </x:c>
      <x:c r="E157" s="25" t="str">
        <x:v>本类31项（逐项见完整JSON）</x:v>
      </x:c>
      <x:c r="F157" s="25" t="str">
        <x:v>S01；S02；S07</x:v>
      </x:c>
      <x:c r="G157" s="25" t="str">
        <x:v>原表数值</x:v>
      </x:c>
      <x:c r="H157" s="25" t="str">
        <x:v>由同包逐项数据聚合，便于核对</x:v>
      </x:c>
      <x:c r="I157" s="32" t="n">
        <x:v>2074</x:v>
      </x:c>
      <x:c r="J157" s="32" t="n">
        <x:v>4011</x:v>
      </x:c>
      <x:c r="K157" s="32" t="n">
        <x:v>2074</x:v>
      </x:c>
      <x:c r="L157" s="32" t="n">
        <x:v>4011</x:v>
      </x:c>
      <x:c r="M157" s="32" t="n">
        <x:v>2074</x:v>
      </x:c>
      <x:c r="N157" s="32" t="n">
        <x:v>4011</x:v>
      </x:c>
      <x:c r="O157" s="32" t="n">
        <x:v>2126550</x:v>
      </x:c>
      <x:c r="P157" s="32"/>
      <x:c r="Q157" s="32" t="n">
        <x:v>692</x:v>
      </x:c>
      <x:c r="R157" s="32" t="n">
        <x:v>1275</x:v>
      </x:c>
      <x:c r="S157" s="32" t="n">
        <x:v>565</x:v>
      </x:c>
      <x:c r="T157" s="32" t="n">
        <x:v>1040</x:v>
      </x:c>
      <x:c r="U157" s="32" t="n">
        <x:v>438</x:v>
      </x:c>
      <x:c r="V157" s="32" t="n">
        <x:v>438</x:v>
      </x:c>
      <x:c r="W157" s="32" t="n">
        <x:v>438</x:v>
      </x:c>
      <x:c r="X157" s="32"/>
      <x:c r="Y157" s="32"/>
      <x:c r="Z157" s="32" t="n">
        <x:v>97</x:v>
      </x:c>
      <x:c r="AA157" s="32" t="n">
        <x:v>36</x:v>
      </x:c>
      <x:c r="AB157" s="32"/>
      <x:c r="AC157" s="32" t="n">
        <x:v>114</x:v>
      </x:c>
      <x:c r="AD157" s="32"/>
      <x:c r="AE157" s="32"/>
      <x:c r="AF157" s="32"/>
      <x:c r="AG157" s="32"/>
      <x:c r="AH157" s="32" t="n">
        <x:v>23</x:v>
      </x:c>
      <x:c r="AI157" s="32" t="n">
        <x:v>2</x:v>
      </x:c>
      <x:c r="AJ157" s="32" t="n">
        <x:v>123</x:v>
      </x:c>
      <x:c r="AK157" s="32"/>
      <x:c r="AL157" s="32"/>
      <x:c r="AM157" s="32"/>
      <x:c r="AN157" s="32"/>
      <x:c r="AO157" s="32"/>
      <x:c r="AP157" s="32" t="n">
        <x:v>21</x:v>
      </x:c>
      <x:c r="AQ157" s="32" t="n">
        <x:v>87</x:v>
      </x:c>
      <x:c r="AR157" s="32"/>
      <x:c r="AS157" s="32" t="n">
        <x:v>7</x:v>
      </x:c>
      <x:c r="AT157" s="32"/>
      <x:c r="AU157" s="32"/>
      <x:c r="AV157" s="32"/>
      <x:c r="AW157" s="32"/>
      <x:c r="AX157" s="32"/>
      <x:c r="AY157" s="32"/>
      <x:c r="AZ157" s="32" t="n">
        <x:v>11</x:v>
      </x:c>
      <x:c r="BA157" s="32"/>
    </x:row>
    <x:row r="158">
      <x:c r="A158" s="25" t="str">
        <x:v>C03-G</x:v>
      </x:c>
      <x:c r="B158" s="25" t="str">
        <x:v>宁姆格福西域</x:v>
      </x:c>
      <x:c r="C158" s="25" t="str">
        <x:v>半急速毕业</x:v>
      </x:c>
      <x:c r="D158" s="25" t="str">
        <x:v>洗练</x:v>
      </x:c>
      <x:c r="E158" s="25" t="str">
        <x:v>本类10项（逐项见完整JSON）</x:v>
      </x:c>
      <x:c r="F158" s="25" t="str">
        <x:v>S06＋固定种子</x:v>
      </x:c>
      <x:c r="G158" s="25" t="str">
        <x:v>可实现随机样本</x:v>
      </x:c>
      <x:c r="H158" s="25" t="str">
        <x:v>由同包逐项数据聚合，便于核对</x:v>
      </x:c>
      <x:c r="I158" s="32" t="n">
        <x:v>119</x:v>
      </x:c>
      <x:c r="J158" s="32" t="n">
        <x:v>119</x:v>
      </x:c>
      <x:c r="K158" s="32"/>
      <x:c r="L158" s="32"/>
      <x:c r="M158" s="32" t="n">
        <x:v>6</x:v>
      </x:c>
      <x:c r="N158" s="32" t="n">
        <x:v>6</x:v>
      </x:c>
      <x:c r="O158" s="32"/>
      <x:c r="P158" s="32"/>
      <x:c r="Q158" s="32"/>
      <x:c r="R158" s="32"/>
      <x:c r="S158" s="32"/>
      <x:c r="T158" s="32"/>
      <x:c r="U158" s="32" t="n">
        <x:v>404</x:v>
      </x:c>
      <x:c r="V158" s="32"/>
      <x:c r="W158" s="32"/>
      <x:c r="X158" s="32"/>
      <x:c r="Y158" s="32" t="n">
        <x:v>2</x:v>
      </x:c>
      <x:c r="Z158" s="32"/>
      <x:c r="AA158" s="32"/>
      <x:c r="AB158" s="32" t="n">
        <x:v>4</x:v>
      </x:c>
      <x:c r="AC158" s="32"/>
      <x:c r="AD158" s="32" t="n">
        <x:v>1</x:v>
      </x:c>
      <x:c r="AE158" s="32"/>
      <x:c r="AF158" s="32"/>
      <x:c r="AG158" s="32"/>
      <x:c r="AH158" s="32" t="n">
        <x:v>8</x:v>
      </x:c>
      <x:c r="AI158" s="32"/>
      <x:c r="AJ158" s="32"/>
      <x:c r="AK158" s="32"/>
      <x:c r="AL158" s="32"/>
      <x:c r="AM158" s="32"/>
      <x:c r="AN158" s="32" t="n">
        <x:v>5</x:v>
      </x:c>
      <x:c r="AO158" s="32"/>
      <x:c r="AP158" s="32" t="n">
        <x:v>10</x:v>
      </x:c>
      <x:c r="AQ158" s="32"/>
      <x:c r="AR158" s="32"/>
      <x:c r="AS158" s="32" t="n">
        <x:v>1</x:v>
      </x:c>
      <x:c r="AT158" s="32"/>
      <x:c r="AU158" s="32" t="n">
        <x:v>2</x:v>
      </x:c>
      <x:c r="AV158" s="32"/>
      <x:c r="AW158" s="32"/>
      <x:c r="AX158" s="32"/>
      <x:c r="AY158" s="32"/>
      <x:c r="AZ158" s="32"/>
      <x:c r="BA158" s="32"/>
    </x:row>
    <x:row r="159">
      <x:c r="A159" s="25" t="str">
        <x:v>C03-G</x:v>
      </x:c>
      <x:c r="B159" s="25" t="str">
        <x:v>宁姆格福西域</x:v>
      </x:c>
      <x:c r="C159" s="25" t="str">
        <x:v>半急速毕业</x:v>
      </x:c>
      <x:c r="D159" s="25" t="str">
        <x:v>命格</x:v>
      </x:c>
      <x:c r="E159" s="25" t="str">
        <x:v>本类3项（逐项见完整JSON）</x:v>
      </x:c>
      <x:c r="F159" s="25" t="str">
        <x:v>S03/命格ID1081；S03/命格ID1092；S03/命格ID1093</x:v>
      </x:c>
      <x:c r="G159" s="25" t="str">
        <x:v>原表彩色＋选配假设</x:v>
      </x:c>
      <x:c r="H159" s="25" t="str">
        <x:v>由同包逐项数据聚合，便于核对</x:v>
      </x:c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 t="n">
        <x:v>6</x:v>
      </x:c>
      <x:c r="Z159" s="32" t="n">
        <x:v>3</x:v>
      </x:c>
      <x:c r="AA159" s="32"/>
      <x:c r="AB159" s="32"/>
      <x:c r="AC159" s="32"/>
      <x:c r="AD159" s="32"/>
      <x:c r="AE159" s="32"/>
      <x:c r="AF159" s="32"/>
      <x:c r="AG159" s="32"/>
      <x:c r="AH159" s="32" t="n">
        <x:v>2</x:v>
      </x:c>
      <x:c r="AI159" s="32"/>
      <x:c r="AJ159" s="32" t="n">
        <x:v>10</x:v>
      </x:c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 t="n">
        <x:v>50</x:v>
      </x:c>
      <x:c r="AU159" s="32" t="n">
        <x:v>2</x:v>
      </x:c>
      <x:c r="AV159" s="32" t="n">
        <x:v>3</x:v>
      </x:c>
      <x:c r="AW159" s="32"/>
      <x:c r="AX159" s="32"/>
      <x:c r="AY159" s="32"/>
      <x:c r="AZ159" s="32"/>
      <x:c r="BA159" s="32"/>
    </x:row>
    <x:row r="160">
      <x:c r="A160" s="25" t="str">
        <x:v>C03-G</x:v>
      </x:c>
      <x:c r="B160" s="25" t="str">
        <x:v>宁姆格福西域</x:v>
      </x:c>
      <x:c r="C160" s="25" t="str">
        <x:v>半急速毕业</x:v>
      </x:c>
      <x:c r="D160" s="25" t="str">
        <x:v>后天幸运</x:v>
      </x:c>
      <x:c r="E160" s="25" t="str">
        <x:v>本类1项（逐项见完整JSON）</x:v>
      </x:c>
      <x:c r="F160" s="25" t="str">
        <x:v>A08</x:v>
      </x:c>
      <x:c r="G160" s="25" t="str">
        <x:v>人物永久进度</x:v>
      </x:c>
      <x:c r="H160" s="25" t="str">
        <x:v>由同包逐项数据聚合，便于核对</x:v>
      </x:c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 t="n">
        <x:v>7</x:v>
      </x:c>
      <x:c r="AL160" s="32" t="n">
        <x:v>8</x:v>
      </x:c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Y160" s="32"/>
      <x:c r="AZ160" s="32"/>
      <x:c r="BA160" s="32"/>
    </x:row>
    <x:row r="161">
      <x:c r="A161" s="25" t="str">
        <x:v>C03-G</x:v>
      </x:c>
      <x:c r="B161" s="25" t="str">
        <x:v>宁姆格福西域</x:v>
      </x:c>
      <x:c r="C161" s="25" t="str">
        <x:v>半急速毕业</x:v>
      </x:c>
      <x:c r="D161" s="25" t="str">
        <x:v>回收预算</x:v>
      </x:c>
      <x:c r="E161" s="25" t="str">
        <x:v>本类1项（逐项见完整JSON）</x:v>
      </x:c>
      <x:c r="F161" s="25" t="str">
        <x:v>用户总回收50%</x:v>
      </x:c>
      <x:c r="G161" s="25" t="str">
        <x:v>经济输入，不是新增属性来源</x:v>
      </x:c>
      <x:c r="H161" s="25" t="str">
        <x:v>由同包逐项数据聚合，便于核对</x:v>
      </x:c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Y161" s="32"/>
      <x:c r="AZ161" s="32"/>
      <x:c r="BA161" s="32" t="n">
        <x:v>50</x:v>
      </x:c>
    </x:row>
    <x:row r="162">
      <x:c r="A162" s="25" t="str">
        <x:v>C03-X</x:v>
      </x:c>
      <x:c r="B162" s="25" t="str">
        <x:v>宁姆格福西域</x:v>
      </x:c>
      <x:c r="C162" s="25" t="str">
        <x:v>极端压力</x:v>
      </x:c>
      <x:c r="D162" s="25" t="str">
        <x:v>人物自然</x:v>
      </x:c>
      <x:c r="E162" s="25" t="str">
        <x:v>本类1项（逐项见完整JSON）</x:v>
      </x:c>
      <x:c r="F162" s="25" t="str">
        <x:v>A01</x:v>
      </x:c>
      <x:c r="G162" s="25" t="str">
        <x:v>模型假设</x:v>
      </x:c>
      <x:c r="H162" s="25" t="str">
        <x:v>由同包逐项数据聚合，便于核对</x:v>
      </x:c>
      <x:c r="I162" s="32" t="n">
        <x:v>13</x:v>
      </x:c>
      <x:c r="J162" s="32" t="n">
        <x:v>28</x:v>
      </x:c>
      <x:c r="K162" s="32"/>
      <x:c r="L162" s="32"/>
      <x:c r="M162" s="32"/>
      <x:c r="N162" s="32"/>
      <x:c r="O162" s="32" t="n">
        <x:v>2200</x:v>
      </x:c>
      <x:c r="P162" s="32" t="n">
        <x:v>500</x:v>
      </x:c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Y162" s="32"/>
      <x:c r="AZ162" s="32"/>
      <x:c r="BA162" s="32"/>
    </x:row>
    <x:row r="163">
      <x:c r="A163" s="25" t="str">
        <x:v>C03-X</x:v>
      </x:c>
      <x:c r="B163" s="25" t="str">
        <x:v>宁姆格福西域</x:v>
      </x:c>
      <x:c r="C163" s="25" t="str">
        <x:v>极端压力</x:v>
      </x:c>
      <x:c r="D163" s="25" t="str">
        <x:v>付费状态</x:v>
      </x:c>
      <x:c r="E163" s="25" t="str">
        <x:v>本类3项（逐项见完整JSON）</x:v>
      </x:c>
      <x:c r="F163" s="25" t="str">
        <x:v>20260903总档</x:v>
      </x:c>
      <x:c r="G163" s="25" t="str">
        <x:v>原表数值</x:v>
      </x:c>
      <x:c r="H163" s="25" t="str">
        <x:v>由同包逐项数据聚合，便于核对</x:v>
      </x:c>
      <x:c r="I163" s="32" t="n">
        <x:v>149</x:v>
      </x:c>
      <x:c r="J163" s="32" t="n">
        <x:v>149</x:v>
      </x:c>
      <x:c r="K163" s="32" t="n">
        <x:v>149</x:v>
      </x:c>
      <x:c r="L163" s="32" t="n">
        <x:v>149</x:v>
      </x:c>
      <x:c r="M163" s="32" t="n">
        <x:v>149</x:v>
      </x:c>
      <x:c r="N163" s="32" t="n">
        <x:v>149</x:v>
      </x:c>
      <x:c r="O163" s="32" t="n">
        <x:v>10000</x:v>
      </x:c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 t="n">
        <x:v>10</x:v>
      </x:c>
      <x:c r="Z163" s="32"/>
      <x:c r="AA163" s="32"/>
      <x:c r="AB163" s="32" t="n">
        <x:v>20</x:v>
      </x:c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 t="n">
        <x:v>10</x:v>
      </x:c>
      <x:c r="AN163" s="32"/>
      <x:c r="AO163" s="32"/>
      <x:c r="AP163" s="32" t="n">
        <x:v>50</x:v>
      </x:c>
      <x:c r="AQ163" s="32"/>
      <x:c r="AR163" s="32"/>
      <x:c r="AS163" s="32"/>
      <x:c r="AT163" s="32" t="n">
        <x:v>700</x:v>
      </x:c>
      <x:c r="AU163" s="32" t="n">
        <x:v>15</x:v>
      </x:c>
      <x:c r="AV163" s="32"/>
      <x:c r="AW163" s="32"/>
      <x:c r="AX163" s="32"/>
      <x:c r="AY163" s="32"/>
      <x:c r="AZ163" s="32"/>
      <x:c r="BA163" s="32"/>
    </x:row>
    <x:row r="164">
      <x:c r="A164" s="25" t="str">
        <x:v>C03-X</x:v>
      </x:c>
      <x:c r="B164" s="25" t="str">
        <x:v>宁姆格福西域</x:v>
      </x:c>
      <x:c r="C164" s="25" t="str">
        <x:v>极端压力</x:v>
      </x:c>
      <x:c r="D164" s="25" t="str">
        <x:v>成长装备</x:v>
      </x:c>
      <x:c r="E164" s="25" t="str">
        <x:v>本类2项（逐项见完整JSON）</x:v>
      </x:c>
      <x:c r="F164" s="25" t="str">
        <x:v>20260903总档 / A04</x:v>
      </x:c>
      <x:c r="G164" s="25" t="str">
        <x:v>原表＋支付路径假设</x:v>
      </x:c>
      <x:c r="H164" s="25" t="str">
        <x:v>由同包逐项数据聚合，便于核对</x:v>
      </x:c>
      <x:c r="I164" s="32" t="n">
        <x:v>1100</x:v>
      </x:c>
      <x:c r="J164" s="32" t="n">
        <x:v>1100</x:v>
      </x:c>
      <x:c r="K164" s="32" t="n">
        <x:v>1100</x:v>
      </x:c>
      <x:c r="L164" s="32" t="n">
        <x:v>1100</x:v>
      </x:c>
      <x:c r="M164" s="32" t="n">
        <x:v>1100</x:v>
      </x:c>
      <x:c r="N164" s="32" t="n">
        <x:v>1100</x:v>
      </x:c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 t="n">
        <x:v>10</x:v>
      </x:c>
      <x:c r="AX164" s="32" t="n">
        <x:v>10</x:v>
      </x:c>
      <x:c r="AY164" s="32"/>
      <x:c r="AZ164" s="32"/>
      <x:c r="BA164" s="32"/>
    </x:row>
    <x:row r="165">
      <x:c r="A165" s="25" t="str">
        <x:v>C03-X</x:v>
      </x:c>
      <x:c r="B165" s="25" t="str">
        <x:v>宁姆格福西域</x:v>
      </x:c>
      <x:c r="C165" s="25" t="str">
        <x:v>极端压力</x:v>
      </x:c>
      <x:c r="D165" s="25" t="str">
        <x:v>贯穿称号</x:v>
      </x:c>
      <x:c r="E165" s="25" t="str">
        <x:v>本类1项（逐项见完整JSON）</x:v>
      </x:c>
      <x:c r="F165" s="25" t="str">
        <x:v>S04/01_贯穿称号</x:v>
      </x:c>
      <x:c r="G165" s="25" t="str">
        <x:v>原表数值</x:v>
      </x:c>
      <x:c r="H165" s="25" t="str">
        <x:v>由同包逐项数据聚合，便于核对</x:v>
      </x:c>
      <x:c r="I165" s="32" t="n">
        <x:v>800</x:v>
      </x:c>
      <x:c r="J165" s="32" t="n">
        <x:v>800</x:v>
      </x:c>
      <x:c r="K165" s="32" t="n">
        <x:v>800</x:v>
      </x:c>
      <x:c r="L165" s="32" t="n">
        <x:v>800</x:v>
      </x:c>
      <x:c r="M165" s="32" t="n">
        <x:v>800</x:v>
      </x:c>
      <x:c r="N165" s="32" t="n">
        <x:v>800</x:v>
      </x:c>
      <x:c r="O165" s="32" t="n">
        <x:v>80000</x:v>
      </x:c>
      <x:c r="P165" s="32" t="n">
        <x:v>80000</x:v>
      </x:c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 t="n">
        <x:v>700</x:v>
      </x:c>
      <x:c r="AU165" s="32"/>
      <x:c r="AV165" s="32"/>
      <x:c r="AW165" s="32"/>
      <x:c r="AX165" s="32"/>
      <x:c r="AY165" s="32"/>
      <x:c r="AZ165" s="32"/>
      <x:c r="BA165" s="32"/>
    </x:row>
    <x:row r="166">
      <x:c r="A166" s="25" t="str">
        <x:v>C03-X</x:v>
      </x:c>
      <x:c r="B166" s="25" t="str">
        <x:v>宁姆格福西域</x:v>
      </x:c>
      <x:c r="C166" s="25" t="str">
        <x:v>极端压力</x:v>
      </x:c>
      <x:c r="D166" s="25" t="str">
        <x:v>神印</x:v>
      </x:c>
      <x:c r="E166" s="25" t="str">
        <x:v>本类1项（逐项见完整JSON）</x:v>
      </x:c>
      <x:c r="F166" s="25" t="str">
        <x:v>S04 / 神印公式</x:v>
      </x:c>
      <x:c r="G166" s="25" t="str">
        <x:v>自给进度假设＋原公式</x:v>
      </x:c>
      <x:c r="H166" s="25" t="str">
        <x:v>由同包逐项数据聚合，便于核对</x:v>
      </x:c>
      <x:c r="I166" s="32" t="n">
        <x:v>3240</x:v>
      </x:c>
      <x:c r="J166" s="32" t="n">
        <x:v>3240</x:v>
      </x:c>
      <x:c r="K166" s="32" t="n">
        <x:v>3240</x:v>
      </x:c>
      <x:c r="L166" s="32" t="n">
        <x:v>3240</x:v>
      </x:c>
      <x:c r="M166" s="32" t="n">
        <x:v>3240</x:v>
      </x:c>
      <x:c r="N166" s="32" t="n">
        <x:v>3240</x:v>
      </x:c>
      <x:c r="O166" s="32" t="n">
        <x:v>324000</x:v>
      </x:c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Y166" s="32"/>
      <x:c r="AZ166" s="32"/>
      <x:c r="BA166" s="32"/>
    </x:row>
    <x:row r="167">
      <x:c r="A167" s="25" t="str">
        <x:v>C03-X</x:v>
      </x:c>
      <x:c r="B167" s="25" t="str">
        <x:v>宁姆格福西域</x:v>
      </x:c>
      <x:c r="C167" s="25" t="str">
        <x:v>极端压力</x:v>
      </x:c>
      <x:c r="D167" s="25" t="str">
        <x:v>转生</x:v>
      </x:c>
      <x:c r="E167" s="25" t="str">
        <x:v>本类1项（逐项见完整JSON）</x:v>
      </x:c>
      <x:c r="F167" s="25" t="str">
        <x:v>S07/20转</x:v>
      </x:c>
      <x:c r="G167" s="25" t="str">
        <x:v>原表累计</x:v>
      </x:c>
      <x:c r="H167" s="25" t="str">
        <x:v>由同包逐项数据聚合，便于核对</x:v>
      </x:c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 t="n">
        <x:v>0</x:v>
      </x:c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Y167" s="32"/>
      <x:c r="AZ167" s="32"/>
      <x:c r="BA167" s="32"/>
    </x:row>
    <x:row r="168">
      <x:c r="A168" s="25" t="str">
        <x:v>C03-X</x:v>
      </x:c>
      <x:c r="B168" s="25" t="str">
        <x:v>宁姆格福西域</x:v>
      </x:c>
      <x:c r="C168" s="25" t="str">
        <x:v>极端压力</x:v>
      </x:c>
      <x:c r="D168" s="25" t="str">
        <x:v>独立称号</x:v>
      </x:c>
      <x:c r="E168" s="25" t="str">
        <x:v>本类2项（逐项见完整JSON）</x:v>
      </x:c>
      <x:c r="F168" s="25" t="str">
        <x:v>S04/02_独立称号</x:v>
      </x:c>
      <x:c r="G168" s="25" t="str">
        <x:v>原表数值</x:v>
      </x:c>
      <x:c r="H168" s="25" t="str">
        <x:v>由同包逐项数据聚合，便于核对</x:v>
      </x:c>
      <x:c r="I168" s="32" t="n">
        <x:v>210</x:v>
      </x:c>
      <x:c r="J168" s="32" t="n">
        <x:v>210</x:v>
      </x:c>
      <x:c r="K168" s="32" t="n">
        <x:v>210</x:v>
      </x:c>
      <x:c r="L168" s="32" t="n">
        <x:v>210</x:v>
      </x:c>
      <x:c r="M168" s="32" t="n">
        <x:v>210</x:v>
      </x:c>
      <x:c r="N168" s="32" t="n">
        <x:v>210</x:v>
      </x:c>
      <x:c r="O168" s="32" t="n">
        <x:v>21000</x:v>
      </x:c>
      <x:c r="P168" s="32"/>
      <x:c r="Q168" s="32"/>
      <x:c r="R168" s="32"/>
      <x:c r="S168" s="32"/>
      <x:c r="T168" s="32"/>
      <x:c r="U168" s="32"/>
      <x:c r="V168" s="32"/>
      <x:c r="W168" s="32"/>
      <x:c r="X168" s="32" t="n">
        <x:v>0</x:v>
      </x:c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 t="n">
        <x:v>0</x:v>
      </x:c>
      <x:c r="AN168" s="32"/>
      <x:c r="AO168" s="32"/>
      <x:c r="AP168" s="32" t="n">
        <x:v>0</x:v>
      </x:c>
      <x:c r="AQ168" s="32"/>
      <x:c r="AR168" s="32"/>
      <x:c r="AS168" s="32"/>
      <x:c r="AT168" s="32"/>
      <x:c r="AU168" s="32"/>
      <x:c r="AV168" s="32"/>
      <x:c r="AW168" s="32"/>
      <x:c r="AX168" s="32"/>
      <x:c r="AY168" s="32"/>
      <x:c r="AZ168" s="32"/>
      <x:c r="BA168" s="32"/>
    </x:row>
    <x:row r="169">
      <x:c r="A169" s="25" t="str">
        <x:v>C03-X</x:v>
      </x:c>
      <x:c r="B169" s="25" t="str">
        <x:v>宁姆格福西域</x:v>
      </x:c>
      <x:c r="C169" s="25" t="str">
        <x:v>极端压力</x:v>
      </x:c>
      <x:c r="D169" s="25" t="str">
        <x:v>单件图鉴</x:v>
      </x:c>
      <x:c r="E169" s="25" t="str">
        <x:v>本类1项（逐项见完整JSON）</x:v>
      </x:c>
      <x:c r="F169" s="25" t="str">
        <x:v>S07/collection_single</x:v>
      </x:c>
      <x:c r="G169" s="25" t="str">
        <x:v>原表累计</x:v>
      </x:c>
      <x:c r="H169" s="25" t="str">
        <x:v>由同包逐项数据聚合，便于核对</x:v>
      </x:c>
      <x:c r="I169" s="32" t="n">
        <x:v>651</x:v>
      </x:c>
      <x:c r="J169" s="32" t="n">
        <x:v>651</x:v>
      </x:c>
      <x:c r="K169" s="32" t="n">
        <x:v>651</x:v>
      </x:c>
      <x:c r="L169" s="32" t="n">
        <x:v>651</x:v>
      </x:c>
      <x:c r="M169" s="32" t="n">
        <x:v>651</x:v>
      </x:c>
      <x:c r="N169" s="32" t="n">
        <x:v>651</x:v>
      </x:c>
      <x:c r="O169" s="32" t="n">
        <x:v>65100</x:v>
      </x:c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Y169" s="32"/>
      <x:c r="AZ169" s="32"/>
      <x:c r="BA169" s="32"/>
    </x:row>
    <x:row r="170">
      <x:c r="A170" s="25" t="str">
        <x:v>C03-X</x:v>
      </x:c>
      <x:c r="B170" s="25" t="str">
        <x:v>宁姆格福西域</x:v>
      </x:c>
      <x:c r="C170" s="25" t="str">
        <x:v>极端压力</x:v>
      </x:c>
      <x:c r="D170" s="25" t="str">
        <x:v>地图整页</x:v>
      </x:c>
      <x:c r="E170" s="25" t="str">
        <x:v>本类14项（逐项见完整JSON）</x:v>
      </x:c>
      <x:c r="F170" s="25" t="str">
        <x:v>S07/collection_pages</x:v>
      </x:c>
      <x:c r="G170" s="25" t="str">
        <x:v>原表数值</x:v>
      </x:c>
      <x:c r="H170" s="25" t="str">
        <x:v>由同包逐项数据聚合，便于核对</x:v>
      </x:c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 t="n">
        <x:v>0.19999999999999998</x:v>
      </x:c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 t="n">
        <x:v>7</x:v>
      </x:c>
      <x:c r="AN170" s="32"/>
      <x:c r="AO170" s="32"/>
      <x:c r="AP170" s="32" t="n">
        <x:v>310</x:v>
      </x:c>
      <x:c r="AQ170" s="32"/>
      <x:c r="AR170" s="32"/>
      <x:c r="AS170" s="32"/>
      <x:c r="AT170" s="32"/>
      <x:c r="AU170" s="32"/>
      <x:c r="AV170" s="32"/>
      <x:c r="AW170" s="32"/>
      <x:c r="AX170" s="32"/>
      <x:c r="AY170" s="32"/>
      <x:c r="AZ170" s="32"/>
      <x:c r="BA170" s="32"/>
    </x:row>
    <x:row r="171">
      <x:c r="A171" s="25" t="str">
        <x:v>C03-X</x:v>
      </x:c>
      <x:c r="B171" s="25" t="str">
        <x:v>宁姆格福西域</x:v>
      </x:c>
      <x:c r="C171" s="25" t="str">
        <x:v>极端压力</x:v>
      </x:c>
      <x:c r="D171" s="25" t="str">
        <x:v>大陆全收集</x:v>
      </x:c>
      <x:c r="E171" s="25" t="str">
        <x:v>本类3项（逐项见完整JSON）</x:v>
      </x:c>
      <x:c r="F171" s="25" t="str">
        <x:v>S07/collection_continents</x:v>
      </x:c>
      <x:c r="G171" s="25" t="str">
        <x:v>原表累计</x:v>
      </x:c>
      <x:c r="H171" s="25" t="str">
        <x:v>由同包逐项数据聚合，便于核对</x:v>
      </x:c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  <x:c r="AA171" s="32"/>
      <x:c r="AB171" s="32" t="n">
        <x:v>4</x:v>
      </x:c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Y171" s="32"/>
      <x:c r="AZ171" s="32"/>
      <x:c r="BA171" s="32"/>
    </x:row>
    <x:row r="172">
      <x:c r="A172" s="25" t="str">
        <x:v>C03-X</x:v>
      </x:c>
      <x:c r="B172" s="25" t="str">
        <x:v>宁姆格福西域</x:v>
      </x:c>
      <x:c r="C172" s="25" t="str">
        <x:v>极端压力</x:v>
      </x:c>
      <x:c r="D172" s="25" t="str">
        <x:v>材料图鉴</x:v>
      </x:c>
      <x:c r="E172" s="25" t="str">
        <x:v>本类1项（逐项见完整JSON）</x:v>
      </x:c>
      <x:c r="F172" s="25" t="str">
        <x:v>S07/collection_materials</x:v>
      </x:c>
      <x:c r="G172" s="25" t="str">
        <x:v>原表数值</x:v>
      </x:c>
      <x:c r="H172" s="25" t="str">
        <x:v>由同包逐项数据聚合，便于核对</x:v>
      </x:c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 t="n">
        <x:v>0.05</x:v>
      </x:c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 t="n">
        <x:v>0</x:v>
      </x:c>
      <x:c r="AN172" s="32"/>
      <x:c r="AO172" s="32"/>
      <x:c r="AP172" s="32" t="n">
        <x:v>0</x:v>
      </x:c>
      <x:c r="AQ172" s="32"/>
      <x:c r="AR172" s="32"/>
      <x:c r="AS172" s="32"/>
      <x:c r="AT172" s="32"/>
      <x:c r="AU172" s="32"/>
      <x:c r="AV172" s="32"/>
      <x:c r="AW172" s="32"/>
      <x:c r="AX172" s="32"/>
      <x:c r="AY172" s="32"/>
      <x:c r="AZ172" s="32"/>
      <x:c r="BA172" s="32"/>
    </x:row>
    <x:row r="173">
      <x:c r="A173" s="25" t="str">
        <x:v>C03-X</x:v>
      </x:c>
      <x:c r="B173" s="25" t="str">
        <x:v>宁姆格福西域</x:v>
      </x:c>
      <x:c r="C173" s="25" t="str">
        <x:v>极端压力</x:v>
      </x:c>
      <x:c r="D173" s="25" t="str">
        <x:v>旧任务</x:v>
      </x:c>
      <x:c r="E173" s="25" t="str">
        <x:v>本类6项（逐项见完整JSON）</x:v>
      </x:c>
      <x:c r="F173" s="25" t="str">
        <x:v>宁姆格福_完整怪物装备任务爆率规划/地图任务；第一大陆_地图魂魄任务.txt</x:v>
      </x:c>
      <x:c r="G173" s="25" t="str">
        <x:v>原件确认；原表数值</x:v>
      </x:c>
      <x:c r="H173" s="25" t="str">
        <x:v>由同包逐项数据聚合，便于核对</x:v>
      </x:c>
      <x:c r="I173" s="32" t="n">
        <x:v>90</x:v>
      </x:c>
      <x:c r="J173" s="32" t="n">
        <x:v>90</x:v>
      </x:c>
      <x:c r="K173" s="32" t="n">
        <x:v>90</x:v>
      </x:c>
      <x:c r="L173" s="32" t="n">
        <x:v>90</x:v>
      </x:c>
      <x:c r="M173" s="32" t="n">
        <x:v>90</x:v>
      </x:c>
      <x:c r="N173" s="32" t="n">
        <x:v>90</x:v>
      </x:c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 t="n">
        <x:v>2</x:v>
      </x:c>
      <x:c r="AN173" s="32"/>
      <x:c r="AO173" s="32"/>
      <x:c r="AP173" s="32" t="n">
        <x:v>140</x:v>
      </x:c>
      <x:c r="AQ173" s="32"/>
      <x:c r="AR173" s="32"/>
      <x:c r="AS173" s="32"/>
      <x:c r="AT173" s="32"/>
      <x:c r="AU173" s="32"/>
      <x:c r="AV173" s="32"/>
      <x:c r="AW173" s="32"/>
      <x:c r="AX173" s="32"/>
      <x:c r="AY173" s="32"/>
      <x:c r="AZ173" s="32"/>
      <x:c r="BA173" s="32"/>
    </x:row>
    <x:row r="174">
      <x:c r="A174" s="25" t="str">
        <x:v>C03-X</x:v>
      </x:c>
      <x:c r="B174" s="25" t="str">
        <x:v>宁姆格福西域</x:v>
      </x:c>
      <x:c r="C174" s="25" t="str">
        <x:v>极端压力</x:v>
      </x:c>
      <x:c r="D174" s="25" t="str">
        <x:v>装备</x:v>
      </x:c>
      <x:c r="E174" s="25" t="str">
        <x:v>本类33项（逐项见完整JSON）</x:v>
      </x:c>
      <x:c r="F174" s="25" t="str">
        <x:v>S01；S02；S07</x:v>
      </x:c>
      <x:c r="G174" s="25" t="str">
        <x:v>原表数值</x:v>
      </x:c>
      <x:c r="H174" s="25" t="str">
        <x:v>由同包逐项数据聚合，便于核对</x:v>
      </x:c>
      <x:c r="I174" s="32" t="n">
        <x:v>2582</x:v>
      </x:c>
      <x:c r="J174" s="32" t="n">
        <x:v>4973</x:v>
      </x:c>
      <x:c r="K174" s="32" t="n">
        <x:v>2582</x:v>
      </x:c>
      <x:c r="L174" s="32" t="n">
        <x:v>4973</x:v>
      </x:c>
      <x:c r="M174" s="32" t="n">
        <x:v>2582</x:v>
      </x:c>
      <x:c r="N174" s="32" t="n">
        <x:v>4973</x:v>
      </x:c>
      <x:c r="O174" s="32" t="n">
        <x:v>2857100</x:v>
      </x:c>
      <x:c r="P174" s="32"/>
      <x:c r="Q174" s="32" t="n">
        <x:v>1034</x:v>
      </x:c>
      <x:c r="R174" s="32" t="n">
        <x:v>1893</x:v>
      </x:c>
      <x:c r="S174" s="32" t="n">
        <x:v>846</x:v>
      </x:c>
      <x:c r="T174" s="32" t="n">
        <x:v>1547</x:v>
      </x:c>
      <x:c r="U174" s="32" t="n">
        <x:v>548</x:v>
      </x:c>
      <x:c r="V174" s="32" t="n">
        <x:v>548</x:v>
      </x:c>
      <x:c r="W174" s="32" t="n">
        <x:v>548</x:v>
      </x:c>
      <x:c r="X174" s="32"/>
      <x:c r="Y174" s="32"/>
      <x:c r="Z174" s="32" t="n">
        <x:v>136</x:v>
      </x:c>
      <x:c r="AA174" s="32" t="n">
        <x:v>52</x:v>
      </x:c>
      <x:c r="AB174" s="32"/>
      <x:c r="AC174" s="32" t="n">
        <x:v>153</x:v>
      </x:c>
      <x:c r="AD174" s="32" t="n">
        <x:v>1</x:v>
      </x:c>
      <x:c r="AE174" s="32" t="n">
        <x:v>19</x:v>
      </x:c>
      <x:c r="AF174" s="32"/>
      <x:c r="AG174" s="32"/>
      <x:c r="AH174" s="32" t="n">
        <x:v>23</x:v>
      </x:c>
      <x:c r="AI174" s="32" t="n">
        <x:v>3</x:v>
      </x:c>
      <x:c r="AJ174" s="32" t="n">
        <x:v>124</x:v>
      </x:c>
      <x:c r="AK174" s="32"/>
      <x:c r="AL174" s="32"/>
      <x:c r="AM174" s="32"/>
      <x:c r="AN174" s="32" t="n">
        <x:v>15</x:v>
      </x:c>
      <x:c r="AO174" s="32" t="n">
        <x:v>0.2</x:v>
      </x:c>
      <x:c r="AP174" s="32" t="n">
        <x:v>17</x:v>
      </x:c>
      <x:c r="AQ174" s="32" t="n">
        <x:v>118</x:v>
      </x:c>
      <x:c r="AR174" s="32" t="n">
        <x:v>2</x:v>
      </x:c>
      <x:c r="AS174" s="32" t="n">
        <x:v>8</x:v>
      </x:c>
      <x:c r="AT174" s="32"/>
      <x:c r="AU174" s="32"/>
      <x:c r="AV174" s="32"/>
      <x:c r="AW174" s="32"/>
      <x:c r="AX174" s="32"/>
      <x:c r="AY174" s="32"/>
      <x:c r="AZ174" s="32" t="n">
        <x:v>14</x:v>
      </x:c>
      <x:c r="BA174" s="32"/>
    </x:row>
    <x:row r="175">
      <x:c r="A175" s="25" t="str">
        <x:v>C03-X</x:v>
      </x:c>
      <x:c r="B175" s="25" t="str">
        <x:v>宁姆格福西域</x:v>
      </x:c>
      <x:c r="C175" s="25" t="str">
        <x:v>极端压力</x:v>
      </x:c>
      <x:c r="D175" s="25" t="str">
        <x:v>洗练</x:v>
      </x:c>
      <x:c r="E175" s="25" t="str">
        <x:v>本类10项（逐项见完整JSON）</x:v>
      </x:c>
      <x:c r="F175" s="25" t="str">
        <x:v>S06＋固定种子</x:v>
      </x:c>
      <x:c r="G175" s="25" t="str">
        <x:v>可实现随机样本</x:v>
      </x:c>
      <x:c r="H175" s="25" t="str">
        <x:v>由同包逐项数据聚合，便于核对</x:v>
      </x:c>
      <x:c r="I175" s="32" t="n">
        <x:v>771</x:v>
      </x:c>
      <x:c r="J175" s="32" t="n">
        <x:v>771</x:v>
      </x:c>
      <x:c r="K175" s="32" t="n">
        <x:v>17</x:v>
      </x:c>
      <x:c r="L175" s="32" t="n">
        <x:v>17</x:v>
      </x:c>
      <x:c r="M175" s="32" t="n">
        <x:v>48</x:v>
      </x:c>
      <x:c r="N175" s="32" t="n">
        <x:v>48</x:v>
      </x:c>
      <x:c r="O175" s="32"/>
      <x:c r="P175" s="32"/>
      <x:c r="Q175" s="32"/>
      <x:c r="R175" s="32"/>
      <x:c r="S175" s="32"/>
      <x:c r="T175" s="32"/>
      <x:c r="U175" s="32" t="n">
        <x:v>458</x:v>
      </x:c>
      <x:c r="V175" s="32"/>
      <x:c r="W175" s="32"/>
      <x:c r="X175" s="32"/>
      <x:c r="Y175" s="32" t="n">
        <x:v>2</x:v>
      </x:c>
      <x:c r="Z175" s="32"/>
      <x:c r="AA175" s="32"/>
      <x:c r="AB175" s="32" t="n">
        <x:v>3</x:v>
      </x:c>
      <x:c r="AC175" s="32"/>
      <x:c r="AD175" s="32" t="n">
        <x:v>2</x:v>
      </x:c>
      <x:c r="AE175" s="32"/>
      <x:c r="AF175" s="32"/>
      <x:c r="AG175" s="32"/>
      <x:c r="AH175" s="32" t="n">
        <x:v>1</x:v>
      </x:c>
      <x:c r="AI175" s="32"/>
      <x:c r="AJ175" s="32"/>
      <x:c r="AK175" s="32"/>
      <x:c r="AL175" s="32"/>
      <x:c r="AM175" s="32" t="n">
        <x:v>8</x:v>
      </x:c>
      <x:c r="AN175" s="32" t="n">
        <x:v>6</x:v>
      </x:c>
      <x:c r="AO175" s="32"/>
      <x:c r="AP175" s="32" t="n">
        <x:v>10</x:v>
      </x:c>
      <x:c r="AQ175" s="32"/>
      <x:c r="AR175" s="32" t="n">
        <x:v>5</x:v>
      </x:c>
      <x:c r="AS175" s="32" t="n">
        <x:v>4</x:v>
      </x:c>
      <x:c r="AT175" s="32"/>
      <x:c r="AU175" s="32" t="n">
        <x:v>1</x:v>
      </x:c>
      <x:c r="AV175" s="32"/>
      <x:c r="AW175" s="32"/>
      <x:c r="AX175" s="32"/>
      <x:c r="AY175" s="32"/>
      <x:c r="AZ175" s="32"/>
      <x:c r="BA175" s="32"/>
    </x:row>
    <x:row r="176">
      <x:c r="A176" s="25" t="str">
        <x:v>C03-X</x:v>
      </x:c>
      <x:c r="B176" s="25" t="str">
        <x:v>宁姆格福西域</x:v>
      </x:c>
      <x:c r="C176" s="25" t="str">
        <x:v>极端压力</x:v>
      </x:c>
      <x:c r="D176" s="25" t="str">
        <x:v>命格</x:v>
      </x:c>
      <x:c r="E176" s="25" t="str">
        <x:v>本类3项（逐项见完整JSON）</x:v>
      </x:c>
      <x:c r="F176" s="25" t="str">
        <x:v>S03/命格ID1081；S03/命格ID1092；S03/命格ID1093</x:v>
      </x:c>
      <x:c r="G176" s="25" t="str">
        <x:v>原表彩色＋选配假设</x:v>
      </x:c>
      <x:c r="H176" s="25" t="str">
        <x:v>由同包逐项数据聚合，便于核对</x:v>
      </x:c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 t="n">
        <x:v>6</x:v>
      </x:c>
      <x:c r="Z176" s="32" t="n">
        <x:v>3</x:v>
      </x:c>
      <x:c r="AA176" s="32"/>
      <x:c r="AB176" s="32"/>
      <x:c r="AC176" s="32"/>
      <x:c r="AD176" s="32"/>
      <x:c r="AE176" s="32"/>
      <x:c r="AF176" s="32"/>
      <x:c r="AG176" s="32"/>
      <x:c r="AH176" s="32" t="n">
        <x:v>2</x:v>
      </x:c>
      <x:c r="AI176" s="32"/>
      <x:c r="AJ176" s="32" t="n">
        <x:v>10</x:v>
      </x:c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 t="n">
        <x:v>50</x:v>
      </x:c>
      <x:c r="AU176" s="32" t="n">
        <x:v>2</x:v>
      </x:c>
      <x:c r="AV176" s="32" t="n">
        <x:v>3</x:v>
      </x:c>
      <x:c r="AW176" s="32"/>
      <x:c r="AX176" s="32"/>
      <x:c r="AY176" s="32"/>
      <x:c r="AZ176" s="32"/>
      <x:c r="BA176" s="32"/>
    </x:row>
    <x:row r="177">
      <x:c r="A177" s="25" t="str">
        <x:v>C03-X</x:v>
      </x:c>
      <x:c r="B177" s="25" t="str">
        <x:v>宁姆格福西域</x:v>
      </x:c>
      <x:c r="C177" s="25" t="str">
        <x:v>极端压力</x:v>
      </x:c>
      <x:c r="D177" s="25" t="str">
        <x:v>后天幸运</x:v>
      </x:c>
      <x:c r="E177" s="25" t="str">
        <x:v>本类1项（逐项见完整JSON）</x:v>
      </x:c>
      <x:c r="F177" s="25" t="str">
        <x:v>A08</x:v>
      </x:c>
      <x:c r="G177" s="25" t="str">
        <x:v>人物永久进度</x:v>
      </x:c>
      <x:c r="H177" s="25" t="str">
        <x:v>由同包逐项数据聚合，便于核对</x:v>
      </x:c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 t="n">
        <x:v>7</x:v>
      </x:c>
      <x:c r="AL177" s="32" t="n">
        <x:v>8</x:v>
      </x:c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Y177" s="32"/>
      <x:c r="AZ177" s="32"/>
      <x:c r="BA177" s="32"/>
    </x:row>
    <x:row r="178">
      <x:c r="A178" s="25" t="str">
        <x:v>C03-X</x:v>
      </x:c>
      <x:c r="B178" s="25" t="str">
        <x:v>宁姆格福西域</x:v>
      </x:c>
      <x:c r="C178" s="25" t="str">
        <x:v>极端压力</x:v>
      </x:c>
      <x:c r="D178" s="25" t="str">
        <x:v>回收预算</x:v>
      </x:c>
      <x:c r="E178" s="25" t="str">
        <x:v>本类1项（逐项见完整JSON）</x:v>
      </x:c>
      <x:c r="F178" s="25" t="str">
        <x:v>用户总回收50%</x:v>
      </x:c>
      <x:c r="G178" s="25" t="str">
        <x:v>经济输入，不是新增属性来源</x:v>
      </x:c>
      <x:c r="H178" s="25" t="str">
        <x:v>由同包逐项数据聚合，便于核对</x:v>
      </x:c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Y178" s="32"/>
      <x:c r="AZ178" s="32"/>
      <x:c r="BA178" s="32" t="n">
        <x:v>50</x:v>
      </x:c>
    </x:row>
    <x:row r="179">
      <x:c r="A179" s="25" t="str">
        <x:v>C04-E</x:v>
      </x:c>
      <x:c r="B179" s="25" t="str">
        <x:v>利耶尼亚海域</x:v>
      </x:c>
      <x:c r="C179" s="25" t="str">
        <x:v>半急速入场</x:v>
      </x:c>
      <x:c r="D179" s="25" t="str">
        <x:v>人物自然</x:v>
      </x:c>
      <x:c r="E179" s="25" t="str">
        <x:v>本类1项（逐项见完整JSON）</x:v>
      </x:c>
      <x:c r="F179" s="25" t="str">
        <x:v>A01</x:v>
      </x:c>
      <x:c r="G179" s="25" t="str">
        <x:v>模型假设</x:v>
      </x:c>
      <x:c r="H179" s="25" t="str">
        <x:v>由同包逐项数据聚合，便于核对</x:v>
      </x:c>
      <x:c r="I179" s="32" t="n">
        <x:v>13</x:v>
      </x:c>
      <x:c r="J179" s="32" t="n">
        <x:v>28</x:v>
      </x:c>
      <x:c r="K179" s="32"/>
      <x:c r="L179" s="32"/>
      <x:c r="M179" s="32"/>
      <x:c r="N179" s="32"/>
      <x:c r="O179" s="32" t="n">
        <x:v>2200</x:v>
      </x:c>
      <x:c r="P179" s="32" t="n">
        <x:v>500</x:v>
      </x:c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Y179" s="32"/>
      <x:c r="AZ179" s="32"/>
      <x:c r="BA179" s="32"/>
    </x:row>
    <x:row r="180">
      <x:c r="A180" s="25" t="str">
        <x:v>C04-E</x:v>
      </x:c>
      <x:c r="B180" s="25" t="str">
        <x:v>利耶尼亚海域</x:v>
      </x:c>
      <x:c r="C180" s="25" t="str">
        <x:v>半急速入场</x:v>
      </x:c>
      <x:c r="D180" s="25" t="str">
        <x:v>付费状态</x:v>
      </x:c>
      <x:c r="E180" s="25" t="str">
        <x:v>本类3项（逐项见完整JSON）</x:v>
      </x:c>
      <x:c r="F180" s="25" t="str">
        <x:v>20260903总档</x:v>
      </x:c>
      <x:c r="G180" s="25" t="str">
        <x:v>原表数值</x:v>
      </x:c>
      <x:c r="H180" s="25" t="str">
        <x:v>由同包逐项数据聚合，便于核对</x:v>
      </x:c>
      <x:c r="I180" s="32" t="n">
        <x:v>149</x:v>
      </x:c>
      <x:c r="J180" s="32" t="n">
        <x:v>149</x:v>
      </x:c>
      <x:c r="K180" s="32" t="n">
        <x:v>149</x:v>
      </x:c>
      <x:c r="L180" s="32" t="n">
        <x:v>149</x:v>
      </x:c>
      <x:c r="M180" s="32" t="n">
        <x:v>149</x:v>
      </x:c>
      <x:c r="N180" s="32" t="n">
        <x:v>149</x:v>
      </x:c>
      <x:c r="O180" s="32" t="n">
        <x:v>10000</x:v>
      </x:c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 t="n">
        <x:v>10</x:v>
      </x:c>
      <x:c r="Z180" s="32"/>
      <x:c r="AA180" s="32"/>
      <x:c r="AB180" s="32" t="n">
        <x:v>20</x:v>
      </x:c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 t="n">
        <x:v>10</x:v>
      </x:c>
      <x:c r="AN180" s="32"/>
      <x:c r="AO180" s="32"/>
      <x:c r="AP180" s="32" t="n">
        <x:v>50</x:v>
      </x:c>
      <x:c r="AQ180" s="32"/>
      <x:c r="AR180" s="32"/>
      <x:c r="AS180" s="32"/>
      <x:c r="AT180" s="32" t="n">
        <x:v>700</x:v>
      </x:c>
      <x:c r="AU180" s="32" t="n">
        <x:v>15</x:v>
      </x:c>
      <x:c r="AV180" s="32"/>
      <x:c r="AW180" s="32"/>
      <x:c r="AX180" s="32"/>
      <x:c r="AY180" s="32"/>
      <x:c r="AZ180" s="32"/>
      <x:c r="BA180" s="32"/>
    </x:row>
    <x:row r="181">
      <x:c r="A181" s="25" t="str">
        <x:v>C04-E</x:v>
      </x:c>
      <x:c r="B181" s="25" t="str">
        <x:v>利耶尼亚海域</x:v>
      </x:c>
      <x:c r="C181" s="25" t="str">
        <x:v>半急速入场</x:v>
      </x:c>
      <x:c r="D181" s="25" t="str">
        <x:v>成长装备</x:v>
      </x:c>
      <x:c r="E181" s="25" t="str">
        <x:v>本类2项（逐项见完整JSON）</x:v>
      </x:c>
      <x:c r="F181" s="25" t="str">
        <x:v>20260903总档 / A04</x:v>
      </x:c>
      <x:c r="G181" s="25" t="str">
        <x:v>原表＋支付路径假设</x:v>
      </x:c>
      <x:c r="H181" s="25" t="str">
        <x:v>由同包逐项数据聚合，便于核对</x:v>
      </x:c>
      <x:c r="I181" s="32" t="n">
        <x:v>1100</x:v>
      </x:c>
      <x:c r="J181" s="32" t="n">
        <x:v>1100</x:v>
      </x:c>
      <x:c r="K181" s="32" t="n">
        <x:v>1100</x:v>
      </x:c>
      <x:c r="L181" s="32" t="n">
        <x:v>1100</x:v>
      </x:c>
      <x:c r="M181" s="32" t="n">
        <x:v>1100</x:v>
      </x:c>
      <x:c r="N181" s="32" t="n">
        <x:v>1100</x:v>
      </x:c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 t="n">
        <x:v>10</x:v>
      </x:c>
      <x:c r="AX181" s="32" t="n">
        <x:v>10</x:v>
      </x:c>
      <x:c r="AY181" s="32"/>
      <x:c r="AZ181" s="32"/>
      <x:c r="BA181" s="32"/>
    </x:row>
    <x:row r="182">
      <x:c r="A182" s="25" t="str">
        <x:v>C04-E</x:v>
      </x:c>
      <x:c r="B182" s="25" t="str">
        <x:v>利耶尼亚海域</x:v>
      </x:c>
      <x:c r="C182" s="25" t="str">
        <x:v>半急速入场</x:v>
      </x:c>
      <x:c r="D182" s="25" t="str">
        <x:v>贯穿称号</x:v>
      </x:c>
      <x:c r="E182" s="25" t="str">
        <x:v>本类1项（逐项见完整JSON）</x:v>
      </x:c>
      <x:c r="F182" s="25" t="str">
        <x:v>S04/01_贯穿称号</x:v>
      </x:c>
      <x:c r="G182" s="25" t="str">
        <x:v>原表数值</x:v>
      </x:c>
      <x:c r="H182" s="25" t="str">
        <x:v>由同包逐项数据聚合，便于核对</x:v>
      </x:c>
      <x:c r="I182" s="32" t="n">
        <x:v>800</x:v>
      </x:c>
      <x:c r="J182" s="32" t="n">
        <x:v>800</x:v>
      </x:c>
      <x:c r="K182" s="32" t="n">
        <x:v>800</x:v>
      </x:c>
      <x:c r="L182" s="32" t="n">
        <x:v>800</x:v>
      </x:c>
      <x:c r="M182" s="32" t="n">
        <x:v>800</x:v>
      </x:c>
      <x:c r="N182" s="32" t="n">
        <x:v>800</x:v>
      </x:c>
      <x:c r="O182" s="32" t="n">
        <x:v>80000</x:v>
      </x:c>
      <x:c r="P182" s="32" t="n">
        <x:v>80000</x:v>
      </x:c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 t="n">
        <x:v>700</x:v>
      </x:c>
      <x:c r="AU182" s="32"/>
      <x:c r="AV182" s="32"/>
      <x:c r="AW182" s="32"/>
      <x:c r="AX182" s="32"/>
      <x:c r="AY182" s="32"/>
      <x:c r="AZ182" s="32"/>
      <x:c r="BA182" s="32"/>
    </x:row>
    <x:row r="183">
      <x:c r="A183" s="25" t="str">
        <x:v>C04-E</x:v>
      </x:c>
      <x:c r="B183" s="25" t="str">
        <x:v>利耶尼亚海域</x:v>
      </x:c>
      <x:c r="C183" s="25" t="str">
        <x:v>半急速入场</x:v>
      </x:c>
      <x:c r="D183" s="25" t="str">
        <x:v>神印</x:v>
      </x:c>
      <x:c r="E183" s="25" t="str">
        <x:v>本类1项（逐项见完整JSON）</x:v>
      </x:c>
      <x:c r="F183" s="25" t="str">
        <x:v>S04 / 神印公式</x:v>
      </x:c>
      <x:c r="G183" s="25" t="str">
        <x:v>自给进度假设＋原公式</x:v>
      </x:c>
      <x:c r="H183" s="25" t="str">
        <x:v>由同包逐项数据聚合，便于核对</x:v>
      </x:c>
      <x:c r="I183" s="32" t="n">
        <x:v>3240</x:v>
      </x:c>
      <x:c r="J183" s="32" t="n">
        <x:v>3240</x:v>
      </x:c>
      <x:c r="K183" s="32" t="n">
        <x:v>3240</x:v>
      </x:c>
      <x:c r="L183" s="32" t="n">
        <x:v>3240</x:v>
      </x:c>
      <x:c r="M183" s="32" t="n">
        <x:v>3240</x:v>
      </x:c>
      <x:c r="N183" s="32" t="n">
        <x:v>3240</x:v>
      </x:c>
      <x:c r="O183" s="32" t="n">
        <x:v>324000</x:v>
      </x:c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Y183" s="32"/>
      <x:c r="AZ183" s="32"/>
      <x:c r="BA183" s="32"/>
    </x:row>
    <x:row r="184">
      <x:c r="A184" s="25" t="str">
        <x:v>C04-E</x:v>
      </x:c>
      <x:c r="B184" s="25" t="str">
        <x:v>利耶尼亚海域</x:v>
      </x:c>
      <x:c r="C184" s="25" t="str">
        <x:v>半急速入场</x:v>
      </x:c>
      <x:c r="D184" s="25" t="str">
        <x:v>转生</x:v>
      </x:c>
      <x:c r="E184" s="25" t="str">
        <x:v>本类1项（逐项见完整JSON）</x:v>
      </x:c>
      <x:c r="F184" s="25" t="str">
        <x:v>S07/20转</x:v>
      </x:c>
      <x:c r="G184" s="25" t="str">
        <x:v>原表累计</x:v>
      </x:c>
      <x:c r="H184" s="25" t="str">
        <x:v>由同包逐项数据聚合，便于核对</x:v>
      </x:c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 t="n">
        <x:v>0</x:v>
      </x:c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Y184" s="32"/>
      <x:c r="AZ184" s="32"/>
      <x:c r="BA184" s="32"/>
    </x:row>
    <x:row r="185">
      <x:c r="A185" s="25" t="str">
        <x:v>C04-E</x:v>
      </x:c>
      <x:c r="B185" s="25" t="str">
        <x:v>利耶尼亚海域</x:v>
      </x:c>
      <x:c r="C185" s="25" t="str">
        <x:v>半急速入场</x:v>
      </x:c>
      <x:c r="D185" s="25" t="str">
        <x:v>独立称号</x:v>
      </x:c>
      <x:c r="E185" s="25" t="str">
        <x:v>本类2项（逐项见完整JSON）</x:v>
      </x:c>
      <x:c r="F185" s="25" t="str">
        <x:v>S04/02_独立称号</x:v>
      </x:c>
      <x:c r="G185" s="25" t="str">
        <x:v>原表数值</x:v>
      </x:c>
      <x:c r="H185" s="25" t="str">
        <x:v>由同包逐项数据聚合，便于核对</x:v>
      </x:c>
      <x:c r="I185" s="32" t="n">
        <x:v>210</x:v>
      </x:c>
      <x:c r="J185" s="32" t="n">
        <x:v>210</x:v>
      </x:c>
      <x:c r="K185" s="32" t="n">
        <x:v>210</x:v>
      </x:c>
      <x:c r="L185" s="32" t="n">
        <x:v>210</x:v>
      </x:c>
      <x:c r="M185" s="32" t="n">
        <x:v>210</x:v>
      </x:c>
      <x:c r="N185" s="32" t="n">
        <x:v>210</x:v>
      </x:c>
      <x:c r="O185" s="32" t="n">
        <x:v>21000</x:v>
      </x:c>
      <x:c r="P185" s="32"/>
      <x:c r="Q185" s="32"/>
      <x:c r="R185" s="32"/>
      <x:c r="S185" s="32"/>
      <x:c r="T185" s="32"/>
      <x:c r="U185" s="32"/>
      <x:c r="V185" s="32"/>
      <x:c r="W185" s="32"/>
      <x:c r="X185" s="32" t="n">
        <x:v>0</x:v>
      </x:c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 t="n">
        <x:v>0</x:v>
      </x:c>
      <x:c r="AN185" s="32"/>
      <x:c r="AO185" s="32"/>
      <x:c r="AP185" s="32" t="n">
        <x:v>0</x:v>
      </x:c>
      <x:c r="AQ185" s="32"/>
      <x:c r="AR185" s="32"/>
      <x:c r="AS185" s="32"/>
      <x:c r="AT185" s="32"/>
      <x:c r="AU185" s="32"/>
      <x:c r="AV185" s="32"/>
      <x:c r="AW185" s="32"/>
      <x:c r="AX185" s="32"/>
      <x:c r="AY185" s="32"/>
      <x:c r="AZ185" s="32"/>
      <x:c r="BA185" s="32"/>
    </x:row>
    <x:row r="186">
      <x:c r="A186" s="25" t="str">
        <x:v>C04-E</x:v>
      </x:c>
      <x:c r="B186" s="25" t="str">
        <x:v>利耶尼亚海域</x:v>
      </x:c>
      <x:c r="C186" s="25" t="str">
        <x:v>半急速入场</x:v>
      </x:c>
      <x:c r="D186" s="25" t="str">
        <x:v>单件图鉴</x:v>
      </x:c>
      <x:c r="E186" s="25" t="str">
        <x:v>本类1项（逐项见完整JSON）</x:v>
      </x:c>
      <x:c r="F186" s="25" t="str">
        <x:v>S07/collection_single</x:v>
      </x:c>
      <x:c r="G186" s="25" t="str">
        <x:v>原表累计</x:v>
      </x:c>
      <x:c r="H186" s="25" t="str">
        <x:v>由同包逐项数据聚合，便于核对</x:v>
      </x:c>
      <x:c r="I186" s="32" t="n">
        <x:v>431</x:v>
      </x:c>
      <x:c r="J186" s="32" t="n">
        <x:v>431</x:v>
      </x:c>
      <x:c r="K186" s="32" t="n">
        <x:v>431</x:v>
      </x:c>
      <x:c r="L186" s="32" t="n">
        <x:v>431</x:v>
      </x:c>
      <x:c r="M186" s="32" t="n">
        <x:v>431</x:v>
      </x:c>
      <x:c r="N186" s="32" t="n">
        <x:v>431</x:v>
      </x:c>
      <x:c r="O186" s="32" t="n">
        <x:v>43100</x:v>
      </x:c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Y186" s="32"/>
      <x:c r="AZ186" s="32"/>
      <x:c r="BA186" s="32"/>
    </x:row>
    <x:row r="187">
      <x:c r="A187" s="25" t="str">
        <x:v>C04-E</x:v>
      </x:c>
      <x:c r="B187" s="25" t="str">
        <x:v>利耶尼亚海域</x:v>
      </x:c>
      <x:c r="C187" s="25" t="str">
        <x:v>半急速入场</x:v>
      </x:c>
      <x:c r="D187" s="25" t="str">
        <x:v>地图整页</x:v>
      </x:c>
      <x:c r="E187" s="25" t="str">
        <x:v>本类9项（逐项见完整JSON）</x:v>
      </x:c>
      <x:c r="F187" s="25" t="str">
        <x:v>S07/collection_pages</x:v>
      </x:c>
      <x:c r="G187" s="25" t="str">
        <x:v>原表数值</x:v>
      </x:c>
      <x:c r="H187" s="25" t="str">
        <x:v>由同包逐项数据聚合，便于核对</x:v>
      </x:c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 t="n">
        <x:v>0.12000000000000001</x:v>
      </x:c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 t="n">
        <x:v>4.5</x:v>
      </x:c>
      <x:c r="AN187" s="32"/>
      <x:c r="AO187" s="32"/>
      <x:c r="AP187" s="32" t="n">
        <x:v>195</x:v>
      </x:c>
      <x:c r="AQ187" s="32"/>
      <x:c r="AR187" s="32"/>
      <x:c r="AS187" s="32"/>
      <x:c r="AT187" s="32"/>
      <x:c r="AU187" s="32"/>
      <x:c r="AV187" s="32"/>
      <x:c r="AW187" s="32"/>
      <x:c r="AX187" s="32"/>
      <x:c r="AY187" s="32"/>
      <x:c r="AZ187" s="32"/>
      <x:c r="BA187" s="32"/>
    </x:row>
    <x:row r="188">
      <x:c r="A188" s="25" t="str">
        <x:v>C04-E</x:v>
      </x:c>
      <x:c r="B188" s="25" t="str">
        <x:v>利耶尼亚海域</x:v>
      </x:c>
      <x:c r="C188" s="25" t="str">
        <x:v>半急速入场</x:v>
      </x:c>
      <x:c r="D188" s="25" t="str">
        <x:v>旧任务</x:v>
      </x:c>
      <x:c r="E188" s="25" t="str">
        <x:v>本类6项（逐项见完整JSON）</x:v>
      </x:c>
      <x:c r="F188" s="25" t="str">
        <x:v>宁姆格福_完整怪物装备任务爆率规划/地图任务；第一大陆_地图魂魄任务.txt</x:v>
      </x:c>
      <x:c r="G188" s="25" t="str">
        <x:v>原件确认；原表数值</x:v>
      </x:c>
      <x:c r="H188" s="25" t="str">
        <x:v>由同包逐项数据聚合，便于核对</x:v>
      </x:c>
      <x:c r="I188" s="32" t="n">
        <x:v>60</x:v>
      </x:c>
      <x:c r="J188" s="32" t="n">
        <x:v>60</x:v>
      </x:c>
      <x:c r="K188" s="32" t="n">
        <x:v>60</x:v>
      </x:c>
      <x:c r="L188" s="32" t="n">
        <x:v>60</x:v>
      </x:c>
      <x:c r="M188" s="32" t="n">
        <x:v>60</x:v>
      </x:c>
      <x:c r="N188" s="32" t="n">
        <x:v>60</x:v>
      </x:c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 t="n">
        <x:v>2</x:v>
      </x:c>
      <x:c r="AN188" s="32"/>
      <x:c r="AO188" s="32"/>
      <x:c r="AP188" s="32" t="n">
        <x:v>120</x:v>
      </x:c>
      <x:c r="AQ188" s="32"/>
      <x:c r="AR188" s="32"/>
      <x:c r="AS188" s="32"/>
      <x:c r="AT188" s="32"/>
      <x:c r="AU188" s="32"/>
      <x:c r="AV188" s="32"/>
      <x:c r="AW188" s="32"/>
      <x:c r="AX188" s="32"/>
      <x:c r="AY188" s="32"/>
      <x:c r="AZ188" s="32"/>
      <x:c r="BA188" s="32"/>
    </x:row>
    <x:row r="189">
      <x:c r="A189" s="25" t="str">
        <x:v>C04-E</x:v>
      </x:c>
      <x:c r="B189" s="25" t="str">
        <x:v>利耶尼亚海域</x:v>
      </x:c>
      <x:c r="C189" s="25" t="str">
        <x:v>半急速入场</x:v>
      </x:c>
      <x:c r="D189" s="25" t="str">
        <x:v>装备</x:v>
      </x:c>
      <x:c r="E189" s="25" t="str">
        <x:v>本类31项（逐项见完整JSON）</x:v>
      </x:c>
      <x:c r="F189" s="25" t="str">
        <x:v>S01；S02；S07</x:v>
      </x:c>
      <x:c r="G189" s="25" t="str">
        <x:v>原表数值</x:v>
      </x:c>
      <x:c r="H189" s="25" t="str">
        <x:v>由同包逐项数据聚合，便于核对</x:v>
      </x:c>
      <x:c r="I189" s="32" t="n">
        <x:v>2074</x:v>
      </x:c>
      <x:c r="J189" s="32" t="n">
        <x:v>4011</x:v>
      </x:c>
      <x:c r="K189" s="32" t="n">
        <x:v>2074</x:v>
      </x:c>
      <x:c r="L189" s="32" t="n">
        <x:v>4011</x:v>
      </x:c>
      <x:c r="M189" s="32" t="n">
        <x:v>2074</x:v>
      </x:c>
      <x:c r="N189" s="32" t="n">
        <x:v>4011</x:v>
      </x:c>
      <x:c r="O189" s="32" t="n">
        <x:v>2126550</x:v>
      </x:c>
      <x:c r="P189" s="32"/>
      <x:c r="Q189" s="32" t="n">
        <x:v>692</x:v>
      </x:c>
      <x:c r="R189" s="32" t="n">
        <x:v>1275</x:v>
      </x:c>
      <x:c r="S189" s="32" t="n">
        <x:v>565</x:v>
      </x:c>
      <x:c r="T189" s="32" t="n">
        <x:v>1040</x:v>
      </x:c>
      <x:c r="U189" s="32" t="n">
        <x:v>438</x:v>
      </x:c>
      <x:c r="V189" s="32" t="n">
        <x:v>438</x:v>
      </x:c>
      <x:c r="W189" s="32" t="n">
        <x:v>438</x:v>
      </x:c>
      <x:c r="X189" s="32"/>
      <x:c r="Y189" s="32"/>
      <x:c r="Z189" s="32" t="n">
        <x:v>97</x:v>
      </x:c>
      <x:c r="AA189" s="32" t="n">
        <x:v>36</x:v>
      </x:c>
      <x:c r="AB189" s="32"/>
      <x:c r="AC189" s="32" t="n">
        <x:v>114</x:v>
      </x:c>
      <x:c r="AD189" s="32"/>
      <x:c r="AE189" s="32"/>
      <x:c r="AF189" s="32"/>
      <x:c r="AG189" s="32"/>
      <x:c r="AH189" s="32" t="n">
        <x:v>23</x:v>
      </x:c>
      <x:c r="AI189" s="32" t="n">
        <x:v>2</x:v>
      </x:c>
      <x:c r="AJ189" s="32" t="n">
        <x:v>123</x:v>
      </x:c>
      <x:c r="AK189" s="32"/>
      <x:c r="AL189" s="32"/>
      <x:c r="AM189" s="32"/>
      <x:c r="AN189" s="32"/>
      <x:c r="AO189" s="32"/>
      <x:c r="AP189" s="32" t="n">
        <x:v>21</x:v>
      </x:c>
      <x:c r="AQ189" s="32" t="n">
        <x:v>87</x:v>
      </x:c>
      <x:c r="AR189" s="32"/>
      <x:c r="AS189" s="32" t="n">
        <x:v>7</x:v>
      </x:c>
      <x:c r="AT189" s="32"/>
      <x:c r="AU189" s="32"/>
      <x:c r="AV189" s="32"/>
      <x:c r="AW189" s="32"/>
      <x:c r="AX189" s="32"/>
      <x:c r="AY189" s="32"/>
      <x:c r="AZ189" s="32" t="n">
        <x:v>11</x:v>
      </x:c>
      <x:c r="BA189" s="32"/>
    </x:row>
    <x:row r="190">
      <x:c r="A190" s="25" t="str">
        <x:v>C04-E</x:v>
      </x:c>
      <x:c r="B190" s="25" t="str">
        <x:v>利耶尼亚海域</x:v>
      </x:c>
      <x:c r="C190" s="25" t="str">
        <x:v>半急速入场</x:v>
      </x:c>
      <x:c r="D190" s="25" t="str">
        <x:v>洗练</x:v>
      </x:c>
      <x:c r="E190" s="25" t="str">
        <x:v>本类10项（逐项见完整JSON）</x:v>
      </x:c>
      <x:c r="F190" s="25" t="str">
        <x:v>S06＋固定种子</x:v>
      </x:c>
      <x:c r="G190" s="25" t="str">
        <x:v>可实现随机样本</x:v>
      </x:c>
      <x:c r="H190" s="25" t="str">
        <x:v>由同包逐项数据聚合，便于核对</x:v>
      </x:c>
      <x:c r="I190" s="32" t="n">
        <x:v>119</x:v>
      </x:c>
      <x:c r="J190" s="32" t="n">
        <x:v>119</x:v>
      </x:c>
      <x:c r="K190" s="32"/>
      <x:c r="L190" s="32"/>
      <x:c r="M190" s="32" t="n">
        <x:v>6</x:v>
      </x:c>
      <x:c r="N190" s="32" t="n">
        <x:v>6</x:v>
      </x:c>
      <x:c r="O190" s="32"/>
      <x:c r="P190" s="32"/>
      <x:c r="Q190" s="32"/>
      <x:c r="R190" s="32"/>
      <x:c r="S190" s="32"/>
      <x:c r="T190" s="32"/>
      <x:c r="U190" s="32" t="n">
        <x:v>404</x:v>
      </x:c>
      <x:c r="V190" s="32"/>
      <x:c r="W190" s="32"/>
      <x:c r="X190" s="32"/>
      <x:c r="Y190" s="32" t="n">
        <x:v>2</x:v>
      </x:c>
      <x:c r="Z190" s="32"/>
      <x:c r="AA190" s="32"/>
      <x:c r="AB190" s="32" t="n">
        <x:v>4</x:v>
      </x:c>
      <x:c r="AC190" s="32"/>
      <x:c r="AD190" s="32" t="n">
        <x:v>1</x:v>
      </x:c>
      <x:c r="AE190" s="32"/>
      <x:c r="AF190" s="32"/>
      <x:c r="AG190" s="32"/>
      <x:c r="AH190" s="32" t="n">
        <x:v>8</x:v>
      </x:c>
      <x:c r="AI190" s="32"/>
      <x:c r="AJ190" s="32"/>
      <x:c r="AK190" s="32"/>
      <x:c r="AL190" s="32"/>
      <x:c r="AM190" s="32"/>
      <x:c r="AN190" s="32" t="n">
        <x:v>5</x:v>
      </x:c>
      <x:c r="AO190" s="32"/>
      <x:c r="AP190" s="32" t="n">
        <x:v>10</x:v>
      </x:c>
      <x:c r="AQ190" s="32"/>
      <x:c r="AR190" s="32"/>
      <x:c r="AS190" s="32" t="n">
        <x:v>1</x:v>
      </x:c>
      <x:c r="AT190" s="32"/>
      <x:c r="AU190" s="32" t="n">
        <x:v>2</x:v>
      </x:c>
      <x:c r="AV190" s="32"/>
      <x:c r="AW190" s="32"/>
      <x:c r="AX190" s="32"/>
      <x:c r="AY190" s="32"/>
      <x:c r="AZ190" s="32"/>
      <x:c r="BA190" s="32"/>
    </x:row>
    <x:row r="191">
      <x:c r="A191" s="25" t="str">
        <x:v>C04-E</x:v>
      </x:c>
      <x:c r="B191" s="25" t="str">
        <x:v>利耶尼亚海域</x:v>
      </x:c>
      <x:c r="C191" s="25" t="str">
        <x:v>半急速入场</x:v>
      </x:c>
      <x:c r="D191" s="25" t="str">
        <x:v>命格</x:v>
      </x:c>
      <x:c r="E191" s="25" t="str">
        <x:v>本类3项（逐项见完整JSON）</x:v>
      </x:c>
      <x:c r="F191" s="25" t="str">
        <x:v>S03/命格ID1081；S03/命格ID1092；S03/命格ID1093</x:v>
      </x:c>
      <x:c r="G191" s="25" t="str">
        <x:v>原表彩色＋选配假设</x:v>
      </x:c>
      <x:c r="H191" s="25" t="str">
        <x:v>由同包逐项数据聚合，便于核对</x:v>
      </x:c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 t="n">
        <x:v>6</x:v>
      </x:c>
      <x:c r="Z191" s="32" t="n">
        <x:v>3</x:v>
      </x:c>
      <x:c r="AA191" s="32"/>
      <x:c r="AB191" s="32"/>
      <x:c r="AC191" s="32"/>
      <x:c r="AD191" s="32"/>
      <x:c r="AE191" s="32"/>
      <x:c r="AF191" s="32"/>
      <x:c r="AG191" s="32"/>
      <x:c r="AH191" s="32" t="n">
        <x:v>2</x:v>
      </x:c>
      <x:c r="AI191" s="32"/>
      <x:c r="AJ191" s="32" t="n">
        <x:v>10</x:v>
      </x:c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 t="n">
        <x:v>50</x:v>
      </x:c>
      <x:c r="AU191" s="32" t="n">
        <x:v>2</x:v>
      </x:c>
      <x:c r="AV191" s="32" t="n">
        <x:v>3</x:v>
      </x:c>
      <x:c r="AW191" s="32"/>
      <x:c r="AX191" s="32"/>
      <x:c r="AY191" s="32"/>
      <x:c r="AZ191" s="32"/>
      <x:c r="BA191" s="32"/>
    </x:row>
    <x:row r="192">
      <x:c r="A192" s="25" t="str">
        <x:v>C04-E</x:v>
      </x:c>
      <x:c r="B192" s="25" t="str">
        <x:v>利耶尼亚海域</x:v>
      </x:c>
      <x:c r="C192" s="25" t="str">
        <x:v>半急速入场</x:v>
      </x:c>
      <x:c r="D192" s="25" t="str">
        <x:v>后天幸运</x:v>
      </x:c>
      <x:c r="E192" s="25" t="str">
        <x:v>本类1项（逐项见完整JSON）</x:v>
      </x:c>
      <x:c r="F192" s="25" t="str">
        <x:v>A08</x:v>
      </x:c>
      <x:c r="G192" s="25" t="str">
        <x:v>人物永久进度</x:v>
      </x:c>
      <x:c r="H192" s="25" t="str">
        <x:v>由同包逐项数据聚合，便于核对</x:v>
      </x:c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 t="n">
        <x:v>7</x:v>
      </x:c>
      <x:c r="AL192" s="32" t="n">
        <x:v>8</x:v>
      </x:c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Y192" s="32"/>
      <x:c r="AZ192" s="32"/>
      <x:c r="BA192" s="32"/>
    </x:row>
    <x:row r="193">
      <x:c r="A193" s="25" t="str">
        <x:v>C04-E</x:v>
      </x:c>
      <x:c r="B193" s="25" t="str">
        <x:v>利耶尼亚海域</x:v>
      </x:c>
      <x:c r="C193" s="25" t="str">
        <x:v>半急速入场</x:v>
      </x:c>
      <x:c r="D193" s="25" t="str">
        <x:v>回收预算</x:v>
      </x:c>
      <x:c r="E193" s="25" t="str">
        <x:v>本类1项（逐项见完整JSON）</x:v>
      </x:c>
      <x:c r="F193" s="25" t="str">
        <x:v>用户总回收50%</x:v>
      </x:c>
      <x:c r="G193" s="25" t="str">
        <x:v>经济输入，不是新增属性来源</x:v>
      </x:c>
      <x:c r="H193" s="25" t="str">
        <x:v>由同包逐项数据聚合，便于核对</x:v>
      </x:c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Y193" s="32"/>
      <x:c r="AZ193" s="32"/>
      <x:c r="BA193" s="32" t="n">
        <x:v>50</x:v>
      </x:c>
    </x:row>
    <x:row r="194">
      <x:c r="A194" s="25" t="str">
        <x:v>C04-M</x:v>
      </x:c>
      <x:c r="B194" s="25" t="str">
        <x:v>利耶尼亚海域</x:v>
      </x:c>
      <x:c r="C194" s="25" t="str">
        <x:v>半急速中期</x:v>
      </x:c>
      <x:c r="D194" s="25" t="str">
        <x:v>人物自然</x:v>
      </x:c>
      <x:c r="E194" s="25" t="str">
        <x:v>本类1项（逐项见完整JSON）</x:v>
      </x:c>
      <x:c r="F194" s="25" t="str">
        <x:v>A01</x:v>
      </x:c>
      <x:c r="G194" s="25" t="str">
        <x:v>模型假设</x:v>
      </x:c>
      <x:c r="H194" s="25" t="str">
        <x:v>由同包逐项数据聚合，便于核对</x:v>
      </x:c>
      <x:c r="I194" s="32" t="n">
        <x:v>14</x:v>
      </x:c>
      <x:c r="J194" s="32" t="n">
        <x:v>30.5</x:v>
      </x:c>
      <x:c r="K194" s="32"/>
      <x:c r="L194" s="32"/>
      <x:c r="M194" s="32"/>
      <x:c r="N194" s="32"/>
      <x:c r="O194" s="32" t="n">
        <x:v>2400</x:v>
      </x:c>
      <x:c r="P194" s="32" t="n">
        <x:v>550</x:v>
      </x:c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Y194" s="32"/>
      <x:c r="AZ194" s="32"/>
      <x:c r="BA194" s="32"/>
    </x:row>
    <x:row r="195">
      <x:c r="A195" s="25" t="str">
        <x:v>C04-M</x:v>
      </x:c>
      <x:c r="B195" s="25" t="str">
        <x:v>利耶尼亚海域</x:v>
      </x:c>
      <x:c r="C195" s="25" t="str">
        <x:v>半急速中期</x:v>
      </x:c>
      <x:c r="D195" s="25" t="str">
        <x:v>付费状态</x:v>
      </x:c>
      <x:c r="E195" s="25" t="str">
        <x:v>本类3项（逐项见完整JSON）</x:v>
      </x:c>
      <x:c r="F195" s="25" t="str">
        <x:v>20260903总档</x:v>
      </x:c>
      <x:c r="G195" s="25" t="str">
        <x:v>原表数值</x:v>
      </x:c>
      <x:c r="H195" s="25" t="str">
        <x:v>由同包逐项数据聚合，便于核对</x:v>
      </x:c>
      <x:c r="I195" s="32" t="n">
        <x:v>149</x:v>
      </x:c>
      <x:c r="J195" s="32" t="n">
        <x:v>149</x:v>
      </x:c>
      <x:c r="K195" s="32" t="n">
        <x:v>149</x:v>
      </x:c>
      <x:c r="L195" s="32" t="n">
        <x:v>149</x:v>
      </x:c>
      <x:c r="M195" s="32" t="n">
        <x:v>149</x:v>
      </x:c>
      <x:c r="N195" s="32" t="n">
        <x:v>149</x:v>
      </x:c>
      <x:c r="O195" s="32" t="n">
        <x:v>10000</x:v>
      </x:c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 t="n">
        <x:v>10</x:v>
      </x:c>
      <x:c r="Z195" s="32"/>
      <x:c r="AA195" s="32"/>
      <x:c r="AB195" s="32" t="n">
        <x:v>20</x:v>
      </x:c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 t="n">
        <x:v>10</x:v>
      </x:c>
      <x:c r="AN195" s="32"/>
      <x:c r="AO195" s="32"/>
      <x:c r="AP195" s="32" t="n">
        <x:v>50</x:v>
      </x:c>
      <x:c r="AQ195" s="32"/>
      <x:c r="AR195" s="32"/>
      <x:c r="AS195" s="32"/>
      <x:c r="AT195" s="32" t="n">
        <x:v>700</x:v>
      </x:c>
      <x:c r="AU195" s="32" t="n">
        <x:v>15</x:v>
      </x:c>
      <x:c r="AV195" s="32"/>
      <x:c r="AW195" s="32"/>
      <x:c r="AX195" s="32"/>
      <x:c r="AY195" s="32"/>
      <x:c r="AZ195" s="32"/>
      <x:c r="BA195" s="32"/>
    </x:row>
    <x:row r="196">
      <x:c r="A196" s="25" t="str">
        <x:v>C04-M</x:v>
      </x:c>
      <x:c r="B196" s="25" t="str">
        <x:v>利耶尼亚海域</x:v>
      </x:c>
      <x:c r="C196" s="25" t="str">
        <x:v>半急速中期</x:v>
      </x:c>
      <x:c r="D196" s="25" t="str">
        <x:v>成长装备</x:v>
      </x:c>
      <x:c r="E196" s="25" t="str">
        <x:v>本类2项（逐项见完整JSON）</x:v>
      </x:c>
      <x:c r="F196" s="25" t="str">
        <x:v>20260903总档 / A04</x:v>
      </x:c>
      <x:c r="G196" s="25" t="str">
        <x:v>原表＋支付路径假设</x:v>
      </x:c>
      <x:c r="H196" s="25" t="str">
        <x:v>由同包逐项数据聚合，便于核对</x:v>
      </x:c>
      <x:c r="I196" s="32" t="n">
        <x:v>1100</x:v>
      </x:c>
      <x:c r="J196" s="32" t="n">
        <x:v>1100</x:v>
      </x:c>
      <x:c r="K196" s="32" t="n">
        <x:v>1100</x:v>
      </x:c>
      <x:c r="L196" s="32" t="n">
        <x:v>1100</x:v>
      </x:c>
      <x:c r="M196" s="32" t="n">
        <x:v>1100</x:v>
      </x:c>
      <x:c r="N196" s="32" t="n">
        <x:v>1100</x:v>
      </x:c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 t="n">
        <x:v>10</x:v>
      </x:c>
      <x:c r="AX196" s="32" t="n">
        <x:v>10</x:v>
      </x:c>
      <x:c r="AY196" s="32"/>
      <x:c r="AZ196" s="32"/>
      <x:c r="BA196" s="32"/>
    </x:row>
    <x:row r="197">
      <x:c r="A197" s="25" t="str">
        <x:v>C04-M</x:v>
      </x:c>
      <x:c r="B197" s="25" t="str">
        <x:v>利耶尼亚海域</x:v>
      </x:c>
      <x:c r="C197" s="25" t="str">
        <x:v>半急速中期</x:v>
      </x:c>
      <x:c r="D197" s="25" t="str">
        <x:v>贯穿称号</x:v>
      </x:c>
      <x:c r="E197" s="25" t="str">
        <x:v>本类1项（逐项见完整JSON）</x:v>
      </x:c>
      <x:c r="F197" s="25" t="str">
        <x:v>S04/01_贯穿称号</x:v>
      </x:c>
      <x:c r="G197" s="25" t="str">
        <x:v>原表数值</x:v>
      </x:c>
      <x:c r="H197" s="25" t="str">
        <x:v>由同包逐项数据聚合，便于核对</x:v>
      </x:c>
      <x:c r="I197" s="32" t="n">
        <x:v>1800</x:v>
      </x:c>
      <x:c r="J197" s="32" t="n">
        <x:v>1800</x:v>
      </x:c>
      <x:c r="K197" s="32" t="n">
        <x:v>1800</x:v>
      </x:c>
      <x:c r="L197" s="32" t="n">
        <x:v>1800</x:v>
      </x:c>
      <x:c r="M197" s="32" t="n">
        <x:v>1800</x:v>
      </x:c>
      <x:c r="N197" s="32" t="n">
        <x:v>1800</x:v>
      </x:c>
      <x:c r="O197" s="32" t="n">
        <x:v>180000</x:v>
      </x:c>
      <x:c r="P197" s="32" t="n">
        <x:v>180000</x:v>
      </x:c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 t="n">
        <x:v>1100</x:v>
      </x:c>
      <x:c r="AU197" s="32"/>
      <x:c r="AV197" s="32"/>
      <x:c r="AW197" s="32"/>
      <x:c r="AX197" s="32"/>
      <x:c r="AY197" s="32"/>
      <x:c r="AZ197" s="32"/>
      <x:c r="BA197" s="32"/>
    </x:row>
    <x:row r="198">
      <x:c r="A198" s="25" t="str">
        <x:v>C04-M</x:v>
      </x:c>
      <x:c r="B198" s="25" t="str">
        <x:v>利耶尼亚海域</x:v>
      </x:c>
      <x:c r="C198" s="25" t="str">
        <x:v>半急速中期</x:v>
      </x:c>
      <x:c r="D198" s="25" t="str">
        <x:v>神印</x:v>
      </x:c>
      <x:c r="E198" s="25" t="str">
        <x:v>本类1项（逐项见完整JSON）</x:v>
      </x:c>
      <x:c r="F198" s="25" t="str">
        <x:v>S04 / 神印公式</x:v>
      </x:c>
      <x:c r="G198" s="25" t="str">
        <x:v>自给进度假设＋原公式</x:v>
      </x:c>
      <x:c r="H198" s="25" t="str">
        <x:v>由同包逐项数据聚合，便于核对</x:v>
      </x:c>
      <x:c r="I198" s="32" t="n">
        <x:v>4560</x:v>
      </x:c>
      <x:c r="J198" s="32" t="n">
        <x:v>4560</x:v>
      </x:c>
      <x:c r="K198" s="32" t="n">
        <x:v>4560</x:v>
      </x:c>
      <x:c r="L198" s="32" t="n">
        <x:v>4560</x:v>
      </x:c>
      <x:c r="M198" s="32" t="n">
        <x:v>4560</x:v>
      </x:c>
      <x:c r="N198" s="32" t="n">
        <x:v>4560</x:v>
      </x:c>
      <x:c r="O198" s="32" t="n">
        <x:v>456000</x:v>
      </x:c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Y198" s="32"/>
      <x:c r="AZ198" s="32"/>
      <x:c r="BA198" s="32"/>
    </x:row>
    <x:row r="199">
      <x:c r="A199" s="25" t="str">
        <x:v>C04-M</x:v>
      </x:c>
      <x:c r="B199" s="25" t="str">
        <x:v>利耶尼亚海域</x:v>
      </x:c>
      <x:c r="C199" s="25" t="str">
        <x:v>半急速中期</x:v>
      </x:c>
      <x:c r="D199" s="25" t="str">
        <x:v>转生</x:v>
      </x:c>
      <x:c r="E199" s="25" t="str">
        <x:v>本类1项（逐项见完整JSON）</x:v>
      </x:c>
      <x:c r="F199" s="25" t="str">
        <x:v>S07/20转</x:v>
      </x:c>
      <x:c r="G199" s="25" t="str">
        <x:v>原表累计</x:v>
      </x:c>
      <x:c r="H199" s="25" t="str">
        <x:v>由同包逐项数据聚合，便于核对</x:v>
      </x:c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 t="n">
        <x:v>0.05</x:v>
      </x:c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Y199" s="32"/>
      <x:c r="AZ199" s="32"/>
      <x:c r="BA199" s="32"/>
    </x:row>
    <x:row r="200">
      <x:c r="A200" s="25" t="str">
        <x:v>C04-M</x:v>
      </x:c>
      <x:c r="B200" s="25" t="str">
        <x:v>利耶尼亚海域</x:v>
      </x:c>
      <x:c r="C200" s="25" t="str">
        <x:v>半急速中期</x:v>
      </x:c>
      <x:c r="D200" s="25" t="str">
        <x:v>独立称号</x:v>
      </x:c>
      <x:c r="E200" s="25" t="str">
        <x:v>本类2项（逐项见完整JSON）</x:v>
      </x:c>
      <x:c r="F200" s="25" t="str">
        <x:v>S04/02_独立称号</x:v>
      </x:c>
      <x:c r="G200" s="25" t="str">
        <x:v>原表数值</x:v>
      </x:c>
      <x:c r="H200" s="25" t="str">
        <x:v>由同包逐项数据聚合，便于核对</x:v>
      </x:c>
      <x:c r="I200" s="32" t="n">
        <x:v>210</x:v>
      </x:c>
      <x:c r="J200" s="32" t="n">
        <x:v>210</x:v>
      </x:c>
      <x:c r="K200" s="32" t="n">
        <x:v>210</x:v>
      </x:c>
      <x:c r="L200" s="32" t="n">
        <x:v>210</x:v>
      </x:c>
      <x:c r="M200" s="32" t="n">
        <x:v>210</x:v>
      </x:c>
      <x:c r="N200" s="32" t="n">
        <x:v>210</x:v>
      </x:c>
      <x:c r="O200" s="32" t="n">
        <x:v>21000</x:v>
      </x:c>
      <x:c r="P200" s="32"/>
      <x:c r="Q200" s="32"/>
      <x:c r="R200" s="32"/>
      <x:c r="S200" s="32"/>
      <x:c r="T200" s="32"/>
      <x:c r="U200" s="32"/>
      <x:c r="V200" s="32"/>
      <x:c r="W200" s="32"/>
      <x:c r="X200" s="32" t="n">
        <x:v>0</x:v>
      </x:c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 t="n">
        <x:v>0</x:v>
      </x:c>
      <x:c r="AN200" s="32"/>
      <x:c r="AO200" s="32"/>
      <x:c r="AP200" s="32" t="n">
        <x:v>0</x:v>
      </x:c>
      <x:c r="AQ200" s="32"/>
      <x:c r="AR200" s="32"/>
      <x:c r="AS200" s="32"/>
      <x:c r="AT200" s="32"/>
      <x:c r="AU200" s="32"/>
      <x:c r="AV200" s="32"/>
      <x:c r="AW200" s="32"/>
      <x:c r="AX200" s="32"/>
      <x:c r="AY200" s="32"/>
      <x:c r="AZ200" s="32"/>
      <x:c r="BA200" s="32"/>
    </x:row>
    <x:row r="201">
      <x:c r="A201" s="25" t="str">
        <x:v>C04-M</x:v>
      </x:c>
      <x:c r="B201" s="25" t="str">
        <x:v>利耶尼亚海域</x:v>
      </x:c>
      <x:c r="C201" s="25" t="str">
        <x:v>半急速中期</x:v>
      </x:c>
      <x:c r="D201" s="25" t="str">
        <x:v>单件图鉴</x:v>
      </x:c>
      <x:c r="E201" s="25" t="str">
        <x:v>本类1项（逐项见完整JSON）</x:v>
      </x:c>
      <x:c r="F201" s="25" t="str">
        <x:v>S07/collection_single</x:v>
      </x:c>
      <x:c r="G201" s="25" t="str">
        <x:v>原表累计</x:v>
      </x:c>
      <x:c r="H201" s="25" t="str">
        <x:v>由同包逐项数据聚合，便于核对</x:v>
      </x:c>
      <x:c r="I201" s="32" t="n">
        <x:v>634</x:v>
      </x:c>
      <x:c r="J201" s="32" t="n">
        <x:v>634</x:v>
      </x:c>
      <x:c r="K201" s="32" t="n">
        <x:v>634</x:v>
      </x:c>
      <x:c r="L201" s="32" t="n">
        <x:v>634</x:v>
      </x:c>
      <x:c r="M201" s="32" t="n">
        <x:v>634</x:v>
      </x:c>
      <x:c r="N201" s="32" t="n">
        <x:v>634</x:v>
      </x:c>
      <x:c r="O201" s="32" t="n">
        <x:v>63400</x:v>
      </x:c>
      <x:c r="P201" s="32"/>
      <x:c r="Q201" s="32"/>
      <x:c r="R201" s="32"/>
      <x:c r="S201" s="32"/>
      <x:c r="T201" s="32"/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Y201" s="32"/>
      <x:c r="AZ201" s="32"/>
      <x:c r="BA201" s="32"/>
    </x:row>
    <x:row r="202">
      <x:c r="A202" s="25" t="str">
        <x:v>C04-M</x:v>
      </x:c>
      <x:c r="B202" s="25" t="str">
        <x:v>利耶尼亚海域</x:v>
      </x:c>
      <x:c r="C202" s="25" t="str">
        <x:v>半急速中期</x:v>
      </x:c>
      <x:c r="D202" s="25" t="str">
        <x:v>地图整页</x:v>
      </x:c>
      <x:c r="E202" s="25" t="str">
        <x:v>本类11项（逐项见完整JSON）</x:v>
      </x:c>
      <x:c r="F202" s="25" t="str">
        <x:v>S07/collection_pages</x:v>
      </x:c>
      <x:c r="G202" s="25" t="str">
        <x:v>原表数值</x:v>
      </x:c>
      <x:c r="H202" s="25" t="str">
        <x:v>由同包逐项数据聚合，便于核对</x:v>
      </x:c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32"/>
      <x:c r="U202" s="32"/>
      <x:c r="V202" s="32"/>
      <x:c r="W202" s="32"/>
      <x:c r="X202" s="32" t="n">
        <x:v>0.16</x:v>
      </x:c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 t="n">
        <x:v>5.5</x:v>
      </x:c>
      <x:c r="AN202" s="32"/>
      <x:c r="AO202" s="32"/>
      <x:c r="AP202" s="32" t="n">
        <x:v>250</x:v>
      </x:c>
      <x:c r="AQ202" s="32"/>
      <x:c r="AR202" s="32"/>
      <x:c r="AS202" s="32"/>
      <x:c r="AT202" s="32"/>
      <x:c r="AU202" s="32"/>
      <x:c r="AV202" s="32"/>
      <x:c r="AW202" s="32"/>
      <x:c r="AX202" s="32"/>
      <x:c r="AY202" s="32"/>
      <x:c r="AZ202" s="32"/>
      <x:c r="BA202" s="32"/>
    </x:row>
    <x:row r="203">
      <x:c r="A203" s="25" t="str">
        <x:v>C04-M</x:v>
      </x:c>
      <x:c r="B203" s="25" t="str">
        <x:v>利耶尼亚海域</x:v>
      </x:c>
      <x:c r="C203" s="25" t="str">
        <x:v>半急速中期</x:v>
      </x:c>
      <x:c r="D203" s="25" t="str">
        <x:v>材料图鉴</x:v>
      </x:c>
      <x:c r="E203" s="25" t="str">
        <x:v>本类1项（逐项见完整JSON）</x:v>
      </x:c>
      <x:c r="F203" s="25" t="str">
        <x:v>S07/collection_materials</x:v>
      </x:c>
      <x:c r="G203" s="25" t="str">
        <x:v>原表数值</x:v>
      </x:c>
      <x:c r="H203" s="25" t="str">
        <x:v>由同包逐项数据聚合，便于核对</x:v>
      </x:c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32"/>
      <x:c r="U203" s="32"/>
      <x:c r="V203" s="32"/>
      <x:c r="W203" s="32"/>
      <x:c r="X203" s="32" t="n">
        <x:v>0.05</x:v>
      </x:c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 t="n">
        <x:v>0</x:v>
      </x:c>
      <x:c r="AN203" s="32"/>
      <x:c r="AO203" s="32"/>
      <x:c r="AP203" s="32" t="n">
        <x:v>0</x:v>
      </x:c>
      <x:c r="AQ203" s="32"/>
      <x:c r="AR203" s="32"/>
      <x:c r="AS203" s="32"/>
      <x:c r="AT203" s="32"/>
      <x:c r="AU203" s="32"/>
      <x:c r="AV203" s="32"/>
      <x:c r="AW203" s="32"/>
      <x:c r="AX203" s="32"/>
      <x:c r="AY203" s="32"/>
      <x:c r="AZ203" s="32"/>
      <x:c r="BA203" s="32"/>
    </x:row>
    <x:row r="204">
      <x:c r="A204" s="25" t="str">
        <x:v>C04-M</x:v>
      </x:c>
      <x:c r="B204" s="25" t="str">
        <x:v>利耶尼亚海域</x:v>
      </x:c>
      <x:c r="C204" s="25" t="str">
        <x:v>半急速中期</x:v>
      </x:c>
      <x:c r="D204" s="25" t="str">
        <x:v>旧任务</x:v>
      </x:c>
      <x:c r="E204" s="25" t="str">
        <x:v>本类6项（逐项见完整JSON）</x:v>
      </x:c>
      <x:c r="F204" s="25" t="str">
        <x:v>宁姆格福_完整怪物装备任务爆率规划/地图任务；第一大陆_地图魂魄任务.txt</x:v>
      </x:c>
      <x:c r="G204" s="25" t="str">
        <x:v>原件确认；原表数值</x:v>
      </x:c>
      <x:c r="H204" s="25" t="str">
        <x:v>由同包逐项数据聚合，便于核对</x:v>
      </x:c>
      <x:c r="I204" s="32" t="n">
        <x:v>60</x:v>
      </x:c>
      <x:c r="J204" s="32" t="n">
        <x:v>60</x:v>
      </x:c>
      <x:c r="K204" s="32" t="n">
        <x:v>60</x:v>
      </x:c>
      <x:c r="L204" s="32" t="n">
        <x:v>60</x:v>
      </x:c>
      <x:c r="M204" s="32" t="n">
        <x:v>60</x:v>
      </x:c>
      <x:c r="N204" s="32" t="n">
        <x:v>60</x:v>
      </x:c>
      <x:c r="O204" s="32"/>
      <x:c r="P204" s="32"/>
      <x:c r="Q204" s="32"/>
      <x:c r="R204" s="32"/>
      <x:c r="S204" s="32"/>
      <x:c r="T204" s="32"/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 t="n">
        <x:v>2</x:v>
      </x:c>
      <x:c r="AN204" s="32"/>
      <x:c r="AO204" s="32"/>
      <x:c r="AP204" s="32" t="n">
        <x:v>120</x:v>
      </x:c>
      <x:c r="AQ204" s="32"/>
      <x:c r="AR204" s="32"/>
      <x:c r="AS204" s="32"/>
      <x:c r="AT204" s="32"/>
      <x:c r="AU204" s="32"/>
      <x:c r="AV204" s="32"/>
      <x:c r="AW204" s="32"/>
      <x:c r="AX204" s="32"/>
      <x:c r="AY204" s="32"/>
      <x:c r="AZ204" s="32"/>
      <x:c r="BA204" s="32"/>
    </x:row>
    <x:row r="205">
      <x:c r="A205" s="25" t="str">
        <x:v>C04-M</x:v>
      </x:c>
      <x:c r="B205" s="25" t="str">
        <x:v>利耶尼亚海域</x:v>
      </x:c>
      <x:c r="C205" s="25" t="str">
        <x:v>半急速中期</x:v>
      </x:c>
      <x:c r="D205" s="25" t="str">
        <x:v>装备</x:v>
      </x:c>
      <x:c r="E205" s="25" t="str">
        <x:v>本类31项（逐项见完整JSON）</x:v>
      </x:c>
      <x:c r="F205" s="25" t="str">
        <x:v>S01；S02；S07</x:v>
      </x:c>
      <x:c r="G205" s="25" t="str">
        <x:v>原表数值</x:v>
      </x:c>
      <x:c r="H205" s="25" t="str">
        <x:v>由同包逐项数据聚合，便于核对</x:v>
      </x:c>
      <x:c r="I205" s="32" t="n">
        <x:v>2192</x:v>
      </x:c>
      <x:c r="J205" s="32" t="n">
        <x:v>4236</x:v>
      </x:c>
      <x:c r="K205" s="32" t="n">
        <x:v>2192</x:v>
      </x:c>
      <x:c r="L205" s="32" t="n">
        <x:v>4236</x:v>
      </x:c>
      <x:c r="M205" s="32" t="n">
        <x:v>2192</x:v>
      </x:c>
      <x:c r="N205" s="32" t="n">
        <x:v>4236</x:v>
      </x:c>
      <x:c r="O205" s="32" t="n">
        <x:v>2288750</x:v>
      </x:c>
      <x:c r="P205" s="32"/>
      <x:c r="Q205" s="32" t="n">
        <x:v>719</x:v>
      </x:c>
      <x:c r="R205" s="32" t="n">
        <x:v>1321</x:v>
      </x:c>
      <x:c r="S205" s="32" t="n">
        <x:v>586</x:v>
      </x:c>
      <x:c r="T205" s="32" t="n">
        <x:v>1078</x:v>
      </x:c>
      <x:c r="U205" s="32" t="n">
        <x:v>451</x:v>
      </x:c>
      <x:c r="V205" s="32" t="n">
        <x:v>451</x:v>
      </x:c>
      <x:c r="W205" s="32" t="n">
        <x:v>451</x:v>
      </x:c>
      <x:c r="X205" s="32"/>
      <x:c r="Y205" s="32"/>
      <x:c r="Z205" s="32" t="n">
        <x:v>97</x:v>
      </x:c>
      <x:c r="AA205" s="32" t="n">
        <x:v>36</x:v>
      </x:c>
      <x:c r="AB205" s="32"/>
      <x:c r="AC205" s="32" t="n">
        <x:v>115</x:v>
      </x:c>
      <x:c r="AD205" s="32"/>
      <x:c r="AE205" s="32"/>
      <x:c r="AF205" s="32"/>
      <x:c r="AG205" s="32"/>
      <x:c r="AH205" s="32" t="n">
        <x:v>23</x:v>
      </x:c>
      <x:c r="AI205" s="32" t="n">
        <x:v>2</x:v>
      </x:c>
      <x:c r="AJ205" s="32" t="n">
        <x:v>123</x:v>
      </x:c>
      <x:c r="AK205" s="32"/>
      <x:c r="AL205" s="32"/>
      <x:c r="AM205" s="32"/>
      <x:c r="AN205" s="32"/>
      <x:c r="AO205" s="32"/>
      <x:c r="AP205" s="32" t="n">
        <x:v>21</x:v>
      </x:c>
      <x:c r="AQ205" s="32" t="n">
        <x:v>85</x:v>
      </x:c>
      <x:c r="AR205" s="32"/>
      <x:c r="AS205" s="32" t="n">
        <x:v>7</x:v>
      </x:c>
      <x:c r="AT205" s="32"/>
      <x:c r="AU205" s="32"/>
      <x:c r="AV205" s="32"/>
      <x:c r="AW205" s="32"/>
      <x:c r="AX205" s="32"/>
      <x:c r="AY205" s="32"/>
      <x:c r="AZ205" s="32" t="n">
        <x:v>11</x:v>
      </x:c>
      <x:c r="BA205" s="32"/>
    </x:row>
    <x:row r="206">
      <x:c r="A206" s="25" t="str">
        <x:v>C04-M</x:v>
      </x:c>
      <x:c r="B206" s="25" t="str">
        <x:v>利耶尼亚海域</x:v>
      </x:c>
      <x:c r="C206" s="25" t="str">
        <x:v>半急速中期</x:v>
      </x:c>
      <x:c r="D206" s="25" t="str">
        <x:v>洗练</x:v>
      </x:c>
      <x:c r="E206" s="25" t="str">
        <x:v>本类10项（逐项见完整JSON）</x:v>
      </x:c>
      <x:c r="F206" s="25" t="str">
        <x:v>S06＋固定种子</x:v>
      </x:c>
      <x:c r="G206" s="25" t="str">
        <x:v>可实现随机样本</x:v>
      </x:c>
      <x:c r="H206" s="25" t="str">
        <x:v>由同包逐项数据聚合，便于核对</x:v>
      </x:c>
      <x:c r="I206" s="32" t="n">
        <x:v>202</x:v>
      </x:c>
      <x:c r="J206" s="32" t="n">
        <x:v>202</x:v>
      </x:c>
      <x:c r="K206" s="32" t="n">
        <x:v>17</x:v>
      </x:c>
      <x:c r="L206" s="32" t="n">
        <x:v>17</x:v>
      </x:c>
      <x:c r="M206" s="32" t="n">
        <x:v>77</x:v>
      </x:c>
      <x:c r="N206" s="32" t="n">
        <x:v>77</x:v>
      </x:c>
      <x:c r="O206" s="32"/>
      <x:c r="P206" s="32"/>
      <x:c r="Q206" s="32"/>
      <x:c r="R206" s="32"/>
      <x:c r="S206" s="32"/>
      <x:c r="T206" s="32"/>
      <x:c r="U206" s="32" t="n">
        <x:v>318</x:v>
      </x:c>
      <x:c r="V206" s="32"/>
      <x:c r="W206" s="32"/>
      <x:c r="X206" s="32"/>
      <x:c r="Y206" s="32" t="n">
        <x:v>2</x:v>
      </x:c>
      <x:c r="Z206" s="32"/>
      <x:c r="AA206" s="32"/>
      <x:c r="AB206" s="32" t="n">
        <x:v>4</x:v>
      </x:c>
      <x:c r="AC206" s="32"/>
      <x:c r="AD206" s="32"/>
      <x:c r="AE206" s="32"/>
      <x:c r="AF206" s="32"/>
      <x:c r="AG206" s="32"/>
      <x:c r="AH206" s="32" t="n">
        <x:v>8</x:v>
      </x:c>
      <x:c r="AI206" s="32"/>
      <x:c r="AJ206" s="32"/>
      <x:c r="AK206" s="32"/>
      <x:c r="AL206" s="32"/>
      <x:c r="AM206" s="32" t="n">
        <x:v>3</x:v>
      </x:c>
      <x:c r="AN206" s="32" t="n">
        <x:v>12</x:v>
      </x:c>
      <x:c r="AO206" s="32" t="n">
        <x:v>3</x:v>
      </x:c>
      <x:c r="AP206" s="32" t="n">
        <x:v>20</x:v>
      </x:c>
      <x:c r="AQ206" s="32"/>
      <x:c r="AR206" s="32" t="n">
        <x:v>1</x:v>
      </x:c>
      <x:c r="AS206" s="32"/>
      <x:c r="AT206" s="32"/>
      <x:c r="AU206" s="32" t="n">
        <x:v>2</x:v>
      </x:c>
      <x:c r="AV206" s="32"/>
      <x:c r="AW206" s="32"/>
      <x:c r="AX206" s="32"/>
      <x:c r="AY206" s="32"/>
      <x:c r="AZ206" s="32"/>
      <x:c r="BA206" s="32"/>
    </x:row>
    <x:row r="207">
      <x:c r="A207" s="25" t="str">
        <x:v>C04-M</x:v>
      </x:c>
      <x:c r="B207" s="25" t="str">
        <x:v>利耶尼亚海域</x:v>
      </x:c>
      <x:c r="C207" s="25" t="str">
        <x:v>半急速中期</x:v>
      </x:c>
      <x:c r="D207" s="25" t="str">
        <x:v>命格</x:v>
      </x:c>
      <x:c r="E207" s="25" t="str">
        <x:v>本类4项（逐项见完整JSON）</x:v>
      </x:c>
      <x:c r="F207" s="25" t="str">
        <x:v>S03/命格ID1081；S03/命格ID1090；S03/命格ID1092；S03/命格ID1093</x:v>
      </x:c>
      <x:c r="G207" s="25" t="str">
        <x:v>原表彩色＋选配假设</x:v>
      </x:c>
      <x:c r="H207" s="25" t="str">
        <x:v>由同包逐项数据聚合，便于核对</x:v>
      </x:c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32"/>
      <x:c r="U207" s="32"/>
      <x:c r="V207" s="32"/>
      <x:c r="W207" s="32"/>
      <x:c r="X207" s="32"/>
      <x:c r="Y207" s="32" t="n">
        <x:v>6</x:v>
      </x:c>
      <x:c r="Z207" s="32" t="n">
        <x:v>3</x:v>
      </x:c>
      <x:c r="AA207" s="32"/>
      <x:c r="AB207" s="32"/>
      <x:c r="AC207" s="32"/>
      <x:c r="AD207" s="32"/>
      <x:c r="AE207" s="32"/>
      <x:c r="AF207" s="32"/>
      <x:c r="AG207" s="32"/>
      <x:c r="AH207" s="32" t="n">
        <x:v>2</x:v>
      </x:c>
      <x:c r="AI207" s="32"/>
      <x:c r="AJ207" s="32" t="n">
        <x:v>10</x:v>
      </x:c>
      <x:c r="AK207" s="32"/>
      <x:c r="AL207" s="32"/>
      <x:c r="AM207" s="32"/>
      <x:c r="AN207" s="32"/>
      <x:c r="AO207" s="32"/>
      <x:c r="AP207" s="32"/>
      <x:c r="AQ207" s="32" t="n">
        <x:v>6</x:v>
      </x:c>
      <x:c r="AR207" s="32" t="n">
        <x:v>3</x:v>
      </x:c>
      <x:c r="AS207" s="32"/>
      <x:c r="AT207" s="32" t="n">
        <x:v>50</x:v>
      </x:c>
      <x:c r="AU207" s="32" t="n">
        <x:v>2</x:v>
      </x:c>
      <x:c r="AV207" s="32" t="n">
        <x:v>3</x:v>
      </x:c>
      <x:c r="AW207" s="32"/>
      <x:c r="AX207" s="32"/>
      <x:c r="AY207" s="32"/>
      <x:c r="AZ207" s="32"/>
      <x:c r="BA207" s="32"/>
    </x:row>
    <x:row r="208">
      <x:c r="A208" s="25" t="str">
        <x:v>C04-M</x:v>
      </x:c>
      <x:c r="B208" s="25" t="str">
        <x:v>利耶尼亚海域</x:v>
      </x:c>
      <x:c r="C208" s="25" t="str">
        <x:v>半急速中期</x:v>
      </x:c>
      <x:c r="D208" s="25" t="str">
        <x:v>后天幸运</x:v>
      </x:c>
      <x:c r="E208" s="25" t="str">
        <x:v>本类1项（逐项见完整JSON）</x:v>
      </x:c>
      <x:c r="F208" s="25" t="str">
        <x:v>A08</x:v>
      </x:c>
      <x:c r="G208" s="25" t="str">
        <x:v>人物永久进度</x:v>
      </x:c>
      <x:c r="H208" s="25" t="str">
        <x:v>由同包逐项数据聚合，便于核对</x:v>
      </x:c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32"/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 t="n">
        <x:v>7</x:v>
      </x:c>
      <x:c r="AL208" s="32" t="n">
        <x:v>8</x:v>
      </x:c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Y208" s="32"/>
      <x:c r="AZ208" s="32"/>
      <x:c r="BA208" s="32"/>
    </x:row>
    <x:row r="209">
      <x:c r="A209" s="25" t="str">
        <x:v>C04-M</x:v>
      </x:c>
      <x:c r="B209" s="25" t="str">
        <x:v>利耶尼亚海域</x:v>
      </x:c>
      <x:c r="C209" s="25" t="str">
        <x:v>半急速中期</x:v>
      </x:c>
      <x:c r="D209" s="25" t="str">
        <x:v>回收预算</x:v>
      </x:c>
      <x:c r="E209" s="25" t="str">
        <x:v>本类1项（逐项见完整JSON）</x:v>
      </x:c>
      <x:c r="F209" s="25" t="str">
        <x:v>用户总回收50%</x:v>
      </x:c>
      <x:c r="G209" s="25" t="str">
        <x:v>经济输入，不是新增属性来源</x:v>
      </x:c>
      <x:c r="H209" s="25" t="str">
        <x:v>由同包逐项数据聚合，便于核对</x:v>
      </x:c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32"/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Y209" s="32"/>
      <x:c r="AZ209" s="32"/>
      <x:c r="BA209" s="32" t="n">
        <x:v>50</x:v>
      </x:c>
    </x:row>
    <x:row r="210">
      <x:c r="A210" s="25" t="str">
        <x:v>C04-G</x:v>
      </x:c>
      <x:c r="B210" s="25" t="str">
        <x:v>利耶尼亚海域</x:v>
      </x:c>
      <x:c r="C210" s="25" t="str">
        <x:v>半急速毕业</x:v>
      </x:c>
      <x:c r="D210" s="25" t="str">
        <x:v>人物自然</x:v>
      </x:c>
      <x:c r="E210" s="25" t="str">
        <x:v>本类1项（逐项见完整JSON）</x:v>
      </x:c>
      <x:c r="F210" s="25" t="str">
        <x:v>A01</x:v>
      </x:c>
      <x:c r="G210" s="25" t="str">
        <x:v>模型假设</x:v>
      </x:c>
      <x:c r="H210" s="25" t="str">
        <x:v>由同包逐项数据聚合，便于核对</x:v>
      </x:c>
      <x:c r="I210" s="32" t="n">
        <x:v>15</x:v>
      </x:c>
      <x:c r="J210" s="32" t="n">
        <x:v>33</x:v>
      </x:c>
      <x:c r="K210" s="32"/>
      <x:c r="L210" s="32"/>
      <x:c r="M210" s="32"/>
      <x:c r="N210" s="32"/>
      <x:c r="O210" s="32" t="n">
        <x:v>2600</x:v>
      </x:c>
      <x:c r="P210" s="32" t="n">
        <x:v>600</x:v>
      </x:c>
      <x:c r="Q210" s="32"/>
      <x:c r="R210" s="32"/>
      <x:c r="S210" s="32"/>
      <x:c r="T210" s="32"/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Y210" s="32"/>
      <x:c r="AZ210" s="32"/>
      <x:c r="BA210" s="32"/>
    </x:row>
    <x:row r="211">
      <x:c r="A211" s="25" t="str">
        <x:v>C04-G</x:v>
      </x:c>
      <x:c r="B211" s="25" t="str">
        <x:v>利耶尼亚海域</x:v>
      </x:c>
      <x:c r="C211" s="25" t="str">
        <x:v>半急速毕业</x:v>
      </x:c>
      <x:c r="D211" s="25" t="str">
        <x:v>付费状态</x:v>
      </x:c>
      <x:c r="E211" s="25" t="str">
        <x:v>本类3项（逐项见完整JSON）</x:v>
      </x:c>
      <x:c r="F211" s="25" t="str">
        <x:v>20260903总档</x:v>
      </x:c>
      <x:c r="G211" s="25" t="str">
        <x:v>原表数值</x:v>
      </x:c>
      <x:c r="H211" s="25" t="str">
        <x:v>由同包逐项数据聚合，便于核对</x:v>
      </x:c>
      <x:c r="I211" s="32" t="n">
        <x:v>149</x:v>
      </x:c>
      <x:c r="J211" s="32" t="n">
        <x:v>149</x:v>
      </x:c>
      <x:c r="K211" s="32" t="n">
        <x:v>149</x:v>
      </x:c>
      <x:c r="L211" s="32" t="n">
        <x:v>149</x:v>
      </x:c>
      <x:c r="M211" s="32" t="n">
        <x:v>149</x:v>
      </x:c>
      <x:c r="N211" s="32" t="n">
        <x:v>149</x:v>
      </x:c>
      <x:c r="O211" s="32" t="n">
        <x:v>10000</x:v>
      </x:c>
      <x:c r="P211" s="32"/>
      <x:c r="Q211" s="32"/>
      <x:c r="R211" s="32"/>
      <x:c r="S211" s="32"/>
      <x:c r="T211" s="32"/>
      <x:c r="U211" s="32"/>
      <x:c r="V211" s="32"/>
      <x:c r="W211" s="32"/>
      <x:c r="X211" s="32"/>
      <x:c r="Y211" s="32" t="n">
        <x:v>10</x:v>
      </x:c>
      <x:c r="Z211" s="32"/>
      <x:c r="AA211" s="32"/>
      <x:c r="AB211" s="32" t="n">
        <x:v>20</x:v>
      </x:c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 t="n">
        <x:v>10</x:v>
      </x:c>
      <x:c r="AN211" s="32"/>
      <x:c r="AO211" s="32"/>
      <x:c r="AP211" s="32" t="n">
        <x:v>50</x:v>
      </x:c>
      <x:c r="AQ211" s="32"/>
      <x:c r="AR211" s="32"/>
      <x:c r="AS211" s="32"/>
      <x:c r="AT211" s="32" t="n">
        <x:v>700</x:v>
      </x:c>
      <x:c r="AU211" s="32" t="n">
        <x:v>15</x:v>
      </x:c>
      <x:c r="AV211" s="32"/>
      <x:c r="AW211" s="32"/>
      <x:c r="AX211" s="32"/>
      <x:c r="AY211" s="32"/>
      <x:c r="AZ211" s="32"/>
      <x:c r="BA211" s="32"/>
    </x:row>
    <x:row r="212">
      <x:c r="A212" s="25" t="str">
        <x:v>C04-G</x:v>
      </x:c>
      <x:c r="B212" s="25" t="str">
        <x:v>利耶尼亚海域</x:v>
      </x:c>
      <x:c r="C212" s="25" t="str">
        <x:v>半急速毕业</x:v>
      </x:c>
      <x:c r="D212" s="25" t="str">
        <x:v>成长装备</x:v>
      </x:c>
      <x:c r="E212" s="25" t="str">
        <x:v>本类2项（逐项见完整JSON）</x:v>
      </x:c>
      <x:c r="F212" s="25" t="str">
        <x:v>20260903总档 / A04</x:v>
      </x:c>
      <x:c r="G212" s="25" t="str">
        <x:v>原表＋支付路径假设</x:v>
      </x:c>
      <x:c r="H212" s="25" t="str">
        <x:v>由同包逐项数据聚合，便于核对</x:v>
      </x:c>
      <x:c r="I212" s="32" t="n">
        <x:v>1100</x:v>
      </x:c>
      <x:c r="J212" s="32" t="n">
        <x:v>1100</x:v>
      </x:c>
      <x:c r="K212" s="32" t="n">
        <x:v>1100</x:v>
      </x:c>
      <x:c r="L212" s="32" t="n">
        <x:v>1100</x:v>
      </x:c>
      <x:c r="M212" s="32" t="n">
        <x:v>1100</x:v>
      </x:c>
      <x:c r="N212" s="32" t="n">
        <x:v>1100</x:v>
      </x:c>
      <x:c r="O212" s="32"/>
      <x:c r="P212" s="32"/>
      <x:c r="Q212" s="32"/>
      <x:c r="R212" s="32"/>
      <x:c r="S212" s="32"/>
      <x:c r="T212" s="32"/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 t="n">
        <x:v>10</x:v>
      </x:c>
      <x:c r="AX212" s="32" t="n">
        <x:v>10</x:v>
      </x:c>
      <x:c r="AY212" s="32"/>
      <x:c r="AZ212" s="32"/>
      <x:c r="BA212" s="32"/>
    </x:row>
    <x:row r="213">
      <x:c r="A213" s="25" t="str">
        <x:v>C04-G</x:v>
      </x:c>
      <x:c r="B213" s="25" t="str">
        <x:v>利耶尼亚海域</x:v>
      </x:c>
      <x:c r="C213" s="25" t="str">
        <x:v>半急速毕业</x:v>
      </x:c>
      <x:c r="D213" s="25" t="str">
        <x:v>贯穿称号</x:v>
      </x:c>
      <x:c r="E213" s="25" t="str">
        <x:v>本类1项（逐项见完整JSON）</x:v>
      </x:c>
      <x:c r="F213" s="25" t="str">
        <x:v>S04/01_贯穿称号</x:v>
      </x:c>
      <x:c r="G213" s="25" t="str">
        <x:v>原表数值</x:v>
      </x:c>
      <x:c r="H213" s="25" t="str">
        <x:v>由同包逐项数据聚合，便于核对</x:v>
      </x:c>
      <x:c r="I213" s="32" t="n">
        <x:v>1800</x:v>
      </x:c>
      <x:c r="J213" s="32" t="n">
        <x:v>1800</x:v>
      </x:c>
      <x:c r="K213" s="32" t="n">
        <x:v>1800</x:v>
      </x:c>
      <x:c r="L213" s="32" t="n">
        <x:v>1800</x:v>
      </x:c>
      <x:c r="M213" s="32" t="n">
        <x:v>1800</x:v>
      </x:c>
      <x:c r="N213" s="32" t="n">
        <x:v>1800</x:v>
      </x:c>
      <x:c r="O213" s="32" t="n">
        <x:v>180000</x:v>
      </x:c>
      <x:c r="P213" s="32" t="n">
        <x:v>180000</x:v>
      </x:c>
      <x:c r="Q213" s="32"/>
      <x:c r="R213" s="32"/>
      <x:c r="S213" s="32"/>
      <x:c r="T213" s="32"/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 t="n">
        <x:v>1100</x:v>
      </x:c>
      <x:c r="AU213" s="32"/>
      <x:c r="AV213" s="32"/>
      <x:c r="AW213" s="32"/>
      <x:c r="AX213" s="32"/>
      <x:c r="AY213" s="32"/>
      <x:c r="AZ213" s="32"/>
      <x:c r="BA213" s="32"/>
    </x:row>
    <x:row r="214">
      <x:c r="A214" s="25" t="str">
        <x:v>C04-G</x:v>
      </x:c>
      <x:c r="B214" s="25" t="str">
        <x:v>利耶尼亚海域</x:v>
      </x:c>
      <x:c r="C214" s="25" t="str">
        <x:v>半急速毕业</x:v>
      </x:c>
      <x:c r="D214" s="25" t="str">
        <x:v>神印</x:v>
      </x:c>
      <x:c r="E214" s="25" t="str">
        <x:v>本类1项（逐项见完整JSON）</x:v>
      </x:c>
      <x:c r="F214" s="25" t="str">
        <x:v>S04 / 神印公式</x:v>
      </x:c>
      <x:c r="G214" s="25" t="str">
        <x:v>自给进度假设＋原公式</x:v>
      </x:c>
      <x:c r="H214" s="25" t="str">
        <x:v>由同包逐项数据聚合，便于核对</x:v>
      </x:c>
      <x:c r="I214" s="32" t="n">
        <x:v>6105</x:v>
      </x:c>
      <x:c r="J214" s="32" t="n">
        <x:v>6105</x:v>
      </x:c>
      <x:c r="K214" s="32" t="n">
        <x:v>6105</x:v>
      </x:c>
      <x:c r="L214" s="32" t="n">
        <x:v>6105</x:v>
      </x:c>
      <x:c r="M214" s="32" t="n">
        <x:v>6105</x:v>
      </x:c>
      <x:c r="N214" s="32" t="n">
        <x:v>6105</x:v>
      </x:c>
      <x:c r="O214" s="32" t="n">
        <x:v>610500</x:v>
      </x:c>
      <x:c r="P214" s="32"/>
      <x:c r="Q214" s="32"/>
      <x:c r="R214" s="32"/>
      <x:c r="S214" s="32"/>
      <x:c r="T214" s="32"/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Y214" s="32"/>
      <x:c r="AZ214" s="32"/>
      <x:c r="BA214" s="32"/>
    </x:row>
    <x:row r="215">
      <x:c r="A215" s="25" t="str">
        <x:v>C04-G</x:v>
      </x:c>
      <x:c r="B215" s="25" t="str">
        <x:v>利耶尼亚海域</x:v>
      </x:c>
      <x:c r="C215" s="25" t="str">
        <x:v>半急速毕业</x:v>
      </x:c>
      <x:c r="D215" s="25" t="str">
        <x:v>转生</x:v>
      </x:c>
      <x:c r="E215" s="25" t="str">
        <x:v>本类1项（逐项见完整JSON）</x:v>
      </x:c>
      <x:c r="F215" s="25" t="str">
        <x:v>S07/20转</x:v>
      </x:c>
      <x:c r="G215" s="25" t="str">
        <x:v>原表累计</x:v>
      </x:c>
      <x:c r="H215" s="25" t="str">
        <x:v>由同包逐项数据聚合，便于核对</x:v>
      </x:c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32"/>
      <x:c r="U215" s="32"/>
      <x:c r="V215" s="32"/>
      <x:c r="W215" s="32"/>
      <x:c r="X215" s="32" t="n">
        <x:v>0.2</x:v>
      </x:c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Y215" s="32"/>
      <x:c r="AZ215" s="32"/>
      <x:c r="BA215" s="32"/>
    </x:row>
    <x:row r="216">
      <x:c r="A216" s="25" t="str">
        <x:v>C04-G</x:v>
      </x:c>
      <x:c r="B216" s="25" t="str">
        <x:v>利耶尼亚海域</x:v>
      </x:c>
      <x:c r="C216" s="25" t="str">
        <x:v>半急速毕业</x:v>
      </x:c>
      <x:c r="D216" s="25" t="str">
        <x:v>独立称号</x:v>
      </x:c>
      <x:c r="E216" s="25" t="str">
        <x:v>本类2项（逐项见完整JSON）</x:v>
      </x:c>
      <x:c r="F216" s="25" t="str">
        <x:v>S04/02_独立称号</x:v>
      </x:c>
      <x:c r="G216" s="25" t="str">
        <x:v>原表数值</x:v>
      </x:c>
      <x:c r="H216" s="25" t="str">
        <x:v>由同包逐项数据聚合，便于核对</x:v>
      </x:c>
      <x:c r="I216" s="32" t="n">
        <x:v>210</x:v>
      </x:c>
      <x:c r="J216" s="32" t="n">
        <x:v>210</x:v>
      </x:c>
      <x:c r="K216" s="32" t="n">
        <x:v>210</x:v>
      </x:c>
      <x:c r="L216" s="32" t="n">
        <x:v>210</x:v>
      </x:c>
      <x:c r="M216" s="32" t="n">
        <x:v>210</x:v>
      </x:c>
      <x:c r="N216" s="32" t="n">
        <x:v>210</x:v>
      </x:c>
      <x:c r="O216" s="32" t="n">
        <x:v>21000</x:v>
      </x:c>
      <x:c r="P216" s="32"/>
      <x:c r="Q216" s="32"/>
      <x:c r="R216" s="32"/>
      <x:c r="S216" s="32"/>
      <x:c r="T216" s="32"/>
      <x:c r="U216" s="32"/>
      <x:c r="V216" s="32"/>
      <x:c r="W216" s="32"/>
      <x:c r="X216" s="32" t="n">
        <x:v>0</x:v>
      </x:c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 t="n">
        <x:v>0</x:v>
      </x:c>
      <x:c r="AN216" s="32"/>
      <x:c r="AO216" s="32"/>
      <x:c r="AP216" s="32" t="n">
        <x:v>0</x:v>
      </x:c>
      <x:c r="AQ216" s="32"/>
      <x:c r="AR216" s="32"/>
      <x:c r="AS216" s="32"/>
      <x:c r="AT216" s="32"/>
      <x:c r="AU216" s="32"/>
      <x:c r="AV216" s="32"/>
      <x:c r="AW216" s="32"/>
      <x:c r="AX216" s="32"/>
      <x:c r="AY216" s="32"/>
      <x:c r="AZ216" s="32"/>
      <x:c r="BA216" s="32"/>
    </x:row>
    <x:row r="217">
      <x:c r="A217" s="25" t="str">
        <x:v>C04-G</x:v>
      </x:c>
      <x:c r="B217" s="25" t="str">
        <x:v>利耶尼亚海域</x:v>
      </x:c>
      <x:c r="C217" s="25" t="str">
        <x:v>半急速毕业</x:v>
      </x:c>
      <x:c r="D217" s="25" t="str">
        <x:v>单件图鉴</x:v>
      </x:c>
      <x:c r="E217" s="25" t="str">
        <x:v>本类1项（逐项见完整JSON）</x:v>
      </x:c>
      <x:c r="F217" s="25" t="str">
        <x:v>S07/collection_single</x:v>
      </x:c>
      <x:c r="G217" s="25" t="str">
        <x:v>原表累计</x:v>
      </x:c>
      <x:c r="H217" s="25" t="str">
        <x:v>由同包逐项数据聚合，便于核对</x:v>
      </x:c>
      <x:c r="I217" s="32" t="n">
        <x:v>839</x:v>
      </x:c>
      <x:c r="J217" s="32" t="n">
        <x:v>839</x:v>
      </x:c>
      <x:c r="K217" s="32" t="n">
        <x:v>839</x:v>
      </x:c>
      <x:c r="L217" s="32" t="n">
        <x:v>839</x:v>
      </x:c>
      <x:c r="M217" s="32" t="n">
        <x:v>839</x:v>
      </x:c>
      <x:c r="N217" s="32" t="n">
        <x:v>839</x:v>
      </x:c>
      <x:c r="O217" s="32" t="n">
        <x:v>83900</x:v>
      </x:c>
      <x:c r="P217" s="32"/>
      <x:c r="Q217" s="32"/>
      <x:c r="R217" s="32"/>
      <x:c r="S217" s="32"/>
      <x:c r="T217" s="32"/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Y217" s="32"/>
      <x:c r="AZ217" s="32"/>
      <x:c r="BA217" s="32"/>
    </x:row>
    <x:row r="218">
      <x:c r="A218" s="25" t="str">
        <x:v>C04-G</x:v>
      </x:c>
      <x:c r="B218" s="25" t="str">
        <x:v>利耶尼亚海域</x:v>
      </x:c>
      <x:c r="C218" s="25" t="str">
        <x:v>半急速毕业</x:v>
      </x:c>
      <x:c r="D218" s="25" t="str">
        <x:v>地图整页</x:v>
      </x:c>
      <x:c r="E218" s="25" t="str">
        <x:v>本类13项（逐项见完整JSON）</x:v>
      </x:c>
      <x:c r="F218" s="25" t="str">
        <x:v>S07/collection_pages</x:v>
      </x:c>
      <x:c r="G218" s="25" t="str">
        <x:v>原表数值</x:v>
      </x:c>
      <x:c r="H218" s="25" t="str">
        <x:v>由同包逐项数据聚合，便于核对</x:v>
      </x:c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32"/>
      <x:c r="U218" s="32"/>
      <x:c r="V218" s="32"/>
      <x:c r="W218" s="32"/>
      <x:c r="X218" s="32" t="n">
        <x:v>0.19999999999999998</x:v>
      </x:c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 t="n">
        <x:v>6.5</x:v>
      </x:c>
      <x:c r="AN218" s="32"/>
      <x:c r="AO218" s="32"/>
      <x:c r="AP218" s="32" t="n">
        <x:v>310</x:v>
      </x:c>
      <x:c r="AQ218" s="32"/>
      <x:c r="AR218" s="32"/>
      <x:c r="AS218" s="32"/>
      <x:c r="AT218" s="32"/>
      <x:c r="AU218" s="32"/>
      <x:c r="AV218" s="32"/>
      <x:c r="AW218" s="32"/>
      <x:c r="AX218" s="32"/>
      <x:c r="AY218" s="32"/>
      <x:c r="AZ218" s="32"/>
      <x:c r="BA218" s="32"/>
    </x:row>
    <x:row r="219">
      <x:c r="A219" s="25" t="str">
        <x:v>C04-G</x:v>
      </x:c>
      <x:c r="B219" s="25" t="str">
        <x:v>利耶尼亚海域</x:v>
      </x:c>
      <x:c r="C219" s="25" t="str">
        <x:v>半急速毕业</x:v>
      </x:c>
      <x:c r="D219" s="25" t="str">
        <x:v>材料图鉴</x:v>
      </x:c>
      <x:c r="E219" s="25" t="str">
        <x:v>本类1项（逐项见完整JSON）</x:v>
      </x:c>
      <x:c r="F219" s="25" t="str">
        <x:v>S07/collection_materials</x:v>
      </x:c>
      <x:c r="G219" s="25" t="str">
        <x:v>原表数值</x:v>
      </x:c>
      <x:c r="H219" s="25" t="str">
        <x:v>由同包逐项数据聚合，便于核对</x:v>
      </x:c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32"/>
      <x:c r="U219" s="32"/>
      <x:c r="V219" s="32"/>
      <x:c r="W219" s="32"/>
      <x:c r="X219" s="32" t="n">
        <x:v>0.05</x:v>
      </x:c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 t="n">
        <x:v>0</x:v>
      </x:c>
      <x:c r="AN219" s="32"/>
      <x:c r="AO219" s="32"/>
      <x:c r="AP219" s="32" t="n">
        <x:v>0</x:v>
      </x:c>
      <x:c r="AQ219" s="32"/>
      <x:c r="AR219" s="32"/>
      <x:c r="AS219" s="32"/>
      <x:c r="AT219" s="32"/>
      <x:c r="AU219" s="32"/>
      <x:c r="AV219" s="32"/>
      <x:c r="AW219" s="32"/>
      <x:c r="AX219" s="32"/>
      <x:c r="AY219" s="32"/>
      <x:c r="AZ219" s="32"/>
      <x:c r="BA219" s="32"/>
    </x:row>
    <x:row r="220">
      <x:c r="A220" s="25" t="str">
        <x:v>C04-G</x:v>
      </x:c>
      <x:c r="B220" s="25" t="str">
        <x:v>利耶尼亚海域</x:v>
      </x:c>
      <x:c r="C220" s="25" t="str">
        <x:v>半急速毕业</x:v>
      </x:c>
      <x:c r="D220" s="25" t="str">
        <x:v>旧任务</x:v>
      </x:c>
      <x:c r="E220" s="25" t="str">
        <x:v>本类6项（逐项见完整JSON）</x:v>
      </x:c>
      <x:c r="F220" s="25" t="str">
        <x:v>宁姆格福_完整怪物装备任务爆率规划/地图任务；第一大陆_地图魂魄任务.txt</x:v>
      </x:c>
      <x:c r="G220" s="25" t="str">
        <x:v>原件确认；原表数值</x:v>
      </x:c>
      <x:c r="H220" s="25" t="str">
        <x:v>由同包逐项数据聚合，便于核对</x:v>
      </x:c>
      <x:c r="I220" s="32" t="n">
        <x:v>60</x:v>
      </x:c>
      <x:c r="J220" s="32" t="n">
        <x:v>60</x:v>
      </x:c>
      <x:c r="K220" s="32" t="n">
        <x:v>60</x:v>
      </x:c>
      <x:c r="L220" s="32" t="n">
        <x:v>60</x:v>
      </x:c>
      <x:c r="M220" s="32" t="n">
        <x:v>60</x:v>
      </x:c>
      <x:c r="N220" s="32" t="n">
        <x:v>60</x:v>
      </x:c>
      <x:c r="O220" s="32"/>
      <x:c r="P220" s="32"/>
      <x:c r="Q220" s="32"/>
      <x:c r="R220" s="32"/>
      <x:c r="S220" s="32"/>
      <x:c r="T220" s="32"/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 t="n">
        <x:v>2</x:v>
      </x:c>
      <x:c r="AN220" s="32"/>
      <x:c r="AO220" s="32"/>
      <x:c r="AP220" s="32" t="n">
        <x:v>120</x:v>
      </x:c>
      <x:c r="AQ220" s="32"/>
      <x:c r="AR220" s="32"/>
      <x:c r="AS220" s="32"/>
      <x:c r="AT220" s="32"/>
      <x:c r="AU220" s="32"/>
      <x:c r="AV220" s="32"/>
      <x:c r="AW220" s="32"/>
      <x:c r="AX220" s="32"/>
      <x:c r="AY220" s="32"/>
      <x:c r="AZ220" s="32"/>
      <x:c r="BA220" s="32"/>
    </x:row>
    <x:row r="221">
      <x:c r="A221" s="25" t="str">
        <x:v>C04-G</x:v>
      </x:c>
      <x:c r="B221" s="25" t="str">
        <x:v>利耶尼亚海域</x:v>
      </x:c>
      <x:c r="C221" s="25" t="str">
        <x:v>半急速毕业</x:v>
      </x:c>
      <x:c r="D221" s="25" t="str">
        <x:v>装备</x:v>
      </x:c>
      <x:c r="E221" s="25" t="str">
        <x:v>本类31项（逐项见完整JSON）</x:v>
      </x:c>
      <x:c r="F221" s="25" t="str">
        <x:v>S01；S02；S07</x:v>
      </x:c>
      <x:c r="G221" s="25" t="str">
        <x:v>原表数值</x:v>
      </x:c>
      <x:c r="H221" s="25" t="str">
        <x:v>由同包逐项数据聚合，便于核对</x:v>
      </x:c>
      <x:c r="I221" s="32" t="n">
        <x:v>2872</x:v>
      </x:c>
      <x:c r="J221" s="32" t="n">
        <x:v>5518</x:v>
      </x:c>
      <x:c r="K221" s="32" t="n">
        <x:v>2872</x:v>
      </x:c>
      <x:c r="L221" s="32" t="n">
        <x:v>5518</x:v>
      </x:c>
      <x:c r="M221" s="32" t="n">
        <x:v>2872</x:v>
      </x:c>
      <x:c r="N221" s="32" t="n">
        <x:v>5518</x:v>
      </x:c>
      <x:c r="O221" s="32" t="n">
        <x:v>2884200</x:v>
      </x:c>
      <x:c r="P221" s="32"/>
      <x:c r="Q221" s="32" t="n">
        <x:v>690</x:v>
      </x:c>
      <x:c r="R221" s="32" t="n">
        <x:v>1269</x:v>
      </x:c>
      <x:c r="S221" s="32" t="n">
        <x:v>562</x:v>
      </x:c>
      <x:c r="T221" s="32" t="n">
        <x:v>1035</x:v>
      </x:c>
      <x:c r="U221" s="32" t="n">
        <x:v>477</x:v>
      </x:c>
      <x:c r="V221" s="32" t="n">
        <x:v>477</x:v>
      </x:c>
      <x:c r="W221" s="32" t="n">
        <x:v>477</x:v>
      </x:c>
      <x:c r="X221" s="32"/>
      <x:c r="Y221" s="32"/>
      <x:c r="Z221" s="32" t="n">
        <x:v>112</x:v>
      </x:c>
      <x:c r="AA221" s="32" t="n">
        <x:v>37</x:v>
      </x:c>
      <x:c r="AB221" s="32"/>
      <x:c r="AC221" s="32" t="n">
        <x:v>152</x:v>
      </x:c>
      <x:c r="AD221" s="32" t="n">
        <x:v>1</x:v>
      </x:c>
      <x:c r="AE221" s="32" t="n">
        <x:v>19</x:v>
      </x:c>
      <x:c r="AF221" s="32"/>
      <x:c r="AG221" s="32"/>
      <x:c r="AH221" s="32" t="n">
        <x:v>23</x:v>
      </x:c>
      <x:c r="AI221" s="32" t="n">
        <x:v>3</x:v>
      </x:c>
      <x:c r="AJ221" s="32" t="n">
        <x:v>123</x:v>
      </x:c>
      <x:c r="AK221" s="32"/>
      <x:c r="AL221" s="32"/>
      <x:c r="AM221" s="32"/>
      <x:c r="AN221" s="32" t="n">
        <x:v>15</x:v>
      </x:c>
      <x:c r="AO221" s="32" t="n">
        <x:v>0.2</x:v>
      </x:c>
      <x:c r="AP221" s="32" t="n">
        <x:v>21</x:v>
      </x:c>
      <x:c r="AQ221" s="32" t="n">
        <x:v>77</x:v>
      </x:c>
      <x:c r="AR221" s="32"/>
      <x:c r="AS221" s="32" t="n">
        <x:v>8</x:v>
      </x:c>
      <x:c r="AT221" s="32"/>
      <x:c r="AU221" s="32"/>
      <x:c r="AV221" s="32"/>
      <x:c r="AW221" s="32"/>
      <x:c r="AX221" s="32"/>
      <x:c r="AY221" s="32"/>
      <x:c r="AZ221" s="32" t="n">
        <x:v>12</x:v>
      </x:c>
      <x:c r="BA221" s="32"/>
    </x:row>
    <x:row r="222">
      <x:c r="A222" s="25" t="str">
        <x:v>C04-G</x:v>
      </x:c>
      <x:c r="B222" s="25" t="str">
        <x:v>利耶尼亚海域</x:v>
      </x:c>
      <x:c r="C222" s="25" t="str">
        <x:v>半急速毕业</x:v>
      </x:c>
      <x:c r="D222" s="25" t="str">
        <x:v>洗练</x:v>
      </x:c>
      <x:c r="E222" s="25" t="str">
        <x:v>本类10项（逐项见完整JSON）</x:v>
      </x:c>
      <x:c r="F222" s="25" t="str">
        <x:v>S06＋固定种子</x:v>
      </x:c>
      <x:c r="G222" s="25" t="str">
        <x:v>可实现随机样本</x:v>
      </x:c>
      <x:c r="H222" s="25" t="str">
        <x:v>由同包逐项数据聚合，便于核对</x:v>
      </x:c>
      <x:c r="I222" s="32" t="n">
        <x:v>736</x:v>
      </x:c>
      <x:c r="J222" s="32" t="n">
        <x:v>736</x:v>
      </x:c>
      <x:c r="K222" s="32" t="n">
        <x:v>46</x:v>
      </x:c>
      <x:c r="L222" s="32" t="n">
        <x:v>46</x:v>
      </x:c>
      <x:c r="M222" s="32" t="n">
        <x:v>32</x:v>
      </x:c>
      <x:c r="N222" s="32" t="n">
        <x:v>32</x:v>
      </x:c>
      <x:c r="O222" s="32"/>
      <x:c r="P222" s="32"/>
      <x:c r="Q222" s="32"/>
      <x:c r="R222" s="32"/>
      <x:c r="S222" s="32"/>
      <x:c r="T222" s="32"/>
      <x:c r="U222" s="32" t="n">
        <x:v>377</x:v>
      </x:c>
      <x:c r="V222" s="32"/>
      <x:c r="W222" s="32"/>
      <x:c r="X222" s="32"/>
      <x:c r="Y222" s="32" t="n">
        <x:v>1</x:v>
      </x:c>
      <x:c r="Z222" s="32"/>
      <x:c r="AA222" s="32"/>
      <x:c r="AB222" s="32" t="n">
        <x:v>4</x:v>
      </x:c>
      <x:c r="AC222" s="32"/>
      <x:c r="AD222" s="32" t="n">
        <x:v>1</x:v>
      </x:c>
      <x:c r="AE222" s="32"/>
      <x:c r="AF222" s="32"/>
      <x:c r="AG222" s="32"/>
      <x:c r="AH222" s="32" t="n">
        <x:v>3</x:v>
      </x:c>
      <x:c r="AI222" s="32"/>
      <x:c r="AJ222" s="32"/>
      <x:c r="AK222" s="32"/>
      <x:c r="AL222" s="32"/>
      <x:c r="AM222" s="32" t="n">
        <x:v>3</x:v>
      </x:c>
      <x:c r="AN222" s="32" t="n">
        <x:v>9</x:v>
      </x:c>
      <x:c r="AO222" s="32" t="n">
        <x:v>3</x:v>
      </x:c>
      <x:c r="AP222" s="32" t="n">
        <x:v>10</x:v>
      </x:c>
      <x:c r="AQ222" s="32"/>
      <x:c r="AR222" s="32" t="n">
        <x:v>1</x:v>
      </x:c>
      <x:c r="AS222" s="32" t="n">
        <x:v>1</x:v>
      </x:c>
      <x:c r="AT222" s="32"/>
      <x:c r="AU222" s="32" t="n">
        <x:v>1</x:v>
      </x:c>
      <x:c r="AV222" s="32"/>
      <x:c r="AW222" s="32"/>
      <x:c r="AX222" s="32"/>
      <x:c r="AY222" s="32"/>
      <x:c r="AZ222" s="32"/>
      <x:c r="BA222" s="32"/>
    </x:row>
    <x:row r="223">
      <x:c r="A223" s="25" t="str">
        <x:v>C04-G</x:v>
      </x:c>
      <x:c r="B223" s="25" t="str">
        <x:v>利耶尼亚海域</x:v>
      </x:c>
      <x:c r="C223" s="25" t="str">
        <x:v>半急速毕业</x:v>
      </x:c>
      <x:c r="D223" s="25" t="str">
        <x:v>命格</x:v>
      </x:c>
      <x:c r="E223" s="25" t="str">
        <x:v>本类4项（逐项见完整JSON）</x:v>
      </x:c>
      <x:c r="F223" s="25" t="str">
        <x:v>S03/命格ID1081；S03/命格ID1090；S03/命格ID1092；S03/命格ID1093</x:v>
      </x:c>
      <x:c r="G223" s="25" t="str">
        <x:v>原表彩色＋选配假设</x:v>
      </x:c>
      <x:c r="H223" s="25" t="str">
        <x:v>由同包逐项数据聚合，便于核对</x:v>
      </x:c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32"/>
      <x:c r="U223" s="32"/>
      <x:c r="V223" s="32"/>
      <x:c r="W223" s="32"/>
      <x:c r="X223" s="32"/>
      <x:c r="Y223" s="32" t="n">
        <x:v>6</x:v>
      </x:c>
      <x:c r="Z223" s="32" t="n">
        <x:v>3</x:v>
      </x:c>
      <x:c r="AA223" s="32"/>
      <x:c r="AB223" s="32"/>
      <x:c r="AC223" s="32"/>
      <x:c r="AD223" s="32"/>
      <x:c r="AE223" s="32"/>
      <x:c r="AF223" s="32"/>
      <x:c r="AG223" s="32"/>
      <x:c r="AH223" s="32" t="n">
        <x:v>2</x:v>
      </x:c>
      <x:c r="AI223" s="32"/>
      <x:c r="AJ223" s="32" t="n">
        <x:v>10</x:v>
      </x:c>
      <x:c r="AK223" s="32"/>
      <x:c r="AL223" s="32"/>
      <x:c r="AM223" s="32"/>
      <x:c r="AN223" s="32"/>
      <x:c r="AO223" s="32"/>
      <x:c r="AP223" s="32"/>
      <x:c r="AQ223" s="32" t="n">
        <x:v>6</x:v>
      </x:c>
      <x:c r="AR223" s="32" t="n">
        <x:v>3</x:v>
      </x:c>
      <x:c r="AS223" s="32"/>
      <x:c r="AT223" s="32" t="n">
        <x:v>50</x:v>
      </x:c>
      <x:c r="AU223" s="32" t="n">
        <x:v>2</x:v>
      </x:c>
      <x:c r="AV223" s="32" t="n">
        <x:v>3</x:v>
      </x:c>
      <x:c r="AW223" s="32"/>
      <x:c r="AX223" s="32"/>
      <x:c r="AY223" s="32"/>
      <x:c r="AZ223" s="32"/>
      <x:c r="BA223" s="32"/>
    </x:row>
    <x:row r="224">
      <x:c r="A224" s="25" t="str">
        <x:v>C04-G</x:v>
      </x:c>
      <x:c r="B224" s="25" t="str">
        <x:v>利耶尼亚海域</x:v>
      </x:c>
      <x:c r="C224" s="25" t="str">
        <x:v>半急速毕业</x:v>
      </x:c>
      <x:c r="D224" s="25" t="str">
        <x:v>后天幸运</x:v>
      </x:c>
      <x:c r="E224" s="25" t="str">
        <x:v>本类1项（逐项见完整JSON）</x:v>
      </x:c>
      <x:c r="F224" s="25" t="str">
        <x:v>A08</x:v>
      </x:c>
      <x:c r="G224" s="25" t="str">
        <x:v>人物永久进度</x:v>
      </x:c>
      <x:c r="H224" s="25" t="str">
        <x:v>由同包逐项数据聚合，便于核对</x:v>
      </x:c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32"/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 t="n">
        <x:v>7</x:v>
      </x:c>
      <x:c r="AL224" s="32" t="n">
        <x:v>8</x:v>
      </x:c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Y224" s="32"/>
      <x:c r="AZ224" s="32"/>
      <x:c r="BA224" s="32"/>
    </x:row>
    <x:row r="225">
      <x:c r="A225" s="25" t="str">
        <x:v>C04-G</x:v>
      </x:c>
      <x:c r="B225" s="25" t="str">
        <x:v>利耶尼亚海域</x:v>
      </x:c>
      <x:c r="C225" s="25" t="str">
        <x:v>半急速毕业</x:v>
      </x:c>
      <x:c r="D225" s="25" t="str">
        <x:v>回收预算</x:v>
      </x:c>
      <x:c r="E225" s="25" t="str">
        <x:v>本类1项（逐项见完整JSON）</x:v>
      </x:c>
      <x:c r="F225" s="25" t="str">
        <x:v>用户总回收50%</x:v>
      </x:c>
      <x:c r="G225" s="25" t="str">
        <x:v>经济输入，不是新增属性来源</x:v>
      </x:c>
      <x:c r="H225" s="25" t="str">
        <x:v>由同包逐项数据聚合，便于核对</x:v>
      </x:c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32"/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Y225" s="32"/>
      <x:c r="AZ225" s="32"/>
      <x:c r="BA225" s="32" t="n">
        <x:v>50</x:v>
      </x:c>
    </x:row>
    <x:row r="226">
      <x:c r="A226" s="25" t="str">
        <x:v>C04-X</x:v>
      </x:c>
      <x:c r="B226" s="25" t="str">
        <x:v>利耶尼亚海域</x:v>
      </x:c>
      <x:c r="C226" s="25" t="str">
        <x:v>极端压力</x:v>
      </x:c>
      <x:c r="D226" s="25" t="str">
        <x:v>人物自然</x:v>
      </x:c>
      <x:c r="E226" s="25" t="str">
        <x:v>本类1项（逐项见完整JSON）</x:v>
      </x:c>
      <x:c r="F226" s="25" t="str">
        <x:v>A01</x:v>
      </x:c>
      <x:c r="G226" s="25" t="str">
        <x:v>模型假设</x:v>
      </x:c>
      <x:c r="H226" s="25" t="str">
        <x:v>由同包逐项数据聚合，便于核对</x:v>
      </x:c>
      <x:c r="I226" s="32" t="n">
        <x:v>15</x:v>
      </x:c>
      <x:c r="J226" s="32" t="n">
        <x:v>33</x:v>
      </x:c>
      <x:c r="K226" s="32"/>
      <x:c r="L226" s="32"/>
      <x:c r="M226" s="32"/>
      <x:c r="N226" s="32"/>
      <x:c r="O226" s="32" t="n">
        <x:v>2600</x:v>
      </x:c>
      <x:c r="P226" s="32" t="n">
        <x:v>600</x:v>
      </x:c>
      <x:c r="Q226" s="32"/>
      <x:c r="R226" s="32"/>
      <x:c r="S226" s="32"/>
      <x:c r="T226" s="32"/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Y226" s="32"/>
      <x:c r="AZ226" s="32"/>
      <x:c r="BA226" s="32"/>
    </x:row>
    <x:row r="227">
      <x:c r="A227" s="25" t="str">
        <x:v>C04-X</x:v>
      </x:c>
      <x:c r="B227" s="25" t="str">
        <x:v>利耶尼亚海域</x:v>
      </x:c>
      <x:c r="C227" s="25" t="str">
        <x:v>极端压力</x:v>
      </x:c>
      <x:c r="D227" s="25" t="str">
        <x:v>付费状态</x:v>
      </x:c>
      <x:c r="E227" s="25" t="str">
        <x:v>本类3项（逐项见完整JSON）</x:v>
      </x:c>
      <x:c r="F227" s="25" t="str">
        <x:v>20260903总档</x:v>
      </x:c>
      <x:c r="G227" s="25" t="str">
        <x:v>原表数值</x:v>
      </x:c>
      <x:c r="H227" s="25" t="str">
        <x:v>由同包逐项数据聚合，便于核对</x:v>
      </x:c>
      <x:c r="I227" s="32" t="n">
        <x:v>149</x:v>
      </x:c>
      <x:c r="J227" s="32" t="n">
        <x:v>149</x:v>
      </x:c>
      <x:c r="K227" s="32" t="n">
        <x:v>149</x:v>
      </x:c>
      <x:c r="L227" s="32" t="n">
        <x:v>149</x:v>
      </x:c>
      <x:c r="M227" s="32" t="n">
        <x:v>149</x:v>
      </x:c>
      <x:c r="N227" s="32" t="n">
        <x:v>149</x:v>
      </x:c>
      <x:c r="O227" s="32" t="n">
        <x:v>10000</x:v>
      </x:c>
      <x:c r="P227" s="32"/>
      <x:c r="Q227" s="32"/>
      <x:c r="R227" s="32"/>
      <x:c r="S227" s="32"/>
      <x:c r="T227" s="32"/>
      <x:c r="U227" s="32"/>
      <x:c r="V227" s="32"/>
      <x:c r="W227" s="32"/>
      <x:c r="X227" s="32"/>
      <x:c r="Y227" s="32" t="n">
        <x:v>10</x:v>
      </x:c>
      <x:c r="Z227" s="32"/>
      <x:c r="AA227" s="32"/>
      <x:c r="AB227" s="32" t="n">
        <x:v>20</x:v>
      </x:c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 t="n">
        <x:v>10</x:v>
      </x:c>
      <x:c r="AN227" s="32"/>
      <x:c r="AO227" s="32"/>
      <x:c r="AP227" s="32" t="n">
        <x:v>50</x:v>
      </x:c>
      <x:c r="AQ227" s="32"/>
      <x:c r="AR227" s="32"/>
      <x:c r="AS227" s="32"/>
      <x:c r="AT227" s="32" t="n">
        <x:v>700</x:v>
      </x:c>
      <x:c r="AU227" s="32" t="n">
        <x:v>15</x:v>
      </x:c>
      <x:c r="AV227" s="32"/>
      <x:c r="AW227" s="32"/>
      <x:c r="AX227" s="32"/>
      <x:c r="AY227" s="32"/>
      <x:c r="AZ227" s="32"/>
      <x:c r="BA227" s="32"/>
    </x:row>
    <x:row r="228">
      <x:c r="A228" s="25" t="str">
        <x:v>C04-X</x:v>
      </x:c>
      <x:c r="B228" s="25" t="str">
        <x:v>利耶尼亚海域</x:v>
      </x:c>
      <x:c r="C228" s="25" t="str">
        <x:v>极端压力</x:v>
      </x:c>
      <x:c r="D228" s="25" t="str">
        <x:v>成长装备</x:v>
      </x:c>
      <x:c r="E228" s="25" t="str">
        <x:v>本类2项（逐项见完整JSON）</x:v>
      </x:c>
      <x:c r="F228" s="25" t="str">
        <x:v>20260903总档 / A04</x:v>
      </x:c>
      <x:c r="G228" s="25" t="str">
        <x:v>原表＋支付路径假设</x:v>
      </x:c>
      <x:c r="H228" s="25" t="str">
        <x:v>由同包逐项数据聚合，便于核对</x:v>
      </x:c>
      <x:c r="I228" s="32" t="n">
        <x:v>1100</x:v>
      </x:c>
      <x:c r="J228" s="32" t="n">
        <x:v>1100</x:v>
      </x:c>
      <x:c r="K228" s="32" t="n">
        <x:v>1100</x:v>
      </x:c>
      <x:c r="L228" s="32" t="n">
        <x:v>1100</x:v>
      </x:c>
      <x:c r="M228" s="32" t="n">
        <x:v>1100</x:v>
      </x:c>
      <x:c r="N228" s="32" t="n">
        <x:v>1100</x:v>
      </x:c>
      <x:c r="O228" s="32"/>
      <x:c r="P228" s="32"/>
      <x:c r="Q228" s="32"/>
      <x:c r="R228" s="32"/>
      <x:c r="S228" s="32"/>
      <x:c r="T228" s="32"/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 t="n">
        <x:v>10</x:v>
      </x:c>
      <x:c r="AX228" s="32" t="n">
        <x:v>10</x:v>
      </x:c>
      <x:c r="AY228" s="32"/>
      <x:c r="AZ228" s="32"/>
      <x:c r="BA228" s="32"/>
    </x:row>
    <x:row r="229">
      <x:c r="A229" s="25" t="str">
        <x:v>C04-X</x:v>
      </x:c>
      <x:c r="B229" s="25" t="str">
        <x:v>利耶尼亚海域</x:v>
      </x:c>
      <x:c r="C229" s="25" t="str">
        <x:v>极端压力</x:v>
      </x:c>
      <x:c r="D229" s="25" t="str">
        <x:v>贯穿称号</x:v>
      </x:c>
      <x:c r="E229" s="25" t="str">
        <x:v>本类1项（逐项见完整JSON）</x:v>
      </x:c>
      <x:c r="F229" s="25" t="str">
        <x:v>S04/01_贯穿称号</x:v>
      </x:c>
      <x:c r="G229" s="25" t="str">
        <x:v>原表数值</x:v>
      </x:c>
      <x:c r="H229" s="25" t="str">
        <x:v>由同包逐项数据聚合，便于核对</x:v>
      </x:c>
      <x:c r="I229" s="32" t="n">
        <x:v>1800</x:v>
      </x:c>
      <x:c r="J229" s="32" t="n">
        <x:v>1800</x:v>
      </x:c>
      <x:c r="K229" s="32" t="n">
        <x:v>1800</x:v>
      </x:c>
      <x:c r="L229" s="32" t="n">
        <x:v>1800</x:v>
      </x:c>
      <x:c r="M229" s="32" t="n">
        <x:v>1800</x:v>
      </x:c>
      <x:c r="N229" s="32" t="n">
        <x:v>1800</x:v>
      </x:c>
      <x:c r="O229" s="32" t="n">
        <x:v>180000</x:v>
      </x:c>
      <x:c r="P229" s="32" t="n">
        <x:v>180000</x:v>
      </x:c>
      <x:c r="Q229" s="32"/>
      <x:c r="R229" s="32"/>
      <x:c r="S229" s="32"/>
      <x:c r="T229" s="32"/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 t="n">
        <x:v>1100</x:v>
      </x:c>
      <x:c r="AU229" s="32"/>
      <x:c r="AV229" s="32"/>
      <x:c r="AW229" s="32"/>
      <x:c r="AX229" s="32"/>
      <x:c r="AY229" s="32"/>
      <x:c r="AZ229" s="32"/>
      <x:c r="BA229" s="32"/>
    </x:row>
    <x:row r="230">
      <x:c r="A230" s="25" t="str">
        <x:v>C04-X</x:v>
      </x:c>
      <x:c r="B230" s="25" t="str">
        <x:v>利耶尼亚海域</x:v>
      </x:c>
      <x:c r="C230" s="25" t="str">
        <x:v>极端压力</x:v>
      </x:c>
      <x:c r="D230" s="25" t="str">
        <x:v>神印</x:v>
      </x:c>
      <x:c r="E230" s="25" t="str">
        <x:v>本类1项（逐项见完整JSON）</x:v>
      </x:c>
      <x:c r="F230" s="25" t="str">
        <x:v>S04 / 神印公式</x:v>
      </x:c>
      <x:c r="G230" s="25" t="str">
        <x:v>自给进度假设＋原公式</x:v>
      </x:c>
      <x:c r="H230" s="25" t="str">
        <x:v>由同包逐项数据聚合，便于核对</x:v>
      </x:c>
      <x:c r="I230" s="32" t="n">
        <x:v>6105</x:v>
      </x:c>
      <x:c r="J230" s="32" t="n">
        <x:v>6105</x:v>
      </x:c>
      <x:c r="K230" s="32" t="n">
        <x:v>6105</x:v>
      </x:c>
      <x:c r="L230" s="32" t="n">
        <x:v>6105</x:v>
      </x:c>
      <x:c r="M230" s="32" t="n">
        <x:v>6105</x:v>
      </x:c>
      <x:c r="N230" s="32" t="n">
        <x:v>6105</x:v>
      </x:c>
      <x:c r="O230" s="32" t="n">
        <x:v>610500</x:v>
      </x:c>
      <x:c r="P230" s="32"/>
      <x:c r="Q230" s="32"/>
      <x:c r="R230" s="32"/>
      <x:c r="S230" s="32"/>
      <x:c r="T230" s="32"/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Y230" s="32"/>
      <x:c r="AZ230" s="32"/>
      <x:c r="BA230" s="32"/>
    </x:row>
    <x:row r="231">
      <x:c r="A231" s="25" t="str">
        <x:v>C04-X</x:v>
      </x:c>
      <x:c r="B231" s="25" t="str">
        <x:v>利耶尼亚海域</x:v>
      </x:c>
      <x:c r="C231" s="25" t="str">
        <x:v>极端压力</x:v>
      </x:c>
      <x:c r="D231" s="25" t="str">
        <x:v>转生</x:v>
      </x:c>
      <x:c r="E231" s="25" t="str">
        <x:v>本类1项（逐项见完整JSON）</x:v>
      </x:c>
      <x:c r="F231" s="25" t="str">
        <x:v>S07/20转</x:v>
      </x:c>
      <x:c r="G231" s="25" t="str">
        <x:v>原表累计</x:v>
      </x:c>
      <x:c r="H231" s="25" t="str">
        <x:v>由同包逐项数据聚合，便于核对</x:v>
      </x:c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32"/>
      <x:c r="U231" s="32"/>
      <x:c r="V231" s="32"/>
      <x:c r="W231" s="32"/>
      <x:c r="X231" s="32" t="n">
        <x:v>0.2</x:v>
      </x:c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Y231" s="32"/>
      <x:c r="AZ231" s="32"/>
      <x:c r="BA231" s="32"/>
    </x:row>
    <x:row r="232">
      <x:c r="A232" s="25" t="str">
        <x:v>C04-X</x:v>
      </x:c>
      <x:c r="B232" s="25" t="str">
        <x:v>利耶尼亚海域</x:v>
      </x:c>
      <x:c r="C232" s="25" t="str">
        <x:v>极端压力</x:v>
      </x:c>
      <x:c r="D232" s="25" t="str">
        <x:v>独立称号</x:v>
      </x:c>
      <x:c r="E232" s="25" t="str">
        <x:v>本类2项（逐项见完整JSON）</x:v>
      </x:c>
      <x:c r="F232" s="25" t="str">
        <x:v>S04/02_独立称号</x:v>
      </x:c>
      <x:c r="G232" s="25" t="str">
        <x:v>原表数值</x:v>
      </x:c>
      <x:c r="H232" s="25" t="str">
        <x:v>由同包逐项数据聚合，便于核对</x:v>
      </x:c>
      <x:c r="I232" s="32" t="n">
        <x:v>210</x:v>
      </x:c>
      <x:c r="J232" s="32" t="n">
        <x:v>210</x:v>
      </x:c>
      <x:c r="K232" s="32" t="n">
        <x:v>210</x:v>
      </x:c>
      <x:c r="L232" s="32" t="n">
        <x:v>210</x:v>
      </x:c>
      <x:c r="M232" s="32" t="n">
        <x:v>210</x:v>
      </x:c>
      <x:c r="N232" s="32" t="n">
        <x:v>210</x:v>
      </x:c>
      <x:c r="O232" s="32" t="n">
        <x:v>21000</x:v>
      </x:c>
      <x:c r="P232" s="32"/>
      <x:c r="Q232" s="32"/>
      <x:c r="R232" s="32"/>
      <x:c r="S232" s="32"/>
      <x:c r="T232" s="32"/>
      <x:c r="U232" s="32"/>
      <x:c r="V232" s="32"/>
      <x:c r="W232" s="32"/>
      <x:c r="X232" s="32" t="n">
        <x:v>0</x:v>
      </x:c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 t="n">
        <x:v>0</x:v>
      </x:c>
      <x:c r="AN232" s="32"/>
      <x:c r="AO232" s="32"/>
      <x:c r="AP232" s="32" t="n">
        <x:v>0</x:v>
      </x:c>
      <x:c r="AQ232" s="32"/>
      <x:c r="AR232" s="32"/>
      <x:c r="AS232" s="32"/>
      <x:c r="AT232" s="32"/>
      <x:c r="AU232" s="32"/>
      <x:c r="AV232" s="32"/>
      <x:c r="AW232" s="32"/>
      <x:c r="AX232" s="32"/>
      <x:c r="AY232" s="32"/>
      <x:c r="AZ232" s="32"/>
      <x:c r="BA232" s="32"/>
    </x:row>
    <x:row r="233">
      <x:c r="A233" s="25" t="str">
        <x:v>C04-X</x:v>
      </x:c>
      <x:c r="B233" s="25" t="str">
        <x:v>利耶尼亚海域</x:v>
      </x:c>
      <x:c r="C233" s="25" t="str">
        <x:v>极端压力</x:v>
      </x:c>
      <x:c r="D233" s="25" t="str">
        <x:v>单件图鉴</x:v>
      </x:c>
      <x:c r="E233" s="25" t="str">
        <x:v>本类1项（逐项见完整JSON）</x:v>
      </x:c>
      <x:c r="F233" s="25" t="str">
        <x:v>S07/collection_single</x:v>
      </x:c>
      <x:c r="G233" s="25" t="str">
        <x:v>原表累计</x:v>
      </x:c>
      <x:c r="H233" s="25" t="str">
        <x:v>由同包逐项数据聚合，便于核对</x:v>
      </x:c>
      <x:c r="I233" s="32" t="n">
        <x:v>1271</x:v>
      </x:c>
      <x:c r="J233" s="32" t="n">
        <x:v>1271</x:v>
      </x:c>
      <x:c r="K233" s="32" t="n">
        <x:v>1271</x:v>
      </x:c>
      <x:c r="L233" s="32" t="n">
        <x:v>1271</x:v>
      </x:c>
      <x:c r="M233" s="32" t="n">
        <x:v>1271</x:v>
      </x:c>
      <x:c r="N233" s="32" t="n">
        <x:v>1271</x:v>
      </x:c>
      <x:c r="O233" s="32" t="n">
        <x:v>127100</x:v>
      </x:c>
      <x:c r="P233" s="32"/>
      <x:c r="Q233" s="32"/>
      <x:c r="R233" s="32"/>
      <x:c r="S233" s="32"/>
      <x:c r="T233" s="32"/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Y233" s="32"/>
      <x:c r="AZ233" s="32"/>
      <x:c r="BA233" s="32"/>
    </x:row>
    <x:row r="234">
      <x:c r="A234" s="25" t="str">
        <x:v>C04-X</x:v>
      </x:c>
      <x:c r="B234" s="25" t="str">
        <x:v>利耶尼亚海域</x:v>
      </x:c>
      <x:c r="C234" s="25" t="str">
        <x:v>极端压力</x:v>
      </x:c>
      <x:c r="D234" s="25" t="str">
        <x:v>地图整页</x:v>
      </x:c>
      <x:c r="E234" s="25" t="str">
        <x:v>本类20项（逐项见完整JSON）</x:v>
      </x:c>
      <x:c r="F234" s="25" t="str">
        <x:v>S07/collection_pages</x:v>
      </x:c>
      <x:c r="G234" s="25" t="str">
        <x:v>原表数值</x:v>
      </x:c>
      <x:c r="H234" s="25" t="str">
        <x:v>由同包逐项数据聚合，便于核对</x:v>
      </x:c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32"/>
      <x:c r="U234" s="32"/>
      <x:c r="V234" s="32"/>
      <x:c r="W234" s="32"/>
      <x:c r="X234" s="32" t="n">
        <x:v>0.32</x:v>
      </x:c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 t="n">
        <x:v>10</x:v>
      </x:c>
      <x:c r="AN234" s="32"/>
      <x:c r="AO234" s="32"/>
      <x:c r="AP234" s="32" t="n">
        <x:v>490</x:v>
      </x:c>
      <x:c r="AQ234" s="32"/>
      <x:c r="AR234" s="32"/>
      <x:c r="AS234" s="32"/>
      <x:c r="AT234" s="32"/>
      <x:c r="AU234" s="32"/>
      <x:c r="AV234" s="32"/>
      <x:c r="AW234" s="32"/>
      <x:c r="AX234" s="32"/>
      <x:c r="AY234" s="32"/>
      <x:c r="AZ234" s="32"/>
      <x:c r="BA234" s="32"/>
    </x:row>
    <x:row r="235">
      <x:c r="A235" s="25" t="str">
        <x:v>C04-X</x:v>
      </x:c>
      <x:c r="B235" s="25" t="str">
        <x:v>利耶尼亚海域</x:v>
      </x:c>
      <x:c r="C235" s="25" t="str">
        <x:v>极端压力</x:v>
      </x:c>
      <x:c r="D235" s="25" t="str">
        <x:v>大陆全收集</x:v>
      </x:c>
      <x:c r="E235" s="25" t="str">
        <x:v>本类4项（逐项见完整JSON）</x:v>
      </x:c>
      <x:c r="F235" s="25" t="str">
        <x:v>S07/collection_continents</x:v>
      </x:c>
      <x:c r="G235" s="25" t="str">
        <x:v>原表累计</x:v>
      </x:c>
      <x:c r="H235" s="25" t="str">
        <x:v>由同包逐项数据聚合，便于核对</x:v>
      </x:c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32"/>
      <x:c r="U235" s="32"/>
      <x:c r="V235" s="32"/>
      <x:c r="W235" s="32"/>
      <x:c r="X235" s="32"/>
      <x:c r="Y235" s="32"/>
      <x:c r="Z235" s="32"/>
      <x:c r="AA235" s="32"/>
      <x:c r="AB235" s="32" t="n">
        <x:v>6</x:v>
      </x:c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Y235" s="32"/>
      <x:c r="AZ235" s="32"/>
      <x:c r="BA235" s="32"/>
    </x:row>
    <x:row r="236">
      <x:c r="A236" s="25" t="str">
        <x:v>C04-X</x:v>
      </x:c>
      <x:c r="B236" s="25" t="str">
        <x:v>利耶尼亚海域</x:v>
      </x:c>
      <x:c r="C236" s="25" t="str">
        <x:v>极端压力</x:v>
      </x:c>
      <x:c r="D236" s="25" t="str">
        <x:v>材料图鉴</x:v>
      </x:c>
      <x:c r="E236" s="25" t="str">
        <x:v>本类2项（逐项见完整JSON）</x:v>
      </x:c>
      <x:c r="F236" s="25" t="str">
        <x:v>S07/collection_materials</x:v>
      </x:c>
      <x:c r="G236" s="25" t="str">
        <x:v>原表数值</x:v>
      </x:c>
      <x:c r="H236" s="25" t="str">
        <x:v>由同包逐项数据聚合，便于核对</x:v>
      </x:c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32"/>
      <x:c r="U236" s="32"/>
      <x:c r="V236" s="32"/>
      <x:c r="W236" s="32"/>
      <x:c r="X236" s="32" t="n">
        <x:v>0.11</x:v>
      </x:c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 t="n">
        <x:v>0</x:v>
      </x:c>
      <x:c r="AN236" s="32"/>
      <x:c r="AO236" s="32"/>
      <x:c r="AP236" s="32" t="n">
        <x:v>0</x:v>
      </x:c>
      <x:c r="AQ236" s="32"/>
      <x:c r="AR236" s="32"/>
      <x:c r="AS236" s="32"/>
      <x:c r="AT236" s="32"/>
      <x:c r="AU236" s="32"/>
      <x:c r="AV236" s="32"/>
      <x:c r="AW236" s="32"/>
      <x:c r="AX236" s="32"/>
      <x:c r="AY236" s="32"/>
      <x:c r="AZ236" s="32"/>
      <x:c r="BA236" s="32"/>
    </x:row>
    <x:row r="237">
      <x:c r="A237" s="25" t="str">
        <x:v>C04-X</x:v>
      </x:c>
      <x:c r="B237" s="25" t="str">
        <x:v>利耶尼亚海域</x:v>
      </x:c>
      <x:c r="C237" s="25" t="str">
        <x:v>极端压力</x:v>
      </x:c>
      <x:c r="D237" s="25" t="str">
        <x:v>旧任务</x:v>
      </x:c>
      <x:c r="E237" s="25" t="str">
        <x:v>本类6项（逐项见完整JSON）</x:v>
      </x:c>
      <x:c r="F237" s="25" t="str">
        <x:v>宁姆格福_完整怪物装备任务爆率规划/地图任务；第一大陆_地图魂魄任务.txt</x:v>
      </x:c>
      <x:c r="G237" s="25" t="str">
        <x:v>原件确认；原表数值</x:v>
      </x:c>
      <x:c r="H237" s="25" t="str">
        <x:v>由同包逐项数据聚合，便于核对</x:v>
      </x:c>
      <x:c r="I237" s="32" t="n">
        <x:v>90</x:v>
      </x:c>
      <x:c r="J237" s="32" t="n">
        <x:v>90</x:v>
      </x:c>
      <x:c r="K237" s="32" t="n">
        <x:v>90</x:v>
      </x:c>
      <x:c r="L237" s="32" t="n">
        <x:v>90</x:v>
      </x:c>
      <x:c r="M237" s="32" t="n">
        <x:v>90</x:v>
      </x:c>
      <x:c r="N237" s="32" t="n">
        <x:v>90</x:v>
      </x:c>
      <x:c r="O237" s="32"/>
      <x:c r="P237" s="32"/>
      <x:c r="Q237" s="32"/>
      <x:c r="R237" s="32"/>
      <x:c r="S237" s="32"/>
      <x:c r="T237" s="32"/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 t="n">
        <x:v>2</x:v>
      </x:c>
      <x:c r="AN237" s="32"/>
      <x:c r="AO237" s="32"/>
      <x:c r="AP237" s="32" t="n">
        <x:v>140</x:v>
      </x:c>
      <x:c r="AQ237" s="32"/>
      <x:c r="AR237" s="32"/>
      <x:c r="AS237" s="32"/>
      <x:c r="AT237" s="32"/>
      <x:c r="AU237" s="32"/>
      <x:c r="AV237" s="32"/>
      <x:c r="AW237" s="32"/>
      <x:c r="AX237" s="32"/>
      <x:c r="AY237" s="32"/>
      <x:c r="AZ237" s="32"/>
      <x:c r="BA237" s="32"/>
    </x:row>
    <x:row r="238">
      <x:c r="A238" s="25" t="str">
        <x:v>C04-X</x:v>
      </x:c>
      <x:c r="B238" s="25" t="str">
        <x:v>利耶尼亚海域</x:v>
      </x:c>
      <x:c r="C238" s="25" t="str">
        <x:v>极端压力</x:v>
      </x:c>
      <x:c r="D238" s="25" t="str">
        <x:v>装备</x:v>
      </x:c>
      <x:c r="E238" s="25" t="str">
        <x:v>本类34项（逐项见完整JSON）</x:v>
      </x:c>
      <x:c r="F238" s="25" t="str">
        <x:v>S02；S07</x:v>
      </x:c>
      <x:c r="G238" s="25" t="str">
        <x:v>原表数值</x:v>
      </x:c>
      <x:c r="H238" s="25" t="str">
        <x:v>由同包逐项数据聚合，便于核对</x:v>
      </x:c>
      <x:c r="I238" s="32" t="n">
        <x:v>4632</x:v>
      </x:c>
      <x:c r="J238" s="32" t="n">
        <x:v>8804</x:v>
      </x:c>
      <x:c r="K238" s="32" t="n">
        <x:v>4632</x:v>
      </x:c>
      <x:c r="L238" s="32" t="n">
        <x:v>8804</x:v>
      </x:c>
      <x:c r="M238" s="32" t="n">
        <x:v>4632</x:v>
      </x:c>
      <x:c r="N238" s="32" t="n">
        <x:v>8804</x:v>
      </x:c>
      <x:c r="O238" s="32" t="n">
        <x:v>4768800</x:v>
      </x:c>
      <x:c r="P238" s="32"/>
      <x:c r="Q238" s="32" t="n">
        <x:v>857</x:v>
      </x:c>
      <x:c r="R238" s="32" t="n">
        <x:v>1581</x:v>
      </x:c>
      <x:c r="S238" s="32" t="n">
        <x:v>699</x:v>
      </x:c>
      <x:c r="T238" s="32" t="n">
        <x:v>1286</x:v>
      </x:c>
      <x:c r="U238" s="32" t="n">
        <x:v>594</x:v>
      </x:c>
      <x:c r="V238" s="32" t="n">
        <x:v>594</x:v>
      </x:c>
      <x:c r="W238" s="32" t="n">
        <x:v>594</x:v>
      </x:c>
      <x:c r="X238" s="32"/>
      <x:c r="Y238" s="32"/>
      <x:c r="Z238" s="32" t="n">
        <x:v>158</x:v>
      </x:c>
      <x:c r="AA238" s="32" t="n">
        <x:v>54</x:v>
      </x:c>
      <x:c r="AB238" s="32"/>
      <x:c r="AC238" s="32" t="n">
        <x:v>207</x:v>
      </x:c>
      <x:c r="AD238" s="32" t="n">
        <x:v>1</x:v>
      </x:c>
      <x:c r="AE238" s="32" t="n">
        <x:v>22</x:v>
      </x:c>
      <x:c r="AF238" s="32"/>
      <x:c r="AG238" s="32"/>
      <x:c r="AH238" s="32" t="n">
        <x:v>23</x:v>
      </x:c>
      <x:c r="AI238" s="32" t="n">
        <x:v>5</x:v>
      </x:c>
      <x:c r="AJ238" s="32" t="n">
        <x:v>126</x:v>
      </x:c>
      <x:c r="AK238" s="32"/>
      <x:c r="AL238" s="32"/>
      <x:c r="AM238" s="32"/>
      <x:c r="AN238" s="32" t="n">
        <x:v>20</x:v>
      </x:c>
      <x:c r="AO238" s="32" t="n">
        <x:v>0.2</x:v>
      </x:c>
      <x:c r="AP238" s="32" t="n">
        <x:v>27</x:v>
      </x:c>
      <x:c r="AQ238" s="32" t="n">
        <x:v>89</x:v>
      </x:c>
      <x:c r="AR238" s="32" t="n">
        <x:v>2</x:v>
      </x:c>
      <x:c r="AS238" s="32" t="n">
        <x:v>8</x:v>
      </x:c>
      <x:c r="AT238" s="32"/>
      <x:c r="AU238" s="32"/>
      <x:c r="AV238" s="32"/>
      <x:c r="AW238" s="32" t="n">
        <x:v>4</x:v>
      </x:c>
      <x:c r="AX238" s="32"/>
      <x:c r="AY238" s="32"/>
      <x:c r="AZ238" s="32" t="n">
        <x:v>15</x:v>
      </x:c>
      <x:c r="BA238" s="32"/>
    </x:row>
    <x:row r="239">
      <x:c r="A239" s="25" t="str">
        <x:v>C04-X</x:v>
      </x:c>
      <x:c r="B239" s="25" t="str">
        <x:v>利耶尼亚海域</x:v>
      </x:c>
      <x:c r="C239" s="25" t="str">
        <x:v>极端压力</x:v>
      </x:c>
      <x:c r="D239" s="25" t="str">
        <x:v>洗练</x:v>
      </x:c>
      <x:c r="E239" s="25" t="str">
        <x:v>本类10项（逐项见完整JSON）</x:v>
      </x:c>
      <x:c r="F239" s="25" t="str">
        <x:v>S06＋固定种子</x:v>
      </x:c>
      <x:c r="G239" s="25" t="str">
        <x:v>可实现随机样本</x:v>
      </x:c>
      <x:c r="H239" s="25" t="str">
        <x:v>由同包逐项数据聚合，便于核对</x:v>
      </x:c>
      <x:c r="I239" s="32" t="n">
        <x:v>2151</x:v>
      </x:c>
      <x:c r="J239" s="32" t="n">
        <x:v>2151</x:v>
      </x:c>
      <x:c r="K239" s="32"/>
      <x:c r="L239" s="32"/>
      <x:c r="M239" s="32" t="n">
        <x:v>118</x:v>
      </x:c>
      <x:c r="N239" s="32" t="n">
        <x:v>118</x:v>
      </x:c>
      <x:c r="O239" s="32"/>
      <x:c r="P239" s="32"/>
      <x:c r="Q239" s="32"/>
      <x:c r="R239" s="32"/>
      <x:c r="S239" s="32"/>
      <x:c r="T239" s="32"/>
      <x:c r="U239" s="32" t="n">
        <x:v>503</x:v>
      </x:c>
      <x:c r="V239" s="32"/>
      <x:c r="W239" s="32"/>
      <x:c r="X239" s="32"/>
      <x:c r="Y239" s="32" t="n">
        <x:v>1</x:v>
      </x:c>
      <x:c r="Z239" s="32"/>
      <x:c r="AA239" s="32"/>
      <x:c r="AB239" s="32" t="n">
        <x:v>5</x:v>
      </x:c>
      <x:c r="AC239" s="32"/>
      <x:c r="AD239" s="32"/>
      <x:c r="AE239" s="32"/>
      <x:c r="AF239" s="32"/>
      <x:c r="AG239" s="32"/>
      <x:c r="AH239" s="32" t="n">
        <x:v>2</x:v>
      </x:c>
      <x:c r="AI239" s="32"/>
      <x:c r="AJ239" s="32"/>
      <x:c r="AK239" s="32"/>
      <x:c r="AL239" s="32"/>
      <x:c r="AM239" s="32" t="n">
        <x:v>6</x:v>
      </x:c>
      <x:c r="AN239" s="32" t="n">
        <x:v>6</x:v>
      </x:c>
      <x:c r="AO239" s="32" t="n">
        <x:v>2</x:v>
      </x:c>
      <x:c r="AP239" s="32" t="n">
        <x:v>20</x:v>
      </x:c>
      <x:c r="AQ239" s="32"/>
      <x:c r="AR239" s="32" t="n">
        <x:v>1</x:v>
      </x:c>
      <x:c r="AS239" s="32"/>
      <x:c r="AT239" s="32"/>
      <x:c r="AU239" s="32" t="n">
        <x:v>1</x:v>
      </x:c>
      <x:c r="AV239" s="32"/>
      <x:c r="AW239" s="32"/>
      <x:c r="AX239" s="32"/>
      <x:c r="AY239" s="32"/>
      <x:c r="AZ239" s="32"/>
      <x:c r="BA239" s="32"/>
    </x:row>
    <x:row r="240">
      <x:c r="A240" s="25" t="str">
        <x:v>C04-X</x:v>
      </x:c>
      <x:c r="B240" s="25" t="str">
        <x:v>利耶尼亚海域</x:v>
      </x:c>
      <x:c r="C240" s="25" t="str">
        <x:v>极端压力</x:v>
      </x:c>
      <x:c r="D240" s="25" t="str">
        <x:v>命格</x:v>
      </x:c>
      <x:c r="E240" s="25" t="str">
        <x:v>本类4项（逐项见完整JSON）</x:v>
      </x:c>
      <x:c r="F240" s="25" t="str">
        <x:v>S03/命格ID1081；S03/命格ID1090；S03/命格ID1092；S03/命格ID1093</x:v>
      </x:c>
      <x:c r="G240" s="25" t="str">
        <x:v>原表彩色＋选配假设</x:v>
      </x:c>
      <x:c r="H240" s="25" t="str">
        <x:v>由同包逐项数据聚合，便于核对</x:v>
      </x:c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32"/>
      <x:c r="U240" s="32"/>
      <x:c r="V240" s="32"/>
      <x:c r="W240" s="32"/>
      <x:c r="X240" s="32"/>
      <x:c r="Y240" s="32" t="n">
        <x:v>6</x:v>
      </x:c>
      <x:c r="Z240" s="32" t="n">
        <x:v>3</x:v>
      </x:c>
      <x:c r="AA240" s="32"/>
      <x:c r="AB240" s="32"/>
      <x:c r="AC240" s="32"/>
      <x:c r="AD240" s="32"/>
      <x:c r="AE240" s="32"/>
      <x:c r="AF240" s="32"/>
      <x:c r="AG240" s="32"/>
      <x:c r="AH240" s="32" t="n">
        <x:v>2</x:v>
      </x:c>
      <x:c r="AI240" s="32"/>
      <x:c r="AJ240" s="32" t="n">
        <x:v>10</x:v>
      </x:c>
      <x:c r="AK240" s="32"/>
      <x:c r="AL240" s="32"/>
      <x:c r="AM240" s="32"/>
      <x:c r="AN240" s="32"/>
      <x:c r="AO240" s="32"/>
      <x:c r="AP240" s="32"/>
      <x:c r="AQ240" s="32" t="n">
        <x:v>6</x:v>
      </x:c>
      <x:c r="AR240" s="32" t="n">
        <x:v>3</x:v>
      </x:c>
      <x:c r="AS240" s="32"/>
      <x:c r="AT240" s="32" t="n">
        <x:v>50</x:v>
      </x:c>
      <x:c r="AU240" s="32" t="n">
        <x:v>2</x:v>
      </x:c>
      <x:c r="AV240" s="32" t="n">
        <x:v>3</x:v>
      </x:c>
      <x:c r="AW240" s="32"/>
      <x:c r="AX240" s="32"/>
      <x:c r="AY240" s="32"/>
      <x:c r="AZ240" s="32"/>
      <x:c r="BA240" s="32"/>
    </x:row>
    <x:row r="241">
      <x:c r="A241" s="25" t="str">
        <x:v>C04-X</x:v>
      </x:c>
      <x:c r="B241" s="25" t="str">
        <x:v>利耶尼亚海域</x:v>
      </x:c>
      <x:c r="C241" s="25" t="str">
        <x:v>极端压力</x:v>
      </x:c>
      <x:c r="D241" s="25" t="str">
        <x:v>后天幸运</x:v>
      </x:c>
      <x:c r="E241" s="25" t="str">
        <x:v>本类1项（逐项见完整JSON）</x:v>
      </x:c>
      <x:c r="F241" s="25" t="str">
        <x:v>A08</x:v>
      </x:c>
      <x:c r="G241" s="25" t="str">
        <x:v>人物永久进度</x:v>
      </x:c>
      <x:c r="H241" s="25" t="str">
        <x:v>由同包逐项数据聚合，便于核对</x:v>
      </x:c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32"/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 t="n">
        <x:v>7</x:v>
      </x:c>
      <x:c r="AL241" s="32" t="n">
        <x:v>8</x:v>
      </x:c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Y241" s="32"/>
      <x:c r="AZ241" s="32"/>
      <x:c r="BA241" s="32"/>
    </x:row>
    <x:row r="242">
      <x:c r="A242" s="25" t="str">
        <x:v>C04-X</x:v>
      </x:c>
      <x:c r="B242" s="25" t="str">
        <x:v>利耶尼亚海域</x:v>
      </x:c>
      <x:c r="C242" s="25" t="str">
        <x:v>极端压力</x:v>
      </x:c>
      <x:c r="D242" s="25" t="str">
        <x:v>回收预算</x:v>
      </x:c>
      <x:c r="E242" s="25" t="str">
        <x:v>本类1项（逐项见完整JSON）</x:v>
      </x:c>
      <x:c r="F242" s="25" t="str">
        <x:v>用户总回收50%</x:v>
      </x:c>
      <x:c r="G242" s="25" t="str">
        <x:v>经济输入，不是新增属性来源</x:v>
      </x:c>
      <x:c r="H242" s="25" t="str">
        <x:v>由同包逐项数据聚合，便于核对</x:v>
      </x:c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32"/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Y242" s="32"/>
      <x:c r="AZ242" s="32"/>
      <x:c r="BA242" s="32" t="n">
        <x:v>50</x:v>
      </x:c>
    </x:row>
    <x:row r="243">
      <x:c r="A243" s="25" t="str">
        <x:v>C05-E</x:v>
      </x:c>
      <x:c r="B243" s="25" t="str">
        <x:v>湖之利耶尼亚</x:v>
      </x:c>
      <x:c r="C243" s="25" t="str">
        <x:v>半急速入场</x:v>
      </x:c>
      <x:c r="D243" s="25" t="str">
        <x:v>人物自然</x:v>
      </x:c>
      <x:c r="E243" s="25" t="str">
        <x:v>本类1项（逐项见完整JSON）</x:v>
      </x:c>
      <x:c r="F243" s="25" t="str">
        <x:v>A01</x:v>
      </x:c>
      <x:c r="G243" s="25" t="str">
        <x:v>模型假设</x:v>
      </x:c>
      <x:c r="H243" s="25" t="str">
        <x:v>由同包逐项数据聚合，便于核对</x:v>
      </x:c>
      <x:c r="I243" s="32" t="n">
        <x:v>15</x:v>
      </x:c>
      <x:c r="J243" s="32" t="n">
        <x:v>33</x:v>
      </x:c>
      <x:c r="K243" s="32"/>
      <x:c r="L243" s="32"/>
      <x:c r="M243" s="32"/>
      <x:c r="N243" s="32"/>
      <x:c r="O243" s="32" t="n">
        <x:v>2600</x:v>
      </x:c>
      <x:c r="P243" s="32" t="n">
        <x:v>600</x:v>
      </x:c>
      <x:c r="Q243" s="32"/>
      <x:c r="R243" s="32"/>
      <x:c r="S243" s="32"/>
      <x:c r="T243" s="32"/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Y243" s="32"/>
      <x:c r="AZ243" s="32"/>
      <x:c r="BA243" s="32"/>
    </x:row>
    <x:row r="244">
      <x:c r="A244" s="25" t="str">
        <x:v>C05-E</x:v>
      </x:c>
      <x:c r="B244" s="25" t="str">
        <x:v>湖之利耶尼亚</x:v>
      </x:c>
      <x:c r="C244" s="25" t="str">
        <x:v>半急速入场</x:v>
      </x:c>
      <x:c r="D244" s="25" t="str">
        <x:v>付费状态</x:v>
      </x:c>
      <x:c r="E244" s="25" t="str">
        <x:v>本类3项（逐项见完整JSON）</x:v>
      </x:c>
      <x:c r="F244" s="25" t="str">
        <x:v>20260903总档</x:v>
      </x:c>
      <x:c r="G244" s="25" t="str">
        <x:v>原表数值</x:v>
      </x:c>
      <x:c r="H244" s="25" t="str">
        <x:v>由同包逐项数据聚合，便于核对</x:v>
      </x:c>
      <x:c r="I244" s="32" t="n">
        <x:v>149</x:v>
      </x:c>
      <x:c r="J244" s="32" t="n">
        <x:v>149</x:v>
      </x:c>
      <x:c r="K244" s="32" t="n">
        <x:v>149</x:v>
      </x:c>
      <x:c r="L244" s="32" t="n">
        <x:v>149</x:v>
      </x:c>
      <x:c r="M244" s="32" t="n">
        <x:v>149</x:v>
      </x:c>
      <x:c r="N244" s="32" t="n">
        <x:v>149</x:v>
      </x:c>
      <x:c r="O244" s="32" t="n">
        <x:v>10000</x:v>
      </x:c>
      <x:c r="P244" s="32"/>
      <x:c r="Q244" s="32"/>
      <x:c r="R244" s="32"/>
      <x:c r="S244" s="32"/>
      <x:c r="T244" s="32"/>
      <x:c r="U244" s="32"/>
      <x:c r="V244" s="32"/>
      <x:c r="W244" s="32"/>
      <x:c r="X244" s="32"/>
      <x:c r="Y244" s="32" t="n">
        <x:v>10</x:v>
      </x:c>
      <x:c r="Z244" s="32"/>
      <x:c r="AA244" s="32"/>
      <x:c r="AB244" s="32" t="n">
        <x:v>20</x:v>
      </x:c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 t="n">
        <x:v>10</x:v>
      </x:c>
      <x:c r="AN244" s="32"/>
      <x:c r="AO244" s="32"/>
      <x:c r="AP244" s="32" t="n">
        <x:v>50</x:v>
      </x:c>
      <x:c r="AQ244" s="32"/>
      <x:c r="AR244" s="32"/>
      <x:c r="AS244" s="32"/>
      <x:c r="AT244" s="32" t="n">
        <x:v>700</x:v>
      </x:c>
      <x:c r="AU244" s="32" t="n">
        <x:v>15</x:v>
      </x:c>
      <x:c r="AV244" s="32"/>
      <x:c r="AW244" s="32"/>
      <x:c r="AX244" s="32"/>
      <x:c r="AY244" s="32"/>
      <x:c r="AZ244" s="32"/>
      <x:c r="BA244" s="32"/>
    </x:row>
    <x:row r="245">
      <x:c r="A245" s="25" t="str">
        <x:v>C05-E</x:v>
      </x:c>
      <x:c r="B245" s="25" t="str">
        <x:v>湖之利耶尼亚</x:v>
      </x:c>
      <x:c r="C245" s="25" t="str">
        <x:v>半急速入场</x:v>
      </x:c>
      <x:c r="D245" s="25" t="str">
        <x:v>成长装备</x:v>
      </x:c>
      <x:c r="E245" s="25" t="str">
        <x:v>本类2项（逐项见完整JSON）</x:v>
      </x:c>
      <x:c r="F245" s="25" t="str">
        <x:v>20260903总档 / A04</x:v>
      </x:c>
      <x:c r="G245" s="25" t="str">
        <x:v>原表＋支付路径假设</x:v>
      </x:c>
      <x:c r="H245" s="25" t="str">
        <x:v>由同包逐项数据聚合，便于核对</x:v>
      </x:c>
      <x:c r="I245" s="32" t="n">
        <x:v>1100</x:v>
      </x:c>
      <x:c r="J245" s="32" t="n">
        <x:v>1100</x:v>
      </x:c>
      <x:c r="K245" s="32" t="n">
        <x:v>1100</x:v>
      </x:c>
      <x:c r="L245" s="32" t="n">
        <x:v>1100</x:v>
      </x:c>
      <x:c r="M245" s="32" t="n">
        <x:v>1100</x:v>
      </x:c>
      <x:c r="N245" s="32" t="n">
        <x:v>1100</x:v>
      </x:c>
      <x:c r="O245" s="32"/>
      <x:c r="P245" s="32"/>
      <x:c r="Q245" s="32"/>
      <x:c r="R245" s="32"/>
      <x:c r="S245" s="32"/>
      <x:c r="T245" s="32"/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 t="n">
        <x:v>10</x:v>
      </x:c>
      <x:c r="AX245" s="32" t="n">
        <x:v>10</x:v>
      </x:c>
      <x:c r="AY245" s="32"/>
      <x:c r="AZ245" s="32"/>
      <x:c r="BA245" s="32"/>
    </x:row>
    <x:row r="246">
      <x:c r="A246" s="25" t="str">
        <x:v>C05-E</x:v>
      </x:c>
      <x:c r="B246" s="25" t="str">
        <x:v>湖之利耶尼亚</x:v>
      </x:c>
      <x:c r="C246" s="25" t="str">
        <x:v>半急速入场</x:v>
      </x:c>
      <x:c r="D246" s="25" t="str">
        <x:v>贯穿称号</x:v>
      </x:c>
      <x:c r="E246" s="25" t="str">
        <x:v>本类1项（逐项见完整JSON）</x:v>
      </x:c>
      <x:c r="F246" s="25" t="str">
        <x:v>S04/01_贯穿称号</x:v>
      </x:c>
      <x:c r="G246" s="25" t="str">
        <x:v>原表数值</x:v>
      </x:c>
      <x:c r="H246" s="25" t="str">
        <x:v>由同包逐项数据聚合，便于核对</x:v>
      </x:c>
      <x:c r="I246" s="32" t="n">
        <x:v>1800</x:v>
      </x:c>
      <x:c r="J246" s="32" t="n">
        <x:v>1800</x:v>
      </x:c>
      <x:c r="K246" s="32" t="n">
        <x:v>1800</x:v>
      </x:c>
      <x:c r="L246" s="32" t="n">
        <x:v>1800</x:v>
      </x:c>
      <x:c r="M246" s="32" t="n">
        <x:v>1800</x:v>
      </x:c>
      <x:c r="N246" s="32" t="n">
        <x:v>1800</x:v>
      </x:c>
      <x:c r="O246" s="32" t="n">
        <x:v>180000</x:v>
      </x:c>
      <x:c r="P246" s="32" t="n">
        <x:v>180000</x:v>
      </x:c>
      <x:c r="Q246" s="32"/>
      <x:c r="R246" s="32"/>
      <x:c r="S246" s="32"/>
      <x:c r="T246" s="32"/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 t="n">
        <x:v>1100</x:v>
      </x:c>
      <x:c r="AU246" s="32"/>
      <x:c r="AV246" s="32"/>
      <x:c r="AW246" s="32"/>
      <x:c r="AX246" s="32"/>
      <x:c r="AY246" s="32"/>
      <x:c r="AZ246" s="32"/>
      <x:c r="BA246" s="32"/>
    </x:row>
    <x:row r="247">
      <x:c r="A247" s="25" t="str">
        <x:v>C05-E</x:v>
      </x:c>
      <x:c r="B247" s="25" t="str">
        <x:v>湖之利耶尼亚</x:v>
      </x:c>
      <x:c r="C247" s="25" t="str">
        <x:v>半急速入场</x:v>
      </x:c>
      <x:c r="D247" s="25" t="str">
        <x:v>神印</x:v>
      </x:c>
      <x:c r="E247" s="25" t="str">
        <x:v>本类1项（逐项见完整JSON）</x:v>
      </x:c>
      <x:c r="F247" s="25" t="str">
        <x:v>S04 / 神印公式</x:v>
      </x:c>
      <x:c r="G247" s="25" t="str">
        <x:v>自给进度假设＋原公式</x:v>
      </x:c>
      <x:c r="H247" s="25" t="str">
        <x:v>由同包逐项数据聚合，便于核对</x:v>
      </x:c>
      <x:c r="I247" s="32" t="n">
        <x:v>6105</x:v>
      </x:c>
      <x:c r="J247" s="32" t="n">
        <x:v>6105</x:v>
      </x:c>
      <x:c r="K247" s="32" t="n">
        <x:v>6105</x:v>
      </x:c>
      <x:c r="L247" s="32" t="n">
        <x:v>6105</x:v>
      </x:c>
      <x:c r="M247" s="32" t="n">
        <x:v>6105</x:v>
      </x:c>
      <x:c r="N247" s="32" t="n">
        <x:v>6105</x:v>
      </x:c>
      <x:c r="O247" s="32" t="n">
        <x:v>610500</x:v>
      </x:c>
      <x:c r="P247" s="32"/>
      <x:c r="Q247" s="32"/>
      <x:c r="R247" s="32"/>
      <x:c r="S247" s="32"/>
      <x:c r="T247" s="32"/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Y247" s="32"/>
      <x:c r="AZ247" s="32"/>
      <x:c r="BA247" s="32"/>
    </x:row>
    <x:row r="248">
      <x:c r="A248" s="25" t="str">
        <x:v>C05-E</x:v>
      </x:c>
      <x:c r="B248" s="25" t="str">
        <x:v>湖之利耶尼亚</x:v>
      </x:c>
      <x:c r="C248" s="25" t="str">
        <x:v>半急速入场</x:v>
      </x:c>
      <x:c r="D248" s="25" t="str">
        <x:v>转生</x:v>
      </x:c>
      <x:c r="E248" s="25" t="str">
        <x:v>本类1项（逐项见完整JSON）</x:v>
      </x:c>
      <x:c r="F248" s="25" t="str">
        <x:v>S07/20转</x:v>
      </x:c>
      <x:c r="G248" s="25" t="str">
        <x:v>原表累计</x:v>
      </x:c>
      <x:c r="H248" s="25" t="str">
        <x:v>由同包逐项数据聚合，便于核对</x:v>
      </x:c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32"/>
      <x:c r="U248" s="32"/>
      <x:c r="V248" s="32"/>
      <x:c r="W248" s="32"/>
      <x:c r="X248" s="32" t="n">
        <x:v>0.2</x:v>
      </x:c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Y248" s="32"/>
      <x:c r="AZ248" s="32"/>
      <x:c r="BA248" s="32"/>
    </x:row>
    <x:row r="249">
      <x:c r="A249" s="25" t="str">
        <x:v>C05-E</x:v>
      </x:c>
      <x:c r="B249" s="25" t="str">
        <x:v>湖之利耶尼亚</x:v>
      </x:c>
      <x:c r="C249" s="25" t="str">
        <x:v>半急速入场</x:v>
      </x:c>
      <x:c r="D249" s="25" t="str">
        <x:v>独立称号</x:v>
      </x:c>
      <x:c r="E249" s="25" t="str">
        <x:v>本类2项（逐项见完整JSON）</x:v>
      </x:c>
      <x:c r="F249" s="25" t="str">
        <x:v>S04/02_独立称号</x:v>
      </x:c>
      <x:c r="G249" s="25" t="str">
        <x:v>原表数值</x:v>
      </x:c>
      <x:c r="H249" s="25" t="str">
        <x:v>由同包逐项数据聚合，便于核对</x:v>
      </x:c>
      <x:c r="I249" s="32" t="n">
        <x:v>210</x:v>
      </x:c>
      <x:c r="J249" s="32" t="n">
        <x:v>210</x:v>
      </x:c>
      <x:c r="K249" s="32" t="n">
        <x:v>210</x:v>
      </x:c>
      <x:c r="L249" s="32" t="n">
        <x:v>210</x:v>
      </x:c>
      <x:c r="M249" s="32" t="n">
        <x:v>210</x:v>
      </x:c>
      <x:c r="N249" s="32" t="n">
        <x:v>210</x:v>
      </x:c>
      <x:c r="O249" s="32" t="n">
        <x:v>21000</x:v>
      </x:c>
      <x:c r="P249" s="32"/>
      <x:c r="Q249" s="32"/>
      <x:c r="R249" s="32"/>
      <x:c r="S249" s="32"/>
      <x:c r="T249" s="32"/>
      <x:c r="U249" s="32"/>
      <x:c r="V249" s="32"/>
      <x:c r="W249" s="32"/>
      <x:c r="X249" s="32" t="n">
        <x:v>0</x:v>
      </x:c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 t="n">
        <x:v>0</x:v>
      </x:c>
      <x:c r="AN249" s="32"/>
      <x:c r="AO249" s="32"/>
      <x:c r="AP249" s="32" t="n">
        <x:v>0</x:v>
      </x:c>
      <x:c r="AQ249" s="32"/>
      <x:c r="AR249" s="32"/>
      <x:c r="AS249" s="32"/>
      <x:c r="AT249" s="32"/>
      <x:c r="AU249" s="32"/>
      <x:c r="AV249" s="32"/>
      <x:c r="AW249" s="32"/>
      <x:c r="AX249" s="32"/>
      <x:c r="AY249" s="32"/>
      <x:c r="AZ249" s="32"/>
      <x:c r="BA249" s="32"/>
    </x:row>
    <x:row r="250">
      <x:c r="A250" s="25" t="str">
        <x:v>C05-E</x:v>
      </x:c>
      <x:c r="B250" s="25" t="str">
        <x:v>湖之利耶尼亚</x:v>
      </x:c>
      <x:c r="C250" s="25" t="str">
        <x:v>半急速入场</x:v>
      </x:c>
      <x:c r="D250" s="25" t="str">
        <x:v>单件图鉴</x:v>
      </x:c>
      <x:c r="E250" s="25" t="str">
        <x:v>本类1项（逐项见完整JSON）</x:v>
      </x:c>
      <x:c r="F250" s="25" t="str">
        <x:v>S07/collection_single</x:v>
      </x:c>
      <x:c r="G250" s="25" t="str">
        <x:v>原表累计</x:v>
      </x:c>
      <x:c r="H250" s="25" t="str">
        <x:v>由同包逐项数据聚合，便于核对</x:v>
      </x:c>
      <x:c r="I250" s="32" t="n">
        <x:v>839</x:v>
      </x:c>
      <x:c r="J250" s="32" t="n">
        <x:v>839</x:v>
      </x:c>
      <x:c r="K250" s="32" t="n">
        <x:v>839</x:v>
      </x:c>
      <x:c r="L250" s="32" t="n">
        <x:v>839</x:v>
      </x:c>
      <x:c r="M250" s="32" t="n">
        <x:v>839</x:v>
      </x:c>
      <x:c r="N250" s="32" t="n">
        <x:v>839</x:v>
      </x:c>
      <x:c r="O250" s="32" t="n">
        <x:v>83900</x:v>
      </x:c>
      <x:c r="P250" s="32"/>
      <x:c r="Q250" s="32"/>
      <x:c r="R250" s="32"/>
      <x:c r="S250" s="32"/>
      <x:c r="T250" s="32"/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Y250" s="32"/>
      <x:c r="AZ250" s="32"/>
      <x:c r="BA250" s="32"/>
    </x:row>
    <x:row r="251">
      <x:c r="A251" s="25" t="str">
        <x:v>C05-E</x:v>
      </x:c>
      <x:c r="B251" s="25" t="str">
        <x:v>湖之利耶尼亚</x:v>
      </x:c>
      <x:c r="C251" s="25" t="str">
        <x:v>半急速入场</x:v>
      </x:c>
      <x:c r="D251" s="25" t="str">
        <x:v>地图整页</x:v>
      </x:c>
      <x:c r="E251" s="25" t="str">
        <x:v>本类13项（逐项见完整JSON）</x:v>
      </x:c>
      <x:c r="F251" s="25" t="str">
        <x:v>S07/collection_pages</x:v>
      </x:c>
      <x:c r="G251" s="25" t="str">
        <x:v>原表数值</x:v>
      </x:c>
      <x:c r="H251" s="25" t="str">
        <x:v>由同包逐项数据聚合，便于核对</x:v>
      </x:c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32"/>
      <x:c r="U251" s="32"/>
      <x:c r="V251" s="32"/>
      <x:c r="W251" s="32"/>
      <x:c r="X251" s="32" t="n">
        <x:v>0.19999999999999998</x:v>
      </x:c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 t="n">
        <x:v>6.5</x:v>
      </x:c>
      <x:c r="AN251" s="32"/>
      <x:c r="AO251" s="32"/>
      <x:c r="AP251" s="32" t="n">
        <x:v>310</x:v>
      </x:c>
      <x:c r="AQ251" s="32"/>
      <x:c r="AR251" s="32"/>
      <x:c r="AS251" s="32"/>
      <x:c r="AT251" s="32"/>
      <x:c r="AU251" s="32"/>
      <x:c r="AV251" s="32"/>
      <x:c r="AW251" s="32"/>
      <x:c r="AX251" s="32"/>
      <x:c r="AY251" s="32"/>
      <x:c r="AZ251" s="32"/>
      <x:c r="BA251" s="32"/>
    </x:row>
    <x:row r="252">
      <x:c r="A252" s="25" t="str">
        <x:v>C05-E</x:v>
      </x:c>
      <x:c r="B252" s="25" t="str">
        <x:v>湖之利耶尼亚</x:v>
      </x:c>
      <x:c r="C252" s="25" t="str">
        <x:v>半急速入场</x:v>
      </x:c>
      <x:c r="D252" s="25" t="str">
        <x:v>材料图鉴</x:v>
      </x:c>
      <x:c r="E252" s="25" t="str">
        <x:v>本类1项（逐项见完整JSON）</x:v>
      </x:c>
      <x:c r="F252" s="25" t="str">
        <x:v>S07/collection_materials</x:v>
      </x:c>
      <x:c r="G252" s="25" t="str">
        <x:v>原表数值</x:v>
      </x:c>
      <x:c r="H252" s="25" t="str">
        <x:v>由同包逐项数据聚合，便于核对</x:v>
      </x:c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32"/>
      <x:c r="U252" s="32"/>
      <x:c r="V252" s="32"/>
      <x:c r="W252" s="32"/>
      <x:c r="X252" s="32" t="n">
        <x:v>0.05</x:v>
      </x:c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 t="n">
        <x:v>0</x:v>
      </x:c>
      <x:c r="AN252" s="32"/>
      <x:c r="AO252" s="32"/>
      <x:c r="AP252" s="32" t="n">
        <x:v>0</x:v>
      </x:c>
      <x:c r="AQ252" s="32"/>
      <x:c r="AR252" s="32"/>
      <x:c r="AS252" s="32"/>
      <x:c r="AT252" s="32"/>
      <x:c r="AU252" s="32"/>
      <x:c r="AV252" s="32"/>
      <x:c r="AW252" s="32"/>
      <x:c r="AX252" s="32"/>
      <x:c r="AY252" s="32"/>
      <x:c r="AZ252" s="32"/>
      <x:c r="BA252" s="32"/>
    </x:row>
    <x:row r="253">
      <x:c r="A253" s="25" t="str">
        <x:v>C05-E</x:v>
      </x:c>
      <x:c r="B253" s="25" t="str">
        <x:v>湖之利耶尼亚</x:v>
      </x:c>
      <x:c r="C253" s="25" t="str">
        <x:v>半急速入场</x:v>
      </x:c>
      <x:c r="D253" s="25" t="str">
        <x:v>旧任务</x:v>
      </x:c>
      <x:c r="E253" s="25" t="str">
        <x:v>本类6项（逐项见完整JSON）</x:v>
      </x:c>
      <x:c r="F253" s="25" t="str">
        <x:v>宁姆格福_完整怪物装备任务爆率规划/地图任务；第一大陆_地图魂魄任务.txt</x:v>
      </x:c>
      <x:c r="G253" s="25" t="str">
        <x:v>原件确认；原表数值</x:v>
      </x:c>
      <x:c r="H253" s="25" t="str">
        <x:v>由同包逐项数据聚合，便于核对</x:v>
      </x:c>
      <x:c r="I253" s="32" t="n">
        <x:v>60</x:v>
      </x:c>
      <x:c r="J253" s="32" t="n">
        <x:v>60</x:v>
      </x:c>
      <x:c r="K253" s="32" t="n">
        <x:v>60</x:v>
      </x:c>
      <x:c r="L253" s="32" t="n">
        <x:v>60</x:v>
      </x:c>
      <x:c r="M253" s="32" t="n">
        <x:v>60</x:v>
      </x:c>
      <x:c r="N253" s="32" t="n">
        <x:v>60</x:v>
      </x:c>
      <x:c r="O253" s="32"/>
      <x:c r="P253" s="32"/>
      <x:c r="Q253" s="32"/>
      <x:c r="R253" s="32"/>
      <x:c r="S253" s="32"/>
      <x:c r="T253" s="32"/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 t="n">
        <x:v>2</x:v>
      </x:c>
      <x:c r="AN253" s="32"/>
      <x:c r="AO253" s="32"/>
      <x:c r="AP253" s="32" t="n">
        <x:v>120</x:v>
      </x:c>
      <x:c r="AQ253" s="32"/>
      <x:c r="AR253" s="32"/>
      <x:c r="AS253" s="32"/>
      <x:c r="AT253" s="32"/>
      <x:c r="AU253" s="32"/>
      <x:c r="AV253" s="32"/>
      <x:c r="AW253" s="32"/>
      <x:c r="AX253" s="32"/>
      <x:c r="AY253" s="32"/>
      <x:c r="AZ253" s="32"/>
      <x:c r="BA253" s="32"/>
    </x:row>
    <x:row r="254">
      <x:c r="A254" s="25" t="str">
        <x:v>C05-E</x:v>
      </x:c>
      <x:c r="B254" s="25" t="str">
        <x:v>湖之利耶尼亚</x:v>
      </x:c>
      <x:c r="C254" s="25" t="str">
        <x:v>半急速入场</x:v>
      </x:c>
      <x:c r="D254" s="25" t="str">
        <x:v>装备</x:v>
      </x:c>
      <x:c r="E254" s="25" t="str">
        <x:v>本类31项（逐项见完整JSON）</x:v>
      </x:c>
      <x:c r="F254" s="25" t="str">
        <x:v>S01；S02；S07</x:v>
      </x:c>
      <x:c r="G254" s="25" t="str">
        <x:v>原表数值</x:v>
      </x:c>
      <x:c r="H254" s="25" t="str">
        <x:v>由同包逐项数据聚合，便于核对</x:v>
      </x:c>
      <x:c r="I254" s="32" t="n">
        <x:v>2872</x:v>
      </x:c>
      <x:c r="J254" s="32" t="n">
        <x:v>5518</x:v>
      </x:c>
      <x:c r="K254" s="32" t="n">
        <x:v>2872</x:v>
      </x:c>
      <x:c r="L254" s="32" t="n">
        <x:v>5518</x:v>
      </x:c>
      <x:c r="M254" s="32" t="n">
        <x:v>2872</x:v>
      </x:c>
      <x:c r="N254" s="32" t="n">
        <x:v>5518</x:v>
      </x:c>
      <x:c r="O254" s="32" t="n">
        <x:v>2884200</x:v>
      </x:c>
      <x:c r="P254" s="32"/>
      <x:c r="Q254" s="32" t="n">
        <x:v>690</x:v>
      </x:c>
      <x:c r="R254" s="32" t="n">
        <x:v>1269</x:v>
      </x:c>
      <x:c r="S254" s="32" t="n">
        <x:v>562</x:v>
      </x:c>
      <x:c r="T254" s="32" t="n">
        <x:v>1035</x:v>
      </x:c>
      <x:c r="U254" s="32" t="n">
        <x:v>477</x:v>
      </x:c>
      <x:c r="V254" s="32" t="n">
        <x:v>477</x:v>
      </x:c>
      <x:c r="W254" s="32" t="n">
        <x:v>477</x:v>
      </x:c>
      <x:c r="X254" s="32"/>
      <x:c r="Y254" s="32"/>
      <x:c r="Z254" s="32" t="n">
        <x:v>112</x:v>
      </x:c>
      <x:c r="AA254" s="32" t="n">
        <x:v>37</x:v>
      </x:c>
      <x:c r="AB254" s="32"/>
      <x:c r="AC254" s="32" t="n">
        <x:v>152</x:v>
      </x:c>
      <x:c r="AD254" s="32" t="n">
        <x:v>1</x:v>
      </x:c>
      <x:c r="AE254" s="32" t="n">
        <x:v>19</x:v>
      </x:c>
      <x:c r="AF254" s="32"/>
      <x:c r="AG254" s="32"/>
      <x:c r="AH254" s="32" t="n">
        <x:v>23</x:v>
      </x:c>
      <x:c r="AI254" s="32" t="n">
        <x:v>3</x:v>
      </x:c>
      <x:c r="AJ254" s="32" t="n">
        <x:v>123</x:v>
      </x:c>
      <x:c r="AK254" s="32"/>
      <x:c r="AL254" s="32"/>
      <x:c r="AM254" s="32"/>
      <x:c r="AN254" s="32" t="n">
        <x:v>15</x:v>
      </x:c>
      <x:c r="AO254" s="32" t="n">
        <x:v>0.2</x:v>
      </x:c>
      <x:c r="AP254" s="32" t="n">
        <x:v>21</x:v>
      </x:c>
      <x:c r="AQ254" s="32" t="n">
        <x:v>77</x:v>
      </x:c>
      <x:c r="AR254" s="32"/>
      <x:c r="AS254" s="32" t="n">
        <x:v>8</x:v>
      </x:c>
      <x:c r="AT254" s="32"/>
      <x:c r="AU254" s="32"/>
      <x:c r="AV254" s="32"/>
      <x:c r="AW254" s="32"/>
      <x:c r="AX254" s="32"/>
      <x:c r="AY254" s="32"/>
      <x:c r="AZ254" s="32" t="n">
        <x:v>12</x:v>
      </x:c>
      <x:c r="BA254" s="32"/>
    </x:row>
    <x:row r="255">
      <x:c r="A255" s="25" t="str">
        <x:v>C05-E</x:v>
      </x:c>
      <x:c r="B255" s="25" t="str">
        <x:v>湖之利耶尼亚</x:v>
      </x:c>
      <x:c r="C255" s="25" t="str">
        <x:v>半急速入场</x:v>
      </x:c>
      <x:c r="D255" s="25" t="str">
        <x:v>洗练</x:v>
      </x:c>
      <x:c r="E255" s="25" t="str">
        <x:v>本类10项（逐项见完整JSON）</x:v>
      </x:c>
      <x:c r="F255" s="25" t="str">
        <x:v>S06＋固定种子</x:v>
      </x:c>
      <x:c r="G255" s="25" t="str">
        <x:v>可实现随机样本</x:v>
      </x:c>
      <x:c r="H255" s="25" t="str">
        <x:v>由同包逐项数据聚合，便于核对</x:v>
      </x:c>
      <x:c r="I255" s="32" t="n">
        <x:v>736</x:v>
      </x:c>
      <x:c r="J255" s="32" t="n">
        <x:v>736</x:v>
      </x:c>
      <x:c r="K255" s="32" t="n">
        <x:v>46</x:v>
      </x:c>
      <x:c r="L255" s="32" t="n">
        <x:v>46</x:v>
      </x:c>
      <x:c r="M255" s="32" t="n">
        <x:v>32</x:v>
      </x:c>
      <x:c r="N255" s="32" t="n">
        <x:v>32</x:v>
      </x:c>
      <x:c r="O255" s="32"/>
      <x:c r="P255" s="32"/>
      <x:c r="Q255" s="32"/>
      <x:c r="R255" s="32"/>
      <x:c r="S255" s="32"/>
      <x:c r="T255" s="32"/>
      <x:c r="U255" s="32" t="n">
        <x:v>377</x:v>
      </x:c>
      <x:c r="V255" s="32"/>
      <x:c r="W255" s="32"/>
      <x:c r="X255" s="32"/>
      <x:c r="Y255" s="32" t="n">
        <x:v>1</x:v>
      </x:c>
      <x:c r="Z255" s="32"/>
      <x:c r="AA255" s="32"/>
      <x:c r="AB255" s="32" t="n">
        <x:v>4</x:v>
      </x:c>
      <x:c r="AC255" s="32"/>
      <x:c r="AD255" s="32" t="n">
        <x:v>1</x:v>
      </x:c>
      <x:c r="AE255" s="32"/>
      <x:c r="AF255" s="32"/>
      <x:c r="AG255" s="32"/>
      <x:c r="AH255" s="32" t="n">
        <x:v>3</x:v>
      </x:c>
      <x:c r="AI255" s="32"/>
      <x:c r="AJ255" s="32"/>
      <x:c r="AK255" s="32"/>
      <x:c r="AL255" s="32"/>
      <x:c r="AM255" s="32" t="n">
        <x:v>3</x:v>
      </x:c>
      <x:c r="AN255" s="32" t="n">
        <x:v>9</x:v>
      </x:c>
      <x:c r="AO255" s="32" t="n">
        <x:v>3</x:v>
      </x:c>
      <x:c r="AP255" s="32" t="n">
        <x:v>10</x:v>
      </x:c>
      <x:c r="AQ255" s="32"/>
      <x:c r="AR255" s="32" t="n">
        <x:v>1</x:v>
      </x:c>
      <x:c r="AS255" s="32" t="n">
        <x:v>1</x:v>
      </x:c>
      <x:c r="AT255" s="32"/>
      <x:c r="AU255" s="32" t="n">
        <x:v>1</x:v>
      </x:c>
      <x:c r="AV255" s="32"/>
      <x:c r="AW255" s="32"/>
      <x:c r="AX255" s="32"/>
      <x:c r="AY255" s="32"/>
      <x:c r="AZ255" s="32"/>
      <x:c r="BA255" s="32"/>
    </x:row>
    <x:row r="256">
      <x:c r="A256" s="25" t="str">
        <x:v>C05-E</x:v>
      </x:c>
      <x:c r="B256" s="25" t="str">
        <x:v>湖之利耶尼亚</x:v>
      </x:c>
      <x:c r="C256" s="25" t="str">
        <x:v>半急速入场</x:v>
      </x:c>
      <x:c r="D256" s="25" t="str">
        <x:v>命格</x:v>
      </x:c>
      <x:c r="E256" s="25" t="str">
        <x:v>本类4项（逐项见完整JSON）</x:v>
      </x:c>
      <x:c r="F256" s="25" t="str">
        <x:v>S03/命格ID1081；S03/命格ID1090；S03/命格ID1092；S03/命格ID1093</x:v>
      </x:c>
      <x:c r="G256" s="25" t="str">
        <x:v>原表彩色＋选配假设</x:v>
      </x:c>
      <x:c r="H256" s="25" t="str">
        <x:v>由同包逐项数据聚合，便于核对</x:v>
      </x:c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32"/>
      <x:c r="U256" s="32"/>
      <x:c r="V256" s="32"/>
      <x:c r="W256" s="32"/>
      <x:c r="X256" s="32"/>
      <x:c r="Y256" s="32" t="n">
        <x:v>6</x:v>
      </x:c>
      <x:c r="Z256" s="32" t="n">
        <x:v>3</x:v>
      </x:c>
      <x:c r="AA256" s="32"/>
      <x:c r="AB256" s="32"/>
      <x:c r="AC256" s="32"/>
      <x:c r="AD256" s="32"/>
      <x:c r="AE256" s="32"/>
      <x:c r="AF256" s="32"/>
      <x:c r="AG256" s="32"/>
      <x:c r="AH256" s="32" t="n">
        <x:v>2</x:v>
      </x:c>
      <x:c r="AI256" s="32"/>
      <x:c r="AJ256" s="32" t="n">
        <x:v>10</x:v>
      </x:c>
      <x:c r="AK256" s="32"/>
      <x:c r="AL256" s="32"/>
      <x:c r="AM256" s="32"/>
      <x:c r="AN256" s="32"/>
      <x:c r="AO256" s="32"/>
      <x:c r="AP256" s="32"/>
      <x:c r="AQ256" s="32" t="n">
        <x:v>6</x:v>
      </x:c>
      <x:c r="AR256" s="32" t="n">
        <x:v>3</x:v>
      </x:c>
      <x:c r="AS256" s="32"/>
      <x:c r="AT256" s="32" t="n">
        <x:v>50</x:v>
      </x:c>
      <x:c r="AU256" s="32" t="n">
        <x:v>2</x:v>
      </x:c>
      <x:c r="AV256" s="32" t="n">
        <x:v>3</x:v>
      </x:c>
      <x:c r="AW256" s="32"/>
      <x:c r="AX256" s="32"/>
      <x:c r="AY256" s="32"/>
      <x:c r="AZ256" s="32"/>
      <x:c r="BA256" s="32"/>
    </x:row>
    <x:row r="257">
      <x:c r="A257" s="25" t="str">
        <x:v>C05-E</x:v>
      </x:c>
      <x:c r="B257" s="25" t="str">
        <x:v>湖之利耶尼亚</x:v>
      </x:c>
      <x:c r="C257" s="25" t="str">
        <x:v>半急速入场</x:v>
      </x:c>
      <x:c r="D257" s="25" t="str">
        <x:v>后天幸运</x:v>
      </x:c>
      <x:c r="E257" s="25" t="str">
        <x:v>本类1项（逐项见完整JSON）</x:v>
      </x:c>
      <x:c r="F257" s="25" t="str">
        <x:v>A08</x:v>
      </x:c>
      <x:c r="G257" s="25" t="str">
        <x:v>人物永久进度</x:v>
      </x:c>
      <x:c r="H257" s="25" t="str">
        <x:v>由同包逐项数据聚合，便于核对</x:v>
      </x:c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32"/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 t="n">
        <x:v>7</x:v>
      </x:c>
      <x:c r="AL257" s="32" t="n">
        <x:v>8</x:v>
      </x:c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Y257" s="32"/>
      <x:c r="AZ257" s="32"/>
      <x:c r="BA257" s="32"/>
    </x:row>
    <x:row r="258">
      <x:c r="A258" s="25" t="str">
        <x:v>C05-E</x:v>
      </x:c>
      <x:c r="B258" s="25" t="str">
        <x:v>湖之利耶尼亚</x:v>
      </x:c>
      <x:c r="C258" s="25" t="str">
        <x:v>半急速入场</x:v>
      </x:c>
      <x:c r="D258" s="25" t="str">
        <x:v>回收预算</x:v>
      </x:c>
      <x:c r="E258" s="25" t="str">
        <x:v>本类1项（逐项见完整JSON）</x:v>
      </x:c>
      <x:c r="F258" s="25" t="str">
        <x:v>用户总回收50%</x:v>
      </x:c>
      <x:c r="G258" s="25" t="str">
        <x:v>经济输入，不是新增属性来源</x:v>
      </x:c>
      <x:c r="H258" s="25" t="str">
        <x:v>由同包逐项数据聚合，便于核对</x:v>
      </x:c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32"/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Y258" s="32"/>
      <x:c r="AZ258" s="32"/>
      <x:c r="BA258" s="32" t="n">
        <x:v>50</x:v>
      </x:c>
    </x:row>
    <x:row r="259">
      <x:c r="A259" s="25" t="str">
        <x:v>C05-M</x:v>
      </x:c>
      <x:c r="B259" s="25" t="str">
        <x:v>湖之利耶尼亚</x:v>
      </x:c>
      <x:c r="C259" s="25" t="str">
        <x:v>半急速中期</x:v>
      </x:c>
      <x:c r="D259" s="25" t="str">
        <x:v>人物自然</x:v>
      </x:c>
      <x:c r="E259" s="25" t="str">
        <x:v>本类1项（逐项见完整JSON）</x:v>
      </x:c>
      <x:c r="F259" s="25" t="str">
        <x:v>A01</x:v>
      </x:c>
      <x:c r="G259" s="25" t="str">
        <x:v>模型假设</x:v>
      </x:c>
      <x:c r="H259" s="25" t="str">
        <x:v>由同包逐项数据聚合，便于核对</x:v>
      </x:c>
      <x:c r="I259" s="32" t="n">
        <x:v>16</x:v>
      </x:c>
      <x:c r="J259" s="32" t="n">
        <x:v>35.5</x:v>
      </x:c>
      <x:c r="K259" s="32"/>
      <x:c r="L259" s="32"/>
      <x:c r="M259" s="32"/>
      <x:c r="N259" s="32"/>
      <x:c r="O259" s="32" t="n">
        <x:v>2800</x:v>
      </x:c>
      <x:c r="P259" s="32" t="n">
        <x:v>650</x:v>
      </x:c>
      <x:c r="Q259" s="32"/>
      <x:c r="R259" s="32"/>
      <x:c r="S259" s="32"/>
      <x:c r="T259" s="32"/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Y259" s="32"/>
      <x:c r="AZ259" s="32"/>
      <x:c r="BA259" s="32"/>
    </x:row>
    <x:row r="260">
      <x:c r="A260" s="25" t="str">
        <x:v>C05-M</x:v>
      </x:c>
      <x:c r="B260" s="25" t="str">
        <x:v>湖之利耶尼亚</x:v>
      </x:c>
      <x:c r="C260" s="25" t="str">
        <x:v>半急速中期</x:v>
      </x:c>
      <x:c r="D260" s="25" t="str">
        <x:v>付费状态</x:v>
      </x:c>
      <x:c r="E260" s="25" t="str">
        <x:v>本类3项（逐项见完整JSON）</x:v>
      </x:c>
      <x:c r="F260" s="25" t="str">
        <x:v>20260903总档</x:v>
      </x:c>
      <x:c r="G260" s="25" t="str">
        <x:v>原表数值</x:v>
      </x:c>
      <x:c r="H260" s="25" t="str">
        <x:v>由同包逐项数据聚合，便于核对</x:v>
      </x:c>
      <x:c r="I260" s="32" t="n">
        <x:v>149</x:v>
      </x:c>
      <x:c r="J260" s="32" t="n">
        <x:v>149</x:v>
      </x:c>
      <x:c r="K260" s="32" t="n">
        <x:v>149</x:v>
      </x:c>
      <x:c r="L260" s="32" t="n">
        <x:v>149</x:v>
      </x:c>
      <x:c r="M260" s="32" t="n">
        <x:v>149</x:v>
      </x:c>
      <x:c r="N260" s="32" t="n">
        <x:v>149</x:v>
      </x:c>
      <x:c r="O260" s="32" t="n">
        <x:v>10000</x:v>
      </x:c>
      <x:c r="P260" s="32"/>
      <x:c r="Q260" s="32"/>
      <x:c r="R260" s="32"/>
      <x:c r="S260" s="32"/>
      <x:c r="T260" s="32"/>
      <x:c r="U260" s="32"/>
      <x:c r="V260" s="32"/>
      <x:c r="W260" s="32"/>
      <x:c r="X260" s="32"/>
      <x:c r="Y260" s="32" t="n">
        <x:v>10</x:v>
      </x:c>
      <x:c r="Z260" s="32"/>
      <x:c r="AA260" s="32"/>
      <x:c r="AB260" s="32" t="n">
        <x:v>20</x:v>
      </x:c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 t="n">
        <x:v>10</x:v>
      </x:c>
      <x:c r="AN260" s="32"/>
      <x:c r="AO260" s="32"/>
      <x:c r="AP260" s="32" t="n">
        <x:v>50</x:v>
      </x:c>
      <x:c r="AQ260" s="32"/>
      <x:c r="AR260" s="32"/>
      <x:c r="AS260" s="32"/>
      <x:c r="AT260" s="32" t="n">
        <x:v>700</x:v>
      </x:c>
      <x:c r="AU260" s="32" t="n">
        <x:v>15</x:v>
      </x:c>
      <x:c r="AV260" s="32"/>
      <x:c r="AW260" s="32"/>
      <x:c r="AX260" s="32"/>
      <x:c r="AY260" s="32"/>
      <x:c r="AZ260" s="32"/>
      <x:c r="BA260" s="32"/>
    </x:row>
    <x:row r="261">
      <x:c r="A261" s="25" t="str">
        <x:v>C05-M</x:v>
      </x:c>
      <x:c r="B261" s="25" t="str">
        <x:v>湖之利耶尼亚</x:v>
      </x:c>
      <x:c r="C261" s="25" t="str">
        <x:v>半急速中期</x:v>
      </x:c>
      <x:c r="D261" s="25" t="str">
        <x:v>成长装备</x:v>
      </x:c>
      <x:c r="E261" s="25" t="str">
        <x:v>本类2项（逐项见完整JSON）</x:v>
      </x:c>
      <x:c r="F261" s="25" t="str">
        <x:v>20260903总档 / A04</x:v>
      </x:c>
      <x:c r="G261" s="25" t="str">
        <x:v>原表＋支付路径假设</x:v>
      </x:c>
      <x:c r="H261" s="25" t="str">
        <x:v>由同包逐项数据聚合，便于核对</x:v>
      </x:c>
      <x:c r="I261" s="32" t="n">
        <x:v>1100</x:v>
      </x:c>
      <x:c r="J261" s="32" t="n">
        <x:v>1100</x:v>
      </x:c>
      <x:c r="K261" s="32" t="n">
        <x:v>1100</x:v>
      </x:c>
      <x:c r="L261" s="32" t="n">
        <x:v>1100</x:v>
      </x:c>
      <x:c r="M261" s="32" t="n">
        <x:v>1100</x:v>
      </x:c>
      <x:c r="N261" s="32" t="n">
        <x:v>1100</x:v>
      </x:c>
      <x:c r="O261" s="32"/>
      <x:c r="P261" s="32"/>
      <x:c r="Q261" s="32"/>
      <x:c r="R261" s="32"/>
      <x:c r="S261" s="32"/>
      <x:c r="T261" s="32"/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 t="n">
        <x:v>10</x:v>
      </x:c>
      <x:c r="AX261" s="32" t="n">
        <x:v>10</x:v>
      </x:c>
      <x:c r="AY261" s="32"/>
      <x:c r="AZ261" s="32"/>
      <x:c r="BA261" s="32"/>
    </x:row>
    <x:row r="262">
      <x:c r="A262" s="25" t="str">
        <x:v>C05-M</x:v>
      </x:c>
      <x:c r="B262" s="25" t="str">
        <x:v>湖之利耶尼亚</x:v>
      </x:c>
      <x:c r="C262" s="25" t="str">
        <x:v>半急速中期</x:v>
      </x:c>
      <x:c r="D262" s="25" t="str">
        <x:v>贯穿称号</x:v>
      </x:c>
      <x:c r="E262" s="25" t="str">
        <x:v>本类1项（逐项见完整JSON）</x:v>
      </x:c>
      <x:c r="F262" s="25" t="str">
        <x:v>S04/01_贯穿称号</x:v>
      </x:c>
      <x:c r="G262" s="25" t="str">
        <x:v>原表数值</x:v>
      </x:c>
      <x:c r="H262" s="25" t="str">
        <x:v>由同包逐项数据聚合，便于核对</x:v>
      </x:c>
      <x:c r="I262" s="32" t="n">
        <x:v>3800</x:v>
      </x:c>
      <x:c r="J262" s="32" t="n">
        <x:v>3800</x:v>
      </x:c>
      <x:c r="K262" s="32" t="n">
        <x:v>3800</x:v>
      </x:c>
      <x:c r="L262" s="32" t="n">
        <x:v>3800</x:v>
      </x:c>
      <x:c r="M262" s="32" t="n">
        <x:v>3800</x:v>
      </x:c>
      <x:c r="N262" s="32" t="n">
        <x:v>3800</x:v>
      </x:c>
      <x:c r="O262" s="32" t="n">
        <x:v>380000</x:v>
      </x:c>
      <x:c r="P262" s="32" t="n">
        <x:v>380000</x:v>
      </x:c>
      <x:c r="Q262" s="32"/>
      <x:c r="R262" s="32"/>
      <x:c r="S262" s="32"/>
      <x:c r="T262" s="32"/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 t="n">
        <x:v>1600</x:v>
      </x:c>
      <x:c r="AU262" s="32"/>
      <x:c r="AV262" s="32"/>
      <x:c r="AW262" s="32"/>
      <x:c r="AX262" s="32"/>
      <x:c r="AY262" s="32"/>
      <x:c r="AZ262" s="32"/>
      <x:c r="BA262" s="32"/>
    </x:row>
    <x:row r="263">
      <x:c r="A263" s="25" t="str">
        <x:v>C05-M</x:v>
      </x:c>
      <x:c r="B263" s="25" t="str">
        <x:v>湖之利耶尼亚</x:v>
      </x:c>
      <x:c r="C263" s="25" t="str">
        <x:v>半急速中期</x:v>
      </x:c>
      <x:c r="D263" s="25" t="str">
        <x:v>神印</x:v>
      </x:c>
      <x:c r="E263" s="25" t="str">
        <x:v>本类1项（逐项见完整JSON）</x:v>
      </x:c>
      <x:c r="F263" s="25" t="str">
        <x:v>S04 / 神印公式</x:v>
      </x:c>
      <x:c r="G263" s="25" t="str">
        <x:v>自给进度假设＋原公式</x:v>
      </x:c>
      <x:c r="H263" s="25" t="str">
        <x:v>由同包逐项数据聚合，便于核对</x:v>
      </x:c>
      <x:c r="I263" s="32" t="n">
        <x:v>7875</x:v>
      </x:c>
      <x:c r="J263" s="32" t="n">
        <x:v>7875</x:v>
      </x:c>
      <x:c r="K263" s="32" t="n">
        <x:v>7875</x:v>
      </x:c>
      <x:c r="L263" s="32" t="n">
        <x:v>7875</x:v>
      </x:c>
      <x:c r="M263" s="32" t="n">
        <x:v>7875</x:v>
      </x:c>
      <x:c r="N263" s="32" t="n">
        <x:v>7875</x:v>
      </x:c>
      <x:c r="O263" s="32" t="n">
        <x:v>787500</x:v>
      </x:c>
      <x:c r="P263" s="32"/>
      <x:c r="Q263" s="32"/>
      <x:c r="R263" s="32"/>
      <x:c r="S263" s="32"/>
      <x:c r="T263" s="32"/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Y263" s="32"/>
      <x:c r="AZ263" s="32"/>
      <x:c r="BA263" s="32"/>
    </x:row>
    <x:row r="264">
      <x:c r="A264" s="25" t="str">
        <x:v>C05-M</x:v>
      </x:c>
      <x:c r="B264" s="25" t="str">
        <x:v>湖之利耶尼亚</x:v>
      </x:c>
      <x:c r="C264" s="25" t="str">
        <x:v>半急速中期</x:v>
      </x:c>
      <x:c r="D264" s="25" t="str">
        <x:v>转生</x:v>
      </x:c>
      <x:c r="E264" s="25" t="str">
        <x:v>本类1项（逐项见完整JSON）</x:v>
      </x:c>
      <x:c r="F264" s="25" t="str">
        <x:v>S07/20转</x:v>
      </x:c>
      <x:c r="G264" s="25" t="str">
        <x:v>原表累计</x:v>
      </x:c>
      <x:c r="H264" s="25" t="str">
        <x:v>由同包逐项数据聚合，便于核对</x:v>
      </x:c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32"/>
      <x:c r="U264" s="32"/>
      <x:c r="V264" s="32"/>
      <x:c r="W264" s="32"/>
      <x:c r="X264" s="32" t="n">
        <x:v>0.2</x:v>
      </x:c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Y264" s="32"/>
      <x:c r="AZ264" s="32"/>
      <x:c r="BA264" s="32"/>
    </x:row>
    <x:row r="265">
      <x:c r="A265" s="25" t="str">
        <x:v>C05-M</x:v>
      </x:c>
      <x:c r="B265" s="25" t="str">
        <x:v>湖之利耶尼亚</x:v>
      </x:c>
      <x:c r="C265" s="25" t="str">
        <x:v>半急速中期</x:v>
      </x:c>
      <x:c r="D265" s="25" t="str">
        <x:v>独立称号</x:v>
      </x:c>
      <x:c r="E265" s="25" t="str">
        <x:v>本类2项（逐项见完整JSON）</x:v>
      </x:c>
      <x:c r="F265" s="25" t="str">
        <x:v>S04/02_独立称号</x:v>
      </x:c>
      <x:c r="G265" s="25" t="str">
        <x:v>原表数值</x:v>
      </x:c>
      <x:c r="H265" s="25" t="str">
        <x:v>由同包逐项数据聚合，便于核对</x:v>
      </x:c>
      <x:c r="I265" s="32" t="n">
        <x:v>210</x:v>
      </x:c>
      <x:c r="J265" s="32" t="n">
        <x:v>210</x:v>
      </x:c>
      <x:c r="K265" s="32" t="n">
        <x:v>210</x:v>
      </x:c>
      <x:c r="L265" s="32" t="n">
        <x:v>210</x:v>
      </x:c>
      <x:c r="M265" s="32" t="n">
        <x:v>210</x:v>
      </x:c>
      <x:c r="N265" s="32" t="n">
        <x:v>210</x:v>
      </x:c>
      <x:c r="O265" s="32" t="n">
        <x:v>21000</x:v>
      </x:c>
      <x:c r="P265" s="32"/>
      <x:c r="Q265" s="32"/>
      <x:c r="R265" s="32"/>
      <x:c r="S265" s="32"/>
      <x:c r="T265" s="32"/>
      <x:c r="U265" s="32"/>
      <x:c r="V265" s="32"/>
      <x:c r="W265" s="32"/>
      <x:c r="X265" s="32" t="n">
        <x:v>0</x:v>
      </x:c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 t="n">
        <x:v>0</x:v>
      </x:c>
      <x:c r="AN265" s="32"/>
      <x:c r="AO265" s="32"/>
      <x:c r="AP265" s="32" t="n">
        <x:v>0</x:v>
      </x:c>
      <x:c r="AQ265" s="32"/>
      <x:c r="AR265" s="32"/>
      <x:c r="AS265" s="32"/>
      <x:c r="AT265" s="32"/>
      <x:c r="AU265" s="32"/>
      <x:c r="AV265" s="32"/>
      <x:c r="AW265" s="32"/>
      <x:c r="AX265" s="32"/>
      <x:c r="AY265" s="32"/>
      <x:c r="AZ265" s="32"/>
      <x:c r="BA265" s="32"/>
    </x:row>
    <x:row r="266">
      <x:c r="A266" s="25" t="str">
        <x:v>C05-M</x:v>
      </x:c>
      <x:c r="B266" s="25" t="str">
        <x:v>湖之利耶尼亚</x:v>
      </x:c>
      <x:c r="C266" s="25" t="str">
        <x:v>半急速中期</x:v>
      </x:c>
      <x:c r="D266" s="25" t="str">
        <x:v>单件图鉴</x:v>
      </x:c>
      <x:c r="E266" s="25" t="str">
        <x:v>本类1项（逐项见完整JSON）</x:v>
      </x:c>
      <x:c r="F266" s="25" t="str">
        <x:v>S07/collection_single</x:v>
      </x:c>
      <x:c r="G266" s="25" t="str">
        <x:v>原表累计</x:v>
      </x:c>
      <x:c r="H266" s="25" t="str">
        <x:v>由同包逐项数据聚合，便于核对</x:v>
      </x:c>
      <x:c r="I266" s="32" t="n">
        <x:v>1170</x:v>
      </x:c>
      <x:c r="J266" s="32" t="n">
        <x:v>1170</x:v>
      </x:c>
      <x:c r="K266" s="32" t="n">
        <x:v>1170</x:v>
      </x:c>
      <x:c r="L266" s="32" t="n">
        <x:v>1170</x:v>
      </x:c>
      <x:c r="M266" s="32" t="n">
        <x:v>1170</x:v>
      </x:c>
      <x:c r="N266" s="32" t="n">
        <x:v>1170</x:v>
      </x:c>
      <x:c r="O266" s="32" t="n">
        <x:v>117000</x:v>
      </x:c>
      <x:c r="P266" s="32"/>
      <x:c r="Q266" s="32"/>
      <x:c r="R266" s="32"/>
      <x:c r="S266" s="32"/>
      <x:c r="T266" s="32"/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Y266" s="32"/>
      <x:c r="AZ266" s="32"/>
      <x:c r="BA266" s="32"/>
    </x:row>
    <x:row r="267">
      <x:c r="A267" s="25" t="str">
        <x:v>C05-M</x:v>
      </x:c>
      <x:c r="B267" s="25" t="str">
        <x:v>湖之利耶尼亚</x:v>
      </x:c>
      <x:c r="C267" s="25" t="str">
        <x:v>半急速中期</x:v>
      </x:c>
      <x:c r="D267" s="25" t="str">
        <x:v>地图整页</x:v>
      </x:c>
      <x:c r="E267" s="25" t="str">
        <x:v>本类15项（逐项见完整JSON）</x:v>
      </x:c>
      <x:c r="F267" s="25" t="str">
        <x:v>S07/collection_pages</x:v>
      </x:c>
      <x:c r="G267" s="25" t="str">
        <x:v>原表数值</x:v>
      </x:c>
      <x:c r="H267" s="25" t="str">
        <x:v>由同包逐项数据聚合，便于核对</x:v>
      </x:c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32"/>
      <x:c r="U267" s="32"/>
      <x:c r="V267" s="32"/>
      <x:c r="W267" s="32"/>
      <x:c r="X267" s="32" t="n">
        <x:v>0.24999999999999997</x:v>
      </x:c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 t="n">
        <x:v>7.5</x:v>
      </x:c>
      <x:c r="AN267" s="32"/>
      <x:c r="AO267" s="32"/>
      <x:c r="AP267" s="32" t="n">
        <x:v>375</x:v>
      </x:c>
      <x:c r="AQ267" s="32"/>
      <x:c r="AR267" s="32"/>
      <x:c r="AS267" s="32"/>
      <x:c r="AT267" s="32"/>
      <x:c r="AU267" s="32"/>
      <x:c r="AV267" s="32"/>
      <x:c r="AW267" s="32"/>
      <x:c r="AX267" s="32"/>
      <x:c r="AY267" s="32"/>
      <x:c r="AZ267" s="32"/>
      <x:c r="BA267" s="32"/>
    </x:row>
    <x:row r="268">
      <x:c r="A268" s="25" t="str">
        <x:v>C05-M</x:v>
      </x:c>
      <x:c r="B268" s="25" t="str">
        <x:v>湖之利耶尼亚</x:v>
      </x:c>
      <x:c r="C268" s="25" t="str">
        <x:v>半急速中期</x:v>
      </x:c>
      <x:c r="D268" s="25" t="str">
        <x:v>材料图鉴</x:v>
      </x:c>
      <x:c r="E268" s="25" t="str">
        <x:v>本类2项（逐项见完整JSON）</x:v>
      </x:c>
      <x:c r="F268" s="25" t="str">
        <x:v>S07/collection_materials</x:v>
      </x:c>
      <x:c r="G268" s="25" t="str">
        <x:v>原表数值</x:v>
      </x:c>
      <x:c r="H268" s="25" t="str">
        <x:v>由同包逐项数据聚合，便于核对</x:v>
      </x:c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32"/>
      <x:c r="U268" s="32"/>
      <x:c r="V268" s="32"/>
      <x:c r="W268" s="32"/>
      <x:c r="X268" s="32" t="n">
        <x:v>0.11</x:v>
      </x:c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 t="n">
        <x:v>0</x:v>
      </x:c>
      <x:c r="AN268" s="32"/>
      <x:c r="AO268" s="32"/>
      <x:c r="AP268" s="32" t="n">
        <x:v>0</x:v>
      </x:c>
      <x:c r="AQ268" s="32"/>
      <x:c r="AR268" s="32"/>
      <x:c r="AS268" s="32"/>
      <x:c r="AT268" s="32"/>
      <x:c r="AU268" s="32"/>
      <x:c r="AV268" s="32"/>
      <x:c r="AW268" s="32"/>
      <x:c r="AX268" s="32"/>
      <x:c r="AY268" s="32"/>
      <x:c r="AZ268" s="32"/>
      <x:c r="BA268" s="32"/>
    </x:row>
    <x:row r="269">
      <x:c r="A269" s="25" t="str">
        <x:v>C05-M</x:v>
      </x:c>
      <x:c r="B269" s="25" t="str">
        <x:v>湖之利耶尼亚</x:v>
      </x:c>
      <x:c r="C269" s="25" t="str">
        <x:v>半急速中期</x:v>
      </x:c>
      <x:c r="D269" s="25" t="str">
        <x:v>旧任务</x:v>
      </x:c>
      <x:c r="E269" s="25" t="str">
        <x:v>本类6项（逐项见完整JSON）</x:v>
      </x:c>
      <x:c r="F269" s="25" t="str">
        <x:v>宁姆格福_完整怪物装备任务爆率规划/地图任务；第一大陆_地图魂魄任务.txt</x:v>
      </x:c>
      <x:c r="G269" s="25" t="str">
        <x:v>原件确认；原表数值</x:v>
      </x:c>
      <x:c r="H269" s="25" t="str">
        <x:v>由同包逐项数据聚合，便于核对</x:v>
      </x:c>
      <x:c r="I269" s="32" t="n">
        <x:v>60</x:v>
      </x:c>
      <x:c r="J269" s="32" t="n">
        <x:v>60</x:v>
      </x:c>
      <x:c r="K269" s="32" t="n">
        <x:v>60</x:v>
      </x:c>
      <x:c r="L269" s="32" t="n">
        <x:v>60</x:v>
      </x:c>
      <x:c r="M269" s="32" t="n">
        <x:v>60</x:v>
      </x:c>
      <x:c r="N269" s="32" t="n">
        <x:v>60</x:v>
      </x:c>
      <x:c r="O269" s="32"/>
      <x:c r="P269" s="32"/>
      <x:c r="Q269" s="32"/>
      <x:c r="R269" s="32"/>
      <x:c r="S269" s="32"/>
      <x:c r="T269" s="32"/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 t="n">
        <x:v>2</x:v>
      </x:c>
      <x:c r="AN269" s="32"/>
      <x:c r="AO269" s="32"/>
      <x:c r="AP269" s="32" t="n">
        <x:v>120</x:v>
      </x:c>
      <x:c r="AQ269" s="32"/>
      <x:c r="AR269" s="32"/>
      <x:c r="AS269" s="32"/>
      <x:c r="AT269" s="32"/>
      <x:c r="AU269" s="32"/>
      <x:c r="AV269" s="32"/>
      <x:c r="AW269" s="32"/>
      <x:c r="AX269" s="32"/>
      <x:c r="AY269" s="32"/>
      <x:c r="AZ269" s="32"/>
      <x:c r="BA269" s="32"/>
    </x:row>
    <x:row r="270">
      <x:c r="A270" s="25" t="str">
        <x:v>C05-M</x:v>
      </x:c>
      <x:c r="B270" s="25" t="str">
        <x:v>湖之利耶尼亚</x:v>
      </x:c>
      <x:c r="C270" s="25" t="str">
        <x:v>半急速中期</x:v>
      </x:c>
      <x:c r="D270" s="25" t="str">
        <x:v>装备</x:v>
      </x:c>
      <x:c r="E270" s="25" t="str">
        <x:v>本类31项（逐项见完整JSON）</x:v>
      </x:c>
      <x:c r="F270" s="25" t="str">
        <x:v>S01；S02；S07</x:v>
      </x:c>
      <x:c r="G270" s="25" t="str">
        <x:v>原表数值</x:v>
      </x:c>
      <x:c r="H270" s="25" t="str">
        <x:v>由同包逐项数据聚合，便于核对</x:v>
      </x:c>
      <x:c r="I270" s="32" t="n">
        <x:v>2826</x:v>
      </x:c>
      <x:c r="J270" s="32" t="n">
        <x:v>5430</x:v>
      </x:c>
      <x:c r="K270" s="32" t="n">
        <x:v>2826</x:v>
      </x:c>
      <x:c r="L270" s="32" t="n">
        <x:v>5430</x:v>
      </x:c>
      <x:c r="M270" s="32" t="n">
        <x:v>2826</x:v>
      </x:c>
      <x:c r="N270" s="32" t="n">
        <x:v>5430</x:v>
      </x:c>
      <x:c r="O270" s="32" t="n">
        <x:v>2776400</x:v>
      </x:c>
      <x:c r="P270" s="32"/>
      <x:c r="Q270" s="32" t="n">
        <x:v>798</x:v>
      </x:c>
      <x:c r="R270" s="32" t="n">
        <x:v>1464</x:v>
      </x:c>
      <x:c r="S270" s="32" t="n">
        <x:v>652</x:v>
      </x:c>
      <x:c r="T270" s="32" t="n">
        <x:v>1194</x:v>
      </x:c>
      <x:c r="U270" s="32" t="n">
        <x:v>488</x:v>
      </x:c>
      <x:c r="V270" s="32" t="n">
        <x:v>488</x:v>
      </x:c>
      <x:c r="W270" s="32" t="n">
        <x:v>488</x:v>
      </x:c>
      <x:c r="X270" s="32"/>
      <x:c r="Y270" s="32"/>
      <x:c r="Z270" s="32" t="n">
        <x:v>114</x:v>
      </x:c>
      <x:c r="AA270" s="32" t="n">
        <x:v>39</x:v>
      </x:c>
      <x:c r="AB270" s="32"/>
      <x:c r="AC270" s="32" t="n">
        <x:v>149</x:v>
      </x:c>
      <x:c r="AD270" s="32" t="n">
        <x:v>1</x:v>
      </x:c>
      <x:c r="AE270" s="32" t="n">
        <x:v>19</x:v>
      </x:c>
      <x:c r="AF270" s="32"/>
      <x:c r="AG270" s="32"/>
      <x:c r="AH270" s="32" t="n">
        <x:v>23</x:v>
      </x:c>
      <x:c r="AI270" s="32" t="n">
        <x:v>3</x:v>
      </x:c>
      <x:c r="AJ270" s="32" t="n">
        <x:v>123</x:v>
      </x:c>
      <x:c r="AK270" s="32"/>
      <x:c r="AL270" s="32"/>
      <x:c r="AM270" s="32"/>
      <x:c r="AN270" s="32" t="n">
        <x:v>15</x:v>
      </x:c>
      <x:c r="AO270" s="32" t="n">
        <x:v>0.2</x:v>
      </x:c>
      <x:c r="AP270" s="32" t="n">
        <x:v>13</x:v>
      </x:c>
      <x:c r="AQ270" s="32" t="n">
        <x:v>88</x:v>
      </x:c>
      <x:c r="AR270" s="32"/>
      <x:c r="AS270" s="32" t="n">
        <x:v>8</x:v>
      </x:c>
      <x:c r="AT270" s="32"/>
      <x:c r="AU270" s="32"/>
      <x:c r="AV270" s="32"/>
      <x:c r="AW270" s="32"/>
      <x:c r="AX270" s="32"/>
      <x:c r="AY270" s="32"/>
      <x:c r="AZ270" s="32" t="n">
        <x:v>12</x:v>
      </x:c>
      <x:c r="BA270" s="32"/>
    </x:row>
    <x:row r="271">
      <x:c r="A271" s="25" t="str">
        <x:v>C05-M</x:v>
      </x:c>
      <x:c r="B271" s="25" t="str">
        <x:v>湖之利耶尼亚</x:v>
      </x:c>
      <x:c r="C271" s="25" t="str">
        <x:v>半急速中期</x:v>
      </x:c>
      <x:c r="D271" s="25" t="str">
        <x:v>洗练</x:v>
      </x:c>
      <x:c r="E271" s="25" t="str">
        <x:v>本类10项（逐项见完整JSON）</x:v>
      </x:c>
      <x:c r="F271" s="25" t="str">
        <x:v>S06＋固定种子</x:v>
      </x:c>
      <x:c r="G271" s="25" t="str">
        <x:v>可实现随机样本</x:v>
      </x:c>
      <x:c r="H271" s="25" t="str">
        <x:v>由同包逐项数据聚合，便于核对</x:v>
      </x:c>
      <x:c r="I271" s="32" t="n">
        <x:v>1013</x:v>
      </x:c>
      <x:c r="J271" s="32" t="n">
        <x:v>1013</x:v>
      </x:c>
      <x:c r="K271" s="32" t="n">
        <x:v>46</x:v>
      </x:c>
      <x:c r="L271" s="32" t="n">
        <x:v>46</x:v>
      </x:c>
      <x:c r="M271" s="32" t="n">
        <x:v>145</x:v>
      </x:c>
      <x:c r="N271" s="32" t="n">
        <x:v>145</x:v>
      </x:c>
      <x:c r="O271" s="32"/>
      <x:c r="P271" s="32"/>
      <x:c r="Q271" s="32"/>
      <x:c r="R271" s="32"/>
      <x:c r="S271" s="32"/>
      <x:c r="T271" s="32"/>
      <x:c r="U271" s="32" t="n">
        <x:v>386</x:v>
      </x:c>
      <x:c r="V271" s="32"/>
      <x:c r="W271" s="32"/>
      <x:c r="X271" s="32"/>
      <x:c r="Y271" s="32"/>
      <x:c r="Z271" s="32"/>
      <x:c r="AA271" s="32"/>
      <x:c r="AB271" s="32" t="n">
        <x:v>2</x:v>
      </x:c>
      <x:c r="AC271" s="32"/>
      <x:c r="AD271" s="32" t="n">
        <x:v>4</x:v>
      </x:c>
      <x:c r="AE271" s="32"/>
      <x:c r="AF271" s="32"/>
      <x:c r="AG271" s="32"/>
      <x:c r="AH271" s="32" t="n">
        <x:v>6</x:v>
      </x:c>
      <x:c r="AI271" s="32"/>
      <x:c r="AJ271" s="32"/>
      <x:c r="AK271" s="32"/>
      <x:c r="AL271" s="32"/>
      <x:c r="AM271" s="32" t="n">
        <x:v>1</x:v>
      </x:c>
      <x:c r="AN271" s="32" t="n">
        <x:v>5</x:v>
      </x:c>
      <x:c r="AO271" s="32" t="n">
        <x:v>2</x:v>
      </x:c>
      <x:c r="AP271" s="32" t="n">
        <x:v>30</x:v>
      </x:c>
      <x:c r="AQ271" s="32"/>
      <x:c r="AR271" s="32"/>
      <x:c r="AS271" s="32" t="n">
        <x:v>1</x:v>
      </x:c>
      <x:c r="AT271" s="32"/>
      <x:c r="AU271" s="32" t="n">
        <x:v>1</x:v>
      </x:c>
      <x:c r="AV271" s="32"/>
      <x:c r="AW271" s="32"/>
      <x:c r="AX271" s="32"/>
      <x:c r="AY271" s="32"/>
      <x:c r="AZ271" s="32"/>
      <x:c r="BA271" s="32"/>
    </x:row>
    <x:row r="272">
      <x:c r="A272" s="25" t="str">
        <x:v>C05-M</x:v>
      </x:c>
      <x:c r="B272" s="25" t="str">
        <x:v>湖之利耶尼亚</x:v>
      </x:c>
      <x:c r="C272" s="25" t="str">
        <x:v>半急速中期</x:v>
      </x:c>
      <x:c r="D272" s="25" t="str">
        <x:v>命格</x:v>
      </x:c>
      <x:c r="E272" s="25" t="str">
        <x:v>本类5项（逐项见完整JSON）</x:v>
      </x:c>
      <x:c r="F272" s="25" t="str">
        <x:v>S03/命格ID1081；S03/命格ID1089；S03/命格ID1090；S03/命格ID1092；S03/命格ID1093</x:v>
      </x:c>
      <x:c r="G272" s="25" t="str">
        <x:v>原表彩色＋选配假设</x:v>
      </x:c>
      <x:c r="H272" s="25" t="str">
        <x:v>由同包逐项数据聚合，便于核对</x:v>
      </x:c>
      <x:c r="I272" s="32"/>
      <x:c r="J272" s="32"/>
      <x:c r="K272" s="32"/>
      <x:c r="L272" s="32"/>
      <x:c r="M272" s="32"/>
      <x:c r="N272" s="32"/>
      <x:c r="O272" s="32" t="n">
        <x:v>1500</x:v>
      </x:c>
      <x:c r="P272" s="32"/>
      <x:c r="Q272" s="32"/>
      <x:c r="R272" s="32"/>
      <x:c r="S272" s="32"/>
      <x:c r="T272" s="32"/>
      <x:c r="U272" s="32"/>
      <x:c r="V272" s="32"/>
      <x:c r="W272" s="32"/>
      <x:c r="X272" s="32"/>
      <x:c r="Y272" s="32" t="n">
        <x:v>6</x:v>
      </x:c>
      <x:c r="Z272" s="32" t="n">
        <x:v>3</x:v>
      </x:c>
      <x:c r="AA272" s="32" t="n">
        <x:v>2</x:v>
      </x:c>
      <x:c r="AB272" s="32"/>
      <x:c r="AC272" s="32"/>
      <x:c r="AD272" s="32"/>
      <x:c r="AE272" s="32"/>
      <x:c r="AF272" s="32"/>
      <x:c r="AG272" s="32"/>
      <x:c r="AH272" s="32" t="n">
        <x:v>2</x:v>
      </x:c>
      <x:c r="AI272" s="32"/>
      <x:c r="AJ272" s="32" t="n">
        <x:v>10</x:v>
      </x:c>
      <x:c r="AK272" s="32"/>
      <x:c r="AL272" s="32"/>
      <x:c r="AM272" s="32"/>
      <x:c r="AN272" s="32"/>
      <x:c r="AO272" s="32"/>
      <x:c r="AP272" s="32"/>
      <x:c r="AQ272" s="32" t="n">
        <x:v>6</x:v>
      </x:c>
      <x:c r="AR272" s="32" t="n">
        <x:v>3</x:v>
      </x:c>
      <x:c r="AS272" s="32" t="n">
        <x:v>0.75</x:v>
      </x:c>
      <x:c r="AT272" s="32" t="n">
        <x:v>50</x:v>
      </x:c>
      <x:c r="AU272" s="32" t="n">
        <x:v>2</x:v>
      </x:c>
      <x:c r="AV272" s="32" t="n">
        <x:v>3</x:v>
      </x:c>
      <x:c r="AW272" s="32"/>
      <x:c r="AX272" s="32"/>
      <x:c r="AY272" s="32"/>
      <x:c r="AZ272" s="32"/>
      <x:c r="BA272" s="32"/>
    </x:row>
    <x:row r="273">
      <x:c r="A273" s="25" t="str">
        <x:v>C05-M</x:v>
      </x:c>
      <x:c r="B273" s="25" t="str">
        <x:v>湖之利耶尼亚</x:v>
      </x:c>
      <x:c r="C273" s="25" t="str">
        <x:v>半急速中期</x:v>
      </x:c>
      <x:c r="D273" s="25" t="str">
        <x:v>后天幸运</x:v>
      </x:c>
      <x:c r="E273" s="25" t="str">
        <x:v>本类1项（逐项见完整JSON）</x:v>
      </x:c>
      <x:c r="F273" s="25" t="str">
        <x:v>A08</x:v>
      </x:c>
      <x:c r="G273" s="25" t="str">
        <x:v>人物永久进度</x:v>
      </x:c>
      <x:c r="H273" s="25" t="str">
        <x:v>由同包逐项数据聚合，便于核对</x:v>
      </x:c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32"/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 t="n">
        <x:v>7</x:v>
      </x:c>
      <x:c r="AL273" s="32" t="n">
        <x:v>8</x:v>
      </x:c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Y273" s="32"/>
      <x:c r="AZ273" s="32"/>
      <x:c r="BA273" s="32"/>
    </x:row>
    <x:row r="274">
      <x:c r="A274" s="25" t="str">
        <x:v>C05-M</x:v>
      </x:c>
      <x:c r="B274" s="25" t="str">
        <x:v>湖之利耶尼亚</x:v>
      </x:c>
      <x:c r="C274" s="25" t="str">
        <x:v>半急速中期</x:v>
      </x:c>
      <x:c r="D274" s="25" t="str">
        <x:v>回收预算</x:v>
      </x:c>
      <x:c r="E274" s="25" t="str">
        <x:v>本类1项（逐项见完整JSON）</x:v>
      </x:c>
      <x:c r="F274" s="25" t="str">
        <x:v>用户总回收50%</x:v>
      </x:c>
      <x:c r="G274" s="25" t="str">
        <x:v>经济输入，不是新增属性来源</x:v>
      </x:c>
      <x:c r="H274" s="25" t="str">
        <x:v>由同包逐项数据聚合，便于核对</x:v>
      </x:c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32"/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Y274" s="32"/>
      <x:c r="AZ274" s="32"/>
      <x:c r="BA274" s="32" t="n">
        <x:v>50</x:v>
      </x:c>
    </x:row>
    <x:row r="275">
      <x:c r="A275" s="25" t="str">
        <x:v>C05-G</x:v>
      </x:c>
      <x:c r="B275" s="25" t="str">
        <x:v>湖之利耶尼亚</x:v>
      </x:c>
      <x:c r="C275" s="25" t="str">
        <x:v>半急速毕业</x:v>
      </x:c>
      <x:c r="D275" s="25" t="str">
        <x:v>人物自然</x:v>
      </x:c>
      <x:c r="E275" s="25" t="str">
        <x:v>本类1项（逐项见完整JSON）</x:v>
      </x:c>
      <x:c r="F275" s="25" t="str">
        <x:v>A01</x:v>
      </x:c>
      <x:c r="G275" s="25" t="str">
        <x:v>模型假设</x:v>
      </x:c>
      <x:c r="H275" s="25" t="str">
        <x:v>由同包逐项数据聚合，便于核对</x:v>
      </x:c>
      <x:c r="I275" s="32" t="n">
        <x:v>17</x:v>
      </x:c>
      <x:c r="J275" s="32" t="n">
        <x:v>38</x:v>
      </x:c>
      <x:c r="K275" s="32"/>
      <x:c r="L275" s="32"/>
      <x:c r="M275" s="32"/>
      <x:c r="N275" s="32"/>
      <x:c r="O275" s="32" t="n">
        <x:v>3000</x:v>
      </x:c>
      <x:c r="P275" s="32" t="n">
        <x:v>700</x:v>
      </x:c>
      <x:c r="Q275" s="32"/>
      <x:c r="R275" s="32"/>
      <x:c r="S275" s="32"/>
      <x:c r="T275" s="32"/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Y275" s="32"/>
      <x:c r="AZ275" s="32"/>
      <x:c r="BA275" s="32"/>
    </x:row>
    <x:row r="276">
      <x:c r="A276" s="25" t="str">
        <x:v>C05-G</x:v>
      </x:c>
      <x:c r="B276" s="25" t="str">
        <x:v>湖之利耶尼亚</x:v>
      </x:c>
      <x:c r="C276" s="25" t="str">
        <x:v>半急速毕业</x:v>
      </x:c>
      <x:c r="D276" s="25" t="str">
        <x:v>付费状态</x:v>
      </x:c>
      <x:c r="E276" s="25" t="str">
        <x:v>本类3项（逐项见完整JSON）</x:v>
      </x:c>
      <x:c r="F276" s="25" t="str">
        <x:v>20260903总档</x:v>
      </x:c>
      <x:c r="G276" s="25" t="str">
        <x:v>原表数值</x:v>
      </x:c>
      <x:c r="H276" s="25" t="str">
        <x:v>由同包逐项数据聚合，便于核对</x:v>
      </x:c>
      <x:c r="I276" s="32" t="n">
        <x:v>149</x:v>
      </x:c>
      <x:c r="J276" s="32" t="n">
        <x:v>149</x:v>
      </x:c>
      <x:c r="K276" s="32" t="n">
        <x:v>149</x:v>
      </x:c>
      <x:c r="L276" s="32" t="n">
        <x:v>149</x:v>
      </x:c>
      <x:c r="M276" s="32" t="n">
        <x:v>149</x:v>
      </x:c>
      <x:c r="N276" s="32" t="n">
        <x:v>149</x:v>
      </x:c>
      <x:c r="O276" s="32" t="n">
        <x:v>10000</x:v>
      </x:c>
      <x:c r="P276" s="32"/>
      <x:c r="Q276" s="32"/>
      <x:c r="R276" s="32"/>
      <x:c r="S276" s="32"/>
      <x:c r="T276" s="32"/>
      <x:c r="U276" s="32"/>
      <x:c r="V276" s="32"/>
      <x:c r="W276" s="32"/>
      <x:c r="X276" s="32"/>
      <x:c r="Y276" s="32" t="n">
        <x:v>10</x:v>
      </x:c>
      <x:c r="Z276" s="32"/>
      <x:c r="AA276" s="32"/>
      <x:c r="AB276" s="32" t="n">
        <x:v>20</x:v>
      </x:c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 t="n">
        <x:v>10</x:v>
      </x:c>
      <x:c r="AN276" s="32"/>
      <x:c r="AO276" s="32"/>
      <x:c r="AP276" s="32" t="n">
        <x:v>50</x:v>
      </x:c>
      <x:c r="AQ276" s="32"/>
      <x:c r="AR276" s="32"/>
      <x:c r="AS276" s="32"/>
      <x:c r="AT276" s="32" t="n">
        <x:v>700</x:v>
      </x:c>
      <x:c r="AU276" s="32" t="n">
        <x:v>15</x:v>
      </x:c>
      <x:c r="AV276" s="32"/>
      <x:c r="AW276" s="32"/>
      <x:c r="AX276" s="32"/>
      <x:c r="AY276" s="32"/>
      <x:c r="AZ276" s="32"/>
      <x:c r="BA276" s="32"/>
    </x:row>
    <x:row r="277">
      <x:c r="A277" s="25" t="str">
        <x:v>C05-G</x:v>
      </x:c>
      <x:c r="B277" s="25" t="str">
        <x:v>湖之利耶尼亚</x:v>
      </x:c>
      <x:c r="C277" s="25" t="str">
        <x:v>半急速毕业</x:v>
      </x:c>
      <x:c r="D277" s="25" t="str">
        <x:v>成长装备</x:v>
      </x:c>
      <x:c r="E277" s="25" t="str">
        <x:v>本类2项（逐项见完整JSON）</x:v>
      </x:c>
      <x:c r="F277" s="25" t="str">
        <x:v>20260903总档 / A04</x:v>
      </x:c>
      <x:c r="G277" s="25" t="str">
        <x:v>原表＋支付路径假设</x:v>
      </x:c>
      <x:c r="H277" s="25" t="str">
        <x:v>由同包逐项数据聚合，便于核对</x:v>
      </x:c>
      <x:c r="I277" s="32" t="n">
        <x:v>1100</x:v>
      </x:c>
      <x:c r="J277" s="32" t="n">
        <x:v>1100</x:v>
      </x:c>
      <x:c r="K277" s="32" t="n">
        <x:v>1100</x:v>
      </x:c>
      <x:c r="L277" s="32" t="n">
        <x:v>1100</x:v>
      </x:c>
      <x:c r="M277" s="32" t="n">
        <x:v>1100</x:v>
      </x:c>
      <x:c r="N277" s="32" t="n">
        <x:v>1100</x:v>
      </x:c>
      <x:c r="O277" s="32"/>
      <x:c r="P277" s="32"/>
      <x:c r="Q277" s="32"/>
      <x:c r="R277" s="32"/>
      <x:c r="S277" s="32"/>
      <x:c r="T277" s="32"/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 t="n">
        <x:v>10</x:v>
      </x:c>
      <x:c r="AX277" s="32" t="n">
        <x:v>10</x:v>
      </x:c>
      <x:c r="AY277" s="32"/>
      <x:c r="AZ277" s="32"/>
      <x:c r="BA277" s="32"/>
    </x:row>
    <x:row r="278">
      <x:c r="A278" s="25" t="str">
        <x:v>C05-G</x:v>
      </x:c>
      <x:c r="B278" s="25" t="str">
        <x:v>湖之利耶尼亚</x:v>
      </x:c>
      <x:c r="C278" s="25" t="str">
        <x:v>半急速毕业</x:v>
      </x:c>
      <x:c r="D278" s="25" t="str">
        <x:v>贯穿称号</x:v>
      </x:c>
      <x:c r="E278" s="25" t="str">
        <x:v>本类1项（逐项见完整JSON）</x:v>
      </x:c>
      <x:c r="F278" s="25" t="str">
        <x:v>S04/01_贯穿称号</x:v>
      </x:c>
      <x:c r="G278" s="25" t="str">
        <x:v>原表数值</x:v>
      </x:c>
      <x:c r="H278" s="25" t="str">
        <x:v>由同包逐项数据聚合，便于核对</x:v>
      </x:c>
      <x:c r="I278" s="32" t="n">
        <x:v>3800</x:v>
      </x:c>
      <x:c r="J278" s="32" t="n">
        <x:v>3800</x:v>
      </x:c>
      <x:c r="K278" s="32" t="n">
        <x:v>3800</x:v>
      </x:c>
      <x:c r="L278" s="32" t="n">
        <x:v>3800</x:v>
      </x:c>
      <x:c r="M278" s="32" t="n">
        <x:v>3800</x:v>
      </x:c>
      <x:c r="N278" s="32" t="n">
        <x:v>3800</x:v>
      </x:c>
      <x:c r="O278" s="32" t="n">
        <x:v>380000</x:v>
      </x:c>
      <x:c r="P278" s="32" t="n">
        <x:v>380000</x:v>
      </x:c>
      <x:c r="Q278" s="32"/>
      <x:c r="R278" s="32"/>
      <x:c r="S278" s="32"/>
      <x:c r="T278" s="32"/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 t="n">
        <x:v>1600</x:v>
      </x:c>
      <x:c r="AU278" s="32"/>
      <x:c r="AV278" s="32"/>
      <x:c r="AW278" s="32"/>
      <x:c r="AX278" s="32"/>
      <x:c r="AY278" s="32"/>
      <x:c r="AZ278" s="32"/>
      <x:c r="BA278" s="32"/>
    </x:row>
    <x:row r="279">
      <x:c r="A279" s="25" t="str">
        <x:v>C05-G</x:v>
      </x:c>
      <x:c r="B279" s="25" t="str">
        <x:v>湖之利耶尼亚</x:v>
      </x:c>
      <x:c r="C279" s="25" t="str">
        <x:v>半急速毕业</x:v>
      </x:c>
      <x:c r="D279" s="25" t="str">
        <x:v>神印</x:v>
      </x:c>
      <x:c r="E279" s="25" t="str">
        <x:v>本类1项（逐项见完整JSON）</x:v>
      </x:c>
      <x:c r="F279" s="25" t="str">
        <x:v>S04 / 神印公式</x:v>
      </x:c>
      <x:c r="G279" s="25" t="str">
        <x:v>自给进度假设＋原公式</x:v>
      </x:c>
      <x:c r="H279" s="25" t="str">
        <x:v>由同包逐项数据聚合，便于核对</x:v>
      </x:c>
      <x:c r="I279" s="32" t="n">
        <x:v>9870</x:v>
      </x:c>
      <x:c r="J279" s="32" t="n">
        <x:v>9870</x:v>
      </x:c>
      <x:c r="K279" s="32" t="n">
        <x:v>9870</x:v>
      </x:c>
      <x:c r="L279" s="32" t="n">
        <x:v>9870</x:v>
      </x:c>
      <x:c r="M279" s="32" t="n">
        <x:v>9870</x:v>
      </x:c>
      <x:c r="N279" s="32" t="n">
        <x:v>9870</x:v>
      </x:c>
      <x:c r="O279" s="32" t="n">
        <x:v>987000</x:v>
      </x:c>
      <x:c r="P279" s="32"/>
      <x:c r="Q279" s="32"/>
      <x:c r="R279" s="32"/>
      <x:c r="S279" s="32"/>
      <x:c r="T279" s="32"/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Y279" s="32"/>
      <x:c r="AZ279" s="32"/>
      <x:c r="BA279" s="32"/>
    </x:row>
    <x:row r="280">
      <x:c r="A280" s="25" t="str">
        <x:v>C05-G</x:v>
      </x:c>
      <x:c r="B280" s="25" t="str">
        <x:v>湖之利耶尼亚</x:v>
      </x:c>
      <x:c r="C280" s="25" t="str">
        <x:v>半急速毕业</x:v>
      </x:c>
      <x:c r="D280" s="25" t="str">
        <x:v>转生</x:v>
      </x:c>
      <x:c r="E280" s="25" t="str">
        <x:v>本类1项（逐项见完整JSON）</x:v>
      </x:c>
      <x:c r="F280" s="25" t="str">
        <x:v>S07/20转</x:v>
      </x:c>
      <x:c r="G280" s="25" t="str">
        <x:v>原表累计</x:v>
      </x:c>
      <x:c r="H280" s="25" t="str">
        <x:v>由同包逐项数据聚合，便于核对</x:v>
      </x:c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32"/>
      <x:c r="U280" s="32"/>
      <x:c r="V280" s="32"/>
      <x:c r="W280" s="32"/>
      <x:c r="X280" s="32" t="n">
        <x:v>0.2</x:v>
      </x:c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Y280" s="32"/>
      <x:c r="AZ280" s="32"/>
      <x:c r="BA280" s="32"/>
    </x:row>
    <x:row r="281">
      <x:c r="A281" s="25" t="str">
        <x:v>C05-G</x:v>
      </x:c>
      <x:c r="B281" s="25" t="str">
        <x:v>湖之利耶尼亚</x:v>
      </x:c>
      <x:c r="C281" s="25" t="str">
        <x:v>半急速毕业</x:v>
      </x:c>
      <x:c r="D281" s="25" t="str">
        <x:v>独立称号</x:v>
      </x:c>
      <x:c r="E281" s="25" t="str">
        <x:v>本类3项（逐项见完整JSON）</x:v>
      </x:c>
      <x:c r="F281" s="25" t="str">
        <x:v>S04/02_独立称号</x:v>
      </x:c>
      <x:c r="G281" s="25" t="str">
        <x:v>原表数值</x:v>
      </x:c>
      <x:c r="H281" s="25" t="str">
        <x:v>由同包逐项数据聚合，便于核对</x:v>
      </x:c>
      <x:c r="I281" s="32" t="n">
        <x:v>1010</x:v>
      </x:c>
      <x:c r="J281" s="32" t="n">
        <x:v>1010</x:v>
      </x:c>
      <x:c r="K281" s="32" t="n">
        <x:v>1010</x:v>
      </x:c>
      <x:c r="L281" s="32" t="n">
        <x:v>1010</x:v>
      </x:c>
      <x:c r="M281" s="32" t="n">
        <x:v>1010</x:v>
      </x:c>
      <x:c r="N281" s="32" t="n">
        <x:v>1010</x:v>
      </x:c>
      <x:c r="O281" s="32" t="n">
        <x:v>101000</x:v>
      </x:c>
      <x:c r="P281" s="32"/>
      <x:c r="Q281" s="32"/>
      <x:c r="R281" s="32"/>
      <x:c r="S281" s="32"/>
      <x:c r="T281" s="32"/>
      <x:c r="U281" s="32"/>
      <x:c r="V281" s="32"/>
      <x:c r="W281" s="32"/>
      <x:c r="X281" s="32" t="n">
        <x:v>0</x:v>
      </x:c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 t="n">
        <x:v>0</x:v>
      </x:c>
      <x:c r="AN281" s="32"/>
      <x:c r="AO281" s="32"/>
      <x:c r="AP281" s="32" t="n">
        <x:v>0</x:v>
      </x:c>
      <x:c r="AQ281" s="32"/>
      <x:c r="AR281" s="32"/>
      <x:c r="AS281" s="32"/>
      <x:c r="AT281" s="32"/>
      <x:c r="AU281" s="32"/>
      <x:c r="AV281" s="32"/>
      <x:c r="AW281" s="32"/>
      <x:c r="AX281" s="32"/>
      <x:c r="AY281" s="32"/>
      <x:c r="AZ281" s="32"/>
      <x:c r="BA281" s="32"/>
    </x:row>
    <x:row r="282">
      <x:c r="A282" s="25" t="str">
        <x:v>C05-G</x:v>
      </x:c>
      <x:c r="B282" s="25" t="str">
        <x:v>湖之利耶尼亚</x:v>
      </x:c>
      <x:c r="C282" s="25" t="str">
        <x:v>半急速毕业</x:v>
      </x:c>
      <x:c r="D282" s="25" t="str">
        <x:v>单件图鉴</x:v>
      </x:c>
      <x:c r="E282" s="25" t="str">
        <x:v>本类1项（逐项见完整JSON）</x:v>
      </x:c>
      <x:c r="F282" s="25" t="str">
        <x:v>S07/collection_single</x:v>
      </x:c>
      <x:c r="G282" s="25" t="str">
        <x:v>原表累计</x:v>
      </x:c>
      <x:c r="H282" s="25" t="str">
        <x:v>由同包逐项数据聚合，便于核对</x:v>
      </x:c>
      <x:c r="I282" s="32" t="n">
        <x:v>1490</x:v>
      </x:c>
      <x:c r="J282" s="32" t="n">
        <x:v>1490</x:v>
      </x:c>
      <x:c r="K282" s="32" t="n">
        <x:v>1490</x:v>
      </x:c>
      <x:c r="L282" s="32" t="n">
        <x:v>1490</x:v>
      </x:c>
      <x:c r="M282" s="32" t="n">
        <x:v>1490</x:v>
      </x:c>
      <x:c r="N282" s="32" t="n">
        <x:v>1490</x:v>
      </x:c>
      <x:c r="O282" s="32" t="n">
        <x:v>149000</x:v>
      </x:c>
      <x:c r="P282" s="32"/>
      <x:c r="Q282" s="32"/>
      <x:c r="R282" s="32"/>
      <x:c r="S282" s="32"/>
      <x:c r="T282" s="32"/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Y282" s="32"/>
      <x:c r="AZ282" s="32"/>
      <x:c r="BA282" s="32"/>
    </x:row>
    <x:row r="283">
      <x:c r="A283" s="25" t="str">
        <x:v>C05-G</x:v>
      </x:c>
      <x:c r="B283" s="25" t="str">
        <x:v>湖之利耶尼亚</x:v>
      </x:c>
      <x:c r="C283" s="25" t="str">
        <x:v>半急速毕业</x:v>
      </x:c>
      <x:c r="D283" s="25" t="str">
        <x:v>地图整页</x:v>
      </x:c>
      <x:c r="E283" s="25" t="str">
        <x:v>本类17项（逐项见完整JSON）</x:v>
      </x:c>
      <x:c r="F283" s="25" t="str">
        <x:v>S07/collection_pages</x:v>
      </x:c>
      <x:c r="G283" s="25" t="str">
        <x:v>原表数值</x:v>
      </x:c>
      <x:c r="H283" s="25" t="str">
        <x:v>由同包逐项数据聚合，便于核对</x:v>
      </x:c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32"/>
      <x:c r="U283" s="32"/>
      <x:c r="V283" s="32"/>
      <x:c r="W283" s="32"/>
      <x:c r="X283" s="32" t="n">
        <x:v>0.30999999999999994</x:v>
      </x:c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 t="n">
        <x:v>8.5</x:v>
      </x:c>
      <x:c r="AN283" s="32"/>
      <x:c r="AO283" s="32"/>
      <x:c r="AP283" s="32" t="n">
        <x:v>445</x:v>
      </x:c>
      <x:c r="AQ283" s="32"/>
      <x:c r="AR283" s="32"/>
      <x:c r="AS283" s="32"/>
      <x:c r="AT283" s="32"/>
      <x:c r="AU283" s="32"/>
      <x:c r="AV283" s="32"/>
      <x:c r="AW283" s="32"/>
      <x:c r="AX283" s="32"/>
      <x:c r="AY283" s="32"/>
      <x:c r="AZ283" s="32"/>
      <x:c r="BA283" s="32"/>
    </x:row>
    <x:row r="284">
      <x:c r="A284" s="25" t="str">
        <x:v>C05-G</x:v>
      </x:c>
      <x:c r="B284" s="25" t="str">
        <x:v>湖之利耶尼亚</x:v>
      </x:c>
      <x:c r="C284" s="25" t="str">
        <x:v>半急速毕业</x:v>
      </x:c>
      <x:c r="D284" s="25" t="str">
        <x:v>材料图鉴</x:v>
      </x:c>
      <x:c r="E284" s="25" t="str">
        <x:v>本类2项（逐项见完整JSON）</x:v>
      </x:c>
      <x:c r="F284" s="25" t="str">
        <x:v>S07/collection_materials</x:v>
      </x:c>
      <x:c r="G284" s="25" t="str">
        <x:v>原表数值</x:v>
      </x:c>
      <x:c r="H284" s="25" t="str">
        <x:v>由同包逐项数据聚合，便于核对</x:v>
      </x:c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32"/>
      <x:c r="U284" s="32"/>
      <x:c r="V284" s="32"/>
      <x:c r="W284" s="32"/>
      <x:c r="X284" s="32" t="n">
        <x:v>0.11</x:v>
      </x:c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 t="n">
        <x:v>0</x:v>
      </x:c>
      <x:c r="AN284" s="32"/>
      <x:c r="AO284" s="32"/>
      <x:c r="AP284" s="32" t="n">
        <x:v>0</x:v>
      </x:c>
      <x:c r="AQ284" s="32"/>
      <x:c r="AR284" s="32"/>
      <x:c r="AS284" s="32"/>
      <x:c r="AT284" s="32"/>
      <x:c r="AU284" s="32"/>
      <x:c r="AV284" s="32"/>
      <x:c r="AW284" s="32"/>
      <x:c r="AX284" s="32"/>
      <x:c r="AY284" s="32"/>
      <x:c r="AZ284" s="32"/>
      <x:c r="BA284" s="32"/>
    </x:row>
    <x:row r="285">
      <x:c r="A285" s="25" t="str">
        <x:v>C05-G</x:v>
      </x:c>
      <x:c r="B285" s="25" t="str">
        <x:v>湖之利耶尼亚</x:v>
      </x:c>
      <x:c r="C285" s="25" t="str">
        <x:v>半急速毕业</x:v>
      </x:c>
      <x:c r="D285" s="25" t="str">
        <x:v>旧任务</x:v>
      </x:c>
      <x:c r="E285" s="25" t="str">
        <x:v>本类6项（逐项见完整JSON）</x:v>
      </x:c>
      <x:c r="F285" s="25" t="str">
        <x:v>宁姆格福_完整怪物装备任务爆率规划/地图任务；第一大陆_地图魂魄任务.txt</x:v>
      </x:c>
      <x:c r="G285" s="25" t="str">
        <x:v>原件确认；原表数值</x:v>
      </x:c>
      <x:c r="H285" s="25" t="str">
        <x:v>由同包逐项数据聚合，便于核对</x:v>
      </x:c>
      <x:c r="I285" s="32" t="n">
        <x:v>60</x:v>
      </x:c>
      <x:c r="J285" s="32" t="n">
        <x:v>60</x:v>
      </x:c>
      <x:c r="K285" s="32" t="n">
        <x:v>60</x:v>
      </x:c>
      <x:c r="L285" s="32" t="n">
        <x:v>60</x:v>
      </x:c>
      <x:c r="M285" s="32" t="n">
        <x:v>60</x:v>
      </x:c>
      <x:c r="N285" s="32" t="n">
        <x:v>60</x:v>
      </x:c>
      <x:c r="O285" s="32"/>
      <x:c r="P285" s="32"/>
      <x:c r="Q285" s="32"/>
      <x:c r="R285" s="32"/>
      <x:c r="S285" s="32"/>
      <x:c r="T285" s="32"/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 t="n">
        <x:v>2</x:v>
      </x:c>
      <x:c r="AN285" s="32"/>
      <x:c r="AO285" s="32"/>
      <x:c r="AP285" s="32" t="n">
        <x:v>120</x:v>
      </x:c>
      <x:c r="AQ285" s="32"/>
      <x:c r="AR285" s="32"/>
      <x:c r="AS285" s="32"/>
      <x:c r="AT285" s="32"/>
      <x:c r="AU285" s="32"/>
      <x:c r="AV285" s="32"/>
      <x:c r="AW285" s="32"/>
      <x:c r="AX285" s="32"/>
      <x:c r="AY285" s="32"/>
      <x:c r="AZ285" s="32"/>
      <x:c r="BA285" s="32"/>
    </x:row>
    <x:row r="286">
      <x:c r="A286" s="25" t="str">
        <x:v>C05-G</x:v>
      </x:c>
      <x:c r="B286" s="25" t="str">
        <x:v>湖之利耶尼亚</x:v>
      </x:c>
      <x:c r="C286" s="25" t="str">
        <x:v>半急速毕业</x:v>
      </x:c>
      <x:c r="D286" s="25" t="str">
        <x:v>装备</x:v>
      </x:c>
      <x:c r="E286" s="25" t="str">
        <x:v>本类31项（逐项见完整JSON）</x:v>
      </x:c>
      <x:c r="F286" s="25" t="str">
        <x:v>S02；S07</x:v>
      </x:c>
      <x:c r="G286" s="25" t="str">
        <x:v>原表数值</x:v>
      </x:c>
      <x:c r="H286" s="25" t="str">
        <x:v>由同包逐项数据聚合，便于核对</x:v>
      </x:c>
      <x:c r="I286" s="32" t="n">
        <x:v>6909</x:v>
      </x:c>
      <x:c r="J286" s="32" t="n">
        <x:v>13208</x:v>
      </x:c>
      <x:c r="K286" s="32" t="n">
        <x:v>6909</x:v>
      </x:c>
      <x:c r="L286" s="32" t="n">
        <x:v>13208</x:v>
      </x:c>
      <x:c r="M286" s="32" t="n">
        <x:v>6909</x:v>
      </x:c>
      <x:c r="N286" s="32" t="n">
        <x:v>13208</x:v>
      </x:c>
      <x:c r="O286" s="32" t="n">
        <x:v>4740800</x:v>
      </x:c>
      <x:c r="P286" s="32"/>
      <x:c r="Q286" s="32" t="n">
        <x:v>644</x:v>
      </x:c>
      <x:c r="R286" s="32" t="n">
        <x:v>1189</x:v>
      </x:c>
      <x:c r="S286" s="32" t="n">
        <x:v>524</x:v>
      </x:c>
      <x:c r="T286" s="32" t="n">
        <x:v>966</x:v>
      </x:c>
      <x:c r="U286" s="32" t="n">
        <x:v>525</x:v>
      </x:c>
      <x:c r="V286" s="32" t="n">
        <x:v>525</x:v>
      </x:c>
      <x:c r="W286" s="32" t="n">
        <x:v>525</x:v>
      </x:c>
      <x:c r="X286" s="32"/>
      <x:c r="Y286" s="32"/>
      <x:c r="Z286" s="32" t="n">
        <x:v>123</x:v>
      </x:c>
      <x:c r="AA286" s="32" t="n">
        <x:v>40</x:v>
      </x:c>
      <x:c r="AB286" s="32"/>
      <x:c r="AC286" s="32" t="n">
        <x:v>159</x:v>
      </x:c>
      <x:c r="AD286" s="32" t="n">
        <x:v>1</x:v>
      </x:c>
      <x:c r="AE286" s="32" t="n">
        <x:v>25</x:v>
      </x:c>
      <x:c r="AF286" s="32"/>
      <x:c r="AG286" s="32"/>
      <x:c r="AH286" s="32" t="n">
        <x:v>33</x:v>
      </x:c>
      <x:c r="AI286" s="32" t="n">
        <x:v>5</x:v>
      </x:c>
      <x:c r="AJ286" s="32" t="n">
        <x:v>127</x:v>
      </x:c>
      <x:c r="AK286" s="32"/>
      <x:c r="AL286" s="32"/>
      <x:c r="AM286" s="32"/>
      <x:c r="AN286" s="32" t="n">
        <x:v>20</x:v>
      </x:c>
      <x:c r="AO286" s="32" t="n">
        <x:v>0.2</x:v>
      </x:c>
      <x:c r="AP286" s="32" t="n">
        <x:v>25</x:v>
      </x:c>
      <x:c r="AQ286" s="32" t="n">
        <x:v>75</x:v>
      </x:c>
      <x:c r="AR286" s="32"/>
      <x:c r="AS286" s="32" t="n">
        <x:v>8</x:v>
      </x:c>
      <x:c r="AT286" s="32"/>
      <x:c r="AU286" s="32"/>
      <x:c r="AV286" s="32"/>
      <x:c r="AW286" s="32"/>
      <x:c r="AX286" s="32"/>
      <x:c r="AY286" s="32"/>
      <x:c r="AZ286" s="32" t="n">
        <x:v>14</x:v>
      </x:c>
      <x:c r="BA286" s="32"/>
    </x:row>
    <x:row r="287">
      <x:c r="A287" s="25" t="str">
        <x:v>C05-G</x:v>
      </x:c>
      <x:c r="B287" s="25" t="str">
        <x:v>湖之利耶尼亚</x:v>
      </x:c>
      <x:c r="C287" s="25" t="str">
        <x:v>半急速毕业</x:v>
      </x:c>
      <x:c r="D287" s="25" t="str">
        <x:v>洗练</x:v>
      </x:c>
      <x:c r="E287" s="25" t="str">
        <x:v>本类10项（逐项见完整JSON）</x:v>
      </x:c>
      <x:c r="F287" s="25" t="str">
        <x:v>S06＋固定种子</x:v>
      </x:c>
      <x:c r="G287" s="25" t="str">
        <x:v>可实现随机样本</x:v>
      </x:c>
      <x:c r="H287" s="25" t="str">
        <x:v>由同包逐项数据聚合，便于核对</x:v>
      </x:c>
      <x:c r="I287" s="32" t="n">
        <x:v>5072</x:v>
      </x:c>
      <x:c r="J287" s="32" t="n">
        <x:v>5072</x:v>
      </x:c>
      <x:c r="K287" s="32" t="n">
        <x:v>511</x:v>
      </x:c>
      <x:c r="L287" s="32" t="n">
        <x:v>511</x:v>
      </x:c>
      <x:c r="M287" s="32" t="n">
        <x:v>59</x:v>
      </x:c>
      <x:c r="N287" s="32" t="n">
        <x:v>59</x:v>
      </x:c>
      <x:c r="O287" s="32"/>
      <x:c r="P287" s="32"/>
      <x:c r="Q287" s="32"/>
      <x:c r="R287" s="32"/>
      <x:c r="S287" s="32"/>
      <x:c r="T287" s="32"/>
      <x:c r="U287" s="32" t="n">
        <x:v>404</x:v>
      </x:c>
      <x:c r="V287" s="32"/>
      <x:c r="W287" s="32"/>
      <x:c r="X287" s="32"/>
      <x:c r="Y287" s="32" t="n">
        <x:v>3</x:v>
      </x:c>
      <x:c r="Z287" s="32"/>
      <x:c r="AA287" s="32"/>
      <x:c r="AB287" s="32" t="n">
        <x:v>1</x:v>
      </x:c>
      <x:c r="AC287" s="32"/>
      <x:c r="AD287" s="32"/>
      <x:c r="AE287" s="32"/>
      <x:c r="AF287" s="32"/>
      <x:c r="AG287" s="32"/>
      <x:c r="AH287" s="32" t="n">
        <x:v>4</x:v>
      </x:c>
      <x:c r="AI287" s="32"/>
      <x:c r="AJ287" s="32"/>
      <x:c r="AK287" s="32"/>
      <x:c r="AL287" s="32"/>
      <x:c r="AM287" s="32" t="n">
        <x:v>3</x:v>
      </x:c>
      <x:c r="AN287" s="32" t="n">
        <x:v>3</x:v>
      </x:c>
      <x:c r="AO287" s="32" t="n">
        <x:v>3</x:v>
      </x:c>
      <x:c r="AP287" s="32"/>
      <x:c r="AQ287" s="32"/>
      <x:c r="AR287" s="32"/>
      <x:c r="AS287" s="32" t="n">
        <x:v>1</x:v>
      </x:c>
      <x:c r="AT287" s="32"/>
      <x:c r="AU287" s="32" t="n">
        <x:v>1</x:v>
      </x:c>
      <x:c r="AV287" s="32"/>
      <x:c r="AW287" s="32"/>
      <x:c r="AX287" s="32"/>
      <x:c r="AY287" s="32"/>
      <x:c r="AZ287" s="32"/>
      <x:c r="BA287" s="32"/>
    </x:row>
    <x:row r="288">
      <x:c r="A288" s="25" t="str">
        <x:v>C05-G</x:v>
      </x:c>
      <x:c r="B288" s="25" t="str">
        <x:v>湖之利耶尼亚</x:v>
      </x:c>
      <x:c r="C288" s="25" t="str">
        <x:v>半急速毕业</x:v>
      </x:c>
      <x:c r="D288" s="25" t="str">
        <x:v>命格</x:v>
      </x:c>
      <x:c r="E288" s="25" t="str">
        <x:v>本类5项（逐项见完整JSON）</x:v>
      </x:c>
      <x:c r="F288" s="25" t="str">
        <x:v>S03/命格ID1081；S03/命格ID1089；S03/命格ID1090；S03/命格ID1092；S03/命格ID1093</x:v>
      </x:c>
      <x:c r="G288" s="25" t="str">
        <x:v>原表彩色＋选配假设</x:v>
      </x:c>
      <x:c r="H288" s="25" t="str">
        <x:v>由同包逐项数据聚合，便于核对</x:v>
      </x:c>
      <x:c r="I288" s="32"/>
      <x:c r="J288" s="32"/>
      <x:c r="K288" s="32"/>
      <x:c r="L288" s="32"/>
      <x:c r="M288" s="32"/>
      <x:c r="N288" s="32"/>
      <x:c r="O288" s="32" t="n">
        <x:v>1500</x:v>
      </x:c>
      <x:c r="P288" s="32"/>
      <x:c r="Q288" s="32"/>
      <x:c r="R288" s="32"/>
      <x:c r="S288" s="32"/>
      <x:c r="T288" s="32"/>
      <x:c r="U288" s="32"/>
      <x:c r="V288" s="32"/>
      <x:c r="W288" s="32"/>
      <x:c r="X288" s="32"/>
      <x:c r="Y288" s="32" t="n">
        <x:v>6</x:v>
      </x:c>
      <x:c r="Z288" s="32" t="n">
        <x:v>3</x:v>
      </x:c>
      <x:c r="AA288" s="32" t="n">
        <x:v>2</x:v>
      </x:c>
      <x:c r="AB288" s="32"/>
      <x:c r="AC288" s="32"/>
      <x:c r="AD288" s="32"/>
      <x:c r="AE288" s="32"/>
      <x:c r="AF288" s="32"/>
      <x:c r="AG288" s="32"/>
      <x:c r="AH288" s="32" t="n">
        <x:v>2</x:v>
      </x:c>
      <x:c r="AI288" s="32"/>
      <x:c r="AJ288" s="32" t="n">
        <x:v>10</x:v>
      </x:c>
      <x:c r="AK288" s="32"/>
      <x:c r="AL288" s="32"/>
      <x:c r="AM288" s="32"/>
      <x:c r="AN288" s="32"/>
      <x:c r="AO288" s="32"/>
      <x:c r="AP288" s="32"/>
      <x:c r="AQ288" s="32" t="n">
        <x:v>6</x:v>
      </x:c>
      <x:c r="AR288" s="32" t="n">
        <x:v>3</x:v>
      </x:c>
      <x:c r="AS288" s="32" t="n">
        <x:v>0.75</x:v>
      </x:c>
      <x:c r="AT288" s="32" t="n">
        <x:v>50</x:v>
      </x:c>
      <x:c r="AU288" s="32" t="n">
        <x:v>2</x:v>
      </x:c>
      <x:c r="AV288" s="32" t="n">
        <x:v>3</x:v>
      </x:c>
      <x:c r="AW288" s="32"/>
      <x:c r="AX288" s="32"/>
      <x:c r="AY288" s="32"/>
      <x:c r="AZ288" s="32"/>
      <x:c r="BA288" s="32"/>
    </x:row>
    <x:row r="289">
      <x:c r="A289" s="25" t="str">
        <x:v>C05-G</x:v>
      </x:c>
      <x:c r="B289" s="25" t="str">
        <x:v>湖之利耶尼亚</x:v>
      </x:c>
      <x:c r="C289" s="25" t="str">
        <x:v>半急速毕业</x:v>
      </x:c>
      <x:c r="D289" s="25" t="str">
        <x:v>后天幸运</x:v>
      </x:c>
      <x:c r="E289" s="25" t="str">
        <x:v>本类1项（逐项见完整JSON）</x:v>
      </x:c>
      <x:c r="F289" s="25" t="str">
        <x:v>A08</x:v>
      </x:c>
      <x:c r="G289" s="25" t="str">
        <x:v>人物永久进度</x:v>
      </x:c>
      <x:c r="H289" s="25" t="str">
        <x:v>由同包逐项数据聚合，便于核对</x:v>
      </x:c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32"/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 t="n">
        <x:v>7</x:v>
      </x:c>
      <x:c r="AL289" s="32" t="n">
        <x:v>8</x:v>
      </x:c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Y289" s="32"/>
      <x:c r="AZ289" s="32"/>
      <x:c r="BA289" s="32"/>
    </x:row>
    <x:row r="290">
      <x:c r="A290" s="25" t="str">
        <x:v>C05-G</x:v>
      </x:c>
      <x:c r="B290" s="25" t="str">
        <x:v>湖之利耶尼亚</x:v>
      </x:c>
      <x:c r="C290" s="25" t="str">
        <x:v>半急速毕业</x:v>
      </x:c>
      <x:c r="D290" s="25" t="str">
        <x:v>回收预算</x:v>
      </x:c>
      <x:c r="E290" s="25" t="str">
        <x:v>本类1项（逐项见完整JSON）</x:v>
      </x:c>
      <x:c r="F290" s="25" t="str">
        <x:v>用户总回收50%</x:v>
      </x:c>
      <x:c r="G290" s="25" t="str">
        <x:v>经济输入，不是新增属性来源</x:v>
      </x:c>
      <x:c r="H290" s="25" t="str">
        <x:v>由同包逐项数据聚合，便于核对</x:v>
      </x:c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32"/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Y290" s="32"/>
      <x:c r="AZ290" s="32"/>
      <x:c r="BA290" s="32" t="n">
        <x:v>50</x:v>
      </x:c>
    </x:row>
    <x:row r="291">
      <x:c r="A291" s="25" t="str">
        <x:v>C05-X</x:v>
      </x:c>
      <x:c r="B291" s="25" t="str">
        <x:v>湖之利耶尼亚</x:v>
      </x:c>
      <x:c r="C291" s="25" t="str">
        <x:v>极端压力</x:v>
      </x:c>
      <x:c r="D291" s="25" t="str">
        <x:v>人物自然</x:v>
      </x:c>
      <x:c r="E291" s="25" t="str">
        <x:v>本类1项（逐项见完整JSON）</x:v>
      </x:c>
      <x:c r="F291" s="25" t="str">
        <x:v>A01</x:v>
      </x:c>
      <x:c r="G291" s="25" t="str">
        <x:v>模型假设</x:v>
      </x:c>
      <x:c r="H291" s="25" t="str">
        <x:v>由同包逐项数据聚合，便于核对</x:v>
      </x:c>
      <x:c r="I291" s="32" t="n">
        <x:v>17</x:v>
      </x:c>
      <x:c r="J291" s="32" t="n">
        <x:v>38</x:v>
      </x:c>
      <x:c r="K291" s="32"/>
      <x:c r="L291" s="32"/>
      <x:c r="M291" s="32"/>
      <x:c r="N291" s="32"/>
      <x:c r="O291" s="32" t="n">
        <x:v>3000</x:v>
      </x:c>
      <x:c r="P291" s="32" t="n">
        <x:v>700</x:v>
      </x:c>
      <x:c r="Q291" s="32"/>
      <x:c r="R291" s="32"/>
      <x:c r="S291" s="32"/>
      <x:c r="T291" s="32"/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Y291" s="32"/>
      <x:c r="AZ291" s="32"/>
      <x:c r="BA291" s="32"/>
    </x:row>
    <x:row r="292">
      <x:c r="A292" s="25" t="str">
        <x:v>C05-X</x:v>
      </x:c>
      <x:c r="B292" s="25" t="str">
        <x:v>湖之利耶尼亚</x:v>
      </x:c>
      <x:c r="C292" s="25" t="str">
        <x:v>极端压力</x:v>
      </x:c>
      <x:c r="D292" s="25" t="str">
        <x:v>付费状态</x:v>
      </x:c>
      <x:c r="E292" s="25" t="str">
        <x:v>本类3项（逐项见完整JSON）</x:v>
      </x:c>
      <x:c r="F292" s="25" t="str">
        <x:v>20260903总档</x:v>
      </x:c>
      <x:c r="G292" s="25" t="str">
        <x:v>原表数值</x:v>
      </x:c>
      <x:c r="H292" s="25" t="str">
        <x:v>由同包逐项数据聚合，便于核对</x:v>
      </x:c>
      <x:c r="I292" s="32" t="n">
        <x:v>149</x:v>
      </x:c>
      <x:c r="J292" s="32" t="n">
        <x:v>149</x:v>
      </x:c>
      <x:c r="K292" s="32" t="n">
        <x:v>149</x:v>
      </x:c>
      <x:c r="L292" s="32" t="n">
        <x:v>149</x:v>
      </x:c>
      <x:c r="M292" s="32" t="n">
        <x:v>149</x:v>
      </x:c>
      <x:c r="N292" s="32" t="n">
        <x:v>149</x:v>
      </x:c>
      <x:c r="O292" s="32" t="n">
        <x:v>10000</x:v>
      </x:c>
      <x:c r="P292" s="32"/>
      <x:c r="Q292" s="32"/>
      <x:c r="R292" s="32"/>
      <x:c r="S292" s="32"/>
      <x:c r="T292" s="32"/>
      <x:c r="U292" s="32"/>
      <x:c r="V292" s="32"/>
      <x:c r="W292" s="32"/>
      <x:c r="X292" s="32"/>
      <x:c r="Y292" s="32" t="n">
        <x:v>10</x:v>
      </x:c>
      <x:c r="Z292" s="32"/>
      <x:c r="AA292" s="32"/>
      <x:c r="AB292" s="32" t="n">
        <x:v>20</x:v>
      </x:c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 t="n">
        <x:v>10</x:v>
      </x:c>
      <x:c r="AN292" s="32"/>
      <x:c r="AO292" s="32"/>
      <x:c r="AP292" s="32" t="n">
        <x:v>50</x:v>
      </x:c>
      <x:c r="AQ292" s="32"/>
      <x:c r="AR292" s="32"/>
      <x:c r="AS292" s="32"/>
      <x:c r="AT292" s="32" t="n">
        <x:v>700</x:v>
      </x:c>
      <x:c r="AU292" s="32" t="n">
        <x:v>15</x:v>
      </x:c>
      <x:c r="AV292" s="32"/>
      <x:c r="AW292" s="32"/>
      <x:c r="AX292" s="32"/>
      <x:c r="AY292" s="32"/>
      <x:c r="AZ292" s="32"/>
      <x:c r="BA292" s="32"/>
    </x:row>
    <x:row r="293">
      <x:c r="A293" s="25" t="str">
        <x:v>C05-X</x:v>
      </x:c>
      <x:c r="B293" s="25" t="str">
        <x:v>湖之利耶尼亚</x:v>
      </x:c>
      <x:c r="C293" s="25" t="str">
        <x:v>极端压力</x:v>
      </x:c>
      <x:c r="D293" s="25" t="str">
        <x:v>成长装备</x:v>
      </x:c>
      <x:c r="E293" s="25" t="str">
        <x:v>本类2项（逐项见完整JSON）</x:v>
      </x:c>
      <x:c r="F293" s="25" t="str">
        <x:v>20260903总档 / A04</x:v>
      </x:c>
      <x:c r="G293" s="25" t="str">
        <x:v>原表＋支付路径假设</x:v>
      </x:c>
      <x:c r="H293" s="25" t="str">
        <x:v>由同包逐项数据聚合，便于核对</x:v>
      </x:c>
      <x:c r="I293" s="32" t="n">
        <x:v>1100</x:v>
      </x:c>
      <x:c r="J293" s="32" t="n">
        <x:v>1100</x:v>
      </x:c>
      <x:c r="K293" s="32" t="n">
        <x:v>1100</x:v>
      </x:c>
      <x:c r="L293" s="32" t="n">
        <x:v>1100</x:v>
      </x:c>
      <x:c r="M293" s="32" t="n">
        <x:v>1100</x:v>
      </x:c>
      <x:c r="N293" s="32" t="n">
        <x:v>1100</x:v>
      </x:c>
      <x:c r="O293" s="32"/>
      <x:c r="P293" s="32"/>
      <x:c r="Q293" s="32"/>
      <x:c r="R293" s="32"/>
      <x:c r="S293" s="32"/>
      <x:c r="T293" s="32"/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 t="n">
        <x:v>10</x:v>
      </x:c>
      <x:c r="AX293" s="32" t="n">
        <x:v>10</x:v>
      </x:c>
      <x:c r="AY293" s="32"/>
      <x:c r="AZ293" s="32"/>
      <x:c r="BA293" s="32"/>
    </x:row>
    <x:row r="294">
      <x:c r="A294" s="25" t="str">
        <x:v>C05-X</x:v>
      </x:c>
      <x:c r="B294" s="25" t="str">
        <x:v>湖之利耶尼亚</x:v>
      </x:c>
      <x:c r="C294" s="25" t="str">
        <x:v>极端压力</x:v>
      </x:c>
      <x:c r="D294" s="25" t="str">
        <x:v>贯穿称号</x:v>
      </x:c>
      <x:c r="E294" s="25" t="str">
        <x:v>本类1项（逐项见完整JSON）</x:v>
      </x:c>
      <x:c r="F294" s="25" t="str">
        <x:v>S04/01_贯穿称号</x:v>
      </x:c>
      <x:c r="G294" s="25" t="str">
        <x:v>原表数值</x:v>
      </x:c>
      <x:c r="H294" s="25" t="str">
        <x:v>由同包逐项数据聚合，便于核对</x:v>
      </x:c>
      <x:c r="I294" s="32" t="n">
        <x:v>3800</x:v>
      </x:c>
      <x:c r="J294" s="32" t="n">
        <x:v>3800</x:v>
      </x:c>
      <x:c r="K294" s="32" t="n">
        <x:v>3800</x:v>
      </x:c>
      <x:c r="L294" s="32" t="n">
        <x:v>3800</x:v>
      </x:c>
      <x:c r="M294" s="32" t="n">
        <x:v>3800</x:v>
      </x:c>
      <x:c r="N294" s="32" t="n">
        <x:v>3800</x:v>
      </x:c>
      <x:c r="O294" s="32" t="n">
        <x:v>380000</x:v>
      </x:c>
      <x:c r="P294" s="32" t="n">
        <x:v>380000</x:v>
      </x:c>
      <x:c r="Q294" s="32"/>
      <x:c r="R294" s="32"/>
      <x:c r="S294" s="32"/>
      <x:c r="T294" s="32"/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 t="n">
        <x:v>1600</x:v>
      </x:c>
      <x:c r="AU294" s="32"/>
      <x:c r="AV294" s="32"/>
      <x:c r="AW294" s="32"/>
      <x:c r="AX294" s="32"/>
      <x:c r="AY294" s="32"/>
      <x:c r="AZ294" s="32"/>
      <x:c r="BA294" s="32"/>
    </x:row>
    <x:row r="295">
      <x:c r="A295" s="25" t="str">
        <x:v>C05-X</x:v>
      </x:c>
      <x:c r="B295" s="25" t="str">
        <x:v>湖之利耶尼亚</x:v>
      </x:c>
      <x:c r="C295" s="25" t="str">
        <x:v>极端压力</x:v>
      </x:c>
      <x:c r="D295" s="25" t="str">
        <x:v>神印</x:v>
      </x:c>
      <x:c r="E295" s="25" t="str">
        <x:v>本类1项（逐项见完整JSON）</x:v>
      </x:c>
      <x:c r="F295" s="25" t="str">
        <x:v>S04 / 神印公式</x:v>
      </x:c>
      <x:c r="G295" s="25" t="str">
        <x:v>自给进度假设＋原公式</x:v>
      </x:c>
      <x:c r="H295" s="25" t="str">
        <x:v>由同包逐项数据聚合，便于核对</x:v>
      </x:c>
      <x:c r="I295" s="32" t="n">
        <x:v>9870</x:v>
      </x:c>
      <x:c r="J295" s="32" t="n">
        <x:v>9870</x:v>
      </x:c>
      <x:c r="K295" s="32" t="n">
        <x:v>9870</x:v>
      </x:c>
      <x:c r="L295" s="32" t="n">
        <x:v>9870</x:v>
      </x:c>
      <x:c r="M295" s="32" t="n">
        <x:v>9870</x:v>
      </x:c>
      <x:c r="N295" s="32" t="n">
        <x:v>9870</x:v>
      </x:c>
      <x:c r="O295" s="32" t="n">
        <x:v>987000</x:v>
      </x:c>
      <x:c r="P295" s="32"/>
      <x:c r="Q295" s="32"/>
      <x:c r="R295" s="32"/>
      <x:c r="S295" s="32"/>
      <x:c r="T295" s="32"/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Y295" s="32"/>
      <x:c r="AZ295" s="32"/>
      <x:c r="BA295" s="32"/>
    </x:row>
    <x:row r="296">
      <x:c r="A296" s="25" t="str">
        <x:v>C05-X</x:v>
      </x:c>
      <x:c r="B296" s="25" t="str">
        <x:v>湖之利耶尼亚</x:v>
      </x:c>
      <x:c r="C296" s="25" t="str">
        <x:v>极端压力</x:v>
      </x:c>
      <x:c r="D296" s="25" t="str">
        <x:v>转生</x:v>
      </x:c>
      <x:c r="E296" s="25" t="str">
        <x:v>本类1项（逐项见完整JSON）</x:v>
      </x:c>
      <x:c r="F296" s="25" t="str">
        <x:v>S07/20转</x:v>
      </x:c>
      <x:c r="G296" s="25" t="str">
        <x:v>原表累计</x:v>
      </x:c>
      <x:c r="H296" s="25" t="str">
        <x:v>由同包逐项数据聚合，便于核对</x:v>
      </x:c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32"/>
      <x:c r="U296" s="32"/>
      <x:c r="V296" s="32"/>
      <x:c r="W296" s="32"/>
      <x:c r="X296" s="32" t="n">
        <x:v>0.2</x:v>
      </x:c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Y296" s="32"/>
      <x:c r="AZ296" s="32"/>
      <x:c r="BA296" s="32"/>
    </x:row>
    <x:row r="297">
      <x:c r="A297" s="25" t="str">
        <x:v>C05-X</x:v>
      </x:c>
      <x:c r="B297" s="25" t="str">
        <x:v>湖之利耶尼亚</x:v>
      </x:c>
      <x:c r="C297" s="25" t="str">
        <x:v>极端压力</x:v>
      </x:c>
      <x:c r="D297" s="25" t="str">
        <x:v>独立称号</x:v>
      </x:c>
      <x:c r="E297" s="25" t="str">
        <x:v>本类3项（逐项见完整JSON）</x:v>
      </x:c>
      <x:c r="F297" s="25" t="str">
        <x:v>S04/02_独立称号</x:v>
      </x:c>
      <x:c r="G297" s="25" t="str">
        <x:v>原表数值</x:v>
      </x:c>
      <x:c r="H297" s="25" t="str">
        <x:v>由同包逐项数据聚合，便于核对</x:v>
      </x:c>
      <x:c r="I297" s="32" t="n">
        <x:v>1010</x:v>
      </x:c>
      <x:c r="J297" s="32" t="n">
        <x:v>1010</x:v>
      </x:c>
      <x:c r="K297" s="32" t="n">
        <x:v>1010</x:v>
      </x:c>
      <x:c r="L297" s="32" t="n">
        <x:v>1010</x:v>
      </x:c>
      <x:c r="M297" s="32" t="n">
        <x:v>1010</x:v>
      </x:c>
      <x:c r="N297" s="32" t="n">
        <x:v>1010</x:v>
      </x:c>
      <x:c r="O297" s="32" t="n">
        <x:v>101000</x:v>
      </x:c>
      <x:c r="P297" s="32"/>
      <x:c r="Q297" s="32"/>
      <x:c r="R297" s="32"/>
      <x:c r="S297" s="32"/>
      <x:c r="T297" s="32"/>
      <x:c r="U297" s="32"/>
      <x:c r="V297" s="32"/>
      <x:c r="W297" s="32"/>
      <x:c r="X297" s="32" t="n">
        <x:v>0</x:v>
      </x:c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 t="n">
        <x:v>0</x:v>
      </x:c>
      <x:c r="AN297" s="32"/>
      <x:c r="AO297" s="32"/>
      <x:c r="AP297" s="32" t="n">
        <x:v>0</x:v>
      </x:c>
      <x:c r="AQ297" s="32"/>
      <x:c r="AR297" s="32"/>
      <x:c r="AS297" s="32"/>
      <x:c r="AT297" s="32"/>
      <x:c r="AU297" s="32"/>
      <x:c r="AV297" s="32"/>
      <x:c r="AW297" s="32"/>
      <x:c r="AX297" s="32"/>
      <x:c r="AY297" s="32"/>
      <x:c r="AZ297" s="32"/>
      <x:c r="BA297" s="32"/>
    </x:row>
    <x:row r="298">
      <x:c r="A298" s="25" t="str">
        <x:v>C05-X</x:v>
      </x:c>
      <x:c r="B298" s="25" t="str">
        <x:v>湖之利耶尼亚</x:v>
      </x:c>
      <x:c r="C298" s="25" t="str">
        <x:v>极端压力</x:v>
      </x:c>
      <x:c r="D298" s="25" t="str">
        <x:v>单件图鉴</x:v>
      </x:c>
      <x:c r="E298" s="25" t="str">
        <x:v>本类1项（逐项见完整JSON）</x:v>
      </x:c>
      <x:c r="F298" s="25" t="str">
        <x:v>S07/collection_single</x:v>
      </x:c>
      <x:c r="G298" s="25" t="str">
        <x:v>原表累计</x:v>
      </x:c>
      <x:c r="H298" s="25" t="str">
        <x:v>由同包逐项数据聚合，便于核对</x:v>
      </x:c>
      <x:c r="I298" s="32" t="n">
        <x:v>2263</x:v>
      </x:c>
      <x:c r="J298" s="32" t="n">
        <x:v>2263</x:v>
      </x:c>
      <x:c r="K298" s="32" t="n">
        <x:v>2263</x:v>
      </x:c>
      <x:c r="L298" s="32" t="n">
        <x:v>2263</x:v>
      </x:c>
      <x:c r="M298" s="32" t="n">
        <x:v>2263</x:v>
      </x:c>
      <x:c r="N298" s="32" t="n">
        <x:v>2263</x:v>
      </x:c>
      <x:c r="O298" s="32" t="n">
        <x:v>226300</x:v>
      </x:c>
      <x:c r="P298" s="32"/>
      <x:c r="Q298" s="32"/>
      <x:c r="R298" s="32"/>
      <x:c r="S298" s="32"/>
      <x:c r="T298" s="32"/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Y298" s="32"/>
      <x:c r="AZ298" s="32"/>
      <x:c r="BA298" s="32"/>
    </x:row>
    <x:row r="299">
      <x:c r="A299" s="25" t="str">
        <x:v>C05-X</x:v>
      </x:c>
      <x:c r="B299" s="25" t="str">
        <x:v>湖之利耶尼亚</x:v>
      </x:c>
      <x:c r="C299" s="25" t="str">
        <x:v>极端压力</x:v>
      </x:c>
      <x:c r="D299" s="25" t="str">
        <x:v>地图整页</x:v>
      </x:c>
      <x:c r="E299" s="25" t="str">
        <x:v>本类26项（逐项见完整JSON）</x:v>
      </x:c>
      <x:c r="F299" s="25" t="str">
        <x:v>S07/collection_pages</x:v>
      </x:c>
      <x:c r="G299" s="25" t="str">
        <x:v>原表数值</x:v>
      </x:c>
      <x:c r="H299" s="25" t="str">
        <x:v>由同包逐项数据聚合，便于核对</x:v>
      </x:c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32"/>
      <x:c r="U299" s="32"/>
      <x:c r="V299" s="32"/>
      <x:c r="W299" s="32"/>
      <x:c r="X299" s="32" t="n">
        <x:v>0.5000000000000001</x:v>
      </x:c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 t="n">
        <x:v>13</x:v>
      </x:c>
      <x:c r="AN299" s="32"/>
      <x:c r="AO299" s="32"/>
      <x:c r="AP299" s="32" t="n">
        <x:v>700</x:v>
      </x:c>
      <x:c r="AQ299" s="32"/>
      <x:c r="AR299" s="32"/>
      <x:c r="AS299" s="32"/>
      <x:c r="AT299" s="32"/>
      <x:c r="AU299" s="32"/>
      <x:c r="AV299" s="32"/>
      <x:c r="AW299" s="32"/>
      <x:c r="AX299" s="32"/>
      <x:c r="AY299" s="32"/>
      <x:c r="AZ299" s="32"/>
      <x:c r="BA299" s="32"/>
    </x:row>
    <x:row r="300">
      <x:c r="A300" s="25" t="str">
        <x:v>C05-X</x:v>
      </x:c>
      <x:c r="B300" s="25" t="str">
        <x:v>湖之利耶尼亚</x:v>
      </x:c>
      <x:c r="C300" s="25" t="str">
        <x:v>极端压力</x:v>
      </x:c>
      <x:c r="D300" s="25" t="str">
        <x:v>大陆全收集</x:v>
      </x:c>
      <x:c r="E300" s="25" t="str">
        <x:v>本类5项（逐项见完整JSON）</x:v>
      </x:c>
      <x:c r="F300" s="25" t="str">
        <x:v>S07/collection_continents</x:v>
      </x:c>
      <x:c r="G300" s="25" t="str">
        <x:v>原表累计</x:v>
      </x:c>
      <x:c r="H300" s="25" t="str">
        <x:v>由同包逐项数据聚合，便于核对</x:v>
      </x:c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32"/>
      <x:c r="U300" s="32"/>
      <x:c r="V300" s="32"/>
      <x:c r="W300" s="32"/>
      <x:c r="X300" s="32"/>
      <x:c r="Y300" s="32"/>
      <x:c r="Z300" s="32"/>
      <x:c r="AA300" s="32"/>
      <x:c r="AB300" s="32" t="n">
        <x:v>8</x:v>
      </x:c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Y300" s="32"/>
      <x:c r="AZ300" s="32"/>
      <x:c r="BA300" s="32"/>
    </x:row>
    <x:row r="301">
      <x:c r="A301" s="25" t="str">
        <x:v>C05-X</x:v>
      </x:c>
      <x:c r="B301" s="25" t="str">
        <x:v>湖之利耶尼亚</x:v>
      </x:c>
      <x:c r="C301" s="25" t="str">
        <x:v>极端压力</x:v>
      </x:c>
      <x:c r="D301" s="25" t="str">
        <x:v>材料图鉴</x:v>
      </x:c>
      <x:c r="E301" s="25" t="str">
        <x:v>本类3项（逐项见完整JSON）</x:v>
      </x:c>
      <x:c r="F301" s="25" t="str">
        <x:v>S07/collection_materials</x:v>
      </x:c>
      <x:c r="G301" s="25" t="str">
        <x:v>原表数值</x:v>
      </x:c>
      <x:c r="H301" s="25" t="str">
        <x:v>由同包逐项数据聚合，便于核对</x:v>
      </x:c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32"/>
      <x:c r="U301" s="32"/>
      <x:c r="V301" s="32"/>
      <x:c r="W301" s="32"/>
      <x:c r="X301" s="32" t="n">
        <x:v>0.19</x:v>
      </x:c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 t="n">
        <x:v>0</x:v>
      </x:c>
      <x:c r="AN301" s="32"/>
      <x:c r="AO301" s="32"/>
      <x:c r="AP301" s="32" t="n">
        <x:v>0</x:v>
      </x:c>
      <x:c r="AQ301" s="32"/>
      <x:c r="AR301" s="32"/>
      <x:c r="AS301" s="32"/>
      <x:c r="AT301" s="32"/>
      <x:c r="AU301" s="32"/>
      <x:c r="AV301" s="32"/>
      <x:c r="AW301" s="32"/>
      <x:c r="AX301" s="32"/>
      <x:c r="AY301" s="32"/>
      <x:c r="AZ301" s="32"/>
      <x:c r="BA301" s="32"/>
    </x:row>
    <x:row r="302">
      <x:c r="A302" s="25" t="str">
        <x:v>C05-X</x:v>
      </x:c>
      <x:c r="B302" s="25" t="str">
        <x:v>湖之利耶尼亚</x:v>
      </x:c>
      <x:c r="C302" s="25" t="str">
        <x:v>极端压力</x:v>
      </x:c>
      <x:c r="D302" s="25" t="str">
        <x:v>旧任务</x:v>
      </x:c>
      <x:c r="E302" s="25" t="str">
        <x:v>本类6项（逐项见完整JSON）</x:v>
      </x:c>
      <x:c r="F302" s="25" t="str">
        <x:v>宁姆格福_完整怪物装备任务爆率规划/地图任务；第一大陆_地图魂魄任务.txt</x:v>
      </x:c>
      <x:c r="G302" s="25" t="str">
        <x:v>原件确认；原表数值</x:v>
      </x:c>
      <x:c r="H302" s="25" t="str">
        <x:v>由同包逐项数据聚合，便于核对</x:v>
      </x:c>
      <x:c r="I302" s="32" t="n">
        <x:v>90</x:v>
      </x:c>
      <x:c r="J302" s="32" t="n">
        <x:v>90</x:v>
      </x:c>
      <x:c r="K302" s="32" t="n">
        <x:v>90</x:v>
      </x:c>
      <x:c r="L302" s="32" t="n">
        <x:v>90</x:v>
      </x:c>
      <x:c r="M302" s="32" t="n">
        <x:v>90</x:v>
      </x:c>
      <x:c r="N302" s="32" t="n">
        <x:v>90</x:v>
      </x:c>
      <x:c r="O302" s="32"/>
      <x:c r="P302" s="32"/>
      <x:c r="Q302" s="32"/>
      <x:c r="R302" s="32"/>
      <x:c r="S302" s="32"/>
      <x:c r="T302" s="32"/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 t="n">
        <x:v>2</x:v>
      </x:c>
      <x:c r="AN302" s="32"/>
      <x:c r="AO302" s="32"/>
      <x:c r="AP302" s="32" t="n">
        <x:v>140</x:v>
      </x:c>
      <x:c r="AQ302" s="32"/>
      <x:c r="AR302" s="32"/>
      <x:c r="AS302" s="32"/>
      <x:c r="AT302" s="32"/>
      <x:c r="AU302" s="32"/>
      <x:c r="AV302" s="32"/>
      <x:c r="AW302" s="32"/>
      <x:c r="AX302" s="32"/>
      <x:c r="AY302" s="32"/>
      <x:c r="AZ302" s="32"/>
      <x:c r="BA302" s="32"/>
    </x:row>
    <x:row r="303">
      <x:c r="A303" s="25" t="str">
        <x:v>C05-X</x:v>
      </x:c>
      <x:c r="B303" s="25" t="str">
        <x:v>湖之利耶尼亚</x:v>
      </x:c>
      <x:c r="C303" s="25" t="str">
        <x:v>极端压力</x:v>
      </x:c>
      <x:c r="D303" s="25" t="str">
        <x:v>装备</x:v>
      </x:c>
      <x:c r="E303" s="25" t="str">
        <x:v>本类34项（逐项见完整JSON）</x:v>
      </x:c>
      <x:c r="F303" s="25" t="str">
        <x:v>S02；S07</x:v>
      </x:c>
      <x:c r="G303" s="25" t="str">
        <x:v>原表数值</x:v>
      </x:c>
      <x:c r="H303" s="25" t="str">
        <x:v>由同包逐项数据聚合，便于核对</x:v>
      </x:c>
      <x:c r="I303" s="32" t="n">
        <x:v>8475</x:v>
      </x:c>
      <x:c r="J303" s="32" t="n">
        <x:v>16221</x:v>
      </x:c>
      <x:c r="K303" s="32" t="n">
        <x:v>8475</x:v>
      </x:c>
      <x:c r="L303" s="32" t="n">
        <x:v>16221</x:v>
      </x:c>
      <x:c r="M303" s="32" t="n">
        <x:v>8475</x:v>
      </x:c>
      <x:c r="N303" s="32" t="n">
        <x:v>16221</x:v>
      </x:c>
      <x:c r="O303" s="32" t="n">
        <x:v>7084500</x:v>
      </x:c>
      <x:c r="P303" s="32"/>
      <x:c r="Q303" s="32" t="n">
        <x:v>782</x:v>
      </x:c>
      <x:c r="R303" s="32" t="n">
        <x:v>1441</x:v>
      </x:c>
      <x:c r="S303" s="32" t="n">
        <x:v>636</x:v>
      </x:c>
      <x:c r="T303" s="32" t="n">
        <x:v>1171</x:v>
      </x:c>
      <x:c r="U303" s="32" t="n">
        <x:v>610</x:v>
      </x:c>
      <x:c r="V303" s="32" t="n">
        <x:v>610</x:v>
      </x:c>
      <x:c r="W303" s="32" t="n">
        <x:v>610</x:v>
      </x:c>
      <x:c r="X303" s="32"/>
      <x:c r="Y303" s="32"/>
      <x:c r="Z303" s="32" t="n">
        <x:v>162</x:v>
      </x:c>
      <x:c r="AA303" s="32" t="n">
        <x:v>51</x:v>
      </x:c>
      <x:c r="AB303" s="32"/>
      <x:c r="AC303" s="32" t="n">
        <x:v>217</x:v>
      </x:c>
      <x:c r="AD303" s="32" t="n">
        <x:v>1</x:v>
      </x:c>
      <x:c r="AE303" s="32" t="n">
        <x:v>37</x:v>
      </x:c>
      <x:c r="AF303" s="32"/>
      <x:c r="AG303" s="32"/>
      <x:c r="AH303" s="32" t="n">
        <x:v>33</x:v>
      </x:c>
      <x:c r="AI303" s="32" t="n">
        <x:v>7</x:v>
      </x:c>
      <x:c r="AJ303" s="32" t="n">
        <x:v>128</x:v>
      </x:c>
      <x:c r="AK303" s="32"/>
      <x:c r="AL303" s="32"/>
      <x:c r="AM303" s="32"/>
      <x:c r="AN303" s="32" t="n">
        <x:v>20</x:v>
      </x:c>
      <x:c r="AO303" s="32" t="n">
        <x:v>0.2</x:v>
      </x:c>
      <x:c r="AP303" s="32" t="n">
        <x:v>31</x:v>
      </x:c>
      <x:c r="AQ303" s="32" t="n">
        <x:v>85</x:v>
      </x:c>
      <x:c r="AR303" s="32" t="n">
        <x:v>2</x:v>
      </x:c>
      <x:c r="AS303" s="32" t="n">
        <x:v>8</x:v>
      </x:c>
      <x:c r="AT303" s="32"/>
      <x:c r="AU303" s="32"/>
      <x:c r="AV303" s="32"/>
      <x:c r="AW303" s="32" t="n">
        <x:v>5</x:v>
      </x:c>
      <x:c r="AX303" s="32"/>
      <x:c r="AY303" s="32"/>
      <x:c r="AZ303" s="32" t="n">
        <x:v>17</x:v>
      </x:c>
      <x:c r="BA303" s="32"/>
    </x:row>
    <x:row r="304">
      <x:c r="A304" s="25" t="str">
        <x:v>C05-X</x:v>
      </x:c>
      <x:c r="B304" s="25" t="str">
        <x:v>湖之利耶尼亚</x:v>
      </x:c>
      <x:c r="C304" s="25" t="str">
        <x:v>极端压力</x:v>
      </x:c>
      <x:c r="D304" s="25" t="str">
        <x:v>洗练</x:v>
      </x:c>
      <x:c r="E304" s="25" t="str">
        <x:v>本类10项（逐项见完整JSON）</x:v>
      </x:c>
      <x:c r="F304" s="25" t="str">
        <x:v>S06＋固定种子</x:v>
      </x:c>
      <x:c r="G304" s="25" t="str">
        <x:v>可实现随机样本</x:v>
      </x:c>
      <x:c r="H304" s="25" t="str">
        <x:v>由同包逐项数据聚合，便于核对</x:v>
      </x:c>
      <x:c r="I304" s="32" t="n">
        <x:v>5863</x:v>
      </x:c>
      <x:c r="J304" s="32" t="n">
        <x:v>5863</x:v>
      </x:c>
      <x:c r="K304" s="32" t="n">
        <x:v>366</x:v>
      </x:c>
      <x:c r="L304" s="32" t="n">
        <x:v>366</x:v>
      </x:c>
      <x:c r="M304" s="32" t="n">
        <x:v>59</x:v>
      </x:c>
      <x:c r="N304" s="32" t="n">
        <x:v>59</x:v>
      </x:c>
      <x:c r="O304" s="32"/>
      <x:c r="P304" s="32"/>
      <x:c r="Q304" s="32"/>
      <x:c r="R304" s="32"/>
      <x:c r="S304" s="32"/>
      <x:c r="T304" s="32"/>
      <x:c r="U304" s="32" t="n">
        <x:v>394</x:v>
      </x:c>
      <x:c r="V304" s="32"/>
      <x:c r="W304" s="32"/>
      <x:c r="X304" s="32"/>
      <x:c r="Y304" s="32" t="n">
        <x:v>3</x:v>
      </x:c>
      <x:c r="Z304" s="32"/>
      <x:c r="AA304" s="32"/>
      <x:c r="AB304" s="32" t="n">
        <x:v>5</x:v>
      </x:c>
      <x:c r="AC304" s="32"/>
      <x:c r="AD304" s="32"/>
      <x:c r="AE304" s="32"/>
      <x:c r="AF304" s="32"/>
      <x:c r="AG304" s="32"/>
      <x:c r="AH304" s="32" t="n">
        <x:v>3</x:v>
      </x:c>
      <x:c r="AI304" s="32"/>
      <x:c r="AJ304" s="32"/>
      <x:c r="AK304" s="32"/>
      <x:c r="AL304" s="32"/>
      <x:c r="AM304" s="32" t="n">
        <x:v>4</x:v>
      </x:c>
      <x:c r="AN304" s="32" t="n">
        <x:v>3</x:v>
      </x:c>
      <x:c r="AO304" s="32" t="n">
        <x:v>2</x:v>
      </x:c>
      <x:c r="AP304" s="32" t="n">
        <x:v>10</x:v>
      </x:c>
      <x:c r="AQ304" s="32"/>
      <x:c r="AR304" s="32"/>
      <x:c r="AS304" s="32" t="n">
        <x:v>1</x:v>
      </x:c>
      <x:c r="AT304" s="32"/>
      <x:c r="AU304" s="32"/>
      <x:c r="AV304" s="32"/>
      <x:c r="AW304" s="32"/>
      <x:c r="AX304" s="32"/>
      <x:c r="AY304" s="32"/>
      <x:c r="AZ304" s="32"/>
      <x:c r="BA304" s="32"/>
    </x:row>
    <x:row r="305">
      <x:c r="A305" s="25" t="str">
        <x:v>C05-X</x:v>
      </x:c>
      <x:c r="B305" s="25" t="str">
        <x:v>湖之利耶尼亚</x:v>
      </x:c>
      <x:c r="C305" s="25" t="str">
        <x:v>极端压力</x:v>
      </x:c>
      <x:c r="D305" s="25" t="str">
        <x:v>命格</x:v>
      </x:c>
      <x:c r="E305" s="25" t="str">
        <x:v>本类5项（逐项见完整JSON）</x:v>
      </x:c>
      <x:c r="F305" s="25" t="str">
        <x:v>S03/命格ID1081；S03/命格ID1090；S03/命格ID1092；S03/命格ID1093；S03/命格ID1095</x:v>
      </x:c>
      <x:c r="G305" s="25" t="str">
        <x:v>原表彩色＋选配假设</x:v>
      </x:c>
      <x:c r="H305" s="25" t="str">
        <x:v>由同包逐项数据聚合，便于核对</x:v>
      </x:c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32"/>
      <x:c r="U305" s="32"/>
      <x:c r="V305" s="32"/>
      <x:c r="W305" s="32"/>
      <x:c r="X305" s="32"/>
      <x:c r="Y305" s="32" t="n">
        <x:v>6</x:v>
      </x:c>
      <x:c r="Z305" s="32" t="n">
        <x:v>3</x:v>
      </x:c>
      <x:c r="AA305" s="32"/>
      <x:c r="AB305" s="32"/>
      <x:c r="AC305" s="32"/>
      <x:c r="AD305" s="32"/>
      <x:c r="AE305" s="32"/>
      <x:c r="AF305" s="32"/>
      <x:c r="AG305" s="32"/>
      <x:c r="AH305" s="32" t="n">
        <x:v>2</x:v>
      </x:c>
      <x:c r="AI305" s="32"/>
      <x:c r="AJ305" s="32" t="n">
        <x:v>10</x:v>
      </x:c>
      <x:c r="AK305" s="32"/>
      <x:c r="AL305" s="32"/>
      <x:c r="AM305" s="32" t="n">
        <x:v>2</x:v>
      </x:c>
      <x:c r="AN305" s="32" t="n">
        <x:v>15</x:v>
      </x:c>
      <x:c r="AO305" s="32"/>
      <x:c r="AP305" s="32"/>
      <x:c r="AQ305" s="32" t="n">
        <x:v>6</x:v>
      </x:c>
      <x:c r="AR305" s="32" t="n">
        <x:v>3</x:v>
      </x:c>
      <x:c r="AS305" s="32"/>
      <x:c r="AT305" s="32" t="n">
        <x:v>50</x:v>
      </x:c>
      <x:c r="AU305" s="32" t="n">
        <x:v>2</x:v>
      </x:c>
      <x:c r="AV305" s="32" t="n">
        <x:v>3</x:v>
      </x:c>
      <x:c r="AW305" s="32"/>
      <x:c r="AX305" s="32"/>
      <x:c r="AY305" s="32" t="n">
        <x:v>2</x:v>
      </x:c>
      <x:c r="AZ305" s="32"/>
      <x:c r="BA305" s="32"/>
    </x:row>
    <x:row r="306">
      <x:c r="A306" s="25" t="str">
        <x:v>C05-X</x:v>
      </x:c>
      <x:c r="B306" s="25" t="str">
        <x:v>湖之利耶尼亚</x:v>
      </x:c>
      <x:c r="C306" s="25" t="str">
        <x:v>极端压力</x:v>
      </x:c>
      <x:c r="D306" s="25" t="str">
        <x:v>后天幸运</x:v>
      </x:c>
      <x:c r="E306" s="25" t="str">
        <x:v>本类1项（逐项见完整JSON）</x:v>
      </x:c>
      <x:c r="F306" s="25" t="str">
        <x:v>A08</x:v>
      </x:c>
      <x:c r="G306" s="25" t="str">
        <x:v>人物永久进度</x:v>
      </x:c>
      <x:c r="H306" s="25" t="str">
        <x:v>由同包逐项数据聚合，便于核对</x:v>
      </x:c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32"/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 t="n">
        <x:v>7</x:v>
      </x:c>
      <x:c r="AL306" s="32" t="n">
        <x:v>8</x:v>
      </x:c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Y306" s="32"/>
      <x:c r="AZ306" s="32"/>
      <x:c r="BA306" s="32"/>
    </x:row>
    <x:row r="307">
      <x:c r="A307" s="25" t="str">
        <x:v>C05-X</x:v>
      </x:c>
      <x:c r="B307" s="25" t="str">
        <x:v>湖之利耶尼亚</x:v>
      </x:c>
      <x:c r="C307" s="25" t="str">
        <x:v>极端压力</x:v>
      </x:c>
      <x:c r="D307" s="25" t="str">
        <x:v>回收预算</x:v>
      </x:c>
      <x:c r="E307" s="25" t="str">
        <x:v>本类1项（逐项见完整JSON）</x:v>
      </x:c>
      <x:c r="F307" s="25" t="str">
        <x:v>用户总回收50%</x:v>
      </x:c>
      <x:c r="G307" s="25" t="str">
        <x:v>经济输入，不是新增属性来源</x:v>
      </x:c>
      <x:c r="H307" s="25" t="str">
        <x:v>由同包逐项数据聚合，便于核对</x:v>
      </x:c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32"/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Y307" s="32"/>
      <x:c r="AZ307" s="32"/>
      <x:c r="BA307" s="32" t="n">
        <x:v>50</x:v>
      </x:c>
    </x:row>
    <x:row r="308">
      <x:c r="A308" s="25" t="str">
        <x:v>C06-E</x:v>
      </x:c>
      <x:c r="B308" s="25" t="str">
        <x:v>盖利德</x:v>
      </x:c>
      <x:c r="C308" s="25" t="str">
        <x:v>半急速入场</x:v>
      </x:c>
      <x:c r="D308" s="25" t="str">
        <x:v>人物自然</x:v>
      </x:c>
      <x:c r="E308" s="25" t="str">
        <x:v>本类1项（逐项见完整JSON）</x:v>
      </x:c>
      <x:c r="F308" s="25" t="str">
        <x:v>A01</x:v>
      </x:c>
      <x:c r="G308" s="25" t="str">
        <x:v>模型假设</x:v>
      </x:c>
      <x:c r="H308" s="25" t="str">
        <x:v>由同包逐项数据聚合，便于核对</x:v>
      </x:c>
      <x:c r="I308" s="32" t="n">
        <x:v>17</x:v>
      </x:c>
      <x:c r="J308" s="32" t="n">
        <x:v>38</x:v>
      </x:c>
      <x:c r="K308" s="32"/>
      <x:c r="L308" s="32"/>
      <x:c r="M308" s="32"/>
      <x:c r="N308" s="32"/>
      <x:c r="O308" s="32" t="n">
        <x:v>3000</x:v>
      </x:c>
      <x:c r="P308" s="32" t="n">
        <x:v>700</x:v>
      </x:c>
      <x:c r="Q308" s="32"/>
      <x:c r="R308" s="32"/>
      <x:c r="S308" s="32"/>
      <x:c r="T308" s="32"/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Y308" s="32"/>
      <x:c r="AZ308" s="32"/>
      <x:c r="BA308" s="32"/>
    </x:row>
    <x:row r="309">
      <x:c r="A309" s="25" t="str">
        <x:v>C06-E</x:v>
      </x:c>
      <x:c r="B309" s="25" t="str">
        <x:v>盖利德</x:v>
      </x:c>
      <x:c r="C309" s="25" t="str">
        <x:v>半急速入场</x:v>
      </x:c>
      <x:c r="D309" s="25" t="str">
        <x:v>付费状态</x:v>
      </x:c>
      <x:c r="E309" s="25" t="str">
        <x:v>本类3项（逐项见完整JSON）</x:v>
      </x:c>
      <x:c r="F309" s="25" t="str">
        <x:v>20260903总档</x:v>
      </x:c>
      <x:c r="G309" s="25" t="str">
        <x:v>原表数值</x:v>
      </x:c>
      <x:c r="H309" s="25" t="str">
        <x:v>由同包逐项数据聚合，便于核对</x:v>
      </x:c>
      <x:c r="I309" s="32" t="n">
        <x:v>149</x:v>
      </x:c>
      <x:c r="J309" s="32" t="n">
        <x:v>149</x:v>
      </x:c>
      <x:c r="K309" s="32" t="n">
        <x:v>149</x:v>
      </x:c>
      <x:c r="L309" s="32" t="n">
        <x:v>149</x:v>
      </x:c>
      <x:c r="M309" s="32" t="n">
        <x:v>149</x:v>
      </x:c>
      <x:c r="N309" s="32" t="n">
        <x:v>149</x:v>
      </x:c>
      <x:c r="O309" s="32" t="n">
        <x:v>10000</x:v>
      </x:c>
      <x:c r="P309" s="32"/>
      <x:c r="Q309" s="32"/>
      <x:c r="R309" s="32"/>
      <x:c r="S309" s="32"/>
      <x:c r="T309" s="32"/>
      <x:c r="U309" s="32"/>
      <x:c r="V309" s="32"/>
      <x:c r="W309" s="32"/>
      <x:c r="X309" s="32"/>
      <x:c r="Y309" s="32" t="n">
        <x:v>10</x:v>
      </x:c>
      <x:c r="Z309" s="32"/>
      <x:c r="AA309" s="32"/>
      <x:c r="AB309" s="32" t="n">
        <x:v>20</x:v>
      </x:c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 t="n">
        <x:v>10</x:v>
      </x:c>
      <x:c r="AN309" s="32"/>
      <x:c r="AO309" s="32"/>
      <x:c r="AP309" s="32" t="n">
        <x:v>50</x:v>
      </x:c>
      <x:c r="AQ309" s="32"/>
      <x:c r="AR309" s="32"/>
      <x:c r="AS309" s="32"/>
      <x:c r="AT309" s="32" t="n">
        <x:v>700</x:v>
      </x:c>
      <x:c r="AU309" s="32" t="n">
        <x:v>15</x:v>
      </x:c>
      <x:c r="AV309" s="32"/>
      <x:c r="AW309" s="32"/>
      <x:c r="AX309" s="32"/>
      <x:c r="AY309" s="32"/>
      <x:c r="AZ309" s="32"/>
      <x:c r="BA309" s="32"/>
    </x:row>
    <x:row r="310">
      <x:c r="A310" s="25" t="str">
        <x:v>C06-E</x:v>
      </x:c>
      <x:c r="B310" s="25" t="str">
        <x:v>盖利德</x:v>
      </x:c>
      <x:c r="C310" s="25" t="str">
        <x:v>半急速入场</x:v>
      </x:c>
      <x:c r="D310" s="25" t="str">
        <x:v>成长装备</x:v>
      </x:c>
      <x:c r="E310" s="25" t="str">
        <x:v>本类2项（逐项见完整JSON）</x:v>
      </x:c>
      <x:c r="F310" s="25" t="str">
        <x:v>20260903总档 / A04</x:v>
      </x:c>
      <x:c r="G310" s="25" t="str">
        <x:v>原表＋支付路径假设</x:v>
      </x:c>
      <x:c r="H310" s="25" t="str">
        <x:v>由同包逐项数据聚合，便于核对</x:v>
      </x:c>
      <x:c r="I310" s="32" t="n">
        <x:v>1100</x:v>
      </x:c>
      <x:c r="J310" s="32" t="n">
        <x:v>1100</x:v>
      </x:c>
      <x:c r="K310" s="32" t="n">
        <x:v>1100</x:v>
      </x:c>
      <x:c r="L310" s="32" t="n">
        <x:v>1100</x:v>
      </x:c>
      <x:c r="M310" s="32" t="n">
        <x:v>1100</x:v>
      </x:c>
      <x:c r="N310" s="32" t="n">
        <x:v>1100</x:v>
      </x:c>
      <x:c r="O310" s="32"/>
      <x:c r="P310" s="32"/>
      <x:c r="Q310" s="32"/>
      <x:c r="R310" s="32"/>
      <x:c r="S310" s="32"/>
      <x:c r="T310" s="32"/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 t="n">
        <x:v>10</x:v>
      </x:c>
      <x:c r="AX310" s="32" t="n">
        <x:v>10</x:v>
      </x:c>
      <x:c r="AY310" s="32"/>
      <x:c r="AZ310" s="32"/>
      <x:c r="BA310" s="32"/>
    </x:row>
    <x:row r="311">
      <x:c r="A311" s="25" t="str">
        <x:v>C06-E</x:v>
      </x:c>
      <x:c r="B311" s="25" t="str">
        <x:v>盖利德</x:v>
      </x:c>
      <x:c r="C311" s="25" t="str">
        <x:v>半急速入场</x:v>
      </x:c>
      <x:c r="D311" s="25" t="str">
        <x:v>贯穿称号</x:v>
      </x:c>
      <x:c r="E311" s="25" t="str">
        <x:v>本类1项（逐项见完整JSON）</x:v>
      </x:c>
      <x:c r="F311" s="25" t="str">
        <x:v>S04/01_贯穿称号</x:v>
      </x:c>
      <x:c r="G311" s="25" t="str">
        <x:v>原表数值</x:v>
      </x:c>
      <x:c r="H311" s="25" t="str">
        <x:v>由同包逐项数据聚合，便于核对</x:v>
      </x:c>
      <x:c r="I311" s="32" t="n">
        <x:v>3800</x:v>
      </x:c>
      <x:c r="J311" s="32" t="n">
        <x:v>3800</x:v>
      </x:c>
      <x:c r="K311" s="32" t="n">
        <x:v>3800</x:v>
      </x:c>
      <x:c r="L311" s="32" t="n">
        <x:v>3800</x:v>
      </x:c>
      <x:c r="M311" s="32" t="n">
        <x:v>3800</x:v>
      </x:c>
      <x:c r="N311" s="32" t="n">
        <x:v>3800</x:v>
      </x:c>
      <x:c r="O311" s="32" t="n">
        <x:v>380000</x:v>
      </x:c>
      <x:c r="P311" s="32" t="n">
        <x:v>380000</x:v>
      </x:c>
      <x:c r="Q311" s="32"/>
      <x:c r="R311" s="32"/>
      <x:c r="S311" s="32"/>
      <x:c r="T311" s="32"/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 t="n">
        <x:v>1600</x:v>
      </x:c>
      <x:c r="AU311" s="32"/>
      <x:c r="AV311" s="32"/>
      <x:c r="AW311" s="32"/>
      <x:c r="AX311" s="32"/>
      <x:c r="AY311" s="32"/>
      <x:c r="AZ311" s="32"/>
      <x:c r="BA311" s="32"/>
    </x:row>
    <x:row r="312">
      <x:c r="A312" s="25" t="str">
        <x:v>C06-E</x:v>
      </x:c>
      <x:c r="B312" s="25" t="str">
        <x:v>盖利德</x:v>
      </x:c>
      <x:c r="C312" s="25" t="str">
        <x:v>半急速入场</x:v>
      </x:c>
      <x:c r="D312" s="25" t="str">
        <x:v>神印</x:v>
      </x:c>
      <x:c r="E312" s="25" t="str">
        <x:v>本类1项（逐项见完整JSON）</x:v>
      </x:c>
      <x:c r="F312" s="25" t="str">
        <x:v>S04 / 神印公式</x:v>
      </x:c>
      <x:c r="G312" s="25" t="str">
        <x:v>自给进度假设＋原公式</x:v>
      </x:c>
      <x:c r="H312" s="25" t="str">
        <x:v>由同包逐项数据聚合，便于核对</x:v>
      </x:c>
      <x:c r="I312" s="32" t="n">
        <x:v>9870</x:v>
      </x:c>
      <x:c r="J312" s="32" t="n">
        <x:v>9870</x:v>
      </x:c>
      <x:c r="K312" s="32" t="n">
        <x:v>9870</x:v>
      </x:c>
      <x:c r="L312" s="32" t="n">
        <x:v>9870</x:v>
      </x:c>
      <x:c r="M312" s="32" t="n">
        <x:v>9870</x:v>
      </x:c>
      <x:c r="N312" s="32" t="n">
        <x:v>9870</x:v>
      </x:c>
      <x:c r="O312" s="32" t="n">
        <x:v>987000</x:v>
      </x:c>
      <x:c r="P312" s="32"/>
      <x:c r="Q312" s="32"/>
      <x:c r="R312" s="32"/>
      <x:c r="S312" s="32"/>
      <x:c r="T312" s="32"/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Y312" s="32"/>
      <x:c r="AZ312" s="32"/>
      <x:c r="BA312" s="32"/>
    </x:row>
    <x:row r="313">
      <x:c r="A313" s="25" t="str">
        <x:v>C06-E</x:v>
      </x:c>
      <x:c r="B313" s="25" t="str">
        <x:v>盖利德</x:v>
      </x:c>
      <x:c r="C313" s="25" t="str">
        <x:v>半急速入场</x:v>
      </x:c>
      <x:c r="D313" s="25" t="str">
        <x:v>转生</x:v>
      </x:c>
      <x:c r="E313" s="25" t="str">
        <x:v>本类1项（逐项见完整JSON）</x:v>
      </x:c>
      <x:c r="F313" s="25" t="str">
        <x:v>S07/20转</x:v>
      </x:c>
      <x:c r="G313" s="25" t="str">
        <x:v>原表累计</x:v>
      </x:c>
      <x:c r="H313" s="25" t="str">
        <x:v>由同包逐项数据聚合，便于核对</x:v>
      </x:c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32"/>
      <x:c r="U313" s="32"/>
      <x:c r="V313" s="32"/>
      <x:c r="W313" s="32"/>
      <x:c r="X313" s="32" t="n">
        <x:v>0.2</x:v>
      </x:c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Y313" s="32"/>
      <x:c r="AZ313" s="32"/>
      <x:c r="BA313" s="32"/>
    </x:row>
    <x:row r="314">
      <x:c r="A314" s="25" t="str">
        <x:v>C06-E</x:v>
      </x:c>
      <x:c r="B314" s="25" t="str">
        <x:v>盖利德</x:v>
      </x:c>
      <x:c r="C314" s="25" t="str">
        <x:v>半急速入场</x:v>
      </x:c>
      <x:c r="D314" s="25" t="str">
        <x:v>独立称号</x:v>
      </x:c>
      <x:c r="E314" s="25" t="str">
        <x:v>本类3项（逐项见完整JSON）</x:v>
      </x:c>
      <x:c r="F314" s="25" t="str">
        <x:v>S04/02_独立称号</x:v>
      </x:c>
      <x:c r="G314" s="25" t="str">
        <x:v>原表数值</x:v>
      </x:c>
      <x:c r="H314" s="25" t="str">
        <x:v>由同包逐项数据聚合，便于核对</x:v>
      </x:c>
      <x:c r="I314" s="32" t="n">
        <x:v>1010</x:v>
      </x:c>
      <x:c r="J314" s="32" t="n">
        <x:v>1010</x:v>
      </x:c>
      <x:c r="K314" s="32" t="n">
        <x:v>1010</x:v>
      </x:c>
      <x:c r="L314" s="32" t="n">
        <x:v>1010</x:v>
      </x:c>
      <x:c r="M314" s="32" t="n">
        <x:v>1010</x:v>
      </x:c>
      <x:c r="N314" s="32" t="n">
        <x:v>1010</x:v>
      </x:c>
      <x:c r="O314" s="32" t="n">
        <x:v>101000</x:v>
      </x:c>
      <x:c r="P314" s="32"/>
      <x:c r="Q314" s="32"/>
      <x:c r="R314" s="32"/>
      <x:c r="S314" s="32"/>
      <x:c r="T314" s="32"/>
      <x:c r="U314" s="32"/>
      <x:c r="V314" s="32"/>
      <x:c r="W314" s="32"/>
      <x:c r="X314" s="32" t="n">
        <x:v>0</x:v>
      </x:c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 t="n">
        <x:v>0</x:v>
      </x:c>
      <x:c r="AN314" s="32"/>
      <x:c r="AO314" s="32"/>
      <x:c r="AP314" s="32" t="n">
        <x:v>0</x:v>
      </x:c>
      <x:c r="AQ314" s="32"/>
      <x:c r="AR314" s="32"/>
      <x:c r="AS314" s="32"/>
      <x:c r="AT314" s="32"/>
      <x:c r="AU314" s="32"/>
      <x:c r="AV314" s="32"/>
      <x:c r="AW314" s="32"/>
      <x:c r="AX314" s="32"/>
      <x:c r="AY314" s="32"/>
      <x:c r="AZ314" s="32"/>
      <x:c r="BA314" s="32"/>
    </x:row>
    <x:row r="315">
      <x:c r="A315" s="25" t="str">
        <x:v>C06-E</x:v>
      </x:c>
      <x:c r="B315" s="25" t="str">
        <x:v>盖利德</x:v>
      </x:c>
      <x:c r="C315" s="25" t="str">
        <x:v>半急速入场</x:v>
      </x:c>
      <x:c r="D315" s="25" t="str">
        <x:v>单件图鉴</x:v>
      </x:c>
      <x:c r="E315" s="25" t="str">
        <x:v>本类1项（逐项见完整JSON）</x:v>
      </x:c>
      <x:c r="F315" s="25" t="str">
        <x:v>S07/collection_single</x:v>
      </x:c>
      <x:c r="G315" s="25" t="str">
        <x:v>原表累计</x:v>
      </x:c>
      <x:c r="H315" s="25" t="str">
        <x:v>由同包逐项数据聚合，便于核对</x:v>
      </x:c>
      <x:c r="I315" s="32" t="n">
        <x:v>1490</x:v>
      </x:c>
      <x:c r="J315" s="32" t="n">
        <x:v>1490</x:v>
      </x:c>
      <x:c r="K315" s="32" t="n">
        <x:v>1490</x:v>
      </x:c>
      <x:c r="L315" s="32" t="n">
        <x:v>1490</x:v>
      </x:c>
      <x:c r="M315" s="32" t="n">
        <x:v>1490</x:v>
      </x:c>
      <x:c r="N315" s="32" t="n">
        <x:v>1490</x:v>
      </x:c>
      <x:c r="O315" s="32" t="n">
        <x:v>149000</x:v>
      </x:c>
      <x:c r="P315" s="32"/>
      <x:c r="Q315" s="32"/>
      <x:c r="R315" s="32"/>
      <x:c r="S315" s="32"/>
      <x:c r="T315" s="32"/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Y315" s="32"/>
      <x:c r="AZ315" s="32"/>
      <x:c r="BA315" s="32"/>
    </x:row>
    <x:row r="316">
      <x:c r="A316" s="25" t="str">
        <x:v>C06-E</x:v>
      </x:c>
      <x:c r="B316" s="25" t="str">
        <x:v>盖利德</x:v>
      </x:c>
      <x:c r="C316" s="25" t="str">
        <x:v>半急速入场</x:v>
      </x:c>
      <x:c r="D316" s="25" t="str">
        <x:v>地图整页</x:v>
      </x:c>
      <x:c r="E316" s="25" t="str">
        <x:v>本类17项（逐项见完整JSON）</x:v>
      </x:c>
      <x:c r="F316" s="25" t="str">
        <x:v>S07/collection_pages</x:v>
      </x:c>
      <x:c r="G316" s="25" t="str">
        <x:v>原表数值</x:v>
      </x:c>
      <x:c r="H316" s="25" t="str">
        <x:v>由同包逐项数据聚合，便于核对</x:v>
      </x:c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32"/>
      <x:c r="U316" s="32"/>
      <x:c r="V316" s="32"/>
      <x:c r="W316" s="32"/>
      <x:c r="X316" s="32" t="n">
        <x:v>0.30999999999999994</x:v>
      </x:c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 t="n">
        <x:v>8.5</x:v>
      </x:c>
      <x:c r="AN316" s="32"/>
      <x:c r="AO316" s="32"/>
      <x:c r="AP316" s="32" t="n">
        <x:v>445</x:v>
      </x:c>
      <x:c r="AQ316" s="32"/>
      <x:c r="AR316" s="32"/>
      <x:c r="AS316" s="32"/>
      <x:c r="AT316" s="32"/>
      <x:c r="AU316" s="32"/>
      <x:c r="AV316" s="32"/>
      <x:c r="AW316" s="32"/>
      <x:c r="AX316" s="32"/>
      <x:c r="AY316" s="32"/>
      <x:c r="AZ316" s="32"/>
      <x:c r="BA316" s="32"/>
    </x:row>
    <x:row r="317">
      <x:c r="A317" s="25" t="str">
        <x:v>C06-E</x:v>
      </x:c>
      <x:c r="B317" s="25" t="str">
        <x:v>盖利德</x:v>
      </x:c>
      <x:c r="C317" s="25" t="str">
        <x:v>半急速入场</x:v>
      </x:c>
      <x:c r="D317" s="25" t="str">
        <x:v>材料图鉴</x:v>
      </x:c>
      <x:c r="E317" s="25" t="str">
        <x:v>本类2项（逐项见完整JSON）</x:v>
      </x:c>
      <x:c r="F317" s="25" t="str">
        <x:v>S07/collection_materials</x:v>
      </x:c>
      <x:c r="G317" s="25" t="str">
        <x:v>原表数值</x:v>
      </x:c>
      <x:c r="H317" s="25" t="str">
        <x:v>由同包逐项数据聚合，便于核对</x:v>
      </x:c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32"/>
      <x:c r="U317" s="32"/>
      <x:c r="V317" s="32"/>
      <x:c r="W317" s="32"/>
      <x:c r="X317" s="32" t="n">
        <x:v>0.11</x:v>
      </x:c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 t="n">
        <x:v>0</x:v>
      </x:c>
      <x:c r="AN317" s="32"/>
      <x:c r="AO317" s="32"/>
      <x:c r="AP317" s="32" t="n">
        <x:v>0</x:v>
      </x:c>
      <x:c r="AQ317" s="32"/>
      <x:c r="AR317" s="32"/>
      <x:c r="AS317" s="32"/>
      <x:c r="AT317" s="32"/>
      <x:c r="AU317" s="32"/>
      <x:c r="AV317" s="32"/>
      <x:c r="AW317" s="32"/>
      <x:c r="AX317" s="32"/>
      <x:c r="AY317" s="32"/>
      <x:c r="AZ317" s="32"/>
      <x:c r="BA317" s="32"/>
    </x:row>
    <x:row r="318">
      <x:c r="A318" s="25" t="str">
        <x:v>C06-E</x:v>
      </x:c>
      <x:c r="B318" s="25" t="str">
        <x:v>盖利德</x:v>
      </x:c>
      <x:c r="C318" s="25" t="str">
        <x:v>半急速入场</x:v>
      </x:c>
      <x:c r="D318" s="25" t="str">
        <x:v>旧任务</x:v>
      </x:c>
      <x:c r="E318" s="25" t="str">
        <x:v>本类6项（逐项见完整JSON）</x:v>
      </x:c>
      <x:c r="F318" s="25" t="str">
        <x:v>宁姆格福_完整怪物装备任务爆率规划/地图任务；第一大陆_地图魂魄任务.txt</x:v>
      </x:c>
      <x:c r="G318" s="25" t="str">
        <x:v>原件确认；原表数值</x:v>
      </x:c>
      <x:c r="H318" s="25" t="str">
        <x:v>由同包逐项数据聚合，便于核对</x:v>
      </x:c>
      <x:c r="I318" s="32" t="n">
        <x:v>60</x:v>
      </x:c>
      <x:c r="J318" s="32" t="n">
        <x:v>60</x:v>
      </x:c>
      <x:c r="K318" s="32" t="n">
        <x:v>60</x:v>
      </x:c>
      <x:c r="L318" s="32" t="n">
        <x:v>60</x:v>
      </x:c>
      <x:c r="M318" s="32" t="n">
        <x:v>60</x:v>
      </x:c>
      <x:c r="N318" s="32" t="n">
        <x:v>60</x:v>
      </x:c>
      <x:c r="O318" s="32"/>
      <x:c r="P318" s="32"/>
      <x:c r="Q318" s="32"/>
      <x:c r="R318" s="32"/>
      <x:c r="S318" s="32"/>
      <x:c r="T318" s="32"/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 t="n">
        <x:v>2</x:v>
      </x:c>
      <x:c r="AN318" s="32"/>
      <x:c r="AO318" s="32"/>
      <x:c r="AP318" s="32" t="n">
        <x:v>120</x:v>
      </x:c>
      <x:c r="AQ318" s="32"/>
      <x:c r="AR318" s="32"/>
      <x:c r="AS318" s="32"/>
      <x:c r="AT318" s="32"/>
      <x:c r="AU318" s="32"/>
      <x:c r="AV318" s="32"/>
      <x:c r="AW318" s="32"/>
      <x:c r="AX318" s="32"/>
      <x:c r="AY318" s="32"/>
      <x:c r="AZ318" s="32"/>
      <x:c r="BA318" s="32"/>
    </x:row>
    <x:row r="319">
      <x:c r="A319" s="25" t="str">
        <x:v>C06-E</x:v>
      </x:c>
      <x:c r="B319" s="25" t="str">
        <x:v>盖利德</x:v>
      </x:c>
      <x:c r="C319" s="25" t="str">
        <x:v>半急速入场</x:v>
      </x:c>
      <x:c r="D319" s="25" t="str">
        <x:v>装备</x:v>
      </x:c>
      <x:c r="E319" s="25" t="str">
        <x:v>本类31项（逐项见完整JSON）</x:v>
      </x:c>
      <x:c r="F319" s="25" t="str">
        <x:v>S02；S07</x:v>
      </x:c>
      <x:c r="G319" s="25" t="str">
        <x:v>原表数值</x:v>
      </x:c>
      <x:c r="H319" s="25" t="str">
        <x:v>由同包逐项数据聚合，便于核对</x:v>
      </x:c>
      <x:c r="I319" s="32" t="n">
        <x:v>6909</x:v>
      </x:c>
      <x:c r="J319" s="32" t="n">
        <x:v>13208</x:v>
      </x:c>
      <x:c r="K319" s="32" t="n">
        <x:v>6909</x:v>
      </x:c>
      <x:c r="L319" s="32" t="n">
        <x:v>13208</x:v>
      </x:c>
      <x:c r="M319" s="32" t="n">
        <x:v>6909</x:v>
      </x:c>
      <x:c r="N319" s="32" t="n">
        <x:v>13208</x:v>
      </x:c>
      <x:c r="O319" s="32" t="n">
        <x:v>4740800</x:v>
      </x:c>
      <x:c r="P319" s="32"/>
      <x:c r="Q319" s="32" t="n">
        <x:v>644</x:v>
      </x:c>
      <x:c r="R319" s="32" t="n">
        <x:v>1189</x:v>
      </x:c>
      <x:c r="S319" s="32" t="n">
        <x:v>524</x:v>
      </x:c>
      <x:c r="T319" s="32" t="n">
        <x:v>966</x:v>
      </x:c>
      <x:c r="U319" s="32" t="n">
        <x:v>525</x:v>
      </x:c>
      <x:c r="V319" s="32" t="n">
        <x:v>525</x:v>
      </x:c>
      <x:c r="W319" s="32" t="n">
        <x:v>525</x:v>
      </x:c>
      <x:c r="X319" s="32"/>
      <x:c r="Y319" s="32"/>
      <x:c r="Z319" s="32" t="n">
        <x:v>123</x:v>
      </x:c>
      <x:c r="AA319" s="32" t="n">
        <x:v>40</x:v>
      </x:c>
      <x:c r="AB319" s="32"/>
      <x:c r="AC319" s="32" t="n">
        <x:v>159</x:v>
      </x:c>
      <x:c r="AD319" s="32" t="n">
        <x:v>1</x:v>
      </x:c>
      <x:c r="AE319" s="32" t="n">
        <x:v>25</x:v>
      </x:c>
      <x:c r="AF319" s="32"/>
      <x:c r="AG319" s="32"/>
      <x:c r="AH319" s="32" t="n">
        <x:v>33</x:v>
      </x:c>
      <x:c r="AI319" s="32" t="n">
        <x:v>5</x:v>
      </x:c>
      <x:c r="AJ319" s="32" t="n">
        <x:v>127</x:v>
      </x:c>
      <x:c r="AK319" s="32"/>
      <x:c r="AL319" s="32"/>
      <x:c r="AM319" s="32"/>
      <x:c r="AN319" s="32" t="n">
        <x:v>20</x:v>
      </x:c>
      <x:c r="AO319" s="32" t="n">
        <x:v>0.2</x:v>
      </x:c>
      <x:c r="AP319" s="32" t="n">
        <x:v>25</x:v>
      </x:c>
      <x:c r="AQ319" s="32" t="n">
        <x:v>75</x:v>
      </x:c>
      <x:c r="AR319" s="32"/>
      <x:c r="AS319" s="32" t="n">
        <x:v>8</x:v>
      </x:c>
      <x:c r="AT319" s="32"/>
      <x:c r="AU319" s="32"/>
      <x:c r="AV319" s="32"/>
      <x:c r="AW319" s="32"/>
      <x:c r="AX319" s="32"/>
      <x:c r="AY319" s="32"/>
      <x:c r="AZ319" s="32" t="n">
        <x:v>14</x:v>
      </x:c>
      <x:c r="BA319" s="32"/>
    </x:row>
    <x:row r="320">
      <x:c r="A320" s="25" t="str">
        <x:v>C06-E</x:v>
      </x:c>
      <x:c r="B320" s="25" t="str">
        <x:v>盖利德</x:v>
      </x:c>
      <x:c r="C320" s="25" t="str">
        <x:v>半急速入场</x:v>
      </x:c>
      <x:c r="D320" s="25" t="str">
        <x:v>洗练</x:v>
      </x:c>
      <x:c r="E320" s="25" t="str">
        <x:v>本类10项（逐项见完整JSON）</x:v>
      </x:c>
      <x:c r="F320" s="25" t="str">
        <x:v>S06＋固定种子</x:v>
      </x:c>
      <x:c r="G320" s="25" t="str">
        <x:v>可实现随机样本</x:v>
      </x:c>
      <x:c r="H320" s="25" t="str">
        <x:v>由同包逐项数据聚合，便于核对</x:v>
      </x:c>
      <x:c r="I320" s="32" t="n">
        <x:v>5072</x:v>
      </x:c>
      <x:c r="J320" s="32" t="n">
        <x:v>5072</x:v>
      </x:c>
      <x:c r="K320" s="32" t="n">
        <x:v>511</x:v>
      </x:c>
      <x:c r="L320" s="32" t="n">
        <x:v>511</x:v>
      </x:c>
      <x:c r="M320" s="32" t="n">
        <x:v>59</x:v>
      </x:c>
      <x:c r="N320" s="32" t="n">
        <x:v>59</x:v>
      </x:c>
      <x:c r="O320" s="32"/>
      <x:c r="P320" s="32"/>
      <x:c r="Q320" s="32"/>
      <x:c r="R320" s="32"/>
      <x:c r="S320" s="32"/>
      <x:c r="T320" s="32"/>
      <x:c r="U320" s="32" t="n">
        <x:v>404</x:v>
      </x:c>
      <x:c r="V320" s="32"/>
      <x:c r="W320" s="32"/>
      <x:c r="X320" s="32"/>
      <x:c r="Y320" s="32" t="n">
        <x:v>3</x:v>
      </x:c>
      <x:c r="Z320" s="32"/>
      <x:c r="AA320" s="32"/>
      <x:c r="AB320" s="32" t="n">
        <x:v>1</x:v>
      </x:c>
      <x:c r="AC320" s="32"/>
      <x:c r="AD320" s="32"/>
      <x:c r="AE320" s="32"/>
      <x:c r="AF320" s="32"/>
      <x:c r="AG320" s="32"/>
      <x:c r="AH320" s="32" t="n">
        <x:v>4</x:v>
      </x:c>
      <x:c r="AI320" s="32"/>
      <x:c r="AJ320" s="32"/>
      <x:c r="AK320" s="32"/>
      <x:c r="AL320" s="32"/>
      <x:c r="AM320" s="32" t="n">
        <x:v>3</x:v>
      </x:c>
      <x:c r="AN320" s="32" t="n">
        <x:v>3</x:v>
      </x:c>
      <x:c r="AO320" s="32" t="n">
        <x:v>3</x:v>
      </x:c>
      <x:c r="AP320" s="32"/>
      <x:c r="AQ320" s="32"/>
      <x:c r="AR320" s="32"/>
      <x:c r="AS320" s="32" t="n">
        <x:v>1</x:v>
      </x:c>
      <x:c r="AT320" s="32"/>
      <x:c r="AU320" s="32" t="n">
        <x:v>1</x:v>
      </x:c>
      <x:c r="AV320" s="32"/>
      <x:c r="AW320" s="32"/>
      <x:c r="AX320" s="32"/>
      <x:c r="AY320" s="32"/>
      <x:c r="AZ320" s="32"/>
      <x:c r="BA320" s="32"/>
    </x:row>
    <x:row r="321">
      <x:c r="A321" s="25" t="str">
        <x:v>C06-E</x:v>
      </x:c>
      <x:c r="B321" s="25" t="str">
        <x:v>盖利德</x:v>
      </x:c>
      <x:c r="C321" s="25" t="str">
        <x:v>半急速入场</x:v>
      </x:c>
      <x:c r="D321" s="25" t="str">
        <x:v>命格</x:v>
      </x:c>
      <x:c r="E321" s="25" t="str">
        <x:v>本类5项（逐项见完整JSON）</x:v>
      </x:c>
      <x:c r="F321" s="25" t="str">
        <x:v>S03/命格ID1081；S03/命格ID1089；S03/命格ID1090；S03/命格ID1092；S03/命格ID1093</x:v>
      </x:c>
      <x:c r="G321" s="25" t="str">
        <x:v>原表彩色＋选配假设</x:v>
      </x:c>
      <x:c r="H321" s="25" t="str">
        <x:v>由同包逐项数据聚合，便于核对</x:v>
      </x:c>
      <x:c r="I321" s="32"/>
      <x:c r="J321" s="32"/>
      <x:c r="K321" s="32"/>
      <x:c r="L321" s="32"/>
      <x:c r="M321" s="32"/>
      <x:c r="N321" s="32"/>
      <x:c r="O321" s="32" t="n">
        <x:v>1500</x:v>
      </x:c>
      <x:c r="P321" s="32"/>
      <x:c r="Q321" s="32"/>
      <x:c r="R321" s="32"/>
      <x:c r="S321" s="32"/>
      <x:c r="T321" s="32"/>
      <x:c r="U321" s="32"/>
      <x:c r="V321" s="32"/>
      <x:c r="W321" s="32"/>
      <x:c r="X321" s="32"/>
      <x:c r="Y321" s="32" t="n">
        <x:v>6</x:v>
      </x:c>
      <x:c r="Z321" s="32" t="n">
        <x:v>3</x:v>
      </x:c>
      <x:c r="AA321" s="32" t="n">
        <x:v>2</x:v>
      </x:c>
      <x:c r="AB321" s="32"/>
      <x:c r="AC321" s="32"/>
      <x:c r="AD321" s="32"/>
      <x:c r="AE321" s="32"/>
      <x:c r="AF321" s="32"/>
      <x:c r="AG321" s="32"/>
      <x:c r="AH321" s="32" t="n">
        <x:v>2</x:v>
      </x:c>
      <x:c r="AI321" s="32"/>
      <x:c r="AJ321" s="32" t="n">
        <x:v>10</x:v>
      </x:c>
      <x:c r="AK321" s="32"/>
      <x:c r="AL321" s="32"/>
      <x:c r="AM321" s="32"/>
      <x:c r="AN321" s="32"/>
      <x:c r="AO321" s="32"/>
      <x:c r="AP321" s="32"/>
      <x:c r="AQ321" s="32" t="n">
        <x:v>6</x:v>
      </x:c>
      <x:c r="AR321" s="32" t="n">
        <x:v>3</x:v>
      </x:c>
      <x:c r="AS321" s="32" t="n">
        <x:v>0.75</x:v>
      </x:c>
      <x:c r="AT321" s="32" t="n">
        <x:v>50</x:v>
      </x:c>
      <x:c r="AU321" s="32" t="n">
        <x:v>2</x:v>
      </x:c>
      <x:c r="AV321" s="32" t="n">
        <x:v>3</x:v>
      </x:c>
      <x:c r="AW321" s="32"/>
      <x:c r="AX321" s="32"/>
      <x:c r="AY321" s="32"/>
      <x:c r="AZ321" s="32"/>
      <x:c r="BA321" s="32"/>
    </x:row>
    <x:row r="322">
      <x:c r="A322" s="25" t="str">
        <x:v>C06-E</x:v>
      </x:c>
      <x:c r="B322" s="25" t="str">
        <x:v>盖利德</x:v>
      </x:c>
      <x:c r="C322" s="25" t="str">
        <x:v>半急速入场</x:v>
      </x:c>
      <x:c r="D322" s="25" t="str">
        <x:v>后天幸运</x:v>
      </x:c>
      <x:c r="E322" s="25" t="str">
        <x:v>本类1项（逐项见完整JSON）</x:v>
      </x:c>
      <x:c r="F322" s="25" t="str">
        <x:v>A08</x:v>
      </x:c>
      <x:c r="G322" s="25" t="str">
        <x:v>人物永久进度</x:v>
      </x:c>
      <x:c r="H322" s="25" t="str">
        <x:v>由同包逐项数据聚合，便于核对</x:v>
      </x:c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32"/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 t="n">
        <x:v>7</x:v>
      </x:c>
      <x:c r="AL322" s="32" t="n">
        <x:v>8</x:v>
      </x:c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Y322" s="32"/>
      <x:c r="AZ322" s="32"/>
      <x:c r="BA322" s="32"/>
    </x:row>
    <x:row r="323">
      <x:c r="A323" s="25" t="str">
        <x:v>C06-E</x:v>
      </x:c>
      <x:c r="B323" s="25" t="str">
        <x:v>盖利德</x:v>
      </x:c>
      <x:c r="C323" s="25" t="str">
        <x:v>半急速入场</x:v>
      </x:c>
      <x:c r="D323" s="25" t="str">
        <x:v>回收预算</x:v>
      </x:c>
      <x:c r="E323" s="25" t="str">
        <x:v>本类1项（逐项见完整JSON）</x:v>
      </x:c>
      <x:c r="F323" s="25" t="str">
        <x:v>用户总回收50%</x:v>
      </x:c>
      <x:c r="G323" s="25" t="str">
        <x:v>经济输入，不是新增属性来源</x:v>
      </x:c>
      <x:c r="H323" s="25" t="str">
        <x:v>由同包逐项数据聚合，便于核对</x:v>
      </x:c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32"/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Y323" s="32"/>
      <x:c r="AZ323" s="32"/>
      <x:c r="BA323" s="32" t="n">
        <x:v>50</x:v>
      </x:c>
    </x:row>
    <x:row r="324">
      <x:c r="A324" s="25" t="str">
        <x:v>C06-M</x:v>
      </x:c>
      <x:c r="B324" s="25" t="str">
        <x:v>盖利德</x:v>
      </x:c>
      <x:c r="C324" s="25" t="str">
        <x:v>半急速中期</x:v>
      </x:c>
      <x:c r="D324" s="25" t="str">
        <x:v>人物自然</x:v>
      </x:c>
      <x:c r="E324" s="25" t="str">
        <x:v>本类1项（逐项见完整JSON）</x:v>
      </x:c>
      <x:c r="F324" s="25" t="str">
        <x:v>A01</x:v>
      </x:c>
      <x:c r="G324" s="25" t="str">
        <x:v>模型假设</x:v>
      </x:c>
      <x:c r="H324" s="25" t="str">
        <x:v>由同包逐项数据聚合，便于核对</x:v>
      </x:c>
      <x:c r="I324" s="32" t="n">
        <x:v>18</x:v>
      </x:c>
      <x:c r="J324" s="32" t="n">
        <x:v>40.5</x:v>
      </x:c>
      <x:c r="K324" s="32"/>
      <x:c r="L324" s="32"/>
      <x:c r="M324" s="32"/>
      <x:c r="N324" s="32"/>
      <x:c r="O324" s="32" t="n">
        <x:v>3200</x:v>
      </x:c>
      <x:c r="P324" s="32" t="n">
        <x:v>750</x:v>
      </x:c>
      <x:c r="Q324" s="32"/>
      <x:c r="R324" s="32"/>
      <x:c r="S324" s="32"/>
      <x:c r="T324" s="32"/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Y324" s="32"/>
      <x:c r="AZ324" s="32"/>
      <x:c r="BA324" s="32"/>
    </x:row>
    <x:row r="325">
      <x:c r="A325" s="25" t="str">
        <x:v>C06-M</x:v>
      </x:c>
      <x:c r="B325" s="25" t="str">
        <x:v>盖利德</x:v>
      </x:c>
      <x:c r="C325" s="25" t="str">
        <x:v>半急速中期</x:v>
      </x:c>
      <x:c r="D325" s="25" t="str">
        <x:v>付费状态</x:v>
      </x:c>
      <x:c r="E325" s="25" t="str">
        <x:v>本类3项（逐项见完整JSON）</x:v>
      </x:c>
      <x:c r="F325" s="25" t="str">
        <x:v>20260903总档</x:v>
      </x:c>
      <x:c r="G325" s="25" t="str">
        <x:v>原表数值</x:v>
      </x:c>
      <x:c r="H325" s="25" t="str">
        <x:v>由同包逐项数据聚合，便于核对</x:v>
      </x:c>
      <x:c r="I325" s="32" t="n">
        <x:v>149</x:v>
      </x:c>
      <x:c r="J325" s="32" t="n">
        <x:v>149</x:v>
      </x:c>
      <x:c r="K325" s="32" t="n">
        <x:v>149</x:v>
      </x:c>
      <x:c r="L325" s="32" t="n">
        <x:v>149</x:v>
      </x:c>
      <x:c r="M325" s="32" t="n">
        <x:v>149</x:v>
      </x:c>
      <x:c r="N325" s="32" t="n">
        <x:v>149</x:v>
      </x:c>
      <x:c r="O325" s="32" t="n">
        <x:v>10000</x:v>
      </x:c>
      <x:c r="P325" s="32"/>
      <x:c r="Q325" s="32"/>
      <x:c r="R325" s="32"/>
      <x:c r="S325" s="32"/>
      <x:c r="T325" s="32"/>
      <x:c r="U325" s="32"/>
      <x:c r="V325" s="32"/>
      <x:c r="W325" s="32"/>
      <x:c r="X325" s="32"/>
      <x:c r="Y325" s="32" t="n">
        <x:v>10</x:v>
      </x:c>
      <x:c r="Z325" s="32"/>
      <x:c r="AA325" s="32"/>
      <x:c r="AB325" s="32" t="n">
        <x:v>20</x:v>
      </x:c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 t="n">
        <x:v>10</x:v>
      </x:c>
      <x:c r="AN325" s="32"/>
      <x:c r="AO325" s="32"/>
      <x:c r="AP325" s="32" t="n">
        <x:v>50</x:v>
      </x:c>
      <x:c r="AQ325" s="32"/>
      <x:c r="AR325" s="32"/>
      <x:c r="AS325" s="32"/>
      <x:c r="AT325" s="32" t="n">
        <x:v>700</x:v>
      </x:c>
      <x:c r="AU325" s="32" t="n">
        <x:v>15</x:v>
      </x:c>
      <x:c r="AV325" s="32"/>
      <x:c r="AW325" s="32"/>
      <x:c r="AX325" s="32"/>
      <x:c r="AY325" s="32"/>
      <x:c r="AZ325" s="32"/>
      <x:c r="BA325" s="32"/>
    </x:row>
    <x:row r="326">
      <x:c r="A326" s="25" t="str">
        <x:v>C06-M</x:v>
      </x:c>
      <x:c r="B326" s="25" t="str">
        <x:v>盖利德</x:v>
      </x:c>
      <x:c r="C326" s="25" t="str">
        <x:v>半急速中期</x:v>
      </x:c>
      <x:c r="D326" s="25" t="str">
        <x:v>成长装备</x:v>
      </x:c>
      <x:c r="E326" s="25" t="str">
        <x:v>本类2项（逐项见完整JSON）</x:v>
      </x:c>
      <x:c r="F326" s="25" t="str">
        <x:v>20260903总档 / A04</x:v>
      </x:c>
      <x:c r="G326" s="25" t="str">
        <x:v>原表＋支付路径假设</x:v>
      </x:c>
      <x:c r="H326" s="25" t="str">
        <x:v>由同包逐项数据聚合，便于核对</x:v>
      </x:c>
      <x:c r="I326" s="32" t="n">
        <x:v>1100</x:v>
      </x:c>
      <x:c r="J326" s="32" t="n">
        <x:v>1100</x:v>
      </x:c>
      <x:c r="K326" s="32" t="n">
        <x:v>1100</x:v>
      </x:c>
      <x:c r="L326" s="32" t="n">
        <x:v>1100</x:v>
      </x:c>
      <x:c r="M326" s="32" t="n">
        <x:v>1100</x:v>
      </x:c>
      <x:c r="N326" s="32" t="n">
        <x:v>1100</x:v>
      </x:c>
      <x:c r="O326" s="32"/>
      <x:c r="P326" s="32"/>
      <x:c r="Q326" s="32"/>
      <x:c r="R326" s="32"/>
      <x:c r="S326" s="32"/>
      <x:c r="T326" s="32"/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 t="n">
        <x:v>10</x:v>
      </x:c>
      <x:c r="AX326" s="32" t="n">
        <x:v>10</x:v>
      </x:c>
      <x:c r="AY326" s="32"/>
      <x:c r="AZ326" s="32"/>
      <x:c r="BA326" s="32"/>
    </x:row>
    <x:row r="327">
      <x:c r="A327" s="25" t="str">
        <x:v>C06-M</x:v>
      </x:c>
      <x:c r="B327" s="25" t="str">
        <x:v>盖利德</x:v>
      </x:c>
      <x:c r="C327" s="25" t="str">
        <x:v>半急速中期</x:v>
      </x:c>
      <x:c r="D327" s="25" t="str">
        <x:v>贯穿称号</x:v>
      </x:c>
      <x:c r="E327" s="25" t="str">
        <x:v>本类1项（逐项见完整JSON）</x:v>
      </x:c>
      <x:c r="F327" s="25" t="str">
        <x:v>S04/01_贯穿称号</x:v>
      </x:c>
      <x:c r="G327" s="25" t="str">
        <x:v>原表数值</x:v>
      </x:c>
      <x:c r="H327" s="25" t="str">
        <x:v>由同包逐项数据聚合，便于核对</x:v>
      </x:c>
      <x:c r="I327" s="32" t="n">
        <x:v>8000</x:v>
      </x:c>
      <x:c r="J327" s="32" t="n">
        <x:v>8000</x:v>
      </x:c>
      <x:c r="K327" s="32" t="n">
        <x:v>8000</x:v>
      </x:c>
      <x:c r="L327" s="32" t="n">
        <x:v>8000</x:v>
      </x:c>
      <x:c r="M327" s="32" t="n">
        <x:v>8000</x:v>
      </x:c>
      <x:c r="N327" s="32" t="n">
        <x:v>8000</x:v>
      </x:c>
      <x:c r="O327" s="32" t="n">
        <x:v>800000</x:v>
      </x:c>
      <x:c r="P327" s="32" t="n">
        <x:v>800000</x:v>
      </x:c>
      <x:c r="Q327" s="32"/>
      <x:c r="R327" s="32"/>
      <x:c r="S327" s="32"/>
      <x:c r="T327" s="32"/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 t="n">
        <x:v>2200</x:v>
      </x:c>
      <x:c r="AU327" s="32"/>
      <x:c r="AV327" s="32"/>
      <x:c r="AW327" s="32"/>
      <x:c r="AX327" s="32"/>
      <x:c r="AY327" s="32"/>
      <x:c r="AZ327" s="32"/>
      <x:c r="BA327" s="32"/>
    </x:row>
    <x:row r="328">
      <x:c r="A328" s="25" t="str">
        <x:v>C06-M</x:v>
      </x:c>
      <x:c r="B328" s="25" t="str">
        <x:v>盖利德</x:v>
      </x:c>
      <x:c r="C328" s="25" t="str">
        <x:v>半急速中期</x:v>
      </x:c>
      <x:c r="D328" s="25" t="str">
        <x:v>神印</x:v>
      </x:c>
      <x:c r="E328" s="25" t="str">
        <x:v>本类1项（逐项见完整JSON）</x:v>
      </x:c>
      <x:c r="F328" s="25" t="str">
        <x:v>S04 / 神印公式</x:v>
      </x:c>
      <x:c r="G328" s="25" t="str">
        <x:v>自给进度假设＋原公式</x:v>
      </x:c>
      <x:c r="H328" s="25" t="str">
        <x:v>由同包逐项数据聚合，便于核对</x:v>
      </x:c>
      <x:c r="I328" s="32" t="n">
        <x:v>12090</x:v>
      </x:c>
      <x:c r="J328" s="32" t="n">
        <x:v>12090</x:v>
      </x:c>
      <x:c r="K328" s="32" t="n">
        <x:v>12090</x:v>
      </x:c>
      <x:c r="L328" s="32" t="n">
        <x:v>12090</x:v>
      </x:c>
      <x:c r="M328" s="32" t="n">
        <x:v>12090</x:v>
      </x:c>
      <x:c r="N328" s="32" t="n">
        <x:v>12090</x:v>
      </x:c>
      <x:c r="O328" s="32" t="n">
        <x:v>1209000</x:v>
      </x:c>
      <x:c r="P328" s="32"/>
      <x:c r="Q328" s="32"/>
      <x:c r="R328" s="32"/>
      <x:c r="S328" s="32"/>
      <x:c r="T328" s="32"/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Y328" s="32"/>
      <x:c r="AZ328" s="32"/>
      <x:c r="BA328" s="32"/>
    </x:row>
    <x:row r="329">
      <x:c r="A329" s="25" t="str">
        <x:v>C06-M</x:v>
      </x:c>
      <x:c r="B329" s="25" t="str">
        <x:v>盖利德</x:v>
      </x:c>
      <x:c r="C329" s="25" t="str">
        <x:v>半急速中期</x:v>
      </x:c>
      <x:c r="D329" s="25" t="str">
        <x:v>转生</x:v>
      </x:c>
      <x:c r="E329" s="25" t="str">
        <x:v>本类1项（逐项见完整JSON）</x:v>
      </x:c>
      <x:c r="F329" s="25" t="str">
        <x:v>S07/20转</x:v>
      </x:c>
      <x:c r="G329" s="25" t="str">
        <x:v>原表累计</x:v>
      </x:c>
      <x:c r="H329" s="25" t="str">
        <x:v>由同包逐项数据聚合，便于核对</x:v>
      </x:c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32"/>
      <x:c r="U329" s="32"/>
      <x:c r="V329" s="32"/>
      <x:c r="W329" s="32"/>
      <x:c r="X329" s="32" t="n">
        <x:v>0.27</x:v>
      </x:c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Y329" s="32"/>
      <x:c r="AZ329" s="32"/>
      <x:c r="BA329" s="32"/>
    </x:row>
    <x:row r="330">
      <x:c r="A330" s="25" t="str">
        <x:v>C06-M</x:v>
      </x:c>
      <x:c r="B330" s="25" t="str">
        <x:v>盖利德</x:v>
      </x:c>
      <x:c r="C330" s="25" t="str">
        <x:v>半急速中期</x:v>
      </x:c>
      <x:c r="D330" s="25" t="str">
        <x:v>独立称号</x:v>
      </x:c>
      <x:c r="E330" s="25" t="str">
        <x:v>本类3项（逐项见完整JSON）</x:v>
      </x:c>
      <x:c r="F330" s="25" t="str">
        <x:v>S04/02_独立称号</x:v>
      </x:c>
      <x:c r="G330" s="25" t="str">
        <x:v>原表数值</x:v>
      </x:c>
      <x:c r="H330" s="25" t="str">
        <x:v>由同包逐项数据聚合，便于核对</x:v>
      </x:c>
      <x:c r="I330" s="32" t="n">
        <x:v>1010</x:v>
      </x:c>
      <x:c r="J330" s="32" t="n">
        <x:v>1010</x:v>
      </x:c>
      <x:c r="K330" s="32" t="n">
        <x:v>1010</x:v>
      </x:c>
      <x:c r="L330" s="32" t="n">
        <x:v>1010</x:v>
      </x:c>
      <x:c r="M330" s="32" t="n">
        <x:v>1010</x:v>
      </x:c>
      <x:c r="N330" s="32" t="n">
        <x:v>1010</x:v>
      </x:c>
      <x:c r="O330" s="32" t="n">
        <x:v>101000</x:v>
      </x:c>
      <x:c r="P330" s="32"/>
      <x:c r="Q330" s="32"/>
      <x:c r="R330" s="32"/>
      <x:c r="S330" s="32"/>
      <x:c r="T330" s="32"/>
      <x:c r="U330" s="32"/>
      <x:c r="V330" s="32"/>
      <x:c r="W330" s="32"/>
      <x:c r="X330" s="32" t="n">
        <x:v>0</x:v>
      </x:c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 t="n">
        <x:v>0</x:v>
      </x:c>
      <x:c r="AN330" s="32"/>
      <x:c r="AO330" s="32"/>
      <x:c r="AP330" s="32" t="n">
        <x:v>0</x:v>
      </x:c>
      <x:c r="AQ330" s="32"/>
      <x:c r="AR330" s="32"/>
      <x:c r="AS330" s="32"/>
      <x:c r="AT330" s="32"/>
      <x:c r="AU330" s="32"/>
      <x:c r="AV330" s="32"/>
      <x:c r="AW330" s="32"/>
      <x:c r="AX330" s="32"/>
      <x:c r="AY330" s="32"/>
      <x:c r="AZ330" s="32"/>
      <x:c r="BA330" s="32"/>
    </x:row>
    <x:row r="331">
      <x:c r="A331" s="25" t="str">
        <x:v>C06-M</x:v>
      </x:c>
      <x:c r="B331" s="25" t="str">
        <x:v>盖利德</x:v>
      </x:c>
      <x:c r="C331" s="25" t="str">
        <x:v>半急速中期</x:v>
      </x:c>
      <x:c r="D331" s="25" t="str">
        <x:v>单件图鉴</x:v>
      </x:c>
      <x:c r="E331" s="25" t="str">
        <x:v>本类1项（逐项见完整JSON）</x:v>
      </x:c>
      <x:c r="F331" s="25" t="str">
        <x:v>S07/collection_single</x:v>
      </x:c>
      <x:c r="G331" s="25" t="str">
        <x:v>原表累计</x:v>
      </x:c>
      <x:c r="H331" s="25" t="str">
        <x:v>由同包逐项数据聚合，便于核对</x:v>
      </x:c>
      <x:c r="I331" s="32" t="n">
        <x:v>1734</x:v>
      </x:c>
      <x:c r="J331" s="32" t="n">
        <x:v>1734</x:v>
      </x:c>
      <x:c r="K331" s="32" t="n">
        <x:v>1734</x:v>
      </x:c>
      <x:c r="L331" s="32" t="n">
        <x:v>1734</x:v>
      </x:c>
      <x:c r="M331" s="32" t="n">
        <x:v>1734</x:v>
      </x:c>
      <x:c r="N331" s="32" t="n">
        <x:v>1734</x:v>
      </x:c>
      <x:c r="O331" s="32" t="n">
        <x:v>173400</x:v>
      </x:c>
      <x:c r="P331" s="32"/>
      <x:c r="Q331" s="32"/>
      <x:c r="R331" s="32"/>
      <x:c r="S331" s="32"/>
      <x:c r="T331" s="32"/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Y331" s="32"/>
      <x:c r="AZ331" s="32"/>
      <x:c r="BA331" s="32"/>
    </x:row>
    <x:row r="332">
      <x:c r="A332" s="25" t="str">
        <x:v>C06-M</x:v>
      </x:c>
      <x:c r="B332" s="25" t="str">
        <x:v>盖利德</x:v>
      </x:c>
      <x:c r="C332" s="25" t="str">
        <x:v>半急速中期</x:v>
      </x:c>
      <x:c r="D332" s="25" t="str">
        <x:v>地图整页</x:v>
      </x:c>
      <x:c r="E332" s="25" t="str">
        <x:v>本类18项（逐项见完整JSON）</x:v>
      </x:c>
      <x:c r="F332" s="25" t="str">
        <x:v>S07/collection_pages</x:v>
      </x:c>
      <x:c r="G332" s="25" t="str">
        <x:v>原表数值</x:v>
      </x:c>
      <x:c r="H332" s="25" t="str">
        <x:v>由同包逐项数据聚合，便于核对</x:v>
      </x:c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32"/>
      <x:c r="U332" s="32"/>
      <x:c r="V332" s="32"/>
      <x:c r="W332" s="32"/>
      <x:c r="X332" s="32" t="n">
        <x:v>0.33999999999999997</x:v>
      </x:c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 t="n">
        <x:v>9</x:v>
      </x:c>
      <x:c r="AN332" s="32"/>
      <x:c r="AO332" s="32"/>
      <x:c r="AP332" s="32" t="n">
        <x:v>480</x:v>
      </x:c>
      <x:c r="AQ332" s="32"/>
      <x:c r="AR332" s="32"/>
      <x:c r="AS332" s="32"/>
      <x:c r="AT332" s="32"/>
      <x:c r="AU332" s="32"/>
      <x:c r="AV332" s="32"/>
      <x:c r="AW332" s="32"/>
      <x:c r="AX332" s="32"/>
      <x:c r="AY332" s="32"/>
      <x:c r="AZ332" s="32"/>
      <x:c r="BA332" s="32"/>
    </x:row>
    <x:row r="333">
      <x:c r="A333" s="25" t="str">
        <x:v>C06-M</x:v>
      </x:c>
      <x:c r="B333" s="25" t="str">
        <x:v>盖利德</x:v>
      </x:c>
      <x:c r="C333" s="25" t="str">
        <x:v>半急速中期</x:v>
      </x:c>
      <x:c r="D333" s="25" t="str">
        <x:v>材料图鉴</x:v>
      </x:c>
      <x:c r="E333" s="25" t="str">
        <x:v>本类3项（逐项见完整JSON）</x:v>
      </x:c>
      <x:c r="F333" s="25" t="str">
        <x:v>S07/collection_materials</x:v>
      </x:c>
      <x:c r="G333" s="25" t="str">
        <x:v>原表数值</x:v>
      </x:c>
      <x:c r="H333" s="25" t="str">
        <x:v>由同包逐项数据聚合，便于核对</x:v>
      </x:c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32"/>
      <x:c r="U333" s="32"/>
      <x:c r="V333" s="32"/>
      <x:c r="W333" s="32"/>
      <x:c r="X333" s="32" t="n">
        <x:v>0.19</x:v>
      </x:c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 t="n">
        <x:v>0</x:v>
      </x:c>
      <x:c r="AN333" s="32"/>
      <x:c r="AO333" s="32"/>
      <x:c r="AP333" s="32" t="n">
        <x:v>0</x:v>
      </x:c>
      <x:c r="AQ333" s="32"/>
      <x:c r="AR333" s="32"/>
      <x:c r="AS333" s="32"/>
      <x:c r="AT333" s="32"/>
      <x:c r="AU333" s="32"/>
      <x:c r="AV333" s="32"/>
      <x:c r="AW333" s="32"/>
      <x:c r="AX333" s="32"/>
      <x:c r="AY333" s="32"/>
      <x:c r="AZ333" s="32"/>
      <x:c r="BA333" s="32"/>
    </x:row>
    <x:row r="334">
      <x:c r="A334" s="25" t="str">
        <x:v>C06-M</x:v>
      </x:c>
      <x:c r="B334" s="25" t="str">
        <x:v>盖利德</x:v>
      </x:c>
      <x:c r="C334" s="25" t="str">
        <x:v>半急速中期</x:v>
      </x:c>
      <x:c r="D334" s="25" t="str">
        <x:v>旧任务</x:v>
      </x:c>
      <x:c r="E334" s="25" t="str">
        <x:v>本类6项（逐项见完整JSON）</x:v>
      </x:c>
      <x:c r="F334" s="25" t="str">
        <x:v>宁姆格福_完整怪物装备任务爆率规划/地图任务；第一大陆_地图魂魄任务.txt</x:v>
      </x:c>
      <x:c r="G334" s="25" t="str">
        <x:v>原件确认；原表数值</x:v>
      </x:c>
      <x:c r="H334" s="25" t="str">
        <x:v>由同包逐项数据聚合，便于核对</x:v>
      </x:c>
      <x:c r="I334" s="32" t="n">
        <x:v>60</x:v>
      </x:c>
      <x:c r="J334" s="32" t="n">
        <x:v>60</x:v>
      </x:c>
      <x:c r="K334" s="32" t="n">
        <x:v>60</x:v>
      </x:c>
      <x:c r="L334" s="32" t="n">
        <x:v>60</x:v>
      </x:c>
      <x:c r="M334" s="32" t="n">
        <x:v>60</x:v>
      </x:c>
      <x:c r="N334" s="32" t="n">
        <x:v>60</x:v>
      </x:c>
      <x:c r="O334" s="32"/>
      <x:c r="P334" s="32"/>
      <x:c r="Q334" s="32"/>
      <x:c r="R334" s="32"/>
      <x:c r="S334" s="32"/>
      <x:c r="T334" s="32"/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 t="n">
        <x:v>2</x:v>
      </x:c>
      <x:c r="AN334" s="32"/>
      <x:c r="AO334" s="32"/>
      <x:c r="AP334" s="32" t="n">
        <x:v>120</x:v>
      </x:c>
      <x:c r="AQ334" s="32"/>
      <x:c r="AR334" s="32"/>
      <x:c r="AS334" s="32"/>
      <x:c r="AT334" s="32"/>
      <x:c r="AU334" s="32"/>
      <x:c r="AV334" s="32"/>
      <x:c r="AW334" s="32"/>
      <x:c r="AX334" s="32"/>
      <x:c r="AY334" s="32"/>
      <x:c r="AZ334" s="32"/>
      <x:c r="BA334" s="32"/>
    </x:row>
    <x:row r="335">
      <x:c r="A335" s="25" t="str">
        <x:v>C06-M</x:v>
      </x:c>
      <x:c r="B335" s="25" t="str">
        <x:v>盖利德</x:v>
      </x:c>
      <x:c r="C335" s="25" t="str">
        <x:v>半急速中期</x:v>
      </x:c>
      <x:c r="D335" s="25" t="str">
        <x:v>装备</x:v>
      </x:c>
      <x:c r="E335" s="25" t="str">
        <x:v>本类31项（逐项见完整JSON）</x:v>
      </x:c>
      <x:c r="F335" s="25" t="str">
        <x:v>S02；S07</x:v>
      </x:c>
      <x:c r="G335" s="25" t="str">
        <x:v>原表数值</x:v>
      </x:c>
      <x:c r="H335" s="25" t="str">
        <x:v>由同包逐项数据聚合，便于核对</x:v>
      </x:c>
      <x:c r="I335" s="32" t="n">
        <x:v>6909</x:v>
      </x:c>
      <x:c r="J335" s="32" t="n">
        <x:v>13208</x:v>
      </x:c>
      <x:c r="K335" s="32" t="n">
        <x:v>6909</x:v>
      </x:c>
      <x:c r="L335" s="32" t="n">
        <x:v>13208</x:v>
      </x:c>
      <x:c r="M335" s="32" t="n">
        <x:v>6909</x:v>
      </x:c>
      <x:c r="N335" s="32" t="n">
        <x:v>13208</x:v>
      </x:c>
      <x:c r="O335" s="32" t="n">
        <x:v>4740800</x:v>
      </x:c>
      <x:c r="P335" s="32"/>
      <x:c r="Q335" s="32" t="n">
        <x:v>644</x:v>
      </x:c>
      <x:c r="R335" s="32" t="n">
        <x:v>1189</x:v>
      </x:c>
      <x:c r="S335" s="32" t="n">
        <x:v>524</x:v>
      </x:c>
      <x:c r="T335" s="32" t="n">
        <x:v>966</x:v>
      </x:c>
      <x:c r="U335" s="32" t="n">
        <x:v>525</x:v>
      </x:c>
      <x:c r="V335" s="32" t="n">
        <x:v>525</x:v>
      </x:c>
      <x:c r="W335" s="32" t="n">
        <x:v>525</x:v>
      </x:c>
      <x:c r="X335" s="32"/>
      <x:c r="Y335" s="32"/>
      <x:c r="Z335" s="32" t="n">
        <x:v>123</x:v>
      </x:c>
      <x:c r="AA335" s="32" t="n">
        <x:v>40</x:v>
      </x:c>
      <x:c r="AB335" s="32"/>
      <x:c r="AC335" s="32" t="n">
        <x:v>159</x:v>
      </x:c>
      <x:c r="AD335" s="32" t="n">
        <x:v>1</x:v>
      </x:c>
      <x:c r="AE335" s="32" t="n">
        <x:v>25</x:v>
      </x:c>
      <x:c r="AF335" s="32"/>
      <x:c r="AG335" s="32"/>
      <x:c r="AH335" s="32" t="n">
        <x:v>33</x:v>
      </x:c>
      <x:c r="AI335" s="32" t="n">
        <x:v>5</x:v>
      </x:c>
      <x:c r="AJ335" s="32" t="n">
        <x:v>127</x:v>
      </x:c>
      <x:c r="AK335" s="32"/>
      <x:c r="AL335" s="32"/>
      <x:c r="AM335" s="32"/>
      <x:c r="AN335" s="32" t="n">
        <x:v>20</x:v>
      </x:c>
      <x:c r="AO335" s="32" t="n">
        <x:v>0.2</x:v>
      </x:c>
      <x:c r="AP335" s="32" t="n">
        <x:v>25</x:v>
      </x:c>
      <x:c r="AQ335" s="32" t="n">
        <x:v>75</x:v>
      </x:c>
      <x:c r="AR335" s="32"/>
      <x:c r="AS335" s="32" t="n">
        <x:v>8</x:v>
      </x:c>
      <x:c r="AT335" s="32"/>
      <x:c r="AU335" s="32"/>
      <x:c r="AV335" s="32"/>
      <x:c r="AW335" s="32"/>
      <x:c r="AX335" s="32"/>
      <x:c r="AY335" s="32"/>
      <x:c r="AZ335" s="32" t="n">
        <x:v>14</x:v>
      </x:c>
      <x:c r="BA335" s="32"/>
    </x:row>
    <x:row r="336">
      <x:c r="A336" s="25" t="str">
        <x:v>C06-M</x:v>
      </x:c>
      <x:c r="B336" s="25" t="str">
        <x:v>盖利德</x:v>
      </x:c>
      <x:c r="C336" s="25" t="str">
        <x:v>半急速中期</x:v>
      </x:c>
      <x:c r="D336" s="25" t="str">
        <x:v>洗练</x:v>
      </x:c>
      <x:c r="E336" s="25" t="str">
        <x:v>本类10项（逐项见完整JSON）</x:v>
      </x:c>
      <x:c r="F336" s="25" t="str">
        <x:v>S06＋固定种子</x:v>
      </x:c>
      <x:c r="G336" s="25" t="str">
        <x:v>可实现随机样本</x:v>
      </x:c>
      <x:c r="H336" s="25" t="str">
        <x:v>由同包逐项数据聚合，便于核对</x:v>
      </x:c>
      <x:c r="I336" s="32" t="n">
        <x:v>68</x:v>
      </x:c>
      <x:c r="J336" s="32" t="n">
        <x:v>68</x:v>
      </x:c>
      <x:c r="K336" s="32" t="n">
        <x:v>487</x:v>
      </x:c>
      <x:c r="L336" s="32" t="n">
        <x:v>487</x:v>
      </x:c>
      <x:c r="M336" s="32" t="n">
        <x:v>3468</x:v>
      </x:c>
      <x:c r="N336" s="32" t="n">
        <x:v>3468</x:v>
      </x:c>
      <x:c r="O336" s="32"/>
      <x:c r="P336" s="32"/>
      <x:c r="Q336" s="32"/>
      <x:c r="R336" s="32"/>
      <x:c r="S336" s="32"/>
      <x:c r="T336" s="32"/>
      <x:c r="U336" s="32" t="n">
        <x:v>438</x:v>
      </x:c>
      <x:c r="V336" s="32"/>
      <x:c r="W336" s="32"/>
      <x:c r="X336" s="32"/>
      <x:c r="Y336" s="32" t="n">
        <x:v>5</x:v>
      </x:c>
      <x:c r="Z336" s="32"/>
      <x:c r="AA336" s="32"/>
      <x:c r="AB336" s="32" t="n">
        <x:v>5</x:v>
      </x:c>
      <x:c r="AC336" s="32"/>
      <x:c r="AD336" s="32"/>
      <x:c r="AE336" s="32"/>
      <x:c r="AF336" s="32"/>
      <x:c r="AG336" s="32"/>
      <x:c r="AH336" s="32" t="n">
        <x:v>7</x:v>
      </x:c>
      <x:c r="AI336" s="32"/>
      <x:c r="AJ336" s="32"/>
      <x:c r="AK336" s="32"/>
      <x:c r="AL336" s="32"/>
      <x:c r="AM336" s="32" t="n">
        <x:v>4</x:v>
      </x:c>
      <x:c r="AN336" s="32" t="n">
        <x:v>5</x:v>
      </x:c>
      <x:c r="AO336" s="32" t="n">
        <x:v>4</x:v>
      </x:c>
      <x:c r="AP336" s="32" t="n">
        <x:v>20</x:v>
      </x:c>
      <x:c r="AQ336" s="32"/>
      <x:c r="AR336" s="32"/>
      <x:c r="AS336" s="32"/>
      <x:c r="AT336" s="32"/>
      <x:c r="AU336" s="32" t="n">
        <x:v>1</x:v>
      </x:c>
      <x:c r="AV336" s="32"/>
      <x:c r="AW336" s="32"/>
      <x:c r="AX336" s="32"/>
      <x:c r="AY336" s="32"/>
      <x:c r="AZ336" s="32"/>
      <x:c r="BA336" s="32"/>
    </x:row>
    <x:row r="337">
      <x:c r="A337" s="25" t="str">
        <x:v>C06-M</x:v>
      </x:c>
      <x:c r="B337" s="25" t="str">
        <x:v>盖利德</x:v>
      </x:c>
      <x:c r="C337" s="25" t="str">
        <x:v>半急速中期</x:v>
      </x:c>
      <x:c r="D337" s="25" t="str">
        <x:v>命格</x:v>
      </x:c>
      <x:c r="E337" s="25" t="str">
        <x:v>本类6项（逐项见完整JSON）</x:v>
      </x:c>
      <x:c r="F337" s="25" t="str">
        <x:v>S03/命格ID1081；S03/命格ID1089；S03/命格ID1090；S03/命格ID1092；S03/命格ID1093；S03/命格ID1097</x:v>
      </x:c>
      <x:c r="G337" s="25" t="str">
        <x:v>原表彩色＋选配假设</x:v>
      </x:c>
      <x:c r="H337" s="25" t="str">
        <x:v>由同包逐项数据聚合，便于核对</x:v>
      </x:c>
      <x:c r="I337" s="32"/>
      <x:c r="J337" s="32"/>
      <x:c r="K337" s="32"/>
      <x:c r="L337" s="32"/>
      <x:c r="M337" s="32"/>
      <x:c r="N337" s="32"/>
      <x:c r="O337" s="32" t="n">
        <x:v>1500</x:v>
      </x:c>
      <x:c r="P337" s="32"/>
      <x:c r="Q337" s="32"/>
      <x:c r="R337" s="32"/>
      <x:c r="S337" s="32"/>
      <x:c r="T337" s="32"/>
      <x:c r="U337" s="32" t="n">
        <x:v>3</x:v>
      </x:c>
      <x:c r="V337" s="32"/>
      <x:c r="W337" s="32"/>
      <x:c r="X337" s="32"/>
      <x:c r="Y337" s="32" t="n">
        <x:v>6</x:v>
      </x:c>
      <x:c r="Z337" s="32" t="n">
        <x:v>3</x:v>
      </x:c>
      <x:c r="AA337" s="32" t="n">
        <x:v>5</x:v>
      </x:c>
      <x:c r="AB337" s="32"/>
      <x:c r="AC337" s="32"/>
      <x:c r="AD337" s="32"/>
      <x:c r="AE337" s="32"/>
      <x:c r="AF337" s="32"/>
      <x:c r="AG337" s="32"/>
      <x:c r="AH337" s="32" t="n">
        <x:v>2</x:v>
      </x:c>
      <x:c r="AI337" s="32"/>
      <x:c r="AJ337" s="32" t="n">
        <x:v>10</x:v>
      </x:c>
      <x:c r="AK337" s="32"/>
      <x:c r="AL337" s="32"/>
      <x:c r="AM337" s="32"/>
      <x:c r="AN337" s="32"/>
      <x:c r="AO337" s="32"/>
      <x:c r="AP337" s="32"/>
      <x:c r="AQ337" s="32" t="n">
        <x:v>6</x:v>
      </x:c>
      <x:c r="AR337" s="32" t="n">
        <x:v>3</x:v>
      </x:c>
      <x:c r="AS337" s="32" t="n">
        <x:v>0.75</x:v>
      </x:c>
      <x:c r="AT337" s="32" t="n">
        <x:v>50</x:v>
      </x:c>
      <x:c r="AU337" s="32" t="n">
        <x:v>2</x:v>
      </x:c>
      <x:c r="AV337" s="32" t="n">
        <x:v>3</x:v>
      </x:c>
      <x:c r="AW337" s="32"/>
      <x:c r="AX337" s="32"/>
      <x:c r="AY337" s="32"/>
      <x:c r="AZ337" s="32"/>
      <x:c r="BA337" s="32"/>
    </x:row>
    <x:row r="338">
      <x:c r="A338" s="25" t="str">
        <x:v>C06-M</x:v>
      </x:c>
      <x:c r="B338" s="25" t="str">
        <x:v>盖利德</x:v>
      </x:c>
      <x:c r="C338" s="25" t="str">
        <x:v>半急速中期</x:v>
      </x:c>
      <x:c r="D338" s="25" t="str">
        <x:v>后天幸运</x:v>
      </x:c>
      <x:c r="E338" s="25" t="str">
        <x:v>本类1项（逐项见完整JSON）</x:v>
      </x:c>
      <x:c r="F338" s="25" t="str">
        <x:v>A08</x:v>
      </x:c>
      <x:c r="G338" s="25" t="str">
        <x:v>人物永久进度</x:v>
      </x:c>
      <x:c r="H338" s="25" t="str">
        <x:v>由同包逐项数据聚合，便于核对</x:v>
      </x:c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32"/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 t="n">
        <x:v>7</x:v>
      </x:c>
      <x:c r="AL338" s="32" t="n">
        <x:v>8</x:v>
      </x:c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Y338" s="32"/>
      <x:c r="AZ338" s="32"/>
      <x:c r="BA338" s="32"/>
    </x:row>
    <x:row r="339">
      <x:c r="A339" s="25" t="str">
        <x:v>C06-M</x:v>
      </x:c>
      <x:c r="B339" s="25" t="str">
        <x:v>盖利德</x:v>
      </x:c>
      <x:c r="C339" s="25" t="str">
        <x:v>半急速中期</x:v>
      </x:c>
      <x:c r="D339" s="25" t="str">
        <x:v>回收预算</x:v>
      </x:c>
      <x:c r="E339" s="25" t="str">
        <x:v>本类1项（逐项见完整JSON）</x:v>
      </x:c>
      <x:c r="F339" s="25" t="str">
        <x:v>用户总回收50%</x:v>
      </x:c>
      <x:c r="G339" s="25" t="str">
        <x:v>经济输入，不是新增属性来源</x:v>
      </x:c>
      <x:c r="H339" s="25" t="str">
        <x:v>由同包逐项数据聚合，便于核对</x:v>
      </x:c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32"/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Y339" s="32"/>
      <x:c r="AZ339" s="32"/>
      <x:c r="BA339" s="32" t="n">
        <x:v>50</x:v>
      </x:c>
    </x:row>
    <x:row r="340">
      <x:c r="A340" s="25" t="str">
        <x:v>C06-G</x:v>
      </x:c>
      <x:c r="B340" s="25" t="str">
        <x:v>盖利德</x:v>
      </x:c>
      <x:c r="C340" s="25" t="str">
        <x:v>半急速毕业</x:v>
      </x:c>
      <x:c r="D340" s="25" t="str">
        <x:v>人物自然</x:v>
      </x:c>
      <x:c r="E340" s="25" t="str">
        <x:v>本类1项（逐项见完整JSON）</x:v>
      </x:c>
      <x:c r="F340" s="25" t="str">
        <x:v>A01</x:v>
      </x:c>
      <x:c r="G340" s="25" t="str">
        <x:v>模型假设</x:v>
      </x:c>
      <x:c r="H340" s="25" t="str">
        <x:v>由同包逐项数据聚合，便于核对</x:v>
      </x:c>
      <x:c r="I340" s="32" t="n">
        <x:v>19</x:v>
      </x:c>
      <x:c r="J340" s="32" t="n">
        <x:v>43</x:v>
      </x:c>
      <x:c r="K340" s="32"/>
      <x:c r="L340" s="32"/>
      <x:c r="M340" s="32"/>
      <x:c r="N340" s="32"/>
      <x:c r="O340" s="32" t="n">
        <x:v>3400</x:v>
      </x:c>
      <x:c r="P340" s="32" t="n">
        <x:v>800</x:v>
      </x:c>
      <x:c r="Q340" s="32"/>
      <x:c r="R340" s="32"/>
      <x:c r="S340" s="32"/>
      <x:c r="T340" s="32"/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Y340" s="32"/>
      <x:c r="AZ340" s="32"/>
      <x:c r="BA340" s="32"/>
    </x:row>
    <x:row r="341">
      <x:c r="A341" s="25" t="str">
        <x:v>C06-G</x:v>
      </x:c>
      <x:c r="B341" s="25" t="str">
        <x:v>盖利德</x:v>
      </x:c>
      <x:c r="C341" s="25" t="str">
        <x:v>半急速毕业</x:v>
      </x:c>
      <x:c r="D341" s="25" t="str">
        <x:v>付费状态</x:v>
      </x:c>
      <x:c r="E341" s="25" t="str">
        <x:v>本类3项（逐项见完整JSON）</x:v>
      </x:c>
      <x:c r="F341" s="25" t="str">
        <x:v>20260903总档</x:v>
      </x:c>
      <x:c r="G341" s="25" t="str">
        <x:v>原表数值</x:v>
      </x:c>
      <x:c r="H341" s="25" t="str">
        <x:v>由同包逐项数据聚合，便于核对</x:v>
      </x:c>
      <x:c r="I341" s="32" t="n">
        <x:v>149</x:v>
      </x:c>
      <x:c r="J341" s="32" t="n">
        <x:v>149</x:v>
      </x:c>
      <x:c r="K341" s="32" t="n">
        <x:v>149</x:v>
      </x:c>
      <x:c r="L341" s="32" t="n">
        <x:v>149</x:v>
      </x:c>
      <x:c r="M341" s="32" t="n">
        <x:v>149</x:v>
      </x:c>
      <x:c r="N341" s="32" t="n">
        <x:v>149</x:v>
      </x:c>
      <x:c r="O341" s="32" t="n">
        <x:v>10000</x:v>
      </x:c>
      <x:c r="P341" s="32"/>
      <x:c r="Q341" s="32"/>
      <x:c r="R341" s="32"/>
      <x:c r="S341" s="32"/>
      <x:c r="T341" s="32"/>
      <x:c r="U341" s="32"/>
      <x:c r="V341" s="32"/>
      <x:c r="W341" s="32"/>
      <x:c r="X341" s="32"/>
      <x:c r="Y341" s="32" t="n">
        <x:v>10</x:v>
      </x:c>
      <x:c r="Z341" s="32"/>
      <x:c r="AA341" s="32"/>
      <x:c r="AB341" s="32" t="n">
        <x:v>20</x:v>
      </x:c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 t="n">
        <x:v>10</x:v>
      </x:c>
      <x:c r="AN341" s="32"/>
      <x:c r="AO341" s="32"/>
      <x:c r="AP341" s="32" t="n">
        <x:v>50</x:v>
      </x:c>
      <x:c r="AQ341" s="32"/>
      <x:c r="AR341" s="32"/>
      <x:c r="AS341" s="32"/>
      <x:c r="AT341" s="32" t="n">
        <x:v>700</x:v>
      </x:c>
      <x:c r="AU341" s="32" t="n">
        <x:v>15</x:v>
      </x:c>
      <x:c r="AV341" s="32"/>
      <x:c r="AW341" s="32"/>
      <x:c r="AX341" s="32"/>
      <x:c r="AY341" s="32"/>
      <x:c r="AZ341" s="32"/>
      <x:c r="BA341" s="32"/>
    </x:row>
    <x:row r="342">
      <x:c r="A342" s="25" t="str">
        <x:v>C06-G</x:v>
      </x:c>
      <x:c r="B342" s="25" t="str">
        <x:v>盖利德</x:v>
      </x:c>
      <x:c r="C342" s="25" t="str">
        <x:v>半急速毕业</x:v>
      </x:c>
      <x:c r="D342" s="25" t="str">
        <x:v>成长装备</x:v>
      </x:c>
      <x:c r="E342" s="25" t="str">
        <x:v>本类2项（逐项见完整JSON）</x:v>
      </x:c>
      <x:c r="F342" s="25" t="str">
        <x:v>20260903总档 / A04</x:v>
      </x:c>
      <x:c r="G342" s="25" t="str">
        <x:v>原表＋支付路径假设</x:v>
      </x:c>
      <x:c r="H342" s="25" t="str">
        <x:v>由同包逐项数据聚合，便于核对</x:v>
      </x:c>
      <x:c r="I342" s="32" t="n">
        <x:v>1100</x:v>
      </x:c>
      <x:c r="J342" s="32" t="n">
        <x:v>1100</x:v>
      </x:c>
      <x:c r="K342" s="32" t="n">
        <x:v>1100</x:v>
      </x:c>
      <x:c r="L342" s="32" t="n">
        <x:v>1100</x:v>
      </x:c>
      <x:c r="M342" s="32" t="n">
        <x:v>1100</x:v>
      </x:c>
      <x:c r="N342" s="32" t="n">
        <x:v>1100</x:v>
      </x:c>
      <x:c r="O342" s="32"/>
      <x:c r="P342" s="32"/>
      <x:c r="Q342" s="32"/>
      <x:c r="R342" s="32"/>
      <x:c r="S342" s="32"/>
      <x:c r="T342" s="32"/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 t="n">
        <x:v>10</x:v>
      </x:c>
      <x:c r="AX342" s="32" t="n">
        <x:v>10</x:v>
      </x:c>
      <x:c r="AY342" s="32"/>
      <x:c r="AZ342" s="32"/>
      <x:c r="BA342" s="32"/>
    </x:row>
    <x:row r="343">
      <x:c r="A343" s="25" t="str">
        <x:v>C06-G</x:v>
      </x:c>
      <x:c r="B343" s="25" t="str">
        <x:v>盖利德</x:v>
      </x:c>
      <x:c r="C343" s="25" t="str">
        <x:v>半急速毕业</x:v>
      </x:c>
      <x:c r="D343" s="25" t="str">
        <x:v>贯穿称号</x:v>
      </x:c>
      <x:c r="E343" s="25" t="str">
        <x:v>本类1项（逐项见完整JSON）</x:v>
      </x:c>
      <x:c r="F343" s="25" t="str">
        <x:v>S04/01_贯穿称号</x:v>
      </x:c>
      <x:c r="G343" s="25" t="str">
        <x:v>原表数值</x:v>
      </x:c>
      <x:c r="H343" s="25" t="str">
        <x:v>由同包逐项数据聚合，便于核对</x:v>
      </x:c>
      <x:c r="I343" s="32" t="n">
        <x:v>8000</x:v>
      </x:c>
      <x:c r="J343" s="32" t="n">
        <x:v>8000</x:v>
      </x:c>
      <x:c r="K343" s="32" t="n">
        <x:v>8000</x:v>
      </x:c>
      <x:c r="L343" s="32" t="n">
        <x:v>8000</x:v>
      </x:c>
      <x:c r="M343" s="32" t="n">
        <x:v>8000</x:v>
      </x:c>
      <x:c r="N343" s="32" t="n">
        <x:v>8000</x:v>
      </x:c>
      <x:c r="O343" s="32" t="n">
        <x:v>800000</x:v>
      </x:c>
      <x:c r="P343" s="32" t="n">
        <x:v>800000</x:v>
      </x:c>
      <x:c r="Q343" s="32"/>
      <x:c r="R343" s="32"/>
      <x:c r="S343" s="32"/>
      <x:c r="T343" s="32"/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 t="n">
        <x:v>2200</x:v>
      </x:c>
      <x:c r="AU343" s="32"/>
      <x:c r="AV343" s="32"/>
      <x:c r="AW343" s="32"/>
      <x:c r="AX343" s="32"/>
      <x:c r="AY343" s="32"/>
      <x:c r="AZ343" s="32"/>
      <x:c r="BA343" s="32"/>
    </x:row>
    <x:row r="344">
      <x:c r="A344" s="25" t="str">
        <x:v>C06-G</x:v>
      </x:c>
      <x:c r="B344" s="25" t="str">
        <x:v>盖利德</x:v>
      </x:c>
      <x:c r="C344" s="25" t="str">
        <x:v>半急速毕业</x:v>
      </x:c>
      <x:c r="D344" s="25" t="str">
        <x:v>神印</x:v>
      </x:c>
      <x:c r="E344" s="25" t="str">
        <x:v>本类1项（逐项见完整JSON）</x:v>
      </x:c>
      <x:c r="F344" s="25" t="str">
        <x:v>S04 / 神印公式</x:v>
      </x:c>
      <x:c r="G344" s="25" t="str">
        <x:v>自给进度假设＋原公式</x:v>
      </x:c>
      <x:c r="H344" s="25" t="str">
        <x:v>由同包逐项数据聚合，便于核对</x:v>
      </x:c>
      <x:c r="I344" s="32" t="n">
        <x:v>14535</x:v>
      </x:c>
      <x:c r="J344" s="32" t="n">
        <x:v>14535</x:v>
      </x:c>
      <x:c r="K344" s="32" t="n">
        <x:v>14535</x:v>
      </x:c>
      <x:c r="L344" s="32" t="n">
        <x:v>14535</x:v>
      </x:c>
      <x:c r="M344" s="32" t="n">
        <x:v>14535</x:v>
      </x:c>
      <x:c r="N344" s="32" t="n">
        <x:v>14535</x:v>
      </x:c>
      <x:c r="O344" s="32" t="n">
        <x:v>1453500</x:v>
      </x:c>
      <x:c r="P344" s="32"/>
      <x:c r="Q344" s="32"/>
      <x:c r="R344" s="32"/>
      <x:c r="S344" s="32"/>
      <x:c r="T344" s="32"/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Y344" s="32"/>
      <x:c r="AZ344" s="32"/>
      <x:c r="BA344" s="32"/>
    </x:row>
    <x:row r="345">
      <x:c r="A345" s="25" t="str">
        <x:v>C06-G</x:v>
      </x:c>
      <x:c r="B345" s="25" t="str">
        <x:v>盖利德</x:v>
      </x:c>
      <x:c r="C345" s="25" t="str">
        <x:v>半急速毕业</x:v>
      </x:c>
      <x:c r="D345" s="25" t="str">
        <x:v>转生</x:v>
      </x:c>
      <x:c r="E345" s="25" t="str">
        <x:v>本类1项（逐项见完整JSON）</x:v>
      </x:c>
      <x:c r="F345" s="25" t="str">
        <x:v>S07/20转</x:v>
      </x:c>
      <x:c r="G345" s="25" t="str">
        <x:v>原表累计</x:v>
      </x:c>
      <x:c r="H345" s="25" t="str">
        <x:v>由同包逐项数据聚合，便于核对</x:v>
      </x:c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32"/>
      <x:c r="U345" s="32"/>
      <x:c r="V345" s="32"/>
      <x:c r="W345" s="32"/>
      <x:c r="X345" s="32" t="n">
        <x:v>0.45</x:v>
      </x:c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Y345" s="32"/>
      <x:c r="AZ345" s="32"/>
      <x:c r="BA345" s="32"/>
    </x:row>
    <x:row r="346">
      <x:c r="A346" s="25" t="str">
        <x:v>C06-G</x:v>
      </x:c>
      <x:c r="B346" s="25" t="str">
        <x:v>盖利德</x:v>
      </x:c>
      <x:c r="C346" s="25" t="str">
        <x:v>半急速毕业</x:v>
      </x:c>
      <x:c r="D346" s="25" t="str">
        <x:v>独立称号</x:v>
      </x:c>
      <x:c r="E346" s="25" t="str">
        <x:v>本类3项（逐项见完整JSON）</x:v>
      </x:c>
      <x:c r="F346" s="25" t="str">
        <x:v>S04/02_独立称号</x:v>
      </x:c>
      <x:c r="G346" s="25" t="str">
        <x:v>原表数值</x:v>
      </x:c>
      <x:c r="H346" s="25" t="str">
        <x:v>由同包逐项数据聚合，便于核对</x:v>
      </x:c>
      <x:c r="I346" s="32" t="n">
        <x:v>1010</x:v>
      </x:c>
      <x:c r="J346" s="32" t="n">
        <x:v>1010</x:v>
      </x:c>
      <x:c r="K346" s="32" t="n">
        <x:v>1010</x:v>
      </x:c>
      <x:c r="L346" s="32" t="n">
        <x:v>1010</x:v>
      </x:c>
      <x:c r="M346" s="32" t="n">
        <x:v>1010</x:v>
      </x:c>
      <x:c r="N346" s="32" t="n">
        <x:v>1010</x:v>
      </x:c>
      <x:c r="O346" s="32" t="n">
        <x:v>101000</x:v>
      </x:c>
      <x:c r="P346" s="32"/>
      <x:c r="Q346" s="32"/>
      <x:c r="R346" s="32"/>
      <x:c r="S346" s="32"/>
      <x:c r="T346" s="32"/>
      <x:c r="U346" s="32"/>
      <x:c r="V346" s="32"/>
      <x:c r="W346" s="32"/>
      <x:c r="X346" s="32" t="n">
        <x:v>0</x:v>
      </x:c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 t="n">
        <x:v>0</x:v>
      </x:c>
      <x:c r="AN346" s="32"/>
      <x:c r="AO346" s="32"/>
      <x:c r="AP346" s="32" t="n">
        <x:v>0</x:v>
      </x:c>
      <x:c r="AQ346" s="32"/>
      <x:c r="AR346" s="32"/>
      <x:c r="AS346" s="32"/>
      <x:c r="AT346" s="32"/>
      <x:c r="AU346" s="32"/>
      <x:c r="AV346" s="32"/>
      <x:c r="AW346" s="32"/>
      <x:c r="AX346" s="32"/>
      <x:c r="AY346" s="32"/>
      <x:c r="AZ346" s="32"/>
      <x:c r="BA346" s="32"/>
    </x:row>
    <x:row r="347">
      <x:c r="A347" s="25" t="str">
        <x:v>C06-G</x:v>
      </x:c>
      <x:c r="B347" s="25" t="str">
        <x:v>盖利德</x:v>
      </x:c>
      <x:c r="C347" s="25" t="str">
        <x:v>半急速毕业</x:v>
      </x:c>
      <x:c r="D347" s="25" t="str">
        <x:v>单件图鉴</x:v>
      </x:c>
      <x:c r="E347" s="25" t="str">
        <x:v>本类1项（逐项见完整JSON）</x:v>
      </x:c>
      <x:c r="F347" s="25" t="str">
        <x:v>S07/collection_single</x:v>
      </x:c>
      <x:c r="G347" s="25" t="str">
        <x:v>原表累计</x:v>
      </x:c>
      <x:c r="H347" s="25" t="str">
        <x:v>由同包逐项数据聚合，便于核对</x:v>
      </x:c>
      <x:c r="I347" s="32" t="n">
        <x:v>1986</x:v>
      </x:c>
      <x:c r="J347" s="32" t="n">
        <x:v>1986</x:v>
      </x:c>
      <x:c r="K347" s="32" t="n">
        <x:v>1986</x:v>
      </x:c>
      <x:c r="L347" s="32" t="n">
        <x:v>1986</x:v>
      </x:c>
      <x:c r="M347" s="32" t="n">
        <x:v>1986</x:v>
      </x:c>
      <x:c r="N347" s="32" t="n">
        <x:v>1986</x:v>
      </x:c>
      <x:c r="O347" s="32" t="n">
        <x:v>198600</x:v>
      </x:c>
      <x:c r="P347" s="32"/>
      <x:c r="Q347" s="32"/>
      <x:c r="R347" s="32"/>
      <x:c r="S347" s="32"/>
      <x:c r="T347" s="32"/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Y347" s="32"/>
      <x:c r="AZ347" s="32"/>
      <x:c r="BA347" s="32"/>
    </x:row>
    <x:row r="348">
      <x:c r="A348" s="25" t="str">
        <x:v>C06-G</x:v>
      </x:c>
      <x:c r="B348" s="25" t="str">
        <x:v>盖利德</x:v>
      </x:c>
      <x:c r="C348" s="25" t="str">
        <x:v>半急速毕业</x:v>
      </x:c>
      <x:c r="D348" s="25" t="str">
        <x:v>地图整页</x:v>
      </x:c>
      <x:c r="E348" s="25" t="str">
        <x:v>本类19项（逐项见完整JSON）</x:v>
      </x:c>
      <x:c r="F348" s="25" t="str">
        <x:v>S07/collection_pages</x:v>
      </x:c>
      <x:c r="G348" s="25" t="str">
        <x:v>原表数值</x:v>
      </x:c>
      <x:c r="H348" s="25" t="str">
        <x:v>由同包逐项数据聚合，便于核对</x:v>
      </x:c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32"/>
      <x:c r="U348" s="32"/>
      <x:c r="V348" s="32"/>
      <x:c r="W348" s="32"/>
      <x:c r="X348" s="32" t="n">
        <x:v>0.37</x:v>
      </x:c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 t="n">
        <x:v>9.5</x:v>
      </x:c>
      <x:c r="AN348" s="32"/>
      <x:c r="AO348" s="32"/>
      <x:c r="AP348" s="32" t="n">
        <x:v>520</x:v>
      </x:c>
      <x:c r="AQ348" s="32"/>
      <x:c r="AR348" s="32"/>
      <x:c r="AS348" s="32"/>
      <x:c r="AT348" s="32"/>
      <x:c r="AU348" s="32"/>
      <x:c r="AV348" s="32"/>
      <x:c r="AW348" s="32"/>
      <x:c r="AX348" s="32"/>
      <x:c r="AY348" s="32"/>
      <x:c r="AZ348" s="32"/>
      <x:c r="BA348" s="32"/>
    </x:row>
    <x:row r="349">
      <x:c r="A349" s="25" t="str">
        <x:v>C06-G</x:v>
      </x:c>
      <x:c r="B349" s="25" t="str">
        <x:v>盖利德</x:v>
      </x:c>
      <x:c r="C349" s="25" t="str">
        <x:v>半急速毕业</x:v>
      </x:c>
      <x:c r="D349" s="25" t="str">
        <x:v>材料图鉴</x:v>
      </x:c>
      <x:c r="E349" s="25" t="str">
        <x:v>本类3项（逐项见完整JSON）</x:v>
      </x:c>
      <x:c r="F349" s="25" t="str">
        <x:v>S07/collection_materials</x:v>
      </x:c>
      <x:c r="G349" s="25" t="str">
        <x:v>原表数值</x:v>
      </x:c>
      <x:c r="H349" s="25" t="str">
        <x:v>由同包逐项数据聚合，便于核对</x:v>
      </x:c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32"/>
      <x:c r="U349" s="32"/>
      <x:c r="V349" s="32"/>
      <x:c r="W349" s="32"/>
      <x:c r="X349" s="32" t="n">
        <x:v>0.19</x:v>
      </x:c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 t="n">
        <x:v>0</x:v>
      </x:c>
      <x:c r="AN349" s="32"/>
      <x:c r="AO349" s="32"/>
      <x:c r="AP349" s="32" t="n">
        <x:v>0</x:v>
      </x:c>
      <x:c r="AQ349" s="32"/>
      <x:c r="AR349" s="32"/>
      <x:c r="AS349" s="32"/>
      <x:c r="AT349" s="32"/>
      <x:c r="AU349" s="32"/>
      <x:c r="AV349" s="32"/>
      <x:c r="AW349" s="32"/>
      <x:c r="AX349" s="32"/>
      <x:c r="AY349" s="32"/>
      <x:c r="AZ349" s="32"/>
      <x:c r="BA349" s="32"/>
    </x:row>
    <x:row r="350">
      <x:c r="A350" s="25" t="str">
        <x:v>C06-G</x:v>
      </x:c>
      <x:c r="B350" s="25" t="str">
        <x:v>盖利德</x:v>
      </x:c>
      <x:c r="C350" s="25" t="str">
        <x:v>半急速毕业</x:v>
      </x:c>
      <x:c r="D350" s="25" t="str">
        <x:v>旧任务</x:v>
      </x:c>
      <x:c r="E350" s="25" t="str">
        <x:v>本类6项（逐项见完整JSON）</x:v>
      </x:c>
      <x:c r="F350" s="25" t="str">
        <x:v>宁姆格福_完整怪物装备任务爆率规划/地图任务；第一大陆_地图魂魄任务.txt</x:v>
      </x:c>
      <x:c r="G350" s="25" t="str">
        <x:v>原件确认；原表数值</x:v>
      </x:c>
      <x:c r="H350" s="25" t="str">
        <x:v>由同包逐项数据聚合，便于核对</x:v>
      </x:c>
      <x:c r="I350" s="32" t="n">
        <x:v>60</x:v>
      </x:c>
      <x:c r="J350" s="32" t="n">
        <x:v>60</x:v>
      </x:c>
      <x:c r="K350" s="32" t="n">
        <x:v>60</x:v>
      </x:c>
      <x:c r="L350" s="32" t="n">
        <x:v>60</x:v>
      </x:c>
      <x:c r="M350" s="32" t="n">
        <x:v>60</x:v>
      </x:c>
      <x:c r="N350" s="32" t="n">
        <x:v>60</x:v>
      </x:c>
      <x:c r="O350" s="32"/>
      <x:c r="P350" s="32"/>
      <x:c r="Q350" s="32"/>
      <x:c r="R350" s="32"/>
      <x:c r="S350" s="32"/>
      <x:c r="T350" s="32"/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 t="n">
        <x:v>2</x:v>
      </x:c>
      <x:c r="AN350" s="32"/>
      <x:c r="AO350" s="32"/>
      <x:c r="AP350" s="32" t="n">
        <x:v>120</x:v>
      </x:c>
      <x:c r="AQ350" s="32"/>
      <x:c r="AR350" s="32"/>
      <x:c r="AS350" s="32"/>
      <x:c r="AT350" s="32"/>
      <x:c r="AU350" s="32"/>
      <x:c r="AV350" s="32"/>
      <x:c r="AW350" s="32"/>
      <x:c r="AX350" s="32"/>
      <x:c r="AY350" s="32"/>
      <x:c r="AZ350" s="32"/>
      <x:c r="BA350" s="32"/>
    </x:row>
    <x:row r="351">
      <x:c r="A351" s="25" t="str">
        <x:v>C06-G</x:v>
      </x:c>
      <x:c r="B351" s="25" t="str">
        <x:v>盖利德</x:v>
      </x:c>
      <x:c r="C351" s="25" t="str">
        <x:v>半急速毕业</x:v>
      </x:c>
      <x:c r="D351" s="25" t="str">
        <x:v>装备</x:v>
      </x:c>
      <x:c r="E351" s="25" t="str">
        <x:v>本类31项（逐项见完整JSON）</x:v>
      </x:c>
      <x:c r="F351" s="25" t="str">
        <x:v>S02；S07</x:v>
      </x:c>
      <x:c r="G351" s="25" t="str">
        <x:v>原表数值</x:v>
      </x:c>
      <x:c r="H351" s="25" t="str">
        <x:v>由同包逐项数据聚合，便于核对</x:v>
      </x:c>
      <x:c r="I351" s="32" t="n">
        <x:v>8009</x:v>
      </x:c>
      <x:c r="J351" s="32" t="n">
        <x:v>15310</x:v>
      </x:c>
      <x:c r="K351" s="32" t="n">
        <x:v>8009</x:v>
      </x:c>
      <x:c r="L351" s="32" t="n">
        <x:v>15310</x:v>
      </x:c>
      <x:c r="M351" s="32" t="n">
        <x:v>8009</x:v>
      </x:c>
      <x:c r="N351" s="32" t="n">
        <x:v>15310</x:v>
      </x:c>
      <x:c r="O351" s="32" t="n">
        <x:v>10515900</x:v>
      </x:c>
      <x:c r="P351" s="32"/>
      <x:c r="Q351" s="32" t="n">
        <x:v>601</x:v>
      </x:c>
      <x:c r="R351" s="32" t="n">
        <x:v>1116</x:v>
      </x:c>
      <x:c r="S351" s="32" t="n">
        <x:v>490</x:v>
      </x:c>
      <x:c r="T351" s="32" t="n">
        <x:v>903</x:v>
      </x:c>
      <x:c r="U351" s="32" t="n">
        <x:v>546</x:v>
      </x:c>
      <x:c r="V351" s="32" t="n">
        <x:v>546</x:v>
      </x:c>
      <x:c r="W351" s="32" t="n">
        <x:v>546</x:v>
      </x:c>
      <x:c r="X351" s="32"/>
      <x:c r="Y351" s="32"/>
      <x:c r="Z351" s="32" t="n">
        <x:v>125</x:v>
      </x:c>
      <x:c r="AA351" s="32" t="n">
        <x:v>40</x:v>
      </x:c>
      <x:c r="AB351" s="32"/>
      <x:c r="AC351" s="32" t="n">
        <x:v>162</x:v>
      </x:c>
      <x:c r="AD351" s="32" t="n">
        <x:v>1</x:v>
      </x:c>
      <x:c r="AE351" s="32" t="n">
        <x:v>25</x:v>
      </x:c>
      <x:c r="AF351" s="32"/>
      <x:c r="AG351" s="32"/>
      <x:c r="AH351" s="32" t="n">
        <x:v>33</x:v>
      </x:c>
      <x:c r="AI351" s="32" t="n">
        <x:v>5</x:v>
      </x:c>
      <x:c r="AJ351" s="32" t="n">
        <x:v>127</x:v>
      </x:c>
      <x:c r="AK351" s="32"/>
      <x:c r="AL351" s="32"/>
      <x:c r="AM351" s="32"/>
      <x:c r="AN351" s="32" t="n">
        <x:v>20</x:v>
      </x:c>
      <x:c r="AO351" s="32" t="n">
        <x:v>0.2</x:v>
      </x:c>
      <x:c r="AP351" s="32" t="n">
        <x:v>38</x:v>
      </x:c>
      <x:c r="AQ351" s="32" t="n">
        <x:v>75</x:v>
      </x:c>
      <x:c r="AR351" s="32"/>
      <x:c r="AS351" s="32" t="n">
        <x:v>8</x:v>
      </x:c>
      <x:c r="AT351" s="32"/>
      <x:c r="AU351" s="32"/>
      <x:c r="AV351" s="32"/>
      <x:c r="AW351" s="32" t="n">
        <x:v>2</x:v>
      </x:c>
      <x:c r="AX351" s="32"/>
      <x:c r="AY351" s="32"/>
      <x:c r="AZ351" s="32" t="n">
        <x:v>7</x:v>
      </x:c>
      <x:c r="BA351" s="32"/>
    </x:row>
    <x:row r="352">
      <x:c r="A352" s="25" t="str">
        <x:v>C06-G</x:v>
      </x:c>
      <x:c r="B352" s="25" t="str">
        <x:v>盖利德</x:v>
      </x:c>
      <x:c r="C352" s="25" t="str">
        <x:v>半急速毕业</x:v>
      </x:c>
      <x:c r="D352" s="25" t="str">
        <x:v>洗练</x:v>
      </x:c>
      <x:c r="E352" s="25" t="str">
        <x:v>本类10项（逐项见完整JSON）</x:v>
      </x:c>
      <x:c r="F352" s="25" t="str">
        <x:v>S06＋固定种子</x:v>
      </x:c>
      <x:c r="G352" s="25" t="str">
        <x:v>可实现随机样本</x:v>
      </x:c>
      <x:c r="H352" s="25" t="str">
        <x:v>由同包逐项数据聚合，便于核对</x:v>
      </x:c>
      <x:c r="I352" s="32" t="n">
        <x:v>169</x:v>
      </x:c>
      <x:c r="J352" s="32" t="n">
        <x:v>169</x:v>
      </x:c>
      <x:c r="K352" s="32" t="n">
        <x:v>739</x:v>
      </x:c>
      <x:c r="L352" s="32" t="n">
        <x:v>739</x:v>
      </x:c>
      <x:c r="M352" s="32" t="n">
        <x:v>79</x:v>
      </x:c>
      <x:c r="N352" s="32" t="n">
        <x:v>79</x:v>
      </x:c>
      <x:c r="O352" s="32"/>
      <x:c r="P352" s="32"/>
      <x:c r="Q352" s="32"/>
      <x:c r="R352" s="32"/>
      <x:c r="S352" s="32"/>
      <x:c r="T352" s="32"/>
      <x:c r="U352" s="32" t="n">
        <x:v>508</x:v>
      </x:c>
      <x:c r="V352" s="32"/>
      <x:c r="W352" s="32"/>
      <x:c r="X352" s="32"/>
      <x:c r="Y352" s="32" t="n">
        <x:v>3</x:v>
      </x:c>
      <x:c r="Z352" s="32"/>
      <x:c r="AA352" s="32"/>
      <x:c r="AB352" s="32" t="n">
        <x:v>1</x:v>
      </x:c>
      <x:c r="AC352" s="32"/>
      <x:c r="AD352" s="32" t="n">
        <x:v>1</x:v>
      </x:c>
      <x:c r="AE352" s="32"/>
      <x:c r="AF352" s="32"/>
      <x:c r="AG352" s="32"/>
      <x:c r="AH352" s="32" t="n">
        <x:v>3</x:v>
      </x:c>
      <x:c r="AI352" s="32"/>
      <x:c r="AJ352" s="32"/>
      <x:c r="AK352" s="32"/>
      <x:c r="AL352" s="32"/>
      <x:c r="AM352" s="32" t="n">
        <x:v>3</x:v>
      </x:c>
      <x:c r="AN352" s="32" t="n">
        <x:v>5</x:v>
      </x:c>
      <x:c r="AO352" s="32"/>
      <x:c r="AP352" s="32" t="n">
        <x:v>20</x:v>
      </x:c>
      <x:c r="AQ352" s="32"/>
      <x:c r="AR352" s="32"/>
      <x:c r="AS352" s="32"/>
      <x:c r="AT352" s="32"/>
      <x:c r="AU352" s="32" t="n">
        <x:v>2</x:v>
      </x:c>
      <x:c r="AV352" s="32"/>
      <x:c r="AW352" s="32"/>
      <x:c r="AX352" s="32"/>
      <x:c r="AY352" s="32"/>
      <x:c r="AZ352" s="32"/>
      <x:c r="BA352" s="32"/>
    </x:row>
    <x:row r="353">
      <x:c r="A353" s="25" t="str">
        <x:v>C06-G</x:v>
      </x:c>
      <x:c r="B353" s="25" t="str">
        <x:v>盖利德</x:v>
      </x:c>
      <x:c r="C353" s="25" t="str">
        <x:v>半急速毕业</x:v>
      </x:c>
      <x:c r="D353" s="25" t="str">
        <x:v>命格</x:v>
      </x:c>
      <x:c r="E353" s="25" t="str">
        <x:v>本类6项（逐项见完整JSON）</x:v>
      </x:c>
      <x:c r="F353" s="25" t="str">
        <x:v>S03/命格ID1081；S03/命格ID1089；S03/命格ID1090；S03/命格ID1092；S03/命格ID1093；S03/命格ID1097</x:v>
      </x:c>
      <x:c r="G353" s="25" t="str">
        <x:v>原表彩色＋选配假设</x:v>
      </x:c>
      <x:c r="H353" s="25" t="str">
        <x:v>由同包逐项数据聚合，便于核对</x:v>
      </x:c>
      <x:c r="I353" s="32"/>
      <x:c r="J353" s="32"/>
      <x:c r="K353" s="32"/>
      <x:c r="L353" s="32"/>
      <x:c r="M353" s="32"/>
      <x:c r="N353" s="32"/>
      <x:c r="O353" s="32" t="n">
        <x:v>1500</x:v>
      </x:c>
      <x:c r="P353" s="32"/>
      <x:c r="Q353" s="32"/>
      <x:c r="R353" s="32"/>
      <x:c r="S353" s="32"/>
      <x:c r="T353" s="32"/>
      <x:c r="U353" s="32" t="n">
        <x:v>3</x:v>
      </x:c>
      <x:c r="V353" s="32"/>
      <x:c r="W353" s="32"/>
      <x:c r="X353" s="32"/>
      <x:c r="Y353" s="32" t="n">
        <x:v>6</x:v>
      </x:c>
      <x:c r="Z353" s="32" t="n">
        <x:v>3</x:v>
      </x:c>
      <x:c r="AA353" s="32" t="n">
        <x:v>5</x:v>
      </x:c>
      <x:c r="AB353" s="32"/>
      <x:c r="AC353" s="32"/>
      <x:c r="AD353" s="32"/>
      <x:c r="AE353" s="32"/>
      <x:c r="AF353" s="32"/>
      <x:c r="AG353" s="32"/>
      <x:c r="AH353" s="32" t="n">
        <x:v>2</x:v>
      </x:c>
      <x:c r="AI353" s="32"/>
      <x:c r="AJ353" s="32" t="n">
        <x:v>10</x:v>
      </x:c>
      <x:c r="AK353" s="32"/>
      <x:c r="AL353" s="32"/>
      <x:c r="AM353" s="32"/>
      <x:c r="AN353" s="32"/>
      <x:c r="AO353" s="32"/>
      <x:c r="AP353" s="32"/>
      <x:c r="AQ353" s="32" t="n">
        <x:v>6</x:v>
      </x:c>
      <x:c r="AR353" s="32" t="n">
        <x:v>3</x:v>
      </x:c>
      <x:c r="AS353" s="32" t="n">
        <x:v>0.75</x:v>
      </x:c>
      <x:c r="AT353" s="32" t="n">
        <x:v>50</x:v>
      </x:c>
      <x:c r="AU353" s="32" t="n">
        <x:v>2</x:v>
      </x:c>
      <x:c r="AV353" s="32" t="n">
        <x:v>3</x:v>
      </x:c>
      <x:c r="AW353" s="32"/>
      <x:c r="AX353" s="32"/>
      <x:c r="AY353" s="32"/>
      <x:c r="AZ353" s="32"/>
      <x:c r="BA353" s="32"/>
    </x:row>
    <x:row r="354">
      <x:c r="A354" s="25" t="str">
        <x:v>C06-G</x:v>
      </x:c>
      <x:c r="B354" s="25" t="str">
        <x:v>盖利德</x:v>
      </x:c>
      <x:c r="C354" s="25" t="str">
        <x:v>半急速毕业</x:v>
      </x:c>
      <x:c r="D354" s="25" t="str">
        <x:v>后天幸运</x:v>
      </x:c>
      <x:c r="E354" s="25" t="str">
        <x:v>本类1项（逐项见完整JSON）</x:v>
      </x:c>
      <x:c r="F354" s="25" t="str">
        <x:v>A08</x:v>
      </x:c>
      <x:c r="G354" s="25" t="str">
        <x:v>人物永久进度</x:v>
      </x:c>
      <x:c r="H354" s="25" t="str">
        <x:v>由同包逐项数据聚合，便于核对</x:v>
      </x:c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32"/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 t="n">
        <x:v>7</x:v>
      </x:c>
      <x:c r="AL354" s="32" t="n">
        <x:v>8</x:v>
      </x:c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Y354" s="32"/>
      <x:c r="AZ354" s="32"/>
      <x:c r="BA354" s="32"/>
    </x:row>
    <x:row r="355">
      <x:c r="A355" s="25" t="str">
        <x:v>C06-G</x:v>
      </x:c>
      <x:c r="B355" s="25" t="str">
        <x:v>盖利德</x:v>
      </x:c>
      <x:c r="C355" s="25" t="str">
        <x:v>半急速毕业</x:v>
      </x:c>
      <x:c r="D355" s="25" t="str">
        <x:v>回收预算</x:v>
      </x:c>
      <x:c r="E355" s="25" t="str">
        <x:v>本类1项（逐项见完整JSON）</x:v>
      </x:c>
      <x:c r="F355" s="25" t="str">
        <x:v>用户总回收50%</x:v>
      </x:c>
      <x:c r="G355" s="25" t="str">
        <x:v>经济输入，不是新增属性来源</x:v>
      </x:c>
      <x:c r="H355" s="25" t="str">
        <x:v>由同包逐项数据聚合，便于核对</x:v>
      </x:c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32"/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Y355" s="32"/>
      <x:c r="AZ355" s="32"/>
      <x:c r="BA355" s="32" t="n">
        <x:v>50</x:v>
      </x:c>
    </x:row>
    <x:row r="356">
      <x:c r="A356" s="25" t="str">
        <x:v>C06-X</x:v>
      </x:c>
      <x:c r="B356" s="25" t="str">
        <x:v>盖利德</x:v>
      </x:c>
      <x:c r="C356" s="25" t="str">
        <x:v>极端压力</x:v>
      </x:c>
      <x:c r="D356" s="25" t="str">
        <x:v>人物自然</x:v>
      </x:c>
      <x:c r="E356" s="25" t="str">
        <x:v>本类1项（逐项见完整JSON）</x:v>
      </x:c>
      <x:c r="F356" s="25" t="str">
        <x:v>A01</x:v>
      </x:c>
      <x:c r="G356" s="25" t="str">
        <x:v>模型假设</x:v>
      </x:c>
      <x:c r="H356" s="25" t="str">
        <x:v>由同包逐项数据聚合，便于核对</x:v>
      </x:c>
      <x:c r="I356" s="32" t="n">
        <x:v>19</x:v>
      </x:c>
      <x:c r="J356" s="32" t="n">
        <x:v>43</x:v>
      </x:c>
      <x:c r="K356" s="32"/>
      <x:c r="L356" s="32"/>
      <x:c r="M356" s="32"/>
      <x:c r="N356" s="32"/>
      <x:c r="O356" s="32" t="n">
        <x:v>3400</x:v>
      </x:c>
      <x:c r="P356" s="32" t="n">
        <x:v>800</x:v>
      </x:c>
      <x:c r="Q356" s="32"/>
      <x:c r="R356" s="32"/>
      <x:c r="S356" s="32"/>
      <x:c r="T356" s="32"/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Y356" s="32"/>
      <x:c r="AZ356" s="32"/>
      <x:c r="BA356" s="32"/>
    </x:row>
    <x:row r="357">
      <x:c r="A357" s="25" t="str">
        <x:v>C06-X</x:v>
      </x:c>
      <x:c r="B357" s="25" t="str">
        <x:v>盖利德</x:v>
      </x:c>
      <x:c r="C357" s="25" t="str">
        <x:v>极端压力</x:v>
      </x:c>
      <x:c r="D357" s="25" t="str">
        <x:v>付费状态</x:v>
      </x:c>
      <x:c r="E357" s="25" t="str">
        <x:v>本类3项（逐项见完整JSON）</x:v>
      </x:c>
      <x:c r="F357" s="25" t="str">
        <x:v>20260903总档</x:v>
      </x:c>
      <x:c r="G357" s="25" t="str">
        <x:v>原表数值</x:v>
      </x:c>
      <x:c r="H357" s="25" t="str">
        <x:v>由同包逐项数据聚合，便于核对</x:v>
      </x:c>
      <x:c r="I357" s="32" t="n">
        <x:v>149</x:v>
      </x:c>
      <x:c r="J357" s="32" t="n">
        <x:v>149</x:v>
      </x:c>
      <x:c r="K357" s="32" t="n">
        <x:v>149</x:v>
      </x:c>
      <x:c r="L357" s="32" t="n">
        <x:v>149</x:v>
      </x:c>
      <x:c r="M357" s="32" t="n">
        <x:v>149</x:v>
      </x:c>
      <x:c r="N357" s="32" t="n">
        <x:v>149</x:v>
      </x:c>
      <x:c r="O357" s="32" t="n">
        <x:v>10000</x:v>
      </x:c>
      <x:c r="P357" s="32"/>
      <x:c r="Q357" s="32"/>
      <x:c r="R357" s="32"/>
      <x:c r="S357" s="32"/>
      <x:c r="T357" s="32"/>
      <x:c r="U357" s="32"/>
      <x:c r="V357" s="32"/>
      <x:c r="W357" s="32"/>
      <x:c r="X357" s="32"/>
      <x:c r="Y357" s="32" t="n">
        <x:v>10</x:v>
      </x:c>
      <x:c r="Z357" s="32"/>
      <x:c r="AA357" s="32"/>
      <x:c r="AB357" s="32" t="n">
        <x:v>20</x:v>
      </x:c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 t="n">
        <x:v>10</x:v>
      </x:c>
      <x:c r="AN357" s="32"/>
      <x:c r="AO357" s="32"/>
      <x:c r="AP357" s="32" t="n">
        <x:v>50</x:v>
      </x:c>
      <x:c r="AQ357" s="32"/>
      <x:c r="AR357" s="32"/>
      <x:c r="AS357" s="32"/>
      <x:c r="AT357" s="32" t="n">
        <x:v>700</x:v>
      </x:c>
      <x:c r="AU357" s="32" t="n">
        <x:v>15</x:v>
      </x:c>
      <x:c r="AV357" s="32"/>
      <x:c r="AW357" s="32"/>
      <x:c r="AX357" s="32"/>
      <x:c r="AY357" s="32"/>
      <x:c r="AZ357" s="32"/>
      <x:c r="BA357" s="32"/>
    </x:row>
    <x:row r="358">
      <x:c r="A358" s="25" t="str">
        <x:v>C06-X</x:v>
      </x:c>
      <x:c r="B358" s="25" t="str">
        <x:v>盖利德</x:v>
      </x:c>
      <x:c r="C358" s="25" t="str">
        <x:v>极端压力</x:v>
      </x:c>
      <x:c r="D358" s="25" t="str">
        <x:v>成长装备</x:v>
      </x:c>
      <x:c r="E358" s="25" t="str">
        <x:v>本类2项（逐项见完整JSON）</x:v>
      </x:c>
      <x:c r="F358" s="25" t="str">
        <x:v>20260903总档 / A04</x:v>
      </x:c>
      <x:c r="G358" s="25" t="str">
        <x:v>原表＋支付路径假设</x:v>
      </x:c>
      <x:c r="H358" s="25" t="str">
        <x:v>由同包逐项数据聚合，便于核对</x:v>
      </x:c>
      <x:c r="I358" s="32" t="n">
        <x:v>1100</x:v>
      </x:c>
      <x:c r="J358" s="32" t="n">
        <x:v>1100</x:v>
      </x:c>
      <x:c r="K358" s="32" t="n">
        <x:v>1100</x:v>
      </x:c>
      <x:c r="L358" s="32" t="n">
        <x:v>1100</x:v>
      </x:c>
      <x:c r="M358" s="32" t="n">
        <x:v>1100</x:v>
      </x:c>
      <x:c r="N358" s="32" t="n">
        <x:v>1100</x:v>
      </x:c>
      <x:c r="O358" s="32"/>
      <x:c r="P358" s="32"/>
      <x:c r="Q358" s="32"/>
      <x:c r="R358" s="32"/>
      <x:c r="S358" s="32"/>
      <x:c r="T358" s="32"/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 t="n">
        <x:v>10</x:v>
      </x:c>
      <x:c r="AX358" s="32" t="n">
        <x:v>10</x:v>
      </x:c>
      <x:c r="AY358" s="32"/>
      <x:c r="AZ358" s="32"/>
      <x:c r="BA358" s="32"/>
    </x:row>
    <x:row r="359">
      <x:c r="A359" s="25" t="str">
        <x:v>C06-X</x:v>
      </x:c>
      <x:c r="B359" s="25" t="str">
        <x:v>盖利德</x:v>
      </x:c>
      <x:c r="C359" s="25" t="str">
        <x:v>极端压力</x:v>
      </x:c>
      <x:c r="D359" s="25" t="str">
        <x:v>贯穿称号</x:v>
      </x:c>
      <x:c r="E359" s="25" t="str">
        <x:v>本类1项（逐项见完整JSON）</x:v>
      </x:c>
      <x:c r="F359" s="25" t="str">
        <x:v>S04/01_贯穿称号</x:v>
      </x:c>
      <x:c r="G359" s="25" t="str">
        <x:v>原表数值</x:v>
      </x:c>
      <x:c r="H359" s="25" t="str">
        <x:v>由同包逐项数据聚合，便于核对</x:v>
      </x:c>
      <x:c r="I359" s="32" t="n">
        <x:v>8000</x:v>
      </x:c>
      <x:c r="J359" s="32" t="n">
        <x:v>8000</x:v>
      </x:c>
      <x:c r="K359" s="32" t="n">
        <x:v>8000</x:v>
      </x:c>
      <x:c r="L359" s="32" t="n">
        <x:v>8000</x:v>
      </x:c>
      <x:c r="M359" s="32" t="n">
        <x:v>8000</x:v>
      </x:c>
      <x:c r="N359" s="32" t="n">
        <x:v>8000</x:v>
      </x:c>
      <x:c r="O359" s="32" t="n">
        <x:v>800000</x:v>
      </x:c>
      <x:c r="P359" s="32" t="n">
        <x:v>800000</x:v>
      </x:c>
      <x:c r="Q359" s="32"/>
      <x:c r="R359" s="32"/>
      <x:c r="S359" s="32"/>
      <x:c r="T359" s="32"/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 t="n">
        <x:v>2200</x:v>
      </x:c>
      <x:c r="AU359" s="32"/>
      <x:c r="AV359" s="32"/>
      <x:c r="AW359" s="32"/>
      <x:c r="AX359" s="32"/>
      <x:c r="AY359" s="32"/>
      <x:c r="AZ359" s="32"/>
      <x:c r="BA359" s="32"/>
    </x:row>
    <x:row r="360">
      <x:c r="A360" s="25" t="str">
        <x:v>C06-X</x:v>
      </x:c>
      <x:c r="B360" s="25" t="str">
        <x:v>盖利德</x:v>
      </x:c>
      <x:c r="C360" s="25" t="str">
        <x:v>极端压力</x:v>
      </x:c>
      <x:c r="D360" s="25" t="str">
        <x:v>神印</x:v>
      </x:c>
      <x:c r="E360" s="25" t="str">
        <x:v>本类1项（逐项见完整JSON）</x:v>
      </x:c>
      <x:c r="F360" s="25" t="str">
        <x:v>S04 / 神印公式</x:v>
      </x:c>
      <x:c r="G360" s="25" t="str">
        <x:v>自给进度假设＋原公式</x:v>
      </x:c>
      <x:c r="H360" s="25" t="str">
        <x:v>由同包逐项数据聚合，便于核对</x:v>
      </x:c>
      <x:c r="I360" s="32" t="n">
        <x:v>14535</x:v>
      </x:c>
      <x:c r="J360" s="32" t="n">
        <x:v>14535</x:v>
      </x:c>
      <x:c r="K360" s="32" t="n">
        <x:v>14535</x:v>
      </x:c>
      <x:c r="L360" s="32" t="n">
        <x:v>14535</x:v>
      </x:c>
      <x:c r="M360" s="32" t="n">
        <x:v>14535</x:v>
      </x:c>
      <x:c r="N360" s="32" t="n">
        <x:v>14535</x:v>
      </x:c>
      <x:c r="O360" s="32" t="n">
        <x:v>1453500</x:v>
      </x:c>
      <x:c r="P360" s="32"/>
      <x:c r="Q360" s="32"/>
      <x:c r="R360" s="32"/>
      <x:c r="S360" s="32"/>
      <x:c r="T360" s="32"/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Y360" s="32"/>
      <x:c r="AZ360" s="32"/>
      <x:c r="BA360" s="32"/>
    </x:row>
    <x:row r="361">
      <x:c r="A361" s="25" t="str">
        <x:v>C06-X</x:v>
      </x:c>
      <x:c r="B361" s="25" t="str">
        <x:v>盖利德</x:v>
      </x:c>
      <x:c r="C361" s="25" t="str">
        <x:v>极端压力</x:v>
      </x:c>
      <x:c r="D361" s="25" t="str">
        <x:v>转生</x:v>
      </x:c>
      <x:c r="E361" s="25" t="str">
        <x:v>本类1项（逐项见完整JSON）</x:v>
      </x:c>
      <x:c r="F361" s="25" t="str">
        <x:v>S07/20转</x:v>
      </x:c>
      <x:c r="G361" s="25" t="str">
        <x:v>原表累计</x:v>
      </x:c>
      <x:c r="H361" s="25" t="str">
        <x:v>由同包逐项数据聚合，便于核对</x:v>
      </x:c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32"/>
      <x:c r="U361" s="32"/>
      <x:c r="V361" s="32"/>
      <x:c r="W361" s="32"/>
      <x:c r="X361" s="32" t="n">
        <x:v>0.45</x:v>
      </x:c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Y361" s="32"/>
      <x:c r="AZ361" s="32"/>
      <x:c r="BA361" s="32"/>
    </x:row>
    <x:row r="362">
      <x:c r="A362" s="25" t="str">
        <x:v>C06-X</x:v>
      </x:c>
      <x:c r="B362" s="25" t="str">
        <x:v>盖利德</x:v>
      </x:c>
      <x:c r="C362" s="25" t="str">
        <x:v>极端压力</x:v>
      </x:c>
      <x:c r="D362" s="25" t="str">
        <x:v>独立称号</x:v>
      </x:c>
      <x:c r="E362" s="25" t="str">
        <x:v>本类3项（逐项见完整JSON）</x:v>
      </x:c>
      <x:c r="F362" s="25" t="str">
        <x:v>S04/02_独立称号</x:v>
      </x:c>
      <x:c r="G362" s="25" t="str">
        <x:v>原表数值</x:v>
      </x:c>
      <x:c r="H362" s="25" t="str">
        <x:v>由同包逐项数据聚合，便于核对</x:v>
      </x:c>
      <x:c r="I362" s="32" t="n">
        <x:v>1010</x:v>
      </x:c>
      <x:c r="J362" s="32" t="n">
        <x:v>1010</x:v>
      </x:c>
      <x:c r="K362" s="32" t="n">
        <x:v>1010</x:v>
      </x:c>
      <x:c r="L362" s="32" t="n">
        <x:v>1010</x:v>
      </x:c>
      <x:c r="M362" s="32" t="n">
        <x:v>1010</x:v>
      </x:c>
      <x:c r="N362" s="32" t="n">
        <x:v>1010</x:v>
      </x:c>
      <x:c r="O362" s="32" t="n">
        <x:v>101000</x:v>
      </x:c>
      <x:c r="P362" s="32"/>
      <x:c r="Q362" s="32"/>
      <x:c r="R362" s="32"/>
      <x:c r="S362" s="32"/>
      <x:c r="T362" s="32"/>
      <x:c r="U362" s="32"/>
      <x:c r="V362" s="32"/>
      <x:c r="W362" s="32"/>
      <x:c r="X362" s="32" t="n">
        <x:v>0</x:v>
      </x:c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 t="n">
        <x:v>0</x:v>
      </x:c>
      <x:c r="AN362" s="32"/>
      <x:c r="AO362" s="32"/>
      <x:c r="AP362" s="32" t="n">
        <x:v>0</x:v>
      </x:c>
      <x:c r="AQ362" s="32"/>
      <x:c r="AR362" s="32"/>
      <x:c r="AS362" s="32"/>
      <x:c r="AT362" s="32"/>
      <x:c r="AU362" s="32"/>
      <x:c r="AV362" s="32"/>
      <x:c r="AW362" s="32"/>
      <x:c r="AX362" s="32"/>
      <x:c r="AY362" s="32"/>
      <x:c r="AZ362" s="32"/>
      <x:c r="BA362" s="32"/>
    </x:row>
    <x:row r="363">
      <x:c r="A363" s="25" t="str">
        <x:v>C06-X</x:v>
      </x:c>
      <x:c r="B363" s="25" t="str">
        <x:v>盖利德</x:v>
      </x:c>
      <x:c r="C363" s="25" t="str">
        <x:v>极端压力</x:v>
      </x:c>
      <x:c r="D363" s="25" t="str">
        <x:v>单件图鉴</x:v>
      </x:c>
      <x:c r="E363" s="25" t="str">
        <x:v>本类1项（逐项见完整JSON）</x:v>
      </x:c>
      <x:c r="F363" s="25" t="str">
        <x:v>S07/collection_single</x:v>
      </x:c>
      <x:c r="G363" s="25" t="str">
        <x:v>原表累计</x:v>
      </x:c>
      <x:c r="H363" s="25" t="str">
        <x:v>由同包逐项数据聚合，便于核对</x:v>
      </x:c>
      <x:c r="I363" s="32" t="n">
        <x:v>3031</x:v>
      </x:c>
      <x:c r="J363" s="32" t="n">
        <x:v>3031</x:v>
      </x:c>
      <x:c r="K363" s="32" t="n">
        <x:v>3031</x:v>
      </x:c>
      <x:c r="L363" s="32" t="n">
        <x:v>3031</x:v>
      </x:c>
      <x:c r="M363" s="32" t="n">
        <x:v>3031</x:v>
      </x:c>
      <x:c r="N363" s="32" t="n">
        <x:v>3031</x:v>
      </x:c>
      <x:c r="O363" s="32" t="n">
        <x:v>303100</x:v>
      </x:c>
      <x:c r="P363" s="32"/>
      <x:c r="Q363" s="32"/>
      <x:c r="R363" s="32"/>
      <x:c r="S363" s="32"/>
      <x:c r="T363" s="32"/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Y363" s="32"/>
      <x:c r="AZ363" s="32"/>
      <x:c r="BA363" s="32"/>
    </x:row>
    <x:row r="364">
      <x:c r="A364" s="25" t="str">
        <x:v>C06-X</x:v>
      </x:c>
      <x:c r="B364" s="25" t="str">
        <x:v>盖利德</x:v>
      </x:c>
      <x:c r="C364" s="25" t="str">
        <x:v>极端压力</x:v>
      </x:c>
      <x:c r="D364" s="25" t="str">
        <x:v>地图整页</x:v>
      </x:c>
      <x:c r="E364" s="25" t="str">
        <x:v>本类29项（逐项见完整JSON）</x:v>
      </x:c>
      <x:c r="F364" s="25" t="str">
        <x:v>S07/collection_pages</x:v>
      </x:c>
      <x:c r="G364" s="25" t="str">
        <x:v>原表数值</x:v>
      </x:c>
      <x:c r="H364" s="25" t="str">
        <x:v>由同包逐项数据聚合，便于核对</x:v>
      </x:c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32"/>
      <x:c r="U364" s="32"/>
      <x:c r="V364" s="32"/>
      <x:c r="W364" s="32"/>
      <x:c r="X364" s="32" t="n">
        <x:v>0.5900000000000002</x:v>
      </x:c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 t="n">
        <x:v>14.5</x:v>
      </x:c>
      <x:c r="AN364" s="32"/>
      <x:c r="AO364" s="32"/>
      <x:c r="AP364" s="32" t="n">
        <x:v>820</x:v>
      </x:c>
      <x:c r="AQ364" s="32"/>
      <x:c r="AR364" s="32"/>
      <x:c r="AS364" s="32"/>
      <x:c r="AT364" s="32"/>
      <x:c r="AU364" s="32"/>
      <x:c r="AV364" s="32"/>
      <x:c r="AW364" s="32"/>
      <x:c r="AX364" s="32"/>
      <x:c r="AY364" s="32"/>
      <x:c r="AZ364" s="32"/>
      <x:c r="BA364" s="32"/>
    </x:row>
    <x:row r="365">
      <x:c r="A365" s="25" t="str">
        <x:v>C06-X</x:v>
      </x:c>
      <x:c r="B365" s="25" t="str">
        <x:v>盖利德</x:v>
      </x:c>
      <x:c r="C365" s="25" t="str">
        <x:v>极端压力</x:v>
      </x:c>
      <x:c r="D365" s="25" t="str">
        <x:v>大陆全收集</x:v>
      </x:c>
      <x:c r="E365" s="25" t="str">
        <x:v>本类6项（逐项见完整JSON）</x:v>
      </x:c>
      <x:c r="F365" s="25" t="str">
        <x:v>S07/collection_continents</x:v>
      </x:c>
      <x:c r="G365" s="25" t="str">
        <x:v>原表累计</x:v>
      </x:c>
      <x:c r="H365" s="25" t="str">
        <x:v>由同包逐项数据聚合，便于核对</x:v>
      </x:c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32"/>
      <x:c r="U365" s="32"/>
      <x:c r="V365" s="32"/>
      <x:c r="W365" s="32"/>
      <x:c r="X365" s="32"/>
      <x:c r="Y365" s="32"/>
      <x:c r="Z365" s="32"/>
      <x:c r="AA365" s="32"/>
      <x:c r="AB365" s="32" t="n">
        <x:v>11</x:v>
      </x:c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Y365" s="32"/>
      <x:c r="AZ365" s="32"/>
      <x:c r="BA365" s="32"/>
    </x:row>
    <x:row r="366">
      <x:c r="A366" s="25" t="str">
        <x:v>C06-X</x:v>
      </x:c>
      <x:c r="B366" s="25" t="str">
        <x:v>盖利德</x:v>
      </x:c>
      <x:c r="C366" s="25" t="str">
        <x:v>极端压力</x:v>
      </x:c>
      <x:c r="D366" s="25" t="str">
        <x:v>材料图鉴</x:v>
      </x:c>
      <x:c r="E366" s="25" t="str">
        <x:v>本类4项（逐项见完整JSON）</x:v>
      </x:c>
      <x:c r="F366" s="25" t="str">
        <x:v>S07/collection_materials</x:v>
      </x:c>
      <x:c r="G366" s="25" t="str">
        <x:v>原表数值</x:v>
      </x:c>
      <x:c r="H366" s="25" t="str">
        <x:v>由同包逐项数据聚合，便于核对</x:v>
      </x:c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32"/>
      <x:c r="U366" s="32"/>
      <x:c r="V366" s="32"/>
      <x:c r="W366" s="32"/>
      <x:c r="X366" s="32" t="n">
        <x:v>0.29000000000000004</x:v>
      </x:c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 t="n">
        <x:v>0</x:v>
      </x:c>
      <x:c r="AN366" s="32"/>
      <x:c r="AO366" s="32"/>
      <x:c r="AP366" s="32" t="n">
        <x:v>0</x:v>
      </x:c>
      <x:c r="AQ366" s="32"/>
      <x:c r="AR366" s="32"/>
      <x:c r="AS366" s="32"/>
      <x:c r="AT366" s="32"/>
      <x:c r="AU366" s="32"/>
      <x:c r="AV366" s="32"/>
      <x:c r="AW366" s="32"/>
      <x:c r="AX366" s="32"/>
      <x:c r="AY366" s="32"/>
      <x:c r="AZ366" s="32"/>
      <x:c r="BA366" s="32"/>
    </x:row>
    <x:row r="367">
      <x:c r="A367" s="25" t="str">
        <x:v>C06-X</x:v>
      </x:c>
      <x:c r="B367" s="25" t="str">
        <x:v>盖利德</x:v>
      </x:c>
      <x:c r="C367" s="25" t="str">
        <x:v>极端压力</x:v>
      </x:c>
      <x:c r="D367" s="25" t="str">
        <x:v>旧任务</x:v>
      </x:c>
      <x:c r="E367" s="25" t="str">
        <x:v>本类6项（逐项见完整JSON）</x:v>
      </x:c>
      <x:c r="F367" s="25" t="str">
        <x:v>宁姆格福_完整怪物装备任务爆率规划/地图任务；第一大陆_地图魂魄任务.txt</x:v>
      </x:c>
      <x:c r="G367" s="25" t="str">
        <x:v>原件确认；原表数值</x:v>
      </x:c>
      <x:c r="H367" s="25" t="str">
        <x:v>由同包逐项数据聚合，便于核对</x:v>
      </x:c>
      <x:c r="I367" s="32" t="n">
        <x:v>90</x:v>
      </x:c>
      <x:c r="J367" s="32" t="n">
        <x:v>90</x:v>
      </x:c>
      <x:c r="K367" s="32" t="n">
        <x:v>90</x:v>
      </x:c>
      <x:c r="L367" s="32" t="n">
        <x:v>90</x:v>
      </x:c>
      <x:c r="M367" s="32" t="n">
        <x:v>90</x:v>
      </x:c>
      <x:c r="N367" s="32" t="n">
        <x:v>90</x:v>
      </x:c>
      <x:c r="O367" s="32"/>
      <x:c r="P367" s="32"/>
      <x:c r="Q367" s="32"/>
      <x:c r="R367" s="32"/>
      <x:c r="S367" s="32"/>
      <x:c r="T367" s="32"/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 t="n">
        <x:v>2</x:v>
      </x:c>
      <x:c r="AN367" s="32"/>
      <x:c r="AO367" s="32"/>
      <x:c r="AP367" s="32" t="n">
        <x:v>140</x:v>
      </x:c>
      <x:c r="AQ367" s="32"/>
      <x:c r="AR367" s="32"/>
      <x:c r="AS367" s="32"/>
      <x:c r="AT367" s="32"/>
      <x:c r="AU367" s="32"/>
      <x:c r="AV367" s="32"/>
      <x:c r="AW367" s="32"/>
      <x:c r="AX367" s="32"/>
      <x:c r="AY367" s="32"/>
      <x:c r="AZ367" s="32"/>
      <x:c r="BA367" s="32"/>
    </x:row>
    <x:row r="368">
      <x:c r="A368" s="25" t="str">
        <x:v>C06-X</x:v>
      </x:c>
      <x:c r="B368" s="25" t="str">
        <x:v>盖利德</x:v>
      </x:c>
      <x:c r="C368" s="25" t="str">
        <x:v>极端压力</x:v>
      </x:c>
      <x:c r="D368" s="25" t="str">
        <x:v>装备</x:v>
      </x:c>
      <x:c r="E368" s="25" t="str">
        <x:v>本类34项（逐项见完整JSON）</x:v>
      </x:c>
      <x:c r="F368" s="25" t="str">
        <x:v>S02；S07</x:v>
      </x:c>
      <x:c r="G368" s="25" t="str">
        <x:v>原表数值</x:v>
      </x:c>
      <x:c r="H368" s="25" t="str">
        <x:v>由同包逐项数据聚合，便于核对</x:v>
      </x:c>
      <x:c r="I368" s="32" t="n">
        <x:v>13066</x:v>
      </x:c>
      <x:c r="J368" s="32" t="n">
        <x:v>25071</x:v>
      </x:c>
      <x:c r="K368" s="32" t="n">
        <x:v>13066</x:v>
      </x:c>
      <x:c r="L368" s="32" t="n">
        <x:v>25071</x:v>
      </x:c>
      <x:c r="M368" s="32" t="n">
        <x:v>13066</x:v>
      </x:c>
      <x:c r="N368" s="32" t="n">
        <x:v>25071</x:v>
      </x:c>
      <x:c r="O368" s="32" t="n">
        <x:v>18254700</x:v>
      </x:c>
      <x:c r="P368" s="32"/>
      <x:c r="Q368" s="32" t="n">
        <x:v>680</x:v>
      </x:c>
      <x:c r="R368" s="32" t="n">
        <x:v>1260</x:v>
      </x:c>
      <x:c r="S368" s="32" t="n">
        <x:v>554</x:v>
      </x:c>
      <x:c r="T368" s="32" t="n">
        <x:v>1024</x:v>
      </x:c>
      <x:c r="U368" s="32" t="n">
        <x:v>636</x:v>
      </x:c>
      <x:c r="V368" s="32" t="n">
        <x:v>636</x:v>
      </x:c>
      <x:c r="W368" s="32" t="n">
        <x:v>636</x:v>
      </x:c>
      <x:c r="X368" s="32"/>
      <x:c r="Y368" s="32"/>
      <x:c r="Z368" s="32" t="n">
        <x:v>169</x:v>
      </x:c>
      <x:c r="AA368" s="32" t="n">
        <x:v>56</x:v>
      </x:c>
      <x:c r="AB368" s="32"/>
      <x:c r="AC368" s="32" t="n">
        <x:v>245</x:v>
      </x:c>
      <x:c r="AD368" s="32" t="n">
        <x:v>2</x:v>
      </x:c>
      <x:c r="AE368" s="32" t="n">
        <x:v>82</x:v>
      </x:c>
      <x:c r="AF368" s="32"/>
      <x:c r="AG368" s="32"/>
      <x:c r="AH368" s="32" t="n">
        <x:v>33</x:v>
      </x:c>
      <x:c r="AI368" s="32" t="n">
        <x:v>9</x:v>
      </x:c>
      <x:c r="AJ368" s="32" t="n">
        <x:v>130</x:v>
      </x:c>
      <x:c r="AK368" s="32"/>
      <x:c r="AL368" s="32"/>
      <x:c r="AM368" s="32"/>
      <x:c r="AN368" s="32" t="n">
        <x:v>25</x:v>
      </x:c>
      <x:c r="AO368" s="32" t="n">
        <x:v>0.3</x:v>
      </x:c>
      <x:c r="AP368" s="32" t="n">
        <x:v>46</x:v>
      </x:c>
      <x:c r="AQ368" s="32" t="n">
        <x:v>83</x:v>
      </x:c>
      <x:c r="AR368" s="32"/>
      <x:c r="AS368" s="32" t="n">
        <x:v>8</x:v>
      </x:c>
      <x:c r="AT368" s="32"/>
      <x:c r="AU368" s="32"/>
      <x:c r="AV368" s="32"/>
      <x:c r="AW368" s="32" t="n">
        <x:v>7</x:v>
      </x:c>
      <x:c r="AX368" s="32"/>
      <x:c r="AY368" s="32"/>
      <x:c r="AZ368" s="32" t="n">
        <x:v>7</x:v>
      </x:c>
      <x:c r="BA368" s="32"/>
    </x:row>
    <x:row r="369">
      <x:c r="A369" s="25" t="str">
        <x:v>C06-X</x:v>
      </x:c>
      <x:c r="B369" s="25" t="str">
        <x:v>盖利德</x:v>
      </x:c>
      <x:c r="C369" s="25" t="str">
        <x:v>极端压力</x:v>
      </x:c>
      <x:c r="D369" s="25" t="str">
        <x:v>洗练</x:v>
      </x:c>
      <x:c r="E369" s="25" t="str">
        <x:v>本类10项（逐项见完整JSON）</x:v>
      </x:c>
      <x:c r="F369" s="25" t="str">
        <x:v>S06＋固定种子</x:v>
      </x:c>
      <x:c r="G369" s="25" t="str">
        <x:v>可实现随机样本</x:v>
      </x:c>
      <x:c r="H369" s="25" t="str">
        <x:v>由同包逐项数据聚合，便于核对</x:v>
      </x:c>
      <x:c r="I369" s="32" t="n">
        <x:v>4181</x:v>
      </x:c>
      <x:c r="J369" s="32" t="n">
        <x:v>4181</x:v>
      </x:c>
      <x:c r="K369" s="32" t="n">
        <x:v>195</x:v>
      </x:c>
      <x:c r="L369" s="32" t="n">
        <x:v>195</x:v>
      </x:c>
      <x:c r="M369" s="32"/>
      <x:c r="N369" s="32"/>
      <x:c r="O369" s="32"/>
      <x:c r="P369" s="32"/>
      <x:c r="Q369" s="32"/>
      <x:c r="R369" s="32"/>
      <x:c r="S369" s="32"/>
      <x:c r="T369" s="32"/>
      <x:c r="U369" s="32" t="n">
        <x:v>647</x:v>
      </x:c>
      <x:c r="V369" s="32"/>
      <x:c r="W369" s="32"/>
      <x:c r="X369" s="32"/>
      <x:c r="Y369" s="32" t="n">
        <x:v>1</x:v>
      </x:c>
      <x:c r="Z369" s="32"/>
      <x:c r="AA369" s="32"/>
      <x:c r="AB369" s="32" t="n">
        <x:v>3</x:v>
      </x:c>
      <x:c r="AC369" s="32"/>
      <x:c r="AD369" s="32" t="n">
        <x:v>3</x:v>
      </x:c>
      <x:c r="AE369" s="32"/>
      <x:c r="AF369" s="32"/>
      <x:c r="AG369" s="32"/>
      <x:c r="AH369" s="32" t="n">
        <x:v>2</x:v>
      </x:c>
      <x:c r="AI369" s="32"/>
      <x:c r="AJ369" s="32"/>
      <x:c r="AK369" s="32"/>
      <x:c r="AL369" s="32"/>
      <x:c r="AM369" s="32" t="n">
        <x:v>4</x:v>
      </x:c>
      <x:c r="AN369" s="32" t="n">
        <x:v>4</x:v>
      </x:c>
      <x:c r="AO369" s="32" t="n">
        <x:v>2</x:v>
      </x:c>
      <x:c r="AP369" s="32" t="n">
        <x:v>50</x:v>
      </x:c>
      <x:c r="AQ369" s="32"/>
      <x:c r="AR369" s="32" t="n">
        <x:v>1</x:v>
      </x:c>
      <x:c r="AS369" s="32" t="n">
        <x:v>3</x:v>
      </x:c>
      <x:c r="AT369" s="32"/>
      <x:c r="AU369" s="32" t="n">
        <x:v>1</x:v>
      </x:c>
      <x:c r="AV369" s="32"/>
      <x:c r="AW369" s="32"/>
      <x:c r="AX369" s="32"/>
      <x:c r="AY369" s="32"/>
      <x:c r="AZ369" s="32"/>
      <x:c r="BA369" s="32"/>
    </x:row>
    <x:row r="370">
      <x:c r="A370" s="25" t="str">
        <x:v>C06-X</x:v>
      </x:c>
      <x:c r="B370" s="25" t="str">
        <x:v>盖利德</x:v>
      </x:c>
      <x:c r="C370" s="25" t="str">
        <x:v>极端压力</x:v>
      </x:c>
      <x:c r="D370" s="25" t="str">
        <x:v>命格</x:v>
      </x:c>
      <x:c r="E370" s="25" t="str">
        <x:v>本类6项（逐项见完整JSON）</x:v>
      </x:c>
      <x:c r="F370" s="25" t="str">
        <x:v>S03/命格ID1081；S03/命格ID1087；S03/命格ID1090；S03/命格ID1092；S03/命格ID1093；S03/命格ID1095</x:v>
      </x:c>
      <x:c r="G370" s="25" t="str">
        <x:v>原表彩色＋选配假设</x:v>
      </x:c>
      <x:c r="H370" s="25" t="str">
        <x:v>由同包逐项数据聚合，便于核对</x:v>
      </x:c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32"/>
      <x:c r="U370" s="32"/>
      <x:c r="V370" s="32"/>
      <x:c r="W370" s="32"/>
      <x:c r="X370" s="32"/>
      <x:c r="Y370" s="32" t="n">
        <x:v>6</x:v>
      </x:c>
      <x:c r="Z370" s="32" t="n">
        <x:v>3</x:v>
      </x:c>
      <x:c r="AA370" s="32"/>
      <x:c r="AB370" s="32"/>
      <x:c r="AC370" s="32"/>
      <x:c r="AD370" s="32"/>
      <x:c r="AE370" s="32"/>
      <x:c r="AF370" s="32"/>
      <x:c r="AG370" s="32"/>
      <x:c r="AH370" s="32" t="n">
        <x:v>2</x:v>
      </x:c>
      <x:c r="AI370" s="32"/>
      <x:c r="AJ370" s="32" t="n">
        <x:v>10</x:v>
      </x:c>
      <x:c r="AK370" s="32"/>
      <x:c r="AL370" s="32"/>
      <x:c r="AM370" s="32" t="n">
        <x:v>4</x:v>
      </x:c>
      <x:c r="AN370" s="32" t="n">
        <x:v>35</x:v>
      </x:c>
      <x:c r="AO370" s="32" t="n">
        <x:v>0.3</x:v>
      </x:c>
      <x:c r="AP370" s="32"/>
      <x:c r="AQ370" s="32" t="n">
        <x:v>6</x:v>
      </x:c>
      <x:c r="AR370" s="32" t="n">
        <x:v>3</x:v>
      </x:c>
      <x:c r="AS370" s="32"/>
      <x:c r="AT370" s="32" t="n">
        <x:v>50</x:v>
      </x:c>
      <x:c r="AU370" s="32" t="n">
        <x:v>2</x:v>
      </x:c>
      <x:c r="AV370" s="32" t="n">
        <x:v>3</x:v>
      </x:c>
      <x:c r="AW370" s="32"/>
      <x:c r="AX370" s="32"/>
      <x:c r="AY370" s="32" t="n">
        <x:v>2</x:v>
      </x:c>
      <x:c r="AZ370" s="32"/>
      <x:c r="BA370" s="32"/>
    </x:row>
    <x:row r="371">
      <x:c r="A371" s="25" t="str">
        <x:v>C06-X</x:v>
      </x:c>
      <x:c r="B371" s="25" t="str">
        <x:v>盖利德</x:v>
      </x:c>
      <x:c r="C371" s="25" t="str">
        <x:v>极端压力</x:v>
      </x:c>
      <x:c r="D371" s="25" t="str">
        <x:v>后天幸运</x:v>
      </x:c>
      <x:c r="E371" s="25" t="str">
        <x:v>本类1项（逐项见完整JSON）</x:v>
      </x:c>
      <x:c r="F371" s="25" t="str">
        <x:v>A08</x:v>
      </x:c>
      <x:c r="G371" s="25" t="str">
        <x:v>人物永久进度</x:v>
      </x:c>
      <x:c r="H371" s="25" t="str">
        <x:v>由同包逐项数据聚合，便于核对</x:v>
      </x:c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32"/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 t="n">
        <x:v>7</x:v>
      </x:c>
      <x:c r="AL371" s="32" t="n">
        <x:v>8</x:v>
      </x:c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Y371" s="32"/>
      <x:c r="AZ371" s="32"/>
      <x:c r="BA371" s="32"/>
    </x:row>
    <x:row r="372">
      <x:c r="A372" s="25" t="str">
        <x:v>C06-X</x:v>
      </x:c>
      <x:c r="B372" s="25" t="str">
        <x:v>盖利德</x:v>
      </x:c>
      <x:c r="C372" s="25" t="str">
        <x:v>极端压力</x:v>
      </x:c>
      <x:c r="D372" s="25" t="str">
        <x:v>回收预算</x:v>
      </x:c>
      <x:c r="E372" s="25" t="str">
        <x:v>本类1项（逐项见完整JSON）</x:v>
      </x:c>
      <x:c r="F372" s="25" t="str">
        <x:v>用户总回收50%</x:v>
      </x:c>
      <x:c r="G372" s="25" t="str">
        <x:v>经济输入，不是新增属性来源</x:v>
      </x:c>
      <x:c r="H372" s="25" t="str">
        <x:v>由同包逐项数据聚合，便于核对</x:v>
      </x:c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32"/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Y372" s="32"/>
      <x:c r="AZ372" s="32"/>
      <x:c r="BA372" s="32" t="n">
        <x:v>50</x:v>
      </x:c>
    </x:row>
    <x:row r="373">
      <x:c r="A373" s="25" t="str">
        <x:v>C07-E</x:v>
      </x:c>
      <x:c r="B373" s="25" t="str">
        <x:v>化圣雪原</x:v>
      </x:c>
      <x:c r="C373" s="25" t="str">
        <x:v>半急速入场</x:v>
      </x:c>
      <x:c r="D373" s="25" t="str">
        <x:v>人物自然</x:v>
      </x:c>
      <x:c r="E373" s="25" t="str">
        <x:v>本类1项（逐项见完整JSON）</x:v>
      </x:c>
      <x:c r="F373" s="25" t="str">
        <x:v>A01</x:v>
      </x:c>
      <x:c r="G373" s="25" t="str">
        <x:v>模型假设</x:v>
      </x:c>
      <x:c r="H373" s="25" t="str">
        <x:v>由同包逐项数据聚合，便于核对</x:v>
      </x:c>
      <x:c r="I373" s="32" t="n">
        <x:v>19</x:v>
      </x:c>
      <x:c r="J373" s="32" t="n">
        <x:v>43</x:v>
      </x:c>
      <x:c r="K373" s="32"/>
      <x:c r="L373" s="32"/>
      <x:c r="M373" s="32"/>
      <x:c r="N373" s="32"/>
      <x:c r="O373" s="32" t="n">
        <x:v>3400</x:v>
      </x:c>
      <x:c r="P373" s="32" t="n">
        <x:v>800</x:v>
      </x:c>
      <x:c r="Q373" s="32"/>
      <x:c r="R373" s="32"/>
      <x:c r="S373" s="32"/>
      <x:c r="T373" s="32"/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Y373" s="32"/>
      <x:c r="AZ373" s="32"/>
      <x:c r="BA373" s="32"/>
    </x:row>
    <x:row r="374">
      <x:c r="A374" s="25" t="str">
        <x:v>C07-E</x:v>
      </x:c>
      <x:c r="B374" s="25" t="str">
        <x:v>化圣雪原</x:v>
      </x:c>
      <x:c r="C374" s="25" t="str">
        <x:v>半急速入场</x:v>
      </x:c>
      <x:c r="D374" s="25" t="str">
        <x:v>付费状态</x:v>
      </x:c>
      <x:c r="E374" s="25" t="str">
        <x:v>本类3项（逐项见完整JSON）</x:v>
      </x:c>
      <x:c r="F374" s="25" t="str">
        <x:v>20260903总档</x:v>
      </x:c>
      <x:c r="G374" s="25" t="str">
        <x:v>原表数值</x:v>
      </x:c>
      <x:c r="H374" s="25" t="str">
        <x:v>由同包逐项数据聚合，便于核对</x:v>
      </x:c>
      <x:c r="I374" s="32" t="n">
        <x:v>149</x:v>
      </x:c>
      <x:c r="J374" s="32" t="n">
        <x:v>149</x:v>
      </x:c>
      <x:c r="K374" s="32" t="n">
        <x:v>149</x:v>
      </x:c>
      <x:c r="L374" s="32" t="n">
        <x:v>149</x:v>
      </x:c>
      <x:c r="M374" s="32" t="n">
        <x:v>149</x:v>
      </x:c>
      <x:c r="N374" s="32" t="n">
        <x:v>149</x:v>
      </x:c>
      <x:c r="O374" s="32" t="n">
        <x:v>10000</x:v>
      </x:c>
      <x:c r="P374" s="32"/>
      <x:c r="Q374" s="32"/>
      <x:c r="R374" s="32"/>
      <x:c r="S374" s="32"/>
      <x:c r="T374" s="32"/>
      <x:c r="U374" s="32"/>
      <x:c r="V374" s="32"/>
      <x:c r="W374" s="32"/>
      <x:c r="X374" s="32"/>
      <x:c r="Y374" s="32" t="n">
        <x:v>10</x:v>
      </x:c>
      <x:c r="Z374" s="32"/>
      <x:c r="AA374" s="32"/>
      <x:c r="AB374" s="32" t="n">
        <x:v>20</x:v>
      </x:c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 t="n">
        <x:v>10</x:v>
      </x:c>
      <x:c r="AN374" s="32"/>
      <x:c r="AO374" s="32"/>
      <x:c r="AP374" s="32" t="n">
        <x:v>50</x:v>
      </x:c>
      <x:c r="AQ374" s="32"/>
      <x:c r="AR374" s="32"/>
      <x:c r="AS374" s="32"/>
      <x:c r="AT374" s="32" t="n">
        <x:v>700</x:v>
      </x:c>
      <x:c r="AU374" s="32" t="n">
        <x:v>15</x:v>
      </x:c>
      <x:c r="AV374" s="32"/>
      <x:c r="AW374" s="32"/>
      <x:c r="AX374" s="32"/>
      <x:c r="AY374" s="32"/>
      <x:c r="AZ374" s="32"/>
      <x:c r="BA374" s="32"/>
    </x:row>
    <x:row r="375">
      <x:c r="A375" s="25" t="str">
        <x:v>C07-E</x:v>
      </x:c>
      <x:c r="B375" s="25" t="str">
        <x:v>化圣雪原</x:v>
      </x:c>
      <x:c r="C375" s="25" t="str">
        <x:v>半急速入场</x:v>
      </x:c>
      <x:c r="D375" s="25" t="str">
        <x:v>成长装备</x:v>
      </x:c>
      <x:c r="E375" s="25" t="str">
        <x:v>本类2项（逐项见完整JSON）</x:v>
      </x:c>
      <x:c r="F375" s="25" t="str">
        <x:v>20260903总档 / A04</x:v>
      </x:c>
      <x:c r="G375" s="25" t="str">
        <x:v>原表＋支付路径假设</x:v>
      </x:c>
      <x:c r="H375" s="25" t="str">
        <x:v>由同包逐项数据聚合，便于核对</x:v>
      </x:c>
      <x:c r="I375" s="32" t="n">
        <x:v>1100</x:v>
      </x:c>
      <x:c r="J375" s="32" t="n">
        <x:v>1100</x:v>
      </x:c>
      <x:c r="K375" s="32" t="n">
        <x:v>1100</x:v>
      </x:c>
      <x:c r="L375" s="32" t="n">
        <x:v>1100</x:v>
      </x:c>
      <x:c r="M375" s="32" t="n">
        <x:v>1100</x:v>
      </x:c>
      <x:c r="N375" s="32" t="n">
        <x:v>1100</x:v>
      </x:c>
      <x:c r="O375" s="32"/>
      <x:c r="P375" s="32"/>
      <x:c r="Q375" s="32"/>
      <x:c r="R375" s="32"/>
      <x:c r="S375" s="32"/>
      <x:c r="T375" s="32"/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 t="n">
        <x:v>10</x:v>
      </x:c>
      <x:c r="AX375" s="32" t="n">
        <x:v>10</x:v>
      </x:c>
      <x:c r="AY375" s="32"/>
      <x:c r="AZ375" s="32"/>
      <x:c r="BA375" s="32"/>
    </x:row>
    <x:row r="376">
      <x:c r="A376" s="25" t="str">
        <x:v>C07-E</x:v>
      </x:c>
      <x:c r="B376" s="25" t="str">
        <x:v>化圣雪原</x:v>
      </x:c>
      <x:c r="C376" s="25" t="str">
        <x:v>半急速入场</x:v>
      </x:c>
      <x:c r="D376" s="25" t="str">
        <x:v>贯穿称号</x:v>
      </x:c>
      <x:c r="E376" s="25" t="str">
        <x:v>本类1项（逐项见完整JSON）</x:v>
      </x:c>
      <x:c r="F376" s="25" t="str">
        <x:v>S04/01_贯穿称号</x:v>
      </x:c>
      <x:c r="G376" s="25" t="str">
        <x:v>原表数值</x:v>
      </x:c>
      <x:c r="H376" s="25" t="str">
        <x:v>由同包逐项数据聚合，便于核对</x:v>
      </x:c>
      <x:c r="I376" s="32" t="n">
        <x:v>8000</x:v>
      </x:c>
      <x:c r="J376" s="32" t="n">
        <x:v>8000</x:v>
      </x:c>
      <x:c r="K376" s="32" t="n">
        <x:v>8000</x:v>
      </x:c>
      <x:c r="L376" s="32" t="n">
        <x:v>8000</x:v>
      </x:c>
      <x:c r="M376" s="32" t="n">
        <x:v>8000</x:v>
      </x:c>
      <x:c r="N376" s="32" t="n">
        <x:v>8000</x:v>
      </x:c>
      <x:c r="O376" s="32" t="n">
        <x:v>800000</x:v>
      </x:c>
      <x:c r="P376" s="32" t="n">
        <x:v>800000</x:v>
      </x:c>
      <x:c r="Q376" s="32"/>
      <x:c r="R376" s="32"/>
      <x:c r="S376" s="32"/>
      <x:c r="T376" s="32"/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 t="n">
        <x:v>2200</x:v>
      </x:c>
      <x:c r="AU376" s="32"/>
      <x:c r="AV376" s="32"/>
      <x:c r="AW376" s="32"/>
      <x:c r="AX376" s="32"/>
      <x:c r="AY376" s="32"/>
      <x:c r="AZ376" s="32"/>
      <x:c r="BA376" s="32"/>
    </x:row>
    <x:row r="377">
      <x:c r="A377" s="25" t="str">
        <x:v>C07-E</x:v>
      </x:c>
      <x:c r="B377" s="25" t="str">
        <x:v>化圣雪原</x:v>
      </x:c>
      <x:c r="C377" s="25" t="str">
        <x:v>半急速入场</x:v>
      </x:c>
      <x:c r="D377" s="25" t="str">
        <x:v>神印</x:v>
      </x:c>
      <x:c r="E377" s="25" t="str">
        <x:v>本类1项（逐项见完整JSON）</x:v>
      </x:c>
      <x:c r="F377" s="25" t="str">
        <x:v>S04 / 神印公式</x:v>
      </x:c>
      <x:c r="G377" s="25" t="str">
        <x:v>自给进度假设＋原公式</x:v>
      </x:c>
      <x:c r="H377" s="25" t="str">
        <x:v>由同包逐项数据聚合，便于核对</x:v>
      </x:c>
      <x:c r="I377" s="32" t="n">
        <x:v>14535</x:v>
      </x:c>
      <x:c r="J377" s="32" t="n">
        <x:v>14535</x:v>
      </x:c>
      <x:c r="K377" s="32" t="n">
        <x:v>14535</x:v>
      </x:c>
      <x:c r="L377" s="32" t="n">
        <x:v>14535</x:v>
      </x:c>
      <x:c r="M377" s="32" t="n">
        <x:v>14535</x:v>
      </x:c>
      <x:c r="N377" s="32" t="n">
        <x:v>14535</x:v>
      </x:c>
      <x:c r="O377" s="32" t="n">
        <x:v>1453500</x:v>
      </x:c>
      <x:c r="P377" s="32"/>
      <x:c r="Q377" s="32"/>
      <x:c r="R377" s="32"/>
      <x:c r="S377" s="32"/>
      <x:c r="T377" s="32"/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Y377" s="32"/>
      <x:c r="AZ377" s="32"/>
      <x:c r="BA377" s="32"/>
    </x:row>
    <x:row r="378">
      <x:c r="A378" s="25" t="str">
        <x:v>C07-E</x:v>
      </x:c>
      <x:c r="B378" s="25" t="str">
        <x:v>化圣雪原</x:v>
      </x:c>
      <x:c r="C378" s="25" t="str">
        <x:v>半急速入场</x:v>
      </x:c>
      <x:c r="D378" s="25" t="str">
        <x:v>转生</x:v>
      </x:c>
      <x:c r="E378" s="25" t="str">
        <x:v>本类1项（逐项见完整JSON）</x:v>
      </x:c>
      <x:c r="F378" s="25" t="str">
        <x:v>S07/20转</x:v>
      </x:c>
      <x:c r="G378" s="25" t="str">
        <x:v>原表累计</x:v>
      </x:c>
      <x:c r="H378" s="25" t="str">
        <x:v>由同包逐项数据聚合，便于核对</x:v>
      </x:c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32"/>
      <x:c r="U378" s="32"/>
      <x:c r="V378" s="32"/>
      <x:c r="W378" s="32"/>
      <x:c r="X378" s="32" t="n">
        <x:v>0.45</x:v>
      </x:c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Y378" s="32"/>
      <x:c r="AZ378" s="32"/>
      <x:c r="BA378" s="32"/>
    </x:row>
    <x:row r="379">
      <x:c r="A379" s="25" t="str">
        <x:v>C07-E</x:v>
      </x:c>
      <x:c r="B379" s="25" t="str">
        <x:v>化圣雪原</x:v>
      </x:c>
      <x:c r="C379" s="25" t="str">
        <x:v>半急速入场</x:v>
      </x:c>
      <x:c r="D379" s="25" t="str">
        <x:v>独立称号</x:v>
      </x:c>
      <x:c r="E379" s="25" t="str">
        <x:v>本类3项（逐项见完整JSON）</x:v>
      </x:c>
      <x:c r="F379" s="25" t="str">
        <x:v>S04/02_独立称号</x:v>
      </x:c>
      <x:c r="G379" s="25" t="str">
        <x:v>原表数值</x:v>
      </x:c>
      <x:c r="H379" s="25" t="str">
        <x:v>由同包逐项数据聚合，便于核对</x:v>
      </x:c>
      <x:c r="I379" s="32" t="n">
        <x:v>1010</x:v>
      </x:c>
      <x:c r="J379" s="32" t="n">
        <x:v>1010</x:v>
      </x:c>
      <x:c r="K379" s="32" t="n">
        <x:v>1010</x:v>
      </x:c>
      <x:c r="L379" s="32" t="n">
        <x:v>1010</x:v>
      </x:c>
      <x:c r="M379" s="32" t="n">
        <x:v>1010</x:v>
      </x:c>
      <x:c r="N379" s="32" t="n">
        <x:v>1010</x:v>
      </x:c>
      <x:c r="O379" s="32" t="n">
        <x:v>101000</x:v>
      </x:c>
      <x:c r="P379" s="32"/>
      <x:c r="Q379" s="32"/>
      <x:c r="R379" s="32"/>
      <x:c r="S379" s="32"/>
      <x:c r="T379" s="32"/>
      <x:c r="U379" s="32"/>
      <x:c r="V379" s="32"/>
      <x:c r="W379" s="32"/>
      <x:c r="X379" s="32" t="n">
        <x:v>0</x:v>
      </x:c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 t="n">
        <x:v>0</x:v>
      </x:c>
      <x:c r="AN379" s="32"/>
      <x:c r="AO379" s="32"/>
      <x:c r="AP379" s="32" t="n">
        <x:v>0</x:v>
      </x:c>
      <x:c r="AQ379" s="32"/>
      <x:c r="AR379" s="32"/>
      <x:c r="AS379" s="32"/>
      <x:c r="AT379" s="32"/>
      <x:c r="AU379" s="32"/>
      <x:c r="AV379" s="32"/>
      <x:c r="AW379" s="32"/>
      <x:c r="AX379" s="32"/>
      <x:c r="AY379" s="32"/>
      <x:c r="AZ379" s="32"/>
      <x:c r="BA379" s="32"/>
    </x:row>
    <x:row r="380">
      <x:c r="A380" s="25" t="str">
        <x:v>C07-E</x:v>
      </x:c>
      <x:c r="B380" s="25" t="str">
        <x:v>化圣雪原</x:v>
      </x:c>
      <x:c r="C380" s="25" t="str">
        <x:v>半急速入场</x:v>
      </x:c>
      <x:c r="D380" s="25" t="str">
        <x:v>单件图鉴</x:v>
      </x:c>
      <x:c r="E380" s="25" t="str">
        <x:v>本类1项（逐项见完整JSON）</x:v>
      </x:c>
      <x:c r="F380" s="25" t="str">
        <x:v>S07/collection_single</x:v>
      </x:c>
      <x:c r="G380" s="25" t="str">
        <x:v>原表累计</x:v>
      </x:c>
      <x:c r="H380" s="25" t="str">
        <x:v>由同包逐项数据聚合，便于核对</x:v>
      </x:c>
      <x:c r="I380" s="32" t="n">
        <x:v>1986</x:v>
      </x:c>
      <x:c r="J380" s="32" t="n">
        <x:v>1986</x:v>
      </x:c>
      <x:c r="K380" s="32" t="n">
        <x:v>1986</x:v>
      </x:c>
      <x:c r="L380" s="32" t="n">
        <x:v>1986</x:v>
      </x:c>
      <x:c r="M380" s="32" t="n">
        <x:v>1986</x:v>
      </x:c>
      <x:c r="N380" s="32" t="n">
        <x:v>1986</x:v>
      </x:c>
      <x:c r="O380" s="32" t="n">
        <x:v>198600</x:v>
      </x:c>
      <x:c r="P380" s="32"/>
      <x:c r="Q380" s="32"/>
      <x:c r="R380" s="32"/>
      <x:c r="S380" s="32"/>
      <x:c r="T380" s="32"/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Y380" s="32"/>
      <x:c r="AZ380" s="32"/>
      <x:c r="BA380" s="32"/>
    </x:row>
    <x:row r="381">
      <x:c r="A381" s="25" t="str">
        <x:v>C07-E</x:v>
      </x:c>
      <x:c r="B381" s="25" t="str">
        <x:v>化圣雪原</x:v>
      </x:c>
      <x:c r="C381" s="25" t="str">
        <x:v>半急速入场</x:v>
      </x:c>
      <x:c r="D381" s="25" t="str">
        <x:v>地图整页</x:v>
      </x:c>
      <x:c r="E381" s="25" t="str">
        <x:v>本类19项（逐项见完整JSON）</x:v>
      </x:c>
      <x:c r="F381" s="25" t="str">
        <x:v>S07/collection_pages</x:v>
      </x:c>
      <x:c r="G381" s="25" t="str">
        <x:v>原表数值</x:v>
      </x:c>
      <x:c r="H381" s="25" t="str">
        <x:v>由同包逐项数据聚合，便于核对</x:v>
      </x:c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32"/>
      <x:c r="U381" s="32"/>
      <x:c r="V381" s="32"/>
      <x:c r="W381" s="32"/>
      <x:c r="X381" s="32" t="n">
        <x:v>0.37</x:v>
      </x:c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 t="n">
        <x:v>9.5</x:v>
      </x:c>
      <x:c r="AN381" s="32"/>
      <x:c r="AO381" s="32"/>
      <x:c r="AP381" s="32" t="n">
        <x:v>520</x:v>
      </x:c>
      <x:c r="AQ381" s="32"/>
      <x:c r="AR381" s="32"/>
      <x:c r="AS381" s="32"/>
      <x:c r="AT381" s="32"/>
      <x:c r="AU381" s="32"/>
      <x:c r="AV381" s="32"/>
      <x:c r="AW381" s="32"/>
      <x:c r="AX381" s="32"/>
      <x:c r="AY381" s="32"/>
      <x:c r="AZ381" s="32"/>
      <x:c r="BA381" s="32"/>
    </x:row>
    <x:row r="382">
      <x:c r="A382" s="25" t="str">
        <x:v>C07-E</x:v>
      </x:c>
      <x:c r="B382" s="25" t="str">
        <x:v>化圣雪原</x:v>
      </x:c>
      <x:c r="C382" s="25" t="str">
        <x:v>半急速入场</x:v>
      </x:c>
      <x:c r="D382" s="25" t="str">
        <x:v>材料图鉴</x:v>
      </x:c>
      <x:c r="E382" s="25" t="str">
        <x:v>本类3项（逐项见完整JSON）</x:v>
      </x:c>
      <x:c r="F382" s="25" t="str">
        <x:v>S07/collection_materials</x:v>
      </x:c>
      <x:c r="G382" s="25" t="str">
        <x:v>原表数值</x:v>
      </x:c>
      <x:c r="H382" s="25" t="str">
        <x:v>由同包逐项数据聚合，便于核对</x:v>
      </x:c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32"/>
      <x:c r="U382" s="32"/>
      <x:c r="V382" s="32"/>
      <x:c r="W382" s="32"/>
      <x:c r="X382" s="32" t="n">
        <x:v>0.19</x:v>
      </x:c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 t="n">
        <x:v>0</x:v>
      </x:c>
      <x:c r="AN382" s="32"/>
      <x:c r="AO382" s="32"/>
      <x:c r="AP382" s="32" t="n">
        <x:v>0</x:v>
      </x:c>
      <x:c r="AQ382" s="32"/>
      <x:c r="AR382" s="32"/>
      <x:c r="AS382" s="32"/>
      <x:c r="AT382" s="32"/>
      <x:c r="AU382" s="32"/>
      <x:c r="AV382" s="32"/>
      <x:c r="AW382" s="32"/>
      <x:c r="AX382" s="32"/>
      <x:c r="AY382" s="32"/>
      <x:c r="AZ382" s="32"/>
      <x:c r="BA382" s="32"/>
    </x:row>
    <x:row r="383">
      <x:c r="A383" s="25" t="str">
        <x:v>C07-E</x:v>
      </x:c>
      <x:c r="B383" s="25" t="str">
        <x:v>化圣雪原</x:v>
      </x:c>
      <x:c r="C383" s="25" t="str">
        <x:v>半急速入场</x:v>
      </x:c>
      <x:c r="D383" s="25" t="str">
        <x:v>旧任务</x:v>
      </x:c>
      <x:c r="E383" s="25" t="str">
        <x:v>本类6项（逐项见完整JSON）</x:v>
      </x:c>
      <x:c r="F383" s="25" t="str">
        <x:v>宁姆格福_完整怪物装备任务爆率规划/地图任务；第一大陆_地图魂魄任务.txt</x:v>
      </x:c>
      <x:c r="G383" s="25" t="str">
        <x:v>原件确认；原表数值</x:v>
      </x:c>
      <x:c r="H383" s="25" t="str">
        <x:v>由同包逐项数据聚合，便于核对</x:v>
      </x:c>
      <x:c r="I383" s="32" t="n">
        <x:v>60</x:v>
      </x:c>
      <x:c r="J383" s="32" t="n">
        <x:v>60</x:v>
      </x:c>
      <x:c r="K383" s="32" t="n">
        <x:v>60</x:v>
      </x:c>
      <x:c r="L383" s="32" t="n">
        <x:v>60</x:v>
      </x:c>
      <x:c r="M383" s="32" t="n">
        <x:v>60</x:v>
      </x:c>
      <x:c r="N383" s="32" t="n">
        <x:v>60</x:v>
      </x:c>
      <x:c r="O383" s="32"/>
      <x:c r="P383" s="32"/>
      <x:c r="Q383" s="32"/>
      <x:c r="R383" s="32"/>
      <x:c r="S383" s="32"/>
      <x:c r="T383" s="32"/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 t="n">
        <x:v>2</x:v>
      </x:c>
      <x:c r="AN383" s="32"/>
      <x:c r="AO383" s="32"/>
      <x:c r="AP383" s="32" t="n">
        <x:v>120</x:v>
      </x:c>
      <x:c r="AQ383" s="32"/>
      <x:c r="AR383" s="32"/>
      <x:c r="AS383" s="32"/>
      <x:c r="AT383" s="32"/>
      <x:c r="AU383" s="32"/>
      <x:c r="AV383" s="32"/>
      <x:c r="AW383" s="32"/>
      <x:c r="AX383" s="32"/>
      <x:c r="AY383" s="32"/>
      <x:c r="AZ383" s="32"/>
      <x:c r="BA383" s="32"/>
    </x:row>
    <x:row r="384">
      <x:c r="A384" s="25" t="str">
        <x:v>C07-E</x:v>
      </x:c>
      <x:c r="B384" s="25" t="str">
        <x:v>化圣雪原</x:v>
      </x:c>
      <x:c r="C384" s="25" t="str">
        <x:v>半急速入场</x:v>
      </x:c>
      <x:c r="D384" s="25" t="str">
        <x:v>装备</x:v>
      </x:c>
      <x:c r="E384" s="25" t="str">
        <x:v>本类31项（逐项见完整JSON）</x:v>
      </x:c>
      <x:c r="F384" s="25" t="str">
        <x:v>S02；S07</x:v>
      </x:c>
      <x:c r="G384" s="25" t="str">
        <x:v>原表数值</x:v>
      </x:c>
      <x:c r="H384" s="25" t="str">
        <x:v>由同包逐项数据聚合，便于核对</x:v>
      </x:c>
      <x:c r="I384" s="32" t="n">
        <x:v>8009</x:v>
      </x:c>
      <x:c r="J384" s="32" t="n">
        <x:v>15310</x:v>
      </x:c>
      <x:c r="K384" s="32" t="n">
        <x:v>8009</x:v>
      </x:c>
      <x:c r="L384" s="32" t="n">
        <x:v>15310</x:v>
      </x:c>
      <x:c r="M384" s="32" t="n">
        <x:v>8009</x:v>
      </x:c>
      <x:c r="N384" s="32" t="n">
        <x:v>15310</x:v>
      </x:c>
      <x:c r="O384" s="32" t="n">
        <x:v>10515900</x:v>
      </x:c>
      <x:c r="P384" s="32"/>
      <x:c r="Q384" s="32" t="n">
        <x:v>601</x:v>
      </x:c>
      <x:c r="R384" s="32" t="n">
        <x:v>1116</x:v>
      </x:c>
      <x:c r="S384" s="32" t="n">
        <x:v>490</x:v>
      </x:c>
      <x:c r="T384" s="32" t="n">
        <x:v>903</x:v>
      </x:c>
      <x:c r="U384" s="32" t="n">
        <x:v>546</x:v>
      </x:c>
      <x:c r="V384" s="32" t="n">
        <x:v>546</x:v>
      </x:c>
      <x:c r="W384" s="32" t="n">
        <x:v>546</x:v>
      </x:c>
      <x:c r="X384" s="32"/>
      <x:c r="Y384" s="32"/>
      <x:c r="Z384" s="32" t="n">
        <x:v>125</x:v>
      </x:c>
      <x:c r="AA384" s="32" t="n">
        <x:v>40</x:v>
      </x:c>
      <x:c r="AB384" s="32"/>
      <x:c r="AC384" s="32" t="n">
        <x:v>162</x:v>
      </x:c>
      <x:c r="AD384" s="32" t="n">
        <x:v>1</x:v>
      </x:c>
      <x:c r="AE384" s="32" t="n">
        <x:v>25</x:v>
      </x:c>
      <x:c r="AF384" s="32"/>
      <x:c r="AG384" s="32"/>
      <x:c r="AH384" s="32" t="n">
        <x:v>33</x:v>
      </x:c>
      <x:c r="AI384" s="32" t="n">
        <x:v>5</x:v>
      </x:c>
      <x:c r="AJ384" s="32" t="n">
        <x:v>127</x:v>
      </x:c>
      <x:c r="AK384" s="32"/>
      <x:c r="AL384" s="32"/>
      <x:c r="AM384" s="32"/>
      <x:c r="AN384" s="32" t="n">
        <x:v>20</x:v>
      </x:c>
      <x:c r="AO384" s="32" t="n">
        <x:v>0.2</x:v>
      </x:c>
      <x:c r="AP384" s="32" t="n">
        <x:v>38</x:v>
      </x:c>
      <x:c r="AQ384" s="32" t="n">
        <x:v>75</x:v>
      </x:c>
      <x:c r="AR384" s="32"/>
      <x:c r="AS384" s="32" t="n">
        <x:v>8</x:v>
      </x:c>
      <x:c r="AT384" s="32"/>
      <x:c r="AU384" s="32"/>
      <x:c r="AV384" s="32"/>
      <x:c r="AW384" s="32" t="n">
        <x:v>2</x:v>
      </x:c>
      <x:c r="AX384" s="32"/>
      <x:c r="AY384" s="32"/>
      <x:c r="AZ384" s="32" t="n">
        <x:v>7</x:v>
      </x:c>
      <x:c r="BA384" s="32"/>
    </x:row>
    <x:row r="385">
      <x:c r="A385" s="25" t="str">
        <x:v>C07-E</x:v>
      </x:c>
      <x:c r="B385" s="25" t="str">
        <x:v>化圣雪原</x:v>
      </x:c>
      <x:c r="C385" s="25" t="str">
        <x:v>半急速入场</x:v>
      </x:c>
      <x:c r="D385" s="25" t="str">
        <x:v>洗练</x:v>
      </x:c>
      <x:c r="E385" s="25" t="str">
        <x:v>本类10项（逐项见完整JSON）</x:v>
      </x:c>
      <x:c r="F385" s="25" t="str">
        <x:v>S06＋固定种子</x:v>
      </x:c>
      <x:c r="G385" s="25" t="str">
        <x:v>可实现随机样本</x:v>
      </x:c>
      <x:c r="H385" s="25" t="str">
        <x:v>由同包逐项数据聚合，便于核对</x:v>
      </x:c>
      <x:c r="I385" s="32" t="n">
        <x:v>169</x:v>
      </x:c>
      <x:c r="J385" s="32" t="n">
        <x:v>169</x:v>
      </x:c>
      <x:c r="K385" s="32" t="n">
        <x:v>739</x:v>
      </x:c>
      <x:c r="L385" s="32" t="n">
        <x:v>739</x:v>
      </x:c>
      <x:c r="M385" s="32" t="n">
        <x:v>79</x:v>
      </x:c>
      <x:c r="N385" s="32" t="n">
        <x:v>79</x:v>
      </x:c>
      <x:c r="O385" s="32"/>
      <x:c r="P385" s="32"/>
      <x:c r="Q385" s="32"/>
      <x:c r="R385" s="32"/>
      <x:c r="S385" s="32"/>
      <x:c r="T385" s="32"/>
      <x:c r="U385" s="32" t="n">
        <x:v>508</x:v>
      </x:c>
      <x:c r="V385" s="32"/>
      <x:c r="W385" s="32"/>
      <x:c r="X385" s="32"/>
      <x:c r="Y385" s="32" t="n">
        <x:v>3</x:v>
      </x:c>
      <x:c r="Z385" s="32"/>
      <x:c r="AA385" s="32"/>
      <x:c r="AB385" s="32" t="n">
        <x:v>1</x:v>
      </x:c>
      <x:c r="AC385" s="32"/>
      <x:c r="AD385" s="32" t="n">
        <x:v>1</x:v>
      </x:c>
      <x:c r="AE385" s="32"/>
      <x:c r="AF385" s="32"/>
      <x:c r="AG385" s="32"/>
      <x:c r="AH385" s="32" t="n">
        <x:v>3</x:v>
      </x:c>
      <x:c r="AI385" s="32"/>
      <x:c r="AJ385" s="32"/>
      <x:c r="AK385" s="32"/>
      <x:c r="AL385" s="32"/>
      <x:c r="AM385" s="32" t="n">
        <x:v>3</x:v>
      </x:c>
      <x:c r="AN385" s="32" t="n">
        <x:v>5</x:v>
      </x:c>
      <x:c r="AO385" s="32"/>
      <x:c r="AP385" s="32" t="n">
        <x:v>20</x:v>
      </x:c>
      <x:c r="AQ385" s="32"/>
      <x:c r="AR385" s="32"/>
      <x:c r="AS385" s="32"/>
      <x:c r="AT385" s="32"/>
      <x:c r="AU385" s="32" t="n">
        <x:v>2</x:v>
      </x:c>
      <x:c r="AV385" s="32"/>
      <x:c r="AW385" s="32"/>
      <x:c r="AX385" s="32"/>
      <x:c r="AY385" s="32"/>
      <x:c r="AZ385" s="32"/>
      <x:c r="BA385" s="32"/>
    </x:row>
    <x:row r="386">
      <x:c r="A386" s="25" t="str">
        <x:v>C07-E</x:v>
      </x:c>
      <x:c r="B386" s="25" t="str">
        <x:v>化圣雪原</x:v>
      </x:c>
      <x:c r="C386" s="25" t="str">
        <x:v>半急速入场</x:v>
      </x:c>
      <x:c r="D386" s="25" t="str">
        <x:v>命格</x:v>
      </x:c>
      <x:c r="E386" s="25" t="str">
        <x:v>本类6项（逐项见完整JSON）</x:v>
      </x:c>
      <x:c r="F386" s="25" t="str">
        <x:v>S03/命格ID1081；S03/命格ID1089；S03/命格ID1090；S03/命格ID1092；S03/命格ID1093；S03/命格ID1097</x:v>
      </x:c>
      <x:c r="G386" s="25" t="str">
        <x:v>原表彩色＋选配假设</x:v>
      </x:c>
      <x:c r="H386" s="25" t="str">
        <x:v>由同包逐项数据聚合，便于核对</x:v>
      </x:c>
      <x:c r="I386" s="32"/>
      <x:c r="J386" s="32"/>
      <x:c r="K386" s="32"/>
      <x:c r="L386" s="32"/>
      <x:c r="M386" s="32"/>
      <x:c r="N386" s="32"/>
      <x:c r="O386" s="32" t="n">
        <x:v>1500</x:v>
      </x:c>
      <x:c r="P386" s="32"/>
      <x:c r="Q386" s="32"/>
      <x:c r="R386" s="32"/>
      <x:c r="S386" s="32"/>
      <x:c r="T386" s="32"/>
      <x:c r="U386" s="32" t="n">
        <x:v>3</x:v>
      </x:c>
      <x:c r="V386" s="32"/>
      <x:c r="W386" s="32"/>
      <x:c r="X386" s="32"/>
      <x:c r="Y386" s="32" t="n">
        <x:v>6</x:v>
      </x:c>
      <x:c r="Z386" s="32" t="n">
        <x:v>3</x:v>
      </x:c>
      <x:c r="AA386" s="32" t="n">
        <x:v>5</x:v>
      </x:c>
      <x:c r="AB386" s="32"/>
      <x:c r="AC386" s="32"/>
      <x:c r="AD386" s="32"/>
      <x:c r="AE386" s="32"/>
      <x:c r="AF386" s="32"/>
      <x:c r="AG386" s="32"/>
      <x:c r="AH386" s="32" t="n">
        <x:v>2</x:v>
      </x:c>
      <x:c r="AI386" s="32"/>
      <x:c r="AJ386" s="32" t="n">
        <x:v>10</x:v>
      </x:c>
      <x:c r="AK386" s="32"/>
      <x:c r="AL386" s="32"/>
      <x:c r="AM386" s="32"/>
      <x:c r="AN386" s="32"/>
      <x:c r="AO386" s="32"/>
      <x:c r="AP386" s="32"/>
      <x:c r="AQ386" s="32" t="n">
        <x:v>6</x:v>
      </x:c>
      <x:c r="AR386" s="32" t="n">
        <x:v>3</x:v>
      </x:c>
      <x:c r="AS386" s="32" t="n">
        <x:v>0.75</x:v>
      </x:c>
      <x:c r="AT386" s="32" t="n">
        <x:v>50</x:v>
      </x:c>
      <x:c r="AU386" s="32" t="n">
        <x:v>2</x:v>
      </x:c>
      <x:c r="AV386" s="32" t="n">
        <x:v>3</x:v>
      </x:c>
      <x:c r="AW386" s="32"/>
      <x:c r="AX386" s="32"/>
      <x:c r="AY386" s="32"/>
      <x:c r="AZ386" s="32"/>
      <x:c r="BA386" s="32"/>
    </x:row>
    <x:row r="387">
      <x:c r="A387" s="25" t="str">
        <x:v>C07-E</x:v>
      </x:c>
      <x:c r="B387" s="25" t="str">
        <x:v>化圣雪原</x:v>
      </x:c>
      <x:c r="C387" s="25" t="str">
        <x:v>半急速入场</x:v>
      </x:c>
      <x:c r="D387" s="25" t="str">
        <x:v>后天幸运</x:v>
      </x:c>
      <x:c r="E387" s="25" t="str">
        <x:v>本类1项（逐项见完整JSON）</x:v>
      </x:c>
      <x:c r="F387" s="25" t="str">
        <x:v>A08</x:v>
      </x:c>
      <x:c r="G387" s="25" t="str">
        <x:v>人物永久进度</x:v>
      </x:c>
      <x:c r="H387" s="25" t="str">
        <x:v>由同包逐项数据聚合，便于核对</x:v>
      </x:c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32"/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 t="n">
        <x:v>7</x:v>
      </x:c>
      <x:c r="AL387" s="32" t="n">
        <x:v>8</x:v>
      </x:c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Y387" s="32"/>
      <x:c r="AZ387" s="32"/>
      <x:c r="BA387" s="32"/>
    </x:row>
    <x:row r="388">
      <x:c r="A388" s="25" t="str">
        <x:v>C07-E</x:v>
      </x:c>
      <x:c r="B388" s="25" t="str">
        <x:v>化圣雪原</x:v>
      </x:c>
      <x:c r="C388" s="25" t="str">
        <x:v>半急速入场</x:v>
      </x:c>
      <x:c r="D388" s="25" t="str">
        <x:v>回收预算</x:v>
      </x:c>
      <x:c r="E388" s="25" t="str">
        <x:v>本类1项（逐项见完整JSON）</x:v>
      </x:c>
      <x:c r="F388" s="25" t="str">
        <x:v>用户总回收50%</x:v>
      </x:c>
      <x:c r="G388" s="25" t="str">
        <x:v>经济输入，不是新增属性来源</x:v>
      </x:c>
      <x:c r="H388" s="25" t="str">
        <x:v>由同包逐项数据聚合，便于核对</x:v>
      </x:c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32"/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Y388" s="32"/>
      <x:c r="AZ388" s="32"/>
      <x:c r="BA388" s="32" t="n">
        <x:v>50</x:v>
      </x:c>
    </x:row>
    <x:row r="389">
      <x:c r="A389" s="25" t="str">
        <x:v>C07-M</x:v>
      </x:c>
      <x:c r="B389" s="25" t="str">
        <x:v>化圣雪原</x:v>
      </x:c>
      <x:c r="C389" s="25" t="str">
        <x:v>半急速中期</x:v>
      </x:c>
      <x:c r="D389" s="25" t="str">
        <x:v>人物自然</x:v>
      </x:c>
      <x:c r="E389" s="25" t="str">
        <x:v>本类1项（逐项见完整JSON）</x:v>
      </x:c>
      <x:c r="F389" s="25" t="str">
        <x:v>A01</x:v>
      </x:c>
      <x:c r="G389" s="25" t="str">
        <x:v>模型假设</x:v>
      </x:c>
      <x:c r="H389" s="25" t="str">
        <x:v>由同包逐项数据聚合，便于核对</x:v>
      </x:c>
      <x:c r="I389" s="32" t="n">
        <x:v>20</x:v>
      </x:c>
      <x:c r="J389" s="32" t="n">
        <x:v>45.5</x:v>
      </x:c>
      <x:c r="K389" s="32"/>
      <x:c r="L389" s="32"/>
      <x:c r="M389" s="32"/>
      <x:c r="N389" s="32"/>
      <x:c r="O389" s="32" t="n">
        <x:v>3600</x:v>
      </x:c>
      <x:c r="P389" s="32" t="n">
        <x:v>850</x:v>
      </x:c>
      <x:c r="Q389" s="32"/>
      <x:c r="R389" s="32"/>
      <x:c r="S389" s="32"/>
      <x:c r="T389" s="32"/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Y389" s="32"/>
      <x:c r="AZ389" s="32"/>
      <x:c r="BA389" s="32"/>
    </x:row>
    <x:row r="390">
      <x:c r="A390" s="25" t="str">
        <x:v>C07-M</x:v>
      </x:c>
      <x:c r="B390" s="25" t="str">
        <x:v>化圣雪原</x:v>
      </x:c>
      <x:c r="C390" s="25" t="str">
        <x:v>半急速中期</x:v>
      </x:c>
      <x:c r="D390" s="25" t="str">
        <x:v>付费状态</x:v>
      </x:c>
      <x:c r="E390" s="25" t="str">
        <x:v>本类3项（逐项见完整JSON）</x:v>
      </x:c>
      <x:c r="F390" s="25" t="str">
        <x:v>20260903总档</x:v>
      </x:c>
      <x:c r="G390" s="25" t="str">
        <x:v>原表数值</x:v>
      </x:c>
      <x:c r="H390" s="25" t="str">
        <x:v>由同包逐项数据聚合，便于核对</x:v>
      </x:c>
      <x:c r="I390" s="32" t="n">
        <x:v>149</x:v>
      </x:c>
      <x:c r="J390" s="32" t="n">
        <x:v>149</x:v>
      </x:c>
      <x:c r="K390" s="32" t="n">
        <x:v>149</x:v>
      </x:c>
      <x:c r="L390" s="32" t="n">
        <x:v>149</x:v>
      </x:c>
      <x:c r="M390" s="32" t="n">
        <x:v>149</x:v>
      </x:c>
      <x:c r="N390" s="32" t="n">
        <x:v>149</x:v>
      </x:c>
      <x:c r="O390" s="32" t="n">
        <x:v>10000</x:v>
      </x:c>
      <x:c r="P390" s="32"/>
      <x:c r="Q390" s="32"/>
      <x:c r="R390" s="32"/>
      <x:c r="S390" s="32"/>
      <x:c r="T390" s="32"/>
      <x:c r="U390" s="32"/>
      <x:c r="V390" s="32"/>
      <x:c r="W390" s="32"/>
      <x:c r="X390" s="32"/>
      <x:c r="Y390" s="32" t="n">
        <x:v>10</x:v>
      </x:c>
      <x:c r="Z390" s="32"/>
      <x:c r="AA390" s="32"/>
      <x:c r="AB390" s="32" t="n">
        <x:v>20</x:v>
      </x:c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 t="n">
        <x:v>10</x:v>
      </x:c>
      <x:c r="AN390" s="32"/>
      <x:c r="AO390" s="32"/>
      <x:c r="AP390" s="32" t="n">
        <x:v>50</x:v>
      </x:c>
      <x:c r="AQ390" s="32"/>
      <x:c r="AR390" s="32"/>
      <x:c r="AS390" s="32"/>
      <x:c r="AT390" s="32" t="n">
        <x:v>700</x:v>
      </x:c>
      <x:c r="AU390" s="32" t="n">
        <x:v>15</x:v>
      </x:c>
      <x:c r="AV390" s="32"/>
      <x:c r="AW390" s="32"/>
      <x:c r="AX390" s="32"/>
      <x:c r="AY390" s="32"/>
      <x:c r="AZ390" s="32"/>
      <x:c r="BA390" s="32"/>
    </x:row>
    <x:row r="391">
      <x:c r="A391" s="25" t="str">
        <x:v>C07-M</x:v>
      </x:c>
      <x:c r="B391" s="25" t="str">
        <x:v>化圣雪原</x:v>
      </x:c>
      <x:c r="C391" s="25" t="str">
        <x:v>半急速中期</x:v>
      </x:c>
      <x:c r="D391" s="25" t="str">
        <x:v>成长装备</x:v>
      </x:c>
      <x:c r="E391" s="25" t="str">
        <x:v>本类2项（逐项见完整JSON）</x:v>
      </x:c>
      <x:c r="F391" s="25" t="str">
        <x:v>20260903总档 / A04</x:v>
      </x:c>
      <x:c r="G391" s="25" t="str">
        <x:v>原表＋支付路径假设</x:v>
      </x:c>
      <x:c r="H391" s="25" t="str">
        <x:v>由同包逐项数据聚合，便于核对</x:v>
      </x:c>
      <x:c r="I391" s="32" t="n">
        <x:v>1100</x:v>
      </x:c>
      <x:c r="J391" s="32" t="n">
        <x:v>1100</x:v>
      </x:c>
      <x:c r="K391" s="32" t="n">
        <x:v>1100</x:v>
      </x:c>
      <x:c r="L391" s="32" t="n">
        <x:v>1100</x:v>
      </x:c>
      <x:c r="M391" s="32" t="n">
        <x:v>1100</x:v>
      </x:c>
      <x:c r="N391" s="32" t="n">
        <x:v>1100</x:v>
      </x:c>
      <x:c r="O391" s="32"/>
      <x:c r="P391" s="32"/>
      <x:c r="Q391" s="32"/>
      <x:c r="R391" s="32"/>
      <x:c r="S391" s="32"/>
      <x:c r="T391" s="32"/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 t="n">
        <x:v>10</x:v>
      </x:c>
      <x:c r="AX391" s="32" t="n">
        <x:v>10</x:v>
      </x:c>
      <x:c r="AY391" s="32"/>
      <x:c r="AZ391" s="32"/>
      <x:c r="BA391" s="32"/>
    </x:row>
    <x:row r="392">
      <x:c r="A392" s="25" t="str">
        <x:v>C07-M</x:v>
      </x:c>
      <x:c r="B392" s="25" t="str">
        <x:v>化圣雪原</x:v>
      </x:c>
      <x:c r="C392" s="25" t="str">
        <x:v>半急速中期</x:v>
      </x:c>
      <x:c r="D392" s="25" t="str">
        <x:v>贯穿称号</x:v>
      </x:c>
      <x:c r="E392" s="25" t="str">
        <x:v>本类1项（逐项见完整JSON）</x:v>
      </x:c>
      <x:c r="F392" s="25" t="str">
        <x:v>S04/01_贯穿称号</x:v>
      </x:c>
      <x:c r="G392" s="25" t="str">
        <x:v>原表数值</x:v>
      </x:c>
      <x:c r="H392" s="25" t="str">
        <x:v>由同包逐项数据聚合，便于核对</x:v>
      </x:c>
      <x:c r="I392" s="32" t="n">
        <x:v>16000</x:v>
      </x:c>
      <x:c r="J392" s="32" t="n">
        <x:v>16000</x:v>
      </x:c>
      <x:c r="K392" s="32" t="n">
        <x:v>16000</x:v>
      </x:c>
      <x:c r="L392" s="32" t="n">
        <x:v>16000</x:v>
      </x:c>
      <x:c r="M392" s="32" t="n">
        <x:v>16000</x:v>
      </x:c>
      <x:c r="N392" s="32" t="n">
        <x:v>16000</x:v>
      </x:c>
      <x:c r="O392" s="32" t="n">
        <x:v>1600000</x:v>
      </x:c>
      <x:c r="P392" s="32" t="n">
        <x:v>1600000</x:v>
      </x:c>
      <x:c r="Q392" s="32"/>
      <x:c r="R392" s="32"/>
      <x:c r="S392" s="32"/>
      <x:c r="T392" s="32"/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 t="n">
        <x:v>3000</x:v>
      </x:c>
      <x:c r="AU392" s="32"/>
      <x:c r="AV392" s="32"/>
      <x:c r="AW392" s="32"/>
      <x:c r="AX392" s="32"/>
      <x:c r="AY392" s="32"/>
      <x:c r="AZ392" s="32"/>
      <x:c r="BA392" s="32"/>
    </x:row>
    <x:row r="393">
      <x:c r="A393" s="25" t="str">
        <x:v>C07-M</x:v>
      </x:c>
      <x:c r="B393" s="25" t="str">
        <x:v>化圣雪原</x:v>
      </x:c>
      <x:c r="C393" s="25" t="str">
        <x:v>半急速中期</x:v>
      </x:c>
      <x:c r="D393" s="25" t="str">
        <x:v>神印</x:v>
      </x:c>
      <x:c r="E393" s="25" t="str">
        <x:v>本类1项（逐项见完整JSON）</x:v>
      </x:c>
      <x:c r="F393" s="25" t="str">
        <x:v>S04 / 神印公式</x:v>
      </x:c>
      <x:c r="G393" s="25" t="str">
        <x:v>自给进度假设＋原公式</x:v>
      </x:c>
      <x:c r="H393" s="25" t="str">
        <x:v>由同包逐项数据聚合，便于核对</x:v>
      </x:c>
      <x:c r="I393" s="32" t="n">
        <x:v>16653</x:v>
      </x:c>
      <x:c r="J393" s="32" t="n">
        <x:v>16653</x:v>
      </x:c>
      <x:c r="K393" s="32" t="n">
        <x:v>16653</x:v>
      </x:c>
      <x:c r="L393" s="32" t="n">
        <x:v>16653</x:v>
      </x:c>
      <x:c r="M393" s="32" t="n">
        <x:v>16653</x:v>
      </x:c>
      <x:c r="N393" s="32" t="n">
        <x:v>16653</x:v>
      </x:c>
      <x:c r="O393" s="32" t="n">
        <x:v>1665300</x:v>
      </x:c>
      <x:c r="P393" s="32"/>
      <x:c r="Q393" s="32"/>
      <x:c r="R393" s="32"/>
      <x:c r="S393" s="32"/>
      <x:c r="T393" s="32"/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Y393" s="32"/>
      <x:c r="AZ393" s="32"/>
      <x:c r="BA393" s="32"/>
    </x:row>
    <x:row r="394">
      <x:c r="A394" s="25" t="str">
        <x:v>C07-M</x:v>
      </x:c>
      <x:c r="B394" s="25" t="str">
        <x:v>化圣雪原</x:v>
      </x:c>
      <x:c r="C394" s="25" t="str">
        <x:v>半急速中期</x:v>
      </x:c>
      <x:c r="D394" s="25" t="str">
        <x:v>转生</x:v>
      </x:c>
      <x:c r="E394" s="25" t="str">
        <x:v>本类1项（逐项见完整JSON）</x:v>
      </x:c>
      <x:c r="F394" s="25" t="str">
        <x:v>S07/20转</x:v>
      </x:c>
      <x:c r="G394" s="25" t="str">
        <x:v>原表累计</x:v>
      </x:c>
      <x:c r="H394" s="25" t="str">
        <x:v>由同包逐项数据聚合，便于核对</x:v>
      </x:c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32"/>
      <x:c r="U394" s="32"/>
      <x:c r="V394" s="32"/>
      <x:c r="W394" s="32"/>
      <x:c r="X394" s="32" t="n">
        <x:v>0.45</x:v>
      </x:c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Y394" s="32"/>
      <x:c r="AZ394" s="32"/>
      <x:c r="BA394" s="32"/>
    </x:row>
    <x:row r="395">
      <x:c r="A395" s="25" t="str">
        <x:v>C07-M</x:v>
      </x:c>
      <x:c r="B395" s="25" t="str">
        <x:v>化圣雪原</x:v>
      </x:c>
      <x:c r="C395" s="25" t="str">
        <x:v>半急速中期</x:v>
      </x:c>
      <x:c r="D395" s="25" t="str">
        <x:v>独立称号</x:v>
      </x:c>
      <x:c r="E395" s="25" t="str">
        <x:v>本类3项（逐项见完整JSON）</x:v>
      </x:c>
      <x:c r="F395" s="25" t="str">
        <x:v>S04/02_独立称号</x:v>
      </x:c>
      <x:c r="G395" s="25" t="str">
        <x:v>原表数值</x:v>
      </x:c>
      <x:c r="H395" s="25" t="str">
        <x:v>由同包逐项数据聚合，便于核对</x:v>
      </x:c>
      <x:c r="I395" s="32" t="n">
        <x:v>1010</x:v>
      </x:c>
      <x:c r="J395" s="32" t="n">
        <x:v>1010</x:v>
      </x:c>
      <x:c r="K395" s="32" t="n">
        <x:v>1010</x:v>
      </x:c>
      <x:c r="L395" s="32" t="n">
        <x:v>1010</x:v>
      </x:c>
      <x:c r="M395" s="32" t="n">
        <x:v>1010</x:v>
      </x:c>
      <x:c r="N395" s="32" t="n">
        <x:v>1010</x:v>
      </x:c>
      <x:c r="O395" s="32" t="n">
        <x:v>101000</x:v>
      </x:c>
      <x:c r="P395" s="32"/>
      <x:c r="Q395" s="32"/>
      <x:c r="R395" s="32"/>
      <x:c r="S395" s="32"/>
      <x:c r="T395" s="32"/>
      <x:c r="U395" s="32"/>
      <x:c r="V395" s="32"/>
      <x:c r="W395" s="32"/>
      <x:c r="X395" s="32" t="n">
        <x:v>0</x:v>
      </x:c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 t="n">
        <x:v>0</x:v>
      </x:c>
      <x:c r="AN395" s="32"/>
      <x:c r="AO395" s="32"/>
      <x:c r="AP395" s="32" t="n">
        <x:v>0</x:v>
      </x:c>
      <x:c r="AQ395" s="32"/>
      <x:c r="AR395" s="32"/>
      <x:c r="AS395" s="32"/>
      <x:c r="AT395" s="32"/>
      <x:c r="AU395" s="32"/>
      <x:c r="AV395" s="32"/>
      <x:c r="AW395" s="32"/>
      <x:c r="AX395" s="32"/>
      <x:c r="AY395" s="32"/>
      <x:c r="AZ395" s="32"/>
      <x:c r="BA395" s="32"/>
    </x:row>
    <x:row r="396">
      <x:c r="A396" s="25" t="str">
        <x:v>C07-M</x:v>
      </x:c>
      <x:c r="B396" s="25" t="str">
        <x:v>化圣雪原</x:v>
      </x:c>
      <x:c r="C396" s="25" t="str">
        <x:v>半急速中期</x:v>
      </x:c>
      <x:c r="D396" s="25" t="str">
        <x:v>单件图鉴</x:v>
      </x:c>
      <x:c r="E396" s="25" t="str">
        <x:v>本类1项（逐项见完整JSON）</x:v>
      </x:c>
      <x:c r="F396" s="25" t="str">
        <x:v>S07/collection_single</x:v>
      </x:c>
      <x:c r="G396" s="25" t="str">
        <x:v>原表累计</x:v>
      </x:c>
      <x:c r="H396" s="25" t="str">
        <x:v>由同包逐项数据聚合，便于核对</x:v>
      </x:c>
      <x:c r="I396" s="32" t="n">
        <x:v>2386</x:v>
      </x:c>
      <x:c r="J396" s="32" t="n">
        <x:v>2386</x:v>
      </x:c>
      <x:c r="K396" s="32" t="n">
        <x:v>2386</x:v>
      </x:c>
      <x:c r="L396" s="32" t="n">
        <x:v>2386</x:v>
      </x:c>
      <x:c r="M396" s="32" t="n">
        <x:v>2386</x:v>
      </x:c>
      <x:c r="N396" s="32" t="n">
        <x:v>2386</x:v>
      </x:c>
      <x:c r="O396" s="32" t="n">
        <x:v>238600</x:v>
      </x:c>
      <x:c r="P396" s="32"/>
      <x:c r="Q396" s="32"/>
      <x:c r="R396" s="32"/>
      <x:c r="S396" s="32"/>
      <x:c r="T396" s="32"/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Y396" s="32"/>
      <x:c r="AZ396" s="32"/>
      <x:c r="BA396" s="32"/>
    </x:row>
    <x:row r="397">
      <x:c r="A397" s="25" t="str">
        <x:v>C07-M</x:v>
      </x:c>
      <x:c r="B397" s="25" t="str">
        <x:v>化圣雪原</x:v>
      </x:c>
      <x:c r="C397" s="25" t="str">
        <x:v>半急速中期</x:v>
      </x:c>
      <x:c r="D397" s="25" t="str">
        <x:v>地图整页</x:v>
      </x:c>
      <x:c r="E397" s="25" t="str">
        <x:v>本类20项（逐项见完整JSON）</x:v>
      </x:c>
      <x:c r="F397" s="25" t="str">
        <x:v>S07/collection_pages</x:v>
      </x:c>
      <x:c r="G397" s="25" t="str">
        <x:v>原表数值</x:v>
      </x:c>
      <x:c r="H397" s="25" t="str">
        <x:v>由同包逐项数据聚合，便于核对</x:v>
      </x:c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32"/>
      <x:c r="U397" s="32"/>
      <x:c r="V397" s="32"/>
      <x:c r="W397" s="32"/>
      <x:c r="X397" s="32" t="n">
        <x:v>0.4</x:v>
      </x:c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 t="n">
        <x:v>10</x:v>
      </x:c>
      <x:c r="AN397" s="32"/>
      <x:c r="AO397" s="32"/>
      <x:c r="AP397" s="32" t="n">
        <x:v>560</x:v>
      </x:c>
      <x:c r="AQ397" s="32"/>
      <x:c r="AR397" s="32"/>
      <x:c r="AS397" s="32"/>
      <x:c r="AT397" s="32"/>
      <x:c r="AU397" s="32"/>
      <x:c r="AV397" s="32"/>
      <x:c r="AW397" s="32"/>
      <x:c r="AX397" s="32"/>
      <x:c r="AY397" s="32"/>
      <x:c r="AZ397" s="32"/>
      <x:c r="BA397" s="32"/>
    </x:row>
    <x:row r="398">
      <x:c r="A398" s="25" t="str">
        <x:v>C07-M</x:v>
      </x:c>
      <x:c r="B398" s="25" t="str">
        <x:v>化圣雪原</x:v>
      </x:c>
      <x:c r="C398" s="25" t="str">
        <x:v>半急速中期</x:v>
      </x:c>
      <x:c r="D398" s="25" t="str">
        <x:v>材料图鉴</x:v>
      </x:c>
      <x:c r="E398" s="25" t="str">
        <x:v>本类4项（逐项见完整JSON）</x:v>
      </x:c>
      <x:c r="F398" s="25" t="str">
        <x:v>S07/collection_materials</x:v>
      </x:c>
      <x:c r="G398" s="25" t="str">
        <x:v>原表数值</x:v>
      </x:c>
      <x:c r="H398" s="25" t="str">
        <x:v>由同包逐项数据聚合，便于核对</x:v>
      </x:c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32"/>
      <x:c r="U398" s="32"/>
      <x:c r="V398" s="32"/>
      <x:c r="W398" s="32"/>
      <x:c r="X398" s="32" t="n">
        <x:v>0.29000000000000004</x:v>
      </x:c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 t="n">
        <x:v>0</x:v>
      </x:c>
      <x:c r="AN398" s="32"/>
      <x:c r="AO398" s="32"/>
      <x:c r="AP398" s="32" t="n">
        <x:v>0</x:v>
      </x:c>
      <x:c r="AQ398" s="32"/>
      <x:c r="AR398" s="32"/>
      <x:c r="AS398" s="32"/>
      <x:c r="AT398" s="32"/>
      <x:c r="AU398" s="32"/>
      <x:c r="AV398" s="32"/>
      <x:c r="AW398" s="32"/>
      <x:c r="AX398" s="32"/>
      <x:c r="AY398" s="32"/>
      <x:c r="AZ398" s="32"/>
      <x:c r="BA398" s="32"/>
    </x:row>
    <x:row r="399">
      <x:c r="A399" s="25" t="str">
        <x:v>C07-M</x:v>
      </x:c>
      <x:c r="B399" s="25" t="str">
        <x:v>化圣雪原</x:v>
      </x:c>
      <x:c r="C399" s="25" t="str">
        <x:v>半急速中期</x:v>
      </x:c>
      <x:c r="D399" s="25" t="str">
        <x:v>旧任务</x:v>
      </x:c>
      <x:c r="E399" s="25" t="str">
        <x:v>本类6项（逐项见完整JSON）</x:v>
      </x:c>
      <x:c r="F399" s="25" t="str">
        <x:v>宁姆格福_完整怪物装备任务爆率规划/地图任务；第一大陆_地图魂魄任务.txt</x:v>
      </x:c>
      <x:c r="G399" s="25" t="str">
        <x:v>原件确认；原表数值</x:v>
      </x:c>
      <x:c r="H399" s="25" t="str">
        <x:v>由同包逐项数据聚合，便于核对</x:v>
      </x:c>
      <x:c r="I399" s="32" t="n">
        <x:v>60</x:v>
      </x:c>
      <x:c r="J399" s="32" t="n">
        <x:v>60</x:v>
      </x:c>
      <x:c r="K399" s="32" t="n">
        <x:v>60</x:v>
      </x:c>
      <x:c r="L399" s="32" t="n">
        <x:v>60</x:v>
      </x:c>
      <x:c r="M399" s="32" t="n">
        <x:v>60</x:v>
      </x:c>
      <x:c r="N399" s="32" t="n">
        <x:v>60</x:v>
      </x:c>
      <x:c r="O399" s="32"/>
      <x:c r="P399" s="32"/>
      <x:c r="Q399" s="32"/>
      <x:c r="R399" s="32"/>
      <x:c r="S399" s="32"/>
      <x:c r="T399" s="32"/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 t="n">
        <x:v>2</x:v>
      </x:c>
      <x:c r="AN399" s="32"/>
      <x:c r="AO399" s="32"/>
      <x:c r="AP399" s="32" t="n">
        <x:v>120</x:v>
      </x:c>
      <x:c r="AQ399" s="32"/>
      <x:c r="AR399" s="32"/>
      <x:c r="AS399" s="32"/>
      <x:c r="AT399" s="32"/>
      <x:c r="AU399" s="32"/>
      <x:c r="AV399" s="32"/>
      <x:c r="AW399" s="32"/>
      <x:c r="AX399" s="32"/>
      <x:c r="AY399" s="32"/>
      <x:c r="AZ399" s="32"/>
      <x:c r="BA399" s="32"/>
    </x:row>
    <x:row r="400">
      <x:c r="A400" s="25" t="str">
        <x:v>C07-M</x:v>
      </x:c>
      <x:c r="B400" s="25" t="str">
        <x:v>化圣雪原</x:v>
      </x:c>
      <x:c r="C400" s="25" t="str">
        <x:v>半急速中期</x:v>
      </x:c>
      <x:c r="D400" s="25" t="str">
        <x:v>装备</x:v>
      </x:c>
      <x:c r="E400" s="25" t="str">
        <x:v>本类31项（逐项见完整JSON）</x:v>
      </x:c>
      <x:c r="F400" s="25" t="str">
        <x:v>S02；S07</x:v>
      </x:c>
      <x:c r="G400" s="25" t="str">
        <x:v>原表数值</x:v>
      </x:c>
      <x:c r="H400" s="25" t="str">
        <x:v>由同包逐项数据聚合，便于核对</x:v>
      </x:c>
      <x:c r="I400" s="32" t="n">
        <x:v>8009</x:v>
      </x:c>
      <x:c r="J400" s="32" t="n">
        <x:v>15310</x:v>
      </x:c>
      <x:c r="K400" s="32" t="n">
        <x:v>8009</x:v>
      </x:c>
      <x:c r="L400" s="32" t="n">
        <x:v>15310</x:v>
      </x:c>
      <x:c r="M400" s="32" t="n">
        <x:v>8009</x:v>
      </x:c>
      <x:c r="N400" s="32" t="n">
        <x:v>15310</x:v>
      </x:c>
      <x:c r="O400" s="32" t="n">
        <x:v>10515900</x:v>
      </x:c>
      <x:c r="P400" s="32"/>
      <x:c r="Q400" s="32" t="n">
        <x:v>601</x:v>
      </x:c>
      <x:c r="R400" s="32" t="n">
        <x:v>1116</x:v>
      </x:c>
      <x:c r="S400" s="32" t="n">
        <x:v>490</x:v>
      </x:c>
      <x:c r="T400" s="32" t="n">
        <x:v>903</x:v>
      </x:c>
      <x:c r="U400" s="32" t="n">
        <x:v>546</x:v>
      </x:c>
      <x:c r="V400" s="32" t="n">
        <x:v>546</x:v>
      </x:c>
      <x:c r="W400" s="32" t="n">
        <x:v>546</x:v>
      </x:c>
      <x:c r="X400" s="32"/>
      <x:c r="Y400" s="32"/>
      <x:c r="Z400" s="32" t="n">
        <x:v>125</x:v>
      </x:c>
      <x:c r="AA400" s="32" t="n">
        <x:v>40</x:v>
      </x:c>
      <x:c r="AB400" s="32"/>
      <x:c r="AC400" s="32" t="n">
        <x:v>162</x:v>
      </x:c>
      <x:c r="AD400" s="32" t="n">
        <x:v>1</x:v>
      </x:c>
      <x:c r="AE400" s="32" t="n">
        <x:v>25</x:v>
      </x:c>
      <x:c r="AF400" s="32"/>
      <x:c r="AG400" s="32"/>
      <x:c r="AH400" s="32" t="n">
        <x:v>33</x:v>
      </x:c>
      <x:c r="AI400" s="32" t="n">
        <x:v>5</x:v>
      </x:c>
      <x:c r="AJ400" s="32" t="n">
        <x:v>127</x:v>
      </x:c>
      <x:c r="AK400" s="32"/>
      <x:c r="AL400" s="32"/>
      <x:c r="AM400" s="32"/>
      <x:c r="AN400" s="32" t="n">
        <x:v>20</x:v>
      </x:c>
      <x:c r="AO400" s="32" t="n">
        <x:v>0.2</x:v>
      </x:c>
      <x:c r="AP400" s="32" t="n">
        <x:v>38</x:v>
      </x:c>
      <x:c r="AQ400" s="32" t="n">
        <x:v>75</x:v>
      </x:c>
      <x:c r="AR400" s="32"/>
      <x:c r="AS400" s="32" t="n">
        <x:v>8</x:v>
      </x:c>
      <x:c r="AT400" s="32"/>
      <x:c r="AU400" s="32"/>
      <x:c r="AV400" s="32"/>
      <x:c r="AW400" s="32" t="n">
        <x:v>2</x:v>
      </x:c>
      <x:c r="AX400" s="32"/>
      <x:c r="AY400" s="32"/>
      <x:c r="AZ400" s="32" t="n">
        <x:v>7</x:v>
      </x:c>
      <x:c r="BA400" s="32"/>
    </x:row>
    <x:row r="401">
      <x:c r="A401" s="25" t="str">
        <x:v>C07-M</x:v>
      </x:c>
      <x:c r="B401" s="25" t="str">
        <x:v>化圣雪原</x:v>
      </x:c>
      <x:c r="C401" s="25" t="str">
        <x:v>半急速中期</x:v>
      </x:c>
      <x:c r="D401" s="25" t="str">
        <x:v>洗练</x:v>
      </x:c>
      <x:c r="E401" s="25" t="str">
        <x:v>本类10项（逐项见完整JSON）</x:v>
      </x:c>
      <x:c r="F401" s="25" t="str">
        <x:v>S06＋固定种子</x:v>
      </x:c>
      <x:c r="G401" s="25" t="str">
        <x:v>可实现随机样本</x:v>
      </x:c>
      <x:c r="H401" s="25" t="str">
        <x:v>由同包逐项数据聚合，便于核对</x:v>
      </x:c>
      <x:c r="I401" s="32" t="n">
        <x:v>3723</x:v>
      </x:c>
      <x:c r="J401" s="32" t="n">
        <x:v>3723</x:v>
      </x:c>
      <x:c r="K401" s="32" t="n">
        <x:v>849</x:v>
      </x:c>
      <x:c r="L401" s="32" t="n">
        <x:v>849</x:v>
      </x:c>
      <x:c r="M401" s="32" t="n">
        <x:v>3765</x:v>
      </x:c>
      <x:c r="N401" s="32" t="n">
        <x:v>3765</x:v>
      </x:c>
      <x:c r="O401" s="32"/>
      <x:c r="P401" s="32"/>
      <x:c r="Q401" s="32"/>
      <x:c r="R401" s="32"/>
      <x:c r="S401" s="32"/>
      <x:c r="T401" s="32"/>
      <x:c r="U401" s="32" t="n">
        <x:v>443</x:v>
      </x:c>
      <x:c r="V401" s="32"/>
      <x:c r="W401" s="32"/>
      <x:c r="X401" s="32"/>
      <x:c r="Y401" s="32" t="n">
        <x:v>3</x:v>
      </x:c>
      <x:c r="Z401" s="32"/>
      <x:c r="AA401" s="32"/>
      <x:c r="AB401" s="32" t="n">
        <x:v>1</x:v>
      </x:c>
      <x:c r="AC401" s="32"/>
      <x:c r="AD401" s="32" t="n">
        <x:v>1</x:v>
      </x:c>
      <x:c r="AE401" s="32"/>
      <x:c r="AF401" s="32"/>
      <x:c r="AG401" s="32"/>
      <x:c r="AH401" s="32"/>
      <x:c r="AI401" s="32"/>
      <x:c r="AJ401" s="32"/>
      <x:c r="AK401" s="32"/>
      <x:c r="AL401" s="32"/>
      <x:c r="AM401" s="32" t="n">
        <x:v>3</x:v>
      </x:c>
      <x:c r="AN401" s="32" t="n">
        <x:v>5</x:v>
      </x:c>
      <x:c r="AO401" s="32" t="n">
        <x:v>1</x:v>
      </x:c>
      <x:c r="AP401" s="32" t="n">
        <x:v>40</x:v>
      </x:c>
      <x:c r="AQ401" s="32"/>
      <x:c r="AR401" s="32" t="n">
        <x:v>1</x:v>
      </x:c>
      <x:c r="AS401" s="32" t="n">
        <x:v>1</x:v>
      </x:c>
      <x:c r="AT401" s="32"/>
      <x:c r="AU401" s="32" t="n">
        <x:v>2</x:v>
      </x:c>
      <x:c r="AV401" s="32"/>
      <x:c r="AW401" s="32"/>
      <x:c r="AX401" s="32"/>
      <x:c r="AY401" s="32"/>
      <x:c r="AZ401" s="32"/>
      <x:c r="BA401" s="32"/>
    </x:row>
    <x:row r="402">
      <x:c r="A402" s="25" t="str">
        <x:v>C07-M</x:v>
      </x:c>
      <x:c r="B402" s="25" t="str">
        <x:v>化圣雪原</x:v>
      </x:c>
      <x:c r="C402" s="25" t="str">
        <x:v>半急速中期</x:v>
      </x:c>
      <x:c r="D402" s="25" t="str">
        <x:v>命格</x:v>
      </x:c>
      <x:c r="E402" s="25" t="str">
        <x:v>本类6项（逐项见完整JSON）</x:v>
      </x:c>
      <x:c r="F402" s="25" t="str">
        <x:v>S03/命格ID1081；S03/命格ID1089；S03/命格ID1090；S03/命格ID1092；S03/命格ID1093；S03/命格ID1097</x:v>
      </x:c>
      <x:c r="G402" s="25" t="str">
        <x:v>原表彩色＋选配假设</x:v>
      </x:c>
      <x:c r="H402" s="25" t="str">
        <x:v>由同包逐项数据聚合，便于核对</x:v>
      </x:c>
      <x:c r="I402" s="32"/>
      <x:c r="J402" s="32"/>
      <x:c r="K402" s="32"/>
      <x:c r="L402" s="32"/>
      <x:c r="M402" s="32"/>
      <x:c r="N402" s="32"/>
      <x:c r="O402" s="32" t="n">
        <x:v>1500</x:v>
      </x:c>
      <x:c r="P402" s="32"/>
      <x:c r="Q402" s="32"/>
      <x:c r="R402" s="32"/>
      <x:c r="S402" s="32"/>
      <x:c r="T402" s="32"/>
      <x:c r="U402" s="32" t="n">
        <x:v>3</x:v>
      </x:c>
      <x:c r="V402" s="32"/>
      <x:c r="W402" s="32"/>
      <x:c r="X402" s="32"/>
      <x:c r="Y402" s="32" t="n">
        <x:v>6</x:v>
      </x:c>
      <x:c r="Z402" s="32" t="n">
        <x:v>3</x:v>
      </x:c>
      <x:c r="AA402" s="32" t="n">
        <x:v>5</x:v>
      </x:c>
      <x:c r="AB402" s="32"/>
      <x:c r="AC402" s="32"/>
      <x:c r="AD402" s="32"/>
      <x:c r="AE402" s="32"/>
      <x:c r="AF402" s="32"/>
      <x:c r="AG402" s="32"/>
      <x:c r="AH402" s="32" t="n">
        <x:v>2</x:v>
      </x:c>
      <x:c r="AI402" s="32"/>
      <x:c r="AJ402" s="32" t="n">
        <x:v>10</x:v>
      </x:c>
      <x:c r="AK402" s="32"/>
      <x:c r="AL402" s="32"/>
      <x:c r="AM402" s="32"/>
      <x:c r="AN402" s="32"/>
      <x:c r="AO402" s="32"/>
      <x:c r="AP402" s="32"/>
      <x:c r="AQ402" s="32" t="n">
        <x:v>6</x:v>
      </x:c>
      <x:c r="AR402" s="32" t="n">
        <x:v>3</x:v>
      </x:c>
      <x:c r="AS402" s="32" t="n">
        <x:v>0.75</x:v>
      </x:c>
      <x:c r="AT402" s="32" t="n">
        <x:v>50</x:v>
      </x:c>
      <x:c r="AU402" s="32" t="n">
        <x:v>2</x:v>
      </x:c>
      <x:c r="AV402" s="32" t="n">
        <x:v>3</x:v>
      </x:c>
      <x:c r="AW402" s="32"/>
      <x:c r="AX402" s="32"/>
      <x:c r="AY402" s="32"/>
      <x:c r="AZ402" s="32"/>
      <x:c r="BA402" s="32"/>
    </x:row>
    <x:row r="403">
      <x:c r="A403" s="25" t="str">
        <x:v>C07-M</x:v>
      </x:c>
      <x:c r="B403" s="25" t="str">
        <x:v>化圣雪原</x:v>
      </x:c>
      <x:c r="C403" s="25" t="str">
        <x:v>半急速中期</x:v>
      </x:c>
      <x:c r="D403" s="25" t="str">
        <x:v>后天幸运</x:v>
      </x:c>
      <x:c r="E403" s="25" t="str">
        <x:v>本类1项（逐项见完整JSON）</x:v>
      </x:c>
      <x:c r="F403" s="25" t="str">
        <x:v>A08</x:v>
      </x:c>
      <x:c r="G403" s="25" t="str">
        <x:v>人物永久进度</x:v>
      </x:c>
      <x:c r="H403" s="25" t="str">
        <x:v>由同包逐项数据聚合，便于核对</x:v>
      </x:c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32"/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 t="n">
        <x:v>7</x:v>
      </x:c>
      <x:c r="AL403" s="32" t="n">
        <x:v>8</x:v>
      </x:c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Y403" s="32"/>
      <x:c r="AZ403" s="32"/>
      <x:c r="BA403" s="32"/>
    </x:row>
    <x:row r="404">
      <x:c r="A404" s="25" t="str">
        <x:v>C07-M</x:v>
      </x:c>
      <x:c r="B404" s="25" t="str">
        <x:v>化圣雪原</x:v>
      </x:c>
      <x:c r="C404" s="25" t="str">
        <x:v>半急速中期</x:v>
      </x:c>
      <x:c r="D404" s="25" t="str">
        <x:v>回收预算</x:v>
      </x:c>
      <x:c r="E404" s="25" t="str">
        <x:v>本类1项（逐项见完整JSON）</x:v>
      </x:c>
      <x:c r="F404" s="25" t="str">
        <x:v>用户总回收50%</x:v>
      </x:c>
      <x:c r="G404" s="25" t="str">
        <x:v>经济输入，不是新增属性来源</x:v>
      </x:c>
      <x:c r="H404" s="25" t="str">
        <x:v>由同包逐项数据聚合，便于核对</x:v>
      </x:c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32"/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Y404" s="32"/>
      <x:c r="AZ404" s="32"/>
      <x:c r="BA404" s="32" t="n">
        <x:v>50</x:v>
      </x:c>
    </x:row>
    <x:row r="405">
      <x:c r="A405" s="25" t="str">
        <x:v>C07-G</x:v>
      </x:c>
      <x:c r="B405" s="25" t="str">
        <x:v>化圣雪原</x:v>
      </x:c>
      <x:c r="C405" s="25" t="str">
        <x:v>半急速毕业</x:v>
      </x:c>
      <x:c r="D405" s="25" t="str">
        <x:v>人物自然</x:v>
      </x:c>
      <x:c r="E405" s="25" t="str">
        <x:v>本类1项（逐项见完整JSON）</x:v>
      </x:c>
      <x:c r="F405" s="25" t="str">
        <x:v>A01</x:v>
      </x:c>
      <x:c r="G405" s="25" t="str">
        <x:v>模型假设</x:v>
      </x:c>
      <x:c r="H405" s="25" t="str">
        <x:v>由同包逐项数据聚合，便于核对</x:v>
      </x:c>
      <x:c r="I405" s="32" t="n">
        <x:v>21</x:v>
      </x:c>
      <x:c r="J405" s="32" t="n">
        <x:v>48</x:v>
      </x:c>
      <x:c r="K405" s="32"/>
      <x:c r="L405" s="32"/>
      <x:c r="M405" s="32"/>
      <x:c r="N405" s="32"/>
      <x:c r="O405" s="32" t="n">
        <x:v>3800</x:v>
      </x:c>
      <x:c r="P405" s="32" t="n">
        <x:v>900</x:v>
      </x:c>
      <x:c r="Q405" s="32"/>
      <x:c r="R405" s="32"/>
      <x:c r="S405" s="32"/>
      <x:c r="T405" s="32"/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Y405" s="32"/>
      <x:c r="AZ405" s="32"/>
      <x:c r="BA405" s="32"/>
    </x:row>
    <x:row r="406">
      <x:c r="A406" s="25" t="str">
        <x:v>C07-G</x:v>
      </x:c>
      <x:c r="B406" s="25" t="str">
        <x:v>化圣雪原</x:v>
      </x:c>
      <x:c r="C406" s="25" t="str">
        <x:v>半急速毕业</x:v>
      </x:c>
      <x:c r="D406" s="25" t="str">
        <x:v>付费状态</x:v>
      </x:c>
      <x:c r="E406" s="25" t="str">
        <x:v>本类3项（逐项见完整JSON）</x:v>
      </x:c>
      <x:c r="F406" s="25" t="str">
        <x:v>20260903总档</x:v>
      </x:c>
      <x:c r="G406" s="25" t="str">
        <x:v>原表数值</x:v>
      </x:c>
      <x:c r="H406" s="25" t="str">
        <x:v>由同包逐项数据聚合，便于核对</x:v>
      </x:c>
      <x:c r="I406" s="32" t="n">
        <x:v>149</x:v>
      </x:c>
      <x:c r="J406" s="32" t="n">
        <x:v>149</x:v>
      </x:c>
      <x:c r="K406" s="32" t="n">
        <x:v>149</x:v>
      </x:c>
      <x:c r="L406" s="32" t="n">
        <x:v>149</x:v>
      </x:c>
      <x:c r="M406" s="32" t="n">
        <x:v>149</x:v>
      </x:c>
      <x:c r="N406" s="32" t="n">
        <x:v>149</x:v>
      </x:c>
      <x:c r="O406" s="32" t="n">
        <x:v>10000</x:v>
      </x:c>
      <x:c r="P406" s="32"/>
      <x:c r="Q406" s="32"/>
      <x:c r="R406" s="32"/>
      <x:c r="S406" s="32"/>
      <x:c r="T406" s="32"/>
      <x:c r="U406" s="32"/>
      <x:c r="V406" s="32"/>
      <x:c r="W406" s="32"/>
      <x:c r="X406" s="32"/>
      <x:c r="Y406" s="32" t="n">
        <x:v>10</x:v>
      </x:c>
      <x:c r="Z406" s="32"/>
      <x:c r="AA406" s="32"/>
      <x:c r="AB406" s="32" t="n">
        <x:v>20</x:v>
      </x:c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 t="n">
        <x:v>10</x:v>
      </x:c>
      <x:c r="AN406" s="32"/>
      <x:c r="AO406" s="32"/>
      <x:c r="AP406" s="32" t="n">
        <x:v>50</x:v>
      </x:c>
      <x:c r="AQ406" s="32"/>
      <x:c r="AR406" s="32"/>
      <x:c r="AS406" s="32"/>
      <x:c r="AT406" s="32" t="n">
        <x:v>700</x:v>
      </x:c>
      <x:c r="AU406" s="32" t="n">
        <x:v>15</x:v>
      </x:c>
      <x:c r="AV406" s="32"/>
      <x:c r="AW406" s="32"/>
      <x:c r="AX406" s="32"/>
      <x:c r="AY406" s="32"/>
      <x:c r="AZ406" s="32"/>
      <x:c r="BA406" s="32"/>
    </x:row>
    <x:row r="407">
      <x:c r="A407" s="25" t="str">
        <x:v>C07-G</x:v>
      </x:c>
      <x:c r="B407" s="25" t="str">
        <x:v>化圣雪原</x:v>
      </x:c>
      <x:c r="C407" s="25" t="str">
        <x:v>半急速毕业</x:v>
      </x:c>
      <x:c r="D407" s="25" t="str">
        <x:v>成长装备</x:v>
      </x:c>
      <x:c r="E407" s="25" t="str">
        <x:v>本类2项（逐项见完整JSON）</x:v>
      </x:c>
      <x:c r="F407" s="25" t="str">
        <x:v>20260903总档 / A04</x:v>
      </x:c>
      <x:c r="G407" s="25" t="str">
        <x:v>原表＋支付路径假设</x:v>
      </x:c>
      <x:c r="H407" s="25" t="str">
        <x:v>由同包逐项数据聚合，便于核对</x:v>
      </x:c>
      <x:c r="I407" s="32" t="n">
        <x:v>1100</x:v>
      </x:c>
      <x:c r="J407" s="32" t="n">
        <x:v>1100</x:v>
      </x:c>
      <x:c r="K407" s="32" t="n">
        <x:v>1100</x:v>
      </x:c>
      <x:c r="L407" s="32" t="n">
        <x:v>1100</x:v>
      </x:c>
      <x:c r="M407" s="32" t="n">
        <x:v>1100</x:v>
      </x:c>
      <x:c r="N407" s="32" t="n">
        <x:v>1100</x:v>
      </x:c>
      <x:c r="O407" s="32"/>
      <x:c r="P407" s="32"/>
      <x:c r="Q407" s="32"/>
      <x:c r="R407" s="32"/>
      <x:c r="S407" s="32"/>
      <x:c r="T407" s="32"/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 t="n">
        <x:v>10</x:v>
      </x:c>
      <x:c r="AX407" s="32" t="n">
        <x:v>10</x:v>
      </x:c>
      <x:c r="AY407" s="32"/>
      <x:c r="AZ407" s="32"/>
      <x:c r="BA407" s="32"/>
    </x:row>
    <x:row r="408">
      <x:c r="A408" s="25" t="str">
        <x:v>C07-G</x:v>
      </x:c>
      <x:c r="B408" s="25" t="str">
        <x:v>化圣雪原</x:v>
      </x:c>
      <x:c r="C408" s="25" t="str">
        <x:v>半急速毕业</x:v>
      </x:c>
      <x:c r="D408" s="25" t="str">
        <x:v>贯穿称号</x:v>
      </x:c>
      <x:c r="E408" s="25" t="str">
        <x:v>本类1项（逐项见完整JSON）</x:v>
      </x:c>
      <x:c r="F408" s="25" t="str">
        <x:v>S04/01_贯穿称号</x:v>
      </x:c>
      <x:c r="G408" s="25" t="str">
        <x:v>原表数值</x:v>
      </x:c>
      <x:c r="H408" s="25" t="str">
        <x:v>由同包逐项数据聚合，便于核对</x:v>
      </x:c>
      <x:c r="I408" s="32" t="n">
        <x:v>16000</x:v>
      </x:c>
      <x:c r="J408" s="32" t="n">
        <x:v>16000</x:v>
      </x:c>
      <x:c r="K408" s="32" t="n">
        <x:v>16000</x:v>
      </x:c>
      <x:c r="L408" s="32" t="n">
        <x:v>16000</x:v>
      </x:c>
      <x:c r="M408" s="32" t="n">
        <x:v>16000</x:v>
      </x:c>
      <x:c r="N408" s="32" t="n">
        <x:v>16000</x:v>
      </x:c>
      <x:c r="O408" s="32" t="n">
        <x:v>1600000</x:v>
      </x:c>
      <x:c r="P408" s="32" t="n">
        <x:v>1600000</x:v>
      </x:c>
      <x:c r="Q408" s="32"/>
      <x:c r="R408" s="32"/>
      <x:c r="S408" s="32"/>
      <x:c r="T408" s="32"/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 t="n">
        <x:v>3000</x:v>
      </x:c>
      <x:c r="AU408" s="32"/>
      <x:c r="AV408" s="32"/>
      <x:c r="AW408" s="32"/>
      <x:c r="AX408" s="32"/>
      <x:c r="AY408" s="32"/>
      <x:c r="AZ408" s="32"/>
      <x:c r="BA408" s="32"/>
    </x:row>
    <x:row r="409">
      <x:c r="A409" s="25" t="str">
        <x:v>C07-G</x:v>
      </x:c>
      <x:c r="B409" s="25" t="str">
        <x:v>化圣雪原</x:v>
      </x:c>
      <x:c r="C409" s="25" t="str">
        <x:v>半急速毕业</x:v>
      </x:c>
      <x:c r="D409" s="25" t="str">
        <x:v>神印</x:v>
      </x:c>
      <x:c r="E409" s="25" t="str">
        <x:v>本类1项（逐项见完整JSON）</x:v>
      </x:c>
      <x:c r="F409" s="25" t="str">
        <x:v>S04 / 神印公式</x:v>
      </x:c>
      <x:c r="G409" s="25" t="str">
        <x:v>自给进度假设＋原公式</x:v>
      </x:c>
      <x:c r="H409" s="25" t="str">
        <x:v>由同包逐项数据聚合，便于核对</x:v>
      </x:c>
      <x:c r="I409" s="32" t="n">
        <x:v>19110</x:v>
      </x:c>
      <x:c r="J409" s="32" t="n">
        <x:v>19110</x:v>
      </x:c>
      <x:c r="K409" s="32" t="n">
        <x:v>19110</x:v>
      </x:c>
      <x:c r="L409" s="32" t="n">
        <x:v>19110</x:v>
      </x:c>
      <x:c r="M409" s="32" t="n">
        <x:v>19110</x:v>
      </x:c>
      <x:c r="N409" s="32" t="n">
        <x:v>19110</x:v>
      </x:c>
      <x:c r="O409" s="32" t="n">
        <x:v>1911000</x:v>
      </x:c>
      <x:c r="P409" s="32"/>
      <x:c r="Q409" s="32"/>
      <x:c r="R409" s="32"/>
      <x:c r="S409" s="32"/>
      <x:c r="T409" s="32"/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Y409" s="32"/>
      <x:c r="AZ409" s="32"/>
      <x:c r="BA409" s="32"/>
    </x:row>
    <x:row r="410">
      <x:c r="A410" s="25" t="str">
        <x:v>C07-G</x:v>
      </x:c>
      <x:c r="B410" s="25" t="str">
        <x:v>化圣雪原</x:v>
      </x:c>
      <x:c r="C410" s="25" t="str">
        <x:v>半急速毕业</x:v>
      </x:c>
      <x:c r="D410" s="25" t="str">
        <x:v>转生</x:v>
      </x:c>
      <x:c r="E410" s="25" t="str">
        <x:v>本类1项（逐项见完整JSON）</x:v>
      </x:c>
      <x:c r="F410" s="25" t="str">
        <x:v>S07/20转</x:v>
      </x:c>
      <x:c r="G410" s="25" t="str">
        <x:v>原表累计</x:v>
      </x:c>
      <x:c r="H410" s="25" t="str">
        <x:v>由同包逐项数据聚合，便于核对</x:v>
      </x:c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32"/>
      <x:c r="U410" s="32"/>
      <x:c r="V410" s="32"/>
      <x:c r="W410" s="32"/>
      <x:c r="X410" s="32" t="n">
        <x:v>0.45</x:v>
      </x:c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Y410" s="32"/>
      <x:c r="AZ410" s="32"/>
      <x:c r="BA410" s="32"/>
    </x:row>
    <x:row r="411">
      <x:c r="A411" s="25" t="str">
        <x:v>C07-G</x:v>
      </x:c>
      <x:c r="B411" s="25" t="str">
        <x:v>化圣雪原</x:v>
      </x:c>
      <x:c r="C411" s="25" t="str">
        <x:v>半急速毕业</x:v>
      </x:c>
      <x:c r="D411" s="25" t="str">
        <x:v>独立称号</x:v>
      </x:c>
      <x:c r="E411" s="25" t="str">
        <x:v>本类4项（逐项见完整JSON）</x:v>
      </x:c>
      <x:c r="F411" s="25" t="str">
        <x:v>S04/02_独立称号</x:v>
      </x:c>
      <x:c r="G411" s="25" t="str">
        <x:v>原表数值</x:v>
      </x:c>
      <x:c r="H411" s="25" t="str">
        <x:v>由同包逐项数据聚合，便于核对</x:v>
      </x:c>
      <x:c r="I411" s="32" t="n">
        <x:v>4510</x:v>
      </x:c>
      <x:c r="J411" s="32" t="n">
        <x:v>4510</x:v>
      </x:c>
      <x:c r="K411" s="32" t="n">
        <x:v>4510</x:v>
      </x:c>
      <x:c r="L411" s="32" t="n">
        <x:v>4510</x:v>
      </x:c>
      <x:c r="M411" s="32" t="n">
        <x:v>4510</x:v>
      </x:c>
      <x:c r="N411" s="32" t="n">
        <x:v>4510</x:v>
      </x:c>
      <x:c r="O411" s="32" t="n">
        <x:v>451000</x:v>
      </x:c>
      <x:c r="P411" s="32"/>
      <x:c r="Q411" s="32"/>
      <x:c r="R411" s="32"/>
      <x:c r="S411" s="32"/>
      <x:c r="T411" s="32"/>
      <x:c r="U411" s="32"/>
      <x:c r="V411" s="32"/>
      <x:c r="W411" s="32"/>
      <x:c r="X411" s="32" t="n">
        <x:v>0</x:v>
      </x:c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 t="n">
        <x:v>0</x:v>
      </x:c>
      <x:c r="AN411" s="32"/>
      <x:c r="AO411" s="32"/>
      <x:c r="AP411" s="32" t="n">
        <x:v>0</x:v>
      </x:c>
      <x:c r="AQ411" s="32"/>
      <x:c r="AR411" s="32"/>
      <x:c r="AS411" s="32"/>
      <x:c r="AT411" s="32"/>
      <x:c r="AU411" s="32"/>
      <x:c r="AV411" s="32"/>
      <x:c r="AW411" s="32"/>
      <x:c r="AX411" s="32"/>
      <x:c r="AY411" s="32"/>
      <x:c r="AZ411" s="32"/>
      <x:c r="BA411" s="32"/>
    </x:row>
    <x:row r="412">
      <x:c r="A412" s="25" t="str">
        <x:v>C07-G</x:v>
      </x:c>
      <x:c r="B412" s="25" t="str">
        <x:v>化圣雪原</x:v>
      </x:c>
      <x:c r="C412" s="25" t="str">
        <x:v>半急速毕业</x:v>
      </x:c>
      <x:c r="D412" s="25" t="str">
        <x:v>单件图鉴</x:v>
      </x:c>
      <x:c r="E412" s="25" t="str">
        <x:v>本类1项（逐项见完整JSON）</x:v>
      </x:c>
      <x:c r="F412" s="25" t="str">
        <x:v>S07/collection_single</x:v>
      </x:c>
      <x:c r="G412" s="25" t="str">
        <x:v>原表累计</x:v>
      </x:c>
      <x:c r="H412" s="25" t="str">
        <x:v>由同包逐项数据聚合，便于核对</x:v>
      </x:c>
      <x:c r="I412" s="32" t="n">
        <x:v>2806</x:v>
      </x:c>
      <x:c r="J412" s="32" t="n">
        <x:v>2806</x:v>
      </x:c>
      <x:c r="K412" s="32" t="n">
        <x:v>2806</x:v>
      </x:c>
      <x:c r="L412" s="32" t="n">
        <x:v>2806</x:v>
      </x:c>
      <x:c r="M412" s="32" t="n">
        <x:v>2806</x:v>
      </x:c>
      <x:c r="N412" s="32" t="n">
        <x:v>2806</x:v>
      </x:c>
      <x:c r="O412" s="32" t="n">
        <x:v>280600</x:v>
      </x:c>
      <x:c r="P412" s="32"/>
      <x:c r="Q412" s="32"/>
      <x:c r="R412" s="32"/>
      <x:c r="S412" s="32"/>
      <x:c r="T412" s="32"/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Y412" s="32"/>
      <x:c r="AZ412" s="32"/>
      <x:c r="BA412" s="32"/>
    </x:row>
    <x:row r="413">
      <x:c r="A413" s="25" t="str">
        <x:v>C07-G</x:v>
      </x:c>
      <x:c r="B413" s="25" t="str">
        <x:v>化圣雪原</x:v>
      </x:c>
      <x:c r="C413" s="25" t="str">
        <x:v>半急速毕业</x:v>
      </x:c>
      <x:c r="D413" s="25" t="str">
        <x:v>地图整页</x:v>
      </x:c>
      <x:c r="E413" s="25" t="str">
        <x:v>本类21项（逐项见完整JSON）</x:v>
      </x:c>
      <x:c r="F413" s="25" t="str">
        <x:v>S07/collection_pages</x:v>
      </x:c>
      <x:c r="G413" s="25" t="str">
        <x:v>原表数值</x:v>
      </x:c>
      <x:c r="H413" s="25" t="str">
        <x:v>由同包逐项数据聚合，便于核对</x:v>
      </x:c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32"/>
      <x:c r="U413" s="32"/>
      <x:c r="V413" s="32"/>
      <x:c r="W413" s="32"/>
      <x:c r="X413" s="32" t="n">
        <x:v>0.44</x:v>
      </x:c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 t="n">
        <x:v>10.5</x:v>
      </x:c>
      <x:c r="AN413" s="32"/>
      <x:c r="AO413" s="32"/>
      <x:c r="AP413" s="32" t="n">
        <x:v>605</x:v>
      </x:c>
      <x:c r="AQ413" s="32"/>
      <x:c r="AR413" s="32"/>
      <x:c r="AS413" s="32"/>
      <x:c r="AT413" s="32"/>
      <x:c r="AU413" s="32"/>
      <x:c r="AV413" s="32"/>
      <x:c r="AW413" s="32"/>
      <x:c r="AX413" s="32"/>
      <x:c r="AY413" s="32"/>
      <x:c r="AZ413" s="32"/>
      <x:c r="BA413" s="32"/>
    </x:row>
    <x:row r="414">
      <x:c r="A414" s="25" t="str">
        <x:v>C07-G</x:v>
      </x:c>
      <x:c r="B414" s="25" t="str">
        <x:v>化圣雪原</x:v>
      </x:c>
      <x:c r="C414" s="25" t="str">
        <x:v>半急速毕业</x:v>
      </x:c>
      <x:c r="D414" s="25" t="str">
        <x:v>材料图鉴</x:v>
      </x:c>
      <x:c r="E414" s="25" t="str">
        <x:v>本类4项（逐项见完整JSON）</x:v>
      </x:c>
      <x:c r="F414" s="25" t="str">
        <x:v>S07/collection_materials</x:v>
      </x:c>
      <x:c r="G414" s="25" t="str">
        <x:v>原表数值</x:v>
      </x:c>
      <x:c r="H414" s="25" t="str">
        <x:v>由同包逐项数据聚合，便于核对</x:v>
      </x:c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32"/>
      <x:c r="U414" s="32"/>
      <x:c r="V414" s="32"/>
      <x:c r="W414" s="32"/>
      <x:c r="X414" s="32" t="n">
        <x:v>0.29000000000000004</x:v>
      </x:c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 t="n">
        <x:v>0</x:v>
      </x:c>
      <x:c r="AN414" s="32"/>
      <x:c r="AO414" s="32"/>
      <x:c r="AP414" s="32" t="n">
        <x:v>0</x:v>
      </x:c>
      <x:c r="AQ414" s="32"/>
      <x:c r="AR414" s="32"/>
      <x:c r="AS414" s="32"/>
      <x:c r="AT414" s="32"/>
      <x:c r="AU414" s="32"/>
      <x:c r="AV414" s="32"/>
      <x:c r="AW414" s="32"/>
      <x:c r="AX414" s="32"/>
      <x:c r="AY414" s="32"/>
      <x:c r="AZ414" s="32"/>
      <x:c r="BA414" s="32"/>
    </x:row>
    <x:row r="415">
      <x:c r="A415" s="25" t="str">
        <x:v>C07-G</x:v>
      </x:c>
      <x:c r="B415" s="25" t="str">
        <x:v>化圣雪原</x:v>
      </x:c>
      <x:c r="C415" s="25" t="str">
        <x:v>半急速毕业</x:v>
      </x:c>
      <x:c r="D415" s="25" t="str">
        <x:v>旧任务</x:v>
      </x:c>
      <x:c r="E415" s="25" t="str">
        <x:v>本类6项（逐项见完整JSON）</x:v>
      </x:c>
      <x:c r="F415" s="25" t="str">
        <x:v>宁姆格福_完整怪物装备任务爆率规划/地图任务；第一大陆_地图魂魄任务.txt</x:v>
      </x:c>
      <x:c r="G415" s="25" t="str">
        <x:v>原件确认；原表数值</x:v>
      </x:c>
      <x:c r="H415" s="25" t="str">
        <x:v>由同包逐项数据聚合，便于核对</x:v>
      </x:c>
      <x:c r="I415" s="32" t="n">
        <x:v>60</x:v>
      </x:c>
      <x:c r="J415" s="32" t="n">
        <x:v>60</x:v>
      </x:c>
      <x:c r="K415" s="32" t="n">
        <x:v>60</x:v>
      </x:c>
      <x:c r="L415" s="32" t="n">
        <x:v>60</x:v>
      </x:c>
      <x:c r="M415" s="32" t="n">
        <x:v>60</x:v>
      </x:c>
      <x:c r="N415" s="32" t="n">
        <x:v>60</x:v>
      </x:c>
      <x:c r="O415" s="32"/>
      <x:c r="P415" s="32"/>
      <x:c r="Q415" s="32"/>
      <x:c r="R415" s="32"/>
      <x:c r="S415" s="32"/>
      <x:c r="T415" s="32"/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 t="n">
        <x:v>2</x:v>
      </x:c>
      <x:c r="AN415" s="32"/>
      <x:c r="AO415" s="32"/>
      <x:c r="AP415" s="32" t="n">
        <x:v>120</x:v>
      </x:c>
      <x:c r="AQ415" s="32"/>
      <x:c r="AR415" s="32"/>
      <x:c r="AS415" s="32"/>
      <x:c r="AT415" s="32"/>
      <x:c r="AU415" s="32"/>
      <x:c r="AV415" s="32"/>
      <x:c r="AW415" s="32"/>
      <x:c r="AX415" s="32"/>
      <x:c r="AY415" s="32"/>
      <x:c r="AZ415" s="32"/>
      <x:c r="BA415" s="32"/>
    </x:row>
    <x:row r="416">
      <x:c r="A416" s="25" t="str">
        <x:v>C07-G</x:v>
      </x:c>
      <x:c r="B416" s="25" t="str">
        <x:v>化圣雪原</x:v>
      </x:c>
      <x:c r="C416" s="25" t="str">
        <x:v>半急速毕业</x:v>
      </x:c>
      <x:c r="D416" s="25" t="str">
        <x:v>装备</x:v>
      </x:c>
      <x:c r="E416" s="25" t="str">
        <x:v>本类31项（逐项见完整JSON）</x:v>
      </x:c>
      <x:c r="F416" s="25" t="str">
        <x:v>S02；S07</x:v>
      </x:c>
      <x:c r="G416" s="25" t="str">
        <x:v>原表数值</x:v>
      </x:c>
      <x:c r="H416" s="25" t="str">
        <x:v>由同包逐项数据聚合，便于核对</x:v>
      </x:c>
      <x:c r="I416" s="32" t="n">
        <x:v>13472</x:v>
      </x:c>
      <x:c r="J416" s="32" t="n">
        <x:v>25770</x:v>
      </x:c>
      <x:c r="K416" s="32" t="n">
        <x:v>13472</x:v>
      </x:c>
      <x:c r="L416" s="32" t="n">
        <x:v>25770</x:v>
      </x:c>
      <x:c r="M416" s="32" t="n">
        <x:v>13472</x:v>
      </x:c>
      <x:c r="N416" s="32" t="n">
        <x:v>25770</x:v>
      </x:c>
      <x:c r="O416" s="32" t="n">
        <x:v>13958900</x:v>
      </x:c>
      <x:c r="P416" s="32"/>
      <x:c r="Q416" s="32" t="n">
        <x:v>569</x:v>
      </x:c>
      <x:c r="R416" s="32" t="n">
        <x:v>1056</x:v>
      </x:c>
      <x:c r="S416" s="32" t="n">
        <x:v>463</x:v>
      </x:c>
      <x:c r="T416" s="32" t="n">
        <x:v>855</x:v>
      </x:c>
      <x:c r="U416" s="32" t="n">
        <x:v>575</x:v>
      </x:c>
      <x:c r="V416" s="32" t="n">
        <x:v>575</x:v>
      </x:c>
      <x:c r="W416" s="32" t="n">
        <x:v>575</x:v>
      </x:c>
      <x:c r="X416" s="32"/>
      <x:c r="Y416" s="32"/>
      <x:c r="Z416" s="32" t="n">
        <x:v>139</x:v>
      </x:c>
      <x:c r="AA416" s="32" t="n">
        <x:v>41</x:v>
      </x:c>
      <x:c r="AB416" s="32"/>
      <x:c r="AC416" s="32" t="n">
        <x:v>186</x:v>
      </x:c>
      <x:c r="AD416" s="32" t="n">
        <x:v>1</x:v>
      </x:c>
      <x:c r="AE416" s="32" t="n">
        <x:v>25</x:v>
      </x:c>
      <x:c r="AF416" s="32"/>
      <x:c r="AG416" s="32"/>
      <x:c r="AH416" s="32" t="n">
        <x:v>33</x:v>
      </x:c>
      <x:c r="AI416" s="32" t="n">
        <x:v>6</x:v>
      </x:c>
      <x:c r="AJ416" s="32" t="n">
        <x:v>144</x:v>
      </x:c>
      <x:c r="AK416" s="32"/>
      <x:c r="AL416" s="32"/>
      <x:c r="AM416" s="32"/>
      <x:c r="AN416" s="32" t="n">
        <x:v>20</x:v>
      </x:c>
      <x:c r="AO416" s="32" t="n">
        <x:v>0.2</x:v>
      </x:c>
      <x:c r="AP416" s="32" t="n">
        <x:v>40</x:v>
      </x:c>
      <x:c r="AQ416" s="32" t="n">
        <x:v>75</x:v>
      </x:c>
      <x:c r="AR416" s="32"/>
      <x:c r="AS416" s="32" t="n">
        <x:v>10</x:v>
      </x:c>
      <x:c r="AT416" s="32"/>
      <x:c r="AU416" s="32"/>
      <x:c r="AV416" s="32"/>
      <x:c r="AW416" s="32" t="n">
        <x:v>2</x:v>
      </x:c>
      <x:c r="AX416" s="32"/>
      <x:c r="AY416" s="32"/>
      <x:c r="AZ416" s="32" t="n">
        <x:v>9</x:v>
      </x:c>
      <x:c r="BA416" s="32"/>
    </x:row>
    <x:row r="417">
      <x:c r="A417" s="25" t="str">
        <x:v>C07-G</x:v>
      </x:c>
      <x:c r="B417" s="25" t="str">
        <x:v>化圣雪原</x:v>
      </x:c>
      <x:c r="C417" s="25" t="str">
        <x:v>半急速毕业</x:v>
      </x:c>
      <x:c r="D417" s="25" t="str">
        <x:v>洗练</x:v>
      </x:c>
      <x:c r="E417" s="25" t="str">
        <x:v>本类10项（逐项见完整JSON）</x:v>
      </x:c>
      <x:c r="F417" s="25" t="str">
        <x:v>S06＋固定种子</x:v>
      </x:c>
      <x:c r="G417" s="25" t="str">
        <x:v>可实现随机样本</x:v>
      </x:c>
      <x:c r="H417" s="25" t="str">
        <x:v>由同包逐项数据聚合，便于核对</x:v>
      </x:c>
      <x:c r="I417" s="32" t="n">
        <x:v>498</x:v>
      </x:c>
      <x:c r="J417" s="32" t="n">
        <x:v>498</x:v>
      </x:c>
      <x:c r="K417" s="32" t="n">
        <x:v>147</x:v>
      </x:c>
      <x:c r="L417" s="32" t="n">
        <x:v>147</x:v>
      </x:c>
      <x:c r="M417" s="32" t="n">
        <x:v>98</x:v>
      </x:c>
      <x:c r="N417" s="32" t="n">
        <x:v>98</x:v>
      </x:c>
      <x:c r="O417" s="32"/>
      <x:c r="P417" s="32"/>
      <x:c r="Q417" s="32"/>
      <x:c r="R417" s="32"/>
      <x:c r="S417" s="32"/>
      <x:c r="T417" s="32"/>
      <x:c r="U417" s="32" t="n">
        <x:v>468</x:v>
      </x:c>
      <x:c r="V417" s="32"/>
      <x:c r="W417" s="32"/>
      <x:c r="X417" s="32"/>
      <x:c r="Y417" s="32"/>
      <x:c r="Z417" s="32"/>
      <x:c r="AA417" s="32"/>
      <x:c r="AB417" s="32" t="n">
        <x:v>4</x:v>
      </x:c>
      <x:c r="AC417" s="32"/>
      <x:c r="AD417" s="32"/>
      <x:c r="AE417" s="32"/>
      <x:c r="AF417" s="32"/>
      <x:c r="AG417" s="32"/>
      <x:c r="AH417" s="32" t="n">
        <x:v>2</x:v>
      </x:c>
      <x:c r="AI417" s="32"/>
      <x:c r="AJ417" s="32"/>
      <x:c r="AK417" s="32"/>
      <x:c r="AL417" s="32"/>
      <x:c r="AM417" s="32" t="n">
        <x:v>1</x:v>
      </x:c>
      <x:c r="AN417" s="32" t="n">
        <x:v>7</x:v>
      </x:c>
      <x:c r="AO417" s="32" t="n">
        <x:v>1</x:v>
      </x:c>
      <x:c r="AP417" s="32"/>
      <x:c r="AQ417" s="32"/>
      <x:c r="AR417" s="32" t="n">
        <x:v>2</x:v>
      </x:c>
      <x:c r="AS417" s="32" t="n">
        <x:v>2</x:v>
      </x:c>
      <x:c r="AT417" s="32"/>
      <x:c r="AU417" s="32" t="n">
        <x:v>4</x:v>
      </x:c>
      <x:c r="AV417" s="32"/>
      <x:c r="AW417" s="32"/>
      <x:c r="AX417" s="32"/>
      <x:c r="AY417" s="32"/>
      <x:c r="AZ417" s="32"/>
      <x:c r="BA417" s="32"/>
    </x:row>
    <x:row r="418">
      <x:c r="A418" s="25" t="str">
        <x:v>C07-G</x:v>
      </x:c>
      <x:c r="B418" s="25" t="str">
        <x:v>化圣雪原</x:v>
      </x:c>
      <x:c r="C418" s="25" t="str">
        <x:v>半急速毕业</x:v>
      </x:c>
      <x:c r="D418" s="25" t="str">
        <x:v>命格</x:v>
      </x:c>
      <x:c r="E418" s="25" t="str">
        <x:v>本类6项（逐项见完整JSON）</x:v>
      </x:c>
      <x:c r="F418" s="25" t="str">
        <x:v>S03/命格ID1081；S03/命格ID1089；S03/命格ID1090；S03/命格ID1092；S03/命格ID1093；S03/命格ID1097</x:v>
      </x:c>
      <x:c r="G418" s="25" t="str">
        <x:v>原表彩色＋选配假设</x:v>
      </x:c>
      <x:c r="H418" s="25" t="str">
        <x:v>由同包逐项数据聚合，便于核对</x:v>
      </x:c>
      <x:c r="I418" s="32"/>
      <x:c r="J418" s="32"/>
      <x:c r="K418" s="32"/>
      <x:c r="L418" s="32"/>
      <x:c r="M418" s="32"/>
      <x:c r="N418" s="32"/>
      <x:c r="O418" s="32" t="n">
        <x:v>1500</x:v>
      </x:c>
      <x:c r="P418" s="32"/>
      <x:c r="Q418" s="32"/>
      <x:c r="R418" s="32"/>
      <x:c r="S418" s="32"/>
      <x:c r="T418" s="32"/>
      <x:c r="U418" s="32" t="n">
        <x:v>3</x:v>
      </x:c>
      <x:c r="V418" s="32"/>
      <x:c r="W418" s="32"/>
      <x:c r="X418" s="32"/>
      <x:c r="Y418" s="32" t="n">
        <x:v>6</x:v>
      </x:c>
      <x:c r="Z418" s="32" t="n">
        <x:v>3</x:v>
      </x:c>
      <x:c r="AA418" s="32" t="n">
        <x:v>5</x:v>
      </x:c>
      <x:c r="AB418" s="32"/>
      <x:c r="AC418" s="32"/>
      <x:c r="AD418" s="32"/>
      <x:c r="AE418" s="32"/>
      <x:c r="AF418" s="32"/>
      <x:c r="AG418" s="32"/>
      <x:c r="AH418" s="32" t="n">
        <x:v>2</x:v>
      </x:c>
      <x:c r="AI418" s="32"/>
      <x:c r="AJ418" s="32" t="n">
        <x:v>10</x:v>
      </x:c>
      <x:c r="AK418" s="32"/>
      <x:c r="AL418" s="32"/>
      <x:c r="AM418" s="32"/>
      <x:c r="AN418" s="32"/>
      <x:c r="AO418" s="32"/>
      <x:c r="AP418" s="32"/>
      <x:c r="AQ418" s="32" t="n">
        <x:v>6</x:v>
      </x:c>
      <x:c r="AR418" s="32" t="n">
        <x:v>3</x:v>
      </x:c>
      <x:c r="AS418" s="32" t="n">
        <x:v>0.75</x:v>
      </x:c>
      <x:c r="AT418" s="32" t="n">
        <x:v>50</x:v>
      </x:c>
      <x:c r="AU418" s="32" t="n">
        <x:v>2</x:v>
      </x:c>
      <x:c r="AV418" s="32" t="n">
        <x:v>3</x:v>
      </x:c>
      <x:c r="AW418" s="32"/>
      <x:c r="AX418" s="32"/>
      <x:c r="AY418" s="32"/>
      <x:c r="AZ418" s="32"/>
      <x:c r="BA418" s="32"/>
    </x:row>
    <x:row r="419">
      <x:c r="A419" s="25" t="str">
        <x:v>C07-G</x:v>
      </x:c>
      <x:c r="B419" s="25" t="str">
        <x:v>化圣雪原</x:v>
      </x:c>
      <x:c r="C419" s="25" t="str">
        <x:v>半急速毕业</x:v>
      </x:c>
      <x:c r="D419" s="25" t="str">
        <x:v>后天幸运</x:v>
      </x:c>
      <x:c r="E419" s="25" t="str">
        <x:v>本类1项（逐项见完整JSON）</x:v>
      </x:c>
      <x:c r="F419" s="25" t="str">
        <x:v>A08</x:v>
      </x:c>
      <x:c r="G419" s="25" t="str">
        <x:v>人物永久进度</x:v>
      </x:c>
      <x:c r="H419" s="25" t="str">
        <x:v>由同包逐项数据聚合，便于核对</x:v>
      </x:c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32"/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 t="n">
        <x:v>7</x:v>
      </x:c>
      <x:c r="AL419" s="32" t="n">
        <x:v>8</x:v>
      </x:c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Y419" s="32"/>
      <x:c r="AZ419" s="32"/>
      <x:c r="BA419" s="32"/>
    </x:row>
    <x:row r="420">
      <x:c r="A420" s="25" t="str">
        <x:v>C07-G</x:v>
      </x:c>
      <x:c r="B420" s="25" t="str">
        <x:v>化圣雪原</x:v>
      </x:c>
      <x:c r="C420" s="25" t="str">
        <x:v>半急速毕业</x:v>
      </x:c>
      <x:c r="D420" s="25" t="str">
        <x:v>回收预算</x:v>
      </x:c>
      <x:c r="E420" s="25" t="str">
        <x:v>本类1项（逐项见完整JSON）</x:v>
      </x:c>
      <x:c r="F420" s="25" t="str">
        <x:v>用户总回收50%</x:v>
      </x:c>
      <x:c r="G420" s="25" t="str">
        <x:v>经济输入，不是新增属性来源</x:v>
      </x:c>
      <x:c r="H420" s="25" t="str">
        <x:v>由同包逐项数据聚合，便于核对</x:v>
      </x:c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32"/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Y420" s="32"/>
      <x:c r="AZ420" s="32"/>
      <x:c r="BA420" s="32" t="n">
        <x:v>50</x:v>
      </x:c>
    </x:row>
    <x:row r="421">
      <x:c r="A421" s="25" t="str">
        <x:v>C07-X</x:v>
      </x:c>
      <x:c r="B421" s="25" t="str">
        <x:v>化圣雪原</x:v>
      </x:c>
      <x:c r="C421" s="25" t="str">
        <x:v>极端压力</x:v>
      </x:c>
      <x:c r="D421" s="25" t="str">
        <x:v>人物自然</x:v>
      </x:c>
      <x:c r="E421" s="25" t="str">
        <x:v>本类1项（逐项见完整JSON）</x:v>
      </x:c>
      <x:c r="F421" s="25" t="str">
        <x:v>A01</x:v>
      </x:c>
      <x:c r="G421" s="25" t="str">
        <x:v>模型假设</x:v>
      </x:c>
      <x:c r="H421" s="25" t="str">
        <x:v>由同包逐项数据聚合，便于核对</x:v>
      </x:c>
      <x:c r="I421" s="32" t="n">
        <x:v>21</x:v>
      </x:c>
      <x:c r="J421" s="32" t="n">
        <x:v>48</x:v>
      </x:c>
      <x:c r="K421" s="32"/>
      <x:c r="L421" s="32"/>
      <x:c r="M421" s="32"/>
      <x:c r="N421" s="32"/>
      <x:c r="O421" s="32" t="n">
        <x:v>3800</x:v>
      </x:c>
      <x:c r="P421" s="32" t="n">
        <x:v>900</x:v>
      </x:c>
      <x:c r="Q421" s="32"/>
      <x:c r="R421" s="32"/>
      <x:c r="S421" s="32"/>
      <x:c r="T421" s="32"/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Y421" s="32"/>
      <x:c r="AZ421" s="32"/>
      <x:c r="BA421" s="32"/>
    </x:row>
    <x:row r="422">
      <x:c r="A422" s="25" t="str">
        <x:v>C07-X</x:v>
      </x:c>
      <x:c r="B422" s="25" t="str">
        <x:v>化圣雪原</x:v>
      </x:c>
      <x:c r="C422" s="25" t="str">
        <x:v>极端压力</x:v>
      </x:c>
      <x:c r="D422" s="25" t="str">
        <x:v>付费状态</x:v>
      </x:c>
      <x:c r="E422" s="25" t="str">
        <x:v>本类3项（逐项见完整JSON）</x:v>
      </x:c>
      <x:c r="F422" s="25" t="str">
        <x:v>20260903总档</x:v>
      </x:c>
      <x:c r="G422" s="25" t="str">
        <x:v>原表数值</x:v>
      </x:c>
      <x:c r="H422" s="25" t="str">
        <x:v>由同包逐项数据聚合，便于核对</x:v>
      </x:c>
      <x:c r="I422" s="32" t="n">
        <x:v>149</x:v>
      </x:c>
      <x:c r="J422" s="32" t="n">
        <x:v>149</x:v>
      </x:c>
      <x:c r="K422" s="32" t="n">
        <x:v>149</x:v>
      </x:c>
      <x:c r="L422" s="32" t="n">
        <x:v>149</x:v>
      </x:c>
      <x:c r="M422" s="32" t="n">
        <x:v>149</x:v>
      </x:c>
      <x:c r="N422" s="32" t="n">
        <x:v>149</x:v>
      </x:c>
      <x:c r="O422" s="32" t="n">
        <x:v>10000</x:v>
      </x:c>
      <x:c r="P422" s="32"/>
      <x:c r="Q422" s="32"/>
      <x:c r="R422" s="32"/>
      <x:c r="S422" s="32"/>
      <x:c r="T422" s="32"/>
      <x:c r="U422" s="32"/>
      <x:c r="V422" s="32"/>
      <x:c r="W422" s="32"/>
      <x:c r="X422" s="32"/>
      <x:c r="Y422" s="32" t="n">
        <x:v>10</x:v>
      </x:c>
      <x:c r="Z422" s="32"/>
      <x:c r="AA422" s="32"/>
      <x:c r="AB422" s="32" t="n">
        <x:v>20</x:v>
      </x:c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 t="n">
        <x:v>10</x:v>
      </x:c>
      <x:c r="AN422" s="32"/>
      <x:c r="AO422" s="32"/>
      <x:c r="AP422" s="32" t="n">
        <x:v>50</x:v>
      </x:c>
      <x:c r="AQ422" s="32"/>
      <x:c r="AR422" s="32"/>
      <x:c r="AS422" s="32"/>
      <x:c r="AT422" s="32" t="n">
        <x:v>700</x:v>
      </x:c>
      <x:c r="AU422" s="32" t="n">
        <x:v>15</x:v>
      </x:c>
      <x:c r="AV422" s="32"/>
      <x:c r="AW422" s="32"/>
      <x:c r="AX422" s="32"/>
      <x:c r="AY422" s="32"/>
      <x:c r="AZ422" s="32"/>
      <x:c r="BA422" s="32"/>
    </x:row>
    <x:row r="423">
      <x:c r="A423" s="25" t="str">
        <x:v>C07-X</x:v>
      </x:c>
      <x:c r="B423" s="25" t="str">
        <x:v>化圣雪原</x:v>
      </x:c>
      <x:c r="C423" s="25" t="str">
        <x:v>极端压力</x:v>
      </x:c>
      <x:c r="D423" s="25" t="str">
        <x:v>成长装备</x:v>
      </x:c>
      <x:c r="E423" s="25" t="str">
        <x:v>本类2项（逐项见完整JSON）</x:v>
      </x:c>
      <x:c r="F423" s="25" t="str">
        <x:v>20260903总档 / A04</x:v>
      </x:c>
      <x:c r="G423" s="25" t="str">
        <x:v>原表＋支付路径假设</x:v>
      </x:c>
      <x:c r="H423" s="25" t="str">
        <x:v>由同包逐项数据聚合，便于核对</x:v>
      </x:c>
      <x:c r="I423" s="32" t="n">
        <x:v>1100</x:v>
      </x:c>
      <x:c r="J423" s="32" t="n">
        <x:v>1100</x:v>
      </x:c>
      <x:c r="K423" s="32" t="n">
        <x:v>1100</x:v>
      </x:c>
      <x:c r="L423" s="32" t="n">
        <x:v>1100</x:v>
      </x:c>
      <x:c r="M423" s="32" t="n">
        <x:v>1100</x:v>
      </x:c>
      <x:c r="N423" s="32" t="n">
        <x:v>1100</x:v>
      </x:c>
      <x:c r="O423" s="32"/>
      <x:c r="P423" s="32"/>
      <x:c r="Q423" s="32"/>
      <x:c r="R423" s="32"/>
      <x:c r="S423" s="32"/>
      <x:c r="T423" s="32"/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 t="n">
        <x:v>10</x:v>
      </x:c>
      <x:c r="AX423" s="32" t="n">
        <x:v>10</x:v>
      </x:c>
      <x:c r="AY423" s="32"/>
      <x:c r="AZ423" s="32"/>
      <x:c r="BA423" s="32"/>
    </x:row>
    <x:row r="424">
      <x:c r="A424" s="25" t="str">
        <x:v>C07-X</x:v>
      </x:c>
      <x:c r="B424" s="25" t="str">
        <x:v>化圣雪原</x:v>
      </x:c>
      <x:c r="C424" s="25" t="str">
        <x:v>极端压力</x:v>
      </x:c>
      <x:c r="D424" s="25" t="str">
        <x:v>贯穿称号</x:v>
      </x:c>
      <x:c r="E424" s="25" t="str">
        <x:v>本类1项（逐项见完整JSON）</x:v>
      </x:c>
      <x:c r="F424" s="25" t="str">
        <x:v>S04/01_贯穿称号</x:v>
      </x:c>
      <x:c r="G424" s="25" t="str">
        <x:v>原表数值</x:v>
      </x:c>
      <x:c r="H424" s="25" t="str">
        <x:v>由同包逐项数据聚合，便于核对</x:v>
      </x:c>
      <x:c r="I424" s="32" t="n">
        <x:v>16000</x:v>
      </x:c>
      <x:c r="J424" s="32" t="n">
        <x:v>16000</x:v>
      </x:c>
      <x:c r="K424" s="32" t="n">
        <x:v>16000</x:v>
      </x:c>
      <x:c r="L424" s="32" t="n">
        <x:v>16000</x:v>
      </x:c>
      <x:c r="M424" s="32" t="n">
        <x:v>16000</x:v>
      </x:c>
      <x:c r="N424" s="32" t="n">
        <x:v>16000</x:v>
      </x:c>
      <x:c r="O424" s="32" t="n">
        <x:v>1600000</x:v>
      </x:c>
      <x:c r="P424" s="32" t="n">
        <x:v>1600000</x:v>
      </x:c>
      <x:c r="Q424" s="32"/>
      <x:c r="R424" s="32"/>
      <x:c r="S424" s="32"/>
      <x:c r="T424" s="32"/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 t="n">
        <x:v>3000</x:v>
      </x:c>
      <x:c r="AU424" s="32"/>
      <x:c r="AV424" s="32"/>
      <x:c r="AW424" s="32"/>
      <x:c r="AX424" s="32"/>
      <x:c r="AY424" s="32"/>
      <x:c r="AZ424" s="32"/>
      <x:c r="BA424" s="32"/>
    </x:row>
    <x:row r="425">
      <x:c r="A425" s="25" t="str">
        <x:v>C07-X</x:v>
      </x:c>
      <x:c r="B425" s="25" t="str">
        <x:v>化圣雪原</x:v>
      </x:c>
      <x:c r="C425" s="25" t="str">
        <x:v>极端压力</x:v>
      </x:c>
      <x:c r="D425" s="25" t="str">
        <x:v>神印</x:v>
      </x:c>
      <x:c r="E425" s="25" t="str">
        <x:v>本类1项（逐项见完整JSON）</x:v>
      </x:c>
      <x:c r="F425" s="25" t="str">
        <x:v>S04 / 神印公式</x:v>
      </x:c>
      <x:c r="G425" s="25" t="str">
        <x:v>自给进度假设＋原公式</x:v>
      </x:c>
      <x:c r="H425" s="25" t="str">
        <x:v>由同包逐项数据聚合，便于核对</x:v>
      </x:c>
      <x:c r="I425" s="32" t="n">
        <x:v>19110</x:v>
      </x:c>
      <x:c r="J425" s="32" t="n">
        <x:v>19110</x:v>
      </x:c>
      <x:c r="K425" s="32" t="n">
        <x:v>19110</x:v>
      </x:c>
      <x:c r="L425" s="32" t="n">
        <x:v>19110</x:v>
      </x:c>
      <x:c r="M425" s="32" t="n">
        <x:v>19110</x:v>
      </x:c>
      <x:c r="N425" s="32" t="n">
        <x:v>19110</x:v>
      </x:c>
      <x:c r="O425" s="32" t="n">
        <x:v>1911000</x:v>
      </x:c>
      <x:c r="P425" s="32"/>
      <x:c r="Q425" s="32"/>
      <x:c r="R425" s="32"/>
      <x:c r="S425" s="32"/>
      <x:c r="T425" s="32"/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Y425" s="32"/>
      <x:c r="AZ425" s="32"/>
      <x:c r="BA425" s="32"/>
    </x:row>
    <x:row r="426">
      <x:c r="A426" s="25" t="str">
        <x:v>C07-X</x:v>
      </x:c>
      <x:c r="B426" s="25" t="str">
        <x:v>化圣雪原</x:v>
      </x:c>
      <x:c r="C426" s="25" t="str">
        <x:v>极端压力</x:v>
      </x:c>
      <x:c r="D426" s="25" t="str">
        <x:v>转生</x:v>
      </x:c>
      <x:c r="E426" s="25" t="str">
        <x:v>本类1项（逐项见完整JSON）</x:v>
      </x:c>
      <x:c r="F426" s="25" t="str">
        <x:v>S07/20转</x:v>
      </x:c>
      <x:c r="G426" s="25" t="str">
        <x:v>原表累计</x:v>
      </x:c>
      <x:c r="H426" s="25" t="str">
        <x:v>由同包逐项数据聚合，便于核对</x:v>
      </x:c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32"/>
      <x:c r="U426" s="32"/>
      <x:c r="V426" s="32"/>
      <x:c r="W426" s="32"/>
      <x:c r="X426" s="32" t="n">
        <x:v>0.45</x:v>
      </x:c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Y426" s="32"/>
      <x:c r="AZ426" s="32"/>
      <x:c r="BA426" s="32"/>
    </x:row>
    <x:row r="427">
      <x:c r="A427" s="25" t="str">
        <x:v>C07-X</x:v>
      </x:c>
      <x:c r="B427" s="25" t="str">
        <x:v>化圣雪原</x:v>
      </x:c>
      <x:c r="C427" s="25" t="str">
        <x:v>极端压力</x:v>
      </x:c>
      <x:c r="D427" s="25" t="str">
        <x:v>独立称号</x:v>
      </x:c>
      <x:c r="E427" s="25" t="str">
        <x:v>本类4项（逐项见完整JSON）</x:v>
      </x:c>
      <x:c r="F427" s="25" t="str">
        <x:v>S04/02_独立称号</x:v>
      </x:c>
      <x:c r="G427" s="25" t="str">
        <x:v>原表数值</x:v>
      </x:c>
      <x:c r="H427" s="25" t="str">
        <x:v>由同包逐项数据聚合，便于核对</x:v>
      </x:c>
      <x:c r="I427" s="32" t="n">
        <x:v>4510</x:v>
      </x:c>
      <x:c r="J427" s="32" t="n">
        <x:v>4510</x:v>
      </x:c>
      <x:c r="K427" s="32" t="n">
        <x:v>4510</x:v>
      </x:c>
      <x:c r="L427" s="32" t="n">
        <x:v>4510</x:v>
      </x:c>
      <x:c r="M427" s="32" t="n">
        <x:v>4510</x:v>
      </x:c>
      <x:c r="N427" s="32" t="n">
        <x:v>4510</x:v>
      </x:c>
      <x:c r="O427" s="32" t="n">
        <x:v>451000</x:v>
      </x:c>
      <x:c r="P427" s="32"/>
      <x:c r="Q427" s="32"/>
      <x:c r="R427" s="32"/>
      <x:c r="S427" s="32"/>
      <x:c r="T427" s="32"/>
      <x:c r="U427" s="32"/>
      <x:c r="V427" s="32"/>
      <x:c r="W427" s="32"/>
      <x:c r="X427" s="32" t="n">
        <x:v>0</x:v>
      </x:c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 t="n">
        <x:v>0</x:v>
      </x:c>
      <x:c r="AN427" s="32"/>
      <x:c r="AO427" s="32"/>
      <x:c r="AP427" s="32" t="n">
        <x:v>0</x:v>
      </x:c>
      <x:c r="AQ427" s="32"/>
      <x:c r="AR427" s="32"/>
      <x:c r="AS427" s="32"/>
      <x:c r="AT427" s="32"/>
      <x:c r="AU427" s="32"/>
      <x:c r="AV427" s="32"/>
      <x:c r="AW427" s="32"/>
      <x:c r="AX427" s="32"/>
      <x:c r="AY427" s="32"/>
      <x:c r="AZ427" s="32"/>
      <x:c r="BA427" s="32"/>
    </x:row>
    <x:row r="428">
      <x:c r="A428" s="25" t="str">
        <x:v>C07-X</x:v>
      </x:c>
      <x:c r="B428" s="25" t="str">
        <x:v>化圣雪原</x:v>
      </x:c>
      <x:c r="C428" s="25" t="str">
        <x:v>极端压力</x:v>
      </x:c>
      <x:c r="D428" s="25" t="str">
        <x:v>单件图鉴</x:v>
      </x:c>
      <x:c r="E428" s="25" t="str">
        <x:v>本类1项（逐项见完整JSON）</x:v>
      </x:c>
      <x:c r="F428" s="25" t="str">
        <x:v>S07/collection_single</x:v>
      </x:c>
      <x:c r="G428" s="25" t="str">
        <x:v>原表累计</x:v>
      </x:c>
      <x:c r="H428" s="25" t="str">
        <x:v>由同包逐项数据聚合，便于核对</x:v>
      </x:c>
      <x:c r="I428" s="32" t="n">
        <x:v>4311</x:v>
      </x:c>
      <x:c r="J428" s="32" t="n">
        <x:v>4311</x:v>
      </x:c>
      <x:c r="K428" s="32" t="n">
        <x:v>4311</x:v>
      </x:c>
      <x:c r="L428" s="32" t="n">
        <x:v>4311</x:v>
      </x:c>
      <x:c r="M428" s="32" t="n">
        <x:v>4311</x:v>
      </x:c>
      <x:c r="N428" s="32" t="n">
        <x:v>4311</x:v>
      </x:c>
      <x:c r="O428" s="32" t="n">
        <x:v>431100</x:v>
      </x:c>
      <x:c r="P428" s="32"/>
      <x:c r="Q428" s="32"/>
      <x:c r="R428" s="32"/>
      <x:c r="S428" s="32"/>
      <x:c r="T428" s="32"/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Y428" s="32"/>
      <x:c r="AZ428" s="32"/>
      <x:c r="BA428" s="32"/>
    </x:row>
    <x:row r="429">
      <x:c r="A429" s="25" t="str">
        <x:v>C07-X</x:v>
      </x:c>
      <x:c r="B429" s="25" t="str">
        <x:v>化圣雪原</x:v>
      </x:c>
      <x:c r="C429" s="25" t="str">
        <x:v>极端压力</x:v>
      </x:c>
      <x:c r="D429" s="25" t="str">
        <x:v>地图整页</x:v>
      </x:c>
      <x:c r="E429" s="25" t="str">
        <x:v>本类32项（逐项见完整JSON）</x:v>
      </x:c>
      <x:c r="F429" s="25" t="str">
        <x:v>S07/collection_pages</x:v>
      </x:c>
      <x:c r="G429" s="25" t="str">
        <x:v>原表数值</x:v>
      </x:c>
      <x:c r="H429" s="25" t="str">
        <x:v>由同包逐项数据聚合，便于核对</x:v>
      </x:c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32"/>
      <x:c r="U429" s="32"/>
      <x:c r="V429" s="32"/>
      <x:c r="W429" s="32"/>
      <x:c r="X429" s="32" t="n">
        <x:v>0.7100000000000003</x:v>
      </x:c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 t="n">
        <x:v>16</x:v>
      </x:c>
      <x:c r="AN429" s="32"/>
      <x:c r="AO429" s="32"/>
      <x:c r="AP429" s="32" t="n">
        <x:v>955</x:v>
      </x:c>
      <x:c r="AQ429" s="32"/>
      <x:c r="AR429" s="32"/>
      <x:c r="AS429" s="32"/>
      <x:c r="AT429" s="32"/>
      <x:c r="AU429" s="32"/>
      <x:c r="AV429" s="32"/>
      <x:c r="AW429" s="32"/>
      <x:c r="AX429" s="32"/>
      <x:c r="AY429" s="32"/>
      <x:c r="AZ429" s="32"/>
      <x:c r="BA429" s="32"/>
    </x:row>
    <x:row r="430">
      <x:c r="A430" s="25" t="str">
        <x:v>C07-X</x:v>
      </x:c>
      <x:c r="B430" s="25" t="str">
        <x:v>化圣雪原</x:v>
      </x:c>
      <x:c r="C430" s="25" t="str">
        <x:v>极端压力</x:v>
      </x:c>
      <x:c r="D430" s="25" t="str">
        <x:v>大陆全收集</x:v>
      </x:c>
      <x:c r="E430" s="25" t="str">
        <x:v>本类7项（逐项见完整JSON）</x:v>
      </x:c>
      <x:c r="F430" s="25" t="str">
        <x:v>S07/collection_continents</x:v>
      </x:c>
      <x:c r="G430" s="25" t="str">
        <x:v>原表累计</x:v>
      </x:c>
      <x:c r="H430" s="25" t="str">
        <x:v>由同包逐项数据聚合，便于核对</x:v>
      </x:c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32"/>
      <x:c r="U430" s="32"/>
      <x:c r="V430" s="32"/>
      <x:c r="W430" s="32"/>
      <x:c r="X430" s="32"/>
      <x:c r="Y430" s="32"/>
      <x:c r="Z430" s="32"/>
      <x:c r="AA430" s="32"/>
      <x:c r="AB430" s="32" t="n">
        <x:v>14</x:v>
      </x:c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Y430" s="32"/>
      <x:c r="AZ430" s="32"/>
      <x:c r="BA430" s="32"/>
    </x:row>
    <x:row r="431">
      <x:c r="A431" s="25" t="str">
        <x:v>C07-X</x:v>
      </x:c>
      <x:c r="B431" s="25" t="str">
        <x:v>化圣雪原</x:v>
      </x:c>
      <x:c r="C431" s="25" t="str">
        <x:v>极端压力</x:v>
      </x:c>
      <x:c r="D431" s="25" t="str">
        <x:v>材料图鉴</x:v>
      </x:c>
      <x:c r="E431" s="25" t="str">
        <x:v>本类5项（逐项见完整JSON）</x:v>
      </x:c>
      <x:c r="F431" s="25" t="str">
        <x:v>S07/collection_materials</x:v>
      </x:c>
      <x:c r="G431" s="25" t="str">
        <x:v>原表数值</x:v>
      </x:c>
      <x:c r="H431" s="25" t="str">
        <x:v>由同包逐项数据聚合，便于核对</x:v>
      </x:c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32"/>
      <x:c r="U431" s="32"/>
      <x:c r="V431" s="32"/>
      <x:c r="W431" s="32"/>
      <x:c r="X431" s="32" t="n">
        <x:v>0.41000000000000003</x:v>
      </x:c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 t="n">
        <x:v>0</x:v>
      </x:c>
      <x:c r="AN431" s="32"/>
      <x:c r="AO431" s="32"/>
      <x:c r="AP431" s="32" t="n">
        <x:v>0</x:v>
      </x:c>
      <x:c r="AQ431" s="32"/>
      <x:c r="AR431" s="32"/>
      <x:c r="AS431" s="32"/>
      <x:c r="AT431" s="32"/>
      <x:c r="AU431" s="32"/>
      <x:c r="AV431" s="32"/>
      <x:c r="AW431" s="32"/>
      <x:c r="AX431" s="32"/>
      <x:c r="AY431" s="32"/>
      <x:c r="AZ431" s="32"/>
      <x:c r="BA431" s="32"/>
    </x:row>
    <x:row r="432">
      <x:c r="A432" s="25" t="str">
        <x:v>C07-X</x:v>
      </x:c>
      <x:c r="B432" s="25" t="str">
        <x:v>化圣雪原</x:v>
      </x:c>
      <x:c r="C432" s="25" t="str">
        <x:v>极端压力</x:v>
      </x:c>
      <x:c r="D432" s="25" t="str">
        <x:v>旧任务</x:v>
      </x:c>
      <x:c r="E432" s="25" t="str">
        <x:v>本类6项（逐项见完整JSON）</x:v>
      </x:c>
      <x:c r="F432" s="25" t="str">
        <x:v>宁姆格福_完整怪物装备任务爆率规划/地图任务；第一大陆_地图魂魄任务.txt</x:v>
      </x:c>
      <x:c r="G432" s="25" t="str">
        <x:v>原件确认；原表数值</x:v>
      </x:c>
      <x:c r="H432" s="25" t="str">
        <x:v>由同包逐项数据聚合，便于核对</x:v>
      </x:c>
      <x:c r="I432" s="32" t="n">
        <x:v>90</x:v>
      </x:c>
      <x:c r="J432" s="32" t="n">
        <x:v>90</x:v>
      </x:c>
      <x:c r="K432" s="32" t="n">
        <x:v>90</x:v>
      </x:c>
      <x:c r="L432" s="32" t="n">
        <x:v>90</x:v>
      </x:c>
      <x:c r="M432" s="32" t="n">
        <x:v>90</x:v>
      </x:c>
      <x:c r="N432" s="32" t="n">
        <x:v>90</x:v>
      </x:c>
      <x:c r="O432" s="32"/>
      <x:c r="P432" s="32"/>
      <x:c r="Q432" s="32"/>
      <x:c r="R432" s="32"/>
      <x:c r="S432" s="32"/>
      <x:c r="T432" s="32"/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 t="n">
        <x:v>2</x:v>
      </x:c>
      <x:c r="AN432" s="32"/>
      <x:c r="AO432" s="32"/>
      <x:c r="AP432" s="32" t="n">
        <x:v>140</x:v>
      </x:c>
      <x:c r="AQ432" s="32"/>
      <x:c r="AR432" s="32"/>
      <x:c r="AS432" s="32"/>
      <x:c r="AT432" s="32"/>
      <x:c r="AU432" s="32"/>
      <x:c r="AV432" s="32"/>
      <x:c r="AW432" s="32"/>
      <x:c r="AX432" s="32"/>
      <x:c r="AY432" s="32"/>
      <x:c r="AZ432" s="32"/>
      <x:c r="BA432" s="32"/>
    </x:row>
    <x:row r="433">
      <x:c r="A433" s="25" t="str">
        <x:v>C07-X</x:v>
      </x:c>
      <x:c r="B433" s="25" t="str">
        <x:v>化圣雪原</x:v>
      </x:c>
      <x:c r="C433" s="25" t="str">
        <x:v>极端压力</x:v>
      </x:c>
      <x:c r="D433" s="25" t="str">
        <x:v>装备</x:v>
      </x:c>
      <x:c r="E433" s="25" t="str">
        <x:v>本类34项（逐项见完整JSON）</x:v>
      </x:c>
      <x:c r="F433" s="25" t="str">
        <x:v>S02；S07</x:v>
      </x:c>
      <x:c r="G433" s="25" t="str">
        <x:v>原表数值</x:v>
      </x:c>
      <x:c r="H433" s="25" t="str">
        <x:v>由同包逐项数据聚合，便于核对</x:v>
      </x:c>
      <x:c r="I433" s="32" t="n">
        <x:v>24933</x:v>
      </x:c>
      <x:c r="J433" s="32" t="n">
        <x:v>47859</x:v>
      </x:c>
      <x:c r="K433" s="32" t="n">
        <x:v>24933</x:v>
      </x:c>
      <x:c r="L433" s="32" t="n">
        <x:v>47859</x:v>
      </x:c>
      <x:c r="M433" s="32" t="n">
        <x:v>24933</x:v>
      </x:c>
      <x:c r="N433" s="32" t="n">
        <x:v>47859</x:v>
      </x:c>
      <x:c r="O433" s="32" t="n">
        <x:v>30172600</x:v>
      </x:c>
      <x:c r="P433" s="32"/>
      <x:c r="Q433" s="32" t="n">
        <x:v>639</x:v>
      </x:c>
      <x:c r="R433" s="32" t="n">
        <x:v>1193</x:v>
      </x:c>
      <x:c r="S433" s="32" t="n">
        <x:v>520</x:v>
      </x:c>
      <x:c r="T433" s="32" t="n">
        <x:v>965</x:v>
      </x:c>
      <x:c r="U433" s="32" t="n">
        <x:v>664</x:v>
      </x:c>
      <x:c r="V433" s="32" t="n">
        <x:v>664</x:v>
      </x:c>
      <x:c r="W433" s="32" t="n">
        <x:v>664</x:v>
      </x:c>
      <x:c r="X433" s="32"/>
      <x:c r="Y433" s="32"/>
      <x:c r="Z433" s="32" t="n">
        <x:v>181</x:v>
      </x:c>
      <x:c r="AA433" s="32" t="n">
        <x:v>54</x:v>
      </x:c>
      <x:c r="AB433" s="32"/>
      <x:c r="AC433" s="32" t="n">
        <x:v>266</x:v>
      </x:c>
      <x:c r="AD433" s="32" t="n">
        <x:v>2</x:v>
      </x:c>
      <x:c r="AE433" s="32" t="n">
        <x:v>60</x:v>
      </x:c>
      <x:c r="AF433" s="32"/>
      <x:c r="AG433" s="32"/>
      <x:c r="AH433" s="32" t="n">
        <x:v>43</x:v>
      </x:c>
      <x:c r="AI433" s="32" t="n">
        <x:v>9</x:v>
      </x:c>
      <x:c r="AJ433" s="32" t="n">
        <x:v>148</x:v>
      </x:c>
      <x:c r="AK433" s="32"/>
      <x:c r="AL433" s="32"/>
      <x:c r="AM433" s="32"/>
      <x:c r="AN433" s="32" t="n">
        <x:v>25</x:v>
      </x:c>
      <x:c r="AO433" s="32" t="n">
        <x:v>0.3</x:v>
      </x:c>
      <x:c r="AP433" s="32" t="n">
        <x:v>54</x:v>
      </x:c>
      <x:c r="AQ433" s="32" t="n">
        <x:v>83</x:v>
      </x:c>
      <x:c r="AR433" s="32"/>
      <x:c r="AS433" s="32" t="n">
        <x:v>10</x:v>
      </x:c>
      <x:c r="AT433" s="32"/>
      <x:c r="AU433" s="32"/>
      <x:c r="AV433" s="32"/>
      <x:c r="AW433" s="32" t="n">
        <x:v>9</x:v>
      </x:c>
      <x:c r="AX433" s="32"/>
      <x:c r="AY433" s="32"/>
      <x:c r="AZ433" s="32" t="n">
        <x:v>9</x:v>
      </x:c>
      <x:c r="BA433" s="32"/>
    </x:row>
    <x:row r="434">
      <x:c r="A434" s="25" t="str">
        <x:v>C07-X</x:v>
      </x:c>
      <x:c r="B434" s="25" t="str">
        <x:v>化圣雪原</x:v>
      </x:c>
      <x:c r="C434" s="25" t="str">
        <x:v>极端压力</x:v>
      </x:c>
      <x:c r="D434" s="25" t="str">
        <x:v>洗练</x:v>
      </x:c>
      <x:c r="E434" s="25" t="str">
        <x:v>本类10项（逐项见完整JSON）</x:v>
      </x:c>
      <x:c r="F434" s="25" t="str">
        <x:v>S06＋固定种子</x:v>
      </x:c>
      <x:c r="G434" s="25" t="str">
        <x:v>可实现随机样本</x:v>
      </x:c>
      <x:c r="H434" s="25" t="str">
        <x:v>由同包逐项数据聚合，便于核对</x:v>
      </x:c>
      <x:c r="I434" s="32" t="n">
        <x:v>3117</x:v>
      </x:c>
      <x:c r="J434" s="32" t="n">
        <x:v>3117</x:v>
      </x:c>
      <x:c r="K434" s="32" t="n">
        <x:v>57</x:v>
      </x:c>
      <x:c r="L434" s="32" t="n">
        <x:v>57</x:v>
      </x:c>
      <x:c r="M434" s="32" t="n">
        <x:v>374</x:v>
      </x:c>
      <x:c r="N434" s="32" t="n">
        <x:v>374</x:v>
      </x:c>
      <x:c r="O434" s="32"/>
      <x:c r="P434" s="32"/>
      <x:c r="Q434" s="32"/>
      <x:c r="R434" s="32"/>
      <x:c r="S434" s="32"/>
      <x:c r="T434" s="32"/>
      <x:c r="U434" s="32" t="n">
        <x:v>427</x:v>
      </x:c>
      <x:c r="V434" s="32"/>
      <x:c r="W434" s="32"/>
      <x:c r="X434" s="32"/>
      <x:c r="Y434" s="32" t="n">
        <x:v>1</x:v>
      </x:c>
      <x:c r="Z434" s="32"/>
      <x:c r="AA434" s="32"/>
      <x:c r="AB434" s="32" t="n">
        <x:v>3</x:v>
      </x:c>
      <x:c r="AC434" s="32"/>
      <x:c r="AD434" s="32" t="n">
        <x:v>1</x:v>
      </x:c>
      <x:c r="AE434" s="32"/>
      <x:c r="AF434" s="32"/>
      <x:c r="AG434" s="32"/>
      <x:c r="AH434" s="32" t="n">
        <x:v>2</x:v>
      </x:c>
      <x:c r="AI434" s="32"/>
      <x:c r="AJ434" s="32"/>
      <x:c r="AK434" s="32"/>
      <x:c r="AL434" s="32"/>
      <x:c r="AM434" s="32" t="n">
        <x:v>5</x:v>
      </x:c>
      <x:c r="AN434" s="32" t="n">
        <x:v>3</x:v>
      </x:c>
      <x:c r="AO434" s="32" t="n">
        <x:v>2</x:v>
      </x:c>
      <x:c r="AP434" s="32" t="n">
        <x:v>80</x:v>
      </x:c>
      <x:c r="AQ434" s="32"/>
      <x:c r="AR434" s="32"/>
      <x:c r="AS434" s="32" t="n">
        <x:v>2</x:v>
      </x:c>
      <x:c r="AT434" s="32"/>
      <x:c r="AU434" s="32" t="n">
        <x:v>3</x:v>
      </x:c>
      <x:c r="AV434" s="32"/>
      <x:c r="AW434" s="32"/>
      <x:c r="AX434" s="32"/>
      <x:c r="AY434" s="32"/>
      <x:c r="AZ434" s="32"/>
      <x:c r="BA434" s="32"/>
    </x:row>
    <x:row r="435">
      <x:c r="A435" s="25" t="str">
        <x:v>C07-X</x:v>
      </x:c>
      <x:c r="B435" s="25" t="str">
        <x:v>化圣雪原</x:v>
      </x:c>
      <x:c r="C435" s="25" t="str">
        <x:v>极端压力</x:v>
      </x:c>
      <x:c r="D435" s="25" t="str">
        <x:v>命格</x:v>
      </x:c>
      <x:c r="E435" s="25" t="str">
        <x:v>本类6项（逐项见完整JSON）</x:v>
      </x:c>
      <x:c r="F435" s="25" t="str">
        <x:v>S03/命格ID1081；S03/命格ID1087；S03/命格ID1090；S03/命格ID1092；S03/命格ID1093；S03/命格ID1095</x:v>
      </x:c>
      <x:c r="G435" s="25" t="str">
        <x:v>原表彩色＋选配假设</x:v>
      </x:c>
      <x:c r="H435" s="25" t="str">
        <x:v>由同包逐项数据聚合，便于核对</x:v>
      </x:c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32"/>
      <x:c r="U435" s="32"/>
      <x:c r="V435" s="32"/>
      <x:c r="W435" s="32"/>
      <x:c r="X435" s="32"/>
      <x:c r="Y435" s="32" t="n">
        <x:v>6</x:v>
      </x:c>
      <x:c r="Z435" s="32" t="n">
        <x:v>3</x:v>
      </x:c>
      <x:c r="AA435" s="32"/>
      <x:c r="AB435" s="32"/>
      <x:c r="AC435" s="32"/>
      <x:c r="AD435" s="32"/>
      <x:c r="AE435" s="32"/>
      <x:c r="AF435" s="32"/>
      <x:c r="AG435" s="32"/>
      <x:c r="AH435" s="32" t="n">
        <x:v>2</x:v>
      </x:c>
      <x:c r="AI435" s="32"/>
      <x:c r="AJ435" s="32" t="n">
        <x:v>10</x:v>
      </x:c>
      <x:c r="AK435" s="32"/>
      <x:c r="AL435" s="32"/>
      <x:c r="AM435" s="32" t="n">
        <x:v>4</x:v>
      </x:c>
      <x:c r="AN435" s="32" t="n">
        <x:v>35</x:v>
      </x:c>
      <x:c r="AO435" s="32" t="n">
        <x:v>0.3</x:v>
      </x:c>
      <x:c r="AP435" s="32"/>
      <x:c r="AQ435" s="32" t="n">
        <x:v>6</x:v>
      </x:c>
      <x:c r="AR435" s="32" t="n">
        <x:v>3</x:v>
      </x:c>
      <x:c r="AS435" s="32"/>
      <x:c r="AT435" s="32" t="n">
        <x:v>50</x:v>
      </x:c>
      <x:c r="AU435" s="32" t="n">
        <x:v>2</x:v>
      </x:c>
      <x:c r="AV435" s="32" t="n">
        <x:v>3</x:v>
      </x:c>
      <x:c r="AW435" s="32"/>
      <x:c r="AX435" s="32"/>
      <x:c r="AY435" s="32" t="n">
        <x:v>2</x:v>
      </x:c>
      <x:c r="AZ435" s="32"/>
      <x:c r="BA435" s="32"/>
    </x:row>
    <x:row r="436">
      <x:c r="A436" s="25" t="str">
        <x:v>C07-X</x:v>
      </x:c>
      <x:c r="B436" s="25" t="str">
        <x:v>化圣雪原</x:v>
      </x:c>
      <x:c r="C436" s="25" t="str">
        <x:v>极端压力</x:v>
      </x:c>
      <x:c r="D436" s="25" t="str">
        <x:v>后天幸运</x:v>
      </x:c>
      <x:c r="E436" s="25" t="str">
        <x:v>本类1项（逐项见完整JSON）</x:v>
      </x:c>
      <x:c r="F436" s="25" t="str">
        <x:v>A08</x:v>
      </x:c>
      <x:c r="G436" s="25" t="str">
        <x:v>人物永久进度</x:v>
      </x:c>
      <x:c r="H436" s="25" t="str">
        <x:v>由同包逐项数据聚合，便于核对</x:v>
      </x:c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32"/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 t="n">
        <x:v>7</x:v>
      </x:c>
      <x:c r="AL436" s="32" t="n">
        <x:v>8</x:v>
      </x:c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Y436" s="32"/>
      <x:c r="AZ436" s="32"/>
      <x:c r="BA436" s="32"/>
    </x:row>
    <x:row r="437">
      <x:c r="A437" s="25" t="str">
        <x:v>C07-X</x:v>
      </x:c>
      <x:c r="B437" s="25" t="str">
        <x:v>化圣雪原</x:v>
      </x:c>
      <x:c r="C437" s="25" t="str">
        <x:v>极端压力</x:v>
      </x:c>
      <x:c r="D437" s="25" t="str">
        <x:v>回收预算</x:v>
      </x:c>
      <x:c r="E437" s="25" t="str">
        <x:v>本类1项（逐项见完整JSON）</x:v>
      </x:c>
      <x:c r="F437" s="25" t="str">
        <x:v>用户总回收50%</x:v>
      </x:c>
      <x:c r="G437" s="25" t="str">
        <x:v>经济输入，不是新增属性来源</x:v>
      </x:c>
      <x:c r="H437" s="25" t="str">
        <x:v>由同包逐项数据聚合，便于核对</x:v>
      </x:c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32"/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Y437" s="32"/>
      <x:c r="AZ437" s="32"/>
      <x:c r="BA437" s="32" t="n">
        <x:v>50</x:v>
      </x:c>
    </x:row>
    <x:row r="438">
      <x:c r="A438" s="25" t="str">
        <x:v>C08-E</x:v>
      </x:c>
      <x:c r="B438" s="25" t="str">
        <x:v>巨人山顶</x:v>
      </x:c>
      <x:c r="C438" s="25" t="str">
        <x:v>半急速入场</x:v>
      </x:c>
      <x:c r="D438" s="25" t="str">
        <x:v>人物自然</x:v>
      </x:c>
      <x:c r="E438" s="25" t="str">
        <x:v>本类1项（逐项见完整JSON）</x:v>
      </x:c>
      <x:c r="F438" s="25" t="str">
        <x:v>A01</x:v>
      </x:c>
      <x:c r="G438" s="25" t="str">
        <x:v>模型假设</x:v>
      </x:c>
      <x:c r="H438" s="25" t="str">
        <x:v>由同包逐项数据聚合，便于核对</x:v>
      </x:c>
      <x:c r="I438" s="32" t="n">
        <x:v>21</x:v>
      </x:c>
      <x:c r="J438" s="32" t="n">
        <x:v>48</x:v>
      </x:c>
      <x:c r="K438" s="32"/>
      <x:c r="L438" s="32"/>
      <x:c r="M438" s="32"/>
      <x:c r="N438" s="32"/>
      <x:c r="O438" s="32" t="n">
        <x:v>3800</x:v>
      </x:c>
      <x:c r="P438" s="32" t="n">
        <x:v>900</x:v>
      </x:c>
      <x:c r="Q438" s="32"/>
      <x:c r="R438" s="32"/>
      <x:c r="S438" s="32"/>
      <x:c r="T438" s="32"/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Y438" s="32"/>
      <x:c r="AZ438" s="32"/>
      <x:c r="BA438" s="32"/>
    </x:row>
    <x:row r="439">
      <x:c r="A439" s="25" t="str">
        <x:v>C08-E</x:v>
      </x:c>
      <x:c r="B439" s="25" t="str">
        <x:v>巨人山顶</x:v>
      </x:c>
      <x:c r="C439" s="25" t="str">
        <x:v>半急速入场</x:v>
      </x:c>
      <x:c r="D439" s="25" t="str">
        <x:v>付费状态</x:v>
      </x:c>
      <x:c r="E439" s="25" t="str">
        <x:v>本类3项（逐项见完整JSON）</x:v>
      </x:c>
      <x:c r="F439" s="25" t="str">
        <x:v>20260903总档</x:v>
      </x:c>
      <x:c r="G439" s="25" t="str">
        <x:v>原表数值</x:v>
      </x:c>
      <x:c r="H439" s="25" t="str">
        <x:v>由同包逐项数据聚合，便于核对</x:v>
      </x:c>
      <x:c r="I439" s="32" t="n">
        <x:v>149</x:v>
      </x:c>
      <x:c r="J439" s="32" t="n">
        <x:v>149</x:v>
      </x:c>
      <x:c r="K439" s="32" t="n">
        <x:v>149</x:v>
      </x:c>
      <x:c r="L439" s="32" t="n">
        <x:v>149</x:v>
      </x:c>
      <x:c r="M439" s="32" t="n">
        <x:v>149</x:v>
      </x:c>
      <x:c r="N439" s="32" t="n">
        <x:v>149</x:v>
      </x:c>
      <x:c r="O439" s="32" t="n">
        <x:v>10000</x:v>
      </x:c>
      <x:c r="P439" s="32"/>
      <x:c r="Q439" s="32"/>
      <x:c r="R439" s="32"/>
      <x:c r="S439" s="32"/>
      <x:c r="T439" s="32"/>
      <x:c r="U439" s="32"/>
      <x:c r="V439" s="32"/>
      <x:c r="W439" s="32"/>
      <x:c r="X439" s="32"/>
      <x:c r="Y439" s="32" t="n">
        <x:v>10</x:v>
      </x:c>
      <x:c r="Z439" s="32"/>
      <x:c r="AA439" s="32"/>
      <x:c r="AB439" s="32" t="n">
        <x:v>20</x:v>
      </x:c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 t="n">
        <x:v>10</x:v>
      </x:c>
      <x:c r="AN439" s="32"/>
      <x:c r="AO439" s="32"/>
      <x:c r="AP439" s="32" t="n">
        <x:v>50</x:v>
      </x:c>
      <x:c r="AQ439" s="32"/>
      <x:c r="AR439" s="32"/>
      <x:c r="AS439" s="32"/>
      <x:c r="AT439" s="32" t="n">
        <x:v>700</x:v>
      </x:c>
      <x:c r="AU439" s="32" t="n">
        <x:v>15</x:v>
      </x:c>
      <x:c r="AV439" s="32"/>
      <x:c r="AW439" s="32"/>
      <x:c r="AX439" s="32"/>
      <x:c r="AY439" s="32"/>
      <x:c r="AZ439" s="32"/>
      <x:c r="BA439" s="32"/>
    </x:row>
    <x:row r="440">
      <x:c r="A440" s="25" t="str">
        <x:v>C08-E</x:v>
      </x:c>
      <x:c r="B440" s="25" t="str">
        <x:v>巨人山顶</x:v>
      </x:c>
      <x:c r="C440" s="25" t="str">
        <x:v>半急速入场</x:v>
      </x:c>
      <x:c r="D440" s="25" t="str">
        <x:v>成长装备</x:v>
      </x:c>
      <x:c r="E440" s="25" t="str">
        <x:v>本类2项（逐项见完整JSON）</x:v>
      </x:c>
      <x:c r="F440" s="25" t="str">
        <x:v>20260903总档 / A04</x:v>
      </x:c>
      <x:c r="G440" s="25" t="str">
        <x:v>原表＋支付路径假设</x:v>
      </x:c>
      <x:c r="H440" s="25" t="str">
        <x:v>由同包逐项数据聚合，便于核对</x:v>
      </x:c>
      <x:c r="I440" s="32" t="n">
        <x:v>1100</x:v>
      </x:c>
      <x:c r="J440" s="32" t="n">
        <x:v>1100</x:v>
      </x:c>
      <x:c r="K440" s="32" t="n">
        <x:v>1100</x:v>
      </x:c>
      <x:c r="L440" s="32" t="n">
        <x:v>1100</x:v>
      </x:c>
      <x:c r="M440" s="32" t="n">
        <x:v>1100</x:v>
      </x:c>
      <x:c r="N440" s="32" t="n">
        <x:v>1100</x:v>
      </x:c>
      <x:c r="O440" s="32"/>
      <x:c r="P440" s="32"/>
      <x:c r="Q440" s="32"/>
      <x:c r="R440" s="32"/>
      <x:c r="S440" s="32"/>
      <x:c r="T440" s="32"/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 t="n">
        <x:v>10</x:v>
      </x:c>
      <x:c r="AX440" s="32" t="n">
        <x:v>10</x:v>
      </x:c>
      <x:c r="AY440" s="32"/>
      <x:c r="AZ440" s="32"/>
      <x:c r="BA440" s="32"/>
    </x:row>
    <x:row r="441">
      <x:c r="A441" s="25" t="str">
        <x:v>C08-E</x:v>
      </x:c>
      <x:c r="B441" s="25" t="str">
        <x:v>巨人山顶</x:v>
      </x:c>
      <x:c r="C441" s="25" t="str">
        <x:v>半急速入场</x:v>
      </x:c>
      <x:c r="D441" s="25" t="str">
        <x:v>贯穿称号</x:v>
      </x:c>
      <x:c r="E441" s="25" t="str">
        <x:v>本类1项（逐项见完整JSON）</x:v>
      </x:c>
      <x:c r="F441" s="25" t="str">
        <x:v>S04/01_贯穿称号</x:v>
      </x:c>
      <x:c r="G441" s="25" t="str">
        <x:v>原表数值</x:v>
      </x:c>
      <x:c r="H441" s="25" t="str">
        <x:v>由同包逐项数据聚合，便于核对</x:v>
      </x:c>
      <x:c r="I441" s="32" t="n">
        <x:v>16000</x:v>
      </x:c>
      <x:c r="J441" s="32" t="n">
        <x:v>16000</x:v>
      </x:c>
      <x:c r="K441" s="32" t="n">
        <x:v>16000</x:v>
      </x:c>
      <x:c r="L441" s="32" t="n">
        <x:v>16000</x:v>
      </x:c>
      <x:c r="M441" s="32" t="n">
        <x:v>16000</x:v>
      </x:c>
      <x:c r="N441" s="32" t="n">
        <x:v>16000</x:v>
      </x:c>
      <x:c r="O441" s="32" t="n">
        <x:v>1600000</x:v>
      </x:c>
      <x:c r="P441" s="32" t="n">
        <x:v>1600000</x:v>
      </x:c>
      <x:c r="Q441" s="32"/>
      <x:c r="R441" s="32"/>
      <x:c r="S441" s="32"/>
      <x:c r="T441" s="32"/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 t="n">
        <x:v>3000</x:v>
      </x:c>
      <x:c r="AU441" s="32"/>
      <x:c r="AV441" s="32"/>
      <x:c r="AW441" s="32"/>
      <x:c r="AX441" s="32"/>
      <x:c r="AY441" s="32"/>
      <x:c r="AZ441" s="32"/>
      <x:c r="BA441" s="32"/>
    </x:row>
    <x:row r="442">
      <x:c r="A442" s="25" t="str">
        <x:v>C08-E</x:v>
      </x:c>
      <x:c r="B442" s="25" t="str">
        <x:v>巨人山顶</x:v>
      </x:c>
      <x:c r="C442" s="25" t="str">
        <x:v>半急速入场</x:v>
      </x:c>
      <x:c r="D442" s="25" t="str">
        <x:v>神印</x:v>
      </x:c>
      <x:c r="E442" s="25" t="str">
        <x:v>本类1项（逐项见完整JSON）</x:v>
      </x:c>
      <x:c r="F442" s="25" t="str">
        <x:v>S04 / 神印公式</x:v>
      </x:c>
      <x:c r="G442" s="25" t="str">
        <x:v>自给进度假设＋原公式</x:v>
      </x:c>
      <x:c r="H442" s="25" t="str">
        <x:v>由同包逐项数据聚合，便于核对</x:v>
      </x:c>
      <x:c r="I442" s="32" t="n">
        <x:v>19110</x:v>
      </x:c>
      <x:c r="J442" s="32" t="n">
        <x:v>19110</x:v>
      </x:c>
      <x:c r="K442" s="32" t="n">
        <x:v>19110</x:v>
      </x:c>
      <x:c r="L442" s="32" t="n">
        <x:v>19110</x:v>
      </x:c>
      <x:c r="M442" s="32" t="n">
        <x:v>19110</x:v>
      </x:c>
      <x:c r="N442" s="32" t="n">
        <x:v>19110</x:v>
      </x:c>
      <x:c r="O442" s="32" t="n">
        <x:v>1911000</x:v>
      </x:c>
      <x:c r="P442" s="32"/>
      <x:c r="Q442" s="32"/>
      <x:c r="R442" s="32"/>
      <x:c r="S442" s="32"/>
      <x:c r="T442" s="32"/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Y442" s="32"/>
      <x:c r="AZ442" s="32"/>
      <x:c r="BA442" s="32"/>
    </x:row>
    <x:row r="443">
      <x:c r="A443" s="25" t="str">
        <x:v>C08-E</x:v>
      </x:c>
      <x:c r="B443" s="25" t="str">
        <x:v>巨人山顶</x:v>
      </x:c>
      <x:c r="C443" s="25" t="str">
        <x:v>半急速入场</x:v>
      </x:c>
      <x:c r="D443" s="25" t="str">
        <x:v>转生</x:v>
      </x:c>
      <x:c r="E443" s="25" t="str">
        <x:v>本类1项（逐项见完整JSON）</x:v>
      </x:c>
      <x:c r="F443" s="25" t="str">
        <x:v>S07/20转</x:v>
      </x:c>
      <x:c r="G443" s="25" t="str">
        <x:v>原表累计</x:v>
      </x:c>
      <x:c r="H443" s="25" t="str">
        <x:v>由同包逐项数据聚合，便于核对</x:v>
      </x:c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32"/>
      <x:c r="U443" s="32"/>
      <x:c r="V443" s="32"/>
      <x:c r="W443" s="32"/>
      <x:c r="X443" s="32" t="n">
        <x:v>0.45</x:v>
      </x:c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Y443" s="32"/>
      <x:c r="AZ443" s="32"/>
      <x:c r="BA443" s="32"/>
    </x:row>
    <x:row r="444">
      <x:c r="A444" s="25" t="str">
        <x:v>C08-E</x:v>
      </x:c>
      <x:c r="B444" s="25" t="str">
        <x:v>巨人山顶</x:v>
      </x:c>
      <x:c r="C444" s="25" t="str">
        <x:v>半急速入场</x:v>
      </x:c>
      <x:c r="D444" s="25" t="str">
        <x:v>独立称号</x:v>
      </x:c>
      <x:c r="E444" s="25" t="str">
        <x:v>本类4项（逐项见完整JSON）</x:v>
      </x:c>
      <x:c r="F444" s="25" t="str">
        <x:v>S04/02_独立称号</x:v>
      </x:c>
      <x:c r="G444" s="25" t="str">
        <x:v>原表数值</x:v>
      </x:c>
      <x:c r="H444" s="25" t="str">
        <x:v>由同包逐项数据聚合，便于核对</x:v>
      </x:c>
      <x:c r="I444" s="32" t="n">
        <x:v>4510</x:v>
      </x:c>
      <x:c r="J444" s="32" t="n">
        <x:v>4510</x:v>
      </x:c>
      <x:c r="K444" s="32" t="n">
        <x:v>4510</x:v>
      </x:c>
      <x:c r="L444" s="32" t="n">
        <x:v>4510</x:v>
      </x:c>
      <x:c r="M444" s="32" t="n">
        <x:v>4510</x:v>
      </x:c>
      <x:c r="N444" s="32" t="n">
        <x:v>4510</x:v>
      </x:c>
      <x:c r="O444" s="32" t="n">
        <x:v>451000</x:v>
      </x:c>
      <x:c r="P444" s="32"/>
      <x:c r="Q444" s="32"/>
      <x:c r="R444" s="32"/>
      <x:c r="S444" s="32"/>
      <x:c r="T444" s="32"/>
      <x:c r="U444" s="32"/>
      <x:c r="V444" s="32"/>
      <x:c r="W444" s="32"/>
      <x:c r="X444" s="32" t="n">
        <x:v>0</x:v>
      </x:c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 t="n">
        <x:v>0</x:v>
      </x:c>
      <x:c r="AN444" s="32"/>
      <x:c r="AO444" s="32"/>
      <x:c r="AP444" s="32" t="n">
        <x:v>0</x:v>
      </x:c>
      <x:c r="AQ444" s="32"/>
      <x:c r="AR444" s="32"/>
      <x:c r="AS444" s="32"/>
      <x:c r="AT444" s="32"/>
      <x:c r="AU444" s="32"/>
      <x:c r="AV444" s="32"/>
      <x:c r="AW444" s="32"/>
      <x:c r="AX444" s="32"/>
      <x:c r="AY444" s="32"/>
      <x:c r="AZ444" s="32"/>
      <x:c r="BA444" s="32"/>
    </x:row>
    <x:row r="445">
      <x:c r="A445" s="25" t="str">
        <x:v>C08-E</x:v>
      </x:c>
      <x:c r="B445" s="25" t="str">
        <x:v>巨人山顶</x:v>
      </x:c>
      <x:c r="C445" s="25" t="str">
        <x:v>半急速入场</x:v>
      </x:c>
      <x:c r="D445" s="25" t="str">
        <x:v>单件图鉴</x:v>
      </x:c>
      <x:c r="E445" s="25" t="str">
        <x:v>本类1项（逐项见完整JSON）</x:v>
      </x:c>
      <x:c r="F445" s="25" t="str">
        <x:v>S07/collection_single</x:v>
      </x:c>
      <x:c r="G445" s="25" t="str">
        <x:v>原表累计</x:v>
      </x:c>
      <x:c r="H445" s="25" t="str">
        <x:v>由同包逐项数据聚合，便于核对</x:v>
      </x:c>
      <x:c r="I445" s="32" t="n">
        <x:v>2806</x:v>
      </x:c>
      <x:c r="J445" s="32" t="n">
        <x:v>2806</x:v>
      </x:c>
      <x:c r="K445" s="32" t="n">
        <x:v>2806</x:v>
      </x:c>
      <x:c r="L445" s="32" t="n">
        <x:v>2806</x:v>
      </x:c>
      <x:c r="M445" s="32" t="n">
        <x:v>2806</x:v>
      </x:c>
      <x:c r="N445" s="32" t="n">
        <x:v>2806</x:v>
      </x:c>
      <x:c r="O445" s="32" t="n">
        <x:v>280600</x:v>
      </x:c>
      <x:c r="P445" s="32"/>
      <x:c r="Q445" s="32"/>
      <x:c r="R445" s="32"/>
      <x:c r="S445" s="32"/>
      <x:c r="T445" s="32"/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Y445" s="32"/>
      <x:c r="AZ445" s="32"/>
      <x:c r="BA445" s="32"/>
    </x:row>
    <x:row r="446">
      <x:c r="A446" s="25" t="str">
        <x:v>C08-E</x:v>
      </x:c>
      <x:c r="B446" s="25" t="str">
        <x:v>巨人山顶</x:v>
      </x:c>
      <x:c r="C446" s="25" t="str">
        <x:v>半急速入场</x:v>
      </x:c>
      <x:c r="D446" s="25" t="str">
        <x:v>地图整页</x:v>
      </x:c>
      <x:c r="E446" s="25" t="str">
        <x:v>本类21项（逐项见完整JSON）</x:v>
      </x:c>
      <x:c r="F446" s="25" t="str">
        <x:v>S07/collection_pages</x:v>
      </x:c>
      <x:c r="G446" s="25" t="str">
        <x:v>原表数值</x:v>
      </x:c>
      <x:c r="H446" s="25" t="str">
        <x:v>由同包逐项数据聚合，便于核对</x:v>
      </x:c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32"/>
      <x:c r="U446" s="32"/>
      <x:c r="V446" s="32"/>
      <x:c r="W446" s="32"/>
      <x:c r="X446" s="32" t="n">
        <x:v>0.44</x:v>
      </x:c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 t="n">
        <x:v>10.5</x:v>
      </x:c>
      <x:c r="AN446" s="32"/>
      <x:c r="AO446" s="32"/>
      <x:c r="AP446" s="32" t="n">
        <x:v>605</x:v>
      </x:c>
      <x:c r="AQ446" s="32"/>
      <x:c r="AR446" s="32"/>
      <x:c r="AS446" s="32"/>
      <x:c r="AT446" s="32"/>
      <x:c r="AU446" s="32"/>
      <x:c r="AV446" s="32"/>
      <x:c r="AW446" s="32"/>
      <x:c r="AX446" s="32"/>
      <x:c r="AY446" s="32"/>
      <x:c r="AZ446" s="32"/>
      <x:c r="BA446" s="32"/>
    </x:row>
    <x:row r="447">
      <x:c r="A447" s="25" t="str">
        <x:v>C08-E</x:v>
      </x:c>
      <x:c r="B447" s="25" t="str">
        <x:v>巨人山顶</x:v>
      </x:c>
      <x:c r="C447" s="25" t="str">
        <x:v>半急速入场</x:v>
      </x:c>
      <x:c r="D447" s="25" t="str">
        <x:v>材料图鉴</x:v>
      </x:c>
      <x:c r="E447" s="25" t="str">
        <x:v>本类4项（逐项见完整JSON）</x:v>
      </x:c>
      <x:c r="F447" s="25" t="str">
        <x:v>S07/collection_materials</x:v>
      </x:c>
      <x:c r="G447" s="25" t="str">
        <x:v>原表数值</x:v>
      </x:c>
      <x:c r="H447" s="25" t="str">
        <x:v>由同包逐项数据聚合，便于核对</x:v>
      </x:c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32"/>
      <x:c r="U447" s="32"/>
      <x:c r="V447" s="32"/>
      <x:c r="W447" s="32"/>
      <x:c r="X447" s="32" t="n">
        <x:v>0.29000000000000004</x:v>
      </x:c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 t="n">
        <x:v>0</x:v>
      </x:c>
      <x:c r="AN447" s="32"/>
      <x:c r="AO447" s="32"/>
      <x:c r="AP447" s="32" t="n">
        <x:v>0</x:v>
      </x:c>
      <x:c r="AQ447" s="32"/>
      <x:c r="AR447" s="32"/>
      <x:c r="AS447" s="32"/>
      <x:c r="AT447" s="32"/>
      <x:c r="AU447" s="32"/>
      <x:c r="AV447" s="32"/>
      <x:c r="AW447" s="32"/>
      <x:c r="AX447" s="32"/>
      <x:c r="AY447" s="32"/>
      <x:c r="AZ447" s="32"/>
      <x:c r="BA447" s="32"/>
    </x:row>
    <x:row r="448">
      <x:c r="A448" s="25" t="str">
        <x:v>C08-E</x:v>
      </x:c>
      <x:c r="B448" s="25" t="str">
        <x:v>巨人山顶</x:v>
      </x:c>
      <x:c r="C448" s="25" t="str">
        <x:v>半急速入场</x:v>
      </x:c>
      <x:c r="D448" s="25" t="str">
        <x:v>旧任务</x:v>
      </x:c>
      <x:c r="E448" s="25" t="str">
        <x:v>本类6项（逐项见完整JSON）</x:v>
      </x:c>
      <x:c r="F448" s="25" t="str">
        <x:v>宁姆格福_完整怪物装备任务爆率规划/地图任务；第一大陆_地图魂魄任务.txt</x:v>
      </x:c>
      <x:c r="G448" s="25" t="str">
        <x:v>原件确认；原表数值</x:v>
      </x:c>
      <x:c r="H448" s="25" t="str">
        <x:v>由同包逐项数据聚合，便于核对</x:v>
      </x:c>
      <x:c r="I448" s="32" t="n">
        <x:v>60</x:v>
      </x:c>
      <x:c r="J448" s="32" t="n">
        <x:v>60</x:v>
      </x:c>
      <x:c r="K448" s="32" t="n">
        <x:v>60</x:v>
      </x:c>
      <x:c r="L448" s="32" t="n">
        <x:v>60</x:v>
      </x:c>
      <x:c r="M448" s="32" t="n">
        <x:v>60</x:v>
      </x:c>
      <x:c r="N448" s="32" t="n">
        <x:v>60</x:v>
      </x:c>
      <x:c r="O448" s="32"/>
      <x:c r="P448" s="32"/>
      <x:c r="Q448" s="32"/>
      <x:c r="R448" s="32"/>
      <x:c r="S448" s="32"/>
      <x:c r="T448" s="32"/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 t="n">
        <x:v>2</x:v>
      </x:c>
      <x:c r="AN448" s="32"/>
      <x:c r="AO448" s="32"/>
      <x:c r="AP448" s="32" t="n">
        <x:v>120</x:v>
      </x:c>
      <x:c r="AQ448" s="32"/>
      <x:c r="AR448" s="32"/>
      <x:c r="AS448" s="32"/>
      <x:c r="AT448" s="32"/>
      <x:c r="AU448" s="32"/>
      <x:c r="AV448" s="32"/>
      <x:c r="AW448" s="32"/>
      <x:c r="AX448" s="32"/>
      <x:c r="AY448" s="32"/>
      <x:c r="AZ448" s="32"/>
      <x:c r="BA448" s="32"/>
    </x:row>
    <x:row r="449">
      <x:c r="A449" s="25" t="str">
        <x:v>C08-E</x:v>
      </x:c>
      <x:c r="B449" s="25" t="str">
        <x:v>巨人山顶</x:v>
      </x:c>
      <x:c r="C449" s="25" t="str">
        <x:v>半急速入场</x:v>
      </x:c>
      <x:c r="D449" s="25" t="str">
        <x:v>装备</x:v>
      </x:c>
      <x:c r="E449" s="25" t="str">
        <x:v>本类31项（逐项见完整JSON）</x:v>
      </x:c>
      <x:c r="F449" s="25" t="str">
        <x:v>S02；S07</x:v>
      </x:c>
      <x:c r="G449" s="25" t="str">
        <x:v>原表数值</x:v>
      </x:c>
      <x:c r="H449" s="25" t="str">
        <x:v>由同包逐项数据聚合，便于核对</x:v>
      </x:c>
      <x:c r="I449" s="32" t="n">
        <x:v>13472</x:v>
      </x:c>
      <x:c r="J449" s="32" t="n">
        <x:v>25770</x:v>
      </x:c>
      <x:c r="K449" s="32" t="n">
        <x:v>13472</x:v>
      </x:c>
      <x:c r="L449" s="32" t="n">
        <x:v>25770</x:v>
      </x:c>
      <x:c r="M449" s="32" t="n">
        <x:v>13472</x:v>
      </x:c>
      <x:c r="N449" s="32" t="n">
        <x:v>25770</x:v>
      </x:c>
      <x:c r="O449" s="32" t="n">
        <x:v>13958900</x:v>
      </x:c>
      <x:c r="P449" s="32"/>
      <x:c r="Q449" s="32" t="n">
        <x:v>569</x:v>
      </x:c>
      <x:c r="R449" s="32" t="n">
        <x:v>1056</x:v>
      </x:c>
      <x:c r="S449" s="32" t="n">
        <x:v>463</x:v>
      </x:c>
      <x:c r="T449" s="32" t="n">
        <x:v>855</x:v>
      </x:c>
      <x:c r="U449" s="32" t="n">
        <x:v>575</x:v>
      </x:c>
      <x:c r="V449" s="32" t="n">
        <x:v>575</x:v>
      </x:c>
      <x:c r="W449" s="32" t="n">
        <x:v>575</x:v>
      </x:c>
      <x:c r="X449" s="32"/>
      <x:c r="Y449" s="32"/>
      <x:c r="Z449" s="32" t="n">
        <x:v>139</x:v>
      </x:c>
      <x:c r="AA449" s="32" t="n">
        <x:v>41</x:v>
      </x:c>
      <x:c r="AB449" s="32"/>
      <x:c r="AC449" s="32" t="n">
        <x:v>186</x:v>
      </x:c>
      <x:c r="AD449" s="32" t="n">
        <x:v>1</x:v>
      </x:c>
      <x:c r="AE449" s="32" t="n">
        <x:v>25</x:v>
      </x:c>
      <x:c r="AF449" s="32"/>
      <x:c r="AG449" s="32"/>
      <x:c r="AH449" s="32" t="n">
        <x:v>33</x:v>
      </x:c>
      <x:c r="AI449" s="32" t="n">
        <x:v>6</x:v>
      </x:c>
      <x:c r="AJ449" s="32" t="n">
        <x:v>144</x:v>
      </x:c>
      <x:c r="AK449" s="32"/>
      <x:c r="AL449" s="32"/>
      <x:c r="AM449" s="32"/>
      <x:c r="AN449" s="32" t="n">
        <x:v>20</x:v>
      </x:c>
      <x:c r="AO449" s="32" t="n">
        <x:v>0.2</x:v>
      </x:c>
      <x:c r="AP449" s="32" t="n">
        <x:v>40</x:v>
      </x:c>
      <x:c r="AQ449" s="32" t="n">
        <x:v>75</x:v>
      </x:c>
      <x:c r="AR449" s="32"/>
      <x:c r="AS449" s="32" t="n">
        <x:v>10</x:v>
      </x:c>
      <x:c r="AT449" s="32"/>
      <x:c r="AU449" s="32"/>
      <x:c r="AV449" s="32"/>
      <x:c r="AW449" s="32" t="n">
        <x:v>2</x:v>
      </x:c>
      <x:c r="AX449" s="32"/>
      <x:c r="AY449" s="32"/>
      <x:c r="AZ449" s="32" t="n">
        <x:v>9</x:v>
      </x:c>
      <x:c r="BA449" s="32"/>
    </x:row>
    <x:row r="450">
      <x:c r="A450" s="25" t="str">
        <x:v>C08-E</x:v>
      </x:c>
      <x:c r="B450" s="25" t="str">
        <x:v>巨人山顶</x:v>
      </x:c>
      <x:c r="C450" s="25" t="str">
        <x:v>半急速入场</x:v>
      </x:c>
      <x:c r="D450" s="25" t="str">
        <x:v>洗练</x:v>
      </x:c>
      <x:c r="E450" s="25" t="str">
        <x:v>本类10项（逐项见完整JSON）</x:v>
      </x:c>
      <x:c r="F450" s="25" t="str">
        <x:v>S06＋固定种子</x:v>
      </x:c>
      <x:c r="G450" s="25" t="str">
        <x:v>可实现随机样本</x:v>
      </x:c>
      <x:c r="H450" s="25" t="str">
        <x:v>由同包逐项数据聚合，便于核对</x:v>
      </x:c>
      <x:c r="I450" s="32" t="n">
        <x:v>498</x:v>
      </x:c>
      <x:c r="J450" s="32" t="n">
        <x:v>498</x:v>
      </x:c>
      <x:c r="K450" s="32" t="n">
        <x:v>147</x:v>
      </x:c>
      <x:c r="L450" s="32" t="n">
        <x:v>147</x:v>
      </x:c>
      <x:c r="M450" s="32" t="n">
        <x:v>98</x:v>
      </x:c>
      <x:c r="N450" s="32" t="n">
        <x:v>98</x:v>
      </x:c>
      <x:c r="O450" s="32"/>
      <x:c r="P450" s="32"/>
      <x:c r="Q450" s="32"/>
      <x:c r="R450" s="32"/>
      <x:c r="S450" s="32"/>
      <x:c r="T450" s="32"/>
      <x:c r="U450" s="32" t="n">
        <x:v>468</x:v>
      </x:c>
      <x:c r="V450" s="32"/>
      <x:c r="W450" s="32"/>
      <x:c r="X450" s="32"/>
      <x:c r="Y450" s="32"/>
      <x:c r="Z450" s="32"/>
      <x:c r="AA450" s="32"/>
      <x:c r="AB450" s="32" t="n">
        <x:v>4</x:v>
      </x:c>
      <x:c r="AC450" s="32"/>
      <x:c r="AD450" s="32"/>
      <x:c r="AE450" s="32"/>
      <x:c r="AF450" s="32"/>
      <x:c r="AG450" s="32"/>
      <x:c r="AH450" s="32" t="n">
        <x:v>2</x:v>
      </x:c>
      <x:c r="AI450" s="32"/>
      <x:c r="AJ450" s="32"/>
      <x:c r="AK450" s="32"/>
      <x:c r="AL450" s="32"/>
      <x:c r="AM450" s="32" t="n">
        <x:v>1</x:v>
      </x:c>
      <x:c r="AN450" s="32" t="n">
        <x:v>7</x:v>
      </x:c>
      <x:c r="AO450" s="32" t="n">
        <x:v>1</x:v>
      </x:c>
      <x:c r="AP450" s="32"/>
      <x:c r="AQ450" s="32"/>
      <x:c r="AR450" s="32" t="n">
        <x:v>2</x:v>
      </x:c>
      <x:c r="AS450" s="32" t="n">
        <x:v>2</x:v>
      </x:c>
      <x:c r="AT450" s="32"/>
      <x:c r="AU450" s="32" t="n">
        <x:v>4</x:v>
      </x:c>
      <x:c r="AV450" s="32"/>
      <x:c r="AW450" s="32"/>
      <x:c r="AX450" s="32"/>
      <x:c r="AY450" s="32"/>
      <x:c r="AZ450" s="32"/>
      <x:c r="BA450" s="32"/>
    </x:row>
    <x:row r="451">
      <x:c r="A451" s="25" t="str">
        <x:v>C08-E</x:v>
      </x:c>
      <x:c r="B451" s="25" t="str">
        <x:v>巨人山顶</x:v>
      </x:c>
      <x:c r="C451" s="25" t="str">
        <x:v>半急速入场</x:v>
      </x:c>
      <x:c r="D451" s="25" t="str">
        <x:v>命格</x:v>
      </x:c>
      <x:c r="E451" s="25" t="str">
        <x:v>本类6项（逐项见完整JSON）</x:v>
      </x:c>
      <x:c r="F451" s="25" t="str">
        <x:v>S03/命格ID1081；S03/命格ID1089；S03/命格ID1090；S03/命格ID1092；S03/命格ID1093；S03/命格ID1097</x:v>
      </x:c>
      <x:c r="G451" s="25" t="str">
        <x:v>原表彩色＋选配假设</x:v>
      </x:c>
      <x:c r="H451" s="25" t="str">
        <x:v>由同包逐项数据聚合，便于核对</x:v>
      </x:c>
      <x:c r="I451" s="32"/>
      <x:c r="J451" s="32"/>
      <x:c r="K451" s="32"/>
      <x:c r="L451" s="32"/>
      <x:c r="M451" s="32"/>
      <x:c r="N451" s="32"/>
      <x:c r="O451" s="32" t="n">
        <x:v>1500</x:v>
      </x:c>
      <x:c r="P451" s="32"/>
      <x:c r="Q451" s="32"/>
      <x:c r="R451" s="32"/>
      <x:c r="S451" s="32"/>
      <x:c r="T451" s="32"/>
      <x:c r="U451" s="32" t="n">
        <x:v>3</x:v>
      </x:c>
      <x:c r="V451" s="32"/>
      <x:c r="W451" s="32"/>
      <x:c r="X451" s="32"/>
      <x:c r="Y451" s="32" t="n">
        <x:v>6</x:v>
      </x:c>
      <x:c r="Z451" s="32" t="n">
        <x:v>3</x:v>
      </x:c>
      <x:c r="AA451" s="32" t="n">
        <x:v>5</x:v>
      </x:c>
      <x:c r="AB451" s="32"/>
      <x:c r="AC451" s="32"/>
      <x:c r="AD451" s="32"/>
      <x:c r="AE451" s="32"/>
      <x:c r="AF451" s="32"/>
      <x:c r="AG451" s="32"/>
      <x:c r="AH451" s="32" t="n">
        <x:v>2</x:v>
      </x:c>
      <x:c r="AI451" s="32"/>
      <x:c r="AJ451" s="32" t="n">
        <x:v>10</x:v>
      </x:c>
      <x:c r="AK451" s="32"/>
      <x:c r="AL451" s="32"/>
      <x:c r="AM451" s="32"/>
      <x:c r="AN451" s="32"/>
      <x:c r="AO451" s="32"/>
      <x:c r="AP451" s="32"/>
      <x:c r="AQ451" s="32" t="n">
        <x:v>6</x:v>
      </x:c>
      <x:c r="AR451" s="32" t="n">
        <x:v>3</x:v>
      </x:c>
      <x:c r="AS451" s="32" t="n">
        <x:v>0.75</x:v>
      </x:c>
      <x:c r="AT451" s="32" t="n">
        <x:v>50</x:v>
      </x:c>
      <x:c r="AU451" s="32" t="n">
        <x:v>2</x:v>
      </x:c>
      <x:c r="AV451" s="32" t="n">
        <x:v>3</x:v>
      </x:c>
      <x:c r="AW451" s="32"/>
      <x:c r="AX451" s="32"/>
      <x:c r="AY451" s="32"/>
      <x:c r="AZ451" s="32"/>
      <x:c r="BA451" s="32"/>
    </x:row>
    <x:row r="452">
      <x:c r="A452" s="25" t="str">
        <x:v>C08-E</x:v>
      </x:c>
      <x:c r="B452" s="25" t="str">
        <x:v>巨人山顶</x:v>
      </x:c>
      <x:c r="C452" s="25" t="str">
        <x:v>半急速入场</x:v>
      </x:c>
      <x:c r="D452" s="25" t="str">
        <x:v>后天幸运</x:v>
      </x:c>
      <x:c r="E452" s="25" t="str">
        <x:v>本类1项（逐项见完整JSON）</x:v>
      </x:c>
      <x:c r="F452" s="25" t="str">
        <x:v>A08</x:v>
      </x:c>
      <x:c r="G452" s="25" t="str">
        <x:v>人物永久进度</x:v>
      </x:c>
      <x:c r="H452" s="25" t="str">
        <x:v>由同包逐项数据聚合，便于核对</x:v>
      </x:c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32"/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 t="n">
        <x:v>7</x:v>
      </x:c>
      <x:c r="AL452" s="32" t="n">
        <x:v>8</x:v>
      </x:c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Y452" s="32"/>
      <x:c r="AZ452" s="32"/>
      <x:c r="BA452" s="32"/>
    </x:row>
    <x:row r="453">
      <x:c r="A453" s="25" t="str">
        <x:v>C08-E</x:v>
      </x:c>
      <x:c r="B453" s="25" t="str">
        <x:v>巨人山顶</x:v>
      </x:c>
      <x:c r="C453" s="25" t="str">
        <x:v>半急速入场</x:v>
      </x:c>
      <x:c r="D453" s="25" t="str">
        <x:v>回收预算</x:v>
      </x:c>
      <x:c r="E453" s="25" t="str">
        <x:v>本类1项（逐项见完整JSON）</x:v>
      </x:c>
      <x:c r="F453" s="25" t="str">
        <x:v>用户总回收50%</x:v>
      </x:c>
      <x:c r="G453" s="25" t="str">
        <x:v>经济输入，不是新增属性来源</x:v>
      </x:c>
      <x:c r="H453" s="25" t="str">
        <x:v>由同包逐项数据聚合，便于核对</x:v>
      </x:c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32"/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Y453" s="32"/>
      <x:c r="AZ453" s="32"/>
      <x:c r="BA453" s="32" t="n">
        <x:v>50</x:v>
      </x:c>
    </x:row>
    <x:row r="454">
      <x:c r="A454" s="25" t="str">
        <x:v>C08-M</x:v>
      </x:c>
      <x:c r="B454" s="25" t="str">
        <x:v>巨人山顶</x:v>
      </x:c>
      <x:c r="C454" s="25" t="str">
        <x:v>半急速中期</x:v>
      </x:c>
      <x:c r="D454" s="25" t="str">
        <x:v>人物自然</x:v>
      </x:c>
      <x:c r="E454" s="25" t="str">
        <x:v>本类1项（逐项见完整JSON）</x:v>
      </x:c>
      <x:c r="F454" s="25" t="str">
        <x:v>A01</x:v>
      </x:c>
      <x:c r="G454" s="25" t="str">
        <x:v>模型假设</x:v>
      </x:c>
      <x:c r="H454" s="25" t="str">
        <x:v>由同包逐项数据聚合，便于核对</x:v>
      </x:c>
      <x:c r="I454" s="32" t="n">
        <x:v>22</x:v>
      </x:c>
      <x:c r="J454" s="32" t="n">
        <x:v>50.5</x:v>
      </x:c>
      <x:c r="K454" s="32"/>
      <x:c r="L454" s="32"/>
      <x:c r="M454" s="32"/>
      <x:c r="N454" s="32"/>
      <x:c r="O454" s="32" t="n">
        <x:v>4000</x:v>
      </x:c>
      <x:c r="P454" s="32" t="n">
        <x:v>950</x:v>
      </x:c>
      <x:c r="Q454" s="32"/>
      <x:c r="R454" s="32"/>
      <x:c r="S454" s="32"/>
      <x:c r="T454" s="32"/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Y454" s="32"/>
      <x:c r="AZ454" s="32"/>
      <x:c r="BA454" s="32"/>
    </x:row>
    <x:row r="455">
      <x:c r="A455" s="25" t="str">
        <x:v>C08-M</x:v>
      </x:c>
      <x:c r="B455" s="25" t="str">
        <x:v>巨人山顶</x:v>
      </x:c>
      <x:c r="C455" s="25" t="str">
        <x:v>半急速中期</x:v>
      </x:c>
      <x:c r="D455" s="25" t="str">
        <x:v>付费状态</x:v>
      </x:c>
      <x:c r="E455" s="25" t="str">
        <x:v>本类3项（逐项见完整JSON）</x:v>
      </x:c>
      <x:c r="F455" s="25" t="str">
        <x:v>20260903总档</x:v>
      </x:c>
      <x:c r="G455" s="25" t="str">
        <x:v>原表数值</x:v>
      </x:c>
      <x:c r="H455" s="25" t="str">
        <x:v>由同包逐项数据聚合，便于核对</x:v>
      </x:c>
      <x:c r="I455" s="32" t="n">
        <x:v>149</x:v>
      </x:c>
      <x:c r="J455" s="32" t="n">
        <x:v>149</x:v>
      </x:c>
      <x:c r="K455" s="32" t="n">
        <x:v>149</x:v>
      </x:c>
      <x:c r="L455" s="32" t="n">
        <x:v>149</x:v>
      </x:c>
      <x:c r="M455" s="32" t="n">
        <x:v>149</x:v>
      </x:c>
      <x:c r="N455" s="32" t="n">
        <x:v>149</x:v>
      </x:c>
      <x:c r="O455" s="32" t="n">
        <x:v>10000</x:v>
      </x:c>
      <x:c r="P455" s="32"/>
      <x:c r="Q455" s="32"/>
      <x:c r="R455" s="32"/>
      <x:c r="S455" s="32"/>
      <x:c r="T455" s="32"/>
      <x:c r="U455" s="32"/>
      <x:c r="V455" s="32"/>
      <x:c r="W455" s="32"/>
      <x:c r="X455" s="32"/>
      <x:c r="Y455" s="32" t="n">
        <x:v>10</x:v>
      </x:c>
      <x:c r="Z455" s="32"/>
      <x:c r="AA455" s="32"/>
      <x:c r="AB455" s="32" t="n">
        <x:v>20</x:v>
      </x:c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 t="n">
        <x:v>10</x:v>
      </x:c>
      <x:c r="AN455" s="32"/>
      <x:c r="AO455" s="32"/>
      <x:c r="AP455" s="32" t="n">
        <x:v>50</x:v>
      </x:c>
      <x:c r="AQ455" s="32"/>
      <x:c r="AR455" s="32"/>
      <x:c r="AS455" s="32"/>
      <x:c r="AT455" s="32" t="n">
        <x:v>700</x:v>
      </x:c>
      <x:c r="AU455" s="32" t="n">
        <x:v>15</x:v>
      </x:c>
      <x:c r="AV455" s="32"/>
      <x:c r="AW455" s="32"/>
      <x:c r="AX455" s="32"/>
      <x:c r="AY455" s="32"/>
      <x:c r="AZ455" s="32"/>
      <x:c r="BA455" s="32"/>
    </x:row>
    <x:row r="456">
      <x:c r="A456" s="25" t="str">
        <x:v>C08-M</x:v>
      </x:c>
      <x:c r="B456" s="25" t="str">
        <x:v>巨人山顶</x:v>
      </x:c>
      <x:c r="C456" s="25" t="str">
        <x:v>半急速中期</x:v>
      </x:c>
      <x:c r="D456" s="25" t="str">
        <x:v>成长装备</x:v>
      </x:c>
      <x:c r="E456" s="25" t="str">
        <x:v>本类2项（逐项见完整JSON）</x:v>
      </x:c>
      <x:c r="F456" s="25" t="str">
        <x:v>20260903总档 / A04</x:v>
      </x:c>
      <x:c r="G456" s="25" t="str">
        <x:v>原表＋支付路径假设</x:v>
      </x:c>
      <x:c r="H456" s="25" t="str">
        <x:v>由同包逐项数据聚合，便于核对</x:v>
      </x:c>
      <x:c r="I456" s="32" t="n">
        <x:v>1100</x:v>
      </x:c>
      <x:c r="J456" s="32" t="n">
        <x:v>1100</x:v>
      </x:c>
      <x:c r="K456" s="32" t="n">
        <x:v>1100</x:v>
      </x:c>
      <x:c r="L456" s="32" t="n">
        <x:v>1100</x:v>
      </x:c>
      <x:c r="M456" s="32" t="n">
        <x:v>1100</x:v>
      </x:c>
      <x:c r="N456" s="32" t="n">
        <x:v>1100</x:v>
      </x:c>
      <x:c r="O456" s="32"/>
      <x:c r="P456" s="32"/>
      <x:c r="Q456" s="32"/>
      <x:c r="R456" s="32"/>
      <x:c r="S456" s="32"/>
      <x:c r="T456" s="32"/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 t="n">
        <x:v>10</x:v>
      </x:c>
      <x:c r="AX456" s="32" t="n">
        <x:v>10</x:v>
      </x:c>
      <x:c r="AY456" s="32"/>
      <x:c r="AZ456" s="32"/>
      <x:c r="BA456" s="32"/>
    </x:row>
    <x:row r="457">
      <x:c r="A457" s="25" t="str">
        <x:v>C08-M</x:v>
      </x:c>
      <x:c r="B457" s="25" t="str">
        <x:v>巨人山顶</x:v>
      </x:c>
      <x:c r="C457" s="25" t="str">
        <x:v>半急速中期</x:v>
      </x:c>
      <x:c r="D457" s="25" t="str">
        <x:v>贯穿称号</x:v>
      </x:c>
      <x:c r="E457" s="25" t="str">
        <x:v>本类1项（逐项见完整JSON）</x:v>
      </x:c>
      <x:c r="F457" s="25" t="str">
        <x:v>S04/01_贯穿称号</x:v>
      </x:c>
      <x:c r="G457" s="25" t="str">
        <x:v>原表数值</x:v>
      </x:c>
      <x:c r="H457" s="25" t="str">
        <x:v>由同包逐项数据聚合，便于核对</x:v>
      </x:c>
      <x:c r="I457" s="32" t="n">
        <x:v>32000</x:v>
      </x:c>
      <x:c r="J457" s="32" t="n">
        <x:v>32000</x:v>
      </x:c>
      <x:c r="K457" s="32" t="n">
        <x:v>32000</x:v>
      </x:c>
      <x:c r="L457" s="32" t="n">
        <x:v>32000</x:v>
      </x:c>
      <x:c r="M457" s="32" t="n">
        <x:v>32000</x:v>
      </x:c>
      <x:c r="N457" s="32" t="n">
        <x:v>32000</x:v>
      </x:c>
      <x:c r="O457" s="32" t="n">
        <x:v>3200000</x:v>
      </x:c>
      <x:c r="P457" s="32" t="n">
        <x:v>3200000</x:v>
      </x:c>
      <x:c r="Q457" s="32"/>
      <x:c r="R457" s="32"/>
      <x:c r="S457" s="32"/>
      <x:c r="T457" s="32"/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 t="n">
        <x:v>3900</x:v>
      </x:c>
      <x:c r="AU457" s="32"/>
      <x:c r="AV457" s="32"/>
      <x:c r="AW457" s="32"/>
      <x:c r="AX457" s="32"/>
      <x:c r="AY457" s="32"/>
      <x:c r="AZ457" s="32"/>
      <x:c r="BA457" s="32"/>
    </x:row>
    <x:row r="458">
      <x:c r="A458" s="25" t="str">
        <x:v>C08-M</x:v>
      </x:c>
      <x:c r="B458" s="25" t="str">
        <x:v>巨人山顶</x:v>
      </x:c>
      <x:c r="C458" s="25" t="str">
        <x:v>半急速中期</x:v>
      </x:c>
      <x:c r="D458" s="25" t="str">
        <x:v>神印</x:v>
      </x:c>
      <x:c r="E458" s="25" t="str">
        <x:v>本类1项（逐项见完整JSON）</x:v>
      </x:c>
      <x:c r="F458" s="25" t="str">
        <x:v>S04 / 神印公式</x:v>
      </x:c>
      <x:c r="G458" s="25" t="str">
        <x:v>自给进度假设＋原公式</x:v>
      </x:c>
      <x:c r="H458" s="25" t="str">
        <x:v>由同包逐项数据聚合，便于核对</x:v>
      </x:c>
      <x:c r="I458" s="32" t="n">
        <x:v>21736</x:v>
      </x:c>
      <x:c r="J458" s="32" t="n">
        <x:v>21736</x:v>
      </x:c>
      <x:c r="K458" s="32" t="n">
        <x:v>21736</x:v>
      </x:c>
      <x:c r="L458" s="32" t="n">
        <x:v>21736</x:v>
      </x:c>
      <x:c r="M458" s="32" t="n">
        <x:v>21736</x:v>
      </x:c>
      <x:c r="N458" s="32" t="n">
        <x:v>21736</x:v>
      </x:c>
      <x:c r="O458" s="32" t="n">
        <x:v>2173600</x:v>
      </x:c>
      <x:c r="P458" s="32"/>
      <x:c r="Q458" s="32"/>
      <x:c r="R458" s="32"/>
      <x:c r="S458" s="32"/>
      <x:c r="T458" s="32"/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Y458" s="32"/>
      <x:c r="AZ458" s="32"/>
      <x:c r="BA458" s="32"/>
    </x:row>
    <x:row r="459">
      <x:c r="A459" s="25" t="str">
        <x:v>C08-M</x:v>
      </x:c>
      <x:c r="B459" s="25" t="str">
        <x:v>巨人山顶</x:v>
      </x:c>
      <x:c r="C459" s="25" t="str">
        <x:v>半急速中期</x:v>
      </x:c>
      <x:c r="D459" s="25" t="str">
        <x:v>转生</x:v>
      </x:c>
      <x:c r="E459" s="25" t="str">
        <x:v>本类1项（逐项见完整JSON）</x:v>
      </x:c>
      <x:c r="F459" s="25" t="str">
        <x:v>S07/20转</x:v>
      </x:c>
      <x:c r="G459" s="25" t="str">
        <x:v>原表累计</x:v>
      </x:c>
      <x:c r="H459" s="25" t="str">
        <x:v>由同包逐项数据聚合，便于核对</x:v>
      </x:c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32"/>
      <x:c r="U459" s="32"/>
      <x:c r="V459" s="32"/>
      <x:c r="W459" s="32"/>
      <x:c r="X459" s="32" t="n">
        <x:v>0.54</x:v>
      </x:c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Y459" s="32"/>
      <x:c r="AZ459" s="32"/>
      <x:c r="BA459" s="32"/>
    </x:row>
    <x:row r="460">
      <x:c r="A460" s="25" t="str">
        <x:v>C08-M</x:v>
      </x:c>
      <x:c r="B460" s="25" t="str">
        <x:v>巨人山顶</x:v>
      </x:c>
      <x:c r="C460" s="25" t="str">
        <x:v>半急速中期</x:v>
      </x:c>
      <x:c r="D460" s="25" t="str">
        <x:v>独立称号</x:v>
      </x:c>
      <x:c r="E460" s="25" t="str">
        <x:v>本类4项（逐项见完整JSON）</x:v>
      </x:c>
      <x:c r="F460" s="25" t="str">
        <x:v>S04/02_独立称号</x:v>
      </x:c>
      <x:c r="G460" s="25" t="str">
        <x:v>原表数值</x:v>
      </x:c>
      <x:c r="H460" s="25" t="str">
        <x:v>由同包逐项数据聚合，便于核对</x:v>
      </x:c>
      <x:c r="I460" s="32" t="n">
        <x:v>4510</x:v>
      </x:c>
      <x:c r="J460" s="32" t="n">
        <x:v>4510</x:v>
      </x:c>
      <x:c r="K460" s="32" t="n">
        <x:v>4510</x:v>
      </x:c>
      <x:c r="L460" s="32" t="n">
        <x:v>4510</x:v>
      </x:c>
      <x:c r="M460" s="32" t="n">
        <x:v>4510</x:v>
      </x:c>
      <x:c r="N460" s="32" t="n">
        <x:v>4510</x:v>
      </x:c>
      <x:c r="O460" s="32" t="n">
        <x:v>451000</x:v>
      </x:c>
      <x:c r="P460" s="32"/>
      <x:c r="Q460" s="32"/>
      <x:c r="R460" s="32"/>
      <x:c r="S460" s="32"/>
      <x:c r="T460" s="32"/>
      <x:c r="U460" s="32"/>
      <x:c r="V460" s="32"/>
      <x:c r="W460" s="32"/>
      <x:c r="X460" s="32" t="n">
        <x:v>0</x:v>
      </x:c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 t="n">
        <x:v>0</x:v>
      </x:c>
      <x:c r="AN460" s="32"/>
      <x:c r="AO460" s="32"/>
      <x:c r="AP460" s="32" t="n">
        <x:v>0</x:v>
      </x:c>
      <x:c r="AQ460" s="32"/>
      <x:c r="AR460" s="32"/>
      <x:c r="AS460" s="32"/>
      <x:c r="AT460" s="32"/>
      <x:c r="AU460" s="32"/>
      <x:c r="AV460" s="32"/>
      <x:c r="AW460" s="32"/>
      <x:c r="AX460" s="32"/>
      <x:c r="AY460" s="32"/>
      <x:c r="AZ460" s="32"/>
      <x:c r="BA460" s="32"/>
    </x:row>
    <x:row r="461">
      <x:c r="A461" s="25" t="str">
        <x:v>C08-M</x:v>
      </x:c>
      <x:c r="B461" s="25" t="str">
        <x:v>巨人山顶</x:v>
      </x:c>
      <x:c r="C461" s="25" t="str">
        <x:v>半急速中期</x:v>
      </x:c>
      <x:c r="D461" s="25" t="str">
        <x:v>单件图鉴</x:v>
      </x:c>
      <x:c r="E461" s="25" t="str">
        <x:v>本类1项（逐项见完整JSON）</x:v>
      </x:c>
      <x:c r="F461" s="25" t="str">
        <x:v>S07/collection_single</x:v>
      </x:c>
      <x:c r="G461" s="25" t="str">
        <x:v>原表累计</x:v>
      </x:c>
      <x:c r="H461" s="25" t="str">
        <x:v>由同包逐项数据聚合，便于核对</x:v>
      </x:c>
      <x:c r="I461" s="32" t="n">
        <x:v>3986</x:v>
      </x:c>
      <x:c r="J461" s="32" t="n">
        <x:v>3986</x:v>
      </x:c>
      <x:c r="K461" s="32" t="n">
        <x:v>3986</x:v>
      </x:c>
      <x:c r="L461" s="32" t="n">
        <x:v>3986</x:v>
      </x:c>
      <x:c r="M461" s="32" t="n">
        <x:v>3986</x:v>
      </x:c>
      <x:c r="N461" s="32" t="n">
        <x:v>3986</x:v>
      </x:c>
      <x:c r="O461" s="32" t="n">
        <x:v>398600</x:v>
      </x:c>
      <x:c r="P461" s="32"/>
      <x:c r="Q461" s="32"/>
      <x:c r="R461" s="32"/>
      <x:c r="S461" s="32"/>
      <x:c r="T461" s="32"/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Y461" s="32"/>
      <x:c r="AZ461" s="32"/>
      <x:c r="BA461" s="32"/>
    </x:row>
    <x:row r="462">
      <x:c r="A462" s="25" t="str">
        <x:v>C08-M</x:v>
      </x:c>
      <x:c r="B462" s="25" t="str">
        <x:v>巨人山顶</x:v>
      </x:c>
      <x:c r="C462" s="25" t="str">
        <x:v>半急速中期</x:v>
      </x:c>
      <x:c r="D462" s="25" t="str">
        <x:v>地图整页</x:v>
      </x:c>
      <x:c r="E462" s="25" t="str">
        <x:v>本类23项（逐项见完整JSON）</x:v>
      </x:c>
      <x:c r="F462" s="25" t="str">
        <x:v>S07/collection_pages</x:v>
      </x:c>
      <x:c r="G462" s="25" t="str">
        <x:v>原表数值</x:v>
      </x:c>
      <x:c r="H462" s="25" t="str">
        <x:v>由同包逐项数据聚合，便于核对</x:v>
      </x:c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32"/>
      <x:c r="U462" s="32"/>
      <x:c r="V462" s="32"/>
      <x:c r="W462" s="32"/>
      <x:c r="X462" s="32" t="n">
        <x:v>0.52</x:v>
      </x:c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 t="n">
        <x:v>11.5</x:v>
      </x:c>
      <x:c r="AN462" s="32"/>
      <x:c r="AO462" s="32"/>
      <x:c r="AP462" s="32" t="n">
        <x:v>700</x:v>
      </x:c>
      <x:c r="AQ462" s="32"/>
      <x:c r="AR462" s="32"/>
      <x:c r="AS462" s="32"/>
      <x:c r="AT462" s="32"/>
      <x:c r="AU462" s="32"/>
      <x:c r="AV462" s="32"/>
      <x:c r="AW462" s="32"/>
      <x:c r="AX462" s="32"/>
      <x:c r="AY462" s="32"/>
      <x:c r="AZ462" s="32"/>
      <x:c r="BA462" s="32"/>
    </x:row>
    <x:row r="463">
      <x:c r="A463" s="25" t="str">
        <x:v>C08-M</x:v>
      </x:c>
      <x:c r="B463" s="25" t="str">
        <x:v>巨人山顶</x:v>
      </x:c>
      <x:c r="C463" s="25" t="str">
        <x:v>半急速中期</x:v>
      </x:c>
      <x:c r="D463" s="25" t="str">
        <x:v>材料图鉴</x:v>
      </x:c>
      <x:c r="E463" s="25" t="str">
        <x:v>本类5项（逐项见完整JSON）</x:v>
      </x:c>
      <x:c r="F463" s="25" t="str">
        <x:v>S07/collection_materials</x:v>
      </x:c>
      <x:c r="G463" s="25" t="str">
        <x:v>原表数值</x:v>
      </x:c>
      <x:c r="H463" s="25" t="str">
        <x:v>由同包逐项数据聚合，便于核对</x:v>
      </x:c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32"/>
      <x:c r="U463" s="32"/>
      <x:c r="V463" s="32"/>
      <x:c r="W463" s="32"/>
      <x:c r="X463" s="32" t="n">
        <x:v>0.41000000000000003</x:v>
      </x:c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 t="n">
        <x:v>0</x:v>
      </x:c>
      <x:c r="AN463" s="32"/>
      <x:c r="AO463" s="32"/>
      <x:c r="AP463" s="32" t="n">
        <x:v>0</x:v>
      </x:c>
      <x:c r="AQ463" s="32"/>
      <x:c r="AR463" s="32"/>
      <x:c r="AS463" s="32"/>
      <x:c r="AT463" s="32"/>
      <x:c r="AU463" s="32"/>
      <x:c r="AV463" s="32"/>
      <x:c r="AW463" s="32"/>
      <x:c r="AX463" s="32"/>
      <x:c r="AY463" s="32"/>
      <x:c r="AZ463" s="32"/>
      <x:c r="BA463" s="32"/>
    </x:row>
    <x:row r="464">
      <x:c r="A464" s="25" t="str">
        <x:v>C08-M</x:v>
      </x:c>
      <x:c r="B464" s="25" t="str">
        <x:v>巨人山顶</x:v>
      </x:c>
      <x:c r="C464" s="25" t="str">
        <x:v>半急速中期</x:v>
      </x:c>
      <x:c r="D464" s="25" t="str">
        <x:v>旧任务</x:v>
      </x:c>
      <x:c r="E464" s="25" t="str">
        <x:v>本类6项（逐项见完整JSON）</x:v>
      </x:c>
      <x:c r="F464" s="25" t="str">
        <x:v>宁姆格福_完整怪物装备任务爆率规划/地图任务；第一大陆_地图魂魄任务.txt</x:v>
      </x:c>
      <x:c r="G464" s="25" t="str">
        <x:v>原件确认；原表数值</x:v>
      </x:c>
      <x:c r="H464" s="25" t="str">
        <x:v>由同包逐项数据聚合，便于核对</x:v>
      </x:c>
      <x:c r="I464" s="32" t="n">
        <x:v>60</x:v>
      </x:c>
      <x:c r="J464" s="32" t="n">
        <x:v>60</x:v>
      </x:c>
      <x:c r="K464" s="32" t="n">
        <x:v>60</x:v>
      </x:c>
      <x:c r="L464" s="32" t="n">
        <x:v>60</x:v>
      </x:c>
      <x:c r="M464" s="32" t="n">
        <x:v>60</x:v>
      </x:c>
      <x:c r="N464" s="32" t="n">
        <x:v>60</x:v>
      </x:c>
      <x:c r="O464" s="32"/>
      <x:c r="P464" s="32"/>
      <x:c r="Q464" s="32"/>
      <x:c r="R464" s="32"/>
      <x:c r="S464" s="32"/>
      <x:c r="T464" s="32"/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 t="n">
        <x:v>2</x:v>
      </x:c>
      <x:c r="AN464" s="32"/>
      <x:c r="AO464" s="32"/>
      <x:c r="AP464" s="32" t="n">
        <x:v>120</x:v>
      </x:c>
      <x:c r="AQ464" s="32"/>
      <x:c r="AR464" s="32"/>
      <x:c r="AS464" s="32"/>
      <x:c r="AT464" s="32"/>
      <x:c r="AU464" s="32"/>
      <x:c r="AV464" s="32"/>
      <x:c r="AW464" s="32"/>
      <x:c r="AX464" s="32"/>
      <x:c r="AY464" s="32"/>
      <x:c r="AZ464" s="32"/>
      <x:c r="BA464" s="32"/>
    </x:row>
    <x:row r="465">
      <x:c r="A465" s="25" t="str">
        <x:v>C08-M</x:v>
      </x:c>
      <x:c r="B465" s="25" t="str">
        <x:v>巨人山顶</x:v>
      </x:c>
      <x:c r="C465" s="25" t="str">
        <x:v>半急速中期</x:v>
      </x:c>
      <x:c r="D465" s="25" t="str">
        <x:v>装备</x:v>
      </x:c>
      <x:c r="E465" s="25" t="str">
        <x:v>本类31项（逐项见完整JSON）</x:v>
      </x:c>
      <x:c r="F465" s="25" t="str">
        <x:v>S02；S07</x:v>
      </x:c>
      <x:c r="G465" s="25" t="str">
        <x:v>原表数值</x:v>
      </x:c>
      <x:c r="H465" s="25" t="str">
        <x:v>由同包逐项数据聚合，便于核对</x:v>
      </x:c>
      <x:c r="I465" s="32" t="n">
        <x:v>13477</x:v>
      </x:c>
      <x:c r="J465" s="32" t="n">
        <x:v>25780</x:v>
      </x:c>
      <x:c r="K465" s="32" t="n">
        <x:v>13477</x:v>
      </x:c>
      <x:c r="L465" s="32" t="n">
        <x:v>25780</x:v>
      </x:c>
      <x:c r="M465" s="32" t="n">
        <x:v>13477</x:v>
      </x:c>
      <x:c r="N465" s="32" t="n">
        <x:v>25780</x:v>
      </x:c>
      <x:c r="O465" s="32" t="n">
        <x:v>13968900</x:v>
      </x:c>
      <x:c r="P465" s="32"/>
      <x:c r="Q465" s="32" t="n">
        <x:v>566</x:v>
      </x:c>
      <x:c r="R465" s="32" t="n">
        <x:v>1049</x:v>
      </x:c>
      <x:c r="S465" s="32" t="n">
        <x:v>460</x:v>
      </x:c>
      <x:c r="T465" s="32" t="n">
        <x:v>849</x:v>
      </x:c>
      <x:c r="U465" s="32" t="n">
        <x:v>575</x:v>
      </x:c>
      <x:c r="V465" s="32" t="n">
        <x:v>575</x:v>
      </x:c>
      <x:c r="W465" s="32" t="n">
        <x:v>575</x:v>
      </x:c>
      <x:c r="X465" s="32"/>
      <x:c r="Y465" s="32"/>
      <x:c r="Z465" s="32" t="n">
        <x:v>139</x:v>
      </x:c>
      <x:c r="AA465" s="32" t="n">
        <x:v>41</x:v>
      </x:c>
      <x:c r="AB465" s="32"/>
      <x:c r="AC465" s="32" t="n">
        <x:v>186</x:v>
      </x:c>
      <x:c r="AD465" s="32" t="n">
        <x:v>1</x:v>
      </x:c>
      <x:c r="AE465" s="32" t="n">
        <x:v>25</x:v>
      </x:c>
      <x:c r="AF465" s="32"/>
      <x:c r="AG465" s="32"/>
      <x:c r="AH465" s="32" t="n">
        <x:v>33</x:v>
      </x:c>
      <x:c r="AI465" s="32" t="n">
        <x:v>6</x:v>
      </x:c>
      <x:c r="AJ465" s="32" t="n">
        <x:v>144</x:v>
      </x:c>
      <x:c r="AK465" s="32"/>
      <x:c r="AL465" s="32"/>
      <x:c r="AM465" s="32"/>
      <x:c r="AN465" s="32" t="n">
        <x:v>20</x:v>
      </x:c>
      <x:c r="AO465" s="32" t="n">
        <x:v>0.2</x:v>
      </x:c>
      <x:c r="AP465" s="32" t="n">
        <x:v>40</x:v>
      </x:c>
      <x:c r="AQ465" s="32" t="n">
        <x:v>75</x:v>
      </x:c>
      <x:c r="AR465" s="32"/>
      <x:c r="AS465" s="32" t="n">
        <x:v>10</x:v>
      </x:c>
      <x:c r="AT465" s="32"/>
      <x:c r="AU465" s="32"/>
      <x:c r="AV465" s="32"/>
      <x:c r="AW465" s="32"/>
      <x:c r="AX465" s="32"/>
      <x:c r="AY465" s="32"/>
      <x:c r="AZ465" s="32" t="n">
        <x:v>9</x:v>
      </x:c>
      <x:c r="BA465" s="32"/>
    </x:row>
    <x:row r="466">
      <x:c r="A466" s="25" t="str">
        <x:v>C08-M</x:v>
      </x:c>
      <x:c r="B466" s="25" t="str">
        <x:v>巨人山顶</x:v>
      </x:c>
      <x:c r="C466" s="25" t="str">
        <x:v>半急速中期</x:v>
      </x:c>
      <x:c r="D466" s="25" t="str">
        <x:v>洗练</x:v>
      </x:c>
      <x:c r="E466" s="25" t="str">
        <x:v>本类10项（逐项见完整JSON）</x:v>
      </x:c>
      <x:c r="F466" s="25" t="str">
        <x:v>S06＋固定种子</x:v>
      </x:c>
      <x:c r="G466" s="25" t="str">
        <x:v>可实现随机样本</x:v>
      </x:c>
      <x:c r="H466" s="25" t="str">
        <x:v>由同包逐项数据聚合，便于核对</x:v>
      </x:c>
      <x:c r="I466" s="32" t="n">
        <x:v>640</x:v>
      </x:c>
      <x:c r="J466" s="32" t="n">
        <x:v>640</x:v>
      </x:c>
      <x:c r="K466" s="32" t="n">
        <x:v>147</x:v>
      </x:c>
      <x:c r="L466" s="32" t="n">
        <x:v>147</x:v>
      </x:c>
      <x:c r="M466" s="32" t="n">
        <x:v>98</x:v>
      </x:c>
      <x:c r="N466" s="32" t="n">
        <x:v>98</x:v>
      </x:c>
      <x:c r="O466" s="32"/>
      <x:c r="P466" s="32"/>
      <x:c r="Q466" s="32"/>
      <x:c r="R466" s="32"/>
      <x:c r="S466" s="32"/>
      <x:c r="T466" s="32"/>
      <x:c r="U466" s="32" t="n">
        <x:v>472</x:v>
      </x:c>
      <x:c r="V466" s="32"/>
      <x:c r="W466" s="32"/>
      <x:c r="X466" s="32"/>
      <x:c r="Y466" s="32"/>
      <x:c r="Z466" s="32"/>
      <x:c r="AA466" s="32"/>
      <x:c r="AB466" s="32" t="n">
        <x:v>4</x:v>
      </x:c>
      <x:c r="AC466" s="32"/>
      <x:c r="AD466" s="32" t="n">
        <x:v>2</x:v>
      </x:c>
      <x:c r="AE466" s="32"/>
      <x:c r="AF466" s="32"/>
      <x:c r="AG466" s="32"/>
      <x:c r="AH466" s="32" t="n">
        <x:v>3</x:v>
      </x:c>
      <x:c r="AI466" s="32"/>
      <x:c r="AJ466" s="32"/>
      <x:c r="AK466" s="32"/>
      <x:c r="AL466" s="32"/>
      <x:c r="AM466" s="32"/>
      <x:c r="AN466" s="32" t="n">
        <x:v>7</x:v>
      </x:c>
      <x:c r="AO466" s="32" t="n">
        <x:v>1</x:v>
      </x:c>
      <x:c r="AP466" s="32"/>
      <x:c r="AQ466" s="32"/>
      <x:c r="AR466" s="32" t="n">
        <x:v>2</x:v>
      </x:c>
      <x:c r="AS466" s="32" t="n">
        <x:v>1</x:v>
      </x:c>
      <x:c r="AT466" s="32"/>
      <x:c r="AU466" s="32" t="n">
        <x:v>4</x:v>
      </x:c>
      <x:c r="AV466" s="32"/>
      <x:c r="AW466" s="32"/>
      <x:c r="AX466" s="32"/>
      <x:c r="AY466" s="32"/>
      <x:c r="AZ466" s="32"/>
      <x:c r="BA466" s="32"/>
    </x:row>
    <x:row r="467">
      <x:c r="A467" s="25" t="str">
        <x:v>C08-M</x:v>
      </x:c>
      <x:c r="B467" s="25" t="str">
        <x:v>巨人山顶</x:v>
      </x:c>
      <x:c r="C467" s="25" t="str">
        <x:v>半急速中期</x:v>
      </x:c>
      <x:c r="D467" s="25" t="str">
        <x:v>命格</x:v>
      </x:c>
      <x:c r="E467" s="25" t="str">
        <x:v>本类7项（逐项见完整JSON）</x:v>
      </x:c>
      <x:c r="F467" s="25" t="str">
        <x:v>S03/命格ID1081；S03/命格ID1086；S03/命格ID1089；S03/命格ID1090；S03/命格ID1092；S03/命格ID1093；S03/命格ID1097</x:v>
      </x:c>
      <x:c r="G467" s="25" t="str">
        <x:v>原表彩色＋选配假设</x:v>
      </x:c>
      <x:c r="H467" s="25" t="str">
        <x:v>由同包逐项数据聚合，便于核对</x:v>
      </x:c>
      <x:c r="I467" s="32"/>
      <x:c r="J467" s="32"/>
      <x:c r="K467" s="32"/>
      <x:c r="L467" s="32"/>
      <x:c r="M467" s="32"/>
      <x:c r="N467" s="32"/>
      <x:c r="O467" s="32" t="n">
        <x:v>1500</x:v>
      </x:c>
      <x:c r="P467" s="32"/>
      <x:c r="Q467" s="32"/>
      <x:c r="R467" s="32"/>
      <x:c r="S467" s="32"/>
      <x:c r="T467" s="32"/>
      <x:c r="U467" s="32" t="n">
        <x:v>3</x:v>
      </x:c>
      <x:c r="V467" s="32"/>
      <x:c r="W467" s="32"/>
      <x:c r="X467" s="32"/>
      <x:c r="Y467" s="32" t="n">
        <x:v>6</x:v>
      </x:c>
      <x:c r="Z467" s="32" t="n">
        <x:v>3</x:v>
      </x:c>
      <x:c r="AA467" s="32" t="n">
        <x:v>5</x:v>
      </x:c>
      <x:c r="AB467" s="32"/>
      <x:c r="AC467" s="32"/>
      <x:c r="AD467" s="32"/>
      <x:c r="AE467" s="32"/>
      <x:c r="AF467" s="32"/>
      <x:c r="AG467" s="32"/>
      <x:c r="AH467" s="32" t="n">
        <x:v>2</x:v>
      </x:c>
      <x:c r="AI467" s="32"/>
      <x:c r="AJ467" s="32" t="n">
        <x:v>10</x:v>
      </x:c>
      <x:c r="AK467" s="32"/>
      <x:c r="AL467" s="32"/>
      <x:c r="AM467" s="32" t="n">
        <x:v>6</x:v>
      </x:c>
      <x:c r="AN467" s="32"/>
      <x:c r="AO467" s="32"/>
      <x:c r="AP467" s="32"/>
      <x:c r="AQ467" s="32" t="n">
        <x:v>6</x:v>
      </x:c>
      <x:c r="AR467" s="32" t="n">
        <x:v>3</x:v>
      </x:c>
      <x:c r="AS467" s="32" t="n">
        <x:v>0.75</x:v>
      </x:c>
      <x:c r="AT467" s="32" t="n">
        <x:v>50</x:v>
      </x:c>
      <x:c r="AU467" s="32" t="n">
        <x:v>2</x:v>
      </x:c>
      <x:c r="AV467" s="32" t="n">
        <x:v>3</x:v>
      </x:c>
      <x:c r="AW467" s="32"/>
      <x:c r="AX467" s="32"/>
      <x:c r="AY467" s="32"/>
      <x:c r="AZ467" s="32"/>
      <x:c r="BA467" s="32"/>
    </x:row>
    <x:row r="468">
      <x:c r="A468" s="25" t="str">
        <x:v>C08-M</x:v>
      </x:c>
      <x:c r="B468" s="25" t="str">
        <x:v>巨人山顶</x:v>
      </x:c>
      <x:c r="C468" s="25" t="str">
        <x:v>半急速中期</x:v>
      </x:c>
      <x:c r="D468" s="25" t="str">
        <x:v>后天幸运</x:v>
      </x:c>
      <x:c r="E468" s="25" t="str">
        <x:v>本类1项（逐项见完整JSON）</x:v>
      </x:c>
      <x:c r="F468" s="25" t="str">
        <x:v>A08</x:v>
      </x:c>
      <x:c r="G468" s="25" t="str">
        <x:v>人物永久进度</x:v>
      </x:c>
      <x:c r="H468" s="25" t="str">
        <x:v>由同包逐项数据聚合，便于核对</x:v>
      </x:c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32"/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 t="n">
        <x:v>7</x:v>
      </x:c>
      <x:c r="AL468" s="32" t="n">
        <x:v>8</x:v>
      </x:c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Y468" s="32"/>
      <x:c r="AZ468" s="32"/>
      <x:c r="BA468" s="32"/>
    </x:row>
    <x:row r="469">
      <x:c r="A469" s="25" t="str">
        <x:v>C08-M</x:v>
      </x:c>
      <x:c r="B469" s="25" t="str">
        <x:v>巨人山顶</x:v>
      </x:c>
      <x:c r="C469" s="25" t="str">
        <x:v>半急速中期</x:v>
      </x:c>
      <x:c r="D469" s="25" t="str">
        <x:v>回收预算</x:v>
      </x:c>
      <x:c r="E469" s="25" t="str">
        <x:v>本类1项（逐项见完整JSON）</x:v>
      </x:c>
      <x:c r="F469" s="25" t="str">
        <x:v>用户总回收50%</x:v>
      </x:c>
      <x:c r="G469" s="25" t="str">
        <x:v>经济输入，不是新增属性来源</x:v>
      </x:c>
      <x:c r="H469" s="25" t="str">
        <x:v>由同包逐项数据聚合，便于核对</x:v>
      </x:c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32"/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Y469" s="32"/>
      <x:c r="AZ469" s="32"/>
      <x:c r="BA469" s="32" t="n">
        <x:v>50</x:v>
      </x:c>
    </x:row>
    <x:row r="470">
      <x:c r="A470" s="25" t="str">
        <x:v>C08-G</x:v>
      </x:c>
      <x:c r="B470" s="25" t="str">
        <x:v>巨人山顶</x:v>
      </x:c>
      <x:c r="C470" s="25" t="str">
        <x:v>半急速毕业</x:v>
      </x:c>
      <x:c r="D470" s="25" t="str">
        <x:v>人物自然</x:v>
      </x:c>
      <x:c r="E470" s="25" t="str">
        <x:v>本类1项（逐项见完整JSON）</x:v>
      </x:c>
      <x:c r="F470" s="25" t="str">
        <x:v>A01</x:v>
      </x:c>
      <x:c r="G470" s="25" t="str">
        <x:v>模型假设</x:v>
      </x:c>
      <x:c r="H470" s="25" t="str">
        <x:v>由同包逐项数据聚合，便于核对</x:v>
      </x:c>
      <x:c r="I470" s="32" t="n">
        <x:v>23</x:v>
      </x:c>
      <x:c r="J470" s="32" t="n">
        <x:v>53</x:v>
      </x:c>
      <x:c r="K470" s="32"/>
      <x:c r="L470" s="32"/>
      <x:c r="M470" s="32"/>
      <x:c r="N470" s="32"/>
      <x:c r="O470" s="32" t="n">
        <x:v>4200</x:v>
      </x:c>
      <x:c r="P470" s="32" t="n">
        <x:v>1000</x:v>
      </x:c>
      <x:c r="Q470" s="32"/>
      <x:c r="R470" s="32"/>
      <x:c r="S470" s="32"/>
      <x:c r="T470" s="32"/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Y470" s="32"/>
      <x:c r="AZ470" s="32"/>
      <x:c r="BA470" s="32"/>
    </x:row>
    <x:row r="471">
      <x:c r="A471" s="25" t="str">
        <x:v>C08-G</x:v>
      </x:c>
      <x:c r="B471" s="25" t="str">
        <x:v>巨人山顶</x:v>
      </x:c>
      <x:c r="C471" s="25" t="str">
        <x:v>半急速毕业</x:v>
      </x:c>
      <x:c r="D471" s="25" t="str">
        <x:v>付费状态</x:v>
      </x:c>
      <x:c r="E471" s="25" t="str">
        <x:v>本类3项（逐项见完整JSON）</x:v>
      </x:c>
      <x:c r="F471" s="25" t="str">
        <x:v>20260903总档</x:v>
      </x:c>
      <x:c r="G471" s="25" t="str">
        <x:v>原表数值</x:v>
      </x:c>
      <x:c r="H471" s="25" t="str">
        <x:v>由同包逐项数据聚合，便于核对</x:v>
      </x:c>
      <x:c r="I471" s="32" t="n">
        <x:v>149</x:v>
      </x:c>
      <x:c r="J471" s="32" t="n">
        <x:v>149</x:v>
      </x:c>
      <x:c r="K471" s="32" t="n">
        <x:v>149</x:v>
      </x:c>
      <x:c r="L471" s="32" t="n">
        <x:v>149</x:v>
      </x:c>
      <x:c r="M471" s="32" t="n">
        <x:v>149</x:v>
      </x:c>
      <x:c r="N471" s="32" t="n">
        <x:v>149</x:v>
      </x:c>
      <x:c r="O471" s="32" t="n">
        <x:v>10000</x:v>
      </x:c>
      <x:c r="P471" s="32"/>
      <x:c r="Q471" s="32"/>
      <x:c r="R471" s="32"/>
      <x:c r="S471" s="32"/>
      <x:c r="T471" s="32"/>
      <x:c r="U471" s="32"/>
      <x:c r="V471" s="32"/>
      <x:c r="W471" s="32"/>
      <x:c r="X471" s="32"/>
      <x:c r="Y471" s="32" t="n">
        <x:v>10</x:v>
      </x:c>
      <x:c r="Z471" s="32"/>
      <x:c r="AA471" s="32"/>
      <x:c r="AB471" s="32" t="n">
        <x:v>20</x:v>
      </x:c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 t="n">
        <x:v>10</x:v>
      </x:c>
      <x:c r="AN471" s="32"/>
      <x:c r="AO471" s="32"/>
      <x:c r="AP471" s="32" t="n">
        <x:v>50</x:v>
      </x:c>
      <x:c r="AQ471" s="32"/>
      <x:c r="AR471" s="32"/>
      <x:c r="AS471" s="32"/>
      <x:c r="AT471" s="32" t="n">
        <x:v>700</x:v>
      </x:c>
      <x:c r="AU471" s="32" t="n">
        <x:v>15</x:v>
      </x:c>
      <x:c r="AV471" s="32"/>
      <x:c r="AW471" s="32"/>
      <x:c r="AX471" s="32"/>
      <x:c r="AY471" s="32"/>
      <x:c r="AZ471" s="32"/>
      <x:c r="BA471" s="32"/>
    </x:row>
    <x:row r="472">
      <x:c r="A472" s="25" t="str">
        <x:v>C08-G</x:v>
      </x:c>
      <x:c r="B472" s="25" t="str">
        <x:v>巨人山顶</x:v>
      </x:c>
      <x:c r="C472" s="25" t="str">
        <x:v>半急速毕业</x:v>
      </x:c>
      <x:c r="D472" s="25" t="str">
        <x:v>成长装备</x:v>
      </x:c>
      <x:c r="E472" s="25" t="str">
        <x:v>本类2项（逐项见完整JSON）</x:v>
      </x:c>
      <x:c r="F472" s="25" t="str">
        <x:v>20260903总档 / A04</x:v>
      </x:c>
      <x:c r="G472" s="25" t="str">
        <x:v>原表＋支付路径假设</x:v>
      </x:c>
      <x:c r="H472" s="25" t="str">
        <x:v>由同包逐项数据聚合，便于核对</x:v>
      </x:c>
      <x:c r="I472" s="32" t="n">
        <x:v>1100</x:v>
      </x:c>
      <x:c r="J472" s="32" t="n">
        <x:v>1100</x:v>
      </x:c>
      <x:c r="K472" s="32" t="n">
        <x:v>1100</x:v>
      </x:c>
      <x:c r="L472" s="32" t="n">
        <x:v>1100</x:v>
      </x:c>
      <x:c r="M472" s="32" t="n">
        <x:v>1100</x:v>
      </x:c>
      <x:c r="N472" s="32" t="n">
        <x:v>1100</x:v>
      </x:c>
      <x:c r="O472" s="32"/>
      <x:c r="P472" s="32"/>
      <x:c r="Q472" s="32"/>
      <x:c r="R472" s="32"/>
      <x:c r="S472" s="32"/>
      <x:c r="T472" s="32"/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 t="n">
        <x:v>10</x:v>
      </x:c>
      <x:c r="AX472" s="32" t="n">
        <x:v>10</x:v>
      </x:c>
      <x:c r="AY472" s="32"/>
      <x:c r="AZ472" s="32"/>
      <x:c r="BA472" s="32"/>
    </x:row>
    <x:row r="473">
      <x:c r="A473" s="25" t="str">
        <x:v>C08-G</x:v>
      </x:c>
      <x:c r="B473" s="25" t="str">
        <x:v>巨人山顶</x:v>
      </x:c>
      <x:c r="C473" s="25" t="str">
        <x:v>半急速毕业</x:v>
      </x:c>
      <x:c r="D473" s="25" t="str">
        <x:v>贯穿称号</x:v>
      </x:c>
      <x:c r="E473" s="25" t="str">
        <x:v>本类1项（逐项见完整JSON）</x:v>
      </x:c>
      <x:c r="F473" s="25" t="str">
        <x:v>S04/01_贯穿称号</x:v>
      </x:c>
      <x:c r="G473" s="25" t="str">
        <x:v>原表数值</x:v>
      </x:c>
      <x:c r="H473" s="25" t="str">
        <x:v>由同包逐项数据聚合，便于核对</x:v>
      </x:c>
      <x:c r="I473" s="32" t="n">
        <x:v>32000</x:v>
      </x:c>
      <x:c r="J473" s="32" t="n">
        <x:v>32000</x:v>
      </x:c>
      <x:c r="K473" s="32" t="n">
        <x:v>32000</x:v>
      </x:c>
      <x:c r="L473" s="32" t="n">
        <x:v>32000</x:v>
      </x:c>
      <x:c r="M473" s="32" t="n">
        <x:v>32000</x:v>
      </x:c>
      <x:c r="N473" s="32" t="n">
        <x:v>32000</x:v>
      </x:c>
      <x:c r="O473" s="32" t="n">
        <x:v>3200000</x:v>
      </x:c>
      <x:c r="P473" s="32" t="n">
        <x:v>3200000</x:v>
      </x:c>
      <x:c r="Q473" s="32"/>
      <x:c r="R473" s="32"/>
      <x:c r="S473" s="32"/>
      <x:c r="T473" s="32"/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 t="n">
        <x:v>3900</x:v>
      </x:c>
      <x:c r="AU473" s="32"/>
      <x:c r="AV473" s="32"/>
      <x:c r="AW473" s="32"/>
      <x:c r="AX473" s="32"/>
      <x:c r="AY473" s="32"/>
      <x:c r="AZ473" s="32"/>
      <x:c r="BA473" s="32"/>
    </x:row>
    <x:row r="474">
      <x:c r="A474" s="25" t="str">
        <x:v>C08-G</x:v>
      </x:c>
      <x:c r="B474" s="25" t="str">
        <x:v>巨人山顶</x:v>
      </x:c>
      <x:c r="C474" s="25" t="str">
        <x:v>半急速毕业</x:v>
      </x:c>
      <x:c r="D474" s="25" t="str">
        <x:v>神印</x:v>
      </x:c>
      <x:c r="E474" s="25" t="str">
        <x:v>本类1项（逐项见完整JSON）</x:v>
      </x:c>
      <x:c r="F474" s="25" t="str">
        <x:v>S04 / 神印公式</x:v>
      </x:c>
      <x:c r="G474" s="25" t="str">
        <x:v>自给进度假设＋原公式</x:v>
      </x:c>
      <x:c r="H474" s="25" t="str">
        <x:v>由同包逐项数据聚合，便于核对</x:v>
      </x:c>
      <x:c r="I474" s="32" t="n">
        <x:v>24310</x:v>
      </x:c>
      <x:c r="J474" s="32" t="n">
        <x:v>24310</x:v>
      </x:c>
      <x:c r="K474" s="32" t="n">
        <x:v>24310</x:v>
      </x:c>
      <x:c r="L474" s="32" t="n">
        <x:v>24310</x:v>
      </x:c>
      <x:c r="M474" s="32" t="n">
        <x:v>24310</x:v>
      </x:c>
      <x:c r="N474" s="32" t="n">
        <x:v>24310</x:v>
      </x:c>
      <x:c r="O474" s="32" t="n">
        <x:v>2431000</x:v>
      </x:c>
      <x:c r="P474" s="32"/>
      <x:c r="Q474" s="32"/>
      <x:c r="R474" s="32"/>
      <x:c r="S474" s="32"/>
      <x:c r="T474" s="32"/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Y474" s="32"/>
      <x:c r="AZ474" s="32"/>
      <x:c r="BA474" s="32"/>
    </x:row>
    <x:row r="475">
      <x:c r="A475" s="25" t="str">
        <x:v>C08-G</x:v>
      </x:c>
      <x:c r="B475" s="25" t="str">
        <x:v>巨人山顶</x:v>
      </x:c>
      <x:c r="C475" s="25" t="str">
        <x:v>半急速毕业</x:v>
      </x:c>
      <x:c r="D475" s="25" t="str">
        <x:v>转生</x:v>
      </x:c>
      <x:c r="E475" s="25" t="str">
        <x:v>本类1项（逐项见完整JSON）</x:v>
      </x:c>
      <x:c r="F475" s="25" t="str">
        <x:v>S07/20转</x:v>
      </x:c>
      <x:c r="G475" s="25" t="str">
        <x:v>原表累计</x:v>
      </x:c>
      <x:c r="H475" s="25" t="str">
        <x:v>由同包逐项数据聚合，便于核对</x:v>
      </x:c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32"/>
      <x:c r="U475" s="32"/>
      <x:c r="V475" s="32"/>
      <x:c r="W475" s="32"/>
      <x:c r="X475" s="32" t="n">
        <x:v>0.75</x:v>
      </x:c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Y475" s="32"/>
      <x:c r="AZ475" s="32"/>
      <x:c r="BA475" s="32"/>
    </x:row>
    <x:row r="476">
      <x:c r="A476" s="25" t="str">
        <x:v>C08-G</x:v>
      </x:c>
      <x:c r="B476" s="25" t="str">
        <x:v>巨人山顶</x:v>
      </x:c>
      <x:c r="C476" s="25" t="str">
        <x:v>半急速毕业</x:v>
      </x:c>
      <x:c r="D476" s="25" t="str">
        <x:v>独立称号</x:v>
      </x:c>
      <x:c r="E476" s="25" t="str">
        <x:v>本类4项（逐项见完整JSON）</x:v>
      </x:c>
      <x:c r="F476" s="25" t="str">
        <x:v>S04/02_独立称号</x:v>
      </x:c>
      <x:c r="G476" s="25" t="str">
        <x:v>原表数值</x:v>
      </x:c>
      <x:c r="H476" s="25" t="str">
        <x:v>由同包逐项数据聚合，便于核对</x:v>
      </x:c>
      <x:c r="I476" s="32" t="n">
        <x:v>4510</x:v>
      </x:c>
      <x:c r="J476" s="32" t="n">
        <x:v>4510</x:v>
      </x:c>
      <x:c r="K476" s="32" t="n">
        <x:v>4510</x:v>
      </x:c>
      <x:c r="L476" s="32" t="n">
        <x:v>4510</x:v>
      </x:c>
      <x:c r="M476" s="32" t="n">
        <x:v>4510</x:v>
      </x:c>
      <x:c r="N476" s="32" t="n">
        <x:v>4510</x:v>
      </x:c>
      <x:c r="O476" s="32" t="n">
        <x:v>451000</x:v>
      </x:c>
      <x:c r="P476" s="32"/>
      <x:c r="Q476" s="32"/>
      <x:c r="R476" s="32"/>
      <x:c r="S476" s="32"/>
      <x:c r="T476" s="32"/>
      <x:c r="U476" s="32"/>
      <x:c r="V476" s="32"/>
      <x:c r="W476" s="32"/>
      <x:c r="X476" s="32" t="n">
        <x:v>0</x:v>
      </x:c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 t="n">
        <x:v>0</x:v>
      </x:c>
      <x:c r="AN476" s="32"/>
      <x:c r="AO476" s="32"/>
      <x:c r="AP476" s="32" t="n">
        <x:v>0</x:v>
      </x:c>
      <x:c r="AQ476" s="32"/>
      <x:c r="AR476" s="32"/>
      <x:c r="AS476" s="32"/>
      <x:c r="AT476" s="32"/>
      <x:c r="AU476" s="32"/>
      <x:c r="AV476" s="32"/>
      <x:c r="AW476" s="32"/>
      <x:c r="AX476" s="32"/>
      <x:c r="AY476" s="32"/>
      <x:c r="AZ476" s="32"/>
      <x:c r="BA476" s="32"/>
    </x:row>
    <x:row r="477">
      <x:c r="A477" s="25" t="str">
        <x:v>C08-G</x:v>
      </x:c>
      <x:c r="B477" s="25" t="str">
        <x:v>巨人山顶</x:v>
      </x:c>
      <x:c r="C477" s="25" t="str">
        <x:v>半急速毕业</x:v>
      </x:c>
      <x:c r="D477" s="25" t="str">
        <x:v>单件图鉴</x:v>
      </x:c>
      <x:c r="E477" s="25" t="str">
        <x:v>本类1项（逐项见完整JSON）</x:v>
      </x:c>
      <x:c r="F477" s="25" t="str">
        <x:v>S07/collection_single</x:v>
      </x:c>
      <x:c r="G477" s="25" t="str">
        <x:v>原表累计</x:v>
      </x:c>
      <x:c r="H477" s="25" t="str">
        <x:v>由同包逐项数据聚合，便于核对</x:v>
      </x:c>
      <x:c r="I477" s="32" t="n">
        <x:v>4556</x:v>
      </x:c>
      <x:c r="J477" s="32" t="n">
        <x:v>4556</x:v>
      </x:c>
      <x:c r="K477" s="32" t="n">
        <x:v>4556</x:v>
      </x:c>
      <x:c r="L477" s="32" t="n">
        <x:v>4556</x:v>
      </x:c>
      <x:c r="M477" s="32" t="n">
        <x:v>4556</x:v>
      </x:c>
      <x:c r="N477" s="32" t="n">
        <x:v>4556</x:v>
      </x:c>
      <x:c r="O477" s="32" t="n">
        <x:v>455600</x:v>
      </x:c>
      <x:c r="P477" s="32"/>
      <x:c r="Q477" s="32"/>
      <x:c r="R477" s="32"/>
      <x:c r="S477" s="32"/>
      <x:c r="T477" s="32"/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Y477" s="32"/>
      <x:c r="AZ477" s="32"/>
      <x:c r="BA477" s="32"/>
    </x:row>
    <x:row r="478">
      <x:c r="A478" s="25" t="str">
        <x:v>C08-G</x:v>
      </x:c>
      <x:c r="B478" s="25" t="str">
        <x:v>巨人山顶</x:v>
      </x:c>
      <x:c r="C478" s="25" t="str">
        <x:v>半急速毕业</x:v>
      </x:c>
      <x:c r="D478" s="25" t="str">
        <x:v>地图整页</x:v>
      </x:c>
      <x:c r="E478" s="25" t="str">
        <x:v>本类24项（逐项见完整JSON）</x:v>
      </x:c>
      <x:c r="F478" s="25" t="str">
        <x:v>S07/collection_pages</x:v>
      </x:c>
      <x:c r="G478" s="25" t="str">
        <x:v>原表数值</x:v>
      </x:c>
      <x:c r="H478" s="25" t="str">
        <x:v>由同包逐项数据聚合，便于核对</x:v>
      </x:c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32"/>
      <x:c r="U478" s="32"/>
      <x:c r="V478" s="32"/>
      <x:c r="W478" s="32"/>
      <x:c r="X478" s="32" t="n">
        <x:v>0.56</x:v>
      </x:c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 t="n">
        <x:v>12</x:v>
      </x:c>
      <x:c r="AN478" s="32"/>
      <x:c r="AO478" s="32"/>
      <x:c r="AP478" s="32" t="n">
        <x:v>750</x:v>
      </x:c>
      <x:c r="AQ478" s="32"/>
      <x:c r="AR478" s="32"/>
      <x:c r="AS478" s="32"/>
      <x:c r="AT478" s="32"/>
      <x:c r="AU478" s="32"/>
      <x:c r="AV478" s="32"/>
      <x:c r="AW478" s="32"/>
      <x:c r="AX478" s="32"/>
      <x:c r="AY478" s="32"/>
      <x:c r="AZ478" s="32"/>
      <x:c r="BA478" s="32"/>
    </x:row>
    <x:row r="479">
      <x:c r="A479" s="25" t="str">
        <x:v>C08-G</x:v>
      </x:c>
      <x:c r="B479" s="25" t="str">
        <x:v>巨人山顶</x:v>
      </x:c>
      <x:c r="C479" s="25" t="str">
        <x:v>半急速毕业</x:v>
      </x:c>
      <x:c r="D479" s="25" t="str">
        <x:v>材料图鉴</x:v>
      </x:c>
      <x:c r="E479" s="25" t="str">
        <x:v>本类5项（逐项见完整JSON）</x:v>
      </x:c>
      <x:c r="F479" s="25" t="str">
        <x:v>S07/collection_materials</x:v>
      </x:c>
      <x:c r="G479" s="25" t="str">
        <x:v>原表数值</x:v>
      </x:c>
      <x:c r="H479" s="25" t="str">
        <x:v>由同包逐项数据聚合，便于核对</x:v>
      </x:c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32"/>
      <x:c r="U479" s="32"/>
      <x:c r="V479" s="32"/>
      <x:c r="W479" s="32"/>
      <x:c r="X479" s="32" t="n">
        <x:v>0.41000000000000003</x:v>
      </x:c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 t="n">
        <x:v>0</x:v>
      </x:c>
      <x:c r="AN479" s="32"/>
      <x:c r="AO479" s="32"/>
      <x:c r="AP479" s="32" t="n">
        <x:v>0</x:v>
      </x:c>
      <x:c r="AQ479" s="32"/>
      <x:c r="AR479" s="32"/>
      <x:c r="AS479" s="32"/>
      <x:c r="AT479" s="32"/>
      <x:c r="AU479" s="32"/>
      <x:c r="AV479" s="32"/>
      <x:c r="AW479" s="32"/>
      <x:c r="AX479" s="32"/>
      <x:c r="AY479" s="32"/>
      <x:c r="AZ479" s="32"/>
      <x:c r="BA479" s="32"/>
    </x:row>
    <x:row r="480">
      <x:c r="A480" s="25" t="str">
        <x:v>C08-G</x:v>
      </x:c>
      <x:c r="B480" s="25" t="str">
        <x:v>巨人山顶</x:v>
      </x:c>
      <x:c r="C480" s="25" t="str">
        <x:v>半急速毕业</x:v>
      </x:c>
      <x:c r="D480" s="25" t="str">
        <x:v>旧任务</x:v>
      </x:c>
      <x:c r="E480" s="25" t="str">
        <x:v>本类6项（逐项见完整JSON）</x:v>
      </x:c>
      <x:c r="F480" s="25" t="str">
        <x:v>宁姆格福_完整怪物装备任务爆率规划/地图任务；第一大陆_地图魂魄任务.txt</x:v>
      </x:c>
      <x:c r="G480" s="25" t="str">
        <x:v>原件确认；原表数值</x:v>
      </x:c>
      <x:c r="H480" s="25" t="str">
        <x:v>由同包逐项数据聚合，便于核对</x:v>
      </x:c>
      <x:c r="I480" s="32" t="n">
        <x:v>60</x:v>
      </x:c>
      <x:c r="J480" s="32" t="n">
        <x:v>60</x:v>
      </x:c>
      <x:c r="K480" s="32" t="n">
        <x:v>60</x:v>
      </x:c>
      <x:c r="L480" s="32" t="n">
        <x:v>60</x:v>
      </x:c>
      <x:c r="M480" s="32" t="n">
        <x:v>60</x:v>
      </x:c>
      <x:c r="N480" s="32" t="n">
        <x:v>60</x:v>
      </x:c>
      <x:c r="O480" s="32"/>
      <x:c r="P480" s="32"/>
      <x:c r="Q480" s="32"/>
      <x:c r="R480" s="32"/>
      <x:c r="S480" s="32"/>
      <x:c r="T480" s="32"/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 t="n">
        <x:v>2</x:v>
      </x:c>
      <x:c r="AN480" s="32"/>
      <x:c r="AO480" s="32"/>
      <x:c r="AP480" s="32" t="n">
        <x:v>120</x:v>
      </x:c>
      <x:c r="AQ480" s="32"/>
      <x:c r="AR480" s="32"/>
      <x:c r="AS480" s="32"/>
      <x:c r="AT480" s="32"/>
      <x:c r="AU480" s="32"/>
      <x:c r="AV480" s="32"/>
      <x:c r="AW480" s="32"/>
      <x:c r="AX480" s="32"/>
      <x:c r="AY480" s="32"/>
      <x:c r="AZ480" s="32"/>
      <x:c r="BA480" s="32"/>
    </x:row>
    <x:row r="481">
      <x:c r="A481" s="25" t="str">
        <x:v>C08-G</x:v>
      </x:c>
      <x:c r="B481" s="25" t="str">
        <x:v>巨人山顶</x:v>
      </x:c>
      <x:c r="C481" s="25" t="str">
        <x:v>半急速毕业</x:v>
      </x:c>
      <x:c r="D481" s="25" t="str">
        <x:v>装备</x:v>
      </x:c>
      <x:c r="E481" s="25" t="str">
        <x:v>本类31项（逐项见完整JSON）</x:v>
      </x:c>
      <x:c r="F481" s="25" t="str">
        <x:v>S02；S07</x:v>
      </x:c>
      <x:c r="G481" s="25" t="str">
        <x:v>原表数值</x:v>
      </x:c>
      <x:c r="H481" s="25" t="str">
        <x:v>由同包逐项数据聚合，便于核对</x:v>
      </x:c>
      <x:c r="I481" s="32" t="n">
        <x:v>18852</x:v>
      </x:c>
      <x:c r="J481" s="32" t="n">
        <x:v>36174</x:v>
      </x:c>
      <x:c r="K481" s="32" t="n">
        <x:v>18852</x:v>
      </x:c>
      <x:c r="L481" s="32" t="n">
        <x:v>36174</x:v>
      </x:c>
      <x:c r="M481" s="32" t="n">
        <x:v>18852</x:v>
      </x:c>
      <x:c r="N481" s="32" t="n">
        <x:v>36174</x:v>
      </x:c>
      <x:c r="O481" s="32" t="n">
        <x:v>26175400</x:v>
      </x:c>
      <x:c r="P481" s="32"/>
      <x:c r="Q481" s="32" t="n">
        <x:v>520</x:v>
      </x:c>
      <x:c r="R481" s="32" t="n">
        <x:v>964</x:v>
      </x:c>
      <x:c r="S481" s="32" t="n">
        <x:v>418</x:v>
      </x:c>
      <x:c r="T481" s="32" t="n">
        <x:v>780</x:v>
      </x:c>
      <x:c r="U481" s="32" t="n">
        <x:v>598</x:v>
      </x:c>
      <x:c r="V481" s="32" t="n">
        <x:v>598</x:v>
      </x:c>
      <x:c r="W481" s="32" t="n">
        <x:v>598</x:v>
      </x:c>
      <x:c r="X481" s="32"/>
      <x:c r="Y481" s="32"/>
      <x:c r="Z481" s="32" t="n">
        <x:v>140</x:v>
      </x:c>
      <x:c r="AA481" s="32" t="n">
        <x:v>42</x:v>
      </x:c>
      <x:c r="AB481" s="32"/>
      <x:c r="AC481" s="32" t="n">
        <x:v>199</x:v>
      </x:c>
      <x:c r="AD481" s="32" t="n">
        <x:v>1</x:v>
      </x:c>
      <x:c r="AE481" s="32" t="n">
        <x:v>25</x:v>
      </x:c>
      <x:c r="AF481" s="32"/>
      <x:c r="AG481" s="32"/>
      <x:c r="AH481" s="32" t="n">
        <x:v>33</x:v>
      </x:c>
      <x:c r="AI481" s="32" t="n">
        <x:v>6</x:v>
      </x:c>
      <x:c r="AJ481" s="32" t="n">
        <x:v>144</x:v>
      </x:c>
      <x:c r="AK481" s="32"/>
      <x:c r="AL481" s="32"/>
      <x:c r="AM481" s="32"/>
      <x:c r="AN481" s="32" t="n">
        <x:v>20</x:v>
      </x:c>
      <x:c r="AO481" s="32" t="n">
        <x:v>0.2</x:v>
      </x:c>
      <x:c r="AP481" s="32" t="n">
        <x:v>52</x:v>
      </x:c>
      <x:c r="AQ481" s="32" t="n">
        <x:v>73</x:v>
      </x:c>
      <x:c r="AR481" s="32"/>
      <x:c r="AS481" s="32" t="n">
        <x:v>10</x:v>
      </x:c>
      <x:c r="AT481" s="32"/>
      <x:c r="AU481" s="32"/>
      <x:c r="AV481" s="32"/>
      <x:c r="AW481" s="32"/>
      <x:c r="AX481" s="32"/>
      <x:c r="AY481" s="32"/>
      <x:c r="AZ481" s="32" t="n">
        <x:v>11</x:v>
      </x:c>
      <x:c r="BA481" s="32"/>
    </x:row>
    <x:row r="482">
      <x:c r="A482" s="25" t="str">
        <x:v>C08-G</x:v>
      </x:c>
      <x:c r="B482" s="25" t="str">
        <x:v>巨人山顶</x:v>
      </x:c>
      <x:c r="C482" s="25" t="str">
        <x:v>半急速毕业</x:v>
      </x:c>
      <x:c r="D482" s="25" t="str">
        <x:v>洗练</x:v>
      </x:c>
      <x:c r="E482" s="25" t="str">
        <x:v>本类10项（逐项见完整JSON）</x:v>
      </x:c>
      <x:c r="F482" s="25" t="str">
        <x:v>S06＋固定种子</x:v>
      </x:c>
      <x:c r="G482" s="25" t="str">
        <x:v>可实现随机样本</x:v>
      </x:c>
      <x:c r="H482" s="25" t="str">
        <x:v>由同包逐项数据聚合，便于核对</x:v>
      </x:c>
      <x:c r="I482" s="32" t="n">
        <x:v>934</x:v>
      </x:c>
      <x:c r="J482" s="32" t="n">
        <x:v>934</x:v>
      </x:c>
      <x:c r="K482" s="32" t="n">
        <x:v>1898</x:v>
      </x:c>
      <x:c r="L482" s="32" t="n">
        <x:v>1898</x:v>
      </x:c>
      <x:c r="M482" s="32" t="n">
        <x:v>266</x:v>
      </x:c>
      <x:c r="N482" s="32" t="n">
        <x:v>266</x:v>
      </x:c>
      <x:c r="O482" s="32"/>
      <x:c r="P482" s="32"/>
      <x:c r="Q482" s="32"/>
      <x:c r="R482" s="32"/>
      <x:c r="S482" s="32"/>
      <x:c r="T482" s="32"/>
      <x:c r="U482" s="32" t="n">
        <x:v>380</x:v>
      </x:c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 t="n">
        <x:v>6</x:v>
      </x:c>
      <x:c r="AI482" s="32"/>
      <x:c r="AJ482" s="32"/>
      <x:c r="AK482" s="32"/>
      <x:c r="AL482" s="32"/>
      <x:c r="AM482" s="32" t="n">
        <x:v>6</x:v>
      </x:c>
      <x:c r="AN482" s="32" t="n">
        <x:v>3</x:v>
      </x:c>
      <x:c r="AO482" s="32" t="n">
        <x:v>4</x:v>
      </x:c>
      <x:c r="AP482" s="32" t="n">
        <x:v>50</x:v>
      </x:c>
      <x:c r="AQ482" s="32"/>
      <x:c r="AR482" s="32" t="n">
        <x:v>1</x:v>
      </x:c>
      <x:c r="AS482" s="32" t="n">
        <x:v>2</x:v>
      </x:c>
      <x:c r="AT482" s="32"/>
      <x:c r="AU482" s="32" t="n">
        <x:v>6</x:v>
      </x:c>
      <x:c r="AV482" s="32"/>
      <x:c r="AW482" s="32"/>
      <x:c r="AX482" s="32"/>
      <x:c r="AY482" s="32"/>
      <x:c r="AZ482" s="32"/>
      <x:c r="BA482" s="32"/>
    </x:row>
    <x:row r="483">
      <x:c r="A483" s="25" t="str">
        <x:v>C08-G</x:v>
      </x:c>
      <x:c r="B483" s="25" t="str">
        <x:v>巨人山顶</x:v>
      </x:c>
      <x:c r="C483" s="25" t="str">
        <x:v>半急速毕业</x:v>
      </x:c>
      <x:c r="D483" s="25" t="str">
        <x:v>命格</x:v>
      </x:c>
      <x:c r="E483" s="25" t="str">
        <x:v>本类7项（逐项见完整JSON）</x:v>
      </x:c>
      <x:c r="F483" s="25" t="str">
        <x:v>S03/命格ID1081；S03/命格ID1086；S03/命格ID1089；S03/命格ID1090；S03/命格ID1092；S03/命格ID1093；S03/命格ID1097</x:v>
      </x:c>
      <x:c r="G483" s="25" t="str">
        <x:v>原表彩色＋选配假设</x:v>
      </x:c>
      <x:c r="H483" s="25" t="str">
        <x:v>由同包逐项数据聚合，便于核对</x:v>
      </x:c>
      <x:c r="I483" s="32"/>
      <x:c r="J483" s="32"/>
      <x:c r="K483" s="32"/>
      <x:c r="L483" s="32"/>
      <x:c r="M483" s="32"/>
      <x:c r="N483" s="32"/>
      <x:c r="O483" s="32" t="n">
        <x:v>1500</x:v>
      </x:c>
      <x:c r="P483" s="32"/>
      <x:c r="Q483" s="32"/>
      <x:c r="R483" s="32"/>
      <x:c r="S483" s="32"/>
      <x:c r="T483" s="32"/>
      <x:c r="U483" s="32" t="n">
        <x:v>3</x:v>
      </x:c>
      <x:c r="V483" s="32"/>
      <x:c r="W483" s="32"/>
      <x:c r="X483" s="32"/>
      <x:c r="Y483" s="32" t="n">
        <x:v>6</x:v>
      </x:c>
      <x:c r="Z483" s="32" t="n">
        <x:v>3</x:v>
      </x:c>
      <x:c r="AA483" s="32" t="n">
        <x:v>5</x:v>
      </x:c>
      <x:c r="AB483" s="32"/>
      <x:c r="AC483" s="32"/>
      <x:c r="AD483" s="32"/>
      <x:c r="AE483" s="32"/>
      <x:c r="AF483" s="32"/>
      <x:c r="AG483" s="32"/>
      <x:c r="AH483" s="32" t="n">
        <x:v>2</x:v>
      </x:c>
      <x:c r="AI483" s="32"/>
      <x:c r="AJ483" s="32" t="n">
        <x:v>10</x:v>
      </x:c>
      <x:c r="AK483" s="32"/>
      <x:c r="AL483" s="32"/>
      <x:c r="AM483" s="32" t="n">
        <x:v>6</x:v>
      </x:c>
      <x:c r="AN483" s="32"/>
      <x:c r="AO483" s="32"/>
      <x:c r="AP483" s="32"/>
      <x:c r="AQ483" s="32" t="n">
        <x:v>6</x:v>
      </x:c>
      <x:c r="AR483" s="32" t="n">
        <x:v>3</x:v>
      </x:c>
      <x:c r="AS483" s="32" t="n">
        <x:v>0.75</x:v>
      </x:c>
      <x:c r="AT483" s="32" t="n">
        <x:v>50</x:v>
      </x:c>
      <x:c r="AU483" s="32" t="n">
        <x:v>2</x:v>
      </x:c>
      <x:c r="AV483" s="32" t="n">
        <x:v>3</x:v>
      </x:c>
      <x:c r="AW483" s="32"/>
      <x:c r="AX483" s="32"/>
      <x:c r="AY483" s="32"/>
      <x:c r="AZ483" s="32"/>
      <x:c r="BA483" s="32"/>
    </x:row>
    <x:row r="484">
      <x:c r="A484" s="25" t="str">
        <x:v>C08-G</x:v>
      </x:c>
      <x:c r="B484" s="25" t="str">
        <x:v>巨人山顶</x:v>
      </x:c>
      <x:c r="C484" s="25" t="str">
        <x:v>半急速毕业</x:v>
      </x:c>
      <x:c r="D484" s="25" t="str">
        <x:v>后天幸运</x:v>
      </x:c>
      <x:c r="E484" s="25" t="str">
        <x:v>本类1项（逐项见完整JSON）</x:v>
      </x:c>
      <x:c r="F484" s="25" t="str">
        <x:v>A08</x:v>
      </x:c>
      <x:c r="G484" s="25" t="str">
        <x:v>人物永久进度</x:v>
      </x:c>
      <x:c r="H484" s="25" t="str">
        <x:v>由同包逐项数据聚合，便于核对</x:v>
      </x:c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32"/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 t="n">
        <x:v>7</x:v>
      </x:c>
      <x:c r="AL484" s="32" t="n">
        <x:v>8</x:v>
      </x:c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Y484" s="32"/>
      <x:c r="AZ484" s="32"/>
      <x:c r="BA484" s="32"/>
    </x:row>
    <x:row r="485">
      <x:c r="A485" s="25" t="str">
        <x:v>C08-G</x:v>
      </x:c>
      <x:c r="B485" s="25" t="str">
        <x:v>巨人山顶</x:v>
      </x:c>
      <x:c r="C485" s="25" t="str">
        <x:v>半急速毕业</x:v>
      </x:c>
      <x:c r="D485" s="25" t="str">
        <x:v>回收预算</x:v>
      </x:c>
      <x:c r="E485" s="25" t="str">
        <x:v>本类1项（逐项见完整JSON）</x:v>
      </x:c>
      <x:c r="F485" s="25" t="str">
        <x:v>用户总回收50%</x:v>
      </x:c>
      <x:c r="G485" s="25" t="str">
        <x:v>经济输入，不是新增属性来源</x:v>
      </x:c>
      <x:c r="H485" s="25" t="str">
        <x:v>由同包逐项数据聚合，便于核对</x:v>
      </x:c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32"/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Y485" s="32"/>
      <x:c r="AZ485" s="32"/>
      <x:c r="BA485" s="32" t="n">
        <x:v>50</x:v>
      </x:c>
    </x:row>
    <x:row r="486">
      <x:c r="A486" s="25" t="str">
        <x:v>C08-X</x:v>
      </x:c>
      <x:c r="B486" s="25" t="str">
        <x:v>巨人山顶</x:v>
      </x:c>
      <x:c r="C486" s="25" t="str">
        <x:v>极端压力</x:v>
      </x:c>
      <x:c r="D486" s="25" t="str">
        <x:v>人物自然</x:v>
      </x:c>
      <x:c r="E486" s="25" t="str">
        <x:v>本类1项（逐项见完整JSON）</x:v>
      </x:c>
      <x:c r="F486" s="25" t="str">
        <x:v>A01</x:v>
      </x:c>
      <x:c r="G486" s="25" t="str">
        <x:v>模型假设</x:v>
      </x:c>
      <x:c r="H486" s="25" t="str">
        <x:v>由同包逐项数据聚合，便于核对</x:v>
      </x:c>
      <x:c r="I486" s="32" t="n">
        <x:v>23</x:v>
      </x:c>
      <x:c r="J486" s="32" t="n">
        <x:v>53</x:v>
      </x:c>
      <x:c r="K486" s="32"/>
      <x:c r="L486" s="32"/>
      <x:c r="M486" s="32"/>
      <x:c r="N486" s="32"/>
      <x:c r="O486" s="32" t="n">
        <x:v>4200</x:v>
      </x:c>
      <x:c r="P486" s="32" t="n">
        <x:v>1000</x:v>
      </x:c>
      <x:c r="Q486" s="32"/>
      <x:c r="R486" s="32"/>
      <x:c r="S486" s="32"/>
      <x:c r="T486" s="32"/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Y486" s="32"/>
      <x:c r="AZ486" s="32"/>
      <x:c r="BA486" s="32"/>
    </x:row>
    <x:row r="487">
      <x:c r="A487" s="25" t="str">
        <x:v>C08-X</x:v>
      </x:c>
      <x:c r="B487" s="25" t="str">
        <x:v>巨人山顶</x:v>
      </x:c>
      <x:c r="C487" s="25" t="str">
        <x:v>极端压力</x:v>
      </x:c>
      <x:c r="D487" s="25" t="str">
        <x:v>付费状态</x:v>
      </x:c>
      <x:c r="E487" s="25" t="str">
        <x:v>本类3项（逐项见完整JSON）</x:v>
      </x:c>
      <x:c r="F487" s="25" t="str">
        <x:v>20260903总档</x:v>
      </x:c>
      <x:c r="G487" s="25" t="str">
        <x:v>原表数值</x:v>
      </x:c>
      <x:c r="H487" s="25" t="str">
        <x:v>由同包逐项数据聚合，便于核对</x:v>
      </x:c>
      <x:c r="I487" s="32" t="n">
        <x:v>149</x:v>
      </x:c>
      <x:c r="J487" s="32" t="n">
        <x:v>149</x:v>
      </x:c>
      <x:c r="K487" s="32" t="n">
        <x:v>149</x:v>
      </x:c>
      <x:c r="L487" s="32" t="n">
        <x:v>149</x:v>
      </x:c>
      <x:c r="M487" s="32" t="n">
        <x:v>149</x:v>
      </x:c>
      <x:c r="N487" s="32" t="n">
        <x:v>149</x:v>
      </x:c>
      <x:c r="O487" s="32" t="n">
        <x:v>10000</x:v>
      </x:c>
      <x:c r="P487" s="32"/>
      <x:c r="Q487" s="32"/>
      <x:c r="R487" s="32"/>
      <x:c r="S487" s="32"/>
      <x:c r="T487" s="32"/>
      <x:c r="U487" s="32"/>
      <x:c r="V487" s="32"/>
      <x:c r="W487" s="32"/>
      <x:c r="X487" s="32"/>
      <x:c r="Y487" s="32" t="n">
        <x:v>10</x:v>
      </x:c>
      <x:c r="Z487" s="32"/>
      <x:c r="AA487" s="32"/>
      <x:c r="AB487" s="32" t="n">
        <x:v>20</x:v>
      </x:c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 t="n">
        <x:v>10</x:v>
      </x:c>
      <x:c r="AN487" s="32"/>
      <x:c r="AO487" s="32"/>
      <x:c r="AP487" s="32" t="n">
        <x:v>50</x:v>
      </x:c>
      <x:c r="AQ487" s="32"/>
      <x:c r="AR487" s="32"/>
      <x:c r="AS487" s="32"/>
      <x:c r="AT487" s="32" t="n">
        <x:v>700</x:v>
      </x:c>
      <x:c r="AU487" s="32" t="n">
        <x:v>15</x:v>
      </x:c>
      <x:c r="AV487" s="32"/>
      <x:c r="AW487" s="32"/>
      <x:c r="AX487" s="32"/>
      <x:c r="AY487" s="32"/>
      <x:c r="AZ487" s="32"/>
      <x:c r="BA487" s="32"/>
    </x:row>
    <x:row r="488">
      <x:c r="A488" s="25" t="str">
        <x:v>C08-X</x:v>
      </x:c>
      <x:c r="B488" s="25" t="str">
        <x:v>巨人山顶</x:v>
      </x:c>
      <x:c r="C488" s="25" t="str">
        <x:v>极端压力</x:v>
      </x:c>
      <x:c r="D488" s="25" t="str">
        <x:v>成长装备</x:v>
      </x:c>
      <x:c r="E488" s="25" t="str">
        <x:v>本类2项（逐项见完整JSON）</x:v>
      </x:c>
      <x:c r="F488" s="25" t="str">
        <x:v>20260903总档 / A04</x:v>
      </x:c>
      <x:c r="G488" s="25" t="str">
        <x:v>原表＋支付路径假设</x:v>
      </x:c>
      <x:c r="H488" s="25" t="str">
        <x:v>由同包逐项数据聚合，便于核对</x:v>
      </x:c>
      <x:c r="I488" s="32" t="n">
        <x:v>1100</x:v>
      </x:c>
      <x:c r="J488" s="32" t="n">
        <x:v>1100</x:v>
      </x:c>
      <x:c r="K488" s="32" t="n">
        <x:v>1100</x:v>
      </x:c>
      <x:c r="L488" s="32" t="n">
        <x:v>1100</x:v>
      </x:c>
      <x:c r="M488" s="32" t="n">
        <x:v>1100</x:v>
      </x:c>
      <x:c r="N488" s="32" t="n">
        <x:v>1100</x:v>
      </x:c>
      <x:c r="O488" s="32"/>
      <x:c r="P488" s="32"/>
      <x:c r="Q488" s="32"/>
      <x:c r="R488" s="32"/>
      <x:c r="S488" s="32"/>
      <x:c r="T488" s="32"/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 t="n">
        <x:v>10</x:v>
      </x:c>
      <x:c r="AX488" s="32" t="n">
        <x:v>10</x:v>
      </x:c>
      <x:c r="AY488" s="32"/>
      <x:c r="AZ488" s="32"/>
      <x:c r="BA488" s="32"/>
    </x:row>
    <x:row r="489">
      <x:c r="A489" s="25" t="str">
        <x:v>C08-X</x:v>
      </x:c>
      <x:c r="B489" s="25" t="str">
        <x:v>巨人山顶</x:v>
      </x:c>
      <x:c r="C489" s="25" t="str">
        <x:v>极端压力</x:v>
      </x:c>
      <x:c r="D489" s="25" t="str">
        <x:v>贯穿称号</x:v>
      </x:c>
      <x:c r="E489" s="25" t="str">
        <x:v>本类1项（逐项见完整JSON）</x:v>
      </x:c>
      <x:c r="F489" s="25" t="str">
        <x:v>S04/01_贯穿称号</x:v>
      </x:c>
      <x:c r="G489" s="25" t="str">
        <x:v>原表数值</x:v>
      </x:c>
      <x:c r="H489" s="25" t="str">
        <x:v>由同包逐项数据聚合，便于核对</x:v>
      </x:c>
      <x:c r="I489" s="32" t="n">
        <x:v>32000</x:v>
      </x:c>
      <x:c r="J489" s="32" t="n">
        <x:v>32000</x:v>
      </x:c>
      <x:c r="K489" s="32" t="n">
        <x:v>32000</x:v>
      </x:c>
      <x:c r="L489" s="32" t="n">
        <x:v>32000</x:v>
      </x:c>
      <x:c r="M489" s="32" t="n">
        <x:v>32000</x:v>
      </x:c>
      <x:c r="N489" s="32" t="n">
        <x:v>32000</x:v>
      </x:c>
      <x:c r="O489" s="32" t="n">
        <x:v>3200000</x:v>
      </x:c>
      <x:c r="P489" s="32" t="n">
        <x:v>3200000</x:v>
      </x:c>
      <x:c r="Q489" s="32"/>
      <x:c r="R489" s="32"/>
      <x:c r="S489" s="32"/>
      <x:c r="T489" s="32"/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 t="n">
        <x:v>3900</x:v>
      </x:c>
      <x:c r="AU489" s="32"/>
      <x:c r="AV489" s="32"/>
      <x:c r="AW489" s="32"/>
      <x:c r="AX489" s="32"/>
      <x:c r="AY489" s="32"/>
      <x:c r="AZ489" s="32"/>
      <x:c r="BA489" s="32"/>
    </x:row>
    <x:row r="490">
      <x:c r="A490" s="25" t="str">
        <x:v>C08-X</x:v>
      </x:c>
      <x:c r="B490" s="25" t="str">
        <x:v>巨人山顶</x:v>
      </x:c>
      <x:c r="C490" s="25" t="str">
        <x:v>极端压力</x:v>
      </x:c>
      <x:c r="D490" s="25" t="str">
        <x:v>神印</x:v>
      </x:c>
      <x:c r="E490" s="25" t="str">
        <x:v>本类1项（逐项见完整JSON）</x:v>
      </x:c>
      <x:c r="F490" s="25" t="str">
        <x:v>S04 / 神印公式</x:v>
      </x:c>
      <x:c r="G490" s="25" t="str">
        <x:v>自给进度假设＋原公式</x:v>
      </x:c>
      <x:c r="H490" s="25" t="str">
        <x:v>由同包逐项数据聚合，便于核对</x:v>
      </x:c>
      <x:c r="I490" s="32" t="n">
        <x:v>24310</x:v>
      </x:c>
      <x:c r="J490" s="32" t="n">
        <x:v>24310</x:v>
      </x:c>
      <x:c r="K490" s="32" t="n">
        <x:v>24310</x:v>
      </x:c>
      <x:c r="L490" s="32" t="n">
        <x:v>24310</x:v>
      </x:c>
      <x:c r="M490" s="32" t="n">
        <x:v>24310</x:v>
      </x:c>
      <x:c r="N490" s="32" t="n">
        <x:v>24310</x:v>
      </x:c>
      <x:c r="O490" s="32" t="n">
        <x:v>2431000</x:v>
      </x:c>
      <x:c r="P490" s="32"/>
      <x:c r="Q490" s="32"/>
      <x:c r="R490" s="32"/>
      <x:c r="S490" s="32"/>
      <x:c r="T490" s="32"/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Y490" s="32"/>
      <x:c r="AZ490" s="32"/>
      <x:c r="BA490" s="32"/>
    </x:row>
    <x:row r="491">
      <x:c r="A491" s="25" t="str">
        <x:v>C08-X</x:v>
      </x:c>
      <x:c r="B491" s="25" t="str">
        <x:v>巨人山顶</x:v>
      </x:c>
      <x:c r="C491" s="25" t="str">
        <x:v>极端压力</x:v>
      </x:c>
      <x:c r="D491" s="25" t="str">
        <x:v>转生</x:v>
      </x:c>
      <x:c r="E491" s="25" t="str">
        <x:v>本类1项（逐项见完整JSON）</x:v>
      </x:c>
      <x:c r="F491" s="25" t="str">
        <x:v>S07/20转</x:v>
      </x:c>
      <x:c r="G491" s="25" t="str">
        <x:v>原表累计</x:v>
      </x:c>
      <x:c r="H491" s="25" t="str">
        <x:v>由同包逐项数据聚合，便于核对</x:v>
      </x:c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32"/>
      <x:c r="U491" s="32"/>
      <x:c r="V491" s="32"/>
      <x:c r="W491" s="32"/>
      <x:c r="X491" s="32" t="n">
        <x:v>0.75</x:v>
      </x:c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Y491" s="32"/>
      <x:c r="AZ491" s="32"/>
      <x:c r="BA491" s="32"/>
    </x:row>
    <x:row r="492">
      <x:c r="A492" s="25" t="str">
        <x:v>C08-X</x:v>
      </x:c>
      <x:c r="B492" s="25" t="str">
        <x:v>巨人山顶</x:v>
      </x:c>
      <x:c r="C492" s="25" t="str">
        <x:v>极端压力</x:v>
      </x:c>
      <x:c r="D492" s="25" t="str">
        <x:v>独立称号</x:v>
      </x:c>
      <x:c r="E492" s="25" t="str">
        <x:v>本类4项（逐项见完整JSON）</x:v>
      </x:c>
      <x:c r="F492" s="25" t="str">
        <x:v>S04/02_独立称号</x:v>
      </x:c>
      <x:c r="G492" s="25" t="str">
        <x:v>原表数值</x:v>
      </x:c>
      <x:c r="H492" s="25" t="str">
        <x:v>由同包逐项数据聚合，便于核对</x:v>
      </x:c>
      <x:c r="I492" s="32" t="n">
        <x:v>4510</x:v>
      </x:c>
      <x:c r="J492" s="32" t="n">
        <x:v>4510</x:v>
      </x:c>
      <x:c r="K492" s="32" t="n">
        <x:v>4510</x:v>
      </x:c>
      <x:c r="L492" s="32" t="n">
        <x:v>4510</x:v>
      </x:c>
      <x:c r="M492" s="32" t="n">
        <x:v>4510</x:v>
      </x:c>
      <x:c r="N492" s="32" t="n">
        <x:v>4510</x:v>
      </x:c>
      <x:c r="O492" s="32" t="n">
        <x:v>451000</x:v>
      </x:c>
      <x:c r="P492" s="32"/>
      <x:c r="Q492" s="32"/>
      <x:c r="R492" s="32"/>
      <x:c r="S492" s="32"/>
      <x:c r="T492" s="32"/>
      <x:c r="U492" s="32"/>
      <x:c r="V492" s="32"/>
      <x:c r="W492" s="32"/>
      <x:c r="X492" s="32" t="n">
        <x:v>0</x:v>
      </x:c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 t="n">
        <x:v>0</x:v>
      </x:c>
      <x:c r="AN492" s="32"/>
      <x:c r="AO492" s="32"/>
      <x:c r="AP492" s="32" t="n">
        <x:v>0</x:v>
      </x:c>
      <x:c r="AQ492" s="32"/>
      <x:c r="AR492" s="32"/>
      <x:c r="AS492" s="32"/>
      <x:c r="AT492" s="32"/>
      <x:c r="AU492" s="32"/>
      <x:c r="AV492" s="32"/>
      <x:c r="AW492" s="32"/>
      <x:c r="AX492" s="32"/>
      <x:c r="AY492" s="32"/>
      <x:c r="AZ492" s="32"/>
      <x:c r="BA492" s="32"/>
    </x:row>
    <x:row r="493">
      <x:c r="A493" s="25" t="str">
        <x:v>C08-X</x:v>
      </x:c>
      <x:c r="B493" s="25" t="str">
        <x:v>巨人山顶</x:v>
      </x:c>
      <x:c r="C493" s="25" t="str">
        <x:v>极端压力</x:v>
      </x:c>
      <x:c r="D493" s="25" t="str">
        <x:v>单件图鉴</x:v>
      </x:c>
      <x:c r="E493" s="25" t="str">
        <x:v>本类1项（逐项见完整JSON）</x:v>
      </x:c>
      <x:c r="F493" s="25" t="str">
        <x:v>S07/collection_single</x:v>
      </x:c>
      <x:c r="G493" s="25" t="str">
        <x:v>原表累计</x:v>
      </x:c>
      <x:c r="H493" s="25" t="str">
        <x:v>由同包逐项数据聚合，便于核对</x:v>
      </x:c>
      <x:c r="I493" s="32" t="n">
        <x:v>6831</x:v>
      </x:c>
      <x:c r="J493" s="32" t="n">
        <x:v>6831</x:v>
      </x:c>
      <x:c r="K493" s="32" t="n">
        <x:v>6831</x:v>
      </x:c>
      <x:c r="L493" s="32" t="n">
        <x:v>6831</x:v>
      </x:c>
      <x:c r="M493" s="32" t="n">
        <x:v>6831</x:v>
      </x:c>
      <x:c r="N493" s="32" t="n">
        <x:v>6831</x:v>
      </x:c>
      <x:c r="O493" s="32" t="n">
        <x:v>683100</x:v>
      </x:c>
      <x:c r="P493" s="32"/>
      <x:c r="Q493" s="32"/>
      <x:c r="R493" s="32"/>
      <x:c r="S493" s="32"/>
      <x:c r="T493" s="32"/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Y493" s="32"/>
      <x:c r="AZ493" s="32"/>
      <x:c r="BA493" s="32"/>
    </x:row>
    <x:row r="494">
      <x:c r="A494" s="25" t="str">
        <x:v>C08-X</x:v>
      </x:c>
      <x:c r="B494" s="25" t="str">
        <x:v>巨人山顶</x:v>
      </x:c>
      <x:c r="C494" s="25" t="str">
        <x:v>极端压力</x:v>
      </x:c>
      <x:c r="D494" s="25" t="str">
        <x:v>地图整页</x:v>
      </x:c>
      <x:c r="E494" s="25" t="str">
        <x:v>本类36项（逐项见完整JSON）</x:v>
      </x:c>
      <x:c r="F494" s="25" t="str">
        <x:v>S07/collection_pages</x:v>
      </x:c>
      <x:c r="G494" s="25" t="str">
        <x:v>原表数值</x:v>
      </x:c>
      <x:c r="H494" s="25" t="str">
        <x:v>由同包逐项数据聚合，便于核对</x:v>
      </x:c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32"/>
      <x:c r="U494" s="32"/>
      <x:c r="V494" s="32"/>
      <x:c r="W494" s="32"/>
      <x:c r="X494" s="32" t="n">
        <x:v>0.8700000000000004</x:v>
      </x:c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 t="n">
        <x:v>18</x:v>
      </x:c>
      <x:c r="AN494" s="32"/>
      <x:c r="AO494" s="32"/>
      <x:c r="AP494" s="32" t="n">
        <x:v>1155</x:v>
      </x:c>
      <x:c r="AQ494" s="32"/>
      <x:c r="AR494" s="32"/>
      <x:c r="AS494" s="32"/>
      <x:c r="AT494" s="32"/>
      <x:c r="AU494" s="32"/>
      <x:c r="AV494" s="32"/>
      <x:c r="AW494" s="32"/>
      <x:c r="AX494" s="32"/>
      <x:c r="AY494" s="32"/>
      <x:c r="AZ494" s="32"/>
      <x:c r="BA494" s="32"/>
    </x:row>
    <x:row r="495">
      <x:c r="A495" s="25" t="str">
        <x:v>C08-X</x:v>
      </x:c>
      <x:c r="B495" s="25" t="str">
        <x:v>巨人山顶</x:v>
      </x:c>
      <x:c r="C495" s="25" t="str">
        <x:v>极端压力</x:v>
      </x:c>
      <x:c r="D495" s="25" t="str">
        <x:v>大陆全收集</x:v>
      </x:c>
      <x:c r="E495" s="25" t="str">
        <x:v>本类8项（逐项见完整JSON）</x:v>
      </x:c>
      <x:c r="F495" s="25" t="str">
        <x:v>S07/collection_continents</x:v>
      </x:c>
      <x:c r="G495" s="25" t="str">
        <x:v>原表累计</x:v>
      </x:c>
      <x:c r="H495" s="25" t="str">
        <x:v>由同包逐项数据聚合，便于核对</x:v>
      </x:c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32"/>
      <x:c r="U495" s="32"/>
      <x:c r="V495" s="32"/>
      <x:c r="W495" s="32"/>
      <x:c r="X495" s="32"/>
      <x:c r="Y495" s="32"/>
      <x:c r="Z495" s="32"/>
      <x:c r="AA495" s="32"/>
      <x:c r="AB495" s="32" t="n">
        <x:v>17</x:v>
      </x:c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Y495" s="32"/>
      <x:c r="AZ495" s="32"/>
      <x:c r="BA495" s="32"/>
    </x:row>
    <x:row r="496">
      <x:c r="A496" s="25" t="str">
        <x:v>C08-X</x:v>
      </x:c>
      <x:c r="B496" s="25" t="str">
        <x:v>巨人山顶</x:v>
      </x:c>
      <x:c r="C496" s="25" t="str">
        <x:v>极端压力</x:v>
      </x:c>
      <x:c r="D496" s="25" t="str">
        <x:v>材料图鉴</x:v>
      </x:c>
      <x:c r="E496" s="25" t="str">
        <x:v>本类6项（逐项见完整JSON）</x:v>
      </x:c>
      <x:c r="F496" s="25" t="str">
        <x:v>S07/collection_materials</x:v>
      </x:c>
      <x:c r="G496" s="25" t="str">
        <x:v>原表数值</x:v>
      </x:c>
      <x:c r="H496" s="25" t="str">
        <x:v>由同包逐项数据聚合，便于核对</x:v>
      </x:c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32"/>
      <x:c r="U496" s="32"/>
      <x:c r="V496" s="32"/>
      <x:c r="W496" s="32"/>
      <x:c r="X496" s="32" t="n">
        <x:v>0.56</x:v>
      </x:c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 t="n">
        <x:v>0</x:v>
      </x:c>
      <x:c r="AN496" s="32"/>
      <x:c r="AO496" s="32"/>
      <x:c r="AP496" s="32" t="n">
        <x:v>0</x:v>
      </x:c>
      <x:c r="AQ496" s="32"/>
      <x:c r="AR496" s="32"/>
      <x:c r="AS496" s="32"/>
      <x:c r="AT496" s="32"/>
      <x:c r="AU496" s="32"/>
      <x:c r="AV496" s="32"/>
      <x:c r="AW496" s="32"/>
      <x:c r="AX496" s="32"/>
      <x:c r="AY496" s="32"/>
      <x:c r="AZ496" s="32"/>
      <x:c r="BA496" s="32"/>
    </x:row>
    <x:row r="497">
      <x:c r="A497" s="25" t="str">
        <x:v>C08-X</x:v>
      </x:c>
      <x:c r="B497" s="25" t="str">
        <x:v>巨人山顶</x:v>
      </x:c>
      <x:c r="C497" s="25" t="str">
        <x:v>极端压力</x:v>
      </x:c>
      <x:c r="D497" s="25" t="str">
        <x:v>旧任务</x:v>
      </x:c>
      <x:c r="E497" s="25" t="str">
        <x:v>本类6项（逐项见完整JSON）</x:v>
      </x:c>
      <x:c r="F497" s="25" t="str">
        <x:v>宁姆格福_完整怪物装备任务爆率规划/地图任务；第一大陆_地图魂魄任务.txt</x:v>
      </x:c>
      <x:c r="G497" s="25" t="str">
        <x:v>原件确认；原表数值</x:v>
      </x:c>
      <x:c r="H497" s="25" t="str">
        <x:v>由同包逐项数据聚合，便于核对</x:v>
      </x:c>
      <x:c r="I497" s="32" t="n">
        <x:v>90</x:v>
      </x:c>
      <x:c r="J497" s="32" t="n">
        <x:v>90</x:v>
      </x:c>
      <x:c r="K497" s="32" t="n">
        <x:v>90</x:v>
      </x:c>
      <x:c r="L497" s="32" t="n">
        <x:v>90</x:v>
      </x:c>
      <x:c r="M497" s="32" t="n">
        <x:v>90</x:v>
      </x:c>
      <x:c r="N497" s="32" t="n">
        <x:v>90</x:v>
      </x:c>
      <x:c r="O497" s="32"/>
      <x:c r="P497" s="32"/>
      <x:c r="Q497" s="32"/>
      <x:c r="R497" s="32"/>
      <x:c r="S497" s="32"/>
      <x:c r="T497" s="32"/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 t="n">
        <x:v>2</x:v>
      </x:c>
      <x:c r="AN497" s="32"/>
      <x:c r="AO497" s="32"/>
      <x:c r="AP497" s="32" t="n">
        <x:v>140</x:v>
      </x:c>
      <x:c r="AQ497" s="32"/>
      <x:c r="AR497" s="32"/>
      <x:c r="AS497" s="32"/>
      <x:c r="AT497" s="32"/>
      <x:c r="AU497" s="32"/>
      <x:c r="AV497" s="32"/>
      <x:c r="AW497" s="32"/>
      <x:c r="AX497" s="32"/>
      <x:c r="AY497" s="32"/>
      <x:c r="AZ497" s="32"/>
      <x:c r="BA497" s="32"/>
    </x:row>
    <x:row r="498">
      <x:c r="A498" s="25" t="str">
        <x:v>C08-X</x:v>
      </x:c>
      <x:c r="B498" s="25" t="str">
        <x:v>巨人山顶</x:v>
      </x:c>
      <x:c r="C498" s="25" t="str">
        <x:v>极端压力</x:v>
      </x:c>
      <x:c r="D498" s="25" t="str">
        <x:v>装备</x:v>
      </x:c>
      <x:c r="E498" s="25" t="str">
        <x:v>本类35项（逐项见完整JSON）</x:v>
      </x:c>
      <x:c r="F498" s="25" t="str">
        <x:v>S02；S07</x:v>
      </x:c>
      <x:c r="G498" s="25" t="str">
        <x:v>原表数值</x:v>
      </x:c>
      <x:c r="H498" s="25" t="str">
        <x:v>由同包逐项数据聚合，便于核对</x:v>
      </x:c>
      <x:c r="I498" s="32" t="n">
        <x:v>45195</x:v>
      </x:c>
      <x:c r="J498" s="32" t="n">
        <x:v>85705</x:v>
      </x:c>
      <x:c r="K498" s="32" t="n">
        <x:v>45195</x:v>
      </x:c>
      <x:c r="L498" s="32" t="n">
        <x:v>85705</x:v>
      </x:c>
      <x:c r="M498" s="32" t="n">
        <x:v>45195</x:v>
      </x:c>
      <x:c r="N498" s="32" t="n">
        <x:v>85705</x:v>
      </x:c>
      <x:c r="O498" s="32" t="n">
        <x:v>52967300</x:v>
      </x:c>
      <x:c r="P498" s="32"/>
      <x:c r="Q498" s="32" t="n">
        <x:v>639</x:v>
      </x:c>
      <x:c r="R498" s="32" t="n">
        <x:v>1191</x:v>
      </x:c>
      <x:c r="S498" s="32" t="n">
        <x:v>518</x:v>
      </x:c>
      <x:c r="T498" s="32" t="n">
        <x:v>964</x:v>
      </x:c>
      <x:c r="U498" s="32" t="n">
        <x:v>737</x:v>
      </x:c>
      <x:c r="V498" s="32" t="n">
        <x:v>737</x:v>
      </x:c>
      <x:c r="W498" s="32" t="n">
        <x:v>737</x:v>
      </x:c>
      <x:c r="X498" s="32"/>
      <x:c r="Y498" s="32"/>
      <x:c r="Z498" s="32" t="n">
        <x:v>213</x:v>
      </x:c>
      <x:c r="AA498" s="32" t="n">
        <x:v>60</x:v>
      </x:c>
      <x:c r="AB498" s="32"/>
      <x:c r="AC498" s="32" t="n">
        <x:v>321</x:v>
      </x:c>
      <x:c r="AD498" s="32" t="n">
        <x:v>2</x:v>
      </x:c>
      <x:c r="AE498" s="32" t="n">
        <x:v>111</x:v>
      </x:c>
      <x:c r="AF498" s="32"/>
      <x:c r="AG498" s="32"/>
      <x:c r="AH498" s="32" t="n">
        <x:v>43</x:v>
      </x:c>
      <x:c r="AI498" s="32" t="n">
        <x:v>10</x:v>
      </x:c>
      <x:c r="AJ498" s="32" t="n">
        <x:v>150</x:v>
      </x:c>
      <x:c r="AK498" s="32"/>
      <x:c r="AL498" s="32"/>
      <x:c r="AM498" s="32"/>
      <x:c r="AN498" s="32" t="n">
        <x:v>30</x:v>
      </x:c>
      <x:c r="AO498" s="32" t="n">
        <x:v>0.3</x:v>
      </x:c>
      <x:c r="AP498" s="32" t="n">
        <x:v>58</x:v>
      </x:c>
      <x:c r="AQ498" s="32" t="n">
        <x:v>82</x:v>
      </x:c>
      <x:c r="AR498" s="32"/>
      <x:c r="AS498" s="32" t="n">
        <x:v>10</x:v>
      </x:c>
      <x:c r="AT498" s="32"/>
      <x:c r="AU498" s="32"/>
      <x:c r="AV498" s="32"/>
      <x:c r="AW498" s="32" t="n">
        <x:v>13</x:v>
      </x:c>
      <x:c r="AX498" s="32"/>
      <x:c r="AY498" s="32"/>
      <x:c r="AZ498" s="32" t="n">
        <x:v>11</x:v>
      </x:c>
      <x:c r="BA498" s="32"/>
    </x:row>
    <x:row r="499">
      <x:c r="A499" s="25" t="str">
        <x:v>C08-X</x:v>
      </x:c>
      <x:c r="B499" s="25" t="str">
        <x:v>巨人山顶</x:v>
      </x:c>
      <x:c r="C499" s="25" t="str">
        <x:v>极端压力</x:v>
      </x:c>
      <x:c r="D499" s="25" t="str">
        <x:v>洗练</x:v>
      </x:c>
      <x:c r="E499" s="25" t="str">
        <x:v>本类10项（逐项见完整JSON）</x:v>
      </x:c>
      <x:c r="F499" s="25" t="str">
        <x:v>S06＋固定种子</x:v>
      </x:c>
      <x:c r="G499" s="25" t="str">
        <x:v>可实现随机样本</x:v>
      </x:c>
      <x:c r="H499" s="25" t="str">
        <x:v>由同包逐项数据聚合，便于核对</x:v>
      </x:c>
      <x:c r="I499" s="32" t="n">
        <x:v>5253</x:v>
      </x:c>
      <x:c r="J499" s="32" t="n">
        <x:v>5253</x:v>
      </x:c>
      <x:c r="K499" s="32" t="n">
        <x:v>1245</x:v>
      </x:c>
      <x:c r="L499" s="32" t="n">
        <x:v>1245</x:v>
      </x:c>
      <x:c r="M499" s="32" t="n">
        <x:v>1665</x:v>
      </x:c>
      <x:c r="N499" s="32" t="n">
        <x:v>1665</x:v>
      </x:c>
      <x:c r="O499" s="32"/>
      <x:c r="P499" s="32"/>
      <x:c r="Q499" s="32"/>
      <x:c r="R499" s="32"/>
      <x:c r="S499" s="32"/>
      <x:c r="T499" s="32"/>
      <x:c r="U499" s="32" t="n">
        <x:v>526</x:v>
      </x:c>
      <x:c r="V499" s="32"/>
      <x:c r="W499" s="32"/>
      <x:c r="X499" s="32"/>
      <x:c r="Y499" s="32" t="n">
        <x:v>3</x:v>
      </x:c>
      <x:c r="Z499" s="32"/>
      <x:c r="AA499" s="32"/>
      <x:c r="AB499" s="32"/>
      <x:c r="AC499" s="32"/>
      <x:c r="AD499" s="32"/>
      <x:c r="AE499" s="32"/>
      <x:c r="AF499" s="32"/>
      <x:c r="AG499" s="32"/>
      <x:c r="AH499" s="32" t="n">
        <x:v>2</x:v>
      </x:c>
      <x:c r="AI499" s="32"/>
      <x:c r="AJ499" s="32"/>
      <x:c r="AK499" s="32"/>
      <x:c r="AL499" s="32"/>
      <x:c r="AM499" s="32" t="n">
        <x:v>2</x:v>
      </x:c>
      <x:c r="AN499" s="32" t="n">
        <x:v>3</x:v>
      </x:c>
      <x:c r="AO499" s="32" t="n">
        <x:v>1</x:v>
      </x:c>
      <x:c r="AP499" s="32" t="n">
        <x:v>20</x:v>
      </x:c>
      <x:c r="AQ499" s="32"/>
      <x:c r="AR499" s="32" t="n">
        <x:v>1</x:v>
      </x:c>
      <x:c r="AS499" s="32" t="n">
        <x:v>1</x:v>
      </x:c>
      <x:c r="AT499" s="32"/>
      <x:c r="AU499" s="32" t="n">
        <x:v>1</x:v>
      </x:c>
      <x:c r="AV499" s="32"/>
      <x:c r="AW499" s="32"/>
      <x:c r="AX499" s="32"/>
      <x:c r="AY499" s="32"/>
      <x:c r="AZ499" s="32"/>
      <x:c r="BA499" s="32"/>
    </x:row>
    <x:row r="500">
      <x:c r="A500" s="25" t="str">
        <x:v>C08-X</x:v>
      </x:c>
      <x:c r="B500" s="25" t="str">
        <x:v>巨人山顶</x:v>
      </x:c>
      <x:c r="C500" s="25" t="str">
        <x:v>极端压力</x:v>
      </x:c>
      <x:c r="D500" s="25" t="str">
        <x:v>命格</x:v>
      </x:c>
      <x:c r="E500" s="25" t="str">
        <x:v>本类7项（逐项见完整JSON）</x:v>
      </x:c>
      <x:c r="F500" s="25" t="str">
        <x:v>S03/命格ID1081；S03/命格ID1086；S03/命格ID1087；S03/命格ID1090；S03/命格ID1092；S03/命格ID1093；S03/命格ID1095</x:v>
      </x:c>
      <x:c r="G500" s="25" t="str">
        <x:v>原表彩色＋选配假设</x:v>
      </x:c>
      <x:c r="H500" s="25" t="str">
        <x:v>由同包逐项数据聚合，便于核对</x:v>
      </x:c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32"/>
      <x:c r="U500" s="32"/>
      <x:c r="V500" s="32"/>
      <x:c r="W500" s="32"/>
      <x:c r="X500" s="32"/>
      <x:c r="Y500" s="32" t="n">
        <x:v>6</x:v>
      </x:c>
      <x:c r="Z500" s="32" t="n">
        <x:v>3</x:v>
      </x:c>
      <x:c r="AA500" s="32"/>
      <x:c r="AB500" s="32"/>
      <x:c r="AC500" s="32"/>
      <x:c r="AD500" s="32"/>
      <x:c r="AE500" s="32"/>
      <x:c r="AF500" s="32"/>
      <x:c r="AG500" s="32"/>
      <x:c r="AH500" s="32" t="n">
        <x:v>2</x:v>
      </x:c>
      <x:c r="AI500" s="32"/>
      <x:c r="AJ500" s="32" t="n">
        <x:v>10</x:v>
      </x:c>
      <x:c r="AK500" s="32"/>
      <x:c r="AL500" s="32"/>
      <x:c r="AM500" s="32" t="n">
        <x:v>10</x:v>
      </x:c>
      <x:c r="AN500" s="32" t="n">
        <x:v>35</x:v>
      </x:c>
      <x:c r="AO500" s="32" t="n">
        <x:v>0.3</x:v>
      </x:c>
      <x:c r="AP500" s="32"/>
      <x:c r="AQ500" s="32" t="n">
        <x:v>6</x:v>
      </x:c>
      <x:c r="AR500" s="32" t="n">
        <x:v>3</x:v>
      </x:c>
      <x:c r="AS500" s="32"/>
      <x:c r="AT500" s="32" t="n">
        <x:v>50</x:v>
      </x:c>
      <x:c r="AU500" s="32" t="n">
        <x:v>2</x:v>
      </x:c>
      <x:c r="AV500" s="32" t="n">
        <x:v>3</x:v>
      </x:c>
      <x:c r="AW500" s="32"/>
      <x:c r="AX500" s="32"/>
      <x:c r="AY500" s="32" t="n">
        <x:v>2</x:v>
      </x:c>
      <x:c r="AZ500" s="32"/>
      <x:c r="BA500" s="32"/>
    </x:row>
    <x:row r="501">
      <x:c r="A501" s="25" t="str">
        <x:v>C08-X</x:v>
      </x:c>
      <x:c r="B501" s="25" t="str">
        <x:v>巨人山顶</x:v>
      </x:c>
      <x:c r="C501" s="25" t="str">
        <x:v>极端压力</x:v>
      </x:c>
      <x:c r="D501" s="25" t="str">
        <x:v>后天幸运</x:v>
      </x:c>
      <x:c r="E501" s="25" t="str">
        <x:v>本类1项（逐项见完整JSON）</x:v>
      </x:c>
      <x:c r="F501" s="25" t="str">
        <x:v>A08</x:v>
      </x:c>
      <x:c r="G501" s="25" t="str">
        <x:v>人物永久进度</x:v>
      </x:c>
      <x:c r="H501" s="25" t="str">
        <x:v>由同包逐项数据聚合，便于核对</x:v>
      </x:c>
      <x:c r="I501" s="32"/>
      <x:c r="J501" s="32"/>
      <x:c r="K501" s="32"/>
      <x:c r="L501" s="32"/>
      <x:c r="M501" s="32"/>
      <x:c r="N501" s="32"/>
      <x:c r="O501" s="32"/>
      <x:c r="P501" s="32"/>
      <x:c r="Q501" s="32"/>
      <x:c r="R501" s="32"/>
      <x:c r="S501" s="32"/>
      <x:c r="T501" s="32"/>
      <x:c r="U501" s="32"/>
      <x:c r="V501" s="32"/>
      <x:c r="W501" s="32"/>
      <x:c r="X501" s="32"/>
      <x:c r="Y501" s="32"/>
      <x:c r="Z501" s="32"/>
      <x:c r="AA501" s="32"/>
      <x:c r="AB501" s="32"/>
      <x:c r="AC501" s="32"/>
      <x:c r="AD501" s="32"/>
      <x:c r="AE501" s="32"/>
      <x:c r="AF501" s="32"/>
      <x:c r="AG501" s="32"/>
      <x:c r="AH501" s="32"/>
      <x:c r="AI501" s="32"/>
      <x:c r="AJ501" s="32"/>
      <x:c r="AK501" s="32" t="n">
        <x:v>7</x:v>
      </x:c>
      <x:c r="AL501" s="32" t="n">
        <x:v>8</x:v>
      </x:c>
      <x:c r="AM501" s="32"/>
      <x:c r="AN501" s="32"/>
      <x:c r="AO501" s="32"/>
      <x:c r="AP501" s="32"/>
      <x:c r="AQ501" s="32"/>
      <x:c r="AR501" s="32"/>
      <x:c r="AS501" s="32"/>
      <x:c r="AT501" s="32"/>
      <x:c r="AU501" s="32"/>
      <x:c r="AV501" s="32"/>
      <x:c r="AW501" s="32"/>
      <x:c r="AX501" s="32"/>
      <x:c r="AY501" s="32"/>
      <x:c r="AZ501" s="32"/>
      <x:c r="BA501" s="32"/>
    </x:row>
    <x:row r="502">
      <x:c r="A502" s="25" t="str">
        <x:v>C08-X</x:v>
      </x:c>
      <x:c r="B502" s="25" t="str">
        <x:v>巨人山顶</x:v>
      </x:c>
      <x:c r="C502" s="25" t="str">
        <x:v>极端压力</x:v>
      </x:c>
      <x:c r="D502" s="25" t="str">
        <x:v>回收预算</x:v>
      </x:c>
      <x:c r="E502" s="25" t="str">
        <x:v>本类1项（逐项见完整JSON）</x:v>
      </x:c>
      <x:c r="F502" s="25" t="str">
        <x:v>用户总回收50%</x:v>
      </x:c>
      <x:c r="G502" s="25" t="str">
        <x:v>经济输入，不是新增属性来源</x:v>
      </x:c>
      <x:c r="H502" s="25" t="str">
        <x:v>由同包逐项数据聚合，便于核对</x:v>
      </x:c>
      <x:c r="I502" s="32"/>
      <x:c r="J502" s="32"/>
      <x:c r="K502" s="32"/>
      <x:c r="L502" s="32"/>
      <x:c r="M502" s="32"/>
      <x:c r="N502" s="32"/>
      <x:c r="O502" s="32"/>
      <x:c r="P502" s="32"/>
      <x:c r="Q502" s="32"/>
      <x:c r="R502" s="32"/>
      <x:c r="S502" s="32"/>
      <x:c r="T502" s="32"/>
      <x:c r="U502" s="32"/>
      <x:c r="V502" s="32"/>
      <x:c r="W502" s="32"/>
      <x:c r="X502" s="32"/>
      <x:c r="Y502" s="32"/>
      <x:c r="Z502" s="32"/>
      <x:c r="AA502" s="32"/>
      <x:c r="AB502" s="32"/>
      <x:c r="AC502" s="32"/>
      <x:c r="AD502" s="32"/>
      <x:c r="AE502" s="32"/>
      <x:c r="AF502" s="32"/>
      <x:c r="AG502" s="32"/>
      <x:c r="AH502" s="32"/>
      <x:c r="AI502" s="32"/>
      <x:c r="AJ502" s="32"/>
      <x:c r="AK502" s="32"/>
      <x:c r="AL502" s="32"/>
      <x:c r="AM502" s="32"/>
      <x:c r="AN502" s="32"/>
      <x:c r="AO502" s="32"/>
      <x:c r="AP502" s="32"/>
      <x:c r="AQ502" s="32"/>
      <x:c r="AR502" s="32"/>
      <x:c r="AS502" s="32"/>
      <x:c r="AT502" s="32"/>
      <x:c r="AU502" s="32"/>
      <x:c r="AV502" s="32"/>
      <x:c r="AW502" s="32"/>
      <x:c r="AX502" s="32"/>
      <x:c r="AY502" s="32"/>
      <x:c r="AZ502" s="32"/>
      <x:c r="BA502" s="32" t="n">
        <x:v>50</x:v>
      </x:c>
    </x:row>
    <x:row r="503">
      <x:c r="A503" s="25" t="str">
        <x:v>C09-E</x:v>
      </x:c>
      <x:c r="B503" s="25" t="str">
        <x:v>亚坛高原</x:v>
      </x:c>
      <x:c r="C503" s="25" t="str">
        <x:v>半急速入场</x:v>
      </x:c>
      <x:c r="D503" s="25" t="str">
        <x:v>人物自然</x:v>
      </x:c>
      <x:c r="E503" s="25" t="str">
        <x:v>本类1项（逐项见完整JSON）</x:v>
      </x:c>
      <x:c r="F503" s="25" t="str">
        <x:v>A01</x:v>
      </x:c>
      <x:c r="G503" s="25" t="str">
        <x:v>模型假设</x:v>
      </x:c>
      <x:c r="H503" s="25" t="str">
        <x:v>由同包逐项数据聚合，便于核对</x:v>
      </x:c>
      <x:c r="I503" s="32" t="n">
        <x:v>23</x:v>
      </x:c>
      <x:c r="J503" s="32" t="n">
        <x:v>53</x:v>
      </x:c>
      <x:c r="K503" s="32"/>
      <x:c r="L503" s="32"/>
      <x:c r="M503" s="32"/>
      <x:c r="N503" s="32"/>
      <x:c r="O503" s="32" t="n">
        <x:v>4200</x:v>
      </x:c>
      <x:c r="P503" s="32" t="n">
        <x:v>1000</x:v>
      </x:c>
      <x:c r="Q503" s="32"/>
      <x:c r="R503" s="32"/>
      <x:c r="S503" s="32"/>
      <x:c r="T503" s="32"/>
      <x:c r="U503" s="32"/>
      <x:c r="V503" s="32"/>
      <x:c r="W503" s="32"/>
      <x:c r="X503" s="32"/>
      <x:c r="Y503" s="32"/>
      <x:c r="Z503" s="32"/>
      <x:c r="AA503" s="32"/>
      <x:c r="AB503" s="32"/>
      <x:c r="AC503" s="32"/>
      <x:c r="AD503" s="32"/>
      <x:c r="AE503" s="32"/>
      <x:c r="AF503" s="32"/>
      <x:c r="AG503" s="32"/>
      <x:c r="AH503" s="32"/>
      <x:c r="AI503" s="32"/>
      <x:c r="AJ503" s="32"/>
      <x:c r="AK503" s="32"/>
      <x:c r="AL503" s="32"/>
      <x:c r="AM503" s="32"/>
      <x:c r="AN503" s="32"/>
      <x:c r="AO503" s="32"/>
      <x:c r="AP503" s="32"/>
      <x:c r="AQ503" s="32"/>
      <x:c r="AR503" s="32"/>
      <x:c r="AS503" s="32"/>
      <x:c r="AT503" s="32"/>
      <x:c r="AU503" s="32"/>
      <x:c r="AV503" s="32"/>
      <x:c r="AW503" s="32"/>
      <x:c r="AX503" s="32"/>
      <x:c r="AY503" s="32"/>
      <x:c r="AZ503" s="32"/>
      <x:c r="BA503" s="32"/>
    </x:row>
    <x:row r="504">
      <x:c r="A504" s="25" t="str">
        <x:v>C09-E</x:v>
      </x:c>
      <x:c r="B504" s="25" t="str">
        <x:v>亚坛高原</x:v>
      </x:c>
      <x:c r="C504" s="25" t="str">
        <x:v>半急速入场</x:v>
      </x:c>
      <x:c r="D504" s="25" t="str">
        <x:v>付费状态</x:v>
      </x:c>
      <x:c r="E504" s="25" t="str">
        <x:v>本类3项（逐项见完整JSON）</x:v>
      </x:c>
      <x:c r="F504" s="25" t="str">
        <x:v>20260903总档</x:v>
      </x:c>
      <x:c r="G504" s="25" t="str">
        <x:v>原表数值</x:v>
      </x:c>
      <x:c r="H504" s="25" t="str">
        <x:v>由同包逐项数据聚合，便于核对</x:v>
      </x:c>
      <x:c r="I504" s="32" t="n">
        <x:v>149</x:v>
      </x:c>
      <x:c r="J504" s="32" t="n">
        <x:v>149</x:v>
      </x:c>
      <x:c r="K504" s="32" t="n">
        <x:v>149</x:v>
      </x:c>
      <x:c r="L504" s="32" t="n">
        <x:v>149</x:v>
      </x:c>
      <x:c r="M504" s="32" t="n">
        <x:v>149</x:v>
      </x:c>
      <x:c r="N504" s="32" t="n">
        <x:v>149</x:v>
      </x:c>
      <x:c r="O504" s="32" t="n">
        <x:v>10000</x:v>
      </x:c>
      <x:c r="P504" s="32"/>
      <x:c r="Q504" s="32"/>
      <x:c r="R504" s="32"/>
      <x:c r="S504" s="32"/>
      <x:c r="T504" s="32"/>
      <x:c r="U504" s="32"/>
      <x:c r="V504" s="32"/>
      <x:c r="W504" s="32"/>
      <x:c r="X504" s="32"/>
      <x:c r="Y504" s="32" t="n">
        <x:v>10</x:v>
      </x:c>
      <x:c r="Z504" s="32"/>
      <x:c r="AA504" s="32"/>
      <x:c r="AB504" s="32" t="n">
        <x:v>20</x:v>
      </x:c>
      <x:c r="AC504" s="32"/>
      <x:c r="AD504" s="32"/>
      <x:c r="AE504" s="32"/>
      <x:c r="AF504" s="32"/>
      <x:c r="AG504" s="32"/>
      <x:c r="AH504" s="32"/>
      <x:c r="AI504" s="32"/>
      <x:c r="AJ504" s="32"/>
      <x:c r="AK504" s="32"/>
      <x:c r="AL504" s="32"/>
      <x:c r="AM504" s="32" t="n">
        <x:v>10</x:v>
      </x:c>
      <x:c r="AN504" s="32"/>
      <x:c r="AO504" s="32"/>
      <x:c r="AP504" s="32" t="n">
        <x:v>50</x:v>
      </x:c>
      <x:c r="AQ504" s="32"/>
      <x:c r="AR504" s="32"/>
      <x:c r="AS504" s="32"/>
      <x:c r="AT504" s="32" t="n">
        <x:v>700</x:v>
      </x:c>
      <x:c r="AU504" s="32" t="n">
        <x:v>15</x:v>
      </x:c>
      <x:c r="AV504" s="32"/>
      <x:c r="AW504" s="32"/>
      <x:c r="AX504" s="32"/>
      <x:c r="AY504" s="32"/>
      <x:c r="AZ504" s="32"/>
      <x:c r="BA504" s="32"/>
    </x:row>
    <x:row r="505">
      <x:c r="A505" s="25" t="str">
        <x:v>C09-E</x:v>
      </x:c>
      <x:c r="B505" s="25" t="str">
        <x:v>亚坛高原</x:v>
      </x:c>
      <x:c r="C505" s="25" t="str">
        <x:v>半急速入场</x:v>
      </x:c>
      <x:c r="D505" s="25" t="str">
        <x:v>成长装备</x:v>
      </x:c>
      <x:c r="E505" s="25" t="str">
        <x:v>本类2项（逐项见完整JSON）</x:v>
      </x:c>
      <x:c r="F505" s="25" t="str">
        <x:v>20260903总档 / A04</x:v>
      </x:c>
      <x:c r="G505" s="25" t="str">
        <x:v>原表＋支付路径假设</x:v>
      </x:c>
      <x:c r="H505" s="25" t="str">
        <x:v>由同包逐项数据聚合，便于核对</x:v>
      </x:c>
      <x:c r="I505" s="32" t="n">
        <x:v>1100</x:v>
      </x:c>
      <x:c r="J505" s="32" t="n">
        <x:v>1100</x:v>
      </x:c>
      <x:c r="K505" s="32" t="n">
        <x:v>1100</x:v>
      </x:c>
      <x:c r="L505" s="32" t="n">
        <x:v>1100</x:v>
      </x:c>
      <x:c r="M505" s="32" t="n">
        <x:v>1100</x:v>
      </x:c>
      <x:c r="N505" s="32" t="n">
        <x:v>1100</x:v>
      </x:c>
      <x:c r="O505" s="32"/>
      <x:c r="P505" s="32"/>
      <x:c r="Q505" s="32"/>
      <x:c r="R505" s="32"/>
      <x:c r="S505" s="32"/>
      <x:c r="T505" s="32"/>
      <x:c r="U505" s="32"/>
      <x:c r="V505" s="32"/>
      <x:c r="W505" s="32"/>
      <x:c r="X505" s="32"/>
      <x:c r="Y505" s="32"/>
      <x:c r="Z505" s="32"/>
      <x:c r="AA505" s="32"/>
      <x:c r="AB505" s="32"/>
      <x:c r="AC505" s="32"/>
      <x:c r="AD505" s="32"/>
      <x:c r="AE505" s="32"/>
      <x:c r="AF505" s="32"/>
      <x:c r="AG505" s="32"/>
      <x:c r="AH505" s="32"/>
      <x:c r="AI505" s="32"/>
      <x:c r="AJ505" s="32"/>
      <x:c r="AK505" s="32"/>
      <x:c r="AL505" s="32"/>
      <x:c r="AM505" s="32"/>
      <x:c r="AN505" s="32"/>
      <x:c r="AO505" s="32"/>
      <x:c r="AP505" s="32"/>
      <x:c r="AQ505" s="32"/>
      <x:c r="AR505" s="32"/>
      <x:c r="AS505" s="32"/>
      <x:c r="AT505" s="32"/>
      <x:c r="AU505" s="32"/>
      <x:c r="AV505" s="32"/>
      <x:c r="AW505" s="32" t="n">
        <x:v>10</x:v>
      </x:c>
      <x:c r="AX505" s="32" t="n">
        <x:v>10</x:v>
      </x:c>
      <x:c r="AY505" s="32"/>
      <x:c r="AZ505" s="32"/>
      <x:c r="BA505" s="32"/>
    </x:row>
    <x:row r="506">
      <x:c r="A506" s="25" t="str">
        <x:v>C09-E</x:v>
      </x:c>
      <x:c r="B506" s="25" t="str">
        <x:v>亚坛高原</x:v>
      </x:c>
      <x:c r="C506" s="25" t="str">
        <x:v>半急速入场</x:v>
      </x:c>
      <x:c r="D506" s="25" t="str">
        <x:v>贯穿称号</x:v>
      </x:c>
      <x:c r="E506" s="25" t="str">
        <x:v>本类1项（逐项见完整JSON）</x:v>
      </x:c>
      <x:c r="F506" s="25" t="str">
        <x:v>S04/01_贯穿称号</x:v>
      </x:c>
      <x:c r="G506" s="25" t="str">
        <x:v>原表数值</x:v>
      </x:c>
      <x:c r="H506" s="25" t="str">
        <x:v>由同包逐项数据聚合，便于核对</x:v>
      </x:c>
      <x:c r="I506" s="32" t="n">
        <x:v>32000</x:v>
      </x:c>
      <x:c r="J506" s="32" t="n">
        <x:v>32000</x:v>
      </x:c>
      <x:c r="K506" s="32" t="n">
        <x:v>32000</x:v>
      </x:c>
      <x:c r="L506" s="32" t="n">
        <x:v>32000</x:v>
      </x:c>
      <x:c r="M506" s="32" t="n">
        <x:v>32000</x:v>
      </x:c>
      <x:c r="N506" s="32" t="n">
        <x:v>32000</x:v>
      </x:c>
      <x:c r="O506" s="32" t="n">
        <x:v>3200000</x:v>
      </x:c>
      <x:c r="P506" s="32" t="n">
        <x:v>3200000</x:v>
      </x:c>
      <x:c r="Q506" s="32"/>
      <x:c r="R506" s="32"/>
      <x:c r="S506" s="32"/>
      <x:c r="T506" s="32"/>
      <x:c r="U506" s="32"/>
      <x:c r="V506" s="32"/>
      <x:c r="W506" s="32"/>
      <x:c r="X506" s="32"/>
      <x:c r="Y506" s="32"/>
      <x:c r="Z506" s="32"/>
      <x:c r="AA506" s="32"/>
      <x:c r="AB506" s="32"/>
      <x:c r="AC506" s="32"/>
      <x:c r="AD506" s="32"/>
      <x:c r="AE506" s="32"/>
      <x:c r="AF506" s="32"/>
      <x:c r="AG506" s="32"/>
      <x:c r="AH506" s="32"/>
      <x:c r="AI506" s="32"/>
      <x:c r="AJ506" s="32"/>
      <x:c r="AK506" s="32"/>
      <x:c r="AL506" s="32"/>
      <x:c r="AM506" s="32"/>
      <x:c r="AN506" s="32"/>
      <x:c r="AO506" s="32"/>
      <x:c r="AP506" s="32"/>
      <x:c r="AQ506" s="32"/>
      <x:c r="AR506" s="32"/>
      <x:c r="AS506" s="32"/>
      <x:c r="AT506" s="32" t="n">
        <x:v>3900</x:v>
      </x:c>
      <x:c r="AU506" s="32"/>
      <x:c r="AV506" s="32"/>
      <x:c r="AW506" s="32"/>
      <x:c r="AX506" s="32"/>
      <x:c r="AY506" s="32"/>
      <x:c r="AZ506" s="32"/>
      <x:c r="BA506" s="32"/>
    </x:row>
    <x:row r="507">
      <x:c r="A507" s="25" t="str">
        <x:v>C09-E</x:v>
      </x:c>
      <x:c r="B507" s="25" t="str">
        <x:v>亚坛高原</x:v>
      </x:c>
      <x:c r="C507" s="25" t="str">
        <x:v>半急速入场</x:v>
      </x:c>
      <x:c r="D507" s="25" t="str">
        <x:v>神印</x:v>
      </x:c>
      <x:c r="E507" s="25" t="str">
        <x:v>本类1项（逐项见完整JSON）</x:v>
      </x:c>
      <x:c r="F507" s="25" t="str">
        <x:v>S04 / 神印公式</x:v>
      </x:c>
      <x:c r="G507" s="25" t="str">
        <x:v>自给进度假设＋原公式</x:v>
      </x:c>
      <x:c r="H507" s="25" t="str">
        <x:v>由同包逐项数据聚合，便于核对</x:v>
      </x:c>
      <x:c r="I507" s="32" t="n">
        <x:v>24310</x:v>
      </x:c>
      <x:c r="J507" s="32" t="n">
        <x:v>24310</x:v>
      </x:c>
      <x:c r="K507" s="32" t="n">
        <x:v>24310</x:v>
      </x:c>
      <x:c r="L507" s="32" t="n">
        <x:v>24310</x:v>
      </x:c>
      <x:c r="M507" s="32" t="n">
        <x:v>24310</x:v>
      </x:c>
      <x:c r="N507" s="32" t="n">
        <x:v>24310</x:v>
      </x:c>
      <x:c r="O507" s="32" t="n">
        <x:v>2431000</x:v>
      </x:c>
      <x:c r="P507" s="32"/>
      <x:c r="Q507" s="32"/>
      <x:c r="R507" s="32"/>
      <x:c r="S507" s="32"/>
      <x:c r="T507" s="32"/>
      <x:c r="U507" s="32"/>
      <x:c r="V507" s="32"/>
      <x:c r="W507" s="32"/>
      <x:c r="X507" s="32"/>
      <x:c r="Y507" s="32"/>
      <x:c r="Z507" s="32"/>
      <x:c r="AA507" s="32"/>
      <x:c r="AB507" s="32"/>
      <x:c r="AC507" s="32"/>
      <x:c r="AD507" s="32"/>
      <x:c r="AE507" s="32"/>
      <x:c r="AF507" s="32"/>
      <x:c r="AG507" s="32"/>
      <x:c r="AH507" s="32"/>
      <x:c r="AI507" s="32"/>
      <x:c r="AJ507" s="32"/>
      <x:c r="AK507" s="32"/>
      <x:c r="AL507" s="32"/>
      <x:c r="AM507" s="32"/>
      <x:c r="AN507" s="32"/>
      <x:c r="AO507" s="32"/>
      <x:c r="AP507" s="32"/>
      <x:c r="AQ507" s="32"/>
      <x:c r="AR507" s="32"/>
      <x:c r="AS507" s="32"/>
      <x:c r="AT507" s="32"/>
      <x:c r="AU507" s="32"/>
      <x:c r="AV507" s="32"/>
      <x:c r="AW507" s="32"/>
      <x:c r="AX507" s="32"/>
      <x:c r="AY507" s="32"/>
      <x:c r="AZ507" s="32"/>
      <x:c r="BA507" s="32"/>
    </x:row>
    <x:row r="508">
      <x:c r="A508" s="25" t="str">
        <x:v>C09-E</x:v>
      </x:c>
      <x:c r="B508" s="25" t="str">
        <x:v>亚坛高原</x:v>
      </x:c>
      <x:c r="C508" s="25" t="str">
        <x:v>半急速入场</x:v>
      </x:c>
      <x:c r="D508" s="25" t="str">
        <x:v>转生</x:v>
      </x:c>
      <x:c r="E508" s="25" t="str">
        <x:v>本类1项（逐项见完整JSON）</x:v>
      </x:c>
      <x:c r="F508" s="25" t="str">
        <x:v>S07/20转</x:v>
      </x:c>
      <x:c r="G508" s="25" t="str">
        <x:v>原表累计</x:v>
      </x:c>
      <x:c r="H508" s="25" t="str">
        <x:v>由同包逐项数据聚合，便于核对</x:v>
      </x:c>
      <x:c r="I508" s="32"/>
      <x:c r="J508" s="32"/>
      <x:c r="K508" s="32"/>
      <x:c r="L508" s="32"/>
      <x:c r="M508" s="32"/>
      <x:c r="N508" s="32"/>
      <x:c r="O508" s="32"/>
      <x:c r="P508" s="32"/>
      <x:c r="Q508" s="32"/>
      <x:c r="R508" s="32"/>
      <x:c r="S508" s="32"/>
      <x:c r="T508" s="32"/>
      <x:c r="U508" s="32"/>
      <x:c r="V508" s="32"/>
      <x:c r="W508" s="32"/>
      <x:c r="X508" s="32" t="n">
        <x:v>0.75</x:v>
      </x:c>
      <x:c r="Y508" s="32"/>
      <x:c r="Z508" s="32"/>
      <x:c r="AA508" s="32"/>
      <x:c r="AB508" s="32"/>
      <x:c r="AC508" s="32"/>
      <x:c r="AD508" s="32"/>
      <x:c r="AE508" s="32"/>
      <x:c r="AF508" s="32"/>
      <x:c r="AG508" s="32"/>
      <x:c r="AH508" s="32"/>
      <x:c r="AI508" s="32"/>
      <x:c r="AJ508" s="32"/>
      <x:c r="AK508" s="32"/>
      <x:c r="AL508" s="32"/>
      <x:c r="AM508" s="32"/>
      <x:c r="AN508" s="32"/>
      <x:c r="AO508" s="32"/>
      <x:c r="AP508" s="32"/>
      <x:c r="AQ508" s="32"/>
      <x:c r="AR508" s="32"/>
      <x:c r="AS508" s="32"/>
      <x:c r="AT508" s="32"/>
      <x:c r="AU508" s="32"/>
      <x:c r="AV508" s="32"/>
      <x:c r="AW508" s="32"/>
      <x:c r="AX508" s="32"/>
      <x:c r="AY508" s="32"/>
      <x:c r="AZ508" s="32"/>
      <x:c r="BA508" s="32"/>
    </x:row>
    <x:row r="509">
      <x:c r="A509" s="25" t="str">
        <x:v>C09-E</x:v>
      </x:c>
      <x:c r="B509" s="25" t="str">
        <x:v>亚坛高原</x:v>
      </x:c>
      <x:c r="C509" s="25" t="str">
        <x:v>半急速入场</x:v>
      </x:c>
      <x:c r="D509" s="25" t="str">
        <x:v>独立称号</x:v>
      </x:c>
      <x:c r="E509" s="25" t="str">
        <x:v>本类4项（逐项见完整JSON）</x:v>
      </x:c>
      <x:c r="F509" s="25" t="str">
        <x:v>S04/02_独立称号</x:v>
      </x:c>
      <x:c r="G509" s="25" t="str">
        <x:v>原表数值</x:v>
      </x:c>
      <x:c r="H509" s="25" t="str">
        <x:v>由同包逐项数据聚合，便于核对</x:v>
      </x:c>
      <x:c r="I509" s="32" t="n">
        <x:v>4510</x:v>
      </x:c>
      <x:c r="J509" s="32" t="n">
        <x:v>4510</x:v>
      </x:c>
      <x:c r="K509" s="32" t="n">
        <x:v>4510</x:v>
      </x:c>
      <x:c r="L509" s="32" t="n">
        <x:v>4510</x:v>
      </x:c>
      <x:c r="M509" s="32" t="n">
        <x:v>4510</x:v>
      </x:c>
      <x:c r="N509" s="32" t="n">
        <x:v>4510</x:v>
      </x:c>
      <x:c r="O509" s="32" t="n">
        <x:v>451000</x:v>
      </x:c>
      <x:c r="P509" s="32"/>
      <x:c r="Q509" s="32"/>
      <x:c r="R509" s="32"/>
      <x:c r="S509" s="32"/>
      <x:c r="T509" s="32"/>
      <x:c r="U509" s="32"/>
      <x:c r="V509" s="32"/>
      <x:c r="W509" s="32"/>
      <x:c r="X509" s="32" t="n">
        <x:v>0</x:v>
      </x:c>
      <x:c r="Y509" s="32"/>
      <x:c r="Z509" s="32"/>
      <x:c r="AA509" s="32"/>
      <x:c r="AB509" s="32"/>
      <x:c r="AC509" s="32"/>
      <x:c r="AD509" s="32"/>
      <x:c r="AE509" s="32"/>
      <x:c r="AF509" s="32"/>
      <x:c r="AG509" s="32"/>
      <x:c r="AH509" s="32"/>
      <x:c r="AI509" s="32"/>
      <x:c r="AJ509" s="32"/>
      <x:c r="AK509" s="32"/>
      <x:c r="AL509" s="32"/>
      <x:c r="AM509" s="32" t="n">
        <x:v>0</x:v>
      </x:c>
      <x:c r="AN509" s="32"/>
      <x:c r="AO509" s="32"/>
      <x:c r="AP509" s="32" t="n">
        <x:v>0</x:v>
      </x:c>
      <x:c r="AQ509" s="32"/>
      <x:c r="AR509" s="32"/>
      <x:c r="AS509" s="32"/>
      <x:c r="AT509" s="32"/>
      <x:c r="AU509" s="32"/>
      <x:c r="AV509" s="32"/>
      <x:c r="AW509" s="32"/>
      <x:c r="AX509" s="32"/>
      <x:c r="AY509" s="32"/>
      <x:c r="AZ509" s="32"/>
      <x:c r="BA509" s="32"/>
    </x:row>
    <x:row r="510">
      <x:c r="A510" s="25" t="str">
        <x:v>C09-E</x:v>
      </x:c>
      <x:c r="B510" s="25" t="str">
        <x:v>亚坛高原</x:v>
      </x:c>
      <x:c r="C510" s="25" t="str">
        <x:v>半急速入场</x:v>
      </x:c>
      <x:c r="D510" s="25" t="str">
        <x:v>单件图鉴</x:v>
      </x:c>
      <x:c r="E510" s="25" t="str">
        <x:v>本类1项（逐项见完整JSON）</x:v>
      </x:c>
      <x:c r="F510" s="25" t="str">
        <x:v>S07/collection_single</x:v>
      </x:c>
      <x:c r="G510" s="25" t="str">
        <x:v>原表累计</x:v>
      </x:c>
      <x:c r="H510" s="25" t="str">
        <x:v>由同包逐项数据聚合，便于核对</x:v>
      </x:c>
      <x:c r="I510" s="32" t="n">
        <x:v>4556</x:v>
      </x:c>
      <x:c r="J510" s="32" t="n">
        <x:v>4556</x:v>
      </x:c>
      <x:c r="K510" s="32" t="n">
        <x:v>4556</x:v>
      </x:c>
      <x:c r="L510" s="32" t="n">
        <x:v>4556</x:v>
      </x:c>
      <x:c r="M510" s="32" t="n">
        <x:v>4556</x:v>
      </x:c>
      <x:c r="N510" s="32" t="n">
        <x:v>4556</x:v>
      </x:c>
      <x:c r="O510" s="32" t="n">
        <x:v>455600</x:v>
      </x:c>
      <x:c r="P510" s="32"/>
      <x:c r="Q510" s="32"/>
      <x:c r="R510" s="32"/>
      <x:c r="S510" s="32"/>
      <x:c r="T510" s="32"/>
      <x:c r="U510" s="32"/>
      <x:c r="V510" s="32"/>
      <x:c r="W510" s="32"/>
      <x:c r="X510" s="32"/>
      <x:c r="Y510" s="32"/>
      <x:c r="Z510" s="32"/>
      <x:c r="AA510" s="32"/>
      <x:c r="AB510" s="32"/>
      <x:c r="AC510" s="32"/>
      <x:c r="AD510" s="32"/>
      <x:c r="AE510" s="32"/>
      <x:c r="AF510" s="32"/>
      <x:c r="AG510" s="32"/>
      <x:c r="AH510" s="32"/>
      <x:c r="AI510" s="32"/>
      <x:c r="AJ510" s="32"/>
      <x:c r="AK510" s="32"/>
      <x:c r="AL510" s="32"/>
      <x:c r="AM510" s="32"/>
      <x:c r="AN510" s="32"/>
      <x:c r="AO510" s="32"/>
      <x:c r="AP510" s="32"/>
      <x:c r="AQ510" s="32"/>
      <x:c r="AR510" s="32"/>
      <x:c r="AS510" s="32"/>
      <x:c r="AT510" s="32"/>
      <x:c r="AU510" s="32"/>
      <x:c r="AV510" s="32"/>
      <x:c r="AW510" s="32"/>
      <x:c r="AX510" s="32"/>
      <x:c r="AY510" s="32"/>
      <x:c r="AZ510" s="32"/>
      <x:c r="BA510" s="32"/>
    </x:row>
    <x:row r="511">
      <x:c r="A511" s="25" t="str">
        <x:v>C09-E</x:v>
      </x:c>
      <x:c r="B511" s="25" t="str">
        <x:v>亚坛高原</x:v>
      </x:c>
      <x:c r="C511" s="25" t="str">
        <x:v>半急速入场</x:v>
      </x:c>
      <x:c r="D511" s="25" t="str">
        <x:v>地图整页</x:v>
      </x:c>
      <x:c r="E511" s="25" t="str">
        <x:v>本类24项（逐项见完整JSON）</x:v>
      </x:c>
      <x:c r="F511" s="25" t="str">
        <x:v>S07/collection_pages</x:v>
      </x:c>
      <x:c r="G511" s="25" t="str">
        <x:v>原表数值</x:v>
      </x:c>
      <x:c r="H511" s="25" t="str">
        <x:v>由同包逐项数据聚合，便于核对</x:v>
      </x:c>
      <x:c r="I511" s="32"/>
      <x:c r="J511" s="32"/>
      <x:c r="K511" s="32"/>
      <x:c r="L511" s="32"/>
      <x:c r="M511" s="32"/>
      <x:c r="N511" s="32"/>
      <x:c r="O511" s="32"/>
      <x:c r="P511" s="32"/>
      <x:c r="Q511" s="32"/>
      <x:c r="R511" s="32"/>
      <x:c r="S511" s="32"/>
      <x:c r="T511" s="32"/>
      <x:c r="U511" s="32"/>
      <x:c r="V511" s="32"/>
      <x:c r="W511" s="32"/>
      <x:c r="X511" s="32" t="n">
        <x:v>0.56</x:v>
      </x:c>
      <x:c r="Y511" s="32"/>
      <x:c r="Z511" s="32"/>
      <x:c r="AA511" s="32"/>
      <x:c r="AB511" s="32"/>
      <x:c r="AC511" s="32"/>
      <x:c r="AD511" s="32"/>
      <x:c r="AE511" s="32"/>
      <x:c r="AF511" s="32"/>
      <x:c r="AG511" s="32"/>
      <x:c r="AH511" s="32"/>
      <x:c r="AI511" s="32"/>
      <x:c r="AJ511" s="32"/>
      <x:c r="AK511" s="32"/>
      <x:c r="AL511" s="32"/>
      <x:c r="AM511" s="32" t="n">
        <x:v>12</x:v>
      </x:c>
      <x:c r="AN511" s="32"/>
      <x:c r="AO511" s="32"/>
      <x:c r="AP511" s="32" t="n">
        <x:v>750</x:v>
      </x:c>
      <x:c r="AQ511" s="32"/>
      <x:c r="AR511" s="32"/>
      <x:c r="AS511" s="32"/>
      <x:c r="AT511" s="32"/>
      <x:c r="AU511" s="32"/>
      <x:c r="AV511" s="32"/>
      <x:c r="AW511" s="32"/>
      <x:c r="AX511" s="32"/>
      <x:c r="AY511" s="32"/>
      <x:c r="AZ511" s="32"/>
      <x:c r="BA511" s="32"/>
    </x:row>
    <x:row r="512">
      <x:c r="A512" s="25" t="str">
        <x:v>C09-E</x:v>
      </x:c>
      <x:c r="B512" s="25" t="str">
        <x:v>亚坛高原</x:v>
      </x:c>
      <x:c r="C512" s="25" t="str">
        <x:v>半急速入场</x:v>
      </x:c>
      <x:c r="D512" s="25" t="str">
        <x:v>材料图鉴</x:v>
      </x:c>
      <x:c r="E512" s="25" t="str">
        <x:v>本类5项（逐项见完整JSON）</x:v>
      </x:c>
      <x:c r="F512" s="25" t="str">
        <x:v>S07/collection_materials</x:v>
      </x:c>
      <x:c r="G512" s="25" t="str">
        <x:v>原表数值</x:v>
      </x:c>
      <x:c r="H512" s="25" t="str">
        <x:v>由同包逐项数据聚合，便于核对</x:v>
      </x:c>
      <x:c r="I512" s="32"/>
      <x:c r="J512" s="32"/>
      <x:c r="K512" s="32"/>
      <x:c r="L512" s="32"/>
      <x:c r="M512" s="32"/>
      <x:c r="N512" s="32"/>
      <x:c r="O512" s="32"/>
      <x:c r="P512" s="32"/>
      <x:c r="Q512" s="32"/>
      <x:c r="R512" s="32"/>
      <x:c r="S512" s="32"/>
      <x:c r="T512" s="32"/>
      <x:c r="U512" s="32"/>
      <x:c r="V512" s="32"/>
      <x:c r="W512" s="32"/>
      <x:c r="X512" s="32" t="n">
        <x:v>0.41000000000000003</x:v>
      </x:c>
      <x:c r="Y512" s="32"/>
      <x:c r="Z512" s="32"/>
      <x:c r="AA512" s="32"/>
      <x:c r="AB512" s="32"/>
      <x:c r="AC512" s="32"/>
      <x:c r="AD512" s="32"/>
      <x:c r="AE512" s="32"/>
      <x:c r="AF512" s="32"/>
      <x:c r="AG512" s="32"/>
      <x:c r="AH512" s="32"/>
      <x:c r="AI512" s="32"/>
      <x:c r="AJ512" s="32"/>
      <x:c r="AK512" s="32"/>
      <x:c r="AL512" s="32"/>
      <x:c r="AM512" s="32" t="n">
        <x:v>0</x:v>
      </x:c>
      <x:c r="AN512" s="32"/>
      <x:c r="AO512" s="32"/>
      <x:c r="AP512" s="32" t="n">
        <x:v>0</x:v>
      </x:c>
      <x:c r="AQ512" s="32"/>
      <x:c r="AR512" s="32"/>
      <x:c r="AS512" s="32"/>
      <x:c r="AT512" s="32"/>
      <x:c r="AU512" s="32"/>
      <x:c r="AV512" s="32"/>
      <x:c r="AW512" s="32"/>
      <x:c r="AX512" s="32"/>
      <x:c r="AY512" s="32"/>
      <x:c r="AZ512" s="32"/>
      <x:c r="BA512" s="32"/>
    </x:row>
    <x:row r="513">
      <x:c r="A513" s="25" t="str">
        <x:v>C09-E</x:v>
      </x:c>
      <x:c r="B513" s="25" t="str">
        <x:v>亚坛高原</x:v>
      </x:c>
      <x:c r="C513" s="25" t="str">
        <x:v>半急速入场</x:v>
      </x:c>
      <x:c r="D513" s="25" t="str">
        <x:v>旧任务</x:v>
      </x:c>
      <x:c r="E513" s="25" t="str">
        <x:v>本类6项（逐项见完整JSON）</x:v>
      </x:c>
      <x:c r="F513" s="25" t="str">
        <x:v>宁姆格福_完整怪物装备任务爆率规划/地图任务；第一大陆_地图魂魄任务.txt</x:v>
      </x:c>
      <x:c r="G513" s="25" t="str">
        <x:v>原件确认；原表数值</x:v>
      </x:c>
      <x:c r="H513" s="25" t="str">
        <x:v>由同包逐项数据聚合，便于核对</x:v>
      </x:c>
      <x:c r="I513" s="32" t="n">
        <x:v>60</x:v>
      </x:c>
      <x:c r="J513" s="32" t="n">
        <x:v>60</x:v>
      </x:c>
      <x:c r="K513" s="32" t="n">
        <x:v>60</x:v>
      </x:c>
      <x:c r="L513" s="32" t="n">
        <x:v>60</x:v>
      </x:c>
      <x:c r="M513" s="32" t="n">
        <x:v>60</x:v>
      </x:c>
      <x:c r="N513" s="32" t="n">
        <x:v>60</x:v>
      </x:c>
      <x:c r="O513" s="32"/>
      <x:c r="P513" s="32"/>
      <x:c r="Q513" s="32"/>
      <x:c r="R513" s="32"/>
      <x:c r="S513" s="32"/>
      <x:c r="T513" s="32"/>
      <x:c r="U513" s="32"/>
      <x:c r="V513" s="32"/>
      <x:c r="W513" s="32"/>
      <x:c r="X513" s="32"/>
      <x:c r="Y513" s="32"/>
      <x:c r="Z513" s="32"/>
      <x:c r="AA513" s="32"/>
      <x:c r="AB513" s="32"/>
      <x:c r="AC513" s="32"/>
      <x:c r="AD513" s="32"/>
      <x:c r="AE513" s="32"/>
      <x:c r="AF513" s="32"/>
      <x:c r="AG513" s="32"/>
      <x:c r="AH513" s="32"/>
      <x:c r="AI513" s="32"/>
      <x:c r="AJ513" s="32"/>
      <x:c r="AK513" s="32"/>
      <x:c r="AL513" s="32"/>
      <x:c r="AM513" s="32" t="n">
        <x:v>2</x:v>
      </x:c>
      <x:c r="AN513" s="32"/>
      <x:c r="AO513" s="32"/>
      <x:c r="AP513" s="32" t="n">
        <x:v>120</x:v>
      </x:c>
      <x:c r="AQ513" s="32"/>
      <x:c r="AR513" s="32"/>
      <x:c r="AS513" s="32"/>
      <x:c r="AT513" s="32"/>
      <x:c r="AU513" s="32"/>
      <x:c r="AV513" s="32"/>
      <x:c r="AW513" s="32"/>
      <x:c r="AX513" s="32"/>
      <x:c r="AY513" s="32"/>
      <x:c r="AZ513" s="32"/>
      <x:c r="BA513" s="32"/>
    </x:row>
    <x:row r="514">
      <x:c r="A514" s="25" t="str">
        <x:v>C09-E</x:v>
      </x:c>
      <x:c r="B514" s="25" t="str">
        <x:v>亚坛高原</x:v>
      </x:c>
      <x:c r="C514" s="25" t="str">
        <x:v>半急速入场</x:v>
      </x:c>
      <x:c r="D514" s="25" t="str">
        <x:v>装备</x:v>
      </x:c>
      <x:c r="E514" s="25" t="str">
        <x:v>本类31项（逐项见完整JSON）</x:v>
      </x:c>
      <x:c r="F514" s="25" t="str">
        <x:v>S02；S07</x:v>
      </x:c>
      <x:c r="G514" s="25" t="str">
        <x:v>原表数值</x:v>
      </x:c>
      <x:c r="H514" s="25" t="str">
        <x:v>由同包逐项数据聚合，便于核对</x:v>
      </x:c>
      <x:c r="I514" s="32" t="n">
        <x:v>18852</x:v>
      </x:c>
      <x:c r="J514" s="32" t="n">
        <x:v>36174</x:v>
      </x:c>
      <x:c r="K514" s="32" t="n">
        <x:v>18852</x:v>
      </x:c>
      <x:c r="L514" s="32" t="n">
        <x:v>36174</x:v>
      </x:c>
      <x:c r="M514" s="32" t="n">
        <x:v>18852</x:v>
      </x:c>
      <x:c r="N514" s="32" t="n">
        <x:v>36174</x:v>
      </x:c>
      <x:c r="O514" s="32" t="n">
        <x:v>26175400</x:v>
      </x:c>
      <x:c r="P514" s="32"/>
      <x:c r="Q514" s="32" t="n">
        <x:v>520</x:v>
      </x:c>
      <x:c r="R514" s="32" t="n">
        <x:v>964</x:v>
      </x:c>
      <x:c r="S514" s="32" t="n">
        <x:v>418</x:v>
      </x:c>
      <x:c r="T514" s="32" t="n">
        <x:v>780</x:v>
      </x:c>
      <x:c r="U514" s="32" t="n">
        <x:v>598</x:v>
      </x:c>
      <x:c r="V514" s="32" t="n">
        <x:v>598</x:v>
      </x:c>
      <x:c r="W514" s="32" t="n">
        <x:v>598</x:v>
      </x:c>
      <x:c r="X514" s="32"/>
      <x:c r="Y514" s="32"/>
      <x:c r="Z514" s="32" t="n">
        <x:v>140</x:v>
      </x:c>
      <x:c r="AA514" s="32" t="n">
        <x:v>42</x:v>
      </x:c>
      <x:c r="AB514" s="32"/>
      <x:c r="AC514" s="32" t="n">
        <x:v>199</x:v>
      </x:c>
      <x:c r="AD514" s="32" t="n">
        <x:v>1</x:v>
      </x:c>
      <x:c r="AE514" s="32" t="n">
        <x:v>25</x:v>
      </x:c>
      <x:c r="AF514" s="32"/>
      <x:c r="AG514" s="32"/>
      <x:c r="AH514" s="32" t="n">
        <x:v>33</x:v>
      </x:c>
      <x:c r="AI514" s="32" t="n">
        <x:v>6</x:v>
      </x:c>
      <x:c r="AJ514" s="32" t="n">
        <x:v>144</x:v>
      </x:c>
      <x:c r="AK514" s="32"/>
      <x:c r="AL514" s="32"/>
      <x:c r="AM514" s="32"/>
      <x:c r="AN514" s="32" t="n">
        <x:v>20</x:v>
      </x:c>
      <x:c r="AO514" s="32" t="n">
        <x:v>0.2</x:v>
      </x:c>
      <x:c r="AP514" s="32" t="n">
        <x:v>52</x:v>
      </x:c>
      <x:c r="AQ514" s="32" t="n">
        <x:v>73</x:v>
      </x:c>
      <x:c r="AR514" s="32"/>
      <x:c r="AS514" s="32" t="n">
        <x:v>10</x:v>
      </x:c>
      <x:c r="AT514" s="32"/>
      <x:c r="AU514" s="32"/>
      <x:c r="AV514" s="32"/>
      <x:c r="AW514" s="32"/>
      <x:c r="AX514" s="32"/>
      <x:c r="AY514" s="32"/>
      <x:c r="AZ514" s="32" t="n">
        <x:v>11</x:v>
      </x:c>
      <x:c r="BA514" s="32"/>
    </x:row>
    <x:row r="515">
      <x:c r="A515" s="25" t="str">
        <x:v>C09-E</x:v>
      </x:c>
      <x:c r="B515" s="25" t="str">
        <x:v>亚坛高原</x:v>
      </x:c>
      <x:c r="C515" s="25" t="str">
        <x:v>半急速入场</x:v>
      </x:c>
      <x:c r="D515" s="25" t="str">
        <x:v>洗练</x:v>
      </x:c>
      <x:c r="E515" s="25" t="str">
        <x:v>本类10项（逐项见完整JSON）</x:v>
      </x:c>
      <x:c r="F515" s="25" t="str">
        <x:v>S06＋固定种子</x:v>
      </x:c>
      <x:c r="G515" s="25" t="str">
        <x:v>可实现随机样本</x:v>
      </x:c>
      <x:c r="H515" s="25" t="str">
        <x:v>由同包逐项数据聚合，便于核对</x:v>
      </x:c>
      <x:c r="I515" s="32" t="n">
        <x:v>934</x:v>
      </x:c>
      <x:c r="J515" s="32" t="n">
        <x:v>934</x:v>
      </x:c>
      <x:c r="K515" s="32" t="n">
        <x:v>1898</x:v>
      </x:c>
      <x:c r="L515" s="32" t="n">
        <x:v>1898</x:v>
      </x:c>
      <x:c r="M515" s="32" t="n">
        <x:v>266</x:v>
      </x:c>
      <x:c r="N515" s="32" t="n">
        <x:v>266</x:v>
      </x:c>
      <x:c r="O515" s="32"/>
      <x:c r="P515" s="32"/>
      <x:c r="Q515" s="32"/>
      <x:c r="R515" s="32"/>
      <x:c r="S515" s="32"/>
      <x:c r="T515" s="32"/>
      <x:c r="U515" s="32" t="n">
        <x:v>380</x:v>
      </x:c>
      <x:c r="V515" s="32"/>
      <x:c r="W515" s="32"/>
      <x:c r="X515" s="32"/>
      <x:c r="Y515" s="32"/>
      <x:c r="Z515" s="32"/>
      <x:c r="AA515" s="32"/>
      <x:c r="AB515" s="32"/>
      <x:c r="AC515" s="32"/>
      <x:c r="AD515" s="32"/>
      <x:c r="AE515" s="32"/>
      <x:c r="AF515" s="32"/>
      <x:c r="AG515" s="32"/>
      <x:c r="AH515" s="32" t="n">
        <x:v>6</x:v>
      </x:c>
      <x:c r="AI515" s="32"/>
      <x:c r="AJ515" s="32"/>
      <x:c r="AK515" s="32"/>
      <x:c r="AL515" s="32"/>
      <x:c r="AM515" s="32" t="n">
        <x:v>6</x:v>
      </x:c>
      <x:c r="AN515" s="32" t="n">
        <x:v>3</x:v>
      </x:c>
      <x:c r="AO515" s="32" t="n">
        <x:v>4</x:v>
      </x:c>
      <x:c r="AP515" s="32" t="n">
        <x:v>50</x:v>
      </x:c>
      <x:c r="AQ515" s="32"/>
      <x:c r="AR515" s="32" t="n">
        <x:v>1</x:v>
      </x:c>
      <x:c r="AS515" s="32" t="n">
        <x:v>2</x:v>
      </x:c>
      <x:c r="AT515" s="32"/>
      <x:c r="AU515" s="32" t="n">
        <x:v>6</x:v>
      </x:c>
      <x:c r="AV515" s="32"/>
      <x:c r="AW515" s="32"/>
      <x:c r="AX515" s="32"/>
      <x:c r="AY515" s="32"/>
      <x:c r="AZ515" s="32"/>
      <x:c r="BA515" s="32"/>
    </x:row>
    <x:row r="516">
      <x:c r="A516" s="25" t="str">
        <x:v>C09-E</x:v>
      </x:c>
      <x:c r="B516" s="25" t="str">
        <x:v>亚坛高原</x:v>
      </x:c>
      <x:c r="C516" s="25" t="str">
        <x:v>半急速入场</x:v>
      </x:c>
      <x:c r="D516" s="25" t="str">
        <x:v>命格</x:v>
      </x:c>
      <x:c r="E516" s="25" t="str">
        <x:v>本类7项（逐项见完整JSON）</x:v>
      </x:c>
      <x:c r="F516" s="25" t="str">
        <x:v>S03/命格ID1081；S03/命格ID1086；S03/命格ID1089；S03/命格ID1090；S03/命格ID1092；S03/命格ID1093；S03/命格ID1097</x:v>
      </x:c>
      <x:c r="G516" s="25" t="str">
        <x:v>原表彩色＋选配假设</x:v>
      </x:c>
      <x:c r="H516" s="25" t="str">
        <x:v>由同包逐项数据聚合，便于核对</x:v>
      </x:c>
      <x:c r="I516" s="32"/>
      <x:c r="J516" s="32"/>
      <x:c r="K516" s="32"/>
      <x:c r="L516" s="32"/>
      <x:c r="M516" s="32"/>
      <x:c r="N516" s="32"/>
      <x:c r="O516" s="32" t="n">
        <x:v>1500</x:v>
      </x:c>
      <x:c r="P516" s="32"/>
      <x:c r="Q516" s="32"/>
      <x:c r="R516" s="32"/>
      <x:c r="S516" s="32"/>
      <x:c r="T516" s="32"/>
      <x:c r="U516" s="32" t="n">
        <x:v>3</x:v>
      </x:c>
      <x:c r="V516" s="32"/>
      <x:c r="W516" s="32"/>
      <x:c r="X516" s="32"/>
      <x:c r="Y516" s="32" t="n">
        <x:v>6</x:v>
      </x:c>
      <x:c r="Z516" s="32" t="n">
        <x:v>3</x:v>
      </x:c>
      <x:c r="AA516" s="32" t="n">
        <x:v>5</x:v>
      </x:c>
      <x:c r="AB516" s="32"/>
      <x:c r="AC516" s="32"/>
      <x:c r="AD516" s="32"/>
      <x:c r="AE516" s="32"/>
      <x:c r="AF516" s="32"/>
      <x:c r="AG516" s="32"/>
      <x:c r="AH516" s="32" t="n">
        <x:v>2</x:v>
      </x:c>
      <x:c r="AI516" s="32"/>
      <x:c r="AJ516" s="32" t="n">
        <x:v>10</x:v>
      </x:c>
      <x:c r="AK516" s="32"/>
      <x:c r="AL516" s="32"/>
      <x:c r="AM516" s="32" t="n">
        <x:v>6</x:v>
      </x:c>
      <x:c r="AN516" s="32"/>
      <x:c r="AO516" s="32"/>
      <x:c r="AP516" s="32"/>
      <x:c r="AQ516" s="32" t="n">
        <x:v>6</x:v>
      </x:c>
      <x:c r="AR516" s="32" t="n">
        <x:v>3</x:v>
      </x:c>
      <x:c r="AS516" s="32" t="n">
        <x:v>0.75</x:v>
      </x:c>
      <x:c r="AT516" s="32" t="n">
        <x:v>50</x:v>
      </x:c>
      <x:c r="AU516" s="32" t="n">
        <x:v>2</x:v>
      </x:c>
      <x:c r="AV516" s="32" t="n">
        <x:v>3</x:v>
      </x:c>
      <x:c r="AW516" s="32"/>
      <x:c r="AX516" s="32"/>
      <x:c r="AY516" s="32"/>
      <x:c r="AZ516" s="32"/>
      <x:c r="BA516" s="32"/>
    </x:row>
    <x:row r="517">
      <x:c r="A517" s="25" t="str">
        <x:v>C09-E</x:v>
      </x:c>
      <x:c r="B517" s="25" t="str">
        <x:v>亚坛高原</x:v>
      </x:c>
      <x:c r="C517" s="25" t="str">
        <x:v>半急速入场</x:v>
      </x:c>
      <x:c r="D517" s="25" t="str">
        <x:v>后天幸运</x:v>
      </x:c>
      <x:c r="E517" s="25" t="str">
        <x:v>本类1项（逐项见完整JSON）</x:v>
      </x:c>
      <x:c r="F517" s="25" t="str">
        <x:v>A08</x:v>
      </x:c>
      <x:c r="G517" s="25" t="str">
        <x:v>人物永久进度</x:v>
      </x:c>
      <x:c r="H517" s="25" t="str">
        <x:v>由同包逐项数据聚合，便于核对</x:v>
      </x:c>
      <x:c r="I517" s="32"/>
      <x:c r="J517" s="32"/>
      <x:c r="K517" s="32"/>
      <x:c r="L517" s="32"/>
      <x:c r="M517" s="32"/>
      <x:c r="N517" s="32"/>
      <x:c r="O517" s="32"/>
      <x:c r="P517" s="32"/>
      <x:c r="Q517" s="32"/>
      <x:c r="R517" s="32"/>
      <x:c r="S517" s="32"/>
      <x:c r="T517" s="32"/>
      <x:c r="U517" s="32"/>
      <x:c r="V517" s="32"/>
      <x:c r="W517" s="32"/>
      <x:c r="X517" s="32"/>
      <x:c r="Y517" s="32"/>
      <x:c r="Z517" s="32"/>
      <x:c r="AA517" s="32"/>
      <x:c r="AB517" s="32"/>
      <x:c r="AC517" s="32"/>
      <x:c r="AD517" s="32"/>
      <x:c r="AE517" s="32"/>
      <x:c r="AF517" s="32"/>
      <x:c r="AG517" s="32"/>
      <x:c r="AH517" s="32"/>
      <x:c r="AI517" s="32"/>
      <x:c r="AJ517" s="32"/>
      <x:c r="AK517" s="32" t="n">
        <x:v>7</x:v>
      </x:c>
      <x:c r="AL517" s="32" t="n">
        <x:v>8</x:v>
      </x:c>
      <x:c r="AM517" s="32"/>
      <x:c r="AN517" s="32"/>
      <x:c r="AO517" s="32"/>
      <x:c r="AP517" s="32"/>
      <x:c r="AQ517" s="32"/>
      <x:c r="AR517" s="32"/>
      <x:c r="AS517" s="32"/>
      <x:c r="AT517" s="32"/>
      <x:c r="AU517" s="32"/>
      <x:c r="AV517" s="32"/>
      <x:c r="AW517" s="32"/>
      <x:c r="AX517" s="32"/>
      <x:c r="AY517" s="32"/>
      <x:c r="AZ517" s="32"/>
      <x:c r="BA517" s="32"/>
    </x:row>
    <x:row r="518">
      <x:c r="A518" s="25" t="str">
        <x:v>C09-E</x:v>
      </x:c>
      <x:c r="B518" s="25" t="str">
        <x:v>亚坛高原</x:v>
      </x:c>
      <x:c r="C518" s="25" t="str">
        <x:v>半急速入场</x:v>
      </x:c>
      <x:c r="D518" s="25" t="str">
        <x:v>回收预算</x:v>
      </x:c>
      <x:c r="E518" s="25" t="str">
        <x:v>本类1项（逐项见完整JSON）</x:v>
      </x:c>
      <x:c r="F518" s="25" t="str">
        <x:v>用户总回收50%</x:v>
      </x:c>
      <x:c r="G518" s="25" t="str">
        <x:v>经济输入，不是新增属性来源</x:v>
      </x:c>
      <x:c r="H518" s="25" t="str">
        <x:v>由同包逐项数据聚合，便于核对</x:v>
      </x:c>
      <x:c r="I518" s="32"/>
      <x:c r="J518" s="32"/>
      <x:c r="K518" s="32"/>
      <x:c r="L518" s="32"/>
      <x:c r="M518" s="32"/>
      <x:c r="N518" s="32"/>
      <x:c r="O518" s="32"/>
      <x:c r="P518" s="32"/>
      <x:c r="Q518" s="32"/>
      <x:c r="R518" s="32"/>
      <x:c r="S518" s="32"/>
      <x:c r="T518" s="32"/>
      <x:c r="U518" s="32"/>
      <x:c r="V518" s="32"/>
      <x:c r="W518" s="32"/>
      <x:c r="X518" s="32"/>
      <x:c r="Y518" s="32"/>
      <x:c r="Z518" s="32"/>
      <x:c r="AA518" s="32"/>
      <x:c r="AB518" s="32"/>
      <x:c r="AC518" s="32"/>
      <x:c r="AD518" s="32"/>
      <x:c r="AE518" s="32"/>
      <x:c r="AF518" s="32"/>
      <x:c r="AG518" s="32"/>
      <x:c r="AH518" s="32"/>
      <x:c r="AI518" s="32"/>
      <x:c r="AJ518" s="32"/>
      <x:c r="AK518" s="32"/>
      <x:c r="AL518" s="32"/>
      <x:c r="AM518" s="32"/>
      <x:c r="AN518" s="32"/>
      <x:c r="AO518" s="32"/>
      <x:c r="AP518" s="32"/>
      <x:c r="AQ518" s="32"/>
      <x:c r="AR518" s="32"/>
      <x:c r="AS518" s="32"/>
      <x:c r="AT518" s="32"/>
      <x:c r="AU518" s="32"/>
      <x:c r="AV518" s="32"/>
      <x:c r="AW518" s="32"/>
      <x:c r="AX518" s="32"/>
      <x:c r="AY518" s="32"/>
      <x:c r="AZ518" s="32"/>
      <x:c r="BA518" s="32" t="n">
        <x:v>50</x:v>
      </x:c>
    </x:row>
    <x:row r="519">
      <x:c r="A519" s="25" t="str">
        <x:v>C09-M</x:v>
      </x:c>
      <x:c r="B519" s="25" t="str">
        <x:v>亚坛高原</x:v>
      </x:c>
      <x:c r="C519" s="25" t="str">
        <x:v>半急速中期</x:v>
      </x:c>
      <x:c r="D519" s="25" t="str">
        <x:v>人物自然</x:v>
      </x:c>
      <x:c r="E519" s="25" t="str">
        <x:v>本类1项（逐项见完整JSON）</x:v>
      </x:c>
      <x:c r="F519" s="25" t="str">
        <x:v>A01</x:v>
      </x:c>
      <x:c r="G519" s="25" t="str">
        <x:v>模型假设</x:v>
      </x:c>
      <x:c r="H519" s="25" t="str">
        <x:v>由同包逐项数据聚合，便于核对</x:v>
      </x:c>
      <x:c r="I519" s="32" t="n">
        <x:v>24</x:v>
      </x:c>
      <x:c r="J519" s="32" t="n">
        <x:v>55.5</x:v>
      </x:c>
      <x:c r="K519" s="32"/>
      <x:c r="L519" s="32"/>
      <x:c r="M519" s="32"/>
      <x:c r="N519" s="32"/>
      <x:c r="O519" s="32" t="n">
        <x:v>4400</x:v>
      </x:c>
      <x:c r="P519" s="32" t="n">
        <x:v>1050</x:v>
      </x:c>
      <x:c r="Q519" s="32"/>
      <x:c r="R519" s="32"/>
      <x:c r="S519" s="32"/>
      <x:c r="T519" s="32"/>
      <x:c r="U519" s="32"/>
      <x:c r="V519" s="32"/>
      <x:c r="W519" s="32"/>
      <x:c r="X519" s="32"/>
      <x:c r="Y519" s="32"/>
      <x:c r="Z519" s="32"/>
      <x:c r="AA519" s="32"/>
      <x:c r="AB519" s="32"/>
      <x:c r="AC519" s="32"/>
      <x:c r="AD519" s="32"/>
      <x:c r="AE519" s="32"/>
      <x:c r="AF519" s="32"/>
      <x:c r="AG519" s="32"/>
      <x:c r="AH519" s="32"/>
      <x:c r="AI519" s="32"/>
      <x:c r="AJ519" s="32"/>
      <x:c r="AK519" s="32"/>
      <x:c r="AL519" s="32"/>
      <x:c r="AM519" s="32"/>
      <x:c r="AN519" s="32"/>
      <x:c r="AO519" s="32"/>
      <x:c r="AP519" s="32"/>
      <x:c r="AQ519" s="32"/>
      <x:c r="AR519" s="32"/>
      <x:c r="AS519" s="32"/>
      <x:c r="AT519" s="32"/>
      <x:c r="AU519" s="32"/>
      <x:c r="AV519" s="32"/>
      <x:c r="AW519" s="32"/>
      <x:c r="AX519" s="32"/>
      <x:c r="AY519" s="32"/>
      <x:c r="AZ519" s="32"/>
      <x:c r="BA519" s="32"/>
    </x:row>
    <x:row r="520">
      <x:c r="A520" s="25" t="str">
        <x:v>C09-M</x:v>
      </x:c>
      <x:c r="B520" s="25" t="str">
        <x:v>亚坛高原</x:v>
      </x:c>
      <x:c r="C520" s="25" t="str">
        <x:v>半急速中期</x:v>
      </x:c>
      <x:c r="D520" s="25" t="str">
        <x:v>付费状态</x:v>
      </x:c>
      <x:c r="E520" s="25" t="str">
        <x:v>本类3项（逐项见完整JSON）</x:v>
      </x:c>
      <x:c r="F520" s="25" t="str">
        <x:v>20260903总档</x:v>
      </x:c>
      <x:c r="G520" s="25" t="str">
        <x:v>原表数值</x:v>
      </x:c>
      <x:c r="H520" s="25" t="str">
        <x:v>由同包逐项数据聚合，便于核对</x:v>
      </x:c>
      <x:c r="I520" s="32" t="n">
        <x:v>149</x:v>
      </x:c>
      <x:c r="J520" s="32" t="n">
        <x:v>149</x:v>
      </x:c>
      <x:c r="K520" s="32" t="n">
        <x:v>149</x:v>
      </x:c>
      <x:c r="L520" s="32" t="n">
        <x:v>149</x:v>
      </x:c>
      <x:c r="M520" s="32" t="n">
        <x:v>149</x:v>
      </x:c>
      <x:c r="N520" s="32" t="n">
        <x:v>149</x:v>
      </x:c>
      <x:c r="O520" s="32" t="n">
        <x:v>10000</x:v>
      </x:c>
      <x:c r="P520" s="32"/>
      <x:c r="Q520" s="32"/>
      <x:c r="R520" s="32"/>
      <x:c r="S520" s="32"/>
      <x:c r="T520" s="32"/>
      <x:c r="U520" s="32"/>
      <x:c r="V520" s="32"/>
      <x:c r="W520" s="32"/>
      <x:c r="X520" s="32"/>
      <x:c r="Y520" s="32" t="n">
        <x:v>10</x:v>
      </x:c>
      <x:c r="Z520" s="32"/>
      <x:c r="AA520" s="32"/>
      <x:c r="AB520" s="32" t="n">
        <x:v>20</x:v>
      </x:c>
      <x:c r="AC520" s="32"/>
      <x:c r="AD520" s="32"/>
      <x:c r="AE520" s="32"/>
      <x:c r="AF520" s="32"/>
      <x:c r="AG520" s="32"/>
      <x:c r="AH520" s="32"/>
      <x:c r="AI520" s="32"/>
      <x:c r="AJ520" s="32"/>
      <x:c r="AK520" s="32"/>
      <x:c r="AL520" s="32"/>
      <x:c r="AM520" s="32" t="n">
        <x:v>10</x:v>
      </x:c>
      <x:c r="AN520" s="32"/>
      <x:c r="AO520" s="32"/>
      <x:c r="AP520" s="32" t="n">
        <x:v>50</x:v>
      </x:c>
      <x:c r="AQ520" s="32"/>
      <x:c r="AR520" s="32"/>
      <x:c r="AS520" s="32"/>
      <x:c r="AT520" s="32" t="n">
        <x:v>700</x:v>
      </x:c>
      <x:c r="AU520" s="32" t="n">
        <x:v>15</x:v>
      </x:c>
      <x:c r="AV520" s="32"/>
      <x:c r="AW520" s="32"/>
      <x:c r="AX520" s="32"/>
      <x:c r="AY520" s="32"/>
      <x:c r="AZ520" s="32"/>
      <x:c r="BA520" s="32"/>
    </x:row>
    <x:row r="521">
      <x:c r="A521" s="25" t="str">
        <x:v>C09-M</x:v>
      </x:c>
      <x:c r="B521" s="25" t="str">
        <x:v>亚坛高原</x:v>
      </x:c>
      <x:c r="C521" s="25" t="str">
        <x:v>半急速中期</x:v>
      </x:c>
      <x:c r="D521" s="25" t="str">
        <x:v>成长装备</x:v>
      </x:c>
      <x:c r="E521" s="25" t="str">
        <x:v>本类2项（逐项见完整JSON）</x:v>
      </x:c>
      <x:c r="F521" s="25" t="str">
        <x:v>20260903总档 / A04</x:v>
      </x:c>
      <x:c r="G521" s="25" t="str">
        <x:v>原表＋支付路径假设</x:v>
      </x:c>
      <x:c r="H521" s="25" t="str">
        <x:v>由同包逐项数据聚合，便于核对</x:v>
      </x:c>
      <x:c r="I521" s="32" t="n">
        <x:v>1100</x:v>
      </x:c>
      <x:c r="J521" s="32" t="n">
        <x:v>1100</x:v>
      </x:c>
      <x:c r="K521" s="32" t="n">
        <x:v>1100</x:v>
      </x:c>
      <x:c r="L521" s="32" t="n">
        <x:v>1100</x:v>
      </x:c>
      <x:c r="M521" s="32" t="n">
        <x:v>1100</x:v>
      </x:c>
      <x:c r="N521" s="32" t="n">
        <x:v>1100</x:v>
      </x:c>
      <x:c r="O521" s="32"/>
      <x:c r="P521" s="32"/>
      <x:c r="Q521" s="32"/>
      <x:c r="R521" s="32"/>
      <x:c r="S521" s="32"/>
      <x:c r="T521" s="32"/>
      <x:c r="U521" s="32"/>
      <x:c r="V521" s="32"/>
      <x:c r="W521" s="32"/>
      <x:c r="X521" s="32"/>
      <x:c r="Y521" s="32"/>
      <x:c r="Z521" s="32"/>
      <x:c r="AA521" s="32"/>
      <x:c r="AB521" s="32"/>
      <x:c r="AC521" s="32"/>
      <x:c r="AD521" s="32"/>
      <x:c r="AE521" s="32"/>
      <x:c r="AF521" s="32"/>
      <x:c r="AG521" s="32"/>
      <x:c r="AH521" s="32"/>
      <x:c r="AI521" s="32"/>
      <x:c r="AJ521" s="32"/>
      <x:c r="AK521" s="32"/>
      <x:c r="AL521" s="32"/>
      <x:c r="AM521" s="32"/>
      <x:c r="AN521" s="32"/>
      <x:c r="AO521" s="32"/>
      <x:c r="AP521" s="32"/>
      <x:c r="AQ521" s="32"/>
      <x:c r="AR521" s="32"/>
      <x:c r="AS521" s="32"/>
      <x:c r="AT521" s="32"/>
      <x:c r="AU521" s="32"/>
      <x:c r="AV521" s="32"/>
      <x:c r="AW521" s="32" t="n">
        <x:v>10</x:v>
      </x:c>
      <x:c r="AX521" s="32" t="n">
        <x:v>10</x:v>
      </x:c>
      <x:c r="AY521" s="32"/>
      <x:c r="AZ521" s="32"/>
      <x:c r="BA521" s="32"/>
    </x:row>
    <x:row r="522">
      <x:c r="A522" s="25" t="str">
        <x:v>C09-M</x:v>
      </x:c>
      <x:c r="B522" s="25" t="str">
        <x:v>亚坛高原</x:v>
      </x:c>
      <x:c r="C522" s="25" t="str">
        <x:v>半急速中期</x:v>
      </x:c>
      <x:c r="D522" s="25" t="str">
        <x:v>贯穿称号</x:v>
      </x:c>
      <x:c r="E522" s="25" t="str">
        <x:v>本类1项（逐项见完整JSON）</x:v>
      </x:c>
      <x:c r="F522" s="25" t="str">
        <x:v>S04/01_贯穿称号</x:v>
      </x:c>
      <x:c r="G522" s="25" t="str">
        <x:v>原表数值</x:v>
      </x:c>
      <x:c r="H522" s="25" t="str">
        <x:v>由同包逐项数据聚合，便于核对</x:v>
      </x:c>
      <x:c r="I522" s="32" t="n">
        <x:v>60000</x:v>
      </x:c>
      <x:c r="J522" s="32" t="n">
        <x:v>60000</x:v>
      </x:c>
      <x:c r="K522" s="32" t="n">
        <x:v>60000</x:v>
      </x:c>
      <x:c r="L522" s="32" t="n">
        <x:v>60000</x:v>
      </x:c>
      <x:c r="M522" s="32" t="n">
        <x:v>60000</x:v>
      </x:c>
      <x:c r="N522" s="32" t="n">
        <x:v>60000</x:v>
      </x:c>
      <x:c r="O522" s="32" t="n">
        <x:v>6000000</x:v>
      </x:c>
      <x:c r="P522" s="32" t="n">
        <x:v>6000000</x:v>
      </x:c>
      <x:c r="Q522" s="32"/>
      <x:c r="R522" s="32"/>
      <x:c r="S522" s="32"/>
      <x:c r="T522" s="32"/>
      <x:c r="U522" s="32"/>
      <x:c r="V522" s="32"/>
      <x:c r="W522" s="32"/>
      <x:c r="X522" s="32"/>
      <x:c r="Y522" s="32"/>
      <x:c r="Z522" s="32"/>
      <x:c r="AA522" s="32"/>
      <x:c r="AB522" s="32"/>
      <x:c r="AC522" s="32"/>
      <x:c r="AD522" s="32"/>
      <x:c r="AE522" s="32"/>
      <x:c r="AF522" s="32"/>
      <x:c r="AG522" s="32"/>
      <x:c r="AH522" s="32"/>
      <x:c r="AI522" s="32"/>
      <x:c r="AJ522" s="32"/>
      <x:c r="AK522" s="32"/>
      <x:c r="AL522" s="32"/>
      <x:c r="AM522" s="32"/>
      <x:c r="AN522" s="32"/>
      <x:c r="AO522" s="32"/>
      <x:c r="AP522" s="32"/>
      <x:c r="AQ522" s="32"/>
      <x:c r="AR522" s="32"/>
      <x:c r="AS522" s="32"/>
      <x:c r="AT522" s="32" t="n">
        <x:v>5100</x:v>
      </x:c>
      <x:c r="AU522" s="32"/>
      <x:c r="AV522" s="32"/>
      <x:c r="AW522" s="32"/>
      <x:c r="AX522" s="32"/>
      <x:c r="AY522" s="32"/>
      <x:c r="AZ522" s="32"/>
      <x:c r="BA522" s="32"/>
    </x:row>
    <x:row r="523">
      <x:c r="A523" s="25" t="str">
        <x:v>C09-M</x:v>
      </x:c>
      <x:c r="B523" s="25" t="str">
        <x:v>亚坛高原</x:v>
      </x:c>
      <x:c r="C523" s="25" t="str">
        <x:v>半急速中期</x:v>
      </x:c>
      <x:c r="D523" s="25" t="str">
        <x:v>神印</x:v>
      </x:c>
      <x:c r="E523" s="25" t="str">
        <x:v>本类1项（逐项见完整JSON）</x:v>
      </x:c>
      <x:c r="F523" s="25" t="str">
        <x:v>S04 / 神印公式</x:v>
      </x:c>
      <x:c r="G523" s="25" t="str">
        <x:v>自给进度假设＋原公式</x:v>
      </x:c>
      <x:c r="H523" s="25" t="str">
        <x:v>由同包逐项数据聚合，便于核对</x:v>
      </x:c>
      <x:c r="I523" s="32" t="n">
        <x:v>26565</x:v>
      </x:c>
      <x:c r="J523" s="32" t="n">
        <x:v>26565</x:v>
      </x:c>
      <x:c r="K523" s="32" t="n">
        <x:v>26565</x:v>
      </x:c>
      <x:c r="L523" s="32" t="n">
        <x:v>26565</x:v>
      </x:c>
      <x:c r="M523" s="32" t="n">
        <x:v>26565</x:v>
      </x:c>
      <x:c r="N523" s="32" t="n">
        <x:v>26565</x:v>
      </x:c>
      <x:c r="O523" s="32" t="n">
        <x:v>2656500</x:v>
      </x:c>
      <x:c r="P523" s="32"/>
      <x:c r="Q523" s="32"/>
      <x:c r="R523" s="32"/>
      <x:c r="S523" s="32"/>
      <x:c r="T523" s="32"/>
      <x:c r="U523" s="32"/>
      <x:c r="V523" s="32"/>
      <x:c r="W523" s="32"/>
      <x:c r="X523" s="32"/>
      <x:c r="Y523" s="32"/>
      <x:c r="Z523" s="32"/>
      <x:c r="AA523" s="32"/>
      <x:c r="AB523" s="32"/>
      <x:c r="AC523" s="32"/>
      <x:c r="AD523" s="32"/>
      <x:c r="AE523" s="32"/>
      <x:c r="AF523" s="32"/>
      <x:c r="AG523" s="32"/>
      <x:c r="AH523" s="32"/>
      <x:c r="AI523" s="32"/>
      <x:c r="AJ523" s="32"/>
      <x:c r="AK523" s="32"/>
      <x:c r="AL523" s="32"/>
      <x:c r="AM523" s="32"/>
      <x:c r="AN523" s="32"/>
      <x:c r="AO523" s="32"/>
      <x:c r="AP523" s="32"/>
      <x:c r="AQ523" s="32"/>
      <x:c r="AR523" s="32"/>
      <x:c r="AS523" s="32"/>
      <x:c r="AT523" s="32"/>
      <x:c r="AU523" s="32"/>
      <x:c r="AV523" s="32"/>
      <x:c r="AW523" s="32"/>
      <x:c r="AX523" s="32"/>
      <x:c r="AY523" s="32"/>
      <x:c r="AZ523" s="32"/>
      <x:c r="BA523" s="32"/>
    </x:row>
    <x:row r="524">
      <x:c r="A524" s="25" t="str">
        <x:v>C09-M</x:v>
      </x:c>
      <x:c r="B524" s="25" t="str">
        <x:v>亚坛高原</x:v>
      </x:c>
      <x:c r="C524" s="25" t="str">
        <x:v>半急速中期</x:v>
      </x:c>
      <x:c r="D524" s="25" t="str">
        <x:v>转生</x:v>
      </x:c>
      <x:c r="E524" s="25" t="str">
        <x:v>本类1项（逐项见完整JSON）</x:v>
      </x:c>
      <x:c r="F524" s="25" t="str">
        <x:v>S07/20转</x:v>
      </x:c>
      <x:c r="G524" s="25" t="str">
        <x:v>原表累计</x:v>
      </x:c>
      <x:c r="H524" s="25" t="str">
        <x:v>由同包逐项数据聚合，便于核对</x:v>
      </x:c>
      <x:c r="I524" s="32"/>
      <x:c r="J524" s="32"/>
      <x:c r="K524" s="32"/>
      <x:c r="L524" s="32"/>
      <x:c r="M524" s="32"/>
      <x:c r="N524" s="32"/>
      <x:c r="O524" s="32"/>
      <x:c r="P524" s="32"/>
      <x:c r="Q524" s="32"/>
      <x:c r="R524" s="32"/>
      <x:c r="S524" s="32"/>
      <x:c r="T524" s="32"/>
      <x:c r="U524" s="32"/>
      <x:c r="V524" s="32"/>
      <x:c r="W524" s="32"/>
      <x:c r="X524" s="32" t="n">
        <x:v>0.75</x:v>
      </x:c>
      <x:c r="Y524" s="32"/>
      <x:c r="Z524" s="32"/>
      <x:c r="AA524" s="32"/>
      <x:c r="AB524" s="32"/>
      <x:c r="AC524" s="32"/>
      <x:c r="AD524" s="32"/>
      <x:c r="AE524" s="32"/>
      <x:c r="AF524" s="32"/>
      <x:c r="AG524" s="32"/>
      <x:c r="AH524" s="32"/>
      <x:c r="AI524" s="32"/>
      <x:c r="AJ524" s="32"/>
      <x:c r="AK524" s="32"/>
      <x:c r="AL524" s="32"/>
      <x:c r="AM524" s="32"/>
      <x:c r="AN524" s="32"/>
      <x:c r="AO524" s="32"/>
      <x:c r="AP524" s="32"/>
      <x:c r="AQ524" s="32"/>
      <x:c r="AR524" s="32"/>
      <x:c r="AS524" s="32"/>
      <x:c r="AT524" s="32"/>
      <x:c r="AU524" s="32"/>
      <x:c r="AV524" s="32"/>
      <x:c r="AW524" s="32"/>
      <x:c r="AX524" s="32"/>
      <x:c r="AY524" s="32"/>
      <x:c r="AZ524" s="32"/>
      <x:c r="BA524" s="32"/>
    </x:row>
    <x:row r="525">
      <x:c r="A525" s="25" t="str">
        <x:v>C09-M</x:v>
      </x:c>
      <x:c r="B525" s="25" t="str">
        <x:v>亚坛高原</x:v>
      </x:c>
      <x:c r="C525" s="25" t="str">
        <x:v>半急速中期</x:v>
      </x:c>
      <x:c r="D525" s="25" t="str">
        <x:v>独立称号</x:v>
      </x:c>
      <x:c r="E525" s="25" t="str">
        <x:v>本类4项（逐项见完整JSON）</x:v>
      </x:c>
      <x:c r="F525" s="25" t="str">
        <x:v>S04/02_独立称号</x:v>
      </x:c>
      <x:c r="G525" s="25" t="str">
        <x:v>原表数值</x:v>
      </x:c>
      <x:c r="H525" s="25" t="str">
        <x:v>由同包逐项数据聚合，便于核对</x:v>
      </x:c>
      <x:c r="I525" s="32" t="n">
        <x:v>4510</x:v>
      </x:c>
      <x:c r="J525" s="32" t="n">
        <x:v>4510</x:v>
      </x:c>
      <x:c r="K525" s="32" t="n">
        <x:v>4510</x:v>
      </x:c>
      <x:c r="L525" s="32" t="n">
        <x:v>4510</x:v>
      </x:c>
      <x:c r="M525" s="32" t="n">
        <x:v>4510</x:v>
      </x:c>
      <x:c r="N525" s="32" t="n">
        <x:v>4510</x:v>
      </x:c>
      <x:c r="O525" s="32" t="n">
        <x:v>451000</x:v>
      </x:c>
      <x:c r="P525" s="32"/>
      <x:c r="Q525" s="32"/>
      <x:c r="R525" s="32"/>
      <x:c r="S525" s="32"/>
      <x:c r="T525" s="32"/>
      <x:c r="U525" s="32"/>
      <x:c r="V525" s="32"/>
      <x:c r="W525" s="32"/>
      <x:c r="X525" s="32" t="n">
        <x:v>0</x:v>
      </x:c>
      <x:c r="Y525" s="32"/>
      <x:c r="Z525" s="32"/>
      <x:c r="AA525" s="32"/>
      <x:c r="AB525" s="32"/>
      <x:c r="AC525" s="32"/>
      <x:c r="AD525" s="32"/>
      <x:c r="AE525" s="32"/>
      <x:c r="AF525" s="32"/>
      <x:c r="AG525" s="32"/>
      <x:c r="AH525" s="32"/>
      <x:c r="AI525" s="32"/>
      <x:c r="AJ525" s="32"/>
      <x:c r="AK525" s="32"/>
      <x:c r="AL525" s="32"/>
      <x:c r="AM525" s="32" t="n">
        <x:v>0</x:v>
      </x:c>
      <x:c r="AN525" s="32"/>
      <x:c r="AO525" s="32"/>
      <x:c r="AP525" s="32" t="n">
        <x:v>0</x:v>
      </x:c>
      <x:c r="AQ525" s="32"/>
      <x:c r="AR525" s="32"/>
      <x:c r="AS525" s="32"/>
      <x:c r="AT525" s="32"/>
      <x:c r="AU525" s="32"/>
      <x:c r="AV525" s="32"/>
      <x:c r="AW525" s="32"/>
      <x:c r="AX525" s="32"/>
      <x:c r="AY525" s="32"/>
      <x:c r="AZ525" s="32"/>
      <x:c r="BA525" s="32"/>
    </x:row>
    <x:row r="526">
      <x:c r="A526" s="25" t="str">
        <x:v>C09-M</x:v>
      </x:c>
      <x:c r="B526" s="25" t="str">
        <x:v>亚坛高原</x:v>
      </x:c>
      <x:c r="C526" s="25" t="str">
        <x:v>半急速中期</x:v>
      </x:c>
      <x:c r="D526" s="25" t="str">
        <x:v>单件图鉴</x:v>
      </x:c>
      <x:c r="E526" s="25" t="str">
        <x:v>本类1项（逐项见完整JSON）</x:v>
      </x:c>
      <x:c r="F526" s="25" t="str">
        <x:v>S07/collection_single</x:v>
      </x:c>
      <x:c r="G526" s="25" t="str">
        <x:v>原表累计</x:v>
      </x:c>
      <x:c r="H526" s="25" t="str">
        <x:v>由同包逐项数据聚合，便于核对</x:v>
      </x:c>
      <x:c r="I526" s="32" t="n">
        <x:v>6306</x:v>
      </x:c>
      <x:c r="J526" s="32" t="n">
        <x:v>6306</x:v>
      </x:c>
      <x:c r="K526" s="32" t="n">
        <x:v>6306</x:v>
      </x:c>
      <x:c r="L526" s="32" t="n">
        <x:v>6306</x:v>
      </x:c>
      <x:c r="M526" s="32" t="n">
        <x:v>6306</x:v>
      </x:c>
      <x:c r="N526" s="32" t="n">
        <x:v>6306</x:v>
      </x:c>
      <x:c r="O526" s="32" t="n">
        <x:v>630600</x:v>
      </x:c>
      <x:c r="P526" s="32"/>
      <x:c r="Q526" s="32"/>
      <x:c r="R526" s="32"/>
      <x:c r="S526" s="32"/>
      <x:c r="T526" s="32"/>
      <x:c r="U526" s="32"/>
      <x:c r="V526" s="32"/>
      <x:c r="W526" s="32"/>
      <x:c r="X526" s="32"/>
      <x:c r="Y526" s="32"/>
      <x:c r="Z526" s="32"/>
      <x:c r="AA526" s="32"/>
      <x:c r="AB526" s="32"/>
      <x:c r="AC526" s="32"/>
      <x:c r="AD526" s="32"/>
      <x:c r="AE526" s="32"/>
      <x:c r="AF526" s="32"/>
      <x:c r="AG526" s="32"/>
      <x:c r="AH526" s="32"/>
      <x:c r="AI526" s="32"/>
      <x:c r="AJ526" s="32"/>
      <x:c r="AK526" s="32"/>
      <x:c r="AL526" s="32"/>
      <x:c r="AM526" s="32"/>
      <x:c r="AN526" s="32"/>
      <x:c r="AO526" s="32"/>
      <x:c r="AP526" s="32"/>
      <x:c r="AQ526" s="32"/>
      <x:c r="AR526" s="32"/>
      <x:c r="AS526" s="32"/>
      <x:c r="AT526" s="32"/>
      <x:c r="AU526" s="32"/>
      <x:c r="AV526" s="32"/>
      <x:c r="AW526" s="32"/>
      <x:c r="AX526" s="32"/>
      <x:c r="AY526" s="32"/>
      <x:c r="AZ526" s="32"/>
      <x:c r="BA526" s="32"/>
    </x:row>
    <x:row r="527">
      <x:c r="A527" s="25" t="str">
        <x:v>C09-M</x:v>
      </x:c>
      <x:c r="B527" s="25" t="str">
        <x:v>亚坛高原</x:v>
      </x:c>
      <x:c r="C527" s="25" t="str">
        <x:v>半急速中期</x:v>
      </x:c>
      <x:c r="D527" s="25" t="str">
        <x:v>地图整页</x:v>
      </x:c>
      <x:c r="E527" s="25" t="str">
        <x:v>本类26项（逐项见完整JSON）</x:v>
      </x:c>
      <x:c r="F527" s="25" t="str">
        <x:v>S07/collection_pages</x:v>
      </x:c>
      <x:c r="G527" s="25" t="str">
        <x:v>原表数值</x:v>
      </x:c>
      <x:c r="H527" s="25" t="str">
        <x:v>由同包逐项数据聚合，便于核对</x:v>
      </x:c>
      <x:c r="I527" s="32"/>
      <x:c r="J527" s="32"/>
      <x:c r="K527" s="32"/>
      <x:c r="L527" s="32"/>
      <x:c r="M527" s="32"/>
      <x:c r="N527" s="32"/>
      <x:c r="O527" s="32"/>
      <x:c r="P527" s="32"/>
      <x:c r="Q527" s="32"/>
      <x:c r="R527" s="32"/>
      <x:c r="S527" s="32"/>
      <x:c r="T527" s="32"/>
      <x:c r="U527" s="32"/>
      <x:c r="V527" s="32"/>
      <x:c r="W527" s="32"/>
      <x:c r="X527" s="32" t="n">
        <x:v>0.6500000000000001</x:v>
      </x:c>
      <x:c r="Y527" s="32"/>
      <x:c r="Z527" s="32"/>
      <x:c r="AA527" s="32"/>
      <x:c r="AB527" s="32"/>
      <x:c r="AC527" s="32"/>
      <x:c r="AD527" s="32"/>
      <x:c r="AE527" s="32"/>
      <x:c r="AF527" s="32"/>
      <x:c r="AG527" s="32"/>
      <x:c r="AH527" s="32"/>
      <x:c r="AI527" s="32"/>
      <x:c r="AJ527" s="32"/>
      <x:c r="AK527" s="32"/>
      <x:c r="AL527" s="32"/>
      <x:c r="AM527" s="32" t="n">
        <x:v>13</x:v>
      </x:c>
      <x:c r="AN527" s="32"/>
      <x:c r="AO527" s="32"/>
      <x:c r="AP527" s="32" t="n">
        <x:v>860</x:v>
      </x:c>
      <x:c r="AQ527" s="32"/>
      <x:c r="AR527" s="32"/>
      <x:c r="AS527" s="32"/>
      <x:c r="AT527" s="32"/>
      <x:c r="AU527" s="32"/>
      <x:c r="AV527" s="32"/>
      <x:c r="AW527" s="32"/>
      <x:c r="AX527" s="32"/>
      <x:c r="AY527" s="32"/>
      <x:c r="AZ527" s="32"/>
      <x:c r="BA527" s="32"/>
    </x:row>
    <x:row r="528">
      <x:c r="A528" s="25" t="str">
        <x:v>C09-M</x:v>
      </x:c>
      <x:c r="B528" s="25" t="str">
        <x:v>亚坛高原</x:v>
      </x:c>
      <x:c r="C528" s="25" t="str">
        <x:v>半急速中期</x:v>
      </x:c>
      <x:c r="D528" s="25" t="str">
        <x:v>材料图鉴</x:v>
      </x:c>
      <x:c r="E528" s="25" t="str">
        <x:v>本类6项（逐项见完整JSON）</x:v>
      </x:c>
      <x:c r="F528" s="25" t="str">
        <x:v>S07/collection_materials</x:v>
      </x:c>
      <x:c r="G528" s="25" t="str">
        <x:v>原表数值</x:v>
      </x:c>
      <x:c r="H528" s="25" t="str">
        <x:v>由同包逐项数据聚合，便于核对</x:v>
      </x:c>
      <x:c r="I528" s="32"/>
      <x:c r="J528" s="32"/>
      <x:c r="K528" s="32"/>
      <x:c r="L528" s="32"/>
      <x:c r="M528" s="32"/>
      <x:c r="N528" s="32"/>
      <x:c r="O528" s="32"/>
      <x:c r="P528" s="32"/>
      <x:c r="Q528" s="32"/>
      <x:c r="R528" s="32"/>
      <x:c r="S528" s="32"/>
      <x:c r="T528" s="32"/>
      <x:c r="U528" s="32"/>
      <x:c r="V528" s="32"/>
      <x:c r="W528" s="32"/>
      <x:c r="X528" s="32" t="n">
        <x:v>0.56</x:v>
      </x:c>
      <x:c r="Y528" s="32"/>
      <x:c r="Z528" s="32"/>
      <x:c r="AA528" s="32"/>
      <x:c r="AB528" s="32"/>
      <x:c r="AC528" s="32"/>
      <x:c r="AD528" s="32"/>
      <x:c r="AE528" s="32"/>
      <x:c r="AF528" s="32"/>
      <x:c r="AG528" s="32"/>
      <x:c r="AH528" s="32"/>
      <x:c r="AI528" s="32"/>
      <x:c r="AJ528" s="32"/>
      <x:c r="AK528" s="32"/>
      <x:c r="AL528" s="32"/>
      <x:c r="AM528" s="32" t="n">
        <x:v>0</x:v>
      </x:c>
      <x:c r="AN528" s="32"/>
      <x:c r="AO528" s="32"/>
      <x:c r="AP528" s="32" t="n">
        <x:v>0</x:v>
      </x:c>
      <x:c r="AQ528" s="32"/>
      <x:c r="AR528" s="32"/>
      <x:c r="AS528" s="32"/>
      <x:c r="AT528" s="32"/>
      <x:c r="AU528" s="32"/>
      <x:c r="AV528" s="32"/>
      <x:c r="AW528" s="32"/>
      <x:c r="AX528" s="32"/>
      <x:c r="AY528" s="32"/>
      <x:c r="AZ528" s="32"/>
      <x:c r="BA528" s="32"/>
    </x:row>
    <x:row r="529">
      <x:c r="A529" s="25" t="str">
        <x:v>C09-M</x:v>
      </x:c>
      <x:c r="B529" s="25" t="str">
        <x:v>亚坛高原</x:v>
      </x:c>
      <x:c r="C529" s="25" t="str">
        <x:v>半急速中期</x:v>
      </x:c>
      <x:c r="D529" s="25" t="str">
        <x:v>旧任务</x:v>
      </x:c>
      <x:c r="E529" s="25" t="str">
        <x:v>本类6项（逐项见完整JSON）</x:v>
      </x:c>
      <x:c r="F529" s="25" t="str">
        <x:v>宁姆格福_完整怪物装备任务爆率规划/地图任务；第一大陆_地图魂魄任务.txt</x:v>
      </x:c>
      <x:c r="G529" s="25" t="str">
        <x:v>原件确认；原表数值</x:v>
      </x:c>
      <x:c r="H529" s="25" t="str">
        <x:v>由同包逐项数据聚合，便于核对</x:v>
      </x:c>
      <x:c r="I529" s="32" t="n">
        <x:v>60</x:v>
      </x:c>
      <x:c r="J529" s="32" t="n">
        <x:v>60</x:v>
      </x:c>
      <x:c r="K529" s="32" t="n">
        <x:v>60</x:v>
      </x:c>
      <x:c r="L529" s="32" t="n">
        <x:v>60</x:v>
      </x:c>
      <x:c r="M529" s="32" t="n">
        <x:v>60</x:v>
      </x:c>
      <x:c r="N529" s="32" t="n">
        <x:v>60</x:v>
      </x:c>
      <x:c r="O529" s="32"/>
      <x:c r="P529" s="32"/>
      <x:c r="Q529" s="32"/>
      <x:c r="R529" s="32"/>
      <x:c r="S529" s="32"/>
      <x:c r="T529" s="32"/>
      <x:c r="U529" s="32"/>
      <x:c r="V529" s="32"/>
      <x:c r="W529" s="32"/>
      <x:c r="X529" s="32"/>
      <x:c r="Y529" s="32"/>
      <x:c r="Z529" s="32"/>
      <x:c r="AA529" s="32"/>
      <x:c r="AB529" s="32"/>
      <x:c r="AC529" s="32"/>
      <x:c r="AD529" s="32"/>
      <x:c r="AE529" s="32"/>
      <x:c r="AF529" s="32"/>
      <x:c r="AG529" s="32"/>
      <x:c r="AH529" s="32"/>
      <x:c r="AI529" s="32"/>
      <x:c r="AJ529" s="32"/>
      <x:c r="AK529" s="32"/>
      <x:c r="AL529" s="32"/>
      <x:c r="AM529" s="32" t="n">
        <x:v>2</x:v>
      </x:c>
      <x:c r="AN529" s="32"/>
      <x:c r="AO529" s="32"/>
      <x:c r="AP529" s="32" t="n">
        <x:v>120</x:v>
      </x:c>
      <x:c r="AQ529" s="32"/>
      <x:c r="AR529" s="32"/>
      <x:c r="AS529" s="32"/>
      <x:c r="AT529" s="32"/>
      <x:c r="AU529" s="32"/>
      <x:c r="AV529" s="32"/>
      <x:c r="AW529" s="32"/>
      <x:c r="AX529" s="32"/>
      <x:c r="AY529" s="32"/>
      <x:c r="AZ529" s="32"/>
      <x:c r="BA529" s="32"/>
    </x:row>
    <x:row r="530">
      <x:c r="A530" s="25" t="str">
        <x:v>C09-M</x:v>
      </x:c>
      <x:c r="B530" s="25" t="str">
        <x:v>亚坛高原</x:v>
      </x:c>
      <x:c r="C530" s="25" t="str">
        <x:v>半急速中期</x:v>
      </x:c>
      <x:c r="D530" s="25" t="str">
        <x:v>装备</x:v>
      </x:c>
      <x:c r="E530" s="25" t="str">
        <x:v>本类31项（逐项见完整JSON）</x:v>
      </x:c>
      <x:c r="F530" s="25" t="str">
        <x:v>S02；S07</x:v>
      </x:c>
      <x:c r="G530" s="25" t="str">
        <x:v>原表数值</x:v>
      </x:c>
      <x:c r="H530" s="25" t="str">
        <x:v>由同包逐项数据聚合，便于核对</x:v>
      </x:c>
      <x:c r="I530" s="32" t="n">
        <x:v>18852</x:v>
      </x:c>
      <x:c r="J530" s="32" t="n">
        <x:v>36174</x:v>
      </x:c>
      <x:c r="K530" s="32" t="n">
        <x:v>18852</x:v>
      </x:c>
      <x:c r="L530" s="32" t="n">
        <x:v>36174</x:v>
      </x:c>
      <x:c r="M530" s="32" t="n">
        <x:v>18852</x:v>
      </x:c>
      <x:c r="N530" s="32" t="n">
        <x:v>36174</x:v>
      </x:c>
      <x:c r="O530" s="32" t="n">
        <x:v>26175400</x:v>
      </x:c>
      <x:c r="P530" s="32"/>
      <x:c r="Q530" s="32" t="n">
        <x:v>520</x:v>
      </x:c>
      <x:c r="R530" s="32" t="n">
        <x:v>964</x:v>
      </x:c>
      <x:c r="S530" s="32" t="n">
        <x:v>418</x:v>
      </x:c>
      <x:c r="T530" s="32" t="n">
        <x:v>780</x:v>
      </x:c>
      <x:c r="U530" s="32" t="n">
        <x:v>598</x:v>
      </x:c>
      <x:c r="V530" s="32" t="n">
        <x:v>598</x:v>
      </x:c>
      <x:c r="W530" s="32" t="n">
        <x:v>598</x:v>
      </x:c>
      <x:c r="X530" s="32"/>
      <x:c r="Y530" s="32"/>
      <x:c r="Z530" s="32" t="n">
        <x:v>140</x:v>
      </x:c>
      <x:c r="AA530" s="32" t="n">
        <x:v>42</x:v>
      </x:c>
      <x:c r="AB530" s="32"/>
      <x:c r="AC530" s="32" t="n">
        <x:v>199</x:v>
      </x:c>
      <x:c r="AD530" s="32" t="n">
        <x:v>1</x:v>
      </x:c>
      <x:c r="AE530" s="32" t="n">
        <x:v>25</x:v>
      </x:c>
      <x:c r="AF530" s="32"/>
      <x:c r="AG530" s="32"/>
      <x:c r="AH530" s="32" t="n">
        <x:v>33</x:v>
      </x:c>
      <x:c r="AI530" s="32" t="n">
        <x:v>6</x:v>
      </x:c>
      <x:c r="AJ530" s="32" t="n">
        <x:v>144</x:v>
      </x:c>
      <x:c r="AK530" s="32"/>
      <x:c r="AL530" s="32"/>
      <x:c r="AM530" s="32"/>
      <x:c r="AN530" s="32" t="n">
        <x:v>20</x:v>
      </x:c>
      <x:c r="AO530" s="32" t="n">
        <x:v>0.2</x:v>
      </x:c>
      <x:c r="AP530" s="32" t="n">
        <x:v>52</x:v>
      </x:c>
      <x:c r="AQ530" s="32" t="n">
        <x:v>73</x:v>
      </x:c>
      <x:c r="AR530" s="32"/>
      <x:c r="AS530" s="32" t="n">
        <x:v>10</x:v>
      </x:c>
      <x:c r="AT530" s="32"/>
      <x:c r="AU530" s="32"/>
      <x:c r="AV530" s="32"/>
      <x:c r="AW530" s="32"/>
      <x:c r="AX530" s="32"/>
      <x:c r="AY530" s="32"/>
      <x:c r="AZ530" s="32" t="n">
        <x:v>11</x:v>
      </x:c>
      <x:c r="BA530" s="32"/>
    </x:row>
    <x:row r="531">
      <x:c r="A531" s="25" t="str">
        <x:v>C09-M</x:v>
      </x:c>
      <x:c r="B531" s="25" t="str">
        <x:v>亚坛高原</x:v>
      </x:c>
      <x:c r="C531" s="25" t="str">
        <x:v>半急速中期</x:v>
      </x:c>
      <x:c r="D531" s="25" t="str">
        <x:v>洗练</x:v>
      </x:c>
      <x:c r="E531" s="25" t="str">
        <x:v>本类10项（逐项见完整JSON）</x:v>
      </x:c>
      <x:c r="F531" s="25" t="str">
        <x:v>S06＋固定种子</x:v>
      </x:c>
      <x:c r="G531" s="25" t="str">
        <x:v>可实现随机样本</x:v>
      </x:c>
      <x:c r="H531" s="25" t="str">
        <x:v>由同包逐项数据聚合，便于核对</x:v>
      </x:c>
      <x:c r="I531" s="32" t="n">
        <x:v>654</x:v>
      </x:c>
      <x:c r="J531" s="32" t="n">
        <x:v>654</x:v>
      </x:c>
      <x:c r="K531" s="32" t="n">
        <x:v>1808</x:v>
      </x:c>
      <x:c r="L531" s="32" t="n">
        <x:v>1808</x:v>
      </x:c>
      <x:c r="M531" s="32" t="n">
        <x:v>167</x:v>
      </x:c>
      <x:c r="N531" s="32" t="n">
        <x:v>167</x:v>
      </x:c>
      <x:c r="O531" s="32"/>
      <x:c r="P531" s="32"/>
      <x:c r="Q531" s="32"/>
      <x:c r="R531" s="32"/>
      <x:c r="S531" s="32"/>
      <x:c r="T531" s="32"/>
      <x:c r="U531" s="32" t="n">
        <x:v>398</x:v>
      </x:c>
      <x:c r="V531" s="32"/>
      <x:c r="W531" s="32"/>
      <x:c r="X531" s="32"/>
      <x:c r="Y531" s="32"/>
      <x:c r="Z531" s="32"/>
      <x:c r="AA531" s="32"/>
      <x:c r="AB531" s="32" t="n">
        <x:v>1</x:v>
      </x:c>
      <x:c r="AC531" s="32"/>
      <x:c r="AD531" s="32" t="n">
        <x:v>2</x:v>
      </x:c>
      <x:c r="AE531" s="32"/>
      <x:c r="AF531" s="32"/>
      <x:c r="AG531" s="32"/>
      <x:c r="AH531" s="32" t="n">
        <x:v>2</x:v>
      </x:c>
      <x:c r="AI531" s="32"/>
      <x:c r="AJ531" s="32"/>
      <x:c r="AK531" s="32"/>
      <x:c r="AL531" s="32"/>
      <x:c r="AM531" s="32" t="n">
        <x:v>2</x:v>
      </x:c>
      <x:c r="AN531" s="32" t="n">
        <x:v>4</x:v>
      </x:c>
      <x:c r="AO531" s="32" t="n">
        <x:v>1</x:v>
      </x:c>
      <x:c r="AP531" s="32" t="n">
        <x:v>50</x:v>
      </x:c>
      <x:c r="AQ531" s="32"/>
      <x:c r="AR531" s="32" t="n">
        <x:v>1</x:v>
      </x:c>
      <x:c r="AS531" s="32" t="n">
        <x:v>1</x:v>
      </x:c>
      <x:c r="AT531" s="32"/>
      <x:c r="AU531" s="32" t="n">
        <x:v>8</x:v>
      </x:c>
      <x:c r="AV531" s="32"/>
      <x:c r="AW531" s="32"/>
      <x:c r="AX531" s="32"/>
      <x:c r="AY531" s="32"/>
      <x:c r="AZ531" s="32"/>
      <x:c r="BA531" s="32"/>
    </x:row>
    <x:row r="532">
      <x:c r="A532" s="25" t="str">
        <x:v>C09-M</x:v>
      </x:c>
      <x:c r="B532" s="25" t="str">
        <x:v>亚坛高原</x:v>
      </x:c>
      <x:c r="C532" s="25" t="str">
        <x:v>半急速中期</x:v>
      </x:c>
      <x:c r="D532" s="25" t="str">
        <x:v>命格</x:v>
      </x:c>
      <x:c r="E532" s="25" t="str">
        <x:v>本类7项（逐项见完整JSON）</x:v>
      </x:c>
      <x:c r="F532" s="25" t="str">
        <x:v>S03/命格ID1081；S03/命格ID1086；S03/命格ID1089；S03/命格ID1090；S03/命格ID1092；S03/命格ID1093；S03/命格ID1097</x:v>
      </x:c>
      <x:c r="G532" s="25" t="str">
        <x:v>原表彩色＋选配假设</x:v>
      </x:c>
      <x:c r="H532" s="25" t="str">
        <x:v>由同包逐项数据聚合，便于核对</x:v>
      </x:c>
      <x:c r="I532" s="32"/>
      <x:c r="J532" s="32"/>
      <x:c r="K532" s="32"/>
      <x:c r="L532" s="32"/>
      <x:c r="M532" s="32"/>
      <x:c r="N532" s="32"/>
      <x:c r="O532" s="32" t="n">
        <x:v>1500</x:v>
      </x:c>
      <x:c r="P532" s="32"/>
      <x:c r="Q532" s="32"/>
      <x:c r="R532" s="32"/>
      <x:c r="S532" s="32"/>
      <x:c r="T532" s="32"/>
      <x:c r="U532" s="32" t="n">
        <x:v>3</x:v>
      </x:c>
      <x:c r="V532" s="32"/>
      <x:c r="W532" s="32"/>
      <x:c r="X532" s="32"/>
      <x:c r="Y532" s="32" t="n">
        <x:v>6</x:v>
      </x:c>
      <x:c r="Z532" s="32" t="n">
        <x:v>3</x:v>
      </x:c>
      <x:c r="AA532" s="32" t="n">
        <x:v>5</x:v>
      </x:c>
      <x:c r="AB532" s="32"/>
      <x:c r="AC532" s="32"/>
      <x:c r="AD532" s="32"/>
      <x:c r="AE532" s="32"/>
      <x:c r="AF532" s="32"/>
      <x:c r="AG532" s="32"/>
      <x:c r="AH532" s="32" t="n">
        <x:v>2</x:v>
      </x:c>
      <x:c r="AI532" s="32"/>
      <x:c r="AJ532" s="32" t="n">
        <x:v>10</x:v>
      </x:c>
      <x:c r="AK532" s="32"/>
      <x:c r="AL532" s="32"/>
      <x:c r="AM532" s="32" t="n">
        <x:v>6</x:v>
      </x:c>
      <x:c r="AN532" s="32"/>
      <x:c r="AO532" s="32"/>
      <x:c r="AP532" s="32"/>
      <x:c r="AQ532" s="32" t="n">
        <x:v>6</x:v>
      </x:c>
      <x:c r="AR532" s="32" t="n">
        <x:v>3</x:v>
      </x:c>
      <x:c r="AS532" s="32" t="n">
        <x:v>0.75</x:v>
      </x:c>
      <x:c r="AT532" s="32" t="n">
        <x:v>50</x:v>
      </x:c>
      <x:c r="AU532" s="32" t="n">
        <x:v>2</x:v>
      </x:c>
      <x:c r="AV532" s="32" t="n">
        <x:v>3</x:v>
      </x:c>
      <x:c r="AW532" s="32"/>
      <x:c r="AX532" s="32"/>
      <x:c r="AY532" s="32"/>
      <x:c r="AZ532" s="32"/>
      <x:c r="BA532" s="32"/>
    </x:row>
    <x:row r="533">
      <x:c r="A533" s="25" t="str">
        <x:v>C09-M</x:v>
      </x:c>
      <x:c r="B533" s="25" t="str">
        <x:v>亚坛高原</x:v>
      </x:c>
      <x:c r="C533" s="25" t="str">
        <x:v>半急速中期</x:v>
      </x:c>
      <x:c r="D533" s="25" t="str">
        <x:v>后天幸运</x:v>
      </x:c>
      <x:c r="E533" s="25" t="str">
        <x:v>本类1项（逐项见完整JSON）</x:v>
      </x:c>
      <x:c r="F533" s="25" t="str">
        <x:v>A08</x:v>
      </x:c>
      <x:c r="G533" s="25" t="str">
        <x:v>人物永久进度</x:v>
      </x:c>
      <x:c r="H533" s="25" t="str">
        <x:v>由同包逐项数据聚合，便于核对</x:v>
      </x:c>
      <x:c r="I533" s="32"/>
      <x:c r="J533" s="32"/>
      <x:c r="K533" s="32"/>
      <x:c r="L533" s="32"/>
      <x:c r="M533" s="32"/>
      <x:c r="N533" s="32"/>
      <x:c r="O533" s="32"/>
      <x:c r="P533" s="32"/>
      <x:c r="Q533" s="32"/>
      <x:c r="R533" s="32"/>
      <x:c r="S533" s="32"/>
      <x:c r="T533" s="32"/>
      <x:c r="U533" s="32"/>
      <x:c r="V533" s="32"/>
      <x:c r="W533" s="32"/>
      <x:c r="X533" s="32"/>
      <x:c r="Y533" s="32"/>
      <x:c r="Z533" s="32"/>
      <x:c r="AA533" s="32"/>
      <x:c r="AB533" s="32"/>
      <x:c r="AC533" s="32"/>
      <x:c r="AD533" s="32"/>
      <x:c r="AE533" s="32"/>
      <x:c r="AF533" s="32"/>
      <x:c r="AG533" s="32"/>
      <x:c r="AH533" s="32"/>
      <x:c r="AI533" s="32"/>
      <x:c r="AJ533" s="32"/>
      <x:c r="AK533" s="32" t="n">
        <x:v>7</x:v>
      </x:c>
      <x:c r="AL533" s="32" t="n">
        <x:v>8</x:v>
      </x:c>
      <x:c r="AM533" s="32"/>
      <x:c r="AN533" s="32"/>
      <x:c r="AO533" s="32"/>
      <x:c r="AP533" s="32"/>
      <x:c r="AQ533" s="32"/>
      <x:c r="AR533" s="32"/>
      <x:c r="AS533" s="32"/>
      <x:c r="AT533" s="32"/>
      <x:c r="AU533" s="32"/>
      <x:c r="AV533" s="32"/>
      <x:c r="AW533" s="32"/>
      <x:c r="AX533" s="32"/>
      <x:c r="AY533" s="32"/>
      <x:c r="AZ533" s="32"/>
      <x:c r="BA533" s="32"/>
    </x:row>
    <x:row r="534">
      <x:c r="A534" s="25" t="str">
        <x:v>C09-M</x:v>
      </x:c>
      <x:c r="B534" s="25" t="str">
        <x:v>亚坛高原</x:v>
      </x:c>
      <x:c r="C534" s="25" t="str">
        <x:v>半急速中期</x:v>
      </x:c>
      <x:c r="D534" s="25" t="str">
        <x:v>回收预算</x:v>
      </x:c>
      <x:c r="E534" s="25" t="str">
        <x:v>本类1项（逐项见完整JSON）</x:v>
      </x:c>
      <x:c r="F534" s="25" t="str">
        <x:v>用户总回收50%</x:v>
      </x:c>
      <x:c r="G534" s="25" t="str">
        <x:v>经济输入，不是新增属性来源</x:v>
      </x:c>
      <x:c r="H534" s="25" t="str">
        <x:v>由同包逐项数据聚合，便于核对</x:v>
      </x:c>
      <x:c r="I534" s="32"/>
      <x:c r="J534" s="32"/>
      <x:c r="K534" s="32"/>
      <x:c r="L534" s="32"/>
      <x:c r="M534" s="32"/>
      <x:c r="N534" s="32"/>
      <x:c r="O534" s="32"/>
      <x:c r="P534" s="32"/>
      <x:c r="Q534" s="32"/>
      <x:c r="R534" s="32"/>
      <x:c r="S534" s="32"/>
      <x:c r="T534" s="32"/>
      <x:c r="U534" s="32"/>
      <x:c r="V534" s="32"/>
      <x:c r="W534" s="32"/>
      <x:c r="X534" s="32"/>
      <x:c r="Y534" s="32"/>
      <x:c r="Z534" s="32"/>
      <x:c r="AA534" s="32"/>
      <x:c r="AB534" s="32"/>
      <x:c r="AC534" s="32"/>
      <x:c r="AD534" s="32"/>
      <x:c r="AE534" s="32"/>
      <x:c r="AF534" s="32"/>
      <x:c r="AG534" s="32"/>
      <x:c r="AH534" s="32"/>
      <x:c r="AI534" s="32"/>
      <x:c r="AJ534" s="32"/>
      <x:c r="AK534" s="32"/>
      <x:c r="AL534" s="32"/>
      <x:c r="AM534" s="32"/>
      <x:c r="AN534" s="32"/>
      <x:c r="AO534" s="32"/>
      <x:c r="AP534" s="32"/>
      <x:c r="AQ534" s="32"/>
      <x:c r="AR534" s="32"/>
      <x:c r="AS534" s="32"/>
      <x:c r="AT534" s="32"/>
      <x:c r="AU534" s="32"/>
      <x:c r="AV534" s="32"/>
      <x:c r="AW534" s="32"/>
      <x:c r="AX534" s="32"/>
      <x:c r="AY534" s="32"/>
      <x:c r="AZ534" s="32"/>
      <x:c r="BA534" s="32" t="n">
        <x:v>50</x:v>
      </x:c>
    </x:row>
    <x:row r="535">
      <x:c r="A535" s="25" t="str">
        <x:v>C09-G</x:v>
      </x:c>
      <x:c r="B535" s="25" t="str">
        <x:v>亚坛高原</x:v>
      </x:c>
      <x:c r="C535" s="25" t="str">
        <x:v>半急速毕业</x:v>
      </x:c>
      <x:c r="D535" s="25" t="str">
        <x:v>人物自然</x:v>
      </x:c>
      <x:c r="E535" s="25" t="str">
        <x:v>本类1项（逐项见完整JSON）</x:v>
      </x:c>
      <x:c r="F535" s="25" t="str">
        <x:v>A01</x:v>
      </x:c>
      <x:c r="G535" s="25" t="str">
        <x:v>模型假设</x:v>
      </x:c>
      <x:c r="H535" s="25" t="str">
        <x:v>由同包逐项数据聚合，便于核对</x:v>
      </x:c>
      <x:c r="I535" s="32" t="n">
        <x:v>25</x:v>
      </x:c>
      <x:c r="J535" s="32" t="n">
        <x:v>58</x:v>
      </x:c>
      <x:c r="K535" s="32"/>
      <x:c r="L535" s="32"/>
      <x:c r="M535" s="32"/>
      <x:c r="N535" s="32"/>
      <x:c r="O535" s="32" t="n">
        <x:v>4600</x:v>
      </x:c>
      <x:c r="P535" s="32" t="n">
        <x:v>1100</x:v>
      </x:c>
      <x:c r="Q535" s="32"/>
      <x:c r="R535" s="32"/>
      <x:c r="S535" s="32"/>
      <x:c r="T535" s="32"/>
      <x:c r="U535" s="32"/>
      <x:c r="V535" s="32"/>
      <x:c r="W535" s="32"/>
      <x:c r="X535" s="32"/>
      <x:c r="Y535" s="32"/>
      <x:c r="Z535" s="32"/>
      <x:c r="AA535" s="32"/>
      <x:c r="AB535" s="32"/>
      <x:c r="AC535" s="32"/>
      <x:c r="AD535" s="32"/>
      <x:c r="AE535" s="32"/>
      <x:c r="AF535" s="32"/>
      <x:c r="AG535" s="32"/>
      <x:c r="AH535" s="32"/>
      <x:c r="AI535" s="32"/>
      <x:c r="AJ535" s="32"/>
      <x:c r="AK535" s="32"/>
      <x:c r="AL535" s="32"/>
      <x:c r="AM535" s="32"/>
      <x:c r="AN535" s="32"/>
      <x:c r="AO535" s="32"/>
      <x:c r="AP535" s="32"/>
      <x:c r="AQ535" s="32"/>
      <x:c r="AR535" s="32"/>
      <x:c r="AS535" s="32"/>
      <x:c r="AT535" s="32"/>
      <x:c r="AU535" s="32"/>
      <x:c r="AV535" s="32"/>
      <x:c r="AW535" s="32"/>
      <x:c r="AX535" s="32"/>
      <x:c r="AY535" s="32"/>
      <x:c r="AZ535" s="32"/>
      <x:c r="BA535" s="32"/>
    </x:row>
    <x:row r="536">
      <x:c r="A536" s="25" t="str">
        <x:v>C09-G</x:v>
      </x:c>
      <x:c r="B536" s="25" t="str">
        <x:v>亚坛高原</x:v>
      </x:c>
      <x:c r="C536" s="25" t="str">
        <x:v>半急速毕业</x:v>
      </x:c>
      <x:c r="D536" s="25" t="str">
        <x:v>付费状态</x:v>
      </x:c>
      <x:c r="E536" s="25" t="str">
        <x:v>本类3项（逐项见完整JSON）</x:v>
      </x:c>
      <x:c r="F536" s="25" t="str">
        <x:v>20260903总档</x:v>
      </x:c>
      <x:c r="G536" s="25" t="str">
        <x:v>原表数值</x:v>
      </x:c>
      <x:c r="H536" s="25" t="str">
        <x:v>由同包逐项数据聚合，便于核对</x:v>
      </x:c>
      <x:c r="I536" s="32" t="n">
        <x:v>149</x:v>
      </x:c>
      <x:c r="J536" s="32" t="n">
        <x:v>149</x:v>
      </x:c>
      <x:c r="K536" s="32" t="n">
        <x:v>149</x:v>
      </x:c>
      <x:c r="L536" s="32" t="n">
        <x:v>149</x:v>
      </x:c>
      <x:c r="M536" s="32" t="n">
        <x:v>149</x:v>
      </x:c>
      <x:c r="N536" s="32" t="n">
        <x:v>149</x:v>
      </x:c>
      <x:c r="O536" s="32" t="n">
        <x:v>10000</x:v>
      </x:c>
      <x:c r="P536" s="32"/>
      <x:c r="Q536" s="32"/>
      <x:c r="R536" s="32"/>
      <x:c r="S536" s="32"/>
      <x:c r="T536" s="32"/>
      <x:c r="U536" s="32"/>
      <x:c r="V536" s="32"/>
      <x:c r="W536" s="32"/>
      <x:c r="X536" s="32"/>
      <x:c r="Y536" s="32" t="n">
        <x:v>10</x:v>
      </x:c>
      <x:c r="Z536" s="32"/>
      <x:c r="AA536" s="32"/>
      <x:c r="AB536" s="32" t="n">
        <x:v>20</x:v>
      </x:c>
      <x:c r="AC536" s="32"/>
      <x:c r="AD536" s="32"/>
      <x:c r="AE536" s="32"/>
      <x:c r="AF536" s="32"/>
      <x:c r="AG536" s="32"/>
      <x:c r="AH536" s="32"/>
      <x:c r="AI536" s="32"/>
      <x:c r="AJ536" s="32"/>
      <x:c r="AK536" s="32"/>
      <x:c r="AL536" s="32"/>
      <x:c r="AM536" s="32" t="n">
        <x:v>10</x:v>
      </x:c>
      <x:c r="AN536" s="32"/>
      <x:c r="AO536" s="32"/>
      <x:c r="AP536" s="32" t="n">
        <x:v>50</x:v>
      </x:c>
      <x:c r="AQ536" s="32"/>
      <x:c r="AR536" s="32"/>
      <x:c r="AS536" s="32"/>
      <x:c r="AT536" s="32" t="n">
        <x:v>700</x:v>
      </x:c>
      <x:c r="AU536" s="32" t="n">
        <x:v>15</x:v>
      </x:c>
      <x:c r="AV536" s="32"/>
      <x:c r="AW536" s="32"/>
      <x:c r="AX536" s="32"/>
      <x:c r="AY536" s="32"/>
      <x:c r="AZ536" s="32"/>
      <x:c r="BA536" s="32"/>
    </x:row>
    <x:row r="537">
      <x:c r="A537" s="25" t="str">
        <x:v>C09-G</x:v>
      </x:c>
      <x:c r="B537" s="25" t="str">
        <x:v>亚坛高原</x:v>
      </x:c>
      <x:c r="C537" s="25" t="str">
        <x:v>半急速毕业</x:v>
      </x:c>
      <x:c r="D537" s="25" t="str">
        <x:v>成长装备</x:v>
      </x:c>
      <x:c r="E537" s="25" t="str">
        <x:v>本类2项（逐项见完整JSON）</x:v>
      </x:c>
      <x:c r="F537" s="25" t="str">
        <x:v>20260903总档 / A04</x:v>
      </x:c>
      <x:c r="G537" s="25" t="str">
        <x:v>原表＋支付路径假设</x:v>
      </x:c>
      <x:c r="H537" s="25" t="str">
        <x:v>由同包逐项数据聚合，便于核对</x:v>
      </x:c>
      <x:c r="I537" s="32" t="n">
        <x:v>1100</x:v>
      </x:c>
      <x:c r="J537" s="32" t="n">
        <x:v>1100</x:v>
      </x:c>
      <x:c r="K537" s="32" t="n">
        <x:v>1100</x:v>
      </x:c>
      <x:c r="L537" s="32" t="n">
        <x:v>1100</x:v>
      </x:c>
      <x:c r="M537" s="32" t="n">
        <x:v>1100</x:v>
      </x:c>
      <x:c r="N537" s="32" t="n">
        <x:v>1100</x:v>
      </x:c>
      <x:c r="O537" s="32"/>
      <x:c r="P537" s="32"/>
      <x:c r="Q537" s="32"/>
      <x:c r="R537" s="32"/>
      <x:c r="S537" s="32"/>
      <x:c r="T537" s="32"/>
      <x:c r="U537" s="32"/>
      <x:c r="V537" s="32"/>
      <x:c r="W537" s="32"/>
      <x:c r="X537" s="32"/>
      <x:c r="Y537" s="32"/>
      <x:c r="Z537" s="32"/>
      <x:c r="AA537" s="32"/>
      <x:c r="AB537" s="32"/>
      <x:c r="AC537" s="32"/>
      <x:c r="AD537" s="32"/>
      <x:c r="AE537" s="32"/>
      <x:c r="AF537" s="32"/>
      <x:c r="AG537" s="32"/>
      <x:c r="AH537" s="32"/>
      <x:c r="AI537" s="32"/>
      <x:c r="AJ537" s="32"/>
      <x:c r="AK537" s="32"/>
      <x:c r="AL537" s="32"/>
      <x:c r="AM537" s="32"/>
      <x:c r="AN537" s="32"/>
      <x:c r="AO537" s="32"/>
      <x:c r="AP537" s="32"/>
      <x:c r="AQ537" s="32"/>
      <x:c r="AR537" s="32"/>
      <x:c r="AS537" s="32"/>
      <x:c r="AT537" s="32"/>
      <x:c r="AU537" s="32"/>
      <x:c r="AV537" s="32"/>
      <x:c r="AW537" s="32" t="n">
        <x:v>10</x:v>
      </x:c>
      <x:c r="AX537" s="32" t="n">
        <x:v>10</x:v>
      </x:c>
      <x:c r="AY537" s="32"/>
      <x:c r="AZ537" s="32"/>
      <x:c r="BA537" s="32"/>
    </x:row>
    <x:row r="538">
      <x:c r="A538" s="25" t="str">
        <x:v>C09-G</x:v>
      </x:c>
      <x:c r="B538" s="25" t="str">
        <x:v>亚坛高原</x:v>
      </x:c>
      <x:c r="C538" s="25" t="str">
        <x:v>半急速毕业</x:v>
      </x:c>
      <x:c r="D538" s="25" t="str">
        <x:v>贯穿称号</x:v>
      </x:c>
      <x:c r="E538" s="25" t="str">
        <x:v>本类1项（逐项见完整JSON）</x:v>
      </x:c>
      <x:c r="F538" s="25" t="str">
        <x:v>S04/01_贯穿称号</x:v>
      </x:c>
      <x:c r="G538" s="25" t="str">
        <x:v>原表数值</x:v>
      </x:c>
      <x:c r="H538" s="25" t="str">
        <x:v>由同包逐项数据聚合，便于核对</x:v>
      </x:c>
      <x:c r="I538" s="32" t="n">
        <x:v>60000</x:v>
      </x:c>
      <x:c r="J538" s="32" t="n">
        <x:v>60000</x:v>
      </x:c>
      <x:c r="K538" s="32" t="n">
        <x:v>60000</x:v>
      </x:c>
      <x:c r="L538" s="32" t="n">
        <x:v>60000</x:v>
      </x:c>
      <x:c r="M538" s="32" t="n">
        <x:v>60000</x:v>
      </x:c>
      <x:c r="N538" s="32" t="n">
        <x:v>60000</x:v>
      </x:c>
      <x:c r="O538" s="32" t="n">
        <x:v>6000000</x:v>
      </x:c>
      <x:c r="P538" s="32" t="n">
        <x:v>6000000</x:v>
      </x:c>
      <x:c r="Q538" s="32"/>
      <x:c r="R538" s="32"/>
      <x:c r="S538" s="32"/>
      <x:c r="T538" s="32"/>
      <x:c r="U538" s="32"/>
      <x:c r="V538" s="32"/>
      <x:c r="W538" s="32"/>
      <x:c r="X538" s="32"/>
      <x:c r="Y538" s="32"/>
      <x:c r="Z538" s="32"/>
      <x:c r="AA538" s="32"/>
      <x:c r="AB538" s="32"/>
      <x:c r="AC538" s="32"/>
      <x:c r="AD538" s="32"/>
      <x:c r="AE538" s="32"/>
      <x:c r="AF538" s="32"/>
      <x:c r="AG538" s="32"/>
      <x:c r="AH538" s="32"/>
      <x:c r="AI538" s="32"/>
      <x:c r="AJ538" s="32"/>
      <x:c r="AK538" s="32"/>
      <x:c r="AL538" s="32"/>
      <x:c r="AM538" s="32"/>
      <x:c r="AN538" s="32"/>
      <x:c r="AO538" s="32"/>
      <x:c r="AP538" s="32"/>
      <x:c r="AQ538" s="32"/>
      <x:c r="AR538" s="32"/>
      <x:c r="AS538" s="32"/>
      <x:c r="AT538" s="32" t="n">
        <x:v>5100</x:v>
      </x:c>
      <x:c r="AU538" s="32"/>
      <x:c r="AV538" s="32"/>
      <x:c r="AW538" s="32"/>
      <x:c r="AX538" s="32"/>
      <x:c r="AY538" s="32"/>
      <x:c r="AZ538" s="32"/>
      <x:c r="BA538" s="32"/>
    </x:row>
    <x:row r="539">
      <x:c r="A539" s="25" t="str">
        <x:v>C09-G</x:v>
      </x:c>
      <x:c r="B539" s="25" t="str">
        <x:v>亚坛高原</x:v>
      </x:c>
      <x:c r="C539" s="25" t="str">
        <x:v>半急速毕业</x:v>
      </x:c>
      <x:c r="D539" s="25" t="str">
        <x:v>神印</x:v>
      </x:c>
      <x:c r="E539" s="25" t="str">
        <x:v>本类1项（逐项见完整JSON）</x:v>
      </x:c>
      <x:c r="F539" s="25" t="str">
        <x:v>S04 / 神印公式</x:v>
      </x:c>
      <x:c r="G539" s="25" t="str">
        <x:v>自给进度假设＋原公式</x:v>
      </x:c>
      <x:c r="H539" s="25" t="str">
        <x:v>由同包逐项数据聚合，便于核对</x:v>
      </x:c>
      <x:c r="I539" s="32" t="n">
        <x:v>28920</x:v>
      </x:c>
      <x:c r="J539" s="32" t="n">
        <x:v>28920</x:v>
      </x:c>
      <x:c r="K539" s="32" t="n">
        <x:v>28920</x:v>
      </x:c>
      <x:c r="L539" s="32" t="n">
        <x:v>28920</x:v>
      </x:c>
      <x:c r="M539" s="32" t="n">
        <x:v>28920</x:v>
      </x:c>
      <x:c r="N539" s="32" t="n">
        <x:v>28920</x:v>
      </x:c>
      <x:c r="O539" s="32" t="n">
        <x:v>2892000</x:v>
      </x:c>
      <x:c r="P539" s="32"/>
      <x:c r="Q539" s="32"/>
      <x:c r="R539" s="32"/>
      <x:c r="S539" s="32"/>
      <x:c r="T539" s="32"/>
      <x:c r="U539" s="32"/>
      <x:c r="V539" s="32"/>
      <x:c r="W539" s="32"/>
      <x:c r="X539" s="32"/>
      <x:c r="Y539" s="32"/>
      <x:c r="Z539" s="32"/>
      <x:c r="AA539" s="32"/>
      <x:c r="AB539" s="32"/>
      <x:c r="AC539" s="32"/>
      <x:c r="AD539" s="32"/>
      <x:c r="AE539" s="32"/>
      <x:c r="AF539" s="32"/>
      <x:c r="AG539" s="32"/>
      <x:c r="AH539" s="32"/>
      <x:c r="AI539" s="32"/>
      <x:c r="AJ539" s="32"/>
      <x:c r="AK539" s="32"/>
      <x:c r="AL539" s="32"/>
      <x:c r="AM539" s="32"/>
      <x:c r="AN539" s="32"/>
      <x:c r="AO539" s="32"/>
      <x:c r="AP539" s="32"/>
      <x:c r="AQ539" s="32"/>
      <x:c r="AR539" s="32"/>
      <x:c r="AS539" s="32"/>
      <x:c r="AT539" s="32"/>
      <x:c r="AU539" s="32"/>
      <x:c r="AV539" s="32"/>
      <x:c r="AW539" s="32"/>
      <x:c r="AX539" s="32"/>
      <x:c r="AY539" s="32"/>
      <x:c r="AZ539" s="32"/>
      <x:c r="BA539" s="32"/>
    </x:row>
    <x:row r="540">
      <x:c r="A540" s="25" t="str">
        <x:v>C09-G</x:v>
      </x:c>
      <x:c r="B540" s="25" t="str">
        <x:v>亚坛高原</x:v>
      </x:c>
      <x:c r="C540" s="25" t="str">
        <x:v>半急速毕业</x:v>
      </x:c>
      <x:c r="D540" s="25" t="str">
        <x:v>转生</x:v>
      </x:c>
      <x:c r="E540" s="25" t="str">
        <x:v>本类1项（逐项见完整JSON）</x:v>
      </x:c>
      <x:c r="F540" s="25" t="str">
        <x:v>S07/20转</x:v>
      </x:c>
      <x:c r="G540" s="25" t="str">
        <x:v>原表累计</x:v>
      </x:c>
      <x:c r="H540" s="25" t="str">
        <x:v>由同包逐项数据聚合，便于核对</x:v>
      </x:c>
      <x:c r="I540" s="32"/>
      <x:c r="J540" s="32"/>
      <x:c r="K540" s="32"/>
      <x:c r="L540" s="32"/>
      <x:c r="M540" s="32"/>
      <x:c r="N540" s="32"/>
      <x:c r="O540" s="32"/>
      <x:c r="P540" s="32"/>
      <x:c r="Q540" s="32"/>
      <x:c r="R540" s="32"/>
      <x:c r="S540" s="32"/>
      <x:c r="T540" s="32"/>
      <x:c r="U540" s="32"/>
      <x:c r="V540" s="32"/>
      <x:c r="W540" s="32"/>
      <x:c r="X540" s="32" t="n">
        <x:v>0.75</x:v>
      </x:c>
      <x:c r="Y540" s="32"/>
      <x:c r="Z540" s="32"/>
      <x:c r="AA540" s="32"/>
      <x:c r="AB540" s="32"/>
      <x:c r="AC540" s="32"/>
      <x:c r="AD540" s="32"/>
      <x:c r="AE540" s="32"/>
      <x:c r="AF540" s="32"/>
      <x:c r="AG540" s="32"/>
      <x:c r="AH540" s="32"/>
      <x:c r="AI540" s="32"/>
      <x:c r="AJ540" s="32"/>
      <x:c r="AK540" s="32"/>
      <x:c r="AL540" s="32"/>
      <x:c r="AM540" s="32"/>
      <x:c r="AN540" s="32"/>
      <x:c r="AO540" s="32"/>
      <x:c r="AP540" s="32"/>
      <x:c r="AQ540" s="32"/>
      <x:c r="AR540" s="32"/>
      <x:c r="AS540" s="32"/>
      <x:c r="AT540" s="32"/>
      <x:c r="AU540" s="32"/>
      <x:c r="AV540" s="32"/>
      <x:c r="AW540" s="32"/>
      <x:c r="AX540" s="32"/>
      <x:c r="AY540" s="32"/>
      <x:c r="AZ540" s="32"/>
      <x:c r="BA540" s="32"/>
    </x:row>
    <x:row r="541">
      <x:c r="A541" s="25" t="str">
        <x:v>C09-G</x:v>
      </x:c>
      <x:c r="B541" s="25" t="str">
        <x:v>亚坛高原</x:v>
      </x:c>
      <x:c r="C541" s="25" t="str">
        <x:v>半急速毕业</x:v>
      </x:c>
      <x:c r="D541" s="25" t="str">
        <x:v>独立称号</x:v>
      </x:c>
      <x:c r="E541" s="25" t="str">
        <x:v>本类5项（逐项见完整JSON）</x:v>
      </x:c>
      <x:c r="F541" s="25" t="str">
        <x:v>S04/02_独立称号</x:v>
      </x:c>
      <x:c r="G541" s="25" t="str">
        <x:v>原表数值</x:v>
      </x:c>
      <x:c r="H541" s="25" t="str">
        <x:v>由同包逐项数据聚合，便于核对</x:v>
      </x:c>
      <x:c r="I541" s="32" t="n">
        <x:v>16510</x:v>
      </x:c>
      <x:c r="J541" s="32" t="n">
        <x:v>16510</x:v>
      </x:c>
      <x:c r="K541" s="32" t="n">
        <x:v>16510</x:v>
      </x:c>
      <x:c r="L541" s="32" t="n">
        <x:v>16510</x:v>
      </x:c>
      <x:c r="M541" s="32" t="n">
        <x:v>16510</x:v>
      </x:c>
      <x:c r="N541" s="32" t="n">
        <x:v>16510</x:v>
      </x:c>
      <x:c r="O541" s="32" t="n">
        <x:v>1651000</x:v>
      </x:c>
      <x:c r="P541" s="32"/>
      <x:c r="Q541" s="32"/>
      <x:c r="R541" s="32"/>
      <x:c r="S541" s="32"/>
      <x:c r="T541" s="32"/>
      <x:c r="U541" s="32"/>
      <x:c r="V541" s="32"/>
      <x:c r="W541" s="32"/>
      <x:c r="X541" s="32" t="n">
        <x:v>0</x:v>
      </x:c>
      <x:c r="Y541" s="32"/>
      <x:c r="Z541" s="32"/>
      <x:c r="AA541" s="32"/>
      <x:c r="AB541" s="32"/>
      <x:c r="AC541" s="32"/>
      <x:c r="AD541" s="32"/>
      <x:c r="AE541" s="32"/>
      <x:c r="AF541" s="32"/>
      <x:c r="AG541" s="32"/>
      <x:c r="AH541" s="32"/>
      <x:c r="AI541" s="32"/>
      <x:c r="AJ541" s="32"/>
      <x:c r="AK541" s="32"/>
      <x:c r="AL541" s="32"/>
      <x:c r="AM541" s="32" t="n">
        <x:v>0</x:v>
      </x:c>
      <x:c r="AN541" s="32"/>
      <x:c r="AO541" s="32"/>
      <x:c r="AP541" s="32" t="n">
        <x:v>0</x:v>
      </x:c>
      <x:c r="AQ541" s="32"/>
      <x:c r="AR541" s="32"/>
      <x:c r="AS541" s="32"/>
      <x:c r="AT541" s="32"/>
      <x:c r="AU541" s="32"/>
      <x:c r="AV541" s="32"/>
      <x:c r="AW541" s="32"/>
      <x:c r="AX541" s="32"/>
      <x:c r="AY541" s="32"/>
      <x:c r="AZ541" s="32"/>
      <x:c r="BA541" s="32"/>
    </x:row>
    <x:row r="542">
      <x:c r="A542" s="25" t="str">
        <x:v>C09-G</x:v>
      </x:c>
      <x:c r="B542" s="25" t="str">
        <x:v>亚坛高原</x:v>
      </x:c>
      <x:c r="C542" s="25" t="str">
        <x:v>半急速毕业</x:v>
      </x:c>
      <x:c r="D542" s="25" t="str">
        <x:v>单件图鉴</x:v>
      </x:c>
      <x:c r="E542" s="25" t="str">
        <x:v>本类1项（逐项见完整JSON）</x:v>
      </x:c>
      <x:c r="F542" s="25" t="str">
        <x:v>S07/collection_single</x:v>
      </x:c>
      <x:c r="G542" s="25" t="str">
        <x:v>原表累计</x:v>
      </x:c>
      <x:c r="H542" s="25" t="str">
        <x:v>由同包逐项数据聚合，便于核对</x:v>
      </x:c>
      <x:c r="I542" s="32" t="n">
        <x:v>8456</x:v>
      </x:c>
      <x:c r="J542" s="32" t="n">
        <x:v>8456</x:v>
      </x:c>
      <x:c r="K542" s="32" t="n">
        <x:v>8456</x:v>
      </x:c>
      <x:c r="L542" s="32" t="n">
        <x:v>8456</x:v>
      </x:c>
      <x:c r="M542" s="32" t="n">
        <x:v>8456</x:v>
      </x:c>
      <x:c r="N542" s="32" t="n">
        <x:v>8456</x:v>
      </x:c>
      <x:c r="O542" s="32" t="n">
        <x:v>845600</x:v>
      </x:c>
      <x:c r="P542" s="32"/>
      <x:c r="Q542" s="32"/>
      <x:c r="R542" s="32"/>
      <x:c r="S542" s="32"/>
      <x:c r="T542" s="32"/>
      <x:c r="U542" s="32"/>
      <x:c r="V542" s="32"/>
      <x:c r="W542" s="32"/>
      <x:c r="X542" s="32"/>
      <x:c r="Y542" s="32"/>
      <x:c r="Z542" s="32"/>
      <x:c r="AA542" s="32"/>
      <x:c r="AB542" s="32"/>
      <x:c r="AC542" s="32"/>
      <x:c r="AD542" s="32"/>
      <x:c r="AE542" s="32"/>
      <x:c r="AF542" s="32"/>
      <x:c r="AG542" s="32"/>
      <x:c r="AH542" s="32"/>
      <x:c r="AI542" s="32"/>
      <x:c r="AJ542" s="32"/>
      <x:c r="AK542" s="32"/>
      <x:c r="AL542" s="32"/>
      <x:c r="AM542" s="32"/>
      <x:c r="AN542" s="32"/>
      <x:c r="AO542" s="32"/>
      <x:c r="AP542" s="32"/>
      <x:c r="AQ542" s="32"/>
      <x:c r="AR542" s="32"/>
      <x:c r="AS542" s="32"/>
      <x:c r="AT542" s="32"/>
      <x:c r="AU542" s="32"/>
      <x:c r="AV542" s="32"/>
      <x:c r="AW542" s="32"/>
      <x:c r="AX542" s="32"/>
      <x:c r="AY542" s="32"/>
      <x:c r="AZ542" s="32"/>
      <x:c r="BA542" s="32"/>
    </x:row>
    <x:row r="543">
      <x:c r="A543" s="25" t="str">
        <x:v>C09-G</x:v>
      </x:c>
      <x:c r="B543" s="25" t="str">
        <x:v>亚坛高原</x:v>
      </x:c>
      <x:c r="C543" s="25" t="str">
        <x:v>半急速毕业</x:v>
      </x:c>
      <x:c r="D543" s="25" t="str">
        <x:v>地图整页</x:v>
      </x:c>
      <x:c r="E543" s="25" t="str">
        <x:v>本类28项（逐项见完整JSON）</x:v>
      </x:c>
      <x:c r="F543" s="25" t="str">
        <x:v>S07/collection_pages</x:v>
      </x:c>
      <x:c r="G543" s="25" t="str">
        <x:v>原表数值</x:v>
      </x:c>
      <x:c r="H543" s="25" t="str">
        <x:v>由同包逐项数据聚合，便于核对</x:v>
      </x:c>
      <x:c r="I543" s="32"/>
      <x:c r="J543" s="32"/>
      <x:c r="K543" s="32"/>
      <x:c r="L543" s="32"/>
      <x:c r="M543" s="32"/>
      <x:c r="N543" s="32"/>
      <x:c r="O543" s="32"/>
      <x:c r="P543" s="32"/>
      <x:c r="Q543" s="32"/>
      <x:c r="R543" s="32"/>
      <x:c r="S543" s="32"/>
      <x:c r="T543" s="32"/>
      <x:c r="U543" s="32"/>
      <x:c r="V543" s="32"/>
      <x:c r="W543" s="32"/>
      <x:c r="X543" s="32" t="n">
        <x:v>0.7500000000000002</x:v>
      </x:c>
      <x:c r="Y543" s="32"/>
      <x:c r="Z543" s="32"/>
      <x:c r="AA543" s="32"/>
      <x:c r="AB543" s="32"/>
      <x:c r="AC543" s="32"/>
      <x:c r="AD543" s="32"/>
      <x:c r="AE543" s="32"/>
      <x:c r="AF543" s="32"/>
      <x:c r="AG543" s="32"/>
      <x:c r="AH543" s="32"/>
      <x:c r="AI543" s="32"/>
      <x:c r="AJ543" s="32"/>
      <x:c r="AK543" s="32"/>
      <x:c r="AL543" s="32"/>
      <x:c r="AM543" s="32" t="n">
        <x:v>14</x:v>
      </x:c>
      <x:c r="AN543" s="32"/>
      <x:c r="AO543" s="32"/>
      <x:c r="AP543" s="32" t="n">
        <x:v>980</x:v>
      </x:c>
      <x:c r="AQ543" s="32"/>
      <x:c r="AR543" s="32"/>
      <x:c r="AS543" s="32"/>
      <x:c r="AT543" s="32"/>
      <x:c r="AU543" s="32"/>
      <x:c r="AV543" s="32"/>
      <x:c r="AW543" s="32"/>
      <x:c r="AX543" s="32"/>
      <x:c r="AY543" s="32"/>
      <x:c r="AZ543" s="32"/>
      <x:c r="BA543" s="32"/>
    </x:row>
    <x:row r="544">
      <x:c r="A544" s="25" t="str">
        <x:v>C09-G</x:v>
      </x:c>
      <x:c r="B544" s="25" t="str">
        <x:v>亚坛高原</x:v>
      </x:c>
      <x:c r="C544" s="25" t="str">
        <x:v>半急速毕业</x:v>
      </x:c>
      <x:c r="D544" s="25" t="str">
        <x:v>材料图鉴</x:v>
      </x:c>
      <x:c r="E544" s="25" t="str">
        <x:v>本类6项（逐项见完整JSON）</x:v>
      </x:c>
      <x:c r="F544" s="25" t="str">
        <x:v>S07/collection_materials</x:v>
      </x:c>
      <x:c r="G544" s="25" t="str">
        <x:v>原表数值</x:v>
      </x:c>
      <x:c r="H544" s="25" t="str">
        <x:v>由同包逐项数据聚合，便于核对</x:v>
      </x:c>
      <x:c r="I544" s="32"/>
      <x:c r="J544" s="32"/>
      <x:c r="K544" s="32"/>
      <x:c r="L544" s="32"/>
      <x:c r="M544" s="32"/>
      <x:c r="N544" s="32"/>
      <x:c r="O544" s="32"/>
      <x:c r="P544" s="32"/>
      <x:c r="Q544" s="32"/>
      <x:c r="R544" s="32"/>
      <x:c r="S544" s="32"/>
      <x:c r="T544" s="32"/>
      <x:c r="U544" s="32"/>
      <x:c r="V544" s="32"/>
      <x:c r="W544" s="32"/>
      <x:c r="X544" s="32" t="n">
        <x:v>0.56</x:v>
      </x:c>
      <x:c r="Y544" s="32"/>
      <x:c r="Z544" s="32"/>
      <x:c r="AA544" s="32"/>
      <x:c r="AB544" s="32"/>
      <x:c r="AC544" s="32"/>
      <x:c r="AD544" s="32"/>
      <x:c r="AE544" s="32"/>
      <x:c r="AF544" s="32"/>
      <x:c r="AG544" s="32"/>
      <x:c r="AH544" s="32"/>
      <x:c r="AI544" s="32"/>
      <x:c r="AJ544" s="32"/>
      <x:c r="AK544" s="32"/>
      <x:c r="AL544" s="32"/>
      <x:c r="AM544" s="32" t="n">
        <x:v>0</x:v>
      </x:c>
      <x:c r="AN544" s="32"/>
      <x:c r="AO544" s="32"/>
      <x:c r="AP544" s="32" t="n">
        <x:v>0</x:v>
      </x:c>
      <x:c r="AQ544" s="32"/>
      <x:c r="AR544" s="32"/>
      <x:c r="AS544" s="32"/>
      <x:c r="AT544" s="32"/>
      <x:c r="AU544" s="32"/>
      <x:c r="AV544" s="32"/>
      <x:c r="AW544" s="32"/>
      <x:c r="AX544" s="32"/>
      <x:c r="AY544" s="32"/>
      <x:c r="AZ544" s="32"/>
      <x:c r="BA544" s="32"/>
    </x:row>
    <x:row r="545">
      <x:c r="A545" s="25" t="str">
        <x:v>C09-G</x:v>
      </x:c>
      <x:c r="B545" s="25" t="str">
        <x:v>亚坛高原</x:v>
      </x:c>
      <x:c r="C545" s="25" t="str">
        <x:v>半急速毕业</x:v>
      </x:c>
      <x:c r="D545" s="25" t="str">
        <x:v>旧任务</x:v>
      </x:c>
      <x:c r="E545" s="25" t="str">
        <x:v>本类6项（逐项见完整JSON）</x:v>
      </x:c>
      <x:c r="F545" s="25" t="str">
        <x:v>宁姆格福_完整怪物装备任务爆率规划/地图任务；第一大陆_地图魂魄任务.txt</x:v>
      </x:c>
      <x:c r="G545" s="25" t="str">
        <x:v>原件确认；原表数值</x:v>
      </x:c>
      <x:c r="H545" s="25" t="str">
        <x:v>由同包逐项数据聚合，便于核对</x:v>
      </x:c>
      <x:c r="I545" s="32" t="n">
        <x:v>60</x:v>
      </x:c>
      <x:c r="J545" s="32" t="n">
        <x:v>60</x:v>
      </x:c>
      <x:c r="K545" s="32" t="n">
        <x:v>60</x:v>
      </x:c>
      <x:c r="L545" s="32" t="n">
        <x:v>60</x:v>
      </x:c>
      <x:c r="M545" s="32" t="n">
        <x:v>60</x:v>
      </x:c>
      <x:c r="N545" s="32" t="n">
        <x:v>60</x:v>
      </x:c>
      <x:c r="O545" s="32"/>
      <x:c r="P545" s="32"/>
      <x:c r="Q545" s="32"/>
      <x:c r="R545" s="32"/>
      <x:c r="S545" s="32"/>
      <x:c r="T545" s="32"/>
      <x:c r="U545" s="32"/>
      <x:c r="V545" s="32"/>
      <x:c r="W545" s="32"/>
      <x:c r="X545" s="32"/>
      <x:c r="Y545" s="32"/>
      <x:c r="Z545" s="32"/>
      <x:c r="AA545" s="32"/>
      <x:c r="AB545" s="32"/>
      <x:c r="AC545" s="32"/>
      <x:c r="AD545" s="32"/>
      <x:c r="AE545" s="32"/>
      <x:c r="AF545" s="32"/>
      <x:c r="AG545" s="32"/>
      <x:c r="AH545" s="32"/>
      <x:c r="AI545" s="32"/>
      <x:c r="AJ545" s="32"/>
      <x:c r="AK545" s="32"/>
      <x:c r="AL545" s="32"/>
      <x:c r="AM545" s="32" t="n">
        <x:v>2</x:v>
      </x:c>
      <x:c r="AN545" s="32"/>
      <x:c r="AO545" s="32"/>
      <x:c r="AP545" s="32" t="n">
        <x:v>120</x:v>
      </x:c>
      <x:c r="AQ545" s="32"/>
      <x:c r="AR545" s="32"/>
      <x:c r="AS545" s="32"/>
      <x:c r="AT545" s="32"/>
      <x:c r="AU545" s="32"/>
      <x:c r="AV545" s="32"/>
      <x:c r="AW545" s="32"/>
      <x:c r="AX545" s="32"/>
      <x:c r="AY545" s="32"/>
      <x:c r="AZ545" s="32"/>
      <x:c r="BA545" s="32"/>
    </x:row>
    <x:row r="546">
      <x:c r="A546" s="25" t="str">
        <x:v>C09-G</x:v>
      </x:c>
      <x:c r="B546" s="25" t="str">
        <x:v>亚坛高原</x:v>
      </x:c>
      <x:c r="C546" s="25" t="str">
        <x:v>半急速毕业</x:v>
      </x:c>
      <x:c r="D546" s="25" t="str">
        <x:v>装备</x:v>
      </x:c>
      <x:c r="E546" s="25" t="str">
        <x:v>本类31项（逐项见完整JSON）</x:v>
      </x:c>
      <x:c r="F546" s="25" t="str">
        <x:v>S02；S07</x:v>
      </x:c>
      <x:c r="G546" s="25" t="str">
        <x:v>原表数值</x:v>
      </x:c>
      <x:c r="H546" s="25" t="str">
        <x:v>由同包逐项数据聚合，便于核对</x:v>
      </x:c>
      <x:c r="I546" s="32" t="n">
        <x:v>62708</x:v>
      </x:c>
      <x:c r="J546" s="32" t="n">
        <x:v>119650</x:v>
      </x:c>
      <x:c r="K546" s="32" t="n">
        <x:v>62708</x:v>
      </x:c>
      <x:c r="L546" s="32" t="n">
        <x:v>119650</x:v>
      </x:c>
      <x:c r="M546" s="32" t="n">
        <x:v>62708</x:v>
      </x:c>
      <x:c r="N546" s="32" t="n">
        <x:v>119650</x:v>
      </x:c>
      <x:c r="O546" s="32" t="n">
        <x:v>41475600</x:v>
      </x:c>
      <x:c r="P546" s="32"/>
      <x:c r="Q546" s="32" t="n">
        <x:v>487</x:v>
      </x:c>
      <x:c r="R546" s="32" t="n">
        <x:v>911</x:v>
      </x:c>
      <x:c r="S546" s="32" t="n">
        <x:v>395</x:v>
      </x:c>
      <x:c r="T546" s="32" t="n">
        <x:v>737</x:v>
      </x:c>
      <x:c r="U546" s="32" t="n">
        <x:v>641</x:v>
      </x:c>
      <x:c r="V546" s="32" t="n">
        <x:v>641</x:v>
      </x:c>
      <x:c r="W546" s="32" t="n">
        <x:v>641</x:v>
      </x:c>
      <x:c r="X546" s="32"/>
      <x:c r="Y546" s="32"/>
      <x:c r="Z546" s="32" t="n">
        <x:v>155</x:v>
      </x:c>
      <x:c r="AA546" s="32" t="n">
        <x:v>44</x:v>
      </x:c>
      <x:c r="AB546" s="32"/>
      <x:c r="AC546" s="32" t="n">
        <x:v>225</x:v>
      </x:c>
      <x:c r="AD546" s="32" t="n">
        <x:v>3</x:v>
      </x:c>
      <x:c r="AE546" s="32" t="n">
        <x:v>66</x:v>
      </x:c>
      <x:c r="AF546" s="32"/>
      <x:c r="AG546" s="32"/>
      <x:c r="AH546" s="32" t="n">
        <x:v>53</x:v>
      </x:c>
      <x:c r="AI546" s="32" t="n">
        <x:v>10</x:v>
      </x:c>
      <x:c r="AJ546" s="32" t="n">
        <x:v>152</x:v>
      </x:c>
      <x:c r="AK546" s="32"/>
      <x:c r="AL546" s="32"/>
      <x:c r="AM546" s="32"/>
      <x:c r="AN546" s="32" t="n">
        <x:v>30</x:v>
      </x:c>
      <x:c r="AO546" s="32" t="n">
        <x:v>0.5</x:v>
      </x:c>
      <x:c r="AP546" s="32" t="n">
        <x:v>54</x:v>
      </x:c>
      <x:c r="AQ546" s="32" t="n">
        <x:v>72</x:v>
      </x:c>
      <x:c r="AR546" s="32"/>
      <x:c r="AS546" s="32" t="n">
        <x:v>10</x:v>
      </x:c>
      <x:c r="AT546" s="32"/>
      <x:c r="AU546" s="32"/>
      <x:c r="AV546" s="32"/>
      <x:c r="AW546" s="32"/>
      <x:c r="AX546" s="32"/>
      <x:c r="AY546" s="32"/>
      <x:c r="AZ546" s="32" t="n">
        <x:v>13</x:v>
      </x:c>
      <x:c r="BA546" s="32"/>
    </x:row>
    <x:row r="547">
      <x:c r="A547" s="25" t="str">
        <x:v>C09-G</x:v>
      </x:c>
      <x:c r="B547" s="25" t="str">
        <x:v>亚坛高原</x:v>
      </x:c>
      <x:c r="C547" s="25" t="str">
        <x:v>半急速毕业</x:v>
      </x:c>
      <x:c r="D547" s="25" t="str">
        <x:v>洗练</x:v>
      </x:c>
      <x:c r="E547" s="25" t="str">
        <x:v>本类10项（逐项见完整JSON）</x:v>
      </x:c>
      <x:c r="F547" s="25" t="str">
        <x:v>S06＋固定种子</x:v>
      </x:c>
      <x:c r="G547" s="25" t="str">
        <x:v>可实现随机样本</x:v>
      </x:c>
      <x:c r="H547" s="25" t="str">
        <x:v>由同包逐项数据聚合，便于核对</x:v>
      </x:c>
      <x:c r="I547" s="32" t="n">
        <x:v>7807</x:v>
      </x:c>
      <x:c r="J547" s="32" t="n">
        <x:v>7807</x:v>
      </x:c>
      <x:c r="K547" s="32" t="n">
        <x:v>1861</x:v>
      </x:c>
      <x:c r="L547" s="32" t="n">
        <x:v>1861</x:v>
      </x:c>
      <x:c r="M547" s="32" t="n">
        <x:v>2719</x:v>
      </x:c>
      <x:c r="N547" s="32" t="n">
        <x:v>2719</x:v>
      </x:c>
      <x:c r="O547" s="32"/>
      <x:c r="P547" s="32"/>
      <x:c r="Q547" s="32"/>
      <x:c r="R547" s="32"/>
      <x:c r="S547" s="32"/>
      <x:c r="T547" s="32"/>
      <x:c r="U547" s="32" t="n">
        <x:v>147</x:v>
      </x:c>
      <x:c r="V547" s="32"/>
      <x:c r="W547" s="32"/>
      <x:c r="X547" s="32"/>
      <x:c r="Y547" s="32" t="n">
        <x:v>3</x:v>
      </x:c>
      <x:c r="Z547" s="32"/>
      <x:c r="AA547" s="32"/>
      <x:c r="AB547" s="32" t="n">
        <x:v>4</x:v>
      </x:c>
      <x:c r="AC547" s="32"/>
      <x:c r="AD547" s="32" t="n">
        <x:v>3</x:v>
      </x:c>
      <x:c r="AE547" s="32"/>
      <x:c r="AF547" s="32"/>
      <x:c r="AG547" s="32"/>
      <x:c r="AH547" s="32" t="n">
        <x:v>11</x:v>
      </x:c>
      <x:c r="AI547" s="32"/>
      <x:c r="AJ547" s="32"/>
      <x:c r="AK547" s="32"/>
      <x:c r="AL547" s="32"/>
      <x:c r="AM547" s="32" t="n">
        <x:v>5</x:v>
      </x:c>
      <x:c r="AN547" s="32" t="n">
        <x:v>5</x:v>
      </x:c>
      <x:c r="AO547" s="32" t="n">
        <x:v>2</x:v>
      </x:c>
      <x:c r="AP547" s="32" t="n">
        <x:v>20</x:v>
      </x:c>
      <x:c r="AQ547" s="32"/>
      <x:c r="AR547" s="32" t="n">
        <x:v>3</x:v>
      </x:c>
      <x:c r="AS547" s="32" t="n">
        <x:v>5</x:v>
      </x:c>
      <x:c r="AT547" s="32"/>
      <x:c r="AU547" s="32" t="n">
        <x:v>2</x:v>
      </x:c>
      <x:c r="AV547" s="32"/>
      <x:c r="AW547" s="32"/>
      <x:c r="AX547" s="32"/>
      <x:c r="AY547" s="32"/>
      <x:c r="AZ547" s="32"/>
      <x:c r="BA547" s="32"/>
    </x:row>
    <x:row r="548">
      <x:c r="A548" s="25" t="str">
        <x:v>C09-G</x:v>
      </x:c>
      <x:c r="B548" s="25" t="str">
        <x:v>亚坛高原</x:v>
      </x:c>
      <x:c r="C548" s="25" t="str">
        <x:v>半急速毕业</x:v>
      </x:c>
      <x:c r="D548" s="25" t="str">
        <x:v>命格</x:v>
      </x:c>
      <x:c r="E548" s="25" t="str">
        <x:v>本类7项（逐项见完整JSON）</x:v>
      </x:c>
      <x:c r="F548" s="25" t="str">
        <x:v>S03/命格ID1081；S03/命格ID1086；S03/命格ID1089；S03/命格ID1090；S03/命格ID1092；S03/命格ID1093；S03/命格ID1097</x:v>
      </x:c>
      <x:c r="G548" s="25" t="str">
        <x:v>原表彩色＋选配假设</x:v>
      </x:c>
      <x:c r="H548" s="25" t="str">
        <x:v>由同包逐项数据聚合，便于核对</x:v>
      </x:c>
      <x:c r="I548" s="32"/>
      <x:c r="J548" s="32"/>
      <x:c r="K548" s="32"/>
      <x:c r="L548" s="32"/>
      <x:c r="M548" s="32"/>
      <x:c r="N548" s="32"/>
      <x:c r="O548" s="32" t="n">
        <x:v>1500</x:v>
      </x:c>
      <x:c r="P548" s="32"/>
      <x:c r="Q548" s="32"/>
      <x:c r="R548" s="32"/>
      <x:c r="S548" s="32"/>
      <x:c r="T548" s="32"/>
      <x:c r="U548" s="32" t="n">
        <x:v>3</x:v>
      </x:c>
      <x:c r="V548" s="32"/>
      <x:c r="W548" s="32"/>
      <x:c r="X548" s="32"/>
      <x:c r="Y548" s="32" t="n">
        <x:v>6</x:v>
      </x:c>
      <x:c r="Z548" s="32" t="n">
        <x:v>3</x:v>
      </x:c>
      <x:c r="AA548" s="32" t="n">
        <x:v>5</x:v>
      </x:c>
      <x:c r="AB548" s="32"/>
      <x:c r="AC548" s="32"/>
      <x:c r="AD548" s="32"/>
      <x:c r="AE548" s="32"/>
      <x:c r="AF548" s="32"/>
      <x:c r="AG548" s="32"/>
      <x:c r="AH548" s="32" t="n">
        <x:v>2</x:v>
      </x:c>
      <x:c r="AI548" s="32"/>
      <x:c r="AJ548" s="32" t="n">
        <x:v>10</x:v>
      </x:c>
      <x:c r="AK548" s="32"/>
      <x:c r="AL548" s="32"/>
      <x:c r="AM548" s="32" t="n">
        <x:v>6</x:v>
      </x:c>
      <x:c r="AN548" s="32"/>
      <x:c r="AO548" s="32"/>
      <x:c r="AP548" s="32"/>
      <x:c r="AQ548" s="32" t="n">
        <x:v>6</x:v>
      </x:c>
      <x:c r="AR548" s="32" t="n">
        <x:v>3</x:v>
      </x:c>
      <x:c r="AS548" s="32" t="n">
        <x:v>0.75</x:v>
      </x:c>
      <x:c r="AT548" s="32" t="n">
        <x:v>50</x:v>
      </x:c>
      <x:c r="AU548" s="32" t="n">
        <x:v>2</x:v>
      </x:c>
      <x:c r="AV548" s="32" t="n">
        <x:v>3</x:v>
      </x:c>
      <x:c r="AW548" s="32"/>
      <x:c r="AX548" s="32"/>
      <x:c r="AY548" s="32"/>
      <x:c r="AZ548" s="32"/>
      <x:c r="BA548" s="32"/>
    </x:row>
    <x:row r="549">
      <x:c r="A549" s="25" t="str">
        <x:v>C09-G</x:v>
      </x:c>
      <x:c r="B549" s="25" t="str">
        <x:v>亚坛高原</x:v>
      </x:c>
      <x:c r="C549" s="25" t="str">
        <x:v>半急速毕业</x:v>
      </x:c>
      <x:c r="D549" s="25" t="str">
        <x:v>后天幸运</x:v>
      </x:c>
      <x:c r="E549" s="25" t="str">
        <x:v>本类1项（逐项见完整JSON）</x:v>
      </x:c>
      <x:c r="F549" s="25" t="str">
        <x:v>A08</x:v>
      </x:c>
      <x:c r="G549" s="25" t="str">
        <x:v>人物永久进度</x:v>
      </x:c>
      <x:c r="H549" s="25" t="str">
        <x:v>由同包逐项数据聚合，便于核对</x:v>
      </x:c>
      <x:c r="I549" s="32"/>
      <x:c r="J549" s="32"/>
      <x:c r="K549" s="32"/>
      <x:c r="L549" s="32"/>
      <x:c r="M549" s="32"/>
      <x:c r="N549" s="32"/>
      <x:c r="O549" s="32"/>
      <x:c r="P549" s="32"/>
      <x:c r="Q549" s="32"/>
      <x:c r="R549" s="32"/>
      <x:c r="S549" s="32"/>
      <x:c r="T549" s="32"/>
      <x:c r="U549" s="32"/>
      <x:c r="V549" s="32"/>
      <x:c r="W549" s="32"/>
      <x:c r="X549" s="32"/>
      <x:c r="Y549" s="32"/>
      <x:c r="Z549" s="32"/>
      <x:c r="AA549" s="32"/>
      <x:c r="AB549" s="32"/>
      <x:c r="AC549" s="32"/>
      <x:c r="AD549" s="32"/>
      <x:c r="AE549" s="32"/>
      <x:c r="AF549" s="32"/>
      <x:c r="AG549" s="32"/>
      <x:c r="AH549" s="32"/>
      <x:c r="AI549" s="32"/>
      <x:c r="AJ549" s="32"/>
      <x:c r="AK549" s="32" t="n">
        <x:v>7</x:v>
      </x:c>
      <x:c r="AL549" s="32" t="n">
        <x:v>8</x:v>
      </x:c>
      <x:c r="AM549" s="32"/>
      <x:c r="AN549" s="32"/>
      <x:c r="AO549" s="32"/>
      <x:c r="AP549" s="32"/>
      <x:c r="AQ549" s="32"/>
      <x:c r="AR549" s="32"/>
      <x:c r="AS549" s="32"/>
      <x:c r="AT549" s="32"/>
      <x:c r="AU549" s="32"/>
      <x:c r="AV549" s="32"/>
      <x:c r="AW549" s="32"/>
      <x:c r="AX549" s="32"/>
      <x:c r="AY549" s="32"/>
      <x:c r="AZ549" s="32"/>
      <x:c r="BA549" s="32"/>
    </x:row>
    <x:row r="550">
      <x:c r="A550" s="25" t="str">
        <x:v>C09-G</x:v>
      </x:c>
      <x:c r="B550" s="25" t="str">
        <x:v>亚坛高原</x:v>
      </x:c>
      <x:c r="C550" s="25" t="str">
        <x:v>半急速毕业</x:v>
      </x:c>
      <x:c r="D550" s="25" t="str">
        <x:v>回收预算</x:v>
      </x:c>
      <x:c r="E550" s="25" t="str">
        <x:v>本类1项（逐项见完整JSON）</x:v>
      </x:c>
      <x:c r="F550" s="25" t="str">
        <x:v>用户总回收50%</x:v>
      </x:c>
      <x:c r="G550" s="25" t="str">
        <x:v>经济输入，不是新增属性来源</x:v>
      </x:c>
      <x:c r="H550" s="25" t="str">
        <x:v>由同包逐项数据聚合，便于核对</x:v>
      </x:c>
      <x:c r="I550" s="32"/>
      <x:c r="J550" s="32"/>
      <x:c r="K550" s="32"/>
      <x:c r="L550" s="32"/>
      <x:c r="M550" s="32"/>
      <x:c r="N550" s="32"/>
      <x:c r="O550" s="32"/>
      <x:c r="P550" s="32"/>
      <x:c r="Q550" s="32"/>
      <x:c r="R550" s="32"/>
      <x:c r="S550" s="32"/>
      <x:c r="T550" s="32"/>
      <x:c r="U550" s="32"/>
      <x:c r="V550" s="32"/>
      <x:c r="W550" s="32"/>
      <x:c r="X550" s="32"/>
      <x:c r="Y550" s="32"/>
      <x:c r="Z550" s="32"/>
      <x:c r="AA550" s="32"/>
      <x:c r="AB550" s="32"/>
      <x:c r="AC550" s="32"/>
      <x:c r="AD550" s="32"/>
      <x:c r="AE550" s="32"/>
      <x:c r="AF550" s="32"/>
      <x:c r="AG550" s="32"/>
      <x:c r="AH550" s="32"/>
      <x:c r="AI550" s="32"/>
      <x:c r="AJ550" s="32"/>
      <x:c r="AK550" s="32"/>
      <x:c r="AL550" s="32"/>
      <x:c r="AM550" s="32"/>
      <x:c r="AN550" s="32"/>
      <x:c r="AO550" s="32"/>
      <x:c r="AP550" s="32"/>
      <x:c r="AQ550" s="32"/>
      <x:c r="AR550" s="32"/>
      <x:c r="AS550" s="32"/>
      <x:c r="AT550" s="32"/>
      <x:c r="AU550" s="32"/>
      <x:c r="AV550" s="32"/>
      <x:c r="AW550" s="32"/>
      <x:c r="AX550" s="32"/>
      <x:c r="AY550" s="32"/>
      <x:c r="AZ550" s="32"/>
      <x:c r="BA550" s="32" t="n">
        <x:v>50</x:v>
      </x:c>
    </x:row>
    <x:row r="551">
      <x:c r="A551" s="25" t="str">
        <x:v>C09-X</x:v>
      </x:c>
      <x:c r="B551" s="25" t="str">
        <x:v>亚坛高原</x:v>
      </x:c>
      <x:c r="C551" s="25" t="str">
        <x:v>极端压力</x:v>
      </x:c>
      <x:c r="D551" s="25" t="str">
        <x:v>人物自然</x:v>
      </x:c>
      <x:c r="E551" s="25" t="str">
        <x:v>本类1项（逐项见完整JSON）</x:v>
      </x:c>
      <x:c r="F551" s="25" t="str">
        <x:v>A01</x:v>
      </x:c>
      <x:c r="G551" s="25" t="str">
        <x:v>模型假设</x:v>
      </x:c>
      <x:c r="H551" s="25" t="str">
        <x:v>由同包逐项数据聚合，便于核对</x:v>
      </x:c>
      <x:c r="I551" s="32" t="n">
        <x:v>25</x:v>
      </x:c>
      <x:c r="J551" s="32" t="n">
        <x:v>58</x:v>
      </x:c>
      <x:c r="K551" s="32"/>
      <x:c r="L551" s="32"/>
      <x:c r="M551" s="32"/>
      <x:c r="N551" s="32"/>
      <x:c r="O551" s="32" t="n">
        <x:v>4600</x:v>
      </x:c>
      <x:c r="P551" s="32" t="n">
        <x:v>1100</x:v>
      </x:c>
      <x:c r="Q551" s="32"/>
      <x:c r="R551" s="32"/>
      <x:c r="S551" s="32"/>
      <x:c r="T551" s="32"/>
      <x:c r="U551" s="32"/>
      <x:c r="V551" s="32"/>
      <x:c r="W551" s="32"/>
      <x:c r="X551" s="32"/>
      <x:c r="Y551" s="32"/>
      <x:c r="Z551" s="32"/>
      <x:c r="AA551" s="32"/>
      <x:c r="AB551" s="32"/>
      <x:c r="AC551" s="32"/>
      <x:c r="AD551" s="32"/>
      <x:c r="AE551" s="32"/>
      <x:c r="AF551" s="32"/>
      <x:c r="AG551" s="32"/>
      <x:c r="AH551" s="32"/>
      <x:c r="AI551" s="32"/>
      <x:c r="AJ551" s="32"/>
      <x:c r="AK551" s="32"/>
      <x:c r="AL551" s="32"/>
      <x:c r="AM551" s="32"/>
      <x:c r="AN551" s="32"/>
      <x:c r="AO551" s="32"/>
      <x:c r="AP551" s="32"/>
      <x:c r="AQ551" s="32"/>
      <x:c r="AR551" s="32"/>
      <x:c r="AS551" s="32"/>
      <x:c r="AT551" s="32"/>
      <x:c r="AU551" s="32"/>
      <x:c r="AV551" s="32"/>
      <x:c r="AW551" s="32"/>
      <x:c r="AX551" s="32"/>
      <x:c r="AY551" s="32"/>
      <x:c r="AZ551" s="32"/>
      <x:c r="BA551" s="32"/>
    </x:row>
    <x:row r="552">
      <x:c r="A552" s="25" t="str">
        <x:v>C09-X</x:v>
      </x:c>
      <x:c r="B552" s="25" t="str">
        <x:v>亚坛高原</x:v>
      </x:c>
      <x:c r="C552" s="25" t="str">
        <x:v>极端压力</x:v>
      </x:c>
      <x:c r="D552" s="25" t="str">
        <x:v>付费状态</x:v>
      </x:c>
      <x:c r="E552" s="25" t="str">
        <x:v>本类3项（逐项见完整JSON）</x:v>
      </x:c>
      <x:c r="F552" s="25" t="str">
        <x:v>20260903总档</x:v>
      </x:c>
      <x:c r="G552" s="25" t="str">
        <x:v>原表数值</x:v>
      </x:c>
      <x:c r="H552" s="25" t="str">
        <x:v>由同包逐项数据聚合，便于核对</x:v>
      </x:c>
      <x:c r="I552" s="32" t="n">
        <x:v>149</x:v>
      </x:c>
      <x:c r="J552" s="32" t="n">
        <x:v>149</x:v>
      </x:c>
      <x:c r="K552" s="32" t="n">
        <x:v>149</x:v>
      </x:c>
      <x:c r="L552" s="32" t="n">
        <x:v>149</x:v>
      </x:c>
      <x:c r="M552" s="32" t="n">
        <x:v>149</x:v>
      </x:c>
      <x:c r="N552" s="32" t="n">
        <x:v>149</x:v>
      </x:c>
      <x:c r="O552" s="32" t="n">
        <x:v>10000</x:v>
      </x:c>
      <x:c r="P552" s="32"/>
      <x:c r="Q552" s="32"/>
      <x:c r="R552" s="32"/>
      <x:c r="S552" s="32"/>
      <x:c r="T552" s="32"/>
      <x:c r="U552" s="32"/>
      <x:c r="V552" s="32"/>
      <x:c r="W552" s="32"/>
      <x:c r="X552" s="32"/>
      <x:c r="Y552" s="32" t="n">
        <x:v>10</x:v>
      </x:c>
      <x:c r="Z552" s="32"/>
      <x:c r="AA552" s="32"/>
      <x:c r="AB552" s="32" t="n">
        <x:v>20</x:v>
      </x:c>
      <x:c r="AC552" s="32"/>
      <x:c r="AD552" s="32"/>
      <x:c r="AE552" s="32"/>
      <x:c r="AF552" s="32"/>
      <x:c r="AG552" s="32"/>
      <x:c r="AH552" s="32"/>
      <x:c r="AI552" s="32"/>
      <x:c r="AJ552" s="32"/>
      <x:c r="AK552" s="32"/>
      <x:c r="AL552" s="32"/>
      <x:c r="AM552" s="32" t="n">
        <x:v>10</x:v>
      </x:c>
      <x:c r="AN552" s="32"/>
      <x:c r="AO552" s="32"/>
      <x:c r="AP552" s="32" t="n">
        <x:v>50</x:v>
      </x:c>
      <x:c r="AQ552" s="32"/>
      <x:c r="AR552" s="32"/>
      <x:c r="AS552" s="32"/>
      <x:c r="AT552" s="32" t="n">
        <x:v>700</x:v>
      </x:c>
      <x:c r="AU552" s="32" t="n">
        <x:v>15</x:v>
      </x:c>
      <x:c r="AV552" s="32"/>
      <x:c r="AW552" s="32"/>
      <x:c r="AX552" s="32"/>
      <x:c r="AY552" s="32"/>
      <x:c r="AZ552" s="32"/>
      <x:c r="BA552" s="32"/>
    </x:row>
    <x:row r="553">
      <x:c r="A553" s="25" t="str">
        <x:v>C09-X</x:v>
      </x:c>
      <x:c r="B553" s="25" t="str">
        <x:v>亚坛高原</x:v>
      </x:c>
      <x:c r="C553" s="25" t="str">
        <x:v>极端压力</x:v>
      </x:c>
      <x:c r="D553" s="25" t="str">
        <x:v>成长装备</x:v>
      </x:c>
      <x:c r="E553" s="25" t="str">
        <x:v>本类2项（逐项见完整JSON）</x:v>
      </x:c>
      <x:c r="F553" s="25" t="str">
        <x:v>20260903总档 / A04</x:v>
      </x:c>
      <x:c r="G553" s="25" t="str">
        <x:v>原表＋支付路径假设</x:v>
      </x:c>
      <x:c r="H553" s="25" t="str">
        <x:v>由同包逐项数据聚合，便于核对</x:v>
      </x:c>
      <x:c r="I553" s="32" t="n">
        <x:v>1100</x:v>
      </x:c>
      <x:c r="J553" s="32" t="n">
        <x:v>1100</x:v>
      </x:c>
      <x:c r="K553" s="32" t="n">
        <x:v>1100</x:v>
      </x:c>
      <x:c r="L553" s="32" t="n">
        <x:v>1100</x:v>
      </x:c>
      <x:c r="M553" s="32" t="n">
        <x:v>1100</x:v>
      </x:c>
      <x:c r="N553" s="32" t="n">
        <x:v>1100</x:v>
      </x:c>
      <x:c r="O553" s="32"/>
      <x:c r="P553" s="32"/>
      <x:c r="Q553" s="32"/>
      <x:c r="R553" s="32"/>
      <x:c r="S553" s="32"/>
      <x:c r="T553" s="32"/>
      <x:c r="U553" s="32"/>
      <x:c r="V553" s="32"/>
      <x:c r="W553" s="32"/>
      <x:c r="X553" s="32"/>
      <x:c r="Y553" s="32"/>
      <x:c r="Z553" s="32"/>
      <x:c r="AA553" s="32"/>
      <x:c r="AB553" s="32"/>
      <x:c r="AC553" s="32"/>
      <x:c r="AD553" s="32"/>
      <x:c r="AE553" s="32"/>
      <x:c r="AF553" s="32"/>
      <x:c r="AG553" s="32"/>
      <x:c r="AH553" s="32"/>
      <x:c r="AI553" s="32"/>
      <x:c r="AJ553" s="32"/>
      <x:c r="AK553" s="32"/>
      <x:c r="AL553" s="32"/>
      <x:c r="AM553" s="32"/>
      <x:c r="AN553" s="32"/>
      <x:c r="AO553" s="32"/>
      <x:c r="AP553" s="32"/>
      <x:c r="AQ553" s="32"/>
      <x:c r="AR553" s="32"/>
      <x:c r="AS553" s="32"/>
      <x:c r="AT553" s="32"/>
      <x:c r="AU553" s="32"/>
      <x:c r="AV553" s="32"/>
      <x:c r="AW553" s="32" t="n">
        <x:v>10</x:v>
      </x:c>
      <x:c r="AX553" s="32" t="n">
        <x:v>10</x:v>
      </x:c>
      <x:c r="AY553" s="32"/>
      <x:c r="AZ553" s="32"/>
      <x:c r="BA553" s="32"/>
    </x:row>
    <x:row r="554">
      <x:c r="A554" s="25" t="str">
        <x:v>C09-X</x:v>
      </x:c>
      <x:c r="B554" s="25" t="str">
        <x:v>亚坛高原</x:v>
      </x:c>
      <x:c r="C554" s="25" t="str">
        <x:v>极端压力</x:v>
      </x:c>
      <x:c r="D554" s="25" t="str">
        <x:v>贯穿称号</x:v>
      </x:c>
      <x:c r="E554" s="25" t="str">
        <x:v>本类1项（逐项见完整JSON）</x:v>
      </x:c>
      <x:c r="F554" s="25" t="str">
        <x:v>S04/01_贯穿称号</x:v>
      </x:c>
      <x:c r="G554" s="25" t="str">
        <x:v>原表数值</x:v>
      </x:c>
      <x:c r="H554" s="25" t="str">
        <x:v>由同包逐项数据聚合，便于核对</x:v>
      </x:c>
      <x:c r="I554" s="32" t="n">
        <x:v>60000</x:v>
      </x:c>
      <x:c r="J554" s="32" t="n">
        <x:v>60000</x:v>
      </x:c>
      <x:c r="K554" s="32" t="n">
        <x:v>60000</x:v>
      </x:c>
      <x:c r="L554" s="32" t="n">
        <x:v>60000</x:v>
      </x:c>
      <x:c r="M554" s="32" t="n">
        <x:v>60000</x:v>
      </x:c>
      <x:c r="N554" s="32" t="n">
        <x:v>60000</x:v>
      </x:c>
      <x:c r="O554" s="32" t="n">
        <x:v>6000000</x:v>
      </x:c>
      <x:c r="P554" s="32" t="n">
        <x:v>6000000</x:v>
      </x:c>
      <x:c r="Q554" s="32"/>
      <x:c r="R554" s="32"/>
      <x:c r="S554" s="32"/>
      <x:c r="T554" s="32"/>
      <x:c r="U554" s="32"/>
      <x:c r="V554" s="32"/>
      <x:c r="W554" s="32"/>
      <x:c r="X554" s="32"/>
      <x:c r="Y554" s="32"/>
      <x:c r="Z554" s="32"/>
      <x:c r="AA554" s="32"/>
      <x:c r="AB554" s="32"/>
      <x:c r="AC554" s="32"/>
      <x:c r="AD554" s="32"/>
      <x:c r="AE554" s="32"/>
      <x:c r="AF554" s="32"/>
      <x:c r="AG554" s="32"/>
      <x:c r="AH554" s="32"/>
      <x:c r="AI554" s="32"/>
      <x:c r="AJ554" s="32"/>
      <x:c r="AK554" s="32"/>
      <x:c r="AL554" s="32"/>
      <x:c r="AM554" s="32"/>
      <x:c r="AN554" s="32"/>
      <x:c r="AO554" s="32"/>
      <x:c r="AP554" s="32"/>
      <x:c r="AQ554" s="32"/>
      <x:c r="AR554" s="32"/>
      <x:c r="AS554" s="32"/>
      <x:c r="AT554" s="32" t="n">
        <x:v>5100</x:v>
      </x:c>
      <x:c r="AU554" s="32"/>
      <x:c r="AV554" s="32"/>
      <x:c r="AW554" s="32"/>
      <x:c r="AX554" s="32"/>
      <x:c r="AY554" s="32"/>
      <x:c r="AZ554" s="32"/>
      <x:c r="BA554" s="32"/>
    </x:row>
    <x:row r="555">
      <x:c r="A555" s="25" t="str">
        <x:v>C09-X</x:v>
      </x:c>
      <x:c r="B555" s="25" t="str">
        <x:v>亚坛高原</x:v>
      </x:c>
      <x:c r="C555" s="25" t="str">
        <x:v>极端压力</x:v>
      </x:c>
      <x:c r="D555" s="25" t="str">
        <x:v>神印</x:v>
      </x:c>
      <x:c r="E555" s="25" t="str">
        <x:v>本类1项（逐项见完整JSON）</x:v>
      </x:c>
      <x:c r="F555" s="25" t="str">
        <x:v>S04 / 神印公式</x:v>
      </x:c>
      <x:c r="G555" s="25" t="str">
        <x:v>自给进度假设＋原公式</x:v>
      </x:c>
      <x:c r="H555" s="25" t="str">
        <x:v>由同包逐项数据聚合，便于核对</x:v>
      </x:c>
      <x:c r="I555" s="32" t="n">
        <x:v>28920</x:v>
      </x:c>
      <x:c r="J555" s="32" t="n">
        <x:v>28920</x:v>
      </x:c>
      <x:c r="K555" s="32" t="n">
        <x:v>28920</x:v>
      </x:c>
      <x:c r="L555" s="32" t="n">
        <x:v>28920</x:v>
      </x:c>
      <x:c r="M555" s="32" t="n">
        <x:v>28920</x:v>
      </x:c>
      <x:c r="N555" s="32" t="n">
        <x:v>28920</x:v>
      </x:c>
      <x:c r="O555" s="32" t="n">
        <x:v>2892000</x:v>
      </x:c>
      <x:c r="P555" s="32"/>
      <x:c r="Q555" s="32"/>
      <x:c r="R555" s="32"/>
      <x:c r="S555" s="32"/>
      <x:c r="T555" s="32"/>
      <x:c r="U555" s="32"/>
      <x:c r="V555" s="32"/>
      <x:c r="W555" s="32"/>
      <x:c r="X555" s="32"/>
      <x:c r="Y555" s="32"/>
      <x:c r="Z555" s="32"/>
      <x:c r="AA555" s="32"/>
      <x:c r="AB555" s="32"/>
      <x:c r="AC555" s="32"/>
      <x:c r="AD555" s="32"/>
      <x:c r="AE555" s="32"/>
      <x:c r="AF555" s="32"/>
      <x:c r="AG555" s="32"/>
      <x:c r="AH555" s="32"/>
      <x:c r="AI555" s="32"/>
      <x:c r="AJ555" s="32"/>
      <x:c r="AK555" s="32"/>
      <x:c r="AL555" s="32"/>
      <x:c r="AM555" s="32"/>
      <x:c r="AN555" s="32"/>
      <x:c r="AO555" s="32"/>
      <x:c r="AP555" s="32"/>
      <x:c r="AQ555" s="32"/>
      <x:c r="AR555" s="32"/>
      <x:c r="AS555" s="32"/>
      <x:c r="AT555" s="32"/>
      <x:c r="AU555" s="32"/>
      <x:c r="AV555" s="32"/>
      <x:c r="AW555" s="32"/>
      <x:c r="AX555" s="32"/>
      <x:c r="AY555" s="32"/>
      <x:c r="AZ555" s="32"/>
      <x:c r="BA555" s="32"/>
    </x:row>
    <x:row r="556">
      <x:c r="A556" s="25" t="str">
        <x:v>C09-X</x:v>
      </x:c>
      <x:c r="B556" s="25" t="str">
        <x:v>亚坛高原</x:v>
      </x:c>
      <x:c r="C556" s="25" t="str">
        <x:v>极端压力</x:v>
      </x:c>
      <x:c r="D556" s="25" t="str">
        <x:v>转生</x:v>
      </x:c>
      <x:c r="E556" s="25" t="str">
        <x:v>本类1项（逐项见完整JSON）</x:v>
      </x:c>
      <x:c r="F556" s="25" t="str">
        <x:v>S07/20转</x:v>
      </x:c>
      <x:c r="G556" s="25" t="str">
        <x:v>原表累计</x:v>
      </x:c>
      <x:c r="H556" s="25" t="str">
        <x:v>由同包逐项数据聚合，便于核对</x:v>
      </x:c>
      <x:c r="I556" s="32"/>
      <x:c r="J556" s="32"/>
      <x:c r="K556" s="32"/>
      <x:c r="L556" s="32"/>
      <x:c r="M556" s="32"/>
      <x:c r="N556" s="32"/>
      <x:c r="O556" s="32"/>
      <x:c r="P556" s="32"/>
      <x:c r="Q556" s="32"/>
      <x:c r="R556" s="32"/>
      <x:c r="S556" s="32"/>
      <x:c r="T556" s="32"/>
      <x:c r="U556" s="32"/>
      <x:c r="V556" s="32"/>
      <x:c r="W556" s="32"/>
      <x:c r="X556" s="32" t="n">
        <x:v>0.75</x:v>
      </x:c>
      <x:c r="Y556" s="32"/>
      <x:c r="Z556" s="32"/>
      <x:c r="AA556" s="32"/>
      <x:c r="AB556" s="32"/>
      <x:c r="AC556" s="32"/>
      <x:c r="AD556" s="32"/>
      <x:c r="AE556" s="32"/>
      <x:c r="AF556" s="32"/>
      <x:c r="AG556" s="32"/>
      <x:c r="AH556" s="32"/>
      <x:c r="AI556" s="32"/>
      <x:c r="AJ556" s="32"/>
      <x:c r="AK556" s="32"/>
      <x:c r="AL556" s="32"/>
      <x:c r="AM556" s="32"/>
      <x:c r="AN556" s="32"/>
      <x:c r="AO556" s="32"/>
      <x:c r="AP556" s="32"/>
      <x:c r="AQ556" s="32"/>
      <x:c r="AR556" s="32"/>
      <x:c r="AS556" s="32"/>
      <x:c r="AT556" s="32"/>
      <x:c r="AU556" s="32"/>
      <x:c r="AV556" s="32"/>
      <x:c r="AW556" s="32"/>
      <x:c r="AX556" s="32"/>
      <x:c r="AY556" s="32"/>
      <x:c r="AZ556" s="32"/>
      <x:c r="BA556" s="32"/>
    </x:row>
    <x:row r="557">
      <x:c r="A557" s="25" t="str">
        <x:v>C09-X</x:v>
      </x:c>
      <x:c r="B557" s="25" t="str">
        <x:v>亚坛高原</x:v>
      </x:c>
      <x:c r="C557" s="25" t="str">
        <x:v>极端压力</x:v>
      </x:c>
      <x:c r="D557" s="25" t="str">
        <x:v>独立称号</x:v>
      </x:c>
      <x:c r="E557" s="25" t="str">
        <x:v>本类5项（逐项见完整JSON）</x:v>
      </x:c>
      <x:c r="F557" s="25" t="str">
        <x:v>S04/02_独立称号</x:v>
      </x:c>
      <x:c r="G557" s="25" t="str">
        <x:v>原表数值</x:v>
      </x:c>
      <x:c r="H557" s="25" t="str">
        <x:v>由同包逐项数据聚合，便于核对</x:v>
      </x:c>
      <x:c r="I557" s="32" t="n">
        <x:v>16510</x:v>
      </x:c>
      <x:c r="J557" s="32" t="n">
        <x:v>16510</x:v>
      </x:c>
      <x:c r="K557" s="32" t="n">
        <x:v>16510</x:v>
      </x:c>
      <x:c r="L557" s="32" t="n">
        <x:v>16510</x:v>
      </x:c>
      <x:c r="M557" s="32" t="n">
        <x:v>16510</x:v>
      </x:c>
      <x:c r="N557" s="32" t="n">
        <x:v>16510</x:v>
      </x:c>
      <x:c r="O557" s="32" t="n">
        <x:v>1651000</x:v>
      </x:c>
      <x:c r="P557" s="32"/>
      <x:c r="Q557" s="32"/>
      <x:c r="R557" s="32"/>
      <x:c r="S557" s="32"/>
      <x:c r="T557" s="32"/>
      <x:c r="U557" s="32"/>
      <x:c r="V557" s="32"/>
      <x:c r="W557" s="32"/>
      <x:c r="X557" s="32" t="n">
        <x:v>0</x:v>
      </x:c>
      <x:c r="Y557" s="32"/>
      <x:c r="Z557" s="32"/>
      <x:c r="AA557" s="32"/>
      <x:c r="AB557" s="32"/>
      <x:c r="AC557" s="32"/>
      <x:c r="AD557" s="32"/>
      <x:c r="AE557" s="32"/>
      <x:c r="AF557" s="32"/>
      <x:c r="AG557" s="32"/>
      <x:c r="AH557" s="32"/>
      <x:c r="AI557" s="32"/>
      <x:c r="AJ557" s="32"/>
      <x:c r="AK557" s="32"/>
      <x:c r="AL557" s="32"/>
      <x:c r="AM557" s="32" t="n">
        <x:v>0</x:v>
      </x:c>
      <x:c r="AN557" s="32"/>
      <x:c r="AO557" s="32"/>
      <x:c r="AP557" s="32" t="n">
        <x:v>0</x:v>
      </x:c>
      <x:c r="AQ557" s="32"/>
      <x:c r="AR557" s="32"/>
      <x:c r="AS557" s="32"/>
      <x:c r="AT557" s="32"/>
      <x:c r="AU557" s="32"/>
      <x:c r="AV557" s="32"/>
      <x:c r="AW557" s="32"/>
      <x:c r="AX557" s="32"/>
      <x:c r="AY557" s="32"/>
      <x:c r="AZ557" s="32"/>
      <x:c r="BA557" s="32"/>
    </x:row>
    <x:row r="558">
      <x:c r="A558" s="25" t="str">
        <x:v>C09-X</x:v>
      </x:c>
      <x:c r="B558" s="25" t="str">
        <x:v>亚坛高原</x:v>
      </x:c>
      <x:c r="C558" s="25" t="str">
        <x:v>极端压力</x:v>
      </x:c>
      <x:c r="D558" s="25" t="str">
        <x:v>单件图鉴</x:v>
      </x:c>
      <x:c r="E558" s="25" t="str">
        <x:v>本类1项（逐项见完整JSON）</x:v>
      </x:c>
      <x:c r="F558" s="25" t="str">
        <x:v>S07/collection_single</x:v>
      </x:c>
      <x:c r="G558" s="25" t="str">
        <x:v>原表累计</x:v>
      </x:c>
      <x:c r="H558" s="25" t="str">
        <x:v>由同包逐项数据聚合，便于核对</x:v>
      </x:c>
      <x:c r="I558" s="32" t="n">
        <x:v>12031</x:v>
      </x:c>
      <x:c r="J558" s="32" t="n">
        <x:v>12031</x:v>
      </x:c>
      <x:c r="K558" s="32" t="n">
        <x:v>12031</x:v>
      </x:c>
      <x:c r="L558" s="32" t="n">
        <x:v>12031</x:v>
      </x:c>
      <x:c r="M558" s="32" t="n">
        <x:v>12031</x:v>
      </x:c>
      <x:c r="N558" s="32" t="n">
        <x:v>12031</x:v>
      </x:c>
      <x:c r="O558" s="32" t="n">
        <x:v>1203100</x:v>
      </x:c>
      <x:c r="P558" s="32"/>
      <x:c r="Q558" s="32"/>
      <x:c r="R558" s="32"/>
      <x:c r="S558" s="32"/>
      <x:c r="T558" s="32"/>
      <x:c r="U558" s="32"/>
      <x:c r="V558" s="32"/>
      <x:c r="W558" s="32"/>
      <x:c r="X558" s="32"/>
      <x:c r="Y558" s="32"/>
      <x:c r="Z558" s="32"/>
      <x:c r="AA558" s="32"/>
      <x:c r="AB558" s="32"/>
      <x:c r="AC558" s="32"/>
      <x:c r="AD558" s="32"/>
      <x:c r="AE558" s="32"/>
      <x:c r="AF558" s="32"/>
      <x:c r="AG558" s="32"/>
      <x:c r="AH558" s="32"/>
      <x:c r="AI558" s="32"/>
      <x:c r="AJ558" s="32"/>
      <x:c r="AK558" s="32"/>
      <x:c r="AL558" s="32"/>
      <x:c r="AM558" s="32"/>
      <x:c r="AN558" s="32"/>
      <x:c r="AO558" s="32"/>
      <x:c r="AP558" s="32"/>
      <x:c r="AQ558" s="32"/>
      <x:c r="AR558" s="32"/>
      <x:c r="AS558" s="32"/>
      <x:c r="AT558" s="32"/>
      <x:c r="AU558" s="32"/>
      <x:c r="AV558" s="32"/>
      <x:c r="AW558" s="32"/>
      <x:c r="AX558" s="32"/>
      <x:c r="AY558" s="32"/>
      <x:c r="AZ558" s="32"/>
      <x:c r="BA558" s="32"/>
    </x:row>
    <x:row r="559">
      <x:c r="A559" s="25" t="str">
        <x:v>C09-X</x:v>
      </x:c>
      <x:c r="B559" s="25" t="str">
        <x:v>亚坛高原</x:v>
      </x:c>
      <x:c r="C559" s="25" t="str">
        <x:v>极端压力</x:v>
      </x:c>
      <x:c r="D559" s="25" t="str">
        <x:v>地图整页</x:v>
      </x:c>
      <x:c r="E559" s="25" t="str">
        <x:v>本类41项（逐项见完整JSON）</x:v>
      </x:c>
      <x:c r="F559" s="25" t="str">
        <x:v>S07/collection_pages</x:v>
      </x:c>
      <x:c r="G559" s="25" t="str">
        <x:v>原表数值</x:v>
      </x:c>
      <x:c r="H559" s="25" t="str">
        <x:v>由同包逐项数据聚合，便于核对</x:v>
      </x:c>
      <x:c r="I559" s="32"/>
      <x:c r="J559" s="32"/>
      <x:c r="K559" s="32"/>
      <x:c r="L559" s="32"/>
      <x:c r="M559" s="32"/>
      <x:c r="N559" s="32"/>
      <x:c r="O559" s="32"/>
      <x:c r="P559" s="32"/>
      <x:c r="Q559" s="32"/>
      <x:c r="R559" s="32"/>
      <x:c r="S559" s="32"/>
      <x:c r="T559" s="32"/>
      <x:c r="U559" s="32"/>
      <x:c r="V559" s="32"/>
      <x:c r="W559" s="32"/>
      <x:c r="X559" s="32" t="n">
        <x:v>1.1200000000000006</x:v>
      </x:c>
      <x:c r="Y559" s="32"/>
      <x:c r="Z559" s="32"/>
      <x:c r="AA559" s="32"/>
      <x:c r="AB559" s="32"/>
      <x:c r="AC559" s="32"/>
      <x:c r="AD559" s="32"/>
      <x:c r="AE559" s="32"/>
      <x:c r="AF559" s="32"/>
      <x:c r="AG559" s="32"/>
      <x:c r="AH559" s="32"/>
      <x:c r="AI559" s="32"/>
      <x:c r="AJ559" s="32"/>
      <x:c r="AK559" s="32"/>
      <x:c r="AL559" s="32"/>
      <x:c r="AM559" s="32" t="n">
        <x:v>20.5</x:v>
      </x:c>
      <x:c r="AN559" s="32"/>
      <x:c r="AO559" s="32"/>
      <x:c r="AP559" s="32" t="n">
        <x:v>1455</x:v>
      </x:c>
      <x:c r="AQ559" s="32"/>
      <x:c r="AR559" s="32"/>
      <x:c r="AS559" s="32"/>
      <x:c r="AT559" s="32"/>
      <x:c r="AU559" s="32"/>
      <x:c r="AV559" s="32"/>
      <x:c r="AW559" s="32"/>
      <x:c r="AX559" s="32"/>
      <x:c r="AY559" s="32"/>
      <x:c r="AZ559" s="32"/>
      <x:c r="BA559" s="32"/>
    </x:row>
    <x:row r="560">
      <x:c r="A560" s="25" t="str">
        <x:v>C09-X</x:v>
      </x:c>
      <x:c r="B560" s="25" t="str">
        <x:v>亚坛高原</x:v>
      </x:c>
      <x:c r="C560" s="25" t="str">
        <x:v>极端压力</x:v>
      </x:c>
      <x:c r="D560" s="25" t="str">
        <x:v>大陆全收集</x:v>
      </x:c>
      <x:c r="E560" s="25" t="str">
        <x:v>本类9项（逐项见完整JSON）</x:v>
      </x:c>
      <x:c r="F560" s="25" t="str">
        <x:v>S07/collection_continents</x:v>
      </x:c>
      <x:c r="G560" s="25" t="str">
        <x:v>原表累计</x:v>
      </x:c>
      <x:c r="H560" s="25" t="str">
        <x:v>由同包逐项数据聚合，便于核对</x:v>
      </x:c>
      <x:c r="I560" s="32"/>
      <x:c r="J560" s="32"/>
      <x:c r="K560" s="32"/>
      <x:c r="L560" s="32"/>
      <x:c r="M560" s="32"/>
      <x:c r="N560" s="32"/>
      <x:c r="O560" s="32"/>
      <x:c r="P560" s="32"/>
      <x:c r="Q560" s="32"/>
      <x:c r="R560" s="32"/>
      <x:c r="S560" s="32"/>
      <x:c r="T560" s="32"/>
      <x:c r="U560" s="32"/>
      <x:c r="V560" s="32"/>
      <x:c r="W560" s="32"/>
      <x:c r="X560" s="32"/>
      <x:c r="Y560" s="32"/>
      <x:c r="Z560" s="32"/>
      <x:c r="AA560" s="32"/>
      <x:c r="AB560" s="32" t="n">
        <x:v>22</x:v>
      </x:c>
      <x:c r="AC560" s="32"/>
      <x:c r="AD560" s="32"/>
      <x:c r="AE560" s="32"/>
      <x:c r="AF560" s="32"/>
      <x:c r="AG560" s="32"/>
      <x:c r="AH560" s="32"/>
      <x:c r="AI560" s="32"/>
      <x:c r="AJ560" s="32"/>
      <x:c r="AK560" s="32"/>
      <x:c r="AL560" s="32"/>
      <x:c r="AM560" s="32"/>
      <x:c r="AN560" s="32"/>
      <x:c r="AO560" s="32"/>
      <x:c r="AP560" s="32"/>
      <x:c r="AQ560" s="32"/>
      <x:c r="AR560" s="32"/>
      <x:c r="AS560" s="32"/>
      <x:c r="AT560" s="32"/>
      <x:c r="AU560" s="32"/>
      <x:c r="AV560" s="32"/>
      <x:c r="AW560" s="32"/>
      <x:c r="AX560" s="32"/>
      <x:c r="AY560" s="32"/>
      <x:c r="AZ560" s="32"/>
      <x:c r="BA560" s="32"/>
    </x:row>
    <x:row r="561">
      <x:c r="A561" s="25" t="str">
        <x:v>C09-X</x:v>
      </x:c>
      <x:c r="B561" s="25" t="str">
        <x:v>亚坛高原</x:v>
      </x:c>
      <x:c r="C561" s="25" t="str">
        <x:v>极端压力</x:v>
      </x:c>
      <x:c r="D561" s="25" t="str">
        <x:v>材料图鉴</x:v>
      </x:c>
      <x:c r="E561" s="25" t="str">
        <x:v>本类7项（逐项见完整JSON）</x:v>
      </x:c>
      <x:c r="F561" s="25" t="str">
        <x:v>S07/collection_materials</x:v>
      </x:c>
      <x:c r="G561" s="25" t="str">
        <x:v>原表数值</x:v>
      </x:c>
      <x:c r="H561" s="25" t="str">
        <x:v>由同包逐项数据聚合，便于核对</x:v>
      </x:c>
      <x:c r="I561" s="32"/>
      <x:c r="J561" s="32"/>
      <x:c r="K561" s="32"/>
      <x:c r="L561" s="32"/>
      <x:c r="M561" s="32"/>
      <x:c r="N561" s="32"/>
      <x:c r="O561" s="32"/>
      <x:c r="P561" s="32"/>
      <x:c r="Q561" s="32"/>
      <x:c r="R561" s="32"/>
      <x:c r="S561" s="32"/>
      <x:c r="T561" s="32"/>
      <x:c r="U561" s="32"/>
      <x:c r="V561" s="32"/>
      <x:c r="W561" s="32"/>
      <x:c r="X561" s="32" t="n">
        <x:v>0.74</x:v>
      </x:c>
      <x:c r="Y561" s="32"/>
      <x:c r="Z561" s="32"/>
      <x:c r="AA561" s="32"/>
      <x:c r="AB561" s="32"/>
      <x:c r="AC561" s="32"/>
      <x:c r="AD561" s="32"/>
      <x:c r="AE561" s="32"/>
      <x:c r="AF561" s="32"/>
      <x:c r="AG561" s="32"/>
      <x:c r="AH561" s="32"/>
      <x:c r="AI561" s="32"/>
      <x:c r="AJ561" s="32"/>
      <x:c r="AK561" s="32"/>
      <x:c r="AL561" s="32"/>
      <x:c r="AM561" s="32" t="n">
        <x:v>0</x:v>
      </x:c>
      <x:c r="AN561" s="32"/>
      <x:c r="AO561" s="32"/>
      <x:c r="AP561" s="32" t="n">
        <x:v>0</x:v>
      </x:c>
      <x:c r="AQ561" s="32"/>
      <x:c r="AR561" s="32"/>
      <x:c r="AS561" s="32"/>
      <x:c r="AT561" s="32"/>
      <x:c r="AU561" s="32"/>
      <x:c r="AV561" s="32"/>
      <x:c r="AW561" s="32"/>
      <x:c r="AX561" s="32"/>
      <x:c r="AY561" s="32"/>
      <x:c r="AZ561" s="32"/>
      <x:c r="BA561" s="32"/>
    </x:row>
    <x:row r="562">
      <x:c r="A562" s="25" t="str">
        <x:v>C09-X</x:v>
      </x:c>
      <x:c r="B562" s="25" t="str">
        <x:v>亚坛高原</x:v>
      </x:c>
      <x:c r="C562" s="25" t="str">
        <x:v>极端压力</x:v>
      </x:c>
      <x:c r="D562" s="25" t="str">
        <x:v>旧任务</x:v>
      </x:c>
      <x:c r="E562" s="25" t="str">
        <x:v>本类6项（逐项见完整JSON）</x:v>
      </x:c>
      <x:c r="F562" s="25" t="str">
        <x:v>宁姆格福_完整怪物装备任务爆率规划/地图任务；第一大陆_地图魂魄任务.txt</x:v>
      </x:c>
      <x:c r="G562" s="25" t="str">
        <x:v>原件确认；原表数值</x:v>
      </x:c>
      <x:c r="H562" s="25" t="str">
        <x:v>由同包逐项数据聚合，便于核对</x:v>
      </x:c>
      <x:c r="I562" s="32" t="n">
        <x:v>90</x:v>
      </x:c>
      <x:c r="J562" s="32" t="n">
        <x:v>90</x:v>
      </x:c>
      <x:c r="K562" s="32" t="n">
        <x:v>90</x:v>
      </x:c>
      <x:c r="L562" s="32" t="n">
        <x:v>90</x:v>
      </x:c>
      <x:c r="M562" s="32" t="n">
        <x:v>90</x:v>
      </x:c>
      <x:c r="N562" s="32" t="n">
        <x:v>90</x:v>
      </x:c>
      <x:c r="O562" s="32"/>
      <x:c r="P562" s="32"/>
      <x:c r="Q562" s="32"/>
      <x:c r="R562" s="32"/>
      <x:c r="S562" s="32"/>
      <x:c r="T562" s="32"/>
      <x:c r="U562" s="32"/>
      <x:c r="V562" s="32"/>
      <x:c r="W562" s="32"/>
      <x:c r="X562" s="32"/>
      <x:c r="Y562" s="32"/>
      <x:c r="Z562" s="32"/>
      <x:c r="AA562" s="32"/>
      <x:c r="AB562" s="32"/>
      <x:c r="AC562" s="32"/>
      <x:c r="AD562" s="32"/>
      <x:c r="AE562" s="32"/>
      <x:c r="AF562" s="32"/>
      <x:c r="AG562" s="32"/>
      <x:c r="AH562" s="32"/>
      <x:c r="AI562" s="32"/>
      <x:c r="AJ562" s="32"/>
      <x:c r="AK562" s="32"/>
      <x:c r="AL562" s="32"/>
      <x:c r="AM562" s="32" t="n">
        <x:v>2</x:v>
      </x:c>
      <x:c r="AN562" s="32"/>
      <x:c r="AO562" s="32"/>
      <x:c r="AP562" s="32" t="n">
        <x:v>140</x:v>
      </x:c>
      <x:c r="AQ562" s="32"/>
      <x:c r="AR562" s="32"/>
      <x:c r="AS562" s="32"/>
      <x:c r="AT562" s="32"/>
      <x:c r="AU562" s="32"/>
      <x:c r="AV562" s="32"/>
      <x:c r="AW562" s="32"/>
      <x:c r="AX562" s="32"/>
      <x:c r="AY562" s="32"/>
      <x:c r="AZ562" s="32"/>
      <x:c r="BA562" s="32"/>
    </x:row>
    <x:row r="563">
      <x:c r="A563" s="25" t="str">
        <x:v>C09-X</x:v>
      </x:c>
      <x:c r="B563" s="25" t="str">
        <x:v>亚坛高原</x:v>
      </x:c>
      <x:c r="C563" s="25" t="str">
        <x:v>极端压力</x:v>
      </x:c>
      <x:c r="D563" s="25" t="str">
        <x:v>装备</x:v>
      </x:c>
      <x:c r="E563" s="25" t="str">
        <x:v>本类35项（逐项见完整JSON）</x:v>
      </x:c>
      <x:c r="F563" s="25" t="str">
        <x:v>S02；S07</x:v>
      </x:c>
      <x:c r="G563" s="25" t="str">
        <x:v>原表数值</x:v>
      </x:c>
      <x:c r="H563" s="25" t="str">
        <x:v>由同包逐项数据聚合，便于核对</x:v>
      </x:c>
      <x:c r="I563" s="32" t="n">
        <x:v>85641</x:v>
      </x:c>
      <x:c r="J563" s="32" t="n">
        <x:v>163721</x:v>
      </x:c>
      <x:c r="K563" s="32" t="n">
        <x:v>85641</x:v>
      </x:c>
      <x:c r="L563" s="32" t="n">
        <x:v>163721</x:v>
      </x:c>
      <x:c r="M563" s="32" t="n">
        <x:v>85641</x:v>
      </x:c>
      <x:c r="N563" s="32" t="n">
        <x:v>163721</x:v>
      </x:c>
      <x:c r="O563" s="32" t="n">
        <x:v>93617500</x:v>
      </x:c>
      <x:c r="P563" s="32"/>
      <x:c r="Q563" s="32" t="n">
        <x:v>622</x:v>
      </x:c>
      <x:c r="R563" s="32" t="n">
        <x:v>1163</x:v>
      </x:c>
      <x:c r="S563" s="32" t="n">
        <x:v>499</x:v>
      </x:c>
      <x:c r="T563" s="32" t="n">
        <x:v>938</x:v>
      </x:c>
      <x:c r="U563" s="32" t="n">
        <x:v>772</x:v>
      </x:c>
      <x:c r="V563" s="32" t="n">
        <x:v>772</x:v>
      </x:c>
      <x:c r="W563" s="32" t="n">
        <x:v>772</x:v>
      </x:c>
      <x:c r="X563" s="32"/>
      <x:c r="Y563" s="32"/>
      <x:c r="Z563" s="32" t="n">
        <x:v>219</x:v>
      </x:c>
      <x:c r="AA563" s="32" t="n">
        <x:v>63</x:v>
      </x:c>
      <x:c r="AB563" s="32"/>
      <x:c r="AC563" s="32" t="n">
        <x:v>327</x:v>
      </x:c>
      <x:c r="AD563" s="32" t="n">
        <x:v>3</x:v>
      </x:c>
      <x:c r="AE563" s="32" t="n">
        <x:v>118</x:v>
      </x:c>
      <x:c r="AF563" s="32"/>
      <x:c r="AG563" s="32"/>
      <x:c r="AH563" s="32" t="n">
        <x:v>53</x:v>
      </x:c>
      <x:c r="AI563" s="32" t="n">
        <x:v>10</x:v>
      </x:c>
      <x:c r="AJ563" s="32" t="n">
        <x:v>152</x:v>
      </x:c>
      <x:c r="AK563" s="32"/>
      <x:c r="AL563" s="32"/>
      <x:c r="AM563" s="32"/>
      <x:c r="AN563" s="32" t="n">
        <x:v>30</x:v>
      </x:c>
      <x:c r="AO563" s="32" t="n">
        <x:v>0.5</x:v>
      </x:c>
      <x:c r="AP563" s="32" t="n">
        <x:v>64</x:v>
      </x:c>
      <x:c r="AQ563" s="32" t="n">
        <x:v>84</x:v>
      </x:c>
      <x:c r="AR563" s="32"/>
      <x:c r="AS563" s="32" t="n">
        <x:v>10</x:v>
      </x:c>
      <x:c r="AT563" s="32"/>
      <x:c r="AU563" s="32"/>
      <x:c r="AV563" s="32"/>
      <x:c r="AW563" s="32" t="n">
        <x:v>15</x:v>
      </x:c>
      <x:c r="AX563" s="32"/>
      <x:c r="AY563" s="32"/>
      <x:c r="AZ563" s="32" t="n">
        <x:v>13</x:v>
      </x:c>
      <x:c r="BA563" s="32"/>
    </x:row>
    <x:row r="564">
      <x:c r="A564" s="25" t="str">
        <x:v>C09-X</x:v>
      </x:c>
      <x:c r="B564" s="25" t="str">
        <x:v>亚坛高原</x:v>
      </x:c>
      <x:c r="C564" s="25" t="str">
        <x:v>极端压力</x:v>
      </x:c>
      <x:c r="D564" s="25" t="str">
        <x:v>洗练</x:v>
      </x:c>
      <x:c r="E564" s="25" t="str">
        <x:v>本类10项（逐项见完整JSON）</x:v>
      </x:c>
      <x:c r="F564" s="25" t="str">
        <x:v>S06＋固定种子</x:v>
      </x:c>
      <x:c r="G564" s="25" t="str">
        <x:v>可实现随机样本</x:v>
      </x:c>
      <x:c r="H564" s="25" t="str">
        <x:v>由同包逐项数据聚合，便于核对</x:v>
      </x:c>
      <x:c r="I564" s="32" t="n">
        <x:v>12843</x:v>
      </x:c>
      <x:c r="J564" s="32" t="n">
        <x:v>12843</x:v>
      </x:c>
      <x:c r="K564" s="32" t="n">
        <x:v>2116</x:v>
      </x:c>
      <x:c r="L564" s="32" t="n">
        <x:v>2116</x:v>
      </x:c>
      <x:c r="M564" s="32" t="n">
        <x:v>39608</x:v>
      </x:c>
      <x:c r="N564" s="32" t="n">
        <x:v>39608</x:v>
      </x:c>
      <x:c r="O564" s="32"/>
      <x:c r="P564" s="32"/>
      <x:c r="Q564" s="32"/>
      <x:c r="R564" s="32"/>
      <x:c r="S564" s="32"/>
      <x:c r="T564" s="32"/>
      <x:c r="U564" s="32" t="n">
        <x:v>549</x:v>
      </x:c>
      <x:c r="V564" s="32"/>
      <x:c r="W564" s="32"/>
      <x:c r="X564" s="32"/>
      <x:c r="Y564" s="32" t="n">
        <x:v>4</x:v>
      </x:c>
      <x:c r="Z564" s="32"/>
      <x:c r="AA564" s="32"/>
      <x:c r="AB564" s="32" t="n">
        <x:v>2</x:v>
      </x:c>
      <x:c r="AC564" s="32"/>
      <x:c r="AD564" s="32" t="n">
        <x:v>2</x:v>
      </x:c>
      <x:c r="AE564" s="32"/>
      <x:c r="AF564" s="32"/>
      <x:c r="AG564" s="32"/>
      <x:c r="AH564" s="32" t="n">
        <x:v>4</x:v>
      </x:c>
      <x:c r="AI564" s="32"/>
      <x:c r="AJ564" s="32"/>
      <x:c r="AK564" s="32"/>
      <x:c r="AL564" s="32"/>
      <x:c r="AM564" s="32" t="n">
        <x:v>1</x:v>
      </x:c>
      <x:c r="AN564" s="32" t="n">
        <x:v>1</x:v>
      </x:c>
      <x:c r="AO564" s="32" t="n">
        <x:v>1</x:v>
      </x:c>
      <x:c r="AP564" s="32" t="n">
        <x:v>20</x:v>
      </x:c>
      <x:c r="AQ564" s="32"/>
      <x:c r="AR564" s="32" t="n">
        <x:v>3</x:v>
      </x:c>
      <x:c r="AS564" s="32" t="n">
        <x:v>1</x:v>
      </x:c>
      <x:c r="AT564" s="32"/>
      <x:c r="AU564" s="32"/>
      <x:c r="AV564" s="32"/>
      <x:c r="AW564" s="32"/>
      <x:c r="AX564" s="32"/>
      <x:c r="AY564" s="32"/>
      <x:c r="AZ564" s="32"/>
      <x:c r="BA564" s="32"/>
    </x:row>
    <x:row r="565">
      <x:c r="A565" s="25" t="str">
        <x:v>C09-X</x:v>
      </x:c>
      <x:c r="B565" s="25" t="str">
        <x:v>亚坛高原</x:v>
      </x:c>
      <x:c r="C565" s="25" t="str">
        <x:v>极端压力</x:v>
      </x:c>
      <x:c r="D565" s="25" t="str">
        <x:v>命格</x:v>
      </x:c>
      <x:c r="E565" s="25" t="str">
        <x:v>本类7项（逐项见完整JSON）</x:v>
      </x:c>
      <x:c r="F565" s="25" t="str">
        <x:v>S03/命格ID1081；S03/命格ID1086；S03/命格ID1087；S03/命格ID1090；S03/命格ID1092；S03/命格ID1093；S03/命格ID1095</x:v>
      </x:c>
      <x:c r="G565" s="25" t="str">
        <x:v>原表彩色＋选配假设</x:v>
      </x:c>
      <x:c r="H565" s="25" t="str">
        <x:v>由同包逐项数据聚合，便于核对</x:v>
      </x:c>
      <x:c r="I565" s="32"/>
      <x:c r="J565" s="32"/>
      <x:c r="K565" s="32"/>
      <x:c r="L565" s="32"/>
      <x:c r="M565" s="32"/>
      <x:c r="N565" s="32"/>
      <x:c r="O565" s="32"/>
      <x:c r="P565" s="32"/>
      <x:c r="Q565" s="32"/>
      <x:c r="R565" s="32"/>
      <x:c r="S565" s="32"/>
      <x:c r="T565" s="32"/>
      <x:c r="U565" s="32"/>
      <x:c r="V565" s="32"/>
      <x:c r="W565" s="32"/>
      <x:c r="X565" s="32"/>
      <x:c r="Y565" s="32" t="n">
        <x:v>6</x:v>
      </x:c>
      <x:c r="Z565" s="32" t="n">
        <x:v>3</x:v>
      </x:c>
      <x:c r="AA565" s="32"/>
      <x:c r="AB565" s="32"/>
      <x:c r="AC565" s="32"/>
      <x:c r="AD565" s="32"/>
      <x:c r="AE565" s="32"/>
      <x:c r="AF565" s="32"/>
      <x:c r="AG565" s="32"/>
      <x:c r="AH565" s="32" t="n">
        <x:v>2</x:v>
      </x:c>
      <x:c r="AI565" s="32"/>
      <x:c r="AJ565" s="32" t="n">
        <x:v>10</x:v>
      </x:c>
      <x:c r="AK565" s="32"/>
      <x:c r="AL565" s="32"/>
      <x:c r="AM565" s="32" t="n">
        <x:v>10</x:v>
      </x:c>
      <x:c r="AN565" s="32" t="n">
        <x:v>35</x:v>
      </x:c>
      <x:c r="AO565" s="32" t="n">
        <x:v>0.3</x:v>
      </x:c>
      <x:c r="AP565" s="32"/>
      <x:c r="AQ565" s="32" t="n">
        <x:v>6</x:v>
      </x:c>
      <x:c r="AR565" s="32" t="n">
        <x:v>3</x:v>
      </x:c>
      <x:c r="AS565" s="32"/>
      <x:c r="AT565" s="32" t="n">
        <x:v>50</x:v>
      </x:c>
      <x:c r="AU565" s="32" t="n">
        <x:v>2</x:v>
      </x:c>
      <x:c r="AV565" s="32" t="n">
        <x:v>3</x:v>
      </x:c>
      <x:c r="AW565" s="32"/>
      <x:c r="AX565" s="32"/>
      <x:c r="AY565" s="32" t="n">
        <x:v>2</x:v>
      </x:c>
      <x:c r="AZ565" s="32"/>
      <x:c r="BA565" s="32"/>
    </x:row>
    <x:row r="566">
      <x:c r="A566" s="25" t="str">
        <x:v>C09-X</x:v>
      </x:c>
      <x:c r="B566" s="25" t="str">
        <x:v>亚坛高原</x:v>
      </x:c>
      <x:c r="C566" s="25" t="str">
        <x:v>极端压力</x:v>
      </x:c>
      <x:c r="D566" s="25" t="str">
        <x:v>后天幸运</x:v>
      </x:c>
      <x:c r="E566" s="25" t="str">
        <x:v>本类1项（逐项见完整JSON）</x:v>
      </x:c>
      <x:c r="F566" s="25" t="str">
        <x:v>A08</x:v>
      </x:c>
      <x:c r="G566" s="25" t="str">
        <x:v>人物永久进度</x:v>
      </x:c>
      <x:c r="H566" s="25" t="str">
        <x:v>由同包逐项数据聚合，便于核对</x:v>
      </x:c>
      <x:c r="I566" s="32"/>
      <x:c r="J566" s="32"/>
      <x:c r="K566" s="32"/>
      <x:c r="L566" s="32"/>
      <x:c r="M566" s="32"/>
      <x:c r="N566" s="32"/>
      <x:c r="O566" s="32"/>
      <x:c r="P566" s="32"/>
      <x:c r="Q566" s="32"/>
      <x:c r="R566" s="32"/>
      <x:c r="S566" s="32"/>
      <x:c r="T566" s="32"/>
      <x:c r="U566" s="32"/>
      <x:c r="V566" s="32"/>
      <x:c r="W566" s="32"/>
      <x:c r="X566" s="32"/>
      <x:c r="Y566" s="32"/>
      <x:c r="Z566" s="32"/>
      <x:c r="AA566" s="32"/>
      <x:c r="AB566" s="32"/>
      <x:c r="AC566" s="32"/>
      <x:c r="AD566" s="32"/>
      <x:c r="AE566" s="32"/>
      <x:c r="AF566" s="32"/>
      <x:c r="AG566" s="32"/>
      <x:c r="AH566" s="32"/>
      <x:c r="AI566" s="32"/>
      <x:c r="AJ566" s="32"/>
      <x:c r="AK566" s="32" t="n">
        <x:v>7</x:v>
      </x:c>
      <x:c r="AL566" s="32" t="n">
        <x:v>8</x:v>
      </x:c>
      <x:c r="AM566" s="32"/>
      <x:c r="AN566" s="32"/>
      <x:c r="AO566" s="32"/>
      <x:c r="AP566" s="32"/>
      <x:c r="AQ566" s="32"/>
      <x:c r="AR566" s="32"/>
      <x:c r="AS566" s="32"/>
      <x:c r="AT566" s="32"/>
      <x:c r="AU566" s="32"/>
      <x:c r="AV566" s="32"/>
      <x:c r="AW566" s="32"/>
      <x:c r="AX566" s="32"/>
      <x:c r="AY566" s="32"/>
      <x:c r="AZ566" s="32"/>
      <x:c r="BA566" s="32"/>
    </x:row>
    <x:row r="567">
      <x:c r="A567" s="25" t="str">
        <x:v>C09-X</x:v>
      </x:c>
      <x:c r="B567" s="25" t="str">
        <x:v>亚坛高原</x:v>
      </x:c>
      <x:c r="C567" s="25" t="str">
        <x:v>极端压力</x:v>
      </x:c>
      <x:c r="D567" s="25" t="str">
        <x:v>回收预算</x:v>
      </x:c>
      <x:c r="E567" s="25" t="str">
        <x:v>本类1项（逐项见完整JSON）</x:v>
      </x:c>
      <x:c r="F567" s="25" t="str">
        <x:v>用户总回收50%</x:v>
      </x:c>
      <x:c r="G567" s="25" t="str">
        <x:v>经济输入，不是新增属性来源</x:v>
      </x:c>
      <x:c r="H567" s="25" t="str">
        <x:v>由同包逐项数据聚合，便于核对</x:v>
      </x:c>
      <x:c r="I567" s="32"/>
      <x:c r="J567" s="32"/>
      <x:c r="K567" s="32"/>
      <x:c r="L567" s="32"/>
      <x:c r="M567" s="32"/>
      <x:c r="N567" s="32"/>
      <x:c r="O567" s="32"/>
      <x:c r="P567" s="32"/>
      <x:c r="Q567" s="32"/>
      <x:c r="R567" s="32"/>
      <x:c r="S567" s="32"/>
      <x:c r="T567" s="32"/>
      <x:c r="U567" s="32"/>
      <x:c r="V567" s="32"/>
      <x:c r="W567" s="32"/>
      <x:c r="X567" s="32"/>
      <x:c r="Y567" s="32"/>
      <x:c r="Z567" s="32"/>
      <x:c r="AA567" s="32"/>
      <x:c r="AB567" s="32"/>
      <x:c r="AC567" s="32"/>
      <x:c r="AD567" s="32"/>
      <x:c r="AE567" s="32"/>
      <x:c r="AF567" s="32"/>
      <x:c r="AG567" s="32"/>
      <x:c r="AH567" s="32"/>
      <x:c r="AI567" s="32"/>
      <x:c r="AJ567" s="32"/>
      <x:c r="AK567" s="32"/>
      <x:c r="AL567" s="32"/>
      <x:c r="AM567" s="32"/>
      <x:c r="AN567" s="32"/>
      <x:c r="AO567" s="32"/>
      <x:c r="AP567" s="32"/>
      <x:c r="AQ567" s="32"/>
      <x:c r="AR567" s="32"/>
      <x:c r="AS567" s="32"/>
      <x:c r="AT567" s="32"/>
      <x:c r="AU567" s="32"/>
      <x:c r="AV567" s="32"/>
      <x:c r="AW567" s="32"/>
      <x:c r="AX567" s="32"/>
      <x:c r="AY567" s="32"/>
      <x:c r="AZ567" s="32"/>
      <x:c r="BA567" s="32" t="n">
        <x:v>50</x:v>
      </x:c>
    </x:row>
    <x:row r="568">
      <x:c r="A568" s="25" t="str">
        <x:v>C10-E</x:v>
      </x:c>
      <x:c r="B568" s="25" t="str">
        <x:v>王城罗德尔</x:v>
      </x:c>
      <x:c r="C568" s="25" t="str">
        <x:v>半急速入场</x:v>
      </x:c>
      <x:c r="D568" s="25" t="str">
        <x:v>人物自然</x:v>
      </x:c>
      <x:c r="E568" s="25" t="str">
        <x:v>本类1项（逐项见完整JSON）</x:v>
      </x:c>
      <x:c r="F568" s="25" t="str">
        <x:v>A01</x:v>
      </x:c>
      <x:c r="G568" s="25" t="str">
        <x:v>模型假设</x:v>
      </x:c>
      <x:c r="H568" s="25" t="str">
        <x:v>由同包逐项数据聚合，便于核对</x:v>
      </x:c>
      <x:c r="I568" s="32" t="n">
        <x:v>25</x:v>
      </x:c>
      <x:c r="J568" s="32" t="n">
        <x:v>58</x:v>
      </x:c>
      <x:c r="K568" s="32"/>
      <x:c r="L568" s="32"/>
      <x:c r="M568" s="32"/>
      <x:c r="N568" s="32"/>
      <x:c r="O568" s="32" t="n">
        <x:v>4600</x:v>
      </x:c>
      <x:c r="P568" s="32" t="n">
        <x:v>1100</x:v>
      </x:c>
      <x:c r="Q568" s="32"/>
      <x:c r="R568" s="32"/>
      <x:c r="S568" s="32"/>
      <x:c r="T568" s="32"/>
      <x:c r="U568" s="32"/>
      <x:c r="V568" s="32"/>
      <x:c r="W568" s="32"/>
      <x:c r="X568" s="32"/>
      <x:c r="Y568" s="32"/>
      <x:c r="Z568" s="32"/>
      <x:c r="AA568" s="32"/>
      <x:c r="AB568" s="32"/>
      <x:c r="AC568" s="32"/>
      <x:c r="AD568" s="32"/>
      <x:c r="AE568" s="32"/>
      <x:c r="AF568" s="32"/>
      <x:c r="AG568" s="32"/>
      <x:c r="AH568" s="32"/>
      <x:c r="AI568" s="32"/>
      <x:c r="AJ568" s="32"/>
      <x:c r="AK568" s="32"/>
      <x:c r="AL568" s="32"/>
      <x:c r="AM568" s="32"/>
      <x:c r="AN568" s="32"/>
      <x:c r="AO568" s="32"/>
      <x:c r="AP568" s="32"/>
      <x:c r="AQ568" s="32"/>
      <x:c r="AR568" s="32"/>
      <x:c r="AS568" s="32"/>
      <x:c r="AT568" s="32"/>
      <x:c r="AU568" s="32"/>
      <x:c r="AV568" s="32"/>
      <x:c r="AW568" s="32"/>
      <x:c r="AX568" s="32"/>
      <x:c r="AY568" s="32"/>
      <x:c r="AZ568" s="32"/>
      <x:c r="BA568" s="32"/>
    </x:row>
    <x:row r="569">
      <x:c r="A569" s="25" t="str">
        <x:v>C10-E</x:v>
      </x:c>
      <x:c r="B569" s="25" t="str">
        <x:v>王城罗德尔</x:v>
      </x:c>
      <x:c r="C569" s="25" t="str">
        <x:v>半急速入场</x:v>
      </x:c>
      <x:c r="D569" s="25" t="str">
        <x:v>付费状态</x:v>
      </x:c>
      <x:c r="E569" s="25" t="str">
        <x:v>本类3项（逐项见完整JSON）</x:v>
      </x:c>
      <x:c r="F569" s="25" t="str">
        <x:v>20260903总档</x:v>
      </x:c>
      <x:c r="G569" s="25" t="str">
        <x:v>原表数值</x:v>
      </x:c>
      <x:c r="H569" s="25" t="str">
        <x:v>由同包逐项数据聚合，便于核对</x:v>
      </x:c>
      <x:c r="I569" s="32" t="n">
        <x:v>149</x:v>
      </x:c>
      <x:c r="J569" s="32" t="n">
        <x:v>149</x:v>
      </x:c>
      <x:c r="K569" s="32" t="n">
        <x:v>149</x:v>
      </x:c>
      <x:c r="L569" s="32" t="n">
        <x:v>149</x:v>
      </x:c>
      <x:c r="M569" s="32" t="n">
        <x:v>149</x:v>
      </x:c>
      <x:c r="N569" s="32" t="n">
        <x:v>149</x:v>
      </x:c>
      <x:c r="O569" s="32" t="n">
        <x:v>10000</x:v>
      </x:c>
      <x:c r="P569" s="32"/>
      <x:c r="Q569" s="32"/>
      <x:c r="R569" s="32"/>
      <x:c r="S569" s="32"/>
      <x:c r="T569" s="32"/>
      <x:c r="U569" s="32"/>
      <x:c r="V569" s="32"/>
      <x:c r="W569" s="32"/>
      <x:c r="X569" s="32"/>
      <x:c r="Y569" s="32" t="n">
        <x:v>10</x:v>
      </x:c>
      <x:c r="Z569" s="32"/>
      <x:c r="AA569" s="32"/>
      <x:c r="AB569" s="32" t="n">
        <x:v>20</x:v>
      </x:c>
      <x:c r="AC569" s="32"/>
      <x:c r="AD569" s="32"/>
      <x:c r="AE569" s="32"/>
      <x:c r="AF569" s="32"/>
      <x:c r="AG569" s="32"/>
      <x:c r="AH569" s="32"/>
      <x:c r="AI569" s="32"/>
      <x:c r="AJ569" s="32"/>
      <x:c r="AK569" s="32"/>
      <x:c r="AL569" s="32"/>
      <x:c r="AM569" s="32" t="n">
        <x:v>10</x:v>
      </x:c>
      <x:c r="AN569" s="32"/>
      <x:c r="AO569" s="32"/>
      <x:c r="AP569" s="32" t="n">
        <x:v>50</x:v>
      </x:c>
      <x:c r="AQ569" s="32"/>
      <x:c r="AR569" s="32"/>
      <x:c r="AS569" s="32"/>
      <x:c r="AT569" s="32" t="n">
        <x:v>700</x:v>
      </x:c>
      <x:c r="AU569" s="32" t="n">
        <x:v>15</x:v>
      </x:c>
      <x:c r="AV569" s="32"/>
      <x:c r="AW569" s="32"/>
      <x:c r="AX569" s="32"/>
      <x:c r="AY569" s="32"/>
      <x:c r="AZ569" s="32"/>
      <x:c r="BA569" s="32"/>
    </x:row>
    <x:row r="570">
      <x:c r="A570" s="25" t="str">
        <x:v>C10-E</x:v>
      </x:c>
      <x:c r="B570" s="25" t="str">
        <x:v>王城罗德尔</x:v>
      </x:c>
      <x:c r="C570" s="25" t="str">
        <x:v>半急速入场</x:v>
      </x:c>
      <x:c r="D570" s="25" t="str">
        <x:v>成长装备</x:v>
      </x:c>
      <x:c r="E570" s="25" t="str">
        <x:v>本类2项（逐项见完整JSON）</x:v>
      </x:c>
      <x:c r="F570" s="25" t="str">
        <x:v>20260903总档 / A04</x:v>
      </x:c>
      <x:c r="G570" s="25" t="str">
        <x:v>原表＋支付路径假设</x:v>
      </x:c>
      <x:c r="H570" s="25" t="str">
        <x:v>由同包逐项数据聚合，便于核对</x:v>
      </x:c>
      <x:c r="I570" s="32" t="n">
        <x:v>1100</x:v>
      </x:c>
      <x:c r="J570" s="32" t="n">
        <x:v>1100</x:v>
      </x:c>
      <x:c r="K570" s="32" t="n">
        <x:v>1100</x:v>
      </x:c>
      <x:c r="L570" s="32" t="n">
        <x:v>1100</x:v>
      </x:c>
      <x:c r="M570" s="32" t="n">
        <x:v>1100</x:v>
      </x:c>
      <x:c r="N570" s="32" t="n">
        <x:v>1100</x:v>
      </x:c>
      <x:c r="O570" s="32"/>
      <x:c r="P570" s="32"/>
      <x:c r="Q570" s="32"/>
      <x:c r="R570" s="32"/>
      <x:c r="S570" s="32"/>
      <x:c r="T570" s="32"/>
      <x:c r="U570" s="32"/>
      <x:c r="V570" s="32"/>
      <x:c r="W570" s="32"/>
      <x:c r="X570" s="32"/>
      <x:c r="Y570" s="32"/>
      <x:c r="Z570" s="32"/>
      <x:c r="AA570" s="32"/>
      <x:c r="AB570" s="32"/>
      <x:c r="AC570" s="32"/>
      <x:c r="AD570" s="32"/>
      <x:c r="AE570" s="32"/>
      <x:c r="AF570" s="32"/>
      <x:c r="AG570" s="32"/>
      <x:c r="AH570" s="32"/>
      <x:c r="AI570" s="32"/>
      <x:c r="AJ570" s="32"/>
      <x:c r="AK570" s="32"/>
      <x:c r="AL570" s="32"/>
      <x:c r="AM570" s="32"/>
      <x:c r="AN570" s="32"/>
      <x:c r="AO570" s="32"/>
      <x:c r="AP570" s="32"/>
      <x:c r="AQ570" s="32"/>
      <x:c r="AR570" s="32"/>
      <x:c r="AS570" s="32"/>
      <x:c r="AT570" s="32"/>
      <x:c r="AU570" s="32"/>
      <x:c r="AV570" s="32"/>
      <x:c r="AW570" s="32" t="n">
        <x:v>10</x:v>
      </x:c>
      <x:c r="AX570" s="32" t="n">
        <x:v>10</x:v>
      </x:c>
      <x:c r="AY570" s="32"/>
      <x:c r="AZ570" s="32"/>
      <x:c r="BA570" s="32"/>
    </x:row>
    <x:row r="571">
      <x:c r="A571" s="25" t="str">
        <x:v>C10-E</x:v>
      </x:c>
      <x:c r="B571" s="25" t="str">
        <x:v>王城罗德尔</x:v>
      </x:c>
      <x:c r="C571" s="25" t="str">
        <x:v>半急速入场</x:v>
      </x:c>
      <x:c r="D571" s="25" t="str">
        <x:v>贯穿称号</x:v>
      </x:c>
      <x:c r="E571" s="25" t="str">
        <x:v>本类1项（逐项见完整JSON）</x:v>
      </x:c>
      <x:c r="F571" s="25" t="str">
        <x:v>S04/01_贯穿称号</x:v>
      </x:c>
      <x:c r="G571" s="25" t="str">
        <x:v>原表数值</x:v>
      </x:c>
      <x:c r="H571" s="25" t="str">
        <x:v>由同包逐项数据聚合，便于核对</x:v>
      </x:c>
      <x:c r="I571" s="32" t="n">
        <x:v>60000</x:v>
      </x:c>
      <x:c r="J571" s="32" t="n">
        <x:v>60000</x:v>
      </x:c>
      <x:c r="K571" s="32" t="n">
        <x:v>60000</x:v>
      </x:c>
      <x:c r="L571" s="32" t="n">
        <x:v>60000</x:v>
      </x:c>
      <x:c r="M571" s="32" t="n">
        <x:v>60000</x:v>
      </x:c>
      <x:c r="N571" s="32" t="n">
        <x:v>60000</x:v>
      </x:c>
      <x:c r="O571" s="32" t="n">
        <x:v>6000000</x:v>
      </x:c>
      <x:c r="P571" s="32" t="n">
        <x:v>6000000</x:v>
      </x:c>
      <x:c r="Q571" s="32"/>
      <x:c r="R571" s="32"/>
      <x:c r="S571" s="32"/>
      <x:c r="T571" s="32"/>
      <x:c r="U571" s="32"/>
      <x:c r="V571" s="32"/>
      <x:c r="W571" s="32"/>
      <x:c r="X571" s="32"/>
      <x:c r="Y571" s="32"/>
      <x:c r="Z571" s="32"/>
      <x:c r="AA571" s="32"/>
      <x:c r="AB571" s="32"/>
      <x:c r="AC571" s="32"/>
      <x:c r="AD571" s="32"/>
      <x:c r="AE571" s="32"/>
      <x:c r="AF571" s="32"/>
      <x:c r="AG571" s="32"/>
      <x:c r="AH571" s="32"/>
      <x:c r="AI571" s="32"/>
      <x:c r="AJ571" s="32"/>
      <x:c r="AK571" s="32"/>
      <x:c r="AL571" s="32"/>
      <x:c r="AM571" s="32"/>
      <x:c r="AN571" s="32"/>
      <x:c r="AO571" s="32"/>
      <x:c r="AP571" s="32"/>
      <x:c r="AQ571" s="32"/>
      <x:c r="AR571" s="32"/>
      <x:c r="AS571" s="32"/>
      <x:c r="AT571" s="32" t="n">
        <x:v>5100</x:v>
      </x:c>
      <x:c r="AU571" s="32"/>
      <x:c r="AV571" s="32"/>
      <x:c r="AW571" s="32"/>
      <x:c r="AX571" s="32"/>
      <x:c r="AY571" s="32"/>
      <x:c r="AZ571" s="32"/>
      <x:c r="BA571" s="32"/>
    </x:row>
    <x:row r="572">
      <x:c r="A572" s="25" t="str">
        <x:v>C10-E</x:v>
      </x:c>
      <x:c r="B572" s="25" t="str">
        <x:v>王城罗德尔</x:v>
      </x:c>
      <x:c r="C572" s="25" t="str">
        <x:v>半急速入场</x:v>
      </x:c>
      <x:c r="D572" s="25" t="str">
        <x:v>神印</x:v>
      </x:c>
      <x:c r="E572" s="25" t="str">
        <x:v>本类1项（逐项见完整JSON）</x:v>
      </x:c>
      <x:c r="F572" s="25" t="str">
        <x:v>S04 / 神印公式</x:v>
      </x:c>
      <x:c r="G572" s="25" t="str">
        <x:v>自给进度假设＋原公式</x:v>
      </x:c>
      <x:c r="H572" s="25" t="str">
        <x:v>由同包逐项数据聚合，便于核对</x:v>
      </x:c>
      <x:c r="I572" s="32" t="n">
        <x:v>28920</x:v>
      </x:c>
      <x:c r="J572" s="32" t="n">
        <x:v>28920</x:v>
      </x:c>
      <x:c r="K572" s="32" t="n">
        <x:v>28920</x:v>
      </x:c>
      <x:c r="L572" s="32" t="n">
        <x:v>28920</x:v>
      </x:c>
      <x:c r="M572" s="32" t="n">
        <x:v>28920</x:v>
      </x:c>
      <x:c r="N572" s="32" t="n">
        <x:v>28920</x:v>
      </x:c>
      <x:c r="O572" s="32" t="n">
        <x:v>2892000</x:v>
      </x:c>
      <x:c r="P572" s="32"/>
      <x:c r="Q572" s="32"/>
      <x:c r="R572" s="32"/>
      <x:c r="S572" s="32"/>
      <x:c r="T572" s="32"/>
      <x:c r="U572" s="32"/>
      <x:c r="V572" s="32"/>
      <x:c r="W572" s="32"/>
      <x:c r="X572" s="32"/>
      <x:c r="Y572" s="32"/>
      <x:c r="Z572" s="32"/>
      <x:c r="AA572" s="32"/>
      <x:c r="AB572" s="32"/>
      <x:c r="AC572" s="32"/>
      <x:c r="AD572" s="32"/>
      <x:c r="AE572" s="32"/>
      <x:c r="AF572" s="32"/>
      <x:c r="AG572" s="32"/>
      <x:c r="AH572" s="32"/>
      <x:c r="AI572" s="32"/>
      <x:c r="AJ572" s="32"/>
      <x:c r="AK572" s="32"/>
      <x:c r="AL572" s="32"/>
      <x:c r="AM572" s="32"/>
      <x:c r="AN572" s="32"/>
      <x:c r="AO572" s="32"/>
      <x:c r="AP572" s="32"/>
      <x:c r="AQ572" s="32"/>
      <x:c r="AR572" s="32"/>
      <x:c r="AS572" s="32"/>
      <x:c r="AT572" s="32"/>
      <x:c r="AU572" s="32"/>
      <x:c r="AV572" s="32"/>
      <x:c r="AW572" s="32"/>
      <x:c r="AX572" s="32"/>
      <x:c r="AY572" s="32"/>
      <x:c r="AZ572" s="32"/>
      <x:c r="BA572" s="32"/>
    </x:row>
    <x:row r="573">
      <x:c r="A573" s="25" t="str">
        <x:v>C10-E</x:v>
      </x:c>
      <x:c r="B573" s="25" t="str">
        <x:v>王城罗德尔</x:v>
      </x:c>
      <x:c r="C573" s="25" t="str">
        <x:v>半急速入场</x:v>
      </x:c>
      <x:c r="D573" s="25" t="str">
        <x:v>转生</x:v>
      </x:c>
      <x:c r="E573" s="25" t="str">
        <x:v>本类1项（逐项见完整JSON）</x:v>
      </x:c>
      <x:c r="F573" s="25" t="str">
        <x:v>S07/20转</x:v>
      </x:c>
      <x:c r="G573" s="25" t="str">
        <x:v>原表累计</x:v>
      </x:c>
      <x:c r="H573" s="25" t="str">
        <x:v>由同包逐项数据聚合，便于核对</x:v>
      </x:c>
      <x:c r="I573" s="32"/>
      <x:c r="J573" s="32"/>
      <x:c r="K573" s="32"/>
      <x:c r="L573" s="32"/>
      <x:c r="M573" s="32"/>
      <x:c r="N573" s="32"/>
      <x:c r="O573" s="32"/>
      <x:c r="P573" s="32"/>
      <x:c r="Q573" s="32"/>
      <x:c r="R573" s="32"/>
      <x:c r="S573" s="32"/>
      <x:c r="T573" s="32"/>
      <x:c r="U573" s="32"/>
      <x:c r="V573" s="32"/>
      <x:c r="W573" s="32"/>
      <x:c r="X573" s="32" t="n">
        <x:v>0.75</x:v>
      </x:c>
      <x:c r="Y573" s="32"/>
      <x:c r="Z573" s="32"/>
      <x:c r="AA573" s="32"/>
      <x:c r="AB573" s="32"/>
      <x:c r="AC573" s="32"/>
      <x:c r="AD573" s="32"/>
      <x:c r="AE573" s="32"/>
      <x:c r="AF573" s="32"/>
      <x:c r="AG573" s="32"/>
      <x:c r="AH573" s="32"/>
      <x:c r="AI573" s="32"/>
      <x:c r="AJ573" s="32"/>
      <x:c r="AK573" s="32"/>
      <x:c r="AL573" s="32"/>
      <x:c r="AM573" s="32"/>
      <x:c r="AN573" s="32"/>
      <x:c r="AO573" s="32"/>
      <x:c r="AP573" s="32"/>
      <x:c r="AQ573" s="32"/>
      <x:c r="AR573" s="32"/>
      <x:c r="AS573" s="32"/>
      <x:c r="AT573" s="32"/>
      <x:c r="AU573" s="32"/>
      <x:c r="AV573" s="32"/>
      <x:c r="AW573" s="32"/>
      <x:c r="AX573" s="32"/>
      <x:c r="AY573" s="32"/>
      <x:c r="AZ573" s="32"/>
      <x:c r="BA573" s="32"/>
    </x:row>
    <x:row r="574">
      <x:c r="A574" s="25" t="str">
        <x:v>C10-E</x:v>
      </x:c>
      <x:c r="B574" s="25" t="str">
        <x:v>王城罗德尔</x:v>
      </x:c>
      <x:c r="C574" s="25" t="str">
        <x:v>半急速入场</x:v>
      </x:c>
      <x:c r="D574" s="25" t="str">
        <x:v>独立称号</x:v>
      </x:c>
      <x:c r="E574" s="25" t="str">
        <x:v>本类5项（逐项见完整JSON）</x:v>
      </x:c>
      <x:c r="F574" s="25" t="str">
        <x:v>S04/02_独立称号</x:v>
      </x:c>
      <x:c r="G574" s="25" t="str">
        <x:v>原表数值</x:v>
      </x:c>
      <x:c r="H574" s="25" t="str">
        <x:v>由同包逐项数据聚合，便于核对</x:v>
      </x:c>
      <x:c r="I574" s="32" t="n">
        <x:v>16510</x:v>
      </x:c>
      <x:c r="J574" s="32" t="n">
        <x:v>16510</x:v>
      </x:c>
      <x:c r="K574" s="32" t="n">
        <x:v>16510</x:v>
      </x:c>
      <x:c r="L574" s="32" t="n">
        <x:v>16510</x:v>
      </x:c>
      <x:c r="M574" s="32" t="n">
        <x:v>16510</x:v>
      </x:c>
      <x:c r="N574" s="32" t="n">
        <x:v>16510</x:v>
      </x:c>
      <x:c r="O574" s="32" t="n">
        <x:v>1651000</x:v>
      </x:c>
      <x:c r="P574" s="32"/>
      <x:c r="Q574" s="32"/>
      <x:c r="R574" s="32"/>
      <x:c r="S574" s="32"/>
      <x:c r="T574" s="32"/>
      <x:c r="U574" s="32"/>
      <x:c r="V574" s="32"/>
      <x:c r="W574" s="32"/>
      <x:c r="X574" s="32" t="n">
        <x:v>0</x:v>
      </x:c>
      <x:c r="Y574" s="32"/>
      <x:c r="Z574" s="32"/>
      <x:c r="AA574" s="32"/>
      <x:c r="AB574" s="32"/>
      <x:c r="AC574" s="32"/>
      <x:c r="AD574" s="32"/>
      <x:c r="AE574" s="32"/>
      <x:c r="AF574" s="32"/>
      <x:c r="AG574" s="32"/>
      <x:c r="AH574" s="32"/>
      <x:c r="AI574" s="32"/>
      <x:c r="AJ574" s="32"/>
      <x:c r="AK574" s="32"/>
      <x:c r="AL574" s="32"/>
      <x:c r="AM574" s="32" t="n">
        <x:v>0</x:v>
      </x:c>
      <x:c r="AN574" s="32"/>
      <x:c r="AO574" s="32"/>
      <x:c r="AP574" s="32" t="n">
        <x:v>0</x:v>
      </x:c>
      <x:c r="AQ574" s="32"/>
      <x:c r="AR574" s="32"/>
      <x:c r="AS574" s="32"/>
      <x:c r="AT574" s="32"/>
      <x:c r="AU574" s="32"/>
      <x:c r="AV574" s="32"/>
      <x:c r="AW574" s="32"/>
      <x:c r="AX574" s="32"/>
      <x:c r="AY574" s="32"/>
      <x:c r="AZ574" s="32"/>
      <x:c r="BA574" s="32"/>
    </x:row>
    <x:row r="575">
      <x:c r="A575" s="25" t="str">
        <x:v>C10-E</x:v>
      </x:c>
      <x:c r="B575" s="25" t="str">
        <x:v>王城罗德尔</x:v>
      </x:c>
      <x:c r="C575" s="25" t="str">
        <x:v>半急速入场</x:v>
      </x:c>
      <x:c r="D575" s="25" t="str">
        <x:v>单件图鉴</x:v>
      </x:c>
      <x:c r="E575" s="25" t="str">
        <x:v>本类1项（逐项见完整JSON）</x:v>
      </x:c>
      <x:c r="F575" s="25" t="str">
        <x:v>S07/collection_single</x:v>
      </x:c>
      <x:c r="G575" s="25" t="str">
        <x:v>原表累计</x:v>
      </x:c>
      <x:c r="H575" s="25" t="str">
        <x:v>由同包逐项数据聚合，便于核对</x:v>
      </x:c>
      <x:c r="I575" s="32" t="n">
        <x:v>8456</x:v>
      </x:c>
      <x:c r="J575" s="32" t="n">
        <x:v>8456</x:v>
      </x:c>
      <x:c r="K575" s="32" t="n">
        <x:v>8456</x:v>
      </x:c>
      <x:c r="L575" s="32" t="n">
        <x:v>8456</x:v>
      </x:c>
      <x:c r="M575" s="32" t="n">
        <x:v>8456</x:v>
      </x:c>
      <x:c r="N575" s="32" t="n">
        <x:v>8456</x:v>
      </x:c>
      <x:c r="O575" s="32" t="n">
        <x:v>845600</x:v>
      </x:c>
      <x:c r="P575" s="32"/>
      <x:c r="Q575" s="32"/>
      <x:c r="R575" s="32"/>
      <x:c r="S575" s="32"/>
      <x:c r="T575" s="32"/>
      <x:c r="U575" s="32"/>
      <x:c r="V575" s="32"/>
      <x:c r="W575" s="32"/>
      <x:c r="X575" s="32"/>
      <x:c r="Y575" s="32"/>
      <x:c r="Z575" s="32"/>
      <x:c r="AA575" s="32"/>
      <x:c r="AB575" s="32"/>
      <x:c r="AC575" s="32"/>
      <x:c r="AD575" s="32"/>
      <x:c r="AE575" s="32"/>
      <x:c r="AF575" s="32"/>
      <x:c r="AG575" s="32"/>
      <x:c r="AH575" s="32"/>
      <x:c r="AI575" s="32"/>
      <x:c r="AJ575" s="32"/>
      <x:c r="AK575" s="32"/>
      <x:c r="AL575" s="32"/>
      <x:c r="AM575" s="32"/>
      <x:c r="AN575" s="32"/>
      <x:c r="AO575" s="32"/>
      <x:c r="AP575" s="32"/>
      <x:c r="AQ575" s="32"/>
      <x:c r="AR575" s="32"/>
      <x:c r="AS575" s="32"/>
      <x:c r="AT575" s="32"/>
      <x:c r="AU575" s="32"/>
      <x:c r="AV575" s="32"/>
      <x:c r="AW575" s="32"/>
      <x:c r="AX575" s="32"/>
      <x:c r="AY575" s="32"/>
      <x:c r="AZ575" s="32"/>
      <x:c r="BA575" s="32"/>
    </x:row>
    <x:row r="576">
      <x:c r="A576" s="25" t="str">
        <x:v>C10-E</x:v>
      </x:c>
      <x:c r="B576" s="25" t="str">
        <x:v>王城罗德尔</x:v>
      </x:c>
      <x:c r="C576" s="25" t="str">
        <x:v>半急速入场</x:v>
      </x:c>
      <x:c r="D576" s="25" t="str">
        <x:v>地图整页</x:v>
      </x:c>
      <x:c r="E576" s="25" t="str">
        <x:v>本类28项（逐项见完整JSON）</x:v>
      </x:c>
      <x:c r="F576" s="25" t="str">
        <x:v>S07/collection_pages</x:v>
      </x:c>
      <x:c r="G576" s="25" t="str">
        <x:v>原表数值</x:v>
      </x:c>
      <x:c r="H576" s="25" t="str">
        <x:v>由同包逐项数据聚合，便于核对</x:v>
      </x:c>
      <x:c r="I576" s="32"/>
      <x:c r="J576" s="32"/>
      <x:c r="K576" s="32"/>
      <x:c r="L576" s="32"/>
      <x:c r="M576" s="32"/>
      <x:c r="N576" s="32"/>
      <x:c r="O576" s="32"/>
      <x:c r="P576" s="32"/>
      <x:c r="Q576" s="32"/>
      <x:c r="R576" s="32"/>
      <x:c r="S576" s="32"/>
      <x:c r="T576" s="32"/>
      <x:c r="U576" s="32"/>
      <x:c r="V576" s="32"/>
      <x:c r="W576" s="32"/>
      <x:c r="X576" s="32" t="n">
        <x:v>0.7500000000000002</x:v>
      </x:c>
      <x:c r="Y576" s="32"/>
      <x:c r="Z576" s="32"/>
      <x:c r="AA576" s="32"/>
      <x:c r="AB576" s="32"/>
      <x:c r="AC576" s="32"/>
      <x:c r="AD576" s="32"/>
      <x:c r="AE576" s="32"/>
      <x:c r="AF576" s="32"/>
      <x:c r="AG576" s="32"/>
      <x:c r="AH576" s="32"/>
      <x:c r="AI576" s="32"/>
      <x:c r="AJ576" s="32"/>
      <x:c r="AK576" s="32"/>
      <x:c r="AL576" s="32"/>
      <x:c r="AM576" s="32" t="n">
        <x:v>14</x:v>
      </x:c>
      <x:c r="AN576" s="32"/>
      <x:c r="AO576" s="32"/>
      <x:c r="AP576" s="32" t="n">
        <x:v>980</x:v>
      </x:c>
      <x:c r="AQ576" s="32"/>
      <x:c r="AR576" s="32"/>
      <x:c r="AS576" s="32"/>
      <x:c r="AT576" s="32"/>
      <x:c r="AU576" s="32"/>
      <x:c r="AV576" s="32"/>
      <x:c r="AW576" s="32"/>
      <x:c r="AX576" s="32"/>
      <x:c r="AY576" s="32"/>
      <x:c r="AZ576" s="32"/>
      <x:c r="BA576" s="32"/>
    </x:row>
    <x:row r="577">
      <x:c r="A577" s="25" t="str">
        <x:v>C10-E</x:v>
      </x:c>
      <x:c r="B577" s="25" t="str">
        <x:v>王城罗德尔</x:v>
      </x:c>
      <x:c r="C577" s="25" t="str">
        <x:v>半急速入场</x:v>
      </x:c>
      <x:c r="D577" s="25" t="str">
        <x:v>材料图鉴</x:v>
      </x:c>
      <x:c r="E577" s="25" t="str">
        <x:v>本类6项（逐项见完整JSON）</x:v>
      </x:c>
      <x:c r="F577" s="25" t="str">
        <x:v>S07/collection_materials</x:v>
      </x:c>
      <x:c r="G577" s="25" t="str">
        <x:v>原表数值</x:v>
      </x:c>
      <x:c r="H577" s="25" t="str">
        <x:v>由同包逐项数据聚合，便于核对</x:v>
      </x:c>
      <x:c r="I577" s="32"/>
      <x:c r="J577" s="32"/>
      <x:c r="K577" s="32"/>
      <x:c r="L577" s="32"/>
      <x:c r="M577" s="32"/>
      <x:c r="N577" s="32"/>
      <x:c r="O577" s="32"/>
      <x:c r="P577" s="32"/>
      <x:c r="Q577" s="32"/>
      <x:c r="R577" s="32"/>
      <x:c r="S577" s="32"/>
      <x:c r="T577" s="32"/>
      <x:c r="U577" s="32"/>
      <x:c r="V577" s="32"/>
      <x:c r="W577" s="32"/>
      <x:c r="X577" s="32" t="n">
        <x:v>0.56</x:v>
      </x:c>
      <x:c r="Y577" s="32"/>
      <x:c r="Z577" s="32"/>
      <x:c r="AA577" s="32"/>
      <x:c r="AB577" s="32"/>
      <x:c r="AC577" s="32"/>
      <x:c r="AD577" s="32"/>
      <x:c r="AE577" s="32"/>
      <x:c r="AF577" s="32"/>
      <x:c r="AG577" s="32"/>
      <x:c r="AH577" s="32"/>
      <x:c r="AI577" s="32"/>
      <x:c r="AJ577" s="32"/>
      <x:c r="AK577" s="32"/>
      <x:c r="AL577" s="32"/>
      <x:c r="AM577" s="32" t="n">
        <x:v>0</x:v>
      </x:c>
      <x:c r="AN577" s="32"/>
      <x:c r="AO577" s="32"/>
      <x:c r="AP577" s="32" t="n">
        <x:v>0</x:v>
      </x:c>
      <x:c r="AQ577" s="32"/>
      <x:c r="AR577" s="32"/>
      <x:c r="AS577" s="32"/>
      <x:c r="AT577" s="32"/>
      <x:c r="AU577" s="32"/>
      <x:c r="AV577" s="32"/>
      <x:c r="AW577" s="32"/>
      <x:c r="AX577" s="32"/>
      <x:c r="AY577" s="32"/>
      <x:c r="AZ577" s="32"/>
      <x:c r="BA577" s="32"/>
    </x:row>
    <x:row r="578">
      <x:c r="A578" s="25" t="str">
        <x:v>C10-E</x:v>
      </x:c>
      <x:c r="B578" s="25" t="str">
        <x:v>王城罗德尔</x:v>
      </x:c>
      <x:c r="C578" s="25" t="str">
        <x:v>半急速入场</x:v>
      </x:c>
      <x:c r="D578" s="25" t="str">
        <x:v>旧任务</x:v>
      </x:c>
      <x:c r="E578" s="25" t="str">
        <x:v>本类6项（逐项见完整JSON）</x:v>
      </x:c>
      <x:c r="F578" s="25" t="str">
        <x:v>宁姆格福_完整怪物装备任务爆率规划/地图任务；第一大陆_地图魂魄任务.txt</x:v>
      </x:c>
      <x:c r="G578" s="25" t="str">
        <x:v>原件确认；原表数值</x:v>
      </x:c>
      <x:c r="H578" s="25" t="str">
        <x:v>由同包逐项数据聚合，便于核对</x:v>
      </x:c>
      <x:c r="I578" s="32" t="n">
        <x:v>60</x:v>
      </x:c>
      <x:c r="J578" s="32" t="n">
        <x:v>60</x:v>
      </x:c>
      <x:c r="K578" s="32" t="n">
        <x:v>60</x:v>
      </x:c>
      <x:c r="L578" s="32" t="n">
        <x:v>60</x:v>
      </x:c>
      <x:c r="M578" s="32" t="n">
        <x:v>60</x:v>
      </x:c>
      <x:c r="N578" s="32" t="n">
        <x:v>60</x:v>
      </x:c>
      <x:c r="O578" s="32"/>
      <x:c r="P578" s="32"/>
      <x:c r="Q578" s="32"/>
      <x:c r="R578" s="32"/>
      <x:c r="S578" s="32"/>
      <x:c r="T578" s="32"/>
      <x:c r="U578" s="32"/>
      <x:c r="V578" s="32"/>
      <x:c r="W578" s="32"/>
      <x:c r="X578" s="32"/>
      <x:c r="Y578" s="32"/>
      <x:c r="Z578" s="32"/>
      <x:c r="AA578" s="32"/>
      <x:c r="AB578" s="32"/>
      <x:c r="AC578" s="32"/>
      <x:c r="AD578" s="32"/>
      <x:c r="AE578" s="32"/>
      <x:c r="AF578" s="32"/>
      <x:c r="AG578" s="32"/>
      <x:c r="AH578" s="32"/>
      <x:c r="AI578" s="32"/>
      <x:c r="AJ578" s="32"/>
      <x:c r="AK578" s="32"/>
      <x:c r="AL578" s="32"/>
      <x:c r="AM578" s="32" t="n">
        <x:v>2</x:v>
      </x:c>
      <x:c r="AN578" s="32"/>
      <x:c r="AO578" s="32"/>
      <x:c r="AP578" s="32" t="n">
        <x:v>120</x:v>
      </x:c>
      <x:c r="AQ578" s="32"/>
      <x:c r="AR578" s="32"/>
      <x:c r="AS578" s="32"/>
      <x:c r="AT578" s="32"/>
      <x:c r="AU578" s="32"/>
      <x:c r="AV578" s="32"/>
      <x:c r="AW578" s="32"/>
      <x:c r="AX578" s="32"/>
      <x:c r="AY578" s="32"/>
      <x:c r="AZ578" s="32"/>
      <x:c r="BA578" s="32"/>
    </x:row>
    <x:row r="579">
      <x:c r="A579" s="25" t="str">
        <x:v>C10-E</x:v>
      </x:c>
      <x:c r="B579" s="25" t="str">
        <x:v>王城罗德尔</x:v>
      </x:c>
      <x:c r="C579" s="25" t="str">
        <x:v>半急速入场</x:v>
      </x:c>
      <x:c r="D579" s="25" t="str">
        <x:v>装备</x:v>
      </x:c>
      <x:c r="E579" s="25" t="str">
        <x:v>本类31项（逐项见完整JSON）</x:v>
      </x:c>
      <x:c r="F579" s="25" t="str">
        <x:v>S02；S07</x:v>
      </x:c>
      <x:c r="G579" s="25" t="str">
        <x:v>原表数值</x:v>
      </x:c>
      <x:c r="H579" s="25" t="str">
        <x:v>由同包逐项数据聚合，便于核对</x:v>
      </x:c>
      <x:c r="I579" s="32" t="n">
        <x:v>62708</x:v>
      </x:c>
      <x:c r="J579" s="32" t="n">
        <x:v>119650</x:v>
      </x:c>
      <x:c r="K579" s="32" t="n">
        <x:v>62708</x:v>
      </x:c>
      <x:c r="L579" s="32" t="n">
        <x:v>119650</x:v>
      </x:c>
      <x:c r="M579" s="32" t="n">
        <x:v>62708</x:v>
      </x:c>
      <x:c r="N579" s="32" t="n">
        <x:v>119650</x:v>
      </x:c>
      <x:c r="O579" s="32" t="n">
        <x:v>41475600</x:v>
      </x:c>
      <x:c r="P579" s="32"/>
      <x:c r="Q579" s="32" t="n">
        <x:v>487</x:v>
      </x:c>
      <x:c r="R579" s="32" t="n">
        <x:v>911</x:v>
      </x:c>
      <x:c r="S579" s="32" t="n">
        <x:v>395</x:v>
      </x:c>
      <x:c r="T579" s="32" t="n">
        <x:v>737</x:v>
      </x:c>
      <x:c r="U579" s="32" t="n">
        <x:v>641</x:v>
      </x:c>
      <x:c r="V579" s="32" t="n">
        <x:v>641</x:v>
      </x:c>
      <x:c r="W579" s="32" t="n">
        <x:v>641</x:v>
      </x:c>
      <x:c r="X579" s="32"/>
      <x:c r="Y579" s="32"/>
      <x:c r="Z579" s="32" t="n">
        <x:v>155</x:v>
      </x:c>
      <x:c r="AA579" s="32" t="n">
        <x:v>44</x:v>
      </x:c>
      <x:c r="AB579" s="32"/>
      <x:c r="AC579" s="32" t="n">
        <x:v>225</x:v>
      </x:c>
      <x:c r="AD579" s="32" t="n">
        <x:v>3</x:v>
      </x:c>
      <x:c r="AE579" s="32" t="n">
        <x:v>66</x:v>
      </x:c>
      <x:c r="AF579" s="32"/>
      <x:c r="AG579" s="32"/>
      <x:c r="AH579" s="32" t="n">
        <x:v>53</x:v>
      </x:c>
      <x:c r="AI579" s="32" t="n">
        <x:v>10</x:v>
      </x:c>
      <x:c r="AJ579" s="32" t="n">
        <x:v>152</x:v>
      </x:c>
      <x:c r="AK579" s="32"/>
      <x:c r="AL579" s="32"/>
      <x:c r="AM579" s="32"/>
      <x:c r="AN579" s="32" t="n">
        <x:v>30</x:v>
      </x:c>
      <x:c r="AO579" s="32" t="n">
        <x:v>0.5</x:v>
      </x:c>
      <x:c r="AP579" s="32" t="n">
        <x:v>54</x:v>
      </x:c>
      <x:c r="AQ579" s="32" t="n">
        <x:v>72</x:v>
      </x:c>
      <x:c r="AR579" s="32"/>
      <x:c r="AS579" s="32" t="n">
        <x:v>10</x:v>
      </x:c>
      <x:c r="AT579" s="32"/>
      <x:c r="AU579" s="32"/>
      <x:c r="AV579" s="32"/>
      <x:c r="AW579" s="32"/>
      <x:c r="AX579" s="32"/>
      <x:c r="AY579" s="32"/>
      <x:c r="AZ579" s="32" t="n">
        <x:v>13</x:v>
      </x:c>
      <x:c r="BA579" s="32"/>
    </x:row>
    <x:row r="580">
      <x:c r="A580" s="25" t="str">
        <x:v>C10-E</x:v>
      </x:c>
      <x:c r="B580" s="25" t="str">
        <x:v>王城罗德尔</x:v>
      </x:c>
      <x:c r="C580" s="25" t="str">
        <x:v>半急速入场</x:v>
      </x:c>
      <x:c r="D580" s="25" t="str">
        <x:v>洗练</x:v>
      </x:c>
      <x:c r="E580" s="25" t="str">
        <x:v>本类10项（逐项见完整JSON）</x:v>
      </x:c>
      <x:c r="F580" s="25" t="str">
        <x:v>S06＋固定种子</x:v>
      </x:c>
      <x:c r="G580" s="25" t="str">
        <x:v>可实现随机样本</x:v>
      </x:c>
      <x:c r="H580" s="25" t="str">
        <x:v>由同包逐项数据聚合，便于核对</x:v>
      </x:c>
      <x:c r="I580" s="32" t="n">
        <x:v>7807</x:v>
      </x:c>
      <x:c r="J580" s="32" t="n">
        <x:v>7807</x:v>
      </x:c>
      <x:c r="K580" s="32" t="n">
        <x:v>1861</x:v>
      </x:c>
      <x:c r="L580" s="32" t="n">
        <x:v>1861</x:v>
      </x:c>
      <x:c r="M580" s="32" t="n">
        <x:v>2719</x:v>
      </x:c>
      <x:c r="N580" s="32" t="n">
        <x:v>2719</x:v>
      </x:c>
      <x:c r="O580" s="32"/>
      <x:c r="P580" s="32"/>
      <x:c r="Q580" s="32"/>
      <x:c r="R580" s="32"/>
      <x:c r="S580" s="32"/>
      <x:c r="T580" s="32"/>
      <x:c r="U580" s="32" t="n">
        <x:v>147</x:v>
      </x:c>
      <x:c r="V580" s="32"/>
      <x:c r="W580" s="32"/>
      <x:c r="X580" s="32"/>
      <x:c r="Y580" s="32" t="n">
        <x:v>3</x:v>
      </x:c>
      <x:c r="Z580" s="32"/>
      <x:c r="AA580" s="32"/>
      <x:c r="AB580" s="32" t="n">
        <x:v>4</x:v>
      </x:c>
      <x:c r="AC580" s="32"/>
      <x:c r="AD580" s="32" t="n">
        <x:v>3</x:v>
      </x:c>
      <x:c r="AE580" s="32"/>
      <x:c r="AF580" s="32"/>
      <x:c r="AG580" s="32"/>
      <x:c r="AH580" s="32" t="n">
        <x:v>11</x:v>
      </x:c>
      <x:c r="AI580" s="32"/>
      <x:c r="AJ580" s="32"/>
      <x:c r="AK580" s="32"/>
      <x:c r="AL580" s="32"/>
      <x:c r="AM580" s="32" t="n">
        <x:v>5</x:v>
      </x:c>
      <x:c r="AN580" s="32" t="n">
        <x:v>5</x:v>
      </x:c>
      <x:c r="AO580" s="32" t="n">
        <x:v>2</x:v>
      </x:c>
      <x:c r="AP580" s="32" t="n">
        <x:v>20</x:v>
      </x:c>
      <x:c r="AQ580" s="32"/>
      <x:c r="AR580" s="32" t="n">
        <x:v>3</x:v>
      </x:c>
      <x:c r="AS580" s="32" t="n">
        <x:v>5</x:v>
      </x:c>
      <x:c r="AT580" s="32"/>
      <x:c r="AU580" s="32" t="n">
        <x:v>2</x:v>
      </x:c>
      <x:c r="AV580" s="32"/>
      <x:c r="AW580" s="32"/>
      <x:c r="AX580" s="32"/>
      <x:c r="AY580" s="32"/>
      <x:c r="AZ580" s="32"/>
      <x:c r="BA580" s="32"/>
    </x:row>
    <x:row r="581">
      <x:c r="A581" s="25" t="str">
        <x:v>C10-E</x:v>
      </x:c>
      <x:c r="B581" s="25" t="str">
        <x:v>王城罗德尔</x:v>
      </x:c>
      <x:c r="C581" s="25" t="str">
        <x:v>半急速入场</x:v>
      </x:c>
      <x:c r="D581" s="25" t="str">
        <x:v>命格</x:v>
      </x:c>
      <x:c r="E581" s="25" t="str">
        <x:v>本类7项（逐项见完整JSON）</x:v>
      </x:c>
      <x:c r="F581" s="25" t="str">
        <x:v>S03/命格ID1081；S03/命格ID1086；S03/命格ID1089；S03/命格ID1090；S03/命格ID1092；S03/命格ID1093；S03/命格ID1097</x:v>
      </x:c>
      <x:c r="G581" s="25" t="str">
        <x:v>原表彩色＋选配假设</x:v>
      </x:c>
      <x:c r="H581" s="25" t="str">
        <x:v>由同包逐项数据聚合，便于核对</x:v>
      </x:c>
      <x:c r="I581" s="32"/>
      <x:c r="J581" s="32"/>
      <x:c r="K581" s="32"/>
      <x:c r="L581" s="32"/>
      <x:c r="M581" s="32"/>
      <x:c r="N581" s="32"/>
      <x:c r="O581" s="32" t="n">
        <x:v>1500</x:v>
      </x:c>
      <x:c r="P581" s="32"/>
      <x:c r="Q581" s="32"/>
      <x:c r="R581" s="32"/>
      <x:c r="S581" s="32"/>
      <x:c r="T581" s="32"/>
      <x:c r="U581" s="32" t="n">
        <x:v>3</x:v>
      </x:c>
      <x:c r="V581" s="32"/>
      <x:c r="W581" s="32"/>
      <x:c r="X581" s="32"/>
      <x:c r="Y581" s="32" t="n">
        <x:v>6</x:v>
      </x:c>
      <x:c r="Z581" s="32" t="n">
        <x:v>3</x:v>
      </x:c>
      <x:c r="AA581" s="32" t="n">
        <x:v>5</x:v>
      </x:c>
      <x:c r="AB581" s="32"/>
      <x:c r="AC581" s="32"/>
      <x:c r="AD581" s="32"/>
      <x:c r="AE581" s="32"/>
      <x:c r="AF581" s="32"/>
      <x:c r="AG581" s="32"/>
      <x:c r="AH581" s="32" t="n">
        <x:v>2</x:v>
      </x:c>
      <x:c r="AI581" s="32"/>
      <x:c r="AJ581" s="32" t="n">
        <x:v>10</x:v>
      </x:c>
      <x:c r="AK581" s="32"/>
      <x:c r="AL581" s="32"/>
      <x:c r="AM581" s="32" t="n">
        <x:v>6</x:v>
      </x:c>
      <x:c r="AN581" s="32"/>
      <x:c r="AO581" s="32"/>
      <x:c r="AP581" s="32"/>
      <x:c r="AQ581" s="32" t="n">
        <x:v>6</x:v>
      </x:c>
      <x:c r="AR581" s="32" t="n">
        <x:v>3</x:v>
      </x:c>
      <x:c r="AS581" s="32" t="n">
        <x:v>0.75</x:v>
      </x:c>
      <x:c r="AT581" s="32" t="n">
        <x:v>50</x:v>
      </x:c>
      <x:c r="AU581" s="32" t="n">
        <x:v>2</x:v>
      </x:c>
      <x:c r="AV581" s="32" t="n">
        <x:v>3</x:v>
      </x:c>
      <x:c r="AW581" s="32"/>
      <x:c r="AX581" s="32"/>
      <x:c r="AY581" s="32"/>
      <x:c r="AZ581" s="32"/>
      <x:c r="BA581" s="32"/>
    </x:row>
    <x:row r="582">
      <x:c r="A582" s="25" t="str">
        <x:v>C10-E</x:v>
      </x:c>
      <x:c r="B582" s="25" t="str">
        <x:v>王城罗德尔</x:v>
      </x:c>
      <x:c r="C582" s="25" t="str">
        <x:v>半急速入场</x:v>
      </x:c>
      <x:c r="D582" s="25" t="str">
        <x:v>后天幸运</x:v>
      </x:c>
      <x:c r="E582" s="25" t="str">
        <x:v>本类1项（逐项见完整JSON）</x:v>
      </x:c>
      <x:c r="F582" s="25" t="str">
        <x:v>A08</x:v>
      </x:c>
      <x:c r="G582" s="25" t="str">
        <x:v>人物永久进度</x:v>
      </x:c>
      <x:c r="H582" s="25" t="str">
        <x:v>由同包逐项数据聚合，便于核对</x:v>
      </x:c>
      <x:c r="I582" s="32"/>
      <x:c r="J582" s="32"/>
      <x:c r="K582" s="32"/>
      <x:c r="L582" s="32"/>
      <x:c r="M582" s="32"/>
      <x:c r="N582" s="32"/>
      <x:c r="O582" s="32"/>
      <x:c r="P582" s="32"/>
      <x:c r="Q582" s="32"/>
      <x:c r="R582" s="32"/>
      <x:c r="S582" s="32"/>
      <x:c r="T582" s="32"/>
      <x:c r="U582" s="32"/>
      <x:c r="V582" s="32"/>
      <x:c r="W582" s="32"/>
      <x:c r="X582" s="32"/>
      <x:c r="Y582" s="32"/>
      <x:c r="Z582" s="32"/>
      <x:c r="AA582" s="32"/>
      <x:c r="AB582" s="32"/>
      <x:c r="AC582" s="32"/>
      <x:c r="AD582" s="32"/>
      <x:c r="AE582" s="32"/>
      <x:c r="AF582" s="32"/>
      <x:c r="AG582" s="32"/>
      <x:c r="AH582" s="32"/>
      <x:c r="AI582" s="32"/>
      <x:c r="AJ582" s="32"/>
      <x:c r="AK582" s="32" t="n">
        <x:v>7</x:v>
      </x:c>
      <x:c r="AL582" s="32" t="n">
        <x:v>8</x:v>
      </x:c>
      <x:c r="AM582" s="32"/>
      <x:c r="AN582" s="32"/>
      <x:c r="AO582" s="32"/>
      <x:c r="AP582" s="32"/>
      <x:c r="AQ582" s="32"/>
      <x:c r="AR582" s="32"/>
      <x:c r="AS582" s="32"/>
      <x:c r="AT582" s="32"/>
      <x:c r="AU582" s="32"/>
      <x:c r="AV582" s="32"/>
      <x:c r="AW582" s="32"/>
      <x:c r="AX582" s="32"/>
      <x:c r="AY582" s="32"/>
      <x:c r="AZ582" s="32"/>
      <x:c r="BA582" s="32"/>
    </x:row>
    <x:row r="583">
      <x:c r="A583" s="25" t="str">
        <x:v>C10-E</x:v>
      </x:c>
      <x:c r="B583" s="25" t="str">
        <x:v>王城罗德尔</x:v>
      </x:c>
      <x:c r="C583" s="25" t="str">
        <x:v>半急速入场</x:v>
      </x:c>
      <x:c r="D583" s="25" t="str">
        <x:v>回收预算</x:v>
      </x:c>
      <x:c r="E583" s="25" t="str">
        <x:v>本类1项（逐项见完整JSON）</x:v>
      </x:c>
      <x:c r="F583" s="25" t="str">
        <x:v>用户总回收50%</x:v>
      </x:c>
      <x:c r="G583" s="25" t="str">
        <x:v>经济输入，不是新增属性来源</x:v>
      </x:c>
      <x:c r="H583" s="25" t="str">
        <x:v>由同包逐项数据聚合，便于核对</x:v>
      </x:c>
      <x:c r="I583" s="32"/>
      <x:c r="J583" s="32"/>
      <x:c r="K583" s="32"/>
      <x:c r="L583" s="32"/>
      <x:c r="M583" s="32"/>
      <x:c r="N583" s="32"/>
      <x:c r="O583" s="32"/>
      <x:c r="P583" s="32"/>
      <x:c r="Q583" s="32"/>
      <x:c r="R583" s="32"/>
      <x:c r="S583" s="32"/>
      <x:c r="T583" s="32"/>
      <x:c r="U583" s="32"/>
      <x:c r="V583" s="32"/>
      <x:c r="W583" s="32"/>
      <x:c r="X583" s="32"/>
      <x:c r="Y583" s="32"/>
      <x:c r="Z583" s="32"/>
      <x:c r="AA583" s="32"/>
      <x:c r="AB583" s="32"/>
      <x:c r="AC583" s="32"/>
      <x:c r="AD583" s="32"/>
      <x:c r="AE583" s="32"/>
      <x:c r="AF583" s="32"/>
      <x:c r="AG583" s="32"/>
      <x:c r="AH583" s="32"/>
      <x:c r="AI583" s="32"/>
      <x:c r="AJ583" s="32"/>
      <x:c r="AK583" s="32"/>
      <x:c r="AL583" s="32"/>
      <x:c r="AM583" s="32"/>
      <x:c r="AN583" s="32"/>
      <x:c r="AO583" s="32"/>
      <x:c r="AP583" s="32"/>
      <x:c r="AQ583" s="32"/>
      <x:c r="AR583" s="32"/>
      <x:c r="AS583" s="32"/>
      <x:c r="AT583" s="32"/>
      <x:c r="AU583" s="32"/>
      <x:c r="AV583" s="32"/>
      <x:c r="AW583" s="32"/>
      <x:c r="AX583" s="32"/>
      <x:c r="AY583" s="32"/>
      <x:c r="AZ583" s="32"/>
      <x:c r="BA583" s="32" t="n">
        <x:v>50</x:v>
      </x:c>
    </x:row>
    <x:row r="584">
      <x:c r="A584" s="25" t="str">
        <x:v>C10-M</x:v>
      </x:c>
      <x:c r="B584" s="25" t="str">
        <x:v>王城罗德尔</x:v>
      </x:c>
      <x:c r="C584" s="25" t="str">
        <x:v>半急速中期</x:v>
      </x:c>
      <x:c r="D584" s="25" t="str">
        <x:v>人物自然</x:v>
      </x:c>
      <x:c r="E584" s="25" t="str">
        <x:v>本类1项（逐项见完整JSON）</x:v>
      </x:c>
      <x:c r="F584" s="25" t="str">
        <x:v>A01</x:v>
      </x:c>
      <x:c r="G584" s="25" t="str">
        <x:v>模型假设</x:v>
      </x:c>
      <x:c r="H584" s="25" t="str">
        <x:v>由同包逐项数据聚合，便于核对</x:v>
      </x:c>
      <x:c r="I584" s="32" t="n">
        <x:v>26</x:v>
      </x:c>
      <x:c r="J584" s="32" t="n">
        <x:v>60.5</x:v>
      </x:c>
      <x:c r="K584" s="32"/>
      <x:c r="L584" s="32"/>
      <x:c r="M584" s="32"/>
      <x:c r="N584" s="32"/>
      <x:c r="O584" s="32" t="n">
        <x:v>4800</x:v>
      </x:c>
      <x:c r="P584" s="32" t="n">
        <x:v>1150</x:v>
      </x:c>
      <x:c r="Q584" s="32"/>
      <x:c r="R584" s="32"/>
      <x:c r="S584" s="32"/>
      <x:c r="T584" s="32"/>
      <x:c r="U584" s="32"/>
      <x:c r="V584" s="32"/>
      <x:c r="W584" s="32"/>
      <x:c r="X584" s="32"/>
      <x:c r="Y584" s="32"/>
      <x:c r="Z584" s="32"/>
      <x:c r="AA584" s="32"/>
      <x:c r="AB584" s="32"/>
      <x:c r="AC584" s="32"/>
      <x:c r="AD584" s="32"/>
      <x:c r="AE584" s="32"/>
      <x:c r="AF584" s="32"/>
      <x:c r="AG584" s="32"/>
      <x:c r="AH584" s="32"/>
      <x:c r="AI584" s="32"/>
      <x:c r="AJ584" s="32"/>
      <x:c r="AK584" s="32"/>
      <x:c r="AL584" s="32"/>
      <x:c r="AM584" s="32"/>
      <x:c r="AN584" s="32"/>
      <x:c r="AO584" s="32"/>
      <x:c r="AP584" s="32"/>
      <x:c r="AQ584" s="32"/>
      <x:c r="AR584" s="32"/>
      <x:c r="AS584" s="32"/>
      <x:c r="AT584" s="32"/>
      <x:c r="AU584" s="32"/>
      <x:c r="AV584" s="32"/>
      <x:c r="AW584" s="32"/>
      <x:c r="AX584" s="32"/>
      <x:c r="AY584" s="32"/>
      <x:c r="AZ584" s="32"/>
      <x:c r="BA584" s="32"/>
    </x:row>
    <x:row r="585">
      <x:c r="A585" s="25" t="str">
        <x:v>C10-M</x:v>
      </x:c>
      <x:c r="B585" s="25" t="str">
        <x:v>王城罗德尔</x:v>
      </x:c>
      <x:c r="C585" s="25" t="str">
        <x:v>半急速中期</x:v>
      </x:c>
      <x:c r="D585" s="25" t="str">
        <x:v>付费状态</x:v>
      </x:c>
      <x:c r="E585" s="25" t="str">
        <x:v>本类3项（逐项见完整JSON）</x:v>
      </x:c>
      <x:c r="F585" s="25" t="str">
        <x:v>20260903总档</x:v>
      </x:c>
      <x:c r="G585" s="25" t="str">
        <x:v>原表数值</x:v>
      </x:c>
      <x:c r="H585" s="25" t="str">
        <x:v>由同包逐项数据聚合，便于核对</x:v>
      </x:c>
      <x:c r="I585" s="32" t="n">
        <x:v>149</x:v>
      </x:c>
      <x:c r="J585" s="32" t="n">
        <x:v>149</x:v>
      </x:c>
      <x:c r="K585" s="32" t="n">
        <x:v>149</x:v>
      </x:c>
      <x:c r="L585" s="32" t="n">
        <x:v>149</x:v>
      </x:c>
      <x:c r="M585" s="32" t="n">
        <x:v>149</x:v>
      </x:c>
      <x:c r="N585" s="32" t="n">
        <x:v>149</x:v>
      </x:c>
      <x:c r="O585" s="32" t="n">
        <x:v>10000</x:v>
      </x:c>
      <x:c r="P585" s="32"/>
      <x:c r="Q585" s="32"/>
      <x:c r="R585" s="32"/>
      <x:c r="S585" s="32"/>
      <x:c r="T585" s="32"/>
      <x:c r="U585" s="32"/>
      <x:c r="V585" s="32"/>
      <x:c r="W585" s="32"/>
      <x:c r="X585" s="32"/>
      <x:c r="Y585" s="32" t="n">
        <x:v>10</x:v>
      </x:c>
      <x:c r="Z585" s="32"/>
      <x:c r="AA585" s="32"/>
      <x:c r="AB585" s="32" t="n">
        <x:v>20</x:v>
      </x:c>
      <x:c r="AC585" s="32"/>
      <x:c r="AD585" s="32"/>
      <x:c r="AE585" s="32"/>
      <x:c r="AF585" s="32"/>
      <x:c r="AG585" s="32"/>
      <x:c r="AH585" s="32"/>
      <x:c r="AI585" s="32"/>
      <x:c r="AJ585" s="32"/>
      <x:c r="AK585" s="32"/>
      <x:c r="AL585" s="32"/>
      <x:c r="AM585" s="32" t="n">
        <x:v>10</x:v>
      </x:c>
      <x:c r="AN585" s="32"/>
      <x:c r="AO585" s="32"/>
      <x:c r="AP585" s="32" t="n">
        <x:v>50</x:v>
      </x:c>
      <x:c r="AQ585" s="32"/>
      <x:c r="AR585" s="32"/>
      <x:c r="AS585" s="32"/>
      <x:c r="AT585" s="32" t="n">
        <x:v>700</x:v>
      </x:c>
      <x:c r="AU585" s="32" t="n">
        <x:v>15</x:v>
      </x:c>
      <x:c r="AV585" s="32"/>
      <x:c r="AW585" s="32"/>
      <x:c r="AX585" s="32"/>
      <x:c r="AY585" s="32"/>
      <x:c r="AZ585" s="32"/>
      <x:c r="BA585" s="32"/>
    </x:row>
    <x:row r="586">
      <x:c r="A586" s="25" t="str">
        <x:v>C10-M</x:v>
      </x:c>
      <x:c r="B586" s="25" t="str">
        <x:v>王城罗德尔</x:v>
      </x:c>
      <x:c r="C586" s="25" t="str">
        <x:v>半急速中期</x:v>
      </x:c>
      <x:c r="D586" s="25" t="str">
        <x:v>成长装备</x:v>
      </x:c>
      <x:c r="E586" s="25" t="str">
        <x:v>本类2项（逐项见完整JSON）</x:v>
      </x:c>
      <x:c r="F586" s="25" t="str">
        <x:v>20260903总档 / A04</x:v>
      </x:c>
      <x:c r="G586" s="25" t="str">
        <x:v>原表＋支付路径假设</x:v>
      </x:c>
      <x:c r="H586" s="25" t="str">
        <x:v>由同包逐项数据聚合，便于核对</x:v>
      </x:c>
      <x:c r="I586" s="32" t="n">
        <x:v>1100</x:v>
      </x:c>
      <x:c r="J586" s="32" t="n">
        <x:v>1100</x:v>
      </x:c>
      <x:c r="K586" s="32" t="n">
        <x:v>1100</x:v>
      </x:c>
      <x:c r="L586" s="32" t="n">
        <x:v>1100</x:v>
      </x:c>
      <x:c r="M586" s="32" t="n">
        <x:v>1100</x:v>
      </x:c>
      <x:c r="N586" s="32" t="n">
        <x:v>1100</x:v>
      </x:c>
      <x:c r="O586" s="32"/>
      <x:c r="P586" s="32"/>
      <x:c r="Q586" s="32"/>
      <x:c r="R586" s="32"/>
      <x:c r="S586" s="32"/>
      <x:c r="T586" s="32"/>
      <x:c r="U586" s="32"/>
      <x:c r="V586" s="32"/>
      <x:c r="W586" s="32"/>
      <x:c r="X586" s="32"/>
      <x:c r="Y586" s="32"/>
      <x:c r="Z586" s="32"/>
      <x:c r="AA586" s="32"/>
      <x:c r="AB586" s="32"/>
      <x:c r="AC586" s="32"/>
      <x:c r="AD586" s="32"/>
      <x:c r="AE586" s="32"/>
      <x:c r="AF586" s="32"/>
      <x:c r="AG586" s="32"/>
      <x:c r="AH586" s="32"/>
      <x:c r="AI586" s="32"/>
      <x:c r="AJ586" s="32"/>
      <x:c r="AK586" s="32"/>
      <x:c r="AL586" s="32"/>
      <x:c r="AM586" s="32"/>
      <x:c r="AN586" s="32"/>
      <x:c r="AO586" s="32"/>
      <x:c r="AP586" s="32"/>
      <x:c r="AQ586" s="32"/>
      <x:c r="AR586" s="32"/>
      <x:c r="AS586" s="32"/>
      <x:c r="AT586" s="32"/>
      <x:c r="AU586" s="32"/>
      <x:c r="AV586" s="32"/>
      <x:c r="AW586" s="32" t="n">
        <x:v>10</x:v>
      </x:c>
      <x:c r="AX586" s="32" t="n">
        <x:v>10</x:v>
      </x:c>
      <x:c r="AY586" s="32"/>
      <x:c r="AZ586" s="32"/>
      <x:c r="BA586" s="32"/>
    </x:row>
    <x:row r="587">
      <x:c r="A587" s="25" t="str">
        <x:v>C10-M</x:v>
      </x:c>
      <x:c r="B587" s="25" t="str">
        <x:v>王城罗德尔</x:v>
      </x:c>
      <x:c r="C587" s="25" t="str">
        <x:v>半急速中期</x:v>
      </x:c>
      <x:c r="D587" s="25" t="str">
        <x:v>贯穿称号</x:v>
      </x:c>
      <x:c r="E587" s="25" t="str">
        <x:v>本类1项（逐项见完整JSON）</x:v>
      </x:c>
      <x:c r="F587" s="25" t="str">
        <x:v>S04/01_贯穿称号</x:v>
      </x:c>
      <x:c r="G587" s="25" t="str">
        <x:v>原表数值</x:v>
      </x:c>
      <x:c r="H587" s="25" t="str">
        <x:v>由同包逐项数据聚合，便于核对</x:v>
      </x:c>
      <x:c r="I587" s="32" t="n">
        <x:v>100000</x:v>
      </x:c>
      <x:c r="J587" s="32" t="n">
        <x:v>100000</x:v>
      </x:c>
      <x:c r="K587" s="32" t="n">
        <x:v>100000</x:v>
      </x:c>
      <x:c r="L587" s="32" t="n">
        <x:v>100000</x:v>
      </x:c>
      <x:c r="M587" s="32" t="n">
        <x:v>100000</x:v>
      </x:c>
      <x:c r="N587" s="32" t="n">
        <x:v>100000</x:v>
      </x:c>
      <x:c r="O587" s="32" t="n">
        <x:v>10000000</x:v>
      </x:c>
      <x:c r="P587" s="32" t="n">
        <x:v>10000000</x:v>
      </x:c>
      <x:c r="Q587" s="32"/>
      <x:c r="R587" s="32"/>
      <x:c r="S587" s="32"/>
      <x:c r="T587" s="32"/>
      <x:c r="U587" s="32"/>
      <x:c r="V587" s="32"/>
      <x:c r="W587" s="32"/>
      <x:c r="X587" s="32"/>
      <x:c r="Y587" s="32"/>
      <x:c r="Z587" s="32"/>
      <x:c r="AA587" s="32"/>
      <x:c r="AB587" s="32"/>
      <x:c r="AC587" s="32"/>
      <x:c r="AD587" s="32"/>
      <x:c r="AE587" s="32"/>
      <x:c r="AF587" s="32"/>
      <x:c r="AG587" s="32"/>
      <x:c r="AH587" s="32"/>
      <x:c r="AI587" s="32"/>
      <x:c r="AJ587" s="32"/>
      <x:c r="AK587" s="32"/>
      <x:c r="AL587" s="32"/>
      <x:c r="AM587" s="32"/>
      <x:c r="AN587" s="32"/>
      <x:c r="AO587" s="32"/>
      <x:c r="AP587" s="32"/>
      <x:c r="AQ587" s="32"/>
      <x:c r="AR587" s="32"/>
      <x:c r="AS587" s="32"/>
      <x:c r="AT587" s="32" t="n">
        <x:v>6600</x:v>
      </x:c>
      <x:c r="AU587" s="32"/>
      <x:c r="AV587" s="32"/>
      <x:c r="AW587" s="32"/>
      <x:c r="AX587" s="32"/>
      <x:c r="AY587" s="32"/>
      <x:c r="AZ587" s="32"/>
      <x:c r="BA587" s="32"/>
    </x:row>
    <x:row r="588">
      <x:c r="A588" s="25" t="str">
        <x:v>C10-M</x:v>
      </x:c>
      <x:c r="B588" s="25" t="str">
        <x:v>王城罗德尔</x:v>
      </x:c>
      <x:c r="C588" s="25" t="str">
        <x:v>半急速中期</x:v>
      </x:c>
      <x:c r="D588" s="25" t="str">
        <x:v>神印</x:v>
      </x:c>
      <x:c r="E588" s="25" t="str">
        <x:v>本类1项（逐项见完整JSON）</x:v>
      </x:c>
      <x:c r="F588" s="25" t="str">
        <x:v>S04 / 神印公式</x:v>
      </x:c>
      <x:c r="G588" s="25" t="str">
        <x:v>自给进度假设＋原公式</x:v>
      </x:c>
      <x:c r="H588" s="25" t="str">
        <x:v>由同包逐项数据聚合，便于核对</x:v>
      </x:c>
      <x:c r="I588" s="32" t="n">
        <x:v>30876</x:v>
      </x:c>
      <x:c r="J588" s="32" t="n">
        <x:v>30876</x:v>
      </x:c>
      <x:c r="K588" s="32" t="n">
        <x:v>30876</x:v>
      </x:c>
      <x:c r="L588" s="32" t="n">
        <x:v>30876</x:v>
      </x:c>
      <x:c r="M588" s="32" t="n">
        <x:v>30876</x:v>
      </x:c>
      <x:c r="N588" s="32" t="n">
        <x:v>30876</x:v>
      </x:c>
      <x:c r="O588" s="32" t="n">
        <x:v>3087600</x:v>
      </x:c>
      <x:c r="P588" s="32"/>
      <x:c r="Q588" s="32"/>
      <x:c r="R588" s="32"/>
      <x:c r="S588" s="32"/>
      <x:c r="T588" s="32"/>
      <x:c r="U588" s="32"/>
      <x:c r="V588" s="32"/>
      <x:c r="W588" s="32"/>
      <x:c r="X588" s="32"/>
      <x:c r="Y588" s="32"/>
      <x:c r="Z588" s="32"/>
      <x:c r="AA588" s="32"/>
      <x:c r="AB588" s="32"/>
      <x:c r="AC588" s="32"/>
      <x:c r="AD588" s="32"/>
      <x:c r="AE588" s="32"/>
      <x:c r="AF588" s="32"/>
      <x:c r="AG588" s="32"/>
      <x:c r="AH588" s="32"/>
      <x:c r="AI588" s="32"/>
      <x:c r="AJ588" s="32"/>
      <x:c r="AK588" s="32"/>
      <x:c r="AL588" s="32"/>
      <x:c r="AM588" s="32"/>
      <x:c r="AN588" s="32"/>
      <x:c r="AO588" s="32"/>
      <x:c r="AP588" s="32"/>
      <x:c r="AQ588" s="32"/>
      <x:c r="AR588" s="32"/>
      <x:c r="AS588" s="32"/>
      <x:c r="AT588" s="32"/>
      <x:c r="AU588" s="32"/>
      <x:c r="AV588" s="32"/>
      <x:c r="AW588" s="32"/>
      <x:c r="AX588" s="32"/>
      <x:c r="AY588" s="32"/>
      <x:c r="AZ588" s="32"/>
      <x:c r="BA588" s="32"/>
    </x:row>
    <x:row r="589">
      <x:c r="A589" s="25" t="str">
        <x:v>C10-M</x:v>
      </x:c>
      <x:c r="B589" s="25" t="str">
        <x:v>王城罗德尔</x:v>
      </x:c>
      <x:c r="C589" s="25" t="str">
        <x:v>半急速中期</x:v>
      </x:c>
      <x:c r="D589" s="25" t="str">
        <x:v>转生</x:v>
      </x:c>
      <x:c r="E589" s="25" t="str">
        <x:v>本类1项（逐项见完整JSON）</x:v>
      </x:c>
      <x:c r="F589" s="25" t="str">
        <x:v>S07/20转</x:v>
      </x:c>
      <x:c r="G589" s="25" t="str">
        <x:v>原表累计</x:v>
      </x:c>
      <x:c r="H589" s="25" t="str">
        <x:v>由同包逐项数据聚合，便于核对</x:v>
      </x:c>
      <x:c r="I589" s="32"/>
      <x:c r="J589" s="32"/>
      <x:c r="K589" s="32"/>
      <x:c r="L589" s="32"/>
      <x:c r="M589" s="32"/>
      <x:c r="N589" s="32"/>
      <x:c r="O589" s="32"/>
      <x:c r="P589" s="32"/>
      <x:c r="Q589" s="32"/>
      <x:c r="R589" s="32"/>
      <x:c r="S589" s="32"/>
      <x:c r="T589" s="32"/>
      <x:c r="U589" s="32"/>
      <x:c r="V589" s="32"/>
      <x:c r="W589" s="32"/>
      <x:c r="X589" s="32" t="n">
        <x:v>0.86</x:v>
      </x:c>
      <x:c r="Y589" s="32"/>
      <x:c r="Z589" s="32"/>
      <x:c r="AA589" s="32"/>
      <x:c r="AB589" s="32"/>
      <x:c r="AC589" s="32"/>
      <x:c r="AD589" s="32"/>
      <x:c r="AE589" s="32"/>
      <x:c r="AF589" s="32"/>
      <x:c r="AG589" s="32"/>
      <x:c r="AH589" s="32"/>
      <x:c r="AI589" s="32"/>
      <x:c r="AJ589" s="32"/>
      <x:c r="AK589" s="32"/>
      <x:c r="AL589" s="32"/>
      <x:c r="AM589" s="32"/>
      <x:c r="AN589" s="32"/>
      <x:c r="AO589" s="32"/>
      <x:c r="AP589" s="32"/>
      <x:c r="AQ589" s="32"/>
      <x:c r="AR589" s="32"/>
      <x:c r="AS589" s="32"/>
      <x:c r="AT589" s="32"/>
      <x:c r="AU589" s="32"/>
      <x:c r="AV589" s="32"/>
      <x:c r="AW589" s="32"/>
      <x:c r="AX589" s="32"/>
      <x:c r="AY589" s="32"/>
      <x:c r="AZ589" s="32"/>
      <x:c r="BA589" s="32"/>
    </x:row>
    <x:row r="590">
      <x:c r="A590" s="25" t="str">
        <x:v>C10-M</x:v>
      </x:c>
      <x:c r="B590" s="25" t="str">
        <x:v>王城罗德尔</x:v>
      </x:c>
      <x:c r="C590" s="25" t="str">
        <x:v>半急速中期</x:v>
      </x:c>
      <x:c r="D590" s="25" t="str">
        <x:v>独立称号</x:v>
      </x:c>
      <x:c r="E590" s="25" t="str">
        <x:v>本类5项（逐项见完整JSON）</x:v>
      </x:c>
      <x:c r="F590" s="25" t="str">
        <x:v>S04/02_独立称号</x:v>
      </x:c>
      <x:c r="G590" s="25" t="str">
        <x:v>原表数值</x:v>
      </x:c>
      <x:c r="H590" s="25" t="str">
        <x:v>由同包逐项数据聚合，便于核对</x:v>
      </x:c>
      <x:c r="I590" s="32" t="n">
        <x:v>16510</x:v>
      </x:c>
      <x:c r="J590" s="32" t="n">
        <x:v>16510</x:v>
      </x:c>
      <x:c r="K590" s="32" t="n">
        <x:v>16510</x:v>
      </x:c>
      <x:c r="L590" s="32" t="n">
        <x:v>16510</x:v>
      </x:c>
      <x:c r="M590" s="32" t="n">
        <x:v>16510</x:v>
      </x:c>
      <x:c r="N590" s="32" t="n">
        <x:v>16510</x:v>
      </x:c>
      <x:c r="O590" s="32" t="n">
        <x:v>1651000</x:v>
      </x:c>
      <x:c r="P590" s="32"/>
      <x:c r="Q590" s="32"/>
      <x:c r="R590" s="32"/>
      <x:c r="S590" s="32"/>
      <x:c r="T590" s="32"/>
      <x:c r="U590" s="32"/>
      <x:c r="V590" s="32"/>
      <x:c r="W590" s="32"/>
      <x:c r="X590" s="32" t="n">
        <x:v>0</x:v>
      </x:c>
      <x:c r="Y590" s="32"/>
      <x:c r="Z590" s="32"/>
      <x:c r="AA590" s="32"/>
      <x:c r="AB590" s="32"/>
      <x:c r="AC590" s="32"/>
      <x:c r="AD590" s="32"/>
      <x:c r="AE590" s="32"/>
      <x:c r="AF590" s="32"/>
      <x:c r="AG590" s="32"/>
      <x:c r="AH590" s="32"/>
      <x:c r="AI590" s="32"/>
      <x:c r="AJ590" s="32"/>
      <x:c r="AK590" s="32"/>
      <x:c r="AL590" s="32"/>
      <x:c r="AM590" s="32" t="n">
        <x:v>0</x:v>
      </x:c>
      <x:c r="AN590" s="32"/>
      <x:c r="AO590" s="32"/>
      <x:c r="AP590" s="32" t="n">
        <x:v>0</x:v>
      </x:c>
      <x:c r="AQ590" s="32"/>
      <x:c r="AR590" s="32"/>
      <x:c r="AS590" s="32"/>
      <x:c r="AT590" s="32"/>
      <x:c r="AU590" s="32"/>
      <x:c r="AV590" s="32"/>
      <x:c r="AW590" s="32"/>
      <x:c r="AX590" s="32"/>
      <x:c r="AY590" s="32"/>
      <x:c r="AZ590" s="32"/>
      <x:c r="BA590" s="32"/>
    </x:row>
    <x:row r="591">
      <x:c r="A591" s="25" t="str">
        <x:v>C10-M</x:v>
      </x:c>
      <x:c r="B591" s="25" t="str">
        <x:v>王城罗德尔</x:v>
      </x:c>
      <x:c r="C591" s="25" t="str">
        <x:v>半急速中期</x:v>
      </x:c>
      <x:c r="D591" s="25" t="str">
        <x:v>单件图鉴</x:v>
      </x:c>
      <x:c r="E591" s="25" t="str">
        <x:v>本类1项（逐项见完整JSON）</x:v>
      </x:c>
      <x:c r="F591" s="25" t="str">
        <x:v>S07/collection_single</x:v>
      </x:c>
      <x:c r="G591" s="25" t="str">
        <x:v>原表累计</x:v>
      </x:c>
      <x:c r="H591" s="25" t="str">
        <x:v>由同包逐项数据聚合，便于核对</x:v>
      </x:c>
      <x:c r="I591" s="32" t="n">
        <x:v>11576</x:v>
      </x:c>
      <x:c r="J591" s="32" t="n">
        <x:v>11576</x:v>
      </x:c>
      <x:c r="K591" s="32" t="n">
        <x:v>11576</x:v>
      </x:c>
      <x:c r="L591" s="32" t="n">
        <x:v>11576</x:v>
      </x:c>
      <x:c r="M591" s="32" t="n">
        <x:v>11576</x:v>
      </x:c>
      <x:c r="N591" s="32" t="n">
        <x:v>11576</x:v>
      </x:c>
      <x:c r="O591" s="32" t="n">
        <x:v>1157600</x:v>
      </x:c>
      <x:c r="P591" s="32"/>
      <x:c r="Q591" s="32"/>
      <x:c r="R591" s="32"/>
      <x:c r="S591" s="32"/>
      <x:c r="T591" s="32"/>
      <x:c r="U591" s="32"/>
      <x:c r="V591" s="32"/>
      <x:c r="W591" s="32"/>
      <x:c r="X591" s="32"/>
      <x:c r="Y591" s="32"/>
      <x:c r="Z591" s="32"/>
      <x:c r="AA591" s="32"/>
      <x:c r="AB591" s="32"/>
      <x:c r="AC591" s="32"/>
      <x:c r="AD591" s="32"/>
      <x:c r="AE591" s="32"/>
      <x:c r="AF591" s="32"/>
      <x:c r="AG591" s="32"/>
      <x:c r="AH591" s="32"/>
      <x:c r="AI591" s="32"/>
      <x:c r="AJ591" s="32"/>
      <x:c r="AK591" s="32"/>
      <x:c r="AL591" s="32"/>
      <x:c r="AM591" s="32"/>
      <x:c r="AN591" s="32"/>
      <x:c r="AO591" s="32"/>
      <x:c r="AP591" s="32"/>
      <x:c r="AQ591" s="32"/>
      <x:c r="AR591" s="32"/>
      <x:c r="AS591" s="32"/>
      <x:c r="AT591" s="32"/>
      <x:c r="AU591" s="32"/>
      <x:c r="AV591" s="32"/>
      <x:c r="AW591" s="32"/>
      <x:c r="AX591" s="32"/>
      <x:c r="AY591" s="32"/>
      <x:c r="AZ591" s="32"/>
      <x:c r="BA591" s="32"/>
    </x:row>
    <x:row r="592">
      <x:c r="A592" s="25" t="str">
        <x:v>C10-M</x:v>
      </x:c>
      <x:c r="B592" s="25" t="str">
        <x:v>王城罗德尔</x:v>
      </x:c>
      <x:c r="C592" s="25" t="str">
        <x:v>半急速中期</x:v>
      </x:c>
      <x:c r="D592" s="25" t="str">
        <x:v>地图整页</x:v>
      </x:c>
      <x:c r="E592" s="25" t="str">
        <x:v>本类30项（逐项见完整JSON）</x:v>
      </x:c>
      <x:c r="F592" s="25" t="str">
        <x:v>S07/collection_pages</x:v>
      </x:c>
      <x:c r="G592" s="25" t="str">
        <x:v>原表数值</x:v>
      </x:c>
      <x:c r="H592" s="25" t="str">
        <x:v>由同包逐项数据聚合，便于核对</x:v>
      </x:c>
      <x:c r="I592" s="32"/>
      <x:c r="J592" s="32"/>
      <x:c r="K592" s="32"/>
      <x:c r="L592" s="32"/>
      <x:c r="M592" s="32"/>
      <x:c r="N592" s="32"/>
      <x:c r="O592" s="32"/>
      <x:c r="P592" s="32"/>
      <x:c r="Q592" s="32"/>
      <x:c r="R592" s="32"/>
      <x:c r="S592" s="32"/>
      <x:c r="T592" s="32"/>
      <x:c r="U592" s="32"/>
      <x:c r="V592" s="32"/>
      <x:c r="W592" s="32"/>
      <x:c r="X592" s="32" t="n">
        <x:v>0.8500000000000003</x:v>
      </x:c>
      <x:c r="Y592" s="32"/>
      <x:c r="Z592" s="32"/>
      <x:c r="AA592" s="32"/>
      <x:c r="AB592" s="32"/>
      <x:c r="AC592" s="32"/>
      <x:c r="AD592" s="32"/>
      <x:c r="AE592" s="32"/>
      <x:c r="AF592" s="32"/>
      <x:c r="AG592" s="32"/>
      <x:c r="AH592" s="32"/>
      <x:c r="AI592" s="32"/>
      <x:c r="AJ592" s="32"/>
      <x:c r="AK592" s="32"/>
      <x:c r="AL592" s="32"/>
      <x:c r="AM592" s="32" t="n">
        <x:v>15</x:v>
      </x:c>
      <x:c r="AN592" s="32"/>
      <x:c r="AO592" s="32"/>
      <x:c r="AP592" s="32" t="n">
        <x:v>1110</x:v>
      </x:c>
      <x:c r="AQ592" s="32"/>
      <x:c r="AR592" s="32"/>
      <x:c r="AS592" s="32"/>
      <x:c r="AT592" s="32"/>
      <x:c r="AU592" s="32"/>
      <x:c r="AV592" s="32"/>
      <x:c r="AW592" s="32"/>
      <x:c r="AX592" s="32"/>
      <x:c r="AY592" s="32"/>
      <x:c r="AZ592" s="32"/>
      <x:c r="BA592" s="32"/>
    </x:row>
    <x:row r="593">
      <x:c r="A593" s="25" t="str">
        <x:v>C10-M</x:v>
      </x:c>
      <x:c r="B593" s="25" t="str">
        <x:v>王城罗德尔</x:v>
      </x:c>
      <x:c r="C593" s="25" t="str">
        <x:v>半急速中期</x:v>
      </x:c>
      <x:c r="D593" s="25" t="str">
        <x:v>材料图鉴</x:v>
      </x:c>
      <x:c r="E593" s="25" t="str">
        <x:v>本类7项（逐项见完整JSON）</x:v>
      </x:c>
      <x:c r="F593" s="25" t="str">
        <x:v>S07/collection_materials</x:v>
      </x:c>
      <x:c r="G593" s="25" t="str">
        <x:v>原表数值</x:v>
      </x:c>
      <x:c r="H593" s="25" t="str">
        <x:v>由同包逐项数据聚合，便于核对</x:v>
      </x:c>
      <x:c r="I593" s="32"/>
      <x:c r="J593" s="32"/>
      <x:c r="K593" s="32"/>
      <x:c r="L593" s="32"/>
      <x:c r="M593" s="32"/>
      <x:c r="N593" s="32"/>
      <x:c r="O593" s="32"/>
      <x:c r="P593" s="32"/>
      <x:c r="Q593" s="32"/>
      <x:c r="R593" s="32"/>
      <x:c r="S593" s="32"/>
      <x:c r="T593" s="32"/>
      <x:c r="U593" s="32"/>
      <x:c r="V593" s="32"/>
      <x:c r="W593" s="32"/>
      <x:c r="X593" s="32" t="n">
        <x:v>0.74</x:v>
      </x:c>
      <x:c r="Y593" s="32"/>
      <x:c r="Z593" s="32"/>
      <x:c r="AA593" s="32"/>
      <x:c r="AB593" s="32"/>
      <x:c r="AC593" s="32"/>
      <x:c r="AD593" s="32"/>
      <x:c r="AE593" s="32"/>
      <x:c r="AF593" s="32"/>
      <x:c r="AG593" s="32"/>
      <x:c r="AH593" s="32"/>
      <x:c r="AI593" s="32"/>
      <x:c r="AJ593" s="32"/>
      <x:c r="AK593" s="32"/>
      <x:c r="AL593" s="32"/>
      <x:c r="AM593" s="32" t="n">
        <x:v>0</x:v>
      </x:c>
      <x:c r="AN593" s="32"/>
      <x:c r="AO593" s="32"/>
      <x:c r="AP593" s="32" t="n">
        <x:v>0</x:v>
      </x:c>
      <x:c r="AQ593" s="32"/>
      <x:c r="AR593" s="32"/>
      <x:c r="AS593" s="32"/>
      <x:c r="AT593" s="32"/>
      <x:c r="AU593" s="32"/>
      <x:c r="AV593" s="32"/>
      <x:c r="AW593" s="32"/>
      <x:c r="AX593" s="32"/>
      <x:c r="AY593" s="32"/>
      <x:c r="AZ593" s="32"/>
      <x:c r="BA593" s="32"/>
    </x:row>
    <x:row r="594">
      <x:c r="A594" s="25" t="str">
        <x:v>C10-M</x:v>
      </x:c>
      <x:c r="B594" s="25" t="str">
        <x:v>王城罗德尔</x:v>
      </x:c>
      <x:c r="C594" s="25" t="str">
        <x:v>半急速中期</x:v>
      </x:c>
      <x:c r="D594" s="25" t="str">
        <x:v>旧任务</x:v>
      </x:c>
      <x:c r="E594" s="25" t="str">
        <x:v>本类6项（逐项见完整JSON）</x:v>
      </x:c>
      <x:c r="F594" s="25" t="str">
        <x:v>宁姆格福_完整怪物装备任务爆率规划/地图任务；第一大陆_地图魂魄任务.txt</x:v>
      </x:c>
      <x:c r="G594" s="25" t="str">
        <x:v>原件确认；原表数值</x:v>
      </x:c>
      <x:c r="H594" s="25" t="str">
        <x:v>由同包逐项数据聚合，便于核对</x:v>
      </x:c>
      <x:c r="I594" s="32" t="n">
        <x:v>60</x:v>
      </x:c>
      <x:c r="J594" s="32" t="n">
        <x:v>60</x:v>
      </x:c>
      <x:c r="K594" s="32" t="n">
        <x:v>60</x:v>
      </x:c>
      <x:c r="L594" s="32" t="n">
        <x:v>60</x:v>
      </x:c>
      <x:c r="M594" s="32" t="n">
        <x:v>60</x:v>
      </x:c>
      <x:c r="N594" s="32" t="n">
        <x:v>60</x:v>
      </x:c>
      <x:c r="O594" s="32"/>
      <x:c r="P594" s="32"/>
      <x:c r="Q594" s="32"/>
      <x:c r="R594" s="32"/>
      <x:c r="S594" s="32"/>
      <x:c r="T594" s="32"/>
      <x:c r="U594" s="32"/>
      <x:c r="V594" s="32"/>
      <x:c r="W594" s="32"/>
      <x:c r="X594" s="32"/>
      <x:c r="Y594" s="32"/>
      <x:c r="Z594" s="32"/>
      <x:c r="AA594" s="32"/>
      <x:c r="AB594" s="32"/>
      <x:c r="AC594" s="32"/>
      <x:c r="AD594" s="32"/>
      <x:c r="AE594" s="32"/>
      <x:c r="AF594" s="32"/>
      <x:c r="AG594" s="32"/>
      <x:c r="AH594" s="32"/>
      <x:c r="AI594" s="32"/>
      <x:c r="AJ594" s="32"/>
      <x:c r="AK594" s="32"/>
      <x:c r="AL594" s="32"/>
      <x:c r="AM594" s="32" t="n">
        <x:v>2</x:v>
      </x:c>
      <x:c r="AN594" s="32"/>
      <x:c r="AO594" s="32"/>
      <x:c r="AP594" s="32" t="n">
        <x:v>120</x:v>
      </x:c>
      <x:c r="AQ594" s="32"/>
      <x:c r="AR594" s="32"/>
      <x:c r="AS594" s="32"/>
      <x:c r="AT594" s="32"/>
      <x:c r="AU594" s="32"/>
      <x:c r="AV594" s="32"/>
      <x:c r="AW594" s="32"/>
      <x:c r="AX594" s="32"/>
      <x:c r="AY594" s="32"/>
      <x:c r="AZ594" s="32"/>
      <x:c r="BA594" s="32"/>
    </x:row>
    <x:row r="595">
      <x:c r="A595" s="25" t="str">
        <x:v>C10-M</x:v>
      </x:c>
      <x:c r="B595" s="25" t="str">
        <x:v>王城罗德尔</x:v>
      </x:c>
      <x:c r="C595" s="25" t="str">
        <x:v>半急速中期</x:v>
      </x:c>
      <x:c r="D595" s="25" t="str">
        <x:v>装备</x:v>
      </x:c>
      <x:c r="E595" s="25" t="str">
        <x:v>本类31项（逐项见完整JSON）</x:v>
      </x:c>
      <x:c r="F595" s="25" t="str">
        <x:v>S02；S07</x:v>
      </x:c>
      <x:c r="G595" s="25" t="str">
        <x:v>原表数值</x:v>
      </x:c>
      <x:c r="H595" s="25" t="str">
        <x:v>由同包逐项数据聚合，便于核对</x:v>
      </x:c>
      <x:c r="I595" s="32" t="n">
        <x:v>62708</x:v>
      </x:c>
      <x:c r="J595" s="32" t="n">
        <x:v>119650</x:v>
      </x:c>
      <x:c r="K595" s="32" t="n">
        <x:v>62708</x:v>
      </x:c>
      <x:c r="L595" s="32" t="n">
        <x:v>119650</x:v>
      </x:c>
      <x:c r="M595" s="32" t="n">
        <x:v>62708</x:v>
      </x:c>
      <x:c r="N595" s="32" t="n">
        <x:v>119650</x:v>
      </x:c>
      <x:c r="O595" s="32" t="n">
        <x:v>41475600</x:v>
      </x:c>
      <x:c r="P595" s="32"/>
      <x:c r="Q595" s="32" t="n">
        <x:v>487</x:v>
      </x:c>
      <x:c r="R595" s="32" t="n">
        <x:v>911</x:v>
      </x:c>
      <x:c r="S595" s="32" t="n">
        <x:v>395</x:v>
      </x:c>
      <x:c r="T595" s="32" t="n">
        <x:v>737</x:v>
      </x:c>
      <x:c r="U595" s="32" t="n">
        <x:v>641</x:v>
      </x:c>
      <x:c r="V595" s="32" t="n">
        <x:v>641</x:v>
      </x:c>
      <x:c r="W595" s="32" t="n">
        <x:v>641</x:v>
      </x:c>
      <x:c r="X595" s="32"/>
      <x:c r="Y595" s="32"/>
      <x:c r="Z595" s="32" t="n">
        <x:v>155</x:v>
      </x:c>
      <x:c r="AA595" s="32" t="n">
        <x:v>44</x:v>
      </x:c>
      <x:c r="AB595" s="32"/>
      <x:c r="AC595" s="32" t="n">
        <x:v>225</x:v>
      </x:c>
      <x:c r="AD595" s="32" t="n">
        <x:v>3</x:v>
      </x:c>
      <x:c r="AE595" s="32" t="n">
        <x:v>66</x:v>
      </x:c>
      <x:c r="AF595" s="32"/>
      <x:c r="AG595" s="32"/>
      <x:c r="AH595" s="32" t="n">
        <x:v>53</x:v>
      </x:c>
      <x:c r="AI595" s="32" t="n">
        <x:v>10</x:v>
      </x:c>
      <x:c r="AJ595" s="32" t="n">
        <x:v>152</x:v>
      </x:c>
      <x:c r="AK595" s="32"/>
      <x:c r="AL595" s="32"/>
      <x:c r="AM595" s="32"/>
      <x:c r="AN595" s="32" t="n">
        <x:v>30</x:v>
      </x:c>
      <x:c r="AO595" s="32" t="n">
        <x:v>0.5</x:v>
      </x:c>
      <x:c r="AP595" s="32" t="n">
        <x:v>54</x:v>
      </x:c>
      <x:c r="AQ595" s="32" t="n">
        <x:v>72</x:v>
      </x:c>
      <x:c r="AR595" s="32"/>
      <x:c r="AS595" s="32" t="n">
        <x:v>10</x:v>
      </x:c>
      <x:c r="AT595" s="32"/>
      <x:c r="AU595" s="32"/>
      <x:c r="AV595" s="32"/>
      <x:c r="AW595" s="32"/>
      <x:c r="AX595" s="32"/>
      <x:c r="AY595" s="32"/>
      <x:c r="AZ595" s="32" t="n">
        <x:v>13</x:v>
      </x:c>
      <x:c r="BA595" s="32"/>
    </x:row>
    <x:row r="596">
      <x:c r="A596" s="25" t="str">
        <x:v>C10-M</x:v>
      </x:c>
      <x:c r="B596" s="25" t="str">
        <x:v>王城罗德尔</x:v>
      </x:c>
      <x:c r="C596" s="25" t="str">
        <x:v>半急速中期</x:v>
      </x:c>
      <x:c r="D596" s="25" t="str">
        <x:v>洗练</x:v>
      </x:c>
      <x:c r="E596" s="25" t="str">
        <x:v>本类10项（逐项见完整JSON）</x:v>
      </x:c>
      <x:c r="F596" s="25" t="str">
        <x:v>S06＋固定种子</x:v>
      </x:c>
      <x:c r="G596" s="25" t="str">
        <x:v>可实现随机样本</x:v>
      </x:c>
      <x:c r="H596" s="25" t="str">
        <x:v>由同包逐项数据聚合，便于核对</x:v>
      </x:c>
      <x:c r="I596" s="32" t="n">
        <x:v>346</x:v>
      </x:c>
      <x:c r="J596" s="32" t="n">
        <x:v>346</x:v>
      </x:c>
      <x:c r="K596" s="32" t="n">
        <x:v>27645</x:v>
      </x:c>
      <x:c r="L596" s="32" t="n">
        <x:v>27645</x:v>
      </x:c>
      <x:c r="M596" s="32" t="n">
        <x:v>1166</x:v>
      </x:c>
      <x:c r="N596" s="32" t="n">
        <x:v>1166</x:v>
      </x:c>
      <x:c r="O596" s="32"/>
      <x:c r="P596" s="32"/>
      <x:c r="Q596" s="32"/>
      <x:c r="R596" s="32"/>
      <x:c r="S596" s="32"/>
      <x:c r="T596" s="32"/>
      <x:c r="U596" s="32" t="n">
        <x:v>472</x:v>
      </x:c>
      <x:c r="V596" s="32"/>
      <x:c r="W596" s="32"/>
      <x:c r="X596" s="32"/>
      <x:c r="Y596" s="32" t="n">
        <x:v>5</x:v>
      </x:c>
      <x:c r="Z596" s="32"/>
      <x:c r="AA596" s="32"/>
      <x:c r="AB596" s="32" t="n">
        <x:v>2</x:v>
      </x:c>
      <x:c r="AC596" s="32"/>
      <x:c r="AD596" s="32" t="n">
        <x:v>2</x:v>
      </x:c>
      <x:c r="AE596" s="32"/>
      <x:c r="AF596" s="32"/>
      <x:c r="AG596" s="32"/>
      <x:c r="AH596" s="32" t="n">
        <x:v>2</x:v>
      </x:c>
      <x:c r="AI596" s="32"/>
      <x:c r="AJ596" s="32"/>
      <x:c r="AK596" s="32"/>
      <x:c r="AL596" s="32"/>
      <x:c r="AM596" s="32" t="n">
        <x:v>1</x:v>
      </x:c>
      <x:c r="AN596" s="32" t="n">
        <x:v>2</x:v>
      </x:c>
      <x:c r="AO596" s="32" t="n">
        <x:v>2</x:v>
      </x:c>
      <x:c r="AP596" s="32"/>
      <x:c r="AQ596" s="32"/>
      <x:c r="AR596" s="32"/>
      <x:c r="AS596" s="32"/>
      <x:c r="AT596" s="32"/>
      <x:c r="AU596" s="32" t="n">
        <x:v>1</x:v>
      </x:c>
      <x:c r="AV596" s="32"/>
      <x:c r="AW596" s="32"/>
      <x:c r="AX596" s="32"/>
      <x:c r="AY596" s="32"/>
      <x:c r="AZ596" s="32"/>
      <x:c r="BA596" s="32"/>
    </x:row>
    <x:row r="597">
      <x:c r="A597" s="25" t="str">
        <x:v>C10-M</x:v>
      </x:c>
      <x:c r="B597" s="25" t="str">
        <x:v>王城罗德尔</x:v>
      </x:c>
      <x:c r="C597" s="25" t="str">
        <x:v>半急速中期</x:v>
      </x:c>
      <x:c r="D597" s="25" t="str">
        <x:v>命格</x:v>
      </x:c>
      <x:c r="E597" s="25" t="str">
        <x:v>本类8项（逐项见完整JSON）</x:v>
      </x:c>
      <x:c r="F597" s="25" t="str">
        <x:v>S03/命格ID1081；S03/命格ID1082；S03/命格ID1086；S03/命格ID1089；S03/命格ID1090；S03/命格ID1092；S03/命格ID1093；S03/命格ID1097</x:v>
      </x:c>
      <x:c r="G597" s="25" t="str">
        <x:v>原表彩色＋选配假设</x:v>
      </x:c>
      <x:c r="H597" s="25" t="str">
        <x:v>由同包逐项数据聚合，便于核对</x:v>
      </x:c>
      <x:c r="I597" s="32"/>
      <x:c r="J597" s="32"/>
      <x:c r="K597" s="32"/>
      <x:c r="L597" s="32"/>
      <x:c r="M597" s="32"/>
      <x:c r="N597" s="32"/>
      <x:c r="O597" s="32" t="n">
        <x:v>1500</x:v>
      </x:c>
      <x:c r="P597" s="32"/>
      <x:c r="Q597" s="32"/>
      <x:c r="R597" s="32"/>
      <x:c r="S597" s="32"/>
      <x:c r="T597" s="32"/>
      <x:c r="U597" s="32" t="n">
        <x:v>3</x:v>
      </x:c>
      <x:c r="V597" s="32"/>
      <x:c r="W597" s="32"/>
      <x:c r="X597" s="32"/>
      <x:c r="Y597" s="32" t="n">
        <x:v>6</x:v>
      </x:c>
      <x:c r="Z597" s="32" t="n">
        <x:v>3</x:v>
      </x:c>
      <x:c r="AA597" s="32" t="n">
        <x:v>5</x:v>
      </x:c>
      <x:c r="AB597" s="32"/>
      <x:c r="AC597" s="32"/>
      <x:c r="AD597" s="32"/>
      <x:c r="AE597" s="32"/>
      <x:c r="AF597" s="32"/>
      <x:c r="AG597" s="32"/>
      <x:c r="AH597" s="32" t="n">
        <x:v>2</x:v>
      </x:c>
      <x:c r="AI597" s="32"/>
      <x:c r="AJ597" s="32" t="n">
        <x:v>10</x:v>
      </x:c>
      <x:c r="AK597" s="32"/>
      <x:c r="AL597" s="32"/>
      <x:c r="AM597" s="32" t="n">
        <x:v>6</x:v>
      </x:c>
      <x:c r="AN597" s="32"/>
      <x:c r="AO597" s="32"/>
      <x:c r="AP597" s="32"/>
      <x:c r="AQ597" s="32" t="n">
        <x:v>6</x:v>
      </x:c>
      <x:c r="AR597" s="32" t="n">
        <x:v>3</x:v>
      </x:c>
      <x:c r="AS597" s="32" t="n">
        <x:v>0.75</x:v>
      </x:c>
      <x:c r="AT597" s="32" t="n">
        <x:v>50</x:v>
      </x:c>
      <x:c r="AU597" s="32" t="n">
        <x:v>5</x:v>
      </x:c>
      <x:c r="AV597" s="32" t="n">
        <x:v>6</x:v>
      </x:c>
      <x:c r="AW597" s="32"/>
      <x:c r="AX597" s="32"/>
      <x:c r="AY597" s="32"/>
      <x:c r="AZ597" s="32"/>
      <x:c r="BA597" s="32"/>
    </x:row>
    <x:row r="598">
      <x:c r="A598" s="25" t="str">
        <x:v>C10-M</x:v>
      </x:c>
      <x:c r="B598" s="25" t="str">
        <x:v>王城罗德尔</x:v>
      </x:c>
      <x:c r="C598" s="25" t="str">
        <x:v>半急速中期</x:v>
      </x:c>
      <x:c r="D598" s="25" t="str">
        <x:v>后天幸运</x:v>
      </x:c>
      <x:c r="E598" s="25" t="str">
        <x:v>本类1项（逐项见完整JSON）</x:v>
      </x:c>
      <x:c r="F598" s="25" t="str">
        <x:v>A08</x:v>
      </x:c>
      <x:c r="G598" s="25" t="str">
        <x:v>人物永久进度</x:v>
      </x:c>
      <x:c r="H598" s="25" t="str">
        <x:v>由同包逐项数据聚合，便于核对</x:v>
      </x:c>
      <x:c r="I598" s="32"/>
      <x:c r="J598" s="32"/>
      <x:c r="K598" s="32"/>
      <x:c r="L598" s="32"/>
      <x:c r="M598" s="32"/>
      <x:c r="N598" s="32"/>
      <x:c r="O598" s="32"/>
      <x:c r="P598" s="32"/>
      <x:c r="Q598" s="32"/>
      <x:c r="R598" s="32"/>
      <x:c r="S598" s="32"/>
      <x:c r="T598" s="32"/>
      <x:c r="U598" s="32"/>
      <x:c r="V598" s="32"/>
      <x:c r="W598" s="32"/>
      <x:c r="X598" s="32"/>
      <x:c r="Y598" s="32"/>
      <x:c r="Z598" s="32"/>
      <x:c r="AA598" s="32"/>
      <x:c r="AB598" s="32"/>
      <x:c r="AC598" s="32"/>
      <x:c r="AD598" s="32"/>
      <x:c r="AE598" s="32"/>
      <x:c r="AF598" s="32"/>
      <x:c r="AG598" s="32"/>
      <x:c r="AH598" s="32"/>
      <x:c r="AI598" s="32"/>
      <x:c r="AJ598" s="32"/>
      <x:c r="AK598" s="32" t="n">
        <x:v>7</x:v>
      </x:c>
      <x:c r="AL598" s="32" t="n">
        <x:v>8</x:v>
      </x:c>
      <x:c r="AM598" s="32"/>
      <x:c r="AN598" s="32"/>
      <x:c r="AO598" s="32"/>
      <x:c r="AP598" s="32"/>
      <x:c r="AQ598" s="32"/>
      <x:c r="AR598" s="32"/>
      <x:c r="AS598" s="32"/>
      <x:c r="AT598" s="32"/>
      <x:c r="AU598" s="32"/>
      <x:c r="AV598" s="32"/>
      <x:c r="AW598" s="32"/>
      <x:c r="AX598" s="32"/>
      <x:c r="AY598" s="32"/>
      <x:c r="AZ598" s="32"/>
      <x:c r="BA598" s="32"/>
    </x:row>
    <x:row r="599">
      <x:c r="A599" s="25" t="str">
        <x:v>C10-M</x:v>
      </x:c>
      <x:c r="B599" s="25" t="str">
        <x:v>王城罗德尔</x:v>
      </x:c>
      <x:c r="C599" s="25" t="str">
        <x:v>半急速中期</x:v>
      </x:c>
      <x:c r="D599" s="25" t="str">
        <x:v>回收预算</x:v>
      </x:c>
      <x:c r="E599" s="25" t="str">
        <x:v>本类1项（逐项见完整JSON）</x:v>
      </x:c>
      <x:c r="F599" s="25" t="str">
        <x:v>用户总回收50%</x:v>
      </x:c>
      <x:c r="G599" s="25" t="str">
        <x:v>经济输入，不是新增属性来源</x:v>
      </x:c>
      <x:c r="H599" s="25" t="str">
        <x:v>由同包逐项数据聚合，便于核对</x:v>
      </x:c>
      <x:c r="I599" s="32"/>
      <x:c r="J599" s="32"/>
      <x:c r="K599" s="32"/>
      <x:c r="L599" s="32"/>
      <x:c r="M599" s="32"/>
      <x:c r="N599" s="32"/>
      <x:c r="O599" s="32"/>
      <x:c r="P599" s="32"/>
      <x:c r="Q599" s="32"/>
      <x:c r="R599" s="32"/>
      <x:c r="S599" s="32"/>
      <x:c r="T599" s="32"/>
      <x:c r="U599" s="32"/>
      <x:c r="V599" s="32"/>
      <x:c r="W599" s="32"/>
      <x:c r="X599" s="32"/>
      <x:c r="Y599" s="32"/>
      <x:c r="Z599" s="32"/>
      <x:c r="AA599" s="32"/>
      <x:c r="AB599" s="32"/>
      <x:c r="AC599" s="32"/>
      <x:c r="AD599" s="32"/>
      <x:c r="AE599" s="32"/>
      <x:c r="AF599" s="32"/>
      <x:c r="AG599" s="32"/>
      <x:c r="AH599" s="32"/>
      <x:c r="AI599" s="32"/>
      <x:c r="AJ599" s="32"/>
      <x:c r="AK599" s="32"/>
      <x:c r="AL599" s="32"/>
      <x:c r="AM599" s="32"/>
      <x:c r="AN599" s="32"/>
      <x:c r="AO599" s="32"/>
      <x:c r="AP599" s="32"/>
      <x:c r="AQ599" s="32"/>
      <x:c r="AR599" s="32"/>
      <x:c r="AS599" s="32"/>
      <x:c r="AT599" s="32"/>
      <x:c r="AU599" s="32"/>
      <x:c r="AV599" s="32"/>
      <x:c r="AW599" s="32"/>
      <x:c r="AX599" s="32"/>
      <x:c r="AY599" s="32"/>
      <x:c r="AZ599" s="32"/>
      <x:c r="BA599" s="32" t="n">
        <x:v>50</x:v>
      </x:c>
    </x:row>
    <x:row r="600">
      <x:c r="A600" s="25" t="str">
        <x:v>C10-G</x:v>
      </x:c>
      <x:c r="B600" s="25" t="str">
        <x:v>王城罗德尔</x:v>
      </x:c>
      <x:c r="C600" s="25" t="str">
        <x:v>半急速毕业</x:v>
      </x:c>
      <x:c r="D600" s="25" t="str">
        <x:v>人物自然</x:v>
      </x:c>
      <x:c r="E600" s="25" t="str">
        <x:v>本类1项（逐项见完整JSON）</x:v>
      </x:c>
      <x:c r="F600" s="25" t="str">
        <x:v>A01</x:v>
      </x:c>
      <x:c r="G600" s="25" t="str">
        <x:v>模型假设</x:v>
      </x:c>
      <x:c r="H600" s="25" t="str">
        <x:v>由同包逐项数据聚合，便于核对</x:v>
      </x:c>
      <x:c r="I600" s="32" t="n">
        <x:v>27</x:v>
      </x:c>
      <x:c r="J600" s="32" t="n">
        <x:v>63</x:v>
      </x:c>
      <x:c r="K600" s="32"/>
      <x:c r="L600" s="32"/>
      <x:c r="M600" s="32"/>
      <x:c r="N600" s="32"/>
      <x:c r="O600" s="32" t="n">
        <x:v>5000</x:v>
      </x:c>
      <x:c r="P600" s="32" t="n">
        <x:v>1200</x:v>
      </x:c>
      <x:c r="Q600" s="32"/>
      <x:c r="R600" s="32"/>
      <x:c r="S600" s="32"/>
      <x:c r="T600" s="32"/>
      <x:c r="U600" s="32"/>
      <x:c r="V600" s="32"/>
      <x:c r="W600" s="32"/>
      <x:c r="X600" s="32"/>
      <x:c r="Y600" s="32"/>
      <x:c r="Z600" s="32"/>
      <x:c r="AA600" s="32"/>
      <x:c r="AB600" s="32"/>
      <x:c r="AC600" s="32"/>
      <x:c r="AD600" s="32"/>
      <x:c r="AE600" s="32"/>
      <x:c r="AF600" s="32"/>
      <x:c r="AG600" s="32"/>
      <x:c r="AH600" s="32"/>
      <x:c r="AI600" s="32"/>
      <x:c r="AJ600" s="32"/>
      <x:c r="AK600" s="32"/>
      <x:c r="AL600" s="32"/>
      <x:c r="AM600" s="32"/>
      <x:c r="AN600" s="32"/>
      <x:c r="AO600" s="32"/>
      <x:c r="AP600" s="32"/>
      <x:c r="AQ600" s="32"/>
      <x:c r="AR600" s="32"/>
      <x:c r="AS600" s="32"/>
      <x:c r="AT600" s="32"/>
      <x:c r="AU600" s="32"/>
      <x:c r="AV600" s="32"/>
      <x:c r="AW600" s="32"/>
      <x:c r="AX600" s="32"/>
      <x:c r="AY600" s="32"/>
      <x:c r="AZ600" s="32"/>
      <x:c r="BA600" s="32"/>
    </x:row>
    <x:row r="601">
      <x:c r="A601" s="25" t="str">
        <x:v>C10-G</x:v>
      </x:c>
      <x:c r="B601" s="25" t="str">
        <x:v>王城罗德尔</x:v>
      </x:c>
      <x:c r="C601" s="25" t="str">
        <x:v>半急速毕业</x:v>
      </x:c>
      <x:c r="D601" s="25" t="str">
        <x:v>付费状态</x:v>
      </x:c>
      <x:c r="E601" s="25" t="str">
        <x:v>本类3项（逐项见完整JSON）</x:v>
      </x:c>
      <x:c r="F601" s="25" t="str">
        <x:v>20260903总档</x:v>
      </x:c>
      <x:c r="G601" s="25" t="str">
        <x:v>原表数值</x:v>
      </x:c>
      <x:c r="H601" s="25" t="str">
        <x:v>由同包逐项数据聚合，便于核对</x:v>
      </x:c>
      <x:c r="I601" s="32" t="n">
        <x:v>149</x:v>
      </x:c>
      <x:c r="J601" s="32" t="n">
        <x:v>149</x:v>
      </x:c>
      <x:c r="K601" s="32" t="n">
        <x:v>149</x:v>
      </x:c>
      <x:c r="L601" s="32" t="n">
        <x:v>149</x:v>
      </x:c>
      <x:c r="M601" s="32" t="n">
        <x:v>149</x:v>
      </x:c>
      <x:c r="N601" s="32" t="n">
        <x:v>149</x:v>
      </x:c>
      <x:c r="O601" s="32" t="n">
        <x:v>10000</x:v>
      </x:c>
      <x:c r="P601" s="32"/>
      <x:c r="Q601" s="32"/>
      <x:c r="R601" s="32"/>
      <x:c r="S601" s="32"/>
      <x:c r="T601" s="32"/>
      <x:c r="U601" s="32"/>
      <x:c r="V601" s="32"/>
      <x:c r="W601" s="32"/>
      <x:c r="X601" s="32"/>
      <x:c r="Y601" s="32" t="n">
        <x:v>10</x:v>
      </x:c>
      <x:c r="Z601" s="32"/>
      <x:c r="AA601" s="32"/>
      <x:c r="AB601" s="32" t="n">
        <x:v>20</x:v>
      </x:c>
      <x:c r="AC601" s="32"/>
      <x:c r="AD601" s="32"/>
      <x:c r="AE601" s="32"/>
      <x:c r="AF601" s="32"/>
      <x:c r="AG601" s="32"/>
      <x:c r="AH601" s="32"/>
      <x:c r="AI601" s="32"/>
      <x:c r="AJ601" s="32"/>
      <x:c r="AK601" s="32"/>
      <x:c r="AL601" s="32"/>
      <x:c r="AM601" s="32" t="n">
        <x:v>10</x:v>
      </x:c>
      <x:c r="AN601" s="32"/>
      <x:c r="AO601" s="32"/>
      <x:c r="AP601" s="32" t="n">
        <x:v>50</x:v>
      </x:c>
      <x:c r="AQ601" s="32"/>
      <x:c r="AR601" s="32"/>
      <x:c r="AS601" s="32"/>
      <x:c r="AT601" s="32" t="n">
        <x:v>700</x:v>
      </x:c>
      <x:c r="AU601" s="32" t="n">
        <x:v>15</x:v>
      </x:c>
      <x:c r="AV601" s="32"/>
      <x:c r="AW601" s="32"/>
      <x:c r="AX601" s="32"/>
      <x:c r="AY601" s="32"/>
      <x:c r="AZ601" s="32"/>
      <x:c r="BA601" s="32"/>
    </x:row>
    <x:row r="602">
      <x:c r="A602" s="25" t="str">
        <x:v>C10-G</x:v>
      </x:c>
      <x:c r="B602" s="25" t="str">
        <x:v>王城罗德尔</x:v>
      </x:c>
      <x:c r="C602" s="25" t="str">
        <x:v>半急速毕业</x:v>
      </x:c>
      <x:c r="D602" s="25" t="str">
        <x:v>成长装备</x:v>
      </x:c>
      <x:c r="E602" s="25" t="str">
        <x:v>本类2项（逐项见完整JSON）</x:v>
      </x:c>
      <x:c r="F602" s="25" t="str">
        <x:v>20260903总档 / A04</x:v>
      </x:c>
      <x:c r="G602" s="25" t="str">
        <x:v>原表＋支付路径假设</x:v>
      </x:c>
      <x:c r="H602" s="25" t="str">
        <x:v>由同包逐项数据聚合，便于核对</x:v>
      </x:c>
      <x:c r="I602" s="32" t="n">
        <x:v>1100</x:v>
      </x:c>
      <x:c r="J602" s="32" t="n">
        <x:v>1100</x:v>
      </x:c>
      <x:c r="K602" s="32" t="n">
        <x:v>1100</x:v>
      </x:c>
      <x:c r="L602" s="32" t="n">
        <x:v>1100</x:v>
      </x:c>
      <x:c r="M602" s="32" t="n">
        <x:v>1100</x:v>
      </x:c>
      <x:c r="N602" s="32" t="n">
        <x:v>1100</x:v>
      </x:c>
      <x:c r="O602" s="32"/>
      <x:c r="P602" s="32"/>
      <x:c r="Q602" s="32"/>
      <x:c r="R602" s="32"/>
      <x:c r="S602" s="32"/>
      <x:c r="T602" s="32"/>
      <x:c r="U602" s="32"/>
      <x:c r="V602" s="32"/>
      <x:c r="W602" s="32"/>
      <x:c r="X602" s="32"/>
      <x:c r="Y602" s="32"/>
      <x:c r="Z602" s="32"/>
      <x:c r="AA602" s="32"/>
      <x:c r="AB602" s="32"/>
      <x:c r="AC602" s="32"/>
      <x:c r="AD602" s="32"/>
      <x:c r="AE602" s="32"/>
      <x:c r="AF602" s="32"/>
      <x:c r="AG602" s="32"/>
      <x:c r="AH602" s="32"/>
      <x:c r="AI602" s="32"/>
      <x:c r="AJ602" s="32"/>
      <x:c r="AK602" s="32"/>
      <x:c r="AL602" s="32"/>
      <x:c r="AM602" s="32"/>
      <x:c r="AN602" s="32"/>
      <x:c r="AO602" s="32"/>
      <x:c r="AP602" s="32"/>
      <x:c r="AQ602" s="32"/>
      <x:c r="AR602" s="32"/>
      <x:c r="AS602" s="32"/>
      <x:c r="AT602" s="32"/>
      <x:c r="AU602" s="32"/>
      <x:c r="AV602" s="32"/>
      <x:c r="AW602" s="32" t="n">
        <x:v>10</x:v>
      </x:c>
      <x:c r="AX602" s="32" t="n">
        <x:v>10</x:v>
      </x:c>
      <x:c r="AY602" s="32"/>
      <x:c r="AZ602" s="32"/>
      <x:c r="BA602" s="32"/>
    </x:row>
    <x:row r="603">
      <x:c r="A603" s="25" t="str">
        <x:v>C10-G</x:v>
      </x:c>
      <x:c r="B603" s="25" t="str">
        <x:v>王城罗德尔</x:v>
      </x:c>
      <x:c r="C603" s="25" t="str">
        <x:v>半急速毕业</x:v>
      </x:c>
      <x:c r="D603" s="25" t="str">
        <x:v>贯穿称号</x:v>
      </x:c>
      <x:c r="E603" s="25" t="str">
        <x:v>本类1项（逐项见完整JSON）</x:v>
      </x:c>
      <x:c r="F603" s="25" t="str">
        <x:v>S04/01_贯穿称号</x:v>
      </x:c>
      <x:c r="G603" s="25" t="str">
        <x:v>原表数值</x:v>
      </x:c>
      <x:c r="H603" s="25" t="str">
        <x:v>由同包逐项数据聚合，便于核对</x:v>
      </x:c>
      <x:c r="I603" s="32" t="n">
        <x:v>100000</x:v>
      </x:c>
      <x:c r="J603" s="32" t="n">
        <x:v>100000</x:v>
      </x:c>
      <x:c r="K603" s="32" t="n">
        <x:v>100000</x:v>
      </x:c>
      <x:c r="L603" s="32" t="n">
        <x:v>100000</x:v>
      </x:c>
      <x:c r="M603" s="32" t="n">
        <x:v>100000</x:v>
      </x:c>
      <x:c r="N603" s="32" t="n">
        <x:v>100000</x:v>
      </x:c>
      <x:c r="O603" s="32" t="n">
        <x:v>10000000</x:v>
      </x:c>
      <x:c r="P603" s="32" t="n">
        <x:v>10000000</x:v>
      </x:c>
      <x:c r="Q603" s="32"/>
      <x:c r="R603" s="32"/>
      <x:c r="S603" s="32"/>
      <x:c r="T603" s="32"/>
      <x:c r="U603" s="32"/>
      <x:c r="V603" s="32"/>
      <x:c r="W603" s="32"/>
      <x:c r="X603" s="32"/>
      <x:c r="Y603" s="32"/>
      <x:c r="Z603" s="32"/>
      <x:c r="AA603" s="32"/>
      <x:c r="AB603" s="32"/>
      <x:c r="AC603" s="32"/>
      <x:c r="AD603" s="32"/>
      <x:c r="AE603" s="32"/>
      <x:c r="AF603" s="32"/>
      <x:c r="AG603" s="32"/>
      <x:c r="AH603" s="32"/>
      <x:c r="AI603" s="32"/>
      <x:c r="AJ603" s="32"/>
      <x:c r="AK603" s="32"/>
      <x:c r="AL603" s="32"/>
      <x:c r="AM603" s="32"/>
      <x:c r="AN603" s="32"/>
      <x:c r="AO603" s="32"/>
      <x:c r="AP603" s="32"/>
      <x:c r="AQ603" s="32"/>
      <x:c r="AR603" s="32"/>
      <x:c r="AS603" s="32"/>
      <x:c r="AT603" s="32" t="n">
        <x:v>6600</x:v>
      </x:c>
      <x:c r="AU603" s="32"/>
      <x:c r="AV603" s="32"/>
      <x:c r="AW603" s="32"/>
      <x:c r="AX603" s="32"/>
      <x:c r="AY603" s="32"/>
      <x:c r="AZ603" s="32"/>
      <x:c r="BA603" s="32"/>
    </x:row>
    <x:row r="604">
      <x:c r="A604" s="25" t="str">
        <x:v>C10-G</x:v>
      </x:c>
      <x:c r="B604" s="25" t="str">
        <x:v>王城罗德尔</x:v>
      </x:c>
      <x:c r="C604" s="25" t="str">
        <x:v>半急速毕业</x:v>
      </x:c>
      <x:c r="D604" s="25" t="str">
        <x:v>神印</x:v>
      </x:c>
      <x:c r="E604" s="25" t="str">
        <x:v>本类1项（逐项见完整JSON）</x:v>
      </x:c>
      <x:c r="F604" s="25" t="str">
        <x:v>S04 / 神印公式</x:v>
      </x:c>
      <x:c r="G604" s="25" t="str">
        <x:v>自给进度假设＋原公式</x:v>
      </x:c>
      <x:c r="H604" s="25" t="str">
        <x:v>由同包逐项数据聚合，便于核对</x:v>
      </x:c>
      <x:c r="I604" s="32" t="n">
        <x:v>32640</x:v>
      </x:c>
      <x:c r="J604" s="32" t="n">
        <x:v>32640</x:v>
      </x:c>
      <x:c r="K604" s="32" t="n">
        <x:v>32640</x:v>
      </x:c>
      <x:c r="L604" s="32" t="n">
        <x:v>32640</x:v>
      </x:c>
      <x:c r="M604" s="32" t="n">
        <x:v>32640</x:v>
      </x:c>
      <x:c r="N604" s="32" t="n">
        <x:v>32640</x:v>
      </x:c>
      <x:c r="O604" s="32" t="n">
        <x:v>3264000</x:v>
      </x:c>
      <x:c r="P604" s="32"/>
      <x:c r="Q604" s="32"/>
      <x:c r="R604" s="32"/>
      <x:c r="S604" s="32"/>
      <x:c r="T604" s="32"/>
      <x:c r="U604" s="32"/>
      <x:c r="V604" s="32"/>
      <x:c r="W604" s="32"/>
      <x:c r="X604" s="32"/>
      <x:c r="Y604" s="32"/>
      <x:c r="Z604" s="32"/>
      <x:c r="AA604" s="32"/>
      <x:c r="AB604" s="32"/>
      <x:c r="AC604" s="32"/>
      <x:c r="AD604" s="32"/>
      <x:c r="AE604" s="32"/>
      <x:c r="AF604" s="32"/>
      <x:c r="AG604" s="32"/>
      <x:c r="AH604" s="32"/>
      <x:c r="AI604" s="32"/>
      <x:c r="AJ604" s="32"/>
      <x:c r="AK604" s="32"/>
      <x:c r="AL604" s="32"/>
      <x:c r="AM604" s="32"/>
      <x:c r="AN604" s="32"/>
      <x:c r="AO604" s="32"/>
      <x:c r="AP604" s="32"/>
      <x:c r="AQ604" s="32"/>
      <x:c r="AR604" s="32"/>
      <x:c r="AS604" s="32"/>
      <x:c r="AT604" s="32"/>
      <x:c r="AU604" s="32"/>
      <x:c r="AV604" s="32"/>
      <x:c r="AW604" s="32"/>
      <x:c r="AX604" s="32"/>
      <x:c r="AY604" s="32"/>
      <x:c r="AZ604" s="32"/>
      <x:c r="BA604" s="32"/>
    </x:row>
    <x:row r="605">
      <x:c r="A605" s="25" t="str">
        <x:v>C10-G</x:v>
      </x:c>
      <x:c r="B605" s="25" t="str">
        <x:v>王城罗德尔</x:v>
      </x:c>
      <x:c r="C605" s="25" t="str">
        <x:v>半急速毕业</x:v>
      </x:c>
      <x:c r="D605" s="25" t="str">
        <x:v>转生</x:v>
      </x:c>
      <x:c r="E605" s="25" t="str">
        <x:v>本类1项（逐项见完整JSON）</x:v>
      </x:c>
      <x:c r="F605" s="25" t="str">
        <x:v>S07/20转</x:v>
      </x:c>
      <x:c r="G605" s="25" t="str">
        <x:v>原表累计</x:v>
      </x:c>
      <x:c r="H605" s="25" t="str">
        <x:v>由同包逐项数据聚合，便于核对</x:v>
      </x:c>
      <x:c r="I605" s="32"/>
      <x:c r="J605" s="32"/>
      <x:c r="K605" s="32"/>
      <x:c r="L605" s="32"/>
      <x:c r="M605" s="32"/>
      <x:c r="N605" s="32"/>
      <x:c r="O605" s="32"/>
      <x:c r="P605" s="32"/>
      <x:c r="Q605" s="32"/>
      <x:c r="R605" s="32"/>
      <x:c r="S605" s="32"/>
      <x:c r="T605" s="32"/>
      <x:c r="U605" s="32"/>
      <x:c r="V605" s="32"/>
      <x:c r="W605" s="32"/>
      <x:c r="X605" s="32" t="n">
        <x:v>1.1</x:v>
      </x:c>
      <x:c r="Y605" s="32"/>
      <x:c r="Z605" s="32"/>
      <x:c r="AA605" s="32"/>
      <x:c r="AB605" s="32"/>
      <x:c r="AC605" s="32"/>
      <x:c r="AD605" s="32"/>
      <x:c r="AE605" s="32"/>
      <x:c r="AF605" s="32"/>
      <x:c r="AG605" s="32"/>
      <x:c r="AH605" s="32"/>
      <x:c r="AI605" s="32"/>
      <x:c r="AJ605" s="32"/>
      <x:c r="AK605" s="32"/>
      <x:c r="AL605" s="32"/>
      <x:c r="AM605" s="32"/>
      <x:c r="AN605" s="32"/>
      <x:c r="AO605" s="32"/>
      <x:c r="AP605" s="32"/>
      <x:c r="AQ605" s="32"/>
      <x:c r="AR605" s="32"/>
      <x:c r="AS605" s="32"/>
      <x:c r="AT605" s="32"/>
      <x:c r="AU605" s="32"/>
      <x:c r="AV605" s="32"/>
      <x:c r="AW605" s="32"/>
      <x:c r="AX605" s="32"/>
      <x:c r="AY605" s="32"/>
      <x:c r="AZ605" s="32"/>
      <x:c r="BA605" s="32"/>
    </x:row>
    <x:row r="606">
      <x:c r="A606" s="25" t="str">
        <x:v>C10-G</x:v>
      </x:c>
      <x:c r="B606" s="25" t="str">
        <x:v>王城罗德尔</x:v>
      </x:c>
      <x:c r="C606" s="25" t="str">
        <x:v>半急速毕业</x:v>
      </x:c>
      <x:c r="D606" s="25" t="str">
        <x:v>独立称号</x:v>
      </x:c>
      <x:c r="E606" s="25" t="str">
        <x:v>本类6项（逐项见完整JSON）</x:v>
      </x:c>
      <x:c r="F606" s="25" t="str">
        <x:v>S04/02_独立称号</x:v>
      </x:c>
      <x:c r="G606" s="25" t="str">
        <x:v>原表数值</x:v>
      </x:c>
      <x:c r="H606" s="25" t="str">
        <x:v>由同包逐项数据聚合，便于核对</x:v>
      </x:c>
      <x:c r="I606" s="32" t="n">
        <x:v>36510</x:v>
      </x:c>
      <x:c r="J606" s="32" t="n">
        <x:v>36510</x:v>
      </x:c>
      <x:c r="K606" s="32" t="n">
        <x:v>36510</x:v>
      </x:c>
      <x:c r="L606" s="32" t="n">
        <x:v>36510</x:v>
      </x:c>
      <x:c r="M606" s="32" t="n">
        <x:v>36510</x:v>
      </x:c>
      <x:c r="N606" s="32" t="n">
        <x:v>36510</x:v>
      </x:c>
      <x:c r="O606" s="32" t="n">
        <x:v>3651000</x:v>
      </x:c>
      <x:c r="P606" s="32"/>
      <x:c r="Q606" s="32"/>
      <x:c r="R606" s="32"/>
      <x:c r="S606" s="32"/>
      <x:c r="T606" s="32"/>
      <x:c r="U606" s="32"/>
      <x:c r="V606" s="32"/>
      <x:c r="W606" s="32"/>
      <x:c r="X606" s="32" t="n">
        <x:v>0</x:v>
      </x:c>
      <x:c r="Y606" s="32"/>
      <x:c r="Z606" s="32"/>
      <x:c r="AA606" s="32"/>
      <x:c r="AB606" s="32"/>
      <x:c r="AC606" s="32"/>
      <x:c r="AD606" s="32"/>
      <x:c r="AE606" s="32"/>
      <x:c r="AF606" s="32"/>
      <x:c r="AG606" s="32"/>
      <x:c r="AH606" s="32"/>
      <x:c r="AI606" s="32"/>
      <x:c r="AJ606" s="32"/>
      <x:c r="AK606" s="32"/>
      <x:c r="AL606" s="32"/>
      <x:c r="AM606" s="32" t="n">
        <x:v>0</x:v>
      </x:c>
      <x:c r="AN606" s="32"/>
      <x:c r="AO606" s="32"/>
      <x:c r="AP606" s="32" t="n">
        <x:v>0</x:v>
      </x:c>
      <x:c r="AQ606" s="32"/>
      <x:c r="AR606" s="32"/>
      <x:c r="AS606" s="32"/>
      <x:c r="AT606" s="32"/>
      <x:c r="AU606" s="32"/>
      <x:c r="AV606" s="32"/>
      <x:c r="AW606" s="32"/>
      <x:c r="AX606" s="32"/>
      <x:c r="AY606" s="32"/>
      <x:c r="AZ606" s="32"/>
      <x:c r="BA606" s="32"/>
    </x:row>
    <x:row r="607">
      <x:c r="A607" s="25" t="str">
        <x:v>C10-G</x:v>
      </x:c>
      <x:c r="B607" s="25" t="str">
        <x:v>王城罗德尔</x:v>
      </x:c>
      <x:c r="C607" s="25" t="str">
        <x:v>半急速毕业</x:v>
      </x:c>
      <x:c r="D607" s="25" t="str">
        <x:v>单件图鉴</x:v>
      </x:c>
      <x:c r="E607" s="25" t="str">
        <x:v>本类1项（逐项见完整JSON）</x:v>
      </x:c>
      <x:c r="F607" s="25" t="str">
        <x:v>S07/collection_single</x:v>
      </x:c>
      <x:c r="G607" s="25" t="str">
        <x:v>原表累计</x:v>
      </x:c>
      <x:c r="H607" s="25" t="str">
        <x:v>由同包逐项数据聚合，便于核对</x:v>
      </x:c>
      <x:c r="I607" s="32" t="n">
        <x:v>14856</x:v>
      </x:c>
      <x:c r="J607" s="32" t="n">
        <x:v>14856</x:v>
      </x:c>
      <x:c r="K607" s="32" t="n">
        <x:v>14856</x:v>
      </x:c>
      <x:c r="L607" s="32" t="n">
        <x:v>14856</x:v>
      </x:c>
      <x:c r="M607" s="32" t="n">
        <x:v>14856</x:v>
      </x:c>
      <x:c r="N607" s="32" t="n">
        <x:v>14856</x:v>
      </x:c>
      <x:c r="O607" s="32" t="n">
        <x:v>1485600</x:v>
      </x:c>
      <x:c r="P607" s="32"/>
      <x:c r="Q607" s="32"/>
      <x:c r="R607" s="32"/>
      <x:c r="S607" s="32"/>
      <x:c r="T607" s="32"/>
      <x:c r="U607" s="32"/>
      <x:c r="V607" s="32"/>
      <x:c r="W607" s="32"/>
      <x:c r="X607" s="32"/>
      <x:c r="Y607" s="32"/>
      <x:c r="Z607" s="32"/>
      <x:c r="AA607" s="32"/>
      <x:c r="AB607" s="32"/>
      <x:c r="AC607" s="32"/>
      <x:c r="AD607" s="32"/>
      <x:c r="AE607" s="32"/>
      <x:c r="AF607" s="32"/>
      <x:c r="AG607" s="32"/>
      <x:c r="AH607" s="32"/>
      <x:c r="AI607" s="32"/>
      <x:c r="AJ607" s="32"/>
      <x:c r="AK607" s="32"/>
      <x:c r="AL607" s="32"/>
      <x:c r="AM607" s="32"/>
      <x:c r="AN607" s="32"/>
      <x:c r="AO607" s="32"/>
      <x:c r="AP607" s="32"/>
      <x:c r="AQ607" s="32"/>
      <x:c r="AR607" s="32"/>
      <x:c r="AS607" s="32"/>
      <x:c r="AT607" s="32"/>
      <x:c r="AU607" s="32"/>
      <x:c r="AV607" s="32"/>
      <x:c r="AW607" s="32"/>
      <x:c r="AX607" s="32"/>
      <x:c r="AY607" s="32"/>
      <x:c r="AZ607" s="32"/>
      <x:c r="BA607" s="32"/>
    </x:row>
    <x:row r="608">
      <x:c r="A608" s="25" t="str">
        <x:v>C10-G</x:v>
      </x:c>
      <x:c r="B608" s="25" t="str">
        <x:v>王城罗德尔</x:v>
      </x:c>
      <x:c r="C608" s="25" t="str">
        <x:v>半急速毕业</x:v>
      </x:c>
      <x:c r="D608" s="25" t="str">
        <x:v>地图整页</x:v>
      </x:c>
      <x:c r="E608" s="25" t="str">
        <x:v>本类32项（逐项见完整JSON）</x:v>
      </x:c>
      <x:c r="F608" s="25" t="str">
        <x:v>S07/collection_pages</x:v>
      </x:c>
      <x:c r="G608" s="25" t="str">
        <x:v>原表数值</x:v>
      </x:c>
      <x:c r="H608" s="25" t="str">
        <x:v>由同包逐项数据聚合，便于核对</x:v>
      </x:c>
      <x:c r="I608" s="32"/>
      <x:c r="J608" s="32"/>
      <x:c r="K608" s="32"/>
      <x:c r="L608" s="32"/>
      <x:c r="M608" s="32"/>
      <x:c r="N608" s="32"/>
      <x:c r="O608" s="32"/>
      <x:c r="P608" s="32"/>
      <x:c r="Q608" s="32"/>
      <x:c r="R608" s="32"/>
      <x:c r="S608" s="32"/>
      <x:c r="T608" s="32"/>
      <x:c r="U608" s="32"/>
      <x:c r="V608" s="32"/>
      <x:c r="W608" s="32"/>
      <x:c r="X608" s="32" t="n">
        <x:v>0.9500000000000004</x:v>
      </x:c>
      <x:c r="Y608" s="32"/>
      <x:c r="Z608" s="32"/>
      <x:c r="AA608" s="32"/>
      <x:c r="AB608" s="32"/>
      <x:c r="AC608" s="32"/>
      <x:c r="AD608" s="32"/>
      <x:c r="AE608" s="32"/>
      <x:c r="AF608" s="32"/>
      <x:c r="AG608" s="32"/>
      <x:c r="AH608" s="32"/>
      <x:c r="AI608" s="32"/>
      <x:c r="AJ608" s="32"/>
      <x:c r="AK608" s="32"/>
      <x:c r="AL608" s="32"/>
      <x:c r="AM608" s="32" t="n">
        <x:v>16</x:v>
      </x:c>
      <x:c r="AN608" s="32"/>
      <x:c r="AO608" s="32"/>
      <x:c r="AP608" s="32" t="n">
        <x:v>1250</x:v>
      </x:c>
      <x:c r="AQ608" s="32"/>
      <x:c r="AR608" s="32"/>
      <x:c r="AS608" s="32"/>
      <x:c r="AT608" s="32"/>
      <x:c r="AU608" s="32"/>
      <x:c r="AV608" s="32"/>
      <x:c r="AW608" s="32"/>
      <x:c r="AX608" s="32"/>
      <x:c r="AY608" s="32"/>
      <x:c r="AZ608" s="32"/>
      <x:c r="BA608" s="32"/>
    </x:row>
    <x:row r="609">
      <x:c r="A609" s="25" t="str">
        <x:v>C10-G</x:v>
      </x:c>
      <x:c r="B609" s="25" t="str">
        <x:v>王城罗德尔</x:v>
      </x:c>
      <x:c r="C609" s="25" t="str">
        <x:v>半急速毕业</x:v>
      </x:c>
      <x:c r="D609" s="25" t="str">
        <x:v>材料图鉴</x:v>
      </x:c>
      <x:c r="E609" s="25" t="str">
        <x:v>本类7项（逐项见完整JSON）</x:v>
      </x:c>
      <x:c r="F609" s="25" t="str">
        <x:v>S07/collection_materials</x:v>
      </x:c>
      <x:c r="G609" s="25" t="str">
        <x:v>原表数值</x:v>
      </x:c>
      <x:c r="H609" s="25" t="str">
        <x:v>由同包逐项数据聚合，便于核对</x:v>
      </x:c>
      <x:c r="I609" s="32"/>
      <x:c r="J609" s="32"/>
      <x:c r="K609" s="32"/>
      <x:c r="L609" s="32"/>
      <x:c r="M609" s="32"/>
      <x:c r="N609" s="32"/>
      <x:c r="O609" s="32"/>
      <x:c r="P609" s="32"/>
      <x:c r="Q609" s="32"/>
      <x:c r="R609" s="32"/>
      <x:c r="S609" s="32"/>
      <x:c r="T609" s="32"/>
      <x:c r="U609" s="32"/>
      <x:c r="V609" s="32"/>
      <x:c r="W609" s="32"/>
      <x:c r="X609" s="32" t="n">
        <x:v>0.74</x:v>
      </x:c>
      <x:c r="Y609" s="32"/>
      <x:c r="Z609" s="32"/>
      <x:c r="AA609" s="32"/>
      <x:c r="AB609" s="32"/>
      <x:c r="AC609" s="32"/>
      <x:c r="AD609" s="32"/>
      <x:c r="AE609" s="32"/>
      <x:c r="AF609" s="32"/>
      <x:c r="AG609" s="32"/>
      <x:c r="AH609" s="32"/>
      <x:c r="AI609" s="32"/>
      <x:c r="AJ609" s="32"/>
      <x:c r="AK609" s="32"/>
      <x:c r="AL609" s="32"/>
      <x:c r="AM609" s="32" t="n">
        <x:v>0</x:v>
      </x:c>
      <x:c r="AN609" s="32"/>
      <x:c r="AO609" s="32"/>
      <x:c r="AP609" s="32" t="n">
        <x:v>0</x:v>
      </x:c>
      <x:c r="AQ609" s="32"/>
      <x:c r="AR609" s="32"/>
      <x:c r="AS609" s="32"/>
      <x:c r="AT609" s="32"/>
      <x:c r="AU609" s="32"/>
      <x:c r="AV609" s="32"/>
      <x:c r="AW609" s="32"/>
      <x:c r="AX609" s="32"/>
      <x:c r="AY609" s="32"/>
      <x:c r="AZ609" s="32"/>
      <x:c r="BA609" s="32"/>
    </x:row>
    <x:row r="610">
      <x:c r="A610" s="25" t="str">
        <x:v>C10-G</x:v>
      </x:c>
      <x:c r="B610" s="25" t="str">
        <x:v>王城罗德尔</x:v>
      </x:c>
      <x:c r="C610" s="25" t="str">
        <x:v>半急速毕业</x:v>
      </x:c>
      <x:c r="D610" s="25" t="str">
        <x:v>旧任务</x:v>
      </x:c>
      <x:c r="E610" s="25" t="str">
        <x:v>本类6项（逐项见完整JSON）</x:v>
      </x:c>
      <x:c r="F610" s="25" t="str">
        <x:v>宁姆格福_完整怪物装备任务爆率规划/地图任务；第一大陆_地图魂魄任务.txt</x:v>
      </x:c>
      <x:c r="G610" s="25" t="str">
        <x:v>原件确认；原表数值</x:v>
      </x:c>
      <x:c r="H610" s="25" t="str">
        <x:v>由同包逐项数据聚合，便于核对</x:v>
      </x:c>
      <x:c r="I610" s="32" t="n">
        <x:v>60</x:v>
      </x:c>
      <x:c r="J610" s="32" t="n">
        <x:v>60</x:v>
      </x:c>
      <x:c r="K610" s="32" t="n">
        <x:v>60</x:v>
      </x:c>
      <x:c r="L610" s="32" t="n">
        <x:v>60</x:v>
      </x:c>
      <x:c r="M610" s="32" t="n">
        <x:v>60</x:v>
      </x:c>
      <x:c r="N610" s="32" t="n">
        <x:v>60</x:v>
      </x:c>
      <x:c r="O610" s="32"/>
      <x:c r="P610" s="32"/>
      <x:c r="Q610" s="32"/>
      <x:c r="R610" s="32"/>
      <x:c r="S610" s="32"/>
      <x:c r="T610" s="32"/>
      <x:c r="U610" s="32"/>
      <x:c r="V610" s="32"/>
      <x:c r="W610" s="32"/>
      <x:c r="X610" s="32"/>
      <x:c r="Y610" s="32"/>
      <x:c r="Z610" s="32"/>
      <x:c r="AA610" s="32"/>
      <x:c r="AB610" s="32"/>
      <x:c r="AC610" s="32"/>
      <x:c r="AD610" s="32"/>
      <x:c r="AE610" s="32"/>
      <x:c r="AF610" s="32"/>
      <x:c r="AG610" s="32"/>
      <x:c r="AH610" s="32"/>
      <x:c r="AI610" s="32"/>
      <x:c r="AJ610" s="32"/>
      <x:c r="AK610" s="32"/>
      <x:c r="AL610" s="32"/>
      <x:c r="AM610" s="32" t="n">
        <x:v>2</x:v>
      </x:c>
      <x:c r="AN610" s="32"/>
      <x:c r="AO610" s="32"/>
      <x:c r="AP610" s="32" t="n">
        <x:v>120</x:v>
      </x:c>
      <x:c r="AQ610" s="32"/>
      <x:c r="AR610" s="32"/>
      <x:c r="AS610" s="32"/>
      <x:c r="AT610" s="32"/>
      <x:c r="AU610" s="32"/>
      <x:c r="AV610" s="32"/>
      <x:c r="AW610" s="32"/>
      <x:c r="AX610" s="32"/>
      <x:c r="AY610" s="32"/>
      <x:c r="AZ610" s="32"/>
      <x:c r="BA610" s="32"/>
    </x:row>
    <x:row r="611">
      <x:c r="A611" s="25" t="str">
        <x:v>C10-G</x:v>
      </x:c>
      <x:c r="B611" s="25" t="str">
        <x:v>王城罗德尔</x:v>
      </x:c>
      <x:c r="C611" s="25" t="str">
        <x:v>半急速毕业</x:v>
      </x:c>
      <x:c r="D611" s="25" t="str">
        <x:v>装备</x:v>
      </x:c>
      <x:c r="E611" s="25" t="str">
        <x:v>本类31项（逐项见完整JSON）</x:v>
      </x:c>
      <x:c r="F611" s="25" t="str">
        <x:v>S02；S07</x:v>
      </x:c>
      <x:c r="G611" s="25" t="str">
        <x:v>原表数值</x:v>
      </x:c>
      <x:c r="H611" s="25" t="str">
        <x:v>由同包逐项数据聚合，便于核对</x:v>
      </x:c>
      <x:c r="I611" s="32" t="n">
        <x:v>103150</x:v>
      </x:c>
      <x:c r="J611" s="32" t="n">
        <x:v>197477</x:v>
      </x:c>
      <x:c r="K611" s="32" t="n">
        <x:v>103150</x:v>
      </x:c>
      <x:c r="L611" s="32" t="n">
        <x:v>197477</x:v>
      </x:c>
      <x:c r="M611" s="32" t="n">
        <x:v>103150</x:v>
      </x:c>
      <x:c r="N611" s="32" t="n">
        <x:v>197477</x:v>
      </x:c>
      <x:c r="O611" s="32" t="n">
        <x:v>61145800</x:v>
      </x:c>
      <x:c r="P611" s="32"/>
      <x:c r="Q611" s="32" t="n">
        <x:v>461</x:v>
      </x:c>
      <x:c r="R611" s="32" t="n">
        <x:v>863</x:v>
      </x:c>
      <x:c r="S611" s="32" t="n">
        <x:v>372</x:v>
      </x:c>
      <x:c r="T611" s="32" t="n">
        <x:v>697</x:v>
      </x:c>
      <x:c r="U611" s="32" t="n">
        <x:v>675</x:v>
      </x:c>
      <x:c r="V611" s="32" t="n">
        <x:v>675</x:v>
      </x:c>
      <x:c r="W611" s="32" t="n">
        <x:v>675</x:v>
      </x:c>
      <x:c r="X611" s="32"/>
      <x:c r="Y611" s="32"/>
      <x:c r="Z611" s="32" t="n">
        <x:v>166</x:v>
      </x:c>
      <x:c r="AA611" s="32" t="n">
        <x:v>48</x:v>
      </x:c>
      <x:c r="AB611" s="32"/>
      <x:c r="AC611" s="32" t="n">
        <x:v>245</x:v>
      </x:c>
      <x:c r="AD611" s="32" t="n">
        <x:v>3</x:v>
      </x:c>
      <x:c r="AE611" s="32" t="n">
        <x:v>86</x:v>
      </x:c>
      <x:c r="AF611" s="32"/>
      <x:c r="AG611" s="32"/>
      <x:c r="AH611" s="32" t="n">
        <x:v>53</x:v>
      </x:c>
      <x:c r="AI611" s="32" t="n">
        <x:v>8</x:v>
      </x:c>
      <x:c r="AJ611" s="32" t="n">
        <x:v>154</x:v>
      </x:c>
      <x:c r="AK611" s="32"/>
      <x:c r="AL611" s="32"/>
      <x:c r="AM611" s="32"/>
      <x:c r="AN611" s="32" t="n">
        <x:v>35</x:v>
      </x:c>
      <x:c r="AO611" s="32" t="n">
        <x:v>0.5</x:v>
      </x:c>
      <x:c r="AP611" s="32" t="n">
        <x:v>54</x:v>
      </x:c>
      <x:c r="AQ611" s="32" t="n">
        <x:v>70</x:v>
      </x:c>
      <x:c r="AR611" s="32"/>
      <x:c r="AS611" s="32" t="n">
        <x:v>10</x:v>
      </x:c>
      <x:c r="AT611" s="32"/>
      <x:c r="AU611" s="32"/>
      <x:c r="AV611" s="32"/>
      <x:c r="AW611" s="32"/>
      <x:c r="AX611" s="32"/>
      <x:c r="AY611" s="32"/>
      <x:c r="AZ611" s="32" t="n">
        <x:v>15</x:v>
      </x:c>
      <x:c r="BA611" s="32"/>
    </x:row>
    <x:row r="612">
      <x:c r="A612" s="25" t="str">
        <x:v>C10-G</x:v>
      </x:c>
      <x:c r="B612" s="25" t="str">
        <x:v>王城罗德尔</x:v>
      </x:c>
      <x:c r="C612" s="25" t="str">
        <x:v>半急速毕业</x:v>
      </x:c>
      <x:c r="D612" s="25" t="str">
        <x:v>洗练</x:v>
      </x:c>
      <x:c r="E612" s="25" t="str">
        <x:v>本类10项（逐项见完整JSON）</x:v>
      </x:c>
      <x:c r="F612" s="25" t="str">
        <x:v>S06＋固定种子</x:v>
      </x:c>
      <x:c r="G612" s="25" t="str">
        <x:v>可实现随机样本</x:v>
      </x:c>
      <x:c r="H612" s="25" t="str">
        <x:v>由同包逐项数据聚合，便于核对</x:v>
      </x:c>
      <x:c r="I612" s="32" t="n">
        <x:v>8926</x:v>
      </x:c>
      <x:c r="J612" s="32" t="n">
        <x:v>8926</x:v>
      </x:c>
      <x:c r="K612" s="32" t="n">
        <x:v>16811</x:v>
      </x:c>
      <x:c r="L612" s="32" t="n">
        <x:v>16811</x:v>
      </x:c>
      <x:c r="M612" s="32" t="n">
        <x:v>1550</x:v>
      </x:c>
      <x:c r="N612" s="32" t="n">
        <x:v>1550</x:v>
      </x:c>
      <x:c r="O612" s="32"/>
      <x:c r="P612" s="32"/>
      <x:c r="Q612" s="32"/>
      <x:c r="R612" s="32"/>
      <x:c r="S612" s="32"/>
      <x:c r="T612" s="32"/>
      <x:c r="U612" s="32" t="n">
        <x:v>263</x:v>
      </x:c>
      <x:c r="V612" s="32"/>
      <x:c r="W612" s="32"/>
      <x:c r="X612" s="32"/>
      <x:c r="Y612" s="32" t="n">
        <x:v>3</x:v>
      </x:c>
      <x:c r="Z612" s="32"/>
      <x:c r="AA612" s="32"/>
      <x:c r="AB612" s="32" t="n">
        <x:v>2</x:v>
      </x:c>
      <x:c r="AC612" s="32"/>
      <x:c r="AD612" s="32" t="n">
        <x:v>2</x:v>
      </x:c>
      <x:c r="AE612" s="32"/>
      <x:c r="AF612" s="32"/>
      <x:c r="AG612" s="32"/>
      <x:c r="AH612" s="32" t="n">
        <x:v>6</x:v>
      </x:c>
      <x:c r="AI612" s="32"/>
      <x:c r="AJ612" s="32"/>
      <x:c r="AK612" s="32"/>
      <x:c r="AL612" s="32"/>
      <x:c r="AM612" s="32" t="n">
        <x:v>4</x:v>
      </x:c>
      <x:c r="AN612" s="32" t="n">
        <x:v>1</x:v>
      </x:c>
      <x:c r="AO612" s="32" t="n">
        <x:v>2</x:v>
      </x:c>
      <x:c r="AP612" s="32" t="n">
        <x:v>50</x:v>
      </x:c>
      <x:c r="AQ612" s="32"/>
      <x:c r="AR612" s="32" t="n">
        <x:v>2</x:v>
      </x:c>
      <x:c r="AS612" s="32" t="n">
        <x:v>4</x:v>
      </x:c>
      <x:c r="AT612" s="32"/>
      <x:c r="AU612" s="32" t="n">
        <x:v>4</x:v>
      </x:c>
      <x:c r="AV612" s="32"/>
      <x:c r="AW612" s="32"/>
      <x:c r="AX612" s="32"/>
      <x:c r="AY612" s="32"/>
      <x:c r="AZ612" s="32"/>
      <x:c r="BA612" s="32"/>
    </x:row>
    <x:row r="613">
      <x:c r="A613" s="25" t="str">
        <x:v>C10-G</x:v>
      </x:c>
      <x:c r="B613" s="25" t="str">
        <x:v>王城罗德尔</x:v>
      </x:c>
      <x:c r="C613" s="25" t="str">
        <x:v>半急速毕业</x:v>
      </x:c>
      <x:c r="D613" s="25" t="str">
        <x:v>命格</x:v>
      </x:c>
      <x:c r="E613" s="25" t="str">
        <x:v>本类8项（逐项见完整JSON）</x:v>
      </x:c>
      <x:c r="F613" s="25" t="str">
        <x:v>S03/命格ID1081；S03/命格ID1082；S03/命格ID1086；S03/命格ID1089；S03/命格ID1090；S03/命格ID1092；S03/命格ID1093；S03/命格ID1097</x:v>
      </x:c>
      <x:c r="G613" s="25" t="str">
        <x:v>原表彩色＋选配假设</x:v>
      </x:c>
      <x:c r="H613" s="25" t="str">
        <x:v>由同包逐项数据聚合，便于核对</x:v>
      </x:c>
      <x:c r="I613" s="32"/>
      <x:c r="J613" s="32"/>
      <x:c r="K613" s="32"/>
      <x:c r="L613" s="32"/>
      <x:c r="M613" s="32"/>
      <x:c r="N613" s="32"/>
      <x:c r="O613" s="32" t="n">
        <x:v>1500</x:v>
      </x:c>
      <x:c r="P613" s="32"/>
      <x:c r="Q613" s="32"/>
      <x:c r="R613" s="32"/>
      <x:c r="S613" s="32"/>
      <x:c r="T613" s="32"/>
      <x:c r="U613" s="32" t="n">
        <x:v>3</x:v>
      </x:c>
      <x:c r="V613" s="32"/>
      <x:c r="W613" s="32"/>
      <x:c r="X613" s="32"/>
      <x:c r="Y613" s="32" t="n">
        <x:v>6</x:v>
      </x:c>
      <x:c r="Z613" s="32" t="n">
        <x:v>3</x:v>
      </x:c>
      <x:c r="AA613" s="32" t="n">
        <x:v>5</x:v>
      </x:c>
      <x:c r="AB613" s="32"/>
      <x:c r="AC613" s="32"/>
      <x:c r="AD613" s="32"/>
      <x:c r="AE613" s="32"/>
      <x:c r="AF613" s="32"/>
      <x:c r="AG613" s="32"/>
      <x:c r="AH613" s="32" t="n">
        <x:v>2</x:v>
      </x:c>
      <x:c r="AI613" s="32"/>
      <x:c r="AJ613" s="32" t="n">
        <x:v>10</x:v>
      </x:c>
      <x:c r="AK613" s="32"/>
      <x:c r="AL613" s="32"/>
      <x:c r="AM613" s="32" t="n">
        <x:v>6</x:v>
      </x:c>
      <x:c r="AN613" s="32"/>
      <x:c r="AO613" s="32"/>
      <x:c r="AP613" s="32"/>
      <x:c r="AQ613" s="32" t="n">
        <x:v>6</x:v>
      </x:c>
      <x:c r="AR613" s="32" t="n">
        <x:v>3</x:v>
      </x:c>
      <x:c r="AS613" s="32" t="n">
        <x:v>0.75</x:v>
      </x:c>
      <x:c r="AT613" s="32" t="n">
        <x:v>50</x:v>
      </x:c>
      <x:c r="AU613" s="32" t="n">
        <x:v>5</x:v>
      </x:c>
      <x:c r="AV613" s="32" t="n">
        <x:v>6</x:v>
      </x:c>
      <x:c r="AW613" s="32"/>
      <x:c r="AX613" s="32"/>
      <x:c r="AY613" s="32"/>
      <x:c r="AZ613" s="32"/>
      <x:c r="BA613" s="32"/>
    </x:row>
    <x:row r="614">
      <x:c r="A614" s="25" t="str">
        <x:v>C10-G</x:v>
      </x:c>
      <x:c r="B614" s="25" t="str">
        <x:v>王城罗德尔</x:v>
      </x:c>
      <x:c r="C614" s="25" t="str">
        <x:v>半急速毕业</x:v>
      </x:c>
      <x:c r="D614" s="25" t="str">
        <x:v>后天幸运</x:v>
      </x:c>
      <x:c r="E614" s="25" t="str">
        <x:v>本类1项（逐项见完整JSON）</x:v>
      </x:c>
      <x:c r="F614" s="25" t="str">
        <x:v>A08</x:v>
      </x:c>
      <x:c r="G614" s="25" t="str">
        <x:v>人物永久进度</x:v>
      </x:c>
      <x:c r="H614" s="25" t="str">
        <x:v>由同包逐项数据聚合，便于核对</x:v>
      </x:c>
      <x:c r="I614" s="32"/>
      <x:c r="J614" s="32"/>
      <x:c r="K614" s="32"/>
      <x:c r="L614" s="32"/>
      <x:c r="M614" s="32"/>
      <x:c r="N614" s="32"/>
      <x:c r="O614" s="32"/>
      <x:c r="P614" s="32"/>
      <x:c r="Q614" s="32"/>
      <x:c r="R614" s="32"/>
      <x:c r="S614" s="32"/>
      <x:c r="T614" s="32"/>
      <x:c r="U614" s="32"/>
      <x:c r="V614" s="32"/>
      <x:c r="W614" s="32"/>
      <x:c r="X614" s="32"/>
      <x:c r="Y614" s="32"/>
      <x:c r="Z614" s="32"/>
      <x:c r="AA614" s="32"/>
      <x:c r="AB614" s="32"/>
      <x:c r="AC614" s="32"/>
      <x:c r="AD614" s="32"/>
      <x:c r="AE614" s="32"/>
      <x:c r="AF614" s="32"/>
      <x:c r="AG614" s="32"/>
      <x:c r="AH614" s="32"/>
      <x:c r="AI614" s="32"/>
      <x:c r="AJ614" s="32"/>
      <x:c r="AK614" s="32" t="n">
        <x:v>7</x:v>
      </x:c>
      <x:c r="AL614" s="32" t="n">
        <x:v>8</x:v>
      </x:c>
      <x:c r="AM614" s="32"/>
      <x:c r="AN614" s="32"/>
      <x:c r="AO614" s="32"/>
      <x:c r="AP614" s="32"/>
      <x:c r="AQ614" s="32"/>
      <x:c r="AR614" s="32"/>
      <x:c r="AS614" s="32"/>
      <x:c r="AT614" s="32"/>
      <x:c r="AU614" s="32"/>
      <x:c r="AV614" s="32"/>
      <x:c r="AW614" s="32"/>
      <x:c r="AX614" s="32"/>
      <x:c r="AY614" s="32"/>
      <x:c r="AZ614" s="32"/>
      <x:c r="BA614" s="32"/>
    </x:row>
    <x:row r="615">
      <x:c r="A615" s="25" t="str">
        <x:v>C10-G</x:v>
      </x:c>
      <x:c r="B615" s="25" t="str">
        <x:v>王城罗德尔</x:v>
      </x:c>
      <x:c r="C615" s="25" t="str">
        <x:v>半急速毕业</x:v>
      </x:c>
      <x:c r="D615" s="25" t="str">
        <x:v>回收预算</x:v>
      </x:c>
      <x:c r="E615" s="25" t="str">
        <x:v>本类1项（逐项见完整JSON）</x:v>
      </x:c>
      <x:c r="F615" s="25" t="str">
        <x:v>用户总回收50%</x:v>
      </x:c>
      <x:c r="G615" s="25" t="str">
        <x:v>经济输入，不是新增属性来源</x:v>
      </x:c>
      <x:c r="H615" s="25" t="str">
        <x:v>由同包逐项数据聚合，便于核对</x:v>
      </x:c>
      <x:c r="I615" s="32"/>
      <x:c r="J615" s="32"/>
      <x:c r="K615" s="32"/>
      <x:c r="L615" s="32"/>
      <x:c r="M615" s="32"/>
      <x:c r="N615" s="32"/>
      <x:c r="O615" s="32"/>
      <x:c r="P615" s="32"/>
      <x:c r="Q615" s="32"/>
      <x:c r="R615" s="32"/>
      <x:c r="S615" s="32"/>
      <x:c r="T615" s="32"/>
      <x:c r="U615" s="32"/>
      <x:c r="V615" s="32"/>
      <x:c r="W615" s="32"/>
      <x:c r="X615" s="32"/>
      <x:c r="Y615" s="32"/>
      <x:c r="Z615" s="32"/>
      <x:c r="AA615" s="32"/>
      <x:c r="AB615" s="32"/>
      <x:c r="AC615" s="32"/>
      <x:c r="AD615" s="32"/>
      <x:c r="AE615" s="32"/>
      <x:c r="AF615" s="32"/>
      <x:c r="AG615" s="32"/>
      <x:c r="AH615" s="32"/>
      <x:c r="AI615" s="32"/>
      <x:c r="AJ615" s="32"/>
      <x:c r="AK615" s="32"/>
      <x:c r="AL615" s="32"/>
      <x:c r="AM615" s="32"/>
      <x:c r="AN615" s="32"/>
      <x:c r="AO615" s="32"/>
      <x:c r="AP615" s="32"/>
      <x:c r="AQ615" s="32"/>
      <x:c r="AR615" s="32"/>
      <x:c r="AS615" s="32"/>
      <x:c r="AT615" s="32"/>
      <x:c r="AU615" s="32"/>
      <x:c r="AV615" s="32"/>
      <x:c r="AW615" s="32"/>
      <x:c r="AX615" s="32"/>
      <x:c r="AY615" s="32"/>
      <x:c r="AZ615" s="32"/>
      <x:c r="BA615" s="32" t="n">
        <x:v>50</x:v>
      </x:c>
    </x:row>
    <x:row r="616">
      <x:c r="A616" s="25" t="str">
        <x:v>C10-X</x:v>
      </x:c>
      <x:c r="B616" s="25" t="str">
        <x:v>王城罗德尔</x:v>
      </x:c>
      <x:c r="C616" s="25" t="str">
        <x:v>极端压力</x:v>
      </x:c>
      <x:c r="D616" s="25" t="str">
        <x:v>人物自然</x:v>
      </x:c>
      <x:c r="E616" s="25" t="str">
        <x:v>本类1项（逐项见完整JSON）</x:v>
      </x:c>
      <x:c r="F616" s="25" t="str">
        <x:v>A01</x:v>
      </x:c>
      <x:c r="G616" s="25" t="str">
        <x:v>模型假设</x:v>
      </x:c>
      <x:c r="H616" s="25" t="str">
        <x:v>由同包逐项数据聚合，便于核对</x:v>
      </x:c>
      <x:c r="I616" s="32" t="n">
        <x:v>27</x:v>
      </x:c>
      <x:c r="J616" s="32" t="n">
        <x:v>63</x:v>
      </x:c>
      <x:c r="K616" s="32"/>
      <x:c r="L616" s="32"/>
      <x:c r="M616" s="32"/>
      <x:c r="N616" s="32"/>
      <x:c r="O616" s="32" t="n">
        <x:v>5000</x:v>
      </x:c>
      <x:c r="P616" s="32" t="n">
        <x:v>1200</x:v>
      </x:c>
      <x:c r="Q616" s="32"/>
      <x:c r="R616" s="32"/>
      <x:c r="S616" s="32"/>
      <x:c r="T616" s="32"/>
      <x:c r="U616" s="32"/>
      <x:c r="V616" s="32"/>
      <x:c r="W616" s="32"/>
      <x:c r="X616" s="32"/>
      <x:c r="Y616" s="32"/>
      <x:c r="Z616" s="32"/>
      <x:c r="AA616" s="32"/>
      <x:c r="AB616" s="32"/>
      <x:c r="AC616" s="32"/>
      <x:c r="AD616" s="32"/>
      <x:c r="AE616" s="32"/>
      <x:c r="AF616" s="32"/>
      <x:c r="AG616" s="32"/>
      <x:c r="AH616" s="32"/>
      <x:c r="AI616" s="32"/>
      <x:c r="AJ616" s="32"/>
      <x:c r="AK616" s="32"/>
      <x:c r="AL616" s="32"/>
      <x:c r="AM616" s="32"/>
      <x:c r="AN616" s="32"/>
      <x:c r="AO616" s="32"/>
      <x:c r="AP616" s="32"/>
      <x:c r="AQ616" s="32"/>
      <x:c r="AR616" s="32"/>
      <x:c r="AS616" s="32"/>
      <x:c r="AT616" s="32"/>
      <x:c r="AU616" s="32"/>
      <x:c r="AV616" s="32"/>
      <x:c r="AW616" s="32"/>
      <x:c r="AX616" s="32"/>
      <x:c r="AY616" s="32"/>
      <x:c r="AZ616" s="32"/>
      <x:c r="BA616" s="32"/>
    </x:row>
    <x:row r="617">
      <x:c r="A617" s="25" t="str">
        <x:v>C10-X</x:v>
      </x:c>
      <x:c r="B617" s="25" t="str">
        <x:v>王城罗德尔</x:v>
      </x:c>
      <x:c r="C617" s="25" t="str">
        <x:v>极端压力</x:v>
      </x:c>
      <x:c r="D617" s="25" t="str">
        <x:v>付费状态</x:v>
      </x:c>
      <x:c r="E617" s="25" t="str">
        <x:v>本类3项（逐项见完整JSON）</x:v>
      </x:c>
      <x:c r="F617" s="25" t="str">
        <x:v>20260903总档</x:v>
      </x:c>
      <x:c r="G617" s="25" t="str">
        <x:v>原表数值</x:v>
      </x:c>
      <x:c r="H617" s="25" t="str">
        <x:v>由同包逐项数据聚合，便于核对</x:v>
      </x:c>
      <x:c r="I617" s="32" t="n">
        <x:v>149</x:v>
      </x:c>
      <x:c r="J617" s="32" t="n">
        <x:v>149</x:v>
      </x:c>
      <x:c r="K617" s="32" t="n">
        <x:v>149</x:v>
      </x:c>
      <x:c r="L617" s="32" t="n">
        <x:v>149</x:v>
      </x:c>
      <x:c r="M617" s="32" t="n">
        <x:v>149</x:v>
      </x:c>
      <x:c r="N617" s="32" t="n">
        <x:v>149</x:v>
      </x:c>
      <x:c r="O617" s="32" t="n">
        <x:v>10000</x:v>
      </x:c>
      <x:c r="P617" s="32"/>
      <x:c r="Q617" s="32"/>
      <x:c r="R617" s="32"/>
      <x:c r="S617" s="32"/>
      <x:c r="T617" s="32"/>
      <x:c r="U617" s="32"/>
      <x:c r="V617" s="32"/>
      <x:c r="W617" s="32"/>
      <x:c r="X617" s="32"/>
      <x:c r="Y617" s="32" t="n">
        <x:v>10</x:v>
      </x:c>
      <x:c r="Z617" s="32"/>
      <x:c r="AA617" s="32"/>
      <x:c r="AB617" s="32" t="n">
        <x:v>20</x:v>
      </x:c>
      <x:c r="AC617" s="32"/>
      <x:c r="AD617" s="32"/>
      <x:c r="AE617" s="32"/>
      <x:c r="AF617" s="32"/>
      <x:c r="AG617" s="32"/>
      <x:c r="AH617" s="32"/>
      <x:c r="AI617" s="32"/>
      <x:c r="AJ617" s="32"/>
      <x:c r="AK617" s="32"/>
      <x:c r="AL617" s="32"/>
      <x:c r="AM617" s="32" t="n">
        <x:v>10</x:v>
      </x:c>
      <x:c r="AN617" s="32"/>
      <x:c r="AO617" s="32"/>
      <x:c r="AP617" s="32" t="n">
        <x:v>50</x:v>
      </x:c>
      <x:c r="AQ617" s="32"/>
      <x:c r="AR617" s="32"/>
      <x:c r="AS617" s="32"/>
      <x:c r="AT617" s="32" t="n">
        <x:v>700</x:v>
      </x:c>
      <x:c r="AU617" s="32" t="n">
        <x:v>15</x:v>
      </x:c>
      <x:c r="AV617" s="32"/>
      <x:c r="AW617" s="32"/>
      <x:c r="AX617" s="32"/>
      <x:c r="AY617" s="32"/>
      <x:c r="AZ617" s="32"/>
      <x:c r="BA617" s="32"/>
    </x:row>
    <x:row r="618">
      <x:c r="A618" s="25" t="str">
        <x:v>C10-X</x:v>
      </x:c>
      <x:c r="B618" s="25" t="str">
        <x:v>王城罗德尔</x:v>
      </x:c>
      <x:c r="C618" s="25" t="str">
        <x:v>极端压力</x:v>
      </x:c>
      <x:c r="D618" s="25" t="str">
        <x:v>成长装备</x:v>
      </x:c>
      <x:c r="E618" s="25" t="str">
        <x:v>本类2项（逐项见完整JSON）</x:v>
      </x:c>
      <x:c r="F618" s="25" t="str">
        <x:v>20260903总档 / A04</x:v>
      </x:c>
      <x:c r="G618" s="25" t="str">
        <x:v>原表＋支付路径假设</x:v>
      </x:c>
      <x:c r="H618" s="25" t="str">
        <x:v>由同包逐项数据聚合，便于核对</x:v>
      </x:c>
      <x:c r="I618" s="32" t="n">
        <x:v>1100</x:v>
      </x:c>
      <x:c r="J618" s="32" t="n">
        <x:v>1100</x:v>
      </x:c>
      <x:c r="K618" s="32" t="n">
        <x:v>1100</x:v>
      </x:c>
      <x:c r="L618" s="32" t="n">
        <x:v>1100</x:v>
      </x:c>
      <x:c r="M618" s="32" t="n">
        <x:v>1100</x:v>
      </x:c>
      <x:c r="N618" s="32" t="n">
        <x:v>1100</x:v>
      </x:c>
      <x:c r="O618" s="32"/>
      <x:c r="P618" s="32"/>
      <x:c r="Q618" s="32"/>
      <x:c r="R618" s="32"/>
      <x:c r="S618" s="32"/>
      <x:c r="T618" s="32"/>
      <x:c r="U618" s="32"/>
      <x:c r="V618" s="32"/>
      <x:c r="W618" s="32"/>
      <x:c r="X618" s="32"/>
      <x:c r="Y618" s="32"/>
      <x:c r="Z618" s="32"/>
      <x:c r="AA618" s="32"/>
      <x:c r="AB618" s="32"/>
      <x:c r="AC618" s="32"/>
      <x:c r="AD618" s="32"/>
      <x:c r="AE618" s="32"/>
      <x:c r="AF618" s="32"/>
      <x:c r="AG618" s="32"/>
      <x:c r="AH618" s="32"/>
      <x:c r="AI618" s="32"/>
      <x:c r="AJ618" s="32"/>
      <x:c r="AK618" s="32"/>
      <x:c r="AL618" s="32"/>
      <x:c r="AM618" s="32"/>
      <x:c r="AN618" s="32"/>
      <x:c r="AO618" s="32"/>
      <x:c r="AP618" s="32"/>
      <x:c r="AQ618" s="32"/>
      <x:c r="AR618" s="32"/>
      <x:c r="AS618" s="32"/>
      <x:c r="AT618" s="32"/>
      <x:c r="AU618" s="32"/>
      <x:c r="AV618" s="32"/>
      <x:c r="AW618" s="32" t="n">
        <x:v>10</x:v>
      </x:c>
      <x:c r="AX618" s="32" t="n">
        <x:v>10</x:v>
      </x:c>
      <x:c r="AY618" s="32"/>
      <x:c r="AZ618" s="32"/>
      <x:c r="BA618" s="32"/>
    </x:row>
    <x:row r="619">
      <x:c r="A619" s="25" t="str">
        <x:v>C10-X</x:v>
      </x:c>
      <x:c r="B619" s="25" t="str">
        <x:v>王城罗德尔</x:v>
      </x:c>
      <x:c r="C619" s="25" t="str">
        <x:v>极端压力</x:v>
      </x:c>
      <x:c r="D619" s="25" t="str">
        <x:v>贯穿称号</x:v>
      </x:c>
      <x:c r="E619" s="25" t="str">
        <x:v>本类1项（逐项见完整JSON）</x:v>
      </x:c>
      <x:c r="F619" s="25" t="str">
        <x:v>S04/01_贯穿称号</x:v>
      </x:c>
      <x:c r="G619" s="25" t="str">
        <x:v>原表数值</x:v>
      </x:c>
      <x:c r="H619" s="25" t="str">
        <x:v>由同包逐项数据聚合，便于核对</x:v>
      </x:c>
      <x:c r="I619" s="32" t="n">
        <x:v>100000</x:v>
      </x:c>
      <x:c r="J619" s="32" t="n">
        <x:v>100000</x:v>
      </x:c>
      <x:c r="K619" s="32" t="n">
        <x:v>100000</x:v>
      </x:c>
      <x:c r="L619" s="32" t="n">
        <x:v>100000</x:v>
      </x:c>
      <x:c r="M619" s="32" t="n">
        <x:v>100000</x:v>
      </x:c>
      <x:c r="N619" s="32" t="n">
        <x:v>100000</x:v>
      </x:c>
      <x:c r="O619" s="32" t="n">
        <x:v>10000000</x:v>
      </x:c>
      <x:c r="P619" s="32" t="n">
        <x:v>10000000</x:v>
      </x:c>
      <x:c r="Q619" s="32"/>
      <x:c r="R619" s="32"/>
      <x:c r="S619" s="32"/>
      <x:c r="T619" s="32"/>
      <x:c r="U619" s="32"/>
      <x:c r="V619" s="32"/>
      <x:c r="W619" s="32"/>
      <x:c r="X619" s="32"/>
      <x:c r="Y619" s="32"/>
      <x:c r="Z619" s="32"/>
      <x:c r="AA619" s="32"/>
      <x:c r="AB619" s="32"/>
      <x:c r="AC619" s="32"/>
      <x:c r="AD619" s="32"/>
      <x:c r="AE619" s="32"/>
      <x:c r="AF619" s="32"/>
      <x:c r="AG619" s="32"/>
      <x:c r="AH619" s="32"/>
      <x:c r="AI619" s="32"/>
      <x:c r="AJ619" s="32"/>
      <x:c r="AK619" s="32"/>
      <x:c r="AL619" s="32"/>
      <x:c r="AM619" s="32"/>
      <x:c r="AN619" s="32"/>
      <x:c r="AO619" s="32"/>
      <x:c r="AP619" s="32"/>
      <x:c r="AQ619" s="32"/>
      <x:c r="AR619" s="32"/>
      <x:c r="AS619" s="32"/>
      <x:c r="AT619" s="32" t="n">
        <x:v>6600</x:v>
      </x:c>
      <x:c r="AU619" s="32"/>
      <x:c r="AV619" s="32"/>
      <x:c r="AW619" s="32"/>
      <x:c r="AX619" s="32"/>
      <x:c r="AY619" s="32"/>
      <x:c r="AZ619" s="32"/>
      <x:c r="BA619" s="32"/>
    </x:row>
    <x:row r="620">
      <x:c r="A620" s="25" t="str">
        <x:v>C10-X</x:v>
      </x:c>
      <x:c r="B620" s="25" t="str">
        <x:v>王城罗德尔</x:v>
      </x:c>
      <x:c r="C620" s="25" t="str">
        <x:v>极端压力</x:v>
      </x:c>
      <x:c r="D620" s="25" t="str">
        <x:v>神印</x:v>
      </x:c>
      <x:c r="E620" s="25" t="str">
        <x:v>本类1项（逐项见完整JSON）</x:v>
      </x:c>
      <x:c r="F620" s="25" t="str">
        <x:v>S04 / 神印公式</x:v>
      </x:c>
      <x:c r="G620" s="25" t="str">
        <x:v>自给进度假设＋原公式</x:v>
      </x:c>
      <x:c r="H620" s="25" t="str">
        <x:v>由同包逐项数据聚合，便于核对</x:v>
      </x:c>
      <x:c r="I620" s="32" t="n">
        <x:v>32640</x:v>
      </x:c>
      <x:c r="J620" s="32" t="n">
        <x:v>32640</x:v>
      </x:c>
      <x:c r="K620" s="32" t="n">
        <x:v>32640</x:v>
      </x:c>
      <x:c r="L620" s="32" t="n">
        <x:v>32640</x:v>
      </x:c>
      <x:c r="M620" s="32" t="n">
        <x:v>32640</x:v>
      </x:c>
      <x:c r="N620" s="32" t="n">
        <x:v>32640</x:v>
      </x:c>
      <x:c r="O620" s="32" t="n">
        <x:v>3264000</x:v>
      </x:c>
      <x:c r="P620" s="32"/>
      <x:c r="Q620" s="32"/>
      <x:c r="R620" s="32"/>
      <x:c r="S620" s="32"/>
      <x:c r="T620" s="32"/>
      <x:c r="U620" s="32"/>
      <x:c r="V620" s="32"/>
      <x:c r="W620" s="32"/>
      <x:c r="X620" s="32"/>
      <x:c r="Y620" s="32"/>
      <x:c r="Z620" s="32"/>
      <x:c r="AA620" s="32"/>
      <x:c r="AB620" s="32"/>
      <x:c r="AC620" s="32"/>
      <x:c r="AD620" s="32"/>
      <x:c r="AE620" s="32"/>
      <x:c r="AF620" s="32"/>
      <x:c r="AG620" s="32"/>
      <x:c r="AH620" s="32"/>
      <x:c r="AI620" s="32"/>
      <x:c r="AJ620" s="32"/>
      <x:c r="AK620" s="32"/>
      <x:c r="AL620" s="32"/>
      <x:c r="AM620" s="32"/>
      <x:c r="AN620" s="32"/>
      <x:c r="AO620" s="32"/>
      <x:c r="AP620" s="32"/>
      <x:c r="AQ620" s="32"/>
      <x:c r="AR620" s="32"/>
      <x:c r="AS620" s="32"/>
      <x:c r="AT620" s="32"/>
      <x:c r="AU620" s="32"/>
      <x:c r="AV620" s="32"/>
      <x:c r="AW620" s="32"/>
      <x:c r="AX620" s="32"/>
      <x:c r="AY620" s="32"/>
      <x:c r="AZ620" s="32"/>
      <x:c r="BA620" s="32"/>
    </x:row>
    <x:row r="621">
      <x:c r="A621" s="25" t="str">
        <x:v>C10-X</x:v>
      </x:c>
      <x:c r="B621" s="25" t="str">
        <x:v>王城罗德尔</x:v>
      </x:c>
      <x:c r="C621" s="25" t="str">
        <x:v>极端压力</x:v>
      </x:c>
      <x:c r="D621" s="25" t="str">
        <x:v>转生</x:v>
      </x:c>
      <x:c r="E621" s="25" t="str">
        <x:v>本类1项（逐项见完整JSON）</x:v>
      </x:c>
      <x:c r="F621" s="25" t="str">
        <x:v>S07/20转</x:v>
      </x:c>
      <x:c r="G621" s="25" t="str">
        <x:v>原表累计</x:v>
      </x:c>
      <x:c r="H621" s="25" t="str">
        <x:v>由同包逐项数据聚合，便于核对</x:v>
      </x:c>
      <x:c r="I621" s="32"/>
      <x:c r="J621" s="32"/>
      <x:c r="K621" s="32"/>
      <x:c r="L621" s="32"/>
      <x:c r="M621" s="32"/>
      <x:c r="N621" s="32"/>
      <x:c r="O621" s="32"/>
      <x:c r="P621" s="32"/>
      <x:c r="Q621" s="32"/>
      <x:c r="R621" s="32"/>
      <x:c r="S621" s="32"/>
      <x:c r="T621" s="32"/>
      <x:c r="U621" s="32"/>
      <x:c r="V621" s="32"/>
      <x:c r="W621" s="32"/>
      <x:c r="X621" s="32" t="n">
        <x:v>1.1</x:v>
      </x:c>
      <x:c r="Y621" s="32"/>
      <x:c r="Z621" s="32"/>
      <x:c r="AA621" s="32"/>
      <x:c r="AB621" s="32"/>
      <x:c r="AC621" s="32"/>
      <x:c r="AD621" s="32"/>
      <x:c r="AE621" s="32"/>
      <x:c r="AF621" s="32"/>
      <x:c r="AG621" s="32"/>
      <x:c r="AH621" s="32"/>
      <x:c r="AI621" s="32"/>
      <x:c r="AJ621" s="32"/>
      <x:c r="AK621" s="32"/>
      <x:c r="AL621" s="32"/>
      <x:c r="AM621" s="32"/>
      <x:c r="AN621" s="32"/>
      <x:c r="AO621" s="32"/>
      <x:c r="AP621" s="32"/>
      <x:c r="AQ621" s="32"/>
      <x:c r="AR621" s="32"/>
      <x:c r="AS621" s="32"/>
      <x:c r="AT621" s="32"/>
      <x:c r="AU621" s="32"/>
      <x:c r="AV621" s="32"/>
      <x:c r="AW621" s="32"/>
      <x:c r="AX621" s="32"/>
      <x:c r="AY621" s="32"/>
      <x:c r="AZ621" s="32"/>
      <x:c r="BA621" s="32"/>
    </x:row>
    <x:row r="622">
      <x:c r="A622" s="25" t="str">
        <x:v>C10-X</x:v>
      </x:c>
      <x:c r="B622" s="25" t="str">
        <x:v>王城罗德尔</x:v>
      </x:c>
      <x:c r="C622" s="25" t="str">
        <x:v>极端压力</x:v>
      </x:c>
      <x:c r="D622" s="25" t="str">
        <x:v>独立称号</x:v>
      </x:c>
      <x:c r="E622" s="25" t="str">
        <x:v>本类6项（逐项见完整JSON）</x:v>
      </x:c>
      <x:c r="F622" s="25" t="str">
        <x:v>S04/02_独立称号</x:v>
      </x:c>
      <x:c r="G622" s="25" t="str">
        <x:v>原表数值</x:v>
      </x:c>
      <x:c r="H622" s="25" t="str">
        <x:v>由同包逐项数据聚合，便于核对</x:v>
      </x:c>
      <x:c r="I622" s="32" t="n">
        <x:v>36510</x:v>
      </x:c>
      <x:c r="J622" s="32" t="n">
        <x:v>36510</x:v>
      </x:c>
      <x:c r="K622" s="32" t="n">
        <x:v>36510</x:v>
      </x:c>
      <x:c r="L622" s="32" t="n">
        <x:v>36510</x:v>
      </x:c>
      <x:c r="M622" s="32" t="n">
        <x:v>36510</x:v>
      </x:c>
      <x:c r="N622" s="32" t="n">
        <x:v>36510</x:v>
      </x:c>
      <x:c r="O622" s="32" t="n">
        <x:v>3651000</x:v>
      </x:c>
      <x:c r="P622" s="32"/>
      <x:c r="Q622" s="32"/>
      <x:c r="R622" s="32"/>
      <x:c r="S622" s="32"/>
      <x:c r="T622" s="32"/>
      <x:c r="U622" s="32"/>
      <x:c r="V622" s="32"/>
      <x:c r="W622" s="32"/>
      <x:c r="X622" s="32" t="n">
        <x:v>0</x:v>
      </x:c>
      <x:c r="Y622" s="32"/>
      <x:c r="Z622" s="32"/>
      <x:c r="AA622" s="32"/>
      <x:c r="AB622" s="32"/>
      <x:c r="AC622" s="32"/>
      <x:c r="AD622" s="32"/>
      <x:c r="AE622" s="32"/>
      <x:c r="AF622" s="32"/>
      <x:c r="AG622" s="32"/>
      <x:c r="AH622" s="32"/>
      <x:c r="AI622" s="32"/>
      <x:c r="AJ622" s="32"/>
      <x:c r="AK622" s="32"/>
      <x:c r="AL622" s="32"/>
      <x:c r="AM622" s="32" t="n">
        <x:v>0</x:v>
      </x:c>
      <x:c r="AN622" s="32"/>
      <x:c r="AO622" s="32"/>
      <x:c r="AP622" s="32" t="n">
        <x:v>0</x:v>
      </x:c>
      <x:c r="AQ622" s="32"/>
      <x:c r="AR622" s="32"/>
      <x:c r="AS622" s="32"/>
      <x:c r="AT622" s="32"/>
      <x:c r="AU622" s="32"/>
      <x:c r="AV622" s="32"/>
      <x:c r="AW622" s="32"/>
      <x:c r="AX622" s="32"/>
      <x:c r="AY622" s="32"/>
      <x:c r="AZ622" s="32"/>
      <x:c r="BA622" s="32"/>
    </x:row>
    <x:row r="623">
      <x:c r="A623" s="25" t="str">
        <x:v>C10-X</x:v>
      </x:c>
      <x:c r="B623" s="25" t="str">
        <x:v>王城罗德尔</x:v>
      </x:c>
      <x:c r="C623" s="25" t="str">
        <x:v>极端压力</x:v>
      </x:c>
      <x:c r="D623" s="25" t="str">
        <x:v>单件图鉴</x:v>
      </x:c>
      <x:c r="E623" s="25" t="str">
        <x:v>本类1项（逐项见完整JSON）</x:v>
      </x:c>
      <x:c r="F623" s="25" t="str">
        <x:v>S07/collection_single</x:v>
      </x:c>
      <x:c r="G623" s="25" t="str">
        <x:v>原表累计</x:v>
      </x:c>
      <x:c r="H623" s="25" t="str">
        <x:v>由同包逐项数据聚合，便于核对</x:v>
      </x:c>
      <x:c r="I623" s="32" t="n">
        <x:v>20351</x:v>
      </x:c>
      <x:c r="J623" s="32" t="n">
        <x:v>20351</x:v>
      </x:c>
      <x:c r="K623" s="32" t="n">
        <x:v>20351</x:v>
      </x:c>
      <x:c r="L623" s="32" t="n">
        <x:v>20351</x:v>
      </x:c>
      <x:c r="M623" s="32" t="n">
        <x:v>20351</x:v>
      </x:c>
      <x:c r="N623" s="32" t="n">
        <x:v>20351</x:v>
      </x:c>
      <x:c r="O623" s="32" t="n">
        <x:v>2035100</x:v>
      </x:c>
      <x:c r="P623" s="32"/>
      <x:c r="Q623" s="32"/>
      <x:c r="R623" s="32"/>
      <x:c r="S623" s="32"/>
      <x:c r="T623" s="32"/>
      <x:c r="U623" s="32"/>
      <x:c r="V623" s="32"/>
      <x:c r="W623" s="32"/>
      <x:c r="X623" s="32"/>
      <x:c r="Y623" s="32"/>
      <x:c r="Z623" s="32"/>
      <x:c r="AA623" s="32"/>
      <x:c r="AB623" s="32"/>
      <x:c r="AC623" s="32"/>
      <x:c r="AD623" s="32"/>
      <x:c r="AE623" s="32"/>
      <x:c r="AF623" s="32"/>
      <x:c r="AG623" s="32"/>
      <x:c r="AH623" s="32"/>
      <x:c r="AI623" s="32"/>
      <x:c r="AJ623" s="32"/>
      <x:c r="AK623" s="32"/>
      <x:c r="AL623" s="32"/>
      <x:c r="AM623" s="32"/>
      <x:c r="AN623" s="32"/>
      <x:c r="AO623" s="32"/>
      <x:c r="AP623" s="32"/>
      <x:c r="AQ623" s="32"/>
      <x:c r="AR623" s="32"/>
      <x:c r="AS623" s="32"/>
      <x:c r="AT623" s="32"/>
      <x:c r="AU623" s="32"/>
      <x:c r="AV623" s="32"/>
      <x:c r="AW623" s="32"/>
      <x:c r="AX623" s="32"/>
      <x:c r="AY623" s="32"/>
      <x:c r="AZ623" s="32"/>
      <x:c r="BA623" s="32"/>
    </x:row>
    <x:row r="624">
      <x:c r="A624" s="25" t="str">
        <x:v>C10-X</x:v>
      </x:c>
      <x:c r="B624" s="25" t="str">
        <x:v>王城罗德尔</x:v>
      </x:c>
      <x:c r="C624" s="25" t="str">
        <x:v>极端压力</x:v>
      </x:c>
      <x:c r="D624" s="25" t="str">
        <x:v>地图整页</x:v>
      </x:c>
      <x:c r="E624" s="25" t="str">
        <x:v>本类46项（逐项见完整JSON）</x:v>
      </x:c>
      <x:c r="F624" s="25" t="str">
        <x:v>S07/collection_pages</x:v>
      </x:c>
      <x:c r="G624" s="25" t="str">
        <x:v>原表数值</x:v>
      </x:c>
      <x:c r="H624" s="25" t="str">
        <x:v>由同包逐项数据聚合，便于核对</x:v>
      </x:c>
      <x:c r="I624" s="32"/>
      <x:c r="J624" s="32"/>
      <x:c r="K624" s="32"/>
      <x:c r="L624" s="32"/>
      <x:c r="M624" s="32"/>
      <x:c r="N624" s="32"/>
      <x:c r="O624" s="32"/>
      <x:c r="P624" s="32"/>
      <x:c r="Q624" s="32"/>
      <x:c r="R624" s="32"/>
      <x:c r="S624" s="32"/>
      <x:c r="T624" s="32"/>
      <x:c r="U624" s="32"/>
      <x:c r="V624" s="32"/>
      <x:c r="W624" s="32"/>
      <x:c r="X624" s="32" t="n">
        <x:v>1.3700000000000008</x:v>
      </x:c>
      <x:c r="Y624" s="32"/>
      <x:c r="Z624" s="32"/>
      <x:c r="AA624" s="32"/>
      <x:c r="AB624" s="32"/>
      <x:c r="AC624" s="32"/>
      <x:c r="AD624" s="32"/>
      <x:c r="AE624" s="32"/>
      <x:c r="AF624" s="32"/>
      <x:c r="AG624" s="32"/>
      <x:c r="AH624" s="32"/>
      <x:c r="AI624" s="32"/>
      <x:c r="AJ624" s="32"/>
      <x:c r="AK624" s="32"/>
      <x:c r="AL624" s="32"/>
      <x:c r="AM624" s="32" t="n">
        <x:v>23</x:v>
      </x:c>
      <x:c r="AN624" s="32"/>
      <x:c r="AO624" s="32"/>
      <x:c r="AP624" s="32" t="n">
        <x:v>1805</x:v>
      </x:c>
      <x:c r="AQ624" s="32"/>
      <x:c r="AR624" s="32"/>
      <x:c r="AS624" s="32"/>
      <x:c r="AT624" s="32"/>
      <x:c r="AU624" s="32"/>
      <x:c r="AV624" s="32"/>
      <x:c r="AW624" s="32"/>
      <x:c r="AX624" s="32"/>
      <x:c r="AY624" s="32"/>
      <x:c r="AZ624" s="32"/>
      <x:c r="BA624" s="32"/>
    </x:row>
    <x:row r="625">
      <x:c r="A625" s="25" t="str">
        <x:v>C10-X</x:v>
      </x:c>
      <x:c r="B625" s="25" t="str">
        <x:v>王城罗德尔</x:v>
      </x:c>
      <x:c r="C625" s="25" t="str">
        <x:v>极端压力</x:v>
      </x:c>
      <x:c r="D625" s="25" t="str">
        <x:v>大陆全收集</x:v>
      </x:c>
      <x:c r="E625" s="25" t="str">
        <x:v>本类10项（逐项见完整JSON）</x:v>
      </x:c>
      <x:c r="F625" s="25" t="str">
        <x:v>S07/collection_continents</x:v>
      </x:c>
      <x:c r="G625" s="25" t="str">
        <x:v>原表累计</x:v>
      </x:c>
      <x:c r="H625" s="25" t="str">
        <x:v>由同包逐项数据聚合，便于核对</x:v>
      </x:c>
      <x:c r="I625" s="32"/>
      <x:c r="J625" s="32"/>
      <x:c r="K625" s="32"/>
      <x:c r="L625" s="32"/>
      <x:c r="M625" s="32"/>
      <x:c r="N625" s="32"/>
      <x:c r="O625" s="32"/>
      <x:c r="P625" s="32"/>
      <x:c r="Q625" s="32"/>
      <x:c r="R625" s="32"/>
      <x:c r="S625" s="32"/>
      <x:c r="T625" s="32"/>
      <x:c r="U625" s="32"/>
      <x:c r="V625" s="32"/>
      <x:c r="W625" s="32"/>
      <x:c r="X625" s="32"/>
      <x:c r="Y625" s="32"/>
      <x:c r="Z625" s="32"/>
      <x:c r="AA625" s="32"/>
      <x:c r="AB625" s="32" t="n">
        <x:v>27</x:v>
      </x:c>
      <x:c r="AC625" s="32"/>
      <x:c r="AD625" s="32"/>
      <x:c r="AE625" s="32"/>
      <x:c r="AF625" s="32"/>
      <x:c r="AG625" s="32"/>
      <x:c r="AH625" s="32"/>
      <x:c r="AI625" s="32"/>
      <x:c r="AJ625" s="32"/>
      <x:c r="AK625" s="32"/>
      <x:c r="AL625" s="32"/>
      <x:c r="AM625" s="32"/>
      <x:c r="AN625" s="32"/>
      <x:c r="AO625" s="32"/>
      <x:c r="AP625" s="32"/>
      <x:c r="AQ625" s="32"/>
      <x:c r="AR625" s="32"/>
      <x:c r="AS625" s="32"/>
      <x:c r="AT625" s="32"/>
      <x:c r="AU625" s="32"/>
      <x:c r="AV625" s="32"/>
      <x:c r="AW625" s="32"/>
      <x:c r="AX625" s="32"/>
      <x:c r="AY625" s="32"/>
      <x:c r="AZ625" s="32"/>
      <x:c r="BA625" s="32"/>
    </x:row>
    <x:row r="626">
      <x:c r="A626" s="25" t="str">
        <x:v>C10-X</x:v>
      </x:c>
      <x:c r="B626" s="25" t="str">
        <x:v>王城罗德尔</x:v>
      </x:c>
      <x:c r="C626" s="25" t="str">
        <x:v>极端压力</x:v>
      </x:c>
      <x:c r="D626" s="25" t="str">
        <x:v>材料图鉴</x:v>
      </x:c>
      <x:c r="E626" s="25" t="str">
        <x:v>本类8项（逐项见完整JSON）</x:v>
      </x:c>
      <x:c r="F626" s="25" t="str">
        <x:v>S07/collection_materials</x:v>
      </x:c>
      <x:c r="G626" s="25" t="str">
        <x:v>原表数值</x:v>
      </x:c>
      <x:c r="H626" s="25" t="str">
        <x:v>由同包逐项数据聚合，便于核对</x:v>
      </x:c>
      <x:c r="I626" s="32"/>
      <x:c r="J626" s="32"/>
      <x:c r="K626" s="32"/>
      <x:c r="L626" s="32"/>
      <x:c r="M626" s="32"/>
      <x:c r="N626" s="32"/>
      <x:c r="O626" s="32"/>
      <x:c r="P626" s="32"/>
      <x:c r="Q626" s="32"/>
      <x:c r="R626" s="32"/>
      <x:c r="S626" s="32"/>
      <x:c r="T626" s="32"/>
      <x:c r="U626" s="32"/>
      <x:c r="V626" s="32"/>
      <x:c r="W626" s="32"/>
      <x:c r="X626" s="32" t="n">
        <x:v>0.96</x:v>
      </x:c>
      <x:c r="Y626" s="32"/>
      <x:c r="Z626" s="32"/>
      <x:c r="AA626" s="32"/>
      <x:c r="AB626" s="32"/>
      <x:c r="AC626" s="32"/>
      <x:c r="AD626" s="32"/>
      <x:c r="AE626" s="32"/>
      <x:c r="AF626" s="32"/>
      <x:c r="AG626" s="32"/>
      <x:c r="AH626" s="32"/>
      <x:c r="AI626" s="32"/>
      <x:c r="AJ626" s="32"/>
      <x:c r="AK626" s="32"/>
      <x:c r="AL626" s="32"/>
      <x:c r="AM626" s="32" t="n">
        <x:v>0</x:v>
      </x:c>
      <x:c r="AN626" s="32"/>
      <x:c r="AO626" s="32"/>
      <x:c r="AP626" s="32" t="n">
        <x:v>0</x:v>
      </x:c>
      <x:c r="AQ626" s="32"/>
      <x:c r="AR626" s="32"/>
      <x:c r="AS626" s="32"/>
      <x:c r="AT626" s="32"/>
      <x:c r="AU626" s="32"/>
      <x:c r="AV626" s="32"/>
      <x:c r="AW626" s="32"/>
      <x:c r="AX626" s="32"/>
      <x:c r="AY626" s="32"/>
      <x:c r="AZ626" s="32"/>
      <x:c r="BA626" s="32"/>
    </x:row>
    <x:row r="627">
      <x:c r="A627" s="25" t="str">
        <x:v>C10-X</x:v>
      </x:c>
      <x:c r="B627" s="25" t="str">
        <x:v>王城罗德尔</x:v>
      </x:c>
      <x:c r="C627" s="25" t="str">
        <x:v>极端压力</x:v>
      </x:c>
      <x:c r="D627" s="25" t="str">
        <x:v>旧任务</x:v>
      </x:c>
      <x:c r="E627" s="25" t="str">
        <x:v>本类6项（逐项见完整JSON）</x:v>
      </x:c>
      <x:c r="F627" s="25" t="str">
        <x:v>宁姆格福_完整怪物装备任务爆率规划/地图任务；第一大陆_地图魂魄任务.txt</x:v>
      </x:c>
      <x:c r="G627" s="25" t="str">
        <x:v>原件确认；原表数值</x:v>
      </x:c>
      <x:c r="H627" s="25" t="str">
        <x:v>由同包逐项数据聚合，便于核对</x:v>
      </x:c>
      <x:c r="I627" s="32" t="n">
        <x:v>90</x:v>
      </x:c>
      <x:c r="J627" s="32" t="n">
        <x:v>90</x:v>
      </x:c>
      <x:c r="K627" s="32" t="n">
        <x:v>90</x:v>
      </x:c>
      <x:c r="L627" s="32" t="n">
        <x:v>90</x:v>
      </x:c>
      <x:c r="M627" s="32" t="n">
        <x:v>90</x:v>
      </x:c>
      <x:c r="N627" s="32" t="n">
        <x:v>90</x:v>
      </x:c>
      <x:c r="O627" s="32"/>
      <x:c r="P627" s="32"/>
      <x:c r="Q627" s="32"/>
      <x:c r="R627" s="32"/>
      <x:c r="S627" s="32"/>
      <x:c r="T627" s="32"/>
      <x:c r="U627" s="32"/>
      <x:c r="V627" s="32"/>
      <x:c r="W627" s="32"/>
      <x:c r="X627" s="32"/>
      <x:c r="Y627" s="32"/>
      <x:c r="Z627" s="32"/>
      <x:c r="AA627" s="32"/>
      <x:c r="AB627" s="32"/>
      <x:c r="AC627" s="32"/>
      <x:c r="AD627" s="32"/>
      <x:c r="AE627" s="32"/>
      <x:c r="AF627" s="32"/>
      <x:c r="AG627" s="32"/>
      <x:c r="AH627" s="32"/>
      <x:c r="AI627" s="32"/>
      <x:c r="AJ627" s="32"/>
      <x:c r="AK627" s="32"/>
      <x:c r="AL627" s="32"/>
      <x:c r="AM627" s="32" t="n">
        <x:v>2</x:v>
      </x:c>
      <x:c r="AN627" s="32"/>
      <x:c r="AO627" s="32"/>
      <x:c r="AP627" s="32" t="n">
        <x:v>140</x:v>
      </x:c>
      <x:c r="AQ627" s="32"/>
      <x:c r="AR627" s="32"/>
      <x:c r="AS627" s="32"/>
      <x:c r="AT627" s="32"/>
      <x:c r="AU627" s="32"/>
      <x:c r="AV627" s="32"/>
      <x:c r="AW627" s="32"/>
      <x:c r="AX627" s="32"/>
      <x:c r="AY627" s="32"/>
      <x:c r="AZ627" s="32"/>
      <x:c r="BA627" s="32"/>
    </x:row>
    <x:row r="628">
      <x:c r="A628" s="25" t="str">
        <x:v>C10-X</x:v>
      </x:c>
      <x:c r="B628" s="25" t="str">
        <x:v>王城罗德尔</x:v>
      </x:c>
      <x:c r="C628" s="25" t="str">
        <x:v>极端压力</x:v>
      </x:c>
      <x:c r="D628" s="25" t="str">
        <x:v>装备</x:v>
      </x:c>
      <x:c r="E628" s="25" t="str">
        <x:v>本类36项（逐项见完整JSON）</x:v>
      </x:c>
      <x:c r="F628" s="25" t="str">
        <x:v>S02；S07</x:v>
      </x:c>
      <x:c r="G628" s="25" t="str">
        <x:v>原表数值</x:v>
      </x:c>
      <x:c r="H628" s="25" t="str">
        <x:v>由同包逐项数据聚合，便于核对</x:v>
      </x:c>
      <x:c r="I628" s="32" t="n">
        <x:v>152973</x:v>
      </x:c>
      <x:c r="J628" s="32" t="n">
        <x:v>293628</x:v>
      </x:c>
      <x:c r="K628" s="32" t="n">
        <x:v>152973</x:v>
      </x:c>
      <x:c r="L628" s="32" t="n">
        <x:v>293628</x:v>
      </x:c>
      <x:c r="M628" s="32" t="n">
        <x:v>152973</x:v>
      </x:c>
      <x:c r="N628" s="32" t="n">
        <x:v>293628</x:v>
      </x:c>
      <x:c r="O628" s="32" t="n">
        <x:v>171267700</x:v>
      </x:c>
      <x:c r="P628" s="32"/>
      <x:c r="Q628" s="32" t="n">
        <x:v>582</x:v>
      </x:c>
      <x:c r="R628" s="32" t="n">
        <x:v>1094</x:v>
      </x:c>
      <x:c r="S628" s="32" t="n">
        <x:v>471</x:v>
      </x:c>
      <x:c r="T628" s="32" t="n">
        <x:v>882</x:v>
      </x:c>
      <x:c r="U628" s="32" t="n">
        <x:v>825</x:v>
      </x:c>
      <x:c r="V628" s="32" t="n">
        <x:v>825</x:v>
      </x:c>
      <x:c r="W628" s="32" t="n">
        <x:v>825</x:v>
      </x:c>
      <x:c r="X628" s="32"/>
      <x:c r="Y628" s="32"/>
      <x:c r="Z628" s="32" t="n">
        <x:v>245</x:v>
      </x:c>
      <x:c r="AA628" s="32" t="n">
        <x:v>70</x:v>
      </x:c>
      <x:c r="AB628" s="32"/>
      <x:c r="AC628" s="32" t="n">
        <x:v>375</x:v>
      </x:c>
      <x:c r="AD628" s="32" t="n">
        <x:v>3</x:v>
      </x:c>
      <x:c r="AE628" s="32" t="n">
        <x:v>125</x:v>
      </x:c>
      <x:c r="AF628" s="32"/>
      <x:c r="AG628" s="32"/>
      <x:c r="AH628" s="32" t="n">
        <x:v>53</x:v>
      </x:c>
      <x:c r="AI628" s="32" t="n">
        <x:v>8</x:v>
      </x:c>
      <x:c r="AJ628" s="32" t="n">
        <x:v>154</x:v>
      </x:c>
      <x:c r="AK628" s="32"/>
      <x:c r="AL628" s="32"/>
      <x:c r="AM628" s="32"/>
      <x:c r="AN628" s="32" t="n">
        <x:v>35</x:v>
      </x:c>
      <x:c r="AO628" s="32" t="n">
        <x:v>0.5</x:v>
      </x:c>
      <x:c r="AP628" s="32" t="n">
        <x:v>70</x:v>
      </x:c>
      <x:c r="AQ628" s="32" t="n">
        <x:v>81</x:v>
      </x:c>
      <x:c r="AR628" s="32"/>
      <x:c r="AS628" s="32" t="n">
        <x:v>10</x:v>
      </x:c>
      <x:c r="AT628" s="32"/>
      <x:c r="AU628" s="32"/>
      <x:c r="AV628" s="32"/>
      <x:c r="AW628" s="32" t="n">
        <x:v>20</x:v>
      </x:c>
      <x:c r="AX628" s="32"/>
      <x:c r="AY628" s="32"/>
      <x:c r="AZ628" s="32" t="n">
        <x:v>15</x:v>
      </x:c>
      <x:c r="BA628" s="32"/>
    </x:row>
    <x:row r="629">
      <x:c r="A629" s="25" t="str">
        <x:v>C10-X</x:v>
      </x:c>
      <x:c r="B629" s="25" t="str">
        <x:v>王城罗德尔</x:v>
      </x:c>
      <x:c r="C629" s="25" t="str">
        <x:v>极端压力</x:v>
      </x:c>
      <x:c r="D629" s="25" t="str">
        <x:v>洗练</x:v>
      </x:c>
      <x:c r="E629" s="25" t="str">
        <x:v>本类10项（逐项见完整JSON）</x:v>
      </x:c>
      <x:c r="F629" s="25" t="str">
        <x:v>S06＋固定种子</x:v>
      </x:c>
      <x:c r="G629" s="25" t="str">
        <x:v>可实现随机样本</x:v>
      </x:c>
      <x:c r="H629" s="25" t="str">
        <x:v>由同包逐项数据聚合，便于核对</x:v>
      </x:c>
      <x:c r="I629" s="32" t="n">
        <x:v>60387</x:v>
      </x:c>
      <x:c r="J629" s="32" t="n">
        <x:v>60387</x:v>
      </x:c>
      <x:c r="K629" s="32" t="n">
        <x:v>8639</x:v>
      </x:c>
      <x:c r="L629" s="32" t="n">
        <x:v>8639</x:v>
      </x:c>
      <x:c r="M629" s="32" t="n">
        <x:v>3238</x:v>
      </x:c>
      <x:c r="N629" s="32" t="n">
        <x:v>3238</x:v>
      </x:c>
      <x:c r="O629" s="32"/>
      <x:c r="P629" s="32"/>
      <x:c r="Q629" s="32"/>
      <x:c r="R629" s="32"/>
      <x:c r="S629" s="32"/>
      <x:c r="T629" s="32"/>
      <x:c r="U629" s="32" t="n">
        <x:v>541</x:v>
      </x:c>
      <x:c r="V629" s="32"/>
      <x:c r="W629" s="32"/>
      <x:c r="X629" s="32"/>
      <x:c r="Y629" s="32" t="n">
        <x:v>2</x:v>
      </x:c>
      <x:c r="Z629" s="32"/>
      <x:c r="AA629" s="32"/>
      <x:c r="AB629" s="32" t="n">
        <x:v>5</x:v>
      </x:c>
      <x:c r="AC629" s="32"/>
      <x:c r="AD629" s="32" t="n">
        <x:v>1</x:v>
      </x:c>
      <x:c r="AE629" s="32"/>
      <x:c r="AF629" s="32"/>
      <x:c r="AG629" s="32"/>
      <x:c r="AH629" s="32" t="n">
        <x:v>4</x:v>
      </x:c>
      <x:c r="AI629" s="32"/>
      <x:c r="AJ629" s="32"/>
      <x:c r="AK629" s="32"/>
      <x:c r="AL629" s="32"/>
      <x:c r="AM629" s="32" t="n">
        <x:v>2</x:v>
      </x:c>
      <x:c r="AN629" s="32" t="n">
        <x:v>6</x:v>
      </x:c>
      <x:c r="AO629" s="32" t="n">
        <x:v>2</x:v>
      </x:c>
      <x:c r="AP629" s="32" t="n">
        <x:v>30</x:v>
      </x:c>
      <x:c r="AQ629" s="32"/>
      <x:c r="AR629" s="32" t="n">
        <x:v>1</x:v>
      </x:c>
      <x:c r="AS629" s="32" t="n">
        <x:v>1</x:v>
      </x:c>
      <x:c r="AT629" s="32"/>
      <x:c r="AU629" s="32" t="n">
        <x:v>4</x:v>
      </x:c>
      <x:c r="AV629" s="32"/>
      <x:c r="AW629" s="32"/>
      <x:c r="AX629" s="32"/>
      <x:c r="AY629" s="32"/>
      <x:c r="AZ629" s="32"/>
      <x:c r="BA629" s="32"/>
    </x:row>
    <x:row r="630">
      <x:c r="A630" s="25" t="str">
        <x:v>C10-X</x:v>
      </x:c>
      <x:c r="B630" s="25" t="str">
        <x:v>王城罗德尔</x:v>
      </x:c>
      <x:c r="C630" s="25" t="str">
        <x:v>极端压力</x:v>
      </x:c>
      <x:c r="D630" s="25" t="str">
        <x:v>命格</x:v>
      </x:c>
      <x:c r="E630" s="25" t="str">
        <x:v>本类8项（逐项见完整JSON）</x:v>
      </x:c>
      <x:c r="F630" s="25" t="str">
        <x:v>S03/命格ID1081；S03/命格ID1082；S03/命格ID1086；S03/命格ID1087；S03/命格ID1090；S03/命格ID1092；S03/命格ID1093；S03/命格ID1095</x:v>
      </x:c>
      <x:c r="G630" s="25" t="str">
        <x:v>原表彩色＋选配假设</x:v>
      </x:c>
      <x:c r="H630" s="25" t="str">
        <x:v>由同包逐项数据聚合，便于核对</x:v>
      </x:c>
      <x:c r="I630" s="32"/>
      <x:c r="J630" s="32"/>
      <x:c r="K630" s="32"/>
      <x:c r="L630" s="32"/>
      <x:c r="M630" s="32"/>
      <x:c r="N630" s="32"/>
      <x:c r="O630" s="32"/>
      <x:c r="P630" s="32"/>
      <x:c r="Q630" s="32"/>
      <x:c r="R630" s="32"/>
      <x:c r="S630" s="32"/>
      <x:c r="T630" s="32"/>
      <x:c r="U630" s="32"/>
      <x:c r="V630" s="32"/>
      <x:c r="W630" s="32"/>
      <x:c r="X630" s="32"/>
      <x:c r="Y630" s="32" t="n">
        <x:v>6</x:v>
      </x:c>
      <x:c r="Z630" s="32" t="n">
        <x:v>3</x:v>
      </x:c>
      <x:c r="AA630" s="32"/>
      <x:c r="AB630" s="32"/>
      <x:c r="AC630" s="32"/>
      <x:c r="AD630" s="32"/>
      <x:c r="AE630" s="32"/>
      <x:c r="AF630" s="32"/>
      <x:c r="AG630" s="32"/>
      <x:c r="AH630" s="32" t="n">
        <x:v>2</x:v>
      </x:c>
      <x:c r="AI630" s="32"/>
      <x:c r="AJ630" s="32" t="n">
        <x:v>10</x:v>
      </x:c>
      <x:c r="AK630" s="32"/>
      <x:c r="AL630" s="32"/>
      <x:c r="AM630" s="32" t="n">
        <x:v>10</x:v>
      </x:c>
      <x:c r="AN630" s="32" t="n">
        <x:v>35</x:v>
      </x:c>
      <x:c r="AO630" s="32" t="n">
        <x:v>0.3</x:v>
      </x:c>
      <x:c r="AP630" s="32"/>
      <x:c r="AQ630" s="32" t="n">
        <x:v>6</x:v>
      </x:c>
      <x:c r="AR630" s="32" t="n">
        <x:v>3</x:v>
      </x:c>
      <x:c r="AS630" s="32"/>
      <x:c r="AT630" s="32" t="n">
        <x:v>50</x:v>
      </x:c>
      <x:c r="AU630" s="32" t="n">
        <x:v>5</x:v>
      </x:c>
      <x:c r="AV630" s="32" t="n">
        <x:v>6</x:v>
      </x:c>
      <x:c r="AW630" s="32"/>
      <x:c r="AX630" s="32"/>
      <x:c r="AY630" s="32" t="n">
        <x:v>2</x:v>
      </x:c>
      <x:c r="AZ630" s="32"/>
      <x:c r="BA630" s="32"/>
    </x:row>
    <x:row r="631">
      <x:c r="A631" s="25" t="str">
        <x:v>C10-X</x:v>
      </x:c>
      <x:c r="B631" s="25" t="str">
        <x:v>王城罗德尔</x:v>
      </x:c>
      <x:c r="C631" s="25" t="str">
        <x:v>极端压力</x:v>
      </x:c>
      <x:c r="D631" s="25" t="str">
        <x:v>后天幸运</x:v>
      </x:c>
      <x:c r="E631" s="25" t="str">
        <x:v>本类1项（逐项见完整JSON）</x:v>
      </x:c>
      <x:c r="F631" s="25" t="str">
        <x:v>A08</x:v>
      </x:c>
      <x:c r="G631" s="25" t="str">
        <x:v>人物永久进度</x:v>
      </x:c>
      <x:c r="H631" s="25" t="str">
        <x:v>由同包逐项数据聚合，便于核对</x:v>
      </x:c>
      <x:c r="I631" s="32"/>
      <x:c r="J631" s="32"/>
      <x:c r="K631" s="32"/>
      <x:c r="L631" s="32"/>
      <x:c r="M631" s="32"/>
      <x:c r="N631" s="32"/>
      <x:c r="O631" s="32"/>
      <x:c r="P631" s="32"/>
      <x:c r="Q631" s="32"/>
      <x:c r="R631" s="32"/>
      <x:c r="S631" s="32"/>
      <x:c r="T631" s="32"/>
      <x:c r="U631" s="32"/>
      <x:c r="V631" s="32"/>
      <x:c r="W631" s="32"/>
      <x:c r="X631" s="32"/>
      <x:c r="Y631" s="32"/>
      <x:c r="Z631" s="32"/>
      <x:c r="AA631" s="32"/>
      <x:c r="AB631" s="32"/>
      <x:c r="AC631" s="32"/>
      <x:c r="AD631" s="32"/>
      <x:c r="AE631" s="32"/>
      <x:c r="AF631" s="32"/>
      <x:c r="AG631" s="32"/>
      <x:c r="AH631" s="32"/>
      <x:c r="AI631" s="32"/>
      <x:c r="AJ631" s="32"/>
      <x:c r="AK631" s="32" t="n">
        <x:v>7</x:v>
      </x:c>
      <x:c r="AL631" s="32" t="n">
        <x:v>8</x:v>
      </x:c>
      <x:c r="AM631" s="32"/>
      <x:c r="AN631" s="32"/>
      <x:c r="AO631" s="32"/>
      <x:c r="AP631" s="32"/>
      <x:c r="AQ631" s="32"/>
      <x:c r="AR631" s="32"/>
      <x:c r="AS631" s="32"/>
      <x:c r="AT631" s="32"/>
      <x:c r="AU631" s="32"/>
      <x:c r="AV631" s="32"/>
      <x:c r="AW631" s="32"/>
      <x:c r="AX631" s="32"/>
      <x:c r="AY631" s="32"/>
      <x:c r="AZ631" s="32"/>
      <x:c r="BA631" s="32"/>
    </x:row>
    <x:row r="632">
      <x:c r="A632" s="25" t="str">
        <x:v>C10-X</x:v>
      </x:c>
      <x:c r="B632" s="25" t="str">
        <x:v>王城罗德尔</x:v>
      </x:c>
      <x:c r="C632" s="25" t="str">
        <x:v>极端压力</x:v>
      </x:c>
      <x:c r="D632" s="25" t="str">
        <x:v>回收预算</x:v>
      </x:c>
      <x:c r="E632" s="25" t="str">
        <x:v>本类1项（逐项见完整JSON）</x:v>
      </x:c>
      <x:c r="F632" s="25" t="str">
        <x:v>用户总回收50%</x:v>
      </x:c>
      <x:c r="G632" s="25" t="str">
        <x:v>经济输入，不是新增属性来源</x:v>
      </x:c>
      <x:c r="H632" s="25" t="str">
        <x:v>由同包逐项数据聚合，便于核对</x:v>
      </x:c>
      <x:c r="I632" s="32"/>
      <x:c r="J632" s="32"/>
      <x:c r="K632" s="32"/>
      <x:c r="L632" s="32"/>
      <x:c r="M632" s="32"/>
      <x:c r="N632" s="32"/>
      <x:c r="O632" s="32"/>
      <x:c r="P632" s="32"/>
      <x:c r="Q632" s="32"/>
      <x:c r="R632" s="32"/>
      <x:c r="S632" s="32"/>
      <x:c r="T632" s="32"/>
      <x:c r="U632" s="32"/>
      <x:c r="V632" s="32"/>
      <x:c r="W632" s="32"/>
      <x:c r="X632" s="32"/>
      <x:c r="Y632" s="32"/>
      <x:c r="Z632" s="32"/>
      <x:c r="AA632" s="32"/>
      <x:c r="AB632" s="32"/>
      <x:c r="AC632" s="32"/>
      <x:c r="AD632" s="32"/>
      <x:c r="AE632" s="32"/>
      <x:c r="AF632" s="32"/>
      <x:c r="AG632" s="32"/>
      <x:c r="AH632" s="32"/>
      <x:c r="AI632" s="32"/>
      <x:c r="AJ632" s="32"/>
      <x:c r="AK632" s="32"/>
      <x:c r="AL632" s="32"/>
      <x:c r="AM632" s="32"/>
      <x:c r="AN632" s="32"/>
      <x:c r="AO632" s="32"/>
      <x:c r="AP632" s="32"/>
      <x:c r="AQ632" s="32"/>
      <x:c r="AR632" s="32"/>
      <x:c r="AS632" s="32"/>
      <x:c r="AT632" s="32"/>
      <x:c r="AU632" s="32"/>
      <x:c r="AV632" s="32"/>
      <x:c r="AW632" s="32"/>
      <x:c r="AX632" s="32"/>
      <x:c r="AY632" s="32"/>
      <x:c r="AZ632" s="32"/>
      <x:c r="BA632" s="32" t="n">
        <x:v>50</x:v>
      </x:c>
    </x:row>
  </x:sheetData>
  <x:mergeCells>
    <x:mergeCell ref="A1:BA1"/>
    <x:mergeCell ref="A2:BA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</x:cols>
  <x:sheetData>
    <x:row r="1" ht="29" customHeight="1">
      <x:c r="A1" s="4" t="str">
        <x:v>40组人物｜同类属性源加算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</x:row>
    <x:row r="2" ht="43" customHeight="1">
      <x:c r="A2" s="11" t="str">
        <x:v>本页全部属性用SUM引用02_属性来源；还没有将独立乘区连乘。HP、攻击等最终面板见03_战斗派生。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攻击下限</x:v>
      </x:c>
      <x:c r="E4" s="19" t="str">
        <x:v>攻击上限</x:v>
      </x:c>
      <x:c r="F4" s="19" t="str">
        <x:v>魔法下限</x:v>
      </x:c>
      <x:c r="G4" s="19" t="str">
        <x:v>魔法上限</x:v>
      </x:c>
      <x:c r="H4" s="19" t="str">
        <x:v>道术下限</x:v>
      </x:c>
      <x:c r="I4" s="19" t="str">
        <x:v>道术上限</x:v>
      </x:c>
      <x:c r="J4" s="19" t="str">
        <x:v>HP</x:v>
      </x:c>
      <x:c r="K4" s="19" t="str">
        <x:v>MP</x:v>
      </x:c>
      <x:c r="L4" s="19" t="str">
        <x:v>防御下限</x:v>
      </x:c>
      <x:c r="M4" s="19" t="str">
        <x:v>防御上限</x:v>
      </x:c>
      <x:c r="N4" s="19" t="str">
        <x:v>魔御下限</x:v>
      </x:c>
      <x:c r="O4" s="19" t="str">
        <x:v>魔御上限</x:v>
      </x:c>
      <x:c r="P4" s="19" t="str">
        <x:v>攻击加成</x:v>
      </x:c>
      <x:c r="Q4" s="19" t="str">
        <x:v>魔法加成</x:v>
      </x:c>
      <x:c r="R4" s="19" t="str">
        <x:v>道术加成</x:v>
      </x:c>
      <x:c r="S4" s="19" t="str">
        <x:v>神力增量</x:v>
      </x:c>
      <x:c r="T4" s="19" t="str">
        <x:v>伤害系数</x:v>
      </x:c>
      <x:c r="U4" s="19" t="str">
        <x:v>打怪伤害</x:v>
      </x:c>
      <x:c r="V4" s="19" t="str">
        <x:v>攻击伤害</x:v>
      </x:c>
      <x:c r="W4" s="19" t="str">
        <x:v>暴击几率</x:v>
      </x:c>
      <x:c r="X4" s="19" t="str">
        <x:v>暴击伤害</x:v>
      </x:c>
      <x:c r="Y4" s="19" t="str">
        <x:v>致命几率</x:v>
      </x:c>
      <x:c r="Z4" s="19" t="str">
        <x:v>致命伤害</x:v>
      </x:c>
      <x:c r="AA4" s="19" t="str">
        <x:v>固定切割</x:v>
      </x:c>
      <x:c r="AB4" s="19" t="str">
        <x:v>每秒回血</x:v>
      </x:c>
      <x:c r="AC4" s="19" t="str">
        <x:v>攻击速度</x:v>
      </x:c>
      <x:c r="AD4" s="19" t="str">
        <x:v>攻速突破</x:v>
      </x:c>
      <x:c r="AE4" s="19" t="str">
        <x:v>准确</x:v>
      </x:c>
      <x:c r="AF4" s="19" t="str">
        <x:v>武器幸运</x:v>
      </x:c>
      <x:c r="AG4" s="19" t="str">
        <x:v>项链幸运</x:v>
      </x:c>
      <x:c r="AH4" s="19" t="str">
        <x:v>处决概率</x:v>
      </x:c>
      <x:c r="AI4" s="19" t="str">
        <x:v>处决倍率</x:v>
      </x:c>
      <x:c r="AJ4" s="19" t="str">
        <x:v>处决时间</x:v>
      </x:c>
      <x:c r="AK4" s="19" t="str">
        <x:v>韧性</x:v>
      </x:c>
      <x:c r="AL4" s="19" t="str">
        <x:v>对怪伤害吸收</x:v>
      </x:c>
      <x:c r="AM4" s="19" t="str">
        <x:v>伤害吸收上限</x:v>
      </x:c>
      <x:c r="AN4" s="19" t="str">
        <x:v>吸血</x:v>
      </x:c>
      <x:c r="AO4" s="19" t="str">
        <x:v>爆率</x:v>
      </x:c>
      <x:c r="AP4" s="19" t="str">
        <x:v>最大爆率</x:v>
      </x:c>
      <x:c r="AQ4" s="19" t="str">
        <x:v>人物爆率</x:v>
      </x:c>
      <x:c r="AR4" s="19" t="str">
        <x:v>鞭尸</x:v>
      </x:c>
      <x:c r="AS4" s="19" t="str">
        <x:v>首刀斩杀</x:v>
      </x:c>
      <x:c r="AT4" s="19" t="str">
        <x:v>尾刀斩杀</x:v>
      </x:c>
      <x:c r="AU4" s="19" t="str">
        <x:v>HP百分比</x:v>
      </x:c>
      <x:c r="AV4" s="19" t="str">
        <x:v>回收增加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32" t="n">
        <x:f>SUM('02_属性来源'!I5:I15)</x:f>
        <x:v>356</x:v>
      </x:c>
      <x:c r="E5" s="32" t="n">
        <x:f>SUM('02_属性来源'!J5:J15)</x:f>
        <x:v>362</x:v>
      </x:c>
      <x:c r="F5" s="32" t="n">
        <x:f>SUM('02_属性来源'!K5:K15)</x:f>
        <x:v>349</x:v>
      </x:c>
      <x:c r="G5" s="32" t="n">
        <x:f>SUM('02_属性来源'!L5:L15)</x:f>
        <x:v>349</x:v>
      </x:c>
      <x:c r="H5" s="32" t="n">
        <x:f>SUM('02_属性来源'!M5:M15)</x:f>
        <x:v>349</x:v>
      </x:c>
      <x:c r="I5" s="32" t="n">
        <x:f>SUM('02_属性来源'!N5:N15)</x:f>
        <x:v>349</x:v>
      </x:c>
      <x:c r="J5" s="32" t="n">
        <x:f>SUM('02_属性来源'!O5:O15)</x:f>
        <x:v>21000</x:v>
      </x:c>
      <x:c r="K5" s="32" t="n">
        <x:f>SUM('02_属性来源'!P5:P15)</x:f>
        <x:v>10200</x:v>
      </x:c>
      <x:c r="L5" s="32" t="n">
        <x:f>SUM('02_属性来源'!Q5:Q15)</x:f>
        <x:v>0</x:v>
      </x:c>
      <x:c r="M5" s="32" t="n">
        <x:f>SUM('02_属性来源'!R5:R15)</x:f>
        <x:v>0</x:v>
      </x:c>
      <x:c r="N5" s="32" t="n">
        <x:f>SUM('02_属性来源'!S5:S15)</x:f>
        <x:v>0</x:v>
      </x:c>
      <x:c r="O5" s="32" t="n">
        <x:f>SUM('02_属性来源'!T5:T15)</x:f>
        <x:v>0</x:v>
      </x:c>
      <x:c r="P5" s="32" t="n">
        <x:f>SUM('02_属性来源'!U5:U15)</x:f>
        <x:v>0</x:v>
      </x:c>
      <x:c r="Q5" s="32" t="n">
        <x:f>SUM('02_属性来源'!V5:V15)</x:f>
        <x:v>0</x:v>
      </x:c>
      <x:c r="R5" s="32" t="n">
        <x:f>SUM('02_属性来源'!W5:W15)</x:f>
        <x:v>0</x:v>
      </x:c>
      <x:c r="S5" s="32" t="n">
        <x:f>SUM('02_属性来源'!X5:X15)</x:f>
        <x:v>0</x:v>
      </x:c>
      <x:c r="T5" s="32" t="n">
        <x:f>SUM('02_属性来源'!Y5:Y15)</x:f>
        <x:v>10</x:v>
      </x:c>
      <x:c r="U5" s="32" t="n">
        <x:f>SUM('02_属性来源'!Z5:Z15)</x:f>
        <x:v>3</x:v>
      </x:c>
      <x:c r="V5" s="32" t="n">
        <x:f>SUM('02_属性来源'!AA5:AA15)</x:f>
        <x:v>0</x:v>
      </x:c>
      <x:c r="W5" s="32" t="n">
        <x:f>SUM('02_属性来源'!AB5:AB15)</x:f>
        <x:v>20</x:v>
      </x:c>
      <x:c r="X5" s="32" t="n">
        <x:f>SUM('02_属性来源'!AC5:AC15)</x:f>
        <x:v>0</x:v>
      </x:c>
      <x:c r="Y5" s="32" t="n">
        <x:f>SUM('02_属性来源'!AD5:AD15)</x:f>
        <x:v>0</x:v>
      </x:c>
      <x:c r="Z5" s="32" t="n">
        <x:f>SUM('02_属性来源'!AE5:AE15)</x:f>
        <x:v>0</x:v>
      </x:c>
      <x:c r="AA5" s="32" t="n">
        <x:f>SUM('02_属性来源'!AF5:AF15)</x:f>
        <x:v>5000</x:v>
      </x:c>
      <x:c r="AB5" s="32" t="n">
        <x:f>SUM('02_属性来源'!AG5:AG15)</x:f>
        <x:v>2000</x:v>
      </x:c>
      <x:c r="AC5" s="32" t="n">
        <x:f>SUM('02_属性来源'!AH5:AH15)</x:f>
        <x:v>2</x:v>
      </x:c>
      <x:c r="AD5" s="32" t="n">
        <x:f>SUM('02_属性来源'!AI5:AI15)</x:f>
        <x:v>0</x:v>
      </x:c>
      <x:c r="AE5" s="32" t="n">
        <x:f>SUM('02_属性来源'!AJ5:AJ15)</x:f>
        <x:v>10</x:v>
      </x:c>
      <x:c r="AF5" s="32" t="n">
        <x:f>SUM('02_属性来源'!AK5:AK15)</x:f>
        <x:v>0</x:v>
      </x:c>
      <x:c r="AG5" s="32" t="n">
        <x:f>SUM('02_属性来源'!AL5:AL15)</x:f>
        <x:v>0</x:v>
      </x:c>
      <x:c r="AH5" s="32" t="n">
        <x:f>SUM('02_属性来源'!AM5:AM15)</x:f>
        <x:v>10</x:v>
      </x:c>
      <x:c r="AI5" s="32" t="n">
        <x:f>SUM('02_属性来源'!AN5:AN15)</x:f>
        <x:v>0</x:v>
      </x:c>
      <x:c r="AJ5" s="32" t="n">
        <x:f>SUM('02_属性来源'!AO5:AO15)</x:f>
        <x:v>0</x:v>
      </x:c>
      <x:c r="AK5" s="32" t="n">
        <x:f>SUM('02_属性来源'!AP5:AP15)</x:f>
        <x:v>50</x:v>
      </x:c>
      <x:c r="AL5" s="32" t="n">
        <x:f>SUM('02_属性来源'!AQ5:AQ15)</x:f>
        <x:v>0</x:v>
      </x:c>
      <x:c r="AM5" s="32" t="n">
        <x:f>SUM('02_属性来源'!AR5:AR15)</x:f>
        <x:v>0</x:v>
      </x:c>
      <x:c r="AN5" s="32" t="n">
        <x:f>SUM('02_属性来源'!AS5:AS15)</x:f>
        <x:v>0</x:v>
      </x:c>
      <x:c r="AO5" s="32" t="n">
        <x:f>SUM('02_属性来源'!AT5:AT15)</x:f>
        <x:v>900</x:v>
      </x:c>
      <x:c r="AP5" s="32" t="n">
        <x:f>SUM('02_属性来源'!AU5:AU15)</x:f>
        <x:v>15</x:v>
      </x:c>
      <x:c r="AQ5" s="32" t="n">
        <x:f>SUM('02_属性来源'!AV5:AV15)</x:f>
        <x:v>0</x:v>
      </x:c>
      <x:c r="AR5" s="32" t="n">
        <x:f>SUM('02_属性来源'!AW5:AW15)</x:f>
        <x:v>0</x:v>
      </x:c>
      <x:c r="AS5" s="32" t="n">
        <x:f>SUM('02_属性来源'!AX5:AX15)</x:f>
        <x:v>0</x:v>
      </x:c>
      <x:c r="AT5" s="32" t="n">
        <x:f>SUM('02_属性来源'!AY5:AY15)</x:f>
        <x:v>0</x:v>
      </x:c>
      <x:c r="AU5" s="32" t="n">
        <x:f>SUM('02_属性来源'!AZ5:AZ15)</x:f>
        <x:v>0</x:v>
      </x:c>
      <x:c r="AV5" s="32" t="n">
        <x:f>SUM('02_属性来源'!BA5:BA15)</x:f>
        <x:v>50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32" t="n">
        <x:f>SUM('02_属性来源'!I16:I27)</x:f>
        <x:v>600</x:v>
      </x:c>
      <x:c r="E6" s="32" t="n">
        <x:f>SUM('02_属性来源'!J16:J27)</x:f>
        <x:v>840.5</x:v>
      </x:c>
      <x:c r="F6" s="32" t="n">
        <x:f>SUM('02_属性来源'!K16:K27)</x:f>
        <x:v>592</x:v>
      </x:c>
      <x:c r="G6" s="32" t="n">
        <x:f>SUM('02_属性来源'!L16:L27)</x:f>
        <x:v>825</x:v>
      </x:c>
      <x:c r="H6" s="32" t="n">
        <x:f>SUM('02_属性来源'!M16:M27)</x:f>
        <x:v>592</x:v>
      </x:c>
      <x:c r="I6" s="32" t="n">
        <x:f>SUM('02_属性来源'!N16:N27)</x:f>
        <x:v>825</x:v>
      </x:c>
      <x:c r="J6" s="32" t="n">
        <x:f>SUM('02_属性来源'!O16:O27)</x:f>
        <x:v>106551</x:v>
      </x:c>
      <x:c r="K6" s="32" t="n">
        <x:f>SUM('02_属性来源'!P16:P27)</x:f>
        <x:v>10250</x:v>
      </x:c>
      <x:c r="L6" s="32" t="n">
        <x:f>SUM('02_属性来源'!Q16:Q27)</x:f>
        <x:v>90</x:v>
      </x:c>
      <x:c r="M6" s="32" t="n">
        <x:f>SUM('02_属性来源'!R16:R27)</x:f>
        <x:v>167</x:v>
      </x:c>
      <x:c r="N6" s="32" t="n">
        <x:f>SUM('02_属性来源'!S16:S27)</x:f>
        <x:v>72</x:v>
      </x:c>
      <x:c r="O6" s="32" t="n">
        <x:f>SUM('02_属性来源'!T16:T27)</x:f>
        <x:v>136</x:v>
      </x:c>
      <x:c r="P6" s="32" t="n">
        <x:f>SUM('02_属性来源'!U16:U27)</x:f>
        <x:v>59</x:v>
      </x:c>
      <x:c r="Q6" s="32" t="n">
        <x:f>SUM('02_属性来源'!V16:V27)</x:f>
        <x:v>59</x:v>
      </x:c>
      <x:c r="R6" s="32" t="n">
        <x:f>SUM('02_属性来源'!W16:W27)</x:f>
        <x:v>59</x:v>
      </x:c>
      <x:c r="S6" s="32" t="n">
        <x:f>SUM('02_属性来源'!X16:X27)</x:f>
        <x:v>0</x:v>
      </x:c>
      <x:c r="T6" s="32" t="n">
        <x:f>SUM('02_属性来源'!Y16:Y27)</x:f>
        <x:v>10</x:v>
      </x:c>
      <x:c r="U6" s="32" t="n">
        <x:f>SUM('02_属性来源'!Z16:Z27)</x:f>
        <x:v>21</x:v>
      </x:c>
      <x:c r="V6" s="32" t="n">
        <x:f>SUM('02_属性来源'!AA16:AA27)</x:f>
        <x:v>9</x:v>
      </x:c>
      <x:c r="W6" s="32" t="n">
        <x:f>SUM('02_属性来源'!AB16:AB27)</x:f>
        <x:v>20</x:v>
      </x:c>
      <x:c r="X6" s="32" t="n">
        <x:f>SUM('02_属性来源'!AC16:AC27)</x:f>
        <x:v>13</x:v>
      </x:c>
      <x:c r="Y6" s="32" t="n">
        <x:f>SUM('02_属性来源'!AD16:AD27)</x:f>
        <x:v>0</x:v>
      </x:c>
      <x:c r="Z6" s="32" t="n">
        <x:f>SUM('02_属性来源'!AE16:AE27)</x:f>
        <x:v>0</x:v>
      </x:c>
      <x:c r="AA6" s="32" t="n">
        <x:f>SUM('02_属性来源'!AF16:AF27)</x:f>
        <x:v>6030</x:v>
      </x:c>
      <x:c r="AB6" s="32" t="n">
        <x:f>SUM('02_属性来源'!AG16:AG27)</x:f>
        <x:v>2000</x:v>
      </x:c>
      <x:c r="AC6" s="32" t="n">
        <x:f>SUM('02_属性来源'!AH16:AH27)</x:f>
        <x:v>8</x:v>
      </x:c>
      <x:c r="AD6" s="32" t="n">
        <x:f>SUM('02_属性来源'!AI16:AI27)</x:f>
        <x:v>0</x:v>
      </x:c>
      <x:c r="AE6" s="32" t="n">
        <x:f>SUM('02_属性来源'!AJ16:AJ27)</x:f>
        <x:v>64</x:v>
      </x:c>
      <x:c r="AF6" s="32" t="n">
        <x:f>SUM('02_属性来源'!AK16:AK27)</x:f>
        <x:v>7</x:v>
      </x:c>
      <x:c r="AG6" s="32" t="n">
        <x:f>SUM('02_属性来源'!AL16:AL27)</x:f>
        <x:v>0</x:v>
      </x:c>
      <x:c r="AH6" s="32" t="n">
        <x:f>SUM('02_属性来源'!AM16:AM27)</x:f>
        <x:v>10</x:v>
      </x:c>
      <x:c r="AI6" s="32" t="n">
        <x:f>SUM('02_属性来源'!AN16:AN27)</x:f>
        <x:v>0</x:v>
      </x:c>
      <x:c r="AJ6" s="32" t="n">
        <x:f>SUM('02_属性来源'!AO16:AO27)</x:f>
        <x:v>0</x:v>
      </x:c>
      <x:c r="AK6" s="32" t="n">
        <x:f>SUM('02_属性来源'!AP16:AP27)</x:f>
        <x:v>50</x:v>
      </x:c>
      <x:c r="AL6" s="32" t="n">
        <x:f>SUM('02_属性来源'!AQ16:AQ27)</x:f>
        <x:v>29</x:v>
      </x:c>
      <x:c r="AM6" s="32" t="n">
        <x:f>SUM('02_属性来源'!AR16:AR27)</x:f>
        <x:v>0</x:v>
      </x:c>
      <x:c r="AN6" s="32" t="n">
        <x:f>SUM('02_属性来源'!AS16:AS27)</x:f>
        <x:v>2</x:v>
      </x:c>
      <x:c r="AO6" s="32" t="n">
        <x:f>SUM('02_属性来源'!AT16:AT27)</x:f>
        <x:v>900</x:v>
      </x:c>
      <x:c r="AP6" s="32" t="n">
        <x:f>SUM('02_属性来源'!AU16:AU27)</x:f>
        <x:v>15</x:v>
      </x:c>
      <x:c r="AQ6" s="32" t="n">
        <x:f>SUM('02_属性来源'!AV16:AV27)</x:f>
        <x:v>0</x:v>
      </x:c>
      <x:c r="AR6" s="32" t="n">
        <x:f>SUM('02_属性来源'!AW16:AW27)</x:f>
        <x:v>0</x:v>
      </x:c>
      <x:c r="AS6" s="32" t="n">
        <x:f>SUM('02_属性来源'!AX16:AX27)</x:f>
        <x:v>0</x:v>
      </x:c>
      <x:c r="AT6" s="32" t="n">
        <x:f>SUM('02_属性来源'!AY16:AY27)</x:f>
        <x:v>0</x:v>
      </x:c>
      <x:c r="AU6" s="32" t="n">
        <x:f>SUM('02_属性来源'!AZ16:AZ27)</x:f>
        <x:v>3</x:v>
      </x:c>
      <x:c r="AV6" s="32" t="n">
        <x:f>SUM('02_属性来源'!BA16:BA27)</x:f>
        <x:v>50</x:v>
      </x:c>
    </x:row>
    <x:row r="7">
      <x:c r="A7" s="25" t="str">
        <x:v>C01-G</x:v>
      </x:c>
      <x:c r="B7" s="25" t="str">
        <x:v>漂流群岛</x:v>
      </x:c>
      <x:c r="C7" s="25" t="str">
        <x:v>半急速毕业</x:v>
      </x:c>
      <x:c r="D7" s="32" t="n">
        <x:f>SUM('02_属性来源'!I28:I41)</x:f>
        <x:v>843</x:v>
      </x:c>
      <x:c r="E7" s="32" t="n">
        <x:f>SUM('02_属性来源'!J28:J41)</x:f>
        <x:v>1232</x:v>
      </x:c>
      <x:c r="F7" s="32" t="n">
        <x:f>SUM('02_属性来源'!K28:K41)</x:f>
        <x:v>834</x:v>
      </x:c>
      <x:c r="G7" s="32" t="n">
        <x:f>SUM('02_属性来源'!L28:L41)</x:f>
        <x:v>1214</x:v>
      </x:c>
      <x:c r="H7" s="32" t="n">
        <x:f>SUM('02_属性来源'!M28:M41)</x:f>
        <x:v>834</x:v>
      </x:c>
      <x:c r="I7" s="32" t="n">
        <x:f>SUM('02_属性来源'!N28:N41)</x:f>
        <x:v>1214</x:v>
      </x:c>
      <x:c r="J7" s="32" t="n">
        <x:f>SUM('02_属性来源'!O28:O41)</x:f>
        <x:v>295380</x:v>
      </x:c>
      <x:c r="K7" s="32" t="n">
        <x:f>SUM('02_属性来源'!P28:P41)</x:f>
        <x:v>10300</x:v>
      </x:c>
      <x:c r="L7" s="32" t="n">
        <x:f>SUM('02_属性来源'!Q28:Q41)</x:f>
        <x:v>198</x:v>
      </x:c>
      <x:c r="M7" s="32" t="n">
        <x:f>SUM('02_属性来源'!R28:R41)</x:f>
        <x:v>376</x:v>
      </x:c>
      <x:c r="N7" s="32" t="n">
        <x:f>SUM('02_属性来源'!S28:S41)</x:f>
        <x:v>162</x:v>
      </x:c>
      <x:c r="O7" s="32" t="n">
        <x:f>SUM('02_属性来源'!T28:T41)</x:f>
        <x:v>305</x:v>
      </x:c>
      <x:c r="P7" s="32" t="n">
        <x:f>SUM('02_属性来源'!U28:U41)</x:f>
        <x:v>113</x:v>
      </x:c>
      <x:c r="Q7" s="32" t="n">
        <x:f>SUM('02_属性来源'!V28:V41)</x:f>
        <x:v>113</x:v>
      </x:c>
      <x:c r="R7" s="32" t="n">
        <x:f>SUM('02_属性来源'!W28:W41)</x:f>
        <x:v>113</x:v>
      </x:c>
      <x:c r="S7" s="32" t="n">
        <x:f>SUM('02_属性来源'!X28:X41)</x:f>
        <x:v>0.01</x:v>
      </x:c>
      <x:c r="T7" s="32" t="n">
        <x:f>SUM('02_属性来源'!Y28:Y41)</x:f>
        <x:v>10</x:v>
      </x:c>
      <x:c r="U7" s="32" t="n">
        <x:f>SUM('02_属性来源'!Z28:Z41)</x:f>
        <x:v>41</x:v>
      </x:c>
      <x:c r="V7" s="32" t="n">
        <x:f>SUM('02_属性来源'!AA28:AA41)</x:f>
        <x:v>17</x:v>
      </x:c>
      <x:c r="W7" s="32" t="n">
        <x:f>SUM('02_属性来源'!AB28:AB41)</x:f>
        <x:v>20</x:v>
      </x:c>
      <x:c r="X7" s="32" t="n">
        <x:f>SUM('02_属性来源'!AC28:AC41)</x:f>
        <x:v>39</x:v>
      </x:c>
      <x:c r="Y7" s="32" t="n">
        <x:f>SUM('02_属性来源'!AD28:AD41)</x:f>
        <x:v>0</x:v>
      </x:c>
      <x:c r="Z7" s="32" t="n">
        <x:f>SUM('02_属性来源'!AE28:AE41)</x:f>
        <x:v>0</x:v>
      </x:c>
      <x:c r="AA7" s="32" t="n">
        <x:f>SUM('02_属性来源'!AF28:AF41)</x:f>
        <x:v>5000</x:v>
      </x:c>
      <x:c r="AB7" s="32" t="n">
        <x:f>SUM('02_属性来源'!AG28:AG41)</x:f>
        <x:v>2000</x:v>
      </x:c>
      <x:c r="AC7" s="32" t="n">
        <x:f>SUM('02_属性来源'!AH28:AH41)</x:f>
        <x:v>10</x:v>
      </x:c>
      <x:c r="AD7" s="32" t="n">
        <x:f>SUM('02_属性来源'!AI28:AI41)</x:f>
        <x:v>0</x:v>
      </x:c>
      <x:c r="AE7" s="32" t="n">
        <x:f>SUM('02_属性来源'!AJ28:AJ41)</x:f>
        <x:v>67</x:v>
      </x:c>
      <x:c r="AF7" s="32" t="n">
        <x:f>SUM('02_属性来源'!AK28:AK41)</x:f>
        <x:v>7</x:v>
      </x:c>
      <x:c r="AG7" s="32" t="n">
        <x:f>SUM('02_属性来源'!AL28:AL41)</x:f>
        <x:v>0</x:v>
      </x:c>
      <x:c r="AH7" s="32" t="n">
        <x:f>SUM('02_属性来源'!AM28:AM41)</x:f>
        <x:v>11.5</x:v>
      </x:c>
      <x:c r="AI7" s="32" t="n">
        <x:f>SUM('02_属性来源'!AN28:AN41)</x:f>
        <x:v>1</x:v>
      </x:c>
      <x:c r="AJ7" s="32" t="n">
        <x:f>SUM('02_属性来源'!AO28:AO41)</x:f>
        <x:v>1</x:v>
      </x:c>
      <x:c r="AK7" s="32" t="n">
        <x:f>SUM('02_属性来源'!AP28:AP41)</x:f>
        <x:v>93</x:v>
      </x:c>
      <x:c r="AL7" s="32" t="n">
        <x:f>SUM('02_属性来源'!AQ28:AQ41)</x:f>
        <x:v>57</x:v>
      </x:c>
      <x:c r="AM7" s="32" t="n">
        <x:f>SUM('02_属性来源'!AR28:AR41)</x:f>
        <x:v>0</x:v>
      </x:c>
      <x:c r="AN7" s="32" t="n">
        <x:f>SUM('02_属性来源'!AS28:AS41)</x:f>
        <x:v>8</x:v>
      </x:c>
      <x:c r="AO7" s="32" t="n">
        <x:f>SUM('02_属性来源'!AT28:AT41)</x:f>
        <x:v>900</x:v>
      </x:c>
      <x:c r="AP7" s="32" t="n">
        <x:f>SUM('02_属性来源'!AU28:AU41)</x:f>
        <x:v>15</x:v>
      </x:c>
      <x:c r="AQ7" s="32" t="n">
        <x:f>SUM('02_属性来源'!AV28:AV41)</x:f>
        <x:v>0</x:v>
      </x:c>
      <x:c r="AR7" s="32" t="n">
        <x:f>SUM('02_属性来源'!AW28:AW41)</x:f>
        <x:v>0</x:v>
      </x:c>
      <x:c r="AS7" s="32" t="n">
        <x:f>SUM('02_属性来源'!AX28:AX41)</x:f>
        <x:v>0</x:v>
      </x:c>
      <x:c r="AT7" s="32" t="n">
        <x:f>SUM('02_属性来源'!AY28:AY41)</x:f>
        <x:v>0</x:v>
      </x:c>
      <x:c r="AU7" s="32" t="n">
        <x:f>SUM('02_属性来源'!AZ28:AZ41)</x:f>
        <x:v>14</x:v>
      </x:c>
      <x:c r="AV7" s="32" t="n">
        <x:f>SUM('02_属性来源'!BA28:BA41)</x:f>
        <x:v>50</x:v>
      </x:c>
    </x:row>
    <x:row r="8">
      <x:c r="A8" s="25" t="str">
        <x:v>C01-X</x:v>
      </x:c>
      <x:c r="B8" s="25" t="str">
        <x:v>漂流群岛</x:v>
      </x:c>
      <x:c r="C8" s="25" t="str">
        <x:v>极端压力</x:v>
      </x:c>
      <x:c r="D8" s="32" t="n">
        <x:f>SUM('02_属性来源'!I42:I56)</x:f>
        <x:v>1414</x:v>
      </x:c>
      <x:c r="E8" s="32" t="n">
        <x:f>SUM('02_属性来源'!J42:J56)</x:f>
        <x:v>2221</x:v>
      </x:c>
      <x:c r="F8" s="32" t="n">
        <x:f>SUM('02_属性来源'!K42:K56)</x:f>
        <x:v>1405</x:v>
      </x:c>
      <x:c r="G8" s="32" t="n">
        <x:f>SUM('02_属性来源'!L42:L56)</x:f>
        <x:v>2203</x:v>
      </x:c>
      <x:c r="H8" s="32" t="n">
        <x:f>SUM('02_属性来源'!M42:M56)</x:f>
        <x:v>1405</x:v>
      </x:c>
      <x:c r="I8" s="32" t="n">
        <x:f>SUM('02_属性来源'!N42:N56)</x:f>
        <x:v>2203</x:v>
      </x:c>
      <x:c r="J8" s="32" t="n">
        <x:f>SUM('02_属性来源'!O42:O56)</x:f>
        <x:v>435500</x:v>
      </x:c>
      <x:c r="K8" s="32" t="n">
        <x:f>SUM('02_属性来源'!P42:P56)</x:f>
        <x:v>10300</x:v>
      </x:c>
      <x:c r="L8" s="32" t="n">
        <x:f>SUM('02_属性来源'!Q42:Q56)</x:f>
        <x:v>320</x:v>
      </x:c>
      <x:c r="M8" s="32" t="n">
        <x:f>SUM('02_属性来源'!R42:R56)</x:f>
        <x:v>588</x:v>
      </x:c>
      <x:c r="N8" s="32" t="n">
        <x:f>SUM('02_属性来源'!S42:S56)</x:f>
        <x:v>264</x:v>
      </x:c>
      <x:c r="O8" s="32" t="n">
        <x:f>SUM('02_属性来源'!T42:T56)</x:f>
        <x:v>482</x:v>
      </x:c>
      <x:c r="P8" s="32" t="n">
        <x:f>SUM('02_属性来源'!U42:U56)</x:f>
        <x:v>192</x:v>
      </x:c>
      <x:c r="Q8" s="32" t="n">
        <x:f>SUM('02_属性来源'!V42:V56)</x:f>
        <x:v>192</x:v>
      </x:c>
      <x:c r="R8" s="32" t="n">
        <x:f>SUM('02_属性来源'!W42:W56)</x:f>
        <x:v>192</x:v>
      </x:c>
      <x:c r="S8" s="32" t="n">
        <x:f>SUM('02_属性来源'!X42:X56)</x:f>
        <x:v>0.03</x:v>
      </x:c>
      <x:c r="T8" s="32" t="n">
        <x:f>SUM('02_属性来源'!Y42:Y56)</x:f>
        <x:v>10</x:v>
      </x:c>
      <x:c r="U8" s="32" t="n">
        <x:f>SUM('02_属性来源'!Z42:Z56)</x:f>
        <x:v>76</x:v>
      </x:c>
      <x:c r="V8" s="32" t="n">
        <x:f>SUM('02_属性来源'!AA42:AA56)</x:f>
        <x:v>31</x:v>
      </x:c>
      <x:c r="W8" s="32" t="n">
        <x:f>SUM('02_属性来源'!AB42:AB56)</x:f>
        <x:v>21</x:v>
      </x:c>
      <x:c r="X8" s="32" t="n">
        <x:f>SUM('02_属性来源'!AC42:AC56)</x:f>
        <x:v>81</x:v>
      </x:c>
      <x:c r="Y8" s="32" t="n">
        <x:f>SUM('02_属性来源'!AD42:AD56)</x:f>
        <x:v>0</x:v>
      </x:c>
      <x:c r="Z8" s="32" t="n">
        <x:f>SUM('02_属性来源'!AE42:AE56)</x:f>
        <x:v>0</x:v>
      </x:c>
      <x:c r="AA8" s="32" t="n">
        <x:f>SUM('02_属性来源'!AF42:AF56)</x:f>
        <x:v>5000</x:v>
      </x:c>
      <x:c r="AB8" s="32" t="n">
        <x:f>SUM('02_属性来源'!AG42:AG56)</x:f>
        <x:v>2000</x:v>
      </x:c>
      <x:c r="AC8" s="32" t="n">
        <x:f>SUM('02_属性来源'!AH42:AH56)</x:f>
        <x:v>12</x:v>
      </x:c>
      <x:c r="AD8" s="32" t="n">
        <x:f>SUM('02_属性来源'!AI42:AI56)</x:f>
        <x:v>1</x:v>
      </x:c>
      <x:c r="AE8" s="32" t="n">
        <x:f>SUM('02_属性来源'!AJ42:AJ56)</x:f>
        <x:v>124</x:v>
      </x:c>
      <x:c r="AF8" s="32" t="n">
        <x:f>SUM('02_属性来源'!AK42:AK56)</x:f>
        <x:v>7</x:v>
      </x:c>
      <x:c r="AG8" s="32" t="n">
        <x:f>SUM('02_属性来源'!AL42:AL56)</x:f>
        <x:v>0</x:v>
      </x:c>
      <x:c r="AH8" s="32" t="n">
        <x:f>SUM('02_属性来源'!AM42:AM56)</x:f>
        <x:v>12.5</x:v>
      </x:c>
      <x:c r="AI8" s="32" t="n">
        <x:f>SUM('02_属性来源'!AN42:AN56)</x:f>
        <x:v>1</x:v>
      </x:c>
      <x:c r="AJ8" s="32" t="n">
        <x:f>SUM('02_属性来源'!AO42:AO56)</x:f>
        <x:v>1</x:v>
      </x:c>
      <x:c r="AK8" s="32" t="n">
        <x:f>SUM('02_属性来源'!AP42:AP56)</x:f>
        <x:v>175</x:v>
      </x:c>
      <x:c r="AL8" s="32" t="n">
        <x:f>SUM('02_属性来源'!AQ42:AQ56)</x:f>
        <x:v>69</x:v>
      </x:c>
      <x:c r="AM8" s="32" t="n">
        <x:f>SUM('02_属性来源'!AR42:AR56)</x:f>
        <x:v>0</x:v>
      </x:c>
      <x:c r="AN8" s="32" t="n">
        <x:f>SUM('02_属性来源'!AS42:AS56)</x:f>
        <x:v>15</x:v>
      </x:c>
      <x:c r="AO8" s="32" t="n">
        <x:f>SUM('02_属性来源'!AT42:AT56)</x:f>
        <x:v>900</x:v>
      </x:c>
      <x:c r="AP8" s="32" t="n">
        <x:f>SUM('02_属性来源'!AU42:AU56)</x:f>
        <x:v>15</x:v>
      </x:c>
      <x:c r="AQ8" s="32" t="n">
        <x:f>SUM('02_属性来源'!AV42:AV56)</x:f>
        <x:v>0</x:v>
      </x:c>
      <x:c r="AR8" s="32" t="n">
        <x:f>SUM('02_属性来源'!AW42:AW56)</x:f>
        <x:v>0</x:v>
      </x:c>
      <x:c r="AS8" s="32" t="n">
        <x:f>SUM('02_属性来源'!AX42:AX56)</x:f>
        <x:v>0</x:v>
      </x:c>
      <x:c r="AT8" s="32" t="n">
        <x:f>SUM('02_属性来源'!AY42:AY56)</x:f>
        <x:v>0</x:v>
      </x:c>
      <x:c r="AU8" s="32" t="n">
        <x:f>SUM('02_属性来源'!AZ42:AZ56)</x:f>
        <x:v>16</x:v>
      </x:c>
      <x:c r="AV8" s="32" t="n">
        <x:f>SUM('02_属性来源'!BA42:BA56)</x:f>
        <x:v>50</x:v>
      </x:c>
    </x:row>
    <x:row r="9">
      <x:c r="A9" s="25" t="str">
        <x:v>C02-E</x:v>
      </x:c>
      <x:c r="B9" s="25" t="str">
        <x:v>宁姆格福</x:v>
      </x:c>
      <x:c r="C9" s="25" t="str">
        <x:v>半急速入场</x:v>
      </x:c>
      <x:c r="D9" s="32" t="n">
        <x:f>SUM('02_属性来源'!I57:I70)</x:f>
        <x:v>2043</x:v>
      </x:c>
      <x:c r="E9" s="32" t="n">
        <x:f>SUM('02_属性来源'!J57:J70)</x:f>
        <x:v>2432</x:v>
      </x:c>
      <x:c r="F9" s="32" t="n">
        <x:f>SUM('02_属性来源'!K57:K70)</x:f>
        <x:v>2034</x:v>
      </x:c>
      <x:c r="G9" s="32" t="n">
        <x:f>SUM('02_属性来源'!L57:L70)</x:f>
        <x:v>2414</x:v>
      </x:c>
      <x:c r="H9" s="32" t="n">
        <x:f>SUM('02_属性来源'!M57:M70)</x:f>
        <x:v>2034</x:v>
      </x:c>
      <x:c r="I9" s="32" t="n">
        <x:f>SUM('02_属性来源'!N57:N70)</x:f>
        <x:v>2414</x:v>
      </x:c>
      <x:c r="J9" s="32" t="n">
        <x:f>SUM('02_属性来源'!O57:O70)</x:f>
        <x:v>315380</x:v>
      </x:c>
      <x:c r="K9" s="32" t="n">
        <x:f>SUM('02_属性来源'!P57:P70)</x:f>
        <x:v>30300</x:v>
      </x:c>
      <x:c r="L9" s="32" t="n">
        <x:f>SUM('02_属性来源'!Q57:Q70)</x:f>
        <x:v>198</x:v>
      </x:c>
      <x:c r="M9" s="32" t="n">
        <x:f>SUM('02_属性来源'!R57:R70)</x:f>
        <x:v>376</x:v>
      </x:c>
      <x:c r="N9" s="32" t="n">
        <x:f>SUM('02_属性来源'!S57:S70)</x:f>
        <x:v>162</x:v>
      </x:c>
      <x:c r="O9" s="32" t="n">
        <x:f>SUM('02_属性来源'!T57:T70)</x:f>
        <x:v>305</x:v>
      </x:c>
      <x:c r="P9" s="32" t="n">
        <x:f>SUM('02_属性来源'!U57:U70)</x:f>
        <x:v>113</x:v>
      </x:c>
      <x:c r="Q9" s="32" t="n">
        <x:f>SUM('02_属性来源'!V57:V70)</x:f>
        <x:v>113</x:v>
      </x:c>
      <x:c r="R9" s="32" t="n">
        <x:f>SUM('02_属性来源'!W57:W70)</x:f>
        <x:v>113</x:v>
      </x:c>
      <x:c r="S9" s="32" t="n">
        <x:f>SUM('02_属性来源'!X57:X70)</x:f>
        <x:v>0.01</x:v>
      </x:c>
      <x:c r="T9" s="32" t="n">
        <x:f>SUM('02_属性来源'!Y57:Y70)</x:f>
        <x:v>10</x:v>
      </x:c>
      <x:c r="U9" s="32" t="n">
        <x:f>SUM('02_属性来源'!Z57:Z70)</x:f>
        <x:v>41</x:v>
      </x:c>
      <x:c r="V9" s="32" t="n">
        <x:f>SUM('02_属性来源'!AA57:AA70)</x:f>
        <x:v>17</x:v>
      </x:c>
      <x:c r="W9" s="32" t="n">
        <x:f>SUM('02_属性来源'!AB57:AB70)</x:f>
        <x:v>20</x:v>
      </x:c>
      <x:c r="X9" s="32" t="n">
        <x:f>SUM('02_属性来源'!AC57:AC70)</x:f>
        <x:v>39</x:v>
      </x:c>
      <x:c r="Y9" s="32" t="n">
        <x:f>SUM('02_属性来源'!AD57:AD70)</x:f>
        <x:v>0</x:v>
      </x:c>
      <x:c r="Z9" s="32" t="n">
        <x:f>SUM('02_属性来源'!AE57:AE70)</x:f>
        <x:v>0</x:v>
      </x:c>
      <x:c r="AA9" s="32" t="n">
        <x:f>SUM('02_属性来源'!AF57:AF70)</x:f>
        <x:v>0</x:v>
      </x:c>
      <x:c r="AB9" s="32" t="n">
        <x:f>SUM('02_属性来源'!AG57:AG70)</x:f>
        <x:v>0</x:v>
      </x:c>
      <x:c r="AC9" s="32" t="n">
        <x:f>SUM('02_属性来源'!AH57:AH70)</x:f>
        <x:v>10</x:v>
      </x:c>
      <x:c r="AD9" s="32" t="n">
        <x:f>SUM('02_属性来源'!AI57:AI70)</x:f>
        <x:v>0</x:v>
      </x:c>
      <x:c r="AE9" s="32" t="n">
        <x:f>SUM('02_属性来源'!AJ57:AJ70)</x:f>
        <x:v>67</x:v>
      </x:c>
      <x:c r="AF9" s="32" t="n">
        <x:f>SUM('02_属性来源'!AK57:AK70)</x:f>
        <x:v>7</x:v>
      </x:c>
      <x:c r="AG9" s="32" t="n">
        <x:f>SUM('02_属性来源'!AL57:AL70)</x:f>
        <x:v>0</x:v>
      </x:c>
      <x:c r="AH9" s="32" t="n">
        <x:f>SUM('02_属性来源'!AM57:AM70)</x:f>
        <x:v>11.5</x:v>
      </x:c>
      <x:c r="AI9" s="32" t="n">
        <x:f>SUM('02_属性来源'!AN57:AN70)</x:f>
        <x:v>1</x:v>
      </x:c>
      <x:c r="AJ9" s="32" t="n">
        <x:f>SUM('02_属性来源'!AO57:AO70)</x:f>
        <x:v>1</x:v>
      </x:c>
      <x:c r="AK9" s="32" t="n">
        <x:f>SUM('02_属性来源'!AP57:AP70)</x:f>
        <x:v>93</x:v>
      </x:c>
      <x:c r="AL9" s="32" t="n">
        <x:f>SUM('02_属性来源'!AQ57:AQ70)</x:f>
        <x:v>57</x:v>
      </x:c>
      <x:c r="AM9" s="32" t="n">
        <x:f>SUM('02_属性来源'!AR57:AR70)</x:f>
        <x:v>0</x:v>
      </x:c>
      <x:c r="AN9" s="32" t="n">
        <x:f>SUM('02_属性来源'!AS57:AS70)</x:f>
        <x:v>8</x:v>
      </x:c>
      <x:c r="AO9" s="32" t="n">
        <x:f>SUM('02_属性来源'!AT57:AT70)</x:f>
        <x:v>1150</x:v>
      </x:c>
      <x:c r="AP9" s="32" t="n">
        <x:f>SUM('02_属性来源'!AU57:AU70)</x:f>
        <x:v>17</x:v>
      </x:c>
      <x:c r="AQ9" s="32" t="n">
        <x:f>SUM('02_属性来源'!AV57:AV70)</x:f>
        <x:v>3</x:v>
      </x:c>
      <x:c r="AR9" s="32" t="n">
        <x:f>SUM('02_属性来源'!AW57:AW70)</x:f>
        <x:v>10</x:v>
      </x:c>
      <x:c r="AS9" s="32" t="n">
        <x:f>SUM('02_属性来源'!AX57:AX70)</x:f>
        <x:v>10</x:v>
      </x:c>
      <x:c r="AT9" s="32" t="n">
        <x:f>SUM('02_属性来源'!AY57:AY70)</x:f>
        <x:v>0</x:v>
      </x:c>
      <x:c r="AU9" s="32" t="n">
        <x:f>SUM('02_属性来源'!AZ57:AZ70)</x:f>
        <x:v>14</x:v>
      </x:c>
      <x:c r="AV9" s="32" t="n">
        <x:f>SUM('02_属性来源'!BA57:BA70)</x:f>
        <x:v>50</x:v>
      </x:c>
    </x:row>
    <x:row r="10">
      <x:c r="A10" s="25" t="str">
        <x:v>C02-M</x:v>
      </x:c>
      <x:c r="B10" s="25" t="str">
        <x:v>宁姆格福</x:v>
      </x:c>
      <x:c r="C10" s="25" t="str">
        <x:v>半急速中期</x:v>
      </x:c>
      <x:c r="D10" s="32" t="n">
        <x:f>SUM('02_属性来源'!I71:I85)</x:f>
        <x:v>2998</x:v>
      </x:c>
      <x:c r="E10" s="32" t="n">
        <x:f>SUM('02_属性来源'!J71:J85)</x:f>
        <x:v>3874.5</x:v>
      </x:c>
      <x:c r="F10" s="32" t="n">
        <x:f>SUM('02_属性来源'!K71:K85)</x:f>
        <x:v>2997</x:v>
      </x:c>
      <x:c r="G10" s="32" t="n">
        <x:f>SUM('02_属性来源'!L71:L85)</x:f>
        <x:v>3863</x:v>
      </x:c>
      <x:c r="H10" s="32" t="n">
        <x:f>SUM('02_属性来源'!M71:M85)</x:f>
        <x:v>3045</x:v>
      </x:c>
      <x:c r="I10" s="32" t="n">
        <x:f>SUM('02_属性来源'!N71:N85)</x:f>
        <x:v>3911</x:v>
      </x:c>
      <x:c r="J10" s="32" t="n">
        <x:f>SUM('02_属性来源'!O71:O85)</x:f>
        <x:v>660910</x:v>
      </x:c>
      <x:c r="K10" s="32" t="n">
        <x:f>SUM('02_属性来源'!P71:P85)</x:f>
        <x:v>30350</x:v>
      </x:c>
      <x:c r="L10" s="32" t="n">
        <x:f>SUM('02_属性来源'!Q71:Q85)</x:f>
        <x:v>425</x:v>
      </x:c>
      <x:c r="M10" s="32" t="n">
        <x:f>SUM('02_属性来源'!R71:R85)</x:f>
        <x:v>794</x:v>
      </x:c>
      <x:c r="N10" s="32" t="n">
        <x:f>SUM('02_属性来源'!S71:S85)</x:f>
        <x:v>346</x:v>
      </x:c>
      <x:c r="O10" s="32" t="n">
        <x:f>SUM('02_属性来源'!T71:T85)</x:f>
        <x:v>645</x:v>
      </x:c>
      <x:c r="P10" s="32" t="n">
        <x:f>SUM('02_属性来源'!U71:U85)</x:f>
        <x:v>486</x:v>
      </x:c>
      <x:c r="Q10" s="32" t="n">
        <x:f>SUM('02_属性来源'!V71:V85)</x:f>
        <x:v>251</x:v>
      </x:c>
      <x:c r="R10" s="32" t="n">
        <x:f>SUM('02_属性来源'!W71:W85)</x:f>
        <x:v>251</x:v>
      </x:c>
      <x:c r="S10" s="32" t="n">
        <x:f>SUM('02_属性来源'!X71:X85)</x:f>
        <x:v>0.03</x:v>
      </x:c>
      <x:c r="T10" s="32" t="n">
        <x:f>SUM('02_属性来源'!Y71:Y85)</x:f>
        <x:v>15</x:v>
      </x:c>
      <x:c r="U10" s="32" t="n">
        <x:f>SUM('02_属性来源'!Z71:Z85)</x:f>
        <x:v>87</x:v>
      </x:c>
      <x:c r="V10" s="32" t="n">
        <x:f>SUM('02_属性来源'!AA71:AA85)</x:f>
        <x:v>36</x:v>
      </x:c>
      <x:c r="W10" s="32" t="n">
        <x:f>SUM('02_属性来源'!AB71:AB85)</x:f>
        <x:v>23</x:v>
      </x:c>
      <x:c r="X10" s="32" t="n">
        <x:f>SUM('02_属性来源'!AC71:AC85)</x:f>
        <x:v>86</x:v>
      </x:c>
      <x:c r="Y10" s="32" t="n">
        <x:f>SUM('02_属性来源'!AD71:AD85)</x:f>
        <x:v>2</x:v>
      </x:c>
      <x:c r="Z10" s="32" t="n">
        <x:f>SUM('02_属性来源'!AE71:AE85)</x:f>
        <x:v>0</x:v>
      </x:c>
      <x:c r="AA10" s="32" t="n">
        <x:f>SUM('02_属性来源'!AF71:AF85)</x:f>
        <x:v>0</x:v>
      </x:c>
      <x:c r="AB10" s="32" t="n">
        <x:f>SUM('02_属性来源'!AG71:AG85)</x:f>
        <x:v>0</x:v>
      </x:c>
      <x:c r="AC10" s="32" t="n">
        <x:f>SUM('02_属性来源'!AH71:AH85)</x:f>
        <x:v>15</x:v>
      </x:c>
      <x:c r="AD10" s="32" t="n">
        <x:f>SUM('02_属性来源'!AI71:AI85)</x:f>
        <x:v>0</x:v>
      </x:c>
      <x:c r="AE10" s="32" t="n">
        <x:f>SUM('02_属性来源'!AJ71:AJ85)</x:f>
        <x:v>124</x:v>
      </x:c>
      <x:c r="AF10" s="32" t="n">
        <x:f>SUM('02_属性来源'!AK71:AK85)</x:f>
        <x:v>7</x:v>
      </x:c>
      <x:c r="AG10" s="32" t="n">
        <x:f>SUM('02_属性来源'!AL71:AL85)</x:f>
        <x:v>3</x:v>
      </x:c>
      <x:c r="AH10" s="32" t="n">
        <x:f>SUM('02_属性来源'!AM71:AM85)</x:f>
        <x:v>17.5</x:v>
      </x:c>
      <x:c r="AI10" s="32" t="n">
        <x:f>SUM('02_属性来源'!AN71:AN85)</x:f>
        <x:v>5</x:v>
      </x:c>
      <x:c r="AJ10" s="32" t="n">
        <x:f>SUM('02_属性来源'!AO71:AO85)</x:f>
        <x:v>5</x:v>
      </x:c>
      <x:c r="AK10" s="32" t="n">
        <x:f>SUM('02_属性来源'!AP71:AP85)</x:f>
        <x:v>223</x:v>
      </x:c>
      <x:c r="AL10" s="32" t="n">
        <x:f>SUM('02_属性来源'!AQ71:AQ85)</x:f>
        <x:v>86</x:v>
      </x:c>
      <x:c r="AM10" s="32" t="n">
        <x:f>SUM('02_属性来源'!AR71:AR85)</x:f>
        <x:v>0</x:v>
      </x:c>
      <x:c r="AN10" s="32" t="n">
        <x:f>SUM('02_属性来源'!AS71:AS85)</x:f>
        <x:v>11</x:v>
      </x:c>
      <x:c r="AO10" s="32" t="n">
        <x:f>SUM('02_属性来源'!AT71:AT85)</x:f>
        <x:v>1150</x:v>
      </x:c>
      <x:c r="AP10" s="32" t="n">
        <x:f>SUM('02_属性来源'!AU71:AU85)</x:f>
        <x:v>19</x:v>
      </x:c>
      <x:c r="AQ10" s="32" t="n">
        <x:f>SUM('02_属性来源'!AV71:AV85)</x:f>
        <x:v>3</x:v>
      </x:c>
      <x:c r="AR10" s="32" t="n">
        <x:f>SUM('02_属性来源'!AW71:AW85)</x:f>
        <x:v>10</x:v>
      </x:c>
      <x:c r="AS10" s="32" t="n">
        <x:f>SUM('02_属性来源'!AX71:AX85)</x:f>
        <x:v>10</x:v>
      </x:c>
      <x:c r="AT10" s="32" t="n">
        <x:f>SUM('02_属性来源'!AY71:AY85)</x:f>
        <x:v>0</x:v>
      </x:c>
      <x:c r="AU10" s="32" t="n">
        <x:f>SUM('02_属性来源'!AZ71:AZ85)</x:f>
        <x:v>16</x:v>
      </x:c>
      <x:c r="AV10" s="32" t="n">
        <x:f>SUM('02_属性来源'!BA71:BA85)</x:f>
        <x:v>50</x:v>
      </x:c>
    </x:row>
    <x:row r="11">
      <x:c r="A11" s="25" t="str">
        <x:v>C02-G</x:v>
      </x:c>
      <x:c r="B11" s="25" t="str">
        <x:v>宁姆格福</x:v>
      </x:c>
      <x:c r="C11" s="25" t="str">
        <x:v>半急速毕业</x:v>
      </x:c>
      <x:c r="D11" s="32" t="n">
        <x:f>SUM('02_属性来源'!I86:I100)</x:f>
        <x:v>4563</x:v>
      </x:c>
      <x:c r="E11" s="32" t="n">
        <x:f>SUM('02_属性来源'!J86:J100)</x:f>
        <x:v>5878</x:v>
      </x:c>
      <x:c r="F11" s="32" t="n">
        <x:f>SUM('02_属性来源'!K86:K100)</x:f>
        <x:v>4541</x:v>
      </x:c>
      <x:c r="G11" s="32" t="n">
        <x:f>SUM('02_属性来源'!L86:L100)</x:f>
        <x:v>5844</x:v>
      </x:c>
      <x:c r="H11" s="32" t="n">
        <x:f>SUM('02_属性来源'!M86:M100)</x:f>
        <x:v>4474</x:v>
      </x:c>
      <x:c r="I11" s="32" t="n">
        <x:f>SUM('02_属性来源'!N86:N100)</x:f>
        <x:v>5777</x:v>
      </x:c>
      <x:c r="J11" s="32" t="n">
        <x:f>SUM('02_属性来源'!O86:O100)</x:f>
        <x:v>1149751</x:v>
      </x:c>
      <x:c r="K11" s="32" t="n">
        <x:f>SUM('02_属性来源'!P86:P100)</x:f>
        <x:v>30400</x:v>
      </x:c>
      <x:c r="L11" s="32" t="n">
        <x:f>SUM('02_属性来源'!Q86:Q100)</x:f>
        <x:v>588</x:v>
      </x:c>
      <x:c r="M11" s="32" t="n">
        <x:f>SUM('02_属性来源'!R86:R100)</x:f>
        <x:v>1088</x:v>
      </x:c>
      <x:c r="N11" s="32" t="n">
        <x:f>SUM('02_属性来源'!S86:S100)</x:f>
        <x:v>480</x:v>
      </x:c>
      <x:c r="O11" s="32" t="n">
        <x:f>SUM('02_属性来源'!T86:T100)</x:f>
        <x:v>887</x:v>
      </x:c>
      <x:c r="P11" s="32" t="n">
        <x:f>SUM('02_属性来源'!U86:U100)</x:f>
        <x:v>685</x:v>
      </x:c>
      <x:c r="Q11" s="32" t="n">
        <x:f>SUM('02_属性来源'!V86:V100)</x:f>
        <x:v>331</x:v>
      </x:c>
      <x:c r="R11" s="32" t="n">
        <x:f>SUM('02_属性来源'!W86:W100)</x:f>
        <x:v>331</x:v>
      </x:c>
      <x:c r="S11" s="32" t="n">
        <x:f>SUM('02_属性来源'!X86:X100)</x:f>
        <x:v>0.05</x:v>
      </x:c>
      <x:c r="T11" s="32" t="n">
        <x:f>SUM('02_属性来源'!Y86:Y100)</x:f>
        <x:v>14</x:v>
      </x:c>
      <x:c r="U11" s="32" t="n">
        <x:f>SUM('02_属性来源'!Z86:Z100)</x:f>
        <x:v>101</x:v>
      </x:c>
      <x:c r="V11" s="32" t="n">
        <x:f>SUM('02_属性来源'!AA86:AA100)</x:f>
        <x:v>40</x:v>
      </x:c>
      <x:c r="W11" s="32" t="n">
        <x:f>SUM('02_属性来源'!AB86:AB100)</x:f>
        <x:v>24</x:v>
      </x:c>
      <x:c r="X11" s="32" t="n">
        <x:f>SUM('02_属性来源'!AC86:AC100)</x:f>
        <x:v>99</x:v>
      </x:c>
      <x:c r="Y11" s="32" t="n">
        <x:f>SUM('02_属性来源'!AD86:AD100)</x:f>
        <x:v>2</x:v>
      </x:c>
      <x:c r="Z11" s="32" t="n">
        <x:f>SUM('02_属性来源'!AE86:AE100)</x:f>
        <x:v>0</x:v>
      </x:c>
      <x:c r="AA11" s="32" t="n">
        <x:f>SUM('02_属性来源'!AF86:AF100)</x:f>
        <x:v>0</x:v>
      </x:c>
      <x:c r="AB11" s="32" t="n">
        <x:f>SUM('02_属性来源'!AG86:AG100)</x:f>
        <x:v>0</x:v>
      </x:c>
      <x:c r="AC11" s="32" t="n">
        <x:f>SUM('02_属性来源'!AH86:AH100)</x:f>
        <x:v>15</x:v>
      </x:c>
      <x:c r="AD11" s="32" t="n">
        <x:f>SUM('02_属性来源'!AI86:AI100)</x:f>
        <x:v>0</x:v>
      </x:c>
      <x:c r="AE11" s="32" t="n">
        <x:f>SUM('02_属性来源'!AJ86:AJ100)</x:f>
        <x:v>135</x:v>
      </x:c>
      <x:c r="AF11" s="32" t="n">
        <x:f>SUM('02_属性来源'!AK86:AK100)</x:f>
        <x:v>7</x:v>
      </x:c>
      <x:c r="AG11" s="32" t="n">
        <x:f>SUM('02_属性来源'!AL86:AL100)</x:f>
        <x:v>8</x:v>
      </x:c>
      <x:c r="AH11" s="32" t="n">
        <x:f>SUM('02_属性来源'!AM86:AM100)</x:f>
        <x:v>13.5</x:v>
      </x:c>
      <x:c r="AI11" s="32" t="n">
        <x:f>SUM('02_属性来源'!AN86:AN100)</x:f>
        <x:v>3</x:v>
      </x:c>
      <x:c r="AJ11" s="32" t="n">
        <x:f>SUM('02_属性来源'!AO86:AO100)</x:f>
        <x:v>0</x:v>
      </x:c>
      <x:c r="AK11" s="32" t="n">
        <x:f>SUM('02_属性来源'!AP86:AP100)</x:f>
        <x:v>323</x:v>
      </x:c>
      <x:c r="AL11" s="32" t="n">
        <x:f>SUM('02_属性来源'!AQ86:AQ100)</x:f>
        <x:v>88</x:v>
      </x:c>
      <x:c r="AM11" s="32" t="n">
        <x:f>SUM('02_属性来源'!AR86:AR100)</x:f>
        <x:v>0</x:v>
      </x:c>
      <x:c r="AN11" s="32" t="n">
        <x:f>SUM('02_属性来源'!AS86:AS100)</x:f>
        <x:v>8</x:v>
      </x:c>
      <x:c r="AO11" s="32" t="n">
        <x:f>SUM('02_属性来源'!AT86:AT100)</x:f>
        <x:v>1150</x:v>
      </x:c>
      <x:c r="AP11" s="32" t="n">
        <x:f>SUM('02_属性来源'!AU86:AU100)</x:f>
        <x:v>17</x:v>
      </x:c>
      <x:c r="AQ11" s="32" t="n">
        <x:f>SUM('02_属性来源'!AV86:AV100)</x:f>
        <x:v>3</x:v>
      </x:c>
      <x:c r="AR11" s="32" t="n">
        <x:f>SUM('02_属性来源'!AW86:AW100)</x:f>
        <x:v>10</x:v>
      </x:c>
      <x:c r="AS11" s="32" t="n">
        <x:f>SUM('02_属性来源'!AX86:AX100)</x:f>
        <x:v>10</x:v>
      </x:c>
      <x:c r="AT11" s="32" t="n">
        <x:f>SUM('02_属性来源'!AY86:AY100)</x:f>
        <x:v>0</x:v>
      </x:c>
      <x:c r="AU11" s="32" t="n">
        <x:f>SUM('02_属性来源'!AZ86:AZ100)</x:f>
        <x:v>16</x:v>
      </x:c>
      <x:c r="AV11" s="32" t="n">
        <x:f>SUM('02_属性来源'!BA86:BA100)</x:f>
        <x:v>50</x:v>
      </x:c>
    </x:row>
    <x:row r="12">
      <x:c r="A12" s="25" t="str">
        <x:v>C02-X</x:v>
      </x:c>
      <x:c r="B12" s="25" t="str">
        <x:v>宁姆格福</x:v>
      </x:c>
      <x:c r="C12" s="25" t="str">
        <x:v>极端压力</x:v>
      </x:c>
      <x:c r="D12" s="32" t="n">
        <x:f>SUM('02_属性来源'!I101:I116)</x:f>
        <x:v>5753</x:v>
      </x:c>
      <x:c r="E12" s="32" t="n">
        <x:f>SUM('02_属性来源'!J101:J116)</x:f>
        <x:v>7577</x:v>
      </x:c>
      <x:c r="F12" s="32" t="n">
        <x:f>SUM('02_属性来源'!K101:K116)</x:f>
        <x:v>5217</x:v>
      </x:c>
      <x:c r="G12" s="32" t="n">
        <x:f>SUM('02_属性来源'!L101:L116)</x:f>
        <x:v>7029</x:v>
      </x:c>
      <x:c r="H12" s="32" t="n">
        <x:f>SUM('02_属性来源'!M101:M116)</x:f>
        <x:v>5194</x:v>
      </x:c>
      <x:c r="I12" s="32" t="n">
        <x:f>SUM('02_属性来源'!N101:N116)</x:f>
        <x:v>7006</x:v>
      </x:c>
      <x:c r="J12" s="32" t="n">
        <x:f>SUM('02_属性来源'!O101:O116)</x:f>
        <x:v>2349700</x:v>
      </x:c>
      <x:c r="K12" s="32" t="n">
        <x:f>SUM('02_属性来源'!P101:P116)</x:f>
        <x:v>30400</x:v>
      </x:c>
      <x:c r="L12" s="32" t="n">
        <x:f>SUM('02_属性来源'!Q101:Q116)</x:f>
        <x:v>1194</x:v>
      </x:c>
      <x:c r="M12" s="32" t="n">
        <x:f>SUM('02_属性来源'!R101:R116)</x:f>
        <x:v>2177</x:v>
      </x:c>
      <x:c r="N12" s="32" t="n">
        <x:f>SUM('02_属性来源'!S101:S116)</x:f>
        <x:v>978</x:v>
      </x:c>
      <x:c r="O12" s="32" t="n">
        <x:f>SUM('02_属性来源'!T101:T116)</x:f>
        <x:v>1782</x:v>
      </x:c>
      <x:c r="P12" s="32" t="n">
        <x:f>SUM('02_属性来源'!U101:U116)</x:f>
        <x:v>928</x:v>
      </x:c>
      <x:c r="Q12" s="32" t="n">
        <x:f>SUM('02_属性来源'!V101:V116)</x:f>
        <x:v>544</x:v>
      </x:c>
      <x:c r="R12" s="32" t="n">
        <x:f>SUM('02_属性来源'!W101:W116)</x:f>
        <x:v>544</x:v>
      </x:c>
      <x:c r="S12" s="32" t="n">
        <x:f>SUM('02_属性来源'!X101:X116)</x:f>
        <x:v>0.08</x:v>
      </x:c>
      <x:c r="T12" s="32" t="n">
        <x:f>SUM('02_属性来源'!Y101:Y116)</x:f>
        <x:v>12</x:v>
      </x:c>
      <x:c r="U12" s="32" t="n">
        <x:f>SUM('02_属性来源'!Z101:Z116)</x:f>
        <x:v>147</x:v>
      </x:c>
      <x:c r="V12" s="32" t="n">
        <x:f>SUM('02_属性来源'!AA101:AA116)</x:f>
        <x:v>58</x:v>
      </x:c>
      <x:c r="W12" s="32" t="n">
        <x:f>SUM('02_属性来源'!AB101:AB116)</x:f>
        <x:v>24</x:v>
      </x:c>
      <x:c r="X12" s="32" t="n">
        <x:f>SUM('02_属性来源'!AC101:AC116)</x:f>
        <x:v>155</x:v>
      </x:c>
      <x:c r="Y12" s="32" t="n">
        <x:f>SUM('02_属性来源'!AD101:AD116)</x:f>
        <x:v>1</x:v>
      </x:c>
      <x:c r="Z12" s="32" t="n">
        <x:f>SUM('02_属性来源'!AE101:AE116)</x:f>
        <x:v>0</x:v>
      </x:c>
      <x:c r="AA12" s="32" t="n">
        <x:f>SUM('02_属性来源'!AF101:AF116)</x:f>
        <x:v>0</x:v>
      </x:c>
      <x:c r="AB12" s="32" t="n">
        <x:f>SUM('02_属性来源'!AG101:AG116)</x:f>
        <x:v>0</x:v>
      </x:c>
      <x:c r="AC12" s="32" t="n">
        <x:f>SUM('02_属性来源'!AH101:AH116)</x:f>
        <x:v>15</x:v>
      </x:c>
      <x:c r="AD12" s="32" t="n">
        <x:f>SUM('02_属性来源'!AI101:AI116)</x:f>
        <x:v>1</x:v>
      </x:c>
      <x:c r="AE12" s="32" t="n">
        <x:f>SUM('02_属性来源'!AJ101:AJ116)</x:f>
        <x:v>129</x:v>
      </x:c>
      <x:c r="AF12" s="32" t="n">
        <x:f>SUM('02_属性来源'!AK101:AK116)</x:f>
        <x:v>7</x:v>
      </x:c>
      <x:c r="AG12" s="32" t="n">
        <x:f>SUM('02_属性来源'!AL101:AL116)</x:f>
        <x:v>8</x:v>
      </x:c>
      <x:c r="AH12" s="32" t="n">
        <x:f>SUM('02_属性来源'!AM101:AM116)</x:f>
        <x:v>22</x:v>
      </x:c>
      <x:c r="AI12" s="32" t="n">
        <x:f>SUM('02_属性来源'!AN101:AN116)</x:f>
        <x:v>9</x:v>
      </x:c>
      <x:c r="AJ12" s="32" t="n">
        <x:f>SUM('02_属性来源'!AO101:AO116)</x:f>
        <x:v>2</x:v>
      </x:c>
      <x:c r="AK12" s="32" t="n">
        <x:f>SUM('02_属性来源'!AP101:AP116)</x:f>
        <x:v>377</x:v>
      </x:c>
      <x:c r="AL12" s="32" t="n">
        <x:f>SUM('02_属性来源'!AQ101:AQ116)</x:f>
        <x:v>126</x:v>
      </x:c>
      <x:c r="AM12" s="32" t="n">
        <x:f>SUM('02_属性来源'!AR101:AR116)</x:f>
        <x:v>2</x:v>
      </x:c>
      <x:c r="AN12" s="32" t="n">
        <x:f>SUM('02_属性来源'!AS101:AS116)</x:f>
        <x:v>15</x:v>
      </x:c>
      <x:c r="AO12" s="32" t="n">
        <x:f>SUM('02_属性来源'!AT101:AT116)</x:f>
        <x:v>1150</x:v>
      </x:c>
      <x:c r="AP12" s="32" t="n">
        <x:f>SUM('02_属性来源'!AU101:AU116)</x:f>
        <x:v>22</x:v>
      </x:c>
      <x:c r="AQ12" s="32" t="n">
        <x:f>SUM('02_属性来源'!AV101:AV116)</x:f>
        <x:v>3</x:v>
      </x:c>
      <x:c r="AR12" s="32" t="n">
        <x:f>SUM('02_属性来源'!AW101:AW116)</x:f>
        <x:v>10</x:v>
      </x:c>
      <x:c r="AS12" s="32" t="n">
        <x:f>SUM('02_属性来源'!AX101:AX116)</x:f>
        <x:v>10</x:v>
      </x:c>
      <x:c r="AT12" s="32" t="n">
        <x:f>SUM('02_属性来源'!AY101:AY116)</x:f>
        <x:v>0</x:v>
      </x:c>
      <x:c r="AU12" s="32" t="n">
        <x:f>SUM('02_属性来源'!AZ101:AZ116)</x:f>
        <x:v>19</x:v>
      </x:c>
      <x:c r="AV12" s="32" t="n">
        <x:f>SUM('02_属性来源'!BA101:BA116)</x:f>
        <x:v>50</x:v>
      </x:c>
    </x:row>
    <x:row r="13">
      <x:c r="A13" s="25" t="str">
        <x:v>C03-E</x:v>
      </x:c>
      <x:c r="B13" s="25" t="str">
        <x:v>宁姆格福西域</x:v>
      </x:c>
      <x:c r="C13" s="25" t="str">
        <x:v>半急速入场</x:v>
      </x:c>
      <x:c r="D13" s="32" t="n">
        <x:f>SUM('02_属性来源'!I117:I131)</x:f>
        <x:v>4563</x:v>
      </x:c>
      <x:c r="E13" s="32" t="n">
        <x:f>SUM('02_属性来源'!J117:J131)</x:f>
        <x:v>5878</x:v>
      </x:c>
      <x:c r="F13" s="32" t="n">
        <x:f>SUM('02_属性来源'!K117:K131)</x:f>
        <x:v>4541</x:v>
      </x:c>
      <x:c r="G13" s="32" t="n">
        <x:f>SUM('02_属性来源'!L117:L131)</x:f>
        <x:v>5844</x:v>
      </x:c>
      <x:c r="H13" s="32" t="n">
        <x:f>SUM('02_属性来源'!M117:M131)</x:f>
        <x:v>4474</x:v>
      </x:c>
      <x:c r="I13" s="32" t="n">
        <x:f>SUM('02_属性来源'!N117:N131)</x:f>
        <x:v>5777</x:v>
      </x:c>
      <x:c r="J13" s="32" t="n">
        <x:f>SUM('02_属性来源'!O117:O131)</x:f>
        <x:v>1149751</x:v>
      </x:c>
      <x:c r="K13" s="32" t="n">
        <x:f>SUM('02_属性来源'!P117:P131)</x:f>
        <x:v>30400</x:v>
      </x:c>
      <x:c r="L13" s="32" t="n">
        <x:f>SUM('02_属性来源'!Q117:Q131)</x:f>
        <x:v>588</x:v>
      </x:c>
      <x:c r="M13" s="32" t="n">
        <x:f>SUM('02_属性来源'!R117:R131)</x:f>
        <x:v>1088</x:v>
      </x:c>
      <x:c r="N13" s="32" t="n">
        <x:f>SUM('02_属性来源'!S117:S131)</x:f>
        <x:v>480</x:v>
      </x:c>
      <x:c r="O13" s="32" t="n">
        <x:f>SUM('02_属性来源'!T117:T131)</x:f>
        <x:v>887</x:v>
      </x:c>
      <x:c r="P13" s="32" t="n">
        <x:f>SUM('02_属性来源'!U117:U131)</x:f>
        <x:v>685</x:v>
      </x:c>
      <x:c r="Q13" s="32" t="n">
        <x:f>SUM('02_属性来源'!V117:V131)</x:f>
        <x:v>331</x:v>
      </x:c>
      <x:c r="R13" s="32" t="n">
        <x:f>SUM('02_属性来源'!W117:W131)</x:f>
        <x:v>331</x:v>
      </x:c>
      <x:c r="S13" s="32" t="n">
        <x:f>SUM('02_属性来源'!X117:X131)</x:f>
        <x:v>0.05</x:v>
      </x:c>
      <x:c r="T13" s="32" t="n">
        <x:f>SUM('02_属性来源'!Y117:Y131)</x:f>
        <x:v>14</x:v>
      </x:c>
      <x:c r="U13" s="32" t="n">
        <x:f>SUM('02_属性来源'!Z117:Z131)</x:f>
        <x:v>101</x:v>
      </x:c>
      <x:c r="V13" s="32" t="n">
        <x:f>SUM('02_属性来源'!AA117:AA131)</x:f>
        <x:v>40</x:v>
      </x:c>
      <x:c r="W13" s="32" t="n">
        <x:f>SUM('02_属性来源'!AB117:AB131)</x:f>
        <x:v>24</x:v>
      </x:c>
      <x:c r="X13" s="32" t="n">
        <x:f>SUM('02_属性来源'!AC117:AC131)</x:f>
        <x:v>99</x:v>
      </x:c>
      <x:c r="Y13" s="32" t="n">
        <x:f>SUM('02_属性来源'!AD117:AD131)</x:f>
        <x:v>2</x:v>
      </x:c>
      <x:c r="Z13" s="32" t="n">
        <x:f>SUM('02_属性来源'!AE117:AE131)</x:f>
        <x:v>0</x:v>
      </x:c>
      <x:c r="AA13" s="32" t="n">
        <x:f>SUM('02_属性来源'!AF117:AF131)</x:f>
        <x:v>0</x:v>
      </x:c>
      <x:c r="AB13" s="32" t="n">
        <x:f>SUM('02_属性来源'!AG117:AG131)</x:f>
        <x:v>0</x:v>
      </x:c>
      <x:c r="AC13" s="32" t="n">
        <x:f>SUM('02_属性来源'!AH117:AH131)</x:f>
        <x:v>15</x:v>
      </x:c>
      <x:c r="AD13" s="32" t="n">
        <x:f>SUM('02_属性来源'!AI117:AI131)</x:f>
        <x:v>0</x:v>
      </x:c>
      <x:c r="AE13" s="32" t="n">
        <x:f>SUM('02_属性来源'!AJ117:AJ131)</x:f>
        <x:v>135</x:v>
      </x:c>
      <x:c r="AF13" s="32" t="n">
        <x:f>SUM('02_属性来源'!AK117:AK131)</x:f>
        <x:v>7</x:v>
      </x:c>
      <x:c r="AG13" s="32" t="n">
        <x:f>SUM('02_属性来源'!AL117:AL131)</x:f>
        <x:v>8</x:v>
      </x:c>
      <x:c r="AH13" s="32" t="n">
        <x:f>SUM('02_属性来源'!AM117:AM131)</x:f>
        <x:v>13.5</x:v>
      </x:c>
      <x:c r="AI13" s="32" t="n">
        <x:f>SUM('02_属性来源'!AN117:AN131)</x:f>
        <x:v>3</x:v>
      </x:c>
      <x:c r="AJ13" s="32" t="n">
        <x:f>SUM('02_属性来源'!AO117:AO131)</x:f>
        <x:v>0</x:v>
      </x:c>
      <x:c r="AK13" s="32" t="n">
        <x:f>SUM('02_属性来源'!AP117:AP131)</x:f>
        <x:v>323</x:v>
      </x:c>
      <x:c r="AL13" s="32" t="n">
        <x:f>SUM('02_属性来源'!AQ117:AQ131)</x:f>
        <x:v>88</x:v>
      </x:c>
      <x:c r="AM13" s="32" t="n">
        <x:f>SUM('02_属性来源'!AR117:AR131)</x:f>
        <x:v>0</x:v>
      </x:c>
      <x:c r="AN13" s="32" t="n">
        <x:f>SUM('02_属性来源'!AS117:AS131)</x:f>
        <x:v>8</x:v>
      </x:c>
      <x:c r="AO13" s="32" t="n">
        <x:f>SUM('02_属性来源'!AT117:AT131)</x:f>
        <x:v>1150</x:v>
      </x:c>
      <x:c r="AP13" s="32" t="n">
        <x:f>SUM('02_属性来源'!AU117:AU131)</x:f>
        <x:v>17</x:v>
      </x:c>
      <x:c r="AQ13" s="32" t="n">
        <x:f>SUM('02_属性来源'!AV117:AV131)</x:f>
        <x:v>3</x:v>
      </x:c>
      <x:c r="AR13" s="32" t="n">
        <x:f>SUM('02_属性来源'!AW117:AW131)</x:f>
        <x:v>10</x:v>
      </x:c>
      <x:c r="AS13" s="32" t="n">
        <x:f>SUM('02_属性来源'!AX117:AX131)</x:f>
        <x:v>10</x:v>
      </x:c>
      <x:c r="AT13" s="32" t="n">
        <x:f>SUM('02_属性来源'!AY117:AY131)</x:f>
        <x:v>0</x:v>
      </x:c>
      <x:c r="AU13" s="32" t="n">
        <x:f>SUM('02_属性来源'!AZ117:AZ131)</x:f>
        <x:v>16</x:v>
      </x:c>
      <x:c r="AV13" s="32" t="n">
        <x:f>SUM('02_属性来源'!BA117:BA131)</x:f>
        <x:v>50</x:v>
      </x:c>
    </x:row>
    <x:row r="14">
      <x:c r="A14" s="25" t="str">
        <x:v>C03-M</x:v>
      </x:c>
      <x:c r="B14" s="25" t="str">
        <x:v>宁姆格福西域</x:v>
      </x:c>
      <x:c r="C14" s="25" t="str">
        <x:v>半急速中期</x:v>
      </x:c>
      <x:c r="D14" s="32" t="n">
        <x:f>SUM('02_属性来源'!I132:I146)</x:f>
        <x:v>6296</x:v>
      </x:c>
      <x:c r="E14" s="32" t="n">
        <x:f>SUM('02_属性来源'!J132:J146)</x:f>
        <x:v>7794.5</x:v>
      </x:c>
      <x:c r="F14" s="32" t="n">
        <x:f>SUM('02_属性来源'!K132:K146)</x:f>
        <x:v>6205</x:v>
      </x:c>
      <x:c r="G14" s="32" t="n">
        <x:f>SUM('02_属性来源'!L132:L146)</x:f>
        <x:v>7690</x:v>
      </x:c>
      <x:c r="H14" s="32" t="n">
        <x:f>SUM('02_属性来源'!M132:M146)</x:f>
        <x:v>6206</x:v>
      </x:c>
      <x:c r="I14" s="32" t="n">
        <x:f>SUM('02_属性来源'!N132:N146)</x:f>
        <x:v>7691</x:v>
      </x:c>
      <x:c r="J14" s="32" t="n">
        <x:f>SUM('02_属性来源'!O132:O146)</x:f>
        <x:v>1720650</x:v>
      </x:c>
      <x:c r="K14" s="32" t="n">
        <x:f>SUM('02_属性来源'!P132:P146)</x:f>
        <x:v>80450</x:v>
      </x:c>
      <x:c r="L14" s="32" t="n">
        <x:f>SUM('02_属性来源'!Q132:Q146)</x:f>
        <x:v>825</x:v>
      </x:c>
      <x:c r="M14" s="32" t="n">
        <x:f>SUM('02_属性来源'!R132:R146)</x:f>
        <x:v>1519</x:v>
      </x:c>
      <x:c r="N14" s="32" t="n">
        <x:f>SUM('02_属性来源'!S132:S146)</x:f>
        <x:v>673</x:v>
      </x:c>
      <x:c r="O14" s="32" t="n">
        <x:f>SUM('02_属性来源'!T132:T146)</x:f>
        <x:v>1239</x:v>
      </x:c>
      <x:c r="P14" s="32" t="n">
        <x:f>SUM('02_属性来源'!U132:U146)</x:f>
        <x:v>774</x:v>
      </x:c>
      <x:c r="Q14" s="32" t="n">
        <x:f>SUM('02_属性来源'!V132:V146)</x:f>
        <x:v>421</x:v>
      </x:c>
      <x:c r="R14" s="32" t="n">
        <x:f>SUM('02_属性来源'!W132:W146)</x:f>
        <x:v>421</x:v>
      </x:c>
      <x:c r="S14" s="32" t="n">
        <x:f>SUM('02_属性来源'!X132:X146)</x:f>
        <x:v>0.08</x:v>
      </x:c>
      <x:c r="T14" s="32" t="n">
        <x:f>SUM('02_属性来源'!Y132:Y146)</x:f>
        <x:v>18</x:v>
      </x:c>
      <x:c r="U14" s="32" t="n">
        <x:f>SUM('02_属性来源'!Z132:Z146)</x:f>
        <x:v>102</x:v>
      </x:c>
      <x:c r="V14" s="32" t="n">
        <x:f>SUM('02_属性来源'!AA132:AA146)</x:f>
        <x:v>40</x:v>
      </x:c>
      <x:c r="W14" s="32" t="n">
        <x:f>SUM('02_属性来源'!AB132:AB146)</x:f>
        <x:v>24</x:v>
      </x:c>
      <x:c r="X14" s="32" t="n">
        <x:f>SUM('02_属性来源'!AC132:AC146)</x:f>
        <x:v>111</x:v>
      </x:c>
      <x:c r="Y14" s="32" t="n">
        <x:f>SUM('02_属性来源'!AD132:AD146)</x:f>
        <x:v>2</x:v>
      </x:c>
      <x:c r="Z14" s="32" t="n">
        <x:f>SUM('02_属性来源'!AE132:AE146)</x:f>
        <x:v>0</x:v>
      </x:c>
      <x:c r="AA14" s="32" t="n">
        <x:f>SUM('02_属性来源'!AF132:AF146)</x:f>
        <x:v>0</x:v>
      </x:c>
      <x:c r="AB14" s="32" t="n">
        <x:f>SUM('02_属性来源'!AG132:AG146)</x:f>
        <x:v>0</x:v>
      </x:c>
      <x:c r="AC14" s="32" t="n">
        <x:f>SUM('02_属性来源'!AH132:AH146)</x:f>
        <x:v>16</x:v>
      </x:c>
      <x:c r="AD14" s="32" t="n">
        <x:f>SUM('02_属性来源'!AI132:AI146)</x:f>
        <x:v>1</x:v>
      </x:c>
      <x:c r="AE14" s="32" t="n">
        <x:f>SUM('02_属性来源'!AJ132:AJ146)</x:f>
        <x:v>128</x:v>
      </x:c>
      <x:c r="AF14" s="32" t="n">
        <x:f>SUM('02_属性来源'!AK132:AK146)</x:f>
        <x:v>7</x:v>
      </x:c>
      <x:c r="AG14" s="32" t="n">
        <x:f>SUM('02_属性来源'!AL132:AL146)</x:f>
        <x:v>8</x:v>
      </x:c>
      <x:c r="AH14" s="32" t="n">
        <x:f>SUM('02_属性来源'!AM132:AM146)</x:f>
        <x:v>16.5</x:v>
      </x:c>
      <x:c r="AI14" s="32" t="n">
        <x:f>SUM('02_属性来源'!AN132:AN146)</x:f>
        <x:v>5</x:v>
      </x:c>
      <x:c r="AJ14" s="32" t="n">
        <x:f>SUM('02_属性来源'!AO132:AO146)</x:f>
        <x:v>1</x:v>
      </x:c>
      <x:c r="AK14" s="32" t="n">
        <x:f>SUM('02_属性来源'!AP132:AP146)</x:f>
        <x:v>338</x:v>
      </x:c>
      <x:c r="AL14" s="32" t="n">
        <x:f>SUM('02_属性来源'!AQ132:AQ146)</x:f>
        <x:v>88</x:v>
      </x:c>
      <x:c r="AM14" s="32" t="n">
        <x:f>SUM('02_属性来源'!AR132:AR146)</x:f>
        <x:v>0</x:v>
      </x:c>
      <x:c r="AN14" s="32" t="n">
        <x:f>SUM('02_属性来源'!AS132:AS146)</x:f>
        <x:v>11</x:v>
      </x:c>
      <x:c r="AO14" s="32" t="n">
        <x:f>SUM('02_属性来源'!AT132:AT146)</x:f>
        <x:v>1450</x:v>
      </x:c>
      <x:c r="AP14" s="32" t="n">
        <x:f>SUM('02_属性来源'!AU132:AU146)</x:f>
        <x:v>17</x:v>
      </x:c>
      <x:c r="AQ14" s="32" t="n">
        <x:f>SUM('02_属性来源'!AV132:AV146)</x:f>
        <x:v>3</x:v>
      </x:c>
      <x:c r="AR14" s="32" t="n">
        <x:f>SUM('02_属性来源'!AW132:AW146)</x:f>
        <x:v>10</x:v>
      </x:c>
      <x:c r="AS14" s="32" t="n">
        <x:f>SUM('02_属性来源'!AX132:AX146)</x:f>
        <x:v>10</x:v>
      </x:c>
      <x:c r="AT14" s="32" t="n">
        <x:f>SUM('02_属性来源'!AY132:AY146)</x:f>
        <x:v>0</x:v>
      </x:c>
      <x:c r="AU14" s="32" t="n">
        <x:f>SUM('02_属性来源'!AZ132:AZ146)</x:f>
        <x:v>16</x:v>
      </x:c>
      <x:c r="AV14" s="32" t="n">
        <x:f>SUM('02_属性来源'!BA132:BA146)</x:f>
        <x:v>50</x:v>
      </x:c>
    </x:row>
    <x:row r="15">
      <x:c r="A15" s="25" t="str">
        <x:v>C03-G</x:v>
      </x:c>
      <x:c r="B15" s="25" t="str">
        <x:v>宁姆格福西域</x:v>
      </x:c>
      <x:c r="C15" s="25" t="str">
        <x:v>半急速毕业</x:v>
      </x:c>
      <x:c r="D15" s="32" t="n">
        <x:f>SUM('02_属性来源'!I147:I161)</x:f>
        <x:v>8196</x:v>
      </x:c>
      <x:c r="E15" s="32" t="n">
        <x:f>SUM('02_属性来源'!J147:J161)</x:f>
        <x:v>10148</x:v>
      </x:c>
      <x:c r="F15" s="32" t="n">
        <x:f>SUM('02_属性来源'!K147:K161)</x:f>
        <x:v>8064</x:v>
      </x:c>
      <x:c r="G15" s="32" t="n">
        <x:f>SUM('02_属性来源'!L147:L161)</x:f>
        <x:v>10001</x:v>
      </x:c>
      <x:c r="H15" s="32" t="n">
        <x:f>SUM('02_属性来源'!M147:M161)</x:f>
        <x:v>8070</x:v>
      </x:c>
      <x:c r="I15" s="32" t="n">
        <x:f>SUM('02_属性来源'!N147:N161)</x:f>
        <x:v>10007</x:v>
      </x:c>
      <x:c r="J15" s="32" t="n">
        <x:f>SUM('02_属性来源'!O147:O161)</x:f>
        <x:v>2606850</x:v>
      </x:c>
      <x:c r="K15" s="32" t="n">
        <x:f>SUM('02_属性来源'!P147:P161)</x:f>
        <x:v>80500</x:v>
      </x:c>
      <x:c r="L15" s="32" t="n">
        <x:f>SUM('02_属性来源'!Q147:Q161)</x:f>
        <x:v>692</x:v>
      </x:c>
      <x:c r="M15" s="32" t="n">
        <x:f>SUM('02_属性来源'!R147:R161)</x:f>
        <x:v>1275</x:v>
      </x:c>
      <x:c r="N15" s="32" t="n">
        <x:f>SUM('02_属性来源'!S147:S161)</x:f>
        <x:v>565</x:v>
      </x:c>
      <x:c r="O15" s="32" t="n">
        <x:f>SUM('02_属性来源'!T147:T161)</x:f>
        <x:v>1040</x:v>
      </x:c>
      <x:c r="P15" s="32" t="n">
        <x:f>SUM('02_属性来源'!U147:U161)</x:f>
        <x:v>842</x:v>
      </x:c>
      <x:c r="Q15" s="32" t="n">
        <x:f>SUM('02_属性来源'!V147:V161)</x:f>
        <x:v>438</x:v>
      </x:c>
      <x:c r="R15" s="32" t="n">
        <x:f>SUM('02_属性来源'!W147:W161)</x:f>
        <x:v>438</x:v>
      </x:c>
      <x:c r="S15" s="32" t="n">
        <x:f>SUM('02_属性来源'!X147:X161)</x:f>
        <x:v>0.12000000000000001</x:v>
      </x:c>
      <x:c r="T15" s="32" t="n">
        <x:f>SUM('02_属性来源'!Y147:Y161)</x:f>
        <x:v>18</x:v>
      </x:c>
      <x:c r="U15" s="32" t="n">
        <x:f>SUM('02_属性来源'!Z147:Z161)</x:f>
        <x:v>100</x:v>
      </x:c>
      <x:c r="V15" s="32" t="n">
        <x:f>SUM('02_属性来源'!AA147:AA161)</x:f>
        <x:v>36</x:v>
      </x:c>
      <x:c r="W15" s="32" t="n">
        <x:f>SUM('02_属性来源'!AB147:AB161)</x:f>
        <x:v>24</x:v>
      </x:c>
      <x:c r="X15" s="32" t="n">
        <x:f>SUM('02_属性来源'!AC147:AC161)</x:f>
        <x:v>114</x:v>
      </x:c>
      <x:c r="Y15" s="32" t="n">
        <x:f>SUM('02_属性来源'!AD147:AD161)</x:f>
        <x:v>1</x:v>
      </x:c>
      <x:c r="Z15" s="32" t="n">
        <x:f>SUM('02_属性来源'!AE147:AE161)</x:f>
        <x:v>0</x:v>
      </x:c>
      <x:c r="AA15" s="32" t="n">
        <x:f>SUM('02_属性来源'!AF147:AF161)</x:f>
        <x:v>0</x:v>
      </x:c>
      <x:c r="AB15" s="32" t="n">
        <x:f>SUM('02_属性来源'!AG147:AG161)</x:f>
        <x:v>0</x:v>
      </x:c>
      <x:c r="AC15" s="32" t="n">
        <x:f>SUM('02_属性来源'!AH147:AH161)</x:f>
        <x:v>33</x:v>
      </x:c>
      <x:c r="AD15" s="32" t="n">
        <x:f>SUM('02_属性来源'!AI147:AI161)</x:f>
        <x:v>2</x:v>
      </x:c>
      <x:c r="AE15" s="32" t="n">
        <x:f>SUM('02_属性来源'!AJ147:AJ161)</x:f>
        <x:v>133</x:v>
      </x:c>
      <x:c r="AF15" s="32" t="n">
        <x:f>SUM('02_属性来源'!AK147:AK161)</x:f>
        <x:v>7</x:v>
      </x:c>
      <x:c r="AG15" s="32" t="n">
        <x:f>SUM('02_属性来源'!AL147:AL161)</x:f>
        <x:v>8</x:v>
      </x:c>
      <x:c r="AH15" s="32" t="n">
        <x:f>SUM('02_属性来源'!AM147:AM161)</x:f>
        <x:v>16.5</x:v>
      </x:c>
      <x:c r="AI15" s="32" t="n">
        <x:f>SUM('02_属性来源'!AN147:AN161)</x:f>
        <x:v>5</x:v>
      </x:c>
      <x:c r="AJ15" s="32" t="n">
        <x:f>SUM('02_属性来源'!AO147:AO161)</x:f>
        <x:v>0</x:v>
      </x:c>
      <x:c r="AK15" s="32" t="n">
        <x:f>SUM('02_属性来源'!AP147:AP161)</x:f>
        <x:v>396</x:v>
      </x:c>
      <x:c r="AL15" s="32" t="n">
        <x:f>SUM('02_属性来源'!AQ147:AQ161)</x:f>
        <x:v>87</x:v>
      </x:c>
      <x:c r="AM15" s="32" t="n">
        <x:f>SUM('02_属性来源'!AR147:AR161)</x:f>
        <x:v>0</x:v>
      </x:c>
      <x:c r="AN15" s="32" t="n">
        <x:f>SUM('02_属性来源'!AS147:AS161)</x:f>
        <x:v>8</x:v>
      </x:c>
      <x:c r="AO15" s="32" t="n">
        <x:f>SUM('02_属性来源'!AT147:AT161)</x:f>
        <x:v>1450</x:v>
      </x:c>
      <x:c r="AP15" s="32" t="n">
        <x:f>SUM('02_属性来源'!AU147:AU161)</x:f>
        <x:v>19</x:v>
      </x:c>
      <x:c r="AQ15" s="32" t="n">
        <x:f>SUM('02_属性来源'!AV147:AV161)</x:f>
        <x:v>3</x:v>
      </x:c>
      <x:c r="AR15" s="32" t="n">
        <x:f>SUM('02_属性来源'!AW147:AW161)</x:f>
        <x:v>10</x:v>
      </x:c>
      <x:c r="AS15" s="32" t="n">
        <x:f>SUM('02_属性来源'!AX147:AX161)</x:f>
        <x:v>10</x:v>
      </x:c>
      <x:c r="AT15" s="32" t="n">
        <x:f>SUM('02_属性来源'!AY147:AY161)</x:f>
        <x:v>0</x:v>
      </x:c>
      <x:c r="AU15" s="32" t="n">
        <x:f>SUM('02_属性来源'!AZ147:AZ161)</x:f>
        <x:v>11</x:v>
      </x:c>
      <x:c r="AV15" s="32" t="n">
        <x:f>SUM('02_属性来源'!BA147:BA161)</x:f>
        <x:v>50</x:v>
      </x:c>
    </x:row>
    <x:row r="16">
      <x:c r="A16" s="25" t="str">
        <x:v>C03-X</x:v>
      </x:c>
      <x:c r="B16" s="25" t="str">
        <x:v>宁姆格福西域</x:v>
      </x:c>
      <x:c r="C16" s="25" t="str">
        <x:v>极端压力</x:v>
      </x:c>
      <x:c r="D16" s="32" t="n">
        <x:f>SUM('02_属性来源'!I162:I178)</x:f>
        <x:v>9606</x:v>
      </x:c>
      <x:c r="E16" s="32" t="n">
        <x:f>SUM('02_属性来源'!J162:J178)</x:f>
        <x:v>12012</x:v>
      </x:c>
      <x:c r="F16" s="32" t="n">
        <x:f>SUM('02_属性来源'!K162:K178)</x:f>
        <x:v>8839</x:v>
      </x:c>
      <x:c r="G16" s="32" t="n">
        <x:f>SUM('02_属性来源'!L162:L178)</x:f>
        <x:v>11230</x:v>
      </x:c>
      <x:c r="H16" s="32" t="n">
        <x:f>SUM('02_属性来源'!M162:M178)</x:f>
        <x:v>8870</x:v>
      </x:c>
      <x:c r="I16" s="32" t="n">
        <x:f>SUM('02_属性来源'!N162:N178)</x:f>
        <x:v>11261</x:v>
      </x:c>
      <x:c r="J16" s="32" t="n">
        <x:f>SUM('02_属性来源'!O162:O178)</x:f>
        <x:v>3359400</x:v>
      </x:c>
      <x:c r="K16" s="32" t="n">
        <x:f>SUM('02_属性来源'!P162:P178)</x:f>
        <x:v>80500</x:v>
      </x:c>
      <x:c r="L16" s="32" t="n">
        <x:f>SUM('02_属性来源'!Q162:Q178)</x:f>
        <x:v>1034</x:v>
      </x:c>
      <x:c r="M16" s="32" t="n">
        <x:f>SUM('02_属性来源'!R162:R178)</x:f>
        <x:v>1893</x:v>
      </x:c>
      <x:c r="N16" s="32" t="n">
        <x:f>SUM('02_属性来源'!S162:S178)</x:f>
        <x:v>846</x:v>
      </x:c>
      <x:c r="O16" s="32" t="n">
        <x:f>SUM('02_属性来源'!T162:T178)</x:f>
        <x:v>1547</x:v>
      </x:c>
      <x:c r="P16" s="32" t="n">
        <x:f>SUM('02_属性来源'!U162:U178)</x:f>
        <x:v>1006</x:v>
      </x:c>
      <x:c r="Q16" s="32" t="n">
        <x:f>SUM('02_属性来源'!V162:V178)</x:f>
        <x:v>548</x:v>
      </x:c>
      <x:c r="R16" s="32" t="n">
        <x:f>SUM('02_属性来源'!W162:W178)</x:f>
        <x:v>548</x:v>
      </x:c>
      <x:c r="S16" s="32" t="n">
        <x:f>SUM('02_属性来源'!X162:X178)</x:f>
        <x:v>0.25</x:v>
      </x:c>
      <x:c r="T16" s="32" t="n">
        <x:f>SUM('02_属性来源'!Y162:Y178)</x:f>
        <x:v>18</x:v>
      </x:c>
      <x:c r="U16" s="32" t="n">
        <x:f>SUM('02_属性来源'!Z162:Z178)</x:f>
        <x:v>139</x:v>
      </x:c>
      <x:c r="V16" s="32" t="n">
        <x:f>SUM('02_属性来源'!AA162:AA178)</x:f>
        <x:v>52</x:v>
      </x:c>
      <x:c r="W16" s="32" t="n">
        <x:f>SUM('02_属性来源'!AB162:AB178)</x:f>
        <x:v>27</x:v>
      </x:c>
      <x:c r="X16" s="32" t="n">
        <x:f>SUM('02_属性来源'!AC162:AC178)</x:f>
        <x:v>153</x:v>
      </x:c>
      <x:c r="Y16" s="32" t="n">
        <x:f>SUM('02_属性来源'!AD162:AD178)</x:f>
        <x:v>3</x:v>
      </x:c>
      <x:c r="Z16" s="32" t="n">
        <x:f>SUM('02_属性来源'!AE162:AE178)</x:f>
        <x:v>19</x:v>
      </x:c>
      <x:c r="AA16" s="32" t="n">
        <x:f>SUM('02_属性来源'!AF162:AF178)</x:f>
        <x:v>0</x:v>
      </x:c>
      <x:c r="AB16" s="32" t="n">
        <x:f>SUM('02_属性来源'!AG162:AG178)</x:f>
        <x:v>0</x:v>
      </x:c>
      <x:c r="AC16" s="32" t="n">
        <x:f>SUM('02_属性来源'!AH162:AH178)</x:f>
        <x:v>26</x:v>
      </x:c>
      <x:c r="AD16" s="32" t="n">
        <x:f>SUM('02_属性来源'!AI162:AI178)</x:f>
        <x:v>3</x:v>
      </x:c>
      <x:c r="AE16" s="32" t="n">
        <x:f>SUM('02_属性来源'!AJ162:AJ178)</x:f>
        <x:v>134</x:v>
      </x:c>
      <x:c r="AF16" s="32" t="n">
        <x:f>SUM('02_属性来源'!AK162:AK178)</x:f>
        <x:v>7</x:v>
      </x:c>
      <x:c r="AG16" s="32" t="n">
        <x:f>SUM('02_属性来源'!AL162:AL178)</x:f>
        <x:v>8</x:v>
      </x:c>
      <x:c r="AH16" s="32" t="n">
        <x:f>SUM('02_属性来源'!AM162:AM178)</x:f>
        <x:v>27</x:v>
      </x:c>
      <x:c r="AI16" s="32" t="n">
        <x:f>SUM('02_属性来源'!AN162:AN178)</x:f>
        <x:v>21</x:v>
      </x:c>
      <x:c r="AJ16" s="32" t="n">
        <x:f>SUM('02_属性来源'!AO162:AO178)</x:f>
        <x:v>0.2</x:v>
      </x:c>
      <x:c r="AK16" s="32" t="n">
        <x:f>SUM('02_属性来源'!AP162:AP178)</x:f>
        <x:v>527</x:v>
      </x:c>
      <x:c r="AL16" s="32" t="n">
        <x:f>SUM('02_属性来源'!AQ162:AQ178)</x:f>
        <x:v>118</x:v>
      </x:c>
      <x:c r="AM16" s="32" t="n">
        <x:f>SUM('02_属性来源'!AR162:AR178)</x:f>
        <x:v>7</x:v>
      </x:c>
      <x:c r="AN16" s="32" t="n">
        <x:f>SUM('02_属性来源'!AS162:AS178)</x:f>
        <x:v>12</x:v>
      </x:c>
      <x:c r="AO16" s="32" t="n">
        <x:f>SUM('02_属性来源'!AT162:AT178)</x:f>
        <x:v>1450</x:v>
      </x:c>
      <x:c r="AP16" s="32" t="n">
        <x:f>SUM('02_属性来源'!AU162:AU178)</x:f>
        <x:v>18</x:v>
      </x:c>
      <x:c r="AQ16" s="32" t="n">
        <x:f>SUM('02_属性来源'!AV162:AV178)</x:f>
        <x:v>3</x:v>
      </x:c>
      <x:c r="AR16" s="32" t="n">
        <x:f>SUM('02_属性来源'!AW162:AW178)</x:f>
        <x:v>10</x:v>
      </x:c>
      <x:c r="AS16" s="32" t="n">
        <x:f>SUM('02_属性来源'!AX162:AX178)</x:f>
        <x:v>10</x:v>
      </x:c>
      <x:c r="AT16" s="32" t="n">
        <x:f>SUM('02_属性来源'!AY162:AY178)</x:f>
        <x:v>0</x:v>
      </x:c>
      <x:c r="AU16" s="32" t="n">
        <x:f>SUM('02_属性来源'!AZ162:AZ178)</x:f>
        <x:v>14</x:v>
      </x:c>
      <x:c r="AV16" s="32" t="n">
        <x:f>SUM('02_属性来源'!BA162:BA178)</x:f>
        <x:v>50</x:v>
      </x:c>
    </x:row>
    <x:row r="17">
      <x:c r="A17" s="25" t="str">
        <x:v>C04-E</x:v>
      </x:c>
      <x:c r="B17" s="25" t="str">
        <x:v>利耶尼亚海域</x:v>
      </x:c>
      <x:c r="C17" s="25" t="str">
        <x:v>半急速入场</x:v>
      </x:c>
      <x:c r="D17" s="32" t="n">
        <x:f>SUM('02_属性来源'!I179:I193)</x:f>
        <x:v>8196</x:v>
      </x:c>
      <x:c r="E17" s="32" t="n">
        <x:f>SUM('02_属性来源'!J179:J193)</x:f>
        <x:v>10148</x:v>
      </x:c>
      <x:c r="F17" s="32" t="n">
        <x:f>SUM('02_属性来源'!K179:K193)</x:f>
        <x:v>8064</x:v>
      </x:c>
      <x:c r="G17" s="32" t="n">
        <x:f>SUM('02_属性来源'!L179:L193)</x:f>
        <x:v>10001</x:v>
      </x:c>
      <x:c r="H17" s="32" t="n">
        <x:f>SUM('02_属性来源'!M179:M193)</x:f>
        <x:v>8070</x:v>
      </x:c>
      <x:c r="I17" s="32" t="n">
        <x:f>SUM('02_属性来源'!N179:N193)</x:f>
        <x:v>10007</x:v>
      </x:c>
      <x:c r="J17" s="32" t="n">
        <x:f>SUM('02_属性来源'!O179:O193)</x:f>
        <x:v>2606850</x:v>
      </x:c>
      <x:c r="K17" s="32" t="n">
        <x:f>SUM('02_属性来源'!P179:P193)</x:f>
        <x:v>80500</x:v>
      </x:c>
      <x:c r="L17" s="32" t="n">
        <x:f>SUM('02_属性来源'!Q179:Q193)</x:f>
        <x:v>692</x:v>
      </x:c>
      <x:c r="M17" s="32" t="n">
        <x:f>SUM('02_属性来源'!R179:R193)</x:f>
        <x:v>1275</x:v>
      </x:c>
      <x:c r="N17" s="32" t="n">
        <x:f>SUM('02_属性来源'!S179:S193)</x:f>
        <x:v>565</x:v>
      </x:c>
      <x:c r="O17" s="32" t="n">
        <x:f>SUM('02_属性来源'!T179:T193)</x:f>
        <x:v>1040</x:v>
      </x:c>
      <x:c r="P17" s="32" t="n">
        <x:f>SUM('02_属性来源'!U179:U193)</x:f>
        <x:v>842</x:v>
      </x:c>
      <x:c r="Q17" s="32" t="n">
        <x:f>SUM('02_属性来源'!V179:V193)</x:f>
        <x:v>438</x:v>
      </x:c>
      <x:c r="R17" s="32" t="n">
        <x:f>SUM('02_属性来源'!W179:W193)</x:f>
        <x:v>438</x:v>
      </x:c>
      <x:c r="S17" s="32" t="n">
        <x:f>SUM('02_属性来源'!X179:X193)</x:f>
        <x:v>0.12000000000000001</x:v>
      </x:c>
      <x:c r="T17" s="32" t="n">
        <x:f>SUM('02_属性来源'!Y179:Y193)</x:f>
        <x:v>18</x:v>
      </x:c>
      <x:c r="U17" s="32" t="n">
        <x:f>SUM('02_属性来源'!Z179:Z193)</x:f>
        <x:v>100</x:v>
      </x:c>
      <x:c r="V17" s="32" t="n">
        <x:f>SUM('02_属性来源'!AA179:AA193)</x:f>
        <x:v>36</x:v>
      </x:c>
      <x:c r="W17" s="32" t="n">
        <x:f>SUM('02_属性来源'!AB179:AB193)</x:f>
        <x:v>24</x:v>
      </x:c>
      <x:c r="X17" s="32" t="n">
        <x:f>SUM('02_属性来源'!AC179:AC193)</x:f>
        <x:v>114</x:v>
      </x:c>
      <x:c r="Y17" s="32" t="n">
        <x:f>SUM('02_属性来源'!AD179:AD193)</x:f>
        <x:v>1</x:v>
      </x:c>
      <x:c r="Z17" s="32" t="n">
        <x:f>SUM('02_属性来源'!AE179:AE193)</x:f>
        <x:v>0</x:v>
      </x:c>
      <x:c r="AA17" s="32" t="n">
        <x:f>SUM('02_属性来源'!AF179:AF193)</x:f>
        <x:v>0</x:v>
      </x:c>
      <x:c r="AB17" s="32" t="n">
        <x:f>SUM('02_属性来源'!AG179:AG193)</x:f>
        <x:v>0</x:v>
      </x:c>
      <x:c r="AC17" s="32" t="n">
        <x:f>SUM('02_属性来源'!AH179:AH193)</x:f>
        <x:v>33</x:v>
      </x:c>
      <x:c r="AD17" s="32" t="n">
        <x:f>SUM('02_属性来源'!AI179:AI193)</x:f>
        <x:v>2</x:v>
      </x:c>
      <x:c r="AE17" s="32" t="n">
        <x:f>SUM('02_属性来源'!AJ179:AJ193)</x:f>
        <x:v>133</x:v>
      </x:c>
      <x:c r="AF17" s="32" t="n">
        <x:f>SUM('02_属性来源'!AK179:AK193)</x:f>
        <x:v>7</x:v>
      </x:c>
      <x:c r="AG17" s="32" t="n">
        <x:f>SUM('02_属性来源'!AL179:AL193)</x:f>
        <x:v>8</x:v>
      </x:c>
      <x:c r="AH17" s="32" t="n">
        <x:f>SUM('02_属性来源'!AM179:AM193)</x:f>
        <x:v>16.5</x:v>
      </x:c>
      <x:c r="AI17" s="32" t="n">
        <x:f>SUM('02_属性来源'!AN179:AN193)</x:f>
        <x:v>5</x:v>
      </x:c>
      <x:c r="AJ17" s="32" t="n">
        <x:f>SUM('02_属性来源'!AO179:AO193)</x:f>
        <x:v>0</x:v>
      </x:c>
      <x:c r="AK17" s="32" t="n">
        <x:f>SUM('02_属性来源'!AP179:AP193)</x:f>
        <x:v>396</x:v>
      </x:c>
      <x:c r="AL17" s="32" t="n">
        <x:f>SUM('02_属性来源'!AQ179:AQ193)</x:f>
        <x:v>87</x:v>
      </x:c>
      <x:c r="AM17" s="32" t="n">
        <x:f>SUM('02_属性来源'!AR179:AR193)</x:f>
        <x:v>0</x:v>
      </x:c>
      <x:c r="AN17" s="32" t="n">
        <x:f>SUM('02_属性来源'!AS179:AS193)</x:f>
        <x:v>8</x:v>
      </x:c>
      <x:c r="AO17" s="32" t="n">
        <x:f>SUM('02_属性来源'!AT179:AT193)</x:f>
        <x:v>1450</x:v>
      </x:c>
      <x:c r="AP17" s="32" t="n">
        <x:f>SUM('02_属性来源'!AU179:AU193)</x:f>
        <x:v>19</x:v>
      </x:c>
      <x:c r="AQ17" s="32" t="n">
        <x:f>SUM('02_属性来源'!AV179:AV193)</x:f>
        <x:v>3</x:v>
      </x:c>
      <x:c r="AR17" s="32" t="n">
        <x:f>SUM('02_属性来源'!AW179:AW193)</x:f>
        <x:v>10</x:v>
      </x:c>
      <x:c r="AS17" s="32" t="n">
        <x:f>SUM('02_属性来源'!AX179:AX193)</x:f>
        <x:v>10</x:v>
      </x:c>
      <x:c r="AT17" s="32" t="n">
        <x:f>SUM('02_属性来源'!AY179:AY193)</x:f>
        <x:v>0</x:v>
      </x:c>
      <x:c r="AU17" s="32" t="n">
        <x:f>SUM('02_属性来源'!AZ179:AZ193)</x:f>
        <x:v>11</x:v>
      </x:c>
      <x:c r="AV17" s="32" t="n">
        <x:f>SUM('02_属性来源'!BA179:BA193)</x:f>
        <x:v>50</x:v>
      </x:c>
    </x:row>
    <x:row r="18">
      <x:c r="A18" s="25" t="str">
        <x:v>C04-M</x:v>
      </x:c>
      <x:c r="B18" s="25" t="str">
        <x:v>利耶尼亚海域</x:v>
      </x:c>
      <x:c r="C18" s="25" t="str">
        <x:v>半急速中期</x:v>
      </x:c>
      <x:c r="D18" s="32" t="n">
        <x:f>SUM('02_属性来源'!I194:I209)</x:f>
        <x:v>10921</x:v>
      </x:c>
      <x:c r="E18" s="32" t="n">
        <x:f>SUM('02_属性来源'!J194:J209)</x:f>
        <x:v>12981.5</x:v>
      </x:c>
      <x:c r="F18" s="32" t="n">
        <x:f>SUM('02_属性来源'!K194:K209)</x:f>
        <x:v>10722</x:v>
      </x:c>
      <x:c r="G18" s="32" t="n">
        <x:f>SUM('02_属性来源'!L194:L209)</x:f>
        <x:v>12766</x:v>
      </x:c>
      <x:c r="H18" s="32" t="n">
        <x:f>SUM('02_属性来源'!M194:M209)</x:f>
        <x:v>10782</x:v>
      </x:c>
      <x:c r="I18" s="32" t="n">
        <x:f>SUM('02_属性来源'!N194:N209)</x:f>
        <x:v>12826</x:v>
      </x:c>
      <x:c r="J18" s="32" t="n">
        <x:f>SUM('02_属性来源'!O194:O209)</x:f>
        <x:v>3021550</x:v>
      </x:c>
      <x:c r="K18" s="32" t="n">
        <x:f>SUM('02_属性来源'!P194:P209)</x:f>
        <x:v>180550</x:v>
      </x:c>
      <x:c r="L18" s="32" t="n">
        <x:f>SUM('02_属性来源'!Q194:Q209)</x:f>
        <x:v>719</x:v>
      </x:c>
      <x:c r="M18" s="32" t="n">
        <x:f>SUM('02_属性来源'!R194:R209)</x:f>
        <x:v>1321</x:v>
      </x:c>
      <x:c r="N18" s="32" t="n">
        <x:f>SUM('02_属性来源'!S194:S209)</x:f>
        <x:v>586</x:v>
      </x:c>
      <x:c r="O18" s="32" t="n">
        <x:f>SUM('02_属性来源'!T194:T209)</x:f>
        <x:v>1078</x:v>
      </x:c>
      <x:c r="P18" s="32" t="n">
        <x:f>SUM('02_属性来源'!U194:U209)</x:f>
        <x:v>769</x:v>
      </x:c>
      <x:c r="Q18" s="32" t="n">
        <x:f>SUM('02_属性来源'!V194:V209)</x:f>
        <x:v>451</x:v>
      </x:c>
      <x:c r="R18" s="32" t="n">
        <x:f>SUM('02_属性来源'!W194:W209)</x:f>
        <x:v>451</x:v>
      </x:c>
      <x:c r="S18" s="32" t="n">
        <x:f>SUM('02_属性来源'!X194:X209)</x:f>
        <x:v>0.26</x:v>
      </x:c>
      <x:c r="T18" s="32" t="n">
        <x:f>SUM('02_属性来源'!Y194:Y209)</x:f>
        <x:v>18</x:v>
      </x:c>
      <x:c r="U18" s="32" t="n">
        <x:f>SUM('02_属性来源'!Z194:Z209)</x:f>
        <x:v>100</x:v>
      </x:c>
      <x:c r="V18" s="32" t="n">
        <x:f>SUM('02_属性来源'!AA194:AA209)</x:f>
        <x:v>36</x:v>
      </x:c>
      <x:c r="W18" s="32" t="n">
        <x:f>SUM('02_属性来源'!AB194:AB209)</x:f>
        <x:v>24</x:v>
      </x:c>
      <x:c r="X18" s="32" t="n">
        <x:f>SUM('02_属性来源'!AC194:AC209)</x:f>
        <x:v>115</x:v>
      </x:c>
      <x:c r="Y18" s="32" t="n">
        <x:f>SUM('02_属性来源'!AD194:AD209)</x:f>
        <x:v>0</x:v>
      </x:c>
      <x:c r="Z18" s="32" t="n">
        <x:f>SUM('02_属性来源'!AE194:AE209)</x:f>
        <x:v>0</x:v>
      </x:c>
      <x:c r="AA18" s="32" t="n">
        <x:f>SUM('02_属性来源'!AF194:AF209)</x:f>
        <x:v>0</x:v>
      </x:c>
      <x:c r="AB18" s="32" t="n">
        <x:f>SUM('02_属性来源'!AG194:AG209)</x:f>
        <x:v>0</x:v>
      </x:c>
      <x:c r="AC18" s="32" t="n">
        <x:f>SUM('02_属性来源'!AH194:AH209)</x:f>
        <x:v>33</x:v>
      </x:c>
      <x:c r="AD18" s="32" t="n">
        <x:f>SUM('02_属性来源'!AI194:AI209)</x:f>
        <x:v>2</x:v>
      </x:c>
      <x:c r="AE18" s="32" t="n">
        <x:f>SUM('02_属性来源'!AJ194:AJ209)</x:f>
        <x:v>133</x:v>
      </x:c>
      <x:c r="AF18" s="32" t="n">
        <x:f>SUM('02_属性来源'!AK194:AK209)</x:f>
        <x:v>7</x:v>
      </x:c>
      <x:c r="AG18" s="32" t="n">
        <x:f>SUM('02_属性来源'!AL194:AL209)</x:f>
        <x:v>8</x:v>
      </x:c>
      <x:c r="AH18" s="32" t="n">
        <x:f>SUM('02_属性来源'!AM194:AM209)</x:f>
        <x:v>20.5</x:v>
      </x:c>
      <x:c r="AI18" s="32" t="n">
        <x:f>SUM('02_属性来源'!AN194:AN209)</x:f>
        <x:v>12</x:v>
      </x:c>
      <x:c r="AJ18" s="32" t="n">
        <x:f>SUM('02_属性来源'!AO194:AO209)</x:f>
        <x:v>3</x:v>
      </x:c>
      <x:c r="AK18" s="32" t="n">
        <x:f>SUM('02_属性来源'!AP194:AP209)</x:f>
        <x:v>461</x:v>
      </x:c>
      <x:c r="AL18" s="32" t="n">
        <x:f>SUM('02_属性来源'!AQ194:AQ209)</x:f>
        <x:v>91</x:v>
      </x:c>
      <x:c r="AM18" s="32" t="n">
        <x:f>SUM('02_属性来源'!AR194:AR209)</x:f>
        <x:v>4</x:v>
      </x:c>
      <x:c r="AN18" s="32" t="n">
        <x:f>SUM('02_属性来源'!AS194:AS209)</x:f>
        <x:v>7</x:v>
      </x:c>
      <x:c r="AO18" s="32" t="n">
        <x:f>SUM('02_属性来源'!AT194:AT209)</x:f>
        <x:v>1850</x:v>
      </x:c>
      <x:c r="AP18" s="32" t="n">
        <x:f>SUM('02_属性来源'!AU194:AU209)</x:f>
        <x:v>19</x:v>
      </x:c>
      <x:c r="AQ18" s="32" t="n">
        <x:f>SUM('02_属性来源'!AV194:AV209)</x:f>
        <x:v>3</x:v>
      </x:c>
      <x:c r="AR18" s="32" t="n">
        <x:f>SUM('02_属性来源'!AW194:AW209)</x:f>
        <x:v>10</x:v>
      </x:c>
      <x:c r="AS18" s="32" t="n">
        <x:f>SUM('02_属性来源'!AX194:AX209)</x:f>
        <x:v>10</x:v>
      </x:c>
      <x:c r="AT18" s="32" t="n">
        <x:f>SUM('02_属性来源'!AY194:AY209)</x:f>
        <x:v>0</x:v>
      </x:c>
      <x:c r="AU18" s="32" t="n">
        <x:f>SUM('02_属性来源'!AZ194:AZ209)</x:f>
        <x:v>11</x:v>
      </x:c>
      <x:c r="AV18" s="32" t="n">
        <x:f>SUM('02_属性来源'!BA194:BA209)</x:f>
        <x:v>50</x:v>
      </x:c>
    </x:row>
    <x:row r="19">
      <x:c r="A19" s="25" t="str">
        <x:v>C04-G</x:v>
      </x:c>
      <x:c r="B19" s="25" t="str">
        <x:v>利耶尼亚海域</x:v>
      </x:c>
      <x:c r="C19" s="25" t="str">
        <x:v>半急速毕业</x:v>
      </x:c>
      <x:c r="D19" s="32" t="n">
        <x:f>SUM('02_属性来源'!I210:I225)</x:f>
        <x:v>13886</x:v>
      </x:c>
      <x:c r="E19" s="32" t="n">
        <x:f>SUM('02_属性来源'!J210:J225)</x:f>
        <x:v>16550</x:v>
      </x:c>
      <x:c r="F19" s="32" t="n">
        <x:f>SUM('02_属性来源'!K210:K225)</x:f>
        <x:v>13181</x:v>
      </x:c>
      <x:c r="G19" s="32" t="n">
        <x:f>SUM('02_属性来源'!L210:L225)</x:f>
        <x:v>15827</x:v>
      </x:c>
      <x:c r="H19" s="32" t="n">
        <x:f>SUM('02_属性来源'!M210:M225)</x:f>
        <x:v>13167</x:v>
      </x:c>
      <x:c r="I19" s="32" t="n">
        <x:f>SUM('02_属性来源'!N210:N225)</x:f>
        <x:v>15813</x:v>
      </x:c>
      <x:c r="J19" s="32" t="n">
        <x:f>SUM('02_属性来源'!O210:O225)</x:f>
        <x:v>3792200</x:v>
      </x:c>
      <x:c r="K19" s="32" t="n">
        <x:f>SUM('02_属性来源'!P210:P225)</x:f>
        <x:v>180600</x:v>
      </x:c>
      <x:c r="L19" s="32" t="n">
        <x:f>SUM('02_属性来源'!Q210:Q225)</x:f>
        <x:v>690</x:v>
      </x:c>
      <x:c r="M19" s="32" t="n">
        <x:f>SUM('02_属性来源'!R210:R225)</x:f>
        <x:v>1269</x:v>
      </x:c>
      <x:c r="N19" s="32" t="n">
        <x:f>SUM('02_属性来源'!S210:S225)</x:f>
        <x:v>562</x:v>
      </x:c>
      <x:c r="O19" s="32" t="n">
        <x:f>SUM('02_属性来源'!T210:T225)</x:f>
        <x:v>1035</x:v>
      </x:c>
      <x:c r="P19" s="32" t="n">
        <x:f>SUM('02_属性来源'!U210:U225)</x:f>
        <x:v>854</x:v>
      </x:c>
      <x:c r="Q19" s="32" t="n">
        <x:f>SUM('02_属性来源'!V210:V225)</x:f>
        <x:v>477</x:v>
      </x:c>
      <x:c r="R19" s="32" t="n">
        <x:f>SUM('02_属性来源'!W210:W225)</x:f>
        <x:v>477</x:v>
      </x:c>
      <x:c r="S19" s="32" t="n">
        <x:f>SUM('02_属性来源'!X210:X225)</x:f>
        <x:v>0.45</x:v>
      </x:c>
      <x:c r="T19" s="32" t="n">
        <x:f>SUM('02_属性来源'!Y210:Y225)</x:f>
        <x:v>17</x:v>
      </x:c>
      <x:c r="U19" s="32" t="n">
        <x:f>SUM('02_属性来源'!Z210:Z225)</x:f>
        <x:v>115</x:v>
      </x:c>
      <x:c r="V19" s="32" t="n">
        <x:f>SUM('02_属性来源'!AA210:AA225)</x:f>
        <x:v>37</x:v>
      </x:c>
      <x:c r="W19" s="32" t="n">
        <x:f>SUM('02_属性来源'!AB210:AB225)</x:f>
        <x:v>24</x:v>
      </x:c>
      <x:c r="X19" s="32" t="n">
        <x:f>SUM('02_属性来源'!AC210:AC225)</x:f>
        <x:v>152</x:v>
      </x:c>
      <x:c r="Y19" s="32" t="n">
        <x:f>SUM('02_属性来源'!AD210:AD225)</x:f>
        <x:v>2</x:v>
      </x:c>
      <x:c r="Z19" s="32" t="n">
        <x:f>SUM('02_属性来源'!AE210:AE225)</x:f>
        <x:v>19</x:v>
      </x:c>
      <x:c r="AA19" s="32" t="n">
        <x:f>SUM('02_属性来源'!AF210:AF225)</x:f>
        <x:v>0</x:v>
      </x:c>
      <x:c r="AB19" s="32" t="n">
        <x:f>SUM('02_属性来源'!AG210:AG225)</x:f>
        <x:v>0</x:v>
      </x:c>
      <x:c r="AC19" s="32" t="n">
        <x:f>SUM('02_属性来源'!AH210:AH225)</x:f>
        <x:v>28</x:v>
      </x:c>
      <x:c r="AD19" s="32" t="n">
        <x:f>SUM('02_属性来源'!AI210:AI225)</x:f>
        <x:v>3</x:v>
      </x:c>
      <x:c r="AE19" s="32" t="n">
        <x:f>SUM('02_属性来源'!AJ210:AJ225)</x:f>
        <x:v>133</x:v>
      </x:c>
      <x:c r="AF19" s="32" t="n">
        <x:f>SUM('02_属性来源'!AK210:AK225)</x:f>
        <x:v>7</x:v>
      </x:c>
      <x:c r="AG19" s="32" t="n">
        <x:f>SUM('02_属性来源'!AL210:AL225)</x:f>
        <x:v>8</x:v>
      </x:c>
      <x:c r="AH19" s="32" t="n">
        <x:f>SUM('02_属性来源'!AM210:AM225)</x:f>
        <x:v>21.5</x:v>
      </x:c>
      <x:c r="AI19" s="32" t="n">
        <x:f>SUM('02_属性来源'!AN210:AN225)</x:f>
        <x:v>24</x:v>
      </x:c>
      <x:c r="AJ19" s="32" t="n">
        <x:f>SUM('02_属性来源'!AO210:AO225)</x:f>
        <x:v>3.2</x:v>
      </x:c>
      <x:c r="AK19" s="32" t="n">
        <x:f>SUM('02_属性来源'!AP210:AP225)</x:f>
        <x:v>511</x:v>
      </x:c>
      <x:c r="AL19" s="32" t="n">
        <x:f>SUM('02_属性来源'!AQ210:AQ225)</x:f>
        <x:v>83</x:v>
      </x:c>
      <x:c r="AM19" s="32" t="n">
        <x:f>SUM('02_属性来源'!AR210:AR225)</x:f>
        <x:v>4</x:v>
      </x:c>
      <x:c r="AN19" s="32" t="n">
        <x:f>SUM('02_属性来源'!AS210:AS225)</x:f>
        <x:v>9</x:v>
      </x:c>
      <x:c r="AO19" s="32" t="n">
        <x:f>SUM('02_属性来源'!AT210:AT225)</x:f>
        <x:v>1850</x:v>
      </x:c>
      <x:c r="AP19" s="32" t="n">
        <x:f>SUM('02_属性来源'!AU210:AU225)</x:f>
        <x:v>18</x:v>
      </x:c>
      <x:c r="AQ19" s="32" t="n">
        <x:f>SUM('02_属性来源'!AV210:AV225)</x:f>
        <x:v>3</x:v>
      </x:c>
      <x:c r="AR19" s="32" t="n">
        <x:f>SUM('02_属性来源'!AW210:AW225)</x:f>
        <x:v>10</x:v>
      </x:c>
      <x:c r="AS19" s="32" t="n">
        <x:f>SUM('02_属性来源'!AX210:AX225)</x:f>
        <x:v>10</x:v>
      </x:c>
      <x:c r="AT19" s="32" t="n">
        <x:f>SUM('02_属性来源'!AY210:AY225)</x:f>
        <x:v>0</x:v>
      </x:c>
      <x:c r="AU19" s="32" t="n">
        <x:f>SUM('02_属性来源'!AZ210:AZ225)</x:f>
        <x:v>12</x:v>
      </x:c>
      <x:c r="AV19" s="32" t="n">
        <x:f>SUM('02_属性来源'!BA210:BA225)</x:f>
        <x:v>50</x:v>
      </x:c>
    </x:row>
    <x:row r="20">
      <x:c r="A20" s="25" t="str">
        <x:v>C04-X</x:v>
      </x:c>
      <x:c r="B20" s="25" t="str">
        <x:v>利耶尼亚海域</x:v>
      </x:c>
      <x:c r="C20" s="25" t="str">
        <x:v>极端压力</x:v>
      </x:c>
      <x:c r="D20" s="32" t="n">
        <x:f>SUM('02_属性来源'!I226:I242)</x:f>
        <x:v>17523</x:v>
      </x:c>
      <x:c r="E20" s="32" t="n">
        <x:f>SUM('02_属性来源'!J226:J242)</x:f>
        <x:v>21713</x:v>
      </x:c>
      <x:c r="F20" s="32" t="n">
        <x:f>SUM('02_属性来源'!K226:K242)</x:f>
        <x:v>15357</x:v>
      </x:c>
      <x:c r="G20" s="32" t="n">
        <x:f>SUM('02_属性来源'!L226:L242)</x:f>
        <x:v>19529</x:v>
      </x:c>
      <x:c r="H20" s="32" t="n">
        <x:f>SUM('02_属性来源'!M226:M242)</x:f>
        <x:v>15475</x:v>
      </x:c>
      <x:c r="I20" s="32" t="n">
        <x:f>SUM('02_属性来源'!N226:N242)</x:f>
        <x:v>19647</x:v>
      </x:c>
      <x:c r="J20" s="32" t="n">
        <x:f>SUM('02_属性来源'!O226:O242)</x:f>
        <x:v>5720000</x:v>
      </x:c>
      <x:c r="K20" s="32" t="n">
        <x:f>SUM('02_属性来源'!P226:P242)</x:f>
        <x:v>180600</x:v>
      </x:c>
      <x:c r="L20" s="32" t="n">
        <x:f>SUM('02_属性来源'!Q226:Q242)</x:f>
        <x:v>857</x:v>
      </x:c>
      <x:c r="M20" s="32" t="n">
        <x:f>SUM('02_属性来源'!R226:R242)</x:f>
        <x:v>1581</x:v>
      </x:c>
      <x:c r="N20" s="32" t="n">
        <x:f>SUM('02_属性来源'!S226:S242)</x:f>
        <x:v>699</x:v>
      </x:c>
      <x:c r="O20" s="32" t="n">
        <x:f>SUM('02_属性来源'!T226:T242)</x:f>
        <x:v>1286</x:v>
      </x:c>
      <x:c r="P20" s="32" t="n">
        <x:f>SUM('02_属性来源'!U226:U242)</x:f>
        <x:v>1097</x:v>
      </x:c>
      <x:c r="Q20" s="32" t="n">
        <x:f>SUM('02_属性来源'!V226:V242)</x:f>
        <x:v>594</x:v>
      </x:c>
      <x:c r="R20" s="32" t="n">
        <x:f>SUM('02_属性来源'!W226:W242)</x:f>
        <x:v>594</x:v>
      </x:c>
      <x:c r="S20" s="32" t="n">
        <x:f>SUM('02_属性来源'!X226:X242)</x:f>
        <x:v>0.63</x:v>
      </x:c>
      <x:c r="T20" s="32" t="n">
        <x:f>SUM('02_属性来源'!Y226:Y242)</x:f>
        <x:v>17</x:v>
      </x:c>
      <x:c r="U20" s="32" t="n">
        <x:f>SUM('02_属性来源'!Z226:Z242)</x:f>
        <x:v>161</x:v>
      </x:c>
      <x:c r="V20" s="32" t="n">
        <x:f>SUM('02_属性来源'!AA226:AA242)</x:f>
        <x:v>54</x:v>
      </x:c>
      <x:c r="W20" s="32" t="n">
        <x:f>SUM('02_属性来源'!AB226:AB242)</x:f>
        <x:v>31</x:v>
      </x:c>
      <x:c r="X20" s="32" t="n">
        <x:f>SUM('02_属性来源'!AC226:AC242)</x:f>
        <x:v>207</x:v>
      </x:c>
      <x:c r="Y20" s="32" t="n">
        <x:f>SUM('02_属性来源'!AD226:AD242)</x:f>
        <x:v>1</x:v>
      </x:c>
      <x:c r="Z20" s="32" t="n">
        <x:f>SUM('02_属性来源'!AE226:AE242)</x:f>
        <x:v>22</x:v>
      </x:c>
      <x:c r="AA20" s="32" t="n">
        <x:f>SUM('02_属性来源'!AF226:AF242)</x:f>
        <x:v>0</x:v>
      </x:c>
      <x:c r="AB20" s="32" t="n">
        <x:f>SUM('02_属性来源'!AG226:AG242)</x:f>
        <x:v>0</x:v>
      </x:c>
      <x:c r="AC20" s="32" t="n">
        <x:f>SUM('02_属性来源'!AH226:AH242)</x:f>
        <x:v>27</x:v>
      </x:c>
      <x:c r="AD20" s="32" t="n">
        <x:f>SUM('02_属性来源'!AI226:AI242)</x:f>
        <x:v>5</x:v>
      </x:c>
      <x:c r="AE20" s="32" t="n">
        <x:f>SUM('02_属性来源'!AJ226:AJ242)</x:f>
        <x:v>136</x:v>
      </x:c>
      <x:c r="AF20" s="32" t="n">
        <x:f>SUM('02_属性来源'!AK226:AK242)</x:f>
        <x:v>7</x:v>
      </x:c>
      <x:c r="AG20" s="32" t="n">
        <x:f>SUM('02_属性来源'!AL226:AL242)</x:f>
        <x:v>8</x:v>
      </x:c>
      <x:c r="AH20" s="32" t="n">
        <x:f>SUM('02_属性来源'!AM226:AM242)</x:f>
        <x:v>28</x:v>
      </x:c>
      <x:c r="AI20" s="32" t="n">
        <x:f>SUM('02_属性来源'!AN226:AN242)</x:f>
        <x:v>26</x:v>
      </x:c>
      <x:c r="AJ20" s="32" t="n">
        <x:f>SUM('02_属性来源'!AO226:AO242)</x:f>
        <x:v>2.2</x:v>
      </x:c>
      <x:c r="AK20" s="32" t="n">
        <x:f>SUM('02_属性来源'!AP226:AP242)</x:f>
        <x:v>727</x:v>
      </x:c>
      <x:c r="AL20" s="32" t="n">
        <x:f>SUM('02_属性来源'!AQ226:AQ242)</x:f>
        <x:v>95</x:v>
      </x:c>
      <x:c r="AM20" s="32" t="n">
        <x:f>SUM('02_属性来源'!AR226:AR242)</x:f>
        <x:v>6</x:v>
      </x:c>
      <x:c r="AN20" s="32" t="n">
        <x:f>SUM('02_属性来源'!AS226:AS242)</x:f>
        <x:v>8</x:v>
      </x:c>
      <x:c r="AO20" s="32" t="n">
        <x:f>SUM('02_属性来源'!AT226:AT242)</x:f>
        <x:v>1850</x:v>
      </x:c>
      <x:c r="AP20" s="32" t="n">
        <x:f>SUM('02_属性来源'!AU226:AU242)</x:f>
        <x:v>18</x:v>
      </x:c>
      <x:c r="AQ20" s="32" t="n">
        <x:f>SUM('02_属性来源'!AV226:AV242)</x:f>
        <x:v>3</x:v>
      </x:c>
      <x:c r="AR20" s="32" t="n">
        <x:f>SUM('02_属性来源'!AW226:AW242)</x:f>
        <x:v>14</x:v>
      </x:c>
      <x:c r="AS20" s="32" t="n">
        <x:f>SUM('02_属性来源'!AX226:AX242)</x:f>
        <x:v>10</x:v>
      </x:c>
      <x:c r="AT20" s="32" t="n">
        <x:f>SUM('02_属性来源'!AY226:AY242)</x:f>
        <x:v>0</x:v>
      </x:c>
      <x:c r="AU20" s="32" t="n">
        <x:f>SUM('02_属性来源'!AZ226:AZ242)</x:f>
        <x:v>15</x:v>
      </x:c>
      <x:c r="AV20" s="32" t="n">
        <x:f>SUM('02_属性来源'!BA226:BA242)</x:f>
        <x:v>50</x:v>
      </x:c>
    </x:row>
    <x:row r="21">
      <x:c r="A21" s="25" t="str">
        <x:v>C05-E</x:v>
      </x:c>
      <x:c r="B21" s="25" t="str">
        <x:v>湖之利耶尼亚</x:v>
      </x:c>
      <x:c r="C21" s="25" t="str">
        <x:v>半急速入场</x:v>
      </x:c>
      <x:c r="D21" s="32" t="n">
        <x:f>SUM('02_属性来源'!I243:I258)</x:f>
        <x:v>13886</x:v>
      </x:c>
      <x:c r="E21" s="32" t="n">
        <x:f>SUM('02_属性来源'!J243:J258)</x:f>
        <x:v>16550</x:v>
      </x:c>
      <x:c r="F21" s="32" t="n">
        <x:f>SUM('02_属性来源'!K243:K258)</x:f>
        <x:v>13181</x:v>
      </x:c>
      <x:c r="G21" s="32" t="n">
        <x:f>SUM('02_属性来源'!L243:L258)</x:f>
        <x:v>15827</x:v>
      </x:c>
      <x:c r="H21" s="32" t="n">
        <x:f>SUM('02_属性来源'!M243:M258)</x:f>
        <x:v>13167</x:v>
      </x:c>
      <x:c r="I21" s="32" t="n">
        <x:f>SUM('02_属性来源'!N243:N258)</x:f>
        <x:v>15813</x:v>
      </x:c>
      <x:c r="J21" s="32" t="n">
        <x:f>SUM('02_属性来源'!O243:O258)</x:f>
        <x:v>3792200</x:v>
      </x:c>
      <x:c r="K21" s="32" t="n">
        <x:f>SUM('02_属性来源'!P243:P258)</x:f>
        <x:v>180600</x:v>
      </x:c>
      <x:c r="L21" s="32" t="n">
        <x:f>SUM('02_属性来源'!Q243:Q258)</x:f>
        <x:v>690</x:v>
      </x:c>
      <x:c r="M21" s="32" t="n">
        <x:f>SUM('02_属性来源'!R243:R258)</x:f>
        <x:v>1269</x:v>
      </x:c>
      <x:c r="N21" s="32" t="n">
        <x:f>SUM('02_属性来源'!S243:S258)</x:f>
        <x:v>562</x:v>
      </x:c>
      <x:c r="O21" s="32" t="n">
        <x:f>SUM('02_属性来源'!T243:T258)</x:f>
        <x:v>1035</x:v>
      </x:c>
      <x:c r="P21" s="32" t="n">
        <x:f>SUM('02_属性来源'!U243:U258)</x:f>
        <x:v>854</x:v>
      </x:c>
      <x:c r="Q21" s="32" t="n">
        <x:f>SUM('02_属性来源'!V243:V258)</x:f>
        <x:v>477</x:v>
      </x:c>
      <x:c r="R21" s="32" t="n">
        <x:f>SUM('02_属性来源'!W243:W258)</x:f>
        <x:v>477</x:v>
      </x:c>
      <x:c r="S21" s="32" t="n">
        <x:f>SUM('02_属性来源'!X243:X258)</x:f>
        <x:v>0.45</x:v>
      </x:c>
      <x:c r="T21" s="32" t="n">
        <x:f>SUM('02_属性来源'!Y243:Y258)</x:f>
        <x:v>17</x:v>
      </x:c>
      <x:c r="U21" s="32" t="n">
        <x:f>SUM('02_属性来源'!Z243:Z258)</x:f>
        <x:v>115</x:v>
      </x:c>
      <x:c r="V21" s="32" t="n">
        <x:f>SUM('02_属性来源'!AA243:AA258)</x:f>
        <x:v>37</x:v>
      </x:c>
      <x:c r="W21" s="32" t="n">
        <x:f>SUM('02_属性来源'!AB243:AB258)</x:f>
        <x:v>24</x:v>
      </x:c>
      <x:c r="X21" s="32" t="n">
        <x:f>SUM('02_属性来源'!AC243:AC258)</x:f>
        <x:v>152</x:v>
      </x:c>
      <x:c r="Y21" s="32" t="n">
        <x:f>SUM('02_属性来源'!AD243:AD258)</x:f>
        <x:v>2</x:v>
      </x:c>
      <x:c r="Z21" s="32" t="n">
        <x:f>SUM('02_属性来源'!AE243:AE258)</x:f>
        <x:v>19</x:v>
      </x:c>
      <x:c r="AA21" s="32" t="n">
        <x:f>SUM('02_属性来源'!AF243:AF258)</x:f>
        <x:v>0</x:v>
      </x:c>
      <x:c r="AB21" s="32" t="n">
        <x:f>SUM('02_属性来源'!AG243:AG258)</x:f>
        <x:v>0</x:v>
      </x:c>
      <x:c r="AC21" s="32" t="n">
        <x:f>SUM('02_属性来源'!AH243:AH258)</x:f>
        <x:v>28</x:v>
      </x:c>
      <x:c r="AD21" s="32" t="n">
        <x:f>SUM('02_属性来源'!AI243:AI258)</x:f>
        <x:v>3</x:v>
      </x:c>
      <x:c r="AE21" s="32" t="n">
        <x:f>SUM('02_属性来源'!AJ243:AJ258)</x:f>
        <x:v>133</x:v>
      </x:c>
      <x:c r="AF21" s="32" t="n">
        <x:f>SUM('02_属性来源'!AK243:AK258)</x:f>
        <x:v>7</x:v>
      </x:c>
      <x:c r="AG21" s="32" t="n">
        <x:f>SUM('02_属性来源'!AL243:AL258)</x:f>
        <x:v>8</x:v>
      </x:c>
      <x:c r="AH21" s="32" t="n">
        <x:f>SUM('02_属性来源'!AM243:AM258)</x:f>
        <x:v>21.5</x:v>
      </x:c>
      <x:c r="AI21" s="32" t="n">
        <x:f>SUM('02_属性来源'!AN243:AN258)</x:f>
        <x:v>24</x:v>
      </x:c>
      <x:c r="AJ21" s="32" t="n">
        <x:f>SUM('02_属性来源'!AO243:AO258)</x:f>
        <x:v>3.2</x:v>
      </x:c>
      <x:c r="AK21" s="32" t="n">
        <x:f>SUM('02_属性来源'!AP243:AP258)</x:f>
        <x:v>511</x:v>
      </x:c>
      <x:c r="AL21" s="32" t="n">
        <x:f>SUM('02_属性来源'!AQ243:AQ258)</x:f>
        <x:v>83</x:v>
      </x:c>
      <x:c r="AM21" s="32" t="n">
        <x:f>SUM('02_属性来源'!AR243:AR258)</x:f>
        <x:v>4</x:v>
      </x:c>
      <x:c r="AN21" s="32" t="n">
        <x:f>SUM('02_属性来源'!AS243:AS258)</x:f>
        <x:v>9</x:v>
      </x:c>
      <x:c r="AO21" s="32" t="n">
        <x:f>SUM('02_属性来源'!AT243:AT258)</x:f>
        <x:v>1850</x:v>
      </x:c>
      <x:c r="AP21" s="32" t="n">
        <x:f>SUM('02_属性来源'!AU243:AU258)</x:f>
        <x:v>18</x:v>
      </x:c>
      <x:c r="AQ21" s="32" t="n">
        <x:f>SUM('02_属性来源'!AV243:AV258)</x:f>
        <x:v>3</x:v>
      </x:c>
      <x:c r="AR21" s="32" t="n">
        <x:f>SUM('02_属性来源'!AW243:AW258)</x:f>
        <x:v>10</x:v>
      </x:c>
      <x:c r="AS21" s="32" t="n">
        <x:f>SUM('02_属性来源'!AX243:AX258)</x:f>
        <x:v>10</x:v>
      </x:c>
      <x:c r="AT21" s="32" t="n">
        <x:f>SUM('02_属性来源'!AY243:AY258)</x:f>
        <x:v>0</x:v>
      </x:c>
      <x:c r="AU21" s="32" t="n">
        <x:f>SUM('02_属性来源'!AZ243:AZ258)</x:f>
        <x:v>12</x:v>
      </x:c>
      <x:c r="AV21" s="32" t="n">
        <x:f>SUM('02_属性来源'!BA243:BA258)</x:f>
        <x:v>50</x:v>
      </x:c>
    </x:row>
    <x:row r="22">
      <x:c r="A22" s="25" t="str">
        <x:v>C05-M</x:v>
      </x:c>
      <x:c r="B22" s="25" t="str">
        <x:v>湖之利耶尼亚</x:v>
      </x:c>
      <x:c r="C22" s="25" t="str">
        <x:v>半急速中期</x:v>
      </x:c>
      <x:c r="D22" s="32" t="n">
        <x:f>SUM('02_属性来源'!I259:I274)</x:f>
        <x:v>18219</x:v>
      </x:c>
      <x:c r="E22" s="32" t="n">
        <x:f>SUM('02_属性来源'!J259:J274)</x:f>
        <x:v>20842.5</x:v>
      </x:c>
      <x:c r="F22" s="32" t="n">
        <x:f>SUM('02_属性来源'!K259:K274)</x:f>
        <x:v>17236</x:v>
      </x:c>
      <x:c r="G22" s="32" t="n">
        <x:f>SUM('02_属性来源'!L259:L274)</x:f>
        <x:v>19840</x:v>
      </x:c>
      <x:c r="H22" s="32" t="n">
        <x:f>SUM('02_属性来源'!M259:M274)</x:f>
        <x:v>17335</x:v>
      </x:c>
      <x:c r="I22" s="32" t="n">
        <x:f>SUM('02_属性来源'!N259:N274)</x:f>
        <x:v>19939</x:v>
      </x:c>
      <x:c r="J22" s="32" t="n">
        <x:f>SUM('02_属性来源'!O259:O274)</x:f>
        <x:v>4096200</x:v>
      </x:c>
      <x:c r="K22" s="32" t="n">
        <x:f>SUM('02_属性来源'!P259:P274)</x:f>
        <x:v>380650</x:v>
      </x:c>
      <x:c r="L22" s="32" t="n">
        <x:f>SUM('02_属性来源'!Q259:Q274)</x:f>
        <x:v>798</x:v>
      </x:c>
      <x:c r="M22" s="32" t="n">
        <x:f>SUM('02_属性来源'!R259:R274)</x:f>
        <x:v>1464</x:v>
      </x:c>
      <x:c r="N22" s="32" t="n">
        <x:f>SUM('02_属性来源'!S259:S274)</x:f>
        <x:v>652</x:v>
      </x:c>
      <x:c r="O22" s="32" t="n">
        <x:f>SUM('02_属性来源'!T259:T274)</x:f>
        <x:v>1194</x:v>
      </x:c>
      <x:c r="P22" s="32" t="n">
        <x:f>SUM('02_属性来源'!U259:U274)</x:f>
        <x:v>874</x:v>
      </x:c>
      <x:c r="Q22" s="32" t="n">
        <x:f>SUM('02_属性来源'!V259:V274)</x:f>
        <x:v>488</x:v>
      </x:c>
      <x:c r="R22" s="32" t="n">
        <x:f>SUM('02_属性来源'!W259:W274)</x:f>
        <x:v>488</x:v>
      </x:c>
      <x:c r="S22" s="32" t="n">
        <x:f>SUM('02_属性来源'!X259:X274)</x:f>
        <x:v>0.5599999999999999</x:v>
      </x:c>
      <x:c r="T22" s="32" t="n">
        <x:f>SUM('02_属性来源'!Y259:Y274)</x:f>
        <x:v>16</x:v>
      </x:c>
      <x:c r="U22" s="32" t="n">
        <x:f>SUM('02_属性来源'!Z259:Z274)</x:f>
        <x:v>117</x:v>
      </x:c>
      <x:c r="V22" s="32" t="n">
        <x:f>SUM('02_属性来源'!AA259:AA274)</x:f>
        <x:v>41</x:v>
      </x:c>
      <x:c r="W22" s="32" t="n">
        <x:f>SUM('02_属性来源'!AB259:AB274)</x:f>
        <x:v>22</x:v>
      </x:c>
      <x:c r="X22" s="32" t="n">
        <x:f>SUM('02_属性来源'!AC259:AC274)</x:f>
        <x:v>149</x:v>
      </x:c>
      <x:c r="Y22" s="32" t="n">
        <x:f>SUM('02_属性来源'!AD259:AD274)</x:f>
        <x:v>5</x:v>
      </x:c>
      <x:c r="Z22" s="32" t="n">
        <x:f>SUM('02_属性来源'!AE259:AE274)</x:f>
        <x:v>19</x:v>
      </x:c>
      <x:c r="AA22" s="32" t="n">
        <x:f>SUM('02_属性来源'!AF259:AF274)</x:f>
        <x:v>0</x:v>
      </x:c>
      <x:c r="AB22" s="32" t="n">
        <x:f>SUM('02_属性来源'!AG259:AG274)</x:f>
        <x:v>0</x:v>
      </x:c>
      <x:c r="AC22" s="32" t="n">
        <x:f>SUM('02_属性来源'!AH259:AH274)</x:f>
        <x:v>31</x:v>
      </x:c>
      <x:c r="AD22" s="32" t="n">
        <x:f>SUM('02_属性来源'!AI259:AI274)</x:f>
        <x:v>3</x:v>
      </x:c>
      <x:c r="AE22" s="32" t="n">
        <x:f>SUM('02_属性来源'!AJ259:AJ274)</x:f>
        <x:v>133</x:v>
      </x:c>
      <x:c r="AF22" s="32" t="n">
        <x:f>SUM('02_属性来源'!AK259:AK274)</x:f>
        <x:v>7</x:v>
      </x:c>
      <x:c r="AG22" s="32" t="n">
        <x:f>SUM('02_属性来源'!AL259:AL274)</x:f>
        <x:v>8</x:v>
      </x:c>
      <x:c r="AH22" s="32" t="n">
        <x:f>SUM('02_属性来源'!AM259:AM274)</x:f>
        <x:v>20.5</x:v>
      </x:c>
      <x:c r="AI22" s="32" t="n">
        <x:f>SUM('02_属性来源'!AN259:AN274)</x:f>
        <x:v>20</x:v>
      </x:c>
      <x:c r="AJ22" s="32" t="n">
        <x:f>SUM('02_属性来源'!AO259:AO274)</x:f>
        <x:v>2.2</x:v>
      </x:c>
      <x:c r="AK22" s="32" t="n">
        <x:f>SUM('02_属性来源'!AP259:AP274)</x:f>
        <x:v>588</x:v>
      </x:c>
      <x:c r="AL22" s="32" t="n">
        <x:f>SUM('02_属性来源'!AQ259:AQ274)</x:f>
        <x:v>94</x:v>
      </x:c>
      <x:c r="AM22" s="32" t="n">
        <x:f>SUM('02_属性来源'!AR259:AR274)</x:f>
        <x:v>3</x:v>
      </x:c>
      <x:c r="AN22" s="32" t="n">
        <x:f>SUM('02_属性来源'!AS259:AS274)</x:f>
        <x:v>9.75</x:v>
      </x:c>
      <x:c r="AO22" s="32" t="n">
        <x:f>SUM('02_属性来源'!AT259:AT274)</x:f>
        <x:v>2350</x:v>
      </x:c>
      <x:c r="AP22" s="32" t="n">
        <x:f>SUM('02_属性来源'!AU259:AU274)</x:f>
        <x:v>18</x:v>
      </x:c>
      <x:c r="AQ22" s="32" t="n">
        <x:f>SUM('02_属性来源'!AV259:AV274)</x:f>
        <x:v>3</x:v>
      </x:c>
      <x:c r="AR22" s="32" t="n">
        <x:f>SUM('02_属性来源'!AW259:AW274)</x:f>
        <x:v>10</x:v>
      </x:c>
      <x:c r="AS22" s="32" t="n">
        <x:f>SUM('02_属性来源'!AX259:AX274)</x:f>
        <x:v>10</x:v>
      </x:c>
      <x:c r="AT22" s="32" t="n">
        <x:f>SUM('02_属性来源'!AY259:AY274)</x:f>
        <x:v>0</x:v>
      </x:c>
      <x:c r="AU22" s="32" t="n">
        <x:f>SUM('02_属性来源'!AZ259:AZ274)</x:f>
        <x:v>12</x:v>
      </x:c>
      <x:c r="AV22" s="32" t="n">
        <x:f>SUM('02_属性来源'!BA259:BA274)</x:f>
        <x:v>50</x:v>
      </x:c>
    </x:row>
    <x:row r="23">
      <x:c r="A23" s="25" t="str">
        <x:v>C05-G</x:v>
      </x:c>
      <x:c r="B23" s="25" t="str">
        <x:v>湖之利耶尼亚</x:v>
      </x:c>
      <x:c r="C23" s="25" t="str">
        <x:v>半急速毕业</x:v>
      </x:c>
      <x:c r="D23" s="32" t="n">
        <x:f>SUM('02_属性来源'!I275:I290)</x:f>
        <x:v>29477</x:v>
      </x:c>
      <x:c r="E23" s="32" t="n">
        <x:f>SUM('02_属性来源'!J275:J290)</x:f>
        <x:v>35797</x:v>
      </x:c>
      <x:c r="F23" s="32" t="n">
        <x:f>SUM('02_属性来源'!K275:K290)</x:f>
        <x:v>24899</x:v>
      </x:c>
      <x:c r="G23" s="32" t="n">
        <x:f>SUM('02_属性来源'!L275:L290)</x:f>
        <x:v>31198</x:v>
      </x:c>
      <x:c r="H23" s="32" t="n">
        <x:f>SUM('02_属性来源'!M275:M290)</x:f>
        <x:v>24447</x:v>
      </x:c>
      <x:c r="I23" s="32" t="n">
        <x:f>SUM('02_属性来源'!N275:N290)</x:f>
        <x:v>30746</x:v>
      </x:c>
      <x:c r="J23" s="32" t="n">
        <x:f>SUM('02_属性来源'!O275:O290)</x:f>
        <x:v>6372300</x:v>
      </x:c>
      <x:c r="K23" s="32" t="n">
        <x:f>SUM('02_属性来源'!P275:P290)</x:f>
        <x:v>380700</x:v>
      </x:c>
      <x:c r="L23" s="32" t="n">
        <x:f>SUM('02_属性来源'!Q275:Q290)</x:f>
        <x:v>644</x:v>
      </x:c>
      <x:c r="M23" s="32" t="n">
        <x:f>SUM('02_属性来源'!R275:R290)</x:f>
        <x:v>1189</x:v>
      </x:c>
      <x:c r="N23" s="32" t="n">
        <x:f>SUM('02_属性来源'!S275:S290)</x:f>
        <x:v>524</x:v>
      </x:c>
      <x:c r="O23" s="32" t="n">
        <x:f>SUM('02_属性来源'!T275:T290)</x:f>
        <x:v>966</x:v>
      </x:c>
      <x:c r="P23" s="32" t="n">
        <x:f>SUM('02_属性来源'!U275:U290)</x:f>
        <x:v>929</x:v>
      </x:c>
      <x:c r="Q23" s="32" t="n">
        <x:f>SUM('02_属性来源'!V275:V290)</x:f>
        <x:v>525</x:v>
      </x:c>
      <x:c r="R23" s="32" t="n">
        <x:f>SUM('02_属性来源'!W275:W290)</x:f>
        <x:v>525</x:v>
      </x:c>
      <x:c r="S23" s="32" t="n">
        <x:f>SUM('02_属性来源'!X275:X290)</x:f>
        <x:v>0.62</x:v>
      </x:c>
      <x:c r="T23" s="32" t="n">
        <x:f>SUM('02_属性来源'!Y275:Y290)</x:f>
        <x:v>19</x:v>
      </x:c>
      <x:c r="U23" s="32" t="n">
        <x:f>SUM('02_属性来源'!Z275:Z290)</x:f>
        <x:v>126</x:v>
      </x:c>
      <x:c r="V23" s="32" t="n">
        <x:f>SUM('02_属性来源'!AA275:AA290)</x:f>
        <x:v>42</x:v>
      </x:c>
      <x:c r="W23" s="32" t="n">
        <x:f>SUM('02_属性来源'!AB275:AB290)</x:f>
        <x:v>21</x:v>
      </x:c>
      <x:c r="X23" s="32" t="n">
        <x:f>SUM('02_属性来源'!AC275:AC290)</x:f>
        <x:v>159</x:v>
      </x:c>
      <x:c r="Y23" s="32" t="n">
        <x:f>SUM('02_属性来源'!AD275:AD290)</x:f>
        <x:v>1</x:v>
      </x:c>
      <x:c r="Z23" s="32" t="n">
        <x:f>SUM('02_属性来源'!AE275:AE290)</x:f>
        <x:v>25</x:v>
      </x:c>
      <x:c r="AA23" s="32" t="n">
        <x:f>SUM('02_属性来源'!AF275:AF290)</x:f>
        <x:v>0</x:v>
      </x:c>
      <x:c r="AB23" s="32" t="n">
        <x:f>SUM('02_属性来源'!AG275:AG290)</x:f>
        <x:v>0</x:v>
      </x:c>
      <x:c r="AC23" s="32" t="n">
        <x:f>SUM('02_属性来源'!AH275:AH290)</x:f>
        <x:v>39</x:v>
      </x:c>
      <x:c r="AD23" s="32" t="n">
        <x:f>SUM('02_属性来源'!AI275:AI290)</x:f>
        <x:v>5</x:v>
      </x:c>
      <x:c r="AE23" s="32" t="n">
        <x:f>SUM('02_属性来源'!AJ275:AJ290)</x:f>
        <x:v>137</x:v>
      </x:c>
      <x:c r="AF23" s="32" t="n">
        <x:f>SUM('02_属性来源'!AK275:AK290)</x:f>
        <x:v>7</x:v>
      </x:c>
      <x:c r="AG23" s="32" t="n">
        <x:f>SUM('02_属性来源'!AL275:AL290)</x:f>
        <x:v>8</x:v>
      </x:c>
      <x:c r="AH23" s="32" t="n">
        <x:f>SUM('02_属性来源'!AM275:AM290)</x:f>
        <x:v>23.5</x:v>
      </x:c>
      <x:c r="AI23" s="32" t="n">
        <x:f>SUM('02_属性来源'!AN275:AN290)</x:f>
        <x:v>23</x:v>
      </x:c>
      <x:c r="AJ23" s="32" t="n">
        <x:f>SUM('02_属性来源'!AO275:AO290)</x:f>
        <x:v>3.2</x:v>
      </x:c>
      <x:c r="AK23" s="32" t="n">
        <x:f>SUM('02_属性来源'!AP275:AP290)</x:f>
        <x:v>640</x:v>
      </x:c>
      <x:c r="AL23" s="32" t="n">
        <x:f>SUM('02_属性来源'!AQ275:AQ290)</x:f>
        <x:v>81</x:v>
      </x:c>
      <x:c r="AM23" s="32" t="n">
        <x:f>SUM('02_属性来源'!AR275:AR290)</x:f>
        <x:v>3</x:v>
      </x:c>
      <x:c r="AN23" s="32" t="n">
        <x:f>SUM('02_属性来源'!AS275:AS290)</x:f>
        <x:v>9.75</x:v>
      </x:c>
      <x:c r="AO23" s="32" t="n">
        <x:f>SUM('02_属性来源'!AT275:AT290)</x:f>
        <x:v>2350</x:v>
      </x:c>
      <x:c r="AP23" s="32" t="n">
        <x:f>SUM('02_属性来源'!AU275:AU290)</x:f>
        <x:v>18</x:v>
      </x:c>
      <x:c r="AQ23" s="32" t="n">
        <x:f>SUM('02_属性来源'!AV275:AV290)</x:f>
        <x:v>3</x:v>
      </x:c>
      <x:c r="AR23" s="32" t="n">
        <x:f>SUM('02_属性来源'!AW275:AW290)</x:f>
        <x:v>10</x:v>
      </x:c>
      <x:c r="AS23" s="32" t="n">
        <x:f>SUM('02_属性来源'!AX275:AX290)</x:f>
        <x:v>10</x:v>
      </x:c>
      <x:c r="AT23" s="32" t="n">
        <x:f>SUM('02_属性来源'!AY275:AY290)</x:f>
        <x:v>0</x:v>
      </x:c>
      <x:c r="AU23" s="32" t="n">
        <x:f>SUM('02_属性来源'!AZ275:AZ290)</x:f>
        <x:v>14</x:v>
      </x:c>
      <x:c r="AV23" s="32" t="n">
        <x:f>SUM('02_属性来源'!BA275:BA290)</x:f>
        <x:v>50</x:v>
      </x:c>
    </x:row>
    <x:row r="24">
      <x:c r="A24" s="25" t="str">
        <x:v>C05-X</x:v>
      </x:c>
      <x:c r="B24" s="25" t="str">
        <x:v>湖之利耶尼亚</x:v>
      </x:c>
      <x:c r="C24" s="25" t="str">
        <x:v>极端压力</x:v>
      </x:c>
      <x:c r="D24" s="32" t="n">
        <x:f>SUM('02_属性来源'!I291:I307)</x:f>
        <x:v>32637</x:v>
      </x:c>
      <x:c r="E24" s="32" t="n">
        <x:f>SUM('02_属性来源'!J291:J307)</x:f>
        <x:v>40404</x:v>
      </x:c>
      <x:c r="F24" s="32" t="n">
        <x:f>SUM('02_属性来源'!K291:K307)</x:f>
        <x:v>27123</x:v>
      </x:c>
      <x:c r="G24" s="32" t="n">
        <x:f>SUM('02_属性来源'!L291:L307)</x:f>
        <x:v>34869</x:v>
      </x:c>
      <x:c r="H24" s="32" t="n">
        <x:f>SUM('02_属性来源'!M291:M307)</x:f>
        <x:v>26816</x:v>
      </x:c>
      <x:c r="I24" s="32" t="n">
        <x:f>SUM('02_属性来源'!N291:N307)</x:f>
        <x:v>34562</x:v>
      </x:c>
      <x:c r="J24" s="32" t="n">
        <x:f>SUM('02_属性来源'!O291:O307)</x:f>
        <x:v>8791800</x:v>
      </x:c>
      <x:c r="K24" s="32" t="n">
        <x:f>SUM('02_属性来源'!P291:P307)</x:f>
        <x:v>380700</x:v>
      </x:c>
      <x:c r="L24" s="32" t="n">
        <x:f>SUM('02_属性来源'!Q291:Q307)</x:f>
        <x:v>782</x:v>
      </x:c>
      <x:c r="M24" s="32" t="n">
        <x:f>SUM('02_属性来源'!R291:R307)</x:f>
        <x:v>1441</x:v>
      </x:c>
      <x:c r="N24" s="32" t="n">
        <x:f>SUM('02_属性来源'!S291:S307)</x:f>
        <x:v>636</x:v>
      </x:c>
      <x:c r="O24" s="32" t="n">
        <x:f>SUM('02_属性来源'!T291:T307)</x:f>
        <x:v>1171</x:v>
      </x:c>
      <x:c r="P24" s="32" t="n">
        <x:f>SUM('02_属性来源'!U291:U307)</x:f>
        <x:v>1004</x:v>
      </x:c>
      <x:c r="Q24" s="32" t="n">
        <x:f>SUM('02_属性来源'!V291:V307)</x:f>
        <x:v>610</x:v>
      </x:c>
      <x:c r="R24" s="32" t="n">
        <x:f>SUM('02_属性来源'!W291:W307)</x:f>
        <x:v>610</x:v>
      </x:c>
      <x:c r="S24" s="32" t="n">
        <x:f>SUM('02_属性来源'!X291:X307)</x:f>
        <x:v>0.8900000000000001</x:v>
      </x:c>
      <x:c r="T24" s="32" t="n">
        <x:f>SUM('02_属性来源'!Y291:Y307)</x:f>
        <x:v>19</x:v>
      </x:c>
      <x:c r="U24" s="32" t="n">
        <x:f>SUM('02_属性来源'!Z291:Z307)</x:f>
        <x:v>165</x:v>
      </x:c>
      <x:c r="V24" s="32" t="n">
        <x:f>SUM('02_属性来源'!AA291:AA307)</x:f>
        <x:v>51</x:v>
      </x:c>
      <x:c r="W24" s="32" t="n">
        <x:f>SUM('02_属性来源'!AB291:AB307)</x:f>
        <x:v>33</x:v>
      </x:c>
      <x:c r="X24" s="32" t="n">
        <x:f>SUM('02_属性来源'!AC291:AC307)</x:f>
        <x:v>217</x:v>
      </x:c>
      <x:c r="Y24" s="32" t="n">
        <x:f>SUM('02_属性来源'!AD291:AD307)</x:f>
        <x:v>1</x:v>
      </x:c>
      <x:c r="Z24" s="32" t="n">
        <x:f>SUM('02_属性来源'!AE291:AE307)</x:f>
        <x:v>37</x:v>
      </x:c>
      <x:c r="AA24" s="32" t="n">
        <x:f>SUM('02_属性来源'!AF291:AF307)</x:f>
        <x:v>0</x:v>
      </x:c>
      <x:c r="AB24" s="32" t="n">
        <x:f>SUM('02_属性来源'!AG291:AG307)</x:f>
        <x:v>0</x:v>
      </x:c>
      <x:c r="AC24" s="32" t="n">
        <x:f>SUM('02_属性来源'!AH291:AH307)</x:f>
        <x:v>38</x:v>
      </x:c>
      <x:c r="AD24" s="32" t="n">
        <x:f>SUM('02_属性来源'!AI291:AI307)</x:f>
        <x:v>7</x:v>
      </x:c>
      <x:c r="AE24" s="32" t="n">
        <x:f>SUM('02_属性来源'!AJ291:AJ307)</x:f>
        <x:v>138</x:v>
      </x:c>
      <x:c r="AF24" s="32" t="n">
        <x:f>SUM('02_属性来源'!AK291:AK307)</x:f>
        <x:v>7</x:v>
      </x:c>
      <x:c r="AG24" s="32" t="n">
        <x:f>SUM('02_属性来源'!AL291:AL307)</x:f>
        <x:v>8</x:v>
      </x:c>
      <x:c r="AH24" s="32" t="n">
        <x:f>SUM('02_属性来源'!AM291:AM307)</x:f>
        <x:v>31</x:v>
      </x:c>
      <x:c r="AI24" s="32" t="n">
        <x:f>SUM('02_属性来源'!AN291:AN307)</x:f>
        <x:v>38</x:v>
      </x:c>
      <x:c r="AJ24" s="32" t="n">
        <x:f>SUM('02_属性来源'!AO291:AO307)</x:f>
        <x:v>2.2</x:v>
      </x:c>
      <x:c r="AK24" s="32" t="n">
        <x:f>SUM('02_属性来源'!AP291:AP307)</x:f>
        <x:v>931</x:v>
      </x:c>
      <x:c r="AL24" s="32" t="n">
        <x:f>SUM('02_属性来源'!AQ291:AQ307)</x:f>
        <x:v>91</x:v>
      </x:c>
      <x:c r="AM24" s="32" t="n">
        <x:f>SUM('02_属性来源'!AR291:AR307)</x:f>
        <x:v>5</x:v>
      </x:c>
      <x:c r="AN24" s="32" t="n">
        <x:f>SUM('02_属性来源'!AS291:AS307)</x:f>
        <x:v>9</x:v>
      </x:c>
      <x:c r="AO24" s="32" t="n">
        <x:f>SUM('02_属性来源'!AT291:AT307)</x:f>
        <x:v>2350</x:v>
      </x:c>
      <x:c r="AP24" s="32" t="n">
        <x:f>SUM('02_属性来源'!AU291:AU307)</x:f>
        <x:v>17</x:v>
      </x:c>
      <x:c r="AQ24" s="32" t="n">
        <x:f>SUM('02_属性来源'!AV291:AV307)</x:f>
        <x:v>3</x:v>
      </x:c>
      <x:c r="AR24" s="32" t="n">
        <x:f>SUM('02_属性来源'!AW291:AW307)</x:f>
        <x:v>15</x:v>
      </x:c>
      <x:c r="AS24" s="32" t="n">
        <x:f>SUM('02_属性来源'!AX291:AX307)</x:f>
        <x:v>10</x:v>
      </x:c>
      <x:c r="AT24" s="32" t="n">
        <x:f>SUM('02_属性来源'!AY291:AY307)</x:f>
        <x:v>2</x:v>
      </x:c>
      <x:c r="AU24" s="32" t="n">
        <x:f>SUM('02_属性来源'!AZ291:AZ307)</x:f>
        <x:v>17</x:v>
      </x:c>
      <x:c r="AV24" s="32" t="n">
        <x:f>SUM('02_属性来源'!BA291:BA307)</x:f>
        <x:v>50</x:v>
      </x:c>
    </x:row>
    <x:row r="25">
      <x:c r="A25" s="25" t="str">
        <x:v>C06-E</x:v>
      </x:c>
      <x:c r="B25" s="25" t="str">
        <x:v>盖利德</x:v>
      </x:c>
      <x:c r="C25" s="25" t="str">
        <x:v>半急速入场</x:v>
      </x:c>
      <x:c r="D25" s="32" t="n">
        <x:f>SUM('02_属性来源'!I308:I323)</x:f>
        <x:v>29477</x:v>
      </x:c>
      <x:c r="E25" s="32" t="n">
        <x:f>SUM('02_属性来源'!J308:J323)</x:f>
        <x:v>35797</x:v>
      </x:c>
      <x:c r="F25" s="32" t="n">
        <x:f>SUM('02_属性来源'!K308:K323)</x:f>
        <x:v>24899</x:v>
      </x:c>
      <x:c r="G25" s="32" t="n">
        <x:f>SUM('02_属性来源'!L308:L323)</x:f>
        <x:v>31198</x:v>
      </x:c>
      <x:c r="H25" s="32" t="n">
        <x:f>SUM('02_属性来源'!M308:M323)</x:f>
        <x:v>24447</x:v>
      </x:c>
      <x:c r="I25" s="32" t="n">
        <x:f>SUM('02_属性来源'!N308:N323)</x:f>
        <x:v>30746</x:v>
      </x:c>
      <x:c r="J25" s="32" t="n">
        <x:f>SUM('02_属性来源'!O308:O323)</x:f>
        <x:v>6372300</x:v>
      </x:c>
      <x:c r="K25" s="32" t="n">
        <x:f>SUM('02_属性来源'!P308:P323)</x:f>
        <x:v>380700</x:v>
      </x:c>
      <x:c r="L25" s="32" t="n">
        <x:f>SUM('02_属性来源'!Q308:Q323)</x:f>
        <x:v>644</x:v>
      </x:c>
      <x:c r="M25" s="32" t="n">
        <x:f>SUM('02_属性来源'!R308:R323)</x:f>
        <x:v>1189</x:v>
      </x:c>
      <x:c r="N25" s="32" t="n">
        <x:f>SUM('02_属性来源'!S308:S323)</x:f>
        <x:v>524</x:v>
      </x:c>
      <x:c r="O25" s="32" t="n">
        <x:f>SUM('02_属性来源'!T308:T323)</x:f>
        <x:v>966</x:v>
      </x:c>
      <x:c r="P25" s="32" t="n">
        <x:f>SUM('02_属性来源'!U308:U323)</x:f>
        <x:v>929</x:v>
      </x:c>
      <x:c r="Q25" s="32" t="n">
        <x:f>SUM('02_属性来源'!V308:V323)</x:f>
        <x:v>525</x:v>
      </x:c>
      <x:c r="R25" s="32" t="n">
        <x:f>SUM('02_属性来源'!W308:W323)</x:f>
        <x:v>525</x:v>
      </x:c>
      <x:c r="S25" s="32" t="n">
        <x:f>SUM('02_属性来源'!X308:X323)</x:f>
        <x:v>0.62</x:v>
      </x:c>
      <x:c r="T25" s="32" t="n">
        <x:f>SUM('02_属性来源'!Y308:Y323)</x:f>
        <x:v>19</x:v>
      </x:c>
      <x:c r="U25" s="32" t="n">
        <x:f>SUM('02_属性来源'!Z308:Z323)</x:f>
        <x:v>126</x:v>
      </x:c>
      <x:c r="V25" s="32" t="n">
        <x:f>SUM('02_属性来源'!AA308:AA323)</x:f>
        <x:v>42</x:v>
      </x:c>
      <x:c r="W25" s="32" t="n">
        <x:f>SUM('02_属性来源'!AB308:AB323)</x:f>
        <x:v>21</x:v>
      </x:c>
      <x:c r="X25" s="32" t="n">
        <x:f>SUM('02_属性来源'!AC308:AC323)</x:f>
        <x:v>159</x:v>
      </x:c>
      <x:c r="Y25" s="32" t="n">
        <x:f>SUM('02_属性来源'!AD308:AD323)</x:f>
        <x:v>1</x:v>
      </x:c>
      <x:c r="Z25" s="32" t="n">
        <x:f>SUM('02_属性来源'!AE308:AE323)</x:f>
        <x:v>25</x:v>
      </x:c>
      <x:c r="AA25" s="32" t="n">
        <x:f>SUM('02_属性来源'!AF308:AF323)</x:f>
        <x:v>0</x:v>
      </x:c>
      <x:c r="AB25" s="32" t="n">
        <x:f>SUM('02_属性来源'!AG308:AG323)</x:f>
        <x:v>0</x:v>
      </x:c>
      <x:c r="AC25" s="32" t="n">
        <x:f>SUM('02_属性来源'!AH308:AH323)</x:f>
        <x:v>39</x:v>
      </x:c>
      <x:c r="AD25" s="32" t="n">
        <x:f>SUM('02_属性来源'!AI308:AI323)</x:f>
        <x:v>5</x:v>
      </x:c>
      <x:c r="AE25" s="32" t="n">
        <x:f>SUM('02_属性来源'!AJ308:AJ323)</x:f>
        <x:v>137</x:v>
      </x:c>
      <x:c r="AF25" s="32" t="n">
        <x:f>SUM('02_属性来源'!AK308:AK323)</x:f>
        <x:v>7</x:v>
      </x:c>
      <x:c r="AG25" s="32" t="n">
        <x:f>SUM('02_属性来源'!AL308:AL323)</x:f>
        <x:v>8</x:v>
      </x:c>
      <x:c r="AH25" s="32" t="n">
        <x:f>SUM('02_属性来源'!AM308:AM323)</x:f>
        <x:v>23.5</x:v>
      </x:c>
      <x:c r="AI25" s="32" t="n">
        <x:f>SUM('02_属性来源'!AN308:AN323)</x:f>
        <x:v>23</x:v>
      </x:c>
      <x:c r="AJ25" s="32" t="n">
        <x:f>SUM('02_属性来源'!AO308:AO323)</x:f>
        <x:v>3.2</x:v>
      </x:c>
      <x:c r="AK25" s="32" t="n">
        <x:f>SUM('02_属性来源'!AP308:AP323)</x:f>
        <x:v>640</x:v>
      </x:c>
      <x:c r="AL25" s="32" t="n">
        <x:f>SUM('02_属性来源'!AQ308:AQ323)</x:f>
        <x:v>81</x:v>
      </x:c>
      <x:c r="AM25" s="32" t="n">
        <x:f>SUM('02_属性来源'!AR308:AR323)</x:f>
        <x:v>3</x:v>
      </x:c>
      <x:c r="AN25" s="32" t="n">
        <x:f>SUM('02_属性来源'!AS308:AS323)</x:f>
        <x:v>9.75</x:v>
      </x:c>
      <x:c r="AO25" s="32" t="n">
        <x:f>SUM('02_属性来源'!AT308:AT323)</x:f>
        <x:v>2350</x:v>
      </x:c>
      <x:c r="AP25" s="32" t="n">
        <x:f>SUM('02_属性来源'!AU308:AU323)</x:f>
        <x:v>18</x:v>
      </x:c>
      <x:c r="AQ25" s="32" t="n">
        <x:f>SUM('02_属性来源'!AV308:AV323)</x:f>
        <x:v>3</x:v>
      </x:c>
      <x:c r="AR25" s="32" t="n">
        <x:f>SUM('02_属性来源'!AW308:AW323)</x:f>
        <x:v>10</x:v>
      </x:c>
      <x:c r="AS25" s="32" t="n">
        <x:f>SUM('02_属性来源'!AX308:AX323)</x:f>
        <x:v>10</x:v>
      </x:c>
      <x:c r="AT25" s="32" t="n">
        <x:f>SUM('02_属性来源'!AY308:AY323)</x:f>
        <x:v>0</x:v>
      </x:c>
      <x:c r="AU25" s="32" t="n">
        <x:f>SUM('02_属性来源'!AZ308:AZ323)</x:f>
        <x:v>14</x:v>
      </x:c>
      <x:c r="AV25" s="32" t="n">
        <x:f>SUM('02_属性来源'!BA308:BA323)</x:f>
        <x:v>50</x:v>
      </x:c>
    </x:row>
    <x:row r="26">
      <x:c r="A26" s="25" t="str">
        <x:v>C06-M</x:v>
      </x:c>
      <x:c r="B26" s="25" t="str">
        <x:v>盖利德</x:v>
      </x:c>
      <x:c r="C26" s="25" t="str">
        <x:v>半急速中期</x:v>
      </x:c>
      <x:c r="D26" s="32" t="n">
        <x:f>SUM('02_属性来源'!I324:I339)</x:f>
        <x:v>31138</x:v>
      </x:c>
      <x:c r="E26" s="32" t="n">
        <x:f>SUM('02_属性来源'!J324:J339)</x:f>
        <x:v>37459.5</x:v>
      </x:c>
      <x:c r="F26" s="32" t="n">
        <x:f>SUM('02_属性来源'!K324:K339)</x:f>
        <x:v>31539</x:v>
      </x:c>
      <x:c r="G26" s="32" t="n">
        <x:f>SUM('02_属性来源'!L324:L339)</x:f>
        <x:v>37838</x:v>
      </x:c>
      <x:c r="H26" s="32" t="n">
        <x:f>SUM('02_属性来源'!M324:M339)</x:f>
        <x:v>34520</x:v>
      </x:c>
      <x:c r="I26" s="32" t="n">
        <x:f>SUM('02_属性来源'!N324:N339)</x:f>
        <x:v>40819</x:v>
      </x:c>
      <x:c r="J26" s="32" t="n">
        <x:f>SUM('02_属性来源'!O324:O339)</x:f>
        <x:v>7038900</x:v>
      </x:c>
      <x:c r="K26" s="32" t="n">
        <x:f>SUM('02_属性来源'!P324:P339)</x:f>
        <x:v>800750</x:v>
      </x:c>
      <x:c r="L26" s="32" t="n">
        <x:f>SUM('02_属性来源'!Q324:Q339)</x:f>
        <x:v>644</x:v>
      </x:c>
      <x:c r="M26" s="32" t="n">
        <x:f>SUM('02_属性来源'!R324:R339)</x:f>
        <x:v>1189</x:v>
      </x:c>
      <x:c r="N26" s="32" t="n">
        <x:f>SUM('02_属性来源'!S324:S339)</x:f>
        <x:v>524</x:v>
      </x:c>
      <x:c r="O26" s="32" t="n">
        <x:f>SUM('02_属性来源'!T324:T339)</x:f>
        <x:v>966</x:v>
      </x:c>
      <x:c r="P26" s="32" t="n">
        <x:f>SUM('02_属性来源'!U324:U339)</x:f>
        <x:v>966</x:v>
      </x:c>
      <x:c r="Q26" s="32" t="n">
        <x:f>SUM('02_属性来源'!V324:V339)</x:f>
        <x:v>525</x:v>
      </x:c>
      <x:c r="R26" s="32" t="n">
        <x:f>SUM('02_属性来源'!W324:W339)</x:f>
        <x:v>525</x:v>
      </x:c>
      <x:c r="S26" s="32" t="n">
        <x:f>SUM('02_属性来源'!X324:X339)</x:f>
        <x:v>0.8</x:v>
      </x:c>
      <x:c r="T26" s="32" t="n">
        <x:f>SUM('02_属性来源'!Y324:Y339)</x:f>
        <x:v>21</x:v>
      </x:c>
      <x:c r="U26" s="32" t="n">
        <x:f>SUM('02_属性来源'!Z324:Z339)</x:f>
        <x:v>126</x:v>
      </x:c>
      <x:c r="V26" s="32" t="n">
        <x:f>SUM('02_属性来源'!AA324:AA339)</x:f>
        <x:v>45</x:v>
      </x:c>
      <x:c r="W26" s="32" t="n">
        <x:f>SUM('02_属性来源'!AB324:AB339)</x:f>
        <x:v>25</x:v>
      </x:c>
      <x:c r="X26" s="32" t="n">
        <x:f>SUM('02_属性来源'!AC324:AC339)</x:f>
        <x:v>159</x:v>
      </x:c>
      <x:c r="Y26" s="32" t="n">
        <x:f>SUM('02_属性来源'!AD324:AD339)</x:f>
        <x:v>1</x:v>
      </x:c>
      <x:c r="Z26" s="32" t="n">
        <x:f>SUM('02_属性来源'!AE324:AE339)</x:f>
        <x:v>25</x:v>
      </x:c>
      <x:c r="AA26" s="32" t="n">
        <x:f>SUM('02_属性来源'!AF324:AF339)</x:f>
        <x:v>0</x:v>
      </x:c>
      <x:c r="AB26" s="32" t="n">
        <x:f>SUM('02_属性来源'!AG324:AG339)</x:f>
        <x:v>0</x:v>
      </x:c>
      <x:c r="AC26" s="32" t="n">
        <x:f>SUM('02_属性来源'!AH324:AH339)</x:f>
        <x:v>42</x:v>
      </x:c>
      <x:c r="AD26" s="32" t="n">
        <x:f>SUM('02_属性来源'!AI324:AI339)</x:f>
        <x:v>5</x:v>
      </x:c>
      <x:c r="AE26" s="32" t="n">
        <x:f>SUM('02_属性来源'!AJ324:AJ339)</x:f>
        <x:v>137</x:v>
      </x:c>
      <x:c r="AF26" s="32" t="n">
        <x:f>SUM('02_属性来源'!AK324:AK339)</x:f>
        <x:v>7</x:v>
      </x:c>
      <x:c r="AG26" s="32" t="n">
        <x:f>SUM('02_属性来源'!AL324:AL339)</x:f>
        <x:v>8</x:v>
      </x:c>
      <x:c r="AH26" s="32" t="n">
        <x:f>SUM('02_属性来源'!AM324:AM339)</x:f>
        <x:v>25</x:v>
      </x:c>
      <x:c r="AI26" s="32" t="n">
        <x:f>SUM('02_属性来源'!AN324:AN339)</x:f>
        <x:v>25</x:v>
      </x:c>
      <x:c r="AJ26" s="32" t="n">
        <x:f>SUM('02_属性来源'!AO324:AO339)</x:f>
        <x:v>4.2</x:v>
      </x:c>
      <x:c r="AK26" s="32" t="n">
        <x:f>SUM('02_属性来源'!AP324:AP339)</x:f>
        <x:v>695</x:v>
      </x:c>
      <x:c r="AL26" s="32" t="n">
        <x:f>SUM('02_属性来源'!AQ324:AQ339)</x:f>
        <x:v>81</x:v>
      </x:c>
      <x:c r="AM26" s="32" t="n">
        <x:f>SUM('02_属性来源'!AR324:AR339)</x:f>
        <x:v>3</x:v>
      </x:c>
      <x:c r="AN26" s="32" t="n">
        <x:f>SUM('02_属性来源'!AS324:AS339)</x:f>
        <x:v>8.75</x:v>
      </x:c>
      <x:c r="AO26" s="32" t="n">
        <x:f>SUM('02_属性来源'!AT324:AT339)</x:f>
        <x:v>2950</x:v>
      </x:c>
      <x:c r="AP26" s="32" t="n">
        <x:f>SUM('02_属性来源'!AU324:AU339)</x:f>
        <x:v>18</x:v>
      </x:c>
      <x:c r="AQ26" s="32" t="n">
        <x:f>SUM('02_属性来源'!AV324:AV339)</x:f>
        <x:v>3</x:v>
      </x:c>
      <x:c r="AR26" s="32" t="n">
        <x:f>SUM('02_属性来源'!AW324:AW339)</x:f>
        <x:v>10</x:v>
      </x:c>
      <x:c r="AS26" s="32" t="n">
        <x:f>SUM('02_属性来源'!AX324:AX339)</x:f>
        <x:v>10</x:v>
      </x:c>
      <x:c r="AT26" s="32" t="n">
        <x:f>SUM('02_属性来源'!AY324:AY339)</x:f>
        <x:v>0</x:v>
      </x:c>
      <x:c r="AU26" s="32" t="n">
        <x:f>SUM('02_属性来源'!AZ324:AZ339)</x:f>
        <x:v>14</x:v>
      </x:c>
      <x:c r="AV26" s="32" t="n">
        <x:f>SUM('02_属性来源'!BA324:BA339)</x:f>
        <x:v>50</x:v>
      </x:c>
    </x:row>
    <x:row r="27">
      <x:c r="A27" s="25" t="str">
        <x:v>C06-G</x:v>
      </x:c>
      <x:c r="B27" s="25" t="str">
        <x:v>盖利德</x:v>
      </x:c>
      <x:c r="C27" s="25" t="str">
        <x:v>半急速毕业</x:v>
      </x:c>
      <x:c r="D27" s="32" t="n">
        <x:f>SUM('02_属性来源'!I340:I355)</x:f>
        <x:v>35037</x:v>
      </x:c>
      <x:c r="E27" s="32" t="n">
        <x:f>SUM('02_属性来源'!J340:J355)</x:f>
        <x:v>42362</x:v>
      </x:c>
      <x:c r="F27" s="32" t="n">
        <x:f>SUM('02_属性来源'!K340:K355)</x:f>
        <x:v>35588</x:v>
      </x:c>
      <x:c r="G27" s="32" t="n">
        <x:f>SUM('02_属性来源'!L340:L355)</x:f>
        <x:v>42889</x:v>
      </x:c>
      <x:c r="H27" s="32" t="n">
        <x:f>SUM('02_属性来源'!M340:M355)</x:f>
        <x:v>34928</x:v>
      </x:c>
      <x:c r="I27" s="32" t="n">
        <x:f>SUM('02_属性来源'!N340:N355)</x:f>
        <x:v>42229</x:v>
      </x:c>
      <x:c r="J27" s="32" t="n">
        <x:f>SUM('02_属性来源'!O340:O355)</x:f>
        <x:v>13083900</x:v>
      </x:c>
      <x:c r="K27" s="32" t="n">
        <x:f>SUM('02_属性来源'!P340:P355)</x:f>
        <x:v>800800</x:v>
      </x:c>
      <x:c r="L27" s="32" t="n">
        <x:f>SUM('02_属性来源'!Q340:Q355)</x:f>
        <x:v>601</x:v>
      </x:c>
      <x:c r="M27" s="32" t="n">
        <x:f>SUM('02_属性来源'!R340:R355)</x:f>
        <x:v>1116</x:v>
      </x:c>
      <x:c r="N27" s="32" t="n">
        <x:f>SUM('02_属性来源'!S340:S355)</x:f>
        <x:v>490</x:v>
      </x:c>
      <x:c r="O27" s="32" t="n">
        <x:f>SUM('02_属性来源'!T340:T355)</x:f>
        <x:v>903</x:v>
      </x:c>
      <x:c r="P27" s="32" t="n">
        <x:f>SUM('02_属性来源'!U340:U355)</x:f>
        <x:v>1057</x:v>
      </x:c>
      <x:c r="Q27" s="32" t="n">
        <x:f>SUM('02_属性来源'!V340:V355)</x:f>
        <x:v>546</x:v>
      </x:c>
      <x:c r="R27" s="32" t="n">
        <x:f>SUM('02_属性来源'!W340:W355)</x:f>
        <x:v>546</x:v>
      </x:c>
      <x:c r="S27" s="32" t="n">
        <x:f>SUM('02_属性来源'!X340:X355)</x:f>
        <x:v>1.01</x:v>
      </x:c>
      <x:c r="T27" s="32" t="n">
        <x:f>SUM('02_属性来源'!Y340:Y355)</x:f>
        <x:v>19</x:v>
      </x:c>
      <x:c r="U27" s="32" t="n">
        <x:f>SUM('02_属性来源'!Z340:Z355)</x:f>
        <x:v>128</x:v>
      </x:c>
      <x:c r="V27" s="32" t="n">
        <x:f>SUM('02_属性来源'!AA340:AA355)</x:f>
        <x:v>45</x:v>
      </x:c>
      <x:c r="W27" s="32" t="n">
        <x:f>SUM('02_属性来源'!AB340:AB355)</x:f>
        <x:v>21</x:v>
      </x:c>
      <x:c r="X27" s="32" t="n">
        <x:f>SUM('02_属性来源'!AC340:AC355)</x:f>
        <x:v>162</x:v>
      </x:c>
      <x:c r="Y27" s="32" t="n">
        <x:f>SUM('02_属性来源'!AD340:AD355)</x:f>
        <x:v>2</x:v>
      </x:c>
      <x:c r="Z27" s="32" t="n">
        <x:f>SUM('02_属性来源'!AE340:AE355)</x:f>
        <x:v>25</x:v>
      </x:c>
      <x:c r="AA27" s="32" t="n">
        <x:f>SUM('02_属性来源'!AF340:AF355)</x:f>
        <x:v>0</x:v>
      </x:c>
      <x:c r="AB27" s="32" t="n">
        <x:f>SUM('02_属性来源'!AG340:AG355)</x:f>
        <x:v>0</x:v>
      </x:c>
      <x:c r="AC27" s="32" t="n">
        <x:f>SUM('02_属性来源'!AH340:AH355)</x:f>
        <x:v>38</x:v>
      </x:c>
      <x:c r="AD27" s="32" t="n">
        <x:f>SUM('02_属性来源'!AI340:AI355)</x:f>
        <x:v>5</x:v>
      </x:c>
      <x:c r="AE27" s="32" t="n">
        <x:f>SUM('02_属性来源'!AJ340:AJ355)</x:f>
        <x:v>137</x:v>
      </x:c>
      <x:c r="AF27" s="32" t="n">
        <x:f>SUM('02_属性来源'!AK340:AK355)</x:f>
        <x:v>7</x:v>
      </x:c>
      <x:c r="AG27" s="32" t="n">
        <x:f>SUM('02_属性来源'!AL340:AL355)</x:f>
        <x:v>8</x:v>
      </x:c>
      <x:c r="AH27" s="32" t="n">
        <x:f>SUM('02_属性来源'!AM340:AM355)</x:f>
        <x:v>24.5</x:v>
      </x:c>
      <x:c r="AI27" s="32" t="n">
        <x:f>SUM('02_属性来源'!AN340:AN355)</x:f>
        <x:v>25</x:v>
      </x:c>
      <x:c r="AJ27" s="32" t="n">
        <x:f>SUM('02_属性来源'!AO340:AO355)</x:f>
        <x:v>0.2</x:v>
      </x:c>
      <x:c r="AK27" s="32" t="n">
        <x:f>SUM('02_属性来源'!AP340:AP355)</x:f>
        <x:v>748</x:v>
      </x:c>
      <x:c r="AL27" s="32" t="n">
        <x:f>SUM('02_属性来源'!AQ340:AQ355)</x:f>
        <x:v>81</x:v>
      </x:c>
      <x:c r="AM27" s="32" t="n">
        <x:f>SUM('02_属性来源'!AR340:AR355)</x:f>
        <x:v>3</x:v>
      </x:c>
      <x:c r="AN27" s="32" t="n">
        <x:f>SUM('02_属性来源'!AS340:AS355)</x:f>
        <x:v>8.75</x:v>
      </x:c>
      <x:c r="AO27" s="32" t="n">
        <x:f>SUM('02_属性来源'!AT340:AT355)</x:f>
        <x:v>2950</x:v>
      </x:c>
      <x:c r="AP27" s="32" t="n">
        <x:f>SUM('02_属性来源'!AU340:AU355)</x:f>
        <x:v>19</x:v>
      </x:c>
      <x:c r="AQ27" s="32" t="n">
        <x:f>SUM('02_属性来源'!AV340:AV355)</x:f>
        <x:v>3</x:v>
      </x:c>
      <x:c r="AR27" s="32" t="n">
        <x:f>SUM('02_属性来源'!AW340:AW355)</x:f>
        <x:v>12</x:v>
      </x:c>
      <x:c r="AS27" s="32" t="n">
        <x:f>SUM('02_属性来源'!AX340:AX355)</x:f>
        <x:v>10</x:v>
      </x:c>
      <x:c r="AT27" s="32" t="n">
        <x:f>SUM('02_属性来源'!AY340:AY355)</x:f>
        <x:v>0</x:v>
      </x:c>
      <x:c r="AU27" s="32" t="n">
        <x:f>SUM('02_属性来源'!AZ340:AZ355)</x:f>
        <x:v>7</x:v>
      </x:c>
      <x:c r="AV27" s="32" t="n">
        <x:f>SUM('02_属性来源'!BA340:BA355)</x:f>
        <x:v>50</x:v>
      </x:c>
    </x:row>
    <x:row r="28">
      <x:c r="A28" s="25" t="str">
        <x:v>C06-X</x:v>
      </x:c>
      <x:c r="B28" s="25" t="str">
        <x:v>盖利德</x:v>
      </x:c>
      <x:c r="C28" s="25" t="str">
        <x:v>极端压力</x:v>
      </x:c>
      <x:c r="D28" s="32" t="n">
        <x:f>SUM('02_属性来源'!I356:I372)</x:f>
        <x:v>45181</x:v>
      </x:c>
      <x:c r="E28" s="32" t="n">
        <x:f>SUM('02_属性来源'!J356:J372)</x:f>
        <x:v>57210</x:v>
      </x:c>
      <x:c r="F28" s="32" t="n">
        <x:f>SUM('02_属性来源'!K356:K372)</x:f>
        <x:v>41176</x:v>
      </x:c>
      <x:c r="G28" s="32" t="n">
        <x:f>SUM('02_属性来源'!L356:L372)</x:f>
        <x:v>53181</x:v>
      </x:c>
      <x:c r="H28" s="32" t="n">
        <x:f>SUM('02_属性来源'!M356:M372)</x:f>
        <x:v>40981</x:v>
      </x:c>
      <x:c r="I28" s="32" t="n">
        <x:f>SUM('02_属性来源'!N356:N372)</x:f>
        <x:v>52986</x:v>
      </x:c>
      <x:c r="J28" s="32" t="n">
        <x:f>SUM('02_属性来源'!O356:O372)</x:f>
        <x:v>20925700</x:v>
      </x:c>
      <x:c r="K28" s="32" t="n">
        <x:f>SUM('02_属性来源'!P356:P372)</x:f>
        <x:v>800800</x:v>
      </x:c>
      <x:c r="L28" s="32" t="n">
        <x:f>SUM('02_属性来源'!Q356:Q372)</x:f>
        <x:v>680</x:v>
      </x:c>
      <x:c r="M28" s="32" t="n">
        <x:f>SUM('02_属性来源'!R356:R372)</x:f>
        <x:v>1260</x:v>
      </x:c>
      <x:c r="N28" s="32" t="n">
        <x:f>SUM('02_属性来源'!S356:S372)</x:f>
        <x:v>554</x:v>
      </x:c>
      <x:c r="O28" s="32" t="n">
        <x:f>SUM('02_属性来源'!T356:T372)</x:f>
        <x:v>1024</x:v>
      </x:c>
      <x:c r="P28" s="32" t="n">
        <x:f>SUM('02_属性来源'!U356:U372)</x:f>
        <x:v>1283</x:v>
      </x:c>
      <x:c r="Q28" s="32" t="n">
        <x:f>SUM('02_属性来源'!V356:V372)</x:f>
        <x:v>636</x:v>
      </x:c>
      <x:c r="R28" s="32" t="n">
        <x:f>SUM('02_属性来源'!W356:W372)</x:f>
        <x:v>636</x:v>
      </x:c>
      <x:c r="S28" s="32" t="n">
        <x:f>SUM('02_属性来源'!X356:X372)</x:f>
        <x:v>1.3300000000000003</x:v>
      </x:c>
      <x:c r="T28" s="32" t="n">
        <x:f>SUM('02_属性来源'!Y356:Y372)</x:f>
        <x:v>17</x:v>
      </x:c>
      <x:c r="U28" s="32" t="n">
        <x:f>SUM('02_属性来源'!Z356:Z372)</x:f>
        <x:v>172</x:v>
      </x:c>
      <x:c r="V28" s="32" t="n">
        <x:f>SUM('02_属性来源'!AA356:AA372)</x:f>
        <x:v>56</x:v>
      </x:c>
      <x:c r="W28" s="32" t="n">
        <x:f>SUM('02_属性来源'!AB356:AB372)</x:f>
        <x:v>34</x:v>
      </x:c>
      <x:c r="X28" s="32" t="n">
        <x:f>SUM('02_属性来源'!AC356:AC372)</x:f>
        <x:v>245</x:v>
      </x:c>
      <x:c r="Y28" s="32" t="n">
        <x:f>SUM('02_属性来源'!AD356:AD372)</x:f>
        <x:v>5</x:v>
      </x:c>
      <x:c r="Z28" s="32" t="n">
        <x:f>SUM('02_属性来源'!AE356:AE372)</x:f>
        <x:v>82</x:v>
      </x:c>
      <x:c r="AA28" s="32" t="n">
        <x:f>SUM('02_属性来源'!AF356:AF372)</x:f>
        <x:v>0</x:v>
      </x:c>
      <x:c r="AB28" s="32" t="n">
        <x:f>SUM('02_属性来源'!AG356:AG372)</x:f>
        <x:v>0</x:v>
      </x:c>
      <x:c r="AC28" s="32" t="n">
        <x:f>SUM('02_属性来源'!AH356:AH372)</x:f>
        <x:v>37</x:v>
      </x:c>
      <x:c r="AD28" s="32" t="n">
        <x:f>SUM('02_属性来源'!AI356:AI372)</x:f>
        <x:v>9</x:v>
      </x:c>
      <x:c r="AE28" s="32" t="n">
        <x:f>SUM('02_属性来源'!AJ356:AJ372)</x:f>
        <x:v>140</x:v>
      </x:c>
      <x:c r="AF28" s="32" t="n">
        <x:f>SUM('02_属性来源'!AK356:AK372)</x:f>
        <x:v>7</x:v>
      </x:c>
      <x:c r="AG28" s="32" t="n">
        <x:f>SUM('02_属性来源'!AL356:AL372)</x:f>
        <x:v>8</x:v>
      </x:c>
      <x:c r="AH28" s="32" t="n">
        <x:f>SUM('02_属性来源'!AM356:AM372)</x:f>
        <x:v>34.5</x:v>
      </x:c>
      <x:c r="AI28" s="32" t="n">
        <x:f>SUM('02_属性来源'!AN356:AN372)</x:f>
        <x:v>64</x:v>
      </x:c>
      <x:c r="AJ28" s="32" t="n">
        <x:f>SUM('02_属性来源'!AO356:AO372)</x:f>
        <x:v>2.5999999999999996</x:v>
      </x:c>
      <x:c r="AK28" s="32" t="n">
        <x:f>SUM('02_属性来源'!AP356:AP372)</x:f>
        <x:v>1106</x:v>
      </x:c>
      <x:c r="AL28" s="32" t="n">
        <x:f>SUM('02_属性来源'!AQ356:AQ372)</x:f>
        <x:v>89</x:v>
      </x:c>
      <x:c r="AM28" s="32" t="n">
        <x:f>SUM('02_属性来源'!AR356:AR372)</x:f>
        <x:v>4</x:v>
      </x:c>
      <x:c r="AN28" s="32" t="n">
        <x:f>SUM('02_属性来源'!AS356:AS372)</x:f>
        <x:v>11</x:v>
      </x:c>
      <x:c r="AO28" s="32" t="n">
        <x:f>SUM('02_属性来源'!AT356:AT372)</x:f>
        <x:v>2950</x:v>
      </x:c>
      <x:c r="AP28" s="32" t="n">
        <x:f>SUM('02_属性来源'!AU356:AU372)</x:f>
        <x:v>18</x:v>
      </x:c>
      <x:c r="AQ28" s="32" t="n">
        <x:f>SUM('02_属性来源'!AV356:AV372)</x:f>
        <x:v>3</x:v>
      </x:c>
      <x:c r="AR28" s="32" t="n">
        <x:f>SUM('02_属性来源'!AW356:AW372)</x:f>
        <x:v>17</x:v>
      </x:c>
      <x:c r="AS28" s="32" t="n">
        <x:f>SUM('02_属性来源'!AX356:AX372)</x:f>
        <x:v>10</x:v>
      </x:c>
      <x:c r="AT28" s="32" t="n">
        <x:f>SUM('02_属性来源'!AY356:AY372)</x:f>
        <x:v>2</x:v>
      </x:c>
      <x:c r="AU28" s="32" t="n">
        <x:f>SUM('02_属性来源'!AZ356:AZ372)</x:f>
        <x:v>7</x:v>
      </x:c>
      <x:c r="AV28" s="32" t="n">
        <x:f>SUM('02_属性来源'!BA356:BA372)</x:f>
        <x:v>50</x:v>
      </x:c>
    </x:row>
    <x:row r="29">
      <x:c r="A29" s="25" t="str">
        <x:v>C07-E</x:v>
      </x:c>
      <x:c r="B29" s="25" t="str">
        <x:v>化圣雪原</x:v>
      </x:c>
      <x:c r="C29" s="25" t="str">
        <x:v>半急速入场</x:v>
      </x:c>
      <x:c r="D29" s="32" t="n">
        <x:f>SUM('02_属性来源'!I373:I388)</x:f>
        <x:v>35037</x:v>
      </x:c>
      <x:c r="E29" s="32" t="n">
        <x:f>SUM('02_属性来源'!J373:J388)</x:f>
        <x:v>42362</x:v>
      </x:c>
      <x:c r="F29" s="32" t="n">
        <x:f>SUM('02_属性来源'!K373:K388)</x:f>
        <x:v>35588</x:v>
      </x:c>
      <x:c r="G29" s="32" t="n">
        <x:f>SUM('02_属性来源'!L373:L388)</x:f>
        <x:v>42889</x:v>
      </x:c>
      <x:c r="H29" s="32" t="n">
        <x:f>SUM('02_属性来源'!M373:M388)</x:f>
        <x:v>34928</x:v>
      </x:c>
      <x:c r="I29" s="32" t="n">
        <x:f>SUM('02_属性来源'!N373:N388)</x:f>
        <x:v>42229</x:v>
      </x:c>
      <x:c r="J29" s="32" t="n">
        <x:f>SUM('02_属性来源'!O373:O388)</x:f>
        <x:v>13083900</x:v>
      </x:c>
      <x:c r="K29" s="32" t="n">
        <x:f>SUM('02_属性来源'!P373:P388)</x:f>
        <x:v>800800</x:v>
      </x:c>
      <x:c r="L29" s="32" t="n">
        <x:f>SUM('02_属性来源'!Q373:Q388)</x:f>
        <x:v>601</x:v>
      </x:c>
      <x:c r="M29" s="32" t="n">
        <x:f>SUM('02_属性来源'!R373:R388)</x:f>
        <x:v>1116</x:v>
      </x:c>
      <x:c r="N29" s="32" t="n">
        <x:f>SUM('02_属性来源'!S373:S388)</x:f>
        <x:v>490</x:v>
      </x:c>
      <x:c r="O29" s="32" t="n">
        <x:f>SUM('02_属性来源'!T373:T388)</x:f>
        <x:v>903</x:v>
      </x:c>
      <x:c r="P29" s="32" t="n">
        <x:f>SUM('02_属性来源'!U373:U388)</x:f>
        <x:v>1057</x:v>
      </x:c>
      <x:c r="Q29" s="32" t="n">
        <x:f>SUM('02_属性来源'!V373:V388)</x:f>
        <x:v>546</x:v>
      </x:c>
      <x:c r="R29" s="32" t="n">
        <x:f>SUM('02_属性来源'!W373:W388)</x:f>
        <x:v>546</x:v>
      </x:c>
      <x:c r="S29" s="32" t="n">
        <x:f>SUM('02_属性来源'!X373:X388)</x:f>
        <x:v>1.01</x:v>
      </x:c>
      <x:c r="T29" s="32" t="n">
        <x:f>SUM('02_属性来源'!Y373:Y388)</x:f>
        <x:v>19</x:v>
      </x:c>
      <x:c r="U29" s="32" t="n">
        <x:f>SUM('02_属性来源'!Z373:Z388)</x:f>
        <x:v>128</x:v>
      </x:c>
      <x:c r="V29" s="32" t="n">
        <x:f>SUM('02_属性来源'!AA373:AA388)</x:f>
        <x:v>45</x:v>
      </x:c>
      <x:c r="W29" s="32" t="n">
        <x:f>SUM('02_属性来源'!AB373:AB388)</x:f>
        <x:v>21</x:v>
      </x:c>
      <x:c r="X29" s="32" t="n">
        <x:f>SUM('02_属性来源'!AC373:AC388)</x:f>
        <x:v>162</x:v>
      </x:c>
      <x:c r="Y29" s="32" t="n">
        <x:f>SUM('02_属性来源'!AD373:AD388)</x:f>
        <x:v>2</x:v>
      </x:c>
      <x:c r="Z29" s="32" t="n">
        <x:f>SUM('02_属性来源'!AE373:AE388)</x:f>
        <x:v>25</x:v>
      </x:c>
      <x:c r="AA29" s="32" t="n">
        <x:f>SUM('02_属性来源'!AF373:AF388)</x:f>
        <x:v>0</x:v>
      </x:c>
      <x:c r="AB29" s="32" t="n">
        <x:f>SUM('02_属性来源'!AG373:AG388)</x:f>
        <x:v>0</x:v>
      </x:c>
      <x:c r="AC29" s="32" t="n">
        <x:f>SUM('02_属性来源'!AH373:AH388)</x:f>
        <x:v>38</x:v>
      </x:c>
      <x:c r="AD29" s="32" t="n">
        <x:f>SUM('02_属性来源'!AI373:AI388)</x:f>
        <x:v>5</x:v>
      </x:c>
      <x:c r="AE29" s="32" t="n">
        <x:f>SUM('02_属性来源'!AJ373:AJ388)</x:f>
        <x:v>137</x:v>
      </x:c>
      <x:c r="AF29" s="32" t="n">
        <x:f>SUM('02_属性来源'!AK373:AK388)</x:f>
        <x:v>7</x:v>
      </x:c>
      <x:c r="AG29" s="32" t="n">
        <x:f>SUM('02_属性来源'!AL373:AL388)</x:f>
        <x:v>8</x:v>
      </x:c>
      <x:c r="AH29" s="32" t="n">
        <x:f>SUM('02_属性来源'!AM373:AM388)</x:f>
        <x:v>24.5</x:v>
      </x:c>
      <x:c r="AI29" s="32" t="n">
        <x:f>SUM('02_属性来源'!AN373:AN388)</x:f>
        <x:v>25</x:v>
      </x:c>
      <x:c r="AJ29" s="32" t="n">
        <x:f>SUM('02_属性来源'!AO373:AO388)</x:f>
        <x:v>0.2</x:v>
      </x:c>
      <x:c r="AK29" s="32" t="n">
        <x:f>SUM('02_属性来源'!AP373:AP388)</x:f>
        <x:v>748</x:v>
      </x:c>
      <x:c r="AL29" s="32" t="n">
        <x:f>SUM('02_属性来源'!AQ373:AQ388)</x:f>
        <x:v>81</x:v>
      </x:c>
      <x:c r="AM29" s="32" t="n">
        <x:f>SUM('02_属性来源'!AR373:AR388)</x:f>
        <x:v>3</x:v>
      </x:c>
      <x:c r="AN29" s="32" t="n">
        <x:f>SUM('02_属性来源'!AS373:AS388)</x:f>
        <x:v>8.75</x:v>
      </x:c>
      <x:c r="AO29" s="32" t="n">
        <x:f>SUM('02_属性来源'!AT373:AT388)</x:f>
        <x:v>2950</x:v>
      </x:c>
      <x:c r="AP29" s="32" t="n">
        <x:f>SUM('02_属性来源'!AU373:AU388)</x:f>
        <x:v>19</x:v>
      </x:c>
      <x:c r="AQ29" s="32" t="n">
        <x:f>SUM('02_属性来源'!AV373:AV388)</x:f>
        <x:v>3</x:v>
      </x:c>
      <x:c r="AR29" s="32" t="n">
        <x:f>SUM('02_属性来源'!AW373:AW388)</x:f>
        <x:v>12</x:v>
      </x:c>
      <x:c r="AS29" s="32" t="n">
        <x:f>SUM('02_属性来源'!AX373:AX388)</x:f>
        <x:v>10</x:v>
      </x:c>
      <x:c r="AT29" s="32" t="n">
        <x:f>SUM('02_属性来源'!AY373:AY388)</x:f>
        <x:v>0</x:v>
      </x:c>
      <x:c r="AU29" s="32" t="n">
        <x:f>SUM('02_属性来源'!AZ373:AZ388)</x:f>
        <x:v>7</x:v>
      </x:c>
      <x:c r="AV29" s="32" t="n">
        <x:f>SUM('02_属性来源'!BA373:BA388)</x:f>
        <x:v>50</x:v>
      </x:c>
    </x:row>
    <x:row r="30">
      <x:c r="A30" s="25" t="str">
        <x:v>C07-M</x:v>
      </x:c>
      <x:c r="B30" s="25" t="str">
        <x:v>化圣雪原</x:v>
      </x:c>
      <x:c r="C30" s="25" t="str">
        <x:v>半急速中期</x:v>
      </x:c>
      <x:c r="D30" s="32" t="n">
        <x:f>SUM('02_属性来源'!I389:I404)</x:f>
        <x:v>49110</x:v>
      </x:c>
      <x:c r="E30" s="32" t="n">
        <x:f>SUM('02_属性来源'!J389:J404)</x:f>
        <x:v>56436.5</x:v>
      </x:c>
      <x:c r="F30" s="32" t="n">
        <x:f>SUM('02_属性来源'!K389:K404)</x:f>
        <x:v>46216</x:v>
      </x:c>
      <x:c r="G30" s="32" t="n">
        <x:f>SUM('02_属性来源'!L389:L404)</x:f>
        <x:v>53517</x:v>
      </x:c>
      <x:c r="H30" s="32" t="n">
        <x:f>SUM('02_属性来源'!M389:M404)</x:f>
        <x:v>49132</x:v>
      </x:c>
      <x:c r="I30" s="32" t="n">
        <x:f>SUM('02_属性来源'!N389:N404)</x:f>
        <x:v>56433</x:v>
      </x:c>
      <x:c r="J30" s="32" t="n">
        <x:f>SUM('02_属性来源'!O389:O404)</x:f>
        <x:v>14135900</x:v>
      </x:c>
      <x:c r="K30" s="32" t="n">
        <x:f>SUM('02_属性来源'!P389:P404)</x:f>
        <x:v>1600850</x:v>
      </x:c>
      <x:c r="L30" s="32" t="n">
        <x:f>SUM('02_属性来源'!Q389:Q404)</x:f>
        <x:v>601</x:v>
      </x:c>
      <x:c r="M30" s="32" t="n">
        <x:f>SUM('02_属性来源'!R389:R404)</x:f>
        <x:v>1116</x:v>
      </x:c>
      <x:c r="N30" s="32" t="n">
        <x:f>SUM('02_属性来源'!S389:S404)</x:f>
        <x:v>490</x:v>
      </x:c>
      <x:c r="O30" s="32" t="n">
        <x:f>SUM('02_属性来源'!T389:T404)</x:f>
        <x:v>903</x:v>
      </x:c>
      <x:c r="P30" s="32" t="n">
        <x:f>SUM('02_属性来源'!U389:U404)</x:f>
        <x:v>992</x:v>
      </x:c>
      <x:c r="Q30" s="32" t="n">
        <x:f>SUM('02_属性来源'!V389:V404)</x:f>
        <x:v>546</x:v>
      </x:c>
      <x:c r="R30" s="32" t="n">
        <x:f>SUM('02_属性来源'!W389:W404)</x:f>
        <x:v>546</x:v>
      </x:c>
      <x:c r="S30" s="32" t="n">
        <x:f>SUM('02_属性来源'!X389:X404)</x:f>
        <x:v>1.1400000000000001</x:v>
      </x:c>
      <x:c r="T30" s="32" t="n">
        <x:f>SUM('02_属性来源'!Y389:Y404)</x:f>
        <x:v>19</x:v>
      </x:c>
      <x:c r="U30" s="32" t="n">
        <x:f>SUM('02_属性来源'!Z389:Z404)</x:f>
        <x:v>128</x:v>
      </x:c>
      <x:c r="V30" s="32" t="n">
        <x:f>SUM('02_属性来源'!AA389:AA404)</x:f>
        <x:v>45</x:v>
      </x:c>
      <x:c r="W30" s="32" t="n">
        <x:f>SUM('02_属性来源'!AB389:AB404)</x:f>
        <x:v>21</x:v>
      </x:c>
      <x:c r="X30" s="32" t="n">
        <x:f>SUM('02_属性来源'!AC389:AC404)</x:f>
        <x:v>162</x:v>
      </x:c>
      <x:c r="Y30" s="32" t="n">
        <x:f>SUM('02_属性来源'!AD389:AD404)</x:f>
        <x:v>2</x:v>
      </x:c>
      <x:c r="Z30" s="32" t="n">
        <x:f>SUM('02_属性来源'!AE389:AE404)</x:f>
        <x:v>25</x:v>
      </x:c>
      <x:c r="AA30" s="32" t="n">
        <x:f>SUM('02_属性来源'!AF389:AF404)</x:f>
        <x:v>0</x:v>
      </x:c>
      <x:c r="AB30" s="32" t="n">
        <x:f>SUM('02_属性来源'!AG389:AG404)</x:f>
        <x:v>0</x:v>
      </x:c>
      <x:c r="AC30" s="32" t="n">
        <x:f>SUM('02_属性来源'!AH389:AH404)</x:f>
        <x:v>35</x:v>
      </x:c>
      <x:c r="AD30" s="32" t="n">
        <x:f>SUM('02_属性来源'!AI389:AI404)</x:f>
        <x:v>5</x:v>
      </x:c>
      <x:c r="AE30" s="32" t="n">
        <x:f>SUM('02_属性来源'!AJ389:AJ404)</x:f>
        <x:v>137</x:v>
      </x:c>
      <x:c r="AF30" s="32" t="n">
        <x:f>SUM('02_属性来源'!AK389:AK404)</x:f>
        <x:v>7</x:v>
      </x:c>
      <x:c r="AG30" s="32" t="n">
        <x:f>SUM('02_属性来源'!AL389:AL404)</x:f>
        <x:v>8</x:v>
      </x:c>
      <x:c r="AH30" s="32" t="n">
        <x:f>SUM('02_属性来源'!AM389:AM404)</x:f>
        <x:v>25</x:v>
      </x:c>
      <x:c r="AI30" s="32" t="n">
        <x:f>SUM('02_属性来源'!AN389:AN404)</x:f>
        <x:v>25</x:v>
      </x:c>
      <x:c r="AJ30" s="32" t="n">
        <x:f>SUM('02_属性来源'!AO389:AO404)</x:f>
        <x:v>1.2</x:v>
      </x:c>
      <x:c r="AK30" s="32" t="n">
        <x:f>SUM('02_属性来源'!AP389:AP404)</x:f>
        <x:v>808</x:v>
      </x:c>
      <x:c r="AL30" s="32" t="n">
        <x:f>SUM('02_属性来源'!AQ389:AQ404)</x:f>
        <x:v>81</x:v>
      </x:c>
      <x:c r="AM30" s="32" t="n">
        <x:f>SUM('02_属性来源'!AR389:AR404)</x:f>
        <x:v>4</x:v>
      </x:c>
      <x:c r="AN30" s="32" t="n">
        <x:f>SUM('02_属性来源'!AS389:AS404)</x:f>
        <x:v>9.75</x:v>
      </x:c>
      <x:c r="AO30" s="32" t="n">
        <x:f>SUM('02_属性来源'!AT389:AT404)</x:f>
        <x:v>3750</x:v>
      </x:c>
      <x:c r="AP30" s="32" t="n">
        <x:f>SUM('02_属性来源'!AU389:AU404)</x:f>
        <x:v>19</x:v>
      </x:c>
      <x:c r="AQ30" s="32" t="n">
        <x:f>SUM('02_属性来源'!AV389:AV404)</x:f>
        <x:v>3</x:v>
      </x:c>
      <x:c r="AR30" s="32" t="n">
        <x:f>SUM('02_属性来源'!AW389:AW404)</x:f>
        <x:v>12</x:v>
      </x:c>
      <x:c r="AS30" s="32" t="n">
        <x:f>SUM('02_属性来源'!AX389:AX404)</x:f>
        <x:v>10</x:v>
      </x:c>
      <x:c r="AT30" s="32" t="n">
        <x:f>SUM('02_属性来源'!AY389:AY404)</x:f>
        <x:v>0</x:v>
      </x:c>
      <x:c r="AU30" s="32" t="n">
        <x:f>SUM('02_属性来源'!AZ389:AZ404)</x:f>
        <x:v>7</x:v>
      </x:c>
      <x:c r="AV30" s="32" t="n">
        <x:f>SUM('02_属性来源'!BA389:BA404)</x:f>
        <x:v>50</x:v>
      </x:c>
    </x:row>
    <x:row r="31">
      <x:c r="A31" s="25" t="str">
        <x:v>C07-G</x:v>
      </x:c>
      <x:c r="B31" s="25" t="str">
        <x:v>化圣雪原</x:v>
      </x:c>
      <x:c r="C31" s="25" t="str">
        <x:v>半急速毕业</x:v>
      </x:c>
      <x:c r="D31" s="32" t="n">
        <x:f>SUM('02_属性来源'!I405:I420)</x:f>
        <x:v>57726</x:v>
      </x:c>
      <x:c r="E31" s="32" t="n">
        <x:f>SUM('02_属性来源'!J405:J420)</x:f>
        <x:v>70051</x:v>
      </x:c>
      <x:c r="F31" s="32" t="n">
        <x:f>SUM('02_属性来源'!K405:K420)</x:f>
        <x:v>57354</x:v>
      </x:c>
      <x:c r="G31" s="32" t="n">
        <x:f>SUM('02_属性来源'!L405:L420)</x:f>
        <x:v>69652</x:v>
      </x:c>
      <x:c r="H31" s="32" t="n">
        <x:f>SUM('02_属性来源'!M405:M420)</x:f>
        <x:v>57305</x:v>
      </x:c>
      <x:c r="I31" s="32" t="n">
        <x:f>SUM('02_属性来源'!N405:N420)</x:f>
        <x:v>69603</x:v>
      </x:c>
      <x:c r="J31" s="32" t="n">
        <x:f>SUM('02_属性来源'!O405:O420)</x:f>
        <x:v>18216800</x:v>
      </x:c>
      <x:c r="K31" s="32" t="n">
        <x:f>SUM('02_属性来源'!P405:P420)</x:f>
        <x:v>1600900</x:v>
      </x:c>
      <x:c r="L31" s="32" t="n">
        <x:f>SUM('02_属性来源'!Q405:Q420)</x:f>
        <x:v>569</x:v>
      </x:c>
      <x:c r="M31" s="32" t="n">
        <x:f>SUM('02_属性来源'!R405:R420)</x:f>
        <x:v>1056</x:v>
      </x:c>
      <x:c r="N31" s="32" t="n">
        <x:f>SUM('02_属性来源'!S405:S420)</x:f>
        <x:v>463</x:v>
      </x:c>
      <x:c r="O31" s="32" t="n">
        <x:f>SUM('02_属性来源'!T405:T420)</x:f>
        <x:v>855</x:v>
      </x:c>
      <x:c r="P31" s="32" t="n">
        <x:f>SUM('02_属性来源'!U405:U420)</x:f>
        <x:v>1046</x:v>
      </x:c>
      <x:c r="Q31" s="32" t="n">
        <x:f>SUM('02_属性来源'!V405:V420)</x:f>
        <x:v>575</x:v>
      </x:c>
      <x:c r="R31" s="32" t="n">
        <x:f>SUM('02_属性来源'!W405:W420)</x:f>
        <x:v>575</x:v>
      </x:c>
      <x:c r="S31" s="32" t="n">
        <x:f>SUM('02_属性来源'!X405:X420)</x:f>
        <x:v>1.1800000000000002</x:v>
      </x:c>
      <x:c r="T31" s="32" t="n">
        <x:f>SUM('02_属性来源'!Y405:Y420)</x:f>
        <x:v>16</x:v>
      </x:c>
      <x:c r="U31" s="32" t="n">
        <x:f>SUM('02_属性来源'!Z405:Z420)</x:f>
        <x:v>142</x:v>
      </x:c>
      <x:c r="V31" s="32" t="n">
        <x:f>SUM('02_属性来源'!AA405:AA420)</x:f>
        <x:v>46</x:v>
      </x:c>
      <x:c r="W31" s="32" t="n">
        <x:f>SUM('02_属性来源'!AB405:AB420)</x:f>
        <x:v>24</x:v>
      </x:c>
      <x:c r="X31" s="32" t="n">
        <x:f>SUM('02_属性来源'!AC405:AC420)</x:f>
        <x:v>186</x:v>
      </x:c>
      <x:c r="Y31" s="32" t="n">
        <x:f>SUM('02_属性来源'!AD405:AD420)</x:f>
        <x:v>1</x:v>
      </x:c>
      <x:c r="Z31" s="32" t="n">
        <x:f>SUM('02_属性来源'!AE405:AE420)</x:f>
        <x:v>25</x:v>
      </x:c>
      <x:c r="AA31" s="32" t="n">
        <x:f>SUM('02_属性来源'!AF405:AF420)</x:f>
        <x:v>0</x:v>
      </x:c>
      <x:c r="AB31" s="32" t="n">
        <x:f>SUM('02_属性来源'!AG405:AG420)</x:f>
        <x:v>0</x:v>
      </x:c>
      <x:c r="AC31" s="32" t="n">
        <x:f>SUM('02_属性来源'!AH405:AH420)</x:f>
        <x:v>37</x:v>
      </x:c>
      <x:c r="AD31" s="32" t="n">
        <x:f>SUM('02_属性来源'!AI405:AI420)</x:f>
        <x:v>6</x:v>
      </x:c>
      <x:c r="AE31" s="32" t="n">
        <x:f>SUM('02_属性来源'!AJ405:AJ420)</x:f>
        <x:v>154</x:v>
      </x:c>
      <x:c r="AF31" s="32" t="n">
        <x:f>SUM('02_属性来源'!AK405:AK420)</x:f>
        <x:v>7</x:v>
      </x:c>
      <x:c r="AG31" s="32" t="n">
        <x:f>SUM('02_属性来源'!AL405:AL420)</x:f>
        <x:v>8</x:v>
      </x:c>
      <x:c r="AH31" s="32" t="n">
        <x:f>SUM('02_属性来源'!AM405:AM420)</x:f>
        <x:v>23.5</x:v>
      </x:c>
      <x:c r="AI31" s="32" t="n">
        <x:f>SUM('02_属性来源'!AN405:AN420)</x:f>
        <x:v>27</x:v>
      </x:c>
      <x:c r="AJ31" s="32" t="n">
        <x:f>SUM('02_属性来源'!AO405:AO420)</x:f>
        <x:v>1.2</x:v>
      </x:c>
      <x:c r="AK31" s="32" t="n">
        <x:f>SUM('02_属性来源'!AP405:AP420)</x:f>
        <x:v>815</x:v>
      </x:c>
      <x:c r="AL31" s="32" t="n">
        <x:f>SUM('02_属性来源'!AQ405:AQ420)</x:f>
        <x:v>81</x:v>
      </x:c>
      <x:c r="AM31" s="32" t="n">
        <x:f>SUM('02_属性来源'!AR405:AR420)</x:f>
        <x:v>5</x:v>
      </x:c>
      <x:c r="AN31" s="32" t="n">
        <x:f>SUM('02_属性来源'!AS405:AS420)</x:f>
        <x:v>12.75</x:v>
      </x:c>
      <x:c r="AO31" s="32" t="n">
        <x:f>SUM('02_属性来源'!AT405:AT420)</x:f>
        <x:v>3750</x:v>
      </x:c>
      <x:c r="AP31" s="32" t="n">
        <x:f>SUM('02_属性来源'!AU405:AU420)</x:f>
        <x:v>21</x:v>
      </x:c>
      <x:c r="AQ31" s="32" t="n">
        <x:f>SUM('02_属性来源'!AV405:AV420)</x:f>
        <x:v>3</x:v>
      </x:c>
      <x:c r="AR31" s="32" t="n">
        <x:f>SUM('02_属性来源'!AW405:AW420)</x:f>
        <x:v>12</x:v>
      </x:c>
      <x:c r="AS31" s="32" t="n">
        <x:f>SUM('02_属性来源'!AX405:AX420)</x:f>
        <x:v>10</x:v>
      </x:c>
      <x:c r="AT31" s="32" t="n">
        <x:f>SUM('02_属性来源'!AY405:AY420)</x:f>
        <x:v>0</x:v>
      </x:c>
      <x:c r="AU31" s="32" t="n">
        <x:f>SUM('02_属性来源'!AZ405:AZ420)</x:f>
        <x:v>9</x:v>
      </x:c>
      <x:c r="AV31" s="32" t="n">
        <x:f>SUM('02_属性来源'!BA405:BA420)</x:f>
        <x:v>50</x:v>
      </x:c>
    </x:row>
    <x:row r="32">
      <x:c r="A32" s="25" t="str">
        <x:v>C07-X</x:v>
      </x:c>
      <x:c r="B32" s="25" t="str">
        <x:v>化圣雪原</x:v>
      </x:c>
      <x:c r="C32" s="25" t="str">
        <x:v>极端压力</x:v>
      </x:c>
      <x:c r="D32" s="32" t="n">
        <x:f>SUM('02_属性来源'!I421:I437)</x:f>
        <x:v>73341</x:v>
      </x:c>
      <x:c r="E32" s="32" t="n">
        <x:f>SUM('02_属性来源'!J421:J437)</x:f>
        <x:v>96294</x:v>
      </x:c>
      <x:c r="F32" s="32" t="n">
        <x:f>SUM('02_属性来源'!K421:K437)</x:f>
        <x:v>70260</x:v>
      </x:c>
      <x:c r="G32" s="32" t="n">
        <x:f>SUM('02_属性来源'!L421:L437)</x:f>
        <x:v>93186</x:v>
      </x:c>
      <x:c r="H32" s="32" t="n">
        <x:f>SUM('02_属性来源'!M421:M437)</x:f>
        <x:v>70577</x:v>
      </x:c>
      <x:c r="I32" s="32" t="n">
        <x:f>SUM('02_属性来源'!N421:N437)</x:f>
        <x:v>93503</x:v>
      </x:c>
      <x:c r="J32" s="32" t="n">
        <x:f>SUM('02_属性来源'!O421:O437)</x:f>
        <x:v>34579500</x:v>
      </x:c>
      <x:c r="K32" s="32" t="n">
        <x:f>SUM('02_属性来源'!P421:P437)</x:f>
        <x:v>1600900</x:v>
      </x:c>
      <x:c r="L32" s="32" t="n">
        <x:f>SUM('02_属性来源'!Q421:Q437)</x:f>
        <x:v>639</x:v>
      </x:c>
      <x:c r="M32" s="32" t="n">
        <x:f>SUM('02_属性来源'!R421:R437)</x:f>
        <x:v>1193</x:v>
      </x:c>
      <x:c r="N32" s="32" t="n">
        <x:f>SUM('02_属性来源'!S421:S437)</x:f>
        <x:v>520</x:v>
      </x:c>
      <x:c r="O32" s="32" t="n">
        <x:f>SUM('02_属性来源'!T421:T437)</x:f>
        <x:v>965</x:v>
      </x:c>
      <x:c r="P32" s="32" t="n">
        <x:f>SUM('02_属性来源'!U421:U437)</x:f>
        <x:v>1091</x:v>
      </x:c>
      <x:c r="Q32" s="32" t="n">
        <x:f>SUM('02_属性来源'!V421:V437)</x:f>
        <x:v>664</x:v>
      </x:c>
      <x:c r="R32" s="32" t="n">
        <x:f>SUM('02_属性来源'!W421:W437)</x:f>
        <x:v>664</x:v>
      </x:c>
      <x:c r="S32" s="32" t="n">
        <x:f>SUM('02_属性来源'!X421:X437)</x:f>
        <x:v>1.5700000000000003</x:v>
      </x:c>
      <x:c r="T32" s="32" t="n">
        <x:f>SUM('02_属性来源'!Y421:Y437)</x:f>
        <x:v>17</x:v>
      </x:c>
      <x:c r="U32" s="32" t="n">
        <x:f>SUM('02_属性来源'!Z421:Z437)</x:f>
        <x:v>184</x:v>
      </x:c>
      <x:c r="V32" s="32" t="n">
        <x:f>SUM('02_属性来源'!AA421:AA437)</x:f>
        <x:v>54</x:v>
      </x:c>
      <x:c r="W32" s="32" t="n">
        <x:f>SUM('02_属性来源'!AB421:AB437)</x:f>
        <x:v>37</x:v>
      </x:c>
      <x:c r="X32" s="32" t="n">
        <x:f>SUM('02_属性来源'!AC421:AC437)</x:f>
        <x:v>266</x:v>
      </x:c>
      <x:c r="Y32" s="32" t="n">
        <x:f>SUM('02_属性来源'!AD421:AD437)</x:f>
        <x:v>3</x:v>
      </x:c>
      <x:c r="Z32" s="32" t="n">
        <x:f>SUM('02_属性来源'!AE421:AE437)</x:f>
        <x:v>60</x:v>
      </x:c>
      <x:c r="AA32" s="32" t="n">
        <x:f>SUM('02_属性来源'!AF421:AF437)</x:f>
        <x:v>0</x:v>
      </x:c>
      <x:c r="AB32" s="32" t="n">
        <x:f>SUM('02_属性来源'!AG421:AG437)</x:f>
        <x:v>0</x:v>
      </x:c>
      <x:c r="AC32" s="32" t="n">
        <x:f>SUM('02_属性来源'!AH421:AH437)</x:f>
        <x:v>47</x:v>
      </x:c>
      <x:c r="AD32" s="32" t="n">
        <x:f>SUM('02_属性来源'!AI421:AI437)</x:f>
        <x:v>9</x:v>
      </x:c>
      <x:c r="AE32" s="32" t="n">
        <x:f>SUM('02_属性来源'!AJ421:AJ437)</x:f>
        <x:v>158</x:v>
      </x:c>
      <x:c r="AF32" s="32" t="n">
        <x:f>SUM('02_属性来源'!AK421:AK437)</x:f>
        <x:v>7</x:v>
      </x:c>
      <x:c r="AG32" s="32" t="n">
        <x:f>SUM('02_属性来源'!AL421:AL437)</x:f>
        <x:v>8</x:v>
      </x:c>
      <x:c r="AH32" s="32" t="n">
        <x:f>SUM('02_属性来源'!AM421:AM437)</x:f>
        <x:v>37</x:v>
      </x:c>
      <x:c r="AI32" s="32" t="n">
        <x:f>SUM('02_属性来源'!AN421:AN437)</x:f>
        <x:v>63</x:v>
      </x:c>
      <x:c r="AJ32" s="32" t="n">
        <x:f>SUM('02_属性来源'!AO421:AO437)</x:f>
        <x:v>2.5999999999999996</x:v>
      </x:c>
      <x:c r="AK32" s="32" t="n">
        <x:f>SUM('02_属性来源'!AP421:AP437)</x:f>
        <x:v>1279</x:v>
      </x:c>
      <x:c r="AL32" s="32" t="n">
        <x:f>SUM('02_属性来源'!AQ421:AQ437)</x:f>
        <x:v>89</x:v>
      </x:c>
      <x:c r="AM32" s="32" t="n">
        <x:f>SUM('02_属性来源'!AR421:AR437)</x:f>
        <x:v>3</x:v>
      </x:c>
      <x:c r="AN32" s="32" t="n">
        <x:f>SUM('02_属性来源'!AS421:AS437)</x:f>
        <x:v>12</x:v>
      </x:c>
      <x:c r="AO32" s="32" t="n">
        <x:f>SUM('02_属性来源'!AT421:AT437)</x:f>
        <x:v>3750</x:v>
      </x:c>
      <x:c r="AP32" s="32" t="n">
        <x:f>SUM('02_属性来源'!AU421:AU437)</x:f>
        <x:v>20</x:v>
      </x:c>
      <x:c r="AQ32" s="32" t="n">
        <x:f>SUM('02_属性来源'!AV421:AV437)</x:f>
        <x:v>3</x:v>
      </x:c>
      <x:c r="AR32" s="32" t="n">
        <x:f>SUM('02_属性来源'!AW421:AW437)</x:f>
        <x:v>19</x:v>
      </x:c>
      <x:c r="AS32" s="32" t="n">
        <x:f>SUM('02_属性来源'!AX421:AX437)</x:f>
        <x:v>10</x:v>
      </x:c>
      <x:c r="AT32" s="32" t="n">
        <x:f>SUM('02_属性来源'!AY421:AY437)</x:f>
        <x:v>2</x:v>
      </x:c>
      <x:c r="AU32" s="32" t="n">
        <x:f>SUM('02_属性来源'!AZ421:AZ437)</x:f>
        <x:v>9</x:v>
      </x:c>
      <x:c r="AV32" s="32" t="n">
        <x:f>SUM('02_属性来源'!BA421:BA437)</x:f>
        <x:v>50</x:v>
      </x:c>
    </x:row>
    <x:row r="33">
      <x:c r="A33" s="25" t="str">
        <x:v>C08-E</x:v>
      </x:c>
      <x:c r="B33" s="25" t="str">
        <x:v>巨人山顶</x:v>
      </x:c>
      <x:c r="C33" s="25" t="str">
        <x:v>半急速入场</x:v>
      </x:c>
      <x:c r="D33" s="32" t="n">
        <x:f>SUM('02_属性来源'!I438:I453)</x:f>
        <x:v>57726</x:v>
      </x:c>
      <x:c r="E33" s="32" t="n">
        <x:f>SUM('02_属性来源'!J438:J453)</x:f>
        <x:v>70051</x:v>
      </x:c>
      <x:c r="F33" s="32" t="n">
        <x:f>SUM('02_属性来源'!K438:K453)</x:f>
        <x:v>57354</x:v>
      </x:c>
      <x:c r="G33" s="32" t="n">
        <x:f>SUM('02_属性来源'!L438:L453)</x:f>
        <x:v>69652</x:v>
      </x:c>
      <x:c r="H33" s="32" t="n">
        <x:f>SUM('02_属性来源'!M438:M453)</x:f>
        <x:v>57305</x:v>
      </x:c>
      <x:c r="I33" s="32" t="n">
        <x:f>SUM('02_属性来源'!N438:N453)</x:f>
        <x:v>69603</x:v>
      </x:c>
      <x:c r="J33" s="32" t="n">
        <x:f>SUM('02_属性来源'!O438:O453)</x:f>
        <x:v>18216800</x:v>
      </x:c>
      <x:c r="K33" s="32" t="n">
        <x:f>SUM('02_属性来源'!P438:P453)</x:f>
        <x:v>1600900</x:v>
      </x:c>
      <x:c r="L33" s="32" t="n">
        <x:f>SUM('02_属性来源'!Q438:Q453)</x:f>
        <x:v>569</x:v>
      </x:c>
      <x:c r="M33" s="32" t="n">
        <x:f>SUM('02_属性来源'!R438:R453)</x:f>
        <x:v>1056</x:v>
      </x:c>
      <x:c r="N33" s="32" t="n">
        <x:f>SUM('02_属性来源'!S438:S453)</x:f>
        <x:v>463</x:v>
      </x:c>
      <x:c r="O33" s="32" t="n">
        <x:f>SUM('02_属性来源'!T438:T453)</x:f>
        <x:v>855</x:v>
      </x:c>
      <x:c r="P33" s="32" t="n">
        <x:f>SUM('02_属性来源'!U438:U453)</x:f>
        <x:v>1046</x:v>
      </x:c>
      <x:c r="Q33" s="32" t="n">
        <x:f>SUM('02_属性来源'!V438:V453)</x:f>
        <x:v>575</x:v>
      </x:c>
      <x:c r="R33" s="32" t="n">
        <x:f>SUM('02_属性来源'!W438:W453)</x:f>
        <x:v>575</x:v>
      </x:c>
      <x:c r="S33" s="32" t="n">
        <x:f>SUM('02_属性来源'!X438:X453)</x:f>
        <x:v>1.1800000000000002</x:v>
      </x:c>
      <x:c r="T33" s="32" t="n">
        <x:f>SUM('02_属性来源'!Y438:Y453)</x:f>
        <x:v>16</x:v>
      </x:c>
      <x:c r="U33" s="32" t="n">
        <x:f>SUM('02_属性来源'!Z438:Z453)</x:f>
        <x:v>142</x:v>
      </x:c>
      <x:c r="V33" s="32" t="n">
        <x:f>SUM('02_属性来源'!AA438:AA453)</x:f>
        <x:v>46</x:v>
      </x:c>
      <x:c r="W33" s="32" t="n">
        <x:f>SUM('02_属性来源'!AB438:AB453)</x:f>
        <x:v>24</x:v>
      </x:c>
      <x:c r="X33" s="32" t="n">
        <x:f>SUM('02_属性来源'!AC438:AC453)</x:f>
        <x:v>186</x:v>
      </x:c>
      <x:c r="Y33" s="32" t="n">
        <x:f>SUM('02_属性来源'!AD438:AD453)</x:f>
        <x:v>1</x:v>
      </x:c>
      <x:c r="Z33" s="32" t="n">
        <x:f>SUM('02_属性来源'!AE438:AE453)</x:f>
        <x:v>25</x:v>
      </x:c>
      <x:c r="AA33" s="32" t="n">
        <x:f>SUM('02_属性来源'!AF438:AF453)</x:f>
        <x:v>0</x:v>
      </x:c>
      <x:c r="AB33" s="32" t="n">
        <x:f>SUM('02_属性来源'!AG438:AG453)</x:f>
        <x:v>0</x:v>
      </x:c>
      <x:c r="AC33" s="32" t="n">
        <x:f>SUM('02_属性来源'!AH438:AH453)</x:f>
        <x:v>37</x:v>
      </x:c>
      <x:c r="AD33" s="32" t="n">
        <x:f>SUM('02_属性来源'!AI438:AI453)</x:f>
        <x:v>6</x:v>
      </x:c>
      <x:c r="AE33" s="32" t="n">
        <x:f>SUM('02_属性来源'!AJ438:AJ453)</x:f>
        <x:v>154</x:v>
      </x:c>
      <x:c r="AF33" s="32" t="n">
        <x:f>SUM('02_属性来源'!AK438:AK453)</x:f>
        <x:v>7</x:v>
      </x:c>
      <x:c r="AG33" s="32" t="n">
        <x:f>SUM('02_属性来源'!AL438:AL453)</x:f>
        <x:v>8</x:v>
      </x:c>
      <x:c r="AH33" s="32" t="n">
        <x:f>SUM('02_属性来源'!AM438:AM453)</x:f>
        <x:v>23.5</x:v>
      </x:c>
      <x:c r="AI33" s="32" t="n">
        <x:f>SUM('02_属性来源'!AN438:AN453)</x:f>
        <x:v>27</x:v>
      </x:c>
      <x:c r="AJ33" s="32" t="n">
        <x:f>SUM('02_属性来源'!AO438:AO453)</x:f>
        <x:v>1.2</x:v>
      </x:c>
      <x:c r="AK33" s="32" t="n">
        <x:f>SUM('02_属性来源'!AP438:AP453)</x:f>
        <x:v>815</x:v>
      </x:c>
      <x:c r="AL33" s="32" t="n">
        <x:f>SUM('02_属性来源'!AQ438:AQ453)</x:f>
        <x:v>81</x:v>
      </x:c>
      <x:c r="AM33" s="32" t="n">
        <x:f>SUM('02_属性来源'!AR438:AR453)</x:f>
        <x:v>5</x:v>
      </x:c>
      <x:c r="AN33" s="32" t="n">
        <x:f>SUM('02_属性来源'!AS438:AS453)</x:f>
        <x:v>12.75</x:v>
      </x:c>
      <x:c r="AO33" s="32" t="n">
        <x:f>SUM('02_属性来源'!AT438:AT453)</x:f>
        <x:v>3750</x:v>
      </x:c>
      <x:c r="AP33" s="32" t="n">
        <x:f>SUM('02_属性来源'!AU438:AU453)</x:f>
        <x:v>21</x:v>
      </x:c>
      <x:c r="AQ33" s="32" t="n">
        <x:f>SUM('02_属性来源'!AV438:AV453)</x:f>
        <x:v>3</x:v>
      </x:c>
      <x:c r="AR33" s="32" t="n">
        <x:f>SUM('02_属性来源'!AW438:AW453)</x:f>
        <x:v>12</x:v>
      </x:c>
      <x:c r="AS33" s="32" t="n">
        <x:f>SUM('02_属性来源'!AX438:AX453)</x:f>
        <x:v>10</x:v>
      </x:c>
      <x:c r="AT33" s="32" t="n">
        <x:f>SUM('02_属性来源'!AY438:AY453)</x:f>
        <x:v>0</x:v>
      </x:c>
      <x:c r="AU33" s="32" t="n">
        <x:f>SUM('02_属性来源'!AZ438:AZ453)</x:f>
        <x:v>9</x:v>
      </x:c>
      <x:c r="AV33" s="32" t="n">
        <x:f>SUM('02_属性来源'!BA438:BA453)</x:f>
        <x:v>50</x:v>
      </x:c>
    </x:row>
    <x:row r="34">
      <x:c r="A34" s="25" t="str">
        <x:v>C08-M</x:v>
      </x:c>
      <x:c r="B34" s="25" t="str">
        <x:v>巨人山顶</x:v>
      </x:c>
      <x:c r="C34" s="25" t="str">
        <x:v>半急速中期</x:v>
      </x:c>
      <x:c r="D34" s="32" t="n">
        <x:f>SUM('02_属性来源'!I454:I469)</x:f>
        <x:v>77680</x:v>
      </x:c>
      <x:c r="E34" s="32" t="n">
        <x:f>SUM('02_属性来源'!J454:J469)</x:f>
        <x:v>90011.5</x:v>
      </x:c>
      <x:c r="F34" s="32" t="n">
        <x:f>SUM('02_属性来源'!K454:K469)</x:f>
        <x:v>77165</x:v>
      </x:c>
      <x:c r="G34" s="32" t="n">
        <x:f>SUM('02_属性来源'!L454:L469)</x:f>
        <x:v>89468</x:v>
      </x:c>
      <x:c r="H34" s="32" t="n">
        <x:f>SUM('02_属性来源'!M454:M469)</x:f>
        <x:v>77116</x:v>
      </x:c>
      <x:c r="I34" s="32" t="n">
        <x:f>SUM('02_属性来源'!N454:N469)</x:f>
        <x:v>89419</x:v>
      </x:c>
      <x:c r="J34" s="32" t="n">
        <x:f>SUM('02_属性来源'!O454:O469)</x:f>
        <x:v>20207600</x:v>
      </x:c>
      <x:c r="K34" s="32" t="n">
        <x:f>SUM('02_属性来源'!P454:P469)</x:f>
        <x:v>3200950</x:v>
      </x:c>
      <x:c r="L34" s="32" t="n">
        <x:f>SUM('02_属性来源'!Q454:Q469)</x:f>
        <x:v>566</x:v>
      </x:c>
      <x:c r="M34" s="32" t="n">
        <x:f>SUM('02_属性来源'!R454:R469)</x:f>
        <x:v>1049</x:v>
      </x:c>
      <x:c r="N34" s="32" t="n">
        <x:f>SUM('02_属性来源'!S454:S469)</x:f>
        <x:v>460</x:v>
      </x:c>
      <x:c r="O34" s="32" t="n">
        <x:f>SUM('02_属性来源'!T454:T469)</x:f>
        <x:v>849</x:v>
      </x:c>
      <x:c r="P34" s="32" t="n">
        <x:f>SUM('02_属性来源'!U454:U469)</x:f>
        <x:v>1050</x:v>
      </x:c>
      <x:c r="Q34" s="32" t="n">
        <x:f>SUM('02_属性来源'!V454:V469)</x:f>
        <x:v>575</x:v>
      </x:c>
      <x:c r="R34" s="32" t="n">
        <x:f>SUM('02_属性来源'!W454:W469)</x:f>
        <x:v>575</x:v>
      </x:c>
      <x:c r="S34" s="32" t="n">
        <x:f>SUM('02_属性来源'!X454:X469)</x:f>
        <x:v>1.4700000000000002</x:v>
      </x:c>
      <x:c r="T34" s="32" t="n">
        <x:f>SUM('02_属性来源'!Y454:Y469)</x:f>
        <x:v>16</x:v>
      </x:c>
      <x:c r="U34" s="32" t="n">
        <x:f>SUM('02_属性来源'!Z454:Z469)</x:f>
        <x:v>142</x:v>
      </x:c>
      <x:c r="V34" s="32" t="n">
        <x:f>SUM('02_属性来源'!AA454:AA469)</x:f>
        <x:v>46</x:v>
      </x:c>
      <x:c r="W34" s="32" t="n">
        <x:f>SUM('02_属性来源'!AB454:AB469)</x:f>
        <x:v>24</x:v>
      </x:c>
      <x:c r="X34" s="32" t="n">
        <x:f>SUM('02_属性来源'!AC454:AC469)</x:f>
        <x:v>186</x:v>
      </x:c>
      <x:c r="Y34" s="32" t="n">
        <x:f>SUM('02_属性来源'!AD454:AD469)</x:f>
        <x:v>3</x:v>
      </x:c>
      <x:c r="Z34" s="32" t="n">
        <x:f>SUM('02_属性来源'!AE454:AE469)</x:f>
        <x:v>25</x:v>
      </x:c>
      <x:c r="AA34" s="32" t="n">
        <x:f>SUM('02_属性来源'!AF454:AF469)</x:f>
        <x:v>0</x:v>
      </x:c>
      <x:c r="AB34" s="32" t="n">
        <x:f>SUM('02_属性来源'!AG454:AG469)</x:f>
        <x:v>0</x:v>
      </x:c>
      <x:c r="AC34" s="32" t="n">
        <x:f>SUM('02_属性来源'!AH454:AH469)</x:f>
        <x:v>38</x:v>
      </x:c>
      <x:c r="AD34" s="32" t="n">
        <x:f>SUM('02_属性来源'!AI454:AI469)</x:f>
        <x:v>6</x:v>
      </x:c>
      <x:c r="AE34" s="32" t="n">
        <x:f>SUM('02_属性来源'!AJ454:AJ469)</x:f>
        <x:v>154</x:v>
      </x:c>
      <x:c r="AF34" s="32" t="n">
        <x:f>SUM('02_属性来源'!AK454:AK469)</x:f>
        <x:v>7</x:v>
      </x:c>
      <x:c r="AG34" s="32" t="n">
        <x:f>SUM('02_属性来源'!AL454:AL469)</x:f>
        <x:v>8</x:v>
      </x:c>
      <x:c r="AH34" s="32" t="n">
        <x:f>SUM('02_属性来源'!AM454:AM469)</x:f>
        <x:v>29.5</x:v>
      </x:c>
      <x:c r="AI34" s="32" t="n">
        <x:f>SUM('02_属性来源'!AN454:AN469)</x:f>
        <x:v>27</x:v>
      </x:c>
      <x:c r="AJ34" s="32" t="n">
        <x:f>SUM('02_属性来源'!AO454:AO469)</x:f>
        <x:v>1.2</x:v>
      </x:c>
      <x:c r="AK34" s="32" t="n">
        <x:f>SUM('02_属性来源'!AP454:AP469)</x:f>
        <x:v>910</x:v>
      </x:c>
      <x:c r="AL34" s="32" t="n">
        <x:f>SUM('02_属性来源'!AQ454:AQ469)</x:f>
        <x:v>81</x:v>
      </x:c>
      <x:c r="AM34" s="32" t="n">
        <x:f>SUM('02_属性来源'!AR454:AR469)</x:f>
        <x:v>5</x:v>
      </x:c>
      <x:c r="AN34" s="32" t="n">
        <x:f>SUM('02_属性来源'!AS454:AS469)</x:f>
        <x:v>11.75</x:v>
      </x:c>
      <x:c r="AO34" s="32" t="n">
        <x:f>SUM('02_属性来源'!AT454:AT469)</x:f>
        <x:v>4650</x:v>
      </x:c>
      <x:c r="AP34" s="32" t="n">
        <x:f>SUM('02_属性来源'!AU454:AU469)</x:f>
        <x:v>21</x:v>
      </x:c>
      <x:c r="AQ34" s="32" t="n">
        <x:f>SUM('02_属性来源'!AV454:AV469)</x:f>
        <x:v>3</x:v>
      </x:c>
      <x:c r="AR34" s="32" t="n">
        <x:f>SUM('02_属性来源'!AW454:AW469)</x:f>
        <x:v>10</x:v>
      </x:c>
      <x:c r="AS34" s="32" t="n">
        <x:f>SUM('02_属性来源'!AX454:AX469)</x:f>
        <x:v>10</x:v>
      </x:c>
      <x:c r="AT34" s="32" t="n">
        <x:f>SUM('02_属性来源'!AY454:AY469)</x:f>
        <x:v>0</x:v>
      </x:c>
      <x:c r="AU34" s="32" t="n">
        <x:f>SUM('02_属性来源'!AZ454:AZ469)</x:f>
        <x:v>9</x:v>
      </x:c>
      <x:c r="AV34" s="32" t="n">
        <x:f>SUM('02_属性来源'!BA454:BA469)</x:f>
        <x:v>50</x:v>
      </x:c>
    </x:row>
    <x:row r="35">
      <x:c r="A35" s="25" t="str">
        <x:v>C08-G</x:v>
      </x:c>
      <x:c r="B35" s="25" t="str">
        <x:v>巨人山顶</x:v>
      </x:c>
      <x:c r="C35" s="25" t="str">
        <x:v>半急速毕业</x:v>
      </x:c>
      <x:c r="D35" s="32" t="n">
        <x:f>SUM('02_属性来源'!I470:I485)</x:f>
        <x:v>86494</x:v>
      </x:c>
      <x:c r="E35" s="32" t="n">
        <x:f>SUM('02_属性来源'!J470:J485)</x:f>
        <x:v>103846</x:v>
      </x:c>
      <x:c r="F35" s="32" t="n">
        <x:f>SUM('02_属性来源'!K470:K485)</x:f>
        <x:v>87435</x:v>
      </x:c>
      <x:c r="G35" s="32" t="n">
        <x:f>SUM('02_属性来源'!L470:L485)</x:f>
        <x:v>104757</x:v>
      </x:c>
      <x:c r="H35" s="32" t="n">
        <x:f>SUM('02_属性来源'!M470:M485)</x:f>
        <x:v>85803</x:v>
      </x:c>
      <x:c r="I35" s="32" t="n">
        <x:f>SUM('02_属性来源'!N470:N485)</x:f>
        <x:v>103125</x:v>
      </x:c>
      <x:c r="J35" s="32" t="n">
        <x:f>SUM('02_属性来源'!O470:O485)</x:f>
        <x:v>32728700</x:v>
      </x:c>
      <x:c r="K35" s="32" t="n">
        <x:f>SUM('02_属性来源'!P470:P485)</x:f>
        <x:v>3201000</x:v>
      </x:c>
      <x:c r="L35" s="32" t="n">
        <x:f>SUM('02_属性来源'!Q470:Q485)</x:f>
        <x:v>520</x:v>
      </x:c>
      <x:c r="M35" s="32" t="n">
        <x:f>SUM('02_属性来源'!R470:R485)</x:f>
        <x:v>964</x:v>
      </x:c>
      <x:c r="N35" s="32" t="n">
        <x:f>SUM('02_属性来源'!S470:S485)</x:f>
        <x:v>418</x:v>
      </x:c>
      <x:c r="O35" s="32" t="n">
        <x:f>SUM('02_属性来源'!T470:T485)</x:f>
        <x:v>780</x:v>
      </x:c>
      <x:c r="P35" s="32" t="n">
        <x:f>SUM('02_属性来源'!U470:U485)</x:f>
        <x:v>981</x:v>
      </x:c>
      <x:c r="Q35" s="32" t="n">
        <x:f>SUM('02_属性来源'!V470:V485)</x:f>
        <x:v>598</x:v>
      </x:c>
      <x:c r="R35" s="32" t="n">
        <x:f>SUM('02_属性来源'!W470:W485)</x:f>
        <x:v>598</x:v>
      </x:c>
      <x:c r="S35" s="32" t="n">
        <x:f>SUM('02_属性来源'!X470:X485)</x:f>
        <x:v>1.7200000000000002</x:v>
      </x:c>
      <x:c r="T35" s="32" t="n">
        <x:f>SUM('02_属性来源'!Y470:Y485)</x:f>
        <x:v>16</x:v>
      </x:c>
      <x:c r="U35" s="32" t="n">
        <x:f>SUM('02_属性来源'!Z470:Z485)</x:f>
        <x:v>143</x:v>
      </x:c>
      <x:c r="V35" s="32" t="n">
        <x:f>SUM('02_属性来源'!AA470:AA485)</x:f>
        <x:v>47</x:v>
      </x:c>
      <x:c r="W35" s="32" t="n">
        <x:f>SUM('02_属性来源'!AB470:AB485)</x:f>
        <x:v>20</x:v>
      </x:c>
      <x:c r="X35" s="32" t="n">
        <x:f>SUM('02_属性来源'!AC470:AC485)</x:f>
        <x:v>199</x:v>
      </x:c>
      <x:c r="Y35" s="32" t="n">
        <x:f>SUM('02_属性来源'!AD470:AD485)</x:f>
        <x:v>1</x:v>
      </x:c>
      <x:c r="Z35" s="32" t="n">
        <x:f>SUM('02_属性来源'!AE470:AE485)</x:f>
        <x:v>25</x:v>
      </x:c>
      <x:c r="AA35" s="32" t="n">
        <x:f>SUM('02_属性来源'!AF470:AF485)</x:f>
        <x:v>0</x:v>
      </x:c>
      <x:c r="AB35" s="32" t="n">
        <x:f>SUM('02_属性来源'!AG470:AG485)</x:f>
        <x:v>0</x:v>
      </x:c>
      <x:c r="AC35" s="32" t="n">
        <x:f>SUM('02_属性来源'!AH470:AH485)</x:f>
        <x:v>41</x:v>
      </x:c>
      <x:c r="AD35" s="32" t="n">
        <x:f>SUM('02_属性来源'!AI470:AI485)</x:f>
        <x:v>6</x:v>
      </x:c>
      <x:c r="AE35" s="32" t="n">
        <x:f>SUM('02_属性来源'!AJ470:AJ485)</x:f>
        <x:v>154</x:v>
      </x:c>
      <x:c r="AF35" s="32" t="n">
        <x:f>SUM('02_属性来源'!AK470:AK485)</x:f>
        <x:v>7</x:v>
      </x:c>
      <x:c r="AG35" s="32" t="n">
        <x:f>SUM('02_属性来源'!AL470:AL485)</x:f>
        <x:v>8</x:v>
      </x:c>
      <x:c r="AH35" s="32" t="n">
        <x:f>SUM('02_属性来源'!AM470:AM485)</x:f>
        <x:v>36</x:v>
      </x:c>
      <x:c r="AI35" s="32" t="n">
        <x:f>SUM('02_属性来源'!AN470:AN485)</x:f>
        <x:v>23</x:v>
      </x:c>
      <x:c r="AJ35" s="32" t="n">
        <x:f>SUM('02_属性来源'!AO470:AO485)</x:f>
        <x:v>4.2</x:v>
      </x:c>
      <x:c r="AK35" s="32" t="n">
        <x:f>SUM('02_属性来源'!AP470:AP485)</x:f>
        <x:v>1022</x:v>
      </x:c>
      <x:c r="AL35" s="32" t="n">
        <x:f>SUM('02_属性来源'!AQ470:AQ485)</x:f>
        <x:v>79</x:v>
      </x:c>
      <x:c r="AM35" s="32" t="n">
        <x:f>SUM('02_属性来源'!AR470:AR485)</x:f>
        <x:v>4</x:v>
      </x:c>
      <x:c r="AN35" s="32" t="n">
        <x:f>SUM('02_属性来源'!AS470:AS485)</x:f>
        <x:v>12.75</x:v>
      </x:c>
      <x:c r="AO35" s="32" t="n">
        <x:f>SUM('02_属性来源'!AT470:AT485)</x:f>
        <x:v>4650</x:v>
      </x:c>
      <x:c r="AP35" s="32" t="n">
        <x:f>SUM('02_属性来源'!AU470:AU485)</x:f>
        <x:v>23</x:v>
      </x:c>
      <x:c r="AQ35" s="32" t="n">
        <x:f>SUM('02_属性来源'!AV470:AV485)</x:f>
        <x:v>3</x:v>
      </x:c>
      <x:c r="AR35" s="32" t="n">
        <x:f>SUM('02_属性来源'!AW470:AW485)</x:f>
        <x:v>10</x:v>
      </x:c>
      <x:c r="AS35" s="32" t="n">
        <x:f>SUM('02_属性来源'!AX470:AX485)</x:f>
        <x:v>10</x:v>
      </x:c>
      <x:c r="AT35" s="32" t="n">
        <x:f>SUM('02_属性来源'!AY470:AY485)</x:f>
        <x:v>0</x:v>
      </x:c>
      <x:c r="AU35" s="32" t="n">
        <x:f>SUM('02_属性来源'!AZ470:AZ485)</x:f>
        <x:v>11</x:v>
      </x:c>
      <x:c r="AV35" s="32" t="n">
        <x:f>SUM('02_属性来源'!BA470:BA485)</x:f>
        <x:v>50</x:v>
      </x:c>
    </x:row>
    <x:row r="36">
      <x:c r="A36" s="25" t="str">
        <x:v>C08-X</x:v>
      </x:c>
      <x:c r="B36" s="25" t="str">
        <x:v>巨人山顶</x:v>
      </x:c>
      <x:c r="C36" s="25" t="str">
        <x:v>极端压力</x:v>
      </x:c>
      <x:c r="D36" s="32" t="n">
        <x:f>SUM('02_属性来源'!I486:I502)</x:f>
        <x:v>119461</x:v>
      </x:c>
      <x:c r="E36" s="32" t="n">
        <x:f>SUM('02_属性来源'!J486:J502)</x:f>
        <x:v>160001</x:v>
      </x:c>
      <x:c r="F36" s="32" t="n">
        <x:f>SUM('02_属性来源'!K486:K502)</x:f>
        <x:v>115430</x:v>
      </x:c>
      <x:c r="G36" s="32" t="n">
        <x:f>SUM('02_属性来源'!L486:L502)</x:f>
        <x:v>155940</x:v>
      </x:c>
      <x:c r="H36" s="32" t="n">
        <x:f>SUM('02_属性来源'!M486:M502)</x:f>
        <x:v>115850</x:v>
      </x:c>
      <x:c r="I36" s="32" t="n">
        <x:f>SUM('02_属性来源'!N486:N502)</x:f>
        <x:v>156360</x:v>
      </x:c>
      <x:c r="J36" s="32" t="n">
        <x:f>SUM('02_属性来源'!O486:O502)</x:f>
        <x:v>59746600</x:v>
      </x:c>
      <x:c r="K36" s="32" t="n">
        <x:f>SUM('02_属性来源'!P486:P502)</x:f>
        <x:v>3201000</x:v>
      </x:c>
      <x:c r="L36" s="32" t="n">
        <x:f>SUM('02_属性来源'!Q486:Q502)</x:f>
        <x:v>639</x:v>
      </x:c>
      <x:c r="M36" s="32" t="n">
        <x:f>SUM('02_属性来源'!R486:R502)</x:f>
        <x:v>1191</x:v>
      </x:c>
      <x:c r="N36" s="32" t="n">
        <x:f>SUM('02_属性来源'!S486:S502)</x:f>
        <x:v>518</x:v>
      </x:c>
      <x:c r="O36" s="32" t="n">
        <x:f>SUM('02_属性来源'!T486:T502)</x:f>
        <x:v>964</x:v>
      </x:c>
      <x:c r="P36" s="32" t="n">
        <x:f>SUM('02_属性来源'!U486:U502)</x:f>
        <x:v>1263</x:v>
      </x:c>
      <x:c r="Q36" s="32" t="n">
        <x:f>SUM('02_属性来源'!V486:V502)</x:f>
        <x:v>737</x:v>
      </x:c>
      <x:c r="R36" s="32" t="n">
        <x:f>SUM('02_属性来源'!W486:W502)</x:f>
        <x:v>737</x:v>
      </x:c>
      <x:c r="S36" s="32" t="n">
        <x:f>SUM('02_属性来源'!X486:X502)</x:f>
        <x:v>2.1800000000000006</x:v>
      </x:c>
      <x:c r="T36" s="32" t="n">
        <x:f>SUM('02_属性来源'!Y486:Y502)</x:f>
        <x:v>19</x:v>
      </x:c>
      <x:c r="U36" s="32" t="n">
        <x:f>SUM('02_属性来源'!Z486:Z502)</x:f>
        <x:v>216</x:v>
      </x:c>
      <x:c r="V36" s="32" t="n">
        <x:f>SUM('02_属性来源'!AA486:AA502)</x:f>
        <x:v>60</x:v>
      </x:c>
      <x:c r="W36" s="32" t="n">
        <x:f>SUM('02_属性来源'!AB486:AB502)</x:f>
        <x:v>37</x:v>
      </x:c>
      <x:c r="X36" s="32" t="n">
        <x:f>SUM('02_属性来源'!AC486:AC502)</x:f>
        <x:v>321</x:v>
      </x:c>
      <x:c r="Y36" s="32" t="n">
        <x:f>SUM('02_属性来源'!AD486:AD502)</x:f>
        <x:v>2</x:v>
      </x:c>
      <x:c r="Z36" s="32" t="n">
        <x:f>SUM('02_属性来源'!AE486:AE502)</x:f>
        <x:v>111</x:v>
      </x:c>
      <x:c r="AA36" s="32" t="n">
        <x:f>SUM('02_属性来源'!AF486:AF502)</x:f>
        <x:v>0</x:v>
      </x:c>
      <x:c r="AB36" s="32" t="n">
        <x:f>SUM('02_属性来源'!AG486:AG502)</x:f>
        <x:v>0</x:v>
      </x:c>
      <x:c r="AC36" s="32" t="n">
        <x:f>SUM('02_属性来源'!AH486:AH502)</x:f>
        <x:v>47</x:v>
      </x:c>
      <x:c r="AD36" s="32" t="n">
        <x:f>SUM('02_属性来源'!AI486:AI502)</x:f>
        <x:v>10</x:v>
      </x:c>
      <x:c r="AE36" s="32" t="n">
        <x:f>SUM('02_属性来源'!AJ486:AJ502)</x:f>
        <x:v>160</x:v>
      </x:c>
      <x:c r="AF36" s="32" t="n">
        <x:f>SUM('02_属性来源'!AK486:AK502)</x:f>
        <x:v>7</x:v>
      </x:c>
      <x:c r="AG36" s="32" t="n">
        <x:f>SUM('02_属性来源'!AL486:AL502)</x:f>
        <x:v>8</x:v>
      </x:c>
      <x:c r="AH36" s="32" t="n">
        <x:f>SUM('02_属性来源'!AM486:AM502)</x:f>
        <x:v>42</x:v>
      </x:c>
      <x:c r="AI36" s="32" t="n">
        <x:f>SUM('02_属性来源'!AN486:AN502)</x:f>
        <x:v>68</x:v>
      </x:c>
      <x:c r="AJ36" s="32" t="n">
        <x:f>SUM('02_属性来源'!AO486:AO502)</x:f>
        <x:v>1.6</x:v>
      </x:c>
      <x:c r="AK36" s="32" t="n">
        <x:f>SUM('02_属性来源'!AP486:AP502)</x:f>
        <x:v>1423</x:v>
      </x:c>
      <x:c r="AL36" s="32" t="n">
        <x:f>SUM('02_属性来源'!AQ486:AQ502)</x:f>
        <x:v>88</x:v>
      </x:c>
      <x:c r="AM36" s="32" t="n">
        <x:f>SUM('02_属性来源'!AR486:AR502)</x:f>
        <x:v>4</x:v>
      </x:c>
      <x:c r="AN36" s="32" t="n">
        <x:f>SUM('02_属性来源'!AS486:AS502)</x:f>
        <x:v>11</x:v>
      </x:c>
      <x:c r="AO36" s="32" t="n">
        <x:f>SUM('02_属性来源'!AT486:AT502)</x:f>
        <x:v>4650</x:v>
      </x:c>
      <x:c r="AP36" s="32" t="n">
        <x:f>SUM('02_属性来源'!AU486:AU502)</x:f>
        <x:v>18</x:v>
      </x:c>
      <x:c r="AQ36" s="32" t="n">
        <x:f>SUM('02_属性来源'!AV486:AV502)</x:f>
        <x:v>3</x:v>
      </x:c>
      <x:c r="AR36" s="32" t="n">
        <x:f>SUM('02_属性来源'!AW486:AW502)</x:f>
        <x:v>23</x:v>
      </x:c>
      <x:c r="AS36" s="32" t="n">
        <x:f>SUM('02_属性来源'!AX486:AX502)</x:f>
        <x:v>10</x:v>
      </x:c>
      <x:c r="AT36" s="32" t="n">
        <x:f>SUM('02_属性来源'!AY486:AY502)</x:f>
        <x:v>2</x:v>
      </x:c>
      <x:c r="AU36" s="32" t="n">
        <x:f>SUM('02_属性来源'!AZ486:AZ502)</x:f>
        <x:v>11</x:v>
      </x:c>
      <x:c r="AV36" s="32" t="n">
        <x:f>SUM('02_属性来源'!BA486:BA502)</x:f>
        <x:v>50</x:v>
      </x:c>
    </x:row>
    <x:row r="37">
      <x:c r="A37" s="25" t="str">
        <x:v>C09-E</x:v>
      </x:c>
      <x:c r="B37" s="25" t="str">
        <x:v>亚坛高原</x:v>
      </x:c>
      <x:c r="C37" s="25" t="str">
        <x:v>半急速入场</x:v>
      </x:c>
      <x:c r="D37" s="32" t="n">
        <x:f>SUM('02_属性来源'!I503:I518)</x:f>
        <x:v>86494</x:v>
      </x:c>
      <x:c r="E37" s="32" t="n">
        <x:f>SUM('02_属性来源'!J503:J518)</x:f>
        <x:v>103846</x:v>
      </x:c>
      <x:c r="F37" s="32" t="n">
        <x:f>SUM('02_属性来源'!K503:K518)</x:f>
        <x:v>87435</x:v>
      </x:c>
      <x:c r="G37" s="32" t="n">
        <x:f>SUM('02_属性来源'!L503:L518)</x:f>
        <x:v>104757</x:v>
      </x:c>
      <x:c r="H37" s="32" t="n">
        <x:f>SUM('02_属性来源'!M503:M518)</x:f>
        <x:v>85803</x:v>
      </x:c>
      <x:c r="I37" s="32" t="n">
        <x:f>SUM('02_属性来源'!N503:N518)</x:f>
        <x:v>103125</x:v>
      </x:c>
      <x:c r="J37" s="32" t="n">
        <x:f>SUM('02_属性来源'!O503:O518)</x:f>
        <x:v>32728700</x:v>
      </x:c>
      <x:c r="K37" s="32" t="n">
        <x:f>SUM('02_属性来源'!P503:P518)</x:f>
        <x:v>3201000</x:v>
      </x:c>
      <x:c r="L37" s="32" t="n">
        <x:f>SUM('02_属性来源'!Q503:Q518)</x:f>
        <x:v>520</x:v>
      </x:c>
      <x:c r="M37" s="32" t="n">
        <x:f>SUM('02_属性来源'!R503:R518)</x:f>
        <x:v>964</x:v>
      </x:c>
      <x:c r="N37" s="32" t="n">
        <x:f>SUM('02_属性来源'!S503:S518)</x:f>
        <x:v>418</x:v>
      </x:c>
      <x:c r="O37" s="32" t="n">
        <x:f>SUM('02_属性来源'!T503:T518)</x:f>
        <x:v>780</x:v>
      </x:c>
      <x:c r="P37" s="32" t="n">
        <x:f>SUM('02_属性来源'!U503:U518)</x:f>
        <x:v>981</x:v>
      </x:c>
      <x:c r="Q37" s="32" t="n">
        <x:f>SUM('02_属性来源'!V503:V518)</x:f>
        <x:v>598</x:v>
      </x:c>
      <x:c r="R37" s="32" t="n">
        <x:f>SUM('02_属性来源'!W503:W518)</x:f>
        <x:v>598</x:v>
      </x:c>
      <x:c r="S37" s="32" t="n">
        <x:f>SUM('02_属性来源'!X503:X518)</x:f>
        <x:v>1.7200000000000002</x:v>
      </x:c>
      <x:c r="T37" s="32" t="n">
        <x:f>SUM('02_属性来源'!Y503:Y518)</x:f>
        <x:v>16</x:v>
      </x:c>
      <x:c r="U37" s="32" t="n">
        <x:f>SUM('02_属性来源'!Z503:Z518)</x:f>
        <x:v>143</x:v>
      </x:c>
      <x:c r="V37" s="32" t="n">
        <x:f>SUM('02_属性来源'!AA503:AA518)</x:f>
        <x:v>47</x:v>
      </x:c>
      <x:c r="W37" s="32" t="n">
        <x:f>SUM('02_属性来源'!AB503:AB518)</x:f>
        <x:v>20</x:v>
      </x:c>
      <x:c r="X37" s="32" t="n">
        <x:f>SUM('02_属性来源'!AC503:AC518)</x:f>
        <x:v>199</x:v>
      </x:c>
      <x:c r="Y37" s="32" t="n">
        <x:f>SUM('02_属性来源'!AD503:AD518)</x:f>
        <x:v>1</x:v>
      </x:c>
      <x:c r="Z37" s="32" t="n">
        <x:f>SUM('02_属性来源'!AE503:AE518)</x:f>
        <x:v>25</x:v>
      </x:c>
      <x:c r="AA37" s="32" t="n">
        <x:f>SUM('02_属性来源'!AF503:AF518)</x:f>
        <x:v>0</x:v>
      </x:c>
      <x:c r="AB37" s="32" t="n">
        <x:f>SUM('02_属性来源'!AG503:AG518)</x:f>
        <x:v>0</x:v>
      </x:c>
      <x:c r="AC37" s="32" t="n">
        <x:f>SUM('02_属性来源'!AH503:AH518)</x:f>
        <x:v>41</x:v>
      </x:c>
      <x:c r="AD37" s="32" t="n">
        <x:f>SUM('02_属性来源'!AI503:AI518)</x:f>
        <x:v>6</x:v>
      </x:c>
      <x:c r="AE37" s="32" t="n">
        <x:f>SUM('02_属性来源'!AJ503:AJ518)</x:f>
        <x:v>154</x:v>
      </x:c>
      <x:c r="AF37" s="32" t="n">
        <x:f>SUM('02_属性来源'!AK503:AK518)</x:f>
        <x:v>7</x:v>
      </x:c>
      <x:c r="AG37" s="32" t="n">
        <x:f>SUM('02_属性来源'!AL503:AL518)</x:f>
        <x:v>8</x:v>
      </x:c>
      <x:c r="AH37" s="32" t="n">
        <x:f>SUM('02_属性来源'!AM503:AM518)</x:f>
        <x:v>36</x:v>
      </x:c>
      <x:c r="AI37" s="32" t="n">
        <x:f>SUM('02_属性来源'!AN503:AN518)</x:f>
        <x:v>23</x:v>
      </x:c>
      <x:c r="AJ37" s="32" t="n">
        <x:f>SUM('02_属性来源'!AO503:AO518)</x:f>
        <x:v>4.2</x:v>
      </x:c>
      <x:c r="AK37" s="32" t="n">
        <x:f>SUM('02_属性来源'!AP503:AP518)</x:f>
        <x:v>1022</x:v>
      </x:c>
      <x:c r="AL37" s="32" t="n">
        <x:f>SUM('02_属性来源'!AQ503:AQ518)</x:f>
        <x:v>79</x:v>
      </x:c>
      <x:c r="AM37" s="32" t="n">
        <x:f>SUM('02_属性来源'!AR503:AR518)</x:f>
        <x:v>4</x:v>
      </x:c>
      <x:c r="AN37" s="32" t="n">
        <x:f>SUM('02_属性来源'!AS503:AS518)</x:f>
        <x:v>12.75</x:v>
      </x:c>
      <x:c r="AO37" s="32" t="n">
        <x:f>SUM('02_属性来源'!AT503:AT518)</x:f>
        <x:v>4650</x:v>
      </x:c>
      <x:c r="AP37" s="32" t="n">
        <x:f>SUM('02_属性来源'!AU503:AU518)</x:f>
        <x:v>23</x:v>
      </x:c>
      <x:c r="AQ37" s="32" t="n">
        <x:f>SUM('02_属性来源'!AV503:AV518)</x:f>
        <x:v>3</x:v>
      </x:c>
      <x:c r="AR37" s="32" t="n">
        <x:f>SUM('02_属性来源'!AW503:AW518)</x:f>
        <x:v>10</x:v>
      </x:c>
      <x:c r="AS37" s="32" t="n">
        <x:f>SUM('02_属性来源'!AX503:AX518)</x:f>
        <x:v>10</x:v>
      </x:c>
      <x:c r="AT37" s="32" t="n">
        <x:f>SUM('02_属性来源'!AY503:AY518)</x:f>
        <x:v>0</x:v>
      </x:c>
      <x:c r="AU37" s="32" t="n">
        <x:f>SUM('02_属性来源'!AZ503:AZ518)</x:f>
        <x:v>11</x:v>
      </x:c>
      <x:c r="AV37" s="32" t="n">
        <x:f>SUM('02_属性来源'!BA503:BA518)</x:f>
        <x:v>50</x:v>
      </x:c>
    </x:row>
    <x:row r="38">
      <x:c r="A38" s="25" t="str">
        <x:v>C09-M</x:v>
      </x:c>
      <x:c r="B38" s="25" t="str">
        <x:v>亚坛高原</x:v>
      </x:c>
      <x:c r="C38" s="25" t="str">
        <x:v>半急速中期</x:v>
      </x:c>
      <x:c r="D38" s="32" t="n">
        <x:f>SUM('02_属性来源'!I519:I534)</x:f>
        <x:v>118220</x:v>
      </x:c>
      <x:c r="E38" s="32" t="n">
        <x:f>SUM('02_属性来源'!J519:J534)</x:f>
        <x:v>135573.5</x:v>
      </x:c>
      <x:c r="F38" s="32" t="n">
        <x:f>SUM('02_属性来源'!K519:K534)</x:f>
        <x:v>119350</x:v>
      </x:c>
      <x:c r="G38" s="32" t="n">
        <x:f>SUM('02_属性来源'!L519:L534)</x:f>
        <x:v>136672</x:v>
      </x:c>
      <x:c r="H38" s="32" t="n">
        <x:f>SUM('02_属性来源'!M519:M534)</x:f>
        <x:v>117709</x:v>
      </x:c>
      <x:c r="I38" s="32" t="n">
        <x:f>SUM('02_属性来源'!N519:N534)</x:f>
        <x:v>135031</x:v>
      </x:c>
      <x:c r="J38" s="32" t="n">
        <x:f>SUM('02_属性来源'!O519:O534)</x:f>
        <x:v>35929400</x:v>
      </x:c>
      <x:c r="K38" s="32" t="n">
        <x:f>SUM('02_属性来源'!P519:P534)</x:f>
        <x:v>6001050</x:v>
      </x:c>
      <x:c r="L38" s="32" t="n">
        <x:f>SUM('02_属性来源'!Q519:Q534)</x:f>
        <x:v>520</x:v>
      </x:c>
      <x:c r="M38" s="32" t="n">
        <x:f>SUM('02_属性来源'!R519:R534)</x:f>
        <x:v>964</x:v>
      </x:c>
      <x:c r="N38" s="32" t="n">
        <x:f>SUM('02_属性来源'!S519:S534)</x:f>
        <x:v>418</x:v>
      </x:c>
      <x:c r="O38" s="32" t="n">
        <x:f>SUM('02_属性来源'!T519:T534)</x:f>
        <x:v>780</x:v>
      </x:c>
      <x:c r="P38" s="32" t="n">
        <x:f>SUM('02_属性来源'!U519:U534)</x:f>
        <x:v>999</x:v>
      </x:c>
      <x:c r="Q38" s="32" t="n">
        <x:f>SUM('02_属性来源'!V519:V534)</x:f>
        <x:v>598</x:v>
      </x:c>
      <x:c r="R38" s="32" t="n">
        <x:f>SUM('02_属性来源'!W519:W534)</x:f>
        <x:v>598</x:v>
      </x:c>
      <x:c r="S38" s="32" t="n">
        <x:f>SUM('02_属性来源'!X519:X534)</x:f>
        <x:v>1.9600000000000002</x:v>
      </x:c>
      <x:c r="T38" s="32" t="n">
        <x:f>SUM('02_属性来源'!Y519:Y534)</x:f>
        <x:v>16</x:v>
      </x:c>
      <x:c r="U38" s="32" t="n">
        <x:f>SUM('02_属性来源'!Z519:Z534)</x:f>
        <x:v>143</x:v>
      </x:c>
      <x:c r="V38" s="32" t="n">
        <x:f>SUM('02_属性来源'!AA519:AA534)</x:f>
        <x:v>47</x:v>
      </x:c>
      <x:c r="W38" s="32" t="n">
        <x:f>SUM('02_属性来源'!AB519:AB534)</x:f>
        <x:v>21</x:v>
      </x:c>
      <x:c r="X38" s="32" t="n">
        <x:f>SUM('02_属性来源'!AC519:AC534)</x:f>
        <x:v>199</x:v>
      </x:c>
      <x:c r="Y38" s="32" t="n">
        <x:f>SUM('02_属性来源'!AD519:AD534)</x:f>
        <x:v>3</x:v>
      </x:c>
      <x:c r="Z38" s="32" t="n">
        <x:f>SUM('02_属性来源'!AE519:AE534)</x:f>
        <x:v>25</x:v>
      </x:c>
      <x:c r="AA38" s="32" t="n">
        <x:f>SUM('02_属性来源'!AF519:AF534)</x:f>
        <x:v>0</x:v>
      </x:c>
      <x:c r="AB38" s="32" t="n">
        <x:f>SUM('02_属性来源'!AG519:AG534)</x:f>
        <x:v>0</x:v>
      </x:c>
      <x:c r="AC38" s="32" t="n">
        <x:f>SUM('02_属性来源'!AH519:AH534)</x:f>
        <x:v>37</x:v>
      </x:c>
      <x:c r="AD38" s="32" t="n">
        <x:f>SUM('02_属性来源'!AI519:AI534)</x:f>
        <x:v>6</x:v>
      </x:c>
      <x:c r="AE38" s="32" t="n">
        <x:f>SUM('02_属性来源'!AJ519:AJ534)</x:f>
        <x:v>154</x:v>
      </x:c>
      <x:c r="AF38" s="32" t="n">
        <x:f>SUM('02_属性来源'!AK519:AK534)</x:f>
        <x:v>7</x:v>
      </x:c>
      <x:c r="AG38" s="32" t="n">
        <x:f>SUM('02_属性来源'!AL519:AL534)</x:f>
        <x:v>8</x:v>
      </x:c>
      <x:c r="AH38" s="32" t="n">
        <x:f>SUM('02_属性来源'!AM519:AM534)</x:f>
        <x:v>33</x:v>
      </x:c>
      <x:c r="AI38" s="32" t="n">
        <x:f>SUM('02_属性来源'!AN519:AN534)</x:f>
        <x:v>24</x:v>
      </x:c>
      <x:c r="AJ38" s="32" t="n">
        <x:f>SUM('02_属性来源'!AO519:AO534)</x:f>
        <x:v>1.2</x:v>
      </x:c>
      <x:c r="AK38" s="32" t="n">
        <x:f>SUM('02_属性来源'!AP519:AP534)</x:f>
        <x:v>1132</x:v>
      </x:c>
      <x:c r="AL38" s="32" t="n">
        <x:f>SUM('02_属性来源'!AQ519:AQ534)</x:f>
        <x:v>79</x:v>
      </x:c>
      <x:c r="AM38" s="32" t="n">
        <x:f>SUM('02_属性来源'!AR519:AR534)</x:f>
        <x:v>4</x:v>
      </x:c>
      <x:c r="AN38" s="32" t="n">
        <x:f>SUM('02_属性来源'!AS519:AS534)</x:f>
        <x:v>11.75</x:v>
      </x:c>
      <x:c r="AO38" s="32" t="n">
        <x:f>SUM('02_属性来源'!AT519:AT534)</x:f>
        <x:v>5850</x:v>
      </x:c>
      <x:c r="AP38" s="32" t="n">
        <x:f>SUM('02_属性来源'!AU519:AU534)</x:f>
        <x:v>25</x:v>
      </x:c>
      <x:c r="AQ38" s="32" t="n">
        <x:f>SUM('02_属性来源'!AV519:AV534)</x:f>
        <x:v>3</x:v>
      </x:c>
      <x:c r="AR38" s="32" t="n">
        <x:f>SUM('02_属性来源'!AW519:AW534)</x:f>
        <x:v>10</x:v>
      </x:c>
      <x:c r="AS38" s="32" t="n">
        <x:f>SUM('02_属性来源'!AX519:AX534)</x:f>
        <x:v>10</x:v>
      </x:c>
      <x:c r="AT38" s="32" t="n">
        <x:f>SUM('02_属性来源'!AY519:AY534)</x:f>
        <x:v>0</x:v>
      </x:c>
      <x:c r="AU38" s="32" t="n">
        <x:f>SUM('02_属性来源'!AZ519:AZ534)</x:f>
        <x:v>11</x:v>
      </x:c>
      <x:c r="AV38" s="32" t="n">
        <x:f>SUM('02_属性来源'!BA519:BA534)</x:f>
        <x:v>50</x:v>
      </x:c>
    </x:row>
    <x:row r="39">
      <x:c r="A39" s="25" t="str">
        <x:v>C09-G</x:v>
      </x:c>
      <x:c r="B39" s="25" t="str">
        <x:v>亚坛高原</x:v>
      </x:c>
      <x:c r="C39" s="25" t="str">
        <x:v>半急速毕业</x:v>
      </x:c>
      <x:c r="D39" s="32" t="n">
        <x:f>SUM('02_属性来源'!I535:I550)</x:f>
        <x:v>185735</x:v>
      </x:c>
      <x:c r="E39" s="32" t="n">
        <x:f>SUM('02_属性来源'!J535:J550)</x:f>
        <x:v>242710</x:v>
      </x:c>
      <x:c r="F39" s="32" t="n">
        <x:f>SUM('02_属性来源'!K535:K550)</x:f>
        <x:v>179764</x:v>
      </x:c>
      <x:c r="G39" s="32" t="n">
        <x:f>SUM('02_属性来源'!L535:L550)</x:f>
        <x:v>236706</x:v>
      </x:c>
      <x:c r="H39" s="32" t="n">
        <x:f>SUM('02_属性来源'!M535:M550)</x:f>
        <x:v>180622</x:v>
      </x:c>
      <x:c r="I39" s="32" t="n">
        <x:f>SUM('02_属性来源'!N535:N550)</x:f>
        <x:v>237564</x:v>
      </x:c>
      <x:c r="J39" s="32" t="n">
        <x:f>SUM('02_属性来源'!O535:O550)</x:f>
        <x:v>52880300</x:v>
      </x:c>
      <x:c r="K39" s="32" t="n">
        <x:f>SUM('02_属性来源'!P535:P550)</x:f>
        <x:v>6001100</x:v>
      </x:c>
      <x:c r="L39" s="32" t="n">
        <x:f>SUM('02_属性来源'!Q535:Q550)</x:f>
        <x:v>487</x:v>
      </x:c>
      <x:c r="M39" s="32" t="n">
        <x:f>SUM('02_属性来源'!R535:R550)</x:f>
        <x:v>911</x:v>
      </x:c>
      <x:c r="N39" s="32" t="n">
        <x:f>SUM('02_属性来源'!S535:S550)</x:f>
        <x:v>395</x:v>
      </x:c>
      <x:c r="O39" s="32" t="n">
        <x:f>SUM('02_属性来源'!T535:T550)</x:f>
        <x:v>737</x:v>
      </x:c>
      <x:c r="P39" s="32" t="n">
        <x:f>SUM('02_属性来源'!U535:U550)</x:f>
        <x:v>791</x:v>
      </x:c>
      <x:c r="Q39" s="32" t="n">
        <x:f>SUM('02_属性来源'!V535:V550)</x:f>
        <x:v>641</x:v>
      </x:c>
      <x:c r="R39" s="32" t="n">
        <x:f>SUM('02_属性来源'!W535:W550)</x:f>
        <x:v>641</x:v>
      </x:c>
      <x:c r="S39" s="32" t="n">
        <x:f>SUM('02_属性来源'!X535:X550)</x:f>
        <x:v>2.0600000000000005</x:v>
      </x:c>
      <x:c r="T39" s="32" t="n">
        <x:f>SUM('02_属性来源'!Y535:Y550)</x:f>
        <x:v>19</x:v>
      </x:c>
      <x:c r="U39" s="32" t="n">
        <x:f>SUM('02_属性来源'!Z535:Z550)</x:f>
        <x:v>158</x:v>
      </x:c>
      <x:c r="V39" s="32" t="n">
        <x:f>SUM('02_属性来源'!AA535:AA550)</x:f>
        <x:v>49</x:v>
      </x:c>
      <x:c r="W39" s="32" t="n">
        <x:f>SUM('02_属性来源'!AB535:AB550)</x:f>
        <x:v>24</x:v>
      </x:c>
      <x:c r="X39" s="32" t="n">
        <x:f>SUM('02_属性来源'!AC535:AC550)</x:f>
        <x:v>225</x:v>
      </x:c>
      <x:c r="Y39" s="32" t="n">
        <x:f>SUM('02_属性来源'!AD535:AD550)</x:f>
        <x:v>6</x:v>
      </x:c>
      <x:c r="Z39" s="32" t="n">
        <x:f>SUM('02_属性来源'!AE535:AE550)</x:f>
        <x:v>66</x:v>
      </x:c>
      <x:c r="AA39" s="32" t="n">
        <x:f>SUM('02_属性来源'!AF535:AF550)</x:f>
        <x:v>0</x:v>
      </x:c>
      <x:c r="AB39" s="32" t="n">
        <x:f>SUM('02_属性来源'!AG535:AG550)</x:f>
        <x:v>0</x:v>
      </x:c>
      <x:c r="AC39" s="32" t="n">
        <x:f>SUM('02_属性来源'!AH535:AH550)</x:f>
        <x:v>66</x:v>
      </x:c>
      <x:c r="AD39" s="32" t="n">
        <x:f>SUM('02_属性来源'!AI535:AI550)</x:f>
        <x:v>10</x:v>
      </x:c>
      <x:c r="AE39" s="32" t="n">
        <x:f>SUM('02_属性来源'!AJ535:AJ550)</x:f>
        <x:v>162</x:v>
      </x:c>
      <x:c r="AF39" s="32" t="n">
        <x:f>SUM('02_属性来源'!AK535:AK550)</x:f>
        <x:v>7</x:v>
      </x:c>
      <x:c r="AG39" s="32" t="n">
        <x:f>SUM('02_属性来源'!AL535:AL550)</x:f>
        <x:v>8</x:v>
      </x:c>
      <x:c r="AH39" s="32" t="n">
        <x:f>SUM('02_属性来源'!AM535:AM550)</x:f>
        <x:v>37</x:v>
      </x:c>
      <x:c r="AI39" s="32" t="n">
        <x:f>SUM('02_属性来源'!AN535:AN550)</x:f>
        <x:v>35</x:v>
      </x:c>
      <x:c r="AJ39" s="32" t="n">
        <x:f>SUM('02_属性来源'!AO535:AO550)</x:f>
        <x:v>2.5</x:v>
      </x:c>
      <x:c r="AK39" s="32" t="n">
        <x:f>SUM('02_属性来源'!AP535:AP550)</x:f>
        <x:v>1224</x:v>
      </x:c>
      <x:c r="AL39" s="32" t="n">
        <x:f>SUM('02_属性来源'!AQ535:AQ550)</x:f>
        <x:v>78</x:v>
      </x:c>
      <x:c r="AM39" s="32" t="n">
        <x:f>SUM('02_属性来源'!AR535:AR550)</x:f>
        <x:v>6</x:v>
      </x:c>
      <x:c r="AN39" s="32" t="n">
        <x:f>SUM('02_属性来源'!AS535:AS550)</x:f>
        <x:v>15.75</x:v>
      </x:c>
      <x:c r="AO39" s="32" t="n">
        <x:f>SUM('02_属性来源'!AT535:AT550)</x:f>
        <x:v>5850</x:v>
      </x:c>
      <x:c r="AP39" s="32" t="n">
        <x:f>SUM('02_属性来源'!AU535:AU550)</x:f>
        <x:v>19</x:v>
      </x:c>
      <x:c r="AQ39" s="32" t="n">
        <x:f>SUM('02_属性来源'!AV535:AV550)</x:f>
        <x:v>3</x:v>
      </x:c>
      <x:c r="AR39" s="32" t="n">
        <x:f>SUM('02_属性来源'!AW535:AW550)</x:f>
        <x:v>10</x:v>
      </x:c>
      <x:c r="AS39" s="32" t="n">
        <x:f>SUM('02_属性来源'!AX535:AX550)</x:f>
        <x:v>10</x:v>
      </x:c>
      <x:c r="AT39" s="32" t="n">
        <x:f>SUM('02_属性来源'!AY535:AY550)</x:f>
        <x:v>0</x:v>
      </x:c>
      <x:c r="AU39" s="32" t="n">
        <x:f>SUM('02_属性来源'!AZ535:AZ550)</x:f>
        <x:v>13</x:v>
      </x:c>
      <x:c r="AV39" s="32" t="n">
        <x:f>SUM('02_属性来源'!BA535:BA550)</x:f>
        <x:v>50</x:v>
      </x:c>
    </x:row>
    <x:row r="40">
      <x:c r="A40" s="25" t="str">
        <x:v>C09-X</x:v>
      </x:c>
      <x:c r="B40" s="25" t="str">
        <x:v>亚坛高原</x:v>
      </x:c>
      <x:c r="C40" s="25" t="str">
        <x:v>极端压力</x:v>
      </x:c>
      <x:c r="D40" s="32" t="n">
        <x:f>SUM('02_属性来源'!I551:I567)</x:f>
        <x:v>217309</x:v>
      </x:c>
      <x:c r="E40" s="32" t="n">
        <x:f>SUM('02_属性来源'!J551:J567)</x:f>
        <x:v>295422</x:v>
      </x:c>
      <x:c r="F40" s="32" t="n">
        <x:f>SUM('02_属性来源'!K551:K567)</x:f>
        <x:v>206557</x:v>
      </x:c>
      <x:c r="G40" s="32" t="n">
        <x:f>SUM('02_属性来源'!L551:L567)</x:f>
        <x:v>284637</x:v>
      </x:c>
      <x:c r="H40" s="32" t="n">
        <x:f>SUM('02_属性来源'!M551:M567)</x:f>
        <x:v>244049</x:v>
      </x:c>
      <x:c r="I40" s="32" t="n">
        <x:f>SUM('02_属性来源'!N551:N567)</x:f>
        <x:v>322129</x:v>
      </x:c>
      <x:c r="J40" s="32" t="n">
        <x:f>SUM('02_属性来源'!O551:O567)</x:f>
        <x:v>105378200</x:v>
      </x:c>
      <x:c r="K40" s="32" t="n">
        <x:f>SUM('02_属性来源'!P551:P567)</x:f>
        <x:v>6001100</x:v>
      </x:c>
      <x:c r="L40" s="32" t="n">
        <x:f>SUM('02_属性来源'!Q551:Q567)</x:f>
        <x:v>622</x:v>
      </x:c>
      <x:c r="M40" s="32" t="n">
        <x:f>SUM('02_属性来源'!R551:R567)</x:f>
        <x:v>1163</x:v>
      </x:c>
      <x:c r="N40" s="32" t="n">
        <x:f>SUM('02_属性来源'!S551:S567)</x:f>
        <x:v>499</x:v>
      </x:c>
      <x:c r="O40" s="32" t="n">
        <x:f>SUM('02_属性来源'!T551:T567)</x:f>
        <x:v>938</x:v>
      </x:c>
      <x:c r="P40" s="32" t="n">
        <x:f>SUM('02_属性来源'!U551:U567)</x:f>
        <x:v>1321</x:v>
      </x:c>
      <x:c r="Q40" s="32" t="n">
        <x:f>SUM('02_属性来源'!V551:V567)</x:f>
        <x:v>772</x:v>
      </x:c>
      <x:c r="R40" s="32" t="n">
        <x:f>SUM('02_属性来源'!W551:W567)</x:f>
        <x:v>772</x:v>
      </x:c>
      <x:c r="S40" s="32" t="n">
        <x:f>SUM('02_属性来源'!X551:X567)</x:f>
        <x:v>2.6100000000000003</x:v>
      </x:c>
      <x:c r="T40" s="32" t="n">
        <x:f>SUM('02_属性来源'!Y551:Y567)</x:f>
        <x:v>20</x:v>
      </x:c>
      <x:c r="U40" s="32" t="n">
        <x:f>SUM('02_属性来源'!Z551:Z567)</x:f>
        <x:v>222</x:v>
      </x:c>
      <x:c r="V40" s="32" t="n">
        <x:f>SUM('02_属性来源'!AA551:AA567)</x:f>
        <x:v>63</x:v>
      </x:c>
      <x:c r="W40" s="32" t="n">
        <x:f>SUM('02_属性来源'!AB551:AB567)</x:f>
        <x:v>44</x:v>
      </x:c>
      <x:c r="X40" s="32" t="n">
        <x:f>SUM('02_属性来源'!AC551:AC567)</x:f>
        <x:v>327</x:v>
      </x:c>
      <x:c r="Y40" s="32" t="n">
        <x:f>SUM('02_属性来源'!AD551:AD567)</x:f>
        <x:v>5</x:v>
      </x:c>
      <x:c r="Z40" s="32" t="n">
        <x:f>SUM('02_属性来源'!AE551:AE567)</x:f>
        <x:v>118</x:v>
      </x:c>
      <x:c r="AA40" s="32" t="n">
        <x:f>SUM('02_属性来源'!AF551:AF567)</x:f>
        <x:v>0</x:v>
      </x:c>
      <x:c r="AB40" s="32" t="n">
        <x:f>SUM('02_属性来源'!AG551:AG567)</x:f>
        <x:v>0</x:v>
      </x:c>
      <x:c r="AC40" s="32" t="n">
        <x:f>SUM('02_属性来源'!AH551:AH567)</x:f>
        <x:v>59</x:v>
      </x:c>
      <x:c r="AD40" s="32" t="n">
        <x:f>SUM('02_属性来源'!AI551:AI567)</x:f>
        <x:v>10</x:v>
      </x:c>
      <x:c r="AE40" s="32" t="n">
        <x:f>SUM('02_属性来源'!AJ551:AJ567)</x:f>
        <x:v>162</x:v>
      </x:c>
      <x:c r="AF40" s="32" t="n">
        <x:f>SUM('02_属性来源'!AK551:AK567)</x:f>
        <x:v>7</x:v>
      </x:c>
      <x:c r="AG40" s="32" t="n">
        <x:f>SUM('02_属性来源'!AL551:AL567)</x:f>
        <x:v>8</x:v>
      </x:c>
      <x:c r="AH40" s="32" t="n">
        <x:f>SUM('02_属性来源'!AM551:AM567)</x:f>
        <x:v>43.5</x:v>
      </x:c>
      <x:c r="AI40" s="32" t="n">
        <x:f>SUM('02_属性来源'!AN551:AN567)</x:f>
        <x:v>66</x:v>
      </x:c>
      <x:c r="AJ40" s="32" t="n">
        <x:f>SUM('02_属性来源'!AO551:AO567)</x:f>
        <x:v>1.8</x:v>
      </x:c>
      <x:c r="AK40" s="32" t="n">
        <x:f>SUM('02_属性来源'!AP551:AP567)</x:f>
        <x:v>1729</x:v>
      </x:c>
      <x:c r="AL40" s="32" t="n">
        <x:f>SUM('02_属性来源'!AQ551:AQ567)</x:f>
        <x:v>90</x:v>
      </x:c>
      <x:c r="AM40" s="32" t="n">
        <x:f>SUM('02_属性来源'!AR551:AR567)</x:f>
        <x:v>6</x:v>
      </x:c>
      <x:c r="AN40" s="32" t="n">
        <x:f>SUM('02_属性来源'!AS551:AS567)</x:f>
        <x:v>11</x:v>
      </x:c>
      <x:c r="AO40" s="32" t="n">
        <x:f>SUM('02_属性来源'!AT551:AT567)</x:f>
        <x:v>5850</x:v>
      </x:c>
      <x:c r="AP40" s="32" t="n">
        <x:f>SUM('02_属性来源'!AU551:AU567)</x:f>
        <x:v>17</x:v>
      </x:c>
      <x:c r="AQ40" s="32" t="n">
        <x:f>SUM('02_属性来源'!AV551:AV567)</x:f>
        <x:v>3</x:v>
      </x:c>
      <x:c r="AR40" s="32" t="n">
        <x:f>SUM('02_属性来源'!AW551:AW567)</x:f>
        <x:v>25</x:v>
      </x:c>
      <x:c r="AS40" s="32" t="n">
        <x:f>SUM('02_属性来源'!AX551:AX567)</x:f>
        <x:v>10</x:v>
      </x:c>
      <x:c r="AT40" s="32" t="n">
        <x:f>SUM('02_属性来源'!AY551:AY567)</x:f>
        <x:v>2</x:v>
      </x:c>
      <x:c r="AU40" s="32" t="n">
        <x:f>SUM('02_属性来源'!AZ551:AZ567)</x:f>
        <x:v>13</x:v>
      </x:c>
      <x:c r="AV40" s="32" t="n">
        <x:f>SUM('02_属性来源'!BA551:BA567)</x:f>
        <x:v>50</x:v>
      </x:c>
    </x:row>
    <x:row r="41">
      <x:c r="A41" s="25" t="str">
        <x:v>C10-E</x:v>
      </x:c>
      <x:c r="B41" s="25" t="str">
        <x:v>王城罗德尔</x:v>
      </x:c>
      <x:c r="C41" s="25" t="str">
        <x:v>半急速入场</x:v>
      </x:c>
      <x:c r="D41" s="32" t="n">
        <x:f>SUM('02_属性来源'!I568:I583)</x:f>
        <x:v>185735</x:v>
      </x:c>
      <x:c r="E41" s="32" t="n">
        <x:f>SUM('02_属性来源'!J568:J583)</x:f>
        <x:v>242710</x:v>
      </x:c>
      <x:c r="F41" s="32" t="n">
        <x:f>SUM('02_属性来源'!K568:K583)</x:f>
        <x:v>179764</x:v>
      </x:c>
      <x:c r="G41" s="32" t="n">
        <x:f>SUM('02_属性来源'!L568:L583)</x:f>
        <x:v>236706</x:v>
      </x:c>
      <x:c r="H41" s="32" t="n">
        <x:f>SUM('02_属性来源'!M568:M583)</x:f>
        <x:v>180622</x:v>
      </x:c>
      <x:c r="I41" s="32" t="n">
        <x:f>SUM('02_属性来源'!N568:N583)</x:f>
        <x:v>237564</x:v>
      </x:c>
      <x:c r="J41" s="32" t="n">
        <x:f>SUM('02_属性来源'!O568:O583)</x:f>
        <x:v>52880300</x:v>
      </x:c>
      <x:c r="K41" s="32" t="n">
        <x:f>SUM('02_属性来源'!P568:P583)</x:f>
        <x:v>6001100</x:v>
      </x:c>
      <x:c r="L41" s="32" t="n">
        <x:f>SUM('02_属性来源'!Q568:Q583)</x:f>
        <x:v>487</x:v>
      </x:c>
      <x:c r="M41" s="32" t="n">
        <x:f>SUM('02_属性来源'!R568:R583)</x:f>
        <x:v>911</x:v>
      </x:c>
      <x:c r="N41" s="32" t="n">
        <x:f>SUM('02_属性来源'!S568:S583)</x:f>
        <x:v>395</x:v>
      </x:c>
      <x:c r="O41" s="32" t="n">
        <x:f>SUM('02_属性来源'!T568:T583)</x:f>
        <x:v>737</x:v>
      </x:c>
      <x:c r="P41" s="32" t="n">
        <x:f>SUM('02_属性来源'!U568:U583)</x:f>
        <x:v>791</x:v>
      </x:c>
      <x:c r="Q41" s="32" t="n">
        <x:f>SUM('02_属性来源'!V568:V583)</x:f>
        <x:v>641</x:v>
      </x:c>
      <x:c r="R41" s="32" t="n">
        <x:f>SUM('02_属性来源'!W568:W583)</x:f>
        <x:v>641</x:v>
      </x:c>
      <x:c r="S41" s="32" t="n">
        <x:f>SUM('02_属性来源'!X568:X583)</x:f>
        <x:v>2.0600000000000005</x:v>
      </x:c>
      <x:c r="T41" s="32" t="n">
        <x:f>SUM('02_属性来源'!Y568:Y583)</x:f>
        <x:v>19</x:v>
      </x:c>
      <x:c r="U41" s="32" t="n">
        <x:f>SUM('02_属性来源'!Z568:Z583)</x:f>
        <x:v>158</x:v>
      </x:c>
      <x:c r="V41" s="32" t="n">
        <x:f>SUM('02_属性来源'!AA568:AA583)</x:f>
        <x:v>49</x:v>
      </x:c>
      <x:c r="W41" s="32" t="n">
        <x:f>SUM('02_属性来源'!AB568:AB583)</x:f>
        <x:v>24</x:v>
      </x:c>
      <x:c r="X41" s="32" t="n">
        <x:f>SUM('02_属性来源'!AC568:AC583)</x:f>
        <x:v>225</x:v>
      </x:c>
      <x:c r="Y41" s="32" t="n">
        <x:f>SUM('02_属性来源'!AD568:AD583)</x:f>
        <x:v>6</x:v>
      </x:c>
      <x:c r="Z41" s="32" t="n">
        <x:f>SUM('02_属性来源'!AE568:AE583)</x:f>
        <x:v>66</x:v>
      </x:c>
      <x:c r="AA41" s="32" t="n">
        <x:f>SUM('02_属性来源'!AF568:AF583)</x:f>
        <x:v>0</x:v>
      </x:c>
      <x:c r="AB41" s="32" t="n">
        <x:f>SUM('02_属性来源'!AG568:AG583)</x:f>
        <x:v>0</x:v>
      </x:c>
      <x:c r="AC41" s="32" t="n">
        <x:f>SUM('02_属性来源'!AH568:AH583)</x:f>
        <x:v>66</x:v>
      </x:c>
      <x:c r="AD41" s="32" t="n">
        <x:f>SUM('02_属性来源'!AI568:AI583)</x:f>
        <x:v>10</x:v>
      </x:c>
      <x:c r="AE41" s="32" t="n">
        <x:f>SUM('02_属性来源'!AJ568:AJ583)</x:f>
        <x:v>162</x:v>
      </x:c>
      <x:c r="AF41" s="32" t="n">
        <x:f>SUM('02_属性来源'!AK568:AK583)</x:f>
        <x:v>7</x:v>
      </x:c>
      <x:c r="AG41" s="32" t="n">
        <x:f>SUM('02_属性来源'!AL568:AL583)</x:f>
        <x:v>8</x:v>
      </x:c>
      <x:c r="AH41" s="32" t="n">
        <x:f>SUM('02_属性来源'!AM568:AM583)</x:f>
        <x:v>37</x:v>
      </x:c>
      <x:c r="AI41" s="32" t="n">
        <x:f>SUM('02_属性来源'!AN568:AN583)</x:f>
        <x:v>35</x:v>
      </x:c>
      <x:c r="AJ41" s="32" t="n">
        <x:f>SUM('02_属性来源'!AO568:AO583)</x:f>
        <x:v>2.5</x:v>
      </x:c>
      <x:c r="AK41" s="32" t="n">
        <x:f>SUM('02_属性来源'!AP568:AP583)</x:f>
        <x:v>1224</x:v>
      </x:c>
      <x:c r="AL41" s="32" t="n">
        <x:f>SUM('02_属性来源'!AQ568:AQ583)</x:f>
        <x:v>78</x:v>
      </x:c>
      <x:c r="AM41" s="32" t="n">
        <x:f>SUM('02_属性来源'!AR568:AR583)</x:f>
        <x:v>6</x:v>
      </x:c>
      <x:c r="AN41" s="32" t="n">
        <x:f>SUM('02_属性来源'!AS568:AS583)</x:f>
        <x:v>15.75</x:v>
      </x:c>
      <x:c r="AO41" s="32" t="n">
        <x:f>SUM('02_属性来源'!AT568:AT583)</x:f>
        <x:v>5850</x:v>
      </x:c>
      <x:c r="AP41" s="32" t="n">
        <x:f>SUM('02_属性来源'!AU568:AU583)</x:f>
        <x:v>19</x:v>
      </x:c>
      <x:c r="AQ41" s="32" t="n">
        <x:f>SUM('02_属性来源'!AV568:AV583)</x:f>
        <x:v>3</x:v>
      </x:c>
      <x:c r="AR41" s="32" t="n">
        <x:f>SUM('02_属性来源'!AW568:AW583)</x:f>
        <x:v>10</x:v>
      </x:c>
      <x:c r="AS41" s="32" t="n">
        <x:f>SUM('02_属性来源'!AX568:AX583)</x:f>
        <x:v>10</x:v>
      </x:c>
      <x:c r="AT41" s="32" t="n">
        <x:f>SUM('02_属性来源'!AY568:AY583)</x:f>
        <x:v>0</x:v>
      </x:c>
      <x:c r="AU41" s="32" t="n">
        <x:f>SUM('02_属性来源'!AZ568:AZ583)</x:f>
        <x:v>13</x:v>
      </x:c>
      <x:c r="AV41" s="32" t="n">
        <x:f>SUM('02_属性来源'!BA568:BA583)</x:f>
        <x:v>50</x:v>
      </x:c>
    </x:row>
    <x:row r="42">
      <x:c r="A42" s="25" t="str">
        <x:v>C10-M</x:v>
      </x:c>
      <x:c r="B42" s="25" t="str">
        <x:v>王城罗德尔</x:v>
      </x:c>
      <x:c r="C42" s="25" t="str">
        <x:v>半急速中期</x:v>
      </x:c>
      <x:c r="D42" s="32" t="n">
        <x:f>SUM('02_属性来源'!I584:I599)</x:f>
        <x:v>223351</x:v>
      </x:c>
      <x:c r="E42" s="32" t="n">
        <x:f>SUM('02_属性来源'!J584:J599)</x:f>
        <x:v>280327.5</x:v>
      </x:c>
      <x:c r="F42" s="32" t="n">
        <x:f>SUM('02_属性来源'!K584:K599)</x:f>
        <x:v>250624</x:v>
      </x:c>
      <x:c r="G42" s="32" t="n">
        <x:f>SUM('02_属性来源'!L584:L599)</x:f>
        <x:v>307566</x:v>
      </x:c>
      <x:c r="H42" s="32" t="n">
        <x:f>SUM('02_属性来源'!M584:M599)</x:f>
        <x:v>224145</x:v>
      </x:c>
      <x:c r="I42" s="32" t="n">
        <x:f>SUM('02_属性来源'!N584:N599)</x:f>
        <x:v>281087</x:v>
      </x:c>
      <x:c r="J42" s="32" t="n">
        <x:f>SUM('02_属性来源'!O584:O599)</x:f>
        <x:v>57388100</x:v>
      </x:c>
      <x:c r="K42" s="32" t="n">
        <x:f>SUM('02_属性来源'!P584:P599)</x:f>
        <x:v>10001150</x:v>
      </x:c>
      <x:c r="L42" s="32" t="n">
        <x:f>SUM('02_属性来源'!Q584:Q599)</x:f>
        <x:v>487</x:v>
      </x:c>
      <x:c r="M42" s="32" t="n">
        <x:f>SUM('02_属性来源'!R584:R599)</x:f>
        <x:v>911</x:v>
      </x:c>
      <x:c r="N42" s="32" t="n">
        <x:f>SUM('02_属性来源'!S584:S599)</x:f>
        <x:v>395</x:v>
      </x:c>
      <x:c r="O42" s="32" t="n">
        <x:f>SUM('02_属性来源'!T584:T599)</x:f>
        <x:v>737</x:v>
      </x:c>
      <x:c r="P42" s="32" t="n">
        <x:f>SUM('02_属性来源'!U584:U599)</x:f>
        <x:v>1116</x:v>
      </x:c>
      <x:c r="Q42" s="32" t="n">
        <x:f>SUM('02_属性来源'!V584:V599)</x:f>
        <x:v>641</x:v>
      </x:c>
      <x:c r="R42" s="32" t="n">
        <x:f>SUM('02_属性来源'!W584:W599)</x:f>
        <x:v>641</x:v>
      </x:c>
      <x:c r="S42" s="32" t="n">
        <x:f>SUM('02_属性来源'!X584:X599)</x:f>
        <x:v>2.45</x:v>
      </x:c>
      <x:c r="T42" s="32" t="n">
        <x:f>SUM('02_属性来源'!Y584:Y599)</x:f>
        <x:v>21</x:v>
      </x:c>
      <x:c r="U42" s="32" t="n">
        <x:f>SUM('02_属性来源'!Z584:Z599)</x:f>
        <x:v>158</x:v>
      </x:c>
      <x:c r="V42" s="32" t="n">
        <x:f>SUM('02_属性来源'!AA584:AA599)</x:f>
        <x:v>49</x:v>
      </x:c>
      <x:c r="W42" s="32" t="n">
        <x:f>SUM('02_属性来源'!AB584:AB599)</x:f>
        <x:v>22</x:v>
      </x:c>
      <x:c r="X42" s="32" t="n">
        <x:f>SUM('02_属性来源'!AC584:AC599)</x:f>
        <x:v>225</x:v>
      </x:c>
      <x:c r="Y42" s="32" t="n">
        <x:f>SUM('02_属性来源'!AD584:AD599)</x:f>
        <x:v>5</x:v>
      </x:c>
      <x:c r="Z42" s="32" t="n">
        <x:f>SUM('02_属性来源'!AE584:AE599)</x:f>
        <x:v>66</x:v>
      </x:c>
      <x:c r="AA42" s="32" t="n">
        <x:f>SUM('02_属性来源'!AF584:AF599)</x:f>
        <x:v>0</x:v>
      </x:c>
      <x:c r="AB42" s="32" t="n">
        <x:f>SUM('02_属性来源'!AG584:AG599)</x:f>
        <x:v>0</x:v>
      </x:c>
      <x:c r="AC42" s="32" t="n">
        <x:f>SUM('02_属性来源'!AH584:AH599)</x:f>
        <x:v>57</x:v>
      </x:c>
      <x:c r="AD42" s="32" t="n">
        <x:f>SUM('02_属性来源'!AI584:AI599)</x:f>
        <x:v>10</x:v>
      </x:c>
      <x:c r="AE42" s="32" t="n">
        <x:f>SUM('02_属性来源'!AJ584:AJ599)</x:f>
        <x:v>162</x:v>
      </x:c>
      <x:c r="AF42" s="32" t="n">
        <x:f>SUM('02_属性来源'!AK584:AK599)</x:f>
        <x:v>7</x:v>
      </x:c>
      <x:c r="AG42" s="32" t="n">
        <x:f>SUM('02_属性来源'!AL584:AL599)</x:f>
        <x:v>8</x:v>
      </x:c>
      <x:c r="AH42" s="32" t="n">
        <x:f>SUM('02_属性来源'!AM584:AM599)</x:f>
        <x:v>34</x:v>
      </x:c>
      <x:c r="AI42" s="32" t="n">
        <x:f>SUM('02_属性来源'!AN584:AN599)</x:f>
        <x:v>32</x:v>
      </x:c>
      <x:c r="AJ42" s="32" t="n">
        <x:f>SUM('02_属性来源'!AO584:AO599)</x:f>
        <x:v>2.5</x:v>
      </x:c>
      <x:c r="AK42" s="32" t="n">
        <x:f>SUM('02_属性来源'!AP584:AP599)</x:f>
        <x:v>1334</x:v>
      </x:c>
      <x:c r="AL42" s="32" t="n">
        <x:f>SUM('02_属性来源'!AQ584:AQ599)</x:f>
        <x:v>78</x:v>
      </x:c>
      <x:c r="AM42" s="32" t="n">
        <x:f>SUM('02_属性来源'!AR584:AR599)</x:f>
        <x:v>3</x:v>
      </x:c>
      <x:c r="AN42" s="32" t="n">
        <x:f>SUM('02_属性来源'!AS584:AS599)</x:f>
        <x:v>10.75</x:v>
      </x:c>
      <x:c r="AO42" s="32" t="n">
        <x:f>SUM('02_属性来源'!AT584:AT599)</x:f>
        <x:v>7350</x:v>
      </x:c>
      <x:c r="AP42" s="32" t="n">
        <x:f>SUM('02_属性来源'!AU584:AU599)</x:f>
        <x:v>21</x:v>
      </x:c>
      <x:c r="AQ42" s="32" t="n">
        <x:f>SUM('02_属性来源'!AV584:AV599)</x:f>
        <x:v>6</x:v>
      </x:c>
      <x:c r="AR42" s="32" t="n">
        <x:f>SUM('02_属性来源'!AW584:AW599)</x:f>
        <x:v>10</x:v>
      </x:c>
      <x:c r="AS42" s="32" t="n">
        <x:f>SUM('02_属性来源'!AX584:AX599)</x:f>
        <x:v>10</x:v>
      </x:c>
      <x:c r="AT42" s="32" t="n">
        <x:f>SUM('02_属性来源'!AY584:AY599)</x:f>
        <x:v>0</x:v>
      </x:c>
      <x:c r="AU42" s="32" t="n">
        <x:f>SUM('02_属性来源'!AZ584:AZ599)</x:f>
        <x:v>13</x:v>
      </x:c>
      <x:c r="AV42" s="32" t="n">
        <x:f>SUM('02_属性来源'!BA584:BA599)</x:f>
        <x:v>50</x:v>
      </x:c>
    </x:row>
    <x:row r="43">
      <x:c r="A43" s="25" t="str">
        <x:v>C10-G</x:v>
      </x:c>
      <x:c r="B43" s="25" t="str">
        <x:v>王城罗德尔</x:v>
      </x:c>
      <x:c r="C43" s="25" t="str">
        <x:v>半急速毕业</x:v>
      </x:c>
      <x:c r="D43" s="32" t="n">
        <x:f>SUM('02_属性来源'!I600:I615)</x:f>
        <x:v>297418</x:v>
      </x:c>
      <x:c r="E43" s="32" t="n">
        <x:f>SUM('02_属性来源'!J600:J615)</x:f>
        <x:v>391781</x:v>
      </x:c>
      <x:c r="F43" s="32" t="n">
        <x:f>SUM('02_属性来源'!K600:K615)</x:f>
        <x:v>305276</x:v>
      </x:c>
      <x:c r="G43" s="32" t="n">
        <x:f>SUM('02_属性来源'!L600:L615)</x:f>
        <x:v>399603</x:v>
      </x:c>
      <x:c r="H43" s="32" t="n">
        <x:f>SUM('02_属性来源'!M600:M615)</x:f>
        <x:v>290015</x:v>
      </x:c>
      <x:c r="I43" s="32" t="n">
        <x:f>SUM('02_属性来源'!N600:N615)</x:f>
        <x:v>384342</x:v>
      </x:c>
      <x:c r="J43" s="32" t="n">
        <x:f>SUM('02_属性来源'!O600:O615)</x:f>
        <x:v>79562900</x:v>
      </x:c>
      <x:c r="K43" s="32" t="n">
        <x:f>SUM('02_属性来源'!P600:P615)</x:f>
        <x:v>10001200</x:v>
      </x:c>
      <x:c r="L43" s="32" t="n">
        <x:f>SUM('02_属性来源'!Q600:Q615)</x:f>
        <x:v>461</x:v>
      </x:c>
      <x:c r="M43" s="32" t="n">
        <x:f>SUM('02_属性来源'!R600:R615)</x:f>
        <x:v>863</x:v>
      </x:c>
      <x:c r="N43" s="32" t="n">
        <x:f>SUM('02_属性来源'!S600:S615)</x:f>
        <x:v>372</x:v>
      </x:c>
      <x:c r="O43" s="32" t="n">
        <x:f>SUM('02_属性来源'!T600:T615)</x:f>
        <x:v>697</x:v>
      </x:c>
      <x:c r="P43" s="32" t="n">
        <x:f>SUM('02_属性来源'!U600:U615)</x:f>
        <x:v>941</x:v>
      </x:c>
      <x:c r="Q43" s="32" t="n">
        <x:f>SUM('02_属性来源'!V600:V615)</x:f>
        <x:v>675</x:v>
      </x:c>
      <x:c r="R43" s="32" t="n">
        <x:f>SUM('02_属性来源'!W600:W615)</x:f>
        <x:v>675</x:v>
      </x:c>
      <x:c r="S43" s="32" t="n">
        <x:f>SUM('02_属性来源'!X600:X615)</x:f>
        <x:v>2.790000000000001</x:v>
      </x:c>
      <x:c r="T43" s="32" t="n">
        <x:f>SUM('02_属性来源'!Y600:Y615)</x:f>
        <x:v>19</x:v>
      </x:c>
      <x:c r="U43" s="32" t="n">
        <x:f>SUM('02_属性来源'!Z600:Z615)</x:f>
        <x:v>169</x:v>
      </x:c>
      <x:c r="V43" s="32" t="n">
        <x:f>SUM('02_属性来源'!AA600:AA615)</x:f>
        <x:v>53</x:v>
      </x:c>
      <x:c r="W43" s="32" t="n">
        <x:f>SUM('02_属性来源'!AB600:AB615)</x:f>
        <x:v>22</x:v>
      </x:c>
      <x:c r="X43" s="32" t="n">
        <x:f>SUM('02_属性来源'!AC600:AC615)</x:f>
        <x:v>245</x:v>
      </x:c>
      <x:c r="Y43" s="32" t="n">
        <x:f>SUM('02_属性来源'!AD600:AD615)</x:f>
        <x:v>5</x:v>
      </x:c>
      <x:c r="Z43" s="32" t="n">
        <x:f>SUM('02_属性来源'!AE600:AE615)</x:f>
        <x:v>86</x:v>
      </x:c>
      <x:c r="AA43" s="32" t="n">
        <x:f>SUM('02_属性来源'!AF600:AF615)</x:f>
        <x:v>0</x:v>
      </x:c>
      <x:c r="AB43" s="32" t="n">
        <x:f>SUM('02_属性来源'!AG600:AG615)</x:f>
        <x:v>0</x:v>
      </x:c>
      <x:c r="AC43" s="32" t="n">
        <x:f>SUM('02_属性来源'!AH600:AH615)</x:f>
        <x:v>61</x:v>
      </x:c>
      <x:c r="AD43" s="32" t="n">
        <x:f>SUM('02_属性来源'!AI600:AI615)</x:f>
        <x:v>8</x:v>
      </x:c>
      <x:c r="AE43" s="32" t="n">
        <x:f>SUM('02_属性来源'!AJ600:AJ615)</x:f>
        <x:v>164</x:v>
      </x:c>
      <x:c r="AF43" s="32" t="n">
        <x:f>SUM('02_属性来源'!AK600:AK615)</x:f>
        <x:v>7</x:v>
      </x:c>
      <x:c r="AG43" s="32" t="n">
        <x:f>SUM('02_属性来源'!AL600:AL615)</x:f>
        <x:v>8</x:v>
      </x:c>
      <x:c r="AH43" s="32" t="n">
        <x:f>SUM('02_属性来源'!AM600:AM615)</x:f>
        <x:v>38</x:v>
      </x:c>
      <x:c r="AI43" s="32" t="n">
        <x:f>SUM('02_属性来源'!AN600:AN615)</x:f>
        <x:v>36</x:v>
      </x:c>
      <x:c r="AJ43" s="32" t="n">
        <x:f>SUM('02_属性来源'!AO600:AO615)</x:f>
        <x:v>2.5</x:v>
      </x:c>
      <x:c r="AK43" s="32" t="n">
        <x:f>SUM('02_属性来源'!AP600:AP615)</x:f>
        <x:v>1524</x:v>
      </x:c>
      <x:c r="AL43" s="32" t="n">
        <x:f>SUM('02_属性来源'!AQ600:AQ615)</x:f>
        <x:v>76</x:v>
      </x:c>
      <x:c r="AM43" s="32" t="n">
        <x:f>SUM('02_属性来源'!AR600:AR615)</x:f>
        <x:v>5</x:v>
      </x:c>
      <x:c r="AN43" s="32" t="n">
        <x:f>SUM('02_属性来源'!AS600:AS615)</x:f>
        <x:v>14.75</x:v>
      </x:c>
      <x:c r="AO43" s="32" t="n">
        <x:f>SUM('02_属性来源'!AT600:AT615)</x:f>
        <x:v>7350</x:v>
      </x:c>
      <x:c r="AP43" s="32" t="n">
        <x:f>SUM('02_属性来源'!AU600:AU615)</x:f>
        <x:v>24</x:v>
      </x:c>
      <x:c r="AQ43" s="32" t="n">
        <x:f>SUM('02_属性来源'!AV600:AV615)</x:f>
        <x:v>6</x:v>
      </x:c>
      <x:c r="AR43" s="32" t="n">
        <x:f>SUM('02_属性来源'!AW600:AW615)</x:f>
        <x:v>10</x:v>
      </x:c>
      <x:c r="AS43" s="32" t="n">
        <x:f>SUM('02_属性来源'!AX600:AX615)</x:f>
        <x:v>10</x:v>
      </x:c>
      <x:c r="AT43" s="32" t="n">
        <x:f>SUM('02_属性来源'!AY600:AY615)</x:f>
        <x:v>0</x:v>
      </x:c>
      <x:c r="AU43" s="32" t="n">
        <x:f>SUM('02_属性来源'!AZ600:AZ615)</x:f>
        <x:v>15</x:v>
      </x:c>
      <x:c r="AV43" s="32" t="n">
        <x:f>SUM('02_属性来源'!BA600:BA615)</x:f>
        <x:v>50</x:v>
      </x:c>
    </x:row>
    <x:row r="44">
      <x:c r="A44" s="25" t="str">
        <x:v>C10-X</x:v>
      </x:c>
      <x:c r="B44" s="25" t="str">
        <x:v>王城罗德尔</x:v>
      </x:c>
      <x:c r="C44" s="25" t="str">
        <x:v>极端压力</x:v>
      </x:c>
      <x:c r="D44" s="32" t="n">
        <x:f>SUM('02_属性来源'!I616:I632)</x:f>
        <x:v>404227</x:v>
      </x:c>
      <x:c r="E44" s="32" t="n">
        <x:f>SUM('02_属性来源'!J616:J632)</x:f>
        <x:v>544918</x:v>
      </x:c>
      <x:c r="F44" s="32" t="n">
        <x:f>SUM('02_属性来源'!K616:K632)</x:f>
        <x:v>352452</x:v>
      </x:c>
      <x:c r="G44" s="32" t="n">
        <x:f>SUM('02_属性来源'!L616:L632)</x:f>
        <x:v>493107</x:v>
      </x:c>
      <x:c r="H44" s="32" t="n">
        <x:f>SUM('02_属性来源'!M616:M632)</x:f>
        <x:v>347051</x:v>
      </x:c>
      <x:c r="I44" s="32" t="n">
        <x:f>SUM('02_属性来源'!N616:N632)</x:f>
        <x:v>487706</x:v>
      </x:c>
      <x:c r="J44" s="32" t="n">
        <x:f>SUM('02_属性来源'!O616:O632)</x:f>
        <x:v>190232800</x:v>
      </x:c>
      <x:c r="K44" s="32" t="n">
        <x:f>SUM('02_属性来源'!P616:P632)</x:f>
        <x:v>10001200</x:v>
      </x:c>
      <x:c r="L44" s="32" t="n">
        <x:f>SUM('02_属性来源'!Q616:Q632)</x:f>
        <x:v>582</x:v>
      </x:c>
      <x:c r="M44" s="32" t="n">
        <x:f>SUM('02_属性来源'!R616:R632)</x:f>
        <x:v>1094</x:v>
      </x:c>
      <x:c r="N44" s="32" t="n">
        <x:f>SUM('02_属性来源'!S616:S632)</x:f>
        <x:v>471</x:v>
      </x:c>
      <x:c r="O44" s="32" t="n">
        <x:f>SUM('02_属性来源'!T616:T632)</x:f>
        <x:v>882</x:v>
      </x:c>
      <x:c r="P44" s="32" t="n">
        <x:f>SUM('02_属性来源'!U616:U632)</x:f>
        <x:v>1366</x:v>
      </x:c>
      <x:c r="Q44" s="32" t="n">
        <x:f>SUM('02_属性来源'!V616:V632)</x:f>
        <x:v>825</x:v>
      </x:c>
      <x:c r="R44" s="32" t="n">
        <x:f>SUM('02_属性来源'!W616:W632)</x:f>
        <x:v>825</x:v>
      </x:c>
      <x:c r="S44" s="32" t="n">
        <x:f>SUM('02_属性来源'!X616:X632)</x:f>
        <x:v>3.4300000000000006</x:v>
      </x:c>
      <x:c r="T44" s="32" t="n">
        <x:f>SUM('02_属性来源'!Y616:Y632)</x:f>
        <x:v>18</x:v>
      </x:c>
      <x:c r="U44" s="32" t="n">
        <x:f>SUM('02_属性来源'!Z616:Z632)</x:f>
        <x:v>248</x:v>
      </x:c>
      <x:c r="V44" s="32" t="n">
        <x:f>SUM('02_属性来源'!AA616:AA632)</x:f>
        <x:v>70</x:v>
      </x:c>
      <x:c r="W44" s="32" t="n">
        <x:f>SUM('02_属性来源'!AB616:AB632)</x:f>
        <x:v>52</x:v>
      </x:c>
      <x:c r="X44" s="32" t="n">
        <x:f>SUM('02_属性来源'!AC616:AC632)</x:f>
        <x:v>375</x:v>
      </x:c>
      <x:c r="Y44" s="32" t="n">
        <x:f>SUM('02_属性来源'!AD616:AD632)</x:f>
        <x:v>4</x:v>
      </x:c>
      <x:c r="Z44" s="32" t="n">
        <x:f>SUM('02_属性来源'!AE616:AE632)</x:f>
        <x:v>125</x:v>
      </x:c>
      <x:c r="AA44" s="32" t="n">
        <x:f>SUM('02_属性来源'!AF616:AF632)</x:f>
        <x:v>0</x:v>
      </x:c>
      <x:c r="AB44" s="32" t="n">
        <x:f>SUM('02_属性来源'!AG616:AG632)</x:f>
        <x:v>0</x:v>
      </x:c>
      <x:c r="AC44" s="32" t="n">
        <x:f>SUM('02_属性来源'!AH616:AH632)</x:f>
        <x:v>59</x:v>
      </x:c>
      <x:c r="AD44" s="32" t="n">
        <x:f>SUM('02_属性来源'!AI616:AI632)</x:f>
        <x:v>8</x:v>
      </x:c>
      <x:c r="AE44" s="32" t="n">
        <x:f>SUM('02_属性来源'!AJ616:AJ632)</x:f>
        <x:v>164</x:v>
      </x:c>
      <x:c r="AF44" s="32" t="n">
        <x:f>SUM('02_属性来源'!AK616:AK632)</x:f>
        <x:v>7</x:v>
      </x:c>
      <x:c r="AG44" s="32" t="n">
        <x:f>SUM('02_属性来源'!AL616:AL632)</x:f>
        <x:v>8</x:v>
      </x:c>
      <x:c r="AH44" s="32" t="n">
        <x:f>SUM('02_属性来源'!AM616:AM632)</x:f>
        <x:v>47</x:v>
      </x:c>
      <x:c r="AI44" s="32" t="n">
        <x:f>SUM('02_属性来源'!AN616:AN632)</x:f>
        <x:v>76</x:v>
      </x:c>
      <x:c r="AJ44" s="32" t="n">
        <x:f>SUM('02_属性来源'!AO616:AO632)</x:f>
        <x:v>2.8</x:v>
      </x:c>
      <x:c r="AK44" s="32" t="n">
        <x:f>SUM('02_属性来源'!AP616:AP632)</x:f>
        <x:v>2095</x:v>
      </x:c>
      <x:c r="AL44" s="32" t="n">
        <x:f>SUM('02_属性来源'!AQ616:AQ632)</x:f>
        <x:v>87</x:v>
      </x:c>
      <x:c r="AM44" s="32" t="n">
        <x:f>SUM('02_属性来源'!AR616:AR632)</x:f>
        <x:v>4</x:v>
      </x:c>
      <x:c r="AN44" s="32" t="n">
        <x:f>SUM('02_属性来源'!AS616:AS632)</x:f>
        <x:v>11</x:v>
      </x:c>
      <x:c r="AO44" s="32" t="n">
        <x:f>SUM('02_属性来源'!AT616:AT632)</x:f>
        <x:v>7350</x:v>
      </x:c>
      <x:c r="AP44" s="32" t="n">
        <x:f>SUM('02_属性来源'!AU616:AU632)</x:f>
        <x:v>24</x:v>
      </x:c>
      <x:c r="AQ44" s="32" t="n">
        <x:f>SUM('02_属性来源'!AV616:AV632)</x:f>
        <x:v>6</x:v>
      </x:c>
      <x:c r="AR44" s="32" t="n">
        <x:f>SUM('02_属性来源'!AW616:AW632)</x:f>
        <x:v>30</x:v>
      </x:c>
      <x:c r="AS44" s="32" t="n">
        <x:f>SUM('02_属性来源'!AX616:AX632)</x:f>
        <x:v>10</x:v>
      </x:c>
      <x:c r="AT44" s="32" t="n">
        <x:f>SUM('02_属性来源'!AY616:AY632)</x:f>
        <x:v>2</x:v>
      </x:c>
      <x:c r="AU44" s="32" t="n">
        <x:f>SUM('02_属性来源'!AZ616:AZ632)</x:f>
        <x:v>15</x:v>
      </x:c>
      <x:c r="AV44" s="32" t="n">
        <x:f>SUM('02_属性来源'!BA616:BA632)</x:f>
        <x:v>50</x:v>
      </x:c>
    </x:row>
  </x:sheetData>
  <x:mergeCells>
    <x:mergeCell ref="A1:AV1"/>
    <x:mergeCell ref="A2:AV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</x:cols>
  <x:sheetData>
    <x:row r="1" ht="29" customHeight="1">
      <x:c r="A1" s="4" t="str">
        <x:v>最终面板与理论输出｜不含怪物防御、回血或处决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</x:row>
    <x:row r="2" ht="43" customHeight="1">
      <x:c r="A2" s="11" t="str">
        <x:v>常规DPS已含一次命中和有效时间折损；群攻仅按一个目标。回血列是木桩理论上限，不是实际杀怪续航承诺。爆率主换算与小单位对照同时保留。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面板攻击下限</x:v>
      </x:c>
      <x:c r="E4" s="19" t="str">
        <x:v>面板攻击上限</x:v>
      </x:c>
      <x:c r="F4" s="19" t="str">
        <x:v>面板魔法下限</x:v>
      </x:c>
      <x:c r="G4" s="19" t="str">
        <x:v>面板魔法上限</x:v>
      </x:c>
      <x:c r="H4" s="19" t="str">
        <x:v>面板道术下限</x:v>
      </x:c>
      <x:c r="I4" s="19" t="str">
        <x:v>面板道术上限</x:v>
      </x:c>
      <x:c r="J4" s="19" t="str">
        <x:v>HP</x:v>
      </x:c>
      <x:c r="K4" s="19" t="str">
        <x:v>MP</x:v>
      </x:c>
      <x:c r="L4" s="19" t="str">
        <x:v>期望攻击取值</x:v>
      </x:c>
      <x:c r="M4" s="19" t="str">
        <x:v>有效幸运</x:v>
      </x:c>
      <x:c r="N4" s="19" t="str">
        <x:v>幸运额外伤害系数</x:v>
      </x:c>
      <x:c r="O4" s="19" t="str">
        <x:v>有效攻速点</x:v>
      </x:c>
      <x:c r="P4" s="19" t="str">
        <x:v>刀每秒</x:v>
      </x:c>
      <x:c r="Q4" s="19" t="str">
        <x:v>普通单刀</x:v>
      </x:c>
      <x:c r="R4" s="19" t="str">
        <x:v>暴致命期望单刀</x:v>
      </x:c>
      <x:c r="S4" s="19" t="str">
        <x:v>普攻站桩DPS</x:v>
      </x:c>
      <x:c r="T4" s="19" t="str">
        <x:v>技能系数</x:v>
      </x:c>
      <x:c r="U4" s="19" t="str">
        <x:v>技能站桩DPS</x:v>
      </x:c>
      <x:c r="V4" s="19" t="str">
        <x:v>群攻单目标DPS</x:v>
      </x:c>
      <x:c r="W4" s="19" t="str">
        <x:v>有效常规DPS</x:v>
      </x:c>
      <x:c r="X4" s="19" t="str">
        <x:v>有效吸收</x:v>
      </x:c>
      <x:c r="Y4" s="19" t="str">
        <x:v>等效HP不计防御</x:v>
      </x:c>
      <x:c r="Z4" s="19" t="str">
        <x:v>吸血理论上限每秒</x:v>
      </x:c>
      <x:c r="AA4" s="19" t="str">
        <x:v>含固定回复上限每秒</x:v>
      </x:c>
      <x:c r="AB4" s="19" t="str">
        <x:v>有效爆率_主换算</x:v>
      </x:c>
      <x:c r="AC4" s="19" t="str">
        <x:v>有效爆率_小单位对照</x:v>
      </x:c>
      <x:c r="AD4" s="19" t="str">
        <x:v>鞭尸期望倍数</x:v>
      </x:c>
      <x:c r="AE4" s="19" t="str">
        <x:v>货币回收倍率</x:v>
      </x:c>
      <x:c r="AF4" s="19" t="str">
        <x:v>处决总概率百分点</x:v>
      </x:c>
      <x:c r="AG4" s="19" t="str">
        <x:v>首刀</x:v>
      </x:c>
      <x:c r="AH4" s="19" t="str">
        <x:v>尾刀</x:v>
      </x:c>
      <x:c r="AI4" s="19" t="str">
        <x:v>暴击期望乘区</x:v>
      </x:c>
      <x:c r="AJ4" s="19" t="str">
        <x:v>致命期望乘区</x:v>
      </x:c>
      <x:c r="AK4" s="19" t="str">
        <x:v>群攻间隔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34" t="n">
        <x:f>'01_属性汇总'!D5*(1+'01_属性汇总'!P5/100)</x:f>
        <x:v>356</x:v>
      </x:c>
      <x:c r="E5" s="34" t="n">
        <x:f>'01_属性汇总'!E5*(1+'01_属性汇总'!P5/100)</x:f>
        <x:v>362</x:v>
      </x:c>
      <x:c r="F5" s="34" t="n">
        <x:f>'01_属性汇总'!F5*(1+'01_属性汇总'!Q5/100)</x:f>
        <x:v>349</x:v>
      </x:c>
      <x:c r="G5" s="34" t="n">
        <x:f>'01_属性汇总'!G5*(1+'01_属性汇总'!Q5/100)</x:f>
        <x:v>349</x:v>
      </x:c>
      <x:c r="H5" s="34" t="n">
        <x:f>'01_属性汇总'!H5*(1+'01_属性汇总'!R5/100)</x:f>
        <x:v>349</x:v>
      </x:c>
      <x:c r="I5" s="34" t="n">
        <x:f>'01_属性汇总'!I5*(1+'01_属性汇总'!R5/100)</x:f>
        <x:v>349</x:v>
      </x:c>
      <x:c r="J5" s="34" t="n">
        <x:f>'01_属性汇总'!J5*(1+'01_属性汇总'!AU5/100)</x:f>
        <x:v>21000</x:v>
      </x:c>
      <x:c r="K5" s="34" t="n">
        <x:f>'01_属性汇总'!K5</x:f>
        <x:v>10200</x:v>
      </x:c>
      <x:c r="L5" s="34" t="n">
        <x:f>D5+(E5-D5)*IF(M5&gt;='13_参数与假设'!$B$25,1,0.5+0.5*MAX(0,M5)/'13_参数与假设'!$B$25)</x:f>
        <x:v>359</x:v>
      </x:c>
      <x:c r="M5" s="34" t="n">
        <x:f>'01_属性汇总'!AF5+'01_属性汇总'!AG5</x:f>
        <x:v>0</x:v>
      </x:c>
      <x:c r="N5" s="34" t="n">
        <x:f>IF(M5&gt;='13_参数与假设'!$B$26,'13_参数与假设'!$B$27,0)</x:f>
        <x:v>0</x:v>
      </x:c>
      <x:c r="O5" s="34" t="n">
        <x:f>MIN('13_参数与假设'!$B$16,MAX(0,MIN('01_属性汇总'!AC5,'13_参数与假设'!$B$14+MIN('13_参数与假设'!$B$15,'01_属性汇总'!AD5))))</x:f>
        <x:v>2</x:v>
      </x:c>
      <x:c r="P5" s="34" t="n">
        <x:f>IF(O5=0,'13_参数与假设'!$B$19,IF(O5=10,'13_参数与假设'!$B$20,IF(O5=20,'13_参数与假设'!$B$21,IF(O5=30,'13_参数与假设'!$B$22,IF(O5=40,'13_参数与假设'!$B$23,IF(O5=50,'13_参数与假设'!$B$24,IF(O5&lt;=40,1000/('13_参数与假设'!$B$17-'13_参数与假设'!$B$18*O5),1/(1/'13_参数与假设'!$B$23+(O5-40)/10*(1/'13_参数与假设'!$B$24-1/'13_参数与假设'!$B$23)))))))))</x:f>
        <x:v>1.8264158854464942</x:v>
      </x:c>
      <x:c r="Q5" s="34" t="n">
        <x:f>L5*(1+'01_属性汇总'!T5/100+N5/100)*(1+'01_属性汇总'!U5/100)*(1+'01_属性汇总'!S5)*(1+'01_属性汇总'!V5*'13_参数与假设'!$B$7)</x:f>
        <x:v>406.74700000000007</x:v>
      </x:c>
      <x:c r="R5" s="34" t="n">
        <x:f>Q5*AI5*AJ5</x:f>
        <x:v>488.0964000000001</x:v>
      </x:c>
      <x:c r="S5" s="34" t="n">
        <x:f>(R5+'01_属性汇总'!AA5)*P5*'13_参数与假设'!$B$5</x:f>
        <x:v>9522.36912353063</x:v>
      </x:c>
      <x:c r="T5" s="34" t="n">
        <x:v>1</x:v>
      </x:c>
      <x:c r="U5" s="34" t="n">
        <x:f>(R5*T5+'01_属性汇总'!AA5)*P5*'13_参数与假设'!$B$5</x:f>
        <x:v>9522.36912353063</x:v>
      </x:c>
      <x:c r="V5" s="34" t="n">
        <x:f>IF(AK5&gt;0,L5*'13_参数与假设'!$B$5/MAX(0.0001,AK5),0)</x:f>
        <x:v>0</x:v>
      </x:c>
      <x:c r="W5" s="34" t="n">
        <x:f>(U5+V5)*'13_参数与假设'!$B$6</x:f>
        <x:v>7617.895298824505</x:v>
      </x:c>
      <x:c r="X5" s="36" t="n">
        <x:f>MAX(0,MIN('13_参数与假设'!$B$13,'01_属性汇总'!AL5/100,'13_参数与假设'!$B$12+'01_属性汇总'!AM5/100))</x:f>
        <x:v>0</x:v>
      </x:c>
      <x:c r="Y5" s="34" t="n">
        <x:f>J5/(1-X5)</x:f>
        <x:v>21000</x:v>
      </x:c>
      <x:c r="Z5" s="34" t="n">
        <x:f>R5*T5*P5*'13_参数与假设'!$B$5*'13_参数与假设'!$B$6*MAX(0,'01_属性汇总'!AN5/100)</x:f>
        <x:v>0</x:v>
      </x:c>
      <x:c r="AA5" s="34" t="n">
        <x:f>Z5+'01_属性汇总'!AB5</x:f>
        <x:v>2000</x:v>
      </x:c>
      <x:c r="AB5" s="38" t="n">
        <x:f>(1+'01_属性汇总'!AO5/100+'01_属性汇总'!AQ5*'13_参数与假设'!$B$8)*(1+'01_属性汇总'!AP5/100)</x:f>
        <x:v>11.5</x:v>
      </x:c>
      <x:c r="AC5" s="38" t="n">
        <x:f>(1+'01_属性汇总'!AO5/100+'01_属性汇总'!AQ5*'13_参数与假设'!$B$9)*(1+'01_属性汇总'!AP5/100)</x:f>
        <x:v>11.5</x:v>
      </x:c>
      <x:c r="AD5" s="38" t="n">
        <x:f>1+MIN(1,MAX(0,'01_属性汇总'!AR5/100))</x:f>
        <x:v>1</x:v>
      </x:c>
      <x:c r="AE5" s="38" t="n">
        <x:f>'13_参数与假设'!$B$33</x:f>
        <x:v>1.5</x:v>
      </x:c>
      <x:c r="AF5" s="34" t="n">
        <x:f>'01_属性汇总'!AH5+IF(M5&gt;='13_参数与假设'!$B$26,'13_参数与假设'!$B$28,0)</x:f>
        <x:v>10</x:v>
      </x:c>
      <x:c r="AG5" s="34" t="n">
        <x:f>'01_属性汇总'!AS5</x:f>
        <x:v>0</x:v>
      </x:c>
      <x:c r="AH5" s="34" t="n">
        <x:f>'01_属性汇总'!AT5</x:f>
        <x:v>0</x:v>
      </x:c>
      <x:c r="AI5" s="34" t="n">
        <x:f>1+MIN(1,MAX(0,'01_属性汇总'!W5/100))*('13_参数与假设'!$B$10+'01_属性汇总'!X5/100-1)</x:f>
        <x:v>1.2</x:v>
      </x:c>
      <x:c r="AJ5" s="34" t="n">
        <x:f>1+MIN(1,MAX(0,'01_属性汇总'!Y5/100))*('13_参数与假设'!$B$11+'01_属性汇总'!Z5/100-1)</x:f>
        <x:v>1</x:v>
      </x:c>
      <x:c r="AK5" s="34" t="n">
        <x:v>0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34" t="n">
        <x:f>'01_属性汇总'!D6*(1+'01_属性汇总'!P6/100)</x:f>
        <x:v>953.9999999999999</x:v>
      </x:c>
      <x:c r="E6" s="34" t="n">
        <x:f>'01_属性汇总'!E6*(1+'01_属性汇总'!P6/100)</x:f>
        <x:v>1336.395</x:v>
      </x:c>
      <x:c r="F6" s="34" t="n">
        <x:f>'01_属性汇总'!F6*(1+'01_属性汇总'!Q6/100)</x:f>
        <x:v>941.28</x:v>
      </x:c>
      <x:c r="G6" s="34" t="n">
        <x:f>'01_属性汇总'!G6*(1+'01_属性汇总'!Q6/100)</x:f>
        <x:v>1311.7499999999998</x:v>
      </x:c>
      <x:c r="H6" s="34" t="n">
        <x:f>'01_属性汇总'!H6*(1+'01_属性汇总'!R6/100)</x:f>
        <x:v>941.28</x:v>
      </x:c>
      <x:c r="I6" s="34" t="n">
        <x:f>'01_属性汇总'!I6*(1+'01_属性汇总'!R6/100)</x:f>
        <x:v>1311.7499999999998</x:v>
      </x:c>
      <x:c r="J6" s="34" t="n">
        <x:f>'01_属性汇总'!J6*(1+'01_属性汇总'!AU6/100)</x:f>
        <x:v>109747.53</x:v>
      </x:c>
      <x:c r="K6" s="34" t="n">
        <x:f>'01_属性汇总'!K6</x:f>
        <x:v>10250</x:v>
      </x:c>
      <x:c r="L6" s="34" t="n">
        <x:f>D6+(E6-D6)*IF(M6&gt;='13_参数与假设'!$B$25,1,0.5+0.5*MAX(0,M6)/'13_参数与假设'!$B$25)</x:f>
        <x:v>1256.729375</x:v>
      </x:c>
      <x:c r="M6" s="34" t="n">
        <x:f>'01_属性汇总'!AF6+'01_属性汇总'!AG6</x:f>
        <x:v>7</x:v>
      </x:c>
      <x:c r="N6" s="34" t="n">
        <x:f>IF(M6&gt;='13_参数与假设'!$B$26,'13_参数与假设'!$B$27,0)</x:f>
        <x:v>0</x:v>
      </x:c>
      <x:c r="O6" s="34" t="n">
        <x:f>MIN('13_参数与假设'!$B$16,MAX(0,MIN('01_属性汇总'!AC6,'13_参数与假设'!$B$14+MIN('13_参数与假设'!$B$15,'01_属性汇总'!AD6))))</x:f>
        <x:v>8</x:v>
      </x:c>
      <x:c r="P6" s="34" t="n">
        <x:f>IF(O6=0,'13_参数与假设'!$B$19,IF(O6=10,'13_参数与假设'!$B$20,IF(O6=20,'13_参数与假设'!$B$21,IF(O6=30,'13_参数与假设'!$B$22,IF(O6=40,'13_参数与假设'!$B$23,IF(O6=50,'13_参数与假设'!$B$24,IF(O6&lt;=40,1000/('13_参数与假设'!$B$17-'13_参数与假设'!$B$18*O6),1/(1/'13_参数与假设'!$B$23+(O6-40)/10*(1/'13_参数与假设'!$B$24-1/'13_参数与假设'!$B$23)))))))))</x:f>
        <x:v>2.0844302386910663</x:v>
      </x:c>
      <x:c r="Q6" s="34" t="n">
        <x:f>L6*(1+'01_属性汇总'!T6/100+N6/100)*(1+'01_属性汇总'!U6/100)*(1+'01_属性汇总'!S6)*(1+'01_属性汇总'!V6*'13_参数与假设'!$B$7)</x:f>
        <x:v>1823.2504099562498</x:v>
      </x:c>
      <x:c r="R6" s="34" t="n">
        <x:f>Q6*AI6*AJ6</x:f>
        <x:v>2235.305002606362</x:v>
      </x:c>
      <x:c r="S6" s="34" t="n">
        <x:f>(R6+'01_属性汇总'!AA6)*P6*'13_参数与假设'!$B$5</x:f>
        <x:v>16367.02909546538</x:v>
      </x:c>
      <x:c r="T6" s="34" t="n">
        <x:v>1.08</x:v>
      </x:c>
      <x:c r="U6" s="34" t="n">
        <x:f>(R6*T6+'01_属性汇总'!AA6)*P6*'13_参数与假设'!$B$5</x:f>
        <x:v>16721.138733315267</x:v>
      </x:c>
      <x:c r="V6" s="34" t="n">
        <x:f>IF(AK6&gt;0,L6*'13_参数与假设'!$B$5/MAX(0.0001,AK6),0)</x:f>
        <x:v>0</x:v>
      </x:c>
      <x:c r="W6" s="34" t="n">
        <x:f>(U6+V6)*'13_参数与假设'!$B$6</x:f>
        <x:v>13376.910986652214</x:v>
      </x:c>
      <x:c r="X6" s="36" t="n">
        <x:f>MAX(0,MIN('13_参数与假设'!$B$13,'01_属性汇总'!AL6/100,'13_参数与假设'!$B$12+'01_属性汇总'!AM6/100))</x:f>
        <x:v>0.29</x:v>
      </x:c>
      <x:c r="Y6" s="34" t="n">
        <x:f>J6/(1-X6)</x:f>
        <x:v>154573.98591549296</x:v>
      </x:c>
      <x:c r="Z6" s="34" t="n">
        <x:f>R6*T6*P6*'13_参数与假设'!$B$5*'13_参数与假设'!$B$6*MAX(0,'01_属性汇总'!AN6/100)</x:f>
        <x:v>76.48768177557595</x:v>
      </x:c>
      <x:c r="AA6" s="34" t="n">
        <x:f>Z6+'01_属性汇总'!AB6</x:f>
        <x:v>2076.4876817755758</x:v>
      </x:c>
      <x:c r="AB6" s="38" t="n">
        <x:f>(1+'01_属性汇总'!AO6/100+'01_属性汇总'!AQ6*'13_参数与假设'!$B$8)*(1+'01_属性汇总'!AP6/100)</x:f>
        <x:v>11.5</x:v>
      </x:c>
      <x:c r="AC6" s="38" t="n">
        <x:f>(1+'01_属性汇总'!AO6/100+'01_属性汇总'!AQ6*'13_参数与假设'!$B$9)*(1+'01_属性汇总'!AP6/100)</x:f>
        <x:v>11.5</x:v>
      </x:c>
      <x:c r="AD6" s="38" t="n">
        <x:f>1+MIN(1,MAX(0,'01_属性汇总'!AR6/100))</x:f>
        <x:v>1</x:v>
      </x:c>
      <x:c r="AE6" s="38" t="n">
        <x:f>'13_参数与假设'!$B$33</x:f>
        <x:v>1.5</x:v>
      </x:c>
      <x:c r="AF6" s="34" t="n">
        <x:f>'01_属性汇总'!AH6+IF(M6&gt;='13_参数与假设'!$B$26,'13_参数与假设'!$B$28,0)</x:f>
        <x:v>10</x:v>
      </x:c>
      <x:c r="AG6" s="34" t="n">
        <x:f>'01_属性汇总'!AS6</x:f>
        <x:v>0</x:v>
      </x:c>
      <x:c r="AH6" s="34" t="n">
        <x:f>'01_属性汇总'!AT6</x:f>
        <x:v>0</x:v>
      </x:c>
      <x:c r="AI6" s="34" t="n">
        <x:f>1+MIN(1,MAX(0,'01_属性汇总'!W6/100))*('13_参数与假设'!$B$10+'01_属性汇总'!X6/100-1)</x:f>
        <x:v>1.226</x:v>
      </x:c>
      <x:c r="AJ6" s="34" t="n">
        <x:f>1+MIN(1,MAX(0,'01_属性汇总'!Y6/100))*('13_参数与假设'!$B$11+'01_属性汇总'!Z6/100-1)</x:f>
        <x:v>1</x:v>
      </x:c>
      <x:c r="AK6" s="34" t="n">
        <x:v>0</x:v>
      </x:c>
    </x:row>
    <x:row r="7">
      <x:c r="A7" s="25" t="str">
        <x:v>C01-G</x:v>
      </x:c>
      <x:c r="B7" s="25" t="str">
        <x:v>漂流群岛</x:v>
      </x:c>
      <x:c r="C7" s="25" t="str">
        <x:v>半急速毕业</x:v>
      </x:c>
      <x:c r="D7" s="34" t="n">
        <x:f>'01_属性汇总'!D7*(1+'01_属性汇总'!P7/100)</x:f>
        <x:v>1795.59</x:v>
      </x:c>
      <x:c r="E7" s="34" t="n">
        <x:f>'01_属性汇总'!E7*(1+'01_属性汇总'!P7/100)</x:f>
        <x:v>2624.16</x:v>
      </x:c>
      <x:c r="F7" s="34" t="n">
        <x:f>'01_属性汇总'!F7*(1+'01_属性汇总'!Q7/100)</x:f>
        <x:v>1776.4199999999998</x:v>
      </x:c>
      <x:c r="G7" s="34" t="n">
        <x:f>'01_属性汇总'!G7*(1+'01_属性汇总'!Q7/100)</x:f>
        <x:v>2585.8199999999997</x:v>
      </x:c>
      <x:c r="H7" s="34" t="n">
        <x:f>'01_属性汇总'!H7*(1+'01_属性汇总'!R7/100)</x:f>
        <x:v>1776.4199999999998</x:v>
      </x:c>
      <x:c r="I7" s="34" t="n">
        <x:f>'01_属性汇总'!I7*(1+'01_属性汇总'!R7/100)</x:f>
        <x:v>2585.8199999999997</x:v>
      </x:c>
      <x:c r="J7" s="34" t="n">
        <x:f>'01_属性汇总'!J7*(1+'01_属性汇总'!AU7/100)</x:f>
        <x:v>336733.2</x:v>
      </x:c>
      <x:c r="K7" s="34" t="n">
        <x:f>'01_属性汇总'!K7</x:f>
        <x:v>10300</x:v>
      </x:c>
      <x:c r="L7" s="34" t="n">
        <x:f>D7+(E7-D7)*IF(M7&gt;='13_参数与假设'!$B$25,1,0.5+0.5*MAX(0,M7)/'13_参数与假设'!$B$25)</x:f>
        <x:v>2451.5412499999998</x:v>
      </x:c>
      <x:c r="M7" s="34" t="n">
        <x:f>'01_属性汇总'!AF7+'01_属性汇总'!AG7</x:f>
        <x:v>7</x:v>
      </x:c>
      <x:c r="N7" s="34" t="n">
        <x:f>IF(M7&gt;='13_参数与假设'!$B$26,'13_参数与假设'!$B$27,0)</x:f>
        <x:v>0</x:v>
      </x:c>
      <x:c r="O7" s="34" t="n">
        <x:f>MIN('13_参数与假设'!$B$16,MAX(0,MIN('01_属性汇总'!AC7,'13_参数与假设'!$B$14+MIN('13_参数与假设'!$B$15,'01_属性汇总'!AD7))))</x:f>
        <x:v>10</x:v>
      </x:c>
      <x:c r="P7" s="34" t="n">
        <x:f>IF(O7=0,'13_参数与假设'!$B$19,IF(O7=10,'13_参数与假设'!$B$20,IF(O7=20,'13_参数与假设'!$B$21,IF(O7=30,'13_参数与假设'!$B$22,IF(O7=40,'13_参数与假设'!$B$23,IF(O7=50,'13_参数与假设'!$B$24,IF(O7&lt;=40,1000/('13_参数与假设'!$B$17-'13_参数与假设'!$B$18*O7),1/(1/'13_参数与假设'!$B$23+(O7-40)/10*(1/'13_参数与假设'!$B$24-1/'13_参数与假设'!$B$23)))))))))</x:f>
        <x:v>2.2</x:v>
      </x:c>
      <x:c r="Q7" s="34" t="n">
        <x:f>L7*(1+'01_属性汇总'!T7/100+N7/100)*(1+'01_属性汇总'!U7/100)*(1+'01_属性汇总'!S7)*(1+'01_属性汇总'!V7*'13_参数与假设'!$B$7)</x:f>
        <x:v>4493.225743738874</x:v>
      </x:c>
      <x:c r="R7" s="34" t="n">
        <x:f>Q7*AI7*AJ7</x:f>
        <x:v>5742.342500498282</x:v>
      </x:c>
      <x:c r="S7" s="34" t="n">
        <x:f>(R7+'01_属性汇总'!AA7)*P7*'13_参数与假设'!$B$5</x:f>
        <x:v>22451.49582604141</x:v>
      </x:c>
      <x:c r="T7" s="34" t="n">
        <x:v>1.16</x:v>
      </x:c>
      <x:c r="U7" s="34" t="n">
        <x:f>(R7*T7+'01_属性汇总'!AA7)*P7*'13_参数与假设'!$B$5</x:f>
        <x:v>24371.735158208037</x:v>
      </x:c>
      <x:c r="V7" s="34" t="n">
        <x:f>IF(AK7&gt;0,L7*'13_参数与假设'!$B$5/MAX(0.0001,AK7),0)</x:f>
        <x:v>0</x:v>
      </x:c>
      <x:c r="W7" s="34" t="n">
        <x:f>(U7+V7)*'13_参数与假设'!$B$6</x:f>
        <x:v>19497.38812656643</x:v>
      </x:c>
      <x:c r="X7" s="36" t="n">
        <x:f>MAX(0,MIN('13_参数与假设'!$B$13,'01_属性汇总'!AL7/100,'13_参数与假设'!$B$12+'01_属性汇总'!AM7/100))</x:f>
        <x:v>0.57</x:v>
      </x:c>
      <x:c r="Y7" s="34" t="n">
        <x:f>J7/(1-X7)</x:f>
        <x:v>783100.465116279</x:v>
      </x:c>
      <x:c r="Z7" s="34" t="n">
        <x:f>R7*T7*P7*'13_参数与假设'!$B$5*'13_参数与假设'!$B$6*MAX(0,'01_属性汇总'!AN7/100)</x:f>
        <x:v>890.9910501253144</x:v>
      </x:c>
      <x:c r="AA7" s="34" t="n">
        <x:f>Z7+'01_属性汇总'!AB7</x:f>
        <x:v>2890.9910501253144</x:v>
      </x:c>
      <x:c r="AB7" s="38" t="n">
        <x:f>(1+'01_属性汇总'!AO7/100+'01_属性汇总'!AQ7*'13_参数与假设'!$B$8)*(1+'01_属性汇总'!AP7/100)</x:f>
        <x:v>11.5</x:v>
      </x:c>
      <x:c r="AC7" s="38" t="n">
        <x:f>(1+'01_属性汇总'!AO7/100+'01_属性汇总'!AQ7*'13_参数与假设'!$B$9)*(1+'01_属性汇总'!AP7/100)</x:f>
        <x:v>11.5</x:v>
      </x:c>
      <x:c r="AD7" s="38" t="n">
        <x:f>1+MIN(1,MAX(0,'01_属性汇总'!AR7/100))</x:f>
        <x:v>1</x:v>
      </x:c>
      <x:c r="AE7" s="38" t="n">
        <x:f>'13_参数与假设'!$B$33</x:f>
        <x:v>1.5</x:v>
      </x:c>
      <x:c r="AF7" s="34" t="n">
        <x:f>'01_属性汇总'!AH7+IF(M7&gt;='13_参数与假设'!$B$26,'13_参数与假设'!$B$28,0)</x:f>
        <x:v>11.5</x:v>
      </x:c>
      <x:c r="AG7" s="34" t="n">
        <x:f>'01_属性汇总'!AS7</x:f>
        <x:v>0</x:v>
      </x:c>
      <x:c r="AH7" s="34" t="n">
        <x:f>'01_属性汇总'!AT7</x:f>
        <x:v>0</x:v>
      </x:c>
      <x:c r="AI7" s="34" t="n">
        <x:f>1+MIN(1,MAX(0,'01_属性汇总'!W7/100))*('13_参数与假设'!$B$10+'01_属性汇总'!X7/100-1)</x:f>
        <x:v>1.278</x:v>
      </x:c>
      <x:c r="AJ7" s="34" t="n">
        <x:f>1+MIN(1,MAX(0,'01_属性汇总'!Y7/100))*('13_参数与假设'!$B$11+'01_属性汇总'!Z7/100-1)</x:f>
        <x:v>1</x:v>
      </x:c>
      <x:c r="AK7" s="34" t="n">
        <x:v>0</x:v>
      </x:c>
    </x:row>
    <x:row r="8">
      <x:c r="A8" s="25" t="str">
        <x:v>C01-X</x:v>
      </x:c>
      <x:c r="B8" s="25" t="str">
        <x:v>漂流群岛</x:v>
      </x:c>
      <x:c r="C8" s="25" t="str">
        <x:v>极端压力</x:v>
      </x:c>
      <x:c r="D8" s="34" t="n">
        <x:f>'01_属性汇总'!D8*(1+'01_属性汇总'!P8/100)</x:f>
        <x:v>4128.88</x:v>
      </x:c>
      <x:c r="E8" s="34" t="n">
        <x:f>'01_属性汇总'!E8*(1+'01_属性汇总'!P8/100)</x:f>
        <x:v>6485.32</x:v>
      </x:c>
      <x:c r="F8" s="34" t="n">
        <x:f>'01_属性汇总'!F8*(1+'01_属性汇总'!Q8/100)</x:f>
        <x:v>4102.599999999999</x:v>
      </x:c>
      <x:c r="G8" s="34" t="n">
        <x:f>'01_属性汇总'!G8*(1+'01_属性汇总'!Q8/100)</x:f>
        <x:v>6432.76</x:v>
      </x:c>
      <x:c r="H8" s="34" t="n">
        <x:f>'01_属性汇总'!H8*(1+'01_属性汇总'!R8/100)</x:f>
        <x:v>4102.599999999999</x:v>
      </x:c>
      <x:c r="I8" s="34" t="n">
        <x:f>'01_属性汇总'!I8*(1+'01_属性汇总'!R8/100)</x:f>
        <x:v>6432.76</x:v>
      </x:c>
      <x:c r="J8" s="34" t="n">
        <x:f>'01_属性汇总'!J8*(1+'01_属性汇总'!AU8/100)</x:f>
        <x:v>505179.99999999994</x:v>
      </x:c>
      <x:c r="K8" s="34" t="n">
        <x:f>'01_属性汇总'!K8</x:f>
        <x:v>10300</x:v>
      </x:c>
      <x:c r="L8" s="34" t="n">
        <x:f>D8+(E8-D8)*IF(M8&gt;='13_参数与假设'!$B$25,1,0.5+0.5*MAX(0,M8)/'13_参数与假设'!$B$25)</x:f>
        <x:v>5994.395</x:v>
      </x:c>
      <x:c r="M8" s="34" t="n">
        <x:f>'01_属性汇总'!AF8+'01_属性汇总'!AG8</x:f>
        <x:v>7</x:v>
      </x:c>
      <x:c r="N8" s="34" t="n">
        <x:f>IF(M8&gt;='13_参数与假设'!$B$26,'13_参数与假设'!$B$27,0)</x:f>
        <x:v>0</x:v>
      </x:c>
      <x:c r="O8" s="34" t="n">
        <x:f>MIN('13_参数与假设'!$B$16,MAX(0,MIN('01_属性汇总'!AC8,'13_参数与假设'!$B$14+MIN('13_参数与假设'!$B$15,'01_属性汇总'!AD8))))</x:f>
        <x:v>12</x:v>
      </x:c>
      <x:c r="P8" s="34" t="n">
        <x:f>IF(O8=0,'13_参数与假设'!$B$19,IF(O8=10,'13_参数与假设'!$B$20,IF(O8=20,'13_参数与假设'!$B$21,IF(O8=30,'13_参数与假设'!$B$22,IF(O8=40,'13_参数与假设'!$B$23,IF(O8=50,'13_参数与假设'!$B$24,IF(O8&lt;=40,1000/('13_参数与假设'!$B$17-'13_参数与假设'!$B$18*O8),1/(1/'13_参数与假设'!$B$23+(O8-40)/10*(1/'13_参数与假设'!$B$24-1/'13_参数与假设'!$B$23)))))))))</x:f>
        <x:v>2.3011496400930627</x:v>
      </x:c>
      <x:c r="Q8" s="34" t="n">
        <x:f>L8*(1+'01_属性汇总'!T8/100+N8/100)*(1+'01_属性汇总'!U8/100)*(1+'01_属性汇总'!S8)*(1+'01_属性汇总'!V8*'13_参数与假设'!$B$7)</x:f>
        <x:v>15658.827167896003</x:v>
      </x:c>
      <x:c r="R8" s="34" t="n">
        <x:f>Q8*AI8*AJ8</x:f>
        <x:v>21610.747374413277</x:v>
      </x:c>
      <x:c r="S8" s="34" t="n">
        <x:f>(R8+'01_属性汇总'!AA8)*P8*'13_参数与假设'!$B$5</x:f>
        <x:v>58173.5461560766</x:v>
      </x:c>
      <x:c r="T8" s="34" t="n">
        <x:v>1.6</x:v>
      </x:c>
      <x:c r="U8" s="34" t="n">
        <x:f>(R8*T8+'01_属性汇总'!AA8)*P8*'13_参数与假设'!$B$5</x:f>
        <x:v>86519.39737545732</x:v>
      </x:c>
      <x:c r="V8" s="34" t="n">
        <x:f>IF(AK8&gt;0,L8*'13_参数与假设'!$B$5/MAX(0.0001,AK8),0)</x:f>
        <x:v>0</x:v>
      </x:c>
      <x:c r="W8" s="34" t="n">
        <x:f>(U8+V8)*'13_参数与假设'!$B$6</x:f>
        <x:v>69215.51790036586</x:v>
      </x:c>
      <x:c r="X8" s="36" t="n">
        <x:f>MAX(0,MIN('13_参数与假设'!$B$13,'01_属性汇总'!AL8/100,'13_参数与假设'!$B$12+'01_属性汇总'!AM8/100))</x:f>
        <x:v>0.6</x:v>
      </x:c>
      <x:c r="Y8" s="34" t="n">
        <x:f>J8/(1-X8)</x:f>
        <x:v>1262949.9999999998</x:v>
      </x:c>
      <x:c r="Z8" s="34" t="n">
        <x:f>R8*T8*P8*'13_参数与假设'!$B$5*'13_参数与假设'!$B$6*MAX(0,'01_属性汇总'!AN8/100)</x:f>
        <x:v>9070.672390201835</x:v>
      </x:c>
      <x:c r="AA8" s="34" t="n">
        <x:f>Z8+'01_属性汇总'!AB8</x:f>
        <x:v>11070.672390201835</x:v>
      </x:c>
      <x:c r="AB8" s="38" t="n">
        <x:f>(1+'01_属性汇总'!AO8/100+'01_属性汇总'!AQ8*'13_参数与假设'!$B$8)*(1+'01_属性汇总'!AP8/100)</x:f>
        <x:v>11.5</x:v>
      </x:c>
      <x:c r="AC8" s="38" t="n">
        <x:f>(1+'01_属性汇总'!AO8/100+'01_属性汇总'!AQ8*'13_参数与假设'!$B$9)*(1+'01_属性汇总'!AP8/100)</x:f>
        <x:v>11.5</x:v>
      </x:c>
      <x:c r="AD8" s="38" t="n">
        <x:f>1+MIN(1,MAX(0,'01_属性汇总'!AR8/100))</x:f>
        <x:v>1</x:v>
      </x:c>
      <x:c r="AE8" s="38" t="n">
        <x:f>'13_参数与假设'!$B$33</x:f>
        <x:v>1.5</x:v>
      </x:c>
      <x:c r="AF8" s="34" t="n">
        <x:f>'01_属性汇总'!AH8+IF(M8&gt;='13_参数与假设'!$B$26,'13_参数与假设'!$B$28,0)</x:f>
        <x:v>12.5</x:v>
      </x:c>
      <x:c r="AG8" s="34" t="n">
        <x:f>'01_属性汇总'!AS8</x:f>
        <x:v>0</x:v>
      </x:c>
      <x:c r="AH8" s="34" t="n">
        <x:f>'01_属性汇总'!AT8</x:f>
        <x:v>0</x:v>
      </x:c>
      <x:c r="AI8" s="34" t="n">
        <x:f>1+MIN(1,MAX(0,'01_属性汇总'!W8/100))*('13_参数与假设'!$B$10+'01_属性汇总'!X8/100-1)</x:f>
        <x:v>1.3801</x:v>
      </x:c>
      <x:c r="AJ8" s="34" t="n">
        <x:f>1+MIN(1,MAX(0,'01_属性汇总'!Y8/100))*('13_参数与假设'!$B$11+'01_属性汇总'!Z8/100-1)</x:f>
        <x:v>1</x:v>
      </x:c>
      <x:c r="AK8" s="34" t="n">
        <x:v>0</x:v>
      </x:c>
    </x:row>
    <x:row r="9">
      <x:c r="A9" s="25" t="str">
        <x:v>C02-E</x:v>
      </x:c>
      <x:c r="B9" s="25" t="str">
        <x:v>宁姆格福</x:v>
      </x:c>
      <x:c r="C9" s="25" t="str">
        <x:v>半急速入场</x:v>
      </x:c>
      <x:c r="D9" s="34" t="n">
        <x:f>'01_属性汇总'!D9*(1+'01_属性汇总'!P9/100)</x:f>
        <x:v>4351.59</x:v>
      </x:c>
      <x:c r="E9" s="34" t="n">
        <x:f>'01_属性汇总'!E9*(1+'01_属性汇总'!P9/100)</x:f>
        <x:v>5180.16</x:v>
      </x:c>
      <x:c r="F9" s="34" t="n">
        <x:f>'01_属性汇总'!F9*(1+'01_属性汇总'!Q9/100)</x:f>
        <x:v>4332.42</x:v>
      </x:c>
      <x:c r="G9" s="34" t="n">
        <x:f>'01_属性汇总'!G9*(1+'01_属性汇总'!Q9/100)</x:f>
        <x:v>5141.82</x:v>
      </x:c>
      <x:c r="H9" s="34" t="n">
        <x:f>'01_属性汇总'!H9*(1+'01_属性汇总'!R9/100)</x:f>
        <x:v>4332.42</x:v>
      </x:c>
      <x:c r="I9" s="34" t="n">
        <x:f>'01_属性汇总'!I9*(1+'01_属性汇总'!R9/100)</x:f>
        <x:v>5141.82</x:v>
      </x:c>
      <x:c r="J9" s="34" t="n">
        <x:f>'01_属性汇总'!J9*(1+'01_属性汇总'!AU9/100)</x:f>
        <x:v>359533.2</x:v>
      </x:c>
      <x:c r="K9" s="34" t="n">
        <x:f>'01_属性汇总'!K9</x:f>
        <x:v>30300</x:v>
      </x:c>
      <x:c r="L9" s="34" t="n">
        <x:f>D9+(E9-D9)*IF(M9&gt;='13_参数与假设'!$B$25,1,0.5+0.5*MAX(0,M9)/'13_参数与假设'!$B$25)</x:f>
        <x:v>5007.54125</x:v>
      </x:c>
      <x:c r="M9" s="34" t="n">
        <x:f>'01_属性汇总'!AF9+'01_属性汇总'!AG9</x:f>
        <x:v>7</x:v>
      </x:c>
      <x:c r="N9" s="34" t="n">
        <x:f>IF(M9&gt;='13_参数与假设'!$B$26,'13_参数与假设'!$B$27,0)</x:f>
        <x:v>0</x:v>
      </x:c>
      <x:c r="O9" s="34" t="n">
        <x:f>MIN('13_参数与假设'!$B$16,MAX(0,MIN('01_属性汇总'!AC9,'13_参数与假设'!$B$14+MIN('13_参数与假设'!$B$15,'01_属性汇总'!AD9))))</x:f>
        <x:v>10</x:v>
      </x:c>
      <x:c r="P9" s="34" t="n">
        <x:f>IF(O9=0,'13_参数与假设'!$B$19,IF(O9=10,'13_参数与假设'!$B$20,IF(O9=20,'13_参数与假设'!$B$21,IF(O9=30,'13_参数与假设'!$B$22,IF(O9=40,'13_参数与假设'!$B$23,IF(O9=50,'13_参数与假设'!$B$24,IF(O9&lt;=40,1000/('13_参数与假设'!$B$17-'13_参数与假设'!$B$18*O9),1/(1/'13_参数与假设'!$B$23+(O9-40)/10*(1/'13_参数与假设'!$B$24-1/'13_参数与假设'!$B$23)))))))))</x:f>
        <x:v>2.2</x:v>
      </x:c>
      <x:c r="Q9" s="34" t="n">
        <x:f>L9*(1+'01_属性汇总'!T9/100+N9/100)*(1+'01_属性汇总'!U9/100)*(1+'01_属性汇总'!S9)*(1+'01_属性汇总'!V9*'13_参数与假设'!$B$7)</x:f>
        <x:v>9177.905228938875</x:v>
      </x:c>
      <x:c r="R9" s="34" t="n">
        <x:f>Q9*AI9*AJ9</x:f>
        <x:v>11729.362882583882</x:v>
      </x:c>
      <x:c r="S9" s="34" t="n">
        <x:f>(R9+'01_属性汇总'!AA9)*P9*'13_参数与假设'!$B$5</x:f>
        <x:v>24514.368424600318</x:v>
      </x:c>
      <x:c r="T9" s="34" t="n">
        <x:v>1.16</x:v>
      </x:c>
      <x:c r="U9" s="34" t="n">
        <x:f>(R9*T9+'01_属性汇总'!AA9)*P9*'13_参数与假设'!$B$5</x:f>
        <x:v>28436.66737253636</x:v>
      </x:c>
      <x:c r="V9" s="34" t="n">
        <x:f>IF(AK9&gt;0,L9*'13_参数与假设'!$B$5/MAX(0.0001,AK9),0)</x:f>
        <x:v>0</x:v>
      </x:c>
      <x:c r="W9" s="34" t="n">
        <x:f>(U9+V9)*'13_参数与假设'!$B$6</x:f>
        <x:v>22749.33389802909</x:v>
      </x:c>
      <x:c r="X9" s="36" t="n">
        <x:f>MAX(0,MIN('13_参数与假设'!$B$13,'01_属性汇总'!AL9/100,'13_参数与假设'!$B$12+'01_属性汇总'!AM9/100))</x:f>
        <x:v>0.57</x:v>
      </x:c>
      <x:c r="Y9" s="34" t="n">
        <x:f>J9/(1-X9)</x:f>
        <x:v>836123.7209302324</x:v>
      </x:c>
      <x:c r="Z9" s="34" t="n">
        <x:f>R9*T9*P9*'13_参数与假设'!$B$5*'13_参数与假设'!$B$6*MAX(0,'01_属性汇总'!AN9/100)</x:f>
        <x:v>1819.9467118423272</x:v>
      </x:c>
      <x:c r="AA9" s="34" t="n">
        <x:f>Z9+'01_属性汇总'!AB9</x:f>
        <x:v>1819.9467118423272</x:v>
      </x:c>
      <x:c r="AB9" s="38" t="n">
        <x:f>(1+'01_属性汇总'!AO9/100+'01_属性汇总'!AQ9*'13_参数与假设'!$B$8)*(1+'01_属性汇总'!AP9/100)</x:f>
        <x:v>18.134999999999998</x:v>
      </x:c>
      <x:c r="AC9" s="38" t="n">
        <x:f>(1+'01_属性汇总'!AO9/100+'01_属性汇总'!AQ9*'13_参数与假设'!$B$9)*(1+'01_属性汇总'!AP9/100)</x:f>
        <x:v>14.660099999999998</x:v>
      </x:c>
      <x:c r="AD9" s="38" t="n">
        <x:f>1+MIN(1,MAX(0,'01_属性汇总'!AR9/100))</x:f>
        <x:v>1.1</x:v>
      </x:c>
      <x:c r="AE9" s="38" t="n">
        <x:f>'13_参数与假设'!$B$33</x:f>
        <x:v>1.5</x:v>
      </x:c>
      <x:c r="AF9" s="34" t="n">
        <x:f>'01_属性汇总'!AH9+IF(M9&gt;='13_参数与假设'!$B$26,'13_参数与假设'!$B$28,0)</x:f>
        <x:v>11.5</x:v>
      </x:c>
      <x:c r="AG9" s="34" t="n">
        <x:f>'01_属性汇总'!AS9</x:f>
        <x:v>10</x:v>
      </x:c>
      <x:c r="AH9" s="34" t="n">
        <x:f>'01_属性汇总'!AT9</x:f>
        <x:v>0</x:v>
      </x:c>
      <x:c r="AI9" s="34" t="n">
        <x:f>1+MIN(1,MAX(0,'01_属性汇总'!W9/100))*('13_参数与假设'!$B$10+'01_属性汇总'!X9/100-1)</x:f>
        <x:v>1.278</x:v>
      </x:c>
      <x:c r="AJ9" s="34" t="n">
        <x:f>1+MIN(1,MAX(0,'01_属性汇总'!Y9/100))*('13_参数与假设'!$B$11+'01_属性汇总'!Z9/100-1)</x:f>
        <x:v>1</x:v>
      </x:c>
      <x:c r="AK9" s="34" t="n">
        <x:v>0</x:v>
      </x:c>
    </x:row>
    <x:row r="10">
      <x:c r="A10" s="25" t="str">
        <x:v>C02-M</x:v>
      </x:c>
      <x:c r="B10" s="25" t="str">
        <x:v>宁姆格福</x:v>
      </x:c>
      <x:c r="C10" s="25" t="str">
        <x:v>半急速中期</x:v>
      </x:c>
      <x:c r="D10" s="34" t="n">
        <x:f>'01_属性汇总'!D10*(1+'01_属性汇总'!P10/100)</x:f>
        <x:v>17568.280000000002</x:v>
      </x:c>
      <x:c r="E10" s="34" t="n">
        <x:f>'01_属性汇总'!E10*(1+'01_属性汇总'!P10/100)</x:f>
        <x:v>22704.57</x:v>
      </x:c>
      <x:c r="F10" s="34" t="n">
        <x:f>'01_属性汇总'!F10*(1+'01_属性汇总'!Q10/100)</x:f>
        <x:v>10519.47</x:v>
      </x:c>
      <x:c r="G10" s="34" t="n">
        <x:f>'01_属性汇总'!G10*(1+'01_属性汇总'!Q10/100)</x:f>
        <x:v>13559.13</x:v>
      </x:c>
      <x:c r="H10" s="34" t="n">
        <x:f>'01_属性汇总'!H10*(1+'01_属性汇总'!R10/100)</x:f>
        <x:v>10687.949999999999</x:v>
      </x:c>
      <x:c r="I10" s="34" t="n">
        <x:f>'01_属性汇总'!I10*(1+'01_属性汇总'!R10/100)</x:f>
        <x:v>13727.609999999999</x:v>
      </x:c>
      <x:c r="J10" s="34" t="n">
        <x:f>'01_属性汇总'!J10*(1+'01_属性汇总'!AU10/100)</x:f>
        <x:v>766655.6</x:v>
      </x:c>
      <x:c r="K10" s="34" t="n">
        <x:f>'01_属性汇总'!K10</x:f>
        <x:v>30350</x:v>
      </x:c>
      <x:c r="L10" s="34" t="n">
        <x:f>D10+(E10-D10)*IF(M10&gt;='13_参数与假设'!$B$25,1,0.5+0.5*MAX(0,M10)/'13_参数与假设'!$B$25)</x:f>
        <x:v>22276.545833333334</x:v>
      </x:c>
      <x:c r="M10" s="34" t="n">
        <x:f>'01_属性汇总'!AF10+'01_属性汇总'!AG10</x:f>
        <x:v>10</x:v>
      </x:c>
      <x:c r="N10" s="34" t="n">
        <x:f>IF(M10&gt;='13_参数与假设'!$B$26,'13_参数与假设'!$B$27,0)</x:f>
        <x:v>0</x:v>
      </x:c>
      <x:c r="O10" s="34" t="n">
        <x:f>MIN('13_参数与假设'!$B$16,MAX(0,MIN('01_属性汇总'!AC10,'13_参数与假设'!$B$14+MIN('13_参数与假设'!$B$15,'01_属性汇总'!AD10))))</x:f>
        <x:v>15</x:v>
      </x:c>
      <x:c r="P10" s="34" t="n">
        <x:f>IF(O10=0,'13_参数与假设'!$B$19,IF(O10=10,'13_参数与假设'!$B$20,IF(O10=20,'13_参数与假设'!$B$21,IF(O10=30,'13_参数与假设'!$B$22,IF(O10=40,'13_参数与假设'!$B$23,IF(O10=50,'13_参数与假设'!$B$24,IF(O10&lt;=40,1000/('13_参数与假设'!$B$17-'13_参数与假设'!$B$18*O10),1/(1/'13_参数与假设'!$B$23+(O10-40)/10*(1/'13_参数与假设'!$B$24-1/'13_参数与假设'!$B$23)))))))))</x:f>
        <x:v>2.495764157874204</x:v>
      </x:c>
      <x:c r="Q10" s="34" t="n">
        <x:f>L10*(1+'01_属性汇总'!T10/100+N10/100)*(1+'01_属性汇总'!U10/100)*(1+'01_属性汇总'!S10)*(1+'01_属性汇总'!V10*'13_参数与假设'!$B$7)</x:f>
        <x:v>67106.32110986832</x:v>
      </x:c>
      <x:c r="R10" s="34" t="n">
        <x:f>Q10*AI10*AJ10</x:f>
        <x:v>97730.6933862834</x:v>
      </x:c>
      <x:c r="S10" s="34" t="n">
        <x:f>(R10+'01_属性汇总'!AA10)*P10*'13_参数与假设'!$B$5</x:f>
        <x:v>231717.1235937956</x:v>
      </x:c>
      <x:c r="T10" s="34" t="n">
        <x:v>1.25</x:v>
      </x:c>
      <x:c r="U10" s="34" t="n">
        <x:f>(R10*T10+'01_属性汇总'!AA10)*P10*'13_参数与假设'!$B$5</x:f>
        <x:v>289646.40449224453</x:v>
      </x:c>
      <x:c r="V10" s="34" t="n">
        <x:f>IF(AK10&gt;0,L10*'13_参数与假设'!$B$5/MAX(0.0001,AK10),0)</x:f>
        <x:v>0</x:v>
      </x:c>
      <x:c r="W10" s="34" t="n">
        <x:f>(U10+V10)*'13_参数与假设'!$B$6</x:f>
        <x:v>231717.12359379564</x:v>
      </x:c>
      <x:c r="X10" s="36" t="n">
        <x:f>MAX(0,MIN('13_参数与假设'!$B$13,'01_属性汇总'!AL10/100,'13_参数与假设'!$B$12+'01_属性汇总'!AM10/100))</x:f>
        <x:v>0.6</x:v>
      </x:c>
      <x:c r="Y10" s="34" t="n">
        <x:f>J10/(1-X10)</x:f>
        <x:v>1916638.9999999998</x:v>
      </x:c>
      <x:c r="Z10" s="34" t="n">
        <x:f>R10*T10*P10*'13_参数与假设'!$B$5*'13_参数与假设'!$B$6*MAX(0,'01_属性汇总'!AN10/100)</x:f>
        <x:v>25488.88359531752</x:v>
      </x:c>
      <x:c r="AA10" s="34" t="n">
        <x:f>Z10+'01_属性汇总'!AB10</x:f>
        <x:v>25488.88359531752</x:v>
      </x:c>
      <x:c r="AB10" s="38" t="n">
        <x:f>(1+'01_属性汇总'!AO10/100+'01_属性汇总'!AQ10*'13_参数与假设'!$B$8)*(1+'01_属性汇总'!AP10/100)</x:f>
        <x:v>18.445</x:v>
      </x:c>
      <x:c r="AC10" s="38" t="n">
        <x:f>(1+'01_属性汇总'!AO10/100+'01_属性汇总'!AQ10*'13_参数与假设'!$B$9)*(1+'01_属性汇总'!AP10/100)</x:f>
        <x:v>14.910699999999999</x:v>
      </x:c>
      <x:c r="AD10" s="38" t="n">
        <x:f>1+MIN(1,MAX(0,'01_属性汇总'!AR10/100))</x:f>
        <x:v>1.1</x:v>
      </x:c>
      <x:c r="AE10" s="38" t="n">
        <x:f>'13_参数与假设'!$B$33</x:f>
        <x:v>1.5</x:v>
      </x:c>
      <x:c r="AF10" s="34" t="n">
        <x:f>'01_属性汇总'!AH10+IF(M10&gt;='13_参数与假设'!$B$26,'13_参数与假设'!$B$28,0)</x:f>
        <x:v>17.5</x:v>
      </x:c>
      <x:c r="AG10" s="34" t="n">
        <x:f>'01_属性汇总'!AS10</x:f>
        <x:v>10</x:v>
      </x:c>
      <x:c r="AH10" s="34" t="n">
        <x:f>'01_属性汇总'!AT10</x:f>
        <x:v>0</x:v>
      </x:c>
      <x:c r="AI10" s="34" t="n">
        <x:f>1+MIN(1,MAX(0,'01_属性汇总'!W10/100))*('13_参数与假设'!$B$10+'01_属性汇总'!X10/100-1)</x:f>
        <x:v>1.4278</x:v>
      </x:c>
      <x:c r="AJ10" s="34" t="n">
        <x:f>1+MIN(1,MAX(0,'01_属性汇总'!Y10/100))*('13_参数与假设'!$B$11+'01_属性汇总'!Z10/100-1)</x:f>
        <x:v>1.02</x:v>
      </x:c>
      <x:c r="AK10" s="34" t="n">
        <x:v>0</x:v>
      </x:c>
    </x:row>
    <x:row r="11">
      <x:c r="A11" s="25" t="str">
        <x:v>C02-G</x:v>
      </x:c>
      <x:c r="B11" s="25" t="str">
        <x:v>宁姆格福</x:v>
      </x:c>
      <x:c r="C11" s="25" t="str">
        <x:v>半急速毕业</x:v>
      </x:c>
      <x:c r="D11" s="34" t="n">
        <x:f>'01_属性汇总'!D11*(1+'01_属性汇总'!P11/100)</x:f>
        <x:v>35819.549999999996</x:v>
      </x:c>
      <x:c r="E11" s="34" t="n">
        <x:f>'01_属性汇总'!E11*(1+'01_属性汇总'!P11/100)</x:f>
        <x:v>46142.299999999996</x:v>
      </x:c>
      <x:c r="F11" s="34" t="n">
        <x:f>'01_属性汇总'!F11*(1+'01_属性汇总'!Q11/100)</x:f>
        <x:v>19571.710000000003</x:v>
      </x:c>
      <x:c r="G11" s="34" t="n">
        <x:f>'01_属性汇总'!G11*(1+'01_属性汇总'!Q11/100)</x:f>
        <x:v>25187.640000000003</x:v>
      </x:c>
      <x:c r="H11" s="34" t="n">
        <x:f>'01_属性汇总'!H11*(1+'01_属性汇总'!R11/100)</x:f>
        <x:v>19282.940000000002</x:v>
      </x:c>
      <x:c r="I11" s="34" t="n">
        <x:f>'01_属性汇总'!I11*(1+'01_属性汇总'!R11/100)</x:f>
        <x:v>24898.870000000003</x:v>
      </x:c>
      <x:c r="J11" s="34" t="n">
        <x:f>'01_属性汇总'!J11*(1+'01_属性汇总'!AU11/100)</x:f>
        <x:v>1333711.16</x:v>
      </x:c>
      <x:c r="K11" s="34" t="n">
        <x:f>'01_属性汇总'!K11</x:f>
        <x:v>30400</x:v>
      </x:c>
      <x:c r="L11" s="34" t="n">
        <x:f>D11+(E11-D11)*IF(M11&gt;='13_参数与假设'!$B$25,1,0.5+0.5*MAX(0,M11)/'13_参数与假设'!$B$25)</x:f>
        <x:v>46142.299999999996</x:v>
      </x:c>
      <x:c r="M11" s="34" t="n">
        <x:f>'01_属性汇总'!AF11+'01_属性汇总'!AG11</x:f>
        <x:v>15</x:v>
      </x:c>
      <x:c r="N11" s="34" t="n">
        <x:f>IF(M11&gt;='13_参数与假设'!$B$26,'13_参数与假设'!$B$27,0)</x:f>
        <x:v>15</x:v>
      </x:c>
      <x:c r="O11" s="34" t="n">
        <x:f>MIN('13_参数与假设'!$B$16,MAX(0,MIN('01_属性汇总'!AC11,'13_参数与假设'!$B$14+MIN('13_参数与假设'!$B$15,'01_属性汇总'!AD11))))</x:f>
        <x:v>15</x:v>
      </x:c>
      <x:c r="P11" s="34" t="n">
        <x:f>IF(O11=0,'13_参数与假设'!$B$19,IF(O11=10,'13_参数与假设'!$B$20,IF(O11=20,'13_参数与假设'!$B$21,IF(O11=30,'13_参数与假设'!$B$22,IF(O11=40,'13_参数与假设'!$B$23,IF(O11=50,'13_参数与假设'!$B$24,IF(O11&lt;=40,1000/('13_参数与假设'!$B$17-'13_参数与假设'!$B$18*O11),1/(1/'13_参数与假设'!$B$23+(O11-40)/10*(1/'13_参数与假设'!$B$24-1/'13_参数与假设'!$B$23)))))))))</x:f>
        <x:v>2.495764157874204</x:v>
      </x:c>
      <x:c r="Q11" s="34" t="n">
        <x:f>L11*(1+'01_属性汇总'!T11/100+N11/100)*(1+'01_属性汇总'!U11/100)*(1+'01_属性汇总'!S11)*(1+'01_属性汇总'!V11*'13_参数与假设'!$B$7)</x:f>
        <x:v>175874.28341489995</x:v>
      </x:c>
      <x:c r="R11" s="34" t="n">
        <x:f>Q11*AI11*AJ11</x:f>
        <x:v>265069.2779973333</x:v>
      </x:c>
      <x:c r="S11" s="34" t="n">
        <x:f>(R11+'01_属性汇总'!AA11)*P11*'13_参数与假设'!$B$5</x:f>
        <x:v>628472.8832103709</x:v>
      </x:c>
      <x:c r="T11" s="34" t="n">
        <x:v>1.35</x:v>
      </x:c>
      <x:c r="U11" s="34" t="n">
        <x:f>(R11*T11+'01_属性汇总'!AA11)*P11*'13_参数与假设'!$B$5</x:f>
        <x:v>848438.3923340008</x:v>
      </x:c>
      <x:c r="V11" s="34" t="n">
        <x:f>IF(AK11&gt;0,L11*'13_参数与假设'!$B$5/MAX(0.0001,AK11),0)</x:f>
        <x:v>21917.592499999995</x:v>
      </x:c>
      <x:c r="W11" s="34" t="n">
        <x:f>(U11+V11)*'13_参数与假设'!$B$6</x:f>
        <x:v>696284.7878672007</x:v>
      </x:c>
      <x:c r="X11" s="36" t="n">
        <x:f>MAX(0,MIN('13_参数与假设'!$B$13,'01_属性汇总'!AL11/100,'13_参数与假设'!$B$12+'01_属性汇总'!AM11/100))</x:f>
        <x:v>0.6</x:v>
      </x:c>
      <x:c r="Y11" s="34" t="n">
        <x:f>J11/(1-X11)</x:f>
        <x:v>3334277.8999999994</x:v>
      </x:c>
      <x:c r="Z11" s="34" t="n">
        <x:f>R11*T11*P11*'13_参数与假设'!$B$5*'13_参数与假设'!$B$6*MAX(0,'01_属性汇总'!AN11/100)</x:f>
        <x:v>54300.05710937605</x:v>
      </x:c>
      <x:c r="AA11" s="34" t="n">
        <x:f>Z11+'01_属性汇总'!AB11</x:f>
        <x:v>54300.05710937605</x:v>
      </x:c>
      <x:c r="AB11" s="38" t="n">
        <x:f>(1+'01_属性汇总'!AO11/100+'01_属性汇总'!AQ11*'13_参数与假设'!$B$8)*(1+'01_属性汇总'!AP11/100)</x:f>
        <x:v>18.134999999999998</x:v>
      </x:c>
      <x:c r="AC11" s="38" t="n">
        <x:f>(1+'01_属性汇总'!AO11/100+'01_属性汇总'!AQ11*'13_参数与假设'!$B$9)*(1+'01_属性汇总'!AP11/100)</x:f>
        <x:v>14.660099999999998</x:v>
      </x:c>
      <x:c r="AD11" s="38" t="n">
        <x:f>1+MIN(1,MAX(0,'01_属性汇总'!AR11/100))</x:f>
        <x:v>1.1</x:v>
      </x:c>
      <x:c r="AE11" s="38" t="n">
        <x:f>'13_参数与假设'!$B$33</x:f>
        <x:v>1.5</x:v>
      </x:c>
      <x:c r="AF11" s="34" t="n">
        <x:f>'01_属性汇总'!AH11+IF(M11&gt;='13_参数与假设'!$B$26,'13_参数与假设'!$B$28,0)</x:f>
        <x:v>18.5</x:v>
      </x:c>
      <x:c r="AG11" s="34" t="n">
        <x:f>'01_属性汇总'!AS11</x:f>
        <x:v>10</x:v>
      </x:c>
      <x:c r="AH11" s="34" t="n">
        <x:f>'01_属性汇总'!AT11</x:f>
        <x:v>0</x:v>
      </x:c>
      <x:c r="AI11" s="34" t="n">
        <x:f>1+MIN(1,MAX(0,'01_属性汇总'!W11/100))*('13_参数与假设'!$B$10+'01_属性汇总'!X11/100-1)</x:f>
        <x:v>1.4776</x:v>
      </x:c>
      <x:c r="AJ11" s="34" t="n">
        <x:f>1+MIN(1,MAX(0,'01_属性汇总'!Y11/100))*('13_参数与假设'!$B$11+'01_属性汇总'!Z11/100-1)</x:f>
        <x:v>1.02</x:v>
      </x:c>
      <x:c r="AK11" s="34" t="n">
        <x:v>2</x:v>
      </x:c>
    </x:row>
    <x:row r="12">
      <x:c r="A12" s="25" t="str">
        <x:v>C02-X</x:v>
      </x:c>
      <x:c r="B12" s="25" t="str">
        <x:v>宁姆格福</x:v>
      </x:c>
      <x:c r="C12" s="25" t="str">
        <x:v>极端压力</x:v>
      </x:c>
      <x:c r="D12" s="34" t="n">
        <x:f>'01_属性汇总'!D12*(1+'01_属性汇总'!P12/100)</x:f>
        <x:v>59140.84</x:v>
      </x:c>
      <x:c r="E12" s="34" t="n">
        <x:f>'01_属性汇总'!E12*(1+'01_属性汇总'!P12/100)</x:f>
        <x:v>77891.56</x:v>
      </x:c>
      <x:c r="F12" s="34" t="n">
        <x:f>'01_属性汇总'!F12*(1+'01_属性汇总'!Q12/100)</x:f>
        <x:v>33597.48</x:v>
      </x:c>
      <x:c r="G12" s="34" t="n">
        <x:f>'01_属性汇总'!G12*(1+'01_属性汇总'!Q12/100)</x:f>
        <x:v>45266.76</x:v>
      </x:c>
      <x:c r="H12" s="34" t="n">
        <x:f>'01_属性汇总'!H12*(1+'01_属性汇总'!R12/100)</x:f>
        <x:v>33449.36</x:v>
      </x:c>
      <x:c r="I12" s="34" t="n">
        <x:f>'01_属性汇总'!I12*(1+'01_属性汇总'!R12/100)</x:f>
        <x:v>45118.64</x:v>
      </x:c>
      <x:c r="J12" s="34" t="n">
        <x:f>'01_属性汇总'!J12*(1+'01_属性汇总'!AU12/100)</x:f>
        <x:v>2796143</x:v>
      </x:c>
      <x:c r="K12" s="34" t="n">
        <x:f>'01_属性汇总'!K12</x:f>
        <x:v>30400</x:v>
      </x:c>
      <x:c r="L12" s="34" t="n">
        <x:f>D12+(E12-D12)*IF(M12&gt;='13_参数与假设'!$B$25,1,0.5+0.5*MAX(0,M12)/'13_参数与假设'!$B$25)</x:f>
        <x:v>77891.56</x:v>
      </x:c>
      <x:c r="M12" s="34" t="n">
        <x:f>'01_属性汇总'!AF12+'01_属性汇总'!AG12</x:f>
        <x:v>15</x:v>
      </x:c>
      <x:c r="N12" s="34" t="n">
        <x:f>IF(M12&gt;='13_参数与假设'!$B$26,'13_参数与假设'!$B$27,0)</x:f>
        <x:v>15</x:v>
      </x:c>
      <x:c r="O12" s="34" t="n">
        <x:f>MIN('13_参数与假设'!$B$16,MAX(0,MIN('01_属性汇总'!AC12,'13_参数与假设'!$B$14+MIN('13_参数与假设'!$B$15,'01_属性汇总'!AD12))))</x:f>
        <x:v>15</x:v>
      </x:c>
      <x:c r="P12" s="34" t="n">
        <x:f>IF(O12=0,'13_参数与假设'!$B$19,IF(O12=10,'13_参数与假设'!$B$20,IF(O12=20,'13_参数与假设'!$B$21,IF(O12=30,'13_参数与假设'!$B$22,IF(O12=40,'13_参数与假设'!$B$23,IF(O12=50,'13_参数与假设'!$B$24,IF(O12&lt;=40,1000/('13_参数与假设'!$B$17-'13_参数与假设'!$B$18*O12),1/(1/'13_参数与假设'!$B$23+(O12-40)/10*(1/'13_参数与假设'!$B$24-1/'13_参数与假设'!$B$23)))))))))</x:f>
        <x:v>2.495764157874204</x:v>
      </x:c>
      <x:c r="Q12" s="34" t="n">
        <x:f>L12*(1+'01_属性汇总'!T12/100+N12/100)*(1+'01_属性汇总'!U12/100)*(1+'01_属性汇总'!S12)*(1+'01_属性汇总'!V12*'13_参数与假设'!$B$7)</x:f>
        <x:v>416938.42218000954</x:v>
      </x:c>
      <x:c r="R12" s="34" t="n">
        <x:f>Q12*AI12*AJ12</x:f>
        <x:v>678825.7839197172</x:v>
      </x:c>
      <x:c r="S12" s="34" t="n">
        <x:f>(R12+'01_属性汇总'!AA12)*P12*'13_参数与假设'!$B$5</x:f>
        <x:v>1609479.6079003047</x:v>
      </x:c>
      <x:c r="T12" s="34" t="n">
        <x:v>1.6</x:v>
      </x:c>
      <x:c r="U12" s="34" t="n">
        <x:f>(R12*T12+'01_属性汇总'!AA12)*P12*'13_参数与假设'!$B$5</x:f>
        <x:v>2575167.3726404877</x:v>
      </x:c>
      <x:c r="V12" s="34" t="n">
        <x:f>IF(AK12&gt;0,L12*'13_参数与假设'!$B$5/MAX(0.0001,AK12),0)</x:f>
        <x:v>0</x:v>
      </x:c>
      <x:c r="W12" s="34" t="n">
        <x:f>(U12+V12)*'13_参数与假设'!$B$6</x:f>
        <x:v>2060133.8981123902</x:v>
      </x:c>
      <x:c r="X12" s="36" t="n">
        <x:f>MAX(0,MIN('13_参数与假设'!$B$13,'01_属性汇总'!AL12/100,'13_参数与假设'!$B$12+'01_属性汇总'!AM12/100))</x:f>
        <x:v>0.62</x:v>
      </x:c>
      <x:c r="Y12" s="34" t="n">
        <x:f>J12/(1-X12)</x:f>
        <x:v>7358271.052631578</x:v>
      </x:c>
      <x:c r="Z12" s="34" t="n">
        <x:f>R12*T12*P12*'13_参数与假设'!$B$5*'13_参数与假设'!$B$6*MAX(0,'01_属性汇总'!AN12/100)</x:f>
        <x:v>309020.0847168585</x:v>
      </x:c>
      <x:c r="AA12" s="34" t="n">
        <x:f>Z12+'01_属性汇总'!AB12</x:f>
        <x:v>309020.0847168585</x:v>
      </x:c>
      <x:c r="AB12" s="38" t="n">
        <x:f>(1+'01_属性汇总'!AO12/100+'01_属性汇总'!AQ12*'13_参数与假设'!$B$8)*(1+'01_属性汇总'!AP12/100)</x:f>
        <x:v>18.91</x:v>
      </x:c>
      <x:c r="AC12" s="38" t="n">
        <x:f>(1+'01_属性汇总'!AO12/100+'01_属性汇总'!AQ12*'13_参数与假设'!$B$9)*(1+'01_属性汇总'!AP12/100)</x:f>
        <x:v>15.286599999999998</x:v>
      </x:c>
      <x:c r="AD12" s="38" t="n">
        <x:f>1+MIN(1,MAX(0,'01_属性汇总'!AR12/100))</x:f>
        <x:v>1.1</x:v>
      </x:c>
      <x:c r="AE12" s="38" t="n">
        <x:f>'13_参数与假设'!$B$33</x:f>
        <x:v>1.5</x:v>
      </x:c>
      <x:c r="AF12" s="34" t="n">
        <x:f>'01_属性汇总'!AH12+IF(M12&gt;='13_参数与假设'!$B$26,'13_参数与假设'!$B$28,0)</x:f>
        <x:v>27</x:v>
      </x:c>
      <x:c r="AG12" s="34" t="n">
        <x:f>'01_属性汇总'!AS12</x:f>
        <x:v>10</x:v>
      </x:c>
      <x:c r="AH12" s="34" t="n">
        <x:f>'01_属性汇总'!AT12</x:f>
        <x:v>0</x:v>
      </x:c>
      <x:c r="AI12" s="34" t="n">
        <x:f>1+MIN(1,MAX(0,'01_属性汇总'!W12/100))*('13_参数与假设'!$B$10+'01_属性汇总'!X12/100-1)</x:f>
        <x:v>1.612</x:v>
      </x:c>
      <x:c r="AJ12" s="34" t="n">
        <x:f>1+MIN(1,MAX(0,'01_属性汇总'!Y12/100))*('13_参数与假设'!$B$11+'01_属性汇总'!Z12/100-1)</x:f>
        <x:v>1.01</x:v>
      </x:c>
      <x:c r="AK12" s="34" t="n">
        <x:v>0</x:v>
      </x:c>
    </x:row>
    <x:row r="13">
      <x:c r="A13" s="25" t="str">
        <x:v>C03-E</x:v>
      </x:c>
      <x:c r="B13" s="25" t="str">
        <x:v>宁姆格福西域</x:v>
      </x:c>
      <x:c r="C13" s="25" t="str">
        <x:v>半急速入场</x:v>
      </x:c>
      <x:c r="D13" s="34" t="n">
        <x:f>'01_属性汇总'!D13*(1+'01_属性汇总'!P13/100)</x:f>
        <x:v>35819.549999999996</x:v>
      </x:c>
      <x:c r="E13" s="34" t="n">
        <x:f>'01_属性汇总'!E13*(1+'01_属性汇总'!P13/100)</x:f>
        <x:v>46142.299999999996</x:v>
      </x:c>
      <x:c r="F13" s="34" t="n">
        <x:f>'01_属性汇总'!F13*(1+'01_属性汇总'!Q13/100)</x:f>
        <x:v>19571.710000000003</x:v>
      </x:c>
      <x:c r="G13" s="34" t="n">
        <x:f>'01_属性汇总'!G13*(1+'01_属性汇总'!Q13/100)</x:f>
        <x:v>25187.640000000003</x:v>
      </x:c>
      <x:c r="H13" s="34" t="n">
        <x:f>'01_属性汇总'!H13*(1+'01_属性汇总'!R13/100)</x:f>
        <x:v>19282.940000000002</x:v>
      </x:c>
      <x:c r="I13" s="34" t="n">
        <x:f>'01_属性汇总'!I13*(1+'01_属性汇总'!R13/100)</x:f>
        <x:v>24898.870000000003</x:v>
      </x:c>
      <x:c r="J13" s="34" t="n">
        <x:f>'01_属性汇总'!J13*(1+'01_属性汇总'!AU13/100)</x:f>
        <x:v>1333711.16</x:v>
      </x:c>
      <x:c r="K13" s="34" t="n">
        <x:f>'01_属性汇总'!K13</x:f>
        <x:v>30400</x:v>
      </x:c>
      <x:c r="L13" s="34" t="n">
        <x:f>D13+(E13-D13)*IF(M13&gt;='13_参数与假设'!$B$25,1,0.5+0.5*MAX(0,M13)/'13_参数与假设'!$B$25)</x:f>
        <x:v>46142.299999999996</x:v>
      </x:c>
      <x:c r="M13" s="34" t="n">
        <x:f>'01_属性汇总'!AF13+'01_属性汇总'!AG13</x:f>
        <x:v>15</x:v>
      </x:c>
      <x:c r="N13" s="34" t="n">
        <x:f>IF(M13&gt;='13_参数与假设'!$B$26,'13_参数与假设'!$B$27,0)</x:f>
        <x:v>15</x:v>
      </x:c>
      <x:c r="O13" s="34" t="n">
        <x:f>MIN('13_参数与假设'!$B$16,MAX(0,MIN('01_属性汇总'!AC13,'13_参数与假设'!$B$14+MIN('13_参数与假设'!$B$15,'01_属性汇总'!AD13))))</x:f>
        <x:v>15</x:v>
      </x:c>
      <x:c r="P13" s="34" t="n">
        <x:f>IF(O13=0,'13_参数与假设'!$B$19,IF(O13=10,'13_参数与假设'!$B$20,IF(O13=20,'13_参数与假设'!$B$21,IF(O13=30,'13_参数与假设'!$B$22,IF(O13=40,'13_参数与假设'!$B$23,IF(O13=50,'13_参数与假设'!$B$24,IF(O13&lt;=40,1000/('13_参数与假设'!$B$17-'13_参数与假设'!$B$18*O13),1/(1/'13_参数与假设'!$B$23+(O13-40)/10*(1/'13_参数与假设'!$B$24-1/'13_参数与假设'!$B$23)))))))))</x:f>
        <x:v>2.495764157874204</x:v>
      </x:c>
      <x:c r="Q13" s="34" t="n">
        <x:f>L13*(1+'01_属性汇总'!T13/100+N13/100)*(1+'01_属性汇总'!U13/100)*(1+'01_属性汇总'!S13)*(1+'01_属性汇总'!V13*'13_参数与假设'!$B$7)</x:f>
        <x:v>175874.28341489995</x:v>
      </x:c>
      <x:c r="R13" s="34" t="n">
        <x:f>Q13*AI13*AJ13</x:f>
        <x:v>265069.2779973333</x:v>
      </x:c>
      <x:c r="S13" s="34" t="n">
        <x:f>(R13+'01_属性汇总'!AA13)*P13*'13_参数与假设'!$B$5</x:f>
        <x:v>628472.8832103709</x:v>
      </x:c>
      <x:c r="T13" s="34" t="n">
        <x:v>1.35</x:v>
      </x:c>
      <x:c r="U13" s="34" t="n">
        <x:f>(R13*T13+'01_属性汇总'!AA13)*P13*'13_参数与假设'!$B$5</x:f>
        <x:v>848438.3923340008</x:v>
      </x:c>
      <x:c r="V13" s="34" t="n">
        <x:f>IF(AK13&gt;0,L13*'13_参数与假设'!$B$5/MAX(0.0001,AK13),0)</x:f>
        <x:v>21917.592499999995</x:v>
      </x:c>
      <x:c r="W13" s="34" t="n">
        <x:f>(U13+V13)*'13_参数与假设'!$B$6</x:f>
        <x:v>696284.7878672007</x:v>
      </x:c>
      <x:c r="X13" s="36" t="n">
        <x:f>MAX(0,MIN('13_参数与假设'!$B$13,'01_属性汇总'!AL13/100,'13_参数与假设'!$B$12+'01_属性汇总'!AM13/100))</x:f>
        <x:v>0.6</x:v>
      </x:c>
      <x:c r="Y13" s="34" t="n">
        <x:f>J13/(1-X13)</x:f>
        <x:v>3334277.8999999994</x:v>
      </x:c>
      <x:c r="Z13" s="34" t="n">
        <x:f>R13*T13*P13*'13_参数与假设'!$B$5*'13_参数与假设'!$B$6*MAX(0,'01_属性汇总'!AN13/100)</x:f>
        <x:v>54300.05710937605</x:v>
      </x:c>
      <x:c r="AA13" s="34" t="n">
        <x:f>Z13+'01_属性汇总'!AB13</x:f>
        <x:v>54300.05710937605</x:v>
      </x:c>
      <x:c r="AB13" s="38" t="n">
        <x:f>(1+'01_属性汇总'!AO13/100+'01_属性汇总'!AQ13*'13_参数与假设'!$B$8)*(1+'01_属性汇总'!AP13/100)</x:f>
        <x:v>18.134999999999998</x:v>
      </x:c>
      <x:c r="AC13" s="38" t="n">
        <x:f>(1+'01_属性汇总'!AO13/100+'01_属性汇总'!AQ13*'13_参数与假设'!$B$9)*(1+'01_属性汇总'!AP13/100)</x:f>
        <x:v>14.660099999999998</x:v>
      </x:c>
      <x:c r="AD13" s="38" t="n">
        <x:f>1+MIN(1,MAX(0,'01_属性汇总'!AR13/100))</x:f>
        <x:v>1.1</x:v>
      </x:c>
      <x:c r="AE13" s="38" t="n">
        <x:f>'13_参数与假设'!$B$33</x:f>
        <x:v>1.5</x:v>
      </x:c>
      <x:c r="AF13" s="34" t="n">
        <x:f>'01_属性汇总'!AH13+IF(M13&gt;='13_参数与假设'!$B$26,'13_参数与假设'!$B$28,0)</x:f>
        <x:v>18.5</x:v>
      </x:c>
      <x:c r="AG13" s="34" t="n">
        <x:f>'01_属性汇总'!AS13</x:f>
        <x:v>10</x:v>
      </x:c>
      <x:c r="AH13" s="34" t="n">
        <x:f>'01_属性汇总'!AT13</x:f>
        <x:v>0</x:v>
      </x:c>
      <x:c r="AI13" s="34" t="n">
        <x:f>1+MIN(1,MAX(0,'01_属性汇总'!W13/100))*('13_参数与假设'!$B$10+'01_属性汇总'!X13/100-1)</x:f>
        <x:v>1.4776</x:v>
      </x:c>
      <x:c r="AJ13" s="34" t="n">
        <x:f>1+MIN(1,MAX(0,'01_属性汇总'!Y13/100))*('13_参数与假设'!$B$11+'01_属性汇总'!Z13/100-1)</x:f>
        <x:v>1.02</x:v>
      </x:c>
      <x:c r="AK13" s="34" t="n">
        <x:v>2</x:v>
      </x:c>
    </x:row>
    <x:row r="14">
      <x:c r="A14" s="25" t="str">
        <x:v>C03-M</x:v>
      </x:c>
      <x:c r="B14" s="25" t="str">
        <x:v>宁姆格福西域</x:v>
      </x:c>
      <x:c r="C14" s="25" t="str">
        <x:v>半急速中期</x:v>
      </x:c>
      <x:c r="D14" s="34" t="n">
        <x:f>'01_属性汇总'!D14*(1+'01_属性汇总'!P14/100)</x:f>
        <x:v>55027.04</x:v>
      </x:c>
      <x:c r="E14" s="34" t="n">
        <x:f>'01_属性汇总'!E14*(1+'01_属性汇总'!P14/100)</x:f>
        <x:v>68123.93000000001</x:v>
      </x:c>
      <x:c r="F14" s="34" t="n">
        <x:f>'01_属性汇总'!F14*(1+'01_属性汇总'!Q14/100)</x:f>
        <x:v>32328.05</x:v>
      </x:c>
      <x:c r="G14" s="34" t="n">
        <x:f>'01_属性汇总'!G14*(1+'01_属性汇总'!Q14/100)</x:f>
        <x:v>40064.9</x:v>
      </x:c>
      <x:c r="H14" s="34" t="n">
        <x:f>'01_属性汇总'!H14*(1+'01_属性汇总'!R14/100)</x:f>
        <x:v>32333.26</x:v>
      </x:c>
      <x:c r="I14" s="34" t="n">
        <x:f>'01_属性汇总'!I14*(1+'01_属性汇总'!R14/100)</x:f>
        <x:v>40070.11</x:v>
      </x:c>
      <x:c r="J14" s="34" t="n">
        <x:f>'01_属性汇总'!J14*(1+'01_属性汇总'!AU14/100)</x:f>
        <x:v>1995953.9999999998</x:v>
      </x:c>
      <x:c r="K14" s="34" t="n">
        <x:f>'01_属性汇总'!K14</x:f>
        <x:v>80450</x:v>
      </x:c>
      <x:c r="L14" s="34" t="n">
        <x:f>D14+(E14-D14)*IF(M14&gt;='13_参数与假设'!$B$25,1,0.5+0.5*MAX(0,M14)/'13_参数与假设'!$B$25)</x:f>
        <x:v>68123.93000000001</x:v>
      </x:c>
      <x:c r="M14" s="34" t="n">
        <x:f>'01_属性汇总'!AF14+'01_属性汇总'!AG14</x:f>
        <x:v>15</x:v>
      </x:c>
      <x:c r="N14" s="34" t="n">
        <x:f>IF(M14&gt;='13_参数与假设'!$B$26,'13_参数与假设'!$B$27,0)</x:f>
        <x:v>15</x:v>
      </x:c>
      <x:c r="O14" s="34" t="n">
        <x:f>MIN('13_参数与假设'!$B$16,MAX(0,MIN('01_属性汇总'!AC14,'13_参数与假设'!$B$14+MIN('13_参数与假设'!$B$15,'01_属性汇总'!AD14))))</x:f>
        <x:v>16</x:v>
      </x:c>
      <x:c r="P14" s="34" t="n">
        <x:f>IF(O14=0,'13_参数与假设'!$B$19,IF(O14=10,'13_参数与假设'!$B$20,IF(O14=20,'13_参数与假设'!$B$21,IF(O14=30,'13_参数与假设'!$B$22,IF(O14=40,'13_参数与假设'!$B$23,IF(O14=50,'13_参数与假设'!$B$24,IF(O14&lt;=40,1000/('13_参数与假设'!$B$17-'13_参数与假设'!$B$18*O14),1/(1/'13_参数与假设'!$B$23+(O14-40)/10*(1/'13_参数与假设'!$B$24-1/'13_参数与假设'!$B$23)))))))))</x:f>
        <x:v>2.5681630142089626</x:v>
      </x:c>
      <x:c r="Q14" s="34" t="n">
        <x:f>L14*(1+'01_属性汇总'!T14/100+N14/100)*(1+'01_属性汇总'!U14/100)*(1+'01_属性汇总'!S14)*(1+'01_属性汇总'!V14*'13_参数与假设'!$B$7)</x:f>
        <x:v>276728.886511056</x:v>
      </x:c>
      <x:c r="R14" s="34" t="n">
        <x:f>Q14*AI14*AJ14</x:f>
        <x:v>425201.6825330599</x:v>
      </x:c>
      <x:c r="S14" s="34" t="n">
        <x:f>(R14+'01_属性汇总'!AA14)*P14*'13_参数与假设'!$B$5</x:f>
        <x:v>1037387.8729277841</x:v>
      </x:c>
      <x:c r="T14" s="34" t="n">
        <x:v>1.35</x:v>
      </x:c>
      <x:c r="U14" s="34" t="n">
        <x:f>(R14*T14+'01_属性汇总'!AA14)*P14*'13_参数与假设'!$B$5</x:f>
        <x:v>1400473.628452509</x:v>
      </x:c>
      <x:c r="V14" s="34" t="n">
        <x:f>IF(AK14&gt;0,L14*'13_参数与假设'!$B$5/MAX(0.0001,AK14),0)</x:f>
        <x:v>0</x:v>
      </x:c>
      <x:c r="W14" s="34" t="n">
        <x:f>(U14+V14)*'13_参数与假设'!$B$6</x:f>
        <x:v>1120378.9027620072</x:v>
      </x:c>
      <x:c r="X14" s="36" t="n">
        <x:f>MAX(0,MIN('13_参数与假设'!$B$13,'01_属性汇总'!AL14/100,'13_参数与假设'!$B$12+'01_属性汇总'!AM14/100))</x:f>
        <x:v>0.6</x:v>
      </x:c>
      <x:c r="Y14" s="34" t="n">
        <x:f>J14/(1-X14)</x:f>
        <x:v>4989884.999999999</x:v>
      </x:c>
      <x:c r="Z14" s="34" t="n">
        <x:f>R14*T14*P14*'13_参数与假设'!$B$5*'13_参数与假设'!$B$6*MAX(0,'01_属性汇总'!AN14/100)</x:f>
        <x:v>123241.6793038208</x:v>
      </x:c>
      <x:c r="AA14" s="34" t="n">
        <x:f>Z14+'01_属性汇总'!AB14</x:f>
        <x:v>123241.6793038208</x:v>
      </x:c>
      <x:c r="AB14" s="38" t="n">
        <x:f>(1+'01_属性汇总'!AO14/100+'01_属性汇总'!AQ14*'13_参数与假设'!$B$8)*(1+'01_属性汇总'!AP14/100)</x:f>
        <x:v>21.645</x:v>
      </x:c>
      <x:c r="AC14" s="38" t="n">
        <x:f>(1+'01_属性汇总'!AO14/100+'01_属性汇总'!AQ14*'13_参数与假设'!$B$9)*(1+'01_属性汇总'!AP14/100)</x:f>
        <x:v>18.170099999999998</x:v>
      </x:c>
      <x:c r="AD14" s="38" t="n">
        <x:f>1+MIN(1,MAX(0,'01_属性汇总'!AR14/100))</x:f>
        <x:v>1.1</x:v>
      </x:c>
      <x:c r="AE14" s="38" t="n">
        <x:f>'13_参数与假设'!$B$33</x:f>
        <x:v>1.5</x:v>
      </x:c>
      <x:c r="AF14" s="34" t="n">
        <x:f>'01_属性汇总'!AH14+IF(M14&gt;='13_参数与假设'!$B$26,'13_参数与假设'!$B$28,0)</x:f>
        <x:v>21.5</x:v>
      </x:c>
      <x:c r="AG14" s="34" t="n">
        <x:f>'01_属性汇总'!AS14</x:f>
        <x:v>10</x:v>
      </x:c>
      <x:c r="AH14" s="34" t="n">
        <x:f>'01_属性汇总'!AT14</x:f>
        <x:v>0</x:v>
      </x:c>
      <x:c r="AI14" s="34" t="n">
        <x:f>1+MIN(1,MAX(0,'01_属性汇总'!W14/100))*('13_参数与假设'!$B$10+'01_属性汇总'!X14/100-1)</x:f>
        <x:v>1.5064000000000002</x:v>
      </x:c>
      <x:c r="AJ14" s="34" t="n">
        <x:f>1+MIN(1,MAX(0,'01_属性汇总'!Y14/100))*('13_参数与假设'!$B$11+'01_属性汇总'!Z14/100-1)</x:f>
        <x:v>1.02</x:v>
      </x:c>
      <x:c r="AK14" s="34" t="n">
        <x:v>0</x:v>
      </x:c>
    </x:row>
    <x:row r="15">
      <x:c r="A15" s="25" t="str">
        <x:v>C03-G</x:v>
      </x:c>
      <x:c r="B15" s="25" t="str">
        <x:v>宁姆格福西域</x:v>
      </x:c>
      <x:c r="C15" s="25" t="str">
        <x:v>半急速毕业</x:v>
      </x:c>
      <x:c r="D15" s="34" t="n">
        <x:f>'01_属性汇总'!D15*(1+'01_属性汇总'!P15/100)</x:f>
        <x:v>77206.31999999999</x:v>
      </x:c>
      <x:c r="E15" s="34" t="n">
        <x:f>'01_属性汇总'!E15*(1+'01_属性汇总'!P15/100)</x:f>
        <x:v>95594.16</x:v>
      </x:c>
      <x:c r="F15" s="34" t="n">
        <x:f>'01_属性汇总'!F15*(1+'01_属性汇总'!Q15/100)</x:f>
        <x:v>43384.32</x:v>
      </x:c>
      <x:c r="G15" s="34" t="n">
        <x:f>'01_属性汇总'!G15*(1+'01_属性汇总'!Q15/100)</x:f>
        <x:v>53805.38</x:v>
      </x:c>
      <x:c r="H15" s="34" t="n">
        <x:f>'01_属性汇总'!H15*(1+'01_属性汇总'!R15/100)</x:f>
        <x:v>43416.6</x:v>
      </x:c>
      <x:c r="I15" s="34" t="n">
        <x:f>'01_属性汇总'!I15*(1+'01_属性汇总'!R15/100)</x:f>
        <x:v>53837.659999999996</x:v>
      </x:c>
      <x:c r="J15" s="34" t="n">
        <x:f>'01_属性汇总'!J15*(1+'01_属性汇总'!AU15/100)</x:f>
        <x:v>2893603.5000000005</x:v>
      </x:c>
      <x:c r="K15" s="34" t="n">
        <x:f>'01_属性汇总'!K15</x:f>
        <x:v>80500</x:v>
      </x:c>
      <x:c r="L15" s="34" t="n">
        <x:f>D15+(E15-D15)*IF(M15&gt;='13_参数与假设'!$B$25,1,0.5+0.5*MAX(0,M15)/'13_参数与假设'!$B$25)</x:f>
        <x:v>95594.16</x:v>
      </x:c>
      <x:c r="M15" s="34" t="n">
        <x:f>'01_属性汇总'!AF15+'01_属性汇总'!AG15</x:f>
        <x:v>15</x:v>
      </x:c>
      <x:c r="N15" s="34" t="n">
        <x:f>IF(M15&gt;='13_参数与假设'!$B$26,'13_参数与假设'!$B$27,0)</x:f>
        <x:v>15</x:v>
      </x:c>
      <x:c r="O15" s="34" t="n">
        <x:f>MIN('13_参数与假设'!$B$16,MAX(0,MIN('01_属性汇总'!AC15,'13_参数与假设'!$B$14+MIN('13_参数与假设'!$B$15,'01_属性汇总'!AD15))))</x:f>
        <x:v>22</x:v>
      </x:c>
      <x:c r="P15" s="34" t="n">
        <x:f>IF(O15=0,'13_参数与假设'!$B$19,IF(O15=10,'13_参数与假设'!$B$20,IF(O15=20,'13_参数与假设'!$B$21,IF(O15=30,'13_参数与假设'!$B$22,IF(O15=40,'13_参数与假设'!$B$23,IF(O15=50,'13_参数与假设'!$B$24,IF(O15&lt;=40,1000/('13_参数与假设'!$B$17-'13_参数与假设'!$B$18*O15),1/(1/'13_参数与假设'!$B$23+(O15-40)/10*(1/'13_参数与假设'!$B$24-1/'13_参数与假设'!$B$23)))))))))</x:f>
        <x:v>3.109352533178937</x:v>
      </x:c>
      <x:c r="Q15" s="34" t="n">
        <x:f>L15*(1+'01_属性汇总'!T15/100+N15/100)*(1+'01_属性汇总'!U15/100)*(1+'01_属性汇总'!S15)*(1+'01_属性汇总'!V15*'13_参数与假设'!$B$7)</x:f>
        <x:v>387320.00520191994</x:v>
      </x:c>
      <x:c r="R15" s="34" t="n">
        <x:f>Q15*AI15*AJ15</x:f>
        <x:v>592110.0354723623</x:v>
      </x:c>
      <x:c r="S15" s="34" t="n">
        <x:f>(R15+'01_属性汇总'!AA15)*P15*'13_参数与假设'!$B$5</x:f>
        <x:v>1749024.8967808268</x:v>
      </x:c>
      <x:c r="T15" s="34" t="n">
        <x:v>1.35</x:v>
      </x:c>
      <x:c r="U15" s="34" t="n">
        <x:f>(R15*T15+'01_属性汇总'!AA15)*P15*'13_参数与假设'!$B$5</x:f>
        <x:v>2361183.6106541166</x:v>
      </x:c>
      <x:c r="V15" s="34" t="n">
        <x:f>IF(AK15&gt;0,L15*'13_参数与假设'!$B$5/MAX(0.0001,AK15),0)</x:f>
        <x:v>0</x:v>
      </x:c>
      <x:c r="W15" s="34" t="n">
        <x:f>(U15+V15)*'13_参数与假设'!$B$6</x:f>
        <x:v>1888946.8885232934</x:v>
      </x:c>
      <x:c r="X15" s="36" t="n">
        <x:f>MAX(0,MIN('13_参数与假设'!$B$13,'01_属性汇总'!AL15/100,'13_参数与假设'!$B$12+'01_属性汇总'!AM15/100))</x:f>
        <x:v>0.6</x:v>
      </x:c>
      <x:c r="Y15" s="34" t="n">
        <x:f>J15/(1-X15)</x:f>
        <x:v>7234008.750000001</x:v>
      </x:c>
      <x:c r="Z15" s="34" t="n">
        <x:f>R15*T15*P15*'13_参数与假设'!$B$5*'13_参数与假设'!$B$6*MAX(0,'01_属性汇总'!AN15/100)</x:f>
        <x:v>151115.75108186348</x:v>
      </x:c>
      <x:c r="AA15" s="34" t="n">
        <x:f>Z15+'01_属性汇总'!AB15</x:f>
        <x:v>151115.75108186348</x:v>
      </x:c>
      <x:c r="AB15" s="38" t="n">
        <x:f>(1+'01_属性汇总'!AO15/100+'01_属性汇总'!AQ15*'13_参数与假设'!$B$8)*(1+'01_属性汇总'!AP15/100)</x:f>
        <x:v>22.015</x:v>
      </x:c>
      <x:c r="AC15" s="38" t="n">
        <x:f>(1+'01_属性汇总'!AO15/100+'01_属性汇总'!AQ15*'13_参数与假设'!$B$9)*(1+'01_属性汇总'!AP15/100)</x:f>
        <x:v>18.4807</x:v>
      </x:c>
      <x:c r="AD15" s="38" t="n">
        <x:f>1+MIN(1,MAX(0,'01_属性汇总'!AR15/100))</x:f>
        <x:v>1.1</x:v>
      </x:c>
      <x:c r="AE15" s="38" t="n">
        <x:f>'13_参数与假设'!$B$33</x:f>
        <x:v>1.5</x:v>
      </x:c>
      <x:c r="AF15" s="34" t="n">
        <x:f>'01_属性汇总'!AH15+IF(M15&gt;='13_参数与假设'!$B$26,'13_参数与假设'!$B$28,0)</x:f>
        <x:v>21.5</x:v>
      </x:c>
      <x:c r="AG15" s="34" t="n">
        <x:f>'01_属性汇总'!AS15</x:f>
        <x:v>10</x:v>
      </x:c>
      <x:c r="AH15" s="34" t="n">
        <x:f>'01_属性汇总'!AT15</x:f>
        <x:v>0</x:v>
      </x:c>
      <x:c r="AI15" s="34" t="n">
        <x:f>1+MIN(1,MAX(0,'01_属性汇总'!W15/100))*('13_参数与假设'!$B$10+'01_属性汇总'!X15/100-1)</x:f>
        <x:v>1.5135999999999998</x:v>
      </x:c>
      <x:c r="AJ15" s="34" t="n">
        <x:f>1+MIN(1,MAX(0,'01_属性汇总'!Y15/100))*('13_参数与假设'!$B$11+'01_属性汇总'!Z15/100-1)</x:f>
        <x:v>1.01</x:v>
      </x:c>
      <x:c r="AK15" s="34" t="n">
        <x:v>0</x:v>
      </x:c>
    </x:row>
    <x:row r="16">
      <x:c r="A16" s="25" t="str">
        <x:v>C03-X</x:v>
      </x:c>
      <x:c r="B16" s="25" t="str">
        <x:v>宁姆格福西域</x:v>
      </x:c>
      <x:c r="C16" s="25" t="str">
        <x:v>极端压力</x:v>
      </x:c>
      <x:c r="D16" s="34" t="n">
        <x:f>'01_属性汇总'!D16*(1+'01_属性汇总'!P16/100)</x:f>
        <x:v>106242.36</x:v>
      </x:c>
      <x:c r="E16" s="34" t="n">
        <x:f>'01_属性汇总'!E16*(1+'01_属性汇总'!P16/100)</x:f>
        <x:v>132852.72</x:v>
      </x:c>
      <x:c r="F16" s="34" t="n">
        <x:f>'01_属性汇总'!F16*(1+'01_属性汇总'!Q16/100)</x:f>
        <x:v>57276.72</x:v>
      </x:c>
      <x:c r="G16" s="34" t="n">
        <x:f>'01_属性汇总'!G16*(1+'01_属性汇总'!Q16/100)</x:f>
        <x:v>72770.40000000001</x:v>
      </x:c>
      <x:c r="H16" s="34" t="n">
        <x:f>'01_属性汇总'!H16*(1+'01_属性汇总'!R16/100)</x:f>
        <x:v>57477.600000000006</x:v>
      </x:c>
      <x:c r="I16" s="34" t="n">
        <x:f>'01_属性汇总'!I16*(1+'01_属性汇总'!R16/100)</x:f>
        <x:v>72971.28</x:v>
      </x:c>
      <x:c r="J16" s="34" t="n">
        <x:f>'01_属性汇总'!J16*(1+'01_属性汇总'!AU16/100)</x:f>
        <x:v>3829716.0000000005</x:v>
      </x:c>
      <x:c r="K16" s="34" t="n">
        <x:f>'01_属性汇总'!K16</x:f>
        <x:v>80500</x:v>
      </x:c>
      <x:c r="L16" s="34" t="n">
        <x:f>D16+(E16-D16)*IF(M16&gt;='13_参数与假设'!$B$25,1,0.5+0.5*MAX(0,M16)/'13_参数与假设'!$B$25)</x:f>
        <x:v>132852.72</x:v>
      </x:c>
      <x:c r="M16" s="34" t="n">
        <x:f>'01_属性汇总'!AF16+'01_属性汇总'!AG16</x:f>
        <x:v>15</x:v>
      </x:c>
      <x:c r="N16" s="34" t="n">
        <x:f>IF(M16&gt;='13_参数与假设'!$B$26,'13_参数与假设'!$B$27,0)</x:f>
        <x:v>15</x:v>
      </x:c>
      <x:c r="O16" s="34" t="n">
        <x:f>MIN('13_参数与假设'!$B$16,MAX(0,MIN('01_属性汇总'!AC16,'13_参数与假设'!$B$14+MIN('13_参数与假设'!$B$15,'01_属性汇总'!AD16))))</x:f>
        <x:v>23</x:v>
      </x:c>
      <x:c r="P16" s="34" t="n">
        <x:f>IF(O16=0,'13_参数与假设'!$B$19,IF(O16=10,'13_参数与假设'!$B$20,IF(O16=20,'13_参数与假设'!$B$21,IF(O16=30,'13_参数与假设'!$B$22,IF(O16=40,'13_参数与假设'!$B$23,IF(O16=50,'13_参数与假设'!$B$24,IF(O16&lt;=40,1000/('13_参数与假设'!$B$17-'13_参数与假设'!$B$18*O16),1/(1/'13_参数与假设'!$B$23+(O16-40)/10*(1/'13_参数与假设'!$B$24-1/'13_参数与假设'!$B$23)))))))))</x:f>
        <x:v>3.2225333868235198</x:v>
      </x:c>
      <x:c r="Q16" s="34" t="n">
        <x:f>L16*(1+'01_属性汇总'!T16/100+N16/100)*(1+'01_属性汇总'!U16/100)*(1+'01_属性汇总'!S16)*(1+'01_属性汇总'!V16*'13_参数与假设'!$B$7)</x:f>
        <x:v>802367.9880216</x:v>
      </x:c>
      <x:c r="R16" s="34" t="n">
        <x:f>Q16*AI16*AJ16</x:f>
        <x:v>1398677.1811539729</x:v>
      </x:c>
      <x:c r="S16" s="34" t="n">
        <x:f>(R16+'01_属性汇总'!AA16)*P16*'13_参数与假设'!$B$5</x:f>
        <x:v>4281919.717974042</x:v>
      </x:c>
      <x:c r="T16" s="34" t="n">
        <x:v>1.6</x:v>
      </x:c>
      <x:c r="U16" s="34" t="n">
        <x:f>(R16*T16+'01_属性汇总'!AA16)*P16*'13_参数与假设'!$B$5</x:f>
        <x:v>6851071.548758466</x:v>
      </x:c>
      <x:c r="V16" s="34" t="n">
        <x:f>IF(AK16&gt;0,L16*'13_参数与假设'!$B$5/MAX(0.0001,AK16),0)</x:f>
        <x:v>0</x:v>
      </x:c>
      <x:c r="W16" s="34" t="n">
        <x:f>(U16+V16)*'13_参数与假设'!$B$6</x:f>
        <x:v>5480857.239006773</x:v>
      </x:c>
      <x:c r="X16" s="36" t="n">
        <x:f>MAX(0,MIN('13_参数与假设'!$B$13,'01_属性汇总'!AL16/100,'13_参数与假设'!$B$12+'01_属性汇总'!AM16/100))</x:f>
        <x:v>0.6699999999999999</x:v>
      </x:c>
      <x:c r="Y16" s="34" t="n">
        <x:f>J16/(1-X16)</x:f>
        <x:v>11605199.999999998</x:v>
      </x:c>
      <x:c r="Z16" s="34" t="n">
        <x:f>R16*T16*P16*'13_参数与假设'!$B$5*'13_参数与假设'!$B$6*MAX(0,'01_属性汇总'!AN16/100)</x:f>
        <x:v>657702.8686808127</x:v>
      </x:c>
      <x:c r="AA16" s="34" t="n">
        <x:f>Z16+'01_属性汇总'!AB16</x:f>
        <x:v>657702.8686808127</x:v>
      </x:c>
      <x:c r="AB16" s="38" t="n">
        <x:f>(1+'01_属性汇总'!AO16/100+'01_属性汇总'!AQ16*'13_参数与假设'!$B$8)*(1+'01_属性汇总'!AP16/100)</x:f>
        <x:v>21.83</x:v>
      </x:c>
      <x:c r="AC16" s="38" t="n">
        <x:f>(1+'01_属性汇总'!AO16/100+'01_属性汇总'!AQ16*'13_参数与假设'!$B$9)*(1+'01_属性汇总'!AP16/100)</x:f>
        <x:v>18.3254</x:v>
      </x:c>
      <x:c r="AD16" s="38" t="n">
        <x:f>1+MIN(1,MAX(0,'01_属性汇总'!AR16/100))</x:f>
        <x:v>1.1</x:v>
      </x:c>
      <x:c r="AE16" s="38" t="n">
        <x:f>'13_参数与假设'!$B$33</x:f>
        <x:v>1.5</x:v>
      </x:c>
      <x:c r="AF16" s="34" t="n">
        <x:f>'01_属性汇总'!AH16+IF(M16&gt;='13_参数与假设'!$B$26,'13_参数与假设'!$B$28,0)</x:f>
        <x:v>32</x:v>
      </x:c>
      <x:c r="AG16" s="34" t="n">
        <x:f>'01_属性汇总'!AS16</x:f>
        <x:v>10</x:v>
      </x:c>
      <x:c r="AH16" s="34" t="n">
        <x:f>'01_属性汇总'!AT16</x:f>
        <x:v>0</x:v>
      </x:c>
      <x:c r="AI16" s="34" t="n">
        <x:f>1+MIN(1,MAX(0,'01_属性汇总'!W16/100))*('13_参数与假设'!$B$10+'01_属性汇总'!X16/100-1)</x:f>
        <x:v>1.6831</x:v>
      </x:c>
      <x:c r="AJ16" s="34" t="n">
        <x:f>1+MIN(1,MAX(0,'01_属性汇总'!Y16/100))*('13_参数与假设'!$B$11+'01_属性汇总'!Z16/100-1)</x:f>
        <x:v>1.0357</x:v>
      </x:c>
      <x:c r="AK16" s="34" t="n">
        <x:v>0</x:v>
      </x:c>
    </x:row>
    <x:row r="17">
      <x:c r="A17" s="25" t="str">
        <x:v>C04-E</x:v>
      </x:c>
      <x:c r="B17" s="25" t="str">
        <x:v>利耶尼亚海域</x:v>
      </x:c>
      <x:c r="C17" s="25" t="str">
        <x:v>半急速入场</x:v>
      </x:c>
      <x:c r="D17" s="34" t="n">
        <x:f>'01_属性汇总'!D17*(1+'01_属性汇总'!P17/100)</x:f>
        <x:v>77206.31999999999</x:v>
      </x:c>
      <x:c r="E17" s="34" t="n">
        <x:f>'01_属性汇总'!E17*(1+'01_属性汇总'!P17/100)</x:f>
        <x:v>95594.16</x:v>
      </x:c>
      <x:c r="F17" s="34" t="n">
        <x:f>'01_属性汇总'!F17*(1+'01_属性汇总'!Q17/100)</x:f>
        <x:v>43384.32</x:v>
      </x:c>
      <x:c r="G17" s="34" t="n">
        <x:f>'01_属性汇总'!G17*(1+'01_属性汇总'!Q17/100)</x:f>
        <x:v>53805.38</x:v>
      </x:c>
      <x:c r="H17" s="34" t="n">
        <x:f>'01_属性汇总'!H17*(1+'01_属性汇总'!R17/100)</x:f>
        <x:v>43416.6</x:v>
      </x:c>
      <x:c r="I17" s="34" t="n">
        <x:f>'01_属性汇总'!I17*(1+'01_属性汇总'!R17/100)</x:f>
        <x:v>53837.659999999996</x:v>
      </x:c>
      <x:c r="J17" s="34" t="n">
        <x:f>'01_属性汇总'!J17*(1+'01_属性汇总'!AU17/100)</x:f>
        <x:v>2893603.5000000005</x:v>
      </x:c>
      <x:c r="K17" s="34" t="n">
        <x:f>'01_属性汇总'!K17</x:f>
        <x:v>80500</x:v>
      </x:c>
      <x:c r="L17" s="34" t="n">
        <x:f>D17+(E17-D17)*IF(M17&gt;='13_参数与假设'!$B$25,1,0.5+0.5*MAX(0,M17)/'13_参数与假设'!$B$25)</x:f>
        <x:v>95594.16</x:v>
      </x:c>
      <x:c r="M17" s="34" t="n">
        <x:f>'01_属性汇总'!AF17+'01_属性汇总'!AG17</x:f>
        <x:v>15</x:v>
      </x:c>
      <x:c r="N17" s="34" t="n">
        <x:f>IF(M17&gt;='13_参数与假设'!$B$26,'13_参数与假设'!$B$27,0)</x:f>
        <x:v>15</x:v>
      </x:c>
      <x:c r="O17" s="34" t="n">
        <x:f>MIN('13_参数与假设'!$B$16,MAX(0,MIN('01_属性汇总'!AC17,'13_参数与假设'!$B$14+MIN('13_参数与假设'!$B$15,'01_属性汇总'!AD17))))</x:f>
        <x:v>22</x:v>
      </x:c>
      <x:c r="P17" s="34" t="n">
        <x:f>IF(O17=0,'13_参数与假设'!$B$19,IF(O17=10,'13_参数与假设'!$B$20,IF(O17=20,'13_参数与假设'!$B$21,IF(O17=30,'13_参数与假设'!$B$22,IF(O17=40,'13_参数与假设'!$B$23,IF(O17=50,'13_参数与假设'!$B$24,IF(O17&lt;=40,1000/('13_参数与假设'!$B$17-'13_参数与假设'!$B$18*O17),1/(1/'13_参数与假设'!$B$23+(O17-40)/10*(1/'13_参数与假设'!$B$24-1/'13_参数与假设'!$B$23)))))))))</x:f>
        <x:v>3.109352533178937</x:v>
      </x:c>
      <x:c r="Q17" s="34" t="n">
        <x:f>L17*(1+'01_属性汇总'!T17/100+N17/100)*(1+'01_属性汇总'!U17/100)*(1+'01_属性汇总'!S17)*(1+'01_属性汇总'!V17*'13_参数与假设'!$B$7)</x:f>
        <x:v>387320.00520191994</x:v>
      </x:c>
      <x:c r="R17" s="34" t="n">
        <x:f>Q17*AI17*AJ17</x:f>
        <x:v>592110.0354723623</x:v>
      </x:c>
      <x:c r="S17" s="34" t="n">
        <x:f>(R17+'01_属性汇总'!AA17)*P17*'13_参数与假设'!$B$5</x:f>
        <x:v>1749024.8967808268</x:v>
      </x:c>
      <x:c r="T17" s="34" t="n">
        <x:v>1.35</x:v>
      </x:c>
      <x:c r="U17" s="34" t="n">
        <x:f>(R17*T17+'01_属性汇总'!AA17)*P17*'13_参数与假设'!$B$5</x:f>
        <x:v>2361183.6106541166</x:v>
      </x:c>
      <x:c r="V17" s="34" t="n">
        <x:f>IF(AK17&gt;0,L17*'13_参数与假设'!$B$5/MAX(0.0001,AK17),0)</x:f>
        <x:v>0</x:v>
      </x:c>
      <x:c r="W17" s="34" t="n">
        <x:f>(U17+V17)*'13_参数与假设'!$B$6</x:f>
        <x:v>1888946.8885232934</x:v>
      </x:c>
      <x:c r="X17" s="36" t="n">
        <x:f>MAX(0,MIN('13_参数与假设'!$B$13,'01_属性汇总'!AL17/100,'13_参数与假设'!$B$12+'01_属性汇总'!AM17/100))</x:f>
        <x:v>0.6</x:v>
      </x:c>
      <x:c r="Y17" s="34" t="n">
        <x:f>J17/(1-X17)</x:f>
        <x:v>7234008.750000001</x:v>
      </x:c>
      <x:c r="Z17" s="34" t="n">
        <x:f>R17*T17*P17*'13_参数与假设'!$B$5*'13_参数与假设'!$B$6*MAX(0,'01_属性汇总'!AN17/100)</x:f>
        <x:v>151115.75108186348</x:v>
      </x:c>
      <x:c r="AA17" s="34" t="n">
        <x:f>Z17+'01_属性汇总'!AB17</x:f>
        <x:v>151115.75108186348</x:v>
      </x:c>
      <x:c r="AB17" s="38" t="n">
        <x:f>(1+'01_属性汇总'!AO17/100+'01_属性汇总'!AQ17*'13_参数与假设'!$B$8)*(1+'01_属性汇总'!AP17/100)</x:f>
        <x:v>22.015</x:v>
      </x:c>
      <x:c r="AC17" s="38" t="n">
        <x:f>(1+'01_属性汇总'!AO17/100+'01_属性汇总'!AQ17*'13_参数与假设'!$B$9)*(1+'01_属性汇总'!AP17/100)</x:f>
        <x:v>18.4807</x:v>
      </x:c>
      <x:c r="AD17" s="38" t="n">
        <x:f>1+MIN(1,MAX(0,'01_属性汇总'!AR17/100))</x:f>
        <x:v>1.1</x:v>
      </x:c>
      <x:c r="AE17" s="38" t="n">
        <x:f>'13_参数与假设'!$B$33</x:f>
        <x:v>1.5</x:v>
      </x:c>
      <x:c r="AF17" s="34" t="n">
        <x:f>'01_属性汇总'!AH17+IF(M17&gt;='13_参数与假设'!$B$26,'13_参数与假设'!$B$28,0)</x:f>
        <x:v>21.5</x:v>
      </x:c>
      <x:c r="AG17" s="34" t="n">
        <x:f>'01_属性汇总'!AS17</x:f>
        <x:v>10</x:v>
      </x:c>
      <x:c r="AH17" s="34" t="n">
        <x:f>'01_属性汇总'!AT17</x:f>
        <x:v>0</x:v>
      </x:c>
      <x:c r="AI17" s="34" t="n">
        <x:f>1+MIN(1,MAX(0,'01_属性汇总'!W17/100))*('13_参数与假设'!$B$10+'01_属性汇总'!X17/100-1)</x:f>
        <x:v>1.5135999999999998</x:v>
      </x:c>
      <x:c r="AJ17" s="34" t="n">
        <x:f>1+MIN(1,MAX(0,'01_属性汇总'!Y17/100))*('13_参数与假设'!$B$11+'01_属性汇总'!Z17/100-1)</x:f>
        <x:v>1.01</x:v>
      </x:c>
      <x:c r="AK17" s="34" t="n">
        <x:v>0</x:v>
      </x:c>
    </x:row>
    <x:row r="18">
      <x:c r="A18" s="25" t="str">
        <x:v>C04-M</x:v>
      </x:c>
      <x:c r="B18" s="25" t="str">
        <x:v>利耶尼亚海域</x:v>
      </x:c>
      <x:c r="C18" s="25" t="str">
        <x:v>半急速中期</x:v>
      </x:c>
      <x:c r="D18" s="34" t="n">
        <x:f>'01_属性汇总'!D18*(1+'01_属性汇总'!P18/100)</x:f>
        <x:v>94903.49000000002</x:v>
      </x:c>
      <x:c r="E18" s="34" t="n">
        <x:f>'01_属性汇总'!E18*(1+'01_属性汇总'!P18/100)</x:f>
        <x:v>112809.23500000002</x:v>
      </x:c>
      <x:c r="F18" s="34" t="n">
        <x:f>'01_属性汇总'!F18*(1+'01_属性汇总'!Q18/100)</x:f>
        <x:v>59078.22</x:v>
      </x:c>
      <x:c r="G18" s="34" t="n">
        <x:f>'01_属性汇总'!G18*(1+'01_属性汇总'!Q18/100)</x:f>
        <x:v>70340.66</x:v>
      </x:c>
      <x:c r="H18" s="34" t="n">
        <x:f>'01_属性汇总'!H18*(1+'01_属性汇总'!R18/100)</x:f>
        <x:v>59408.82</x:v>
      </x:c>
      <x:c r="I18" s="34" t="n">
        <x:f>'01_属性汇总'!I18*(1+'01_属性汇总'!R18/100)</x:f>
        <x:v>70671.26</x:v>
      </x:c>
      <x:c r="J18" s="34" t="n">
        <x:f>'01_属性汇总'!J18*(1+'01_属性汇总'!AU18/100)</x:f>
        <x:v>3353920.5000000005</x:v>
      </x:c>
      <x:c r="K18" s="34" t="n">
        <x:f>'01_属性汇总'!K18</x:f>
        <x:v>180550</x:v>
      </x:c>
      <x:c r="L18" s="34" t="n">
        <x:f>D18+(E18-D18)*IF(M18&gt;='13_参数与假设'!$B$25,1,0.5+0.5*MAX(0,M18)/'13_参数与假设'!$B$25)</x:f>
        <x:v>112809.23500000002</x:v>
      </x:c>
      <x:c r="M18" s="34" t="n">
        <x:f>'01_属性汇总'!AF18+'01_属性汇总'!AG18</x:f>
        <x:v>15</x:v>
      </x:c>
      <x:c r="N18" s="34" t="n">
        <x:f>IF(M18&gt;='13_参数与假设'!$B$26,'13_参数与假设'!$B$27,0)</x:f>
        <x:v>15</x:v>
      </x:c>
      <x:c r="O18" s="34" t="n">
        <x:f>MIN('13_参数与假设'!$B$16,MAX(0,MIN('01_属性汇总'!AC18,'13_参数与假设'!$B$14+MIN('13_参数与假设'!$B$15,'01_属性汇总'!AD18))))</x:f>
        <x:v>22</x:v>
      </x:c>
      <x:c r="P18" s="34" t="n">
        <x:f>IF(O18=0,'13_参数与假设'!$B$19,IF(O18=10,'13_参数与假设'!$B$20,IF(O18=20,'13_参数与假设'!$B$21,IF(O18=30,'13_参数与假设'!$B$22,IF(O18=40,'13_参数与假设'!$B$23,IF(O18=50,'13_参数与假设'!$B$24,IF(O18&lt;=40,1000/('13_参数与假设'!$B$17-'13_参数与假设'!$B$18*O18),1/(1/'13_参数与假设'!$B$23+(O18-40)/10*(1/'13_参数与假设'!$B$24-1/'13_参数与假设'!$B$23)))))))))</x:f>
        <x:v>3.109352533178937</x:v>
      </x:c>
      <x:c r="Q18" s="34" t="n">
        <x:f>L18*(1+'01_属性汇总'!T18/100+N18/100)*(1+'01_属性汇总'!U18/100)*(1+'01_属性汇总'!S18)*(1+'01_属性汇总'!V18*'13_参数与假设'!$B$7)</x:f>
        <x:v>514204.34755535994</x:v>
      </x:c>
      <x:c r="R18" s="34" t="n">
        <x:f>Q18*AI18*AJ18</x:f>
        <x:v>779533.7908939257</x:v>
      </x:c>
      <x:c r="S18" s="34" t="n">
        <x:f>(R18+'01_属性汇总'!AA18)*P18*'13_参数与假设'!$B$5</x:f>
        <x:v>2302653.0990438773</x:v>
      </x:c>
      <x:c r="T18" s="34" t="n">
        <x:v>1.35</x:v>
      </x:c>
      <x:c r="U18" s="34" t="n">
        <x:f>(R18*T18+'01_属性汇总'!AA18)*P18*'13_参数与假设'!$B$5</x:f>
        <x:v>3108581.683709235</x:v>
      </x:c>
      <x:c r="V18" s="34" t="n">
        <x:f>IF(AK18&gt;0,L18*'13_参数与假设'!$B$5/MAX(0.0001,AK18),0)</x:f>
        <x:v>0</x:v>
      </x:c>
      <x:c r="W18" s="34" t="n">
        <x:f>(U18+V18)*'13_参数与假设'!$B$6</x:f>
        <x:v>2486865.346967388</x:v>
      </x:c>
      <x:c r="X18" s="36" t="n">
        <x:f>MAX(0,MIN('13_参数与假设'!$B$13,'01_属性汇总'!AL18/100,'13_参数与假设'!$B$12+'01_属性汇总'!AM18/100))</x:f>
        <x:v>0.64</x:v>
      </x:c>
      <x:c r="Y18" s="34" t="n">
        <x:f>J18/(1-X18)</x:f>
        <x:v>9316445.833333336</x:v>
      </x:c>
      <x:c r="Z18" s="34" t="n">
        <x:f>R18*T18*P18*'13_参数与假设'!$B$5*'13_参数与假设'!$B$6*MAX(0,'01_属性汇总'!AN18/100)</x:f>
        <x:v>174080.57428771717</x:v>
      </x:c>
      <x:c r="AA18" s="34" t="n">
        <x:f>Z18+'01_属性汇总'!AB18</x:f>
        <x:v>174080.57428771717</x:v>
      </x:c>
      <x:c r="AB18" s="38" t="n">
        <x:f>(1+'01_属性汇总'!AO18/100+'01_属性汇总'!AQ18*'13_参数与假设'!$B$8)*(1+'01_属性汇总'!AP18/100)</x:f>
        <x:v>26.775</x:v>
      </x:c>
      <x:c r="AC18" s="38" t="n">
        <x:f>(1+'01_属性汇总'!AO18/100+'01_属性汇总'!AQ18*'13_参数与假设'!$B$9)*(1+'01_属性汇总'!AP18/100)</x:f>
        <x:v>23.2407</x:v>
      </x:c>
      <x:c r="AD18" s="38" t="n">
        <x:f>1+MIN(1,MAX(0,'01_属性汇总'!AR18/100))</x:f>
        <x:v>1.1</x:v>
      </x:c>
      <x:c r="AE18" s="38" t="n">
        <x:f>'13_参数与假设'!$B$33</x:f>
        <x:v>1.5</x:v>
      </x:c>
      <x:c r="AF18" s="34" t="n">
        <x:f>'01_属性汇总'!AH18+IF(M18&gt;='13_参数与假设'!$B$26,'13_参数与假设'!$B$28,0)</x:f>
        <x:v>25.5</x:v>
      </x:c>
      <x:c r="AG18" s="34" t="n">
        <x:f>'01_属性汇总'!AS18</x:f>
        <x:v>10</x:v>
      </x:c>
      <x:c r="AH18" s="34" t="n">
        <x:f>'01_属性汇总'!AT18</x:f>
        <x:v>0</x:v>
      </x:c>
      <x:c r="AI18" s="34" t="n">
        <x:f>1+MIN(1,MAX(0,'01_属性汇总'!W18/100))*('13_参数与假设'!$B$10+'01_属性汇总'!X18/100-1)</x:f>
        <x:v>1.516</x:v>
      </x:c>
      <x:c r="AJ18" s="34" t="n">
        <x:f>1+MIN(1,MAX(0,'01_属性汇总'!Y18/100))*('13_参数与假设'!$B$11+'01_属性汇总'!Z18/100-1)</x:f>
        <x:v>1</x:v>
      </x:c>
      <x:c r="AK18" s="34" t="n">
        <x:v>0</x:v>
      </x:c>
    </x:row>
    <x:row r="19">
      <x:c r="A19" s="25" t="str">
        <x:v>C04-G</x:v>
      </x:c>
      <x:c r="B19" s="25" t="str">
        <x:v>利耶尼亚海域</x:v>
      </x:c>
      <x:c r="C19" s="25" t="str">
        <x:v>半急速毕业</x:v>
      </x:c>
      <x:c r="D19" s="34" t="n">
        <x:f>'01_属性汇总'!D19*(1+'01_属性汇总'!P19/100)</x:f>
        <x:v>132472.44</x:v>
      </x:c>
      <x:c r="E19" s="34" t="n">
        <x:f>'01_属性汇总'!E19*(1+'01_属性汇总'!P19/100)</x:f>
        <x:v>157887</x:v>
      </x:c>
      <x:c r="F19" s="34" t="n">
        <x:f>'01_属性汇总'!F19*(1+'01_属性汇总'!Q19/100)</x:f>
        <x:v>76054.37</x:v>
      </x:c>
      <x:c r="G19" s="34" t="n">
        <x:f>'01_属性汇总'!G19*(1+'01_属性汇总'!Q19/100)</x:f>
        <x:v>91321.79</x:v>
      </x:c>
      <x:c r="H19" s="34" t="n">
        <x:f>'01_属性汇总'!H19*(1+'01_属性汇总'!R19/100)</x:f>
        <x:v>75973.59</x:v>
      </x:c>
      <x:c r="I19" s="34" t="n">
        <x:f>'01_属性汇总'!I19*(1+'01_属性汇总'!R19/100)</x:f>
        <x:v>91241.01</x:v>
      </x:c>
      <x:c r="J19" s="34" t="n">
        <x:f>'01_属性汇总'!J19*(1+'01_属性汇总'!AU19/100)</x:f>
        <x:v>4247264</x:v>
      </x:c>
      <x:c r="K19" s="34" t="n">
        <x:f>'01_属性汇总'!K19</x:f>
        <x:v>180600</x:v>
      </x:c>
      <x:c r="L19" s="34" t="n">
        <x:f>D19+(E19-D19)*IF(M19&gt;='13_参数与假设'!$B$25,1,0.5+0.5*MAX(0,M19)/'13_参数与假设'!$B$25)</x:f>
        <x:v>157887</x:v>
      </x:c>
      <x:c r="M19" s="34" t="n">
        <x:f>'01_属性汇总'!AF19+'01_属性汇总'!AG19</x:f>
        <x:v>15</x:v>
      </x:c>
      <x:c r="N19" s="34" t="n">
        <x:f>IF(M19&gt;='13_参数与假设'!$B$26,'13_参数与假设'!$B$27,0)</x:f>
        <x:v>15</x:v>
      </x:c>
      <x:c r="O19" s="34" t="n">
        <x:f>MIN('13_参数与假设'!$B$16,MAX(0,MIN('01_属性汇总'!AC19,'13_参数与假设'!$B$14+MIN('13_参数与假设'!$B$15,'01_属性汇总'!AD19))))</x:f>
        <x:v>23</x:v>
      </x:c>
      <x:c r="P19" s="34" t="n">
        <x:f>IF(O19=0,'13_参数与假设'!$B$19,IF(O19=10,'13_参数与假设'!$B$20,IF(O19=20,'13_参数与假设'!$B$21,IF(O19=30,'13_参数与假设'!$B$22,IF(O19=40,'13_参数与假设'!$B$23,IF(O19=50,'13_参数与假设'!$B$24,IF(O19&lt;=40,1000/('13_参数与假设'!$B$17-'13_参数与假设'!$B$18*O19),1/(1/'13_参数与假设'!$B$23+(O19-40)/10*(1/'13_参数与假设'!$B$24-1/'13_参数与假设'!$B$23)))))))))</x:f>
        <x:v>3.2225333868235198</x:v>
      </x:c>
      <x:c r="Q19" s="34" t="n">
        <x:f>L19*(1+'01_属性汇总'!T19/100+N19/100)*(1+'01_属性汇总'!U19/100)*(1+'01_属性汇总'!S19)*(1+'01_属性汇总'!V19*'13_参数与假设'!$B$7)</x:f>
        <x:v>890117.487369</x:v>
      </x:c>
      <x:c r="R19" s="34" t="n">
        <x:f>Q19*AI19*AJ19</x:f>
        <x:v>1462457.9046705398</x:v>
      </x:c>
      <x:c r="S19" s="34" t="n">
        <x:f>(R19+'01_属性汇总'!AA19)*P19*'13_参数与假设'!$B$5</x:f>
        <x:v>4477178.453393544</x:v>
      </x:c>
      <x:c r="T19" s="34" t="n">
        <x:v>1.35</x:v>
      </x:c>
      <x:c r="U19" s="34" t="n">
        <x:f>(R19*T19+'01_属性汇总'!AA19)*P19*'13_参数与假设'!$B$5</x:f>
        <x:v>6044190.9120812835</x:v>
      </x:c>
      <x:c r="V19" s="34" t="n">
        <x:f>IF(AK19&gt;0,L19*'13_参数与假设'!$B$5/MAX(0.0001,AK19),0)</x:f>
        <x:v>0</x:v>
      </x:c>
      <x:c r="W19" s="34" t="n">
        <x:f>(U19+V19)*'13_参数与假设'!$B$6</x:f>
        <x:v>4835352.729665027</x:v>
      </x:c>
      <x:c r="X19" s="36" t="n">
        <x:f>MAX(0,MIN('13_参数与假设'!$B$13,'01_属性汇总'!AL19/100,'13_参数与假设'!$B$12+'01_属性汇总'!AM19/100))</x:f>
        <x:v>0.64</x:v>
      </x:c>
      <x:c r="Y19" s="34" t="n">
        <x:f>J19/(1-X19)</x:f>
        <x:v>11797955.555555556</x:v>
      </x:c>
      <x:c r="Z19" s="34" t="n">
        <x:f>R19*T19*P19*'13_参数与假设'!$B$5*'13_参数与假设'!$B$6*MAX(0,'01_属性汇总'!AN19/100)</x:f>
        <x:v>435181.7456698524</x:v>
      </x:c>
      <x:c r="AA19" s="34" t="n">
        <x:f>Z19+'01_属性汇总'!AB19</x:f>
        <x:v>435181.7456698524</x:v>
      </x:c>
      <x:c r="AB19" s="38" t="n">
        <x:f>(1+'01_属性汇总'!AO19/100+'01_属性汇总'!AQ19*'13_参数与假设'!$B$8)*(1+'01_属性汇总'!AP19/100)</x:f>
        <x:v>26.549999999999997</x:v>
      </x:c>
      <x:c r="AC19" s="38" t="n">
        <x:f>(1+'01_属性汇总'!AO19/100+'01_属性汇总'!AQ19*'13_参数与假设'!$B$9)*(1+'01_属性汇总'!AP19/100)</x:f>
        <x:v>23.0454</x:v>
      </x:c>
      <x:c r="AD19" s="38" t="n">
        <x:f>1+MIN(1,MAX(0,'01_属性汇总'!AR19/100))</x:f>
        <x:v>1.1</x:v>
      </x:c>
      <x:c r="AE19" s="38" t="n">
        <x:f>'13_参数与假设'!$B$33</x:f>
        <x:v>1.5</x:v>
      </x:c>
      <x:c r="AF19" s="34" t="n">
        <x:f>'01_属性汇总'!AH19+IF(M19&gt;='13_参数与假设'!$B$26,'13_参数与假设'!$B$28,0)</x:f>
        <x:v>26.5</x:v>
      </x:c>
      <x:c r="AG19" s="34" t="n">
        <x:f>'01_属性汇总'!AS19</x:f>
        <x:v>10</x:v>
      </x:c>
      <x:c r="AH19" s="34" t="n">
        <x:f>'01_属性汇总'!AT19</x:f>
        <x:v>0</x:v>
      </x:c>
      <x:c r="AI19" s="34" t="n">
        <x:f>1+MIN(1,MAX(0,'01_属性汇总'!W19/100))*('13_参数与假设'!$B$10+'01_属性汇总'!X19/100-1)</x:f>
        <x:v>1.6048</x:v>
      </x:c>
      <x:c r="AJ19" s="34" t="n">
        <x:f>1+MIN(1,MAX(0,'01_属性汇总'!Y19/100))*('13_参数与假设'!$B$11+'01_属性汇总'!Z19/100-1)</x:f>
        <x:v>1.0238</x:v>
      </x:c>
      <x:c r="AK19" s="34" t="n">
        <x:v>0</x:v>
      </x:c>
    </x:row>
    <x:row r="20">
      <x:c r="A20" s="25" t="str">
        <x:v>C04-X</x:v>
      </x:c>
      <x:c r="B20" s="25" t="str">
        <x:v>利耶尼亚海域</x:v>
      </x:c>
      <x:c r="C20" s="25" t="str">
        <x:v>极端压力</x:v>
      </x:c>
      <x:c r="D20" s="34" t="n">
        <x:f>'01_属性汇总'!D20*(1+'01_属性汇总'!P20/100)</x:f>
        <x:v>209750.31</x:v>
      </x:c>
      <x:c r="E20" s="34" t="n">
        <x:f>'01_属性汇总'!E20*(1+'01_属性汇总'!P20/100)</x:f>
        <x:v>259904.61000000002</x:v>
      </x:c>
      <x:c r="F20" s="34" t="n">
        <x:f>'01_属性汇总'!F20*(1+'01_属性汇总'!Q20/100)</x:f>
        <x:v>106577.58</x:v>
      </x:c>
      <x:c r="G20" s="34" t="n">
        <x:f>'01_属性汇总'!G20*(1+'01_属性汇总'!Q20/100)</x:f>
        <x:v>135531.26</x:v>
      </x:c>
      <x:c r="H20" s="34" t="n">
        <x:f>'01_属性汇总'!H20*(1+'01_属性汇总'!R20/100)</x:f>
        <x:v>107396.5</x:v>
      </x:c>
      <x:c r="I20" s="34" t="n">
        <x:f>'01_属性汇总'!I20*(1+'01_属性汇总'!R20/100)</x:f>
        <x:v>136350.18000000002</x:v>
      </x:c>
      <x:c r="J20" s="34" t="n">
        <x:f>'01_属性汇总'!J20*(1+'01_属性汇总'!AU20/100)</x:f>
        <x:v>6577999.999999999</x:v>
      </x:c>
      <x:c r="K20" s="34" t="n">
        <x:f>'01_属性汇总'!K20</x:f>
        <x:v>180600</x:v>
      </x:c>
      <x:c r="L20" s="34" t="n">
        <x:f>D20+(E20-D20)*IF(M20&gt;='13_参数与假设'!$B$25,1,0.5+0.5*MAX(0,M20)/'13_参数与假设'!$B$25)</x:f>
        <x:v>259904.61000000002</x:v>
      </x:c>
      <x:c r="M20" s="34" t="n">
        <x:f>'01_属性汇总'!AF20+'01_属性汇总'!AG20</x:f>
        <x:v>15</x:v>
      </x:c>
      <x:c r="N20" s="34" t="n">
        <x:f>IF(M20&gt;='13_参数与假设'!$B$26,'13_参数与假设'!$B$27,0)</x:f>
        <x:v>15</x:v>
      </x:c>
      <x:c r="O20" s="34" t="n">
        <x:f>MIN('13_参数与假设'!$B$16,MAX(0,MIN('01_属性汇总'!AC20,'13_参数与假设'!$B$14+MIN('13_参数与假设'!$B$15,'01_属性汇总'!AD20))))</x:f>
        <x:v>25</x:v>
      </x:c>
      <x:c r="P20" s="34" t="n">
        <x:f>IF(O20=0,'13_参数与假设'!$B$19,IF(O20=10,'13_参数与假设'!$B$20,IF(O20=20,'13_参数与假设'!$B$21,IF(O20=30,'13_参数与假设'!$B$22,IF(O20=40,'13_参数与假设'!$B$23,IF(O20=50,'13_参数与假设'!$B$24,IF(O20&lt;=40,1000/('13_参数与假设'!$B$17-'13_参数与假设'!$B$18*O20),1/(1/'13_参数与假设'!$B$23+(O20-40)/10*(1/'13_参数与假设'!$B$24-1/'13_参数与假设'!$B$23)))))))))</x:f>
        <x:v>3.4755547119998096</x:v>
      </x:c>
      <x:c r="Q20" s="34" t="n">
        <x:f>L20*(1+'01_属性汇总'!T20/100+N20/100)*(1+'01_属性汇总'!U20/100)*(1+'01_属性汇总'!S20)*(1+'01_属性汇总'!V20*'13_参数与假设'!$B$7)</x:f>
        <x:v>2247691.7242261944</x:v>
      </x:c>
      <x:c r="R20" s="34" t="n">
        <x:f>Q20*AI20*AJ20</x:f>
        <x:v>4440339.141417965</x:v>
      </x:c>
      <x:c r="S20" s="34" t="n">
        <x:f>(R20+'01_属性汇总'!AA20)*P20*'13_参数与假设'!$B$5</x:f>
        <x:v>14661009.544540778</x:v>
      </x:c>
      <x:c r="T20" s="34" t="n">
        <x:v>1.6</x:v>
      </x:c>
      <x:c r="U20" s="34" t="n">
        <x:f>(R20*T20+'01_属性汇总'!AA20)*P20*'13_参数与假设'!$B$5</x:f>
        <x:v>23457615.271265246</x:v>
      </x:c>
      <x:c r="V20" s="34" t="n">
        <x:f>IF(AK20&gt;0,L20*'13_参数与假设'!$B$5/MAX(0.0001,AK20),0)</x:f>
        <x:v>0</x:v>
      </x:c>
      <x:c r="W20" s="34" t="n">
        <x:f>(U20+V20)*'13_参数与假设'!$B$6</x:f>
        <x:v>18766092.217012197</x:v>
      </x:c>
      <x:c r="X20" s="36" t="n">
        <x:f>MAX(0,MIN('13_参数与假设'!$B$13,'01_属性汇总'!AL20/100,'13_参数与假设'!$B$12+'01_属性汇总'!AM20/100))</x:f>
        <x:v>0.6599999999999999</x:v>
      </x:c>
      <x:c r="Y20" s="34" t="n">
        <x:f>J20/(1-X20)</x:f>
        <x:v>19347058.823529404</x:v>
      </x:c>
      <x:c r="Z20" s="34" t="n">
        <x:f>R20*T20*P20*'13_参数与假设'!$B$5*'13_参数与假设'!$B$6*MAX(0,'01_属性汇总'!AN20/100)</x:f>
        <x:v>1501287.3773609758</x:v>
      </x:c>
      <x:c r="AA20" s="34" t="n">
        <x:f>Z20+'01_属性汇总'!AB20</x:f>
        <x:v>1501287.3773609758</x:v>
      </x:c>
      <x:c r="AB20" s="38" t="n">
        <x:f>(1+'01_属性汇总'!AO20/100+'01_属性汇总'!AQ20*'13_参数与假设'!$B$8)*(1+'01_属性汇总'!AP20/100)</x:f>
        <x:v>26.549999999999997</x:v>
      </x:c>
      <x:c r="AC20" s="38" t="n">
        <x:f>(1+'01_属性汇总'!AO20/100+'01_属性汇总'!AQ20*'13_参数与假设'!$B$9)*(1+'01_属性汇总'!AP20/100)</x:f>
        <x:v>23.0454</x:v>
      </x:c>
      <x:c r="AD20" s="38" t="n">
        <x:f>1+MIN(1,MAX(0,'01_属性汇总'!AR20/100))</x:f>
        <x:v>1.1400000000000001</x:v>
      </x:c>
      <x:c r="AE20" s="38" t="n">
        <x:f>'13_参数与假设'!$B$33</x:f>
        <x:v>1.5</x:v>
      </x:c>
      <x:c r="AF20" s="34" t="n">
        <x:f>'01_属性汇总'!AH20+IF(M20&gt;='13_参数与假设'!$B$26,'13_参数与假设'!$B$28,0)</x:f>
        <x:v>33</x:v>
      </x:c>
      <x:c r="AG20" s="34" t="n">
        <x:f>'01_属性汇总'!AS20</x:f>
        <x:v>10</x:v>
      </x:c>
      <x:c r="AH20" s="34" t="n">
        <x:f>'01_属性汇总'!AT20</x:f>
        <x:v>0</x:v>
      </x:c>
      <x:c r="AI20" s="34" t="n">
        <x:f>1+MIN(1,MAX(0,'01_属性汇总'!W20/100))*('13_参数与假设'!$B$10+'01_属性汇总'!X20/100-1)</x:f>
        <x:v>1.9517000000000002</x:v>
      </x:c>
      <x:c r="AJ20" s="34" t="n">
        <x:f>1+MIN(1,MAX(0,'01_属性汇总'!Y20/100))*('13_参数与假设'!$B$11+'01_属性汇总'!Z20/100-1)</x:f>
        <x:v>1.0122</x:v>
      </x:c>
      <x:c r="AK20" s="34" t="n">
        <x:v>0</x:v>
      </x:c>
    </x:row>
    <x:row r="21">
      <x:c r="A21" s="25" t="str">
        <x:v>C05-E</x:v>
      </x:c>
      <x:c r="B21" s="25" t="str">
        <x:v>湖之利耶尼亚</x:v>
      </x:c>
      <x:c r="C21" s="25" t="str">
        <x:v>半急速入场</x:v>
      </x:c>
      <x:c r="D21" s="34" t="n">
        <x:f>'01_属性汇总'!D21*(1+'01_属性汇总'!P21/100)</x:f>
        <x:v>132472.44</x:v>
      </x:c>
      <x:c r="E21" s="34" t="n">
        <x:f>'01_属性汇总'!E21*(1+'01_属性汇总'!P21/100)</x:f>
        <x:v>157887</x:v>
      </x:c>
      <x:c r="F21" s="34" t="n">
        <x:f>'01_属性汇总'!F21*(1+'01_属性汇总'!Q21/100)</x:f>
        <x:v>76054.37</x:v>
      </x:c>
      <x:c r="G21" s="34" t="n">
        <x:f>'01_属性汇总'!G21*(1+'01_属性汇总'!Q21/100)</x:f>
        <x:v>91321.79</x:v>
      </x:c>
      <x:c r="H21" s="34" t="n">
        <x:f>'01_属性汇总'!H21*(1+'01_属性汇总'!R21/100)</x:f>
        <x:v>75973.59</x:v>
      </x:c>
      <x:c r="I21" s="34" t="n">
        <x:f>'01_属性汇总'!I21*(1+'01_属性汇总'!R21/100)</x:f>
        <x:v>91241.01</x:v>
      </x:c>
      <x:c r="J21" s="34" t="n">
        <x:f>'01_属性汇总'!J21*(1+'01_属性汇总'!AU21/100)</x:f>
        <x:v>4247264</x:v>
      </x:c>
      <x:c r="K21" s="34" t="n">
        <x:f>'01_属性汇总'!K21</x:f>
        <x:v>180600</x:v>
      </x:c>
      <x:c r="L21" s="34" t="n">
        <x:f>D21+(E21-D21)*IF(M21&gt;='13_参数与假设'!$B$25,1,0.5+0.5*MAX(0,M21)/'13_参数与假设'!$B$25)</x:f>
        <x:v>157887</x:v>
      </x:c>
      <x:c r="M21" s="34" t="n">
        <x:f>'01_属性汇总'!AF21+'01_属性汇总'!AG21</x:f>
        <x:v>15</x:v>
      </x:c>
      <x:c r="N21" s="34" t="n">
        <x:f>IF(M21&gt;='13_参数与假设'!$B$26,'13_参数与假设'!$B$27,0)</x:f>
        <x:v>15</x:v>
      </x:c>
      <x:c r="O21" s="34" t="n">
        <x:f>MIN('13_参数与假设'!$B$16,MAX(0,MIN('01_属性汇总'!AC21,'13_参数与假设'!$B$14+MIN('13_参数与假设'!$B$15,'01_属性汇总'!AD21))))</x:f>
        <x:v>23</x:v>
      </x:c>
      <x:c r="P21" s="34" t="n">
        <x:f>IF(O21=0,'13_参数与假设'!$B$19,IF(O21=10,'13_参数与假设'!$B$20,IF(O21=20,'13_参数与假设'!$B$21,IF(O21=30,'13_参数与假设'!$B$22,IF(O21=40,'13_参数与假设'!$B$23,IF(O21=50,'13_参数与假设'!$B$24,IF(O21&lt;=40,1000/('13_参数与假设'!$B$17-'13_参数与假设'!$B$18*O21),1/(1/'13_参数与假设'!$B$23+(O21-40)/10*(1/'13_参数与假设'!$B$24-1/'13_参数与假设'!$B$23)))))))))</x:f>
        <x:v>3.2225333868235198</x:v>
      </x:c>
      <x:c r="Q21" s="34" t="n">
        <x:f>L21*(1+'01_属性汇总'!T21/100+N21/100)*(1+'01_属性汇总'!U21/100)*(1+'01_属性汇总'!S21)*(1+'01_属性汇总'!V21*'13_参数与假设'!$B$7)</x:f>
        <x:v>890117.487369</x:v>
      </x:c>
      <x:c r="R21" s="34" t="n">
        <x:f>Q21*AI21*AJ21</x:f>
        <x:v>1462457.9046705398</x:v>
      </x:c>
      <x:c r="S21" s="34" t="n">
        <x:f>(R21+'01_属性汇总'!AA21)*P21*'13_参数与假设'!$B$5</x:f>
        <x:v>4477178.453393544</x:v>
      </x:c>
      <x:c r="T21" s="34" t="n">
        <x:v>1.35</x:v>
      </x:c>
      <x:c r="U21" s="34" t="n">
        <x:f>(R21*T21+'01_属性汇总'!AA21)*P21*'13_参数与假设'!$B$5</x:f>
        <x:v>6044190.9120812835</x:v>
      </x:c>
      <x:c r="V21" s="34" t="n">
        <x:f>IF(AK21&gt;0,L21*'13_参数与假设'!$B$5/MAX(0.0001,AK21),0)</x:f>
        <x:v>0</x:v>
      </x:c>
      <x:c r="W21" s="34" t="n">
        <x:f>(U21+V21)*'13_参数与假设'!$B$6</x:f>
        <x:v>4835352.729665027</x:v>
      </x:c>
      <x:c r="X21" s="36" t="n">
        <x:f>MAX(0,MIN('13_参数与假设'!$B$13,'01_属性汇总'!AL21/100,'13_参数与假设'!$B$12+'01_属性汇总'!AM21/100))</x:f>
        <x:v>0.64</x:v>
      </x:c>
      <x:c r="Y21" s="34" t="n">
        <x:f>J21/(1-X21)</x:f>
        <x:v>11797955.555555556</x:v>
      </x:c>
      <x:c r="Z21" s="34" t="n">
        <x:f>R21*T21*P21*'13_参数与假设'!$B$5*'13_参数与假设'!$B$6*MAX(0,'01_属性汇总'!AN21/100)</x:f>
        <x:v>435181.7456698524</x:v>
      </x:c>
      <x:c r="AA21" s="34" t="n">
        <x:f>Z21+'01_属性汇总'!AB21</x:f>
        <x:v>435181.7456698524</x:v>
      </x:c>
      <x:c r="AB21" s="38" t="n">
        <x:f>(1+'01_属性汇总'!AO21/100+'01_属性汇总'!AQ21*'13_参数与假设'!$B$8)*(1+'01_属性汇总'!AP21/100)</x:f>
        <x:v>26.549999999999997</x:v>
      </x:c>
      <x:c r="AC21" s="38" t="n">
        <x:f>(1+'01_属性汇总'!AO21/100+'01_属性汇总'!AQ21*'13_参数与假设'!$B$9)*(1+'01_属性汇总'!AP21/100)</x:f>
        <x:v>23.0454</x:v>
      </x:c>
      <x:c r="AD21" s="38" t="n">
        <x:f>1+MIN(1,MAX(0,'01_属性汇总'!AR21/100))</x:f>
        <x:v>1.1</x:v>
      </x:c>
      <x:c r="AE21" s="38" t="n">
        <x:f>'13_参数与假设'!$B$33</x:f>
        <x:v>1.5</x:v>
      </x:c>
      <x:c r="AF21" s="34" t="n">
        <x:f>'01_属性汇总'!AH21+IF(M21&gt;='13_参数与假设'!$B$26,'13_参数与假设'!$B$28,0)</x:f>
        <x:v>26.5</x:v>
      </x:c>
      <x:c r="AG21" s="34" t="n">
        <x:f>'01_属性汇总'!AS21</x:f>
        <x:v>10</x:v>
      </x:c>
      <x:c r="AH21" s="34" t="n">
        <x:f>'01_属性汇总'!AT21</x:f>
        <x:v>0</x:v>
      </x:c>
      <x:c r="AI21" s="34" t="n">
        <x:f>1+MIN(1,MAX(0,'01_属性汇总'!W21/100))*('13_参数与假设'!$B$10+'01_属性汇总'!X21/100-1)</x:f>
        <x:v>1.6048</x:v>
      </x:c>
      <x:c r="AJ21" s="34" t="n">
        <x:f>1+MIN(1,MAX(0,'01_属性汇总'!Y21/100))*('13_参数与假设'!$B$11+'01_属性汇总'!Z21/100-1)</x:f>
        <x:v>1.0238</x:v>
      </x:c>
      <x:c r="AK21" s="34" t="n">
        <x:v>0</x:v>
      </x:c>
    </x:row>
    <x:row r="22">
      <x:c r="A22" s="25" t="str">
        <x:v>C05-M</x:v>
      </x:c>
      <x:c r="B22" s="25" t="str">
        <x:v>湖之利耶尼亚</x:v>
      </x:c>
      <x:c r="C22" s="25" t="str">
        <x:v>半急速中期</x:v>
      </x:c>
      <x:c r="D22" s="34" t="n">
        <x:f>'01_属性汇总'!D22*(1+'01_属性汇总'!P22/100)</x:f>
        <x:v>177453.06</x:v>
      </x:c>
      <x:c r="E22" s="34" t="n">
        <x:f>'01_属性汇总'!E22*(1+'01_属性汇总'!P22/100)</x:f>
        <x:v>203005.95</x:v>
      </x:c>
      <x:c r="F22" s="34" t="n">
        <x:f>'01_属性汇总'!F22*(1+'01_属性汇总'!Q22/100)</x:f>
        <x:v>101347.68</x:v>
      </x:c>
      <x:c r="G22" s="34" t="n">
        <x:f>'01_属性汇总'!G22*(1+'01_属性汇总'!Q22/100)</x:f>
        <x:v>116659.2</x:v>
      </x:c>
      <x:c r="H22" s="34" t="n">
        <x:f>'01_属性汇总'!H22*(1+'01_属性汇总'!R22/100)</x:f>
        <x:v>101929.8</x:v>
      </x:c>
      <x:c r="I22" s="34" t="n">
        <x:f>'01_属性汇总'!I22*(1+'01_属性汇总'!R22/100)</x:f>
        <x:v>117241.31999999999</x:v>
      </x:c>
      <x:c r="J22" s="34" t="n">
        <x:f>'01_属性汇总'!J22*(1+'01_属性汇总'!AU22/100)</x:f>
        <x:v>4587744</x:v>
      </x:c>
      <x:c r="K22" s="34" t="n">
        <x:f>'01_属性汇总'!K22</x:f>
        <x:v>380650</x:v>
      </x:c>
      <x:c r="L22" s="34" t="n">
        <x:f>D22+(E22-D22)*IF(M22&gt;='13_参数与假设'!$B$25,1,0.5+0.5*MAX(0,M22)/'13_参数与假设'!$B$25)</x:f>
        <x:v>203005.95</x:v>
      </x:c>
      <x:c r="M22" s="34" t="n">
        <x:f>'01_属性汇总'!AF22+'01_属性汇总'!AG22</x:f>
        <x:v>15</x:v>
      </x:c>
      <x:c r="N22" s="34" t="n">
        <x:f>IF(M22&gt;='13_参数与假设'!$B$26,'13_参数与假设'!$B$27,0)</x:f>
        <x:v>15</x:v>
      </x:c>
      <x:c r="O22" s="34" t="n">
        <x:f>MIN('13_参数与假设'!$B$16,MAX(0,MIN('01_属性汇总'!AC22,'13_参数与假设'!$B$14+MIN('13_参数与假设'!$B$15,'01_属性汇总'!AD22))))</x:f>
        <x:v>23</x:v>
      </x:c>
      <x:c r="P22" s="34" t="n">
        <x:f>IF(O22=0,'13_参数与假设'!$B$19,IF(O22=10,'13_参数与假设'!$B$20,IF(O22=20,'13_参数与假设'!$B$21,IF(O22=30,'13_参数与假设'!$B$22,IF(O22=40,'13_参数与假设'!$B$23,IF(O22=50,'13_参数与假设'!$B$24,IF(O22&lt;=40,1000/('13_参数与假设'!$B$17-'13_参数与假设'!$B$18*O22),1/(1/'13_参数与假设'!$B$23+(O22-40)/10*(1/'13_参数与假设'!$B$24-1/'13_参数与假设'!$B$23)))))))))</x:f>
        <x:v>3.2225333868235198</x:v>
      </x:c>
      <x:c r="Q22" s="34" t="n">
        <x:f>L22*(1+'01_属性汇总'!T22/100+N22/100)*(1+'01_属性汇总'!U22/100)*(1+'01_属性汇总'!S22)*(1+'01_属性汇总'!V22*'13_参数与假设'!$B$7)</x:f>
        <x:v>1269356.1969373738</x:v>
      </x:c>
      <x:c r="R22" s="34" t="n">
        <x:f>Q22*AI22*AJ22</x:f>
        <x:v>2081609.7381560372</x:v>
      </x:c>
      <x:c r="S22" s="34" t="n">
        <x:f>(R22+'01_属性汇总'!AA22)*P22*'13_参数与假设'!$B$5</x:f>
        <x:v>6372654.035567555</x:v>
      </x:c>
      <x:c r="T22" s="34" t="n">
        <x:v>1.35</x:v>
      </x:c>
      <x:c r="U22" s="34" t="n">
        <x:f>(R22*T22+'01_属性汇总'!AA22)*P22*'13_参数与假设'!$B$5</x:f>
        <x:v>8603082.948016198</x:v>
      </x:c>
      <x:c r="V22" s="34" t="n">
        <x:f>IF(AK22&gt;0,L22*'13_参数与假设'!$B$5/MAX(0.0001,AK22),0)</x:f>
        <x:v>0</x:v>
      </x:c>
      <x:c r="W22" s="34" t="n">
        <x:f>(U22+V22)*'13_参数与假设'!$B$6</x:f>
        <x:v>6882466.358412959</x:v>
      </x:c>
      <x:c r="X22" s="36" t="n">
        <x:f>MAX(0,MIN('13_参数与假设'!$B$13,'01_属性汇总'!AL22/100,'13_参数与假设'!$B$12+'01_属性汇总'!AM22/100))</x:f>
        <x:v>0.63</x:v>
      </x:c>
      <x:c r="Y22" s="34" t="n">
        <x:f>J22/(1-X22)</x:f>
        <x:v>12399308.108108109</x:v>
      </x:c>
      <x:c r="Z22" s="34" t="n">
        <x:f>R22*T22*P22*'13_参数与假设'!$B$5*'13_参数与假设'!$B$6*MAX(0,'01_属性汇总'!AN22/100)</x:f>
        <x:v>671040.4699452635</x:v>
      </x:c>
      <x:c r="AA22" s="34" t="n">
        <x:f>Z22+'01_属性汇总'!AB22</x:f>
        <x:v>671040.4699452635</x:v>
      </x:c>
      <x:c r="AB22" s="38" t="n">
        <x:f>(1+'01_属性汇总'!AO22/100+'01_属性汇总'!AQ22*'13_参数与假设'!$B$8)*(1+'01_属性汇总'!AP22/100)</x:f>
        <x:v>32.449999999999996</x:v>
      </x:c>
      <x:c r="AC22" s="38" t="n">
        <x:f>(1+'01_属性汇总'!AO22/100+'01_属性汇总'!AQ22*'13_参数与假设'!$B$9)*(1+'01_属性汇总'!AP22/100)</x:f>
        <x:v>28.9454</x:v>
      </x:c>
      <x:c r="AD22" s="38" t="n">
        <x:f>1+MIN(1,MAX(0,'01_属性汇总'!AR22/100))</x:f>
        <x:v>1.1</x:v>
      </x:c>
      <x:c r="AE22" s="38" t="n">
        <x:f>'13_参数与假设'!$B$33</x:f>
        <x:v>1.5</x:v>
      </x:c>
      <x:c r="AF22" s="34" t="n">
        <x:f>'01_属性汇总'!AH22+IF(M22&gt;='13_参数与假设'!$B$26,'13_参数与假设'!$B$28,0)</x:f>
        <x:v>25.5</x:v>
      </x:c>
      <x:c r="AG22" s="34" t="n">
        <x:f>'01_属性汇总'!AS22</x:f>
        <x:v>10</x:v>
      </x:c>
      <x:c r="AH22" s="34" t="n">
        <x:f>'01_属性汇总'!AT22</x:f>
        <x:v>0</x:v>
      </x:c>
      <x:c r="AI22" s="34" t="n">
        <x:f>1+MIN(1,MAX(0,'01_属性汇总'!W22/100))*('13_参数与假设'!$B$10+'01_属性汇总'!X22/100-1)</x:f>
        <x:v>1.5478</x:v>
      </x:c>
      <x:c r="AJ22" s="34" t="n">
        <x:f>1+MIN(1,MAX(0,'01_属性汇总'!Y22/100))*('13_参数与假设'!$B$11+'01_属性汇总'!Z22/100-1)</x:f>
        <x:v>1.0594999999999999</x:v>
      </x:c>
      <x:c r="AK22" s="34" t="n">
        <x:v>0</x:v>
      </x:c>
    </x:row>
    <x:row r="23">
      <x:c r="A23" s="25" t="str">
        <x:v>C05-G</x:v>
      </x:c>
      <x:c r="B23" s="25" t="str">
        <x:v>湖之利耶尼亚</x:v>
      </x:c>
      <x:c r="C23" s="25" t="str">
        <x:v>半急速毕业</x:v>
      </x:c>
      <x:c r="D23" s="34" t="n">
        <x:f>'01_属性汇总'!D23*(1+'01_属性汇总'!P23/100)</x:f>
        <x:v>303318.32999999996</x:v>
      </x:c>
      <x:c r="E23" s="34" t="n">
        <x:f>'01_属性汇总'!E23*(1+'01_属性汇总'!P23/100)</x:f>
        <x:v>368351.12999999995</x:v>
      </x:c>
      <x:c r="F23" s="34" t="n">
        <x:f>'01_属性汇总'!F23*(1+'01_属性汇总'!Q23/100)</x:f>
        <x:v>155618.75</x:v>
      </x:c>
      <x:c r="G23" s="34" t="n">
        <x:f>'01_属性汇总'!G23*(1+'01_属性汇总'!Q23/100)</x:f>
        <x:v>194987.5</x:v>
      </x:c>
      <x:c r="H23" s="34" t="n">
        <x:f>'01_属性汇总'!H23*(1+'01_属性汇总'!R23/100)</x:f>
        <x:v>152793.75</x:v>
      </x:c>
      <x:c r="I23" s="34" t="n">
        <x:f>'01_属性汇总'!I23*(1+'01_属性汇总'!R23/100)</x:f>
        <x:v>192162.5</x:v>
      </x:c>
      <x:c r="J23" s="34" t="n">
        <x:f>'01_属性汇总'!J23*(1+'01_属性汇总'!AU23/100)</x:f>
        <x:v>7264422.000000001</x:v>
      </x:c>
      <x:c r="K23" s="34" t="n">
        <x:f>'01_属性汇总'!K23</x:f>
        <x:v>380700</x:v>
      </x:c>
      <x:c r="L23" s="34" t="n">
        <x:f>D23+(E23-D23)*IF(M23&gt;='13_参数与假设'!$B$25,1,0.5+0.5*MAX(0,M23)/'13_参数与假设'!$B$25)</x:f>
        <x:v>368351.12999999995</x:v>
      </x:c>
      <x:c r="M23" s="34" t="n">
        <x:f>'01_属性汇总'!AF23+'01_属性汇总'!AG23</x:f>
        <x:v>15</x:v>
      </x:c>
      <x:c r="N23" s="34" t="n">
        <x:f>IF(M23&gt;='13_参数与假设'!$B$26,'13_参数与假设'!$B$27,0)</x:f>
        <x:v>15</x:v>
      </x:c>
      <x:c r="O23" s="34" t="n">
        <x:f>MIN('13_参数与假设'!$B$16,MAX(0,MIN('01_属性汇总'!AC23,'13_参数与假设'!$B$14+MIN('13_参数与假设'!$B$15,'01_属性汇总'!AD23))))</x:f>
        <x:v>25</x:v>
      </x:c>
      <x:c r="P23" s="34" t="n">
        <x:f>IF(O23=0,'13_参数与假设'!$B$19,IF(O23=10,'13_参数与假设'!$B$20,IF(O23=20,'13_参数与假设'!$B$21,IF(O23=30,'13_参数与假设'!$B$22,IF(O23=40,'13_参数与假设'!$B$23,IF(O23=50,'13_参数与假设'!$B$24,IF(O23&lt;=40,1000/('13_参数与假设'!$B$17-'13_参数与假设'!$B$18*O23),1/(1/'13_参数与假设'!$B$23+(O23-40)/10*(1/'13_参数与假设'!$B$24-1/'13_参数与假设'!$B$23)))))))))</x:f>
        <x:v>3.4755547119998096</x:v>
      </x:c>
      <x:c r="Q23" s="34" t="n">
        <x:f>L23*(1+'01_属性汇总'!T23/100+N23/100)*(1+'01_属性汇总'!U23/100)*(1+'01_属性汇总'!S23)*(1+'01_属性汇总'!V23*'13_参数与假设'!$B$7)</x:f>
        <x:v>2566129.6986364364</x:v>
      </x:c>
      <x:c r="R23" s="34" t="n">
        <x:f>Q23*AI23*AJ23</x:f>
        <x:v>4011370.7372463536</x:v>
      </x:c>
      <x:c r="S23" s="34" t="n">
        <x:f>(R23+'01_属性汇总'!AA23)*P23*'13_参数与假设'!$B$5</x:f>
        <x:v>13244651.544043979</x:v>
      </x:c>
      <x:c r="T23" s="34" t="n">
        <x:v>1.35</x:v>
      </x:c>
      <x:c r="U23" s="34" t="n">
        <x:f>(R23*T23+'01_属性汇总'!AA23)*P23*'13_参数与假设'!$B$5</x:f>
        <x:v>17880279.58445937</x:v>
      </x:c>
      <x:c r="V23" s="34" t="n">
        <x:f>IF(AK23&gt;0,L23*'13_参数与假设'!$B$5/MAX(0.0001,AK23),0)</x:f>
        <x:v>0</x:v>
      </x:c>
      <x:c r="W23" s="34" t="n">
        <x:f>(U23+V23)*'13_参数与假设'!$B$6</x:f>
        <x:v>14304223.667567495</x:v>
      </x:c>
      <x:c r="X23" s="36" t="n">
        <x:f>MAX(0,MIN('13_参数与假设'!$B$13,'01_属性汇总'!AL23/100,'13_参数与假设'!$B$12+'01_属性汇总'!AM23/100))</x:f>
        <x:v>0.63</x:v>
      </x:c>
      <x:c r="Y23" s="34" t="n">
        <x:f>J23/(1-X23)</x:f>
        <x:v>19633572.972972974</x:v>
      </x:c>
      <x:c r="Z23" s="34" t="n">
        <x:f>R23*T23*P23*'13_参数与假设'!$B$5*'13_参数与假设'!$B$6*MAX(0,'01_属性汇总'!AN23/100)</x:f>
        <x:v>1394661.8075878308</x:v>
      </x:c>
      <x:c r="AA23" s="34" t="n">
        <x:f>Z23+'01_属性汇总'!AB23</x:f>
        <x:v>1394661.8075878308</x:v>
      </x:c>
      <x:c r="AB23" s="38" t="n">
        <x:f>(1+'01_属性汇总'!AO23/100+'01_属性汇总'!AQ23*'13_参数与假设'!$B$8)*(1+'01_属性汇总'!AP23/100)</x:f>
        <x:v>32.449999999999996</x:v>
      </x:c>
      <x:c r="AC23" s="38" t="n">
        <x:f>(1+'01_属性汇总'!AO23/100+'01_属性汇总'!AQ23*'13_参数与假设'!$B$9)*(1+'01_属性汇总'!AP23/100)</x:f>
        <x:v>28.9454</x:v>
      </x:c>
      <x:c r="AD23" s="38" t="n">
        <x:f>1+MIN(1,MAX(0,'01_属性汇总'!AR23/100))</x:f>
        <x:v>1.1</x:v>
      </x:c>
      <x:c r="AE23" s="38" t="n">
        <x:f>'13_参数与假设'!$B$33</x:f>
        <x:v>1.5</x:v>
      </x:c>
      <x:c r="AF23" s="34" t="n">
        <x:f>'01_属性汇总'!AH23+IF(M23&gt;='13_参数与假设'!$B$26,'13_参数与假设'!$B$28,0)</x:f>
        <x:v>28.5</x:v>
      </x:c>
      <x:c r="AG23" s="34" t="n">
        <x:f>'01_属性汇总'!AS23</x:f>
        <x:v>10</x:v>
      </x:c>
      <x:c r="AH23" s="34" t="n">
        <x:f>'01_属性汇总'!AT23</x:f>
        <x:v>0</x:v>
      </x:c>
      <x:c r="AI23" s="34" t="n">
        <x:f>1+MIN(1,MAX(0,'01_属性汇总'!W23/100))*('13_参数与假设'!$B$10+'01_属性汇总'!X23/100-1)</x:f>
        <x:v>1.5438999999999998</x:v>
      </x:c>
      <x:c r="AJ23" s="34" t="n">
        <x:f>1+MIN(1,MAX(0,'01_属性汇总'!Y23/100))*('13_参数与假设'!$B$11+'01_属性汇总'!Z23/100-1)</x:f>
        <x:v>1.0125</x:v>
      </x:c>
      <x:c r="AK23" s="34" t="n">
        <x:v>0</x:v>
      </x:c>
    </x:row>
    <x:row r="24">
      <x:c r="A24" s="25" t="str">
        <x:v>C05-X</x:v>
      </x:c>
      <x:c r="B24" s="25" t="str">
        <x:v>湖之利耶尼亚</x:v>
      </x:c>
      <x:c r="C24" s="25" t="str">
        <x:v>极端压力</x:v>
      </x:c>
      <x:c r="D24" s="34" t="n">
        <x:f>'01_属性汇总'!D24*(1+'01_属性汇总'!P24/100)</x:f>
        <x:v>360312.48</x:v>
      </x:c>
      <x:c r="E24" s="34" t="n">
        <x:f>'01_属性汇总'!E24*(1+'01_属性汇总'!P24/100)</x:f>
        <x:v>446060.16</x:v>
      </x:c>
      <x:c r="F24" s="34" t="n">
        <x:f>'01_属性汇总'!F24*(1+'01_属性汇总'!Q24/100)</x:f>
        <x:v>192573.3</x:v>
      </x:c>
      <x:c r="G24" s="34" t="n">
        <x:f>'01_属性汇总'!G24*(1+'01_属性汇总'!Q24/100)</x:f>
        <x:v>247569.9</x:v>
      </x:c>
      <x:c r="H24" s="34" t="n">
        <x:f>'01_属性汇总'!H24*(1+'01_属性汇总'!R24/100)</x:f>
        <x:v>190393.59999999998</x:v>
      </x:c>
      <x:c r="I24" s="34" t="n">
        <x:f>'01_属性汇总'!I24*(1+'01_属性汇总'!R24/100)</x:f>
        <x:v>245390.19999999998</x:v>
      </x:c>
      <x:c r="J24" s="34" t="n">
        <x:f>'01_属性汇总'!J24*(1+'01_属性汇总'!AU24/100)</x:f>
        <x:v>10286406</x:v>
      </x:c>
      <x:c r="K24" s="34" t="n">
        <x:f>'01_属性汇总'!K24</x:f>
        <x:v>380700</x:v>
      </x:c>
      <x:c r="L24" s="34" t="n">
        <x:f>D24+(E24-D24)*IF(M24&gt;='13_参数与假设'!$B$25,1,0.5+0.5*MAX(0,M24)/'13_参数与假设'!$B$25)</x:f>
        <x:v>446060.16</x:v>
      </x:c>
      <x:c r="M24" s="34" t="n">
        <x:f>'01_属性汇总'!AF24+'01_属性汇总'!AG24</x:f>
        <x:v>15</x:v>
      </x:c>
      <x:c r="N24" s="34" t="n">
        <x:f>IF(M24&gt;='13_参数与假设'!$B$26,'13_参数与假设'!$B$27,0)</x:f>
        <x:v>15</x:v>
      </x:c>
      <x:c r="O24" s="34" t="n">
        <x:f>MIN('13_参数与假设'!$B$16,MAX(0,MIN('01_属性汇总'!AC24,'13_参数与假设'!$B$14+MIN('13_参数与假设'!$B$15,'01_属性汇总'!AD24))))</x:f>
        <x:v>27</x:v>
      </x:c>
      <x:c r="P24" s="34" t="n">
        <x:f>IF(O24=0,'13_参数与假设'!$B$19,IF(O24=10,'13_参数与假设'!$B$20,IF(O24=20,'13_参数与假设'!$B$21,IF(O24=30,'13_参数与假设'!$B$22,IF(O24=40,'13_参数与假设'!$B$23,IF(O24=50,'13_参数与假设'!$B$24,IF(O24&lt;=40,1000/('13_参数与假设'!$B$17-'13_参数与假设'!$B$18*O24),1/(1/'13_参数与假设'!$B$23+(O24-40)/10*(1/'13_参数与假设'!$B$24-1/'13_参数与假设'!$B$23)))))))))</x:f>
        <x:v>3.7716940913647403</x:v>
      </x:c>
      <x:c r="Q24" s="34" t="n">
        <x:f>L24*(1+'01_属性汇总'!T24/100+N24/100)*(1+'01_属性汇总'!U24/100)*(1+'01_属性汇总'!S24)*(1+'01_属性汇总'!V24*'13_参数与假设'!$B$7)</x:f>
        <x:v>4520462.382805823</x:v>
      </x:c>
      <x:c r="R24" s="34" t="n">
        <x:f>Q24*AI24*AJ24</x:f>
        <x:v>9376033.739174984</x:v>
      </x:c>
      <x:c r="S24" s="34" t="n">
        <x:f>(R24+'01_属性汇总'!AA24)*P24*'13_参数与假设'!$B$5</x:f>
        <x:v>33595354.501758605</x:v>
      </x:c>
      <x:c r="T24" s="34" t="n">
        <x:v>1.6</x:v>
      </x:c>
      <x:c r="U24" s="34" t="n">
        <x:f>(R24*T24+'01_属性汇总'!AA24)*P24*'13_参数与假设'!$B$5</x:f>
        <x:v>53752567.20281377</x:v>
      </x:c>
      <x:c r="V24" s="34" t="n">
        <x:f>IF(AK24&gt;0,L24*'13_参数与假设'!$B$5/MAX(0.0001,AK24),0)</x:f>
        <x:v>0</x:v>
      </x:c>
      <x:c r="W24" s="34" t="n">
        <x:f>(U24+V24)*'13_参数与假设'!$B$6</x:f>
        <x:v>43002053.76225102</x:v>
      </x:c>
      <x:c r="X24" s="36" t="n">
        <x:f>MAX(0,MIN('13_参数与假设'!$B$13,'01_属性汇总'!AL24/100,'13_参数与假设'!$B$12+'01_属性汇总'!AM24/100))</x:f>
        <x:v>0.65</x:v>
      </x:c>
      <x:c r="Y24" s="34" t="n">
        <x:f>J24/(1-X24)</x:f>
        <x:v>29389731.42857143</x:v>
      </x:c>
      <x:c r="Z24" s="34" t="n">
        <x:f>R24*T24*P24*'13_参数与假设'!$B$5*'13_参数与假设'!$B$6*MAX(0,'01_属性汇总'!AN24/100)</x:f>
        <x:v>3870184.838602592</x:v>
      </x:c>
      <x:c r="AA24" s="34" t="n">
        <x:f>Z24+'01_属性汇总'!AB24</x:f>
        <x:v>3870184.838602592</x:v>
      </x:c>
      <x:c r="AB24" s="38" t="n">
        <x:f>(1+'01_属性汇总'!AO24/100+'01_属性汇总'!AQ24*'13_参数与假设'!$B$8)*(1+'01_属性汇总'!AP24/100)</x:f>
        <x:v>32.175</x:v>
      </x:c>
      <x:c r="AC24" s="38" t="n">
        <x:f>(1+'01_属性汇总'!AO24/100+'01_属性汇总'!AQ24*'13_参数与假设'!$B$9)*(1+'01_属性汇总'!AP24/100)</x:f>
        <x:v>28.7001</x:v>
      </x:c>
      <x:c r="AD24" s="38" t="n">
        <x:f>1+MIN(1,MAX(0,'01_属性汇总'!AR24/100))</x:f>
        <x:v>1.15</x:v>
      </x:c>
      <x:c r="AE24" s="38" t="n">
        <x:f>'13_参数与假设'!$B$33</x:f>
        <x:v>1.5</x:v>
      </x:c>
      <x:c r="AF24" s="34" t="n">
        <x:f>'01_属性汇总'!AH24+IF(M24&gt;='13_参数与假设'!$B$26,'13_参数与假设'!$B$28,0)</x:f>
        <x:v>36</x:v>
      </x:c>
      <x:c r="AG24" s="34" t="n">
        <x:f>'01_属性汇总'!AS24</x:f>
        <x:v>10</x:v>
      </x:c>
      <x:c r="AH24" s="34" t="n">
        <x:f>'01_属性汇总'!AT24</x:f>
        <x:v>2</x:v>
      </x:c>
      <x:c r="AI24" s="34" t="n">
        <x:f>1+MIN(1,MAX(0,'01_属性汇总'!W24/100))*('13_参数与假设'!$B$10+'01_属性汇总'!X24/100-1)</x:f>
        <x:v>2.0461</x:v>
      </x:c>
      <x:c r="AJ24" s="34" t="n">
        <x:f>1+MIN(1,MAX(0,'01_属性汇总'!Y24/100))*('13_参数与假设'!$B$11+'01_属性汇总'!Z24/100-1)</x:f>
        <x:v>1.0137</x:v>
      </x:c>
      <x:c r="AK24" s="34" t="n">
        <x:v>0</x:v>
      </x:c>
    </x:row>
    <x:row r="25">
      <x:c r="A25" s="25" t="str">
        <x:v>C06-E</x:v>
      </x:c>
      <x:c r="B25" s="25" t="str">
        <x:v>盖利德</x:v>
      </x:c>
      <x:c r="C25" s="25" t="str">
        <x:v>半急速入场</x:v>
      </x:c>
      <x:c r="D25" s="34" t="n">
        <x:f>'01_属性汇总'!D25*(1+'01_属性汇总'!P25/100)</x:f>
        <x:v>303318.32999999996</x:v>
      </x:c>
      <x:c r="E25" s="34" t="n">
        <x:f>'01_属性汇总'!E25*(1+'01_属性汇总'!P25/100)</x:f>
        <x:v>368351.12999999995</x:v>
      </x:c>
      <x:c r="F25" s="34" t="n">
        <x:f>'01_属性汇总'!F25*(1+'01_属性汇总'!Q25/100)</x:f>
        <x:v>155618.75</x:v>
      </x:c>
      <x:c r="G25" s="34" t="n">
        <x:f>'01_属性汇总'!G25*(1+'01_属性汇总'!Q25/100)</x:f>
        <x:v>194987.5</x:v>
      </x:c>
      <x:c r="H25" s="34" t="n">
        <x:f>'01_属性汇总'!H25*(1+'01_属性汇总'!R25/100)</x:f>
        <x:v>152793.75</x:v>
      </x:c>
      <x:c r="I25" s="34" t="n">
        <x:f>'01_属性汇总'!I25*(1+'01_属性汇总'!R25/100)</x:f>
        <x:v>192162.5</x:v>
      </x:c>
      <x:c r="J25" s="34" t="n">
        <x:f>'01_属性汇总'!J25*(1+'01_属性汇总'!AU25/100)</x:f>
        <x:v>7264422.000000001</x:v>
      </x:c>
      <x:c r="K25" s="34" t="n">
        <x:f>'01_属性汇总'!K25</x:f>
        <x:v>380700</x:v>
      </x:c>
      <x:c r="L25" s="34" t="n">
        <x:f>D25+(E25-D25)*IF(M25&gt;='13_参数与假设'!$B$25,1,0.5+0.5*MAX(0,M25)/'13_参数与假设'!$B$25)</x:f>
        <x:v>368351.12999999995</x:v>
      </x:c>
      <x:c r="M25" s="34" t="n">
        <x:f>'01_属性汇总'!AF25+'01_属性汇总'!AG25</x:f>
        <x:v>15</x:v>
      </x:c>
      <x:c r="N25" s="34" t="n">
        <x:f>IF(M25&gt;='13_参数与假设'!$B$26,'13_参数与假设'!$B$27,0)</x:f>
        <x:v>15</x:v>
      </x:c>
      <x:c r="O25" s="34" t="n">
        <x:f>MIN('13_参数与假设'!$B$16,MAX(0,MIN('01_属性汇总'!AC25,'13_参数与假设'!$B$14+MIN('13_参数与假设'!$B$15,'01_属性汇总'!AD25))))</x:f>
        <x:v>25</x:v>
      </x:c>
      <x:c r="P25" s="34" t="n">
        <x:f>IF(O25=0,'13_参数与假设'!$B$19,IF(O25=10,'13_参数与假设'!$B$20,IF(O25=20,'13_参数与假设'!$B$21,IF(O25=30,'13_参数与假设'!$B$22,IF(O25=40,'13_参数与假设'!$B$23,IF(O25=50,'13_参数与假设'!$B$24,IF(O25&lt;=40,1000/('13_参数与假设'!$B$17-'13_参数与假设'!$B$18*O25),1/(1/'13_参数与假设'!$B$23+(O25-40)/10*(1/'13_参数与假设'!$B$24-1/'13_参数与假设'!$B$23)))))))))</x:f>
        <x:v>3.4755547119998096</x:v>
      </x:c>
      <x:c r="Q25" s="34" t="n">
        <x:f>L25*(1+'01_属性汇总'!T25/100+N25/100)*(1+'01_属性汇总'!U25/100)*(1+'01_属性汇总'!S25)*(1+'01_属性汇总'!V25*'13_参数与假设'!$B$7)</x:f>
        <x:v>2566129.6986364364</x:v>
      </x:c>
      <x:c r="R25" s="34" t="n">
        <x:f>Q25*AI25*AJ25</x:f>
        <x:v>4011370.7372463536</x:v>
      </x:c>
      <x:c r="S25" s="34" t="n">
        <x:f>(R25+'01_属性汇总'!AA25)*P25*'13_参数与假设'!$B$5</x:f>
        <x:v>13244651.544043979</x:v>
      </x:c>
      <x:c r="T25" s="34" t="n">
        <x:v>1.35</x:v>
      </x:c>
      <x:c r="U25" s="34" t="n">
        <x:f>(R25*T25+'01_属性汇总'!AA25)*P25*'13_参数与假设'!$B$5</x:f>
        <x:v>17880279.58445937</x:v>
      </x:c>
      <x:c r="V25" s="34" t="n">
        <x:f>IF(AK25&gt;0,L25*'13_参数与假设'!$B$5/MAX(0.0001,AK25),0)</x:f>
        <x:v>0</x:v>
      </x:c>
      <x:c r="W25" s="34" t="n">
        <x:f>(U25+V25)*'13_参数与假设'!$B$6</x:f>
        <x:v>14304223.667567495</x:v>
      </x:c>
      <x:c r="X25" s="36" t="n">
        <x:f>MAX(0,MIN('13_参数与假设'!$B$13,'01_属性汇总'!AL25/100,'13_参数与假设'!$B$12+'01_属性汇总'!AM25/100))</x:f>
        <x:v>0.63</x:v>
      </x:c>
      <x:c r="Y25" s="34" t="n">
        <x:f>J25/(1-X25)</x:f>
        <x:v>19633572.972972974</x:v>
      </x:c>
      <x:c r="Z25" s="34" t="n">
        <x:f>R25*T25*P25*'13_参数与假设'!$B$5*'13_参数与假设'!$B$6*MAX(0,'01_属性汇总'!AN25/100)</x:f>
        <x:v>1394661.8075878308</x:v>
      </x:c>
      <x:c r="AA25" s="34" t="n">
        <x:f>Z25+'01_属性汇总'!AB25</x:f>
        <x:v>1394661.8075878308</x:v>
      </x:c>
      <x:c r="AB25" s="38" t="n">
        <x:f>(1+'01_属性汇总'!AO25/100+'01_属性汇总'!AQ25*'13_参数与假设'!$B$8)*(1+'01_属性汇总'!AP25/100)</x:f>
        <x:v>32.449999999999996</x:v>
      </x:c>
      <x:c r="AC25" s="38" t="n">
        <x:f>(1+'01_属性汇总'!AO25/100+'01_属性汇总'!AQ25*'13_参数与假设'!$B$9)*(1+'01_属性汇总'!AP25/100)</x:f>
        <x:v>28.9454</x:v>
      </x:c>
      <x:c r="AD25" s="38" t="n">
        <x:f>1+MIN(1,MAX(0,'01_属性汇总'!AR25/100))</x:f>
        <x:v>1.1</x:v>
      </x:c>
      <x:c r="AE25" s="38" t="n">
        <x:f>'13_参数与假设'!$B$33</x:f>
        <x:v>1.5</x:v>
      </x:c>
      <x:c r="AF25" s="34" t="n">
        <x:f>'01_属性汇总'!AH25+IF(M25&gt;='13_参数与假设'!$B$26,'13_参数与假设'!$B$28,0)</x:f>
        <x:v>28.5</x:v>
      </x:c>
      <x:c r="AG25" s="34" t="n">
        <x:f>'01_属性汇总'!AS25</x:f>
        <x:v>10</x:v>
      </x:c>
      <x:c r="AH25" s="34" t="n">
        <x:f>'01_属性汇总'!AT25</x:f>
        <x:v>0</x:v>
      </x:c>
      <x:c r="AI25" s="34" t="n">
        <x:f>1+MIN(1,MAX(0,'01_属性汇总'!W25/100))*('13_参数与假设'!$B$10+'01_属性汇总'!X25/100-1)</x:f>
        <x:v>1.5438999999999998</x:v>
      </x:c>
      <x:c r="AJ25" s="34" t="n">
        <x:f>1+MIN(1,MAX(0,'01_属性汇总'!Y25/100))*('13_参数与假设'!$B$11+'01_属性汇总'!Z25/100-1)</x:f>
        <x:v>1.0125</x:v>
      </x:c>
      <x:c r="AK25" s="34" t="n">
        <x:v>0</x:v>
      </x:c>
    </x:row>
    <x:row r="26">
      <x:c r="A26" s="25" t="str">
        <x:v>C06-M</x:v>
      </x:c>
      <x:c r="B26" s="25" t="str">
        <x:v>盖利德</x:v>
      </x:c>
      <x:c r="C26" s="25" t="str">
        <x:v>半急速中期</x:v>
      </x:c>
      <x:c r="D26" s="34" t="n">
        <x:f>'01_属性汇总'!D26*(1+'01_属性汇总'!P26/100)</x:f>
        <x:v>331931.08</x:v>
      </x:c>
      <x:c r="E26" s="34" t="n">
        <x:f>'01_属性汇总'!E26*(1+'01_属性汇总'!P26/100)</x:f>
        <x:v>399318.27</x:v>
      </x:c>
      <x:c r="F26" s="34" t="n">
        <x:f>'01_属性汇总'!F26*(1+'01_属性汇总'!Q26/100)</x:f>
        <x:v>197118.75</x:v>
      </x:c>
      <x:c r="G26" s="34" t="n">
        <x:f>'01_属性汇总'!G26*(1+'01_属性汇总'!Q26/100)</x:f>
        <x:v>236487.5</x:v>
      </x:c>
      <x:c r="H26" s="34" t="n">
        <x:f>'01_属性汇总'!H26*(1+'01_属性汇总'!R26/100)</x:f>
        <x:v>215750</x:v>
      </x:c>
      <x:c r="I26" s="34" t="n">
        <x:f>'01_属性汇总'!I26*(1+'01_属性汇总'!R26/100)</x:f>
        <x:v>255118.75</x:v>
      </x:c>
      <x:c r="J26" s="34" t="n">
        <x:f>'01_属性汇总'!J26*(1+'01_属性汇总'!AU26/100)</x:f>
        <x:v>8024346.000000001</x:v>
      </x:c>
      <x:c r="K26" s="34" t="n">
        <x:f>'01_属性汇总'!K26</x:f>
        <x:v>800750</x:v>
      </x:c>
      <x:c r="L26" s="34" t="n">
        <x:f>D26+(E26-D26)*IF(M26&gt;='13_参数与假设'!$B$25,1,0.5+0.5*MAX(0,M26)/'13_参数与假设'!$B$25)</x:f>
        <x:v>399318.27</x:v>
      </x:c>
      <x:c r="M26" s="34" t="n">
        <x:f>'01_属性汇总'!AF26+'01_属性汇总'!AG26</x:f>
        <x:v>15</x:v>
      </x:c>
      <x:c r="N26" s="34" t="n">
        <x:f>IF(M26&gt;='13_参数与假设'!$B$26,'13_参数与假设'!$B$27,0)</x:f>
        <x:v>15</x:v>
      </x:c>
      <x:c r="O26" s="34" t="n">
        <x:f>MIN('13_参数与假设'!$B$16,MAX(0,MIN('01_属性汇总'!AC26,'13_参数与假设'!$B$14+MIN('13_参数与假设'!$B$15,'01_属性汇总'!AD26))))</x:f>
        <x:v>25</x:v>
      </x:c>
      <x:c r="P26" s="34" t="n">
        <x:f>IF(O26=0,'13_参数与假设'!$B$19,IF(O26=10,'13_参数与假设'!$B$20,IF(O26=20,'13_参数与假设'!$B$21,IF(O26=30,'13_参数与假设'!$B$22,IF(O26=40,'13_参数与假设'!$B$23,IF(O26=50,'13_参数与假设'!$B$24,IF(O26&lt;=40,1000/('13_参数与假设'!$B$17-'13_参数与假设'!$B$18*O26),1/(1/'13_参数与假设'!$B$23+(O26-40)/10*(1/'13_参数与假设'!$B$24-1/'13_参数与假设'!$B$23)))))))))</x:f>
        <x:v>3.4755547119998096</x:v>
      </x:c>
      <x:c r="Q26" s="34" t="n">
        <x:f>L26*(1+'01_属性汇总'!T26/100+N26/100)*(1+'01_属性汇总'!U26/100)*(1+'01_属性汇总'!S26)*(1+'01_属性汇总'!V26*'13_参数与假设'!$B$7)</x:f>
        <x:v>3203369.4964939193</x:v>
      </x:c>
      <x:c r="R26" s="34" t="n">
        <x:f>Q26*AI26*AJ26</x:f>
        <x:v>5343520.636042153</x:v>
      </x:c>
      <x:c r="S26" s="34" t="n">
        <x:f>(R26+'01_属性汇总'!AA26)*P26*'13_参数与假设'!$B$5</x:f>
        <x:v>17643113.4090013</x:v>
      </x:c>
      <x:c r="T26" s="34" t="n">
        <x:v>1.35</x:v>
      </x:c>
      <x:c r="U26" s="34" t="n">
        <x:f>(R26*T26+'01_属性汇总'!AA26)*P26*'13_参数与假设'!$B$5</x:f>
        <x:v>23818203.10215175</x:v>
      </x:c>
      <x:c r="V26" s="34" t="n">
        <x:f>IF(AK26&gt;0,L26*'13_参数与假设'!$B$5/MAX(0.0001,AK26),0)</x:f>
        <x:v>0</x:v>
      </x:c>
      <x:c r="W26" s="34" t="n">
        <x:f>(U26+V26)*'13_参数与假设'!$B$6</x:f>
        <x:v>19054562.4817214</x:v>
      </x:c>
      <x:c r="X26" s="36" t="n">
        <x:f>MAX(0,MIN('13_参数与假设'!$B$13,'01_属性汇总'!AL26/100,'13_参数与假设'!$B$12+'01_属性汇总'!AM26/100))</x:f>
        <x:v>0.63</x:v>
      </x:c>
      <x:c r="Y26" s="34" t="n">
        <x:f>J26/(1-X26)</x:f>
        <x:v>21687421.621621624</x:v>
      </x:c>
      <x:c r="Z26" s="34" t="n">
        <x:f>R26*T26*P26*'13_参数与假设'!$B$5*'13_参数与假设'!$B$6*MAX(0,'01_属性汇总'!AN26/100)</x:f>
        <x:v>1667274.2171506225</x:v>
      </x:c>
      <x:c r="AA26" s="34" t="n">
        <x:f>Z26+'01_属性汇总'!AB26</x:f>
        <x:v>1667274.2171506225</x:v>
      </x:c>
      <x:c r="AB26" s="38" t="n">
        <x:f>(1+'01_属性汇总'!AO26/100+'01_属性汇总'!AQ26*'13_参数与假设'!$B$8)*(1+'01_属性汇总'!AP26/100)</x:f>
        <x:v>39.53</x:v>
      </x:c>
      <x:c r="AC26" s="38" t="n">
        <x:f>(1+'01_属性汇总'!AO26/100+'01_属性汇总'!AQ26*'13_参数与假设'!$B$9)*(1+'01_属性汇总'!AP26/100)</x:f>
        <x:v>36.0254</x:v>
      </x:c>
      <x:c r="AD26" s="38" t="n">
        <x:f>1+MIN(1,MAX(0,'01_属性汇总'!AR26/100))</x:f>
        <x:v>1.1</x:v>
      </x:c>
      <x:c r="AE26" s="38" t="n">
        <x:f>'13_参数与假设'!$B$33</x:f>
        <x:v>1.5</x:v>
      </x:c>
      <x:c r="AF26" s="34" t="n">
        <x:f>'01_属性汇总'!AH26+IF(M26&gt;='13_参数与假设'!$B$26,'13_参数与假设'!$B$28,0)</x:f>
        <x:v>30</x:v>
      </x:c>
      <x:c r="AG26" s="34" t="n">
        <x:f>'01_属性汇总'!AS26</x:f>
        <x:v>10</x:v>
      </x:c>
      <x:c r="AH26" s="34" t="n">
        <x:f>'01_属性汇总'!AT26</x:f>
        <x:v>0</x:v>
      </x:c>
      <x:c r="AI26" s="34" t="n">
        <x:f>1+MIN(1,MAX(0,'01_属性汇总'!W26/100))*('13_参数与假设'!$B$10+'01_属性汇总'!X26/100-1)</x:f>
        <x:v>1.6475</x:v>
      </x:c>
      <x:c r="AJ26" s="34" t="n">
        <x:f>1+MIN(1,MAX(0,'01_属性汇总'!Y26/100))*('13_参数与假设'!$B$11+'01_属性汇总'!Z26/100-1)</x:f>
        <x:v>1.0125</x:v>
      </x:c>
      <x:c r="AK26" s="34" t="n">
        <x:v>0</x:v>
      </x:c>
    </x:row>
    <x:row r="27">
      <x:c r="A27" s="25" t="str">
        <x:v>C06-G</x:v>
      </x:c>
      <x:c r="B27" s="25" t="str">
        <x:v>盖利德</x:v>
      </x:c>
      <x:c r="C27" s="25" t="str">
        <x:v>半急速毕业</x:v>
      </x:c>
      <x:c r="D27" s="34" t="n">
        <x:f>'01_属性汇总'!D27*(1+'01_属性汇总'!P27/100)</x:f>
        <x:v>405378.09</x:v>
      </x:c>
      <x:c r="E27" s="34" t="n">
        <x:f>'01_属性汇总'!E27*(1+'01_属性汇总'!P27/100)</x:f>
        <x:v>490128.34</x:v>
      </x:c>
      <x:c r="F27" s="34" t="n">
        <x:f>'01_属性汇总'!F27*(1+'01_属性汇总'!Q27/100)</x:f>
        <x:v>229898.48</x:v>
      </x:c>
      <x:c r="G27" s="34" t="n">
        <x:f>'01_属性汇总'!G27*(1+'01_属性汇总'!Q27/100)</x:f>
        <x:v>277062.94</x:v>
      </x:c>
      <x:c r="H27" s="34" t="n">
        <x:f>'01_属性汇总'!H27*(1+'01_属性汇总'!R27/100)</x:f>
        <x:v>225634.88</x:v>
      </x:c>
      <x:c r="I27" s="34" t="n">
        <x:f>'01_属性汇总'!I27*(1+'01_属性汇总'!R27/100)</x:f>
        <x:v>272799.34</x:v>
      </x:c>
      <x:c r="J27" s="34" t="n">
        <x:f>'01_属性汇总'!J27*(1+'01_属性汇总'!AU27/100)</x:f>
        <x:v>13999773</x:v>
      </x:c>
      <x:c r="K27" s="34" t="n">
        <x:f>'01_属性汇总'!K27</x:f>
        <x:v>800800</x:v>
      </x:c>
      <x:c r="L27" s="34" t="n">
        <x:f>D27+(E27-D27)*IF(M27&gt;='13_参数与假设'!$B$25,1,0.5+0.5*MAX(0,M27)/'13_参数与假设'!$B$25)</x:f>
        <x:v>490128.34</x:v>
      </x:c>
      <x:c r="M27" s="34" t="n">
        <x:f>'01_属性汇总'!AF27+'01_属性汇总'!AG27</x:f>
        <x:v>15</x:v>
      </x:c>
      <x:c r="N27" s="34" t="n">
        <x:f>IF(M27&gt;='13_参数与假设'!$B$26,'13_参数与假设'!$B$27,0)</x:f>
        <x:v>15</x:v>
      </x:c>
      <x:c r="O27" s="34" t="n">
        <x:f>MIN('13_参数与假设'!$B$16,MAX(0,MIN('01_属性汇总'!AC27,'13_参数与假设'!$B$14+MIN('13_参数与假设'!$B$15,'01_属性汇总'!AD27))))</x:f>
        <x:v>25</x:v>
      </x:c>
      <x:c r="P27" s="34" t="n">
        <x:f>IF(O27=0,'13_参数与假设'!$B$19,IF(O27=10,'13_参数与假设'!$B$20,IF(O27=20,'13_参数与假设'!$B$21,IF(O27=30,'13_参数与假设'!$B$22,IF(O27=40,'13_参数与假设'!$B$23,IF(O27=50,'13_参数与假设'!$B$24,IF(O27&lt;=40,1000/('13_参数与假设'!$B$17-'13_参数与假设'!$B$18*O27),1/(1/'13_参数与假设'!$B$23+(O27-40)/10*(1/'13_参数与假设'!$B$24-1/'13_参数与假设'!$B$23)))))))))</x:f>
        <x:v>3.4755547119998096</x:v>
      </x:c>
      <x:c r="Q27" s="34" t="n">
        <x:f>L27*(1+'01_属性汇总'!T27/100+N27/100)*(1+'01_属性汇总'!U27/100)*(1+'01_属性汇总'!S27)*(1+'01_属性汇总'!V27*'13_参数与假设'!$B$7)</x:f>
        <x:v>4364289.184180536</x:v>
      </x:c>
      <x:c r="R27" s="34" t="n">
        <x:f>Q27*AI27*AJ27</x:f>
        <x:v>6934659.120649584</x:v>
      </x:c>
      <x:c r="S27" s="34" t="n">
        <x:f>(R27+'01_属性汇总'!AA27)*P27*'13_参数与假设'!$B$5</x:f>
        <x:v>22896697.82374181</x:v>
      </x:c>
      <x:c r="T27" s="34" t="n">
        <x:v>1.35</x:v>
      </x:c>
      <x:c r="U27" s="34" t="n">
        <x:f>(R27*T27+'01_属性汇总'!AA27)*P27*'13_参数与假设'!$B$5</x:f>
        <x:v>30910542.062051445</x:v>
      </x:c>
      <x:c r="V27" s="34" t="n">
        <x:f>IF(AK27&gt;0,L27*'13_参数与假设'!$B$5/MAX(0.0001,AK27),0)</x:f>
        <x:v>0</x:v>
      </x:c>
      <x:c r="W27" s="34" t="n">
        <x:f>(U27+V27)*'13_参数与假设'!$B$6</x:f>
        <x:v>24728433.649641156</x:v>
      </x:c>
      <x:c r="X27" s="36" t="n">
        <x:f>MAX(0,MIN('13_参数与假设'!$B$13,'01_属性汇总'!AL27/100,'13_参数与假设'!$B$12+'01_属性汇总'!AM27/100))</x:f>
        <x:v>0.63</x:v>
      </x:c>
      <x:c r="Y27" s="34" t="n">
        <x:f>J27/(1-X27)</x:f>
        <x:v>37837224.324324325</x:v>
      </x:c>
      <x:c r="Z27" s="34" t="n">
        <x:f>R27*T27*P27*'13_参数与假设'!$B$5*'13_参数与假设'!$B$6*MAX(0,'01_属性汇总'!AN27/100)</x:f>
        <x:v>2163737.944343601</x:v>
      </x:c>
      <x:c r="AA27" s="34" t="n">
        <x:f>Z27+'01_属性汇总'!AB27</x:f>
        <x:v>2163737.944343601</x:v>
      </x:c>
      <x:c r="AB27" s="38" t="n">
        <x:f>(1+'01_属性汇总'!AO27/100+'01_属性汇总'!AQ27*'13_参数与假设'!$B$8)*(1+'01_属性汇总'!AP27/100)</x:f>
        <x:v>39.864999999999995</x:v>
      </x:c>
      <x:c r="AC27" s="38" t="n">
        <x:f>(1+'01_属性汇总'!AO27/100+'01_属性汇总'!AQ27*'13_参数与假设'!$B$9)*(1+'01_属性汇总'!AP27/100)</x:f>
        <x:v>36.3307</x:v>
      </x:c>
      <x:c r="AD27" s="38" t="n">
        <x:f>1+MIN(1,MAX(0,'01_属性汇总'!AR27/100))</x:f>
        <x:v>1.12</x:v>
      </x:c>
      <x:c r="AE27" s="38" t="n">
        <x:f>'13_参数与假设'!$B$33</x:f>
        <x:v>1.5</x:v>
      </x:c>
      <x:c r="AF27" s="34" t="n">
        <x:f>'01_属性汇总'!AH27+IF(M27&gt;='13_参数与假设'!$B$26,'13_参数与假设'!$B$28,0)</x:f>
        <x:v>29.5</x:v>
      </x:c>
      <x:c r="AG27" s="34" t="n">
        <x:f>'01_属性汇总'!AS27</x:f>
        <x:v>10</x:v>
      </x:c>
      <x:c r="AH27" s="34" t="n">
        <x:f>'01_属性汇总'!AT27</x:f>
        <x:v>0</x:v>
      </x:c>
      <x:c r="AI27" s="34" t="n">
        <x:f>1+MIN(1,MAX(0,'01_属性汇总'!W27/100))*('13_参数与假设'!$B$10+'01_属性汇总'!X27/100-1)</x:f>
        <x:v>1.5502</x:v>
      </x:c>
      <x:c r="AJ27" s="34" t="n">
        <x:f>1+MIN(1,MAX(0,'01_属性汇总'!Y27/100))*('13_参数与假设'!$B$11+'01_属性汇总'!Z27/100-1)</x:f>
        <x:v>1.025</x:v>
      </x:c>
      <x:c r="AK27" s="34" t="n">
        <x:v>0</x:v>
      </x:c>
    </x:row>
    <x:row r="28">
      <x:c r="A28" s="25" t="str">
        <x:v>C06-X</x:v>
      </x:c>
      <x:c r="B28" s="25" t="str">
        <x:v>盖利德</x:v>
      </x:c>
      <x:c r="C28" s="25" t="str">
        <x:v>极端压力</x:v>
      </x:c>
      <x:c r="D28" s="34" t="n">
        <x:f>'01_属性汇总'!D28*(1+'01_属性汇总'!P28/100)</x:f>
        <x:v>624853.23</x:v>
      </x:c>
      <x:c r="E28" s="34" t="n">
        <x:f>'01_属性汇总'!E28*(1+'01_属性汇总'!P28/100)</x:f>
        <x:v>791214.3</x:v>
      </x:c>
      <x:c r="F28" s="34" t="n">
        <x:f>'01_属性汇总'!F28*(1+'01_属性汇总'!Q28/100)</x:f>
        <x:v>303055.36</x:v>
      </x:c>
      <x:c r="G28" s="34" t="n">
        <x:f>'01_属性汇总'!G28*(1+'01_属性汇总'!Q28/100)</x:f>
        <x:v>391412.16000000003</x:v>
      </x:c>
      <x:c r="H28" s="34" t="n">
        <x:f>'01_属性汇总'!H28*(1+'01_属性汇总'!R28/100)</x:f>
        <x:v>301620.16000000003</x:v>
      </x:c>
      <x:c r="I28" s="34" t="n">
        <x:f>'01_属性汇总'!I28*(1+'01_属性汇总'!R28/100)</x:f>
        <x:v>389976.96</x:v>
      </x:c>
      <x:c r="J28" s="34" t="n">
        <x:f>'01_属性汇总'!J28*(1+'01_属性汇总'!AU28/100)</x:f>
        <x:v>22390499</x:v>
      </x:c>
      <x:c r="K28" s="34" t="n">
        <x:f>'01_属性汇总'!K28</x:f>
        <x:v>800800</x:v>
      </x:c>
      <x:c r="L28" s="34" t="n">
        <x:f>D28+(E28-D28)*IF(M28&gt;='13_参数与假设'!$B$25,1,0.5+0.5*MAX(0,M28)/'13_参数与假设'!$B$25)</x:f>
        <x:v>791214.3</x:v>
      </x:c>
      <x:c r="M28" s="34" t="n">
        <x:f>'01_属性汇总'!AF28+'01_属性汇总'!AG28</x:f>
        <x:v>15</x:v>
      </x:c>
      <x:c r="N28" s="34" t="n">
        <x:f>IF(M28&gt;='13_参数与假设'!$B$26,'13_参数与假设'!$B$27,0)</x:f>
        <x:v>15</x:v>
      </x:c>
      <x:c r="O28" s="34" t="n">
        <x:f>MIN('13_参数与假设'!$B$16,MAX(0,MIN('01_属性汇总'!AC28,'13_参数与假设'!$B$14+MIN('13_参数与假设'!$B$15,'01_属性汇总'!AD28))))</x:f>
        <x:v>29</x:v>
      </x:c>
      <x:c r="P28" s="34" t="n">
        <x:f>IF(O28=0,'13_参数与假设'!$B$19,IF(O28=10,'13_参数与假设'!$B$20,IF(O28=20,'13_参数与假设'!$B$21,IF(O28=30,'13_参数与假设'!$B$22,IF(O28=40,'13_参数与假设'!$B$23,IF(O28=50,'13_参数与假设'!$B$24,IF(O28&lt;=40,1000/('13_参数与假设'!$B$17-'13_参数与假设'!$B$18*O28),1/(1/'13_参数与假设'!$B$23+(O28-40)/10*(1/'13_参数与假设'!$B$24-1/'13_参数与假设'!$B$23)))))))))</x:f>
        <x:v>4.122999922945254</x:v>
      </x:c>
      <x:c r="Q28" s="34" t="n">
        <x:f>L28*(1+'01_属性汇总'!T28/100+N28/100)*(1+'01_属性汇总'!U28/100)*(1+'01_属性汇总'!S28)*(1+'01_属性汇总'!V28*'13_参数与假设'!$B$7)</x:f>
        <x:v>10325651.960422656</x:v>
      </x:c>
      <x:c r="R28" s="34" t="n">
        <x:f>Q28*AI28*AJ28</x:f>
        <x:v>24479467.10560829</x:v>
      </x:c>
      <x:c r="S28" s="34" t="n">
        <x:f>(R28+'01_属性汇总'!AA28)*P28*'13_参数与假设'!$B$5</x:f>
        <x:v>95882398.94065565</x:v>
      </x:c>
      <x:c r="T28" s="34" t="n">
        <x:v>1.6</x:v>
      </x:c>
      <x:c r="U28" s="34" t="n">
        <x:f>(R28*T28+'01_属性汇总'!AA28)*P28*'13_参数与假设'!$B$5</x:f>
        <x:v>153411838.30504906</x:v>
      </x:c>
      <x:c r="V28" s="34" t="n">
        <x:f>IF(AK28&gt;0,L28*'13_参数与假设'!$B$5/MAX(0.0001,AK28),0)</x:f>
        <x:v>0</x:v>
      </x:c>
      <x:c r="W28" s="34" t="n">
        <x:f>(U28+V28)*'13_参数与假设'!$B$6</x:f>
        <x:v>122729470.64403926</x:v>
      </x:c>
      <x:c r="X28" s="36" t="n">
        <x:f>MAX(0,MIN('13_参数与假设'!$B$13,'01_属性汇总'!AL28/100,'13_参数与假设'!$B$12+'01_属性汇总'!AM28/100))</x:f>
        <x:v>0.64</x:v>
      </x:c>
      <x:c r="Y28" s="34" t="n">
        <x:f>J28/(1-X28)</x:f>
        <x:v>62195830.55555556</x:v>
      </x:c>
      <x:c r="Z28" s="34" t="n">
        <x:f>R28*T28*P28*'13_参数与假设'!$B$5*'13_参数与假设'!$B$6*MAX(0,'01_属性汇总'!AN28/100)</x:f>
        <x:v>13500241.770844318</x:v>
      </x:c>
      <x:c r="AA28" s="34" t="n">
        <x:f>Z28+'01_属性汇总'!AB28</x:f>
        <x:v>13500241.770844318</x:v>
      </x:c>
      <x:c r="AB28" s="38" t="n">
        <x:f>(1+'01_属性汇总'!AO28/100+'01_属性汇总'!AQ28*'13_参数与假设'!$B$8)*(1+'01_属性汇总'!AP28/100)</x:f>
        <x:v>39.53</x:v>
      </x:c>
      <x:c r="AC28" s="38" t="n">
        <x:f>(1+'01_属性汇总'!AO28/100+'01_属性汇总'!AQ28*'13_参数与假设'!$B$9)*(1+'01_属性汇总'!AP28/100)</x:f>
        <x:v>36.0254</x:v>
      </x:c>
      <x:c r="AD28" s="38" t="n">
        <x:f>1+MIN(1,MAX(0,'01_属性汇总'!AR28/100))</x:f>
        <x:v>1.17</x:v>
      </x:c>
      <x:c r="AE28" s="38" t="n">
        <x:f>'13_参数与假设'!$B$33</x:f>
        <x:v>1.5</x:v>
      </x:c>
      <x:c r="AF28" s="34" t="n">
        <x:f>'01_属性汇总'!AH28+IF(M28&gt;='13_参数与假设'!$B$26,'13_参数与假设'!$B$28,0)</x:f>
        <x:v>39.5</x:v>
      </x:c>
      <x:c r="AG28" s="34" t="n">
        <x:f>'01_属性汇总'!AS28</x:f>
        <x:v>10</x:v>
      </x:c>
      <x:c r="AH28" s="34" t="n">
        <x:f>'01_属性汇总'!AT28</x:f>
        <x:v>2</x:v>
      </x:c>
      <x:c r="AI28" s="34" t="n">
        <x:f>1+MIN(1,MAX(0,'01_属性汇总'!W28/100))*('13_参数与假设'!$B$10+'01_属性汇总'!X28/100-1)</x:f>
        <x:v>2.173</x:v>
      </x:c>
      <x:c r="AJ28" s="34" t="n">
        <x:f>1+MIN(1,MAX(0,'01_属性汇总'!Y28/100))*('13_参数与假设'!$B$11+'01_属性汇总'!Z28/100-1)</x:f>
        <x:v>1.091</x:v>
      </x:c>
      <x:c r="AK28" s="34" t="n">
        <x:v>0</x:v>
      </x:c>
    </x:row>
    <x:row r="29">
      <x:c r="A29" s="25" t="str">
        <x:v>C07-E</x:v>
      </x:c>
      <x:c r="B29" s="25" t="str">
        <x:v>化圣雪原</x:v>
      </x:c>
      <x:c r="C29" s="25" t="str">
        <x:v>半急速入场</x:v>
      </x:c>
      <x:c r="D29" s="34" t="n">
        <x:f>'01_属性汇总'!D29*(1+'01_属性汇总'!P29/100)</x:f>
        <x:v>405378.09</x:v>
      </x:c>
      <x:c r="E29" s="34" t="n">
        <x:f>'01_属性汇总'!E29*(1+'01_属性汇总'!P29/100)</x:f>
        <x:v>490128.34</x:v>
      </x:c>
      <x:c r="F29" s="34" t="n">
        <x:f>'01_属性汇总'!F29*(1+'01_属性汇总'!Q29/100)</x:f>
        <x:v>229898.48</x:v>
      </x:c>
      <x:c r="G29" s="34" t="n">
        <x:f>'01_属性汇总'!G29*(1+'01_属性汇总'!Q29/100)</x:f>
        <x:v>277062.94</x:v>
      </x:c>
      <x:c r="H29" s="34" t="n">
        <x:f>'01_属性汇总'!H29*(1+'01_属性汇总'!R29/100)</x:f>
        <x:v>225634.88</x:v>
      </x:c>
      <x:c r="I29" s="34" t="n">
        <x:f>'01_属性汇总'!I29*(1+'01_属性汇总'!R29/100)</x:f>
        <x:v>272799.34</x:v>
      </x:c>
      <x:c r="J29" s="34" t="n">
        <x:f>'01_属性汇总'!J29*(1+'01_属性汇总'!AU29/100)</x:f>
        <x:v>13999773</x:v>
      </x:c>
      <x:c r="K29" s="34" t="n">
        <x:f>'01_属性汇总'!K29</x:f>
        <x:v>800800</x:v>
      </x:c>
      <x:c r="L29" s="34" t="n">
        <x:f>D29+(E29-D29)*IF(M29&gt;='13_参数与假设'!$B$25,1,0.5+0.5*MAX(0,M29)/'13_参数与假设'!$B$25)</x:f>
        <x:v>490128.34</x:v>
      </x:c>
      <x:c r="M29" s="34" t="n">
        <x:f>'01_属性汇总'!AF29+'01_属性汇总'!AG29</x:f>
        <x:v>15</x:v>
      </x:c>
      <x:c r="N29" s="34" t="n">
        <x:f>IF(M29&gt;='13_参数与假设'!$B$26,'13_参数与假设'!$B$27,0)</x:f>
        <x:v>15</x:v>
      </x:c>
      <x:c r="O29" s="34" t="n">
        <x:f>MIN('13_参数与假设'!$B$16,MAX(0,MIN('01_属性汇总'!AC29,'13_参数与假设'!$B$14+MIN('13_参数与假设'!$B$15,'01_属性汇总'!AD29))))</x:f>
        <x:v>25</x:v>
      </x:c>
      <x:c r="P29" s="34" t="n">
        <x:f>IF(O29=0,'13_参数与假设'!$B$19,IF(O29=10,'13_参数与假设'!$B$20,IF(O29=20,'13_参数与假设'!$B$21,IF(O29=30,'13_参数与假设'!$B$22,IF(O29=40,'13_参数与假设'!$B$23,IF(O29=50,'13_参数与假设'!$B$24,IF(O29&lt;=40,1000/('13_参数与假设'!$B$17-'13_参数与假设'!$B$18*O29),1/(1/'13_参数与假设'!$B$23+(O29-40)/10*(1/'13_参数与假设'!$B$24-1/'13_参数与假设'!$B$23)))))))))</x:f>
        <x:v>3.4755547119998096</x:v>
      </x:c>
      <x:c r="Q29" s="34" t="n">
        <x:f>L29*(1+'01_属性汇总'!T29/100+N29/100)*(1+'01_属性汇总'!U29/100)*(1+'01_属性汇总'!S29)*(1+'01_属性汇总'!V29*'13_参数与假设'!$B$7)</x:f>
        <x:v>4364289.184180536</x:v>
      </x:c>
      <x:c r="R29" s="34" t="n">
        <x:f>Q29*AI29*AJ29</x:f>
        <x:v>6934659.120649584</x:v>
      </x:c>
      <x:c r="S29" s="34" t="n">
        <x:f>(R29+'01_属性汇总'!AA29)*P29*'13_参数与假设'!$B$5</x:f>
        <x:v>22896697.82374181</x:v>
      </x:c>
      <x:c r="T29" s="34" t="n">
        <x:v>1.35</x:v>
      </x:c>
      <x:c r="U29" s="34" t="n">
        <x:f>(R29*T29+'01_属性汇总'!AA29)*P29*'13_参数与假设'!$B$5</x:f>
        <x:v>30910542.062051445</x:v>
      </x:c>
      <x:c r="V29" s="34" t="n">
        <x:f>IF(AK29&gt;0,L29*'13_参数与假设'!$B$5/MAX(0.0001,AK29),0)</x:f>
        <x:v>0</x:v>
      </x:c>
      <x:c r="W29" s="34" t="n">
        <x:f>(U29+V29)*'13_参数与假设'!$B$6</x:f>
        <x:v>24728433.649641156</x:v>
      </x:c>
      <x:c r="X29" s="36" t="n">
        <x:f>MAX(0,MIN('13_参数与假设'!$B$13,'01_属性汇总'!AL29/100,'13_参数与假设'!$B$12+'01_属性汇总'!AM29/100))</x:f>
        <x:v>0.63</x:v>
      </x:c>
      <x:c r="Y29" s="34" t="n">
        <x:f>J29/(1-X29)</x:f>
        <x:v>37837224.324324325</x:v>
      </x:c>
      <x:c r="Z29" s="34" t="n">
        <x:f>R29*T29*P29*'13_参数与假设'!$B$5*'13_参数与假设'!$B$6*MAX(0,'01_属性汇总'!AN29/100)</x:f>
        <x:v>2163737.944343601</x:v>
      </x:c>
      <x:c r="AA29" s="34" t="n">
        <x:f>Z29+'01_属性汇总'!AB29</x:f>
        <x:v>2163737.944343601</x:v>
      </x:c>
      <x:c r="AB29" s="38" t="n">
        <x:f>(1+'01_属性汇总'!AO29/100+'01_属性汇总'!AQ29*'13_参数与假设'!$B$8)*(1+'01_属性汇总'!AP29/100)</x:f>
        <x:v>39.864999999999995</x:v>
      </x:c>
      <x:c r="AC29" s="38" t="n">
        <x:f>(1+'01_属性汇总'!AO29/100+'01_属性汇总'!AQ29*'13_参数与假设'!$B$9)*(1+'01_属性汇总'!AP29/100)</x:f>
        <x:v>36.3307</x:v>
      </x:c>
      <x:c r="AD29" s="38" t="n">
        <x:f>1+MIN(1,MAX(0,'01_属性汇总'!AR29/100))</x:f>
        <x:v>1.12</x:v>
      </x:c>
      <x:c r="AE29" s="38" t="n">
        <x:f>'13_参数与假设'!$B$33</x:f>
        <x:v>1.5</x:v>
      </x:c>
      <x:c r="AF29" s="34" t="n">
        <x:f>'01_属性汇总'!AH29+IF(M29&gt;='13_参数与假设'!$B$26,'13_参数与假设'!$B$28,0)</x:f>
        <x:v>29.5</x:v>
      </x:c>
      <x:c r="AG29" s="34" t="n">
        <x:f>'01_属性汇总'!AS29</x:f>
        <x:v>10</x:v>
      </x:c>
      <x:c r="AH29" s="34" t="n">
        <x:f>'01_属性汇总'!AT29</x:f>
        <x:v>0</x:v>
      </x:c>
      <x:c r="AI29" s="34" t="n">
        <x:f>1+MIN(1,MAX(0,'01_属性汇总'!W29/100))*('13_参数与假设'!$B$10+'01_属性汇总'!X29/100-1)</x:f>
        <x:v>1.5502</x:v>
      </x:c>
      <x:c r="AJ29" s="34" t="n">
        <x:f>1+MIN(1,MAX(0,'01_属性汇总'!Y29/100))*('13_参数与假设'!$B$11+'01_属性汇总'!Z29/100-1)</x:f>
        <x:v>1.025</x:v>
      </x:c>
      <x:c r="AK29" s="34" t="n">
        <x:v>0</x:v>
      </x:c>
    </x:row>
    <x:row r="30">
      <x:c r="A30" s="25" t="str">
        <x:v>C07-M</x:v>
      </x:c>
      <x:c r="B30" s="25" t="str">
        <x:v>化圣雪原</x:v>
      </x:c>
      <x:c r="C30" s="25" t="str">
        <x:v>半急速中期</x:v>
      </x:c>
      <x:c r="D30" s="34" t="n">
        <x:f>'01_属性汇总'!D30*(1+'01_属性汇总'!P30/100)</x:f>
        <x:v>536281.2</x:v>
      </x:c>
      <x:c r="E30" s="34" t="n">
        <x:f>'01_属性汇总'!E30*(1+'01_属性汇总'!P30/100)</x:f>
        <x:v>616286.58</x:v>
      </x:c>
      <x:c r="F30" s="34" t="n">
        <x:f>'01_属性汇总'!F30*(1+'01_属性汇总'!Q30/100)</x:f>
        <x:v>298555.36</x:v>
      </x:c>
      <x:c r="G30" s="34" t="n">
        <x:f>'01_属性汇总'!G30*(1+'01_属性汇总'!Q30/100)</x:f>
        <x:v>345719.82</x:v>
      </x:c>
      <x:c r="H30" s="34" t="n">
        <x:f>'01_属性汇总'!H30*(1+'01_属性汇总'!R30/100)</x:f>
        <x:v>317392.72</x:v>
      </x:c>
      <x:c r="I30" s="34" t="n">
        <x:f>'01_属性汇总'!I30*(1+'01_属性汇总'!R30/100)</x:f>
        <x:v>364557.18</x:v>
      </x:c>
      <x:c r="J30" s="34" t="n">
        <x:f>'01_属性汇总'!J30*(1+'01_属性汇总'!AU30/100)</x:f>
        <x:v>15125413</x:v>
      </x:c>
      <x:c r="K30" s="34" t="n">
        <x:f>'01_属性汇总'!K30</x:f>
        <x:v>1600850</x:v>
      </x:c>
      <x:c r="L30" s="34" t="n">
        <x:f>D30+(E30-D30)*IF(M30&gt;='13_参数与假设'!$B$25,1,0.5+0.5*MAX(0,M30)/'13_参数与假设'!$B$25)</x:f>
        <x:v>616286.58</x:v>
      </x:c>
      <x:c r="M30" s="34" t="n">
        <x:f>'01_属性汇总'!AF30+'01_属性汇总'!AG30</x:f>
        <x:v>15</x:v>
      </x:c>
      <x:c r="N30" s="34" t="n">
        <x:f>IF(M30&gt;='13_参数与假设'!$B$26,'13_参数与假设'!$B$27,0)</x:f>
        <x:v>15</x:v>
      </x:c>
      <x:c r="O30" s="34" t="n">
        <x:f>MIN('13_参数与假设'!$B$16,MAX(0,MIN('01_属性汇总'!AC30,'13_参数与假设'!$B$14+MIN('13_参数与假设'!$B$15,'01_属性汇总'!AD30))))</x:f>
        <x:v>25</x:v>
      </x:c>
      <x:c r="P30" s="34" t="n">
        <x:f>IF(O30=0,'13_参数与假设'!$B$19,IF(O30=10,'13_参数与假设'!$B$20,IF(O30=20,'13_参数与假设'!$B$21,IF(O30=30,'13_参数与假设'!$B$22,IF(O30=40,'13_参数与假设'!$B$23,IF(O30=50,'13_参数与假设'!$B$24,IF(O30&lt;=40,1000/('13_参数与假设'!$B$17-'13_参数与假设'!$B$18*O30),1/(1/'13_参数与假设'!$B$23+(O30-40)/10*(1/'13_参数与假设'!$B$24-1/'13_参数与假设'!$B$23)))))))))</x:f>
        <x:v>3.4755547119998096</x:v>
      </x:c>
      <x:c r="Q30" s="34" t="n">
        <x:f>L30*(1+'01_属性汇总'!T30/100+N30/100)*(1+'01_属性汇总'!U30/100)*(1+'01_属性汇总'!S30)*(1+'01_属性汇总'!V30*'13_参数与假设'!$B$7)</x:f>
        <x:v>5842572.789847247</x:v>
      </x:c>
      <x:c r="R30" s="34" t="n">
        <x:f>Q30*AI30*AJ30</x:f>
        <x:v>9283585.247291733</x:v>
      </x:c>
      <x:c r="S30" s="34" t="n">
        <x:f>(R30+'01_属性汇总'!AA30)*P30*'13_参数与假设'!$B$5</x:f>
        <x:v>30652328.02795286</x:v>
      </x:c>
      <x:c r="T30" s="34" t="n">
        <x:v>1.35</x:v>
      </x:c>
      <x:c r="U30" s="34" t="n">
        <x:f>(R30*T30+'01_属性汇总'!AA30)*P30*'13_参数与假设'!$B$5</x:f>
        <x:v>41380642.83773637</x:v>
      </x:c>
      <x:c r="V30" s="34" t="n">
        <x:f>IF(AK30&gt;0,L30*'13_参数与假设'!$B$5/MAX(0.0001,AK30),0)</x:f>
        <x:v>0</x:v>
      </x:c>
      <x:c r="W30" s="34" t="n">
        <x:f>(U30+V30)*'13_参数与假设'!$B$6</x:f>
        <x:v>33104514.270189095</x:v>
      </x:c>
      <x:c r="X30" s="36" t="n">
        <x:f>MAX(0,MIN('13_参数与假设'!$B$13,'01_属性汇总'!AL30/100,'13_参数与假设'!$B$12+'01_属性汇总'!AM30/100))</x:f>
        <x:v>0.64</x:v>
      </x:c>
      <x:c r="Y30" s="34" t="n">
        <x:f>J30/(1-X30)</x:f>
        <x:v>42015036.11111111</x:v>
      </x:c>
      <x:c r="Z30" s="34" t="n">
        <x:f>R30*T30*P30*'13_参数与假设'!$B$5*'13_参数与假设'!$B$6*MAX(0,'01_属性汇总'!AN30/100)</x:f>
        <x:v>3227690.1413434367</x:v>
      </x:c>
      <x:c r="AA30" s="34" t="n">
        <x:f>Z30+'01_属性汇总'!AB30</x:f>
        <x:v>3227690.1413434367</x:v>
      </x:c>
      <x:c r="AB30" s="38" t="n">
        <x:f>(1+'01_属性汇总'!AO30/100+'01_属性汇总'!AQ30*'13_参数与假设'!$B$8)*(1+'01_属性汇总'!AP30/100)</x:f>
        <x:v>49.385</x:v>
      </x:c>
      <x:c r="AC30" s="38" t="n">
        <x:f>(1+'01_属性汇总'!AO30/100+'01_属性汇总'!AQ30*'13_参数与假设'!$B$9)*(1+'01_属性汇总'!AP30/100)</x:f>
        <x:v>45.850699999999996</x:v>
      </x:c>
      <x:c r="AD30" s="38" t="n">
        <x:f>1+MIN(1,MAX(0,'01_属性汇总'!AR30/100))</x:f>
        <x:v>1.12</x:v>
      </x:c>
      <x:c r="AE30" s="38" t="n">
        <x:f>'13_参数与假设'!$B$33</x:f>
        <x:v>1.5</x:v>
      </x:c>
      <x:c r="AF30" s="34" t="n">
        <x:f>'01_属性汇总'!AH30+IF(M30&gt;='13_参数与假设'!$B$26,'13_参数与假设'!$B$28,0)</x:f>
        <x:v>30</x:v>
      </x:c>
      <x:c r="AG30" s="34" t="n">
        <x:f>'01_属性汇总'!AS30</x:f>
        <x:v>10</x:v>
      </x:c>
      <x:c r="AH30" s="34" t="n">
        <x:f>'01_属性汇总'!AT30</x:f>
        <x:v>0</x:v>
      </x:c>
      <x:c r="AI30" s="34" t="n">
        <x:f>1+MIN(1,MAX(0,'01_属性汇总'!W30/100))*('13_参数与假设'!$B$10+'01_属性汇总'!X30/100-1)</x:f>
        <x:v>1.5502</x:v>
      </x:c>
      <x:c r="AJ30" s="34" t="n">
        <x:f>1+MIN(1,MAX(0,'01_属性汇总'!Y30/100))*('13_参数与假设'!$B$11+'01_属性汇总'!Z30/100-1)</x:f>
        <x:v>1.025</x:v>
      </x:c>
      <x:c r="AK30" s="34" t="n">
        <x:v>0</x:v>
      </x:c>
    </x:row>
    <x:row r="31">
      <x:c r="A31" s="25" t="str">
        <x:v>C07-G</x:v>
      </x:c>
      <x:c r="B31" s="25" t="str">
        <x:v>化圣雪原</x:v>
      </x:c>
      <x:c r="C31" s="25" t="str">
        <x:v>半急速毕业</x:v>
      </x:c>
      <x:c r="D31" s="34" t="n">
        <x:f>'01_属性汇总'!D31*(1+'01_属性汇总'!P31/100)</x:f>
        <x:v>661539.9600000001</x:v>
      </x:c>
      <x:c r="E31" s="34" t="n">
        <x:f>'01_属性汇总'!E31*(1+'01_属性汇总'!P31/100)</x:f>
        <x:v>802784.4600000001</x:v>
      </x:c>
      <x:c r="F31" s="34" t="n">
        <x:f>'01_属性汇总'!F31*(1+'01_属性汇总'!Q31/100)</x:f>
        <x:v>387139.5</x:v>
      </x:c>
      <x:c r="G31" s="34" t="n">
        <x:f>'01_属性汇总'!G31*(1+'01_属性汇总'!Q31/100)</x:f>
        <x:v>470151</x:v>
      </x:c>
      <x:c r="H31" s="34" t="n">
        <x:f>'01_属性汇总'!H31*(1+'01_属性汇总'!R31/100)</x:f>
        <x:v>386808.75</x:v>
      </x:c>
      <x:c r="I31" s="34" t="n">
        <x:f>'01_属性汇总'!I31*(1+'01_属性汇总'!R31/100)</x:f>
        <x:v>469820.25</x:v>
      </x:c>
      <x:c r="J31" s="34" t="n">
        <x:f>'01_属性汇总'!J31*(1+'01_属性汇总'!AU31/100)</x:f>
        <x:v>19856312</x:v>
      </x:c>
      <x:c r="K31" s="34" t="n">
        <x:f>'01_属性汇总'!K31</x:f>
        <x:v>1600900</x:v>
      </x:c>
      <x:c r="L31" s="34" t="n">
        <x:f>D31+(E31-D31)*IF(M31&gt;='13_参数与假设'!$B$25,1,0.5+0.5*MAX(0,M31)/'13_参数与假设'!$B$25)</x:f>
        <x:v>802784.4600000001</x:v>
      </x:c>
      <x:c r="M31" s="34" t="n">
        <x:f>'01_属性汇总'!AF31+'01_属性汇总'!AG31</x:f>
        <x:v>15</x:v>
      </x:c>
      <x:c r="N31" s="34" t="n">
        <x:f>IF(M31&gt;='13_参数与假设'!$B$26,'13_参数与假设'!$B$27,0)</x:f>
        <x:v>15</x:v>
      </x:c>
      <x:c r="O31" s="34" t="n">
        <x:f>MIN('13_参数与假设'!$B$16,MAX(0,MIN('01_属性汇总'!AC31,'13_参数与假设'!$B$14+MIN('13_参数与假设'!$B$15,'01_属性汇总'!AD31))))</x:f>
        <x:v>26</x:v>
      </x:c>
      <x:c r="P31" s="34" t="n">
        <x:f>IF(O31=0,'13_参数与假设'!$B$19,IF(O31=10,'13_参数与假设'!$B$20,IF(O31=20,'13_参数与假设'!$B$21,IF(O31=30,'13_参数与假设'!$B$22,IF(O31=40,'13_参数与假设'!$B$23,IF(O31=50,'13_参数与假设'!$B$24,IF(O31&lt;=40,1000/('13_参数与假设'!$B$17-'13_参数与假设'!$B$18*O31),1/(1/'13_参数与假设'!$B$23+(O31-40)/10*(1/'13_参数与假设'!$B$24-1/'13_参数与假设'!$B$23)))))))))</x:f>
        <x:v>3.617573931056102</x:v>
      </x:c>
      <x:c r="Q31" s="34" t="n">
        <x:f>L31*(1+'01_属性汇总'!T31/100+N31/100)*(1+'01_属性汇总'!U31/100)*(1+'01_属性汇总'!S31)*(1+'01_属性汇总'!V31*'13_参数与假设'!$B$7)</x:f>
        <x:v>8100185.562818817</x:v>
      </x:c>
      <x:c r="R31" s="34" t="n">
        <x:f>Q31*AI31*AJ31</x:f>
        <x:v>13830904.844801871</x:v>
      </x:c>
      <x:c r="S31" s="34" t="n">
        <x:f>(R31+'01_属性汇总'!AA31)*P31*'13_参数与假设'!$B$5</x:f>
        <x:v>47532604.76899915</x:v>
      </x:c>
      <x:c r="T31" s="34" t="n">
        <x:v>1.35</x:v>
      </x:c>
      <x:c r="U31" s="34" t="n">
        <x:f>(R31*T31+'01_属性汇总'!AA31)*P31*'13_参数与假设'!$B$5</x:f>
        <x:v>64169016.43814886</x:v>
      </x:c>
      <x:c r="V31" s="34" t="n">
        <x:f>IF(AK31&gt;0,L31*'13_参数与假设'!$B$5/MAX(0.0001,AK31),0)</x:f>
        <x:v>0</x:v>
      </x:c>
      <x:c r="W31" s="34" t="n">
        <x:f>(U31+V31)*'13_参数与假设'!$B$6</x:f>
        <x:v>51335213.150519095</x:v>
      </x:c>
      <x:c r="X31" s="36" t="n">
        <x:f>MAX(0,MIN('13_参数与假设'!$B$13,'01_属性汇总'!AL31/100,'13_参数与假设'!$B$12+'01_属性汇总'!AM31/100))</x:f>
        <x:v>0.65</x:v>
      </x:c>
      <x:c r="Y31" s="34" t="n">
        <x:f>J31/(1-X31)</x:f>
        <x:v>56732320</x:v>
      </x:c>
      <x:c r="Z31" s="34" t="n">
        <x:f>R31*T31*P31*'13_参数与假设'!$B$5*'13_参数与假设'!$B$6*MAX(0,'01_属性汇总'!AN31/100)</x:f>
        <x:v>6545239.676691185</x:v>
      </x:c>
      <x:c r="AA31" s="34" t="n">
        <x:f>Z31+'01_属性汇总'!AB31</x:f>
        <x:v>6545239.676691185</x:v>
      </x:c>
      <x:c r="AB31" s="38" t="n">
        <x:f>(1+'01_属性汇总'!AO31/100+'01_属性汇总'!AQ31*'13_参数与假设'!$B$8)*(1+'01_属性汇总'!AP31/100)</x:f>
        <x:v>50.214999999999996</x:v>
      </x:c>
      <x:c r="AC31" s="38" t="n">
        <x:f>(1+'01_属性汇总'!AO31/100+'01_属性汇总'!AQ31*'13_参数与假设'!$B$9)*(1+'01_属性汇总'!AP31/100)</x:f>
        <x:v>46.6213</x:v>
      </x:c>
      <x:c r="AD31" s="38" t="n">
        <x:f>1+MIN(1,MAX(0,'01_属性汇总'!AR31/100))</x:f>
        <x:v>1.12</x:v>
      </x:c>
      <x:c r="AE31" s="38" t="n">
        <x:f>'13_参数与假设'!$B$33</x:f>
        <x:v>1.5</x:v>
      </x:c>
      <x:c r="AF31" s="34" t="n">
        <x:f>'01_属性汇总'!AH31+IF(M31&gt;='13_参数与假设'!$B$26,'13_参数与假设'!$B$28,0)</x:f>
        <x:v>28.5</x:v>
      </x:c>
      <x:c r="AG31" s="34" t="n">
        <x:f>'01_属性汇总'!AS31</x:f>
        <x:v>10</x:v>
      </x:c>
      <x:c r="AH31" s="34" t="n">
        <x:f>'01_属性汇总'!AT31</x:f>
        <x:v>0</x:v>
      </x:c>
      <x:c r="AI31" s="34" t="n">
        <x:f>1+MIN(1,MAX(0,'01_属性汇总'!W31/100))*('13_参数与假设'!$B$10+'01_属性汇总'!X31/100-1)</x:f>
        <x:v>1.6864</x:v>
      </x:c>
      <x:c r="AJ31" s="34" t="n">
        <x:f>1+MIN(1,MAX(0,'01_属性汇总'!Y31/100))*('13_参数与假设'!$B$11+'01_属性汇总'!Z31/100-1)</x:f>
        <x:v>1.0125</x:v>
      </x:c>
      <x:c r="AK31" s="34" t="n">
        <x:v>0</x:v>
      </x:c>
    </x:row>
    <x:row r="32">
      <x:c r="A32" s="25" t="str">
        <x:v>C07-X</x:v>
      </x:c>
      <x:c r="B32" s="25" t="str">
        <x:v>化圣雪原</x:v>
      </x:c>
      <x:c r="C32" s="25" t="str">
        <x:v>极端压力</x:v>
      </x:c>
      <x:c r="D32" s="34" t="n">
        <x:f>'01_属性汇总'!D32*(1+'01_属性汇总'!P32/100)</x:f>
        <x:v>873491.31</x:v>
      </x:c>
      <x:c r="E32" s="34" t="n">
        <x:f>'01_属性汇总'!E32*(1+'01_属性汇总'!P32/100)</x:f>
        <x:v>1146861.54</x:v>
      </x:c>
      <x:c r="F32" s="34" t="n">
        <x:f>'01_属性汇总'!F32*(1+'01_属性汇总'!Q32/100)</x:f>
        <x:v>536786.4</x:v>
      </x:c>
      <x:c r="G32" s="34" t="n">
        <x:f>'01_属性汇总'!G32*(1+'01_属性汇总'!Q32/100)</x:f>
        <x:v>711941.0399999999</x:v>
      </x:c>
      <x:c r="H32" s="34" t="n">
        <x:f>'01_属性汇总'!H32*(1+'01_属性汇总'!R32/100)</x:f>
        <x:v>539208.28</x:v>
      </x:c>
      <x:c r="I32" s="34" t="n">
        <x:f>'01_属性汇总'!I32*(1+'01_属性汇总'!R32/100)</x:f>
        <x:v>714362.9199999999</x:v>
      </x:c>
      <x:c r="J32" s="34" t="n">
        <x:f>'01_属性汇总'!J32*(1+'01_属性汇总'!AU32/100)</x:f>
        <x:v>37691655</x:v>
      </x:c>
      <x:c r="K32" s="34" t="n">
        <x:f>'01_属性汇总'!K32</x:f>
        <x:v>1600900</x:v>
      </x:c>
      <x:c r="L32" s="34" t="n">
        <x:f>D32+(E32-D32)*IF(M32&gt;='13_参数与假设'!$B$25,1,0.5+0.5*MAX(0,M32)/'13_参数与假设'!$B$25)</x:f>
        <x:v>1146861.54</x:v>
      </x:c>
      <x:c r="M32" s="34" t="n">
        <x:f>'01_属性汇总'!AF32+'01_属性汇总'!AG32</x:f>
        <x:v>15</x:v>
      </x:c>
      <x:c r="N32" s="34" t="n">
        <x:f>IF(M32&gt;='13_参数与假设'!$B$26,'13_参数与假设'!$B$27,0)</x:f>
        <x:v>15</x:v>
      </x:c>
      <x:c r="O32" s="34" t="n">
        <x:f>MIN('13_参数与假设'!$B$16,MAX(0,MIN('01_属性汇总'!AC32,'13_参数与假设'!$B$14+MIN('13_参数与假设'!$B$15,'01_属性汇总'!AD32))))</x:f>
        <x:v>29</x:v>
      </x:c>
      <x:c r="P32" s="34" t="n">
        <x:f>IF(O32=0,'13_参数与假设'!$B$19,IF(O32=10,'13_参数与假设'!$B$20,IF(O32=20,'13_参数与假设'!$B$21,IF(O32=30,'13_参数与假设'!$B$22,IF(O32=40,'13_参数与假设'!$B$23,IF(O32=50,'13_参数与假设'!$B$24,IF(O32&lt;=40,1000/('13_参数与假设'!$B$17-'13_参数与假设'!$B$18*O32),1/(1/'13_参数与假设'!$B$23+(O32-40)/10*(1/'13_参数与假设'!$B$24-1/'13_参数与假设'!$B$23)))))))))</x:f>
        <x:v>4.122999922945254</x:v>
      </x:c>
      <x:c r="Q32" s="34" t="n">
        <x:f>L32*(1+'01_属性汇总'!T32/100+N32/100)*(1+'01_属性汇总'!U32/100)*(1+'01_属性汇总'!S32)*(1+'01_属性汇总'!V32*'13_参数与假设'!$B$7)</x:f>
        <x:v>17015985.402971383</x:v>
      </x:c>
      <x:c r="R32" s="34" t="n">
        <x:f>Q32*AI32*AJ32</x:f>
        <x:v>41981866.411787644</x:v>
      </x:c>
      <x:c r="S32" s="34" t="n">
        <x:f>(R32+'01_属性汇总'!AA32)*P32*'13_参数与假设'!$B$5</x:f>
        <x:v>164436670.38185346</x:v>
      </x:c>
      <x:c r="T32" s="34" t="n">
        <x:v>1.6</x:v>
      </x:c>
      <x:c r="U32" s="34" t="n">
        <x:f>(R32*T32+'01_属性汇总'!AA32)*P32*'13_参数与假设'!$B$5</x:f>
        <x:v>263098672.61096552</x:v>
      </x:c>
      <x:c r="V32" s="34" t="n">
        <x:f>IF(AK32&gt;0,L32*'13_参数与假设'!$B$5/MAX(0.0001,AK32),0)</x:f>
        <x:v>0</x:v>
      </x:c>
      <x:c r="W32" s="34" t="n">
        <x:f>(U32+V32)*'13_参数与假设'!$B$6</x:f>
        <x:v>210478938.08877242</x:v>
      </x:c>
      <x:c r="X32" s="36" t="n">
        <x:f>MAX(0,MIN('13_参数与假设'!$B$13,'01_属性汇总'!AL32/100,'13_参数与假设'!$B$12+'01_属性汇总'!AM32/100))</x:f>
        <x:v>0.63</x:v>
      </x:c>
      <x:c r="Y32" s="34" t="n">
        <x:f>J32/(1-X32)</x:f>
        <x:v>101869337.83783785</x:v>
      </x:c>
      <x:c r="Z32" s="34" t="n">
        <x:f>R32*T32*P32*'13_参数与假设'!$B$5*'13_参数与假设'!$B$6*MAX(0,'01_属性汇总'!AN32/100)</x:f>
        <x:v>25257472.57065269</x:v>
      </x:c>
      <x:c r="AA32" s="34" t="n">
        <x:f>Z32+'01_属性汇总'!AB32</x:f>
        <x:v>25257472.57065269</x:v>
      </x:c>
      <x:c r="AB32" s="38" t="n">
        <x:f>(1+'01_属性汇总'!AO32/100+'01_属性汇总'!AQ32*'13_参数与假设'!$B$8)*(1+'01_属性汇总'!AP32/100)</x:f>
        <x:v>49.8</x:v>
      </x:c>
      <x:c r="AC32" s="38" t="n">
        <x:f>(1+'01_属性汇总'!AO32/100+'01_属性汇总'!AQ32*'13_参数与假设'!$B$9)*(1+'01_属性汇总'!AP32/100)</x:f>
        <x:v>46.236</x:v>
      </x:c>
      <x:c r="AD32" s="38" t="n">
        <x:f>1+MIN(1,MAX(0,'01_属性汇总'!AR32/100))</x:f>
        <x:v>1.19</x:v>
      </x:c>
      <x:c r="AE32" s="38" t="n">
        <x:f>'13_参数与假设'!$B$33</x:f>
        <x:v>1.5</x:v>
      </x:c>
      <x:c r="AF32" s="34" t="n">
        <x:f>'01_属性汇总'!AH32+IF(M32&gt;='13_参数与假设'!$B$26,'13_参数与假设'!$B$28,0)</x:f>
        <x:v>42</x:v>
      </x:c>
      <x:c r="AG32" s="34" t="n">
        <x:f>'01_属性汇总'!AS32</x:f>
        <x:v>10</x:v>
      </x:c>
      <x:c r="AH32" s="34" t="n">
        <x:f>'01_属性汇总'!AT32</x:f>
        <x:v>2</x:v>
      </x:c>
      <x:c r="AI32" s="34" t="n">
        <x:f>1+MIN(1,MAX(0,'01_属性汇总'!W32/100))*('13_参数与假设'!$B$10+'01_属性汇总'!X32/100-1)</x:f>
        <x:v>2.3542</x:v>
      </x:c>
      <x:c r="AJ32" s="34" t="n">
        <x:f>1+MIN(1,MAX(0,'01_属性汇总'!Y32/100))*('13_参数与假设'!$B$11+'01_属性汇总'!Z32/100-1)</x:f>
        <x:v>1.048</x:v>
      </x:c>
      <x:c r="AK32" s="34" t="n">
        <x:v>0</x:v>
      </x:c>
    </x:row>
    <x:row r="33">
      <x:c r="A33" s="25" t="str">
        <x:v>C08-E</x:v>
      </x:c>
      <x:c r="B33" s="25" t="str">
        <x:v>巨人山顶</x:v>
      </x:c>
      <x:c r="C33" s="25" t="str">
        <x:v>半急速入场</x:v>
      </x:c>
      <x:c r="D33" s="34" t="n">
        <x:f>'01_属性汇总'!D33*(1+'01_属性汇总'!P33/100)</x:f>
        <x:v>661539.9600000001</x:v>
      </x:c>
      <x:c r="E33" s="34" t="n">
        <x:f>'01_属性汇总'!E33*(1+'01_属性汇总'!P33/100)</x:f>
        <x:v>802784.4600000001</x:v>
      </x:c>
      <x:c r="F33" s="34" t="n">
        <x:f>'01_属性汇总'!F33*(1+'01_属性汇总'!Q33/100)</x:f>
        <x:v>387139.5</x:v>
      </x:c>
      <x:c r="G33" s="34" t="n">
        <x:f>'01_属性汇总'!G33*(1+'01_属性汇总'!Q33/100)</x:f>
        <x:v>470151</x:v>
      </x:c>
      <x:c r="H33" s="34" t="n">
        <x:f>'01_属性汇总'!H33*(1+'01_属性汇总'!R33/100)</x:f>
        <x:v>386808.75</x:v>
      </x:c>
      <x:c r="I33" s="34" t="n">
        <x:f>'01_属性汇总'!I33*(1+'01_属性汇总'!R33/100)</x:f>
        <x:v>469820.25</x:v>
      </x:c>
      <x:c r="J33" s="34" t="n">
        <x:f>'01_属性汇总'!J33*(1+'01_属性汇总'!AU33/100)</x:f>
        <x:v>19856312</x:v>
      </x:c>
      <x:c r="K33" s="34" t="n">
        <x:f>'01_属性汇总'!K33</x:f>
        <x:v>1600900</x:v>
      </x:c>
      <x:c r="L33" s="34" t="n">
        <x:f>D33+(E33-D33)*IF(M33&gt;='13_参数与假设'!$B$25,1,0.5+0.5*MAX(0,M33)/'13_参数与假设'!$B$25)</x:f>
        <x:v>802784.4600000001</x:v>
      </x:c>
      <x:c r="M33" s="34" t="n">
        <x:f>'01_属性汇总'!AF33+'01_属性汇总'!AG33</x:f>
        <x:v>15</x:v>
      </x:c>
      <x:c r="N33" s="34" t="n">
        <x:f>IF(M33&gt;='13_参数与假设'!$B$26,'13_参数与假设'!$B$27,0)</x:f>
        <x:v>15</x:v>
      </x:c>
      <x:c r="O33" s="34" t="n">
        <x:f>MIN('13_参数与假设'!$B$16,MAX(0,MIN('01_属性汇总'!AC33,'13_参数与假设'!$B$14+MIN('13_参数与假设'!$B$15,'01_属性汇总'!AD33))))</x:f>
        <x:v>26</x:v>
      </x:c>
      <x:c r="P33" s="34" t="n">
        <x:f>IF(O33=0,'13_参数与假设'!$B$19,IF(O33=10,'13_参数与假设'!$B$20,IF(O33=20,'13_参数与假设'!$B$21,IF(O33=30,'13_参数与假设'!$B$22,IF(O33=40,'13_参数与假设'!$B$23,IF(O33=50,'13_参数与假设'!$B$24,IF(O33&lt;=40,1000/('13_参数与假设'!$B$17-'13_参数与假设'!$B$18*O33),1/(1/'13_参数与假设'!$B$23+(O33-40)/10*(1/'13_参数与假设'!$B$24-1/'13_参数与假设'!$B$23)))))))))</x:f>
        <x:v>3.617573931056102</x:v>
      </x:c>
      <x:c r="Q33" s="34" t="n">
        <x:f>L33*(1+'01_属性汇总'!T33/100+N33/100)*(1+'01_属性汇总'!U33/100)*(1+'01_属性汇总'!S33)*(1+'01_属性汇总'!V33*'13_参数与假设'!$B$7)</x:f>
        <x:v>8100185.562818817</x:v>
      </x:c>
      <x:c r="R33" s="34" t="n">
        <x:f>Q33*AI33*AJ33</x:f>
        <x:v>13830904.844801871</x:v>
      </x:c>
      <x:c r="S33" s="34" t="n">
        <x:f>(R33+'01_属性汇总'!AA33)*P33*'13_参数与假设'!$B$5</x:f>
        <x:v>47532604.76899915</x:v>
      </x:c>
      <x:c r="T33" s="34" t="n">
        <x:v>1.35</x:v>
      </x:c>
      <x:c r="U33" s="34" t="n">
        <x:f>(R33*T33+'01_属性汇总'!AA33)*P33*'13_参数与假设'!$B$5</x:f>
        <x:v>64169016.43814886</x:v>
      </x:c>
      <x:c r="V33" s="34" t="n">
        <x:f>IF(AK33&gt;0,L33*'13_参数与假设'!$B$5/MAX(0.0001,AK33),0)</x:f>
        <x:v>0</x:v>
      </x:c>
      <x:c r="W33" s="34" t="n">
        <x:f>(U33+V33)*'13_参数与假设'!$B$6</x:f>
        <x:v>51335213.150519095</x:v>
      </x:c>
      <x:c r="X33" s="36" t="n">
        <x:f>MAX(0,MIN('13_参数与假设'!$B$13,'01_属性汇总'!AL33/100,'13_参数与假设'!$B$12+'01_属性汇总'!AM33/100))</x:f>
        <x:v>0.65</x:v>
      </x:c>
      <x:c r="Y33" s="34" t="n">
        <x:f>J33/(1-X33)</x:f>
        <x:v>56732320</x:v>
      </x:c>
      <x:c r="Z33" s="34" t="n">
        <x:f>R33*T33*P33*'13_参数与假设'!$B$5*'13_参数与假设'!$B$6*MAX(0,'01_属性汇总'!AN33/100)</x:f>
        <x:v>6545239.676691185</x:v>
      </x:c>
      <x:c r="AA33" s="34" t="n">
        <x:f>Z33+'01_属性汇总'!AB33</x:f>
        <x:v>6545239.676691185</x:v>
      </x:c>
      <x:c r="AB33" s="38" t="n">
        <x:f>(1+'01_属性汇总'!AO33/100+'01_属性汇总'!AQ33*'13_参数与假设'!$B$8)*(1+'01_属性汇总'!AP33/100)</x:f>
        <x:v>50.214999999999996</x:v>
      </x:c>
      <x:c r="AC33" s="38" t="n">
        <x:f>(1+'01_属性汇总'!AO33/100+'01_属性汇总'!AQ33*'13_参数与假设'!$B$9)*(1+'01_属性汇总'!AP33/100)</x:f>
        <x:v>46.6213</x:v>
      </x:c>
      <x:c r="AD33" s="38" t="n">
        <x:f>1+MIN(1,MAX(0,'01_属性汇总'!AR33/100))</x:f>
        <x:v>1.12</x:v>
      </x:c>
      <x:c r="AE33" s="38" t="n">
        <x:f>'13_参数与假设'!$B$33</x:f>
        <x:v>1.5</x:v>
      </x:c>
      <x:c r="AF33" s="34" t="n">
        <x:f>'01_属性汇总'!AH33+IF(M33&gt;='13_参数与假设'!$B$26,'13_参数与假设'!$B$28,0)</x:f>
        <x:v>28.5</x:v>
      </x:c>
      <x:c r="AG33" s="34" t="n">
        <x:f>'01_属性汇总'!AS33</x:f>
        <x:v>10</x:v>
      </x:c>
      <x:c r="AH33" s="34" t="n">
        <x:f>'01_属性汇总'!AT33</x:f>
        <x:v>0</x:v>
      </x:c>
      <x:c r="AI33" s="34" t="n">
        <x:f>1+MIN(1,MAX(0,'01_属性汇总'!W33/100))*('13_参数与假设'!$B$10+'01_属性汇总'!X33/100-1)</x:f>
        <x:v>1.6864</x:v>
      </x:c>
      <x:c r="AJ33" s="34" t="n">
        <x:f>1+MIN(1,MAX(0,'01_属性汇总'!Y33/100))*('13_参数与假设'!$B$11+'01_属性汇总'!Z33/100-1)</x:f>
        <x:v>1.0125</x:v>
      </x:c>
      <x:c r="AK33" s="34" t="n">
        <x:v>0</x:v>
      </x:c>
    </x:row>
    <x:row r="34">
      <x:c r="A34" s="25" t="str">
        <x:v>C08-M</x:v>
      </x:c>
      <x:c r="B34" s="25" t="str">
        <x:v>巨人山顶</x:v>
      </x:c>
      <x:c r="C34" s="25" t="str">
        <x:v>半急速中期</x:v>
      </x:c>
      <x:c r="D34" s="34" t="n">
        <x:f>'01_属性汇总'!D34*(1+'01_属性汇总'!P34/100)</x:f>
        <x:v>893320</x:v>
      </x:c>
      <x:c r="E34" s="34" t="n">
        <x:f>'01_属性汇总'!E34*(1+'01_属性汇总'!P34/100)</x:f>
        <x:v>1035132.25</x:v>
      </x:c>
      <x:c r="F34" s="34" t="n">
        <x:f>'01_属性汇总'!F34*(1+'01_属性汇总'!Q34/100)</x:f>
        <x:v>520863.75</x:v>
      </x:c>
      <x:c r="G34" s="34" t="n">
        <x:f>'01_属性汇总'!G34*(1+'01_属性汇总'!Q34/100)</x:f>
        <x:v>603909</x:v>
      </x:c>
      <x:c r="H34" s="34" t="n">
        <x:f>'01_属性汇总'!H34*(1+'01_属性汇总'!R34/100)</x:f>
        <x:v>520533</x:v>
      </x:c>
      <x:c r="I34" s="34" t="n">
        <x:f>'01_属性汇总'!I34*(1+'01_属性汇总'!R34/100)</x:f>
        <x:v>603578.25</x:v>
      </x:c>
      <x:c r="J34" s="34" t="n">
        <x:f>'01_属性汇总'!J34*(1+'01_属性汇总'!AU34/100)</x:f>
        <x:v>22026284</x:v>
      </x:c>
      <x:c r="K34" s="34" t="n">
        <x:f>'01_属性汇总'!K34</x:f>
        <x:v>3200950</x:v>
      </x:c>
      <x:c r="L34" s="34" t="n">
        <x:f>D34+(E34-D34)*IF(M34&gt;='13_参数与假设'!$B$25,1,0.5+0.5*MAX(0,M34)/'13_参数与假设'!$B$25)</x:f>
        <x:v>1035132.25</x:v>
      </x:c>
      <x:c r="M34" s="34" t="n">
        <x:f>'01_属性汇总'!AF34+'01_属性汇总'!AG34</x:f>
        <x:v>15</x:v>
      </x:c>
      <x:c r="N34" s="34" t="n">
        <x:f>IF(M34&gt;='13_参数与假设'!$B$26,'13_参数与假设'!$B$27,0)</x:f>
        <x:v>15</x:v>
      </x:c>
      <x:c r="O34" s="34" t="n">
        <x:f>MIN('13_参数与假设'!$B$16,MAX(0,MIN('01_属性汇总'!AC34,'13_参数与假设'!$B$14+MIN('13_参数与假设'!$B$15,'01_属性汇总'!AD34))))</x:f>
        <x:v>26</x:v>
      </x:c>
      <x:c r="P34" s="34" t="n">
        <x:f>IF(O34=0,'13_参数与假设'!$B$19,IF(O34=10,'13_参数与假设'!$B$20,IF(O34=20,'13_参数与假设'!$B$21,IF(O34=30,'13_参数与假设'!$B$22,IF(O34=40,'13_参数与假设'!$B$23,IF(O34=50,'13_参数与假设'!$B$24,IF(O34&lt;=40,1000/('13_参数与假设'!$B$17-'13_参数与假设'!$B$18*O34),1/(1/'13_参数与假设'!$B$23+(O34-40)/10*(1/'13_参数与假设'!$B$24-1/'13_参数与假设'!$B$23)))))))))</x:f>
        <x:v>3.617573931056102</x:v>
      </x:c>
      <x:c r="Q34" s="34" t="n">
        <x:f>L34*(1+'01_属性汇总'!T34/100+N34/100)*(1+'01_属性汇总'!U34/100)*(1+'01_属性汇总'!S34)*(1+'01_属性汇总'!V34*'13_参数与假设'!$B$7)</x:f>
        <x:v>11834020.30502549</x:v>
      </x:c>
      <x:c r="R34" s="34" t="n">
        <x:f>Q34*AI34*AJ34</x:f>
        <x:v>20705275.2864848</x:v>
      </x:c>
      <x:c r="S34" s="34" t="n">
        <x:f>(R34+'01_属性汇总'!AA34)*P34*'13_参数与假设'!$B$5</x:f>
        <x:v>71157720.90614119</x:v>
      </x:c>
      <x:c r="T34" s="34" t="n">
        <x:v>1.35</x:v>
      </x:c>
      <x:c r="U34" s="34" t="n">
        <x:f>(R34*T34+'01_属性汇总'!AA34)*P34*'13_参数与假设'!$B$5</x:f>
        <x:v>96062923.22329062</x:v>
      </x:c>
      <x:c r="V34" s="34" t="n">
        <x:f>IF(AK34&gt;0,L34*'13_参数与假设'!$B$5/MAX(0.0001,AK34),0)</x:f>
        <x:v>0</x:v>
      </x:c>
      <x:c r="W34" s="34" t="n">
        <x:f>(U34+V34)*'13_参数与假设'!$B$6</x:f>
        <x:v>76850338.5786325</x:v>
      </x:c>
      <x:c r="X34" s="36" t="n">
        <x:f>MAX(0,MIN('13_参数与假设'!$B$13,'01_属性汇总'!AL34/100,'13_参数与假设'!$B$12+'01_属性汇总'!AM34/100))</x:f>
        <x:v>0.65</x:v>
      </x:c>
      <x:c r="Y34" s="34" t="n">
        <x:f>J34/(1-X34)</x:f>
        <x:v>62932240.00000001</x:v>
      </x:c>
      <x:c r="Z34" s="34" t="n">
        <x:f>R34*T34*P34*'13_参数与假设'!$B$5*'13_参数与假设'!$B$6*MAX(0,'01_属性汇总'!AN34/100)</x:f>
        <x:v>9029914.78298932</x:v>
      </x:c>
      <x:c r="AA34" s="34" t="n">
        <x:f>Z34+'01_属性汇总'!AB34</x:f>
        <x:v>9029914.78298932</x:v>
      </x:c>
      <x:c r="AB34" s="38" t="n">
        <x:f>(1+'01_属性汇总'!AO34/100+'01_属性汇总'!AQ34*'13_参数与假设'!$B$8)*(1+'01_属性汇总'!AP34/100)</x:f>
        <x:v>61.105</x:v>
      </x:c>
      <x:c r="AC34" s="38" t="n">
        <x:f>(1+'01_属性汇总'!AO34/100+'01_属性汇总'!AQ34*'13_参数与假设'!$B$9)*(1+'01_属性汇总'!AP34/100)</x:f>
        <x:v>57.5113</x:v>
      </x:c>
      <x:c r="AD34" s="38" t="n">
        <x:f>1+MIN(1,MAX(0,'01_属性汇总'!AR34/100))</x:f>
        <x:v>1.1</x:v>
      </x:c>
      <x:c r="AE34" s="38" t="n">
        <x:f>'13_参数与假设'!$B$33</x:f>
        <x:v>1.5</x:v>
      </x:c>
      <x:c r="AF34" s="34" t="n">
        <x:f>'01_属性汇总'!AH34+IF(M34&gt;='13_参数与假设'!$B$26,'13_参数与假设'!$B$28,0)</x:f>
        <x:v>34.5</x:v>
      </x:c>
      <x:c r="AG34" s="34" t="n">
        <x:f>'01_属性汇总'!AS34</x:f>
        <x:v>10</x:v>
      </x:c>
      <x:c r="AH34" s="34" t="n">
        <x:f>'01_属性汇总'!AT34</x:f>
        <x:v>0</x:v>
      </x:c>
      <x:c r="AI34" s="34" t="n">
        <x:f>1+MIN(1,MAX(0,'01_属性汇总'!W34/100))*('13_参数与假设'!$B$10+'01_属性汇总'!X34/100-1)</x:f>
        <x:v>1.6864</x:v>
      </x:c>
      <x:c r="AJ34" s="34" t="n">
        <x:f>1+MIN(1,MAX(0,'01_属性汇总'!Y34/100))*('13_参数与假设'!$B$11+'01_属性汇总'!Z34/100-1)</x:f>
        <x:v>1.0375</x:v>
      </x:c>
      <x:c r="AK34" s="34" t="n">
        <x:v>0</x:v>
      </x:c>
    </x:row>
    <x:row r="35">
      <x:c r="A35" s="25" t="str">
        <x:v>C08-G</x:v>
      </x:c>
      <x:c r="B35" s="25" t="str">
        <x:v>巨人山顶</x:v>
      </x:c>
      <x:c r="C35" s="25" t="str">
        <x:v>半急速毕业</x:v>
      </x:c>
      <x:c r="D35" s="34" t="n">
        <x:f>'01_属性汇总'!D35*(1+'01_属性汇总'!P35/100)</x:f>
        <x:v>935000.14</x:v>
      </x:c>
      <x:c r="E35" s="34" t="n">
        <x:f>'01_属性汇总'!E35*(1+'01_属性汇总'!P35/100)</x:f>
        <x:v>1122575.26</x:v>
      </x:c>
      <x:c r="F35" s="34" t="n">
        <x:f>'01_属性汇总'!F35*(1+'01_属性汇总'!Q35/100)</x:f>
        <x:v>610296.3</x:v>
      </x:c>
      <x:c r="G35" s="34" t="n">
        <x:f>'01_属性汇总'!G35*(1+'01_属性汇总'!Q35/100)</x:f>
        <x:v>731203.8600000001</x:v>
      </x:c>
      <x:c r="H35" s="34" t="n">
        <x:f>'01_属性汇总'!H35*(1+'01_属性汇总'!R35/100)</x:f>
        <x:v>598904.9400000001</x:v>
      </x:c>
      <x:c r="I35" s="34" t="n">
        <x:f>'01_属性汇总'!I35*(1+'01_属性汇总'!R35/100)</x:f>
        <x:v>719812.5</x:v>
      </x:c>
      <x:c r="J35" s="34" t="n">
        <x:f>'01_属性汇总'!J35*(1+'01_属性汇总'!AU35/100)</x:f>
        <x:v>36328857</x:v>
      </x:c>
      <x:c r="K35" s="34" t="n">
        <x:f>'01_属性汇总'!K35</x:f>
        <x:v>3201000</x:v>
      </x:c>
      <x:c r="L35" s="34" t="n">
        <x:f>D35+(E35-D35)*IF(M35&gt;='13_参数与假设'!$B$25,1,0.5+0.5*MAX(0,M35)/'13_参数与假设'!$B$25)</x:f>
        <x:v>1122575.26</x:v>
      </x:c>
      <x:c r="M35" s="34" t="n">
        <x:f>'01_属性汇总'!AF35+'01_属性汇总'!AG35</x:f>
        <x:v>15</x:v>
      </x:c>
      <x:c r="N35" s="34" t="n">
        <x:f>IF(M35&gt;='13_参数与假设'!$B$26,'13_参数与假设'!$B$27,0)</x:f>
        <x:v>15</x:v>
      </x:c>
      <x:c r="O35" s="34" t="n">
        <x:f>MIN('13_参数与假设'!$B$16,MAX(0,MIN('01_属性汇总'!AC35,'13_参数与假设'!$B$14+MIN('13_参数与假设'!$B$15,'01_属性汇总'!AD35))))</x:f>
        <x:v>26</x:v>
      </x:c>
      <x:c r="P35" s="34" t="n">
        <x:f>IF(O35=0,'13_参数与假设'!$B$19,IF(O35=10,'13_参数与假设'!$B$20,IF(O35=20,'13_参数与假设'!$B$21,IF(O35=30,'13_参数与假设'!$B$22,IF(O35=40,'13_参数与假设'!$B$23,IF(O35=50,'13_参数与假设'!$B$24,IF(O35&lt;=40,1000/('13_参数与假设'!$B$17-'13_参数与假设'!$B$18*O35),1/(1/'13_参数与假设'!$B$23+(O35-40)/10*(1/'13_参数与假设'!$B$24-1/'13_参数与假设'!$B$23)))))))))</x:f>
        <x:v>3.617573931056102</x:v>
      </x:c>
      <x:c r="Q35" s="34" t="n">
        <x:f>L35*(1+'01_属性汇总'!T35/100+N35/100)*(1+'01_属性汇总'!U35/100)*(1+'01_属性汇总'!S35)*(1+'01_属性汇总'!V35*'13_参数与假设'!$B$7)</x:f>
        <x:v>14288257.710511746</x:v>
      </x:c>
      <x:c r="R35" s="34" t="n">
        <x:f>Q35*AI35*AJ35</x:f>
        <x:v>23118043.76916524</x:v>
      </x:c>
      <x:c r="S35" s="34" t="n">
        <x:f>(R35+'01_属性汇总'!AA35)*P35*'13_参数与假设'!$B$5</x:f>
        <x:v>79449670.85252881</x:v>
      </x:c>
      <x:c r="T35" s="34" t="n">
        <x:v>1.35</x:v>
      </x:c>
      <x:c r="U35" s="34" t="n">
        <x:f>(R35*T35+'01_属性汇总'!AA35)*P35*'13_参数与假设'!$B$5</x:f>
        <x:v>107257055.65091391</x:v>
      </x:c>
      <x:c r="V35" s="34" t="n">
        <x:f>IF(AK35&gt;0,L35*'13_参数与假设'!$B$5/MAX(0.0001,AK35),0)</x:f>
        <x:v>0</x:v>
      </x:c>
      <x:c r="W35" s="34" t="n">
        <x:f>(U35+V35)*'13_参数与假设'!$B$6</x:f>
        <x:v>85805644.52073114</x:v>
      </x:c>
      <x:c r="X35" s="36" t="n">
        <x:f>MAX(0,MIN('13_参数与假设'!$B$13,'01_属性汇总'!AL35/100,'13_参数与假设'!$B$12+'01_属性汇总'!AM35/100))</x:f>
        <x:v>0.64</x:v>
      </x:c>
      <x:c r="Y35" s="34" t="n">
        <x:f>J35/(1-X35)</x:f>
        <x:v>100913491.66666667</x:v>
      </x:c>
      <x:c r="Z35" s="34" t="n">
        <x:f>R35*T35*P35*'13_参数与假设'!$B$5*'13_参数与假设'!$B$6*MAX(0,'01_属性汇总'!AN35/100)</x:f>
        <x:v>10940219.67639322</x:v>
      </x:c>
      <x:c r="AA35" s="34" t="n">
        <x:f>Z35+'01_属性汇总'!AB35</x:f>
        <x:v>10940219.67639322</x:v>
      </x:c>
      <x:c r="AB35" s="38" t="n">
        <x:f>(1+'01_属性汇总'!AO35/100+'01_属性汇总'!AQ35*'13_参数与假设'!$B$8)*(1+'01_属性汇总'!AP35/100)</x:f>
        <x:v>62.115</x:v>
      </x:c>
      <x:c r="AC35" s="38" t="n">
        <x:f>(1+'01_属性汇总'!AO35/100+'01_属性汇总'!AQ35*'13_参数与假设'!$B$9)*(1+'01_属性汇总'!AP35/100)</x:f>
        <x:v>58.4619</x:v>
      </x:c>
      <x:c r="AD35" s="38" t="n">
        <x:f>1+MIN(1,MAX(0,'01_属性汇总'!AR35/100))</x:f>
        <x:v>1.1</x:v>
      </x:c>
      <x:c r="AE35" s="38" t="n">
        <x:f>'13_参数与假设'!$B$33</x:f>
        <x:v>1.5</x:v>
      </x:c>
      <x:c r="AF35" s="34" t="n">
        <x:f>'01_属性汇总'!AH35+IF(M35&gt;='13_参数与假设'!$B$26,'13_参数与假设'!$B$28,0)</x:f>
        <x:v>41</x:v>
      </x:c>
      <x:c r="AG35" s="34" t="n">
        <x:f>'01_属性汇总'!AS35</x:f>
        <x:v>10</x:v>
      </x:c>
      <x:c r="AH35" s="34" t="n">
        <x:f>'01_属性汇总'!AT35</x:f>
        <x:v>0</x:v>
      </x:c>
      <x:c r="AI35" s="34" t="n">
        <x:f>1+MIN(1,MAX(0,'01_属性汇总'!W35/100))*('13_参数与假设'!$B$10+'01_属性汇总'!X35/100-1)</x:f>
        <x:v>1.598</x:v>
      </x:c>
      <x:c r="AJ35" s="34" t="n">
        <x:f>1+MIN(1,MAX(0,'01_属性汇总'!Y35/100))*('13_参数与假设'!$B$11+'01_属性汇总'!Z35/100-1)</x:f>
        <x:v>1.0125</x:v>
      </x:c>
      <x:c r="AK35" s="34" t="n">
        <x:v>0</x:v>
      </x:c>
    </x:row>
    <x:row r="36">
      <x:c r="A36" s="25" t="str">
        <x:v>C08-X</x:v>
      </x:c>
      <x:c r="B36" s="25" t="str">
        <x:v>巨人山顶</x:v>
      </x:c>
      <x:c r="C36" s="25" t="str">
        <x:v>极端压力</x:v>
      </x:c>
      <x:c r="D36" s="34" t="n">
        <x:f>'01_属性汇总'!D36*(1+'01_属性汇总'!P36/100)</x:f>
        <x:v>1628253.4300000002</x:v>
      </x:c>
      <x:c r="E36" s="34" t="n">
        <x:f>'01_属性汇总'!E36*(1+'01_属性汇总'!P36/100)</x:f>
        <x:v>2180813.6300000004</x:v>
      </x:c>
      <x:c r="F36" s="34" t="n">
        <x:f>'01_属性汇总'!F36*(1+'01_属性汇总'!Q36/100)</x:f>
        <x:v>966149.1000000001</x:v>
      </x:c>
      <x:c r="G36" s="34" t="n">
        <x:f>'01_属性汇总'!G36*(1+'01_属性汇总'!Q36/100)</x:f>
        <x:v>1305217.8</x:v>
      </x:c>
      <x:c r="H36" s="34" t="n">
        <x:f>'01_属性汇总'!H36*(1+'01_属性汇总'!R36/100)</x:f>
        <x:v>969664.5000000001</x:v>
      </x:c>
      <x:c r="I36" s="34" t="n">
        <x:f>'01_属性汇总'!I36*(1+'01_属性汇总'!R36/100)</x:f>
        <x:v>1308733.2000000002</x:v>
      </x:c>
      <x:c r="J36" s="34" t="n">
        <x:f>'01_属性汇总'!J36*(1+'01_属性汇总'!AU36/100)</x:f>
        <x:v>66318726.00000001</x:v>
      </x:c>
      <x:c r="K36" s="34" t="n">
        <x:f>'01_属性汇总'!K36</x:f>
        <x:v>3201000</x:v>
      </x:c>
      <x:c r="L36" s="34" t="n">
        <x:f>D36+(E36-D36)*IF(M36&gt;='13_参数与假设'!$B$25,1,0.5+0.5*MAX(0,M36)/'13_参数与假设'!$B$25)</x:f>
        <x:v>2180813.6300000004</x:v>
      </x:c>
      <x:c r="M36" s="34" t="n">
        <x:f>'01_属性汇总'!AF36+'01_属性汇总'!AG36</x:f>
        <x:v>15</x:v>
      </x:c>
      <x:c r="N36" s="34" t="n">
        <x:f>IF(M36&gt;='13_参数与假设'!$B$26,'13_参数与假设'!$B$27,0)</x:f>
        <x:v>15</x:v>
      </x:c>
      <x:c r="O36" s="34" t="n">
        <x:f>MIN('13_参数与假设'!$B$16,MAX(0,MIN('01_属性汇总'!AC36,'13_参数与假设'!$B$14+MIN('13_参数与假设'!$B$15,'01_属性汇总'!AD36))))</x:f>
        <x:v>30</x:v>
      </x:c>
      <x:c r="P36" s="34" t="n">
        <x:f>IF(O36=0,'13_参数与假设'!$B$19,IF(O36=10,'13_参数与假设'!$B$20,IF(O36=20,'13_参数与假设'!$B$21,IF(O36=30,'13_参数与假设'!$B$22,IF(O36=40,'13_参数与假设'!$B$23,IF(O36=50,'13_参数与假设'!$B$24,IF(O36&lt;=40,1000/('13_参数与假设'!$B$17-'13_参数与假设'!$B$18*O36),1/(1/'13_参数与假设'!$B$23+(O36-40)/10*(1/'13_参数与假设'!$B$24-1/'13_参数与假设'!$B$23)))))))))</x:f>
        <x:v>4.3</x:v>
      </x:c>
      <x:c r="Q36" s="34" t="n">
        <x:f>L36*(1+'01_属性汇总'!T36/100+N36/100)*(1+'01_属性汇总'!U36/100)*(1+'01_属性汇总'!S36)*(1+'01_属性汇总'!V36*'13_参数与假设'!$B$7)</x:f>
        <x:v>46984816.65102875</x:v>
      </x:c>
      <x:c r="R36" s="34" t="n">
        <x:f>Q36*AI36*AJ36</x:f>
        <x:v>125244368.914476</x:v>
      </x:c>
      <x:c r="S36" s="34" t="n">
        <x:f>(R36+'01_属性汇总'!AA36)*P36*'13_参数与假设'!$B$5</x:f>
        <x:v>511623247.0156344</x:v>
      </x:c>
      <x:c r="T36" s="34" t="n">
        <x:v>1.6</x:v>
      </x:c>
      <x:c r="U36" s="34" t="n">
        <x:f>(R36*T36+'01_属性汇总'!AA36)*P36*'13_参数与假设'!$B$5</x:f>
        <x:v>818597195.2250153</x:v>
      </x:c>
      <x:c r="V36" s="34" t="n">
        <x:f>IF(AK36&gt;0,L36*'13_参数与假设'!$B$5/MAX(0.0001,AK36),0)</x:f>
        <x:v>0</x:v>
      </x:c>
      <x:c r="W36" s="34" t="n">
        <x:f>(U36+V36)*'13_参数与假设'!$B$6</x:f>
        <x:v>654877756.1800122</x:v>
      </x:c>
      <x:c r="X36" s="36" t="n">
        <x:f>MAX(0,MIN('13_参数与假设'!$B$13,'01_属性汇总'!AL36/100,'13_参数与假设'!$B$12+'01_属性汇总'!AM36/100))</x:f>
        <x:v>0.64</x:v>
      </x:c>
      <x:c r="Y36" s="34" t="n">
        <x:f>J36/(1-X36)</x:f>
        <x:v>184218683.33333337</x:v>
      </x:c>
      <x:c r="Z36" s="34" t="n">
        <x:f>R36*T36*P36*'13_参数与假设'!$B$5*'13_参数与假设'!$B$6*MAX(0,'01_属性汇总'!AN36/100)</x:f>
        <x:v>72036553.17980134</x:v>
      </x:c>
      <x:c r="AA36" s="34" t="n">
        <x:f>Z36+'01_属性汇总'!AB36</x:f>
        <x:v>72036553.17980134</x:v>
      </x:c>
      <x:c r="AB36" s="38" t="n">
        <x:f>(1+'01_属性汇总'!AO36/100+'01_属性汇总'!AQ36*'13_参数与假设'!$B$8)*(1+'01_属性汇总'!AP36/100)</x:f>
        <x:v>59.589999999999996</x:v>
      </x:c>
      <x:c r="AC36" s="38" t="n">
        <x:f>(1+'01_属性汇总'!AO36/100+'01_属性汇总'!AQ36*'13_参数与假设'!$B$9)*(1+'01_属性汇总'!AP36/100)</x:f>
        <x:v>56.0854</x:v>
      </x:c>
      <x:c r="AD36" s="38" t="n">
        <x:f>1+MIN(1,MAX(0,'01_属性汇总'!AR36/100))</x:f>
        <x:v>1.23</x:v>
      </x:c>
      <x:c r="AE36" s="38" t="n">
        <x:f>'13_参数与假设'!$B$33</x:f>
        <x:v>1.5</x:v>
      </x:c>
      <x:c r="AF36" s="34" t="n">
        <x:f>'01_属性汇总'!AH36+IF(M36&gt;='13_参数与假设'!$B$26,'13_参数与假设'!$B$28,0)</x:f>
        <x:v>47</x:v>
      </x:c>
      <x:c r="AG36" s="34" t="n">
        <x:f>'01_属性汇总'!AS36</x:f>
        <x:v>10</x:v>
      </x:c>
      <x:c r="AH36" s="34" t="n">
        <x:f>'01_属性汇总'!AT36</x:f>
        <x:v>2</x:v>
      </x:c>
      <x:c r="AI36" s="34" t="n">
        <x:f>1+MIN(1,MAX(0,'01_属性汇总'!W36/100))*('13_参数与假设'!$B$10+'01_属性汇总'!X36/100-1)</x:f>
        <x:v>2.5576999999999996</x:v>
      </x:c>
      <x:c r="AJ36" s="34" t="n">
        <x:f>1+MIN(1,MAX(0,'01_属性汇总'!Y36/100))*('13_参数与假设'!$B$11+'01_属性汇总'!Z36/100-1)</x:f>
        <x:v>1.0422</x:v>
      </x:c>
      <x:c r="AK36" s="34" t="n">
        <x:v>0</x:v>
      </x:c>
    </x:row>
    <x:row r="37">
      <x:c r="A37" s="25" t="str">
        <x:v>C09-E</x:v>
      </x:c>
      <x:c r="B37" s="25" t="str">
        <x:v>亚坛高原</x:v>
      </x:c>
      <x:c r="C37" s="25" t="str">
        <x:v>半急速入场</x:v>
      </x:c>
      <x:c r="D37" s="34" t="n">
        <x:f>'01_属性汇总'!D37*(1+'01_属性汇总'!P37/100)</x:f>
        <x:v>935000.14</x:v>
      </x:c>
      <x:c r="E37" s="34" t="n">
        <x:f>'01_属性汇总'!E37*(1+'01_属性汇总'!P37/100)</x:f>
        <x:v>1122575.26</x:v>
      </x:c>
      <x:c r="F37" s="34" t="n">
        <x:f>'01_属性汇总'!F37*(1+'01_属性汇总'!Q37/100)</x:f>
        <x:v>610296.3</x:v>
      </x:c>
      <x:c r="G37" s="34" t="n">
        <x:f>'01_属性汇总'!G37*(1+'01_属性汇总'!Q37/100)</x:f>
        <x:v>731203.8600000001</x:v>
      </x:c>
      <x:c r="H37" s="34" t="n">
        <x:f>'01_属性汇总'!H37*(1+'01_属性汇总'!R37/100)</x:f>
        <x:v>598904.9400000001</x:v>
      </x:c>
      <x:c r="I37" s="34" t="n">
        <x:f>'01_属性汇总'!I37*(1+'01_属性汇总'!R37/100)</x:f>
        <x:v>719812.5</x:v>
      </x:c>
      <x:c r="J37" s="34" t="n">
        <x:f>'01_属性汇总'!J37*(1+'01_属性汇总'!AU37/100)</x:f>
        <x:v>36328857</x:v>
      </x:c>
      <x:c r="K37" s="34" t="n">
        <x:f>'01_属性汇总'!K37</x:f>
        <x:v>3201000</x:v>
      </x:c>
      <x:c r="L37" s="34" t="n">
        <x:f>D37+(E37-D37)*IF(M37&gt;='13_参数与假设'!$B$25,1,0.5+0.5*MAX(0,M37)/'13_参数与假设'!$B$25)</x:f>
        <x:v>1122575.26</x:v>
      </x:c>
      <x:c r="M37" s="34" t="n">
        <x:f>'01_属性汇总'!AF37+'01_属性汇总'!AG37</x:f>
        <x:v>15</x:v>
      </x:c>
      <x:c r="N37" s="34" t="n">
        <x:f>IF(M37&gt;='13_参数与假设'!$B$26,'13_参数与假设'!$B$27,0)</x:f>
        <x:v>15</x:v>
      </x:c>
      <x:c r="O37" s="34" t="n">
        <x:f>MIN('13_参数与假设'!$B$16,MAX(0,MIN('01_属性汇总'!AC37,'13_参数与假设'!$B$14+MIN('13_参数与假设'!$B$15,'01_属性汇总'!AD37))))</x:f>
        <x:v>26</x:v>
      </x:c>
      <x:c r="P37" s="34" t="n">
        <x:f>IF(O37=0,'13_参数与假设'!$B$19,IF(O37=10,'13_参数与假设'!$B$20,IF(O37=20,'13_参数与假设'!$B$21,IF(O37=30,'13_参数与假设'!$B$22,IF(O37=40,'13_参数与假设'!$B$23,IF(O37=50,'13_参数与假设'!$B$24,IF(O37&lt;=40,1000/('13_参数与假设'!$B$17-'13_参数与假设'!$B$18*O37),1/(1/'13_参数与假设'!$B$23+(O37-40)/10*(1/'13_参数与假设'!$B$24-1/'13_参数与假设'!$B$23)))))))))</x:f>
        <x:v>3.617573931056102</x:v>
      </x:c>
      <x:c r="Q37" s="34" t="n">
        <x:f>L37*(1+'01_属性汇总'!T37/100+N37/100)*(1+'01_属性汇总'!U37/100)*(1+'01_属性汇总'!S37)*(1+'01_属性汇总'!V37*'13_参数与假设'!$B$7)</x:f>
        <x:v>14288257.710511746</x:v>
      </x:c>
      <x:c r="R37" s="34" t="n">
        <x:f>Q37*AI37*AJ37</x:f>
        <x:v>23118043.76916524</x:v>
      </x:c>
      <x:c r="S37" s="34" t="n">
        <x:f>(R37+'01_属性汇总'!AA37)*P37*'13_参数与假设'!$B$5</x:f>
        <x:v>79449670.85252881</x:v>
      </x:c>
      <x:c r="T37" s="34" t="n">
        <x:v>1.35</x:v>
      </x:c>
      <x:c r="U37" s="34" t="n">
        <x:f>(R37*T37+'01_属性汇总'!AA37)*P37*'13_参数与假设'!$B$5</x:f>
        <x:v>107257055.65091391</x:v>
      </x:c>
      <x:c r="V37" s="34" t="n">
        <x:f>IF(AK37&gt;0,L37*'13_参数与假设'!$B$5/MAX(0.0001,AK37),0)</x:f>
        <x:v>0</x:v>
      </x:c>
      <x:c r="W37" s="34" t="n">
        <x:f>(U37+V37)*'13_参数与假设'!$B$6</x:f>
        <x:v>85805644.52073114</x:v>
      </x:c>
      <x:c r="X37" s="36" t="n">
        <x:f>MAX(0,MIN('13_参数与假设'!$B$13,'01_属性汇总'!AL37/100,'13_参数与假设'!$B$12+'01_属性汇总'!AM37/100))</x:f>
        <x:v>0.64</x:v>
      </x:c>
      <x:c r="Y37" s="34" t="n">
        <x:f>J37/(1-X37)</x:f>
        <x:v>100913491.66666667</x:v>
      </x:c>
      <x:c r="Z37" s="34" t="n">
        <x:f>R37*T37*P37*'13_参数与假设'!$B$5*'13_参数与假设'!$B$6*MAX(0,'01_属性汇总'!AN37/100)</x:f>
        <x:v>10940219.67639322</x:v>
      </x:c>
      <x:c r="AA37" s="34" t="n">
        <x:f>Z37+'01_属性汇总'!AB37</x:f>
        <x:v>10940219.67639322</x:v>
      </x:c>
      <x:c r="AB37" s="38" t="n">
        <x:f>(1+'01_属性汇总'!AO37/100+'01_属性汇总'!AQ37*'13_参数与假设'!$B$8)*(1+'01_属性汇总'!AP37/100)</x:f>
        <x:v>62.115</x:v>
      </x:c>
      <x:c r="AC37" s="38" t="n">
        <x:f>(1+'01_属性汇总'!AO37/100+'01_属性汇总'!AQ37*'13_参数与假设'!$B$9)*(1+'01_属性汇总'!AP37/100)</x:f>
        <x:v>58.4619</x:v>
      </x:c>
      <x:c r="AD37" s="38" t="n">
        <x:f>1+MIN(1,MAX(0,'01_属性汇总'!AR37/100))</x:f>
        <x:v>1.1</x:v>
      </x:c>
      <x:c r="AE37" s="38" t="n">
        <x:f>'13_参数与假设'!$B$33</x:f>
        <x:v>1.5</x:v>
      </x:c>
      <x:c r="AF37" s="34" t="n">
        <x:f>'01_属性汇总'!AH37+IF(M37&gt;='13_参数与假设'!$B$26,'13_参数与假设'!$B$28,0)</x:f>
        <x:v>41</x:v>
      </x:c>
      <x:c r="AG37" s="34" t="n">
        <x:f>'01_属性汇总'!AS37</x:f>
        <x:v>10</x:v>
      </x:c>
      <x:c r="AH37" s="34" t="n">
        <x:f>'01_属性汇总'!AT37</x:f>
        <x:v>0</x:v>
      </x:c>
      <x:c r="AI37" s="34" t="n">
        <x:f>1+MIN(1,MAX(0,'01_属性汇总'!W37/100))*('13_参数与假设'!$B$10+'01_属性汇总'!X37/100-1)</x:f>
        <x:v>1.598</x:v>
      </x:c>
      <x:c r="AJ37" s="34" t="n">
        <x:f>1+MIN(1,MAX(0,'01_属性汇总'!Y37/100))*('13_参数与假设'!$B$11+'01_属性汇总'!Z37/100-1)</x:f>
        <x:v>1.0125</x:v>
      </x:c>
      <x:c r="AK37" s="34" t="n">
        <x:v>0</x:v>
      </x:c>
    </x:row>
    <x:row r="38">
      <x:c r="A38" s="25" t="str">
        <x:v>C09-M</x:v>
      </x:c>
      <x:c r="B38" s="25" t="str">
        <x:v>亚坛高原</x:v>
      </x:c>
      <x:c r="C38" s="25" t="str">
        <x:v>半急速中期</x:v>
      </x:c>
      <x:c r="D38" s="34" t="n">
        <x:f>'01_属性汇总'!D38*(1+'01_属性汇总'!P38/100)</x:f>
        <x:v>1299237.8</x:v>
      </x:c>
      <x:c r="E38" s="34" t="n">
        <x:f>'01_属性汇总'!E38*(1+'01_属性汇总'!P38/100)</x:f>
        <x:v>1489952.7650000001</x:v>
      </x:c>
      <x:c r="F38" s="34" t="n">
        <x:f>'01_属性汇总'!F38*(1+'01_属性汇总'!Q38/100)</x:f>
        <x:v>833063</x:v>
      </x:c>
      <x:c r="G38" s="34" t="n">
        <x:f>'01_属性汇总'!G38*(1+'01_属性汇总'!Q38/100)</x:f>
        <x:v>953970.56</x:v>
      </x:c>
      <x:c r="H38" s="34" t="n">
        <x:f>'01_属性汇总'!H38*(1+'01_属性汇总'!R38/100)</x:f>
        <x:v>821608.8200000001</x:v>
      </x:c>
      <x:c r="I38" s="34" t="n">
        <x:f>'01_属性汇总'!I38*(1+'01_属性汇总'!R38/100)</x:f>
        <x:v>942516.38</x:v>
      </x:c>
      <x:c r="J38" s="34" t="n">
        <x:f>'01_属性汇总'!J38*(1+'01_属性汇总'!AU38/100)</x:f>
        <x:v>39881634</x:v>
      </x:c>
      <x:c r="K38" s="34" t="n">
        <x:f>'01_属性汇总'!K38</x:f>
        <x:v>6001050</x:v>
      </x:c>
      <x:c r="L38" s="34" t="n">
        <x:f>D38+(E38-D38)*IF(M38&gt;='13_参数与假设'!$B$25,1,0.5+0.5*MAX(0,M38)/'13_参数与假设'!$B$25)</x:f>
        <x:v>1489952.7650000001</x:v>
      </x:c>
      <x:c r="M38" s="34" t="n">
        <x:f>'01_属性汇总'!AF38+'01_属性汇总'!AG38</x:f>
        <x:v>15</x:v>
      </x:c>
      <x:c r="N38" s="34" t="n">
        <x:f>IF(M38&gt;='13_参数与假设'!$B$26,'13_参数与假设'!$B$27,0)</x:f>
        <x:v>15</x:v>
      </x:c>
      <x:c r="O38" s="34" t="n">
        <x:f>MIN('13_参数与假设'!$B$16,MAX(0,MIN('01_属性汇总'!AC38,'13_参数与假设'!$B$14+MIN('13_参数与假设'!$B$15,'01_属性汇总'!AD38))))</x:f>
        <x:v>26</x:v>
      </x:c>
      <x:c r="P38" s="34" t="n">
        <x:f>IF(O38=0,'13_参数与假设'!$B$19,IF(O38=10,'13_参数与假设'!$B$20,IF(O38=20,'13_参数与假设'!$B$21,IF(O38=30,'13_参数与假设'!$B$22,IF(O38=40,'13_参数与假设'!$B$23,IF(O38=50,'13_参数与假设'!$B$24,IF(O38&lt;=40,1000/('13_参数与假设'!$B$17-'13_参数与假设'!$B$18*O38),1/(1/'13_参数与假设'!$B$23+(O38-40)/10*(1/'13_参数与假设'!$B$24-1/'13_参数与假设'!$B$23)))))))))</x:f>
        <x:v>3.617573931056102</x:v>
      </x:c>
      <x:c r="Q38" s="34" t="n">
        <x:f>L38*(1+'01_属性汇总'!T38/100+N38/100)*(1+'01_属性汇总'!U38/100)*(1+'01_属性汇总'!S38)*(1+'01_属性汇总'!V38*'13_参数与假设'!$B$7)</x:f>
        <x:v>20637596.43015076</x:v>
      </x:c>
      <x:c r="R38" s="34" t="n">
        <x:f>Q38*AI38*AJ38</x:f>
        <x:v>34855791.099716514</x:v>
      </x:c>
      <x:c r="S38" s="34" t="n">
        <x:f>(R38+'01_属性汇总'!AA38)*P38*'13_参数与假设'!$B$5</x:f>
        <x:v>119788731.16723818</x:v>
      </x:c>
      <x:c r="T38" s="34" t="n">
        <x:v>1.35</x:v>
      </x:c>
      <x:c r="U38" s="34" t="n">
        <x:f>(R38*T38+'01_属性汇总'!AA38)*P38*'13_参数与假设'!$B$5</x:f>
        <x:v>161714787.07577154</x:v>
      </x:c>
      <x:c r="V38" s="34" t="n">
        <x:f>IF(AK38&gt;0,L38*'13_参数与假设'!$B$5/MAX(0.0001,AK38),0)</x:f>
        <x:v>0</x:v>
      </x:c>
      <x:c r="W38" s="34" t="n">
        <x:f>(U38+V38)*'13_参数与假设'!$B$6</x:f>
        <x:v>129371829.66061723</x:v>
      </x:c>
      <x:c r="X38" s="36" t="n">
        <x:f>MAX(0,MIN('13_参数与假设'!$B$13,'01_属性汇总'!AL38/100,'13_参数与假设'!$B$12+'01_属性汇总'!AM38/100))</x:f>
        <x:v>0.64</x:v>
      </x:c>
      <x:c r="Y38" s="34" t="n">
        <x:f>J38/(1-X38)</x:f>
        <x:v>110782316.66666667</x:v>
      </x:c>
      <x:c r="Z38" s="34" t="n">
        <x:f>R38*T38*P38*'13_参数与假设'!$B$5*'13_参数与假设'!$B$6*MAX(0,'01_属性汇总'!AN38/100)</x:f>
        <x:v>15201189.985122524</x:v>
      </x:c>
      <x:c r="AA38" s="34" t="n">
        <x:f>Z38+'01_属性汇总'!AB38</x:f>
        <x:v>15201189.985122524</x:v>
      </x:c>
      <x:c r="AB38" s="38" t="n">
        <x:f>(1+'01_属性汇总'!AO38/100+'01_属性汇总'!AQ38*'13_参数与假设'!$B$8)*(1+'01_属性汇总'!AP38/100)</x:f>
        <x:v>78.125</x:v>
      </x:c>
      <x:c r="AC38" s="38" t="n">
        <x:f>(1+'01_属性汇总'!AO38/100+'01_属性汇总'!AQ38*'13_参数与假设'!$B$9)*(1+'01_属性汇总'!AP38/100)</x:f>
        <x:v>74.4125</x:v>
      </x:c>
      <x:c r="AD38" s="38" t="n">
        <x:f>1+MIN(1,MAX(0,'01_属性汇总'!AR38/100))</x:f>
        <x:v>1.1</x:v>
      </x:c>
      <x:c r="AE38" s="38" t="n">
        <x:f>'13_参数与假设'!$B$33</x:f>
        <x:v>1.5</x:v>
      </x:c>
      <x:c r="AF38" s="34" t="n">
        <x:f>'01_属性汇总'!AH38+IF(M38&gt;='13_参数与假设'!$B$26,'13_参数与假设'!$B$28,0)</x:f>
        <x:v>38</x:v>
      </x:c>
      <x:c r="AG38" s="34" t="n">
        <x:f>'01_属性汇总'!AS38</x:f>
        <x:v>10</x:v>
      </x:c>
      <x:c r="AH38" s="34" t="n">
        <x:f>'01_属性汇总'!AT38</x:f>
        <x:v>0</x:v>
      </x:c>
      <x:c r="AI38" s="34" t="n">
        <x:f>1+MIN(1,MAX(0,'01_属性汇总'!W38/100))*('13_参数与假设'!$B$10+'01_属性汇总'!X38/100-1)</x:f>
        <x:v>1.6279</x:v>
      </x:c>
      <x:c r="AJ38" s="34" t="n">
        <x:f>1+MIN(1,MAX(0,'01_属性汇总'!Y38/100))*('13_参数与假设'!$B$11+'01_属性汇总'!Z38/100-1)</x:f>
        <x:v>1.0375</x:v>
      </x:c>
      <x:c r="AK38" s="34" t="n">
        <x:v>0</x:v>
      </x:c>
    </x:row>
    <x:row r="39">
      <x:c r="A39" s="25" t="str">
        <x:v>C09-G</x:v>
      </x:c>
      <x:c r="B39" s="25" t="str">
        <x:v>亚坛高原</x:v>
      </x:c>
      <x:c r="C39" s="25" t="str">
        <x:v>半急速毕业</x:v>
      </x:c>
      <x:c r="D39" s="34" t="n">
        <x:f>'01_属性汇总'!D39*(1+'01_属性汇总'!P39/100)</x:f>
        <x:v>1654898.85</x:v>
      </x:c>
      <x:c r="E39" s="34" t="n">
        <x:f>'01_属性汇总'!E39*(1+'01_属性汇总'!P39/100)</x:f>
        <x:v>2162546.1</x:v>
      </x:c>
      <x:c r="F39" s="34" t="n">
        <x:f>'01_属性汇总'!F39*(1+'01_属性汇总'!Q39/100)</x:f>
        <x:v>1332051.24</x:v>
      </x:c>
      <x:c r="G39" s="34" t="n">
        <x:f>'01_属性汇总'!G39*(1+'01_属性汇总'!Q39/100)</x:f>
        <x:v>1753991.46</x:v>
      </x:c>
      <x:c r="H39" s="34" t="n">
        <x:f>'01_属性汇总'!H39*(1+'01_属性汇总'!R39/100)</x:f>
        <x:v>1338409.02</x:v>
      </x:c>
      <x:c r="I39" s="34" t="n">
        <x:f>'01_属性汇总'!I39*(1+'01_属性汇总'!R39/100)</x:f>
        <x:v>1760349.24</x:v>
      </x:c>
      <x:c r="J39" s="34" t="n">
        <x:f>'01_属性汇总'!J39*(1+'01_属性汇总'!AU39/100)</x:f>
        <x:v>59754738.99999999</x:v>
      </x:c>
      <x:c r="K39" s="34" t="n">
        <x:f>'01_属性汇总'!K39</x:f>
        <x:v>6001100</x:v>
      </x:c>
      <x:c r="L39" s="34" t="n">
        <x:f>D39+(E39-D39)*IF(M39&gt;='13_参数与假设'!$B$25,1,0.5+0.5*MAX(0,M39)/'13_参数与假设'!$B$25)</x:f>
        <x:v>2162546.1</x:v>
      </x:c>
      <x:c r="M39" s="34" t="n">
        <x:f>'01_属性汇总'!AF39+'01_属性汇总'!AG39</x:f>
        <x:v>15</x:v>
      </x:c>
      <x:c r="N39" s="34" t="n">
        <x:f>IF(M39&gt;='13_参数与假设'!$B$26,'13_参数与假设'!$B$27,0)</x:f>
        <x:v>15</x:v>
      </x:c>
      <x:c r="O39" s="34" t="n">
        <x:f>MIN('13_参数与假设'!$B$16,MAX(0,MIN('01_属性汇总'!AC39,'13_参数与假设'!$B$14+MIN('13_参数与假设'!$B$15,'01_属性汇总'!AD39))))</x:f>
        <x:v>30</x:v>
      </x:c>
      <x:c r="P39" s="34" t="n">
        <x:f>IF(O39=0,'13_参数与假设'!$B$19,IF(O39=10,'13_参数与假设'!$B$20,IF(O39=20,'13_参数与假设'!$B$21,IF(O39=30,'13_参数与假设'!$B$22,IF(O39=40,'13_参数与假设'!$B$23,IF(O39=50,'13_参数与假设'!$B$24,IF(O39&lt;=40,1000/('13_参数与假设'!$B$17-'13_参数与假设'!$B$18*O39),1/(1/'13_参数与假设'!$B$23+(O39-40)/10*(1/'13_参数与假设'!$B$24-1/'13_参数与假设'!$B$23)))))))))</x:f>
        <x:v>4.3</x:v>
      </x:c>
      <x:c r="Q39" s="34" t="n">
        <x:f>L39*(1+'01_属性汇总'!T39/100+N39/100)*(1+'01_属性汇总'!U39/100)*(1+'01_属性汇总'!S39)*(1+'01_属性汇总'!V39*'13_参数与假设'!$B$7)</x:f>
        <x:v>34087690.14612905</x:v>
      </x:c>
      <x:c r="R39" s="34" t="n">
        <x:f>Q39*AI39*AJ39</x:f>
        <x:v>66719426.87073663</x:v>
      </x:c>
      <x:c r="S39" s="34" t="n">
        <x:f>(R39+'01_属性汇总'!AA39)*P39*'13_参数与假设'!$B$5</x:f>
        <x:v>272548858.76695913</x:v>
      </x:c>
      <x:c r="T39" s="34" t="n">
        <x:v>1.35</x:v>
      </x:c>
      <x:c r="U39" s="34" t="n">
        <x:f>(R39*T39+'01_属性汇总'!AA39)*P39*'13_参数与假设'!$B$5</x:f>
        <x:v>367940959.33539486</x:v>
      </x:c>
      <x:c r="V39" s="34" t="n">
        <x:f>IF(AK39&gt;0,L39*'13_参数与假设'!$B$5/MAX(0.0001,AK39),0)</x:f>
        <x:v>0</x:v>
      </x:c>
      <x:c r="W39" s="34" t="n">
        <x:f>(U39+V39)*'13_参数与假设'!$B$6</x:f>
        <x:v>294352767.4683159</x:v>
      </x:c>
      <x:c r="X39" s="36" t="n">
        <x:f>MAX(0,MIN('13_参数与假设'!$B$13,'01_属性汇总'!AL39/100,'13_参数与假设'!$B$12+'01_属性汇总'!AM39/100))</x:f>
        <x:v>0.6599999999999999</x:v>
      </x:c>
      <x:c r="Y39" s="34" t="n">
        <x:f>J39/(1-X39)</x:f>
        <x:v>175749232.35294113</x:v>
      </x:c>
      <x:c r="Z39" s="34" t="n">
        <x:f>R39*T39*P39*'13_参数与假设'!$B$5*'13_参数与假设'!$B$6*MAX(0,'01_属性汇总'!AN39/100)</x:f>
        <x:v>46360560.87625975</x:v>
      </x:c>
      <x:c r="AA39" s="34" t="n">
        <x:f>Z39+'01_属性汇总'!AB39</x:f>
        <x:v>46360560.87625975</x:v>
      </x:c>
      <x:c r="AB39" s="38" t="n">
        <x:f>(1+'01_属性汇总'!AO39/100+'01_属性汇总'!AQ39*'13_参数与假设'!$B$8)*(1+'01_属性汇总'!AP39/100)</x:f>
        <x:v>74.375</x:v>
      </x:c>
      <x:c r="AC39" s="38" t="n">
        <x:f>(1+'01_属性汇总'!AO39/100+'01_属性汇总'!AQ39*'13_参数与假设'!$B$9)*(1+'01_属性汇总'!AP39/100)</x:f>
        <x:v>70.8407</x:v>
      </x:c>
      <x:c r="AD39" s="38" t="n">
        <x:f>1+MIN(1,MAX(0,'01_属性汇总'!AR39/100))</x:f>
        <x:v>1.1</x:v>
      </x:c>
      <x:c r="AE39" s="38" t="n">
        <x:f>'13_参数与假设'!$B$33</x:f>
        <x:v>1.5</x:v>
      </x:c>
      <x:c r="AF39" s="34" t="n">
        <x:f>'01_属性汇总'!AH39+IF(M39&gt;='13_参数与假设'!$B$26,'13_参数与假设'!$B$28,0)</x:f>
        <x:v>42</x:v>
      </x:c>
      <x:c r="AG39" s="34" t="n">
        <x:f>'01_属性汇总'!AS39</x:f>
        <x:v>10</x:v>
      </x:c>
      <x:c r="AH39" s="34" t="n">
        <x:f>'01_属性汇总'!AT39</x:f>
        <x:v>0</x:v>
      </x:c>
      <x:c r="AI39" s="34" t="n">
        <x:f>1+MIN(1,MAX(0,'01_属性汇总'!W39/100))*('13_参数与假设'!$B$10+'01_属性汇总'!X39/100-1)</x:f>
        <x:v>1.78</x:v>
      </x:c>
      <x:c r="AJ39" s="34" t="n">
        <x:f>1+MIN(1,MAX(0,'01_属性汇总'!Y39/100))*('13_参数与假设'!$B$11+'01_属性汇总'!Z39/100-1)</x:f>
        <x:v>1.0996</x:v>
      </x:c>
      <x:c r="AK39" s="34" t="n">
        <x:v>0</x:v>
      </x:c>
    </x:row>
    <x:row r="40">
      <x:c r="A40" s="25" t="str">
        <x:v>C09-X</x:v>
      </x:c>
      <x:c r="B40" s="25" t="str">
        <x:v>亚坛高原</x:v>
      </x:c>
      <x:c r="C40" s="25" t="str">
        <x:v>极端压力</x:v>
      </x:c>
      <x:c r="D40" s="34" t="n">
        <x:f>'01_属性汇总'!D40*(1+'01_属性汇总'!P40/100)</x:f>
        <x:v>3087960.89</x:v>
      </x:c>
      <x:c r="E40" s="34" t="n">
        <x:f>'01_属性汇总'!E40*(1+'01_属性汇总'!P40/100)</x:f>
        <x:v>4197946.62</x:v>
      </x:c>
      <x:c r="F40" s="34" t="n">
        <x:f>'01_属性汇总'!F40*(1+'01_属性汇总'!Q40/100)</x:f>
        <x:v>1801177.0399999998</x:v>
      </x:c>
      <x:c r="G40" s="34" t="n">
        <x:f>'01_属性汇总'!G40*(1+'01_属性汇总'!Q40/100)</x:f>
        <x:v>2482034.6399999997</x:v>
      </x:c>
      <x:c r="H40" s="34" t="n">
        <x:f>'01_属性汇总'!H40*(1+'01_属性汇总'!R40/100)</x:f>
        <x:v>2128107.28</x:v>
      </x:c>
      <x:c r="I40" s="34" t="n">
        <x:f>'01_属性汇总'!I40*(1+'01_属性汇总'!R40/100)</x:f>
        <x:v>2808964.8799999994</x:v>
      </x:c>
      <x:c r="J40" s="34" t="n">
        <x:f>'01_属性汇总'!J40*(1+'01_属性汇总'!AU40/100)</x:f>
        <x:v>119077365.99999999</x:v>
      </x:c>
      <x:c r="K40" s="34" t="n">
        <x:f>'01_属性汇总'!K40</x:f>
        <x:v>6001100</x:v>
      </x:c>
      <x:c r="L40" s="34" t="n">
        <x:f>D40+(E40-D40)*IF(M40&gt;='13_参数与假设'!$B$25,1,0.5+0.5*MAX(0,M40)/'13_参数与假设'!$B$25)</x:f>
        <x:v>4197946.62</x:v>
      </x:c>
      <x:c r="M40" s="34" t="n">
        <x:f>'01_属性汇总'!AF40+'01_属性汇总'!AG40</x:f>
        <x:v>15</x:v>
      </x:c>
      <x:c r="N40" s="34" t="n">
        <x:f>IF(M40&gt;='13_参数与假设'!$B$26,'13_参数与假设'!$B$27,0)</x:f>
        <x:v>15</x:v>
      </x:c>
      <x:c r="O40" s="34" t="n">
        <x:f>MIN('13_参数与假设'!$B$16,MAX(0,MIN('01_属性汇总'!AC40,'13_参数与假设'!$B$14+MIN('13_参数与假设'!$B$15,'01_属性汇总'!AD40))))</x:f>
        <x:v>30</x:v>
      </x:c>
      <x:c r="P40" s="34" t="n">
        <x:f>IF(O40=0,'13_参数与假设'!$B$19,IF(O40=10,'13_参数与假设'!$B$20,IF(O40=20,'13_参数与假设'!$B$21,IF(O40=30,'13_参数与假设'!$B$22,IF(O40=40,'13_参数与假设'!$B$23,IF(O40=50,'13_参数与假设'!$B$24,IF(O40&lt;=40,1000/('13_参数与假设'!$B$17-'13_参数与假设'!$B$18*O40),1/(1/'13_参数与假设'!$B$23+(O40-40)/10*(1/'13_参数与假设'!$B$24-1/'13_参数与假设'!$B$23)))))))))</x:f>
        <x:v>4.3</x:v>
      </x:c>
      <x:c r="Q40" s="34" t="n">
        <x:f>L40*(1+'01_属性汇总'!T40/100+N40/100)*(1+'01_属性汇总'!U40/100)*(1+'01_属性汇总'!S40)*(1+'01_属性汇总'!V40*'13_参数与假设'!$B$7)</x:f>
        <x:v>107379495.30599892</x:v>
      </x:c>
      <x:c r="R40" s="34" t="n">
        <x:f>Q40*AI40*AJ40</x:f>
        <x:v>342818617.0153829</x:v>
      </x:c>
      <x:c r="S40" s="34" t="n">
        <x:f>(R40+'01_属性汇总'!AA40)*P40*'13_参数与假设'!$B$5</x:f>
        <x:v>1400414050.507839</x:v>
      </x:c>
      <x:c r="T40" s="34" t="n">
        <x:v>1.6</x:v>
      </x:c>
      <x:c r="U40" s="34" t="n">
        <x:f>(R40*T40+'01_属性汇总'!AA40)*P40*'13_参数与假设'!$B$5</x:f>
        <x:v>2240662480.8125424</x:v>
      </x:c>
      <x:c r="V40" s="34" t="n">
        <x:f>IF(AK40&gt;0,L40*'13_参数与假设'!$B$5/MAX(0.0001,AK40),0)</x:f>
        <x:v>0</x:v>
      </x:c>
      <x:c r="W40" s="34" t="n">
        <x:f>(U40+V40)*'13_参数与假设'!$B$6</x:f>
        <x:v>1792529984.650034</x:v>
      </x:c>
      <x:c r="X40" s="36" t="n">
        <x:f>MAX(0,MIN('13_参数与假设'!$B$13,'01_属性汇总'!AL40/100,'13_参数与假设'!$B$12+'01_属性汇总'!AM40/100))</x:f>
        <x:v>0.6599999999999999</x:v>
      </x:c>
      <x:c r="Y40" s="34" t="n">
        <x:f>J40/(1-X40)</x:f>
        <x:v>350227547.0588234</x:v>
      </x:c>
      <x:c r="Z40" s="34" t="n">
        <x:f>R40*T40*P40*'13_参数与假设'!$B$5*'13_参数与假设'!$B$6*MAX(0,'01_属性汇总'!AN40/100)</x:f>
        <x:v>197178298.31150374</x:v>
      </x:c>
      <x:c r="AA40" s="34" t="n">
        <x:f>Z40+'01_属性汇总'!AB40</x:f>
        <x:v>197178298.31150374</x:v>
      </x:c>
      <x:c r="AB40" s="38" t="n">
        <x:f>(1+'01_属性汇总'!AO40/100+'01_属性汇总'!AQ40*'13_参数与假设'!$B$8)*(1+'01_属性汇总'!AP40/100)</x:f>
        <x:v>73.125</x:v>
      </x:c>
      <x:c r="AC40" s="38" t="n">
        <x:f>(1+'01_属性汇总'!AO40/100+'01_属性汇总'!AQ40*'13_参数与假设'!$B$9)*(1+'01_属性汇总'!AP40/100)</x:f>
        <x:v>69.6501</x:v>
      </x:c>
      <x:c r="AD40" s="38" t="n">
        <x:f>1+MIN(1,MAX(0,'01_属性汇总'!AR40/100))</x:f>
        <x:v>1.25</x:v>
      </x:c>
      <x:c r="AE40" s="38" t="n">
        <x:f>'13_参数与假设'!$B$33</x:f>
        <x:v>1.5</x:v>
      </x:c>
      <x:c r="AF40" s="34" t="n">
        <x:f>'01_属性汇总'!AH40+IF(M40&gt;='13_参数与假设'!$B$26,'13_参数与假设'!$B$28,0)</x:f>
        <x:v>48.5</x:v>
      </x:c>
      <x:c r="AG40" s="34" t="n">
        <x:f>'01_属性汇总'!AS40</x:f>
        <x:v>10</x:v>
      </x:c>
      <x:c r="AH40" s="34" t="n">
        <x:f>'01_属性汇总'!AT40</x:f>
        <x:v>2</x:v>
      </x:c>
      <x:c r="AI40" s="34" t="n">
        <x:f>1+MIN(1,MAX(0,'01_属性汇总'!W40/100))*('13_参数与假设'!$B$10+'01_属性汇总'!X40/100-1)</x:f>
        <x:v>2.8788</x:v>
      </x:c>
      <x:c r="AJ40" s="34" t="n">
        <x:f>1+MIN(1,MAX(0,'01_属性汇总'!Y40/100))*('13_参数与假设'!$B$11+'01_属性汇总'!Z40/100-1)</x:f>
        <x:v>1.109</x:v>
      </x:c>
      <x:c r="AK40" s="34" t="n">
        <x:v>0</x:v>
      </x:c>
    </x:row>
    <x:row r="41">
      <x:c r="A41" s="25" t="str">
        <x:v>C10-E</x:v>
      </x:c>
      <x:c r="B41" s="25" t="str">
        <x:v>王城罗德尔</x:v>
      </x:c>
      <x:c r="C41" s="25" t="str">
        <x:v>半急速入场</x:v>
      </x:c>
      <x:c r="D41" s="34" t="n">
        <x:f>'01_属性汇总'!D41*(1+'01_属性汇总'!P41/100)</x:f>
        <x:v>1654898.85</x:v>
      </x:c>
      <x:c r="E41" s="34" t="n">
        <x:f>'01_属性汇总'!E41*(1+'01_属性汇总'!P41/100)</x:f>
        <x:v>2162546.1</x:v>
      </x:c>
      <x:c r="F41" s="34" t="n">
        <x:f>'01_属性汇总'!F41*(1+'01_属性汇总'!Q41/100)</x:f>
        <x:v>1332051.24</x:v>
      </x:c>
      <x:c r="G41" s="34" t="n">
        <x:f>'01_属性汇总'!G41*(1+'01_属性汇总'!Q41/100)</x:f>
        <x:v>1753991.46</x:v>
      </x:c>
      <x:c r="H41" s="34" t="n">
        <x:f>'01_属性汇总'!H41*(1+'01_属性汇总'!R41/100)</x:f>
        <x:v>1338409.02</x:v>
      </x:c>
      <x:c r="I41" s="34" t="n">
        <x:f>'01_属性汇总'!I41*(1+'01_属性汇总'!R41/100)</x:f>
        <x:v>1760349.24</x:v>
      </x:c>
      <x:c r="J41" s="34" t="n">
        <x:f>'01_属性汇总'!J41*(1+'01_属性汇总'!AU41/100)</x:f>
        <x:v>59754738.99999999</x:v>
      </x:c>
      <x:c r="K41" s="34" t="n">
        <x:f>'01_属性汇总'!K41</x:f>
        <x:v>6001100</x:v>
      </x:c>
      <x:c r="L41" s="34" t="n">
        <x:f>D41+(E41-D41)*IF(M41&gt;='13_参数与假设'!$B$25,1,0.5+0.5*MAX(0,M41)/'13_参数与假设'!$B$25)</x:f>
        <x:v>2162546.1</x:v>
      </x:c>
      <x:c r="M41" s="34" t="n">
        <x:f>'01_属性汇总'!AF41+'01_属性汇总'!AG41</x:f>
        <x:v>15</x:v>
      </x:c>
      <x:c r="N41" s="34" t="n">
        <x:f>IF(M41&gt;='13_参数与假设'!$B$26,'13_参数与假设'!$B$27,0)</x:f>
        <x:v>15</x:v>
      </x:c>
      <x:c r="O41" s="34" t="n">
        <x:f>MIN('13_参数与假设'!$B$16,MAX(0,MIN('01_属性汇总'!AC41,'13_参数与假设'!$B$14+MIN('13_参数与假设'!$B$15,'01_属性汇总'!AD41))))</x:f>
        <x:v>30</x:v>
      </x:c>
      <x:c r="P41" s="34" t="n">
        <x:f>IF(O41=0,'13_参数与假设'!$B$19,IF(O41=10,'13_参数与假设'!$B$20,IF(O41=20,'13_参数与假设'!$B$21,IF(O41=30,'13_参数与假设'!$B$22,IF(O41=40,'13_参数与假设'!$B$23,IF(O41=50,'13_参数与假设'!$B$24,IF(O41&lt;=40,1000/('13_参数与假设'!$B$17-'13_参数与假设'!$B$18*O41),1/(1/'13_参数与假设'!$B$23+(O41-40)/10*(1/'13_参数与假设'!$B$24-1/'13_参数与假设'!$B$23)))))))))</x:f>
        <x:v>4.3</x:v>
      </x:c>
      <x:c r="Q41" s="34" t="n">
        <x:f>L41*(1+'01_属性汇总'!T41/100+N41/100)*(1+'01_属性汇总'!U41/100)*(1+'01_属性汇总'!S41)*(1+'01_属性汇总'!V41*'13_参数与假设'!$B$7)</x:f>
        <x:v>34087690.14612905</x:v>
      </x:c>
      <x:c r="R41" s="34" t="n">
        <x:f>Q41*AI41*AJ41</x:f>
        <x:v>66719426.87073663</x:v>
      </x:c>
      <x:c r="S41" s="34" t="n">
        <x:f>(R41+'01_属性汇总'!AA41)*P41*'13_参数与假设'!$B$5</x:f>
        <x:v>272548858.76695913</x:v>
      </x:c>
      <x:c r="T41" s="34" t="n">
        <x:v>1.35</x:v>
      </x:c>
      <x:c r="U41" s="34" t="n">
        <x:f>(R41*T41+'01_属性汇总'!AA41)*P41*'13_参数与假设'!$B$5</x:f>
        <x:v>367940959.33539486</x:v>
      </x:c>
      <x:c r="V41" s="34" t="n">
        <x:f>IF(AK41&gt;0,L41*'13_参数与假设'!$B$5/MAX(0.0001,AK41),0)</x:f>
        <x:v>0</x:v>
      </x:c>
      <x:c r="W41" s="34" t="n">
        <x:f>(U41+V41)*'13_参数与假设'!$B$6</x:f>
        <x:v>294352767.4683159</x:v>
      </x:c>
      <x:c r="X41" s="36" t="n">
        <x:f>MAX(0,MIN('13_参数与假设'!$B$13,'01_属性汇总'!AL41/100,'13_参数与假设'!$B$12+'01_属性汇总'!AM41/100))</x:f>
        <x:v>0.6599999999999999</x:v>
      </x:c>
      <x:c r="Y41" s="34" t="n">
        <x:f>J41/(1-X41)</x:f>
        <x:v>175749232.35294113</x:v>
      </x:c>
      <x:c r="Z41" s="34" t="n">
        <x:f>R41*T41*P41*'13_参数与假设'!$B$5*'13_参数与假设'!$B$6*MAX(0,'01_属性汇总'!AN41/100)</x:f>
        <x:v>46360560.87625975</x:v>
      </x:c>
      <x:c r="AA41" s="34" t="n">
        <x:f>Z41+'01_属性汇总'!AB41</x:f>
        <x:v>46360560.87625975</x:v>
      </x:c>
      <x:c r="AB41" s="38" t="n">
        <x:f>(1+'01_属性汇总'!AO41/100+'01_属性汇总'!AQ41*'13_参数与假设'!$B$8)*(1+'01_属性汇总'!AP41/100)</x:f>
        <x:v>74.375</x:v>
      </x:c>
      <x:c r="AC41" s="38" t="n">
        <x:f>(1+'01_属性汇总'!AO41/100+'01_属性汇总'!AQ41*'13_参数与假设'!$B$9)*(1+'01_属性汇总'!AP41/100)</x:f>
        <x:v>70.8407</x:v>
      </x:c>
      <x:c r="AD41" s="38" t="n">
        <x:f>1+MIN(1,MAX(0,'01_属性汇总'!AR41/100))</x:f>
        <x:v>1.1</x:v>
      </x:c>
      <x:c r="AE41" s="38" t="n">
        <x:f>'13_参数与假设'!$B$33</x:f>
        <x:v>1.5</x:v>
      </x:c>
      <x:c r="AF41" s="34" t="n">
        <x:f>'01_属性汇总'!AH41+IF(M41&gt;='13_参数与假设'!$B$26,'13_参数与假设'!$B$28,0)</x:f>
        <x:v>42</x:v>
      </x:c>
      <x:c r="AG41" s="34" t="n">
        <x:f>'01_属性汇总'!AS41</x:f>
        <x:v>10</x:v>
      </x:c>
      <x:c r="AH41" s="34" t="n">
        <x:f>'01_属性汇总'!AT41</x:f>
        <x:v>0</x:v>
      </x:c>
      <x:c r="AI41" s="34" t="n">
        <x:f>1+MIN(1,MAX(0,'01_属性汇总'!W41/100))*('13_参数与假设'!$B$10+'01_属性汇总'!X41/100-1)</x:f>
        <x:v>1.78</x:v>
      </x:c>
      <x:c r="AJ41" s="34" t="n">
        <x:f>1+MIN(1,MAX(0,'01_属性汇总'!Y41/100))*('13_参数与假设'!$B$11+'01_属性汇总'!Z41/100-1)</x:f>
        <x:v>1.0996</x:v>
      </x:c>
      <x:c r="AK41" s="34" t="n">
        <x:v>0</x:v>
      </x:c>
    </x:row>
    <x:row r="42">
      <x:c r="A42" s="25" t="str">
        <x:v>C10-M</x:v>
      </x:c>
      <x:c r="B42" s="25" t="str">
        <x:v>王城罗德尔</x:v>
      </x:c>
      <x:c r="C42" s="25" t="str">
        <x:v>半急速中期</x:v>
      </x:c>
      <x:c r="D42" s="34" t="n">
        <x:f>'01_属性汇总'!D42*(1+'01_属性汇总'!P42/100)</x:f>
        <x:v>2715948.16</x:v>
      </x:c>
      <x:c r="E42" s="34" t="n">
        <x:f>'01_属性汇总'!E42*(1+'01_属性汇总'!P42/100)</x:f>
        <x:v>3408782.4</x:v>
      </x:c>
      <x:c r="F42" s="34" t="n">
        <x:f>'01_属性汇总'!F42*(1+'01_属性汇总'!Q42/100)</x:f>
        <x:v>1857123.84</x:v>
      </x:c>
      <x:c r="G42" s="34" t="n">
        <x:f>'01_属性汇总'!G42*(1+'01_属性汇总'!Q42/100)</x:f>
        <x:v>2279064.06</x:v>
      </x:c>
      <x:c r="H42" s="34" t="n">
        <x:f>'01_属性汇总'!H42*(1+'01_属性汇总'!R42/100)</x:f>
        <x:v>1660914.45</x:v>
      </x:c>
      <x:c r="I42" s="34" t="n">
        <x:f>'01_属性汇总'!I42*(1+'01_属性汇总'!R42/100)</x:f>
        <x:v>2082854.67</x:v>
      </x:c>
      <x:c r="J42" s="34" t="n">
        <x:f>'01_属性汇总'!J42*(1+'01_属性汇总'!AU42/100)</x:f>
        <x:v>64848552.99999999</x:v>
      </x:c>
      <x:c r="K42" s="34" t="n">
        <x:f>'01_属性汇总'!K42</x:f>
        <x:v>10001150</x:v>
      </x:c>
      <x:c r="L42" s="34" t="n">
        <x:f>D42+(E42-D42)*IF(M42&gt;='13_参数与假设'!$B$25,1,0.5+0.5*MAX(0,M42)/'13_参数与假设'!$B$25)</x:f>
        <x:v>3408782.4</x:v>
      </x:c>
      <x:c r="M42" s="34" t="n">
        <x:f>'01_属性汇总'!AF42+'01_属性汇总'!AG42</x:f>
        <x:v>15</x:v>
      </x:c>
      <x:c r="N42" s="34" t="n">
        <x:f>IF(M42&gt;='13_参数与假设'!$B$26,'13_参数与假设'!$B$27,0)</x:f>
        <x:v>15</x:v>
      </x:c>
      <x:c r="O42" s="34" t="n">
        <x:f>MIN('13_参数与假设'!$B$16,MAX(0,MIN('01_属性汇总'!AC42,'13_参数与假设'!$B$14+MIN('13_参数与假设'!$B$15,'01_属性汇总'!AD42))))</x:f>
        <x:v>30</x:v>
      </x:c>
      <x:c r="P42" s="34" t="n">
        <x:f>IF(O42=0,'13_参数与假设'!$B$19,IF(O42=10,'13_参数与假设'!$B$20,IF(O42=20,'13_参数与假设'!$B$21,IF(O42=30,'13_参数与假设'!$B$22,IF(O42=40,'13_参数与假设'!$B$23,IF(O42=50,'13_参数与假设'!$B$24,IF(O42&lt;=40,1000/('13_参数与假设'!$B$17-'13_参数与假设'!$B$18*O42),1/(1/'13_参数与假设'!$B$23+(O42-40)/10*(1/'13_参数与假设'!$B$24-1/'13_参数与假设'!$B$23)))))))))</x:f>
        <x:v>4.3</x:v>
      </x:c>
      <x:c r="Q42" s="34" t="n">
        <x:f>L42*(1+'01_属性汇总'!T42/100+N42/100)*(1+'01_属性汇总'!U42/100)*(1+'01_属性汇总'!S42)*(1+'01_属性汇总'!V42*'13_参数与假设'!$B$7)</x:f>
        <x:v>61484161.78935935</x:v>
      </x:c>
      <x:c r="R42" s="34" t="n">
        <x:f>Q42*AI42*AJ42</x:f>
        <x:v>114197300.47865763</x:v>
      </x:c>
      <x:c r="S42" s="34" t="n">
        <x:f>(R42+'01_属性汇总'!AA42)*P42*'13_参数与假设'!$B$5</x:f>
        <x:v>466495972.45531636</x:v>
      </x:c>
      <x:c r="T42" s="34" t="n">
        <x:v>1.35</x:v>
      </x:c>
      <x:c r="U42" s="34" t="n">
        <x:f>(R42*T42+'01_属性汇总'!AA42)*P42*'13_参数与假设'!$B$5</x:f>
        <x:v>629769562.8146772</x:v>
      </x:c>
      <x:c r="V42" s="34" t="n">
        <x:f>IF(AK42&gt;0,L42*'13_参数与假设'!$B$5/MAX(0.0001,AK42),0)</x:f>
        <x:v>0</x:v>
      </x:c>
      <x:c r="W42" s="34" t="n">
        <x:f>(U42+V42)*'13_参数与假设'!$B$6</x:f>
        <x:v>503815650.2517418</x:v>
      </x:c>
      <x:c r="X42" s="36" t="n">
        <x:f>MAX(0,MIN('13_参数与假设'!$B$13,'01_属性汇总'!AL42/100,'13_参数与假设'!$B$12+'01_属性汇总'!AM42/100))</x:f>
        <x:v>0.63</x:v>
      </x:c>
      <x:c r="Y42" s="34" t="n">
        <x:f>J42/(1-X42)</x:f>
        <x:v>175266359.45945945</x:v>
      </x:c>
      <x:c r="Z42" s="34" t="n">
        <x:f>R42*T42*P42*'13_参数与假设'!$B$5*'13_参数与假设'!$B$6*MAX(0,'01_属性汇总'!AN42/100)</x:f>
        <x:v>54160182.402062245</x:v>
      </x:c>
      <x:c r="AA42" s="34" t="n">
        <x:f>Z42+'01_属性汇总'!AB42</x:f>
        <x:v>54160182.402062245</x:v>
      </x:c>
      <x:c r="AB42" s="38" t="n">
        <x:f>(1+'01_属性汇总'!AO42/100+'01_属性汇总'!AQ42*'13_参数与假设'!$B$8)*(1+'01_属性汇总'!AP42/100)</x:f>
        <x:v>97.405</x:v>
      </x:c>
      <x:c r="AC42" s="38" t="n">
        <x:f>(1+'01_属性汇总'!AO42/100+'01_属性汇总'!AQ42*'13_参数与假设'!$B$9)*(1+'01_属性汇总'!AP42/100)</x:f>
        <x:v>90.2176</x:v>
      </x:c>
      <x:c r="AD42" s="38" t="n">
        <x:f>1+MIN(1,MAX(0,'01_属性汇总'!AR42/100))</x:f>
        <x:v>1.1</x:v>
      </x:c>
      <x:c r="AE42" s="38" t="n">
        <x:f>'13_参数与假设'!$B$33</x:f>
        <x:v>1.5</x:v>
      </x:c>
      <x:c r="AF42" s="34" t="n">
        <x:f>'01_属性汇总'!AH42+IF(M42&gt;='13_参数与假设'!$B$26,'13_参数与假设'!$B$28,0)</x:f>
        <x:v>39</x:v>
      </x:c>
      <x:c r="AG42" s="34" t="n">
        <x:f>'01_属性汇总'!AS42</x:f>
        <x:v>10</x:v>
      </x:c>
      <x:c r="AH42" s="34" t="n">
        <x:f>'01_属性汇总'!AT42</x:f>
        <x:v>0</x:v>
      </x:c>
      <x:c r="AI42" s="34" t="n">
        <x:f>1+MIN(1,MAX(0,'01_属性汇总'!W42/100))*('13_参数与假设'!$B$10+'01_属性汇总'!X42/100-1)</x:f>
        <x:v>1.7149999999999999</x:v>
      </x:c>
      <x:c r="AJ42" s="34" t="n">
        <x:f>1+MIN(1,MAX(0,'01_属性汇总'!Y42/100))*('13_参数与假设'!$B$11+'01_属性汇总'!Z42/100-1)</x:f>
        <x:v>1.083</x:v>
      </x:c>
      <x:c r="AK42" s="34" t="n">
        <x:v>0</x:v>
      </x:c>
    </x:row>
    <x:row r="43">
      <x:c r="A43" s="25" t="str">
        <x:v>C10-G</x:v>
      </x:c>
      <x:c r="B43" s="25" t="str">
        <x:v>王城罗德尔</x:v>
      </x:c>
      <x:c r="C43" s="25" t="str">
        <x:v>半急速毕业</x:v>
      </x:c>
      <x:c r="D43" s="34" t="n">
        <x:f>'01_属性汇总'!D43*(1+'01_属性汇总'!P43/100)</x:f>
        <x:v>3096121.38</x:v>
      </x:c>
      <x:c r="E43" s="34" t="n">
        <x:f>'01_属性汇总'!E43*(1+'01_属性汇总'!P43/100)</x:f>
        <x:v>4078440.21</x:v>
      </x:c>
      <x:c r="F43" s="34" t="n">
        <x:f>'01_属性汇总'!F43*(1+'01_属性汇总'!Q43/100)</x:f>
        <x:v>2365889</x:v>
      </x:c>
      <x:c r="G43" s="34" t="n">
        <x:f>'01_属性汇总'!G43*(1+'01_属性汇总'!Q43/100)</x:f>
        <x:v>3096923.25</x:v>
      </x:c>
      <x:c r="H43" s="34" t="n">
        <x:f>'01_属性汇总'!H43*(1+'01_属性汇总'!R43/100)</x:f>
        <x:v>2247616.25</x:v>
      </x:c>
      <x:c r="I43" s="34" t="n">
        <x:f>'01_属性汇总'!I43*(1+'01_属性汇总'!R43/100)</x:f>
        <x:v>2978650.5</x:v>
      </x:c>
      <x:c r="J43" s="34" t="n">
        <x:f>'01_属性汇总'!J43*(1+'01_属性汇总'!AU43/100)</x:f>
        <x:v>91497335</x:v>
      </x:c>
      <x:c r="K43" s="34" t="n">
        <x:f>'01_属性汇总'!K43</x:f>
        <x:v>10001200</x:v>
      </x:c>
      <x:c r="L43" s="34" t="n">
        <x:f>D43+(E43-D43)*IF(M43&gt;='13_参数与假设'!$B$25,1,0.5+0.5*MAX(0,M43)/'13_参数与假设'!$B$25)</x:f>
        <x:v>4078440.21</x:v>
      </x:c>
      <x:c r="M43" s="34" t="n">
        <x:f>'01_属性汇总'!AF43+'01_属性汇总'!AG43</x:f>
        <x:v>15</x:v>
      </x:c>
      <x:c r="N43" s="34" t="n">
        <x:f>IF(M43&gt;='13_参数与假设'!$B$26,'13_参数与假设'!$B$27,0)</x:f>
        <x:v>15</x:v>
      </x:c>
      <x:c r="O43" s="34" t="n">
        <x:f>MIN('13_参数与假设'!$B$16,MAX(0,MIN('01_属性汇总'!AC43,'13_参数与假设'!$B$14+MIN('13_参数与假设'!$B$15,'01_属性汇总'!AD43))))</x:f>
        <x:v>28</x:v>
      </x:c>
      <x:c r="P43" s="34" t="n">
        <x:f>IF(O43=0,'13_参数与假设'!$B$19,IF(O43=10,'13_参数与假设'!$B$20,IF(O43=20,'13_参数与假设'!$B$21,IF(O43=30,'13_参数与假设'!$B$22,IF(O43=40,'13_参数与假设'!$B$23,IF(O43=50,'13_参数与假设'!$B$24,IF(O43&lt;=40,1000/('13_参数与假设'!$B$17-'13_参数与假设'!$B$18*O43),1/(1/'13_参数与假设'!$B$23+(O43-40)/10*(1/'13_参数与假设'!$B$24-1/'13_参数与假设'!$B$23)))))))))</x:f>
        <x:v>3.939530631556477</x:v>
      </x:c>
      <x:c r="Q43" s="34" t="n">
        <x:f>L43*(1+'01_属性汇总'!T43/100+N43/100)*(1+'01_属性汇总'!U43/100)*(1+'01_属性汇总'!S43)*(1+'01_属性汇总'!V43*'13_参数与假设'!$B$7)</x:f>
        <x:v>85247532.88034755</x:v>
      </x:c>
      <x:c r="R43" s="34" t="n">
        <x:f>Q43*AI43*AJ43</x:f>
        <x:v>163895798.49782875</x:v>
      </x:c>
      <x:c r="S43" s="34" t="n">
        <x:f>(R43+'01_属性汇总'!AA43)*P43*'13_参数与假设'!$B$5</x:f>
        <x:v>613388892.6373241</x:v>
      </x:c>
      <x:c r="T43" s="34" t="n">
        <x:v>1.35</x:v>
      </x:c>
      <x:c r="U43" s="34" t="n">
        <x:f>(R43*T43+'01_属性汇总'!AA43)*P43*'13_参数与假设'!$B$5</x:f>
        <x:v>828075005.0603876</x:v>
      </x:c>
      <x:c r="V43" s="34" t="n">
        <x:f>IF(AK43&gt;0,L43*'13_参数与假设'!$B$5/MAX(0.0001,AK43),0)</x:f>
        <x:v>0</x:v>
      </x:c>
      <x:c r="W43" s="34" t="n">
        <x:f>(U43+V43)*'13_参数与假设'!$B$6</x:f>
        <x:v>662460004.0483102</x:v>
      </x:c>
      <x:c r="X43" s="36" t="n">
        <x:f>MAX(0,MIN('13_参数与假设'!$B$13,'01_属性汇总'!AL43/100,'13_参数与假设'!$B$12+'01_属性汇总'!AM43/100))</x:f>
        <x:v>0.65</x:v>
      </x:c>
      <x:c r="Y43" s="34" t="n">
        <x:f>J43/(1-X43)</x:f>
        <x:v>261420957.14285716</x:v>
      </x:c>
      <x:c r="Z43" s="34" t="n">
        <x:f>R43*T43*P43*'13_参数与假设'!$B$5*'13_参数与假设'!$B$6*MAX(0,'01_属性汇总'!AN43/100)</x:f>
        <x:v>97712850.59712574</x:v>
      </x:c>
      <x:c r="AA43" s="34" t="n">
        <x:f>Z43+'01_属性汇总'!AB43</x:f>
        <x:v>97712850.59712574</x:v>
      </x:c>
      <x:c r="AB43" s="38" t="n">
        <x:f>(1+'01_属性汇总'!AO43/100+'01_属性汇总'!AQ43*'13_参数与假设'!$B$8)*(1+'01_属性汇总'!AP43/100)</x:f>
        <x:v>99.82</x:v>
      </x:c>
      <x:c r="AC43" s="38" t="n">
        <x:f>(1+'01_属性汇总'!AO43/100+'01_属性汇总'!AQ43*'13_参数与假设'!$B$9)*(1+'01_属性汇总'!AP43/100)</x:f>
        <x:v>92.4544</x:v>
      </x:c>
      <x:c r="AD43" s="38" t="n">
        <x:f>1+MIN(1,MAX(0,'01_属性汇总'!AR43/100))</x:f>
        <x:v>1.1</x:v>
      </x:c>
      <x:c r="AE43" s="38" t="n">
        <x:f>'13_参数与假设'!$B$33</x:f>
        <x:v>1.5</x:v>
      </x:c>
      <x:c r="AF43" s="34" t="n">
        <x:f>'01_属性汇总'!AH43+IF(M43&gt;='13_参数与假设'!$B$26,'13_参数与假设'!$B$28,0)</x:f>
        <x:v>43</x:v>
      </x:c>
      <x:c r="AG43" s="34" t="n">
        <x:f>'01_属性汇总'!AS43</x:f>
        <x:v>10</x:v>
      </x:c>
      <x:c r="AH43" s="34" t="n">
        <x:f>'01_属性汇总'!AT43</x:f>
        <x:v>0</x:v>
      </x:c>
      <x:c r="AI43" s="34" t="n">
        <x:f>1+MIN(1,MAX(0,'01_属性汇总'!W43/100))*('13_参数与假设'!$B$10+'01_属性汇总'!X43/100-1)</x:f>
        <x:v>1.759</x:v>
      </x:c>
      <x:c r="AJ43" s="34" t="n">
        <x:f>1+MIN(1,MAX(0,'01_属性汇总'!Y43/100))*('13_参数与假设'!$B$11+'01_属性汇总'!Z43/100-1)</x:f>
        <x:v>1.093</x:v>
      </x:c>
      <x:c r="AK43" s="34" t="n">
        <x:v>0</x:v>
      </x:c>
    </x:row>
    <x:row r="44">
      <x:c r="A44" s="25" t="str">
        <x:v>C10-X</x:v>
      </x:c>
      <x:c r="B44" s="25" t="str">
        <x:v>王城罗德尔</x:v>
      </x:c>
      <x:c r="C44" s="25" t="str">
        <x:v>极端压力</x:v>
      </x:c>
      <x:c r="D44" s="34" t="n">
        <x:f>'01_属性汇总'!D44*(1+'01_属性汇总'!P44/100)</x:f>
        <x:v>5925967.82</x:v>
      </x:c>
      <x:c r="E44" s="34" t="n">
        <x:f>'01_属性汇总'!E44*(1+'01_属性汇总'!P44/100)</x:f>
        <x:v>7988497.88</x:v>
      </x:c>
      <x:c r="F44" s="34" t="n">
        <x:f>'01_属性汇总'!F44*(1+'01_属性汇总'!Q44/100)</x:f>
        <x:v>3260181</x:v>
      </x:c>
      <x:c r="G44" s="34" t="n">
        <x:f>'01_属性汇总'!G44*(1+'01_属性汇总'!Q44/100)</x:f>
        <x:v>4561239.75</x:v>
      </x:c>
      <x:c r="H44" s="34" t="n">
        <x:f>'01_属性汇总'!H44*(1+'01_属性汇总'!R44/100)</x:f>
        <x:v>3210221.75</x:v>
      </x:c>
      <x:c r="I44" s="34" t="n">
        <x:f>'01_属性汇总'!I44*(1+'01_属性汇总'!R44/100)</x:f>
        <x:v>4511280.5</x:v>
      </x:c>
      <x:c r="J44" s="34" t="n">
        <x:f>'01_属性汇总'!J44*(1+'01_属性汇总'!AU44/100)</x:f>
        <x:v>218767719.99999997</x:v>
      </x:c>
      <x:c r="K44" s="34" t="n">
        <x:f>'01_属性汇总'!K44</x:f>
        <x:v>10001200</x:v>
      </x:c>
      <x:c r="L44" s="34" t="n">
        <x:f>D44+(E44-D44)*IF(M44&gt;='13_参数与假设'!$B$25,1,0.5+0.5*MAX(0,M44)/'13_参数与假设'!$B$25)</x:f>
        <x:v>7988497.88</x:v>
      </x:c>
      <x:c r="M44" s="34" t="n">
        <x:f>'01_属性汇总'!AF44+'01_属性汇总'!AG44</x:f>
        <x:v>15</x:v>
      </x:c>
      <x:c r="N44" s="34" t="n">
        <x:f>IF(M44&gt;='13_参数与假设'!$B$26,'13_参数与假设'!$B$27,0)</x:f>
        <x:v>15</x:v>
      </x:c>
      <x:c r="O44" s="34" t="n">
        <x:f>MIN('13_参数与假设'!$B$16,MAX(0,MIN('01_属性汇总'!AC44,'13_参数与假设'!$B$14+MIN('13_参数与假设'!$B$15,'01_属性汇总'!AD44))))</x:f>
        <x:v>28</x:v>
      </x:c>
      <x:c r="P44" s="34" t="n">
        <x:f>IF(O44=0,'13_参数与假设'!$B$19,IF(O44=10,'13_参数与假设'!$B$20,IF(O44=20,'13_参数与假设'!$B$21,IF(O44=30,'13_参数与假设'!$B$22,IF(O44=40,'13_参数与假设'!$B$23,IF(O44=50,'13_参数与假设'!$B$24,IF(O44&lt;=40,1000/('13_参数与假设'!$B$17-'13_参数与假设'!$B$18*O44),1/(1/'13_参数与假设'!$B$23+(O44-40)/10*(1/'13_参数与假设'!$B$24-1/'13_参数与假设'!$B$23)))))))))</x:f>
        <x:v>3.939530631556477</x:v>
      </x:c>
      <x:c r="Q44" s="34" t="n">
        <x:f>L44*(1+'01_属性汇总'!T44/100+N44/100)*(1+'01_属性汇总'!U44/100)*(1+'01_属性汇总'!S44)*(1+'01_属性汇总'!V44*'13_参数与假设'!$B$7)</x:f>
        <x:v>278450919.7796616</x:v>
      </x:c>
      <x:c r="R44" s="34" t="n">
        <x:f>Q44*AI44*AJ44</x:f>
        <x:v>1053184913.8826143</x:v>
      </x:c>
      <x:c r="S44" s="34" t="n">
        <x:f>(R44+'01_属性汇总'!AA44)*P44*'13_参数与假设'!$B$5</x:f>
        <x:v>3941601517.4870424</x:v>
      </x:c>
      <x:c r="T44" s="34" t="n">
        <x:v>1.6</x:v>
      </x:c>
      <x:c r="U44" s="34" t="n">
        <x:f>(R44*T44+'01_属性汇总'!AA44)*P44*'13_参数与假设'!$B$5</x:f>
        <x:v>6306562427.979269</x:v>
      </x:c>
      <x:c r="V44" s="34" t="n">
        <x:f>IF(AK44&gt;0,L44*'13_参数与假设'!$B$5/MAX(0.0001,AK44),0)</x:f>
        <x:v>0</x:v>
      </x:c>
      <x:c r="W44" s="34" t="n">
        <x:f>(U44+V44)*'13_参数与假设'!$B$6</x:f>
        <x:v>5045249942.383415</x:v>
      </x:c>
      <x:c r="X44" s="36" t="n">
        <x:f>MAX(0,MIN('13_参数与假设'!$B$13,'01_属性汇总'!AL44/100,'13_参数与假设'!$B$12+'01_属性汇总'!AM44/100))</x:f>
        <x:v>0.64</x:v>
      </x:c>
      <x:c r="Y44" s="34" t="n">
        <x:f>J44/(1-X44)</x:f>
        <x:v>607688111.111111</x:v>
      </x:c>
      <x:c r="Z44" s="34" t="n">
        <x:f>R44*T44*P44*'13_参数与假设'!$B$5*'13_参数与假设'!$B$6*MAX(0,'01_属性汇总'!AN44/100)</x:f>
        <x:v>554977493.6621757</x:v>
      </x:c>
      <x:c r="AA44" s="34" t="n">
        <x:f>Z44+'01_属性汇总'!AB44</x:f>
        <x:v>554977493.6621757</x:v>
      </x:c>
      <x:c r="AB44" s="38" t="n">
        <x:f>(1+'01_属性汇总'!AO44/100+'01_属性汇总'!AQ44*'13_参数与假设'!$B$8)*(1+'01_属性汇总'!AP44/100)</x:f>
        <x:v>99.82</x:v>
      </x:c>
      <x:c r="AC44" s="38" t="n">
        <x:f>(1+'01_属性汇总'!AO44/100+'01_属性汇总'!AQ44*'13_参数与假设'!$B$9)*(1+'01_属性汇总'!AP44/100)</x:f>
        <x:v>92.4544</x:v>
      </x:c>
      <x:c r="AD44" s="38" t="n">
        <x:f>1+MIN(1,MAX(0,'01_属性汇总'!AR44/100))</x:f>
        <x:v>1.3</x:v>
      </x:c>
      <x:c r="AE44" s="38" t="n">
        <x:f>'13_参数与假设'!$B$33</x:f>
        <x:v>1.5</x:v>
      </x:c>
      <x:c r="AF44" s="34" t="n">
        <x:f>'01_属性汇总'!AH44+IF(M44&gt;='13_参数与假设'!$B$26,'13_参数与假设'!$B$28,0)</x:f>
        <x:v>52</x:v>
      </x:c>
      <x:c r="AG44" s="34" t="n">
        <x:f>'01_属性汇总'!AS44</x:f>
        <x:v>10</x:v>
      </x:c>
      <x:c r="AH44" s="34" t="n">
        <x:f>'01_属性汇总'!AT44</x:f>
        <x:v>2</x:v>
      </x:c>
      <x:c r="AI44" s="34" t="n">
        <x:f>1+MIN(1,MAX(0,'01_属性汇总'!W44/100))*('13_参数与假设'!$B$10+'01_属性汇总'!X44/100-1)</x:f>
        <x:v>3.47</x:v>
      </x:c>
      <x:c r="AJ44" s="34" t="n">
        <x:f>1+MIN(1,MAX(0,'01_属性汇总'!Y44/100))*('13_参数与假设'!$B$11+'01_属性汇总'!Z44/100-1)</x:f>
        <x:v>1.09</x:v>
      </x:c>
      <x:c r="AK44" s="34" t="n">
        <x:v>0</x:v>
      </x:c>
    </x:row>
  </x:sheetData>
  <x:mergeCells>
    <x:mergeCell ref="A1:AK1"/>
    <x:mergeCell ref="A2:A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9" hidden="0" customWidth="1"/>
    <x:col min="5" max="5" width="19" hidden="0" customWidth="1"/>
    <x:col min="6" max="6" width="15" hidden="0" customWidth="1"/>
    <x:col min="7" max="7" width="17" hidden="0" customWidth="1"/>
    <x:col min="8" max="8" width="19" hidden="0" customWidth="1"/>
    <x:col min="9" max="9" width="17" hidden="0" customWidth="1"/>
    <x:col min="10" max="10" width="23" hidden="0" customWidth="1"/>
    <x:col min="11" max="11" width="64" hidden="0" customWidth="1"/>
  </x:cols>
  <x:sheetData>
    <x:row r="1" ht="29" customHeight="1">
      <x:c r="A1" s="4" t="str">
        <x:v>处决窗口条件表｜160个抵扣情景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3" customHeight="1">
      <x:c r="A2" s="11" t="str">
        <x:v>先输出无处决常规DPS，再独立观察地图要求为0/10/20/30时的长战窗口。首刀、尾刀、低血量目标、怪物回复需后续逐刀计算，不能直接套长战值。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地图处决要求pp</x:v>
      </x:c>
      <x:c r="E4" s="19" t="str">
        <x:v>有效处决概率</x:v>
      </x:c>
      <x:c r="F4" s="19" t="str">
        <x:v>持续秒</x:v>
      </x:c>
      <x:c r="G4" s="19" t="str">
        <x:v>处决总倍率</x:v>
      </x:c>
      <x:c r="H4" s="19" t="str">
        <x:v>窗口内有效刀数</x:v>
      </x:c>
      <x:c r="I4" s="19" t="str">
        <x:v>近似覆盖率</x:v>
      </x:c>
      <x:c r="J4" s="19" t="str">
        <x:v>条件长战DPS</x:v>
      </x:c>
      <x:c r="K4" s="19" t="str">
        <x:v>适用边界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n">
        <x:v>0</x:v>
      </x:c>
      <x:c r="E5" s="36" t="n">
        <x:f>MIN(1,MAX(0,('03_战斗派生'!AF5-D5)/100))</x:f>
        <x:v>0.1</x:v>
      </x:c>
      <x:c r="F5" s="25" t="n">
        <x:f>IF(E5&gt;0,'13_参数与假设'!$B$29+'13_参数与假设'!$B$30*MAX(0,E5*100-1)+'01_属性汇总'!AJ5,0)</x:f>
        <x:v>2.8</x:v>
      </x:c>
      <x:c r="G5" s="25" t="n">
        <x:f>IF(E5&gt;0,'13_参数与假设'!$B$31+'13_参数与假设'!$B$32*MAX(0,E5*100-1)+'01_属性汇总'!AI5/100,1)</x:f>
        <x:v>3.8</x:v>
      </x:c>
      <x:c r="H5" s="25" t="n">
        <x:f>MAX(0,INT(F5*'03_战斗派生'!P5*'13_参数与假设'!$B$5))</x:f>
        <x:v>4</x:v>
      </x:c>
      <x:c r="I5" s="36" t="n">
        <x:f>IF(E5&gt;0,1-(1-E5)^H5,0)</x:f>
        <x:v>0.3438999999999999</x:v>
      </x:c>
      <x:c r="J5" s="40" t="n">
        <x:f>(('03_战斗派生'!R5*'03_战斗派生'!T5*(1+I5*(G5-1))+'01_属性汇总'!AA5)*'03_战斗派生'!P5*'13_参数与假设'!$B$5+'03_战斗派生'!V5)*'13_参数与假设'!$B$6</x:f>
        <x:v>8270.287979194873</x:v>
      </x:c>
      <x:c r="K5" s="25" t="str">
        <x:v>PVE抵扣规则＋持续/倍率映射假设；非地图实测</x:v>
      </x:c>
    </x:row>
    <x:row r="6">
      <x:c r="A6" s="25" t="str">
        <x:v>C01-E</x:v>
      </x:c>
      <x:c r="B6" s="25" t="str">
        <x:v>漂流群岛</x:v>
      </x:c>
      <x:c r="C6" s="25" t="str">
        <x:v>半急速入场</x:v>
      </x:c>
      <x:c r="D6" s="25" t="n">
        <x:v>10</x:v>
      </x:c>
      <x:c r="E6" s="36" t="n">
        <x:f>MIN(1,MAX(0,('03_战斗派生'!AF5-D6)/100))</x:f>
        <x:v>0</x:v>
      </x:c>
      <x:c r="F6" s="25" t="n">
        <x:f>IF(E6&gt;0,'13_参数与假设'!$B$29+'13_参数与假设'!$B$30*MAX(0,E6*100-1)+'01_属性汇总'!AJ5,0)</x:f>
        <x:v>0</x:v>
      </x:c>
      <x:c r="G6" s="25" t="n">
        <x:f>IF(E6&gt;0,'13_参数与假设'!$B$31+'13_参数与假设'!$B$32*MAX(0,E6*100-1)+'01_属性汇总'!AI5/100,1)</x:f>
        <x:v>1</x:v>
      </x:c>
      <x:c r="H6" s="25" t="n">
        <x:f>MAX(0,INT(F6*'03_战斗派生'!P5*'13_参数与假设'!$B$5))</x:f>
        <x:v>0</x:v>
      </x:c>
      <x:c r="I6" s="36" t="n">
        <x:f>IF(E6&gt;0,1-(1-E6)^H6,0)</x:f>
        <x:v>0</x:v>
      </x:c>
      <x:c r="J6" s="40" t="n">
        <x:f>(('03_战斗派生'!R5*'03_战斗派生'!T5*(1+I6*(G6-1))+'01_属性汇总'!AA5)*'03_战斗派生'!P5*'13_参数与假设'!$B$5+'03_战斗派生'!V5)*'13_参数与假设'!$B$6</x:f>
        <x:v>7617.895298824505</x:v>
      </x:c>
      <x:c r="K6" s="25" t="str">
        <x:v>PVE抵扣规则＋持续/倍率映射假设；非地图实测</x:v>
      </x:c>
    </x:row>
    <x:row r="7">
      <x:c r="A7" s="25" t="str">
        <x:v>C01-E</x:v>
      </x:c>
      <x:c r="B7" s="25" t="str">
        <x:v>漂流群岛</x:v>
      </x:c>
      <x:c r="C7" s="25" t="str">
        <x:v>半急速入场</x:v>
      </x:c>
      <x:c r="D7" s="25" t="n">
        <x:v>20</x:v>
      </x:c>
      <x:c r="E7" s="36" t="n">
        <x:f>MIN(1,MAX(0,('03_战斗派生'!AF5-D7)/100))</x:f>
        <x:v>0</x:v>
      </x:c>
      <x:c r="F7" s="25" t="n">
        <x:f>IF(E7&gt;0,'13_参数与假设'!$B$29+'13_参数与假设'!$B$30*MAX(0,E7*100-1)+'01_属性汇总'!AJ5,0)</x:f>
        <x:v>0</x:v>
      </x:c>
      <x:c r="G7" s="25" t="n">
        <x:f>IF(E7&gt;0,'13_参数与假设'!$B$31+'13_参数与假设'!$B$32*MAX(0,E7*100-1)+'01_属性汇总'!AI5/100,1)</x:f>
        <x:v>1</x:v>
      </x:c>
      <x:c r="H7" s="25" t="n">
        <x:f>MAX(0,INT(F7*'03_战斗派生'!P5*'13_参数与假设'!$B$5))</x:f>
        <x:v>0</x:v>
      </x:c>
      <x:c r="I7" s="36" t="n">
        <x:f>IF(E7&gt;0,1-(1-E7)^H7,0)</x:f>
        <x:v>0</x:v>
      </x:c>
      <x:c r="J7" s="40" t="n">
        <x:f>(('03_战斗派生'!R5*'03_战斗派生'!T5*(1+I7*(G7-1))+'01_属性汇总'!AA5)*'03_战斗派生'!P5*'13_参数与假设'!$B$5+'03_战斗派生'!V5)*'13_参数与假设'!$B$6</x:f>
        <x:v>7617.895298824505</x:v>
      </x:c>
      <x:c r="K7" s="25" t="str">
        <x:v>PVE抵扣规则＋持续/倍率映射假设；非地图实测</x:v>
      </x:c>
    </x:row>
    <x:row r="8">
      <x:c r="A8" s="25" t="str">
        <x:v>C01-E</x:v>
      </x:c>
      <x:c r="B8" s="25" t="str">
        <x:v>漂流群岛</x:v>
      </x:c>
      <x:c r="C8" s="25" t="str">
        <x:v>半急速入场</x:v>
      </x:c>
      <x:c r="D8" s="25" t="n">
        <x:v>30</x:v>
      </x:c>
      <x:c r="E8" s="36" t="n">
        <x:f>MIN(1,MAX(0,('03_战斗派生'!AF5-D8)/100))</x:f>
        <x:v>0</x:v>
      </x:c>
      <x:c r="F8" s="25" t="n">
        <x:f>IF(E8&gt;0,'13_参数与假设'!$B$29+'13_参数与假设'!$B$30*MAX(0,E8*100-1)+'01_属性汇总'!AJ5,0)</x:f>
        <x:v>0</x:v>
      </x:c>
      <x:c r="G8" s="25" t="n">
        <x:f>IF(E8&gt;0,'13_参数与假设'!$B$31+'13_参数与假设'!$B$32*MAX(0,E8*100-1)+'01_属性汇总'!AI5/100,1)</x:f>
        <x:v>1</x:v>
      </x:c>
      <x:c r="H8" s="25" t="n">
        <x:f>MAX(0,INT(F8*'03_战斗派生'!P5*'13_参数与假设'!$B$5))</x:f>
        <x:v>0</x:v>
      </x:c>
      <x:c r="I8" s="36" t="n">
        <x:f>IF(E8&gt;0,1-(1-E8)^H8,0)</x:f>
        <x:v>0</x:v>
      </x:c>
      <x:c r="J8" s="40" t="n">
        <x:f>(('03_战斗派生'!R5*'03_战斗派生'!T5*(1+I8*(G8-1))+'01_属性汇总'!AA5)*'03_战斗派生'!P5*'13_参数与假设'!$B$5+'03_战斗派生'!V5)*'13_参数与假设'!$B$6</x:f>
        <x:v>7617.895298824505</x:v>
      </x:c>
      <x:c r="K8" s="25" t="str">
        <x:v>PVE抵扣规则＋持续/倍率映射假设；非地图实测</x:v>
      </x:c>
    </x:row>
    <x:row r="9">
      <x:c r="A9" s="25" t="str">
        <x:v>C01-M</x:v>
      </x:c>
      <x:c r="B9" s="25" t="str">
        <x:v>漂流群岛</x:v>
      </x:c>
      <x:c r="C9" s="25" t="str">
        <x:v>半急速中期</x:v>
      </x:c>
      <x:c r="D9" s="25" t="n">
        <x:v>0</x:v>
      </x:c>
      <x:c r="E9" s="36" t="n">
        <x:f>MIN(1,MAX(0,('03_战斗派生'!AF6-D9)/100))</x:f>
        <x:v>0.1</x:v>
      </x:c>
      <x:c r="F9" s="25" t="n">
        <x:f>IF(E9&gt;0,'13_参数与假设'!$B$29+'13_参数与假设'!$B$30*MAX(0,E9*100-1)+'01_属性汇总'!AJ6,0)</x:f>
        <x:v>2.8</x:v>
      </x:c>
      <x:c r="G9" s="25" t="n">
        <x:f>IF(E9&gt;0,'13_参数与假设'!$B$31+'13_参数与假设'!$B$32*MAX(0,E9*100-1)+'01_属性汇总'!AI6/100,1)</x:f>
        <x:v>3.8</x:v>
      </x:c>
      <x:c r="H9" s="25" t="n">
        <x:f>MAX(0,INT(F9*'03_战斗派生'!P6*'13_参数与假设'!$B$5))</x:f>
        <x:v>5</x:v>
      </x:c>
      <x:c r="I9" s="36" t="n">
        <x:f>IF(E9&gt;0,1-(1-E9)^H9,0)</x:f>
        <x:v>0.4095099999999998</x:v>
      </x:c>
      <x:c r="J9" s="40" t="n">
        <x:f>(('03_战斗派生'!R6*'03_战斗派生'!T6*(1+I9*(G9-1))+'01_属性汇总'!AA6)*'03_战斗派生'!P6*'13_参数与假设'!$B$5+'03_战斗派生'!V6)*'13_参数与假设'!$B$6</x:f>
        <x:v>17762.056865600465</x:v>
      </x:c>
      <x:c r="K9" s="25" t="str">
        <x:v>PVE抵扣规则＋持续/倍率映射假设；非地图实测</x:v>
      </x:c>
    </x:row>
    <x:row r="10">
      <x:c r="A10" s="25" t="str">
        <x:v>C01-M</x:v>
      </x:c>
      <x:c r="B10" s="25" t="str">
        <x:v>漂流群岛</x:v>
      </x:c>
      <x:c r="C10" s="25" t="str">
        <x:v>半急速中期</x:v>
      </x:c>
      <x:c r="D10" s="25" t="n">
        <x:v>10</x:v>
      </x:c>
      <x:c r="E10" s="36" t="n">
        <x:f>MIN(1,MAX(0,('03_战斗派生'!AF6-D10)/100))</x:f>
        <x:v>0</x:v>
      </x:c>
      <x:c r="F10" s="25" t="n">
        <x:f>IF(E10&gt;0,'13_参数与假设'!$B$29+'13_参数与假设'!$B$30*MAX(0,E10*100-1)+'01_属性汇总'!AJ6,0)</x:f>
        <x:v>0</x:v>
      </x:c>
      <x:c r="G10" s="25" t="n">
        <x:f>IF(E10&gt;0,'13_参数与假设'!$B$31+'13_参数与假设'!$B$32*MAX(0,E10*100-1)+'01_属性汇总'!AI6/100,1)</x:f>
        <x:v>1</x:v>
      </x:c>
      <x:c r="H10" s="25" t="n">
        <x:f>MAX(0,INT(F10*'03_战斗派生'!P6*'13_参数与假设'!$B$5))</x:f>
        <x:v>0</x:v>
      </x:c>
      <x:c r="I10" s="36" t="n">
        <x:f>IF(E10&gt;0,1-(1-E10)^H10,0)</x:f>
        <x:v>0</x:v>
      </x:c>
      <x:c r="J10" s="40" t="n">
        <x:f>(('03_战斗派生'!R6*'03_战斗派生'!T6*(1+I10*(G10-1))+'01_属性汇总'!AA6)*'03_战斗派生'!P6*'13_参数与假设'!$B$5+'03_战斗派生'!V6)*'13_参数与假设'!$B$6</x:f>
        <x:v>13376.910986652214</x:v>
      </x:c>
      <x:c r="K10" s="25" t="str">
        <x:v>PVE抵扣规则＋持续/倍率映射假设；非地图实测</x:v>
      </x:c>
    </x:row>
    <x:row r="11">
      <x:c r="A11" s="25" t="str">
        <x:v>C01-M</x:v>
      </x:c>
      <x:c r="B11" s="25" t="str">
        <x:v>漂流群岛</x:v>
      </x:c>
      <x:c r="C11" s="25" t="str">
        <x:v>半急速中期</x:v>
      </x:c>
      <x:c r="D11" s="25" t="n">
        <x:v>20</x:v>
      </x:c>
      <x:c r="E11" s="36" t="n">
        <x:f>MIN(1,MAX(0,('03_战斗派生'!AF6-D11)/100))</x:f>
        <x:v>0</x:v>
      </x:c>
      <x:c r="F11" s="25" t="n">
        <x:f>IF(E11&gt;0,'13_参数与假设'!$B$29+'13_参数与假设'!$B$30*MAX(0,E11*100-1)+'01_属性汇总'!AJ6,0)</x:f>
        <x:v>0</x:v>
      </x:c>
      <x:c r="G11" s="25" t="n">
        <x:f>IF(E11&gt;0,'13_参数与假设'!$B$31+'13_参数与假设'!$B$32*MAX(0,E11*100-1)+'01_属性汇总'!AI6/100,1)</x:f>
        <x:v>1</x:v>
      </x:c>
      <x:c r="H11" s="25" t="n">
        <x:f>MAX(0,INT(F11*'03_战斗派生'!P6*'13_参数与假设'!$B$5))</x:f>
        <x:v>0</x:v>
      </x:c>
      <x:c r="I11" s="36" t="n">
        <x:f>IF(E11&gt;0,1-(1-E11)^H11,0)</x:f>
        <x:v>0</x:v>
      </x:c>
      <x:c r="J11" s="40" t="n">
        <x:f>(('03_战斗派生'!R6*'03_战斗派生'!T6*(1+I11*(G11-1))+'01_属性汇总'!AA6)*'03_战斗派生'!P6*'13_参数与假设'!$B$5+'03_战斗派生'!V6)*'13_参数与假设'!$B$6</x:f>
        <x:v>13376.910986652214</x:v>
      </x:c>
      <x:c r="K11" s="25" t="str">
        <x:v>PVE抵扣规则＋持续/倍率映射假设；非地图实测</x:v>
      </x:c>
    </x:row>
    <x:row r="12">
      <x:c r="A12" s="25" t="str">
        <x:v>C01-M</x:v>
      </x:c>
      <x:c r="B12" s="25" t="str">
        <x:v>漂流群岛</x:v>
      </x:c>
      <x:c r="C12" s="25" t="str">
        <x:v>半急速中期</x:v>
      </x:c>
      <x:c r="D12" s="25" t="n">
        <x:v>30</x:v>
      </x:c>
      <x:c r="E12" s="36" t="n">
        <x:f>MIN(1,MAX(0,('03_战斗派生'!AF6-D12)/100))</x:f>
        <x:v>0</x:v>
      </x:c>
      <x:c r="F12" s="25" t="n">
        <x:f>IF(E12&gt;0,'13_参数与假设'!$B$29+'13_参数与假设'!$B$30*MAX(0,E12*100-1)+'01_属性汇总'!AJ6,0)</x:f>
        <x:v>0</x:v>
      </x:c>
      <x:c r="G12" s="25" t="n">
        <x:f>IF(E12&gt;0,'13_参数与假设'!$B$31+'13_参数与假设'!$B$32*MAX(0,E12*100-1)+'01_属性汇总'!AI6/100,1)</x:f>
        <x:v>1</x:v>
      </x:c>
      <x:c r="H12" s="25" t="n">
        <x:f>MAX(0,INT(F12*'03_战斗派生'!P6*'13_参数与假设'!$B$5))</x:f>
        <x:v>0</x:v>
      </x:c>
      <x:c r="I12" s="36" t="n">
        <x:f>IF(E12&gt;0,1-(1-E12)^H12,0)</x:f>
        <x:v>0</x:v>
      </x:c>
      <x:c r="J12" s="40" t="n">
        <x:f>(('03_战斗派生'!R6*'03_战斗派生'!T6*(1+I12*(G12-1))+'01_属性汇总'!AA6)*'03_战斗派生'!P6*'13_参数与假设'!$B$5+'03_战斗派生'!V6)*'13_参数与假设'!$B$6</x:f>
        <x:v>13376.910986652214</x:v>
      </x:c>
      <x:c r="K12" s="25" t="str">
        <x:v>PVE抵扣规则＋持续/倍率映射假设；非地图实测</x:v>
      </x:c>
    </x:row>
    <x:row r="13">
      <x:c r="A13" s="25" t="str">
        <x:v>C01-G</x:v>
      </x:c>
      <x:c r="B13" s="25" t="str">
        <x:v>漂流群岛</x:v>
      </x:c>
      <x:c r="C13" s="25" t="str">
        <x:v>半急速毕业</x:v>
      </x:c>
      <x:c r="D13" s="25" t="n">
        <x:v>0</x:v>
      </x:c>
      <x:c r="E13" s="36" t="n">
        <x:f>MIN(1,MAX(0,('03_战斗派生'!AF7-D13)/100))</x:f>
        <x:v>0.115</x:v>
      </x:c>
      <x:c r="F13" s="25" t="n">
        <x:f>IF(E13&gt;0,'13_参数与假设'!$B$29+'13_参数与假设'!$B$30*MAX(0,E13*100-1)+'01_属性汇总'!AJ7,0)</x:f>
        <x:v>4.1</x:v>
      </x:c>
      <x:c r="G13" s="25" t="n">
        <x:f>IF(E13&gt;0,'13_参数与假设'!$B$31+'13_参数与假设'!$B$32*MAX(0,E13*100-1)+'01_属性汇总'!AI7/100,1)</x:f>
        <x:v>4.109999999999999</x:v>
      </x:c>
      <x:c r="H13" s="25" t="n">
        <x:f>MAX(0,INT(F13*'03_战斗派生'!P7*'13_参数与假设'!$B$5))</x:f>
        <x:v>8</x:v>
      </x:c>
      <x:c r="I13" s="36" t="n">
        <x:f>IF(E13&gt;0,1-(1-E13)^H13,0)</x:f>
        <x:v>0.6236896479992382</x:v>
      </x:c>
      <x:c r="J13" s="40" t="n">
        <x:f>(('03_战斗派生'!R7*'03_战斗派生'!T7*(1+I13*(G13-1))+'01_属性汇总'!AA7)*'03_战斗派生'!P7*'13_参数与假设'!$B$5+'03_战斗派生'!V7)*'13_参数与假设'!$B$6</x:f>
        <x:v>41100.299272265554</x:v>
      </x:c>
      <x:c r="K13" s="25" t="str">
        <x:v>PVE抵扣规则＋持续/倍率映射假设；非地图实测</x:v>
      </x:c>
    </x:row>
    <x:row r="14">
      <x:c r="A14" s="25" t="str">
        <x:v>C01-G</x:v>
      </x:c>
      <x:c r="B14" s="25" t="str">
        <x:v>漂流群岛</x:v>
      </x:c>
      <x:c r="C14" s="25" t="str">
        <x:v>半急速毕业</x:v>
      </x:c>
      <x:c r="D14" s="25" t="n">
        <x:v>10</x:v>
      </x:c>
      <x:c r="E14" s="36" t="n">
        <x:f>MIN(1,MAX(0,('03_战斗派生'!AF7-D14)/100))</x:f>
        <x:v>0.015</x:v>
      </x:c>
      <x:c r="F14" s="25" t="n">
        <x:f>IF(E14&gt;0,'13_参数与假设'!$B$29+'13_参数与假设'!$B$30*MAX(0,E14*100-1)+'01_属性汇总'!AJ7,0)</x:f>
        <x:v>2.1</x:v>
      </x:c>
      <x:c r="G14" s="25" t="n">
        <x:f>IF(E14&gt;0,'13_参数与假设'!$B$31+'13_参数与假设'!$B$32*MAX(0,E14*100-1)+'01_属性汇总'!AI7/100,1)</x:f>
        <x:v>2.11</x:v>
      </x:c>
      <x:c r="H14" s="25" t="n">
        <x:f>MAX(0,INT(F14*'03_战斗派生'!P7*'13_参数与假设'!$B$5))</x:f>
        <x:v>4</x:v>
      </x:c>
      <x:c r="I14" s="36" t="n">
        <x:f>IF(E14&gt;0,1-(1-E14)^H14,0)</x:f>
        <x:v>0.05866344937500001</x:v>
      </x:c>
      <x:c r="J14" s="40" t="n">
        <x:f>(('03_战斗派生'!R7*'03_战斗派生'!T7*(1+I14*(G14-1))+'01_属性汇总'!AA7)*'03_战斗派生'!P7*'13_参数与假设'!$B$5+'03_战斗派生'!V7)*'13_参数与假设'!$B$6</x:f>
        <x:v>20222.615067597566</x:v>
      </x:c>
      <x:c r="K14" s="25" t="str">
        <x:v>PVE抵扣规则＋持续/倍率映射假设；非地图实测</x:v>
      </x:c>
    </x:row>
    <x:row r="15">
      <x:c r="A15" s="25" t="str">
        <x:v>C01-G</x:v>
      </x:c>
      <x:c r="B15" s="25" t="str">
        <x:v>漂流群岛</x:v>
      </x:c>
      <x:c r="C15" s="25" t="str">
        <x:v>半急速毕业</x:v>
      </x:c>
      <x:c r="D15" s="25" t="n">
        <x:v>20</x:v>
      </x:c>
      <x:c r="E15" s="36" t="n">
        <x:f>MIN(1,MAX(0,('03_战斗派生'!AF7-D15)/100))</x:f>
        <x:v>0</x:v>
      </x:c>
      <x:c r="F15" s="25" t="n">
        <x:f>IF(E15&gt;0,'13_参数与假设'!$B$29+'13_参数与假设'!$B$30*MAX(0,E15*100-1)+'01_属性汇总'!AJ7,0)</x:f>
        <x:v>0</x:v>
      </x:c>
      <x:c r="G15" s="25" t="n">
        <x:f>IF(E15&gt;0,'13_参数与假设'!$B$31+'13_参数与假设'!$B$32*MAX(0,E15*100-1)+'01_属性汇总'!AI7/100,1)</x:f>
        <x:v>1</x:v>
      </x:c>
      <x:c r="H15" s="25" t="n">
        <x:f>MAX(0,INT(F15*'03_战斗派生'!P7*'13_参数与假设'!$B$5))</x:f>
        <x:v>0</x:v>
      </x:c>
      <x:c r="I15" s="36" t="n">
        <x:f>IF(E15&gt;0,1-(1-E15)^H15,0)</x:f>
        <x:v>0</x:v>
      </x:c>
      <x:c r="J15" s="40" t="n">
        <x:f>(('03_战斗派生'!R7*'03_战斗派生'!T7*(1+I15*(G15-1))+'01_属性汇总'!AA7)*'03_战斗派生'!P7*'13_参数与假设'!$B$5+'03_战斗派生'!V7)*'13_参数与假设'!$B$6</x:f>
        <x:v>19497.38812656643</x:v>
      </x:c>
      <x:c r="K15" s="25" t="str">
        <x:v>PVE抵扣规则＋持续/倍率映射假设；非地图实测</x:v>
      </x:c>
    </x:row>
    <x:row r="16">
      <x:c r="A16" s="25" t="str">
        <x:v>C01-G</x:v>
      </x:c>
      <x:c r="B16" s="25" t="str">
        <x:v>漂流群岛</x:v>
      </x:c>
      <x:c r="C16" s="25" t="str">
        <x:v>半急速毕业</x:v>
      </x:c>
      <x:c r="D16" s="25" t="n">
        <x:v>30</x:v>
      </x:c>
      <x:c r="E16" s="36" t="n">
        <x:f>MIN(1,MAX(0,('03_战斗派生'!AF7-D16)/100))</x:f>
        <x:v>0</x:v>
      </x:c>
      <x:c r="F16" s="25" t="n">
        <x:f>IF(E16&gt;0,'13_参数与假设'!$B$29+'13_参数与假设'!$B$30*MAX(0,E16*100-1)+'01_属性汇总'!AJ7,0)</x:f>
        <x:v>0</x:v>
      </x:c>
      <x:c r="G16" s="25" t="n">
        <x:f>IF(E16&gt;0,'13_参数与假设'!$B$31+'13_参数与假设'!$B$32*MAX(0,E16*100-1)+'01_属性汇总'!AI7/100,1)</x:f>
        <x:v>1</x:v>
      </x:c>
      <x:c r="H16" s="25" t="n">
        <x:f>MAX(0,INT(F16*'03_战斗派生'!P7*'13_参数与假设'!$B$5))</x:f>
        <x:v>0</x:v>
      </x:c>
      <x:c r="I16" s="36" t="n">
        <x:f>IF(E16&gt;0,1-(1-E16)^H16,0)</x:f>
        <x:v>0</x:v>
      </x:c>
      <x:c r="J16" s="40" t="n">
        <x:f>(('03_战斗派生'!R7*'03_战斗派生'!T7*(1+I16*(G16-1))+'01_属性汇总'!AA7)*'03_战斗派生'!P7*'13_参数与假设'!$B$5+'03_战斗派生'!V7)*'13_参数与假设'!$B$6</x:f>
        <x:v>19497.38812656643</x:v>
      </x:c>
      <x:c r="K16" s="25" t="str">
        <x:v>PVE抵扣规则＋持续/倍率映射假设；非地图实测</x:v>
      </x:c>
    </x:row>
    <x:row r="17">
      <x:c r="A17" s="25" t="str">
        <x:v>C01-X</x:v>
      </x:c>
      <x:c r="B17" s="25" t="str">
        <x:v>漂流群岛</x:v>
      </x:c>
      <x:c r="C17" s="25" t="str">
        <x:v>极端压力</x:v>
      </x:c>
      <x:c r="D17" s="25" t="n">
        <x:v>0</x:v>
      </x:c>
      <x:c r="E17" s="36" t="n">
        <x:f>MIN(1,MAX(0,('03_战斗派生'!AF8-D17)/100))</x:f>
        <x:v>0.125</x:v>
      </x:c>
      <x:c r="F17" s="25" t="n">
        <x:f>IF(E17&gt;0,'13_参数与假设'!$B$29+'13_参数与假设'!$B$30*MAX(0,E17*100-1)+'01_属性汇总'!AJ8,0)</x:f>
        <x:v>4.300000000000001</x:v>
      </x:c>
      <x:c r="G17" s="25" t="n">
        <x:f>IF(E17&gt;0,'13_参数与假设'!$B$31+'13_参数与假设'!$B$32*MAX(0,E17*100-1)+'01_属性汇总'!AI8/100,1)</x:f>
        <x:v>4.3100000000000005</x:v>
      </x:c>
      <x:c r="H17" s="25" t="n">
        <x:f>MAX(0,INT(F17*'03_战斗派生'!P8*'13_参数与假设'!$B$5))</x:f>
        <x:v>9</x:v>
      </x:c>
      <x:c r="I17" s="36" t="n">
        <x:f>IF(E17&gt;0,1-(1-E17)^H17,0)</x:f>
        <x:v>0.6993421986699104</x:v>
      </x:c>
      <x:c r="J17" s="40" t="n">
        <x:f>(('03_战斗派生'!R8*'03_战斗派生'!T8*(1+I17*(G17-1))+'01_属性汇总'!AA8)*'03_战斗派生'!P8*'13_参数与假设'!$B$5+'03_战斗派生'!V8)*'13_参数与假设'!$B$6</x:f>
        <x:v>209195.50556633822</x:v>
      </x:c>
      <x:c r="K17" s="25" t="str">
        <x:v>PVE抵扣规则＋持续/倍率映射假设；非地图实测</x:v>
      </x:c>
    </x:row>
    <x:row r="18">
      <x:c r="A18" s="25" t="str">
        <x:v>C01-X</x:v>
      </x:c>
      <x:c r="B18" s="25" t="str">
        <x:v>漂流群岛</x:v>
      </x:c>
      <x:c r="C18" s="25" t="str">
        <x:v>极端压力</x:v>
      </x:c>
      <x:c r="D18" s="25" t="n">
        <x:v>10</x:v>
      </x:c>
      <x:c r="E18" s="36" t="n">
        <x:f>MIN(1,MAX(0,('03_战斗派生'!AF8-D18)/100))</x:f>
        <x:v>0.025</x:v>
      </x:c>
      <x:c r="F18" s="25" t="n">
        <x:f>IF(E18&gt;0,'13_参数与假设'!$B$29+'13_参数与假设'!$B$30*MAX(0,E18*100-1)+'01_属性汇总'!AJ8,0)</x:f>
        <x:v>2.3</x:v>
      </x:c>
      <x:c r="G18" s="25" t="n">
        <x:f>IF(E18&gt;0,'13_参数与假设'!$B$31+'13_参数与假设'!$B$32*MAX(0,E18*100-1)+'01_属性汇总'!AI8/100,1)</x:f>
        <x:v>2.3099999999999996</x:v>
      </x:c>
      <x:c r="H18" s="25" t="n">
        <x:f>MAX(0,INT(F18*'03_战斗派生'!P8*'13_参数与假设'!$B$5))</x:f>
        <x:v>5</x:v>
      </x:c>
      <x:c r="I18" s="36" t="n">
        <x:f>IF(E18&gt;0,1-(1-E18)^H18,0)</x:f>
        <x:v>0.11890430664062512</x:v>
      </x:c>
      <x:c r="J18" s="40" t="n">
        <x:f>(('03_战斗派生'!R8*'03_战斗派生'!T8*(1+I18*(G18-1))+'01_属性汇总'!AA8)*'03_战斗派生'!P8*'13_参数与假设'!$B$5+'03_战斗派生'!V8)*'13_参数与假设'!$B$6</x:f>
        <x:v>78634.78479923778</x:v>
      </x:c>
      <x:c r="K18" s="25" t="str">
        <x:v>PVE抵扣规则＋持续/倍率映射假设；非地图实测</x:v>
      </x:c>
    </x:row>
    <x:row r="19">
      <x:c r="A19" s="25" t="str">
        <x:v>C01-X</x:v>
      </x:c>
      <x:c r="B19" s="25" t="str">
        <x:v>漂流群岛</x:v>
      </x:c>
      <x:c r="C19" s="25" t="str">
        <x:v>极端压力</x:v>
      </x:c>
      <x:c r="D19" s="25" t="n">
        <x:v>20</x:v>
      </x:c>
      <x:c r="E19" s="36" t="n">
        <x:f>MIN(1,MAX(0,('03_战斗派生'!AF8-D19)/100))</x:f>
        <x:v>0</x:v>
      </x:c>
      <x:c r="F19" s="25" t="n">
        <x:f>IF(E19&gt;0,'13_参数与假设'!$B$29+'13_参数与假设'!$B$30*MAX(0,E19*100-1)+'01_属性汇总'!AJ8,0)</x:f>
        <x:v>0</x:v>
      </x:c>
      <x:c r="G19" s="25" t="n">
        <x:f>IF(E19&gt;0,'13_参数与假设'!$B$31+'13_参数与假设'!$B$32*MAX(0,E19*100-1)+'01_属性汇总'!AI8/100,1)</x:f>
        <x:v>1</x:v>
      </x:c>
      <x:c r="H19" s="25" t="n">
        <x:f>MAX(0,INT(F19*'03_战斗派生'!P8*'13_参数与假设'!$B$5))</x:f>
        <x:v>0</x:v>
      </x:c>
      <x:c r="I19" s="36" t="n">
        <x:f>IF(E19&gt;0,1-(1-E19)^H19,0)</x:f>
        <x:v>0</x:v>
      </x:c>
      <x:c r="J19" s="40" t="n">
        <x:f>(('03_战斗派生'!R8*'03_战斗派生'!T8*(1+I19*(G19-1))+'01_属性汇总'!AA8)*'03_战斗派生'!P8*'13_参数与假设'!$B$5+'03_战斗派生'!V8)*'13_参数与假设'!$B$6</x:f>
        <x:v>69215.51790036586</x:v>
      </x:c>
      <x:c r="K19" s="25" t="str">
        <x:v>PVE抵扣规则＋持续/倍率映射假设；非地图实测</x:v>
      </x:c>
    </x:row>
    <x:row r="20">
      <x:c r="A20" s="25" t="str">
        <x:v>C01-X</x:v>
      </x:c>
      <x:c r="B20" s="25" t="str">
        <x:v>漂流群岛</x:v>
      </x:c>
      <x:c r="C20" s="25" t="str">
        <x:v>极端压力</x:v>
      </x:c>
      <x:c r="D20" s="25" t="n">
        <x:v>30</x:v>
      </x:c>
      <x:c r="E20" s="36" t="n">
        <x:f>MIN(1,MAX(0,('03_战斗派生'!AF8-D20)/100))</x:f>
        <x:v>0</x:v>
      </x:c>
      <x:c r="F20" s="25" t="n">
        <x:f>IF(E20&gt;0,'13_参数与假设'!$B$29+'13_参数与假设'!$B$30*MAX(0,E20*100-1)+'01_属性汇总'!AJ8,0)</x:f>
        <x:v>0</x:v>
      </x:c>
      <x:c r="G20" s="25" t="n">
        <x:f>IF(E20&gt;0,'13_参数与假设'!$B$31+'13_参数与假设'!$B$32*MAX(0,E20*100-1)+'01_属性汇总'!AI8/100,1)</x:f>
        <x:v>1</x:v>
      </x:c>
      <x:c r="H20" s="25" t="n">
        <x:f>MAX(0,INT(F20*'03_战斗派生'!P8*'13_参数与假设'!$B$5))</x:f>
        <x:v>0</x:v>
      </x:c>
      <x:c r="I20" s="36" t="n">
        <x:f>IF(E20&gt;0,1-(1-E20)^H20,0)</x:f>
        <x:v>0</x:v>
      </x:c>
      <x:c r="J20" s="40" t="n">
        <x:f>(('03_战斗派生'!R8*'03_战斗派生'!T8*(1+I20*(G20-1))+'01_属性汇总'!AA8)*'03_战斗派生'!P8*'13_参数与假设'!$B$5+'03_战斗派生'!V8)*'13_参数与假设'!$B$6</x:f>
        <x:v>69215.51790036586</x:v>
      </x:c>
      <x:c r="K20" s="25" t="str">
        <x:v>PVE抵扣规则＋持续/倍率映射假设；非地图实测</x:v>
      </x:c>
    </x:row>
    <x:row r="21">
      <x:c r="A21" s="25" t="str">
        <x:v>C02-E</x:v>
      </x:c>
      <x:c r="B21" s="25" t="str">
        <x:v>宁姆格福</x:v>
      </x:c>
      <x:c r="C21" s="25" t="str">
        <x:v>半急速入场</x:v>
      </x:c>
      <x:c r="D21" s="25" t="n">
        <x:v>0</x:v>
      </x:c>
      <x:c r="E21" s="36" t="n">
        <x:f>MIN(1,MAX(0,('03_战斗派生'!AF9-D21)/100))</x:f>
        <x:v>0.115</x:v>
      </x:c>
      <x:c r="F21" s="25" t="n">
        <x:f>IF(E21&gt;0,'13_参数与假设'!$B$29+'13_参数与假设'!$B$30*MAX(0,E21*100-1)+'01_属性汇总'!AJ9,0)</x:f>
        <x:v>4.1</x:v>
      </x:c>
      <x:c r="G21" s="25" t="n">
        <x:f>IF(E21&gt;0,'13_参数与假设'!$B$31+'13_参数与假设'!$B$32*MAX(0,E21*100-1)+'01_属性汇总'!AI9/100,1)</x:f>
        <x:v>4.109999999999999</x:v>
      </x:c>
      <x:c r="H21" s="25" t="n">
        <x:f>MAX(0,INT(F21*'03_战斗派生'!P9*'13_参数与假设'!$B$5))</x:f>
        <x:v>8</x:v>
      </x:c>
      <x:c r="I21" s="36" t="n">
        <x:f>IF(E21&gt;0,1-(1-E21)^H21,0)</x:f>
        <x:v>0.6236896479992382</x:v>
      </x:c>
      <x:c r="J21" s="40" t="n">
        <x:f>(('03_战斗派生'!R9*'03_战斗派生'!T9*(1+I21*(G21-1))+'01_属性汇总'!AA9)*'03_战斗派生'!P9*'13_参数与假设'!$B$5+'03_战斗派生'!V9)*'13_参数与假设'!$B$6</x:f>
        <x:v>66875.64369688446</x:v>
      </x:c>
      <x:c r="K21" s="25" t="str">
        <x:v>PVE抵扣规则＋持续/倍率映射假设；非地图实测</x:v>
      </x:c>
    </x:row>
    <x:row r="22">
      <x:c r="A22" s="25" t="str">
        <x:v>C02-E</x:v>
      </x:c>
      <x:c r="B22" s="25" t="str">
        <x:v>宁姆格福</x:v>
      </x:c>
      <x:c r="C22" s="25" t="str">
        <x:v>半急速入场</x:v>
      </x:c>
      <x:c r="D22" s="25" t="n">
        <x:v>10</x:v>
      </x:c>
      <x:c r="E22" s="36" t="n">
        <x:f>MIN(1,MAX(0,('03_战斗派生'!AF9-D22)/100))</x:f>
        <x:v>0.015</x:v>
      </x:c>
      <x:c r="F22" s="25" t="n">
        <x:f>IF(E22&gt;0,'13_参数与假设'!$B$29+'13_参数与假设'!$B$30*MAX(0,E22*100-1)+'01_属性汇总'!AJ9,0)</x:f>
        <x:v>2.1</x:v>
      </x:c>
      <x:c r="G22" s="25" t="n">
        <x:f>IF(E22&gt;0,'13_参数与假设'!$B$31+'13_参数与假设'!$B$32*MAX(0,E22*100-1)+'01_属性汇总'!AI9/100,1)</x:f>
        <x:v>2.11</x:v>
      </x:c>
      <x:c r="H22" s="25" t="n">
        <x:f>MAX(0,INT(F22*'03_战斗派生'!P9*'13_参数与假设'!$B$5))</x:f>
        <x:v>4</x:v>
      </x:c>
      <x:c r="I22" s="36" t="n">
        <x:f>IF(E22&gt;0,1-(1-E22)^H22,0)</x:f>
        <x:v>0.05866344937500001</x:v>
      </x:c>
      <x:c r="J22" s="40" t="n">
        <x:f>(('03_战斗派生'!R9*'03_战斗派生'!T9*(1+I22*(G22-1))+'01_属性汇总'!AA9)*'03_战斗派生'!P9*'13_参数与假设'!$B$5+'03_战斗派生'!V9)*'13_参数与假设'!$B$6</x:f>
        <x:v>24230.68927918971</x:v>
      </x:c>
      <x:c r="K22" s="25" t="str">
        <x:v>PVE抵扣规则＋持续/倍率映射假设；非地图实测</x:v>
      </x:c>
    </x:row>
    <x:row r="23">
      <x:c r="A23" s="25" t="str">
        <x:v>C02-E</x:v>
      </x:c>
      <x:c r="B23" s="25" t="str">
        <x:v>宁姆格福</x:v>
      </x:c>
      <x:c r="C23" s="25" t="str">
        <x:v>半急速入场</x:v>
      </x:c>
      <x:c r="D23" s="25" t="n">
        <x:v>20</x:v>
      </x:c>
      <x:c r="E23" s="36" t="n">
        <x:f>MIN(1,MAX(0,('03_战斗派生'!AF9-D23)/100))</x:f>
        <x:v>0</x:v>
      </x:c>
      <x:c r="F23" s="25" t="n">
        <x:f>IF(E23&gt;0,'13_参数与假设'!$B$29+'13_参数与假设'!$B$30*MAX(0,E23*100-1)+'01_属性汇总'!AJ9,0)</x:f>
        <x:v>0</x:v>
      </x:c>
      <x:c r="G23" s="25" t="n">
        <x:f>IF(E23&gt;0,'13_参数与假设'!$B$31+'13_参数与假设'!$B$32*MAX(0,E23*100-1)+'01_属性汇总'!AI9/100,1)</x:f>
        <x:v>1</x:v>
      </x:c>
      <x:c r="H23" s="25" t="n">
        <x:f>MAX(0,INT(F23*'03_战斗派生'!P9*'13_参数与假设'!$B$5))</x:f>
        <x:v>0</x:v>
      </x:c>
      <x:c r="I23" s="36" t="n">
        <x:f>IF(E23&gt;0,1-(1-E23)^H23,0)</x:f>
        <x:v>0</x:v>
      </x:c>
      <x:c r="J23" s="40" t="n">
        <x:f>(('03_战斗派生'!R9*'03_战斗派生'!T9*(1+I23*(G23-1))+'01_属性汇总'!AA9)*'03_战斗派生'!P9*'13_参数与假设'!$B$5+'03_战斗派生'!V9)*'13_参数与假设'!$B$6</x:f>
        <x:v>22749.33389802909</x:v>
      </x:c>
      <x:c r="K23" s="25" t="str">
        <x:v>PVE抵扣规则＋持续/倍率映射假设；非地图实测</x:v>
      </x:c>
    </x:row>
    <x:row r="24">
      <x:c r="A24" s="25" t="str">
        <x:v>C02-E</x:v>
      </x:c>
      <x:c r="B24" s="25" t="str">
        <x:v>宁姆格福</x:v>
      </x:c>
      <x:c r="C24" s="25" t="str">
        <x:v>半急速入场</x:v>
      </x:c>
      <x:c r="D24" s="25" t="n">
        <x:v>30</x:v>
      </x:c>
      <x:c r="E24" s="36" t="n">
        <x:f>MIN(1,MAX(0,('03_战斗派生'!AF9-D24)/100))</x:f>
        <x:v>0</x:v>
      </x:c>
      <x:c r="F24" s="25" t="n">
        <x:f>IF(E24&gt;0,'13_参数与假设'!$B$29+'13_参数与假设'!$B$30*MAX(0,E24*100-1)+'01_属性汇总'!AJ9,0)</x:f>
        <x:v>0</x:v>
      </x:c>
      <x:c r="G24" s="25" t="n">
        <x:f>IF(E24&gt;0,'13_参数与假设'!$B$31+'13_参数与假设'!$B$32*MAX(0,E24*100-1)+'01_属性汇总'!AI9/100,1)</x:f>
        <x:v>1</x:v>
      </x:c>
      <x:c r="H24" s="25" t="n">
        <x:f>MAX(0,INT(F24*'03_战斗派生'!P9*'13_参数与假设'!$B$5))</x:f>
        <x:v>0</x:v>
      </x:c>
      <x:c r="I24" s="36" t="n">
        <x:f>IF(E24&gt;0,1-(1-E24)^H24,0)</x:f>
        <x:v>0</x:v>
      </x:c>
      <x:c r="J24" s="40" t="n">
        <x:f>(('03_战斗派生'!R9*'03_战斗派生'!T9*(1+I24*(G24-1))+'01_属性汇总'!AA9)*'03_战斗派生'!P9*'13_参数与假设'!$B$5+'03_战斗派生'!V9)*'13_参数与假设'!$B$6</x:f>
        <x:v>22749.33389802909</x:v>
      </x:c>
      <x:c r="K24" s="25" t="str">
        <x:v>PVE抵扣规则＋持续/倍率映射假设；非地图实测</x:v>
      </x:c>
    </x:row>
    <x:row r="25">
      <x:c r="A25" s="25" t="str">
        <x:v>C02-M</x:v>
      </x:c>
      <x:c r="B25" s="25" t="str">
        <x:v>宁姆格福</x:v>
      </x:c>
      <x:c r="C25" s="25" t="str">
        <x:v>半急速中期</x:v>
      </x:c>
      <x:c r="D25" s="25" t="n">
        <x:v>0</x:v>
      </x:c>
      <x:c r="E25" s="36" t="n">
        <x:f>MIN(1,MAX(0,('03_战斗派生'!AF10-D25)/100))</x:f>
        <x:v>0.175</x:v>
      </x:c>
      <x:c r="F25" s="25" t="n">
        <x:f>IF(E25&gt;0,'13_参数与假设'!$B$29+'13_参数与假设'!$B$30*MAX(0,E25*100-1)+'01_属性汇总'!AJ10,0)</x:f>
        <x:v>9.3</x:v>
      </x:c>
      <x:c r="G25" s="25" t="n">
        <x:f>IF(E25&gt;0,'13_参数与假设'!$B$31+'13_参数与假设'!$B$32*MAX(0,E25*100-1)+'01_属性汇总'!AI10/100,1)</x:f>
        <x:v>5.3500000000000005</x:v>
      </x:c>
      <x:c r="H25" s="25" t="n">
        <x:f>MAX(0,INT(F25*'03_战斗派生'!P10*'13_参数与假设'!$B$5))</x:f>
        <x:v>22</x:v>
      </x:c>
      <x:c r="I25" s="36" t="n">
        <x:f>IF(E25&gt;0,1-(1-E25)^H25,0)</x:f>
        <x:v>0.9854793228971351</x:v>
      </x:c>
      <x:c r="J25" s="40" t="n">
        <x:f>(('03_战斗派生'!R10*'03_战斗派生'!T10*(1+I25*(G25-1))+'01_属性汇总'!AA10)*'03_战斗派生'!P10*'13_参数与假设'!$B$5+'03_战斗派生'!V10)*'13_参数与假设'!$B$6</x:f>
        <x:v>1225050.2117673475</x:v>
      </x:c>
      <x:c r="K25" s="25" t="str">
        <x:v>PVE抵扣规则＋持续/倍率映射假设；非地图实测</x:v>
      </x:c>
    </x:row>
    <x:row r="26">
      <x:c r="A26" s="25" t="str">
        <x:v>C02-M</x:v>
      </x:c>
      <x:c r="B26" s="25" t="str">
        <x:v>宁姆格福</x:v>
      </x:c>
      <x:c r="C26" s="25" t="str">
        <x:v>半急速中期</x:v>
      </x:c>
      <x:c r="D26" s="25" t="n">
        <x:v>10</x:v>
      </x:c>
      <x:c r="E26" s="36" t="n">
        <x:f>MIN(1,MAX(0,('03_战斗派生'!AF10-D26)/100))</x:f>
        <x:v>0.075</x:v>
      </x:c>
      <x:c r="F26" s="25" t="n">
        <x:f>IF(E26&gt;0,'13_参数与假设'!$B$29+'13_参数与假设'!$B$30*MAX(0,E26*100-1)+'01_属性汇总'!AJ10,0)</x:f>
        <x:v>7.3</x:v>
      </x:c>
      <x:c r="G26" s="25" t="n">
        <x:f>IF(E26&gt;0,'13_参数与假设'!$B$31+'13_参数与假设'!$B$32*MAX(0,E26*100-1)+'01_属性汇总'!AI10/100,1)</x:f>
        <x:v>3.3499999999999996</x:v>
      </x:c>
      <x:c r="H26" s="25" t="n">
        <x:f>MAX(0,INT(F26*'03_战斗派生'!P10*'13_参数与假设'!$B$5))</x:f>
        <x:v>17</x:v>
      </x:c>
      <x:c r="I26" s="36" t="n">
        <x:f>IF(E26&gt;0,1-(1-E26)^H26,0)</x:f>
        <x:v>0.7342890472931116</x:v>
      </x:c>
      <x:c r="J26" s="40" t="n">
        <x:f>(('03_战斗派生'!R10*'03_战斗派生'!T10*(1+I26*(G26-1))+'01_属性汇总'!AA10)*'03_战斗派生'!P10*'13_参数与假设'!$B$5+'03_战斗派生'!V10)*'13_参数与假设'!$B$6</x:f>
        <x:v>631563.3865179884</x:v>
      </x:c>
      <x:c r="K26" s="25" t="str">
        <x:v>PVE抵扣规则＋持续/倍率映射假设；非地图实测</x:v>
      </x:c>
    </x:row>
    <x:row r="27">
      <x:c r="A27" s="25" t="str">
        <x:v>C02-M</x:v>
      </x:c>
      <x:c r="B27" s="25" t="str">
        <x:v>宁姆格福</x:v>
      </x:c>
      <x:c r="C27" s="25" t="str">
        <x:v>半急速中期</x:v>
      </x:c>
      <x:c r="D27" s="25" t="n">
        <x:v>20</x:v>
      </x:c>
      <x:c r="E27" s="36" t="n">
        <x:f>MIN(1,MAX(0,('03_战斗派生'!AF10-D27)/100))</x:f>
        <x:v>0</x:v>
      </x:c>
      <x:c r="F27" s="25" t="n">
        <x:f>IF(E27&gt;0,'13_参数与假设'!$B$29+'13_参数与假设'!$B$30*MAX(0,E27*100-1)+'01_属性汇总'!AJ10,0)</x:f>
        <x:v>0</x:v>
      </x:c>
      <x:c r="G27" s="25" t="n">
        <x:f>IF(E27&gt;0,'13_参数与假设'!$B$31+'13_参数与假设'!$B$32*MAX(0,E27*100-1)+'01_属性汇总'!AI10/100,1)</x:f>
        <x:v>1</x:v>
      </x:c>
      <x:c r="H27" s="25" t="n">
        <x:f>MAX(0,INT(F27*'03_战斗派生'!P10*'13_参数与假设'!$B$5))</x:f>
        <x:v>0</x:v>
      </x:c>
      <x:c r="I27" s="36" t="n">
        <x:f>IF(E27&gt;0,1-(1-E27)^H27,0)</x:f>
        <x:v>0</x:v>
      </x:c>
      <x:c r="J27" s="40" t="n">
        <x:f>(('03_战斗派生'!R10*'03_战斗派生'!T10*(1+I27*(G27-1))+'01_属性汇总'!AA10)*'03_战斗派生'!P10*'13_参数与假设'!$B$5+'03_战斗派生'!V10)*'13_参数与假设'!$B$6</x:f>
        <x:v>231717.12359379564</x:v>
      </x:c>
      <x:c r="K27" s="25" t="str">
        <x:v>PVE抵扣规则＋持续/倍率映射假设；非地图实测</x:v>
      </x:c>
    </x:row>
    <x:row r="28">
      <x:c r="A28" s="25" t="str">
        <x:v>C02-M</x:v>
      </x:c>
      <x:c r="B28" s="25" t="str">
        <x:v>宁姆格福</x:v>
      </x:c>
      <x:c r="C28" s="25" t="str">
        <x:v>半急速中期</x:v>
      </x:c>
      <x:c r="D28" s="25" t="n">
        <x:v>30</x:v>
      </x:c>
      <x:c r="E28" s="36" t="n">
        <x:f>MIN(1,MAX(0,('03_战斗派生'!AF10-D28)/100))</x:f>
        <x:v>0</x:v>
      </x:c>
      <x:c r="F28" s="25" t="n">
        <x:f>IF(E28&gt;0,'13_参数与假设'!$B$29+'13_参数与假设'!$B$30*MAX(0,E28*100-1)+'01_属性汇总'!AJ10,0)</x:f>
        <x:v>0</x:v>
      </x:c>
      <x:c r="G28" s="25" t="n">
        <x:f>IF(E28&gt;0,'13_参数与假设'!$B$31+'13_参数与假设'!$B$32*MAX(0,E28*100-1)+'01_属性汇总'!AI10/100,1)</x:f>
        <x:v>1</x:v>
      </x:c>
      <x:c r="H28" s="25" t="n">
        <x:f>MAX(0,INT(F28*'03_战斗派生'!P10*'13_参数与假设'!$B$5))</x:f>
        <x:v>0</x:v>
      </x:c>
      <x:c r="I28" s="36" t="n">
        <x:f>IF(E28&gt;0,1-(1-E28)^H28,0)</x:f>
        <x:v>0</x:v>
      </x:c>
      <x:c r="J28" s="40" t="n">
        <x:f>(('03_战斗派生'!R10*'03_战斗派生'!T10*(1+I28*(G28-1))+'01_属性汇总'!AA10)*'03_战斗派生'!P10*'13_参数与假设'!$B$5+'03_战斗派生'!V10)*'13_参数与假设'!$B$6</x:f>
        <x:v>231717.12359379564</x:v>
      </x:c>
      <x:c r="K28" s="25" t="str">
        <x:v>PVE抵扣规则＋持续/倍率映射假设；非地图实测</x:v>
      </x:c>
    </x:row>
    <x:row r="29">
      <x:c r="A29" s="25" t="str">
        <x:v>C02-G</x:v>
      </x:c>
      <x:c r="B29" s="25" t="str">
        <x:v>宁姆格福</x:v>
      </x:c>
      <x:c r="C29" s="25" t="str">
        <x:v>半急速毕业</x:v>
      </x:c>
      <x:c r="D29" s="25" t="n">
        <x:v>0</x:v>
      </x:c>
      <x:c r="E29" s="36" t="n">
        <x:f>MIN(1,MAX(0,('03_战斗派生'!AF11-D29)/100))</x:f>
        <x:v>0.185</x:v>
      </x:c>
      <x:c r="F29" s="25" t="n">
        <x:f>IF(E29&gt;0,'13_参数与假设'!$B$29+'13_参数与假设'!$B$30*MAX(0,E29*100-1)+'01_属性汇总'!AJ11,0)</x:f>
        <x:v>4.5</x:v>
      </x:c>
      <x:c r="G29" s="25" t="n">
        <x:f>IF(E29&gt;0,'13_参数与假设'!$B$31+'13_参数与假设'!$B$32*MAX(0,E29*100-1)+'01_属性汇总'!AI11/100,1)</x:f>
        <x:v>5.53</x:v>
      </x:c>
      <x:c r="H29" s="25" t="n">
        <x:f>MAX(0,INT(F29*'03_战斗派生'!P11*'13_参数与假设'!$B$5))</x:f>
        <x:v>10</x:v>
      </x:c>
      <x:c r="I29" s="36" t="n">
        <x:f>IF(E29&gt;0,1-(1-E29)^H29,0)</x:f>
        <x:v>0.8707066800095884</x:v>
      </x:c>
      <x:c r="J29" s="40" t="n">
        <x:f>(('03_战斗派生'!R11*'03_战斗派生'!T11*(1+I29*(G29-1))+'01_属性汇总'!AA11)*'03_战斗派生'!P11*'13_参数与假设'!$B$5+'03_战斗派生'!V11)*'13_参数与假设'!$B$6</x:f>
        <x:v>3373482.084100481</x:v>
      </x:c>
      <x:c r="K29" s="25" t="str">
        <x:v>PVE抵扣规则＋持续/倍率映射假设；非地图实测</x:v>
      </x:c>
    </x:row>
    <x:row r="30">
      <x:c r="A30" s="25" t="str">
        <x:v>C02-G</x:v>
      </x:c>
      <x:c r="B30" s="25" t="str">
        <x:v>宁姆格福</x:v>
      </x:c>
      <x:c r="C30" s="25" t="str">
        <x:v>半急速毕业</x:v>
      </x:c>
      <x:c r="D30" s="25" t="n">
        <x:v>10</x:v>
      </x:c>
      <x:c r="E30" s="36" t="n">
        <x:f>MIN(1,MAX(0,('03_战斗派生'!AF11-D30)/100))</x:f>
        <x:v>0.085</x:v>
      </x:c>
      <x:c r="F30" s="25" t="n">
        <x:f>IF(E30&gt;0,'13_参数与假设'!$B$29+'13_参数与假设'!$B$30*MAX(0,E30*100-1)+'01_属性汇总'!AJ11,0)</x:f>
        <x:v>2.5</x:v>
      </x:c>
      <x:c r="G30" s="25" t="n">
        <x:f>IF(E30&gt;0,'13_参数与假设'!$B$31+'13_参数与假设'!$B$32*MAX(0,E30*100-1)+'01_属性汇总'!AI11/100,1)</x:f>
        <x:v>3.53</x:v>
      </x:c>
      <x:c r="H30" s="25" t="n">
        <x:f>MAX(0,INT(F30*'03_战斗派生'!P11*'13_参数与假设'!$B$5))</x:f>
        <x:v>5</x:v>
      </x:c>
      <x:c r="I30" s="36" t="n">
        <x:f>IF(E30&gt;0,1-(1-E30)^H30,0)</x:f>
        <x:v>0.3586346839281248</x:v>
      </x:c>
      <x:c r="J30" s="40" t="n">
        <x:f>(('03_战斗派生'!R11*'03_战斗派生'!T11*(1+I30*(G30-1))+'01_属性汇总'!AA11)*'03_战斗派生'!P11*'13_参数与假设'!$B$5+'03_战斗派生'!V11)*'13_参数与假设'!$B$6</x:f>
        <x:v>1312146.3636335945</x:v>
      </x:c>
      <x:c r="K30" s="25" t="str">
        <x:v>PVE抵扣规则＋持续/倍率映射假设；非地图实测</x:v>
      </x:c>
    </x:row>
    <x:row r="31">
      <x:c r="A31" s="25" t="str">
        <x:v>C02-G</x:v>
      </x:c>
      <x:c r="B31" s="25" t="str">
        <x:v>宁姆格福</x:v>
      </x:c>
      <x:c r="C31" s="25" t="str">
        <x:v>半急速毕业</x:v>
      </x:c>
      <x:c r="D31" s="25" t="n">
        <x:v>20</x:v>
      </x:c>
      <x:c r="E31" s="36" t="n">
        <x:f>MIN(1,MAX(0,('03_战斗派生'!AF11-D31)/100))</x:f>
        <x:v>0</x:v>
      </x:c>
      <x:c r="F31" s="25" t="n">
        <x:f>IF(E31&gt;0,'13_参数与假设'!$B$29+'13_参数与假设'!$B$30*MAX(0,E31*100-1)+'01_属性汇总'!AJ11,0)</x:f>
        <x:v>0</x:v>
      </x:c>
      <x:c r="G31" s="25" t="n">
        <x:f>IF(E31&gt;0,'13_参数与假设'!$B$31+'13_参数与假设'!$B$32*MAX(0,E31*100-1)+'01_属性汇总'!AI11/100,1)</x:f>
        <x:v>1</x:v>
      </x:c>
      <x:c r="H31" s="25" t="n">
        <x:f>MAX(0,INT(F31*'03_战斗派生'!P11*'13_参数与假设'!$B$5))</x:f>
        <x:v>0</x:v>
      </x:c>
      <x:c r="I31" s="36" t="n">
        <x:f>IF(E31&gt;0,1-(1-E31)^H31,0)</x:f>
        <x:v>0</x:v>
      </x:c>
      <x:c r="J31" s="40" t="n">
        <x:f>(('03_战斗派生'!R11*'03_战斗派生'!T11*(1+I31*(G31-1))+'01_属性汇总'!AA11)*'03_战斗派生'!P11*'13_参数与假设'!$B$5+'03_战斗派生'!V11)*'13_参数与假设'!$B$6</x:f>
        <x:v>696284.7878672007</x:v>
      </x:c>
      <x:c r="K31" s="25" t="str">
        <x:v>PVE抵扣规则＋持续/倍率映射假设；非地图实测</x:v>
      </x:c>
    </x:row>
    <x:row r="32">
      <x:c r="A32" s="25" t="str">
        <x:v>C02-G</x:v>
      </x:c>
      <x:c r="B32" s="25" t="str">
        <x:v>宁姆格福</x:v>
      </x:c>
      <x:c r="C32" s="25" t="str">
        <x:v>半急速毕业</x:v>
      </x:c>
      <x:c r="D32" s="25" t="n">
        <x:v>30</x:v>
      </x:c>
      <x:c r="E32" s="36" t="n">
        <x:f>MIN(1,MAX(0,('03_战斗派生'!AF11-D32)/100))</x:f>
        <x:v>0</x:v>
      </x:c>
      <x:c r="F32" s="25" t="n">
        <x:f>IF(E32&gt;0,'13_参数与假设'!$B$29+'13_参数与假设'!$B$30*MAX(0,E32*100-1)+'01_属性汇总'!AJ11,0)</x:f>
        <x:v>0</x:v>
      </x:c>
      <x:c r="G32" s="25" t="n">
        <x:f>IF(E32&gt;0,'13_参数与假设'!$B$31+'13_参数与假设'!$B$32*MAX(0,E32*100-1)+'01_属性汇总'!AI11/100,1)</x:f>
        <x:v>1</x:v>
      </x:c>
      <x:c r="H32" s="25" t="n">
        <x:f>MAX(0,INT(F32*'03_战斗派生'!P11*'13_参数与假设'!$B$5))</x:f>
        <x:v>0</x:v>
      </x:c>
      <x:c r="I32" s="36" t="n">
        <x:f>IF(E32&gt;0,1-(1-E32)^H32,0)</x:f>
        <x:v>0</x:v>
      </x:c>
      <x:c r="J32" s="40" t="n">
        <x:f>(('03_战斗派生'!R11*'03_战斗派生'!T11*(1+I32*(G32-1))+'01_属性汇总'!AA11)*'03_战斗派生'!P11*'13_参数与假设'!$B$5+'03_战斗派生'!V11)*'13_参数与假设'!$B$6</x:f>
        <x:v>696284.7878672007</x:v>
      </x:c>
      <x:c r="K32" s="25" t="str">
        <x:v>PVE抵扣规则＋持续/倍率映射假设；非地图实测</x:v>
      </x:c>
    </x:row>
    <x:row r="33">
      <x:c r="A33" s="25" t="str">
        <x:v>C02-X</x:v>
      </x:c>
      <x:c r="B33" s="25" t="str">
        <x:v>宁姆格福</x:v>
      </x:c>
      <x:c r="C33" s="25" t="str">
        <x:v>极端压力</x:v>
      </x:c>
      <x:c r="D33" s="25" t="n">
        <x:v>0</x:v>
      </x:c>
      <x:c r="E33" s="36" t="n">
        <x:f>MIN(1,MAX(0,('03_战斗派生'!AF12-D33)/100))</x:f>
        <x:v>0.27</x:v>
      </x:c>
      <x:c r="F33" s="25" t="n">
        <x:f>IF(E33&gt;0,'13_参数与假设'!$B$29+'13_参数与假设'!$B$30*MAX(0,E33*100-1)+'01_属性汇总'!AJ12,0)</x:f>
        <x:v>8.2</x:v>
      </x:c>
      <x:c r="G33" s="25" t="n">
        <x:f>IF(E33&gt;0,'13_参数与假设'!$B$31+'13_参数与假设'!$B$32*MAX(0,E33*100-1)+'01_属性汇总'!AI12/100,1)</x:f>
        <x:v>7.29</x:v>
      </x:c>
      <x:c r="H33" s="25" t="n">
        <x:f>MAX(0,INT(F33*'03_战斗派生'!P12*'13_参数与假设'!$B$5))</x:f>
        <x:v>19</x:v>
      </x:c>
      <x:c r="I33" s="36" t="n">
        <x:f>IF(E33&gt;0,1-(1-E33)^H33,0)</x:f>
        <x:v>0.9974699194832691</x:v>
      </x:c>
      <x:c r="J33" s="40" t="n">
        <x:f>(('03_战斗派生'!R12*'03_战斗派生'!T12*(1+I33*(G33-1))+'01_属性汇总'!AA12)*'03_战斗派生'!P12*'13_参数与假设'!$B$5+'03_战斗派生'!V12)*'13_参数与假设'!$B$6</x:f>
        <x:v>14985590.721069632</x:v>
      </x:c>
      <x:c r="K33" s="25" t="str">
        <x:v>PVE抵扣规则＋持续/倍率映射假设；非地图实测</x:v>
      </x:c>
    </x:row>
    <x:row r="34">
      <x:c r="A34" s="25" t="str">
        <x:v>C02-X</x:v>
      </x:c>
      <x:c r="B34" s="25" t="str">
        <x:v>宁姆格福</x:v>
      </x:c>
      <x:c r="C34" s="25" t="str">
        <x:v>极端压力</x:v>
      </x:c>
      <x:c r="D34" s="25" t="n">
        <x:v>10</x:v>
      </x:c>
      <x:c r="E34" s="36" t="n">
        <x:f>MIN(1,MAX(0,('03_战斗派生'!AF12-D34)/100))</x:f>
        <x:v>0.17</x:v>
      </x:c>
      <x:c r="F34" s="25" t="n">
        <x:f>IF(E34&gt;0,'13_参数与假设'!$B$29+'13_参数与假设'!$B$30*MAX(0,E34*100-1)+'01_属性汇总'!AJ12,0)</x:f>
        <x:v>6.2</x:v>
      </x:c>
      <x:c r="G34" s="25" t="n">
        <x:f>IF(E34&gt;0,'13_参数与假设'!$B$31+'13_参数与假设'!$B$32*MAX(0,E34*100-1)+'01_属性汇总'!AI12/100,1)</x:f>
        <x:v>5.29</x:v>
      </x:c>
      <x:c r="H34" s="25" t="n">
        <x:f>MAX(0,INT(F34*'03_战斗派生'!P12*'13_参数与假设'!$B$5))</x:f>
        <x:v>14</x:v>
      </x:c>
      <x:c r="I34" s="36" t="n">
        <x:f>IF(E34&gt;0,1-(1-E34)^H34,0)</x:f>
        <x:v>0.9263634736688364</x:v>
      </x:c>
      <x:c r="J34" s="40" t="n">
        <x:f>(('03_战斗派生'!R12*'03_战斗派生'!T12*(1+I34*(G34-1))+'01_属性汇总'!AA12)*'03_战斗派生'!P12*'13_参数与假设'!$B$5+'03_战斗派生'!V12)*'13_参数与假设'!$B$6</x:f>
        <x:v>10247310.58470836</x:v>
      </x:c>
      <x:c r="K34" s="25" t="str">
        <x:v>PVE抵扣规则＋持续/倍率映射假设；非地图实测</x:v>
      </x:c>
    </x:row>
    <x:row r="35">
      <x:c r="A35" s="25" t="str">
        <x:v>C02-X</x:v>
      </x:c>
      <x:c r="B35" s="25" t="str">
        <x:v>宁姆格福</x:v>
      </x:c>
      <x:c r="C35" s="25" t="str">
        <x:v>极端压力</x:v>
      </x:c>
      <x:c r="D35" s="25" t="n">
        <x:v>20</x:v>
      </x:c>
      <x:c r="E35" s="36" t="n">
        <x:f>MIN(1,MAX(0,('03_战斗派生'!AF12-D35)/100))</x:f>
        <x:v>0.07</x:v>
      </x:c>
      <x:c r="F35" s="25" t="n">
        <x:f>IF(E35&gt;0,'13_参数与假设'!$B$29+'13_参数与假设'!$B$30*MAX(0,E35*100-1)+'01_属性汇总'!AJ12,0)</x:f>
        <x:v>4.2</x:v>
      </x:c>
      <x:c r="G35" s="25" t="n">
        <x:f>IF(E35&gt;0,'13_参数与假设'!$B$31+'13_参数与假设'!$B$32*MAX(0,E35*100-1)+'01_属性汇总'!AI12/100,1)</x:f>
        <x:v>3.29</x:v>
      </x:c>
      <x:c r="H35" s="25" t="n">
        <x:f>MAX(0,INT(F35*'03_战斗派生'!P12*'13_参数与假设'!$B$5))</x:f>
        <x:v>9</x:v>
      </x:c>
      <x:c r="I35" s="36" t="n">
        <x:f>IF(E35&gt;0,1-(1-E35)^H35,0)</x:f>
        <x:v>0.47958891701151307</x:v>
      </x:c>
      <x:c r="J35" s="40" t="n">
        <x:f>(('03_战斗派生'!R12*'03_战斗派生'!T12*(1+I35*(G35-1))+'01_属性汇总'!AA12)*'03_战斗派生'!P12*'13_参数与假设'!$B$5+'03_战斗派生'!V12)*'13_参数与假设'!$B$6</x:f>
        <x:v>4322693.709978631</x:v>
      </x:c>
      <x:c r="K35" s="25" t="str">
        <x:v>PVE抵扣规则＋持续/倍率映射假设；非地图实测</x:v>
      </x:c>
    </x:row>
    <x:row r="36">
      <x:c r="A36" s="25" t="str">
        <x:v>C02-X</x:v>
      </x:c>
      <x:c r="B36" s="25" t="str">
        <x:v>宁姆格福</x:v>
      </x:c>
      <x:c r="C36" s="25" t="str">
        <x:v>极端压力</x:v>
      </x:c>
      <x:c r="D36" s="25" t="n">
        <x:v>30</x:v>
      </x:c>
      <x:c r="E36" s="36" t="n">
        <x:f>MIN(1,MAX(0,('03_战斗派生'!AF12-D36)/100))</x:f>
        <x:v>0</x:v>
      </x:c>
      <x:c r="F36" s="25" t="n">
        <x:f>IF(E36&gt;0,'13_参数与假设'!$B$29+'13_参数与假设'!$B$30*MAX(0,E36*100-1)+'01_属性汇总'!AJ12,0)</x:f>
        <x:v>0</x:v>
      </x:c>
      <x:c r="G36" s="25" t="n">
        <x:f>IF(E36&gt;0,'13_参数与假设'!$B$31+'13_参数与假设'!$B$32*MAX(0,E36*100-1)+'01_属性汇总'!AI12/100,1)</x:f>
        <x:v>1</x:v>
      </x:c>
      <x:c r="H36" s="25" t="n">
        <x:f>MAX(0,INT(F36*'03_战斗派生'!P12*'13_参数与假设'!$B$5))</x:f>
        <x:v>0</x:v>
      </x:c>
      <x:c r="I36" s="36" t="n">
        <x:f>IF(E36&gt;0,1-(1-E36)^H36,0)</x:f>
        <x:v>0</x:v>
      </x:c>
      <x:c r="J36" s="40" t="n">
        <x:f>(('03_战斗派生'!R12*'03_战斗派生'!T12*(1+I36*(G36-1))+'01_属性汇总'!AA12)*'03_战斗派生'!P12*'13_参数与假设'!$B$5+'03_战斗派生'!V12)*'13_参数与假设'!$B$6</x:f>
        <x:v>2060133.8981123902</x:v>
      </x:c>
      <x:c r="K36" s="25" t="str">
        <x:v>PVE抵扣规则＋持续/倍率映射假设；非地图实测</x:v>
      </x:c>
    </x:row>
    <x:row r="37">
      <x:c r="A37" s="25" t="str">
        <x:v>C03-E</x:v>
      </x:c>
      <x:c r="B37" s="25" t="str">
        <x:v>宁姆格福西域</x:v>
      </x:c>
      <x:c r="C37" s="25" t="str">
        <x:v>半急速入场</x:v>
      </x:c>
      <x:c r="D37" s="25" t="n">
        <x:v>0</x:v>
      </x:c>
      <x:c r="E37" s="36" t="n">
        <x:f>MIN(1,MAX(0,('03_战斗派生'!AF13-D37)/100))</x:f>
        <x:v>0.185</x:v>
      </x:c>
      <x:c r="F37" s="25" t="n">
        <x:f>IF(E37&gt;0,'13_参数与假设'!$B$29+'13_参数与假设'!$B$30*MAX(0,E37*100-1)+'01_属性汇总'!AJ13,0)</x:f>
        <x:v>4.5</x:v>
      </x:c>
      <x:c r="G37" s="25" t="n">
        <x:f>IF(E37&gt;0,'13_参数与假设'!$B$31+'13_参数与假设'!$B$32*MAX(0,E37*100-1)+'01_属性汇总'!AI13/100,1)</x:f>
        <x:v>5.53</x:v>
      </x:c>
      <x:c r="H37" s="25" t="n">
        <x:f>MAX(0,INT(F37*'03_战斗派生'!P13*'13_参数与假设'!$B$5))</x:f>
        <x:v>10</x:v>
      </x:c>
      <x:c r="I37" s="36" t="n">
        <x:f>IF(E37&gt;0,1-(1-E37)^H37,0)</x:f>
        <x:v>0.8707066800095884</x:v>
      </x:c>
      <x:c r="J37" s="40" t="n">
        <x:f>(('03_战斗派生'!R13*'03_战斗派生'!T13*(1+I37*(G37-1))+'01_属性汇总'!AA13)*'03_战斗派生'!P13*'13_参数与假设'!$B$5+'03_战斗派生'!V13)*'13_参数与假设'!$B$6</x:f>
        <x:v>3373482.084100481</x:v>
      </x:c>
      <x:c r="K37" s="25" t="str">
        <x:v>PVE抵扣规则＋持续/倍率映射假设；非地图实测</x:v>
      </x:c>
    </x:row>
    <x:row r="38">
      <x:c r="A38" s="25" t="str">
        <x:v>C03-E</x:v>
      </x:c>
      <x:c r="B38" s="25" t="str">
        <x:v>宁姆格福西域</x:v>
      </x:c>
      <x:c r="C38" s="25" t="str">
        <x:v>半急速入场</x:v>
      </x:c>
      <x:c r="D38" s="25" t="n">
        <x:v>10</x:v>
      </x:c>
      <x:c r="E38" s="36" t="n">
        <x:f>MIN(1,MAX(0,('03_战斗派生'!AF13-D38)/100))</x:f>
        <x:v>0.085</x:v>
      </x:c>
      <x:c r="F38" s="25" t="n">
        <x:f>IF(E38&gt;0,'13_参数与假设'!$B$29+'13_参数与假设'!$B$30*MAX(0,E38*100-1)+'01_属性汇总'!AJ13,0)</x:f>
        <x:v>2.5</x:v>
      </x:c>
      <x:c r="G38" s="25" t="n">
        <x:f>IF(E38&gt;0,'13_参数与假设'!$B$31+'13_参数与假设'!$B$32*MAX(0,E38*100-1)+'01_属性汇总'!AI13/100,1)</x:f>
        <x:v>3.53</x:v>
      </x:c>
      <x:c r="H38" s="25" t="n">
        <x:f>MAX(0,INT(F38*'03_战斗派生'!P13*'13_参数与假设'!$B$5))</x:f>
        <x:v>5</x:v>
      </x:c>
      <x:c r="I38" s="36" t="n">
        <x:f>IF(E38&gt;0,1-(1-E38)^H38,0)</x:f>
        <x:v>0.3586346839281248</x:v>
      </x:c>
      <x:c r="J38" s="40" t="n">
        <x:f>(('03_战斗派生'!R13*'03_战斗派生'!T13*(1+I38*(G38-1))+'01_属性汇总'!AA13)*'03_战斗派生'!P13*'13_参数与假设'!$B$5+'03_战斗派生'!V13)*'13_参数与假设'!$B$6</x:f>
        <x:v>1312146.3636335945</x:v>
      </x:c>
      <x:c r="K38" s="25" t="str">
        <x:v>PVE抵扣规则＋持续/倍率映射假设；非地图实测</x:v>
      </x:c>
    </x:row>
    <x:row r="39">
      <x:c r="A39" s="25" t="str">
        <x:v>C03-E</x:v>
      </x:c>
      <x:c r="B39" s="25" t="str">
        <x:v>宁姆格福西域</x:v>
      </x:c>
      <x:c r="C39" s="25" t="str">
        <x:v>半急速入场</x:v>
      </x:c>
      <x:c r="D39" s="25" t="n">
        <x:v>20</x:v>
      </x:c>
      <x:c r="E39" s="36" t="n">
        <x:f>MIN(1,MAX(0,('03_战斗派生'!AF13-D39)/100))</x:f>
        <x:v>0</x:v>
      </x:c>
      <x:c r="F39" s="25" t="n">
        <x:f>IF(E39&gt;0,'13_参数与假设'!$B$29+'13_参数与假设'!$B$30*MAX(0,E39*100-1)+'01_属性汇总'!AJ13,0)</x:f>
        <x:v>0</x:v>
      </x:c>
      <x:c r="G39" s="25" t="n">
        <x:f>IF(E39&gt;0,'13_参数与假设'!$B$31+'13_参数与假设'!$B$32*MAX(0,E39*100-1)+'01_属性汇总'!AI13/100,1)</x:f>
        <x:v>1</x:v>
      </x:c>
      <x:c r="H39" s="25" t="n">
        <x:f>MAX(0,INT(F39*'03_战斗派生'!P13*'13_参数与假设'!$B$5))</x:f>
        <x:v>0</x:v>
      </x:c>
      <x:c r="I39" s="36" t="n">
        <x:f>IF(E39&gt;0,1-(1-E39)^H39,0)</x:f>
        <x:v>0</x:v>
      </x:c>
      <x:c r="J39" s="40" t="n">
        <x:f>(('03_战斗派生'!R13*'03_战斗派生'!T13*(1+I39*(G39-1))+'01_属性汇总'!AA13)*'03_战斗派生'!P13*'13_参数与假设'!$B$5+'03_战斗派生'!V13)*'13_参数与假设'!$B$6</x:f>
        <x:v>696284.7878672007</x:v>
      </x:c>
      <x:c r="K39" s="25" t="str">
        <x:v>PVE抵扣规则＋持续/倍率映射假设；非地图实测</x:v>
      </x:c>
    </x:row>
    <x:row r="40">
      <x:c r="A40" s="25" t="str">
        <x:v>C03-E</x:v>
      </x:c>
      <x:c r="B40" s="25" t="str">
        <x:v>宁姆格福西域</x:v>
      </x:c>
      <x:c r="C40" s="25" t="str">
        <x:v>半急速入场</x:v>
      </x:c>
      <x:c r="D40" s="25" t="n">
        <x:v>30</x:v>
      </x:c>
      <x:c r="E40" s="36" t="n">
        <x:f>MIN(1,MAX(0,('03_战斗派生'!AF13-D40)/100))</x:f>
        <x:v>0</x:v>
      </x:c>
      <x:c r="F40" s="25" t="n">
        <x:f>IF(E40&gt;0,'13_参数与假设'!$B$29+'13_参数与假设'!$B$30*MAX(0,E40*100-1)+'01_属性汇总'!AJ13,0)</x:f>
        <x:v>0</x:v>
      </x:c>
      <x:c r="G40" s="25" t="n">
        <x:f>IF(E40&gt;0,'13_参数与假设'!$B$31+'13_参数与假设'!$B$32*MAX(0,E40*100-1)+'01_属性汇总'!AI13/100,1)</x:f>
        <x:v>1</x:v>
      </x:c>
      <x:c r="H40" s="25" t="n">
        <x:f>MAX(0,INT(F40*'03_战斗派生'!P13*'13_参数与假设'!$B$5))</x:f>
        <x:v>0</x:v>
      </x:c>
      <x:c r="I40" s="36" t="n">
        <x:f>IF(E40&gt;0,1-(1-E40)^H40,0)</x:f>
        <x:v>0</x:v>
      </x:c>
      <x:c r="J40" s="40" t="n">
        <x:f>(('03_战斗派生'!R13*'03_战斗派生'!T13*(1+I40*(G40-1))+'01_属性汇总'!AA13)*'03_战斗派生'!P13*'13_参数与假设'!$B$5+'03_战斗派生'!V13)*'13_参数与假设'!$B$6</x:f>
        <x:v>696284.7878672007</x:v>
      </x:c>
      <x:c r="K40" s="25" t="str">
        <x:v>PVE抵扣规则＋持续/倍率映射假设；非地图实测</x:v>
      </x:c>
    </x:row>
    <x:row r="41">
      <x:c r="A41" s="25" t="str">
        <x:v>C03-M</x:v>
      </x:c>
      <x:c r="B41" s="25" t="str">
        <x:v>宁姆格福西域</x:v>
      </x:c>
      <x:c r="C41" s="25" t="str">
        <x:v>半急速中期</x:v>
      </x:c>
      <x:c r="D41" s="25" t="n">
        <x:v>0</x:v>
      </x:c>
      <x:c r="E41" s="36" t="n">
        <x:f>MIN(1,MAX(0,('03_战斗派生'!AF14-D41)/100))</x:f>
        <x:v>0.215</x:v>
      </x:c>
      <x:c r="F41" s="25" t="n">
        <x:f>IF(E41&gt;0,'13_参数与假设'!$B$29+'13_参数与假设'!$B$30*MAX(0,E41*100-1)+'01_属性汇总'!AJ14,0)</x:f>
        <x:v>6.1000000000000005</x:v>
      </x:c>
      <x:c r="G41" s="25" t="n">
        <x:f>IF(E41&gt;0,'13_参数与假设'!$B$31+'13_参数与假设'!$B$32*MAX(0,E41*100-1)+'01_属性汇总'!AI14/100,1)</x:f>
        <x:v>6.15</x:v>
      </x:c>
      <x:c r="H41" s="25" t="n">
        <x:f>MAX(0,INT(F41*'03_战斗派生'!P14*'13_参数与假设'!$B$5))</x:f>
        <x:v>14</x:v>
      </x:c>
      <x:c r="I41" s="36" t="n">
        <x:f>IF(E41&gt;0,1-(1-E41)^H41,0)</x:f>
        <x:v>0.9662576602162766</x:v>
      </x:c>
      <x:c r="J41" s="40" t="n">
        <x:f>(('03_战斗派生'!R14*'03_战斗派生'!T14*(1+I41*(G41-1))+'01_属性汇总'!AA14)*'03_战斗派生'!P14*'13_参数与假设'!$B$5+'03_战斗派生'!V14)*'13_参数与假设'!$B$6</x:f>
        <x:v>6695638.593025264</x:v>
      </x:c>
      <x:c r="K41" s="25" t="str">
        <x:v>PVE抵扣规则＋持续/倍率映射假设；非地图实测</x:v>
      </x:c>
    </x:row>
    <x:row r="42">
      <x:c r="A42" s="25" t="str">
        <x:v>C03-M</x:v>
      </x:c>
      <x:c r="B42" s="25" t="str">
        <x:v>宁姆格福西域</x:v>
      </x:c>
      <x:c r="C42" s="25" t="str">
        <x:v>半急速中期</x:v>
      </x:c>
      <x:c r="D42" s="25" t="n">
        <x:v>10</x:v>
      </x:c>
      <x:c r="E42" s="36" t="n">
        <x:f>MIN(1,MAX(0,('03_战斗派生'!AF14-D42)/100))</x:f>
        <x:v>0.115</x:v>
      </x:c>
      <x:c r="F42" s="25" t="n">
        <x:f>IF(E42&gt;0,'13_参数与假设'!$B$29+'13_参数与假设'!$B$30*MAX(0,E42*100-1)+'01_属性汇总'!AJ14,0)</x:f>
        <x:v>4.1</x:v>
      </x:c>
      <x:c r="G42" s="25" t="n">
        <x:f>IF(E42&gt;0,'13_参数与假设'!$B$31+'13_参数与假设'!$B$32*MAX(0,E42*100-1)+'01_属性汇总'!AI14/100,1)</x:f>
        <x:v>4.1499999999999995</x:v>
      </x:c>
      <x:c r="H42" s="25" t="n">
        <x:f>MAX(0,INT(F42*'03_战斗派生'!P14*'13_参数与假设'!$B$5))</x:f>
        <x:v>10</x:v>
      </x:c>
      <x:c r="I42" s="36" t="n">
        <x:f>IF(E42&gt;0,1-(1-E42)^H42,0)</x:f>
        <x:v>0.7052643245542033</x:v>
      </x:c>
      <x:c r="J42" s="40" t="n">
        <x:f>(('03_战斗派生'!R14*'03_战斗派生'!T14*(1+I42*(G42-1))+'01_属性汇总'!AA14)*'03_战斗派生'!P14*'13_参数与假设'!$B$5+'03_战斗派生'!V14)*'13_参数与假设'!$B$6</x:f>
        <x:v>3609393.20358087</x:v>
      </x:c>
      <x:c r="K42" s="25" t="str">
        <x:v>PVE抵扣规则＋持续/倍率映射假设；非地图实测</x:v>
      </x:c>
    </x:row>
    <x:row r="43">
      <x:c r="A43" s="25" t="str">
        <x:v>C03-M</x:v>
      </x:c>
      <x:c r="B43" s="25" t="str">
        <x:v>宁姆格福西域</x:v>
      </x:c>
      <x:c r="C43" s="25" t="str">
        <x:v>半急速中期</x:v>
      </x:c>
      <x:c r="D43" s="25" t="n">
        <x:v>20</x:v>
      </x:c>
      <x:c r="E43" s="36" t="n">
        <x:f>MIN(1,MAX(0,('03_战斗派生'!AF14-D43)/100))</x:f>
        <x:v>0.015</x:v>
      </x:c>
      <x:c r="F43" s="25" t="n">
        <x:f>IF(E43&gt;0,'13_参数与假设'!$B$29+'13_参数与假设'!$B$30*MAX(0,E43*100-1)+'01_属性汇总'!AJ14,0)</x:f>
        <x:v>2.1</x:v>
      </x:c>
      <x:c r="G43" s="25" t="n">
        <x:f>IF(E43&gt;0,'13_参数与假设'!$B$31+'13_参数与假设'!$B$32*MAX(0,E43*100-1)+'01_属性汇总'!AI14/100,1)</x:f>
        <x:v>2.15</x:v>
      </x:c>
      <x:c r="H43" s="25" t="n">
        <x:f>MAX(0,INT(F43*'03_战斗派生'!P14*'13_参数与假设'!$B$5))</x:f>
        <x:v>5</x:v>
      </x:c>
      <x:c r="I43" s="36" t="n">
        <x:f>IF(E43&gt;0,1-(1-E43)^H43,0)</x:f>
        <x:v>0.07278349763437497</x:v>
      </x:c>
      <x:c r="J43" s="40" t="n">
        <x:f>(('03_战斗派生'!R14*'03_战斗派生'!T14*(1+I43*(G43-1))+'01_属性汇总'!AA14)*'03_战斗派生'!P14*'13_参数与假设'!$B$5+'03_战斗派生'!V14)*'13_参数与假设'!$B$6</x:f>
        <x:v>1214155.7622636068</x:v>
      </x:c>
      <x:c r="K43" s="25" t="str">
        <x:v>PVE抵扣规则＋持续/倍率映射假设；非地图实测</x:v>
      </x:c>
    </x:row>
    <x:row r="44">
      <x:c r="A44" s="25" t="str">
        <x:v>C03-M</x:v>
      </x:c>
      <x:c r="B44" s="25" t="str">
        <x:v>宁姆格福西域</x:v>
      </x:c>
      <x:c r="C44" s="25" t="str">
        <x:v>半急速中期</x:v>
      </x:c>
      <x:c r="D44" s="25" t="n">
        <x:v>30</x:v>
      </x:c>
      <x:c r="E44" s="36" t="n">
        <x:f>MIN(1,MAX(0,('03_战斗派生'!AF14-D44)/100))</x:f>
        <x:v>0</x:v>
      </x:c>
      <x:c r="F44" s="25" t="n">
        <x:f>IF(E44&gt;0,'13_参数与假设'!$B$29+'13_参数与假设'!$B$30*MAX(0,E44*100-1)+'01_属性汇总'!AJ14,0)</x:f>
        <x:v>0</x:v>
      </x:c>
      <x:c r="G44" s="25" t="n">
        <x:f>IF(E44&gt;0,'13_参数与假设'!$B$31+'13_参数与假设'!$B$32*MAX(0,E44*100-1)+'01_属性汇总'!AI14/100,1)</x:f>
        <x:v>1</x:v>
      </x:c>
      <x:c r="H44" s="25" t="n">
        <x:f>MAX(0,INT(F44*'03_战斗派生'!P14*'13_参数与假设'!$B$5))</x:f>
        <x:v>0</x:v>
      </x:c>
      <x:c r="I44" s="36" t="n">
        <x:f>IF(E44&gt;0,1-(1-E44)^H44,0)</x:f>
        <x:v>0</x:v>
      </x:c>
      <x:c r="J44" s="40" t="n">
        <x:f>(('03_战斗派生'!R14*'03_战斗派生'!T14*(1+I44*(G44-1))+'01_属性汇总'!AA14)*'03_战斗派生'!P14*'13_参数与假设'!$B$5+'03_战斗派生'!V14)*'13_参数与假设'!$B$6</x:f>
        <x:v>1120378.9027620072</x:v>
      </x:c>
      <x:c r="K44" s="25" t="str">
        <x:v>PVE抵扣规则＋持续/倍率映射假设；非地图实测</x:v>
      </x:c>
    </x:row>
    <x:row r="45">
      <x:c r="A45" s="25" t="str">
        <x:v>C03-G</x:v>
      </x:c>
      <x:c r="B45" s="25" t="str">
        <x:v>宁姆格福西域</x:v>
      </x:c>
      <x:c r="C45" s="25" t="str">
        <x:v>半急速毕业</x:v>
      </x:c>
      <x:c r="D45" s="25" t="n">
        <x:v>0</x:v>
      </x:c>
      <x:c r="E45" s="36" t="n">
        <x:f>MIN(1,MAX(0,('03_战斗派生'!AF15-D45)/100))</x:f>
        <x:v>0.215</x:v>
      </x:c>
      <x:c r="F45" s="25" t="n">
        <x:f>IF(E45&gt;0,'13_参数与假设'!$B$29+'13_参数与假设'!$B$30*MAX(0,E45*100-1)+'01_属性汇总'!AJ15,0)</x:f>
        <x:v>5.1000000000000005</x:v>
      </x:c>
      <x:c r="G45" s="25" t="n">
        <x:f>IF(E45&gt;0,'13_参数与假设'!$B$31+'13_参数与假设'!$B$32*MAX(0,E45*100-1)+'01_属性汇总'!AI15/100,1)</x:f>
        <x:v>6.15</x:v>
      </x:c>
      <x:c r="H45" s="25" t="n">
        <x:f>MAX(0,INT(F45*'03_战斗派生'!P15*'13_参数与假设'!$B$5))</x:f>
        <x:v>15</x:v>
      </x:c>
      <x:c r="I45" s="36" t="n">
        <x:f>IF(E45&gt;0,1-(1-E45)^H45,0)</x:f>
        <x:v>0.973512263269777</x:v>
      </x:c>
      <x:c r="J45" s="40" t="n">
        <x:f>(('03_战斗派生'!R15*'03_战斗派生'!T15*(1+I45*(G45-1))+'01_属性汇总'!AA15)*'03_战斗派生'!P15*'13_参数与假设'!$B$5+'03_战斗派生'!V15)*'13_参数与假设'!$B$6</x:f>
        <x:v>11359348.63583327</x:v>
      </x:c>
      <x:c r="K45" s="25" t="str">
        <x:v>PVE抵扣规则＋持续/倍率映射假设；非地图实测</x:v>
      </x:c>
    </x:row>
    <x:row r="46">
      <x:c r="A46" s="25" t="str">
        <x:v>C03-G</x:v>
      </x:c>
      <x:c r="B46" s="25" t="str">
        <x:v>宁姆格福西域</x:v>
      </x:c>
      <x:c r="C46" s="25" t="str">
        <x:v>半急速毕业</x:v>
      </x:c>
      <x:c r="D46" s="25" t="n">
        <x:v>10</x:v>
      </x:c>
      <x:c r="E46" s="36" t="n">
        <x:f>MIN(1,MAX(0,('03_战斗派生'!AF15-D46)/100))</x:f>
        <x:v>0.115</x:v>
      </x:c>
      <x:c r="F46" s="25" t="n">
        <x:f>IF(E46&gt;0,'13_参数与假设'!$B$29+'13_参数与假设'!$B$30*MAX(0,E46*100-1)+'01_属性汇总'!AJ15,0)</x:f>
        <x:v>3.1</x:v>
      </x:c>
      <x:c r="G46" s="25" t="n">
        <x:f>IF(E46&gt;0,'13_参数与假设'!$B$31+'13_参数与假设'!$B$32*MAX(0,E46*100-1)+'01_属性汇总'!AI15/100,1)</x:f>
        <x:v>4.1499999999999995</x:v>
      </x:c>
      <x:c r="H46" s="25" t="n">
        <x:f>MAX(0,INT(F46*'03_战斗派生'!P15*'13_参数与假设'!$B$5))</x:f>
        <x:v>9</x:v>
      </x:c>
      <x:c r="I46" s="36" t="n">
        <x:f>IF(E46&gt;0,1-(1-E46)^H46,0)</x:f>
        <x:v>0.6669653384793257</x:v>
      </x:c>
      <x:c r="J46" s="40" t="n">
        <x:f>(('03_战斗派生'!R15*'03_战斗派生'!T15*(1+I46*(G46-1))+'01_属性汇总'!AA15)*'03_战斗派生'!P15*'13_参数与假设'!$B$5+'03_战斗派生'!V15)*'13_参数与假设'!$B$6</x:f>
        <x:v>5857512.506274527</x:v>
      </x:c>
      <x:c r="K46" s="25" t="str">
        <x:v>PVE抵扣规则＋持续/倍率映射假设；非地图实测</x:v>
      </x:c>
    </x:row>
    <x:row r="47">
      <x:c r="A47" s="25" t="str">
        <x:v>C03-G</x:v>
      </x:c>
      <x:c r="B47" s="25" t="str">
        <x:v>宁姆格福西域</x:v>
      </x:c>
      <x:c r="C47" s="25" t="str">
        <x:v>半急速毕业</x:v>
      </x:c>
      <x:c r="D47" s="25" t="n">
        <x:v>20</x:v>
      </x:c>
      <x:c r="E47" s="36" t="n">
        <x:f>MIN(1,MAX(0,('03_战斗派生'!AF15-D47)/100))</x:f>
        <x:v>0.015</x:v>
      </x:c>
      <x:c r="F47" s="25" t="n">
        <x:f>IF(E47&gt;0,'13_参数与假设'!$B$29+'13_参数与假设'!$B$30*MAX(0,E47*100-1)+'01_属性汇总'!AJ15,0)</x:f>
        <x:v>1.1</x:v>
      </x:c>
      <x:c r="G47" s="25" t="n">
        <x:f>IF(E47&gt;0,'13_参数与假设'!$B$31+'13_参数与假设'!$B$32*MAX(0,E47*100-1)+'01_属性汇总'!AI15/100,1)</x:f>
        <x:v>2.15</x:v>
      </x:c>
      <x:c r="H47" s="25" t="n">
        <x:f>MAX(0,INT(F47*'03_战斗派生'!P15*'13_参数与假设'!$B$5))</x:f>
        <x:v>3</x:v>
      </x:c>
      <x:c r="I47" s="36" t="n">
        <x:f>IF(E47&gt;0,1-(1-E47)^H47,0)</x:f>
        <x:v>0.044328374999999975</x:v>
      </x:c>
      <x:c r="J47" s="40" t="n">
        <x:f>(('03_战斗派生'!R15*'03_战斗派生'!T15*(1+I47*(G47-1))+'01_属性汇总'!AA15)*'03_战斗派生'!P15*'13_参数与假设'!$B$5+'03_战斗派生'!V15)*'13_参数与假设'!$B$6</x:f>
        <x:v>1985240.9264572684</x:v>
      </x:c>
      <x:c r="K47" s="25" t="str">
        <x:v>PVE抵扣规则＋持续/倍率映射假设；非地图实测</x:v>
      </x:c>
    </x:row>
    <x:row r="48">
      <x:c r="A48" s="25" t="str">
        <x:v>C03-G</x:v>
      </x:c>
      <x:c r="B48" s="25" t="str">
        <x:v>宁姆格福西域</x:v>
      </x:c>
      <x:c r="C48" s="25" t="str">
        <x:v>半急速毕业</x:v>
      </x:c>
      <x:c r="D48" s="25" t="n">
        <x:v>30</x:v>
      </x:c>
      <x:c r="E48" s="36" t="n">
        <x:f>MIN(1,MAX(0,('03_战斗派生'!AF15-D48)/100))</x:f>
        <x:v>0</x:v>
      </x:c>
      <x:c r="F48" s="25" t="n">
        <x:f>IF(E48&gt;0,'13_参数与假设'!$B$29+'13_参数与假设'!$B$30*MAX(0,E48*100-1)+'01_属性汇总'!AJ15,0)</x:f>
        <x:v>0</x:v>
      </x:c>
      <x:c r="G48" s="25" t="n">
        <x:f>IF(E48&gt;0,'13_参数与假设'!$B$31+'13_参数与假设'!$B$32*MAX(0,E48*100-1)+'01_属性汇总'!AI15/100,1)</x:f>
        <x:v>1</x:v>
      </x:c>
      <x:c r="H48" s="25" t="n">
        <x:f>MAX(0,INT(F48*'03_战斗派生'!P15*'13_参数与假设'!$B$5))</x:f>
        <x:v>0</x:v>
      </x:c>
      <x:c r="I48" s="36" t="n">
        <x:f>IF(E48&gt;0,1-(1-E48)^H48,0)</x:f>
        <x:v>0</x:v>
      </x:c>
      <x:c r="J48" s="40" t="n">
        <x:f>(('03_战斗派生'!R15*'03_战斗派生'!T15*(1+I48*(G48-1))+'01_属性汇总'!AA15)*'03_战斗派生'!P15*'13_参数与假设'!$B$5+'03_战斗派生'!V15)*'13_参数与假设'!$B$6</x:f>
        <x:v>1888946.8885232934</x:v>
      </x:c>
      <x:c r="K48" s="25" t="str">
        <x:v>PVE抵扣规则＋持续/倍率映射假设；非地图实测</x:v>
      </x:c>
    </x:row>
    <x:row r="49">
      <x:c r="A49" s="25" t="str">
        <x:v>C03-X</x:v>
      </x:c>
      <x:c r="B49" s="25" t="str">
        <x:v>宁姆格福西域</x:v>
      </x:c>
      <x:c r="C49" s="25" t="str">
        <x:v>极端压力</x:v>
      </x:c>
      <x:c r="D49" s="25" t="n">
        <x:v>0</x:v>
      </x:c>
      <x:c r="E49" s="36" t="n">
        <x:f>MIN(1,MAX(0,('03_战斗派生'!AF16-D49)/100))</x:f>
        <x:v>0.32</x:v>
      </x:c>
      <x:c r="F49" s="25" t="n">
        <x:f>IF(E49&gt;0,'13_参数与假设'!$B$29+'13_参数与假设'!$B$30*MAX(0,E49*100-1)+'01_属性汇总'!AJ16,0)</x:f>
        <x:v>7.4</x:v>
      </x:c>
      <x:c r="G49" s="25" t="n">
        <x:f>IF(E49&gt;0,'13_参数与假设'!$B$31+'13_参数与假设'!$B$32*MAX(0,E49*100-1)+'01_属性汇总'!AI16/100,1)</x:f>
        <x:v>8.41</x:v>
      </x:c>
      <x:c r="H49" s="25" t="n">
        <x:f>MAX(0,INT(F49*'03_战斗派生'!P16*'13_参数与假设'!$B$5))</x:f>
        <x:v>22</x:v>
      </x:c>
      <x:c r="I49" s="36" t="n">
        <x:f>IF(E49&gt;0,1-(1-E49)^H49,0)</x:f>
        <x:v>0.9997933687135537</x:v>
      </x:c>
      <x:c r="J49" s="40" t="n">
        <x:f>(('03_战斗派生'!R16*'03_战斗派生'!T16*(1+I49*(G49-1))+'01_属性汇总'!AA16)*'03_战斗派生'!P16*'13_参数与假设'!$B$5+'03_战斗派生'!V16)*'13_参数与假设'!$B$6</x:f>
        <x:v>46085617.43217343</x:v>
      </x:c>
      <x:c r="K49" s="25" t="str">
        <x:v>PVE抵扣规则＋持续/倍率映射假设；非地图实测</x:v>
      </x:c>
    </x:row>
    <x:row r="50">
      <x:c r="A50" s="25" t="str">
        <x:v>C03-X</x:v>
      </x:c>
      <x:c r="B50" s="25" t="str">
        <x:v>宁姆格福西域</x:v>
      </x:c>
      <x:c r="C50" s="25" t="str">
        <x:v>极端压力</x:v>
      </x:c>
      <x:c r="D50" s="25" t="n">
        <x:v>10</x:v>
      </x:c>
      <x:c r="E50" s="36" t="n">
        <x:f>MIN(1,MAX(0,('03_战斗派生'!AF16-D50)/100))</x:f>
        <x:v>0.22</x:v>
      </x:c>
      <x:c r="F50" s="25" t="n">
        <x:f>IF(E50&gt;0,'13_参数与假设'!$B$29+'13_参数与假设'!$B$30*MAX(0,E50*100-1)+'01_属性汇总'!AJ16,0)</x:f>
        <x:v>5.4</x:v>
      </x:c>
      <x:c r="G50" s="25" t="n">
        <x:f>IF(E50&gt;0,'13_参数与假设'!$B$31+'13_参数与假设'!$B$32*MAX(0,E50*100-1)+'01_属性汇总'!AI16/100,1)</x:f>
        <x:v>6.41</x:v>
      </x:c>
      <x:c r="H50" s="25" t="n">
        <x:f>MAX(0,INT(F50*'03_战斗派生'!P16*'13_参数与假设'!$B$5))</x:f>
        <x:v>16</x:v>
      </x:c>
      <x:c r="I50" s="36" t="n">
        <x:f>IF(E50&gt;0,1-(1-E50)^H50,0)</x:f>
        <x:v>0.9812278661124755</x:v>
      </x:c>
      <x:c r="J50" s="40" t="n">
        <x:f>(('03_战斗派生'!R16*'03_战斗派生'!T16*(1+I50*(G50-1))+'01_属性汇总'!AA16)*'03_战斗派生'!P16*'13_参数与假设'!$B$5+'03_战斗派生'!V16)*'13_参数与假设'!$B$6</x:f>
        <x:v>34575674.144265495</x:v>
      </x:c>
      <x:c r="K50" s="25" t="str">
        <x:v>PVE抵扣规则＋持续/倍率映射假设；非地图实测</x:v>
      </x:c>
    </x:row>
    <x:row r="51">
      <x:c r="A51" s="25" t="str">
        <x:v>C03-X</x:v>
      </x:c>
      <x:c r="B51" s="25" t="str">
        <x:v>宁姆格福西域</x:v>
      </x:c>
      <x:c r="C51" s="25" t="str">
        <x:v>极端压力</x:v>
      </x:c>
      <x:c r="D51" s="25" t="n">
        <x:v>20</x:v>
      </x:c>
      <x:c r="E51" s="36" t="n">
        <x:f>MIN(1,MAX(0,('03_战斗派生'!AF16-D51)/100))</x:f>
        <x:v>0.12</x:v>
      </x:c>
      <x:c r="F51" s="25" t="n">
        <x:f>IF(E51&gt;0,'13_参数与假设'!$B$29+'13_参数与假设'!$B$30*MAX(0,E51*100-1)+'01_属性汇总'!AJ16,0)</x:f>
        <x:v>3.4000000000000004</x:v>
      </x:c>
      <x:c r="G51" s="25" t="n">
        <x:f>IF(E51&gt;0,'13_参数与假设'!$B$31+'13_参数与假设'!$B$32*MAX(0,E51*100-1)+'01_属性汇总'!AI16/100,1)</x:f>
        <x:v>4.41</x:v>
      </x:c>
      <x:c r="H51" s="25" t="n">
        <x:f>MAX(0,INT(F51*'03_战斗派生'!P16*'13_参数与假设'!$B$5))</x:f>
        <x:v>10</x:v>
      </x:c>
      <x:c r="I51" s="36" t="n">
        <x:f>IF(E51&gt;0,1-(1-E51)^H51,0)</x:f>
        <x:v>0.7214990239905978</x:v>
      </x:c>
      <x:c r="J51" s="40" t="n">
        <x:f>(('03_战斗派生'!R16*'03_战斗派生'!T16*(1+I51*(G51-1))+'01_属性汇总'!AA16)*'03_战斗派生'!P16*'13_参数与假设'!$B$5+'03_战斗派生'!V16)*'13_参数与假设'!$B$6</x:f>
        <x:v>18965474.27564817</x:v>
      </x:c>
      <x:c r="K51" s="25" t="str">
        <x:v>PVE抵扣规则＋持续/倍率映射假设；非地图实测</x:v>
      </x:c>
    </x:row>
    <x:row r="52">
      <x:c r="A52" s="25" t="str">
        <x:v>C03-X</x:v>
      </x:c>
      <x:c r="B52" s="25" t="str">
        <x:v>宁姆格福西域</x:v>
      </x:c>
      <x:c r="C52" s="25" t="str">
        <x:v>极端压力</x:v>
      </x:c>
      <x:c r="D52" s="25" t="n">
        <x:v>30</x:v>
      </x:c>
      <x:c r="E52" s="36" t="n">
        <x:f>MIN(1,MAX(0,('03_战斗派生'!AF16-D52)/100))</x:f>
        <x:v>0.02</x:v>
      </x:c>
      <x:c r="F52" s="25" t="n">
        <x:f>IF(E52&gt;0,'13_参数与假设'!$B$29+'13_参数与假设'!$B$30*MAX(0,E52*100-1)+'01_属性汇总'!AJ16,0)</x:f>
        <x:v>1.4</x:v>
      </x:c>
      <x:c r="G52" s="25" t="n">
        <x:f>IF(E52&gt;0,'13_参数与假设'!$B$31+'13_参数与假设'!$B$32*MAX(0,E52*100-1)+'01_属性汇总'!AI16/100,1)</x:f>
        <x:v>2.41</x:v>
      </x:c>
      <x:c r="H52" s="25" t="n">
        <x:f>MAX(0,INT(F52*'03_战斗派生'!P16*'13_参数与假设'!$B$5))</x:f>
        <x:v>4</x:v>
      </x:c>
      <x:c r="I52" s="36" t="n">
        <x:f>IF(E52&gt;0,1-(1-E52)^H52,0)</x:f>
        <x:v>0.07763184000000012</x:v>
      </x:c>
      <x:c r="J52" s="40" t="n">
        <x:f>(('03_战斗派生'!R16*'03_战斗派生'!T16*(1+I52*(G52-1))+'01_属性汇总'!AA16)*'03_战斗派生'!P16*'13_参数与假设'!$B$5+'03_战斗派生'!V16)*'13_参数与假设'!$B$6</x:f>
        <x:v>6080796.77446717</x:v>
      </x:c>
      <x:c r="K52" s="25" t="str">
        <x:v>PVE抵扣规则＋持续/倍率映射假设；非地图实测</x:v>
      </x:c>
    </x:row>
    <x:row r="53">
      <x:c r="A53" s="25" t="str">
        <x:v>C04-E</x:v>
      </x:c>
      <x:c r="B53" s="25" t="str">
        <x:v>利耶尼亚海域</x:v>
      </x:c>
      <x:c r="C53" s="25" t="str">
        <x:v>半急速入场</x:v>
      </x:c>
      <x:c r="D53" s="25" t="n">
        <x:v>0</x:v>
      </x:c>
      <x:c r="E53" s="36" t="n">
        <x:f>MIN(1,MAX(0,('03_战斗派生'!AF17-D53)/100))</x:f>
        <x:v>0.215</x:v>
      </x:c>
      <x:c r="F53" s="25" t="n">
        <x:f>IF(E53&gt;0,'13_参数与假设'!$B$29+'13_参数与假设'!$B$30*MAX(0,E53*100-1)+'01_属性汇总'!AJ17,0)</x:f>
        <x:v>5.1000000000000005</x:v>
      </x:c>
      <x:c r="G53" s="25" t="n">
        <x:f>IF(E53&gt;0,'13_参数与假设'!$B$31+'13_参数与假设'!$B$32*MAX(0,E53*100-1)+'01_属性汇总'!AI17/100,1)</x:f>
        <x:v>6.15</x:v>
      </x:c>
      <x:c r="H53" s="25" t="n">
        <x:f>MAX(0,INT(F53*'03_战斗派生'!P17*'13_参数与假设'!$B$5))</x:f>
        <x:v>15</x:v>
      </x:c>
      <x:c r="I53" s="36" t="n">
        <x:f>IF(E53&gt;0,1-(1-E53)^H53,0)</x:f>
        <x:v>0.973512263269777</x:v>
      </x:c>
      <x:c r="J53" s="40" t="n">
        <x:f>(('03_战斗派生'!R17*'03_战斗派生'!T17*(1+I53*(G53-1))+'01_属性汇总'!AA17)*'03_战斗派生'!P17*'13_参数与假设'!$B$5+'03_战斗派生'!V17)*'13_参数与假设'!$B$6</x:f>
        <x:v>11359348.63583327</x:v>
      </x:c>
      <x:c r="K53" s="25" t="str">
        <x:v>PVE抵扣规则＋持续/倍率映射假设；非地图实测</x:v>
      </x:c>
    </x:row>
    <x:row r="54">
      <x:c r="A54" s="25" t="str">
        <x:v>C04-E</x:v>
      </x:c>
      <x:c r="B54" s="25" t="str">
        <x:v>利耶尼亚海域</x:v>
      </x:c>
      <x:c r="C54" s="25" t="str">
        <x:v>半急速入场</x:v>
      </x:c>
      <x:c r="D54" s="25" t="n">
        <x:v>10</x:v>
      </x:c>
      <x:c r="E54" s="36" t="n">
        <x:f>MIN(1,MAX(0,('03_战斗派生'!AF17-D54)/100))</x:f>
        <x:v>0.115</x:v>
      </x:c>
      <x:c r="F54" s="25" t="n">
        <x:f>IF(E54&gt;0,'13_参数与假设'!$B$29+'13_参数与假设'!$B$30*MAX(0,E54*100-1)+'01_属性汇总'!AJ17,0)</x:f>
        <x:v>3.1</x:v>
      </x:c>
      <x:c r="G54" s="25" t="n">
        <x:f>IF(E54&gt;0,'13_参数与假设'!$B$31+'13_参数与假设'!$B$32*MAX(0,E54*100-1)+'01_属性汇总'!AI17/100,1)</x:f>
        <x:v>4.1499999999999995</x:v>
      </x:c>
      <x:c r="H54" s="25" t="n">
        <x:f>MAX(0,INT(F54*'03_战斗派生'!P17*'13_参数与假设'!$B$5))</x:f>
        <x:v>9</x:v>
      </x:c>
      <x:c r="I54" s="36" t="n">
        <x:f>IF(E54&gt;0,1-(1-E54)^H54,0)</x:f>
        <x:v>0.6669653384793257</x:v>
      </x:c>
      <x:c r="J54" s="40" t="n">
        <x:f>(('03_战斗派生'!R17*'03_战斗派生'!T17*(1+I54*(G54-1))+'01_属性汇总'!AA17)*'03_战斗派生'!P17*'13_参数与假设'!$B$5+'03_战斗派生'!V17)*'13_参数与假设'!$B$6</x:f>
        <x:v>5857512.506274527</x:v>
      </x:c>
      <x:c r="K54" s="25" t="str">
        <x:v>PVE抵扣规则＋持续/倍率映射假设；非地图实测</x:v>
      </x:c>
    </x:row>
    <x:row r="55">
      <x:c r="A55" s="25" t="str">
        <x:v>C04-E</x:v>
      </x:c>
      <x:c r="B55" s="25" t="str">
        <x:v>利耶尼亚海域</x:v>
      </x:c>
      <x:c r="C55" s="25" t="str">
        <x:v>半急速入场</x:v>
      </x:c>
      <x:c r="D55" s="25" t="n">
        <x:v>20</x:v>
      </x:c>
      <x:c r="E55" s="36" t="n">
        <x:f>MIN(1,MAX(0,('03_战斗派生'!AF17-D55)/100))</x:f>
        <x:v>0.015</x:v>
      </x:c>
      <x:c r="F55" s="25" t="n">
        <x:f>IF(E55&gt;0,'13_参数与假设'!$B$29+'13_参数与假设'!$B$30*MAX(0,E55*100-1)+'01_属性汇总'!AJ17,0)</x:f>
        <x:v>1.1</x:v>
      </x:c>
      <x:c r="G55" s="25" t="n">
        <x:f>IF(E55&gt;0,'13_参数与假设'!$B$31+'13_参数与假设'!$B$32*MAX(0,E55*100-1)+'01_属性汇总'!AI17/100,1)</x:f>
        <x:v>2.15</x:v>
      </x:c>
      <x:c r="H55" s="25" t="n">
        <x:f>MAX(0,INT(F55*'03_战斗派生'!P17*'13_参数与假设'!$B$5))</x:f>
        <x:v>3</x:v>
      </x:c>
      <x:c r="I55" s="36" t="n">
        <x:f>IF(E55&gt;0,1-(1-E55)^H55,0)</x:f>
        <x:v>0.044328374999999975</x:v>
      </x:c>
      <x:c r="J55" s="40" t="n">
        <x:f>(('03_战斗派生'!R17*'03_战斗派生'!T17*(1+I55*(G55-1))+'01_属性汇总'!AA17)*'03_战斗派生'!P17*'13_参数与假设'!$B$5+'03_战斗派生'!V17)*'13_参数与假设'!$B$6</x:f>
        <x:v>1985240.9264572684</x:v>
      </x:c>
      <x:c r="K55" s="25" t="str">
        <x:v>PVE抵扣规则＋持续/倍率映射假设；非地图实测</x:v>
      </x:c>
    </x:row>
    <x:row r="56">
      <x:c r="A56" s="25" t="str">
        <x:v>C04-E</x:v>
      </x:c>
      <x:c r="B56" s="25" t="str">
        <x:v>利耶尼亚海域</x:v>
      </x:c>
      <x:c r="C56" s="25" t="str">
        <x:v>半急速入场</x:v>
      </x:c>
      <x:c r="D56" s="25" t="n">
        <x:v>30</x:v>
      </x:c>
      <x:c r="E56" s="36" t="n">
        <x:f>MIN(1,MAX(0,('03_战斗派生'!AF17-D56)/100))</x:f>
        <x:v>0</x:v>
      </x:c>
      <x:c r="F56" s="25" t="n">
        <x:f>IF(E56&gt;0,'13_参数与假设'!$B$29+'13_参数与假设'!$B$30*MAX(0,E56*100-1)+'01_属性汇总'!AJ17,0)</x:f>
        <x:v>0</x:v>
      </x:c>
      <x:c r="G56" s="25" t="n">
        <x:f>IF(E56&gt;0,'13_参数与假设'!$B$31+'13_参数与假设'!$B$32*MAX(0,E56*100-1)+'01_属性汇总'!AI17/100,1)</x:f>
        <x:v>1</x:v>
      </x:c>
      <x:c r="H56" s="25" t="n">
        <x:f>MAX(0,INT(F56*'03_战斗派生'!P17*'13_参数与假设'!$B$5))</x:f>
        <x:v>0</x:v>
      </x:c>
      <x:c r="I56" s="36" t="n">
        <x:f>IF(E56&gt;0,1-(1-E56)^H56,0)</x:f>
        <x:v>0</x:v>
      </x:c>
      <x:c r="J56" s="40" t="n">
        <x:f>(('03_战斗派生'!R17*'03_战斗派生'!T17*(1+I56*(G56-1))+'01_属性汇总'!AA17)*'03_战斗派生'!P17*'13_参数与假设'!$B$5+'03_战斗派生'!V17)*'13_参数与假设'!$B$6</x:f>
        <x:v>1888946.8885232934</x:v>
      </x:c>
      <x:c r="K56" s="25" t="str">
        <x:v>PVE抵扣规则＋持续/倍率映射假设；非地图实测</x:v>
      </x:c>
    </x:row>
    <x:row r="57">
      <x:c r="A57" s="25" t="str">
        <x:v>C04-M</x:v>
      </x:c>
      <x:c r="B57" s="25" t="str">
        <x:v>利耶尼亚海域</x:v>
      </x:c>
      <x:c r="C57" s="25" t="str">
        <x:v>半急速中期</x:v>
      </x:c>
      <x:c r="D57" s="25" t="n">
        <x:v>0</x:v>
      </x:c>
      <x:c r="E57" s="36" t="n">
        <x:f>MIN(1,MAX(0,('03_战斗派生'!AF18-D57)/100))</x:f>
        <x:v>0.255</x:v>
      </x:c>
      <x:c r="F57" s="25" t="n">
        <x:f>IF(E57&gt;0,'13_参数与假设'!$B$29+'13_参数与假设'!$B$30*MAX(0,E57*100-1)+'01_属性汇总'!AJ18,0)</x:f>
        <x:v>8.9</x:v>
      </x:c>
      <x:c r="G57" s="25" t="n">
        <x:f>IF(E57&gt;0,'13_参数与假设'!$B$31+'13_参数与假设'!$B$32*MAX(0,E57*100-1)+'01_属性汇总'!AI18/100,1)</x:f>
        <x:v>7.0200000000000005</x:v>
      </x:c>
      <x:c r="H57" s="25" t="n">
        <x:f>MAX(0,INT(F57*'03_战斗派生'!P18*'13_参数与假设'!$B$5))</x:f>
        <x:v>26</x:v>
      </x:c>
      <x:c r="I57" s="36" t="n">
        <x:f>IF(E57&gt;0,1-(1-E57)^H57,0)</x:f>
        <x:v>0.9995256891149682</x:v>
      </x:c>
      <x:c r="J57" s="40" t="n">
        <x:f>(('03_战斗派生'!R18*'03_战斗派生'!T18*(1+I57*(G57-1))+'01_属性汇总'!AA18)*'03_战斗派生'!P18*'13_参数与假设'!$B$5+'03_战斗派生'!V18)*'13_参数与假设'!$B$6</x:f>
        <x:v>17450693.86094294</x:v>
      </x:c>
      <x:c r="K57" s="25" t="str">
        <x:v>PVE抵扣规则＋持续/倍率映射假设；非地图实测</x:v>
      </x:c>
    </x:row>
    <x:row r="58">
      <x:c r="A58" s="25" t="str">
        <x:v>C04-M</x:v>
      </x:c>
      <x:c r="B58" s="25" t="str">
        <x:v>利耶尼亚海域</x:v>
      </x:c>
      <x:c r="C58" s="25" t="str">
        <x:v>半急速中期</x:v>
      </x:c>
      <x:c r="D58" s="25" t="n">
        <x:v>10</x:v>
      </x:c>
      <x:c r="E58" s="36" t="n">
        <x:f>MIN(1,MAX(0,('03_战斗派生'!AF18-D58)/100))</x:f>
        <x:v>0.155</x:v>
      </x:c>
      <x:c r="F58" s="25" t="n">
        <x:f>IF(E58&gt;0,'13_参数与假设'!$B$29+'13_参数与假设'!$B$30*MAX(0,E58*100-1)+'01_属性汇总'!AJ18,0)</x:f>
        <x:v>6.9</x:v>
      </x:c>
      <x:c r="G58" s="25" t="n">
        <x:f>IF(E58&gt;0,'13_参数与假设'!$B$31+'13_参数与假设'!$B$32*MAX(0,E58*100-1)+'01_属性汇总'!AI18/100,1)</x:f>
        <x:v>5.0200000000000005</x:v>
      </x:c>
      <x:c r="H58" s="25" t="n">
        <x:f>MAX(0,INT(F58*'03_战斗派生'!P18*'13_参数与假设'!$B$5))</x:f>
        <x:v>20</x:v>
      </x:c>
      <x:c r="I58" s="36" t="n">
        <x:f>IF(E58&gt;0,1-(1-E58)^H58,0)</x:f>
        <x:v>0.9655543662944287</x:v>
      </x:c>
      <x:c r="J58" s="40" t="n">
        <x:f>(('03_战斗派生'!R18*'03_战斗派生'!T18*(1+I58*(G58-1))+'01_属性汇总'!AA18)*'03_战斗派生'!P18*'13_参数与假设'!$B$5+'03_战斗派生'!V18)*'13_参数与假设'!$B$6</x:f>
        <x:v>12139704.197453083</x:v>
      </x:c>
      <x:c r="K58" s="25" t="str">
        <x:v>PVE抵扣规则＋持续/倍率映射假设；非地图实测</x:v>
      </x:c>
    </x:row>
    <x:row r="59">
      <x:c r="A59" s="25" t="str">
        <x:v>C04-M</x:v>
      </x:c>
      <x:c r="B59" s="25" t="str">
        <x:v>利耶尼亚海域</x:v>
      </x:c>
      <x:c r="C59" s="25" t="str">
        <x:v>半急速中期</x:v>
      </x:c>
      <x:c r="D59" s="25" t="n">
        <x:v>20</x:v>
      </x:c>
      <x:c r="E59" s="36" t="n">
        <x:f>MIN(1,MAX(0,('03_战斗派生'!AF18-D59)/100))</x:f>
        <x:v>0.055</x:v>
      </x:c>
      <x:c r="F59" s="25" t="n">
        <x:f>IF(E59&gt;0,'13_参数与假设'!$B$29+'13_参数与假设'!$B$30*MAX(0,E59*100-1)+'01_属性汇总'!AJ18,0)</x:f>
        <x:v>4.9</x:v>
      </x:c>
      <x:c r="G59" s="25" t="n">
        <x:f>IF(E59&gt;0,'13_参数与假设'!$B$31+'13_参数与假设'!$B$32*MAX(0,E59*100-1)+'01_属性汇总'!AI18/100,1)</x:f>
        <x:v>3.02</x:v>
      </x:c>
      <x:c r="H59" s="25" t="n">
        <x:f>MAX(0,INT(F59*'03_战斗派生'!P18*'13_参数与假设'!$B$5))</x:f>
        <x:v>14</x:v>
      </x:c>
      <x:c r="I59" s="36" t="n">
        <x:f>IF(E59&gt;0,1-(1-E59)^H59,0)</x:f>
        <x:v>0.5470551572460595</x:v>
      </x:c>
      <x:c r="J59" s="40" t="n">
        <x:f>(('03_战斗派生'!R18*'03_战斗派生'!T18*(1+I59*(G59-1))+'01_属性汇总'!AA18)*'03_战斗派生'!P18*'13_参数与假设'!$B$5+'03_战斗派生'!V18)*'13_参数与假设'!$B$6</x:f>
        <x:v>5234979.4241061285</x:v>
      </x:c>
      <x:c r="K59" s="25" t="str">
        <x:v>PVE抵扣规则＋持续/倍率映射假设；非地图实测</x:v>
      </x:c>
    </x:row>
    <x:row r="60">
      <x:c r="A60" s="25" t="str">
        <x:v>C04-M</x:v>
      </x:c>
      <x:c r="B60" s="25" t="str">
        <x:v>利耶尼亚海域</x:v>
      </x:c>
      <x:c r="C60" s="25" t="str">
        <x:v>半急速中期</x:v>
      </x:c>
      <x:c r="D60" s="25" t="n">
        <x:v>30</x:v>
      </x:c>
      <x:c r="E60" s="36" t="n">
        <x:f>MIN(1,MAX(0,('03_战斗派生'!AF18-D60)/100))</x:f>
        <x:v>0</x:v>
      </x:c>
      <x:c r="F60" s="25" t="n">
        <x:f>IF(E60&gt;0,'13_参数与假设'!$B$29+'13_参数与假设'!$B$30*MAX(0,E60*100-1)+'01_属性汇总'!AJ18,0)</x:f>
        <x:v>0</x:v>
      </x:c>
      <x:c r="G60" s="25" t="n">
        <x:f>IF(E60&gt;0,'13_参数与假设'!$B$31+'13_参数与假设'!$B$32*MAX(0,E60*100-1)+'01_属性汇总'!AI18/100,1)</x:f>
        <x:v>1</x:v>
      </x:c>
      <x:c r="H60" s="25" t="n">
        <x:f>MAX(0,INT(F60*'03_战斗派生'!P18*'13_参数与假设'!$B$5))</x:f>
        <x:v>0</x:v>
      </x:c>
      <x:c r="I60" s="36" t="n">
        <x:f>IF(E60&gt;0,1-(1-E60)^H60,0)</x:f>
        <x:v>0</x:v>
      </x:c>
      <x:c r="J60" s="40" t="n">
        <x:f>(('03_战斗派生'!R18*'03_战斗派生'!T18*(1+I60*(G60-1))+'01_属性汇总'!AA18)*'03_战斗派生'!P18*'13_参数与假设'!$B$5+'03_战斗派生'!V18)*'13_参数与假设'!$B$6</x:f>
        <x:v>2486865.346967388</x:v>
      </x:c>
      <x:c r="K60" s="25" t="str">
        <x:v>PVE抵扣规则＋持续/倍率映射假设；非地图实测</x:v>
      </x:c>
    </x:row>
    <x:row r="61">
      <x:c r="A61" s="25" t="str">
        <x:v>C04-G</x:v>
      </x:c>
      <x:c r="B61" s="25" t="str">
        <x:v>利耶尼亚海域</x:v>
      </x:c>
      <x:c r="C61" s="25" t="str">
        <x:v>半急速毕业</x:v>
      </x:c>
      <x:c r="D61" s="25" t="n">
        <x:v>0</x:v>
      </x:c>
      <x:c r="E61" s="36" t="n">
        <x:f>MIN(1,MAX(0,('03_战斗派生'!AF19-D61)/100))</x:f>
        <x:v>0.265</x:v>
      </x:c>
      <x:c r="F61" s="25" t="n">
        <x:f>IF(E61&gt;0,'13_参数与假设'!$B$29+'13_参数与假设'!$B$30*MAX(0,E61*100-1)+'01_属性汇总'!AJ19,0)</x:f>
        <x:v>9.3</x:v>
      </x:c>
      <x:c r="G61" s="25" t="n">
        <x:f>IF(E61&gt;0,'13_参数与假设'!$B$31+'13_参数与假设'!$B$32*MAX(0,E61*100-1)+'01_属性汇总'!AI19/100,1)</x:f>
        <x:v>7.340000000000001</x:v>
      </x:c>
      <x:c r="H61" s="25" t="n">
        <x:f>MAX(0,INT(F61*'03_战斗派生'!P19*'13_参数与假设'!$B$5))</x:f>
        <x:v>28</x:v>
      </x:c>
      <x:c r="I61" s="36" t="n">
        <x:f>IF(E61&gt;0,1-(1-E61)^H61,0)</x:f>
        <x:v>0.9998196793374793</x:v>
      </x:c>
      <x:c r="J61" s="40" t="n">
        <x:f>(('03_战斗派生'!R19*'03_战斗派生'!T19*(1+I61*(G61-1))+'01_属性汇总'!AA19)*'03_战斗派生'!P19*'13_参数与假设'!$B$5+'03_战斗派生'!V19)*'13_参数与假设'!$B$6</x:f>
        <x:v>35485961.10093226</x:v>
      </x:c>
      <x:c r="K61" s="25" t="str">
        <x:v>PVE抵扣规则＋持续/倍率映射假设；非地图实测</x:v>
      </x:c>
    </x:row>
    <x:row r="62">
      <x:c r="A62" s="25" t="str">
        <x:v>C04-G</x:v>
      </x:c>
      <x:c r="B62" s="25" t="str">
        <x:v>利耶尼亚海域</x:v>
      </x:c>
      <x:c r="C62" s="25" t="str">
        <x:v>半急速毕业</x:v>
      </x:c>
      <x:c r="D62" s="25" t="n">
        <x:v>10</x:v>
      </x:c>
      <x:c r="E62" s="36" t="n">
        <x:f>MIN(1,MAX(0,('03_战斗派生'!AF19-D62)/100))</x:f>
        <x:v>0.165</x:v>
      </x:c>
      <x:c r="F62" s="25" t="n">
        <x:f>IF(E62&gt;0,'13_参数与假设'!$B$29+'13_参数与假设'!$B$30*MAX(0,E62*100-1)+'01_属性汇总'!AJ19,0)</x:f>
        <x:v>7.3</x:v>
      </x:c>
      <x:c r="G62" s="25" t="n">
        <x:f>IF(E62&gt;0,'13_参数与假设'!$B$31+'13_参数与假设'!$B$32*MAX(0,E62*100-1)+'01_属性汇总'!AI19/100,1)</x:f>
        <x:v>5.34</x:v>
      </x:c>
      <x:c r="H62" s="25" t="n">
        <x:f>MAX(0,INT(F62*'03_战斗派生'!P19*'13_参数与假设'!$B$5))</x:f>
        <x:v>22</x:v>
      </x:c>
      <x:c r="I62" s="36" t="n">
        <x:f>IF(E62&gt;0,1-(1-E62)^H62,0)</x:f>
        <x:v>0.9810720987876637</x:v>
      </x:c>
      <x:c r="J62" s="40" t="n">
        <x:f>(('03_战斗派生'!R19*'03_战斗派生'!T19*(1+I62*(G62-1))+'01_属性汇总'!AA19)*'03_战斗派生'!P19*'13_参数与假设'!$B$5+'03_战斗派生'!V19)*'13_参数与假设'!$B$6</x:f>
        <x:v>25423573.414445717</x:v>
      </x:c>
      <x:c r="K62" s="25" t="str">
        <x:v>PVE抵扣规则＋持续/倍率映射假设；非地图实测</x:v>
      </x:c>
    </x:row>
    <x:row r="63">
      <x:c r="A63" s="25" t="str">
        <x:v>C04-G</x:v>
      </x:c>
      <x:c r="B63" s="25" t="str">
        <x:v>利耶尼亚海域</x:v>
      </x:c>
      <x:c r="C63" s="25" t="str">
        <x:v>半急速毕业</x:v>
      </x:c>
      <x:c r="D63" s="25" t="n">
        <x:v>20</x:v>
      </x:c>
      <x:c r="E63" s="36" t="n">
        <x:f>MIN(1,MAX(0,('03_战斗派生'!AF19-D63)/100))</x:f>
        <x:v>0.065</x:v>
      </x:c>
      <x:c r="F63" s="25" t="n">
        <x:f>IF(E63&gt;0,'13_参数与假设'!$B$29+'13_参数与假设'!$B$30*MAX(0,E63*100-1)+'01_属性汇总'!AJ19,0)</x:f>
        <x:v>5.300000000000001</x:v>
      </x:c>
      <x:c r="G63" s="25" t="n">
        <x:f>IF(E63&gt;0,'13_参数与假设'!$B$31+'13_参数与假设'!$B$32*MAX(0,E63*100-1)+'01_属性汇总'!AI19/100,1)</x:f>
        <x:v>3.34</x:v>
      </x:c>
      <x:c r="H63" s="25" t="n">
        <x:f>MAX(0,INT(F63*'03_战斗派生'!P19*'13_参数与假设'!$B$5))</x:f>
        <x:v>16</x:v>
      </x:c>
      <x:c r="I63" s="36" t="n">
        <x:f>IF(E63&gt;0,1-(1-E63)^H63,0)</x:f>
        <x:v>0.6588182645376056</x:v>
      </x:c>
      <x:c r="J63" s="40" t="n">
        <x:f>(('03_战斗派生'!R19*'03_战斗派生'!T19*(1+I63*(G63-1))+'01_属性汇总'!AA19)*'03_战斗派生'!P19*'13_参数与假设'!$B$5+'03_战斗派生'!V19)*'13_参数与假设'!$B$6</x:f>
        <x:v>12289700.473122131</x:v>
      </x:c>
      <x:c r="K63" s="25" t="str">
        <x:v>PVE抵扣规则＋持续/倍率映射假设；非地图实测</x:v>
      </x:c>
    </x:row>
    <x:row r="64">
      <x:c r="A64" s="25" t="str">
        <x:v>C04-G</x:v>
      </x:c>
      <x:c r="B64" s="25" t="str">
        <x:v>利耶尼亚海域</x:v>
      </x:c>
      <x:c r="C64" s="25" t="str">
        <x:v>半急速毕业</x:v>
      </x:c>
      <x:c r="D64" s="25" t="n">
        <x:v>30</x:v>
      </x:c>
      <x:c r="E64" s="36" t="n">
        <x:f>MIN(1,MAX(0,('03_战斗派生'!AF19-D64)/100))</x:f>
        <x:v>0</x:v>
      </x:c>
      <x:c r="F64" s="25" t="n">
        <x:f>IF(E64&gt;0,'13_参数与假设'!$B$29+'13_参数与假设'!$B$30*MAX(0,E64*100-1)+'01_属性汇总'!AJ19,0)</x:f>
        <x:v>0</x:v>
      </x:c>
      <x:c r="G64" s="25" t="n">
        <x:f>IF(E64&gt;0,'13_参数与假设'!$B$31+'13_参数与假设'!$B$32*MAX(0,E64*100-1)+'01_属性汇总'!AI19/100,1)</x:f>
        <x:v>1</x:v>
      </x:c>
      <x:c r="H64" s="25" t="n">
        <x:f>MAX(0,INT(F64*'03_战斗派生'!P19*'13_参数与假设'!$B$5))</x:f>
        <x:v>0</x:v>
      </x:c>
      <x:c r="I64" s="36" t="n">
        <x:f>IF(E64&gt;0,1-(1-E64)^H64,0)</x:f>
        <x:v>0</x:v>
      </x:c>
      <x:c r="J64" s="40" t="n">
        <x:f>(('03_战斗派生'!R19*'03_战斗派生'!T19*(1+I64*(G64-1))+'01_属性汇总'!AA19)*'03_战斗派生'!P19*'13_参数与假设'!$B$5+'03_战斗派生'!V19)*'13_参数与假设'!$B$6</x:f>
        <x:v>4835352.729665027</x:v>
      </x:c>
      <x:c r="K64" s="25" t="str">
        <x:v>PVE抵扣规则＋持续/倍率映射假设；非地图实测</x:v>
      </x:c>
    </x:row>
    <x:row r="65">
      <x:c r="A65" s="25" t="str">
        <x:v>C04-X</x:v>
      </x:c>
      <x:c r="B65" s="25" t="str">
        <x:v>利耶尼亚海域</x:v>
      </x:c>
      <x:c r="C65" s="25" t="str">
        <x:v>极端压力</x:v>
      </x:c>
      <x:c r="D65" s="25" t="n">
        <x:v>0</x:v>
      </x:c>
      <x:c r="E65" s="36" t="n">
        <x:f>MIN(1,MAX(0,('03_战斗派生'!AF20-D65)/100))</x:f>
        <x:v>0.33</x:v>
      </x:c>
      <x:c r="F65" s="25" t="n">
        <x:f>IF(E65&gt;0,'13_参数与假设'!$B$29+'13_参数与假设'!$B$30*MAX(0,E65*100-1)+'01_属性汇总'!AJ20,0)</x:f>
        <x:v>9.600000000000001</x:v>
      </x:c>
      <x:c r="G65" s="25" t="n">
        <x:f>IF(E65&gt;0,'13_参数与假设'!$B$31+'13_参数与假设'!$B$32*MAX(0,E65*100-1)+'01_属性汇总'!AI20/100,1)</x:f>
        <x:v>8.66</x:v>
      </x:c>
      <x:c r="H65" s="25" t="n">
        <x:f>MAX(0,INT(F65*'03_战斗派生'!P20*'13_参数与假设'!$B$5))</x:f>
        <x:v>31</x:v>
      </x:c>
      <x:c r="I65" s="36" t="n">
        <x:f>IF(E65&gt;0,1-(1-E65)^H65,0)</x:f>
        <x:v>0.9999959419360777</x:v>
      </x:c>
      <x:c r="J65" s="40" t="n">
        <x:f>(('03_战斗派生'!R20*'03_战斗派生'!T20*(1+I65*(G65-1))+'01_属性汇总'!AA20)*'03_战斗派生'!P20*'13_参数与假设'!$B$5+'03_战斗派生'!V20)*'13_参数与假设'!$B$6</x:f>
        <x:v>162513775.25967193</x:v>
      </x:c>
      <x:c r="K65" s="25" t="str">
        <x:v>PVE抵扣规则＋持续/倍率映射假设；非地图实测</x:v>
      </x:c>
    </x:row>
    <x:row r="66">
      <x:c r="A66" s="25" t="str">
        <x:v>C04-X</x:v>
      </x:c>
      <x:c r="B66" s="25" t="str">
        <x:v>利耶尼亚海域</x:v>
      </x:c>
      <x:c r="C66" s="25" t="str">
        <x:v>极端压力</x:v>
      </x:c>
      <x:c r="D66" s="25" t="n">
        <x:v>10</x:v>
      </x:c>
      <x:c r="E66" s="36" t="n">
        <x:f>MIN(1,MAX(0,('03_战斗派生'!AF20-D66)/100))</x:f>
        <x:v>0.23</x:v>
      </x:c>
      <x:c r="F66" s="25" t="n">
        <x:f>IF(E66&gt;0,'13_参数与假设'!$B$29+'13_参数与假设'!$B$30*MAX(0,E66*100-1)+'01_属性汇总'!AJ20,0)</x:f>
        <x:v>7.6000000000000005</x:v>
      </x:c>
      <x:c r="G66" s="25" t="n">
        <x:f>IF(E66&gt;0,'13_参数与假设'!$B$31+'13_参数与假设'!$B$32*MAX(0,E66*100-1)+'01_属性汇总'!AI20/100,1)</x:f>
        <x:v>6.66</x:v>
      </x:c>
      <x:c r="H66" s="25" t="n">
        <x:f>MAX(0,INT(F66*'03_战斗派生'!P20*'13_参数与假设'!$B$5))</x:f>
        <x:v>25</x:v>
      </x:c>
      <x:c r="I66" s="36" t="n">
        <x:f>IF(E66&gt;0,1-(1-E66)^H66,0)</x:f>
        <x:v>0.9985469915856036</x:v>
      </x:c>
      <x:c r="J66" s="40" t="n">
        <x:f>(('03_战斗派生'!R20*'03_战斗派生'!T20*(1+I66*(G66-1))+'01_属性汇总'!AA20)*'03_战斗派生'!P20*'13_参数与假设'!$B$5+'03_战斗派生'!V20)*'13_参数与假设'!$B$6</x:f>
        <x:v>124827841.30448616</x:v>
      </x:c>
      <x:c r="K66" s="25" t="str">
        <x:v>PVE抵扣规则＋持续/倍率映射假设；非地图实测</x:v>
      </x:c>
    </x:row>
    <x:row r="67">
      <x:c r="A67" s="25" t="str">
        <x:v>C04-X</x:v>
      </x:c>
      <x:c r="B67" s="25" t="str">
        <x:v>利耶尼亚海域</x:v>
      </x:c>
      <x:c r="C67" s="25" t="str">
        <x:v>极端压力</x:v>
      </x:c>
      <x:c r="D67" s="25" t="n">
        <x:v>20</x:v>
      </x:c>
      <x:c r="E67" s="36" t="n">
        <x:f>MIN(1,MAX(0,('03_战斗派生'!AF20-D67)/100))</x:f>
        <x:v>0.13</x:v>
      </x:c>
      <x:c r="F67" s="25" t="n">
        <x:f>IF(E67&gt;0,'13_参数与假设'!$B$29+'13_参数与假设'!$B$30*MAX(0,E67*100-1)+'01_属性汇总'!AJ20,0)</x:f>
        <x:v>5.6000000000000005</x:v>
      </x:c>
      <x:c r="G67" s="25" t="n">
        <x:f>IF(E67&gt;0,'13_参数与假设'!$B$31+'13_参数与假设'!$B$32*MAX(0,E67*100-1)+'01_属性汇总'!AI20/100,1)</x:f>
        <x:v>4.66</x:v>
      </x:c>
      <x:c r="H67" s="25" t="n">
        <x:f>MAX(0,INT(F67*'03_战斗派生'!P20*'13_参数与假设'!$B$5))</x:f>
        <x:v>18</x:v>
      </x:c>
      <x:c r="I67" s="36" t="n">
        <x:f>IF(E67&gt;0,1-(1-E67)^H67,0)</x:f>
        <x:v>0.9184645359776329</x:v>
      </x:c>
      <x:c r="J67" s="40" t="n">
        <x:f>(('03_战斗派生'!R20*'03_战斗派生'!T20*(1+I67*(G67-1))+'01_属性汇总'!AA20)*'03_战斗派生'!P20*'13_参数与假设'!$B$5+'03_战斗派生'!V20)*'13_参数与假设'!$B$6</x:f>
        <x:v>81849816.27658655</x:v>
      </x:c>
      <x:c r="K67" s="25" t="str">
        <x:v>PVE抵扣规则＋持续/倍率映射假设；非地图实测</x:v>
      </x:c>
    </x:row>
    <x:row r="68">
      <x:c r="A68" s="25" t="str">
        <x:v>C04-X</x:v>
      </x:c>
      <x:c r="B68" s="25" t="str">
        <x:v>利耶尼亚海域</x:v>
      </x:c>
      <x:c r="C68" s="25" t="str">
        <x:v>极端压力</x:v>
      </x:c>
      <x:c r="D68" s="25" t="n">
        <x:v>30</x:v>
      </x:c>
      <x:c r="E68" s="36" t="n">
        <x:f>MIN(1,MAX(0,('03_战斗派生'!AF20-D68)/100))</x:f>
        <x:v>0.03</x:v>
      </x:c>
      <x:c r="F68" s="25" t="n">
        <x:f>IF(E68&gt;0,'13_参数与假设'!$B$29+'13_参数与假设'!$B$30*MAX(0,E68*100-1)+'01_属性汇总'!AJ20,0)</x:f>
        <x:v>3.6</x:v>
      </x:c>
      <x:c r="G68" s="25" t="n">
        <x:f>IF(E68&gt;0,'13_参数与假设'!$B$31+'13_参数与假设'!$B$32*MAX(0,E68*100-1)+'01_属性汇总'!AI20/100,1)</x:f>
        <x:v>2.66</x:v>
      </x:c>
      <x:c r="H68" s="25" t="n">
        <x:f>MAX(0,INT(F68*'03_战斗派生'!P20*'13_参数与假设'!$B$5))</x:f>
        <x:v>11</x:v>
      </x:c>
      <x:c r="I68" s="36" t="n">
        <x:f>IF(E68&gt;0,1-(1-E68)^H68,0)</x:f>
        <x:v>0.2846985969119197</x:v>
      </x:c>
      <x:c r="J68" s="40" t="n">
        <x:f>(('03_战斗派生'!R20*'03_战斗派生'!T20*(1+I68*(G68-1))+'01_属性汇总'!AA20)*'03_战斗派生'!P20*'13_参数与假设'!$B$5+'03_战斗派生'!V20)*'13_参数与假设'!$B$6</x:f>
        <x:v>27634941.22235929</x:v>
      </x:c>
      <x:c r="K68" s="25" t="str">
        <x:v>PVE抵扣规则＋持续/倍率映射假设；非地图实测</x:v>
      </x:c>
    </x:row>
    <x:row r="69">
      <x:c r="A69" s="25" t="str">
        <x:v>C05-E</x:v>
      </x:c>
      <x:c r="B69" s="25" t="str">
        <x:v>湖之利耶尼亚</x:v>
      </x:c>
      <x:c r="C69" s="25" t="str">
        <x:v>半急速入场</x:v>
      </x:c>
      <x:c r="D69" s="25" t="n">
        <x:v>0</x:v>
      </x:c>
      <x:c r="E69" s="36" t="n">
        <x:f>MIN(1,MAX(0,('03_战斗派生'!AF21-D69)/100))</x:f>
        <x:v>0.265</x:v>
      </x:c>
      <x:c r="F69" s="25" t="n">
        <x:f>IF(E69&gt;0,'13_参数与假设'!$B$29+'13_参数与假设'!$B$30*MAX(0,E69*100-1)+'01_属性汇总'!AJ21,0)</x:f>
        <x:v>9.3</x:v>
      </x:c>
      <x:c r="G69" s="25" t="n">
        <x:f>IF(E69&gt;0,'13_参数与假设'!$B$31+'13_参数与假设'!$B$32*MAX(0,E69*100-1)+'01_属性汇总'!AI21/100,1)</x:f>
        <x:v>7.340000000000001</x:v>
      </x:c>
      <x:c r="H69" s="25" t="n">
        <x:f>MAX(0,INT(F69*'03_战斗派生'!P21*'13_参数与假设'!$B$5))</x:f>
        <x:v>28</x:v>
      </x:c>
      <x:c r="I69" s="36" t="n">
        <x:f>IF(E69&gt;0,1-(1-E69)^H69,0)</x:f>
        <x:v>0.9998196793374793</x:v>
      </x:c>
      <x:c r="J69" s="40" t="n">
        <x:f>(('03_战斗派生'!R21*'03_战斗派生'!T21*(1+I69*(G69-1))+'01_属性汇总'!AA21)*'03_战斗派生'!P21*'13_参数与假设'!$B$5+'03_战斗派生'!V21)*'13_参数与假设'!$B$6</x:f>
        <x:v>35485961.10093226</x:v>
      </x:c>
      <x:c r="K69" s="25" t="str">
        <x:v>PVE抵扣规则＋持续/倍率映射假设；非地图实测</x:v>
      </x:c>
    </x:row>
    <x:row r="70">
      <x:c r="A70" s="25" t="str">
        <x:v>C05-E</x:v>
      </x:c>
      <x:c r="B70" s="25" t="str">
        <x:v>湖之利耶尼亚</x:v>
      </x:c>
      <x:c r="C70" s="25" t="str">
        <x:v>半急速入场</x:v>
      </x:c>
      <x:c r="D70" s="25" t="n">
        <x:v>10</x:v>
      </x:c>
      <x:c r="E70" s="36" t="n">
        <x:f>MIN(1,MAX(0,('03_战斗派生'!AF21-D70)/100))</x:f>
        <x:v>0.165</x:v>
      </x:c>
      <x:c r="F70" s="25" t="n">
        <x:f>IF(E70&gt;0,'13_参数与假设'!$B$29+'13_参数与假设'!$B$30*MAX(0,E70*100-1)+'01_属性汇总'!AJ21,0)</x:f>
        <x:v>7.3</x:v>
      </x:c>
      <x:c r="G70" s="25" t="n">
        <x:f>IF(E70&gt;0,'13_参数与假设'!$B$31+'13_参数与假设'!$B$32*MAX(0,E70*100-1)+'01_属性汇总'!AI21/100,1)</x:f>
        <x:v>5.34</x:v>
      </x:c>
      <x:c r="H70" s="25" t="n">
        <x:f>MAX(0,INT(F70*'03_战斗派生'!P21*'13_参数与假设'!$B$5))</x:f>
        <x:v>22</x:v>
      </x:c>
      <x:c r="I70" s="36" t="n">
        <x:f>IF(E70&gt;0,1-(1-E70)^H70,0)</x:f>
        <x:v>0.9810720987876637</x:v>
      </x:c>
      <x:c r="J70" s="40" t="n">
        <x:f>(('03_战斗派生'!R21*'03_战斗派生'!T21*(1+I70*(G70-1))+'01_属性汇总'!AA21)*'03_战斗派生'!P21*'13_参数与假设'!$B$5+'03_战斗派生'!V21)*'13_参数与假设'!$B$6</x:f>
        <x:v>25423573.414445717</x:v>
      </x:c>
      <x:c r="K70" s="25" t="str">
        <x:v>PVE抵扣规则＋持续/倍率映射假设；非地图实测</x:v>
      </x:c>
    </x:row>
    <x:row r="71">
      <x:c r="A71" s="25" t="str">
        <x:v>C05-E</x:v>
      </x:c>
      <x:c r="B71" s="25" t="str">
        <x:v>湖之利耶尼亚</x:v>
      </x:c>
      <x:c r="C71" s="25" t="str">
        <x:v>半急速入场</x:v>
      </x:c>
      <x:c r="D71" s="25" t="n">
        <x:v>20</x:v>
      </x:c>
      <x:c r="E71" s="36" t="n">
        <x:f>MIN(1,MAX(0,('03_战斗派生'!AF21-D71)/100))</x:f>
        <x:v>0.065</x:v>
      </x:c>
      <x:c r="F71" s="25" t="n">
        <x:f>IF(E71&gt;0,'13_参数与假设'!$B$29+'13_参数与假设'!$B$30*MAX(0,E71*100-1)+'01_属性汇总'!AJ21,0)</x:f>
        <x:v>5.300000000000001</x:v>
      </x:c>
      <x:c r="G71" s="25" t="n">
        <x:f>IF(E71&gt;0,'13_参数与假设'!$B$31+'13_参数与假设'!$B$32*MAX(0,E71*100-1)+'01_属性汇总'!AI21/100,1)</x:f>
        <x:v>3.34</x:v>
      </x:c>
      <x:c r="H71" s="25" t="n">
        <x:f>MAX(0,INT(F71*'03_战斗派生'!P21*'13_参数与假设'!$B$5))</x:f>
        <x:v>16</x:v>
      </x:c>
      <x:c r="I71" s="36" t="n">
        <x:f>IF(E71&gt;0,1-(1-E71)^H71,0)</x:f>
        <x:v>0.6588182645376056</x:v>
      </x:c>
      <x:c r="J71" s="40" t="n">
        <x:f>(('03_战斗派生'!R21*'03_战斗派生'!T21*(1+I71*(G71-1))+'01_属性汇总'!AA21)*'03_战斗派生'!P21*'13_参数与假设'!$B$5+'03_战斗派生'!V21)*'13_参数与假设'!$B$6</x:f>
        <x:v>12289700.473122131</x:v>
      </x:c>
      <x:c r="K71" s="25" t="str">
        <x:v>PVE抵扣规则＋持续/倍率映射假设；非地图实测</x:v>
      </x:c>
    </x:row>
    <x:row r="72">
      <x:c r="A72" s="25" t="str">
        <x:v>C05-E</x:v>
      </x:c>
      <x:c r="B72" s="25" t="str">
        <x:v>湖之利耶尼亚</x:v>
      </x:c>
      <x:c r="C72" s="25" t="str">
        <x:v>半急速入场</x:v>
      </x:c>
      <x:c r="D72" s="25" t="n">
        <x:v>30</x:v>
      </x:c>
      <x:c r="E72" s="36" t="n">
        <x:f>MIN(1,MAX(0,('03_战斗派生'!AF21-D72)/100))</x:f>
        <x:v>0</x:v>
      </x:c>
      <x:c r="F72" s="25" t="n">
        <x:f>IF(E72&gt;0,'13_参数与假设'!$B$29+'13_参数与假设'!$B$30*MAX(0,E72*100-1)+'01_属性汇总'!AJ21,0)</x:f>
        <x:v>0</x:v>
      </x:c>
      <x:c r="G72" s="25" t="n">
        <x:f>IF(E72&gt;0,'13_参数与假设'!$B$31+'13_参数与假设'!$B$32*MAX(0,E72*100-1)+'01_属性汇总'!AI21/100,1)</x:f>
        <x:v>1</x:v>
      </x:c>
      <x:c r="H72" s="25" t="n">
        <x:f>MAX(0,INT(F72*'03_战斗派生'!P21*'13_参数与假设'!$B$5))</x:f>
        <x:v>0</x:v>
      </x:c>
      <x:c r="I72" s="36" t="n">
        <x:f>IF(E72&gt;0,1-(1-E72)^H72,0)</x:f>
        <x:v>0</x:v>
      </x:c>
      <x:c r="J72" s="40" t="n">
        <x:f>(('03_战斗派生'!R21*'03_战斗派生'!T21*(1+I72*(G72-1))+'01_属性汇总'!AA21)*'03_战斗派生'!P21*'13_参数与假设'!$B$5+'03_战斗派生'!V21)*'13_参数与假设'!$B$6</x:f>
        <x:v>4835352.729665027</x:v>
      </x:c>
      <x:c r="K72" s="25" t="str">
        <x:v>PVE抵扣规则＋持续/倍率映射假设；非地图实测</x:v>
      </x:c>
    </x:row>
    <x:row r="73">
      <x:c r="A73" s="25" t="str">
        <x:v>C05-M</x:v>
      </x:c>
      <x:c r="B73" s="25" t="str">
        <x:v>湖之利耶尼亚</x:v>
      </x:c>
      <x:c r="C73" s="25" t="str">
        <x:v>半急速中期</x:v>
      </x:c>
      <x:c r="D73" s="25" t="n">
        <x:v>0</x:v>
      </x:c>
      <x:c r="E73" s="36" t="n">
        <x:f>MIN(1,MAX(0,('03_战斗派生'!AF22-D73)/100))</x:f>
        <x:v>0.255</x:v>
      </x:c>
      <x:c r="F73" s="25" t="n">
        <x:f>IF(E73&gt;0,'13_参数与假设'!$B$29+'13_参数与假设'!$B$30*MAX(0,E73*100-1)+'01_属性汇总'!AJ22,0)</x:f>
        <x:v>8.100000000000001</x:v>
      </x:c>
      <x:c r="G73" s="25" t="n">
        <x:f>IF(E73&gt;0,'13_参数与假设'!$B$31+'13_参数与假设'!$B$32*MAX(0,E73*100-1)+'01_属性汇总'!AI22/100,1)</x:f>
        <x:v>7.1000000000000005</x:v>
      </x:c>
      <x:c r="H73" s="25" t="n">
        <x:f>MAX(0,INT(F73*'03_战斗派生'!P22*'13_参数与假设'!$B$5))</x:f>
        <x:v>24</x:v>
      </x:c>
      <x:c r="I73" s="36" t="n">
        <x:f>IF(E73&gt;0,1-(1-E73)^H73,0)</x:f>
        <x:v>0.9991454242871369</x:v>
      </x:c>
      <x:c r="J73" s="40" t="n">
        <x:f>(('03_战斗派生'!R22*'03_战斗派生'!T22*(1+I73*(G73-1))+'01_属性汇总'!AA22)*'03_战斗派生'!P22*'13_参数与假设'!$B$5+'03_战斗派生'!V22)*'13_参数与假设'!$B$6</x:f>
        <x:v>48829633.45430559</x:v>
      </x:c>
      <x:c r="K73" s="25" t="str">
        <x:v>PVE抵扣规则＋持续/倍率映射假设；非地图实测</x:v>
      </x:c>
    </x:row>
    <x:row r="74">
      <x:c r="A74" s="25" t="str">
        <x:v>C05-M</x:v>
      </x:c>
      <x:c r="B74" s="25" t="str">
        <x:v>湖之利耶尼亚</x:v>
      </x:c>
      <x:c r="C74" s="25" t="str">
        <x:v>半急速中期</x:v>
      </x:c>
      <x:c r="D74" s="25" t="n">
        <x:v>10</x:v>
      </x:c>
      <x:c r="E74" s="36" t="n">
        <x:f>MIN(1,MAX(0,('03_战斗派生'!AF22-D74)/100))</x:f>
        <x:v>0.155</x:v>
      </x:c>
      <x:c r="F74" s="25" t="n">
        <x:f>IF(E74&gt;0,'13_参数与假设'!$B$29+'13_参数与假设'!$B$30*MAX(0,E74*100-1)+'01_属性汇总'!AJ22,0)</x:f>
        <x:v>6.1000000000000005</x:v>
      </x:c>
      <x:c r="G74" s="25" t="n">
        <x:f>IF(E74&gt;0,'13_参数与假设'!$B$31+'13_参数与假设'!$B$32*MAX(0,E74*100-1)+'01_属性汇总'!AI22/100,1)</x:f>
        <x:v>5.1000000000000005</x:v>
      </x:c>
      <x:c r="H74" s="25" t="n">
        <x:f>MAX(0,INT(F74*'03_战斗派生'!P22*'13_参数与假设'!$B$5))</x:f>
        <x:v>18</x:v>
      </x:c>
      <x:c r="I74" s="36" t="n">
        <x:f>IF(E74&gt;0,1-(1-E74)^H74,0)</x:f>
        <x:v>0.9517585046664034</x:v>
      </x:c>
      <x:c r="J74" s="40" t="n">
        <x:f>(('03_战斗派生'!R22*'03_战斗派生'!T22*(1+I74*(G74-1))+'01_属性汇总'!AA22)*'03_战斗派生'!P22*'13_参数与假设'!$B$5+'03_战斗派生'!V22)*'13_参数与假设'!$B$6</x:f>
        <x:v>33739294.50618274</x:v>
      </x:c>
      <x:c r="K74" s="25" t="str">
        <x:v>PVE抵扣规则＋持续/倍率映射假设；非地图实测</x:v>
      </x:c>
    </x:row>
    <x:row r="75">
      <x:c r="A75" s="25" t="str">
        <x:v>C05-M</x:v>
      </x:c>
      <x:c r="B75" s="25" t="str">
        <x:v>湖之利耶尼亚</x:v>
      </x:c>
      <x:c r="C75" s="25" t="str">
        <x:v>半急速中期</x:v>
      </x:c>
      <x:c r="D75" s="25" t="n">
        <x:v>20</x:v>
      </x:c>
      <x:c r="E75" s="36" t="n">
        <x:f>MIN(1,MAX(0,('03_战斗派生'!AF22-D75)/100))</x:f>
        <x:v>0.055</x:v>
      </x:c>
      <x:c r="F75" s="25" t="n">
        <x:f>IF(E75&gt;0,'13_参数与假设'!$B$29+'13_参数与假设'!$B$30*MAX(0,E75*100-1)+'01_属性汇总'!AJ22,0)</x:f>
        <x:v>4.1</x:v>
      </x:c>
      <x:c r="G75" s="25" t="n">
        <x:f>IF(E75&gt;0,'13_参数与假设'!$B$31+'13_参数与假设'!$B$32*MAX(0,E75*100-1)+'01_属性汇总'!AI22/100,1)</x:f>
        <x:v>3.1</x:v>
      </x:c>
      <x:c r="H75" s="25" t="n">
        <x:f>MAX(0,INT(F75*'03_战斗派生'!P22*'13_参数与假设'!$B$5))</x:f>
        <x:v>12</x:v>
      </x:c>
      <x:c r="I75" s="36" t="n">
        <x:f>IF(E75&gt;0,1-(1-E75)^H75,0)</x:f>
        <x:v>0.49279713025509864</x:v>
      </x:c>
      <x:c r="J75" s="40" t="n">
        <x:f>(('03_战斗派生'!R22*'03_战斗派生'!T22*(1+I75*(G75-1))+'01_属性汇总'!AA22)*'03_战斗派生'!P22*'13_参数与假设'!$B$5+'03_战斗派生'!V22)*'13_参数与假设'!$B$6</x:f>
        <x:v>14004951.666469608</x:v>
      </x:c>
      <x:c r="K75" s="25" t="str">
        <x:v>PVE抵扣规则＋持续/倍率映射假设；非地图实测</x:v>
      </x:c>
    </x:row>
    <x:row r="76">
      <x:c r="A76" s="25" t="str">
        <x:v>C05-M</x:v>
      </x:c>
      <x:c r="B76" s="25" t="str">
        <x:v>湖之利耶尼亚</x:v>
      </x:c>
      <x:c r="C76" s="25" t="str">
        <x:v>半急速中期</x:v>
      </x:c>
      <x:c r="D76" s="25" t="n">
        <x:v>30</x:v>
      </x:c>
      <x:c r="E76" s="36" t="n">
        <x:f>MIN(1,MAX(0,('03_战斗派生'!AF22-D76)/100))</x:f>
        <x:v>0</x:v>
      </x:c>
      <x:c r="F76" s="25" t="n">
        <x:f>IF(E76&gt;0,'13_参数与假设'!$B$29+'13_参数与假设'!$B$30*MAX(0,E76*100-1)+'01_属性汇总'!AJ22,0)</x:f>
        <x:v>0</x:v>
      </x:c>
      <x:c r="G76" s="25" t="n">
        <x:f>IF(E76&gt;0,'13_参数与假设'!$B$31+'13_参数与假设'!$B$32*MAX(0,E76*100-1)+'01_属性汇总'!AI22/100,1)</x:f>
        <x:v>1</x:v>
      </x:c>
      <x:c r="H76" s="25" t="n">
        <x:f>MAX(0,INT(F76*'03_战斗派生'!P22*'13_参数与假设'!$B$5))</x:f>
        <x:v>0</x:v>
      </x:c>
      <x:c r="I76" s="36" t="n">
        <x:f>IF(E76&gt;0,1-(1-E76)^H76,0)</x:f>
        <x:v>0</x:v>
      </x:c>
      <x:c r="J76" s="40" t="n">
        <x:f>(('03_战斗派生'!R22*'03_战斗派生'!T22*(1+I76*(G76-1))+'01_属性汇总'!AA22)*'03_战斗派生'!P22*'13_参数与假设'!$B$5+'03_战斗派生'!V22)*'13_参数与假设'!$B$6</x:f>
        <x:v>6882466.358412959</x:v>
      </x:c>
      <x:c r="K76" s="25" t="str">
        <x:v>PVE抵扣规则＋持续/倍率映射假设；非地图实测</x:v>
      </x:c>
    </x:row>
    <x:row r="77">
      <x:c r="A77" s="25" t="str">
        <x:v>C05-G</x:v>
      </x:c>
      <x:c r="B77" s="25" t="str">
        <x:v>湖之利耶尼亚</x:v>
      </x:c>
      <x:c r="C77" s="25" t="str">
        <x:v>半急速毕业</x:v>
      </x:c>
      <x:c r="D77" s="25" t="n">
        <x:v>0</x:v>
      </x:c>
      <x:c r="E77" s="36" t="n">
        <x:f>MIN(1,MAX(0,('03_战斗派生'!AF23-D77)/100))</x:f>
        <x:v>0.285</x:v>
      </x:c>
      <x:c r="F77" s="25" t="n">
        <x:f>IF(E77&gt;0,'13_参数与假设'!$B$29+'13_参数与假设'!$B$30*MAX(0,E77*100-1)+'01_属性汇总'!AJ23,0)</x:f>
        <x:v>9.7</x:v>
      </x:c>
      <x:c r="G77" s="25" t="n">
        <x:f>IF(E77&gt;0,'13_参数与假设'!$B$31+'13_参数与假设'!$B$32*MAX(0,E77*100-1)+'01_属性汇总'!AI23/100,1)</x:f>
        <x:v>7.73</x:v>
      </x:c>
      <x:c r="H77" s="25" t="n">
        <x:f>MAX(0,INT(F77*'03_战斗派生'!P23*'13_参数与假设'!$B$5))</x:f>
        <x:v>32</x:v>
      </x:c>
      <x:c r="I77" s="36" t="n">
        <x:f>IF(E77&gt;0,1-(1-E77)^H77,0)</x:f>
        <x:v>0.9999782332626105</x:v>
      </x:c>
      <x:c r="J77" s="40" t="n">
        <x:f>(('03_战斗派生'!R23*'03_战斗派生'!T23*(1+I77*(G77-1))+'01_属性汇总'!AA23)*'03_战斗派生'!P23*'13_参数与假设'!$B$5+'03_战斗派生'!V23)*'13_参数与假设'!$B$6</x:f>
        <x:v>110569553.52253146</x:v>
      </x:c>
      <x:c r="K77" s="25" t="str">
        <x:v>PVE抵扣规则＋持续/倍率映射假设；非地图实测</x:v>
      </x:c>
    </x:row>
    <x:row r="78">
      <x:c r="A78" s="25" t="str">
        <x:v>C05-G</x:v>
      </x:c>
      <x:c r="B78" s="25" t="str">
        <x:v>湖之利耶尼亚</x:v>
      </x:c>
      <x:c r="C78" s="25" t="str">
        <x:v>半急速毕业</x:v>
      </x:c>
      <x:c r="D78" s="25" t="n">
        <x:v>10</x:v>
      </x:c>
      <x:c r="E78" s="36" t="n">
        <x:f>MIN(1,MAX(0,('03_战斗派生'!AF23-D78)/100))</x:f>
        <x:v>0.185</x:v>
      </x:c>
      <x:c r="F78" s="25" t="n">
        <x:f>IF(E78&gt;0,'13_参数与假设'!$B$29+'13_参数与假设'!$B$30*MAX(0,E78*100-1)+'01_属性汇总'!AJ23,0)</x:f>
        <x:v>7.7</x:v>
      </x:c>
      <x:c r="G78" s="25" t="n">
        <x:f>IF(E78&gt;0,'13_参数与假设'!$B$31+'13_参数与假设'!$B$32*MAX(0,E78*100-1)+'01_属性汇总'!AI23/100,1)</x:f>
        <x:v>5.73</x:v>
      </x:c>
      <x:c r="H78" s="25" t="n">
        <x:f>MAX(0,INT(F78*'03_战斗派生'!P23*'13_参数与假设'!$B$5))</x:f>
        <x:v>25</x:v>
      </x:c>
      <x:c r="I78" s="36" t="n">
        <x:f>IF(E78&gt;0,1-(1-E78)^H78,0)</x:f>
        <x:v>0.9939890900958399</x:v>
      </x:c>
      <x:c r="J78" s="40" t="n">
        <x:f>(('03_战斗派生'!R23*'03_战斗派生'!T23*(1+I78*(G78-1))+'01_属性汇总'!AA23)*'03_战斗派生'!P23*'13_参数与假设'!$B$5+'03_战斗派生'!V23)*'13_参数与假设'!$B$6</x:f>
        <x:v>81556509.59451123</x:v>
      </x:c>
      <x:c r="K78" s="25" t="str">
        <x:v>PVE抵扣规则＋持续/倍率映射假设；非地图实测</x:v>
      </x:c>
    </x:row>
    <x:row r="79">
      <x:c r="A79" s="25" t="str">
        <x:v>C05-G</x:v>
      </x:c>
      <x:c r="B79" s="25" t="str">
        <x:v>湖之利耶尼亚</x:v>
      </x:c>
      <x:c r="C79" s="25" t="str">
        <x:v>半急速毕业</x:v>
      </x:c>
      <x:c r="D79" s="25" t="n">
        <x:v>20</x:v>
      </x:c>
      <x:c r="E79" s="36" t="n">
        <x:f>MIN(1,MAX(0,('03_战斗派生'!AF23-D79)/100))</x:f>
        <x:v>0.085</x:v>
      </x:c>
      <x:c r="F79" s="25" t="n">
        <x:f>IF(E79&gt;0,'13_参数与假设'!$B$29+'13_参数与假设'!$B$30*MAX(0,E79*100-1)+'01_属性汇总'!AJ23,0)</x:f>
        <x:v>5.7</x:v>
      </x:c>
      <x:c r="G79" s="25" t="n">
        <x:f>IF(E79&gt;0,'13_参数与假设'!$B$31+'13_参数与假设'!$B$32*MAX(0,E79*100-1)+'01_属性汇总'!AI23/100,1)</x:f>
        <x:v>3.73</x:v>
      </x:c>
      <x:c r="H79" s="25" t="n">
        <x:f>MAX(0,INT(F79*'03_战斗派生'!P23*'13_参数与假设'!$B$5))</x:f>
        <x:v>18</x:v>
      </x:c>
      <x:c r="I79" s="36" t="n">
        <x:f>IF(E79&gt;0,1-(1-E79)^H79,0)</x:f>
        <x:v>0.7978937736369018</x:v>
      </x:c>
      <x:c r="J79" s="40" t="n">
        <x:f>(('03_战斗派生'!R23*'03_战斗派生'!T23*(1+I79*(G79-1))+'01_属性汇总'!AA23)*'03_战斗派生'!P23*'13_参数与假设'!$B$5+'03_战斗派生'!V23)*'13_参数与假设'!$B$6</x:f>
        <x:v>45462398.90046597</x:v>
      </x:c>
      <x:c r="K79" s="25" t="str">
        <x:v>PVE抵扣规则＋持续/倍率映射假设；非地图实测</x:v>
      </x:c>
    </x:row>
    <x:row r="80">
      <x:c r="A80" s="25" t="str">
        <x:v>C05-G</x:v>
      </x:c>
      <x:c r="B80" s="25" t="str">
        <x:v>湖之利耶尼亚</x:v>
      </x:c>
      <x:c r="C80" s="25" t="str">
        <x:v>半急速毕业</x:v>
      </x:c>
      <x:c r="D80" s="25" t="n">
        <x:v>30</x:v>
      </x:c>
      <x:c r="E80" s="36" t="n">
        <x:f>MIN(1,MAX(0,('03_战斗派生'!AF23-D80)/100))</x:f>
        <x:v>0</x:v>
      </x:c>
      <x:c r="F80" s="25" t="n">
        <x:f>IF(E80&gt;0,'13_参数与假设'!$B$29+'13_参数与假设'!$B$30*MAX(0,E80*100-1)+'01_属性汇总'!AJ23,0)</x:f>
        <x:v>0</x:v>
      </x:c>
      <x:c r="G80" s="25" t="n">
        <x:f>IF(E80&gt;0,'13_参数与假设'!$B$31+'13_参数与假设'!$B$32*MAX(0,E80*100-1)+'01_属性汇总'!AI23/100,1)</x:f>
        <x:v>1</x:v>
      </x:c>
      <x:c r="H80" s="25" t="n">
        <x:f>MAX(0,INT(F80*'03_战斗派生'!P23*'13_参数与假设'!$B$5))</x:f>
        <x:v>0</x:v>
      </x:c>
      <x:c r="I80" s="36" t="n">
        <x:f>IF(E80&gt;0,1-(1-E80)^H80,0)</x:f>
        <x:v>0</x:v>
      </x:c>
      <x:c r="J80" s="40" t="n">
        <x:f>(('03_战斗派生'!R23*'03_战斗派生'!T23*(1+I80*(G80-1))+'01_属性汇总'!AA23)*'03_战斗派生'!P23*'13_参数与假设'!$B$5+'03_战斗派生'!V23)*'13_参数与假设'!$B$6</x:f>
        <x:v>14304223.667567495</x:v>
      </x:c>
      <x:c r="K80" s="25" t="str">
        <x:v>PVE抵扣规则＋持续/倍率映射假设；非地图实测</x:v>
      </x:c>
    </x:row>
    <x:row r="81">
      <x:c r="A81" s="25" t="str">
        <x:v>C05-X</x:v>
      </x:c>
      <x:c r="B81" s="25" t="str">
        <x:v>湖之利耶尼亚</x:v>
      </x:c>
      <x:c r="C81" s="25" t="str">
        <x:v>极端压力</x:v>
      </x:c>
      <x:c r="D81" s="25" t="n">
        <x:v>0</x:v>
      </x:c>
      <x:c r="E81" s="36" t="n">
        <x:f>MIN(1,MAX(0,('03_战斗派生'!AF24-D81)/100))</x:f>
        <x:v>0.36</x:v>
      </x:c>
      <x:c r="F81" s="25" t="n">
        <x:f>IF(E81&gt;0,'13_参数与假设'!$B$29+'13_参数与假设'!$B$30*MAX(0,E81*100-1)+'01_属性汇总'!AJ24,0)</x:f>
        <x:v>10.2</x:v>
      </x:c>
      <x:c r="G81" s="25" t="n">
        <x:f>IF(E81&gt;0,'13_参数与假设'!$B$31+'13_参数与假设'!$B$32*MAX(0,E81*100-1)+'01_属性汇总'!AI24/100,1)</x:f>
        <x:v>9.38</x:v>
      </x:c>
      <x:c r="H81" s="25" t="n">
        <x:f>MAX(0,INT(F81*'03_战斗派生'!P24*'13_参数与假设'!$B$5))</x:f>
        <x:v>36</x:v>
      </x:c>
      <x:c r="I81" s="36" t="n">
        <x:f>IF(E81&gt;0,1-(1-E81)^H81,0)</x:f>
        <x:v>0.9999998946877083</x:v>
      </x:c>
      <x:c r="J81" s="40" t="n">
        <x:f>(('03_战斗派生'!R24*'03_战斗派生'!T24*(1+I81*(G81-1))+'01_属性汇总'!AA24)*'03_战斗派生'!P24*'13_参数与假设'!$B$5+'03_战斗派生'!V24)*'13_参数与假设'!$B$6</x:f>
        <x:v>403359226.3398709</x:v>
      </x:c>
      <x:c r="K81" s="25" t="str">
        <x:v>PVE抵扣规则＋持续/倍率映射假设；非地图实测</x:v>
      </x:c>
    </x:row>
    <x:row r="82">
      <x:c r="A82" s="25" t="str">
        <x:v>C05-X</x:v>
      </x:c>
      <x:c r="B82" s="25" t="str">
        <x:v>湖之利耶尼亚</x:v>
      </x:c>
      <x:c r="C82" s="25" t="str">
        <x:v>极端压力</x:v>
      </x:c>
      <x:c r="D82" s="25" t="n">
        <x:v>10</x:v>
      </x:c>
      <x:c r="E82" s="36" t="n">
        <x:f>MIN(1,MAX(0,('03_战斗派生'!AF24-D82)/100))</x:f>
        <x:v>0.26</x:v>
      </x:c>
      <x:c r="F82" s="25" t="n">
        <x:f>IF(E82&gt;0,'13_参数与假设'!$B$29+'13_参数与假设'!$B$30*MAX(0,E82*100-1)+'01_属性汇总'!AJ24,0)</x:f>
        <x:v>8.2</x:v>
      </x:c>
      <x:c r="G82" s="25" t="n">
        <x:f>IF(E82&gt;0,'13_参数与假设'!$B$31+'13_参数与假设'!$B$32*MAX(0,E82*100-1)+'01_属性汇总'!AI24/100,1)</x:f>
        <x:v>7.38</x:v>
      </x:c>
      <x:c r="H82" s="25" t="n">
        <x:f>MAX(0,INT(F82*'03_战斗派生'!P24*'13_参数与假设'!$B$5))</x:f>
        <x:v>29</x:v>
      </x:c>
      <x:c r="I82" s="36" t="n">
        <x:f>IF(E82&gt;0,1-(1-E82)^H82,0)</x:f>
        <x:v>0.999838668239791</x:v>
      </x:c>
      <x:c r="J82" s="40" t="n">
        <x:f>(('03_战斗派生'!R24*'03_战斗派生'!T24*(1+I82*(G82-1))+'01_属性汇总'!AA24)*'03_战斗派生'!P24*'13_参数与假设'!$B$5+'03_战斗派生'!V24)*'13_参数与假设'!$B$6</x:f>
        <x:v>317310894.8963862</x:v>
      </x:c>
      <x:c r="K82" s="25" t="str">
        <x:v>PVE抵扣规则＋持续/倍率映射假设；非地图实测</x:v>
      </x:c>
    </x:row>
    <x:row r="83">
      <x:c r="A83" s="25" t="str">
        <x:v>C05-X</x:v>
      </x:c>
      <x:c r="B83" s="25" t="str">
        <x:v>湖之利耶尼亚</x:v>
      </x:c>
      <x:c r="C83" s="25" t="str">
        <x:v>极端压力</x:v>
      </x:c>
      <x:c r="D83" s="25" t="n">
        <x:v>20</x:v>
      </x:c>
      <x:c r="E83" s="36" t="n">
        <x:f>MIN(1,MAX(0,('03_战斗派生'!AF24-D83)/100))</x:f>
        <x:v>0.16</x:v>
      </x:c>
      <x:c r="F83" s="25" t="n">
        <x:f>IF(E83&gt;0,'13_参数与假设'!$B$29+'13_参数与假设'!$B$30*MAX(0,E83*100-1)+'01_属性汇总'!AJ24,0)</x:f>
        <x:v>6.2</x:v>
      </x:c>
      <x:c r="G83" s="25" t="n">
        <x:f>IF(E83&gt;0,'13_参数与假设'!$B$31+'13_参数与假设'!$B$32*MAX(0,E83*100-1)+'01_属性汇总'!AI24/100,1)</x:f>
        <x:v>5.38</x:v>
      </x:c>
      <x:c r="H83" s="25" t="n">
        <x:f>MAX(0,INT(F83*'03_战斗派生'!P24*'13_参数与假设'!$B$5))</x:f>
        <x:v>22</x:v>
      </x:c>
      <x:c r="I83" s="36" t="n">
        <x:f>IF(E83&gt;0,1-(1-E83)^H83,0)</x:f>
        <x:v>0.9784153856602915</x:v>
      </x:c>
      <x:c r="J83" s="40" t="n">
        <x:f>(('03_战斗派生'!R24*'03_战斗派生'!T24*(1+I83*(G83-1))+'01_属性汇总'!AA24)*'03_战斗派生'!P24*'13_参数与假设'!$B$5+'03_战斗派生'!V24)*'13_参数与假设'!$B$6</x:f>
        <x:v>227285608.81223208</x:v>
      </x:c>
      <x:c r="K83" s="25" t="str">
        <x:v>PVE抵扣规则＋持续/倍率映射假设；非地图实测</x:v>
      </x:c>
    </x:row>
    <x:row r="84">
      <x:c r="A84" s="25" t="str">
        <x:v>C05-X</x:v>
      </x:c>
      <x:c r="B84" s="25" t="str">
        <x:v>湖之利耶尼亚</x:v>
      </x:c>
      <x:c r="C84" s="25" t="str">
        <x:v>极端压力</x:v>
      </x:c>
      <x:c r="D84" s="25" t="n">
        <x:v>30</x:v>
      </x:c>
      <x:c r="E84" s="36" t="n">
        <x:f>MIN(1,MAX(0,('03_战斗派生'!AF24-D84)/100))</x:f>
        <x:v>0.06</x:v>
      </x:c>
      <x:c r="F84" s="25" t="n">
        <x:f>IF(E84&gt;0,'13_参数与假设'!$B$29+'13_参数与假设'!$B$30*MAX(0,E84*100-1)+'01_属性汇总'!AJ24,0)</x:f>
        <x:v>4.2</x:v>
      </x:c>
      <x:c r="G84" s="25" t="n">
        <x:f>IF(E84&gt;0,'13_参数与假设'!$B$31+'13_参数与假设'!$B$32*MAX(0,E84*100-1)+'01_属性汇总'!AI24/100,1)</x:f>
        <x:v>3.38</x:v>
      </x:c>
      <x:c r="H84" s="25" t="n">
        <x:f>MAX(0,INT(F84*'03_战斗派生'!P24*'13_参数与假设'!$B$5))</x:f>
        <x:v>15</x:v>
      </x:c>
      <x:c r="I84" s="36" t="n">
        <x:f>IF(E84&gt;0,1-(1-E84)^H84,0)</x:f>
        <x:v>0.6047082012403183</x:v>
      </x:c>
      <x:c r="J84" s="40" t="n">
        <x:f>(('03_战斗派生'!R24*'03_战斗派生'!T24*(1+I84*(G84-1))+'01_属性汇总'!AA24)*'03_战斗派生'!P24*'13_参数与假设'!$B$5+'03_战斗派生'!V24)*'13_参数与假设'!$B$6</x:f>
        <x:v>104890846.86315145</x:v>
      </x:c>
      <x:c r="K84" s="25" t="str">
        <x:v>PVE抵扣规则＋持续/倍率映射假设；非地图实测</x:v>
      </x:c>
    </x:row>
    <x:row r="85">
      <x:c r="A85" s="25" t="str">
        <x:v>C06-E</x:v>
      </x:c>
      <x:c r="B85" s="25" t="str">
        <x:v>盖利德</x:v>
      </x:c>
      <x:c r="C85" s="25" t="str">
        <x:v>半急速入场</x:v>
      </x:c>
      <x:c r="D85" s="25" t="n">
        <x:v>0</x:v>
      </x:c>
      <x:c r="E85" s="36" t="n">
        <x:f>MIN(1,MAX(0,('03_战斗派生'!AF25-D85)/100))</x:f>
        <x:v>0.285</x:v>
      </x:c>
      <x:c r="F85" s="25" t="n">
        <x:f>IF(E85&gt;0,'13_参数与假设'!$B$29+'13_参数与假设'!$B$30*MAX(0,E85*100-1)+'01_属性汇总'!AJ25,0)</x:f>
        <x:v>9.7</x:v>
      </x:c>
      <x:c r="G85" s="25" t="n">
        <x:f>IF(E85&gt;0,'13_参数与假设'!$B$31+'13_参数与假设'!$B$32*MAX(0,E85*100-1)+'01_属性汇总'!AI25/100,1)</x:f>
        <x:v>7.73</x:v>
      </x:c>
      <x:c r="H85" s="25" t="n">
        <x:f>MAX(0,INT(F85*'03_战斗派生'!P25*'13_参数与假设'!$B$5))</x:f>
        <x:v>32</x:v>
      </x:c>
      <x:c r="I85" s="36" t="n">
        <x:f>IF(E85&gt;0,1-(1-E85)^H85,0)</x:f>
        <x:v>0.9999782332626105</x:v>
      </x:c>
      <x:c r="J85" s="40" t="n">
        <x:f>(('03_战斗派生'!R25*'03_战斗派生'!T25*(1+I85*(G85-1))+'01_属性汇总'!AA25)*'03_战斗派生'!P25*'13_参数与假设'!$B$5+'03_战斗派生'!V25)*'13_参数与假设'!$B$6</x:f>
        <x:v>110569553.52253146</x:v>
      </x:c>
      <x:c r="K85" s="25" t="str">
        <x:v>PVE抵扣规则＋持续/倍率映射假设；非地图实测</x:v>
      </x:c>
    </x:row>
    <x:row r="86">
      <x:c r="A86" s="25" t="str">
        <x:v>C06-E</x:v>
      </x:c>
      <x:c r="B86" s="25" t="str">
        <x:v>盖利德</x:v>
      </x:c>
      <x:c r="C86" s="25" t="str">
        <x:v>半急速入场</x:v>
      </x:c>
      <x:c r="D86" s="25" t="n">
        <x:v>10</x:v>
      </x:c>
      <x:c r="E86" s="36" t="n">
        <x:f>MIN(1,MAX(0,('03_战斗派生'!AF25-D86)/100))</x:f>
        <x:v>0.185</x:v>
      </x:c>
      <x:c r="F86" s="25" t="n">
        <x:f>IF(E86&gt;0,'13_参数与假设'!$B$29+'13_参数与假设'!$B$30*MAX(0,E86*100-1)+'01_属性汇总'!AJ25,0)</x:f>
        <x:v>7.7</x:v>
      </x:c>
      <x:c r="G86" s="25" t="n">
        <x:f>IF(E86&gt;0,'13_参数与假设'!$B$31+'13_参数与假设'!$B$32*MAX(0,E86*100-1)+'01_属性汇总'!AI25/100,1)</x:f>
        <x:v>5.73</x:v>
      </x:c>
      <x:c r="H86" s="25" t="n">
        <x:f>MAX(0,INT(F86*'03_战斗派生'!P25*'13_参数与假设'!$B$5))</x:f>
        <x:v>25</x:v>
      </x:c>
      <x:c r="I86" s="36" t="n">
        <x:f>IF(E86&gt;0,1-(1-E86)^H86,0)</x:f>
        <x:v>0.9939890900958399</x:v>
      </x:c>
      <x:c r="J86" s="40" t="n">
        <x:f>(('03_战斗派生'!R25*'03_战斗派生'!T25*(1+I86*(G86-1))+'01_属性汇总'!AA25)*'03_战斗派生'!P25*'13_参数与假设'!$B$5+'03_战斗派生'!V25)*'13_参数与假设'!$B$6</x:f>
        <x:v>81556509.59451123</x:v>
      </x:c>
      <x:c r="K86" s="25" t="str">
        <x:v>PVE抵扣规则＋持续/倍率映射假设；非地图实测</x:v>
      </x:c>
    </x:row>
    <x:row r="87">
      <x:c r="A87" s="25" t="str">
        <x:v>C06-E</x:v>
      </x:c>
      <x:c r="B87" s="25" t="str">
        <x:v>盖利德</x:v>
      </x:c>
      <x:c r="C87" s="25" t="str">
        <x:v>半急速入场</x:v>
      </x:c>
      <x:c r="D87" s="25" t="n">
        <x:v>20</x:v>
      </x:c>
      <x:c r="E87" s="36" t="n">
        <x:f>MIN(1,MAX(0,('03_战斗派生'!AF25-D87)/100))</x:f>
        <x:v>0.085</x:v>
      </x:c>
      <x:c r="F87" s="25" t="n">
        <x:f>IF(E87&gt;0,'13_参数与假设'!$B$29+'13_参数与假设'!$B$30*MAX(0,E87*100-1)+'01_属性汇总'!AJ25,0)</x:f>
        <x:v>5.7</x:v>
      </x:c>
      <x:c r="G87" s="25" t="n">
        <x:f>IF(E87&gt;0,'13_参数与假设'!$B$31+'13_参数与假设'!$B$32*MAX(0,E87*100-1)+'01_属性汇总'!AI25/100,1)</x:f>
        <x:v>3.73</x:v>
      </x:c>
      <x:c r="H87" s="25" t="n">
        <x:f>MAX(0,INT(F87*'03_战斗派生'!P25*'13_参数与假设'!$B$5))</x:f>
        <x:v>18</x:v>
      </x:c>
      <x:c r="I87" s="36" t="n">
        <x:f>IF(E87&gt;0,1-(1-E87)^H87,0)</x:f>
        <x:v>0.7978937736369018</x:v>
      </x:c>
      <x:c r="J87" s="40" t="n">
        <x:f>(('03_战斗派生'!R25*'03_战斗派生'!T25*(1+I87*(G87-1))+'01_属性汇总'!AA25)*'03_战斗派生'!P25*'13_参数与假设'!$B$5+'03_战斗派生'!V25)*'13_参数与假设'!$B$6</x:f>
        <x:v>45462398.90046597</x:v>
      </x:c>
      <x:c r="K87" s="25" t="str">
        <x:v>PVE抵扣规则＋持续/倍率映射假设；非地图实测</x:v>
      </x:c>
    </x:row>
    <x:row r="88">
      <x:c r="A88" s="25" t="str">
        <x:v>C06-E</x:v>
      </x:c>
      <x:c r="B88" s="25" t="str">
        <x:v>盖利德</x:v>
      </x:c>
      <x:c r="C88" s="25" t="str">
        <x:v>半急速入场</x:v>
      </x:c>
      <x:c r="D88" s="25" t="n">
        <x:v>30</x:v>
      </x:c>
      <x:c r="E88" s="36" t="n">
        <x:f>MIN(1,MAX(0,('03_战斗派生'!AF25-D88)/100))</x:f>
        <x:v>0</x:v>
      </x:c>
      <x:c r="F88" s="25" t="n">
        <x:f>IF(E88&gt;0,'13_参数与假设'!$B$29+'13_参数与假设'!$B$30*MAX(0,E88*100-1)+'01_属性汇总'!AJ25,0)</x:f>
        <x:v>0</x:v>
      </x:c>
      <x:c r="G88" s="25" t="n">
        <x:f>IF(E88&gt;0,'13_参数与假设'!$B$31+'13_参数与假设'!$B$32*MAX(0,E88*100-1)+'01_属性汇总'!AI25/100,1)</x:f>
        <x:v>1</x:v>
      </x:c>
      <x:c r="H88" s="25" t="n">
        <x:f>MAX(0,INT(F88*'03_战斗派生'!P25*'13_参数与假设'!$B$5))</x:f>
        <x:v>0</x:v>
      </x:c>
      <x:c r="I88" s="36" t="n">
        <x:f>IF(E88&gt;0,1-(1-E88)^H88,0)</x:f>
        <x:v>0</x:v>
      </x:c>
      <x:c r="J88" s="40" t="n">
        <x:f>(('03_战斗派生'!R25*'03_战斗派生'!T25*(1+I88*(G88-1))+'01_属性汇总'!AA25)*'03_战斗派生'!P25*'13_参数与假设'!$B$5+'03_战斗派生'!V25)*'13_参数与假设'!$B$6</x:f>
        <x:v>14304223.667567495</x:v>
      </x:c>
      <x:c r="K88" s="25" t="str">
        <x:v>PVE抵扣规则＋持续/倍率映射假设；非地图实测</x:v>
      </x:c>
    </x:row>
    <x:row r="89">
      <x:c r="A89" s="25" t="str">
        <x:v>C06-M</x:v>
      </x:c>
      <x:c r="B89" s="25" t="str">
        <x:v>盖利德</x:v>
      </x:c>
      <x:c r="C89" s="25" t="str">
        <x:v>半急速中期</x:v>
      </x:c>
      <x:c r="D89" s="25" t="n">
        <x:v>0</x:v>
      </x:c>
      <x:c r="E89" s="36" t="n">
        <x:f>MIN(1,MAX(0,('03_战斗派生'!AF26-D89)/100))</x:f>
        <x:v>0.3</x:v>
      </x:c>
      <x:c r="F89" s="25" t="n">
        <x:f>IF(E89&gt;0,'13_参数与假设'!$B$29+'13_参数与假设'!$B$30*MAX(0,E89*100-1)+'01_属性汇总'!AJ26,0)</x:f>
        <x:v>11</x:v>
      </x:c>
      <x:c r="G89" s="25" t="n">
        <x:f>IF(E89&gt;0,'13_参数与假设'!$B$31+'13_参数与假设'!$B$32*MAX(0,E89*100-1)+'01_属性汇总'!AI26/100,1)</x:f>
        <x:v>8.05</x:v>
      </x:c>
      <x:c r="H89" s="25" t="n">
        <x:f>MAX(0,INT(F89*'03_战斗派生'!P26*'13_参数与假设'!$B$5))</x:f>
        <x:v>36</x:v>
      </x:c>
      <x:c r="I89" s="36" t="n">
        <x:f>IF(E89&gt;0,1-(1-E89)^H89,0)</x:f>
        <x:v>0.9999973482691541</x:v>
      </x:c>
      <x:c r="J89" s="40" t="n">
        <x:f>(('03_战斗派生'!R26*'03_战斗派生'!T26*(1+I89*(G89-1))+'01_属性汇总'!AA26)*'03_战斗派生'!P26*'13_参数与假设'!$B$5+'03_战斗派生'!V26)*'13_参数与假设'!$B$6</x:f>
        <x:v>153388871.75848114</x:v>
      </x:c>
      <x:c r="K89" s="25" t="str">
        <x:v>PVE抵扣规则＋持续/倍率映射假设；非地图实测</x:v>
      </x:c>
    </x:row>
    <x:row r="90">
      <x:c r="A90" s="25" t="str">
        <x:v>C06-M</x:v>
      </x:c>
      <x:c r="B90" s="25" t="str">
        <x:v>盖利德</x:v>
      </x:c>
      <x:c r="C90" s="25" t="str">
        <x:v>半急速中期</x:v>
      </x:c>
      <x:c r="D90" s="25" t="n">
        <x:v>10</x:v>
      </x:c>
      <x:c r="E90" s="36" t="n">
        <x:f>MIN(1,MAX(0,('03_战斗派生'!AF26-D90)/100))</x:f>
        <x:v>0.2</x:v>
      </x:c>
      <x:c r="F90" s="25" t="n">
        <x:f>IF(E90&gt;0,'13_参数与假设'!$B$29+'13_参数与假设'!$B$30*MAX(0,E90*100-1)+'01_属性汇总'!AJ26,0)</x:f>
        <x:v>9</x:v>
      </x:c>
      <x:c r="G90" s="25" t="n">
        <x:f>IF(E90&gt;0,'13_参数与假设'!$B$31+'13_参数与假设'!$B$32*MAX(0,E90*100-1)+'01_属性汇总'!AI26/100,1)</x:f>
        <x:v>6.050000000000001</x:v>
      </x:c>
      <x:c r="H90" s="25" t="n">
        <x:f>MAX(0,INT(F90*'03_战斗派生'!P26*'13_参数与假设'!$B$5))</x:f>
        <x:v>29</x:v>
      </x:c>
      <x:c r="I90" s="36" t="n">
        <x:f>IF(E90&gt;0,1-(1-E90)^H90,0)</x:f>
        <x:v>0.9984525749508932</x:v>
      </x:c>
      <x:c r="J90" s="40" t="n">
        <x:f>(('03_战斗派生'!R26*'03_战斗派生'!T26*(1+I90*(G90-1))+'01_属性汇总'!AA26)*'03_战斗派生'!P26*'13_参数与假设'!$B$5+'03_战斗派生'!V26)*'13_参数与假设'!$B$6</x:f>
        <x:v>115131201.20263039</x:v>
      </x:c>
      <x:c r="K90" s="25" t="str">
        <x:v>PVE抵扣规则＋持续/倍率映射假设；非地图实测</x:v>
      </x:c>
    </x:row>
    <x:row r="91">
      <x:c r="A91" s="25" t="str">
        <x:v>C06-M</x:v>
      </x:c>
      <x:c r="B91" s="25" t="str">
        <x:v>盖利德</x:v>
      </x:c>
      <x:c r="C91" s="25" t="str">
        <x:v>半急速中期</x:v>
      </x:c>
      <x:c r="D91" s="25" t="n">
        <x:v>20</x:v>
      </x:c>
      <x:c r="E91" s="36" t="n">
        <x:f>MIN(1,MAX(0,('03_战斗派生'!AF26-D91)/100))</x:f>
        <x:v>0.1</x:v>
      </x:c>
      <x:c r="F91" s="25" t="n">
        <x:f>IF(E91&gt;0,'13_参数与假设'!$B$29+'13_参数与假设'!$B$30*MAX(0,E91*100-1)+'01_属性汇总'!AJ26,0)</x:f>
        <x:v>7</x:v>
      </x:c>
      <x:c r="G91" s="25" t="n">
        <x:f>IF(E91&gt;0,'13_参数与假设'!$B$31+'13_参数与假设'!$B$32*MAX(0,E91*100-1)+'01_属性汇总'!AI26/100,1)</x:f>
        <x:v>4.05</x:v>
      </x:c>
      <x:c r="H91" s="25" t="n">
        <x:f>MAX(0,INT(F91*'03_战斗派生'!P26*'13_参数与假设'!$B$5))</x:f>
        <x:v>23</x:v>
      </x:c>
      <x:c r="I91" s="36" t="n">
        <x:f>IF(E91&gt;0,1-(1-E91)^H91,0)</x:f>
        <x:v>0.9113706188034749</x:v>
      </x:c>
      <x:c r="J91" s="40" t="n">
        <x:f>(('03_战斗派生'!R26*'03_战斗派生'!T26*(1+I91*(G91-1))+'01_属性汇总'!AA26)*'03_战斗派生'!P26*'13_参数与假设'!$B$5+'03_战斗派生'!V26)*'13_参数与假设'!$B$6</x:f>
        <x:v>72020156.10170893</x:v>
      </x:c>
      <x:c r="K91" s="25" t="str">
        <x:v>PVE抵扣规则＋持续/倍率映射假设；非地图实测</x:v>
      </x:c>
    </x:row>
    <x:row r="92">
      <x:c r="A92" s="25" t="str">
        <x:v>C06-M</x:v>
      </x:c>
      <x:c r="B92" s="25" t="str">
        <x:v>盖利德</x:v>
      </x:c>
      <x:c r="C92" s="25" t="str">
        <x:v>半急速中期</x:v>
      </x:c>
      <x:c r="D92" s="25" t="n">
        <x:v>30</x:v>
      </x:c>
      <x:c r="E92" s="36" t="n">
        <x:f>MIN(1,MAX(0,('03_战斗派生'!AF26-D92)/100))</x:f>
        <x:v>0</x:v>
      </x:c>
      <x:c r="F92" s="25" t="n">
        <x:f>IF(E92&gt;0,'13_参数与假设'!$B$29+'13_参数与假设'!$B$30*MAX(0,E92*100-1)+'01_属性汇总'!AJ26,0)</x:f>
        <x:v>0</x:v>
      </x:c>
      <x:c r="G92" s="25" t="n">
        <x:f>IF(E92&gt;0,'13_参数与假设'!$B$31+'13_参数与假设'!$B$32*MAX(0,E92*100-1)+'01_属性汇总'!AI26/100,1)</x:f>
        <x:v>1</x:v>
      </x:c>
      <x:c r="H92" s="25" t="n">
        <x:f>MAX(0,INT(F92*'03_战斗派生'!P26*'13_参数与假设'!$B$5))</x:f>
        <x:v>0</x:v>
      </x:c>
      <x:c r="I92" s="36" t="n">
        <x:f>IF(E92&gt;0,1-(1-E92)^H92,0)</x:f>
        <x:v>0</x:v>
      </x:c>
      <x:c r="J92" s="40" t="n">
        <x:f>(('03_战斗派生'!R26*'03_战斗派生'!T26*(1+I92*(G92-1))+'01_属性汇总'!AA26)*'03_战斗派生'!P26*'13_参数与假设'!$B$5+'03_战斗派生'!V26)*'13_参数与假设'!$B$6</x:f>
        <x:v>19054562.4817214</x:v>
      </x:c>
      <x:c r="K92" s="25" t="str">
        <x:v>PVE抵扣规则＋持续/倍率映射假设；非地图实测</x:v>
      </x:c>
    </x:row>
    <x:row r="93">
      <x:c r="A93" s="25" t="str">
        <x:v>C06-G</x:v>
      </x:c>
      <x:c r="B93" s="25" t="str">
        <x:v>盖利德</x:v>
      </x:c>
      <x:c r="C93" s="25" t="str">
        <x:v>半急速毕业</x:v>
      </x:c>
      <x:c r="D93" s="25" t="n">
        <x:v>0</x:v>
      </x:c>
      <x:c r="E93" s="36" t="n">
        <x:f>MIN(1,MAX(0,('03_战斗派生'!AF27-D93)/100))</x:f>
        <x:v>0.295</x:v>
      </x:c>
      <x:c r="F93" s="25" t="n">
        <x:f>IF(E93&gt;0,'13_参数与假设'!$B$29+'13_参数与假设'!$B$30*MAX(0,E93*100-1)+'01_属性汇总'!AJ27,0)</x:f>
        <x:v>6.9</x:v>
      </x:c>
      <x:c r="G93" s="25" t="n">
        <x:f>IF(E93&gt;0,'13_参数与假设'!$B$31+'13_参数与假设'!$B$32*MAX(0,E93*100-1)+'01_属性汇总'!AI27/100,1)</x:f>
        <x:v>7.95</x:v>
      </x:c>
      <x:c r="H93" s="25" t="n">
        <x:f>MAX(0,INT(F93*'03_战斗派生'!P27*'13_参数与假设'!$B$5))</x:f>
        <x:v>22</x:v>
      </x:c>
      <x:c r="I93" s="36" t="n">
        <x:f>IF(E93&gt;0,1-(1-E93)^H93,0)</x:f>
        <x:v>0.9995427427776993</x:v>
      </x:c>
      <x:c r="J93" s="40" t="n">
        <x:f>(('03_战斗派生'!R27*'03_战斗派生'!T27*(1+I93*(G93-1))+'01_属性汇总'!AA27)*'03_战斗派生'!P27*'13_参数与假设'!$B$5+'03_战斗派生'!V27)*'13_参数与假设'!$B$6</x:f>
        <x:v>196512462.09321392</x:v>
      </x:c>
      <x:c r="K93" s="25" t="str">
        <x:v>PVE抵扣规则＋持续/倍率映射假设；非地图实测</x:v>
      </x:c>
    </x:row>
    <x:row r="94">
      <x:c r="A94" s="25" t="str">
        <x:v>C06-G</x:v>
      </x:c>
      <x:c r="B94" s="25" t="str">
        <x:v>盖利德</x:v>
      </x:c>
      <x:c r="C94" s="25" t="str">
        <x:v>半急速毕业</x:v>
      </x:c>
      <x:c r="D94" s="25" t="n">
        <x:v>10</x:v>
      </x:c>
      <x:c r="E94" s="36" t="n">
        <x:f>MIN(1,MAX(0,('03_战斗派生'!AF27-D94)/100))</x:f>
        <x:v>0.195</x:v>
      </x:c>
      <x:c r="F94" s="25" t="n">
        <x:f>IF(E94&gt;0,'13_参数与假设'!$B$29+'13_参数与假设'!$B$30*MAX(0,E94*100-1)+'01_属性汇总'!AJ27,0)</x:f>
        <x:v>4.9</x:v>
      </x:c>
      <x:c r="G94" s="25" t="n">
        <x:f>IF(E94&gt;0,'13_参数与假设'!$B$31+'13_参数与假设'!$B$32*MAX(0,E94*100-1)+'01_属性汇总'!AI27/100,1)</x:f>
        <x:v>5.95</x:v>
      </x:c>
      <x:c r="H94" s="25" t="n">
        <x:f>MAX(0,INT(F94*'03_战斗派生'!P27*'13_参数与假设'!$B$5))</x:f>
        <x:v>16</x:v>
      </x:c>
      <x:c r="I94" s="36" t="n">
        <x:f>IF(E94&gt;0,1-(1-E94)^H94,0)</x:f>
        <x:v>0.9689018835213107</x:v>
      </x:c>
      <x:c r="J94" s="40" t="n">
        <x:f>(('03_战斗派生'!R27*'03_战斗派生'!T27*(1+I94*(G94-1))+'01_属性汇总'!AA27)*'03_战斗派生'!P27*'13_参数与假设'!$B$5+'03_战斗派生'!V27)*'13_参数与假设'!$B$6</x:f>
        <x:v>143327592.05100307</x:v>
      </x:c>
      <x:c r="K94" s="25" t="str">
        <x:v>PVE抵扣规则＋持续/倍率映射假设；非地图实测</x:v>
      </x:c>
    </x:row>
    <x:row r="95">
      <x:c r="A95" s="25" t="str">
        <x:v>C06-G</x:v>
      </x:c>
      <x:c r="B95" s="25" t="str">
        <x:v>盖利德</x:v>
      </x:c>
      <x:c r="C95" s="25" t="str">
        <x:v>半急速毕业</x:v>
      </x:c>
      <x:c r="D95" s="25" t="n">
        <x:v>20</x:v>
      </x:c>
      <x:c r="E95" s="36" t="n">
        <x:f>MIN(1,MAX(0,('03_战斗派生'!AF27-D95)/100))</x:f>
        <x:v>0.095</x:v>
      </x:c>
      <x:c r="F95" s="25" t="n">
        <x:f>IF(E95&gt;0,'13_参数与假设'!$B$29+'13_参数与假设'!$B$30*MAX(0,E95*100-1)+'01_属性汇总'!AJ27,0)</x:f>
        <x:v>2.9000000000000004</x:v>
      </x:c>
      <x:c r="G95" s="25" t="n">
        <x:f>IF(E95&gt;0,'13_参数与假设'!$B$31+'13_参数与假设'!$B$32*MAX(0,E95*100-1)+'01_属性汇总'!AI27/100,1)</x:f>
        <x:v>3.95</x:v>
      </x:c>
      <x:c r="H95" s="25" t="n">
        <x:f>MAX(0,INT(F95*'03_战斗派生'!P27*'13_参数与假设'!$B$5))</x:f>
        <x:v>9</x:v>
      </x:c>
      <x:c r="I95" s="36" t="n">
        <x:f>IF(E95&gt;0,1-(1-E95)^H95,0)</x:f>
        <x:v>0.592772392449114</x:v>
      </x:c>
      <x:c r="J95" s="40" t="n">
        <x:f>(('03_战斗派生'!R27*'03_战斗派生'!T27*(1+I95*(G95-1))+'01_属性汇总'!AA27)*'03_战斗派生'!P27*'13_参数与假设'!$B$5+'03_战斗派生'!V27)*'13_参数与假设'!$B$6</x:f>
        <x:v>67970515.3388912</x:v>
      </x:c>
      <x:c r="K95" s="25" t="str">
        <x:v>PVE抵扣规则＋持续/倍率映射假设；非地图实测</x:v>
      </x:c>
    </x:row>
    <x:row r="96">
      <x:c r="A96" s="25" t="str">
        <x:v>C06-G</x:v>
      </x:c>
      <x:c r="B96" s="25" t="str">
        <x:v>盖利德</x:v>
      </x:c>
      <x:c r="C96" s="25" t="str">
        <x:v>半急速毕业</x:v>
      </x:c>
      <x:c r="D96" s="25" t="n">
        <x:v>30</x:v>
      </x:c>
      <x:c r="E96" s="36" t="n">
        <x:f>MIN(1,MAX(0,('03_战斗派生'!AF27-D96)/100))</x:f>
        <x:v>0</x:v>
      </x:c>
      <x:c r="F96" s="25" t="n">
        <x:f>IF(E96&gt;0,'13_参数与假设'!$B$29+'13_参数与假设'!$B$30*MAX(0,E96*100-1)+'01_属性汇总'!AJ27,0)</x:f>
        <x:v>0</x:v>
      </x:c>
      <x:c r="G96" s="25" t="n">
        <x:f>IF(E96&gt;0,'13_参数与假设'!$B$31+'13_参数与假设'!$B$32*MAX(0,E96*100-1)+'01_属性汇总'!AI27/100,1)</x:f>
        <x:v>1</x:v>
      </x:c>
      <x:c r="H96" s="25" t="n">
        <x:f>MAX(0,INT(F96*'03_战斗派生'!P27*'13_参数与假设'!$B$5))</x:f>
        <x:v>0</x:v>
      </x:c>
      <x:c r="I96" s="36" t="n">
        <x:f>IF(E96&gt;0,1-(1-E96)^H96,0)</x:f>
        <x:v>0</x:v>
      </x:c>
      <x:c r="J96" s="40" t="n">
        <x:f>(('03_战斗派生'!R27*'03_战斗派生'!T27*(1+I96*(G96-1))+'01_属性汇总'!AA27)*'03_战斗派生'!P27*'13_参数与假设'!$B$5+'03_战斗派生'!V27)*'13_参数与假设'!$B$6</x:f>
        <x:v>24728433.649641156</x:v>
      </x:c>
      <x:c r="K96" s="25" t="str">
        <x:v>PVE抵扣规则＋持续/倍率映射假设；非地图实测</x:v>
      </x:c>
    </x:row>
    <x:row r="97">
      <x:c r="A97" s="25" t="str">
        <x:v>C06-X</x:v>
      </x:c>
      <x:c r="B97" s="25" t="str">
        <x:v>盖利德</x:v>
      </x:c>
      <x:c r="C97" s="25" t="str">
        <x:v>极端压力</x:v>
      </x:c>
      <x:c r="D97" s="25" t="n">
        <x:v>0</x:v>
      </x:c>
      <x:c r="E97" s="36" t="n">
        <x:f>MIN(1,MAX(0,('03_战斗派生'!AF28-D97)/100))</x:f>
        <x:v>0.395</x:v>
      </x:c>
      <x:c r="F97" s="25" t="n">
        <x:f>IF(E97&gt;0,'13_参数与假设'!$B$29+'13_参数与假设'!$B$30*MAX(0,E97*100-1)+'01_属性汇总'!AJ28,0)</x:f>
        <x:v>11.299999999999999</x:v>
      </x:c>
      <x:c r="G97" s="25" t="n">
        <x:f>IF(E97&gt;0,'13_参数与假设'!$B$31+'13_参数与假设'!$B$32*MAX(0,E97*100-1)+'01_属性汇总'!AI28/100,1)</x:f>
        <x:v>10.34</x:v>
      </x:c>
      <x:c r="H97" s="25" t="n">
        <x:f>MAX(0,INT(F97*'03_战斗派生'!P28*'13_参数与假设'!$B$5))</x:f>
        <x:v>44</x:v>
      </x:c>
      <x:c r="I97" s="36" t="n">
        <x:f>IF(E97&gt;0,1-(1-E97)^H97,0)</x:f>
        <x:v>0.9999999997504047</x:v>
      </x:c>
      <x:c r="J97" s="40" t="n">
        <x:f>(('03_战斗派生'!R28*'03_战斗派生'!T28*(1+I97*(G97-1))+'01_属性汇总'!AA28)*'03_战斗派生'!P28*'13_参数与假设'!$B$5+'03_战斗派生'!V28)*'13_参数与假设'!$B$6</x:f>
        <x:v>1269022726.1732564</x:v>
      </x:c>
      <x:c r="K97" s="25" t="str">
        <x:v>PVE抵扣规则＋持续/倍率映射假设；非地图实测</x:v>
      </x:c>
    </x:row>
    <x:row r="98">
      <x:c r="A98" s="25" t="str">
        <x:v>C06-X</x:v>
      </x:c>
      <x:c r="B98" s="25" t="str">
        <x:v>盖利德</x:v>
      </x:c>
      <x:c r="C98" s="25" t="str">
        <x:v>极端压力</x:v>
      </x:c>
      <x:c r="D98" s="25" t="n">
        <x:v>10</x:v>
      </x:c>
      <x:c r="E98" s="36" t="n">
        <x:f>MIN(1,MAX(0,('03_战斗派生'!AF28-D98)/100))</x:f>
        <x:v>0.295</x:v>
      </x:c>
      <x:c r="F98" s="25" t="n">
        <x:f>IF(E98&gt;0,'13_参数与假设'!$B$29+'13_参数与假设'!$B$30*MAX(0,E98*100-1)+'01_属性汇总'!AJ28,0)</x:f>
        <x:v>9.3</x:v>
      </x:c>
      <x:c r="G98" s="25" t="n">
        <x:f>IF(E98&gt;0,'13_参数与假设'!$B$31+'13_参数与假设'!$B$32*MAX(0,E98*100-1)+'01_属性汇总'!AI28/100,1)</x:f>
        <x:v>8.34</x:v>
      </x:c>
      <x:c r="H98" s="25" t="n">
        <x:f>MAX(0,INT(F98*'03_战斗派生'!P28*'13_参数与假设'!$B$5))</x:f>
        <x:v>36</x:v>
      </x:c>
      <x:c r="I98" s="36" t="n">
        <x:f>IF(E98&gt;0,1-(1-E98)^H98,0)</x:f>
        <x:v>0.9999965738354935</x:v>
      </x:c>
      <x:c r="J98" s="40" t="n">
        <x:f>(('03_战斗派生'!R28*'03_战斗派生'!T28*(1+I98*(G98-1))+'01_属性汇总'!AA28)*'03_战斗派生'!P28*'13_参数与假设'!$B$5+'03_战斗派生'!V28)*'13_参数与假设'!$B$6</x:f>
        <x:v>1023560698.7647326</x:v>
      </x:c>
      <x:c r="K98" s="25" t="str">
        <x:v>PVE抵扣规则＋持续/倍率映射假设；非地图实测</x:v>
      </x:c>
    </x:row>
    <x:row r="99">
      <x:c r="A99" s="25" t="str">
        <x:v>C06-X</x:v>
      </x:c>
      <x:c r="B99" s="25" t="str">
        <x:v>盖利德</x:v>
      </x:c>
      <x:c r="C99" s="25" t="str">
        <x:v>极端压力</x:v>
      </x:c>
      <x:c r="D99" s="25" t="n">
        <x:v>20</x:v>
      </x:c>
      <x:c r="E99" s="36" t="n">
        <x:f>MIN(1,MAX(0,('03_战斗派生'!AF28-D99)/100))</x:f>
        <x:v>0.195</x:v>
      </x:c>
      <x:c r="F99" s="25" t="n">
        <x:f>IF(E99&gt;0,'13_参数与假设'!$B$29+'13_参数与假设'!$B$30*MAX(0,E99*100-1)+'01_属性汇总'!AJ28,0)</x:f>
        <x:v>7.3</x:v>
      </x:c>
      <x:c r="G99" s="25" t="n">
        <x:f>IF(E99&gt;0,'13_参数与假设'!$B$31+'13_参数与假设'!$B$32*MAX(0,E99*100-1)+'01_属性汇总'!AI28/100,1)</x:f>
        <x:v>6.34</x:v>
      </x:c>
      <x:c r="H99" s="25" t="n">
        <x:f>MAX(0,INT(F99*'03_战斗派生'!P28*'13_参数与假设'!$B$5))</x:f>
        <x:v>28</x:v>
      </x:c>
      <x:c r="I99" s="36" t="n">
        <x:f>IF(E99&gt;0,1-(1-E99)^H99,0)</x:f>
        <x:v>0.9976970492505942</x:v>
      </x:c>
      <x:c r="J99" s="40" t="n">
        <x:f>(('03_战斗派生'!R28*'03_战斗派生'!T28*(1+I99*(G99-1))+'01_属性汇总'!AA28)*'03_战斗派生'!P28*'13_参数与假设'!$B$5+'03_战斗派生'!V28)*'13_参数与假设'!$B$6</x:f>
        <x:v>776595546.6762656</x:v>
      </x:c>
      <x:c r="K99" s="25" t="str">
        <x:v>PVE抵扣规则＋持续/倍率映射假设；非地图实测</x:v>
      </x:c>
    </x:row>
    <x:row r="100">
      <x:c r="A100" s="25" t="str">
        <x:v>C06-X</x:v>
      </x:c>
      <x:c r="B100" s="25" t="str">
        <x:v>盖利德</x:v>
      </x:c>
      <x:c r="C100" s="25" t="str">
        <x:v>极端压力</x:v>
      </x:c>
      <x:c r="D100" s="25" t="n">
        <x:v>30</x:v>
      </x:c>
      <x:c r="E100" s="36" t="n">
        <x:f>MIN(1,MAX(0,('03_战斗派生'!AF28-D100)/100))</x:f>
        <x:v>0.095</x:v>
      </x:c>
      <x:c r="F100" s="25" t="n">
        <x:f>IF(E100&gt;0,'13_参数与假设'!$B$29+'13_参数与假设'!$B$30*MAX(0,E100*100-1)+'01_属性汇总'!AJ28,0)</x:f>
        <x:v>5.3</x:v>
      </x:c>
      <x:c r="G100" s="25" t="n">
        <x:f>IF(E100&gt;0,'13_参数与假设'!$B$31+'13_参数与假设'!$B$32*MAX(0,E100*100-1)+'01_属性汇总'!AI28/100,1)</x:f>
        <x:v>4.34</x:v>
      </x:c>
      <x:c r="H100" s="25" t="n">
        <x:f>MAX(0,INT(F100*'03_战斗派生'!P28*'13_参数与假设'!$B$5))</x:f>
        <x:v>20</x:v>
      </x:c>
      <x:c r="I100" s="36" t="n">
        <x:f>IF(E100&gt;0,1-(1-E100)^H100,0)</x:f>
        <x:v>0.8641775424979157</x:v>
      </x:c>
      <x:c r="J100" s="40" t="n">
        <x:f>(('03_战斗派生'!R28*'03_战斗派生'!T28*(1+I100*(G100-1))+'01_属性汇总'!AA28)*'03_战斗派生'!P28*'13_参数与假设'!$B$5+'03_战斗派生'!V28)*'13_参数与假设'!$B$6</x:f>
        <x:v>476970045.43704724</x:v>
      </x:c>
      <x:c r="K100" s="25" t="str">
        <x:v>PVE抵扣规则＋持续/倍率映射假设；非地图实测</x:v>
      </x:c>
    </x:row>
    <x:row r="101">
      <x:c r="A101" s="25" t="str">
        <x:v>C07-E</x:v>
      </x:c>
      <x:c r="B101" s="25" t="str">
        <x:v>化圣雪原</x:v>
      </x:c>
      <x:c r="C101" s="25" t="str">
        <x:v>半急速入场</x:v>
      </x:c>
      <x:c r="D101" s="25" t="n">
        <x:v>0</x:v>
      </x:c>
      <x:c r="E101" s="36" t="n">
        <x:f>MIN(1,MAX(0,('03_战斗派生'!AF29-D101)/100))</x:f>
        <x:v>0.295</x:v>
      </x:c>
      <x:c r="F101" s="25" t="n">
        <x:f>IF(E101&gt;0,'13_参数与假设'!$B$29+'13_参数与假设'!$B$30*MAX(0,E101*100-1)+'01_属性汇总'!AJ29,0)</x:f>
        <x:v>6.9</x:v>
      </x:c>
      <x:c r="G101" s="25" t="n">
        <x:f>IF(E101&gt;0,'13_参数与假设'!$B$31+'13_参数与假设'!$B$32*MAX(0,E101*100-1)+'01_属性汇总'!AI29/100,1)</x:f>
        <x:v>7.95</x:v>
      </x:c>
      <x:c r="H101" s="25" t="n">
        <x:f>MAX(0,INT(F101*'03_战斗派生'!P29*'13_参数与假设'!$B$5))</x:f>
        <x:v>22</x:v>
      </x:c>
      <x:c r="I101" s="36" t="n">
        <x:f>IF(E101&gt;0,1-(1-E101)^H101,0)</x:f>
        <x:v>0.9995427427776993</x:v>
      </x:c>
      <x:c r="J101" s="40" t="n">
        <x:f>(('03_战斗派生'!R29*'03_战斗派生'!T29*(1+I101*(G101-1))+'01_属性汇总'!AA29)*'03_战斗派生'!P29*'13_参数与假设'!$B$5+'03_战斗派生'!V29)*'13_参数与假设'!$B$6</x:f>
        <x:v>196512462.09321392</x:v>
      </x:c>
      <x:c r="K101" s="25" t="str">
        <x:v>PVE抵扣规则＋持续/倍率映射假设；非地图实测</x:v>
      </x:c>
    </x:row>
    <x:row r="102">
      <x:c r="A102" s="25" t="str">
        <x:v>C07-E</x:v>
      </x:c>
      <x:c r="B102" s="25" t="str">
        <x:v>化圣雪原</x:v>
      </x:c>
      <x:c r="C102" s="25" t="str">
        <x:v>半急速入场</x:v>
      </x:c>
      <x:c r="D102" s="25" t="n">
        <x:v>10</x:v>
      </x:c>
      <x:c r="E102" s="36" t="n">
        <x:f>MIN(1,MAX(0,('03_战斗派生'!AF29-D102)/100))</x:f>
        <x:v>0.195</x:v>
      </x:c>
      <x:c r="F102" s="25" t="n">
        <x:f>IF(E102&gt;0,'13_参数与假设'!$B$29+'13_参数与假设'!$B$30*MAX(0,E102*100-1)+'01_属性汇总'!AJ29,0)</x:f>
        <x:v>4.9</x:v>
      </x:c>
      <x:c r="G102" s="25" t="n">
        <x:f>IF(E102&gt;0,'13_参数与假设'!$B$31+'13_参数与假设'!$B$32*MAX(0,E102*100-1)+'01_属性汇总'!AI29/100,1)</x:f>
        <x:v>5.95</x:v>
      </x:c>
      <x:c r="H102" s="25" t="n">
        <x:f>MAX(0,INT(F102*'03_战斗派生'!P29*'13_参数与假设'!$B$5))</x:f>
        <x:v>16</x:v>
      </x:c>
      <x:c r="I102" s="36" t="n">
        <x:f>IF(E102&gt;0,1-(1-E102)^H102,0)</x:f>
        <x:v>0.9689018835213107</x:v>
      </x:c>
      <x:c r="J102" s="40" t="n">
        <x:f>(('03_战斗派生'!R29*'03_战斗派生'!T29*(1+I102*(G102-1))+'01_属性汇总'!AA29)*'03_战斗派生'!P29*'13_参数与假设'!$B$5+'03_战斗派生'!V29)*'13_参数与假设'!$B$6</x:f>
        <x:v>143327592.05100307</x:v>
      </x:c>
      <x:c r="K102" s="25" t="str">
        <x:v>PVE抵扣规则＋持续/倍率映射假设；非地图实测</x:v>
      </x:c>
    </x:row>
    <x:row r="103">
      <x:c r="A103" s="25" t="str">
        <x:v>C07-E</x:v>
      </x:c>
      <x:c r="B103" s="25" t="str">
        <x:v>化圣雪原</x:v>
      </x:c>
      <x:c r="C103" s="25" t="str">
        <x:v>半急速入场</x:v>
      </x:c>
      <x:c r="D103" s="25" t="n">
        <x:v>20</x:v>
      </x:c>
      <x:c r="E103" s="36" t="n">
        <x:f>MIN(1,MAX(0,('03_战斗派生'!AF29-D103)/100))</x:f>
        <x:v>0.095</x:v>
      </x:c>
      <x:c r="F103" s="25" t="n">
        <x:f>IF(E103&gt;0,'13_参数与假设'!$B$29+'13_参数与假设'!$B$30*MAX(0,E103*100-1)+'01_属性汇总'!AJ29,0)</x:f>
        <x:v>2.9000000000000004</x:v>
      </x:c>
      <x:c r="G103" s="25" t="n">
        <x:f>IF(E103&gt;0,'13_参数与假设'!$B$31+'13_参数与假设'!$B$32*MAX(0,E103*100-1)+'01_属性汇总'!AI29/100,1)</x:f>
        <x:v>3.95</x:v>
      </x:c>
      <x:c r="H103" s="25" t="n">
        <x:f>MAX(0,INT(F103*'03_战斗派生'!P29*'13_参数与假设'!$B$5))</x:f>
        <x:v>9</x:v>
      </x:c>
      <x:c r="I103" s="36" t="n">
        <x:f>IF(E103&gt;0,1-(1-E103)^H103,0)</x:f>
        <x:v>0.592772392449114</x:v>
      </x:c>
      <x:c r="J103" s="40" t="n">
        <x:f>(('03_战斗派生'!R29*'03_战斗派生'!T29*(1+I103*(G103-1))+'01_属性汇总'!AA29)*'03_战斗派生'!P29*'13_参数与假设'!$B$5+'03_战斗派生'!V29)*'13_参数与假设'!$B$6</x:f>
        <x:v>67970515.3388912</x:v>
      </x:c>
      <x:c r="K103" s="25" t="str">
        <x:v>PVE抵扣规则＋持续/倍率映射假设；非地图实测</x:v>
      </x:c>
    </x:row>
    <x:row r="104">
      <x:c r="A104" s="25" t="str">
        <x:v>C07-E</x:v>
      </x:c>
      <x:c r="B104" s="25" t="str">
        <x:v>化圣雪原</x:v>
      </x:c>
      <x:c r="C104" s="25" t="str">
        <x:v>半急速入场</x:v>
      </x:c>
      <x:c r="D104" s="25" t="n">
        <x:v>30</x:v>
      </x:c>
      <x:c r="E104" s="36" t="n">
        <x:f>MIN(1,MAX(0,('03_战斗派生'!AF29-D104)/100))</x:f>
        <x:v>0</x:v>
      </x:c>
      <x:c r="F104" s="25" t="n">
        <x:f>IF(E104&gt;0,'13_参数与假设'!$B$29+'13_参数与假设'!$B$30*MAX(0,E104*100-1)+'01_属性汇总'!AJ29,0)</x:f>
        <x:v>0</x:v>
      </x:c>
      <x:c r="G104" s="25" t="n">
        <x:f>IF(E104&gt;0,'13_参数与假设'!$B$31+'13_参数与假设'!$B$32*MAX(0,E104*100-1)+'01_属性汇总'!AI29/100,1)</x:f>
        <x:v>1</x:v>
      </x:c>
      <x:c r="H104" s="25" t="n">
        <x:f>MAX(0,INT(F104*'03_战斗派生'!P29*'13_参数与假设'!$B$5))</x:f>
        <x:v>0</x:v>
      </x:c>
      <x:c r="I104" s="36" t="n">
        <x:f>IF(E104&gt;0,1-(1-E104)^H104,0)</x:f>
        <x:v>0</x:v>
      </x:c>
      <x:c r="J104" s="40" t="n">
        <x:f>(('03_战斗派生'!R29*'03_战斗派生'!T29*(1+I104*(G104-1))+'01_属性汇总'!AA29)*'03_战斗派生'!P29*'13_参数与假设'!$B$5+'03_战斗派生'!V29)*'13_参数与假设'!$B$6</x:f>
        <x:v>24728433.649641156</x:v>
      </x:c>
      <x:c r="K104" s="25" t="str">
        <x:v>PVE抵扣规则＋持续/倍率映射假设；非地图实测</x:v>
      </x:c>
    </x:row>
    <x:row r="105">
      <x:c r="A105" s="25" t="str">
        <x:v>C07-M</x:v>
      </x:c>
      <x:c r="B105" s="25" t="str">
        <x:v>化圣雪原</x:v>
      </x:c>
      <x:c r="C105" s="25" t="str">
        <x:v>半急速中期</x:v>
      </x:c>
      <x:c r="D105" s="25" t="n">
        <x:v>0</x:v>
      </x:c>
      <x:c r="E105" s="36" t="n">
        <x:f>MIN(1,MAX(0,('03_战斗派生'!AF30-D105)/100))</x:f>
        <x:v>0.3</x:v>
      </x:c>
      <x:c r="F105" s="25" t="n">
        <x:f>IF(E105&gt;0,'13_参数与假设'!$B$29+'13_参数与假设'!$B$30*MAX(0,E105*100-1)+'01_属性汇总'!AJ30,0)</x:f>
        <x:v>8</x:v>
      </x:c>
      <x:c r="G105" s="25" t="n">
        <x:f>IF(E105&gt;0,'13_参数与假设'!$B$31+'13_参数与假设'!$B$32*MAX(0,E105*100-1)+'01_属性汇总'!AI30/100,1)</x:f>
        <x:v>8.05</x:v>
      </x:c>
      <x:c r="H105" s="25" t="n">
        <x:f>MAX(0,INT(F105*'03_战斗派生'!P30*'13_参数与假设'!$B$5))</x:f>
        <x:v>26</x:v>
      </x:c>
      <x:c r="I105" s="36" t="n">
        <x:f>IF(E105&gt;0,1-(1-E105)^H105,0)</x:f>
        <x:v>0.9999061251966235</x:v>
      </x:c>
      <x:c r="J105" s="40" t="n">
        <x:f>(('03_战斗派生'!R30*'03_战斗派生'!T30*(1+I105*(G105-1))+'01_属性汇总'!AA30)*'03_战斗派生'!P30*'13_参数与假设'!$B$5+'03_战斗派生'!V30)*'13_参数与假设'!$B$6</x:f>
        <x:v>266469430.73265797</x:v>
      </x:c>
      <x:c r="K105" s="25" t="str">
        <x:v>PVE抵扣规则＋持续/倍率映射假设；非地图实测</x:v>
      </x:c>
    </x:row>
    <x:row r="106">
      <x:c r="A106" s="25" t="str">
        <x:v>C07-M</x:v>
      </x:c>
      <x:c r="B106" s="25" t="str">
        <x:v>化圣雪原</x:v>
      </x:c>
      <x:c r="C106" s="25" t="str">
        <x:v>半急速中期</x:v>
      </x:c>
      <x:c r="D106" s="25" t="n">
        <x:v>10</x:v>
      </x:c>
      <x:c r="E106" s="36" t="n">
        <x:f>MIN(1,MAX(0,('03_战斗派生'!AF30-D106)/100))</x:f>
        <x:v>0.2</x:v>
      </x:c>
      <x:c r="F106" s="25" t="n">
        <x:f>IF(E106&gt;0,'13_参数与假设'!$B$29+'13_参数与假设'!$B$30*MAX(0,E106*100-1)+'01_属性汇总'!AJ30,0)</x:f>
        <x:v>6.000000000000001</x:v>
      </x:c>
      <x:c r="G106" s="25" t="n">
        <x:f>IF(E106&gt;0,'13_参数与假设'!$B$31+'13_参数与假设'!$B$32*MAX(0,E106*100-1)+'01_属性汇总'!AI30/100,1)</x:f>
        <x:v>6.050000000000001</x:v>
      </x:c>
      <x:c r="H106" s="25" t="n">
        <x:f>MAX(0,INT(F106*'03_战斗派生'!P30*'13_参数与假设'!$B$5))</x:f>
        <x:v>19</x:v>
      </x:c>
      <x:c r="I106" s="36" t="n">
        <x:f>IF(E106&gt;0,1-(1-E106)^H106,0)</x:f>
        <x:v>0.9855884811924144</x:v>
      </x:c>
      <x:c r="J106" s="40" t="n">
        <x:f>(('03_战斗派生'!R30*'03_战斗派生'!T30*(1+I106*(G106-1))+'01_属性汇总'!AA30)*'03_战斗派生'!P30*'13_参数与假设'!$B$5+'03_战斗派生'!V30)*'13_参数与假设'!$B$6</x:f>
        <x:v>197873025.36803895</x:v>
      </x:c>
      <x:c r="K106" s="25" t="str">
        <x:v>PVE抵扣规则＋持续/倍率映射假设；非地图实测</x:v>
      </x:c>
    </x:row>
    <x:row r="107">
      <x:c r="A107" s="25" t="str">
        <x:v>C07-M</x:v>
      </x:c>
      <x:c r="B107" s="25" t="str">
        <x:v>化圣雪原</x:v>
      </x:c>
      <x:c r="C107" s="25" t="str">
        <x:v>半急速中期</x:v>
      </x:c>
      <x:c r="D107" s="25" t="n">
        <x:v>20</x:v>
      </x:c>
      <x:c r="E107" s="36" t="n">
        <x:f>MIN(1,MAX(0,('03_战斗派生'!AF30-D107)/100))</x:f>
        <x:v>0.1</x:v>
      </x:c>
      <x:c r="F107" s="25" t="n">
        <x:f>IF(E107&gt;0,'13_参数与假设'!$B$29+'13_参数与假设'!$B$30*MAX(0,E107*100-1)+'01_属性汇总'!AJ30,0)</x:f>
        <x:v>4</x:v>
      </x:c>
      <x:c r="G107" s="25" t="n">
        <x:f>IF(E107&gt;0,'13_参数与假设'!$B$31+'13_参数与假设'!$B$32*MAX(0,E107*100-1)+'01_属性汇总'!AI30/100,1)</x:f>
        <x:v>4.05</x:v>
      </x:c>
      <x:c r="H107" s="25" t="n">
        <x:f>MAX(0,INT(F107*'03_战斗派生'!P30*'13_参数与假设'!$B$5))</x:f>
        <x:v>13</x:v>
      </x:c>
      <x:c r="I107" s="36" t="n">
        <x:f>IF(E107&gt;0,1-(1-E107)^H107,0)</x:f>
        <x:v>0.7458134171670998</x:v>
      </x:c>
      <x:c r="J107" s="40" t="n">
        <x:f>(('03_战斗派生'!R30*'03_战斗派生'!T30*(1+I107*(G107-1))+'01_属性汇总'!AA30)*'03_战斗派生'!P30*'13_参数与假设'!$B$5+'03_战斗派生'!V30)*'13_参数与假设'!$B$6</x:f>
        <x:v>108408376.55028468</x:v>
      </x:c>
      <x:c r="K107" s="25" t="str">
        <x:v>PVE抵扣规则＋持续/倍率映射假设；非地图实测</x:v>
      </x:c>
    </x:row>
    <x:row r="108">
      <x:c r="A108" s="25" t="str">
        <x:v>C07-M</x:v>
      </x:c>
      <x:c r="B108" s="25" t="str">
        <x:v>化圣雪原</x:v>
      </x:c>
      <x:c r="C108" s="25" t="str">
        <x:v>半急速中期</x:v>
      </x:c>
      <x:c r="D108" s="25" t="n">
        <x:v>30</x:v>
      </x:c>
      <x:c r="E108" s="36" t="n">
        <x:f>MIN(1,MAX(0,('03_战斗派生'!AF30-D108)/100))</x:f>
        <x:v>0</x:v>
      </x:c>
      <x:c r="F108" s="25" t="n">
        <x:f>IF(E108&gt;0,'13_参数与假设'!$B$29+'13_参数与假设'!$B$30*MAX(0,E108*100-1)+'01_属性汇总'!AJ30,0)</x:f>
        <x:v>0</x:v>
      </x:c>
      <x:c r="G108" s="25" t="n">
        <x:f>IF(E108&gt;0,'13_参数与假设'!$B$31+'13_参数与假设'!$B$32*MAX(0,E108*100-1)+'01_属性汇总'!AI30/100,1)</x:f>
        <x:v>1</x:v>
      </x:c>
      <x:c r="H108" s="25" t="n">
        <x:f>MAX(0,INT(F108*'03_战斗派生'!P30*'13_参数与假设'!$B$5))</x:f>
        <x:v>0</x:v>
      </x:c>
      <x:c r="I108" s="36" t="n">
        <x:f>IF(E108&gt;0,1-(1-E108)^H108,0)</x:f>
        <x:v>0</x:v>
      </x:c>
      <x:c r="J108" s="40" t="n">
        <x:f>(('03_战斗派生'!R30*'03_战斗派生'!T30*(1+I108*(G108-1))+'01_属性汇总'!AA30)*'03_战斗派生'!P30*'13_参数与假设'!$B$5+'03_战斗派生'!V30)*'13_参数与假设'!$B$6</x:f>
        <x:v>33104514.270189095</x:v>
      </x:c>
      <x:c r="K108" s="25" t="str">
        <x:v>PVE抵扣规则＋持续/倍率映射假设；非地图实测</x:v>
      </x:c>
    </x:row>
    <x:row r="109">
      <x:c r="A109" s="25" t="str">
        <x:v>C07-G</x:v>
      </x:c>
      <x:c r="B109" s="25" t="str">
        <x:v>化圣雪原</x:v>
      </x:c>
      <x:c r="C109" s="25" t="str">
        <x:v>半急速毕业</x:v>
      </x:c>
      <x:c r="D109" s="25" t="n">
        <x:v>0</x:v>
      </x:c>
      <x:c r="E109" s="36" t="n">
        <x:f>MIN(1,MAX(0,('03_战斗派生'!AF31-D109)/100))</x:f>
        <x:v>0.285</x:v>
      </x:c>
      <x:c r="F109" s="25" t="n">
        <x:f>IF(E109&gt;0,'13_参数与假设'!$B$29+'13_参数与假设'!$B$30*MAX(0,E109*100-1)+'01_属性汇总'!AJ31,0)</x:f>
        <x:v>7.7</x:v>
      </x:c>
      <x:c r="G109" s="25" t="n">
        <x:f>IF(E109&gt;0,'13_参数与假设'!$B$31+'13_参数与假设'!$B$32*MAX(0,E109*100-1)+'01_属性汇总'!AI31/100,1)</x:f>
        <x:v>7.77</x:v>
      </x:c>
      <x:c r="H109" s="25" t="n">
        <x:f>MAX(0,INT(F109*'03_战斗派生'!P31*'13_参数与假设'!$B$5))</x:f>
        <x:v>26</x:v>
      </x:c>
      <x:c r="I109" s="36" t="n">
        <x:f>IF(E109&gt;0,1-(1-E109)^H109,0)</x:f>
        <x:v>0.9998370864952152</x:v>
      </x:c>
      <x:c r="J109" s="40" t="n">
        <x:f>(('03_战斗派生'!R31*'03_战斗派生'!T31*(1+I109*(G109-1))+'01_属性汇总'!AA31)*'03_战斗派生'!P31*'13_参数与假设'!$B$5+'03_战斗派生'!V31)*'13_参数与假设'!$B$6</x:f>
        <x:v>398817987.3189642</x:v>
      </x:c>
      <x:c r="K109" s="25" t="str">
        <x:v>PVE抵扣规则＋持续/倍率映射假设；非地图实测</x:v>
      </x:c>
    </x:row>
    <x:row r="110">
      <x:c r="A110" s="25" t="str">
        <x:v>C07-G</x:v>
      </x:c>
      <x:c r="B110" s="25" t="str">
        <x:v>化圣雪原</x:v>
      </x:c>
      <x:c r="C110" s="25" t="str">
        <x:v>半急速毕业</x:v>
      </x:c>
      <x:c r="D110" s="25" t="n">
        <x:v>10</x:v>
      </x:c>
      <x:c r="E110" s="36" t="n">
        <x:f>MIN(1,MAX(0,('03_战斗派生'!AF31-D110)/100))</x:f>
        <x:v>0.185</x:v>
      </x:c>
      <x:c r="F110" s="25" t="n">
        <x:f>IF(E110&gt;0,'13_参数与假设'!$B$29+'13_参数与假设'!$B$30*MAX(0,E110*100-1)+'01_属性汇总'!AJ31,0)</x:f>
        <x:v>5.7</x:v>
      </x:c>
      <x:c r="G110" s="25" t="n">
        <x:f>IF(E110&gt;0,'13_参数与假设'!$B$31+'13_参数与假设'!$B$32*MAX(0,E110*100-1)+'01_属性汇总'!AI31/100,1)</x:f>
        <x:v>5.77</x:v>
      </x:c>
      <x:c r="H110" s="25" t="n">
        <x:f>MAX(0,INT(F110*'03_战斗派生'!P31*'13_参数与假设'!$B$5))</x:f>
        <x:v>19</x:v>
      </x:c>
      <x:c r="I110" s="36" t="n">
        <x:f>IF(E110&gt;0,1-(1-E110)^H110,0)</x:f>
        <x:v>0.9794886348538123</x:v>
      </x:c>
      <x:c r="J110" s="40" t="n">
        <x:f>(('03_战斗派生'!R31*'03_战斗派生'!T31*(1+I110*(G110-1))+'01_属性汇总'!AA31)*'03_战斗派生'!P31*'13_参数与假设'!$B$5+'03_战斗派生'!V31)*'13_参数与假设'!$B$6</x:f>
        <x:v>291181583.0889679</x:v>
      </x:c>
      <x:c r="K110" s="25" t="str">
        <x:v>PVE抵扣规则＋持续/倍率映射假设；非地图实测</x:v>
      </x:c>
    </x:row>
    <x:row r="111">
      <x:c r="A111" s="25" t="str">
        <x:v>C07-G</x:v>
      </x:c>
      <x:c r="B111" s="25" t="str">
        <x:v>化圣雪原</x:v>
      </x:c>
      <x:c r="C111" s="25" t="str">
        <x:v>半急速毕业</x:v>
      </x:c>
      <x:c r="D111" s="25" t="n">
        <x:v>20</x:v>
      </x:c>
      <x:c r="E111" s="36" t="n">
        <x:f>MIN(1,MAX(0,('03_战斗派生'!AF31-D111)/100))</x:f>
        <x:v>0.085</x:v>
      </x:c>
      <x:c r="F111" s="25" t="n">
        <x:f>IF(E111&gt;0,'13_参数与假设'!$B$29+'13_参数与假设'!$B$30*MAX(0,E111*100-1)+'01_属性汇总'!AJ31,0)</x:f>
        <x:v>3.7</x:v>
      </x:c>
      <x:c r="G111" s="25" t="n">
        <x:f>IF(E111&gt;0,'13_参数与假设'!$B$31+'13_参数与假设'!$B$32*MAX(0,E111*100-1)+'01_属性汇总'!AI31/100,1)</x:f>
        <x:v>3.77</x:v>
      </x:c>
      <x:c r="H111" s="25" t="n">
        <x:f>MAX(0,INT(F111*'03_战斗派生'!P31*'13_参数与假设'!$B$5))</x:f>
        <x:v>12</x:v>
      </x:c>
      <x:c r="I111" s="36" t="n">
        <x:f>IF(E111&gt;0,1-(1-E111)^H111,0)</x:f>
        <x:v>0.6556079411011513</x:v>
      </x:c>
      <x:c r="J111" s="40" t="n">
        <x:f>(('03_战斗派生'!R31*'03_战斗派生'!T31*(1+I111*(G111-1))+'01_属性汇总'!AA31)*'03_战斗派生'!P31*'13_参数与假设'!$B$5+'03_战斗派生'!V31)*'13_参数与假设'!$B$6</x:f>
        <x:v>144561705.46741268</x:v>
      </x:c>
      <x:c r="K111" s="25" t="str">
        <x:v>PVE抵扣规则＋持续/倍率映射假设；非地图实测</x:v>
      </x:c>
    </x:row>
    <x:row r="112">
      <x:c r="A112" s="25" t="str">
        <x:v>C07-G</x:v>
      </x:c>
      <x:c r="B112" s="25" t="str">
        <x:v>化圣雪原</x:v>
      </x:c>
      <x:c r="C112" s="25" t="str">
        <x:v>半急速毕业</x:v>
      </x:c>
      <x:c r="D112" s="25" t="n">
        <x:v>30</x:v>
      </x:c>
      <x:c r="E112" s="36" t="n">
        <x:f>MIN(1,MAX(0,('03_战斗派生'!AF31-D112)/100))</x:f>
        <x:v>0</x:v>
      </x:c>
      <x:c r="F112" s="25" t="n">
        <x:f>IF(E112&gt;0,'13_参数与假设'!$B$29+'13_参数与假设'!$B$30*MAX(0,E112*100-1)+'01_属性汇总'!AJ31,0)</x:f>
        <x:v>0</x:v>
      </x:c>
      <x:c r="G112" s="25" t="n">
        <x:f>IF(E112&gt;0,'13_参数与假设'!$B$31+'13_参数与假设'!$B$32*MAX(0,E112*100-1)+'01_属性汇总'!AI31/100,1)</x:f>
        <x:v>1</x:v>
      </x:c>
      <x:c r="H112" s="25" t="n">
        <x:f>MAX(0,INT(F112*'03_战斗派生'!P31*'13_参数与假设'!$B$5))</x:f>
        <x:v>0</x:v>
      </x:c>
      <x:c r="I112" s="36" t="n">
        <x:f>IF(E112&gt;0,1-(1-E112)^H112,0)</x:f>
        <x:v>0</x:v>
      </x:c>
      <x:c r="J112" s="40" t="n">
        <x:f>(('03_战斗派生'!R31*'03_战斗派生'!T31*(1+I112*(G112-1))+'01_属性汇总'!AA31)*'03_战斗派生'!P31*'13_参数与假设'!$B$5+'03_战斗派生'!V31)*'13_参数与假设'!$B$6</x:f>
        <x:v>51335213.150519095</x:v>
      </x:c>
      <x:c r="K112" s="25" t="str">
        <x:v>PVE抵扣规则＋持续/倍率映射假设；非地图实测</x:v>
      </x:c>
    </x:row>
    <x:row r="113">
      <x:c r="A113" s="25" t="str">
        <x:v>C07-X</x:v>
      </x:c>
      <x:c r="B113" s="25" t="str">
        <x:v>化圣雪原</x:v>
      </x:c>
      <x:c r="C113" s="25" t="str">
        <x:v>极端压力</x:v>
      </x:c>
      <x:c r="D113" s="25" t="n">
        <x:v>0</x:v>
      </x:c>
      <x:c r="E113" s="36" t="n">
        <x:f>MIN(1,MAX(0,('03_战斗派生'!AF32-D113)/100))</x:f>
        <x:v>0.42</x:v>
      </x:c>
      <x:c r="F113" s="25" t="n">
        <x:f>IF(E113&gt;0,'13_参数与假设'!$B$29+'13_参数与假设'!$B$30*MAX(0,E113*100-1)+'01_属性汇总'!AJ32,0)</x:f>
        <x:v>11.8</x:v>
      </x:c>
      <x:c r="G113" s="25" t="n">
        <x:f>IF(E113&gt;0,'13_参数与假设'!$B$31+'13_参数与假设'!$B$32*MAX(0,E113*100-1)+'01_属性汇总'!AI32/100,1)</x:f>
        <x:v>10.830000000000002</x:v>
      </x:c>
      <x:c r="H113" s="25" t="n">
        <x:f>MAX(0,INT(F113*'03_战斗派生'!P32*'13_参数与假设'!$B$5))</x:f>
        <x:v>46</x:v>
      </x:c>
      <x:c r="I113" s="36" t="n">
        <x:f>IF(E113&gt;0,1-(1-E113)^H113,0)</x:f>
        <x:v>0.9999999999868875</x:v>
      </x:c>
      <x:c r="J113" s="40" t="n">
        <x:f>(('03_战斗派生'!R32*'03_战斗派生'!T32*(1+I113*(G113-1))+'01_属性汇总'!AA32)*'03_战斗派生'!P32*'13_参数与假设'!$B$5+'03_战斗派生'!V32)*'13_参数与假设'!$B$6</x:f>
        <x:v>2279486899.474276</x:v>
      </x:c>
      <x:c r="K113" s="25" t="str">
        <x:v>PVE抵扣规则＋持续/倍率映射假设；非地图实测</x:v>
      </x:c>
    </x:row>
    <x:row r="114">
      <x:c r="A114" s="25" t="str">
        <x:v>C07-X</x:v>
      </x:c>
      <x:c r="B114" s="25" t="str">
        <x:v>化圣雪原</x:v>
      </x:c>
      <x:c r="C114" s="25" t="str">
        <x:v>极端压力</x:v>
      </x:c>
      <x:c r="D114" s="25" t="n">
        <x:v>10</x:v>
      </x:c>
      <x:c r="E114" s="36" t="n">
        <x:f>MIN(1,MAX(0,('03_战斗派生'!AF32-D114)/100))</x:f>
        <x:v>0.32</x:v>
      </x:c>
      <x:c r="F114" s="25" t="n">
        <x:f>IF(E114&gt;0,'13_参数与假设'!$B$29+'13_参数与假设'!$B$30*MAX(0,E114*100-1)+'01_属性汇总'!AJ32,0)</x:f>
        <x:v>9.8</x:v>
      </x:c>
      <x:c r="G114" s="25" t="n">
        <x:f>IF(E114&gt;0,'13_参数与假设'!$B$31+'13_参数与假设'!$B$32*MAX(0,E114*100-1)+'01_属性汇总'!AI32/100,1)</x:f>
        <x:v>8.83</x:v>
      </x:c>
      <x:c r="H114" s="25" t="n">
        <x:f>MAX(0,INT(F114*'03_战斗派生'!P32*'13_参数与假设'!$B$5))</x:f>
        <x:v>38</x:v>
      </x:c>
      <x:c r="I114" s="36" t="n">
        <x:f>IF(E114&gt;0,1-(1-E114)^H114,0)</x:f>
        <x:v>0.9999995681442735</x:v>
      </x:c>
      <x:c r="J114" s="40" t="n">
        <x:f>(('03_战斗派生'!R32*'03_战斗派生'!T32*(1+I114*(G114-1))+'01_属性汇总'!AA32)*'03_战斗派生'!P32*'13_参数与假设'!$B$5+'03_战斗派生'!V32)*'13_参数与假设'!$B$6</x:f>
        <x:v>1858528311.6039937</x:v>
      </x:c>
      <x:c r="K114" s="25" t="str">
        <x:v>PVE抵扣规则＋持续/倍率映射假设；非地图实测</x:v>
      </x:c>
    </x:row>
    <x:row r="115">
      <x:c r="A115" s="25" t="str">
        <x:v>C07-X</x:v>
      </x:c>
      <x:c r="B115" s="25" t="str">
        <x:v>化圣雪原</x:v>
      </x:c>
      <x:c r="C115" s="25" t="str">
        <x:v>极端压力</x:v>
      </x:c>
      <x:c r="D115" s="25" t="n">
        <x:v>20</x:v>
      </x:c>
      <x:c r="E115" s="36" t="n">
        <x:f>MIN(1,MAX(0,('03_战斗派生'!AF32-D115)/100))</x:f>
        <x:v>0.22</x:v>
      </x:c>
      <x:c r="F115" s="25" t="n">
        <x:f>IF(E115&gt;0,'13_参数与假设'!$B$29+'13_参数与假设'!$B$30*MAX(0,E115*100-1)+'01_属性汇总'!AJ32,0)</x:f>
        <x:v>7.8</x:v>
      </x:c>
      <x:c r="G115" s="25" t="n">
        <x:f>IF(E115&gt;0,'13_参数与假设'!$B$31+'13_参数与假设'!$B$32*MAX(0,E115*100-1)+'01_属性汇总'!AI32/100,1)</x:f>
        <x:v>6.83</x:v>
      </x:c>
      <x:c r="H115" s="25" t="n">
        <x:f>MAX(0,INT(F115*'03_战斗派生'!P32*'13_参数与假设'!$B$5))</x:f>
        <x:v>30</x:v>
      </x:c>
      <x:c r="I115" s="36" t="n">
        <x:f>IF(E115&gt;0,1-(1-E115)^H115,0)</x:f>
        <x:v>0.9994207872934071</x:v>
      </x:c>
      <x:c r="J115" s="40" t="n">
        <x:f>(('03_战斗派生'!R32*'03_战斗派生'!T32*(1+I115*(G115-1))+'01_属性汇总'!AA32)*'03_战斗派生'!P32*'13_参数与假设'!$B$5+'03_战斗派生'!V32)*'13_参数与假设'!$B$6</x:f>
        <x:v>1436860399.7466686</x:v>
      </x:c>
      <x:c r="K115" s="25" t="str">
        <x:v>PVE抵扣规则＋持续/倍率映射假设；非地图实测</x:v>
      </x:c>
    </x:row>
    <x:row r="116">
      <x:c r="A116" s="25" t="str">
        <x:v>C07-X</x:v>
      </x:c>
      <x:c r="B116" s="25" t="str">
        <x:v>化圣雪原</x:v>
      </x:c>
      <x:c r="C116" s="25" t="str">
        <x:v>极端压力</x:v>
      </x:c>
      <x:c r="D116" s="25" t="n">
        <x:v>30</x:v>
      </x:c>
      <x:c r="E116" s="36" t="n">
        <x:f>MIN(1,MAX(0,('03_战斗派生'!AF32-D116)/100))</x:f>
        <x:v>0.12</x:v>
      </x:c>
      <x:c r="F116" s="25" t="n">
        <x:f>IF(E116&gt;0,'13_参数与假设'!$B$29+'13_参数与假设'!$B$30*MAX(0,E116*100-1)+'01_属性汇总'!AJ32,0)</x:f>
        <x:v>5.8</x:v>
      </x:c>
      <x:c r="G116" s="25" t="n">
        <x:f>IF(E116&gt;0,'13_参数与假设'!$B$31+'13_参数与假设'!$B$32*MAX(0,E116*100-1)+'01_属性汇总'!AI32/100,1)</x:f>
        <x:v>4.83</x:v>
      </x:c>
      <x:c r="H116" s="25" t="n">
        <x:f>MAX(0,INT(F116*'03_战斗派生'!P32*'13_参数与假设'!$B$5))</x:f>
        <x:v>22</x:v>
      </x:c>
      <x:c r="I116" s="36" t="n">
        <x:f>IF(E116&gt;0,1-(1-E116)^H116,0)</x:f>
        <x:v>0.939935372606586</x:v>
      </x:c>
      <x:c r="J116" s="40" t="n">
        <x:f>(('03_战斗派生'!R32*'03_战斗派生'!T32*(1+I116*(G116-1))+'01_属性汇总'!AA32)*'03_战斗派生'!P32*'13_参数与假设'!$B$5+'03_战斗派生'!V32)*'13_参数与假设'!$B$6</x:f>
        <x:v>968193112.6352954</x:v>
      </x:c>
      <x:c r="K116" s="25" t="str">
        <x:v>PVE抵扣规则＋持续/倍率映射假设；非地图实测</x:v>
      </x:c>
    </x:row>
    <x:row r="117">
      <x:c r="A117" s="25" t="str">
        <x:v>C08-E</x:v>
      </x:c>
      <x:c r="B117" s="25" t="str">
        <x:v>巨人山顶</x:v>
      </x:c>
      <x:c r="C117" s="25" t="str">
        <x:v>半急速入场</x:v>
      </x:c>
      <x:c r="D117" s="25" t="n">
        <x:v>0</x:v>
      </x:c>
      <x:c r="E117" s="36" t="n">
        <x:f>MIN(1,MAX(0,('03_战斗派生'!AF33-D117)/100))</x:f>
        <x:v>0.285</x:v>
      </x:c>
      <x:c r="F117" s="25" t="n">
        <x:f>IF(E117&gt;0,'13_参数与假设'!$B$29+'13_参数与假设'!$B$30*MAX(0,E117*100-1)+'01_属性汇总'!AJ33,0)</x:f>
        <x:v>7.7</x:v>
      </x:c>
      <x:c r="G117" s="25" t="n">
        <x:f>IF(E117&gt;0,'13_参数与假设'!$B$31+'13_参数与假设'!$B$32*MAX(0,E117*100-1)+'01_属性汇总'!AI33/100,1)</x:f>
        <x:v>7.77</x:v>
      </x:c>
      <x:c r="H117" s="25" t="n">
        <x:f>MAX(0,INT(F117*'03_战斗派生'!P33*'13_参数与假设'!$B$5))</x:f>
        <x:v>26</x:v>
      </x:c>
      <x:c r="I117" s="36" t="n">
        <x:f>IF(E117&gt;0,1-(1-E117)^H117,0)</x:f>
        <x:v>0.9998370864952152</x:v>
      </x:c>
      <x:c r="J117" s="40" t="n">
        <x:f>(('03_战斗派生'!R33*'03_战斗派生'!T33*(1+I117*(G117-1))+'01_属性汇总'!AA33)*'03_战斗派生'!P33*'13_参数与假设'!$B$5+'03_战斗派生'!V33)*'13_参数与假设'!$B$6</x:f>
        <x:v>398817987.3189642</x:v>
      </x:c>
      <x:c r="K117" s="25" t="str">
        <x:v>PVE抵扣规则＋持续/倍率映射假设；非地图实测</x:v>
      </x:c>
    </x:row>
    <x:row r="118">
      <x:c r="A118" s="25" t="str">
        <x:v>C08-E</x:v>
      </x:c>
      <x:c r="B118" s="25" t="str">
        <x:v>巨人山顶</x:v>
      </x:c>
      <x:c r="C118" s="25" t="str">
        <x:v>半急速入场</x:v>
      </x:c>
      <x:c r="D118" s="25" t="n">
        <x:v>10</x:v>
      </x:c>
      <x:c r="E118" s="36" t="n">
        <x:f>MIN(1,MAX(0,('03_战斗派生'!AF33-D118)/100))</x:f>
        <x:v>0.185</x:v>
      </x:c>
      <x:c r="F118" s="25" t="n">
        <x:f>IF(E118&gt;0,'13_参数与假设'!$B$29+'13_参数与假设'!$B$30*MAX(0,E118*100-1)+'01_属性汇总'!AJ33,0)</x:f>
        <x:v>5.7</x:v>
      </x:c>
      <x:c r="G118" s="25" t="n">
        <x:f>IF(E118&gt;0,'13_参数与假设'!$B$31+'13_参数与假设'!$B$32*MAX(0,E118*100-1)+'01_属性汇总'!AI33/100,1)</x:f>
        <x:v>5.77</x:v>
      </x:c>
      <x:c r="H118" s="25" t="n">
        <x:f>MAX(0,INT(F118*'03_战斗派生'!P33*'13_参数与假设'!$B$5))</x:f>
        <x:v>19</x:v>
      </x:c>
      <x:c r="I118" s="36" t="n">
        <x:f>IF(E118&gt;0,1-(1-E118)^H118,0)</x:f>
        <x:v>0.9794886348538123</x:v>
      </x:c>
      <x:c r="J118" s="40" t="n">
        <x:f>(('03_战斗派生'!R33*'03_战斗派生'!T33*(1+I118*(G118-1))+'01_属性汇总'!AA33)*'03_战斗派生'!P33*'13_参数与假设'!$B$5+'03_战斗派生'!V33)*'13_参数与假设'!$B$6</x:f>
        <x:v>291181583.0889679</x:v>
      </x:c>
      <x:c r="K118" s="25" t="str">
        <x:v>PVE抵扣规则＋持续/倍率映射假设；非地图实测</x:v>
      </x:c>
    </x:row>
    <x:row r="119">
      <x:c r="A119" s="25" t="str">
        <x:v>C08-E</x:v>
      </x:c>
      <x:c r="B119" s="25" t="str">
        <x:v>巨人山顶</x:v>
      </x:c>
      <x:c r="C119" s="25" t="str">
        <x:v>半急速入场</x:v>
      </x:c>
      <x:c r="D119" s="25" t="n">
        <x:v>20</x:v>
      </x:c>
      <x:c r="E119" s="36" t="n">
        <x:f>MIN(1,MAX(0,('03_战斗派生'!AF33-D119)/100))</x:f>
        <x:v>0.085</x:v>
      </x:c>
      <x:c r="F119" s="25" t="n">
        <x:f>IF(E119&gt;0,'13_参数与假设'!$B$29+'13_参数与假设'!$B$30*MAX(0,E119*100-1)+'01_属性汇总'!AJ33,0)</x:f>
        <x:v>3.7</x:v>
      </x:c>
      <x:c r="G119" s="25" t="n">
        <x:f>IF(E119&gt;0,'13_参数与假设'!$B$31+'13_参数与假设'!$B$32*MAX(0,E119*100-1)+'01_属性汇总'!AI33/100,1)</x:f>
        <x:v>3.77</x:v>
      </x:c>
      <x:c r="H119" s="25" t="n">
        <x:f>MAX(0,INT(F119*'03_战斗派生'!P33*'13_参数与假设'!$B$5))</x:f>
        <x:v>12</x:v>
      </x:c>
      <x:c r="I119" s="36" t="n">
        <x:f>IF(E119&gt;0,1-(1-E119)^H119,0)</x:f>
        <x:v>0.6556079411011513</x:v>
      </x:c>
      <x:c r="J119" s="40" t="n">
        <x:f>(('03_战斗派生'!R33*'03_战斗派生'!T33*(1+I119*(G119-1))+'01_属性汇总'!AA33)*'03_战斗派生'!P33*'13_参数与假设'!$B$5+'03_战斗派生'!V33)*'13_参数与假设'!$B$6</x:f>
        <x:v>144561705.46741268</x:v>
      </x:c>
      <x:c r="K119" s="25" t="str">
        <x:v>PVE抵扣规则＋持续/倍率映射假设；非地图实测</x:v>
      </x:c>
    </x:row>
    <x:row r="120">
      <x:c r="A120" s="25" t="str">
        <x:v>C08-E</x:v>
      </x:c>
      <x:c r="B120" s="25" t="str">
        <x:v>巨人山顶</x:v>
      </x:c>
      <x:c r="C120" s="25" t="str">
        <x:v>半急速入场</x:v>
      </x:c>
      <x:c r="D120" s="25" t="n">
        <x:v>30</x:v>
      </x:c>
      <x:c r="E120" s="36" t="n">
        <x:f>MIN(1,MAX(0,('03_战斗派生'!AF33-D120)/100))</x:f>
        <x:v>0</x:v>
      </x:c>
      <x:c r="F120" s="25" t="n">
        <x:f>IF(E120&gt;0,'13_参数与假设'!$B$29+'13_参数与假设'!$B$30*MAX(0,E120*100-1)+'01_属性汇总'!AJ33,0)</x:f>
        <x:v>0</x:v>
      </x:c>
      <x:c r="G120" s="25" t="n">
        <x:f>IF(E120&gt;0,'13_参数与假设'!$B$31+'13_参数与假设'!$B$32*MAX(0,E120*100-1)+'01_属性汇总'!AI33/100,1)</x:f>
        <x:v>1</x:v>
      </x:c>
      <x:c r="H120" s="25" t="n">
        <x:f>MAX(0,INT(F120*'03_战斗派生'!P33*'13_参数与假设'!$B$5))</x:f>
        <x:v>0</x:v>
      </x:c>
      <x:c r="I120" s="36" t="n">
        <x:f>IF(E120&gt;0,1-(1-E120)^H120,0)</x:f>
        <x:v>0</x:v>
      </x:c>
      <x:c r="J120" s="40" t="n">
        <x:f>(('03_战斗派生'!R33*'03_战斗派生'!T33*(1+I120*(G120-1))+'01_属性汇总'!AA33)*'03_战斗派生'!P33*'13_参数与假设'!$B$5+'03_战斗派生'!V33)*'13_参数与假设'!$B$6</x:f>
        <x:v>51335213.150519095</x:v>
      </x:c>
      <x:c r="K120" s="25" t="str">
        <x:v>PVE抵扣规则＋持续/倍率映射假设；非地图实测</x:v>
      </x:c>
    </x:row>
    <x:row r="121">
      <x:c r="A121" s="25" t="str">
        <x:v>C08-M</x:v>
      </x:c>
      <x:c r="B121" s="25" t="str">
        <x:v>巨人山顶</x:v>
      </x:c>
      <x:c r="C121" s="25" t="str">
        <x:v>半急速中期</x:v>
      </x:c>
      <x:c r="D121" s="25" t="n">
        <x:v>0</x:v>
      </x:c>
      <x:c r="E121" s="36" t="n">
        <x:f>MIN(1,MAX(0,('03_战斗派生'!AF34-D121)/100))</x:f>
        <x:v>0.345</x:v>
      </x:c>
      <x:c r="F121" s="25" t="n">
        <x:f>IF(E121&gt;0,'13_参数与假设'!$B$29+'13_参数与假设'!$B$30*MAX(0,E121*100-1)+'01_属性汇总'!AJ34,0)</x:f>
        <x:v>8.9</x:v>
      </x:c>
      <x:c r="G121" s="25" t="n">
        <x:f>IF(E121&gt;0,'13_参数与假设'!$B$31+'13_参数与假设'!$B$32*MAX(0,E121*100-1)+'01_属性汇总'!AI34/100,1)</x:f>
        <x:v>8.969999999999999</x:v>
      </x:c>
      <x:c r="H121" s="25" t="n">
        <x:f>MAX(0,INT(F121*'03_战斗派生'!P34*'13_参数与假设'!$B$5))</x:f>
        <x:v>30</x:v>
      </x:c>
      <x:c r="I121" s="36" t="n">
        <x:f>IF(E121&gt;0,1-(1-E121)^H121,0)</x:f>
        <x:v>0.999996929288611</x:v>
      </x:c>
      <x:c r="J121" s="40" t="n">
        <x:f>(('03_战斗派生'!R34*'03_战斗派生'!T34*(1+I121*(G121-1))+'01_属性汇总'!AA34)*'03_战斗派生'!P34*'13_参数与假设'!$B$5+'03_战斗派生'!V34)*'13_参数与假设'!$B$6</x:f>
        <x:v>689345656.2482104</x:v>
      </x:c>
      <x:c r="K121" s="25" t="str">
        <x:v>PVE抵扣规则＋持续/倍率映射假设；非地图实测</x:v>
      </x:c>
    </x:row>
    <x:row r="122">
      <x:c r="A122" s="25" t="str">
        <x:v>C08-M</x:v>
      </x:c>
      <x:c r="B122" s="25" t="str">
        <x:v>巨人山顶</x:v>
      </x:c>
      <x:c r="C122" s="25" t="str">
        <x:v>半急速中期</x:v>
      </x:c>
      <x:c r="D122" s="25" t="n">
        <x:v>10</x:v>
      </x:c>
      <x:c r="E122" s="36" t="n">
        <x:f>MIN(1,MAX(0,('03_战斗派生'!AF34-D122)/100))</x:f>
        <x:v>0.245</x:v>
      </x:c>
      <x:c r="F122" s="25" t="n">
        <x:f>IF(E122&gt;0,'13_参数与假设'!$B$29+'13_参数与假设'!$B$30*MAX(0,E122*100-1)+'01_属性汇总'!AJ34,0)</x:f>
        <x:v>6.9</x:v>
      </x:c>
      <x:c r="G122" s="25" t="n">
        <x:f>IF(E122&gt;0,'13_参数与假设'!$B$31+'13_参数与假设'!$B$32*MAX(0,E122*100-1)+'01_属性汇总'!AI34/100,1)</x:f>
        <x:v>6.970000000000001</x:v>
      </x:c>
      <x:c r="H122" s="25" t="n">
        <x:f>MAX(0,INT(F122*'03_战斗派生'!P34*'13_参数与假设'!$B$5))</x:f>
        <x:v>23</x:v>
      </x:c>
      <x:c r="I122" s="36" t="n">
        <x:f>IF(E122&gt;0,1-(1-E122)^H122,0)</x:f>
        <x:v>0.9984412377215088</x:v>
      </x:c>
      <x:c r="J122" s="40" t="n">
        <x:f>(('03_战斗派生'!R34*'03_战斗派生'!T34*(1+I122*(G122-1))+'01_属性汇总'!AA34)*'03_战斗派生'!P34*'13_参数与假设'!$B$5+'03_战斗派生'!V34)*'13_参数与假设'!$B$6</x:f>
        <x:v>534931705.18214065</x:v>
      </x:c>
      <x:c r="K122" s="25" t="str">
        <x:v>PVE抵扣规则＋持续/倍率映射假设；非地图实测</x:v>
      </x:c>
    </x:row>
    <x:row r="123">
      <x:c r="A123" s="25" t="str">
        <x:v>C08-M</x:v>
      </x:c>
      <x:c r="B123" s="25" t="str">
        <x:v>巨人山顶</x:v>
      </x:c>
      <x:c r="C123" s="25" t="str">
        <x:v>半急速中期</x:v>
      </x:c>
      <x:c r="D123" s="25" t="n">
        <x:v>20</x:v>
      </x:c>
      <x:c r="E123" s="36" t="n">
        <x:f>MIN(1,MAX(0,('03_战斗派生'!AF34-D123)/100))</x:f>
        <x:v>0.145</x:v>
      </x:c>
      <x:c r="F123" s="25" t="n">
        <x:f>IF(E123&gt;0,'13_参数与假设'!$B$29+'13_参数与假设'!$B$30*MAX(0,E123*100-1)+'01_属性汇总'!AJ34,0)</x:f>
        <x:v>4.8999999999999995</x:v>
      </x:c>
      <x:c r="G123" s="25" t="n">
        <x:f>IF(E123&gt;0,'13_参数与假设'!$B$31+'13_参数与假设'!$B$32*MAX(0,E123*100-1)+'01_属性汇总'!AI34/100,1)</x:f>
        <x:v>4.969999999999999</x:v>
      </x:c>
      <x:c r="H123" s="25" t="n">
        <x:f>MAX(0,INT(F123*'03_战斗派生'!P34*'13_参数与假设'!$B$5))</x:f>
        <x:v>16</x:v>
      </x:c>
      <x:c r="I123" s="36" t="n">
        <x:f>IF(E123&gt;0,1-(1-E123)^H123,0)</x:f>
        <x:v>0.9184436397336174</x:v>
      </x:c>
      <x:c r="J123" s="40" t="n">
        <x:f>(('03_战斗派生'!R34*'03_战斗派生'!T34*(1+I123*(G123-1))+'01_属性汇总'!AA34)*'03_战斗派生'!P34*'13_参数与假设'!$B$5+'03_战斗派生'!V34)*'13_参数与假设'!$B$6</x:f>
        <x:v>357063676.1539451</x:v>
      </x:c>
      <x:c r="K123" s="25" t="str">
        <x:v>PVE抵扣规则＋持续/倍率映射假设；非地图实测</x:v>
      </x:c>
    </x:row>
    <x:row r="124">
      <x:c r="A124" s="25" t="str">
        <x:v>C08-M</x:v>
      </x:c>
      <x:c r="B124" s="25" t="str">
        <x:v>巨人山顶</x:v>
      </x:c>
      <x:c r="C124" s="25" t="str">
        <x:v>半急速中期</x:v>
      </x:c>
      <x:c r="D124" s="25" t="n">
        <x:v>30</x:v>
      </x:c>
      <x:c r="E124" s="36" t="n">
        <x:f>MIN(1,MAX(0,('03_战斗派生'!AF34-D124)/100))</x:f>
        <x:v>0.045</x:v>
      </x:c>
      <x:c r="F124" s="25" t="n">
        <x:f>IF(E124&gt;0,'13_参数与假设'!$B$29+'13_参数与假设'!$B$30*MAX(0,E124*100-1)+'01_属性汇总'!AJ34,0)</x:f>
        <x:v>2.9000000000000004</x:v>
      </x:c>
      <x:c r="G124" s="25" t="n">
        <x:f>IF(E124&gt;0,'13_参数与假设'!$B$31+'13_参数与假设'!$B$32*MAX(0,E124*100-1)+'01_属性汇总'!AI34/100,1)</x:f>
        <x:v>2.97</x:v>
      </x:c>
      <x:c r="H124" s="25" t="n">
        <x:f>MAX(0,INT(F124*'03_战斗派生'!P34*'13_参数与假设'!$B$5))</x:f>
        <x:v>9</x:v>
      </x:c>
      <x:c r="I124" s="36" t="n">
        <x:f>IF(E124&gt;0,1-(1-E124)^H124,0)</x:f>
        <x:v>0.3392603875789585</x:v>
      </x:c>
      <x:c r="J124" s="40" t="n">
        <x:f>(('03_战斗派生'!R34*'03_战斗派生'!T34*(1+I124*(G124-1))+'01_属性汇总'!AA34)*'03_战斗派生'!P34*'13_参数与假设'!$B$5+'03_战斗派生'!V34)*'13_参数与假设'!$B$6</x:f>
        <x:v>128212721.61260176</x:v>
      </x:c>
      <x:c r="K124" s="25" t="str">
        <x:v>PVE抵扣规则＋持续/倍率映射假设；非地图实测</x:v>
      </x:c>
    </x:row>
    <x:row r="125">
      <x:c r="A125" s="25" t="str">
        <x:v>C08-G</x:v>
      </x:c>
      <x:c r="B125" s="25" t="str">
        <x:v>巨人山顶</x:v>
      </x:c>
      <x:c r="C125" s="25" t="str">
        <x:v>半急速毕业</x:v>
      </x:c>
      <x:c r="D125" s="25" t="n">
        <x:v>0</x:v>
      </x:c>
      <x:c r="E125" s="36" t="n">
        <x:f>MIN(1,MAX(0,('03_战斗派生'!AF35-D125)/100))</x:f>
        <x:v>0.41</x:v>
      </x:c>
      <x:c r="F125" s="25" t="n">
        <x:f>IF(E125&gt;0,'13_参数与假设'!$B$29+'13_参数与假设'!$B$30*MAX(0,E125*100-1)+'01_属性汇总'!AJ35,0)</x:f>
        <x:v>13.2</x:v>
      </x:c>
      <x:c r="G125" s="25" t="n">
        <x:f>IF(E125&gt;0,'13_参数与假设'!$B$31+'13_参数与假设'!$B$32*MAX(0,E125*100-1)+'01_属性汇总'!AI35/100,1)</x:f>
        <x:v>10.23</x:v>
      </x:c>
      <x:c r="H125" s="25" t="n">
        <x:f>MAX(0,INT(F125*'03_战斗派生'!P35*'13_参数与假设'!$B$5))</x:f>
        <x:v>45</x:v>
      </x:c>
      <x:c r="I125" s="36" t="n">
        <x:f>IF(E125&gt;0,1-(1-E125)^H125,0)</x:f>
        <x:v>0.9999999999512089</x:v>
      </x:c>
      <x:c r="J125" s="40" t="n">
        <x:f>(('03_战斗派生'!R35*'03_战斗派生'!T35*(1+I125*(G125-1))+'01_属性汇总'!AA35)*'03_战斗派生'!P35*'13_参数与假设'!$B$5+'03_战斗派生'!V35)*'13_参数与假设'!$B$6</x:f>
        <x:v>877791743.4084377</x:v>
      </x:c>
      <x:c r="K125" s="25" t="str">
        <x:v>PVE抵扣规则＋持续/倍率映射假设；非地图实测</x:v>
      </x:c>
    </x:row>
    <x:row r="126">
      <x:c r="A126" s="25" t="str">
        <x:v>C08-G</x:v>
      </x:c>
      <x:c r="B126" s="25" t="str">
        <x:v>巨人山顶</x:v>
      </x:c>
      <x:c r="C126" s="25" t="str">
        <x:v>半急速毕业</x:v>
      </x:c>
      <x:c r="D126" s="25" t="n">
        <x:v>10</x:v>
      </x:c>
      <x:c r="E126" s="36" t="n">
        <x:f>MIN(1,MAX(0,('03_战斗派生'!AF35-D126)/100))</x:f>
        <x:v>0.31</x:v>
      </x:c>
      <x:c r="F126" s="25" t="n">
        <x:f>IF(E126&gt;0,'13_参数与假设'!$B$29+'13_参数与假设'!$B$30*MAX(0,E126*100-1)+'01_属性汇总'!AJ35,0)</x:f>
        <x:v>11.2</x:v>
      </x:c>
      <x:c r="G126" s="25" t="n">
        <x:f>IF(E126&gt;0,'13_参数与假设'!$B$31+'13_参数与假设'!$B$32*MAX(0,E126*100-1)+'01_属性汇总'!AI35/100,1)</x:f>
        <x:v>8.23</x:v>
      </x:c>
      <x:c r="H126" s="25" t="n">
        <x:f>MAX(0,INT(F126*'03_战斗派生'!P35*'13_参数与假设'!$B$5))</x:f>
        <x:v>38</x:v>
      </x:c>
      <x:c r="I126" s="36" t="n">
        <x:f>IF(E126&gt;0,1-(1-E126)^H126,0)</x:f>
        <x:v>0.9999992479175611</x:v>
      </x:c>
      <x:c r="J126" s="40" t="n">
        <x:f>(('03_战斗派生'!R35*'03_战斗派生'!T35*(1+I126*(G126-1))+'01_属性汇总'!AA35)*'03_战斗派生'!P35*'13_参数与假设'!$B$5+'03_战斗派生'!V35)*'13_参数与假设'!$B$6</x:f>
        <x:v>706179987.8326173</x:v>
      </x:c>
      <x:c r="K126" s="25" t="str">
        <x:v>PVE抵扣规则＋持续/倍率映射假设；非地图实测</x:v>
      </x:c>
    </x:row>
    <x:row r="127">
      <x:c r="A127" s="25" t="str">
        <x:v>C08-G</x:v>
      </x:c>
      <x:c r="B127" s="25" t="str">
        <x:v>巨人山顶</x:v>
      </x:c>
      <x:c r="C127" s="25" t="str">
        <x:v>半急速毕业</x:v>
      </x:c>
      <x:c r="D127" s="25" t="n">
        <x:v>20</x:v>
      </x:c>
      <x:c r="E127" s="36" t="n">
        <x:f>MIN(1,MAX(0,('03_战斗派生'!AF35-D127)/100))</x:f>
        <x:v>0.21</x:v>
      </x:c>
      <x:c r="F127" s="25" t="n">
        <x:f>IF(E127&gt;0,'13_参数与假设'!$B$29+'13_参数与假设'!$B$30*MAX(0,E127*100-1)+'01_属性汇总'!AJ35,0)</x:f>
        <x:v>9.2</x:v>
      </x:c>
      <x:c r="G127" s="25" t="n">
        <x:f>IF(E127&gt;0,'13_参数与假设'!$B$31+'13_参数与假设'!$B$32*MAX(0,E127*100-1)+'01_属性汇总'!AI35/100,1)</x:f>
        <x:v>6.23</x:v>
      </x:c>
      <x:c r="H127" s="25" t="n">
        <x:f>MAX(0,INT(F127*'03_战斗派生'!P35*'13_参数与假设'!$B$5))</x:f>
        <x:v>31</x:v>
      </x:c>
      <x:c r="I127" s="36" t="n">
        <x:f>IF(E127&gt;0,1-(1-E127)^H127,0)</x:f>
        <x:v>0.9993294366239671</x:v>
      </x:c>
      <x:c r="J127" s="40" t="n">
        <x:f>(('03_战斗派生'!R35*'03_战斗派生'!T35*(1+I127*(G127-1))+'01_属性汇总'!AA35)*'03_战斗派生'!P35*'13_参数与假设'!$B$5+'03_战斗派生'!V35)*'13_参数与假设'!$B$6</x:f>
        <x:v>534268240.9825778</x:v>
      </x:c>
      <x:c r="K127" s="25" t="str">
        <x:v>PVE抵扣规则＋持续/倍率映射假设；非地图实测</x:v>
      </x:c>
    </x:row>
    <x:row r="128">
      <x:c r="A128" s="25" t="str">
        <x:v>C08-G</x:v>
      </x:c>
      <x:c r="B128" s="25" t="str">
        <x:v>巨人山顶</x:v>
      </x:c>
      <x:c r="C128" s="25" t="str">
        <x:v>半急速毕业</x:v>
      </x:c>
      <x:c r="D128" s="25" t="n">
        <x:v>30</x:v>
      </x:c>
      <x:c r="E128" s="36" t="n">
        <x:f>MIN(1,MAX(0,('03_战斗派生'!AF35-D128)/100))</x:f>
        <x:v>0.11</x:v>
      </x:c>
      <x:c r="F128" s="25" t="n">
        <x:f>IF(E128&gt;0,'13_参数与假设'!$B$29+'13_参数与假设'!$B$30*MAX(0,E128*100-1)+'01_属性汇总'!AJ35,0)</x:f>
        <x:v>7.2</x:v>
      </x:c>
      <x:c r="G128" s="25" t="n">
        <x:f>IF(E128&gt;0,'13_参数与假设'!$B$31+'13_参数与假设'!$B$32*MAX(0,E128*100-1)+'01_属性汇总'!AI35/100,1)</x:f>
        <x:v>4.23</x:v>
      </x:c>
      <x:c r="H128" s="25" t="n">
        <x:f>MAX(0,INT(F128*'03_战斗派生'!P35*'13_参数与假设'!$B$5))</x:f>
        <x:v>24</x:v>
      </x:c>
      <x:c r="I128" s="36" t="n">
        <x:f>IF(E128&gt;0,1-(1-E128)^H128,0)</x:f>
        <x:v>0.9389957405466689</x:v>
      </x:c>
      <x:c r="J128" s="40" t="n">
        <x:f>(('03_战斗派生'!R35*'03_战斗派生'!T35*(1+I128*(G128-1))+'01_属性汇总'!AA35)*'03_战斗派生'!P35*'13_参数与假设'!$B$5+'03_战斗派生'!V35)*'13_参数与假设'!$B$6</x:f>
        <x:v>346050409.665776</x:v>
      </x:c>
      <x:c r="K128" s="25" t="str">
        <x:v>PVE抵扣规则＋持续/倍率映射假设；非地图实测</x:v>
      </x:c>
    </x:row>
    <x:row r="129">
      <x:c r="A129" s="25" t="str">
        <x:v>C08-X</x:v>
      </x:c>
      <x:c r="B129" s="25" t="str">
        <x:v>巨人山顶</x:v>
      </x:c>
      <x:c r="C129" s="25" t="str">
        <x:v>极端压力</x:v>
      </x:c>
      <x:c r="D129" s="25" t="n">
        <x:v>0</x:v>
      </x:c>
      <x:c r="E129" s="36" t="n">
        <x:f>MIN(1,MAX(0,('03_战斗派生'!AF36-D129)/100))</x:f>
        <x:v>0.47</x:v>
      </x:c>
      <x:c r="F129" s="25" t="n">
        <x:f>IF(E129&gt;0,'13_参数与假设'!$B$29+'13_参数与假设'!$B$30*MAX(0,E129*100-1)+'01_属性汇总'!AJ36,0)</x:f>
        <x:v>11.8</x:v>
      </x:c>
      <x:c r="G129" s="25" t="n">
        <x:f>IF(E129&gt;0,'13_参数与假设'!$B$31+'13_参数与假设'!$B$32*MAX(0,E129*100-1)+'01_属性汇总'!AI36/100,1)</x:f>
        <x:v>11.88</x:v>
      </x:c>
      <x:c r="H129" s="25" t="n">
        <x:f>MAX(0,INT(F129*'03_战斗派生'!P36*'13_参数与假设'!$B$5))</x:f>
        <x:v>48</x:v>
      </x:c>
      <x:c r="I129" s="36" t="n">
        <x:f>IF(E129&gt;0,1-(1-E129)^H129,0)</x:f>
        <x:v>0.9999999999999417</x:v>
      </x:c>
      <x:c r="J129" s="40" t="n">
        <x:f>(('03_战斗派生'!R36*'03_战斗派生'!T36*(1+I129*(G129-1))+'01_属性汇总'!AA36)*'03_战斗派生'!P36*'13_参数与假设'!$B$5+'03_战斗派生'!V36)*'13_参数与假设'!$B$6</x:f>
        <x:v>7779947743.418129</x:v>
      </x:c>
      <x:c r="K129" s="25" t="str">
        <x:v>PVE抵扣规则＋持续/倍率映射假设；非地图实测</x:v>
      </x:c>
    </x:row>
    <x:row r="130">
      <x:c r="A130" s="25" t="str">
        <x:v>C08-X</x:v>
      </x:c>
      <x:c r="B130" s="25" t="str">
        <x:v>巨人山顶</x:v>
      </x:c>
      <x:c r="C130" s="25" t="str">
        <x:v>极端压力</x:v>
      </x:c>
      <x:c r="D130" s="25" t="n">
        <x:v>10</x:v>
      </x:c>
      <x:c r="E130" s="36" t="n">
        <x:f>MIN(1,MAX(0,('03_战斗派生'!AF36-D130)/100))</x:f>
        <x:v>0.37</x:v>
      </x:c>
      <x:c r="F130" s="25" t="n">
        <x:f>IF(E130&gt;0,'13_参数与假设'!$B$29+'13_参数与假设'!$B$30*MAX(0,E130*100-1)+'01_属性汇总'!AJ36,0)</x:f>
        <x:v>9.799999999999999</x:v>
      </x:c>
      <x:c r="G130" s="25" t="n">
        <x:f>IF(E130&gt;0,'13_参数与假设'!$B$31+'13_参数与假设'!$B$32*MAX(0,E130*100-1)+'01_属性汇总'!AI36/100,1)</x:f>
        <x:v>9.879999999999999</x:v>
      </x:c>
      <x:c r="H130" s="25" t="n">
        <x:f>MAX(0,INT(F130*'03_战斗派生'!P36*'13_参数与假设'!$B$5))</x:f>
        <x:v>40</x:v>
      </x:c>
      <x:c r="I130" s="36" t="n">
        <x:f>IF(E130&gt;0,1-(1-E130)^H130,0)</x:f>
        <x:v>0.9999999905892989</x:v>
      </x:c>
      <x:c r="J130" s="40" t="n">
        <x:f>(('03_战斗派生'!R36*'03_战斗派生'!T36*(1+I130*(G130-1))+'01_属性汇总'!AA36)*'03_战斗派生'!P36*'13_参数与假设'!$B$5+'03_战斗派生'!V36)*'13_参数与假设'!$B$6</x:f>
        <x:v>6470192176.332334</x:v>
      </x:c>
      <x:c r="K130" s="25" t="str">
        <x:v>PVE抵扣规则＋持续/倍率映射假设；非地图实测</x:v>
      </x:c>
    </x:row>
    <x:row r="131">
      <x:c r="A131" s="25" t="str">
        <x:v>C08-X</x:v>
      </x:c>
      <x:c r="B131" s="25" t="str">
        <x:v>巨人山顶</x:v>
      </x:c>
      <x:c r="C131" s="25" t="str">
        <x:v>极端压力</x:v>
      </x:c>
      <x:c r="D131" s="25" t="n">
        <x:v>20</x:v>
      </x:c>
      <x:c r="E131" s="36" t="n">
        <x:f>MIN(1,MAX(0,('03_战斗派生'!AF36-D131)/100))</x:f>
        <x:v>0.27</x:v>
      </x:c>
      <x:c r="F131" s="25" t="n">
        <x:f>IF(E131&gt;0,'13_参数与假设'!$B$29+'13_参数与假设'!$B$30*MAX(0,E131*100-1)+'01_属性汇总'!AJ36,0)</x:f>
        <x:v>7.800000000000001</x:v>
      </x:c>
      <x:c r="G131" s="25" t="n">
        <x:f>IF(E131&gt;0,'13_参数与假设'!$B$31+'13_参数与假设'!$B$32*MAX(0,E131*100-1)+'01_属性汇总'!AI36/100,1)</x:f>
        <x:v>7.88</x:v>
      </x:c>
      <x:c r="H131" s="25" t="n">
        <x:f>MAX(0,INT(F131*'03_战斗派生'!P36*'13_参数与假设'!$B$5))</x:f>
        <x:v>31</x:v>
      </x:c>
      <x:c r="I131" s="36" t="n">
        <x:f>IF(E131&gt;0,1-(1-E131)^H131,0)</x:f>
        <x:v>0.9999420559744443</x:v>
      </x:c>
      <x:c r="J131" s="40" t="n">
        <x:f>(('03_战斗派生'!R36*'03_战斗派生'!T36*(1+I131*(G131-1))+'01_属性汇总'!AA36)*'03_战斗派生'!P36*'13_参数与假设'!$B$5+'03_战斗派生'!V36)*'13_参数与假设'!$B$6</x:f>
        <x:v>5160175648.474829</x:v>
      </x:c>
      <x:c r="K131" s="25" t="str">
        <x:v>PVE抵扣规则＋持续/倍率映射假设；非地图实测</x:v>
      </x:c>
    </x:row>
    <x:row r="132">
      <x:c r="A132" s="25" t="str">
        <x:v>C08-X</x:v>
      </x:c>
      <x:c r="B132" s="25" t="str">
        <x:v>巨人山顶</x:v>
      </x:c>
      <x:c r="C132" s="25" t="str">
        <x:v>极端压力</x:v>
      </x:c>
      <x:c r="D132" s="25" t="n">
        <x:v>30</x:v>
      </x:c>
      <x:c r="E132" s="36" t="n">
        <x:f>MIN(1,MAX(0,('03_战斗派生'!AF36-D132)/100))</x:f>
        <x:v>0.17</x:v>
      </x:c>
      <x:c r="F132" s="25" t="n">
        <x:f>IF(E132&gt;0,'13_参数与假设'!$B$29+'13_参数与假设'!$B$30*MAX(0,E132*100-1)+'01_属性汇总'!AJ36,0)</x:f>
        <x:v>5.800000000000001</x:v>
      </x:c>
      <x:c r="G132" s="25" t="n">
        <x:f>IF(E132&gt;0,'13_参数与假设'!$B$31+'13_参数与假设'!$B$32*MAX(0,E132*100-1)+'01_属性汇总'!AI36/100,1)</x:f>
        <x:v>5.88</x:v>
      </x:c>
      <x:c r="H132" s="25" t="n">
        <x:f>MAX(0,INT(F132*'03_战斗派生'!P36*'13_参数与假设'!$B$5))</x:f>
        <x:v>23</x:v>
      </x:c>
      <x:c r="I132" s="36" t="n">
        <x:f>IF(E132&gt;0,1-(1-E132)^H132,0)</x:f>
        <x:v>0.9862343689706373</x:v>
      </x:c>
      <x:c r="J132" s="40" t="n">
        <x:f>(('03_战斗派生'!R36*'03_战斗派生'!T36*(1+I132*(G132-1))+'01_属性汇总'!AA36)*'03_战斗派生'!P36*'13_参数与假设'!$B$5+'03_战斗派生'!V36)*'13_参数与假设'!$B$6</x:f>
        <x:v>3806688955.201226</x:v>
      </x:c>
      <x:c r="K132" s="25" t="str">
        <x:v>PVE抵扣规则＋持续/倍率映射假设；非地图实测</x:v>
      </x:c>
    </x:row>
    <x:row r="133">
      <x:c r="A133" s="25" t="str">
        <x:v>C09-E</x:v>
      </x:c>
      <x:c r="B133" s="25" t="str">
        <x:v>亚坛高原</x:v>
      </x:c>
      <x:c r="C133" s="25" t="str">
        <x:v>半急速入场</x:v>
      </x:c>
      <x:c r="D133" s="25" t="n">
        <x:v>0</x:v>
      </x:c>
      <x:c r="E133" s="36" t="n">
        <x:f>MIN(1,MAX(0,('03_战斗派生'!AF37-D133)/100))</x:f>
        <x:v>0.41</x:v>
      </x:c>
      <x:c r="F133" s="25" t="n">
        <x:f>IF(E133&gt;0,'13_参数与假设'!$B$29+'13_参数与假设'!$B$30*MAX(0,E133*100-1)+'01_属性汇总'!AJ37,0)</x:f>
        <x:v>13.2</x:v>
      </x:c>
      <x:c r="G133" s="25" t="n">
        <x:f>IF(E133&gt;0,'13_参数与假设'!$B$31+'13_参数与假设'!$B$32*MAX(0,E133*100-1)+'01_属性汇总'!AI37/100,1)</x:f>
        <x:v>10.23</x:v>
      </x:c>
      <x:c r="H133" s="25" t="n">
        <x:f>MAX(0,INT(F133*'03_战斗派生'!P37*'13_参数与假设'!$B$5))</x:f>
        <x:v>45</x:v>
      </x:c>
      <x:c r="I133" s="36" t="n">
        <x:f>IF(E133&gt;0,1-(1-E133)^H133,0)</x:f>
        <x:v>0.9999999999512089</x:v>
      </x:c>
      <x:c r="J133" s="40" t="n">
        <x:f>(('03_战斗派生'!R37*'03_战斗派生'!T37*(1+I133*(G133-1))+'01_属性汇总'!AA37)*'03_战斗派生'!P37*'13_参数与假设'!$B$5+'03_战斗派生'!V37)*'13_参数与假设'!$B$6</x:f>
        <x:v>877791743.4084377</x:v>
      </x:c>
      <x:c r="K133" s="25" t="str">
        <x:v>PVE抵扣规则＋持续/倍率映射假设；非地图实测</x:v>
      </x:c>
    </x:row>
    <x:row r="134">
      <x:c r="A134" s="25" t="str">
        <x:v>C09-E</x:v>
      </x:c>
      <x:c r="B134" s="25" t="str">
        <x:v>亚坛高原</x:v>
      </x:c>
      <x:c r="C134" s="25" t="str">
        <x:v>半急速入场</x:v>
      </x:c>
      <x:c r="D134" s="25" t="n">
        <x:v>10</x:v>
      </x:c>
      <x:c r="E134" s="36" t="n">
        <x:f>MIN(1,MAX(0,('03_战斗派生'!AF37-D134)/100))</x:f>
        <x:v>0.31</x:v>
      </x:c>
      <x:c r="F134" s="25" t="n">
        <x:f>IF(E134&gt;0,'13_参数与假设'!$B$29+'13_参数与假设'!$B$30*MAX(0,E134*100-1)+'01_属性汇总'!AJ37,0)</x:f>
        <x:v>11.2</x:v>
      </x:c>
      <x:c r="G134" s="25" t="n">
        <x:f>IF(E134&gt;0,'13_参数与假设'!$B$31+'13_参数与假设'!$B$32*MAX(0,E134*100-1)+'01_属性汇总'!AI37/100,1)</x:f>
        <x:v>8.23</x:v>
      </x:c>
      <x:c r="H134" s="25" t="n">
        <x:f>MAX(0,INT(F134*'03_战斗派生'!P37*'13_参数与假设'!$B$5))</x:f>
        <x:v>38</x:v>
      </x:c>
      <x:c r="I134" s="36" t="n">
        <x:f>IF(E134&gt;0,1-(1-E134)^H134,0)</x:f>
        <x:v>0.9999992479175611</x:v>
      </x:c>
      <x:c r="J134" s="40" t="n">
        <x:f>(('03_战斗派生'!R37*'03_战斗派生'!T37*(1+I134*(G134-1))+'01_属性汇总'!AA37)*'03_战斗派生'!P37*'13_参数与假设'!$B$5+'03_战斗派生'!V37)*'13_参数与假设'!$B$6</x:f>
        <x:v>706179987.8326173</x:v>
      </x:c>
      <x:c r="K134" s="25" t="str">
        <x:v>PVE抵扣规则＋持续/倍率映射假设；非地图实测</x:v>
      </x:c>
    </x:row>
    <x:row r="135">
      <x:c r="A135" s="25" t="str">
        <x:v>C09-E</x:v>
      </x:c>
      <x:c r="B135" s="25" t="str">
        <x:v>亚坛高原</x:v>
      </x:c>
      <x:c r="C135" s="25" t="str">
        <x:v>半急速入场</x:v>
      </x:c>
      <x:c r="D135" s="25" t="n">
        <x:v>20</x:v>
      </x:c>
      <x:c r="E135" s="36" t="n">
        <x:f>MIN(1,MAX(0,('03_战斗派生'!AF37-D135)/100))</x:f>
        <x:v>0.21</x:v>
      </x:c>
      <x:c r="F135" s="25" t="n">
        <x:f>IF(E135&gt;0,'13_参数与假设'!$B$29+'13_参数与假设'!$B$30*MAX(0,E135*100-1)+'01_属性汇总'!AJ37,0)</x:f>
        <x:v>9.2</x:v>
      </x:c>
      <x:c r="G135" s="25" t="n">
        <x:f>IF(E135&gt;0,'13_参数与假设'!$B$31+'13_参数与假设'!$B$32*MAX(0,E135*100-1)+'01_属性汇总'!AI37/100,1)</x:f>
        <x:v>6.23</x:v>
      </x:c>
      <x:c r="H135" s="25" t="n">
        <x:f>MAX(0,INT(F135*'03_战斗派生'!P37*'13_参数与假设'!$B$5))</x:f>
        <x:v>31</x:v>
      </x:c>
      <x:c r="I135" s="36" t="n">
        <x:f>IF(E135&gt;0,1-(1-E135)^H135,0)</x:f>
        <x:v>0.9993294366239671</x:v>
      </x:c>
      <x:c r="J135" s="40" t="n">
        <x:f>(('03_战斗派生'!R37*'03_战斗派生'!T37*(1+I135*(G135-1))+'01_属性汇总'!AA37)*'03_战斗派生'!P37*'13_参数与假设'!$B$5+'03_战斗派生'!V37)*'13_参数与假设'!$B$6</x:f>
        <x:v>534268240.9825778</x:v>
      </x:c>
      <x:c r="K135" s="25" t="str">
        <x:v>PVE抵扣规则＋持续/倍率映射假设；非地图实测</x:v>
      </x:c>
    </x:row>
    <x:row r="136">
      <x:c r="A136" s="25" t="str">
        <x:v>C09-E</x:v>
      </x:c>
      <x:c r="B136" s="25" t="str">
        <x:v>亚坛高原</x:v>
      </x:c>
      <x:c r="C136" s="25" t="str">
        <x:v>半急速入场</x:v>
      </x:c>
      <x:c r="D136" s="25" t="n">
        <x:v>30</x:v>
      </x:c>
      <x:c r="E136" s="36" t="n">
        <x:f>MIN(1,MAX(0,('03_战斗派生'!AF37-D136)/100))</x:f>
        <x:v>0.11</x:v>
      </x:c>
      <x:c r="F136" s="25" t="n">
        <x:f>IF(E136&gt;0,'13_参数与假设'!$B$29+'13_参数与假设'!$B$30*MAX(0,E136*100-1)+'01_属性汇总'!AJ37,0)</x:f>
        <x:v>7.2</x:v>
      </x:c>
      <x:c r="G136" s="25" t="n">
        <x:f>IF(E136&gt;0,'13_参数与假设'!$B$31+'13_参数与假设'!$B$32*MAX(0,E136*100-1)+'01_属性汇总'!AI37/100,1)</x:f>
        <x:v>4.23</x:v>
      </x:c>
      <x:c r="H136" s="25" t="n">
        <x:f>MAX(0,INT(F136*'03_战斗派生'!P37*'13_参数与假设'!$B$5))</x:f>
        <x:v>24</x:v>
      </x:c>
      <x:c r="I136" s="36" t="n">
        <x:f>IF(E136&gt;0,1-(1-E136)^H136,0)</x:f>
        <x:v>0.9389957405466689</x:v>
      </x:c>
      <x:c r="J136" s="40" t="n">
        <x:f>(('03_战斗派生'!R37*'03_战斗派生'!T37*(1+I136*(G136-1))+'01_属性汇总'!AA37)*'03_战斗派生'!P37*'13_参数与假设'!$B$5+'03_战斗派生'!V37)*'13_参数与假设'!$B$6</x:f>
        <x:v>346050409.665776</x:v>
      </x:c>
      <x:c r="K136" s="25" t="str">
        <x:v>PVE抵扣规则＋持续/倍率映射假设；非地图实测</x:v>
      </x:c>
    </x:row>
    <x:row r="137">
      <x:c r="A137" s="25" t="str">
        <x:v>C09-M</x:v>
      </x:c>
      <x:c r="B137" s="25" t="str">
        <x:v>亚坛高原</x:v>
      </x:c>
      <x:c r="C137" s="25" t="str">
        <x:v>半急速中期</x:v>
      </x:c>
      <x:c r="D137" s="25" t="n">
        <x:v>0</x:v>
      </x:c>
      <x:c r="E137" s="36" t="n">
        <x:f>MIN(1,MAX(0,('03_战斗派生'!AF38-D137)/100))</x:f>
        <x:v>0.38</x:v>
      </x:c>
      <x:c r="F137" s="25" t="n">
        <x:f>IF(E137&gt;0,'13_参数与假设'!$B$29+'13_参数与假设'!$B$30*MAX(0,E137*100-1)+'01_属性汇总'!AJ38,0)</x:f>
        <x:v>9.6</x:v>
      </x:c>
      <x:c r="G137" s="25" t="n">
        <x:f>IF(E137&gt;0,'13_参数与假设'!$B$31+'13_参数与假设'!$B$32*MAX(0,E137*100-1)+'01_属性汇总'!AI38/100,1)</x:f>
        <x:v>9.64</x:v>
      </x:c>
      <x:c r="H137" s="25" t="n">
        <x:f>MAX(0,INT(F137*'03_战斗派生'!P38*'13_参数与假设'!$B$5))</x:f>
        <x:v>32</x:v>
      </x:c>
      <x:c r="I137" s="36" t="n">
        <x:f>IF(E137&gt;0,1-(1-E137)^H137,0)</x:f>
        <x:v>0.9999997727342116</x:v>
      </x:c>
      <x:c r="J137" s="40" t="n">
        <x:f>(('03_战斗派生'!R38*'03_战斗派生'!T38*(1+I137*(G137-1))+'01_属性汇总'!AA38)*'03_战斗派生'!P38*'13_参数与假设'!$B$5+'03_战斗派生'!V38)*'13_参数与假设'!$B$6</x:f>
        <x:v>1247144183.896877</x:v>
      </x:c>
      <x:c r="K137" s="25" t="str">
        <x:v>PVE抵扣规则＋持续/倍率映射假设；非地图实测</x:v>
      </x:c>
    </x:row>
    <x:row r="138">
      <x:c r="A138" s="25" t="str">
        <x:v>C09-M</x:v>
      </x:c>
      <x:c r="B138" s="25" t="str">
        <x:v>亚坛高原</x:v>
      </x:c>
      <x:c r="C138" s="25" t="str">
        <x:v>半急速中期</x:v>
      </x:c>
      <x:c r="D138" s="25" t="n">
        <x:v>10</x:v>
      </x:c>
      <x:c r="E138" s="36" t="n">
        <x:f>MIN(1,MAX(0,('03_战斗派生'!AF38-D138)/100))</x:f>
        <x:v>0.28</x:v>
      </x:c>
      <x:c r="F138" s="25" t="n">
        <x:f>IF(E138&gt;0,'13_参数与假设'!$B$29+'13_参数与假设'!$B$30*MAX(0,E138*100-1)+'01_属性汇总'!AJ38,0)</x:f>
        <x:v>7.600000000000001</x:v>
      </x:c>
      <x:c r="G138" s="25" t="n">
        <x:f>IF(E138&gt;0,'13_参数与假设'!$B$31+'13_参数与假设'!$B$32*MAX(0,E138*100-1)+'01_属性汇总'!AI38/100,1)</x:f>
        <x:v>7.6400000000000015</x:v>
      </x:c>
      <x:c r="H138" s="25" t="n">
        <x:f>MAX(0,INT(F138*'03_战斗派生'!P38*'13_参数与假设'!$B$5))</x:f>
        <x:v>26</x:v>
      </x:c>
      <x:c r="I138" s="36" t="n">
        <x:f>IF(E138&gt;0,1-(1-E138)^H138,0)</x:f>
        <x:v>0.9998047257820367</x:v>
      </x:c>
      <x:c r="J138" s="40" t="n">
        <x:f>(('03_战斗派生'!R38*'03_战斗派生'!T38*(1+I138*(G138-1))+'01_属性汇总'!AA38)*'03_战斗派生'!P38*'13_参数与假设'!$B$5+'03_战斗派生'!V38)*'13_参数与假设'!$B$6</x:f>
        <x:v>988233032.4009026</x:v>
      </x:c>
      <x:c r="K138" s="25" t="str">
        <x:v>PVE抵扣规则＋持续/倍率映射假设；非地图实测</x:v>
      </x:c>
    </x:row>
    <x:row r="139">
      <x:c r="A139" s="25" t="str">
        <x:v>C09-M</x:v>
      </x:c>
      <x:c r="B139" s="25" t="str">
        <x:v>亚坛高原</x:v>
      </x:c>
      <x:c r="C139" s="25" t="str">
        <x:v>半急速中期</x:v>
      </x:c>
      <x:c r="D139" s="25" t="n">
        <x:v>20</x:v>
      </x:c>
      <x:c r="E139" s="36" t="n">
        <x:f>MIN(1,MAX(0,('03_战斗派生'!AF38-D139)/100))</x:f>
        <x:v>0.18</x:v>
      </x:c>
      <x:c r="F139" s="25" t="n">
        <x:f>IF(E139&gt;0,'13_参数与假设'!$B$29+'13_参数与假设'!$B$30*MAX(0,E139*100-1)+'01_属性汇总'!AJ38,0)</x:f>
        <x:v>5.6000000000000005</x:v>
      </x:c>
      <x:c r="G139" s="25" t="n">
        <x:f>IF(E139&gt;0,'13_参数与假设'!$B$31+'13_参数与假设'!$B$32*MAX(0,E139*100-1)+'01_属性汇总'!AI38/100,1)</x:f>
        <x:v>5.640000000000001</x:v>
      </x:c>
      <x:c r="H139" s="25" t="n">
        <x:f>MAX(0,INT(F139*'03_战斗派生'!P38*'13_参数与假设'!$B$5))</x:f>
        <x:v>19</x:v>
      </x:c>
      <x:c r="I139" s="36" t="n">
        <x:f>IF(E139&gt;0,1-(1-E139)^H139,0)</x:f>
        <x:v>0.9769610227827668</x:v>
      </x:c>
      <x:c r="J139" s="40" t="n">
        <x:f>(('03_战斗派生'!R38*'03_战斗派生'!T38*(1+I139*(G139-1))+'01_属性汇总'!AA38)*'03_战斗派生'!P38*'13_参数与假设'!$B$5+'03_战斗派生'!V38)*'13_参数与假设'!$B$6</x:f>
        <x:v>715827160.1743646</x:v>
      </x:c>
      <x:c r="K139" s="25" t="str">
        <x:v>PVE抵扣规则＋持续/倍率映射假设；非地图实测</x:v>
      </x:c>
    </x:row>
    <x:row r="140">
      <x:c r="A140" s="25" t="str">
        <x:v>C09-M</x:v>
      </x:c>
      <x:c r="B140" s="25" t="str">
        <x:v>亚坛高原</x:v>
      </x:c>
      <x:c r="C140" s="25" t="str">
        <x:v>半急速中期</x:v>
      </x:c>
      <x:c r="D140" s="25" t="n">
        <x:v>30</x:v>
      </x:c>
      <x:c r="E140" s="36" t="n">
        <x:f>MIN(1,MAX(0,('03_战斗派生'!AF38-D140)/100))</x:f>
        <x:v>0.08</x:v>
      </x:c>
      <x:c r="F140" s="25" t="n">
        <x:f>IF(E140&gt;0,'13_参数与假设'!$B$29+'13_参数与假设'!$B$30*MAX(0,E140*100-1)+'01_属性汇总'!AJ38,0)</x:f>
        <x:v>3.6000000000000005</x:v>
      </x:c>
      <x:c r="G140" s="25" t="n">
        <x:f>IF(E140&gt;0,'13_参数与假设'!$B$31+'13_参数与假设'!$B$32*MAX(0,E140*100-1)+'01_属性汇总'!AI38/100,1)</x:f>
        <x:v>3.6400000000000006</x:v>
      </x:c>
      <x:c r="H140" s="25" t="n">
        <x:f>MAX(0,INT(F140*'03_战斗派生'!P38*'13_参数与假设'!$B$5))</x:f>
        <x:v>12</x:v>
      </x:c>
      <x:c r="I140" s="36" t="n">
        <x:f>IF(E140&gt;0,1-(1-E140)^H140,0)</x:f>
        <x:v>0.6323336123451175</x:v>
      </x:c>
      <x:c r="J140" s="40" t="n">
        <x:f>(('03_战斗派生'!R38*'03_战斗派生'!T38*(1+I140*(G140-1))+'01_属性汇总'!AA38)*'03_战斗派生'!P38*'13_参数与假设'!$B$5+'03_战斗派生'!V38)*'13_参数与假设'!$B$6</x:f>
        <x:v>345340082.517005</x:v>
      </x:c>
      <x:c r="K140" s="25" t="str">
        <x:v>PVE抵扣规则＋持续/倍率映射假设；非地图实测</x:v>
      </x:c>
    </x:row>
    <x:row r="141">
      <x:c r="A141" s="25" t="str">
        <x:v>C09-G</x:v>
      </x:c>
      <x:c r="B141" s="25" t="str">
        <x:v>亚坛高原</x:v>
      </x:c>
      <x:c r="C141" s="25" t="str">
        <x:v>半急速毕业</x:v>
      </x:c>
      <x:c r="D141" s="25" t="n">
        <x:v>0</x:v>
      </x:c>
      <x:c r="E141" s="36" t="n">
        <x:f>MIN(1,MAX(0,('03_战斗派生'!AF39-D141)/100))</x:f>
        <x:v>0.42</x:v>
      </x:c>
      <x:c r="F141" s="25" t="n">
        <x:f>IF(E141&gt;0,'13_参数与假设'!$B$29+'13_参数与假设'!$B$30*MAX(0,E141*100-1)+'01_属性汇总'!AJ39,0)</x:f>
        <x:v>11.700000000000001</x:v>
      </x:c>
      <x:c r="G141" s="25" t="n">
        <x:f>IF(E141&gt;0,'13_参数与假设'!$B$31+'13_参数与假设'!$B$32*MAX(0,E141*100-1)+'01_属性汇总'!AI39/100,1)</x:f>
        <x:v>10.55</x:v>
      </x:c>
      <x:c r="H141" s="25" t="n">
        <x:f>MAX(0,INT(F141*'03_战斗派生'!P39*'13_参数与假设'!$B$5))</x:f>
        <x:v>47</x:v>
      </x:c>
      <x:c r="I141" s="36" t="n">
        <x:f>IF(E141&gt;0,1-(1-E141)^H141,0)</x:f>
        <x:v>0.9999999999923948</x:v>
      </x:c>
      <x:c r="J141" s="40" t="n">
        <x:f>(('03_战斗派生'!R39*'03_战斗派生'!T39*(1+I141*(G141-1))+'01_属性汇总'!AA39)*'03_战斗派生'!P39*'13_参数与假设'!$B$5+'03_战斗派生'!V39)*'13_参数与假设'!$B$6</x:f>
        <x:v>3105421696.769354</x:v>
      </x:c>
      <x:c r="K141" s="25" t="str">
        <x:v>PVE抵扣规则＋持续/倍率映射假设；非地图实测</x:v>
      </x:c>
    </x:row>
    <x:row r="142">
      <x:c r="A142" s="25" t="str">
        <x:v>C09-G</x:v>
      </x:c>
      <x:c r="B142" s="25" t="str">
        <x:v>亚坛高原</x:v>
      </x:c>
      <x:c r="C142" s="25" t="str">
        <x:v>半急速毕业</x:v>
      </x:c>
      <x:c r="D142" s="25" t="n">
        <x:v>10</x:v>
      </x:c>
      <x:c r="E142" s="36" t="n">
        <x:f>MIN(1,MAX(0,('03_战斗派生'!AF39-D142)/100))</x:f>
        <x:v>0.32</x:v>
      </x:c>
      <x:c r="F142" s="25" t="n">
        <x:f>IF(E142&gt;0,'13_参数与假设'!$B$29+'13_参数与假设'!$B$30*MAX(0,E142*100-1)+'01_属性汇总'!AJ39,0)</x:f>
        <x:v>9.7</x:v>
      </x:c>
      <x:c r="G142" s="25" t="n">
        <x:f>IF(E142&gt;0,'13_参数与假设'!$B$31+'13_参数与假设'!$B$32*MAX(0,E142*100-1)+'01_属性汇总'!AI39/100,1)</x:f>
        <x:v>8.549999999999999</x:v>
      </x:c>
      <x:c r="H142" s="25" t="n">
        <x:f>MAX(0,INT(F142*'03_战斗派生'!P39*'13_参数与假设'!$B$5))</x:f>
        <x:v>39</x:v>
      </x:c>
      <x:c r="I142" s="36" t="n">
        <x:f>IF(E142&gt;0,1-(1-E142)^H142,0)</x:f>
        <x:v>0.999999706338106</x:v>
      </x:c>
      <x:c r="J142" s="40" t="n">
        <x:f>(('03_战斗派生'!R39*'03_战斗派生'!T39*(1+I142*(G142-1))+'01_属性汇总'!AA39)*'03_战斗派生'!P39*'13_参数与假设'!$B$5+'03_战斗派生'!V39)*'13_参数与假设'!$B$6</x:f>
        <x:v>2516715509.230657</x:v>
      </x:c>
      <x:c r="K142" s="25" t="str">
        <x:v>PVE抵扣规则＋持续/倍率映射假设；非地图实测</x:v>
      </x:c>
    </x:row>
    <x:row r="143">
      <x:c r="A143" s="25" t="str">
        <x:v>C09-G</x:v>
      </x:c>
      <x:c r="B143" s="25" t="str">
        <x:v>亚坛高原</x:v>
      </x:c>
      <x:c r="C143" s="25" t="str">
        <x:v>半急速毕业</x:v>
      </x:c>
      <x:c r="D143" s="25" t="n">
        <x:v>20</x:v>
      </x:c>
      <x:c r="E143" s="36" t="n">
        <x:f>MIN(1,MAX(0,('03_战斗派生'!AF39-D143)/100))</x:f>
        <x:v>0.22</x:v>
      </x:c>
      <x:c r="F143" s="25" t="n">
        <x:f>IF(E143&gt;0,'13_参数与假设'!$B$29+'13_参数与假设'!$B$30*MAX(0,E143*100-1)+'01_属性汇总'!AJ39,0)</x:f>
        <x:v>7.7</x:v>
      </x:c>
      <x:c r="G143" s="25" t="n">
        <x:f>IF(E143&gt;0,'13_参数与假设'!$B$31+'13_参数与假设'!$B$32*MAX(0,E143*100-1)+'01_属性汇总'!AI39/100,1)</x:f>
        <x:v>6.55</x:v>
      </x:c>
      <x:c r="H143" s="25" t="n">
        <x:f>MAX(0,INT(F143*'03_战斗派生'!P39*'13_参数与假设'!$B$5))</x:f>
        <x:v>31</x:v>
      </x:c>
      <x:c r="I143" s="36" t="n">
        <x:f>IF(E143&gt;0,1-(1-E143)^H143,0)</x:f>
        <x:v>0.9995482140888575</x:v>
      </x:c>
      <x:c r="J143" s="40" t="n">
        <x:f>(('03_战斗派生'!R39*'03_战斗派生'!T39*(1+I143*(G143-1))+'01_属性汇总'!AA39)*'03_战斗派生'!P39*'13_参数与假设'!$B$5+'03_战斗派生'!V39)*'13_参数与假设'!$B$6</x:f>
        <x:v>1927272563.3129425</x:v>
      </x:c>
      <x:c r="K143" s="25" t="str">
        <x:v>PVE抵扣规则＋持续/倍率映射假设；非地图实测</x:v>
      </x:c>
    </x:row>
    <x:row r="144">
      <x:c r="A144" s="25" t="str">
        <x:v>C09-G</x:v>
      </x:c>
      <x:c r="B144" s="25" t="str">
        <x:v>亚坛高原</x:v>
      </x:c>
      <x:c r="C144" s="25" t="str">
        <x:v>半急速毕业</x:v>
      </x:c>
      <x:c r="D144" s="25" t="n">
        <x:v>30</x:v>
      </x:c>
      <x:c r="E144" s="36" t="n">
        <x:f>MIN(1,MAX(0,('03_战斗派生'!AF39-D144)/100))</x:f>
        <x:v>0.12</x:v>
      </x:c>
      <x:c r="F144" s="25" t="n">
        <x:f>IF(E144&gt;0,'13_参数与假设'!$B$29+'13_参数与假设'!$B$30*MAX(0,E144*100-1)+'01_属性汇总'!AJ39,0)</x:f>
        <x:v>5.7</x:v>
      </x:c>
      <x:c r="G144" s="25" t="n">
        <x:f>IF(E144&gt;0,'13_参数与假设'!$B$31+'13_参数与假设'!$B$32*MAX(0,E144*100-1)+'01_属性汇总'!AI39/100,1)</x:f>
        <x:v>4.55</x:v>
      </x:c>
      <x:c r="H144" s="25" t="n">
        <x:f>MAX(0,INT(F144*'03_战斗派生'!P39*'13_参数与假设'!$B$5))</x:f>
        <x:v>23</x:v>
      </x:c>
      <x:c r="I144" s="36" t="n">
        <x:f>IF(E144&gt;0,1-(1-E144)^H144,0)</x:f>
        <x:v>0.9471431278937956</x:v>
      </x:c>
      <x:c r="J144" s="40" t="n">
        <x:f>(('03_战斗派生'!R39*'03_战斗派生'!T39*(1+I144*(G144-1))+'01_属性汇总'!AA39)*'03_战斗派生'!P39*'13_参数与假设'!$B$5+'03_战斗派生'!V39)*'13_参数与假设'!$B$6</x:f>
        <x:v>1284072180.6069977</x:v>
      </x:c>
      <x:c r="K144" s="25" t="str">
        <x:v>PVE抵扣规则＋持续/倍率映射假设；非地图实测</x:v>
      </x:c>
    </x:row>
    <x:row r="145">
      <x:c r="A145" s="25" t="str">
        <x:v>C09-X</x:v>
      </x:c>
      <x:c r="B145" s="25" t="str">
        <x:v>亚坛高原</x:v>
      </x:c>
      <x:c r="C145" s="25" t="str">
        <x:v>极端压力</x:v>
      </x:c>
      <x:c r="D145" s="25" t="n">
        <x:v>0</x:v>
      </x:c>
      <x:c r="E145" s="36" t="n">
        <x:f>MIN(1,MAX(0,('03_战斗派生'!AF40-D145)/100))</x:f>
        <x:v>0.485</x:v>
      </x:c>
      <x:c r="F145" s="25" t="n">
        <x:f>IF(E145&gt;0,'13_参数与假设'!$B$29+'13_参数与假设'!$B$30*MAX(0,E145*100-1)+'01_属性汇总'!AJ40,0)</x:f>
        <x:v>12.3</x:v>
      </x:c>
      <x:c r="G145" s="25" t="n">
        <x:f>IF(E145&gt;0,'13_参数与假设'!$B$31+'13_参数与假设'!$B$32*MAX(0,E145*100-1)+'01_属性汇总'!AI40/100,1)</x:f>
        <x:v>12.16</x:v>
      </x:c>
      <x:c r="H145" s="25" t="n">
        <x:f>MAX(0,INT(F145*'03_战斗派生'!P40*'13_参数与假设'!$B$5))</x:f>
        <x:v>50</x:v>
      </x:c>
      <x:c r="I145" s="36" t="n">
        <x:f>IF(E145&gt;0,1-(1-E145)^H145,0)</x:f>
        <x:v>0.9999999999999961</x:v>
      </x:c>
      <x:c r="J145" s="40" t="n">
        <x:f>(('03_战斗派生'!R40*'03_战斗派生'!T40*(1+I145*(G145-1))+'01_属性汇总'!AA40)*'03_战斗派生'!P40*'13_参数与假设'!$B$5+'03_战斗派生'!V40)*'13_参数与假设'!$B$6</x:f>
        <x:v>21797164613.344337</x:v>
      </x:c>
      <x:c r="K145" s="25" t="str">
        <x:v>PVE抵扣规则＋持续/倍率映射假设；非地图实测</x:v>
      </x:c>
    </x:row>
    <x:row r="146">
      <x:c r="A146" s="25" t="str">
        <x:v>C09-X</x:v>
      </x:c>
      <x:c r="B146" s="25" t="str">
        <x:v>亚坛高原</x:v>
      </x:c>
      <x:c r="C146" s="25" t="str">
        <x:v>极端压力</x:v>
      </x:c>
      <x:c r="D146" s="25" t="n">
        <x:v>10</x:v>
      </x:c>
      <x:c r="E146" s="36" t="n">
        <x:f>MIN(1,MAX(0,('03_战斗派生'!AF40-D146)/100))</x:f>
        <x:v>0.385</x:v>
      </x:c>
      <x:c r="F146" s="25" t="n">
        <x:f>IF(E146&gt;0,'13_参数与假设'!$B$29+'13_参数与假设'!$B$30*MAX(0,E146*100-1)+'01_属性汇总'!AJ40,0)</x:f>
        <x:v>10.3</x:v>
      </x:c>
      <x:c r="G146" s="25" t="n">
        <x:f>IF(E146&gt;0,'13_参数与假设'!$B$31+'13_参数与假设'!$B$32*MAX(0,E146*100-1)+'01_属性汇总'!AI40/100,1)</x:f>
        <x:v>10.16</x:v>
      </x:c>
      <x:c r="H146" s="25" t="n">
        <x:f>MAX(0,INT(F146*'03_战斗派生'!P40*'13_参数与假设'!$B$5))</x:f>
        <x:v>42</x:v>
      </x:c>
      <x:c r="I146" s="36" t="n">
        <x:f>IF(E146&gt;0,1-(1-E146)^H146,0)</x:f>
        <x:v>0.999999998642453</x:v>
      </x:c>
      <x:c r="J146" s="40" t="n">
        <x:f>(('03_战斗派生'!R40*'03_战斗派生'!T40*(1+I146*(G146-1))+'01_属性汇总'!AA40)*'03_战斗派生'!P40*'13_参数与假设'!$B$5+'03_战斗派生'!V40)*'13_参数与假设'!$B$6</x:f>
        <x:v>18212104621.753998</x:v>
      </x:c>
      <x:c r="K146" s="25" t="str">
        <x:v>PVE抵扣规则＋持续/倍率映射假设；非地图实测</x:v>
      </x:c>
    </x:row>
    <x:row r="147">
      <x:c r="A147" s="25" t="str">
        <x:v>C09-X</x:v>
      </x:c>
      <x:c r="B147" s="25" t="str">
        <x:v>亚坛高原</x:v>
      </x:c>
      <x:c r="C147" s="25" t="str">
        <x:v>极端压力</x:v>
      </x:c>
      <x:c r="D147" s="25" t="n">
        <x:v>20</x:v>
      </x:c>
      <x:c r="E147" s="36" t="n">
        <x:f>MIN(1,MAX(0,('03_战斗派生'!AF40-D147)/100))</x:f>
        <x:v>0.285</x:v>
      </x:c>
      <x:c r="F147" s="25" t="n">
        <x:f>IF(E147&gt;0,'13_参数与假设'!$B$29+'13_参数与假设'!$B$30*MAX(0,E147*100-1)+'01_属性汇总'!AJ40,0)</x:f>
        <x:v>8.3</x:v>
      </x:c>
      <x:c r="G147" s="25" t="n">
        <x:f>IF(E147&gt;0,'13_参数与假设'!$B$31+'13_参数与假设'!$B$32*MAX(0,E147*100-1)+'01_属性汇总'!AI40/100,1)</x:f>
        <x:v>8.16</x:v>
      </x:c>
      <x:c r="H147" s="25" t="n">
        <x:f>MAX(0,INT(F147*'03_战斗派生'!P40*'13_参数与假设'!$B$5))</x:f>
        <x:v>33</x:v>
      </x:c>
      <x:c r="I147" s="36" t="n">
        <x:f>IF(E147&gt;0,1-(1-E147)^H147,0)</x:f>
        <x:v>0.9999844367827665</x:v>
      </x:c>
      <x:c r="J147" s="40" t="n">
        <x:f>(('03_战斗派生'!R40*'03_战斗派生'!T40*(1+I147*(G147-1))+'01_属性汇总'!AA40)*'03_战斗派生'!P40*'13_参数与假设'!$B$5+'03_战斗派生'!V40)*'13_参数与假设'!$B$6</x:f>
        <x:v>14626844928.404068</x:v>
      </x:c>
      <x:c r="K147" s="25" t="str">
        <x:v>PVE抵扣规则＋持续/倍率映射假设；非地图实测</x:v>
      </x:c>
    </x:row>
    <x:row r="148">
      <x:c r="A148" s="25" t="str">
        <x:v>C09-X</x:v>
      </x:c>
      <x:c r="B148" s="25" t="str">
        <x:v>亚坛高原</x:v>
      </x:c>
      <x:c r="C148" s="25" t="str">
        <x:v>极端压力</x:v>
      </x:c>
      <x:c r="D148" s="25" t="n">
        <x:v>30</x:v>
      </x:c>
      <x:c r="E148" s="36" t="n">
        <x:f>MIN(1,MAX(0,('03_战斗派生'!AF40-D148)/100))</x:f>
        <x:v>0.185</x:v>
      </x:c>
      <x:c r="F148" s="25" t="n">
        <x:f>IF(E148&gt;0,'13_参数与假设'!$B$29+'13_参数与假设'!$B$30*MAX(0,E148*100-1)+'01_属性汇总'!AJ40,0)</x:f>
        <x:v>6.3</x:v>
      </x:c>
      <x:c r="G148" s="25" t="n">
        <x:f>IF(E148&gt;0,'13_参数与假设'!$B$31+'13_参数与假设'!$B$32*MAX(0,E148*100-1)+'01_属性汇总'!AI40/100,1)</x:f>
        <x:v>6.16</x:v>
      </x:c>
      <x:c r="H148" s="25" t="n">
        <x:f>MAX(0,INT(F148*'03_战斗派生'!P40*'13_参数与假设'!$B$5))</x:f>
        <x:v>25</x:v>
      </x:c>
      <x:c r="I148" s="36" t="n">
        <x:f>IF(E148&gt;0,1-(1-E148)^H148,0)</x:f>
        <x:v>0.9939890900958399</x:v>
      </x:c>
      <x:c r="J148" s="40" t="n">
        <x:f>(('03_战斗派生'!R40*'03_战斗派生'!T40*(1+I148*(G148-1))+'01_属性汇总'!AA40)*'03_战斗派生'!P40*'13_参数与假设'!$B$5+'03_战斗派生'!V40)*'13_参数与假设'!$B$6</x:f>
        <x:v>10986387066.454906</x:v>
      </x:c>
      <x:c r="K148" s="25" t="str">
        <x:v>PVE抵扣规则＋持续/倍率映射假设；非地图实测</x:v>
      </x:c>
    </x:row>
    <x:row r="149">
      <x:c r="A149" s="25" t="str">
        <x:v>C10-E</x:v>
      </x:c>
      <x:c r="B149" s="25" t="str">
        <x:v>王城罗德尔</x:v>
      </x:c>
      <x:c r="C149" s="25" t="str">
        <x:v>半急速入场</x:v>
      </x:c>
      <x:c r="D149" s="25" t="n">
        <x:v>0</x:v>
      </x:c>
      <x:c r="E149" s="36" t="n">
        <x:f>MIN(1,MAX(0,('03_战斗派生'!AF41-D149)/100))</x:f>
        <x:v>0.42</x:v>
      </x:c>
      <x:c r="F149" s="25" t="n">
        <x:f>IF(E149&gt;0,'13_参数与假设'!$B$29+'13_参数与假设'!$B$30*MAX(0,E149*100-1)+'01_属性汇总'!AJ41,0)</x:f>
        <x:v>11.700000000000001</x:v>
      </x:c>
      <x:c r="G149" s="25" t="n">
        <x:f>IF(E149&gt;0,'13_参数与假设'!$B$31+'13_参数与假设'!$B$32*MAX(0,E149*100-1)+'01_属性汇总'!AI41/100,1)</x:f>
        <x:v>10.55</x:v>
      </x:c>
      <x:c r="H149" s="25" t="n">
        <x:f>MAX(0,INT(F149*'03_战斗派生'!P41*'13_参数与假设'!$B$5))</x:f>
        <x:v>47</x:v>
      </x:c>
      <x:c r="I149" s="36" t="n">
        <x:f>IF(E149&gt;0,1-(1-E149)^H149,0)</x:f>
        <x:v>0.9999999999923948</x:v>
      </x:c>
      <x:c r="J149" s="40" t="n">
        <x:f>(('03_战斗派生'!R41*'03_战斗派生'!T41*(1+I149*(G149-1))+'01_属性汇总'!AA41)*'03_战斗派生'!P41*'13_参数与假设'!$B$5+'03_战斗派生'!V41)*'13_参数与假设'!$B$6</x:f>
        <x:v>3105421696.769354</x:v>
      </x:c>
      <x:c r="K149" s="25" t="str">
        <x:v>PVE抵扣规则＋持续/倍率映射假设；非地图实测</x:v>
      </x:c>
    </x:row>
    <x:row r="150">
      <x:c r="A150" s="25" t="str">
        <x:v>C10-E</x:v>
      </x:c>
      <x:c r="B150" s="25" t="str">
        <x:v>王城罗德尔</x:v>
      </x:c>
      <x:c r="C150" s="25" t="str">
        <x:v>半急速入场</x:v>
      </x:c>
      <x:c r="D150" s="25" t="n">
        <x:v>10</x:v>
      </x:c>
      <x:c r="E150" s="36" t="n">
        <x:f>MIN(1,MAX(0,('03_战斗派生'!AF41-D150)/100))</x:f>
        <x:v>0.32</x:v>
      </x:c>
      <x:c r="F150" s="25" t="n">
        <x:f>IF(E150&gt;0,'13_参数与假设'!$B$29+'13_参数与假设'!$B$30*MAX(0,E150*100-1)+'01_属性汇总'!AJ41,0)</x:f>
        <x:v>9.7</x:v>
      </x:c>
      <x:c r="G150" s="25" t="n">
        <x:f>IF(E150&gt;0,'13_参数与假设'!$B$31+'13_参数与假设'!$B$32*MAX(0,E150*100-1)+'01_属性汇总'!AI41/100,1)</x:f>
        <x:v>8.549999999999999</x:v>
      </x:c>
      <x:c r="H150" s="25" t="n">
        <x:f>MAX(0,INT(F150*'03_战斗派生'!P41*'13_参数与假设'!$B$5))</x:f>
        <x:v>39</x:v>
      </x:c>
      <x:c r="I150" s="36" t="n">
        <x:f>IF(E150&gt;0,1-(1-E150)^H150,0)</x:f>
        <x:v>0.999999706338106</x:v>
      </x:c>
      <x:c r="J150" s="40" t="n">
        <x:f>(('03_战斗派生'!R41*'03_战斗派生'!T41*(1+I150*(G150-1))+'01_属性汇总'!AA41)*'03_战斗派生'!P41*'13_参数与假设'!$B$5+'03_战斗派生'!V41)*'13_参数与假设'!$B$6</x:f>
        <x:v>2516715509.230657</x:v>
      </x:c>
      <x:c r="K150" s="25" t="str">
        <x:v>PVE抵扣规则＋持续/倍率映射假设；非地图实测</x:v>
      </x:c>
    </x:row>
    <x:row r="151">
      <x:c r="A151" s="25" t="str">
        <x:v>C10-E</x:v>
      </x:c>
      <x:c r="B151" s="25" t="str">
        <x:v>王城罗德尔</x:v>
      </x:c>
      <x:c r="C151" s="25" t="str">
        <x:v>半急速入场</x:v>
      </x:c>
      <x:c r="D151" s="25" t="n">
        <x:v>20</x:v>
      </x:c>
      <x:c r="E151" s="36" t="n">
        <x:f>MIN(1,MAX(0,('03_战斗派生'!AF41-D151)/100))</x:f>
        <x:v>0.22</x:v>
      </x:c>
      <x:c r="F151" s="25" t="n">
        <x:f>IF(E151&gt;0,'13_参数与假设'!$B$29+'13_参数与假设'!$B$30*MAX(0,E151*100-1)+'01_属性汇总'!AJ41,0)</x:f>
        <x:v>7.7</x:v>
      </x:c>
      <x:c r="G151" s="25" t="n">
        <x:f>IF(E151&gt;0,'13_参数与假设'!$B$31+'13_参数与假设'!$B$32*MAX(0,E151*100-1)+'01_属性汇总'!AI41/100,1)</x:f>
        <x:v>6.55</x:v>
      </x:c>
      <x:c r="H151" s="25" t="n">
        <x:f>MAX(0,INT(F151*'03_战斗派生'!P41*'13_参数与假设'!$B$5))</x:f>
        <x:v>31</x:v>
      </x:c>
      <x:c r="I151" s="36" t="n">
        <x:f>IF(E151&gt;0,1-(1-E151)^H151,0)</x:f>
        <x:v>0.9995482140888575</x:v>
      </x:c>
      <x:c r="J151" s="40" t="n">
        <x:f>(('03_战斗派生'!R41*'03_战斗派生'!T41*(1+I151*(G151-1))+'01_属性汇总'!AA41)*'03_战斗派生'!P41*'13_参数与假设'!$B$5+'03_战斗派生'!V41)*'13_参数与假设'!$B$6</x:f>
        <x:v>1927272563.3129425</x:v>
      </x:c>
      <x:c r="K151" s="25" t="str">
        <x:v>PVE抵扣规则＋持续/倍率映射假设；非地图实测</x:v>
      </x:c>
    </x:row>
    <x:row r="152">
      <x:c r="A152" s="25" t="str">
        <x:v>C10-E</x:v>
      </x:c>
      <x:c r="B152" s="25" t="str">
        <x:v>王城罗德尔</x:v>
      </x:c>
      <x:c r="C152" s="25" t="str">
        <x:v>半急速入场</x:v>
      </x:c>
      <x:c r="D152" s="25" t="n">
        <x:v>30</x:v>
      </x:c>
      <x:c r="E152" s="36" t="n">
        <x:f>MIN(1,MAX(0,('03_战斗派生'!AF41-D152)/100))</x:f>
        <x:v>0.12</x:v>
      </x:c>
      <x:c r="F152" s="25" t="n">
        <x:f>IF(E152&gt;0,'13_参数与假设'!$B$29+'13_参数与假设'!$B$30*MAX(0,E152*100-1)+'01_属性汇总'!AJ41,0)</x:f>
        <x:v>5.7</x:v>
      </x:c>
      <x:c r="G152" s="25" t="n">
        <x:f>IF(E152&gt;0,'13_参数与假设'!$B$31+'13_参数与假设'!$B$32*MAX(0,E152*100-1)+'01_属性汇总'!AI41/100,1)</x:f>
        <x:v>4.55</x:v>
      </x:c>
      <x:c r="H152" s="25" t="n">
        <x:f>MAX(0,INT(F152*'03_战斗派生'!P41*'13_参数与假设'!$B$5))</x:f>
        <x:v>23</x:v>
      </x:c>
      <x:c r="I152" s="36" t="n">
        <x:f>IF(E152&gt;0,1-(1-E152)^H152,0)</x:f>
        <x:v>0.9471431278937956</x:v>
      </x:c>
      <x:c r="J152" s="40" t="n">
        <x:f>(('03_战斗派生'!R41*'03_战斗派生'!T41*(1+I152*(G152-1))+'01_属性汇总'!AA41)*'03_战斗派生'!P41*'13_参数与假设'!$B$5+'03_战斗派生'!V41)*'13_参数与假设'!$B$6</x:f>
        <x:v>1284072180.6069977</x:v>
      </x:c>
      <x:c r="K152" s="25" t="str">
        <x:v>PVE抵扣规则＋持续/倍率映射假设；非地图实测</x:v>
      </x:c>
    </x:row>
    <x:row r="153">
      <x:c r="A153" s="25" t="str">
        <x:v>C10-M</x:v>
      </x:c>
      <x:c r="B153" s="25" t="str">
        <x:v>王城罗德尔</x:v>
      </x:c>
      <x:c r="C153" s="25" t="str">
        <x:v>半急速中期</x:v>
      </x:c>
      <x:c r="D153" s="25" t="n">
        <x:v>0</x:v>
      </x:c>
      <x:c r="E153" s="36" t="n">
        <x:f>MIN(1,MAX(0,('03_战斗派生'!AF42-D153)/100))</x:f>
        <x:v>0.39</x:v>
      </x:c>
      <x:c r="F153" s="25" t="n">
        <x:f>IF(E153&gt;0,'13_参数与假设'!$B$29+'13_参数与假设'!$B$30*MAX(0,E153*100-1)+'01_属性汇总'!AJ42,0)</x:f>
        <x:v>11.100000000000001</x:v>
      </x:c>
      <x:c r="G153" s="25" t="n">
        <x:f>IF(E153&gt;0,'13_参数与假设'!$B$31+'13_参数与假设'!$B$32*MAX(0,E153*100-1)+'01_属性汇总'!AI42/100,1)</x:f>
        <x:v>9.920000000000002</x:v>
      </x:c>
      <x:c r="H153" s="25" t="n">
        <x:f>MAX(0,INT(F153*'03_战斗派生'!P42*'13_参数与假设'!$B$5))</x:f>
        <x:v>45</x:v>
      </x:c>
      <x:c r="I153" s="36" t="n">
        <x:f>IF(E153&gt;0,1-(1-E153)^H153,0)</x:f>
        <x:v>0.9999999997813032</x:v>
      </x:c>
      <x:c r="J153" s="40" t="n">
        <x:f>(('03_战斗派生'!R42*'03_战斗派生'!T42*(1+I153*(G153-1))+'01_属性汇总'!AA42)*'03_战斗派生'!P42*'13_参数与假设'!$B$5+'03_战斗派生'!V42)*'13_参数与假设'!$B$6</x:f>
        <x:v>4997851249.514448</x:v>
      </x:c>
      <x:c r="K153" s="25" t="str">
        <x:v>PVE抵扣规则＋持续/倍率映射假设；非地图实测</x:v>
      </x:c>
    </x:row>
    <x:row r="154">
      <x:c r="A154" s="25" t="str">
        <x:v>C10-M</x:v>
      </x:c>
      <x:c r="B154" s="25" t="str">
        <x:v>王城罗德尔</x:v>
      </x:c>
      <x:c r="C154" s="25" t="str">
        <x:v>半急速中期</x:v>
      </x:c>
      <x:c r="D154" s="25" t="n">
        <x:v>10</x:v>
      </x:c>
      <x:c r="E154" s="36" t="n">
        <x:f>MIN(1,MAX(0,('03_战斗派生'!AF42-D154)/100))</x:f>
        <x:v>0.29</x:v>
      </x:c>
      <x:c r="F154" s="25" t="n">
        <x:f>IF(E154&gt;0,'13_参数与假设'!$B$29+'13_参数与假设'!$B$30*MAX(0,E154*100-1)+'01_属性汇总'!AJ42,0)</x:f>
        <x:v>9.1</x:v>
      </x:c>
      <x:c r="G154" s="25" t="n">
        <x:f>IF(E154&gt;0,'13_参数与假设'!$B$31+'13_参数与假设'!$B$32*MAX(0,E154*100-1)+'01_属性汇总'!AI42/100,1)</x:f>
        <x:v>7.92</x:v>
      </x:c>
      <x:c r="H154" s="25" t="n">
        <x:f>MAX(0,INT(F154*'03_战斗派生'!P42*'13_参数与假设'!$B$5))</x:f>
        <x:v>37</x:v>
      </x:c>
      <x:c r="I154" s="36" t="n">
        <x:f>IF(E154&gt;0,1-(1-E154)^H154,0)</x:f>
        <x:v>0.9999968626793894</x:v>
      </x:c>
      <x:c r="J154" s="40" t="n">
        <x:f>(('03_战斗派生'!R42*'03_战斗派生'!T42*(1+I154*(G154-1))+'01_属性汇总'!AA42)*'03_战斗派生'!P42*'13_参数与假设'!$B$5+'03_战斗派生'!V42)*'13_参数与假设'!$B$6</x:f>
        <x:v>3990209012.0257287</x:v>
      </x:c>
      <x:c r="K154" s="25" t="str">
        <x:v>PVE抵扣规则＋持续/倍率映射假设；非地图实测</x:v>
      </x:c>
    </x:row>
    <x:row r="155">
      <x:c r="A155" s="25" t="str">
        <x:v>C10-M</x:v>
      </x:c>
      <x:c r="B155" s="25" t="str">
        <x:v>王城罗德尔</x:v>
      </x:c>
      <x:c r="C155" s="25" t="str">
        <x:v>半急速中期</x:v>
      </x:c>
      <x:c r="D155" s="25" t="n">
        <x:v>20</x:v>
      </x:c>
      <x:c r="E155" s="36" t="n">
        <x:f>MIN(1,MAX(0,('03_战斗派生'!AF42-D155)/100))</x:f>
        <x:v>0.19</x:v>
      </x:c>
      <x:c r="F155" s="25" t="n">
        <x:f>IF(E155&gt;0,'13_参数与假设'!$B$29+'13_参数与假设'!$B$30*MAX(0,E155*100-1)+'01_属性汇总'!AJ42,0)</x:f>
        <x:v>7.1</x:v>
      </x:c>
      <x:c r="G155" s="25" t="n">
        <x:f>IF(E155&gt;0,'13_参数与假设'!$B$31+'13_参数与假设'!$B$32*MAX(0,E155*100-1)+'01_属性汇总'!AI42/100,1)</x:f>
        <x:v>5.92</x:v>
      </x:c>
      <x:c r="H155" s="25" t="n">
        <x:f>MAX(0,INT(F155*'03_战斗派生'!P42*'13_参数与假设'!$B$5))</x:f>
        <x:v>29</x:v>
      </x:c>
      <x:c r="I155" s="36" t="n">
        <x:f>IF(E155&gt;0,1-(1-E155)^H155,0)</x:f>
        <x:v>0.9977814687655377</x:v>
      </x:c>
      <x:c r="J155" s="40" t="n">
        <x:f>(('03_战斗派生'!R42*'03_战斗派生'!T42*(1+I155*(G155-1))+'01_属性汇总'!AA42)*'03_战斗派生'!P42*'13_参数与假设'!$B$5+'03_战斗派生'!V42)*'13_参数与假设'!$B$6</x:f>
        <x:v>2977089414.168359</x:v>
      </x:c>
      <x:c r="K155" s="25" t="str">
        <x:v>PVE抵扣规则＋持续/倍率映射假设；非地图实测</x:v>
      </x:c>
    </x:row>
    <x:row r="156">
      <x:c r="A156" s="25" t="str">
        <x:v>C10-M</x:v>
      </x:c>
      <x:c r="B156" s="25" t="str">
        <x:v>王城罗德尔</x:v>
      </x:c>
      <x:c r="C156" s="25" t="str">
        <x:v>半急速中期</x:v>
      </x:c>
      <x:c r="D156" s="25" t="n">
        <x:v>30</x:v>
      </x:c>
      <x:c r="E156" s="36" t="n">
        <x:f>MIN(1,MAX(0,('03_战斗派生'!AF42-D156)/100))</x:f>
        <x:v>0.09</x:v>
      </x:c>
      <x:c r="F156" s="25" t="n">
        <x:f>IF(E156&gt;0,'13_参数与假设'!$B$29+'13_参数与假设'!$B$30*MAX(0,E156*100-1)+'01_属性汇总'!AJ42,0)</x:f>
        <x:v>5.1</x:v>
      </x:c>
      <x:c r="G156" s="25" t="n">
        <x:f>IF(E156&gt;0,'13_参数与假设'!$B$31+'13_参数与假设'!$B$32*MAX(0,E156*100-1)+'01_属性汇总'!AI42/100,1)</x:f>
        <x:v>3.92</x:v>
      </x:c>
      <x:c r="H156" s="25" t="n">
        <x:f>MAX(0,INT(F156*'03_战斗派生'!P42*'13_参数与假设'!$B$5))</x:f>
        <x:v>20</x:v>
      </x:c>
      <x:c r="I156" s="36" t="n">
        <x:f>IF(E156&gt;0,1-(1-E156)^H156,0)</x:f>
        <x:v>0.8483550869498241</x:v>
      </x:c>
      <x:c r="J156" s="40" t="n">
        <x:f>(('03_战斗派生'!R42*'03_战斗派生'!T42*(1+I156*(G156-1))+'01_属性汇总'!AA42)*'03_战斗派生'!P42*'13_参数与假设'!$B$5+'03_战斗派生'!V42)*'13_参数与假设'!$B$6</x:f>
        <x:v>1751866193.9976575</x:v>
      </x:c>
      <x:c r="K156" s="25" t="str">
        <x:v>PVE抵扣规则＋持续/倍率映射假设；非地图实测</x:v>
      </x:c>
    </x:row>
    <x:row r="157">
      <x:c r="A157" s="25" t="str">
        <x:v>C10-G</x:v>
      </x:c>
      <x:c r="B157" s="25" t="str">
        <x:v>王城罗德尔</x:v>
      </x:c>
      <x:c r="C157" s="25" t="str">
        <x:v>半急速毕业</x:v>
      </x:c>
      <x:c r="D157" s="25" t="n">
        <x:v>0</x:v>
      </x:c>
      <x:c r="E157" s="36" t="n">
        <x:f>MIN(1,MAX(0,('03_战斗派生'!AF43-D157)/100))</x:f>
        <x:v>0.43</x:v>
      </x:c>
      <x:c r="F157" s="25" t="n">
        <x:f>IF(E157&gt;0,'13_参数与假设'!$B$29+'13_参数与假设'!$B$30*MAX(0,E157*100-1)+'01_属性汇总'!AJ43,0)</x:f>
        <x:v>11.9</x:v>
      </x:c>
      <x:c r="G157" s="25" t="n">
        <x:f>IF(E157&gt;0,'13_参数与假设'!$B$31+'13_参数与假设'!$B$32*MAX(0,E157*100-1)+'01_属性汇总'!AI43/100,1)</x:f>
        <x:v>10.76</x:v>
      </x:c>
      <x:c r="H157" s="25" t="n">
        <x:f>MAX(0,INT(F157*'03_战斗派生'!P43*'13_参数与假设'!$B$5))</x:f>
        <x:v>44</x:v>
      </x:c>
      <x:c r="I157" s="36" t="n">
        <x:f>IF(E157&gt;0,1-(1-E157)^H157,0)</x:f>
        <x:v>0.999999999981866</x:v>
      </x:c>
      <x:c r="J157" s="40" t="n">
        <x:f>(('03_战斗派生'!R43*'03_战斗派生'!T43*(1+I157*(G157-1))+'01_属性汇总'!AA43)*'03_战斗派生'!P43*'13_参数与假设'!$B$5+'03_战斗派生'!V43)*'13_参数与假设'!$B$6</x:f>
        <x:v>7128069643.44257</x:v>
      </x:c>
      <x:c r="K157" s="25" t="str">
        <x:v>PVE抵扣规则＋持续/倍率映射假设；非地图实测</x:v>
      </x:c>
    </x:row>
    <x:row r="158">
      <x:c r="A158" s="25" t="str">
        <x:v>C10-G</x:v>
      </x:c>
      <x:c r="B158" s="25" t="str">
        <x:v>王城罗德尔</x:v>
      </x:c>
      <x:c r="C158" s="25" t="str">
        <x:v>半急速毕业</x:v>
      </x:c>
      <x:c r="D158" s="25" t="n">
        <x:v>10</x:v>
      </x:c>
      <x:c r="E158" s="36" t="n">
        <x:f>MIN(1,MAX(0,('03_战斗派生'!AF43-D158)/100))</x:f>
        <x:v>0.33</x:v>
      </x:c>
      <x:c r="F158" s="25" t="n">
        <x:f>IF(E158&gt;0,'13_参数与假设'!$B$29+'13_参数与假设'!$B$30*MAX(0,E158*100-1)+'01_属性汇总'!AJ43,0)</x:f>
        <x:v>9.9</x:v>
      </x:c>
      <x:c r="G158" s="25" t="n">
        <x:f>IF(E158&gt;0,'13_参数与假设'!$B$31+'13_参数与假设'!$B$32*MAX(0,E158*100-1)+'01_属性汇总'!AI43/100,1)</x:f>
        <x:v>8.76</x:v>
      </x:c>
      <x:c r="H158" s="25" t="n">
        <x:f>MAX(0,INT(F158*'03_战斗派生'!P43*'13_参数与假设'!$B$5))</x:f>
        <x:v>37</x:v>
      </x:c>
      <x:c r="I158" s="36" t="n">
        <x:f>IF(E158&gt;0,1-(1-E158)^H158,0)</x:f>
        <x:v>0.9999996329141029</x:v>
      </x:c>
      <x:c r="J158" s="40" t="n">
        <x:f>(('03_战斗派生'!R43*'03_战斗派生'!T43*(1+I158*(G158-1))+'01_属性汇总'!AA43)*'03_战斗派生'!P43*'13_参数与假设'!$B$5+'03_战斗派生'!V43)*'13_参数与假设'!$B$6</x:f>
        <x:v>5803147748.388531</x:v>
      </x:c>
      <x:c r="K158" s="25" t="str">
        <x:v>PVE抵扣规则＋持续/倍率映射假设；非地图实测</x:v>
      </x:c>
    </x:row>
    <x:row r="159">
      <x:c r="A159" s="25" t="str">
        <x:v>C10-G</x:v>
      </x:c>
      <x:c r="B159" s="25" t="str">
        <x:v>王城罗德尔</x:v>
      </x:c>
      <x:c r="C159" s="25" t="str">
        <x:v>半急速毕业</x:v>
      </x:c>
      <x:c r="D159" s="25" t="n">
        <x:v>20</x:v>
      </x:c>
      <x:c r="E159" s="36" t="n">
        <x:f>MIN(1,MAX(0,('03_战斗派生'!AF43-D159)/100))</x:f>
        <x:v>0.23</x:v>
      </x:c>
      <x:c r="F159" s="25" t="n">
        <x:f>IF(E159&gt;0,'13_参数与假设'!$B$29+'13_参数与假设'!$B$30*MAX(0,E159*100-1)+'01_属性汇总'!AJ43,0)</x:f>
        <x:v>7.9</x:v>
      </x:c>
      <x:c r="G159" s="25" t="n">
        <x:f>IF(E159&gt;0,'13_参数与假设'!$B$31+'13_参数与假设'!$B$32*MAX(0,E159*100-1)+'01_属性汇总'!AI43/100,1)</x:f>
        <x:v>6.760000000000001</x:v>
      </x:c>
      <x:c r="H159" s="25" t="n">
        <x:f>MAX(0,INT(F159*'03_战斗派生'!P43*'13_参数与假设'!$B$5))</x:f>
        <x:v>29</x:v>
      </x:c>
      <x:c r="I159" s="36" t="n">
        <x:f>IF(E159&gt;0,1-(1-E159)^H159,0)</x:f>
        <x:v>0.9994892233563537</x:v>
      </x:c>
      <x:c r="J159" s="40" t="n">
        <x:f>(('03_战斗派生'!R43*'03_战斗派生'!T43*(1+I159*(G159-1))+'01_属性汇总'!AA43)*'03_战斗派生'!P43*'13_参数与假设'!$B$5+'03_战斗派生'!V43)*'13_参数与假设'!$B$6</x:f>
        <x:v>4476280621.365451</x:v>
      </x:c>
      <x:c r="K159" s="25" t="str">
        <x:v>PVE抵扣规则＋持续/倍率映射假设；非地图实测</x:v>
      </x:c>
    </x:row>
    <x:row r="160">
      <x:c r="A160" s="25" t="str">
        <x:v>C10-G</x:v>
      </x:c>
      <x:c r="B160" s="25" t="str">
        <x:v>王城罗德尔</x:v>
      </x:c>
      <x:c r="C160" s="25" t="str">
        <x:v>半急速毕业</x:v>
      </x:c>
      <x:c r="D160" s="25" t="n">
        <x:v>30</x:v>
      </x:c>
      <x:c r="E160" s="36" t="n">
        <x:f>MIN(1,MAX(0,('03_战斗派生'!AF43-D160)/100))</x:f>
        <x:v>0.13</x:v>
      </x:c>
      <x:c r="F160" s="25" t="n">
        <x:f>IF(E160&gt;0,'13_参数与假设'!$B$29+'13_参数与假设'!$B$30*MAX(0,E160*100-1)+'01_属性汇总'!AJ43,0)</x:f>
        <x:v>5.9</x:v>
      </x:c>
      <x:c r="G160" s="25" t="n">
        <x:f>IF(E160&gt;0,'13_参数与假设'!$B$31+'13_参数与假设'!$B$32*MAX(0,E160*100-1)+'01_属性汇总'!AI43/100,1)</x:f>
        <x:v>4.760000000000001</x:v>
      </x:c>
      <x:c r="H160" s="25" t="n">
        <x:f>MAX(0,INT(F160*'03_战斗派生'!P43*'13_参数与假设'!$B$5))</x:f>
        <x:v>22</x:v>
      </x:c>
      <x:c r="I160" s="36" t="n">
        <x:f>IF(E160&gt;0,1-(1-E160)^H160,0)</x:f>
        <x:v>0.953288527531345</x:v>
      </x:c>
      <x:c r="J160" s="40" t="n">
        <x:f>(('03_战斗派生'!R43*'03_战斗派生'!T43*(1+I160*(G160-1))+'01_属性汇总'!AA43)*'03_战斗派生'!P43*'13_参数与假设'!$B$5+'03_战斗派生'!V43)*'13_参数与假设'!$B$6</x:f>
        <x:v>3036958366.0449705</x:v>
      </x:c>
      <x:c r="K160" s="25" t="str">
        <x:v>PVE抵扣规则＋持续/倍率映射假设；非地图实测</x:v>
      </x:c>
    </x:row>
    <x:row r="161">
      <x:c r="A161" s="25" t="str">
        <x:v>C10-X</x:v>
      </x:c>
      <x:c r="B161" s="25" t="str">
        <x:v>王城罗德尔</x:v>
      </x:c>
      <x:c r="C161" s="25" t="str">
        <x:v>极端压力</x:v>
      </x:c>
      <x:c r="D161" s="25" t="n">
        <x:v>0</x:v>
      </x:c>
      <x:c r="E161" s="36" t="n">
        <x:f>MIN(1,MAX(0,('03_战斗派生'!AF44-D161)/100))</x:f>
        <x:v>0.52</x:v>
      </x:c>
      <x:c r="F161" s="25" t="n">
        <x:f>IF(E161&gt;0,'13_参数与假设'!$B$29+'13_参数与假设'!$B$30*MAX(0,E161*100-1)+'01_属性汇总'!AJ44,0)</x:f>
        <x:v>14</x:v>
      </x:c>
      <x:c r="G161" s="25" t="n">
        <x:f>IF(E161&gt;0,'13_参数与假设'!$B$31+'13_参数与假设'!$B$32*MAX(0,E161*100-1)+'01_属性汇总'!AI44/100,1)</x:f>
        <x:v>12.96</x:v>
      </x:c>
      <x:c r="H161" s="25" t="n">
        <x:f>MAX(0,INT(F161*'03_战斗派生'!P44*'13_参数与假设'!$B$5))</x:f>
        <x:v>52</x:v>
      </x:c>
      <x:c r="I161" s="36" t="n">
        <x:f>IF(E161&gt;0,1-(1-E161)^H161,0)</x:f>
        <x:v>1</x:v>
      </x:c>
      <x:c r="J161" s="40" t="n">
        <x:f>(('03_战斗派生'!R44*'03_战斗派生'!T44*(1+I161*(G161-1))+'01_属性汇总'!AA44)*'03_战斗派生'!P44*'13_参数与假设'!$B$5+'03_战斗派生'!V44)*'13_参数与假设'!$B$6</x:f>
        <x:v>65386439253.28906</x:v>
      </x:c>
      <x:c r="K161" s="25" t="str">
        <x:v>PVE抵扣规则＋持续/倍率映射假设；非地图实测</x:v>
      </x:c>
    </x:row>
    <x:row r="162">
      <x:c r="A162" s="25" t="str">
        <x:v>C10-X</x:v>
      </x:c>
      <x:c r="B162" s="25" t="str">
        <x:v>王城罗德尔</x:v>
      </x:c>
      <x:c r="C162" s="25" t="str">
        <x:v>极端压力</x:v>
      </x:c>
      <x:c r="D162" s="25" t="n">
        <x:v>10</x:v>
      </x:c>
      <x:c r="E162" s="36" t="n">
        <x:f>MIN(1,MAX(0,('03_战斗派生'!AF44-D162)/100))</x:f>
        <x:v>0.42</x:v>
      </x:c>
      <x:c r="F162" s="25" t="n">
        <x:f>IF(E162&gt;0,'13_参数与假设'!$B$29+'13_参数与假设'!$B$30*MAX(0,E162*100-1)+'01_属性汇总'!AJ44,0)</x:f>
        <x:v>12</x:v>
      </x:c>
      <x:c r="G162" s="25" t="n">
        <x:f>IF(E162&gt;0,'13_参数与假设'!$B$31+'13_参数与假设'!$B$32*MAX(0,E162*100-1)+'01_属性汇总'!AI44/100,1)</x:f>
        <x:v>10.96</x:v>
      </x:c>
      <x:c r="H162" s="25" t="n">
        <x:f>MAX(0,INT(F162*'03_战斗派生'!P44*'13_参数与假设'!$B$5))</x:f>
        <x:v>44</x:v>
      </x:c>
      <x:c r="I162" s="36" t="n">
        <x:f>IF(E162&gt;0,1-(1-E162)^H162,0)</x:f>
        <x:v>0.999999999961021</x:v>
      </x:c>
      <x:c r="J162" s="40" t="n">
        <x:f>(('03_战斗派生'!R44*'03_战斗派生'!T44*(1+I162*(G162-1))+'01_属性汇总'!AA44)*'03_战斗派生'!P44*'13_参数与假设'!$B$5+'03_战斗派生'!V44)*'13_参数与假设'!$B$6</x:f>
        <x:v>55295939366.56351</x:v>
      </x:c>
      <x:c r="K162" s="25" t="str">
        <x:v>PVE抵扣规则＋持续/倍率映射假设；非地图实测</x:v>
      </x:c>
    </x:row>
    <x:row r="163">
      <x:c r="A163" s="25" t="str">
        <x:v>C10-X</x:v>
      </x:c>
      <x:c r="B163" s="25" t="str">
        <x:v>王城罗德尔</x:v>
      </x:c>
      <x:c r="C163" s="25" t="str">
        <x:v>极端压力</x:v>
      </x:c>
      <x:c r="D163" s="25" t="n">
        <x:v>20</x:v>
      </x:c>
      <x:c r="E163" s="36" t="n">
        <x:f>MIN(1,MAX(0,('03_战斗派生'!AF44-D163)/100))</x:f>
        <x:v>0.32</x:v>
      </x:c>
      <x:c r="F163" s="25" t="n">
        <x:f>IF(E163&gt;0,'13_参数与假设'!$B$29+'13_参数与假设'!$B$30*MAX(0,E163*100-1)+'01_属性汇总'!AJ44,0)</x:f>
        <x:v>10</x:v>
      </x:c>
      <x:c r="G163" s="25" t="n">
        <x:f>IF(E163&gt;0,'13_参数与假设'!$B$31+'13_参数与假设'!$B$32*MAX(0,E163*100-1)+'01_属性汇总'!AI44/100,1)</x:f>
        <x:v>8.959999999999999</x:v>
      </x:c>
      <x:c r="H163" s="25" t="n">
        <x:f>MAX(0,INT(F163*'03_战斗派生'!P44*'13_参数与假设'!$B$5))</x:f>
        <x:v>37</x:v>
      </x:c>
      <x:c r="I163" s="36" t="n">
        <x:f>IF(E163&gt;0,1-(1-E163)^H163,0)</x:f>
        <x:v>0.9999993649180492</x:v>
      </x:c>
      <x:c r="J163" s="40" t="n">
        <x:f>(('03_战斗派生'!R44*'03_战斗派生'!T44*(1+I163*(G163-1))+'01_属性汇总'!AA44)*'03_战斗派生'!P44*'13_参数与假设'!$B$5+'03_战斗派生'!V44)*'13_参数与假设'!$B$6</x:f>
        <x:v>45205413978.74387</x:v>
      </x:c>
      <x:c r="K163" s="25" t="str">
        <x:v>PVE抵扣规则＋持续/倍率映射假设；非地图实测</x:v>
      </x:c>
    </x:row>
    <x:row r="164">
      <x:c r="A164" s="25" t="str">
        <x:v>C10-X</x:v>
      </x:c>
      <x:c r="B164" s="25" t="str">
        <x:v>王城罗德尔</x:v>
      </x:c>
      <x:c r="C164" s="25" t="str">
        <x:v>极端压力</x:v>
      </x:c>
      <x:c r="D164" s="25" t="n">
        <x:v>30</x:v>
      </x:c>
      <x:c r="E164" s="36" t="n">
        <x:f>MIN(1,MAX(0,('03_战斗派生'!AF44-D164)/100))</x:f>
        <x:v>0.22</x:v>
      </x:c>
      <x:c r="F164" s="25" t="n">
        <x:f>IF(E164&gt;0,'13_参数与假设'!$B$29+'13_参数与假设'!$B$30*MAX(0,E164*100-1)+'01_属性汇总'!AJ44,0)</x:f>
        <x:v>8</x:v>
      </x:c>
      <x:c r="G164" s="25" t="n">
        <x:f>IF(E164&gt;0,'13_参数与假设'!$B$31+'13_参数与假设'!$B$32*MAX(0,E164*100-1)+'01_属性汇总'!AI44/100,1)</x:f>
        <x:v>6.96</x:v>
      </x:c>
      <x:c r="H164" s="25" t="n">
        <x:f>MAX(0,INT(F164*'03_战斗派生'!P44*'13_参数与假设'!$B$5))</x:f>
        <x:v>29</x:v>
      </x:c>
      <x:c r="I164" s="36" t="n">
        <x:f>IF(E164&gt;0,1-(1-E164)^H164,0)</x:f>
        <x:v>0.9992574196069322</x:v>
      </x:c>
      <x:c r="J164" s="40" t="n">
        <x:f>(('03_战斗派生'!R44*'03_战斗派生'!T44*(1+I164*(G164-1))+'01_属性汇总'!AA44)*'03_战斗派生'!P44*'13_参数与假设'!$B$5+'03_战斗派生'!V44)*'13_参数与假设'!$B$6</x:f>
        <x:v>35092610437.02394</x:v>
      </x:c>
      <x:c r="K164" s="25" t="str">
        <x:v>PVE抵扣规则＋持续/倍率映射假设；非地图实测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2" hidden="0" customWidth="1"/>
    <x:col min="5" max="5" width="16" hidden="0" customWidth="1"/>
    <x:col min="6" max="6" width="32" hidden="0" customWidth="1"/>
    <x:col min="7" max="7" width="19" hidden="0" customWidth="1"/>
    <x:col min="8" max="8" width="13" hidden="0" customWidth="1"/>
    <x:col min="9" max="9" width="18" hidden="0" customWidth="1"/>
    <x:col min="10" max="10" width="14" hidden="0" customWidth="1"/>
    <x:col min="11" max="11" width="18" hidden="0" customWidth="1"/>
    <x:col min="12" max="12" width="19" hidden="0" customWidth="1"/>
    <x:col min="13" max="13" width="12" hidden="0" customWidth="1"/>
    <x:col min="14" max="14" width="12" hidden="0" customWidth="1"/>
    <x:col min="15" max="15" width="13" hidden="0" customWidth="1"/>
    <x:col min="16" max="16" width="13" hidden="0" customWidth="1"/>
    <x:col min="17" max="17" width="20" hidden="0" customWidth="1"/>
    <x:col min="18" max="18" width="48" hidden="0" customWidth="1"/>
  </x:cols>
  <x:sheetData>
    <x:row r="1" ht="29" customHeight="1">
      <x:c r="A1" s="4" t="str">
        <x:v>1,151条穿戴明细｜部位互斥与物理副本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3" customHeight="1">
      <x:c r="A2" s="11" t="str">
        <x:v>物理槽70—75为时装首饰盒；普通首饰盒30—35不混用。马牌/军鼓由成长装备单独发放；灵玉位保守预留给命格接口。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物理槽</x:v>
      </x:c>
      <x:c r="E4" s="19" t="str">
        <x:v>实物副本ID</x:v>
      </x:c>
      <x:c r="F4" s="19" t="str">
        <x:v>装备名称</x:v>
      </x:c>
      <x:c r="G4" s="19" t="str">
        <x:v>部位</x:v>
      </x:c>
      <x:c r="H4" s="19" t="str">
        <x:v>产出大陆</x:v>
      </x:c>
      <x:c r="I4" s="19" t="str">
        <x:v>来源层级</x:v>
      </x:c>
      <x:c r="J4" s="19" t="str">
        <x:v>来源编号</x:v>
      </x:c>
      <x:c r="K4" s="19" t="str">
        <x:v>原始攻击</x:v>
      </x:c>
      <x:c r="L4" s="19" t="str">
        <x:v>原始HP</x:v>
      </x:c>
      <x:c r="M4" s="19" t="str">
        <x:v>洗练条数</x:v>
      </x:c>
      <x:c r="N4" s="19" t="str">
        <x:v>已开光</x:v>
      </x:c>
      <x:c r="O4" s="19" t="str">
        <x:v>武器幸运</x:v>
      </x:c>
      <x:c r="P4" s="19" t="str">
        <x:v>项链幸运</x:v>
      </x:c>
      <x:c r="Q4" s="19" t="str">
        <x:v>本件项链尝试数</x:v>
      </x:c>
      <x:c r="R4" s="19" t="str">
        <x:v>说明</x:v>
      </x:c>
    </x:row>
    <x:row r="5">
      <x:c r="A5" s="25" t="str">
        <x:v>C01-M</x:v>
      </x:c>
      <x:c r="B5" s="25" t="str">
        <x:v>漂流群岛</x:v>
      </x:c>
      <x:c r="C5" s="25" t="str">
        <x:v>半急速中期</x:v>
      </x:c>
      <x:c r="D5" s="25" t="n">
        <x:v>0</x:v>
      </x:c>
      <x:c r="E5" s="25" t="n">
        <x:v>2</x:v>
      </x:c>
      <x:c r="F5" s="25" t="str">
        <x:v>风暴骑士战甲</x:v>
      </x:c>
      <x:c r="G5" s="25" t="str">
        <x:v>衣服</x:v>
      </x:c>
      <x:c r="H5" s="25" t="n">
        <x:v>1</x:v>
      </x:c>
      <x:c r="I5" s="25" t="str">
        <x:v>制式</x:v>
      </x:c>
      <x:c r="J5" s="25" t="str">
        <x:v>S01</x:v>
      </x:c>
      <x:c r="K5" s="25" t="str">
        <x:v>12-24</x:v>
      </x:c>
      <x:c r="L5" s="25" t="n">
        <x:v>25000</x:v>
      </x:c>
      <x:c r="M5" s="25" t="n">
        <x:v>0</x:v>
      </x:c>
      <x:c r="N5" s="25" t="str">
        <x:v>否</x:v>
      </x:c>
      <x:c r="O5" s="25" t="n">
        <x:v>0</x:v>
      </x:c>
      <x:c r="P5" s="25" t="n">
        <x:v>0</x:v>
      </x:c>
      <x:c r="Q5" s="25" t="n">
        <x:v>0</x:v>
      </x:c>
      <x:c r="R5" s="25" t="str">
        <x:v>洗练绑定装备；项链幸运绑定人物永久进度；武器幸运成本忽略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25" t="n">
        <x:v>1</x:v>
      </x:c>
      <x:c r="E6" s="25" t="n">
        <x:v>1</x:v>
      </x:c>
      <x:c r="F6" s="25" t="str">
        <x:v>风暴骑士剑</x:v>
      </x:c>
      <x:c r="G6" s="25" t="str">
        <x:v>武器</x:v>
      </x:c>
      <x:c r="H6" s="25" t="n">
        <x:v>1</x:v>
      </x:c>
      <x:c r="I6" s="25" t="str">
        <x:v>制式</x:v>
      </x:c>
      <x:c r="J6" s="25" t="str">
        <x:v>S01</x:v>
      </x:c>
      <x:c r="K6" s="25" t="str">
        <x:v>100-200</x:v>
      </x:c>
      <x:c r="L6" s="25" t="n">
        <x:v>1</x:v>
      </x:c>
      <x:c r="M6" s="25" t="n">
        <x:v>0</x:v>
      </x:c>
      <x:c r="N6" s="25" t="str">
        <x:v>否</x:v>
      </x:c>
      <x:c r="O6" s="25" t="n">
        <x:v>7</x:v>
      </x:c>
      <x:c r="P6" s="25" t="n">
        <x:v>0</x:v>
      </x:c>
      <x:c r="Q6" s="25" t="n">
        <x:v>0</x:v>
      </x:c>
      <x:c r="R6" s="25" t="str">
        <x:v>洗练绑定装备；项链幸运绑定人物永久进度；武器幸运成本忽略</x:v>
      </x:c>
    </x:row>
    <x:row r="7">
      <x:c r="A7" s="25" t="str">
        <x:v>C01-M</x:v>
      </x:c>
      <x:c r="B7" s="25" t="str">
        <x:v>漂流群岛</x:v>
      </x:c>
      <x:c r="C7" s="25" t="str">
        <x:v>半急速中期</x:v>
      </x:c>
      <x:c r="D7" s="25" t="n">
        <x:v>2</x:v>
      </x:c>
      <x:c r="E7" s="25" t="n">
        <x:v>8</x:v>
      </x:c>
      <x:c r="F7" s="25" t="str">
        <x:v>唤潮旧勋</x:v>
      </x:c>
      <x:c r="G7" s="25" t="str">
        <x:v>勋章</x:v>
      </x:c>
      <x:c r="H7" s="25" t="n">
        <x:v>1</x:v>
      </x:c>
      <x:c r="I7" s="25" t="str">
        <x:v>稀有</x:v>
      </x:c>
      <x:c r="J7" s="25" t="str">
        <x:v>S02</x:v>
      </x:c>
      <x:c r="K7" s="25" t="str">
        <x:v>9-17</x:v>
      </x:c>
      <x:c r="L7" s="25" t="n">
        <x:v>3300</x:v>
      </x:c>
      <x:c r="M7" s="25" t="n">
        <x:v>0</x:v>
      </x:c>
      <x:c r="N7" s="25" t="str">
        <x:v>否</x:v>
      </x:c>
      <x:c r="O7" s="25" t="n">
        <x:v>0</x:v>
      </x:c>
      <x:c r="P7" s="25" t="n">
        <x:v>0</x:v>
      </x:c>
      <x:c r="Q7" s="25" t="n">
        <x:v>0</x:v>
      </x:c>
      <x:c r="R7" s="25" t="str">
        <x:v>洗练绑定装备；项链幸运绑定人物永久进度；武器幸运成本忽略</x:v>
      </x:c>
    </x:row>
    <x:row r="8">
      <x:c r="A8" s="25" t="str">
        <x:v>C01-M</x:v>
      </x:c>
      <x:c r="B8" s="25" t="str">
        <x:v>漂流群岛</x:v>
      </x:c>
      <x:c r="C8" s="25" t="str">
        <x:v>半急速中期</x:v>
      </x:c>
      <x:c r="D8" s="25" t="n">
        <x:v>3</x:v>
      </x:c>
      <x:c r="E8" s="25" t="n">
        <x:v>3</x:v>
      </x:c>
      <x:c r="F8" s="25" t="str">
        <x:v>风暴骑士项链</x:v>
      </x:c>
      <x:c r="G8" s="25" t="str">
        <x:v>项链</x:v>
      </x:c>
      <x:c r="H8" s="25" t="n">
        <x:v>1</x:v>
      </x:c>
      <x:c r="I8" s="25" t="str">
        <x:v>制式</x:v>
      </x:c>
      <x:c r="J8" s="25" t="str">
        <x:v>S01</x:v>
      </x:c>
      <x:c r="K8" s="25" t="str">
        <x:v>14-28</x:v>
      </x:c>
      <x:c r="L8" s="25" t="n">
        <x:v>3750</x:v>
      </x:c>
      <x:c r="M8" s="25" t="n">
        <x:v>0</x:v>
      </x:c>
      <x:c r="N8" s="25" t="str">
        <x:v>否</x:v>
      </x:c>
      <x:c r="O8" s="25" t="n">
        <x:v>0</x:v>
      </x:c>
      <x:c r="P8" s="25" t="n">
        <x:v>0</x:v>
      </x:c>
      <x:c r="Q8" s="25" t="n">
        <x:v>0</x:v>
      </x:c>
      <x:c r="R8" s="25" t="str">
        <x:v>洗练绑定装备；项链幸运绑定人物永久进度；武器幸运成本忽略</x:v>
      </x:c>
    </x:row>
    <x:row r="9">
      <x:c r="A9" s="25" t="str">
        <x:v>C01-M</x:v>
      </x:c>
      <x:c r="B9" s="25" t="str">
        <x:v>漂流群岛</x:v>
      </x:c>
      <x:c r="C9" s="25" t="str">
        <x:v>半急速中期</x:v>
      </x:c>
      <x:c r="D9" s="25" t="n">
        <x:v>4</x:v>
      </x:c>
      <x:c r="E9" s="25" t="n">
        <x:v>9</x:v>
      </x:c>
      <x:c r="F9" s="25" t="str">
        <x:v>风暴骑士战盔</x:v>
      </x:c>
      <x:c r="G9" s="25" t="str">
        <x:v>头盔</x:v>
      </x:c>
      <x:c r="H9" s="25" t="n">
        <x:v>1</x:v>
      </x:c>
      <x:c r="I9" s="25" t="str">
        <x:v>制式</x:v>
      </x:c>
      <x:c r="J9" s="25" t="str">
        <x:v>S01</x:v>
      </x:c>
      <x:c r="K9" s="25" t="str">
        <x:v>10-20</x:v>
      </x:c>
      <x:c r="L9" s="25" t="n">
        <x:v>6250</x:v>
      </x:c>
      <x:c r="M9" s="25" t="n">
        <x:v>0</x:v>
      </x:c>
      <x:c r="N9" s="25" t="str">
        <x:v>否</x:v>
      </x:c>
      <x:c r="O9" s="25" t="n">
        <x:v>0</x:v>
      </x:c>
      <x:c r="P9" s="25" t="n">
        <x:v>0</x:v>
      </x:c>
      <x:c r="Q9" s="25" t="n">
        <x:v>0</x:v>
      </x:c>
      <x:c r="R9" s="25" t="str">
        <x:v>洗练绑定装备；项链幸运绑定人物永久进度；武器幸运成本忽略</x:v>
      </x:c>
    </x:row>
    <x:row r="10">
      <x:c r="A10" s="25" t="str">
        <x:v>C01-M</x:v>
      </x:c>
      <x:c r="B10" s="25" t="str">
        <x:v>漂流群岛</x:v>
      </x:c>
      <x:c r="C10" s="25" t="str">
        <x:v>半急速中期</x:v>
      </x:c>
      <x:c r="D10" s="25" t="n">
        <x:v>5</x:v>
      </x:c>
      <x:c r="E10" s="25" t="n">
        <x:v>4</x:v>
      </x:c>
      <x:c r="F10" s="25" t="str">
        <x:v>风暴骑士腕甲</x:v>
      </x:c>
      <x:c r="G10" s="25" t="str">
        <x:v>手镯</x:v>
      </x:c>
      <x:c r="H10" s="25" t="n">
        <x:v>1</x:v>
      </x:c>
      <x:c r="I10" s="25" t="str">
        <x:v>制式</x:v>
      </x:c>
      <x:c r="J10" s="25" t="str">
        <x:v>S01</x:v>
      </x:c>
      <x:c r="K10" s="25" t="str">
        <x:v>15-30</x:v>
      </x:c>
      <x:c r="L10" s="25" t="n">
        <x:v>5000</x:v>
      </x:c>
      <x:c r="M10" s="25" t="n">
        <x:v>0</x:v>
      </x:c>
      <x:c r="N10" s="25" t="str">
        <x:v>否</x:v>
      </x:c>
      <x:c r="O10" s="25" t="n">
        <x:v>0</x:v>
      </x:c>
      <x:c r="P10" s="25" t="n">
        <x:v>0</x:v>
      </x:c>
      <x:c r="Q10" s="25" t="n">
        <x:v>0</x:v>
      </x:c>
      <x:c r="R10" s="25" t="str">
        <x:v>洗练绑定装备；项链幸运绑定人物永久进度；武器幸运成本忽略</x:v>
      </x:c>
    </x:row>
    <x:row r="11">
      <x:c r="A11" s="25" t="str">
        <x:v>C01-M</x:v>
      </x:c>
      <x:c r="B11" s="25" t="str">
        <x:v>漂流群岛</x:v>
      </x:c>
      <x:c r="C11" s="25" t="str">
        <x:v>半急速中期</x:v>
      </x:c>
      <x:c r="D11" s="25" t="n">
        <x:v>6</x:v>
      </x:c>
      <x:c r="E11" s="25" t="n">
        <x:v>5</x:v>
      </x:c>
      <x:c r="F11" s="25" t="str">
        <x:v>断崖铁卫腕甲</x:v>
      </x:c>
      <x:c r="G11" s="25" t="str">
        <x:v>手镯</x:v>
      </x:c>
      <x:c r="H11" s="25" t="n">
        <x:v>1</x:v>
      </x:c>
      <x:c r="I11" s="25" t="str">
        <x:v>制式</x:v>
      </x:c>
      <x:c r="J11" s="25" t="str">
        <x:v>S01</x:v>
      </x:c>
      <x:c r="K11" s="25" t="str">
        <x:v>12-24</x:v>
      </x:c>
      <x:c r="L11" s="25" t="n">
        <x:v>4000</x:v>
      </x:c>
      <x:c r="M11" s="25" t="n">
        <x:v>0</x:v>
      </x:c>
      <x:c r="N11" s="25" t="str">
        <x:v>否</x:v>
      </x:c>
      <x:c r="O11" s="25" t="n">
        <x:v>0</x:v>
      </x:c>
      <x:c r="P11" s="25" t="n">
        <x:v>0</x:v>
      </x:c>
      <x:c r="Q11" s="25" t="n">
        <x:v>0</x:v>
      </x:c>
      <x:c r="R11" s="25" t="str">
        <x:v>洗练绑定装备；项链幸运绑定人物永久进度；武器幸运成本忽略</x:v>
      </x:c>
    </x:row>
    <x:row r="12">
      <x:c r="A12" s="25" t="str">
        <x:v>C01-M</x:v>
      </x:c>
      <x:c r="B12" s="25" t="str">
        <x:v>漂流群岛</x:v>
      </x:c>
      <x:c r="C12" s="25" t="str">
        <x:v>半急速中期</x:v>
      </x:c>
      <x:c r="D12" s="25" t="n">
        <x:v>7</x:v>
      </x:c>
      <x:c r="E12" s="25" t="n">
        <x:v>6</x:v>
      </x:c>
      <x:c r="F12" s="25" t="str">
        <x:v>风暴骑士戒指</x:v>
      </x:c>
      <x:c r="G12" s="25" t="str">
        <x:v>戒指</x:v>
      </x:c>
      <x:c r="H12" s="25" t="n">
        <x:v>1</x:v>
      </x:c>
      <x:c r="I12" s="25" t="str">
        <x:v>制式</x:v>
      </x:c>
      <x:c r="J12" s="25" t="str">
        <x:v>S01</x:v>
      </x:c>
      <x:c r="K12" s="25" t="str">
        <x:v>15-30</x:v>
      </x:c>
      <x:c r="L12" s="25" t="n">
        <x:v>5000</x:v>
      </x:c>
      <x:c r="M12" s="25" t="n">
        <x:v>0</x:v>
      </x:c>
      <x:c r="N12" s="25" t="str">
        <x:v>否</x:v>
      </x:c>
      <x:c r="O12" s="25" t="n">
        <x:v>0</x:v>
      </x:c>
      <x:c r="P12" s="25" t="n">
        <x:v>0</x:v>
      </x:c>
      <x:c r="Q12" s="25" t="n">
        <x:v>0</x:v>
      </x:c>
      <x:c r="R12" s="25" t="str">
        <x:v>洗练绑定装备；项链幸运绑定人物永久进度；武器幸运成本忽略</x:v>
      </x:c>
    </x:row>
    <x:row r="13">
      <x:c r="A13" s="25" t="str">
        <x:v>C01-M</x:v>
      </x:c>
      <x:c r="B13" s="25" t="str">
        <x:v>漂流群岛</x:v>
      </x:c>
      <x:c r="C13" s="25" t="str">
        <x:v>半急速中期</x:v>
      </x:c>
      <x:c r="D13" s="25" t="n">
        <x:v>8</x:v>
      </x:c>
      <x:c r="E13" s="25" t="n">
        <x:v>7</x:v>
      </x:c>
      <x:c r="F13" s="25" t="str">
        <x:v>断崖铁卫戒指</x:v>
      </x:c>
      <x:c r="G13" s="25" t="str">
        <x:v>戒指</x:v>
      </x:c>
      <x:c r="H13" s="25" t="n">
        <x:v>1</x:v>
      </x:c>
      <x:c r="I13" s="25" t="str">
        <x:v>制式</x:v>
      </x:c>
      <x:c r="J13" s="25" t="str">
        <x:v>S01</x:v>
      </x:c>
      <x:c r="K13" s="25" t="str">
        <x:v>12-24</x:v>
      </x:c>
      <x:c r="L13" s="25" t="n">
        <x:v>4000</x:v>
      </x:c>
      <x:c r="M13" s="25" t="n">
        <x:v>0</x:v>
      </x:c>
      <x:c r="N13" s="25" t="str">
        <x:v>否</x:v>
      </x:c>
      <x:c r="O13" s="25" t="n">
        <x:v>0</x:v>
      </x:c>
      <x:c r="P13" s="25" t="n">
        <x:v>0</x:v>
      </x:c>
      <x:c r="Q13" s="25" t="n">
        <x:v>0</x:v>
      </x:c>
      <x:c r="R13" s="25" t="str">
        <x:v>洗练绑定装备；项链幸运绑定人物永久进度；武器幸运成本忽略</x:v>
      </x:c>
    </x:row>
    <x:row r="14">
      <x:c r="A14" s="25" t="str">
        <x:v>C01-M</x:v>
      </x:c>
      <x:c r="B14" s="25" t="str">
        <x:v>漂流群岛</x:v>
      </x:c>
      <x:c r="C14" s="25" t="str">
        <x:v>半急速中期</x:v>
      </x:c>
      <x:c r="D14" s="25" t="n">
        <x:v>10</x:v>
      </x:c>
      <x:c r="E14" s="25" t="n">
        <x:v>10</x:v>
      </x:c>
      <x:c r="F14" s="25" t="str">
        <x:v>断崖铁卫腰带</x:v>
      </x:c>
      <x:c r="G14" s="25" t="str">
        <x:v>腰带</x:v>
      </x:c>
      <x:c r="H14" s="25" t="n">
        <x:v>1</x:v>
      </x:c>
      <x:c r="I14" s="25" t="str">
        <x:v>制式</x:v>
      </x:c>
      <x:c r="J14" s="25" t="str">
        <x:v>S01</x:v>
      </x:c>
      <x:c r="K14" s="25" t="str">
        <x:v>8-16</x:v>
      </x:c>
      <x:c r="L14" s="25" t="n">
        <x:v>5000</x:v>
      </x:c>
      <x:c r="M14" s="25" t="n">
        <x:v>0</x:v>
      </x:c>
      <x:c r="N14" s="25" t="str">
        <x:v>否</x:v>
      </x:c>
      <x:c r="O14" s="25" t="n">
        <x:v>0</x:v>
      </x:c>
      <x:c r="P14" s="25" t="n">
        <x:v>0</x:v>
      </x:c>
      <x:c r="Q14" s="25" t="n">
        <x:v>0</x:v>
      </x:c>
      <x:c r="R14" s="25" t="str">
        <x:v>洗练绑定装备；项链幸运绑定人物永久进度；武器幸运成本忽略</x:v>
      </x:c>
    </x:row>
    <x:row r="15">
      <x:c r="A15" s="25" t="str">
        <x:v>C01-M</x:v>
      </x:c>
      <x:c r="B15" s="25" t="str">
        <x:v>漂流群岛</x:v>
      </x:c>
      <x:c r="C15" s="25" t="str">
        <x:v>半急速中期</x:v>
      </x:c>
      <x:c r="D15" s="25" t="n">
        <x:v>11</x:v>
      </x:c>
      <x:c r="E15" s="25" t="n">
        <x:v>11</x:v>
      </x:c>
      <x:c r="F15" s="25" t="str">
        <x:v>断崖铁卫战靴</x:v>
      </x:c>
      <x:c r="G15" s="25" t="str">
        <x:v>鞋子</x:v>
      </x:c>
      <x:c r="H15" s="25" t="n">
        <x:v>1</x:v>
      </x:c>
      <x:c r="I15" s="25" t="str">
        <x:v>制式</x:v>
      </x:c>
      <x:c r="J15" s="25" t="str">
        <x:v>S01</x:v>
      </x:c>
      <x:c r="K15" s="25" t="str">
        <x:v>8-16</x:v>
      </x:c>
      <x:c r="L15" s="25" t="n">
        <x:v>5000</x:v>
      </x:c>
      <x:c r="M15" s="25" t="n">
        <x:v>0</x:v>
      </x:c>
      <x:c r="N15" s="25" t="str">
        <x:v>否</x:v>
      </x:c>
      <x:c r="O15" s="25" t="n">
        <x:v>0</x:v>
      </x:c>
      <x:c r="P15" s="25" t="n">
        <x:v>0</x:v>
      </x:c>
      <x:c r="Q15" s="25" t="n">
        <x:v>0</x:v>
      </x:c>
      <x:c r="R15" s="25" t="str">
        <x:v>洗练绑定装备；项链幸运绑定人物永久进度；武器幸运成本忽略</x:v>
      </x:c>
    </x:row>
    <x:row r="16">
      <x:c r="A16" s="25" t="str">
        <x:v>C01-M</x:v>
      </x:c>
      <x:c r="B16" s="25" t="str">
        <x:v>漂流群岛</x:v>
      </x:c>
      <x:c r="C16" s="25" t="str">
        <x:v>半急速中期</x:v>
      </x:c>
      <x:c r="D16" s="25" t="n">
        <x:v>13</x:v>
      </x:c>
      <x:c r="E16" s="25" t="n">
        <x:v>12</x:v>
      </x:c>
      <x:c r="F16" s="25" t="str">
        <x:v>石蜥面巾</x:v>
      </x:c>
      <x:c r="G16" s="25" t="str">
        <x:v>斗笠</x:v>
      </x:c>
      <x:c r="H16" s="25" t="n">
        <x:v>1</x:v>
      </x:c>
      <x:c r="I16" s="25" t="str">
        <x:v>普通</x:v>
      </x:c>
      <x:c r="J16" s="25" t="str">
        <x:v>S02</x:v>
      </x:c>
      <x:c r="K16" s="25" t="str">
        <x:v>12-24</x:v>
      </x:c>
      <x:c r="L16" s="25" t="n">
        <x:v>10000</x:v>
      </x:c>
      <x:c r="M16" s="25" t="n">
        <x:v>0</x:v>
      </x:c>
      <x:c r="N16" s="25" t="str">
        <x:v>否</x:v>
      </x:c>
      <x:c r="O16" s="25" t="n">
        <x:v>0</x:v>
      </x:c>
      <x:c r="P16" s="25" t="n">
        <x:v>0</x:v>
      </x:c>
      <x:c r="Q16" s="25" t="n">
        <x:v>0</x:v>
      </x:c>
      <x:c r="R16" s="25" t="str">
        <x:v>洗练绑定装备；项链幸运绑定人物永久进度；武器幸运成本忽略</x:v>
      </x:c>
    </x:row>
    <x:row r="17">
      <x:c r="A17" s="25" t="str">
        <x:v>C01-M</x:v>
      </x:c>
      <x:c r="B17" s="25" t="str">
        <x:v>漂流群岛</x:v>
      </x:c>
      <x:c r="C17" s="25" t="str">
        <x:v>半急速中期</x:v>
      </x:c>
      <x:c r="D17" s="25" t="n">
        <x:v>16</x:v>
      </x:c>
      <x:c r="E17" s="25" t="n">
        <x:v>13</x:v>
      </x:c>
      <x:c r="F17" s="25" t="str">
        <x:v>海雾塔盾</x:v>
      </x:c>
      <x:c r="G17" s="25" t="str">
        <x:v>盾牌</x:v>
      </x:c>
      <x:c r="H17" s="25" t="n">
        <x:v>1</x:v>
      </x:c>
      <x:c r="I17" s="25" t="str">
        <x:v>稀有</x:v>
      </x:c>
      <x:c r="J17" s="25" t="str">
        <x:v>S02</x:v>
      </x:c>
      <x:c r="K17" s="25" t="str">
        <x:v>8-15</x:v>
      </x:c>
      <x:c r="L17" s="25" t="n">
        <x:v>8250</x:v>
      </x:c>
      <x:c r="M17" s="25" t="n">
        <x:v>0</x:v>
      </x:c>
      <x:c r="N17" s="25" t="str">
        <x:v>否</x:v>
      </x:c>
      <x:c r="O17" s="25" t="n">
        <x:v>0</x:v>
      </x:c>
      <x:c r="P17" s="25" t="n">
        <x:v>0</x:v>
      </x:c>
      <x:c r="Q17" s="25" t="n">
        <x:v>0</x:v>
      </x:c>
      <x:c r="R17" s="25" t="str">
        <x:v>洗练绑定装备；项链幸运绑定人物永久进度；武器幸运成本忽略</x:v>
      </x:c>
    </x:row>
    <x:row r="18">
      <x:c r="A18" s="25" t="str">
        <x:v>C01-G</x:v>
      </x:c>
      <x:c r="B18" s="25" t="str">
        <x:v>漂流群岛</x:v>
      </x:c>
      <x:c r="C18" s="25" t="str">
        <x:v>半急速毕业</x:v>
      </x:c>
      <x:c r="D18" s="25" t="n">
        <x:v>0</x:v>
      </x:c>
      <x:c r="E18" s="25" t="n">
        <x:v>15</x:v>
      </x:c>
      <x:c r="F18" s="25" t="str">
        <x:v>王庭侍从战甲</x:v>
      </x:c>
      <x:c r="G18" s="25" t="str">
        <x:v>衣服</x:v>
      </x:c>
      <x:c r="H18" s="25" t="n">
        <x:v>1</x:v>
      </x:c>
      <x:c r="I18" s="25" t="str">
        <x:v>制式</x:v>
      </x:c>
      <x:c r="J18" s="25" t="str">
        <x:v>S01</x:v>
      </x:c>
      <x:c r="K18" s="25" t="str">
        <x:v>24-48</x:v>
      </x:c>
      <x:c r="L18" s="25" t="n">
        <x:v>50000</x:v>
      </x:c>
      <x:c r="M18" s="25" t="n">
        <x:v>0</x:v>
      </x:c>
      <x:c r="N18" s="25" t="str">
        <x:v>否</x:v>
      </x:c>
      <x:c r="O18" s="25" t="n">
        <x:v>0</x:v>
      </x:c>
      <x:c r="P18" s="25" t="n">
        <x:v>0</x:v>
      </x:c>
      <x:c r="Q18" s="25" t="n">
        <x:v>0</x:v>
      </x:c>
      <x:c r="R18" s="25" t="str">
        <x:v>洗练绑定装备；项链幸运绑定人物永久进度；武器幸运成本忽略</x:v>
      </x:c>
    </x:row>
    <x:row r="19">
      <x:c r="A19" s="25" t="str">
        <x:v>C01-G</x:v>
      </x:c>
      <x:c r="B19" s="25" t="str">
        <x:v>漂流群岛</x:v>
      </x:c>
      <x:c r="C19" s="25" t="str">
        <x:v>半急速毕业</x:v>
      </x:c>
      <x:c r="D19" s="25" t="n">
        <x:v>1</x:v>
      </x:c>
      <x:c r="E19" s="25" t="n">
        <x:v>14</x:v>
      </x:c>
      <x:c r="F19" s="25" t="str">
        <x:v>断桅血刃</x:v>
      </x:c>
      <x:c r="G19" s="25" t="str">
        <x:v>武器</x:v>
      </x:c>
      <x:c r="H19" s="25" t="n">
        <x:v>1</x:v>
      </x:c>
      <x:c r="I19" s="25" t="str">
        <x:v>BOSS</x:v>
      </x:c>
      <x:c r="J19" s="25" t="str">
        <x:v>S02</x:v>
      </x:c>
      <x:c r="K19" s="25" t="str">
        <x:v>90-174</x:v>
      </x:c>
      <x:c r="L19" s="25" t="n">
        <x:v>3830</x:v>
      </x:c>
      <x:c r="M19" s="25" t="n">
        <x:v>0</x:v>
      </x:c>
      <x:c r="N19" s="25" t="str">
        <x:v>否</x:v>
      </x:c>
      <x:c r="O19" s="25" t="n">
        <x:v>7</x:v>
      </x:c>
      <x:c r="P19" s="25" t="n">
        <x:v>0</x:v>
      </x:c>
      <x:c r="Q19" s="25" t="n">
        <x:v>0</x:v>
      </x:c>
      <x:c r="R19" s="25" t="str">
        <x:v>洗练绑定装备；项链幸运绑定人物永久进度；武器幸运成本忽略</x:v>
      </x:c>
    </x:row>
    <x:row r="20">
      <x:c r="A20" s="25" t="str">
        <x:v>C01-G</x:v>
      </x:c>
      <x:c r="B20" s="25" t="str">
        <x:v>漂流群岛</x:v>
      </x:c>
      <x:c r="C20" s="25" t="str">
        <x:v>半急速毕业</x:v>
      </x:c>
      <x:c r="D20" s="25" t="n">
        <x:v>2</x:v>
      </x:c>
      <x:c r="E20" s="25" t="n">
        <x:v>21</x:v>
      </x:c>
      <x:c r="F20" s="25" t="str">
        <x:v>风暴勋章</x:v>
      </x:c>
      <x:c r="G20" s="25" t="str">
        <x:v>勋章</x:v>
      </x:c>
      <x:c r="H20" s="25" t="n">
        <x:v>1</x:v>
      </x:c>
      <x:c r="I20" s="25" t="str">
        <x:v>稀有</x:v>
      </x:c>
      <x:c r="J20" s="25" t="str">
        <x:v>S02</x:v>
      </x:c>
      <x:c r="K20" s="25" t="str">
        <x:v>17-33</x:v>
      </x:c>
      <x:c r="L20" s="25" t="n">
        <x:v>6600</x:v>
      </x:c>
      <x:c r="M20" s="25" t="n">
        <x:v>0</x:v>
      </x:c>
      <x:c r="N20" s="25" t="str">
        <x:v>否</x:v>
      </x:c>
      <x:c r="O20" s="25" t="n">
        <x:v>0</x:v>
      </x:c>
      <x:c r="P20" s="25" t="n">
        <x:v>0</x:v>
      </x:c>
      <x:c r="Q20" s="25" t="n">
        <x:v>0</x:v>
      </x:c>
      <x:c r="R20" s="25" t="str">
        <x:v>洗练绑定装备；项链幸运绑定人物永久进度；武器幸运成本忽略</x:v>
      </x:c>
    </x:row>
    <x:row r="21">
      <x:c r="A21" s="25" t="str">
        <x:v>C01-G</x:v>
      </x:c>
      <x:c r="B21" s="25" t="str">
        <x:v>漂流群岛</x:v>
      </x:c>
      <x:c r="C21" s="25" t="str">
        <x:v>半急速毕业</x:v>
      </x:c>
      <x:c r="D21" s="25" t="n">
        <x:v>3</x:v>
      </x:c>
      <x:c r="E21" s="25" t="n">
        <x:v>16</x:v>
      </x:c>
      <x:c r="F21" s="25" t="str">
        <x:v>失落禁卫项链</x:v>
      </x:c>
      <x:c r="G21" s="25" t="str">
        <x:v>项链</x:v>
      </x:c>
      <x:c r="H21" s="25" t="n">
        <x:v>1</x:v>
      </x:c>
      <x:c r="I21" s="25" t="str">
        <x:v>制式</x:v>
      </x:c>
      <x:c r="J21" s="25" t="str">
        <x:v>S01</x:v>
      </x:c>
      <x:c r="K21" s="25" t="str">
        <x:v>25-50</x:v>
      </x:c>
      <x:c r="L21" s="25" t="n">
        <x:v>6750</x:v>
      </x:c>
      <x:c r="M21" s="25" t="n">
        <x:v>0</x:v>
      </x:c>
      <x:c r="N21" s="25" t="str">
        <x:v>否</x:v>
      </x:c>
      <x:c r="O21" s="25" t="n">
        <x:v>0</x:v>
      </x:c>
      <x:c r="P21" s="25" t="n">
        <x:v>0</x:v>
      </x:c>
      <x:c r="Q21" s="25" t="n">
        <x:v>0</x:v>
      </x:c>
      <x:c r="R21" s="25" t="str">
        <x:v>洗练绑定装备；项链幸运绑定人物永久进度；武器幸运成本忽略</x:v>
      </x:c>
    </x:row>
    <x:row r="22">
      <x:c r="A22" s="25" t="str">
        <x:v>C01-G</x:v>
      </x:c>
      <x:c r="B22" s="25" t="str">
        <x:v>漂流群岛</x:v>
      </x:c>
      <x:c r="C22" s="25" t="str">
        <x:v>半急速毕业</x:v>
      </x:c>
      <x:c r="D22" s="25" t="n">
        <x:v>4</x:v>
      </x:c>
      <x:c r="E22" s="25" t="n">
        <x:v>22</x:v>
      </x:c>
      <x:c r="F22" s="25" t="str">
        <x:v>王庭侍从战盔</x:v>
      </x:c>
      <x:c r="G22" s="25" t="str">
        <x:v>头盔</x:v>
      </x:c>
      <x:c r="H22" s="25" t="n">
        <x:v>1</x:v>
      </x:c>
      <x:c r="I22" s="25" t="str">
        <x:v>制式</x:v>
      </x:c>
      <x:c r="J22" s="25" t="str">
        <x:v>S01</x:v>
      </x:c>
      <x:c r="K22" s="25" t="str">
        <x:v>20-40</x:v>
      </x:c>
      <x:c r="L22" s="25" t="n">
        <x:v>12500</x:v>
      </x:c>
      <x:c r="M22" s="25" t="n">
        <x:v>0</x:v>
      </x:c>
      <x:c r="N22" s="25" t="str">
        <x:v>否</x:v>
      </x:c>
      <x:c r="O22" s="25" t="n">
        <x:v>0</x:v>
      </x:c>
      <x:c r="P22" s="25" t="n">
        <x:v>0</x:v>
      </x:c>
      <x:c r="Q22" s="25" t="n">
        <x:v>0</x:v>
      </x:c>
      <x:c r="R22" s="25" t="str">
        <x:v>洗练绑定装备；项链幸运绑定人物永久进度；武器幸运成本忽略</x:v>
      </x:c>
    </x:row>
    <x:row r="23">
      <x:c r="A23" s="25" t="str">
        <x:v>C01-G</x:v>
      </x:c>
      <x:c r="B23" s="25" t="str">
        <x:v>漂流群岛</x:v>
      </x:c>
      <x:c r="C23" s="25" t="str">
        <x:v>半急速毕业</x:v>
      </x:c>
      <x:c r="D23" s="25" t="n">
        <x:v>5</x:v>
      </x:c>
      <x:c r="E23" s="25" t="n">
        <x:v>17</x:v>
      </x:c>
      <x:c r="F23" s="25" t="str">
        <x:v>失落禁卫腕甲</x:v>
      </x:c>
      <x:c r="G23" s="25" t="str">
        <x:v>手镯</x:v>
      </x:c>
      <x:c r="H23" s="25" t="n">
        <x:v>1</x:v>
      </x:c>
      <x:c r="I23" s="25" t="str">
        <x:v>制式</x:v>
      </x:c>
      <x:c r="J23" s="25" t="str">
        <x:v>S01</x:v>
      </x:c>
      <x:c r="K23" s="25" t="str">
        <x:v>27-54</x:v>
      </x:c>
      <x:c r="L23" s="25" t="n">
        <x:v>9000</x:v>
      </x:c>
      <x:c r="M23" s="25" t="n">
        <x:v>0</x:v>
      </x:c>
      <x:c r="N23" s="25" t="str">
        <x:v>否</x:v>
      </x:c>
      <x:c r="O23" s="25" t="n">
        <x:v>0</x:v>
      </x:c>
      <x:c r="P23" s="25" t="n">
        <x:v>0</x:v>
      </x:c>
      <x:c r="Q23" s="25" t="n">
        <x:v>0</x:v>
      </x:c>
      <x:c r="R23" s="25" t="str">
        <x:v>洗练绑定装备；项链幸运绑定人物永久进度；武器幸运成本忽略</x:v>
      </x:c>
    </x:row>
    <x:row r="24">
      <x:c r="A24" s="25" t="str">
        <x:v>C01-G</x:v>
      </x:c>
      <x:c r="B24" s="25" t="str">
        <x:v>漂流群岛</x:v>
      </x:c>
      <x:c r="C24" s="25" t="str">
        <x:v>半急速毕业</x:v>
      </x:c>
      <x:c r="D24" s="25" t="n">
        <x:v>6</x:v>
      </x:c>
      <x:c r="E24" s="25" t="n">
        <x:v>18</x:v>
      </x:c>
      <x:c r="F24" s="25" t="str">
        <x:v>古礁卫士腕甲</x:v>
      </x:c>
      <x:c r="G24" s="25" t="str">
        <x:v>手镯</x:v>
      </x:c>
      <x:c r="H24" s="25" t="n">
        <x:v>1</x:v>
      </x:c>
      <x:c r="I24" s="25" t="str">
        <x:v>制式</x:v>
      </x:c>
      <x:c r="J24" s="25" t="str">
        <x:v>S01</x:v>
      </x:c>
      <x:c r="K24" s="25" t="str">
        <x:v>24-48</x:v>
      </x:c>
      <x:c r="L24" s="25" t="n">
        <x:v>8000</x:v>
      </x:c>
      <x:c r="M24" s="25" t="n">
        <x:v>0</x:v>
      </x:c>
      <x:c r="N24" s="25" t="str">
        <x:v>否</x:v>
      </x:c>
      <x:c r="O24" s="25" t="n">
        <x:v>0</x:v>
      </x:c>
      <x:c r="P24" s="25" t="n">
        <x:v>0</x:v>
      </x:c>
      <x:c r="Q24" s="25" t="n">
        <x:v>0</x:v>
      </x:c>
      <x:c r="R24" s="25" t="str">
        <x:v>洗练绑定装备；项链幸运绑定人物永久进度；武器幸运成本忽略</x:v>
      </x:c>
    </x:row>
    <x:row r="25">
      <x:c r="A25" s="25" t="str">
        <x:v>C01-G</x:v>
      </x:c>
      <x:c r="B25" s="25" t="str">
        <x:v>漂流群岛</x:v>
      </x:c>
      <x:c r="C25" s="25" t="str">
        <x:v>半急速毕业</x:v>
      </x:c>
      <x:c r="D25" s="25" t="n">
        <x:v>7</x:v>
      </x:c>
      <x:c r="E25" s="25" t="n">
        <x:v>19</x:v>
      </x:c>
      <x:c r="F25" s="25" t="str">
        <x:v>失落禁卫戒指</x:v>
      </x:c>
      <x:c r="G25" s="25" t="str">
        <x:v>戒指</x:v>
      </x:c>
      <x:c r="H25" s="25" t="n">
        <x:v>1</x:v>
      </x:c>
      <x:c r="I25" s="25" t="str">
        <x:v>制式</x:v>
      </x:c>
      <x:c r="J25" s="25" t="str">
        <x:v>S01</x:v>
      </x:c>
      <x:c r="K25" s="25" t="str">
        <x:v>27-54</x:v>
      </x:c>
      <x:c r="L25" s="25" t="n">
        <x:v>9000</x:v>
      </x:c>
      <x:c r="M25" s="25" t="n">
        <x:v>0</x:v>
      </x:c>
      <x:c r="N25" s="25" t="str">
        <x:v>否</x:v>
      </x:c>
      <x:c r="O25" s="25" t="n">
        <x:v>0</x:v>
      </x:c>
      <x:c r="P25" s="25" t="n">
        <x:v>0</x:v>
      </x:c>
      <x:c r="Q25" s="25" t="n">
        <x:v>0</x:v>
      </x:c>
      <x:c r="R25" s="25" t="str">
        <x:v>洗练绑定装备；项链幸运绑定人物永久进度；武器幸运成本忽略</x:v>
      </x:c>
    </x:row>
    <x:row r="26">
      <x:c r="A26" s="25" t="str">
        <x:v>C01-G</x:v>
      </x:c>
      <x:c r="B26" s="25" t="str">
        <x:v>漂流群岛</x:v>
      </x:c>
      <x:c r="C26" s="25" t="str">
        <x:v>半急速毕业</x:v>
      </x:c>
      <x:c r="D26" s="25" t="n">
        <x:v>8</x:v>
      </x:c>
      <x:c r="E26" s="25" t="n">
        <x:v>27</x:v>
      </x:c>
      <x:c r="F26" s="25" t="str">
        <x:v>潮归秘戒</x:v>
      </x:c>
      <x:c r="G26" s="25" t="str">
        <x:v>戒指</x:v>
      </x:c>
      <x:c r="H26" s="25" t="n">
        <x:v>1</x:v>
      </x:c>
      <x:c r="I26" s="25" t="str">
        <x:v>装备合成</x:v>
      </x:c>
      <x:c r="J26" s="25" t="str">
        <x:v>S07</x:v>
      </x:c>
      <x:c r="K26" s="25" t="str">
        <x:v>50-96</x:v>
      </x:c>
      <x:c r="L26" s="25" t="n">
        <x:v>39000</x:v>
      </x:c>
      <x:c r="M26" s="25" t="n">
        <x:v>0</x:v>
      </x:c>
      <x:c r="N26" s="25" t="str">
        <x:v>否</x:v>
      </x:c>
      <x:c r="O26" s="25" t="n">
        <x:v>0</x:v>
      </x:c>
      <x:c r="P26" s="25" t="n">
        <x:v>0</x:v>
      </x:c>
      <x:c r="Q26" s="25" t="n">
        <x:v>0</x:v>
      </x:c>
      <x:c r="R26" s="25" t="str">
        <x:v>洗练绑定装备；项链幸运绑定人物永久进度；武器幸运成本忽略</x:v>
      </x:c>
    </x:row>
    <x:row r="27">
      <x:c r="A27" s="25" t="str">
        <x:v>C01-G</x:v>
      </x:c>
      <x:c r="B27" s="25" t="str">
        <x:v>漂流群岛</x:v>
      </x:c>
      <x:c r="C27" s="25" t="str">
        <x:v>半急速毕业</x:v>
      </x:c>
      <x:c r="D27" s="25" t="n">
        <x:v>10</x:v>
      </x:c>
      <x:c r="E27" s="25" t="n">
        <x:v>23</x:v>
      </x:c>
      <x:c r="F27" s="25" t="str">
        <x:v>失落禁卫腰带</x:v>
      </x:c>
      <x:c r="G27" s="25" t="str">
        <x:v>腰带</x:v>
      </x:c>
      <x:c r="H27" s="25" t="n">
        <x:v>1</x:v>
      </x:c>
      <x:c r="I27" s="25" t="str">
        <x:v>制式</x:v>
      </x:c>
      <x:c r="J27" s="25" t="str">
        <x:v>S01</x:v>
      </x:c>
      <x:c r="K27" s="25" t="str">
        <x:v>18-36</x:v>
      </x:c>
      <x:c r="L27" s="25" t="n">
        <x:v>11300</x:v>
      </x:c>
      <x:c r="M27" s="25" t="n">
        <x:v>0</x:v>
      </x:c>
      <x:c r="N27" s="25" t="str">
        <x:v>否</x:v>
      </x:c>
      <x:c r="O27" s="25" t="n">
        <x:v>0</x:v>
      </x:c>
      <x:c r="P27" s="25" t="n">
        <x:v>0</x:v>
      </x:c>
      <x:c r="Q27" s="25" t="n">
        <x:v>0</x:v>
      </x:c>
      <x:c r="R27" s="25" t="str">
        <x:v>洗练绑定装备；项链幸运绑定人物永久进度；武器幸运成本忽略</x:v>
      </x:c>
    </x:row>
    <x:row r="28">
      <x:c r="A28" s="25" t="str">
        <x:v>C01-G</x:v>
      </x:c>
      <x:c r="B28" s="25" t="str">
        <x:v>漂流群岛</x:v>
      </x:c>
      <x:c r="C28" s="25" t="str">
        <x:v>半急速毕业</x:v>
      </x:c>
      <x:c r="D28" s="25" t="n">
        <x:v>11</x:v>
      </x:c>
      <x:c r="E28" s="25" t="n">
        <x:v>24</x:v>
      </x:c>
      <x:c r="F28" s="25" t="str">
        <x:v>失落禁卫战靴</x:v>
      </x:c>
      <x:c r="G28" s="25" t="str">
        <x:v>鞋子</x:v>
      </x:c>
      <x:c r="H28" s="25" t="n">
        <x:v>1</x:v>
      </x:c>
      <x:c r="I28" s="25" t="str">
        <x:v>制式</x:v>
      </x:c>
      <x:c r="J28" s="25" t="str">
        <x:v>S01</x:v>
      </x:c>
      <x:c r="K28" s="25" t="str">
        <x:v>18-36</x:v>
      </x:c>
      <x:c r="L28" s="25" t="n">
        <x:v>11300</x:v>
      </x:c>
      <x:c r="M28" s="25" t="n">
        <x:v>0</x:v>
      </x:c>
      <x:c r="N28" s="25" t="str">
        <x:v>否</x:v>
      </x:c>
      <x:c r="O28" s="25" t="n">
        <x:v>0</x:v>
      </x:c>
      <x:c r="P28" s="25" t="n">
        <x:v>0</x:v>
      </x:c>
      <x:c r="Q28" s="25" t="n">
        <x:v>0</x:v>
      </x:c>
      <x:c r="R28" s="25" t="str">
        <x:v>洗练绑定装备；项链幸运绑定人物永久进度；武器幸运成本忽略</x:v>
      </x:c>
    </x:row>
    <x:row r="29">
      <x:c r="A29" s="25" t="str">
        <x:v>C01-G</x:v>
      </x:c>
      <x:c r="B29" s="25" t="str">
        <x:v>漂流群岛</x:v>
      </x:c>
      <x:c r="C29" s="25" t="str">
        <x:v>半急速毕业</x:v>
      </x:c>
      <x:c r="D29" s="25" t="n">
        <x:v>13</x:v>
      </x:c>
      <x:c r="E29" s="25" t="n">
        <x:v>12</x:v>
      </x:c>
      <x:c r="F29" s="25" t="str">
        <x:v>石蜥面巾</x:v>
      </x:c>
      <x:c r="G29" s="25" t="str">
        <x:v>斗笠</x:v>
      </x:c>
      <x:c r="H29" s="25" t="n">
        <x:v>1</x:v>
      </x:c>
      <x:c r="I29" s="25" t="str">
        <x:v>普通</x:v>
      </x:c>
      <x:c r="J29" s="25" t="str">
        <x:v>S02</x:v>
      </x:c>
      <x:c r="K29" s="25" t="str">
        <x:v>12-24</x:v>
      </x:c>
      <x:c r="L29" s="25" t="n">
        <x:v>10000</x:v>
      </x:c>
      <x:c r="M29" s="25" t="n">
        <x:v>0</x:v>
      </x:c>
      <x:c r="N29" s="25" t="str">
        <x:v>否</x:v>
      </x:c>
      <x:c r="O29" s="25" t="n">
        <x:v>0</x:v>
      </x:c>
      <x:c r="P29" s="25" t="n">
        <x:v>0</x:v>
      </x:c>
      <x:c r="Q29" s="25" t="n">
        <x:v>0</x:v>
      </x:c>
      <x:c r="R29" s="25" t="str">
        <x:v>洗练绑定装备；项链幸运绑定人物永久进度；武器幸运成本忽略</x:v>
      </x:c>
    </x:row>
    <x:row r="30">
      <x:c r="A30" s="25" t="str">
        <x:v>C01-G</x:v>
      </x:c>
      <x:c r="B30" s="25" t="str">
        <x:v>漂流群岛</x:v>
      </x:c>
      <x:c r="C30" s="25" t="str">
        <x:v>半急速毕业</x:v>
      </x:c>
      <x:c r="D30" s="25" t="n">
        <x:v>16</x:v>
      </x:c>
      <x:c r="E30" s="25" t="n">
        <x:v>25</x:v>
      </x:c>
      <x:c r="F30" s="25" t="str">
        <x:v>裂岩巨盾</x:v>
      </x:c>
      <x:c r="G30" s="25" t="str">
        <x:v>盾牌</x:v>
      </x:c>
      <x:c r="H30" s="25" t="n">
        <x:v>1</x:v>
      </x:c>
      <x:c r="I30" s="25" t="str">
        <x:v>稀有</x:v>
      </x:c>
      <x:c r="J30" s="25" t="str">
        <x:v>S02</x:v>
      </x:c>
      <x:c r="K30" s="25" t="str">
        <x:v>16-30</x:v>
      </x:c>
      <x:c r="L30" s="25" t="n">
        <x:v>16500</x:v>
      </x:c>
      <x:c r="M30" s="25" t="n">
        <x:v>0</x:v>
      </x:c>
      <x:c r="N30" s="25" t="str">
        <x:v>否</x:v>
      </x:c>
      <x:c r="O30" s="25" t="n">
        <x:v>0</x:v>
      </x:c>
      <x:c r="P30" s="25" t="n">
        <x:v>0</x:v>
      </x:c>
      <x:c r="Q30" s="25" t="n">
        <x:v>0</x:v>
      </x:c>
      <x:c r="R30" s="25" t="str">
        <x:v>洗练绑定装备；项链幸运绑定人物永久进度；武器幸运成本忽略</x:v>
      </x:c>
    </x:row>
    <x:row r="31">
      <x:c r="A31" s="25" t="str">
        <x:v>C01-G</x:v>
      </x:c>
      <x:c r="B31" s="25" t="str">
        <x:v>漂流群岛</x:v>
      </x:c>
      <x:c r="C31" s="25" t="str">
        <x:v>半急速毕业</x:v>
      </x:c>
      <x:c r="D31" s="25" t="n">
        <x:v>18</x:v>
      </x:c>
      <x:c r="E31" s="25" t="n">
        <x:v>26</x:v>
      </x:c>
      <x:c r="F31" s="25" t="str">
        <x:v>无冠王衣</x:v>
      </x:c>
      <x:c r="G31" s="25" t="str">
        <x:v>时装衣服</x:v>
      </x:c>
      <x:c r="H31" s="25" t="n">
        <x:v>1</x:v>
      </x:c>
      <x:c r="I31" s="25" t="str">
        <x:v>守关BOSS</x:v>
      </x:c>
      <x:c r="J31" s="25" t="str">
        <x:v>S02</x:v>
      </x:c>
      <x:c r="K31" s="25" t="str">
        <x:v>28-53</x:v>
      </x:c>
      <x:c r="L31" s="25" t="n">
        <x:v>74300</x:v>
      </x:c>
      <x:c r="M31" s="25" t="n">
        <x:v>0</x:v>
      </x:c>
      <x:c r="N31" s="25" t="str">
        <x:v>否</x:v>
      </x:c>
      <x:c r="O31" s="25" t="n">
        <x:v>0</x:v>
      </x:c>
      <x:c r="P31" s="25" t="n">
        <x:v>0</x:v>
      </x:c>
      <x:c r="Q31" s="25" t="n">
        <x:v>0</x:v>
      </x:c>
      <x:c r="R31" s="25" t="str">
        <x:v>洗练绑定装备；项链幸运绑定人物永久进度；武器幸运成本忽略</x:v>
      </x:c>
    </x:row>
    <x:row r="32">
      <x:c r="A32" s="25" t="str">
        <x:v>C01-X</x:v>
      </x:c>
      <x:c r="B32" s="25" t="str">
        <x:v>漂流群岛</x:v>
      </x:c>
      <x:c r="C32" s="25" t="str">
        <x:v>极端压力</x:v>
      </x:c>
      <x:c r="D32" s="25" t="n">
        <x:v>0</x:v>
      </x:c>
      <x:c r="E32" s="25" t="n">
        <x:v>29</x:v>
      </x:c>
      <x:c r="F32" s="25" t="str">
        <x:v>深潮王铠</x:v>
      </x:c>
      <x:c r="G32" s="25" t="str">
        <x:v>衣服</x:v>
      </x:c>
      <x:c r="H32" s="25" t="n">
        <x:v>1</x:v>
      </x:c>
      <x:c r="I32" s="25" t="str">
        <x:v>BOSS</x:v>
      </x:c>
      <x:c r="J32" s="25" t="str">
        <x:v>S02</x:v>
      </x:c>
      <x:c r="K32" s="25" t="str">
        <x:v>36-70</x:v>
      </x:c>
      <x:c r="L32" s="25" t="n">
        <x:v>65300</x:v>
      </x:c>
      <x:c r="M32" s="25" t="n">
        <x:v>0</x:v>
      </x:c>
      <x:c r="N32" s="25" t="str">
        <x:v>否</x:v>
      </x:c>
      <x:c r="O32" s="25" t="n">
        <x:v>0</x:v>
      </x:c>
      <x:c r="P32" s="25" t="n">
        <x:v>0</x:v>
      </x:c>
      <x:c r="Q32" s="25" t="n">
        <x:v>0</x:v>
      </x:c>
      <x:c r="R32" s="25" t="str">
        <x:v>洗练绑定装备；项链幸运绑定人物永久进度；武器幸运成本忽略</x:v>
      </x:c>
    </x:row>
    <x:row r="33">
      <x:c r="A33" s="25" t="str">
        <x:v>C01-X</x:v>
      </x:c>
      <x:c r="B33" s="25" t="str">
        <x:v>漂流群岛</x:v>
      </x:c>
      <x:c r="C33" s="25" t="str">
        <x:v>极端压力</x:v>
      </x:c>
      <x:c r="D33" s="25" t="n">
        <x:v>1</x:v>
      </x:c>
      <x:c r="E33" s="25" t="n">
        <x:v>28</x:v>
      </x:c>
      <x:c r="F33" s="25" t="str">
        <x:v>沉没王权</x:v>
      </x:c>
      <x:c r="G33" s="25" t="str">
        <x:v>武器</x:v>
      </x:c>
      <x:c r="H33" s="25" t="n">
        <x:v>1</x:v>
      </x:c>
      <x:c r="I33" s="25" t="str">
        <x:v>守关BOSS</x:v>
      </x:c>
      <x:c r="J33" s="25" t="str">
        <x:v>S02</x:v>
      </x:c>
      <x:c r="K33" s="25" t="str">
        <x:v>343-660</x:v>
      </x:c>
      <x:c r="L33" s="25" t="n">
        <x:v>16300</x:v>
      </x:c>
      <x:c r="M33" s="25" t="n">
        <x:v>0</x:v>
      </x:c>
      <x:c r="N33" s="25" t="str">
        <x:v>否</x:v>
      </x:c>
      <x:c r="O33" s="25" t="n">
        <x:v>7</x:v>
      </x:c>
      <x:c r="P33" s="25" t="n">
        <x:v>0</x:v>
      </x:c>
      <x:c r="Q33" s="25" t="n">
        <x:v>0</x:v>
      </x:c>
      <x:c r="R33" s="25" t="str">
        <x:v>洗练绑定装备；项链幸运绑定人物永久进度；武器幸运成本忽略</x:v>
      </x:c>
    </x:row>
    <x:row r="34">
      <x:c r="A34" s="25" t="str">
        <x:v>C01-X</x:v>
      </x:c>
      <x:c r="B34" s="25" t="str">
        <x:v>漂流群岛</x:v>
      </x:c>
      <x:c r="C34" s="25" t="str">
        <x:v>极端压力</x:v>
      </x:c>
      <x:c r="D34" s="25" t="n">
        <x:v>2</x:v>
      </x:c>
      <x:c r="E34" s="25" t="n">
        <x:v>34</x:v>
      </x:c>
      <x:c r="F34" s="25" t="str">
        <x:v>深渊勋章</x:v>
      </x:c>
      <x:c r="G34" s="25" t="str">
        <x:v>勋章</x:v>
      </x:c>
      <x:c r="H34" s="25" t="n">
        <x:v>1</x:v>
      </x:c>
      <x:c r="I34" s="25" t="str">
        <x:v>稀有</x:v>
      </x:c>
      <x:c r="J34" s="25" t="str">
        <x:v>S02</x:v>
      </x:c>
      <x:c r="K34" s="25" t="str">
        <x:v>29-55</x:v>
      </x:c>
      <x:c r="L34" s="25" t="n">
        <x:v>12400</x:v>
      </x:c>
      <x:c r="M34" s="25" t="n">
        <x:v>0</x:v>
      </x:c>
      <x:c r="N34" s="25" t="str">
        <x:v>否</x:v>
      </x:c>
      <x:c r="O34" s="25" t="n">
        <x:v>0</x:v>
      </x:c>
      <x:c r="P34" s="25" t="n">
        <x:v>0</x:v>
      </x:c>
      <x:c r="Q34" s="25" t="n">
        <x:v>0</x:v>
      </x:c>
      <x:c r="R34" s="25" t="str">
        <x:v>洗练绑定装备；项链幸运绑定人物永久进度；武器幸运成本忽略</x:v>
      </x:c>
    </x:row>
    <x:row r="35">
      <x:c r="A35" s="25" t="str">
        <x:v>C01-X</x:v>
      </x:c>
      <x:c r="B35" s="25" t="str">
        <x:v>漂流群岛</x:v>
      </x:c>
      <x:c r="C35" s="25" t="str">
        <x:v>极端压力</x:v>
      </x:c>
      <x:c r="D35" s="25" t="n">
        <x:v>3</x:v>
      </x:c>
      <x:c r="E35" s="25" t="n">
        <x:v>30</x:v>
      </x:c>
      <x:c r="F35" s="25" t="str">
        <x:v>沉宫项链</x:v>
      </x:c>
      <x:c r="G35" s="25" t="str">
        <x:v>项链</x:v>
      </x:c>
      <x:c r="H35" s="25" t="n">
        <x:v>1</x:v>
      </x:c>
      <x:c r="I35" s="25" t="str">
        <x:v>普通</x:v>
      </x:c>
      <x:c r="J35" s="25" t="str">
        <x:v>S02</x:v>
      </x:c>
      <x:c r="K35" s="25" t="str">
        <x:v>32-62</x:v>
      </x:c>
      <x:c r="L35" s="25" t="n">
        <x:v>10900</x:v>
      </x:c>
      <x:c r="M35" s="25" t="n">
        <x:v>0</x:v>
      </x:c>
      <x:c r="N35" s="25" t="str">
        <x:v>否</x:v>
      </x:c>
      <x:c r="O35" s="25" t="n">
        <x:v>0</x:v>
      </x:c>
      <x:c r="P35" s="25" t="n">
        <x:v>0</x:v>
      </x:c>
      <x:c r="Q35" s="25" t="n">
        <x:v>0</x:v>
      </x:c>
      <x:c r="R35" s="25" t="str">
        <x:v>洗练绑定装备；项链幸运绑定人物永久进度；武器幸运成本忽略</x:v>
      </x:c>
    </x:row>
    <x:row r="36">
      <x:c r="A36" s="25" t="str">
        <x:v>C01-X</x:v>
      </x:c>
      <x:c r="B36" s="25" t="str">
        <x:v>漂流群岛</x:v>
      </x:c>
      <x:c r="C36" s="25" t="str">
        <x:v>极端压力</x:v>
      </x:c>
      <x:c r="D36" s="25" t="n">
        <x:v>4</x:v>
      </x:c>
      <x:c r="E36" s="25" t="n">
        <x:v>35</x:v>
      </x:c>
      <x:c r="F36" s="25" t="str">
        <x:v>溺亡王盔</x:v>
      </x:c>
      <x:c r="G36" s="25" t="str">
        <x:v>头盔</x:v>
      </x:c>
      <x:c r="H36" s="25" t="n">
        <x:v>1</x:v>
      </x:c>
      <x:c r="I36" s="25" t="str">
        <x:v>普通</x:v>
      </x:c>
      <x:c r="J36" s="25" t="str">
        <x:v>S02</x:v>
      </x:c>
      <x:c r="K36" s="25" t="str">
        <x:v>23-44</x:v>
      </x:c>
      <x:c r="L36" s="25" t="n">
        <x:v>18800</x:v>
      </x:c>
      <x:c r="M36" s="25" t="n">
        <x:v>0</x:v>
      </x:c>
      <x:c r="N36" s="25" t="str">
        <x:v>否</x:v>
      </x:c>
      <x:c r="O36" s="25" t="n">
        <x:v>0</x:v>
      </x:c>
      <x:c r="P36" s="25" t="n">
        <x:v>0</x:v>
      </x:c>
      <x:c r="Q36" s="25" t="n">
        <x:v>0</x:v>
      </x:c>
      <x:c r="R36" s="25" t="str">
        <x:v>洗练绑定装备；项链幸运绑定人物永久进度；武器幸运成本忽略</x:v>
      </x:c>
    </x:row>
    <x:row r="37">
      <x:c r="A37" s="25" t="str">
        <x:v>C01-X</x:v>
      </x:c>
      <x:c r="B37" s="25" t="str">
        <x:v>漂流群岛</x:v>
      </x:c>
      <x:c r="C37" s="25" t="str">
        <x:v>极端压力</x:v>
      </x:c>
      <x:c r="D37" s="25" t="n">
        <x:v>5</x:v>
      </x:c>
      <x:c r="E37" s="25" t="n">
        <x:v>31</x:v>
      </x:c>
      <x:c r="F37" s="25" t="str">
        <x:v>苔痕护腕</x:v>
      </x:c>
      <x:c r="G37" s="25" t="str">
        <x:v>手镯</x:v>
      </x:c>
      <x:c r="H37" s="25" t="n">
        <x:v>1</x:v>
      </x:c>
      <x:c r="I37" s="25" t="str">
        <x:v>普通</x:v>
      </x:c>
      <x:c r="J37" s="25" t="str">
        <x:v>S02</x:v>
      </x:c>
      <x:c r="K37" s="25" t="str">
        <x:v>34-66</x:v>
      </x:c>
      <x:c r="L37" s="25" t="n">
        <x:v>10900</x:v>
      </x:c>
      <x:c r="M37" s="25" t="n">
        <x:v>0</x:v>
      </x:c>
      <x:c r="N37" s="25" t="str">
        <x:v>否</x:v>
      </x:c>
      <x:c r="O37" s="25" t="n">
        <x:v>0</x:v>
      </x:c>
      <x:c r="P37" s="25" t="n">
        <x:v>0</x:v>
      </x:c>
      <x:c r="Q37" s="25" t="n">
        <x:v>0</x:v>
      </x:c>
      <x:c r="R37" s="25" t="str">
        <x:v>洗练绑定装备；项链幸运绑定人物永久进度；武器幸运成本忽略</x:v>
      </x:c>
    </x:row>
    <x:row r="38">
      <x:c r="A38" s="25" t="str">
        <x:v>C01-X</x:v>
      </x:c>
      <x:c r="B38" s="25" t="str">
        <x:v>漂流群岛</x:v>
      </x:c>
      <x:c r="C38" s="25" t="str">
        <x:v>极端压力</x:v>
      </x:c>
      <x:c r="D38" s="25" t="n">
        <x:v>6</x:v>
      </x:c>
      <x:c r="E38" s="25" t="n">
        <x:v>32</x:v>
      </x:c>
      <x:c r="F38" s="25" t="str">
        <x:v>苔痕护腕</x:v>
      </x:c>
      <x:c r="G38" s="25" t="str">
        <x:v>手镯</x:v>
      </x:c>
      <x:c r="H38" s="25" t="n">
        <x:v>1</x:v>
      </x:c>
      <x:c r="I38" s="25" t="str">
        <x:v>普通</x:v>
      </x:c>
      <x:c r="J38" s="25" t="str">
        <x:v>S02</x:v>
      </x:c>
      <x:c r="K38" s="25" t="str">
        <x:v>34-66</x:v>
      </x:c>
      <x:c r="L38" s="25" t="n">
        <x:v>10900</x:v>
      </x:c>
      <x:c r="M38" s="25" t="n">
        <x:v>0</x:v>
      </x:c>
      <x:c r="N38" s="25" t="str">
        <x:v>否</x:v>
      </x:c>
      <x:c r="O38" s="25" t="n">
        <x:v>0</x:v>
      </x:c>
      <x:c r="P38" s="25" t="n">
        <x:v>0</x:v>
      </x:c>
      <x:c r="Q38" s="25" t="n">
        <x:v>0</x:v>
      </x:c>
      <x:c r="R38" s="25" t="str">
        <x:v>洗练绑定装备；项链幸运绑定人物永久进度；武器幸运成本忽略</x:v>
      </x:c>
    </x:row>
    <x:row r="39">
      <x:c r="A39" s="25" t="str">
        <x:v>C01-X</x:v>
      </x:c>
      <x:c r="B39" s="25" t="str">
        <x:v>漂流群岛</x:v>
      </x:c>
      <x:c r="C39" s="25" t="str">
        <x:v>极端压力</x:v>
      </x:c>
      <x:c r="D39" s="25" t="n">
        <x:v>7</x:v>
      </x:c>
      <x:c r="E39" s="25" t="n">
        <x:v>41</x:v>
      </x:c>
      <x:c r="F39" s="25" t="str">
        <x:v>潮归秘戒</x:v>
      </x:c>
      <x:c r="G39" s="25" t="str">
        <x:v>戒指</x:v>
      </x:c>
      <x:c r="H39" s="25" t="n">
        <x:v>1</x:v>
      </x:c>
      <x:c r="I39" s="25" t="str">
        <x:v>装备合成</x:v>
      </x:c>
      <x:c r="J39" s="25" t="str">
        <x:v>S07</x:v>
      </x:c>
      <x:c r="K39" s="25" t="str">
        <x:v>50-96</x:v>
      </x:c>
      <x:c r="L39" s="25" t="n">
        <x:v>39000</x:v>
      </x:c>
      <x:c r="M39" s="25" t="n">
        <x:v>0</x:v>
      </x:c>
      <x:c r="N39" s="25" t="str">
        <x:v>否</x:v>
      </x:c>
      <x:c r="O39" s="25" t="n">
        <x:v>0</x:v>
      </x:c>
      <x:c r="P39" s="25" t="n">
        <x:v>0</x:v>
      </x:c>
      <x:c r="Q39" s="25" t="n">
        <x:v>0</x:v>
      </x:c>
      <x:c r="R39" s="25" t="str">
        <x:v>洗练绑定装备；项链幸运绑定人物永久进度；武器幸运成本忽略</x:v>
      </x:c>
    </x:row>
    <x:row r="40">
      <x:c r="A40" s="25" t="str">
        <x:v>C01-X</x:v>
      </x:c>
      <x:c r="B40" s="25" t="str">
        <x:v>漂流群岛</x:v>
      </x:c>
      <x:c r="C40" s="25" t="str">
        <x:v>极端压力</x:v>
      </x:c>
      <x:c r="D40" s="25" t="n">
        <x:v>8</x:v>
      </x:c>
      <x:c r="E40" s="25" t="n">
        <x:v>27</x:v>
      </x:c>
      <x:c r="F40" s="25" t="str">
        <x:v>潮归秘戒</x:v>
      </x:c>
      <x:c r="G40" s="25" t="str">
        <x:v>戒指</x:v>
      </x:c>
      <x:c r="H40" s="25" t="n">
        <x:v>1</x:v>
      </x:c>
      <x:c r="I40" s="25" t="str">
        <x:v>装备合成</x:v>
      </x:c>
      <x:c r="J40" s="25" t="str">
        <x:v>S07</x:v>
      </x:c>
      <x:c r="K40" s="25" t="str">
        <x:v>50-96</x:v>
      </x:c>
      <x:c r="L40" s="25" t="n">
        <x:v>39000</x:v>
      </x:c>
      <x:c r="M40" s="25" t="n">
        <x:v>0</x:v>
      </x:c>
      <x:c r="N40" s="25" t="str">
        <x:v>否</x:v>
      </x:c>
      <x:c r="O40" s="25" t="n">
        <x:v>0</x:v>
      </x:c>
      <x:c r="P40" s="25" t="n">
        <x:v>0</x:v>
      </x:c>
      <x:c r="Q40" s="25" t="n">
        <x:v>0</x:v>
      </x:c>
      <x:c r="R40" s="25" t="str">
        <x:v>洗练绑定装备；项链幸运绑定人物永久进度；武器幸运成本忽略</x:v>
      </x:c>
    </x:row>
    <x:row r="41">
      <x:c r="A41" s="25" t="str">
        <x:v>C01-X</x:v>
      </x:c>
      <x:c r="B41" s="25" t="str">
        <x:v>漂流群岛</x:v>
      </x:c>
      <x:c r="C41" s="25" t="str">
        <x:v>极端压力</x:v>
      </x:c>
      <x:c r="D41" s="25" t="n">
        <x:v>10</x:v>
      </x:c>
      <x:c r="E41" s="25" t="n">
        <x:v>36</x:v>
      </x:c>
      <x:c r="F41" s="25" t="str">
        <x:v>深水束带</x:v>
      </x:c>
      <x:c r="G41" s="25" t="str">
        <x:v>腰带</x:v>
      </x:c>
      <x:c r="H41" s="25" t="n">
        <x:v>1</x:v>
      </x:c>
      <x:c r="I41" s="25" t="str">
        <x:v>普通</x:v>
      </x:c>
      <x:c r="J41" s="25" t="str">
        <x:v>S02</x:v>
      </x:c>
      <x:c r="K41" s="25" t="str">
        <x:v>23-44</x:v>
      </x:c>
      <x:c r="L41" s="25" t="n">
        <x:v>18800</x:v>
      </x:c>
      <x:c r="M41" s="25" t="n">
        <x:v>0</x:v>
      </x:c>
      <x:c r="N41" s="25" t="str">
        <x:v>否</x:v>
      </x:c>
      <x:c r="O41" s="25" t="n">
        <x:v>0</x:v>
      </x:c>
      <x:c r="P41" s="25" t="n">
        <x:v>0</x:v>
      </x:c>
      <x:c r="Q41" s="25" t="n">
        <x:v>0</x:v>
      </x:c>
      <x:c r="R41" s="25" t="str">
        <x:v>洗练绑定装备；项链幸运绑定人物永久进度；武器幸运成本忽略</x:v>
      </x:c>
    </x:row>
    <x:row r="42">
      <x:c r="A42" s="25" t="str">
        <x:v>C01-X</x:v>
      </x:c>
      <x:c r="B42" s="25" t="str">
        <x:v>漂流群岛</x:v>
      </x:c>
      <x:c r="C42" s="25" t="str">
        <x:v>极端压力</x:v>
      </x:c>
      <x:c r="D42" s="25" t="n">
        <x:v>11</x:v>
      </x:c>
      <x:c r="E42" s="25" t="n">
        <x:v>37</x:v>
      </x:c>
      <x:c r="F42" s="25" t="str">
        <x:v>失冠战靴</x:v>
      </x:c>
      <x:c r="G42" s="25" t="str">
        <x:v>鞋子</x:v>
      </x:c>
      <x:c r="H42" s="25" t="n">
        <x:v>1</x:v>
      </x:c>
      <x:c r="I42" s="25" t="str">
        <x:v>稀有</x:v>
      </x:c>
      <x:c r="J42" s="25" t="str">
        <x:v>S02</x:v>
      </x:c>
      <x:c r="K42" s="25" t="str">
        <x:v>26-50</x:v>
      </x:c>
      <x:c r="L42" s="25" t="n">
        <x:v>21400</x:v>
      </x:c>
      <x:c r="M42" s="25" t="n">
        <x:v>0</x:v>
      </x:c>
      <x:c r="N42" s="25" t="str">
        <x:v>否</x:v>
      </x:c>
      <x:c r="O42" s="25" t="n">
        <x:v>0</x:v>
      </x:c>
      <x:c r="P42" s="25" t="n">
        <x:v>0</x:v>
      </x:c>
      <x:c r="Q42" s="25" t="n">
        <x:v>0</x:v>
      </x:c>
      <x:c r="R42" s="25" t="str">
        <x:v>洗练绑定装备；项链幸运绑定人物永久进度；武器幸运成本忽略</x:v>
      </x:c>
    </x:row>
    <x:row r="43">
      <x:c r="A43" s="25" t="str">
        <x:v>C01-X</x:v>
      </x:c>
      <x:c r="B43" s="25" t="str">
        <x:v>漂流群岛</x:v>
      </x:c>
      <x:c r="C43" s="25" t="str">
        <x:v>极端压力</x:v>
      </x:c>
      <x:c r="D43" s="25" t="n">
        <x:v>13</x:v>
      </x:c>
      <x:c r="E43" s="25" t="n">
        <x:v>38</x:v>
      </x:c>
      <x:c r="F43" s="25" t="str">
        <x:v>幽灯面巾</x:v>
      </x:c>
      <x:c r="G43" s="25" t="str">
        <x:v>斗笠</x:v>
      </x:c>
      <x:c r="H43" s="25" t="n">
        <x:v>1</x:v>
      </x:c>
      <x:c r="I43" s="25" t="str">
        <x:v>普通</x:v>
      </x:c>
      <x:c r="J43" s="25" t="str">
        <x:v>S02</x:v>
      </x:c>
      <x:c r="K43" s="25" t="str">
        <x:v>21-40</x:v>
      </x:c>
      <x:c r="L43" s="25" t="n">
        <x:v>18800</x:v>
      </x:c>
      <x:c r="M43" s="25" t="n">
        <x:v>0</x:v>
      </x:c>
      <x:c r="N43" s="25" t="str">
        <x:v>否</x:v>
      </x:c>
      <x:c r="O43" s="25" t="n">
        <x:v>0</x:v>
      </x:c>
      <x:c r="P43" s="25" t="n">
        <x:v>0</x:v>
      </x:c>
      <x:c r="Q43" s="25" t="n">
        <x:v>0</x:v>
      </x:c>
      <x:c r="R43" s="25" t="str">
        <x:v>洗练绑定装备；项链幸运绑定人物永久进度；武器幸运成本忽略</x:v>
      </x:c>
    </x:row>
    <x:row r="44">
      <x:c r="A44" s="25" t="str">
        <x:v>C01-X</x:v>
      </x:c>
      <x:c r="B44" s="25" t="str">
        <x:v>漂流群岛</x:v>
      </x:c>
      <x:c r="C44" s="25" t="str">
        <x:v>极端压力</x:v>
      </x:c>
      <x:c r="D44" s="25" t="n">
        <x:v>16</x:v>
      </x:c>
      <x:c r="E44" s="25" t="n">
        <x:v>39</x:v>
      </x:c>
      <x:c r="F44" s="25" t="str">
        <x:v>裁决王盾</x:v>
      </x:c>
      <x:c r="G44" s="25" t="str">
        <x:v>盾牌</x:v>
      </x:c>
      <x:c r="H44" s="25" t="n">
        <x:v>1</x:v>
      </x:c>
      <x:c r="I44" s="25" t="str">
        <x:v>稀有</x:v>
      </x:c>
      <x:c r="J44" s="25" t="str">
        <x:v>S02</x:v>
      </x:c>
      <x:c r="K44" s="25" t="str">
        <x:v>26-50</x:v>
      </x:c>
      <x:c r="L44" s="25" t="n">
        <x:v>30900</x:v>
      </x:c>
      <x:c r="M44" s="25" t="n">
        <x:v>0</x:v>
      </x:c>
      <x:c r="N44" s="25" t="str">
        <x:v>否</x:v>
      </x:c>
      <x:c r="O44" s="25" t="n">
        <x:v>0</x:v>
      </x:c>
      <x:c r="P44" s="25" t="n">
        <x:v>0</x:v>
      </x:c>
      <x:c r="Q44" s="25" t="n">
        <x:v>0</x:v>
      </x:c>
      <x:c r="R44" s="25" t="str">
        <x:v>洗练绑定装备；项链幸运绑定人物永久进度；武器幸运成本忽略</x:v>
      </x:c>
    </x:row>
    <x:row r="45">
      <x:c r="A45" s="25" t="str">
        <x:v>C01-X</x:v>
      </x:c>
      <x:c r="B45" s="25" t="str">
        <x:v>漂流群岛</x:v>
      </x:c>
      <x:c r="C45" s="25" t="str">
        <x:v>极端压力</x:v>
      </x:c>
      <x:c r="D45" s="25" t="n">
        <x:v>18</x:v>
      </x:c>
      <x:c r="E45" s="25" t="n">
        <x:v>26</x:v>
      </x:c>
      <x:c r="F45" s="25" t="str">
        <x:v>无冠王衣</x:v>
      </x:c>
      <x:c r="G45" s="25" t="str">
        <x:v>时装衣服</x:v>
      </x:c>
      <x:c r="H45" s="25" t="n">
        <x:v>1</x:v>
      </x:c>
      <x:c r="I45" s="25" t="str">
        <x:v>守关BOSS</x:v>
      </x:c>
      <x:c r="J45" s="25" t="str">
        <x:v>S02</x:v>
      </x:c>
      <x:c r="K45" s="25" t="str">
        <x:v>28-53</x:v>
      </x:c>
      <x:c r="L45" s="25" t="n">
        <x:v>74300</x:v>
      </x:c>
      <x:c r="M45" s="25" t="n">
        <x:v>0</x:v>
      </x:c>
      <x:c r="N45" s="25" t="str">
        <x:v>否</x:v>
      </x:c>
      <x:c r="O45" s="25" t="n">
        <x:v>0</x:v>
      </x:c>
      <x:c r="P45" s="25" t="n">
        <x:v>0</x:v>
      </x:c>
      <x:c r="Q45" s="25" t="n">
        <x:v>0</x:v>
      </x:c>
      <x:c r="R45" s="25" t="str">
        <x:v>洗练绑定装备；项链幸运绑定人物永久进度；武器幸运成本忽略</x:v>
      </x:c>
    </x:row>
    <x:row r="46">
      <x:c r="A46" s="25" t="str">
        <x:v>C01-X</x:v>
      </x:c>
      <x:c r="B46" s="25" t="str">
        <x:v>漂流群岛</x:v>
      </x:c>
      <x:c r="C46" s="25" t="str">
        <x:v>极端压力</x:v>
      </x:c>
      <x:c r="D46" s="25" t="n">
        <x:v>19</x:v>
      </x:c>
      <x:c r="E46" s="25" t="n">
        <x:v>40</x:v>
      </x:c>
      <x:c r="F46" s="25" t="str">
        <x:v>潮葬礼剑</x:v>
      </x:c>
      <x:c r="G46" s="25" t="str">
        <x:v>时装武器</x:v>
      </x:c>
      <x:c r="H46" s="25" t="n">
        <x:v>1</x:v>
      </x:c>
      <x:c r="I46" s="25" t="str">
        <x:v>守关BOSS</x:v>
      </x:c>
      <x:c r="J46" s="25" t="str">
        <x:v>S02</x:v>
      </x:c>
      <x:c r="K46" s="25" t="str">
        <x:v>110-211</x:v>
      </x:c>
      <x:c r="L46" s="25" t="n">
        <x:v>16300</x:v>
      </x:c>
      <x:c r="M46" s="25" t="n">
        <x:v>0</x:v>
      </x:c>
      <x:c r="N46" s="25" t="str">
        <x:v>否</x:v>
      </x:c>
      <x:c r="O46" s="25" t="n">
        <x:v>0</x:v>
      </x:c>
      <x:c r="P46" s="25" t="n">
        <x:v>0</x:v>
      </x:c>
      <x:c r="Q46" s="25" t="n">
        <x:v>0</x:v>
      </x:c>
      <x:c r="R46" s="25" t="str">
        <x:v>洗练绑定装备；项链幸运绑定人物永久进度；武器幸运成本忽略</x:v>
      </x:c>
    </x:row>
    <x:row r="47">
      <x:c r="A47" s="25" t="str">
        <x:v>C02-E</x:v>
      </x:c>
      <x:c r="B47" s="25" t="str">
        <x:v>宁姆格福</x:v>
      </x:c>
      <x:c r="C47" s="25" t="str">
        <x:v>半急速入场</x:v>
      </x:c>
      <x:c r="D47" s="25" t="n">
        <x:v>0</x:v>
      </x:c>
      <x:c r="E47" s="25" t="n">
        <x:v>15</x:v>
      </x:c>
      <x:c r="F47" s="25" t="str">
        <x:v>王庭侍从战甲</x:v>
      </x:c>
      <x:c r="G47" s="25" t="str">
        <x:v>衣服</x:v>
      </x:c>
      <x:c r="H47" s="25" t="n">
        <x:v>1</x:v>
      </x:c>
      <x:c r="I47" s="25" t="str">
        <x:v>制式</x:v>
      </x:c>
      <x:c r="J47" s="25" t="str">
        <x:v>S01</x:v>
      </x:c>
      <x:c r="K47" s="25" t="str">
        <x:v>24-48</x:v>
      </x:c>
      <x:c r="L47" s="25" t="n">
        <x:v>50000</x:v>
      </x:c>
      <x:c r="M47" s="25" t="n">
        <x:v>0</x:v>
      </x:c>
      <x:c r="N47" s="25" t="str">
        <x:v>否</x:v>
      </x:c>
      <x:c r="O47" s="25" t="n">
        <x:v>0</x:v>
      </x:c>
      <x:c r="P47" s="25" t="n">
        <x:v>0</x:v>
      </x:c>
      <x:c r="Q47" s="25" t="n">
        <x:v>0</x:v>
      </x:c>
      <x:c r="R47" s="25" t="str">
        <x:v>洗练绑定装备；项链幸运绑定人物永久进度；武器幸运成本忽略</x:v>
      </x:c>
    </x:row>
    <x:row r="48">
      <x:c r="A48" s="25" t="str">
        <x:v>C02-E</x:v>
      </x:c>
      <x:c r="B48" s="25" t="str">
        <x:v>宁姆格福</x:v>
      </x:c>
      <x:c r="C48" s="25" t="str">
        <x:v>半急速入场</x:v>
      </x:c>
      <x:c r="D48" s="25" t="n">
        <x:v>1</x:v>
      </x:c>
      <x:c r="E48" s="25" t="n">
        <x:v>14</x:v>
      </x:c>
      <x:c r="F48" s="25" t="str">
        <x:v>断桅血刃</x:v>
      </x:c>
      <x:c r="G48" s="25" t="str">
        <x:v>武器</x:v>
      </x:c>
      <x:c r="H48" s="25" t="n">
        <x:v>1</x:v>
      </x:c>
      <x:c r="I48" s="25" t="str">
        <x:v>BOSS</x:v>
      </x:c>
      <x:c r="J48" s="25" t="str">
        <x:v>S02</x:v>
      </x:c>
      <x:c r="K48" s="25" t="str">
        <x:v>90-174</x:v>
      </x:c>
      <x:c r="L48" s="25" t="n">
        <x:v>3830</x:v>
      </x:c>
      <x:c r="M48" s="25" t="n">
        <x:v>0</x:v>
      </x:c>
      <x:c r="N48" s="25" t="str">
        <x:v>否</x:v>
      </x:c>
      <x:c r="O48" s="25" t="n">
        <x:v>7</x:v>
      </x:c>
      <x:c r="P48" s="25" t="n">
        <x:v>0</x:v>
      </x:c>
      <x:c r="Q48" s="25" t="n">
        <x:v>0</x:v>
      </x:c>
      <x:c r="R48" s="25" t="str">
        <x:v>洗练绑定装备；项链幸运绑定人物永久进度；武器幸运成本忽略</x:v>
      </x:c>
    </x:row>
    <x:row r="49">
      <x:c r="A49" s="25" t="str">
        <x:v>C02-E</x:v>
      </x:c>
      <x:c r="B49" s="25" t="str">
        <x:v>宁姆格福</x:v>
      </x:c>
      <x:c r="C49" s="25" t="str">
        <x:v>半急速入场</x:v>
      </x:c>
      <x:c r="D49" s="25" t="n">
        <x:v>2</x:v>
      </x:c>
      <x:c r="E49" s="25" t="n">
        <x:v>21</x:v>
      </x:c>
      <x:c r="F49" s="25" t="str">
        <x:v>风暴勋章</x:v>
      </x:c>
      <x:c r="G49" s="25" t="str">
        <x:v>勋章</x:v>
      </x:c>
      <x:c r="H49" s="25" t="n">
        <x:v>1</x:v>
      </x:c>
      <x:c r="I49" s="25" t="str">
        <x:v>稀有</x:v>
      </x:c>
      <x:c r="J49" s="25" t="str">
        <x:v>S02</x:v>
      </x:c>
      <x:c r="K49" s="25" t="str">
        <x:v>17-33</x:v>
      </x:c>
      <x:c r="L49" s="25" t="n">
        <x:v>6600</x:v>
      </x:c>
      <x:c r="M49" s="25" t="n">
        <x:v>0</x:v>
      </x:c>
      <x:c r="N49" s="25" t="str">
        <x:v>否</x:v>
      </x:c>
      <x:c r="O49" s="25" t="n">
        <x:v>0</x:v>
      </x:c>
      <x:c r="P49" s="25" t="n">
        <x:v>0</x:v>
      </x:c>
      <x:c r="Q49" s="25" t="n">
        <x:v>0</x:v>
      </x:c>
      <x:c r="R49" s="25" t="str">
        <x:v>洗练绑定装备；项链幸运绑定人物永久进度；武器幸运成本忽略</x:v>
      </x:c>
    </x:row>
    <x:row r="50">
      <x:c r="A50" s="25" t="str">
        <x:v>C02-E</x:v>
      </x:c>
      <x:c r="B50" s="25" t="str">
        <x:v>宁姆格福</x:v>
      </x:c>
      <x:c r="C50" s="25" t="str">
        <x:v>半急速入场</x:v>
      </x:c>
      <x:c r="D50" s="25" t="n">
        <x:v>3</x:v>
      </x:c>
      <x:c r="E50" s="25" t="n">
        <x:v>16</x:v>
      </x:c>
      <x:c r="F50" s="25" t="str">
        <x:v>失落禁卫项链</x:v>
      </x:c>
      <x:c r="G50" s="25" t="str">
        <x:v>项链</x:v>
      </x:c>
      <x:c r="H50" s="25" t="n">
        <x:v>1</x:v>
      </x:c>
      <x:c r="I50" s="25" t="str">
        <x:v>制式</x:v>
      </x:c>
      <x:c r="J50" s="25" t="str">
        <x:v>S01</x:v>
      </x:c>
      <x:c r="K50" s="25" t="str">
        <x:v>25-50</x:v>
      </x:c>
      <x:c r="L50" s="25" t="n">
        <x:v>6750</x:v>
      </x:c>
      <x:c r="M50" s="25" t="n">
        <x:v>0</x:v>
      </x:c>
      <x:c r="N50" s="25" t="str">
        <x:v>否</x:v>
      </x:c>
      <x:c r="O50" s="25" t="n">
        <x:v>0</x:v>
      </x:c>
      <x:c r="P50" s="25" t="n">
        <x:v>0</x:v>
      </x:c>
      <x:c r="Q50" s="25" t="n">
        <x:v>0</x:v>
      </x:c>
      <x:c r="R50" s="25" t="str">
        <x:v>洗练绑定装备；项链幸运绑定人物永久进度；武器幸运成本忽略</x:v>
      </x:c>
    </x:row>
    <x:row r="51">
      <x:c r="A51" s="25" t="str">
        <x:v>C02-E</x:v>
      </x:c>
      <x:c r="B51" s="25" t="str">
        <x:v>宁姆格福</x:v>
      </x:c>
      <x:c r="C51" s="25" t="str">
        <x:v>半急速入场</x:v>
      </x:c>
      <x:c r="D51" s="25" t="n">
        <x:v>4</x:v>
      </x:c>
      <x:c r="E51" s="25" t="n">
        <x:v>22</x:v>
      </x:c>
      <x:c r="F51" s="25" t="str">
        <x:v>王庭侍从战盔</x:v>
      </x:c>
      <x:c r="G51" s="25" t="str">
        <x:v>头盔</x:v>
      </x:c>
      <x:c r="H51" s="25" t="n">
        <x:v>1</x:v>
      </x:c>
      <x:c r="I51" s="25" t="str">
        <x:v>制式</x:v>
      </x:c>
      <x:c r="J51" s="25" t="str">
        <x:v>S01</x:v>
      </x:c>
      <x:c r="K51" s="25" t="str">
        <x:v>20-40</x:v>
      </x:c>
      <x:c r="L51" s="25" t="n">
        <x:v>12500</x:v>
      </x:c>
      <x:c r="M51" s="25" t="n">
        <x:v>0</x:v>
      </x:c>
      <x:c r="N51" s="25" t="str">
        <x:v>否</x:v>
      </x:c>
      <x:c r="O51" s="25" t="n">
        <x:v>0</x:v>
      </x:c>
      <x:c r="P51" s="25" t="n">
        <x:v>0</x:v>
      </x:c>
      <x:c r="Q51" s="25" t="n">
        <x:v>0</x:v>
      </x:c>
      <x:c r="R51" s="25" t="str">
        <x:v>洗练绑定装备；项链幸运绑定人物永久进度；武器幸运成本忽略</x:v>
      </x:c>
    </x:row>
    <x:row r="52">
      <x:c r="A52" s="25" t="str">
        <x:v>C02-E</x:v>
      </x:c>
      <x:c r="B52" s="25" t="str">
        <x:v>宁姆格福</x:v>
      </x:c>
      <x:c r="C52" s="25" t="str">
        <x:v>半急速入场</x:v>
      </x:c>
      <x:c r="D52" s="25" t="n">
        <x:v>5</x:v>
      </x:c>
      <x:c r="E52" s="25" t="n">
        <x:v>17</x:v>
      </x:c>
      <x:c r="F52" s="25" t="str">
        <x:v>失落禁卫腕甲</x:v>
      </x:c>
      <x:c r="G52" s="25" t="str">
        <x:v>手镯</x:v>
      </x:c>
      <x:c r="H52" s="25" t="n">
        <x:v>1</x:v>
      </x:c>
      <x:c r="I52" s="25" t="str">
        <x:v>制式</x:v>
      </x:c>
      <x:c r="J52" s="25" t="str">
        <x:v>S01</x:v>
      </x:c>
      <x:c r="K52" s="25" t="str">
        <x:v>27-54</x:v>
      </x:c>
      <x:c r="L52" s="25" t="n">
        <x:v>9000</x:v>
      </x:c>
      <x:c r="M52" s="25" t="n">
        <x:v>0</x:v>
      </x:c>
      <x:c r="N52" s="25" t="str">
        <x:v>否</x:v>
      </x:c>
      <x:c r="O52" s="25" t="n">
        <x:v>0</x:v>
      </x:c>
      <x:c r="P52" s="25" t="n">
        <x:v>0</x:v>
      </x:c>
      <x:c r="Q52" s="25" t="n">
        <x:v>0</x:v>
      </x:c>
      <x:c r="R52" s="25" t="str">
        <x:v>洗练绑定装备；项链幸运绑定人物永久进度；武器幸运成本忽略</x:v>
      </x:c>
    </x:row>
    <x:row r="53">
      <x:c r="A53" s="25" t="str">
        <x:v>C02-E</x:v>
      </x:c>
      <x:c r="B53" s="25" t="str">
        <x:v>宁姆格福</x:v>
      </x:c>
      <x:c r="C53" s="25" t="str">
        <x:v>半急速入场</x:v>
      </x:c>
      <x:c r="D53" s="25" t="n">
        <x:v>6</x:v>
      </x:c>
      <x:c r="E53" s="25" t="n">
        <x:v>18</x:v>
      </x:c>
      <x:c r="F53" s="25" t="str">
        <x:v>古礁卫士腕甲</x:v>
      </x:c>
      <x:c r="G53" s="25" t="str">
        <x:v>手镯</x:v>
      </x:c>
      <x:c r="H53" s="25" t="n">
        <x:v>1</x:v>
      </x:c>
      <x:c r="I53" s="25" t="str">
        <x:v>制式</x:v>
      </x:c>
      <x:c r="J53" s="25" t="str">
        <x:v>S01</x:v>
      </x:c>
      <x:c r="K53" s="25" t="str">
        <x:v>24-48</x:v>
      </x:c>
      <x:c r="L53" s="25" t="n">
        <x:v>8000</x:v>
      </x:c>
      <x:c r="M53" s="25" t="n">
        <x:v>0</x:v>
      </x:c>
      <x:c r="N53" s="25" t="str">
        <x:v>否</x:v>
      </x:c>
      <x:c r="O53" s="25" t="n">
        <x:v>0</x:v>
      </x:c>
      <x:c r="P53" s="25" t="n">
        <x:v>0</x:v>
      </x:c>
      <x:c r="Q53" s="25" t="n">
        <x:v>0</x:v>
      </x:c>
      <x:c r="R53" s="25" t="str">
        <x:v>洗练绑定装备；项链幸运绑定人物永久进度；武器幸运成本忽略</x:v>
      </x:c>
    </x:row>
    <x:row r="54">
      <x:c r="A54" s="25" t="str">
        <x:v>C02-E</x:v>
      </x:c>
      <x:c r="B54" s="25" t="str">
        <x:v>宁姆格福</x:v>
      </x:c>
      <x:c r="C54" s="25" t="str">
        <x:v>半急速入场</x:v>
      </x:c>
      <x:c r="D54" s="25" t="n">
        <x:v>7</x:v>
      </x:c>
      <x:c r="E54" s="25" t="n">
        <x:v>19</x:v>
      </x:c>
      <x:c r="F54" s="25" t="str">
        <x:v>失落禁卫戒指</x:v>
      </x:c>
      <x:c r="G54" s="25" t="str">
        <x:v>戒指</x:v>
      </x:c>
      <x:c r="H54" s="25" t="n">
        <x:v>1</x:v>
      </x:c>
      <x:c r="I54" s="25" t="str">
        <x:v>制式</x:v>
      </x:c>
      <x:c r="J54" s="25" t="str">
        <x:v>S01</x:v>
      </x:c>
      <x:c r="K54" s="25" t="str">
        <x:v>27-54</x:v>
      </x:c>
      <x:c r="L54" s="25" t="n">
        <x:v>9000</x:v>
      </x:c>
      <x:c r="M54" s="25" t="n">
        <x:v>0</x:v>
      </x:c>
      <x:c r="N54" s="25" t="str">
        <x:v>否</x:v>
      </x:c>
      <x:c r="O54" s="25" t="n">
        <x:v>0</x:v>
      </x:c>
      <x:c r="P54" s="25" t="n">
        <x:v>0</x:v>
      </x:c>
      <x:c r="Q54" s="25" t="n">
        <x:v>0</x:v>
      </x:c>
      <x:c r="R54" s="25" t="str">
        <x:v>洗练绑定装备；项链幸运绑定人物永久进度；武器幸运成本忽略</x:v>
      </x:c>
    </x:row>
    <x:row r="55">
      <x:c r="A55" s="25" t="str">
        <x:v>C02-E</x:v>
      </x:c>
      <x:c r="B55" s="25" t="str">
        <x:v>宁姆格福</x:v>
      </x:c>
      <x:c r="C55" s="25" t="str">
        <x:v>半急速入场</x:v>
      </x:c>
      <x:c r="D55" s="25" t="n">
        <x:v>8</x:v>
      </x:c>
      <x:c r="E55" s="25" t="n">
        <x:v>27</x:v>
      </x:c>
      <x:c r="F55" s="25" t="str">
        <x:v>潮归秘戒</x:v>
      </x:c>
      <x:c r="G55" s="25" t="str">
        <x:v>戒指</x:v>
      </x:c>
      <x:c r="H55" s="25" t="n">
        <x:v>1</x:v>
      </x:c>
      <x:c r="I55" s="25" t="str">
        <x:v>装备合成</x:v>
      </x:c>
      <x:c r="J55" s="25" t="str">
        <x:v>S07</x:v>
      </x:c>
      <x:c r="K55" s="25" t="str">
        <x:v>50-96</x:v>
      </x:c>
      <x:c r="L55" s="25" t="n">
        <x:v>39000</x:v>
      </x:c>
      <x:c r="M55" s="25" t="n">
        <x:v>0</x:v>
      </x:c>
      <x:c r="N55" s="25" t="str">
        <x:v>否</x:v>
      </x:c>
      <x:c r="O55" s="25" t="n">
        <x:v>0</x:v>
      </x:c>
      <x:c r="P55" s="25" t="n">
        <x:v>0</x:v>
      </x:c>
      <x:c r="Q55" s="25" t="n">
        <x:v>0</x:v>
      </x:c>
      <x:c r="R55" s="25" t="str">
        <x:v>洗练绑定装备；项链幸运绑定人物永久进度；武器幸运成本忽略</x:v>
      </x:c>
    </x:row>
    <x:row r="56">
      <x:c r="A56" s="25" t="str">
        <x:v>C02-E</x:v>
      </x:c>
      <x:c r="B56" s="25" t="str">
        <x:v>宁姆格福</x:v>
      </x:c>
      <x:c r="C56" s="25" t="str">
        <x:v>半急速入场</x:v>
      </x:c>
      <x:c r="D56" s="25" t="n">
        <x:v>10</x:v>
      </x:c>
      <x:c r="E56" s="25" t="n">
        <x:v>23</x:v>
      </x:c>
      <x:c r="F56" s="25" t="str">
        <x:v>失落禁卫腰带</x:v>
      </x:c>
      <x:c r="G56" s="25" t="str">
        <x:v>腰带</x:v>
      </x:c>
      <x:c r="H56" s="25" t="n">
        <x:v>1</x:v>
      </x:c>
      <x:c r="I56" s="25" t="str">
        <x:v>制式</x:v>
      </x:c>
      <x:c r="J56" s="25" t="str">
        <x:v>S01</x:v>
      </x:c>
      <x:c r="K56" s="25" t="str">
        <x:v>18-36</x:v>
      </x:c>
      <x:c r="L56" s="25" t="n">
        <x:v>11300</x:v>
      </x:c>
      <x:c r="M56" s="25" t="n">
        <x:v>0</x:v>
      </x:c>
      <x:c r="N56" s="25" t="str">
        <x:v>否</x:v>
      </x:c>
      <x:c r="O56" s="25" t="n">
        <x:v>0</x:v>
      </x:c>
      <x:c r="P56" s="25" t="n">
        <x:v>0</x:v>
      </x:c>
      <x:c r="Q56" s="25" t="n">
        <x:v>0</x:v>
      </x:c>
      <x:c r="R56" s="25" t="str">
        <x:v>洗练绑定装备；项链幸运绑定人物永久进度；武器幸运成本忽略</x:v>
      </x:c>
    </x:row>
    <x:row r="57">
      <x:c r="A57" s="25" t="str">
        <x:v>C02-E</x:v>
      </x:c>
      <x:c r="B57" s="25" t="str">
        <x:v>宁姆格福</x:v>
      </x:c>
      <x:c r="C57" s="25" t="str">
        <x:v>半急速入场</x:v>
      </x:c>
      <x:c r="D57" s="25" t="n">
        <x:v>11</x:v>
      </x:c>
      <x:c r="E57" s="25" t="n">
        <x:v>24</x:v>
      </x:c>
      <x:c r="F57" s="25" t="str">
        <x:v>失落禁卫战靴</x:v>
      </x:c>
      <x:c r="G57" s="25" t="str">
        <x:v>鞋子</x:v>
      </x:c>
      <x:c r="H57" s="25" t="n">
        <x:v>1</x:v>
      </x:c>
      <x:c r="I57" s="25" t="str">
        <x:v>制式</x:v>
      </x:c>
      <x:c r="J57" s="25" t="str">
        <x:v>S01</x:v>
      </x:c>
      <x:c r="K57" s="25" t="str">
        <x:v>18-36</x:v>
      </x:c>
      <x:c r="L57" s="25" t="n">
        <x:v>11300</x:v>
      </x:c>
      <x:c r="M57" s="25" t="n">
        <x:v>0</x:v>
      </x:c>
      <x:c r="N57" s="25" t="str">
        <x:v>否</x:v>
      </x:c>
      <x:c r="O57" s="25" t="n">
        <x:v>0</x:v>
      </x:c>
      <x:c r="P57" s="25" t="n">
        <x:v>0</x:v>
      </x:c>
      <x:c r="Q57" s="25" t="n">
        <x:v>0</x:v>
      </x:c>
      <x:c r="R57" s="25" t="str">
        <x:v>洗练绑定装备；项链幸运绑定人物永久进度；武器幸运成本忽略</x:v>
      </x:c>
    </x:row>
    <x:row r="58">
      <x:c r="A58" s="25" t="str">
        <x:v>C02-E</x:v>
      </x:c>
      <x:c r="B58" s="25" t="str">
        <x:v>宁姆格福</x:v>
      </x:c>
      <x:c r="C58" s="25" t="str">
        <x:v>半急速入场</x:v>
      </x:c>
      <x:c r="D58" s="25" t="n">
        <x:v>13</x:v>
      </x:c>
      <x:c r="E58" s="25" t="n">
        <x:v>12</x:v>
      </x:c>
      <x:c r="F58" s="25" t="str">
        <x:v>石蜥面巾</x:v>
      </x:c>
      <x:c r="G58" s="25" t="str">
        <x:v>斗笠</x:v>
      </x:c>
      <x:c r="H58" s="25" t="n">
        <x:v>1</x:v>
      </x:c>
      <x:c r="I58" s="25" t="str">
        <x:v>普通</x:v>
      </x:c>
      <x:c r="J58" s="25" t="str">
        <x:v>S02</x:v>
      </x:c>
      <x:c r="K58" s="25" t="str">
        <x:v>12-24</x:v>
      </x:c>
      <x:c r="L58" s="25" t="n">
        <x:v>10000</x:v>
      </x:c>
      <x:c r="M58" s="25" t="n">
        <x:v>0</x:v>
      </x:c>
      <x:c r="N58" s="25" t="str">
        <x:v>否</x:v>
      </x:c>
      <x:c r="O58" s="25" t="n">
        <x:v>0</x:v>
      </x:c>
      <x:c r="P58" s="25" t="n">
        <x:v>0</x:v>
      </x:c>
      <x:c r="Q58" s="25" t="n">
        <x:v>0</x:v>
      </x:c>
      <x:c r="R58" s="25" t="str">
        <x:v>洗练绑定装备；项链幸运绑定人物永久进度；武器幸运成本忽略</x:v>
      </x:c>
    </x:row>
    <x:row r="59">
      <x:c r="A59" s="25" t="str">
        <x:v>C02-E</x:v>
      </x:c>
      <x:c r="B59" s="25" t="str">
        <x:v>宁姆格福</x:v>
      </x:c>
      <x:c r="C59" s="25" t="str">
        <x:v>半急速入场</x:v>
      </x:c>
      <x:c r="D59" s="25" t="n">
        <x:v>16</x:v>
      </x:c>
      <x:c r="E59" s="25" t="n">
        <x:v>25</x:v>
      </x:c>
      <x:c r="F59" s="25" t="str">
        <x:v>裂岩巨盾</x:v>
      </x:c>
      <x:c r="G59" s="25" t="str">
        <x:v>盾牌</x:v>
      </x:c>
      <x:c r="H59" s="25" t="n">
        <x:v>1</x:v>
      </x:c>
      <x:c r="I59" s="25" t="str">
        <x:v>稀有</x:v>
      </x:c>
      <x:c r="J59" s="25" t="str">
        <x:v>S02</x:v>
      </x:c>
      <x:c r="K59" s="25" t="str">
        <x:v>16-30</x:v>
      </x:c>
      <x:c r="L59" s="25" t="n">
        <x:v>16500</x:v>
      </x:c>
      <x:c r="M59" s="25" t="n">
        <x:v>0</x:v>
      </x:c>
      <x:c r="N59" s="25" t="str">
        <x:v>否</x:v>
      </x:c>
      <x:c r="O59" s="25" t="n">
        <x:v>0</x:v>
      </x:c>
      <x:c r="P59" s="25" t="n">
        <x:v>0</x:v>
      </x:c>
      <x:c r="Q59" s="25" t="n">
        <x:v>0</x:v>
      </x:c>
      <x:c r="R59" s="25" t="str">
        <x:v>洗练绑定装备；项链幸运绑定人物永久进度；武器幸运成本忽略</x:v>
      </x:c>
    </x:row>
    <x:row r="60">
      <x:c r="A60" s="25" t="str">
        <x:v>C02-E</x:v>
      </x:c>
      <x:c r="B60" s="25" t="str">
        <x:v>宁姆格福</x:v>
      </x:c>
      <x:c r="C60" s="25" t="str">
        <x:v>半急速入场</x:v>
      </x:c>
      <x:c r="D60" s="25" t="n">
        <x:v>18</x:v>
      </x:c>
      <x:c r="E60" s="25" t="n">
        <x:v>26</x:v>
      </x:c>
      <x:c r="F60" s="25" t="str">
        <x:v>无冠王衣</x:v>
      </x:c>
      <x:c r="G60" s="25" t="str">
        <x:v>时装衣服</x:v>
      </x:c>
      <x:c r="H60" s="25" t="n">
        <x:v>1</x:v>
      </x:c>
      <x:c r="I60" s="25" t="str">
        <x:v>守关BOSS</x:v>
      </x:c>
      <x:c r="J60" s="25" t="str">
        <x:v>S02</x:v>
      </x:c>
      <x:c r="K60" s="25" t="str">
        <x:v>28-53</x:v>
      </x:c>
      <x:c r="L60" s="25" t="n">
        <x:v>74300</x:v>
      </x:c>
      <x:c r="M60" s="25" t="n">
        <x:v>0</x:v>
      </x:c>
      <x:c r="N60" s="25" t="str">
        <x:v>否</x:v>
      </x:c>
      <x:c r="O60" s="25" t="n">
        <x:v>0</x:v>
      </x:c>
      <x:c r="P60" s="25" t="n">
        <x:v>0</x:v>
      </x:c>
      <x:c r="Q60" s="25" t="n">
        <x:v>0</x:v>
      </x:c>
      <x:c r="R60" s="25" t="str">
        <x:v>洗练绑定装备；项链幸运绑定人物永久进度；武器幸运成本忽略</x:v>
      </x:c>
    </x:row>
    <x:row r="61">
      <x:c r="A61" s="25" t="str">
        <x:v>C02-M</x:v>
      </x:c>
      <x:c r="B61" s="25" t="str">
        <x:v>宁姆格福</x:v>
      </x:c>
      <x:c r="C61" s="25" t="str">
        <x:v>半急速中期</x:v>
      </x:c>
      <x:c r="D61" s="25" t="n">
        <x:v>0</x:v>
      </x:c>
      <x:c r="E61" s="25" t="n">
        <x:v>29</x:v>
      </x:c>
      <x:c r="F61" s="25" t="str">
        <x:v>卢恩骑士战甲</x:v>
      </x:c>
      <x:c r="G61" s="25" t="str">
        <x:v>衣服</x:v>
      </x:c>
      <x:c r="H61" s="25" t="n">
        <x:v>2</x:v>
      </x:c>
      <x:c r="I61" s="25" t="str">
        <x:v>制式</x:v>
      </x:c>
      <x:c r="J61" s="25" t="str">
        <x:v>S01</x:v>
      </x:c>
      <x:c r="K61" s="25" t="str">
        <x:v>31-62</x:v>
      </x:c>
      <x:c r="L61" s="25" t="n">
        <x:v>65000</x:v>
      </x:c>
      <x:c r="M61" s="25" t="n">
        <x:v>2</x:v>
      </x:c>
      <x:c r="N61" s="25" t="str">
        <x:v>否</x:v>
      </x:c>
      <x:c r="O61" s="25" t="n">
        <x:v>0</x:v>
      </x:c>
      <x:c r="P61" s="25" t="n">
        <x:v>0</x:v>
      </x:c>
      <x:c r="Q61" s="25" t="n">
        <x:v>0</x:v>
      </x:c>
      <x:c r="R61" s="25" t="str">
        <x:v>洗练绑定装备；项链幸运绑定人物永久进度；武器幸运成本忽略</x:v>
      </x:c>
    </x:row>
    <x:row r="62">
      <x:c r="A62" s="25" t="str">
        <x:v>C02-M</x:v>
      </x:c>
      <x:c r="B62" s="25" t="str">
        <x:v>宁姆格福</x:v>
      </x:c>
      <x:c r="C62" s="25" t="str">
        <x:v>半急速中期</x:v>
      </x:c>
      <x:c r="D62" s="25" t="n">
        <x:v>1</x:v>
      </x:c>
      <x:c r="E62" s="25" t="n">
        <x:v>47</x:v>
      </x:c>
      <x:c r="F62" s="25" t="str">
        <x:v>执刑雷刃</x:v>
      </x:c>
      <x:c r="G62" s="25" t="str">
        <x:v>武器</x:v>
      </x:c>
      <x:c r="H62" s="25" t="n">
        <x:v>1</x:v>
      </x:c>
      <x:c r="I62" s="25" t="str">
        <x:v>BOSS</x:v>
      </x:c>
      <x:c r="J62" s="25" t="str">
        <x:v>S02</x:v>
      </x:c>
      <x:c r="K62" s="25" t="str">
        <x:v>181-348</x:v>
      </x:c>
      <x:c r="L62" s="25" t="n">
        <x:v>7660</x:v>
      </x:c>
      <x:c r="M62" s="25" t="n">
        <x:v>5</x:v>
      </x:c>
      <x:c r="N62" s="25" t="str">
        <x:v>否</x:v>
      </x:c>
      <x:c r="O62" s="25" t="n">
        <x:v>7</x:v>
      </x:c>
      <x:c r="P62" s="25" t="n">
        <x:v>0</x:v>
      </x:c>
      <x:c r="Q62" s="25" t="n">
        <x:v>0</x:v>
      </x:c>
      <x:c r="R62" s="25" t="str">
        <x:v>洗练绑定装备；项链幸运绑定人物永久进度；武器幸运成本忽略</x:v>
      </x:c>
    </x:row>
    <x:row r="63">
      <x:c r="A63" s="25" t="str">
        <x:v>C02-M</x:v>
      </x:c>
      <x:c r="B63" s="25" t="str">
        <x:v>宁姆格福</x:v>
      </x:c>
      <x:c r="C63" s="25" t="str">
        <x:v>半急速中期</x:v>
      </x:c>
      <x:c r="D63" s="25" t="n">
        <x:v>2</x:v>
      </x:c>
      <x:c r="E63" s="25" t="n">
        <x:v>34</x:v>
      </x:c>
      <x:c r="F63" s="25" t="str">
        <x:v>深渊勋章</x:v>
      </x:c>
      <x:c r="G63" s="25" t="str">
        <x:v>勋章</x:v>
      </x:c>
      <x:c r="H63" s="25" t="n">
        <x:v>1</x:v>
      </x:c>
      <x:c r="I63" s="25" t="str">
        <x:v>稀有</x:v>
      </x:c>
      <x:c r="J63" s="25" t="str">
        <x:v>S02</x:v>
      </x:c>
      <x:c r="K63" s="25" t="str">
        <x:v>29-55</x:v>
      </x:c>
      <x:c r="L63" s="25" t="n">
        <x:v>12400</x:v>
      </x:c>
      <x:c r="M63" s="25" t="n">
        <x:v>0</x:v>
      </x:c>
      <x:c r="N63" s="25" t="str">
        <x:v>否</x:v>
      </x:c>
      <x:c r="O63" s="25" t="n">
        <x:v>0</x:v>
      </x:c>
      <x:c r="P63" s="25" t="n">
        <x:v>0</x:v>
      </x:c>
      <x:c r="Q63" s="25" t="n">
        <x:v>0</x:v>
      </x:c>
      <x:c r="R63" s="25" t="str">
        <x:v>洗练绑定装备；项链幸运绑定人物永久进度；武器幸运成本忽略</x:v>
      </x:c>
    </x:row>
    <x:row r="64">
      <x:c r="A64" s="25" t="str">
        <x:v>C02-M</x:v>
      </x:c>
      <x:c r="B64" s="25" t="str">
        <x:v>宁姆格福</x:v>
      </x:c>
      <x:c r="C64" s="25" t="str">
        <x:v>半急速中期</x:v>
      </x:c>
      <x:c r="D64" s="25" t="n">
        <x:v>3</x:v>
      </x:c>
      <x:c r="E64" s="25" t="n">
        <x:v>50</x:v>
      </x:c>
      <x:c r="F64" s="25" t="str">
        <x:v>卢恩骑士项链</x:v>
      </x:c>
      <x:c r="G64" s="25" t="str">
        <x:v>项链</x:v>
      </x:c>
      <x:c r="H64" s="25" t="n">
        <x:v>2</x:v>
      </x:c>
      <x:c r="I64" s="25" t="str">
        <x:v>制式</x:v>
      </x:c>
      <x:c r="J64" s="25" t="str">
        <x:v>S01</x:v>
      </x:c>
      <x:c r="K64" s="25" t="str">
        <x:v>37-73</x:v>
      </x:c>
      <x:c r="L64" s="25" t="n">
        <x:v>9750</x:v>
      </x:c>
      <x:c r="M64" s="25" t="n">
        <x:v>1</x:v>
      </x:c>
      <x:c r="N64" s="25" t="str">
        <x:v>否</x:v>
      </x:c>
      <x:c r="O64" s="25" t="n">
        <x:v>0</x:v>
      </x:c>
      <x:c r="P64" s="25" t="n">
        <x:v>0</x:v>
      </x:c>
      <x:c r="Q64" s="25" t="n">
        <x:v>0</x:v>
      </x:c>
      <x:c r="R64" s="25" t="str">
        <x:v>洗练绑定装备；项链幸运绑定人物永久进度；武器幸运成本忽略</x:v>
      </x:c>
    </x:row>
    <x:row r="65">
      <x:c r="A65" s="25" t="str">
        <x:v>C02-M</x:v>
      </x:c>
      <x:c r="B65" s="25" t="str">
        <x:v>宁姆格福</x:v>
      </x:c>
      <x:c r="C65" s="25" t="str">
        <x:v>半急速中期</x:v>
      </x:c>
      <x:c r="D65" s="25" t="n">
        <x:v>4</x:v>
      </x:c>
      <x:c r="E65" s="25" t="n">
        <x:v>49</x:v>
      </x:c>
      <x:c r="F65" s="25" t="str">
        <x:v>圣树先锋战盔</x:v>
      </x:c>
      <x:c r="G65" s="25" t="str">
        <x:v>头盔</x:v>
      </x:c>
      <x:c r="H65" s="25" t="n">
        <x:v>2</x:v>
      </x:c>
      <x:c r="I65" s="25" t="str">
        <x:v>制式</x:v>
      </x:c>
      <x:c r="J65" s="25" t="str">
        <x:v>S01</x:v>
      </x:c>
      <x:c r="K65" s="25" t="str">
        <x:v>24-48</x:v>
      </x:c>
      <x:c r="L65" s="25" t="n">
        <x:v>15000</x:v>
      </x:c>
      <x:c r="M65" s="25" t="n">
        <x:v>5</x:v>
      </x:c>
      <x:c r="N65" s="25" t="str">
        <x:v>否</x:v>
      </x:c>
      <x:c r="O65" s="25" t="n">
        <x:v>0</x:v>
      </x:c>
      <x:c r="P65" s="25" t="n">
        <x:v>0</x:v>
      </x:c>
      <x:c r="Q65" s="25" t="n">
        <x:v>0</x:v>
      </x:c>
      <x:c r="R65" s="25" t="str">
        <x:v>洗练绑定装备；项链幸运绑定人物永久进度；武器幸运成本忽略</x:v>
      </x:c>
    </x:row>
    <x:row r="66">
      <x:c r="A66" s="25" t="str">
        <x:v>C02-M</x:v>
      </x:c>
      <x:c r="B66" s="25" t="str">
        <x:v>宁姆格福</x:v>
      </x:c>
      <x:c r="C66" s="25" t="str">
        <x:v>半急速中期</x:v>
      </x:c>
      <x:c r="D66" s="25" t="n">
        <x:v>5</x:v>
      </x:c>
      <x:c r="E66" s="25" t="n">
        <x:v>31</x:v>
      </x:c>
      <x:c r="F66" s="25" t="str">
        <x:v>圣树先锋腕甲</x:v>
      </x:c>
      <x:c r="G66" s="25" t="str">
        <x:v>手镯</x:v>
      </x:c>
      <x:c r="H66" s="25" t="n">
        <x:v>2</x:v>
      </x:c>
      <x:c r="I66" s="25" t="str">
        <x:v>制式</x:v>
      </x:c>
      <x:c r="J66" s="25" t="str">
        <x:v>S01</x:v>
      </x:c>
      <x:c r="K66" s="25" t="str">
        <x:v>36-72</x:v>
      </x:c>
      <x:c r="L66" s="25" t="n">
        <x:v>12000</x:v>
      </x:c>
      <x:c r="M66" s="25" t="n">
        <x:v>6</x:v>
      </x:c>
      <x:c r="N66" s="25" t="str">
        <x:v>否</x:v>
      </x:c>
      <x:c r="O66" s="25" t="n">
        <x:v>0</x:v>
      </x:c>
      <x:c r="P66" s="25" t="n">
        <x:v>0</x:v>
      </x:c>
      <x:c r="Q66" s="25" t="n">
        <x:v>0</x:v>
      </x:c>
      <x:c r="R66" s="25" t="str">
        <x:v>洗练绑定装备；项链幸运绑定人物永久进度；武器幸运成本忽略</x:v>
      </x:c>
    </x:row>
    <x:row r="67">
      <x:c r="A67" s="25" t="str">
        <x:v>C02-M</x:v>
      </x:c>
      <x:c r="B67" s="25" t="str">
        <x:v>宁姆格福</x:v>
      </x:c>
      <x:c r="C67" s="25" t="str">
        <x:v>半急速中期</x:v>
      </x:c>
      <x:c r="D67" s="25" t="n">
        <x:v>6</x:v>
      </x:c>
      <x:c r="E67" s="25" t="n">
        <x:v>52</x:v>
      </x:c>
      <x:c r="F67" s="25" t="str">
        <x:v>黄金戍卫腕甲</x:v>
      </x:c>
      <x:c r="G67" s="25" t="str">
        <x:v>手镯</x:v>
      </x:c>
      <x:c r="H67" s="25" t="n">
        <x:v>2</x:v>
      </x:c>
      <x:c r="I67" s="25" t="str">
        <x:v>制式</x:v>
      </x:c>
      <x:c r="J67" s="25" t="str">
        <x:v>S01</x:v>
      </x:c>
      <x:c r="K67" s="25" t="str">
        <x:v>33-66</x:v>
      </x:c>
      <x:c r="L67" s="25" t="n">
        <x:v>11000</x:v>
      </x:c>
      <x:c r="M67" s="25" t="n">
        <x:v>4</x:v>
      </x:c>
      <x:c r="N67" s="25" t="str">
        <x:v>否</x:v>
      </x:c>
      <x:c r="O67" s="25" t="n">
        <x:v>0</x:v>
      </x:c>
      <x:c r="P67" s="25" t="n">
        <x:v>0</x:v>
      </x:c>
      <x:c r="Q67" s="25" t="n">
        <x:v>0</x:v>
      </x:c>
      <x:c r="R67" s="25" t="str">
        <x:v>洗练绑定装备；项链幸运绑定人物永久进度；武器幸运成本忽略</x:v>
      </x:c>
    </x:row>
    <x:row r="68">
      <x:c r="A68" s="25" t="str">
        <x:v>C02-M</x:v>
      </x:c>
      <x:c r="B68" s="25" t="str">
        <x:v>宁姆格福</x:v>
      </x:c>
      <x:c r="C68" s="25" t="str">
        <x:v>半急速中期</x:v>
      </x:c>
      <x:c r="D68" s="25" t="n">
        <x:v>7</x:v>
      </x:c>
      <x:c r="E68" s="25" t="n">
        <x:v>53</x:v>
      </x:c>
      <x:c r="F68" s="25" t="str">
        <x:v>圣树先锋戒指</x:v>
      </x:c>
      <x:c r="G68" s="25" t="str">
        <x:v>戒指</x:v>
      </x:c>
      <x:c r="H68" s="25" t="n">
        <x:v>2</x:v>
      </x:c>
      <x:c r="I68" s="25" t="str">
        <x:v>制式</x:v>
      </x:c>
      <x:c r="J68" s="25" t="str">
        <x:v>S01</x:v>
      </x:c>
      <x:c r="K68" s="25" t="str">
        <x:v>36-72</x:v>
      </x:c>
      <x:c r="L68" s="25" t="n">
        <x:v>12000</x:v>
      </x:c>
      <x:c r="M68" s="25" t="n">
        <x:v>2</x:v>
      </x:c>
      <x:c r="N68" s="25" t="str">
        <x:v>否</x:v>
      </x:c>
      <x:c r="O68" s="25" t="n">
        <x:v>0</x:v>
      </x:c>
      <x:c r="P68" s="25" t="n">
        <x:v>0</x:v>
      </x:c>
      <x:c r="Q68" s="25" t="n">
        <x:v>0</x:v>
      </x:c>
      <x:c r="R68" s="25" t="str">
        <x:v>洗练绑定装备；项链幸运绑定人物永久进度；武器幸运成本忽略</x:v>
      </x:c>
    </x:row>
    <x:row r="69">
      <x:c r="A69" s="25" t="str">
        <x:v>C02-M</x:v>
      </x:c>
      <x:c r="B69" s="25" t="str">
        <x:v>宁姆格福</x:v>
      </x:c>
      <x:c r="C69" s="25" t="str">
        <x:v>半急速中期</x:v>
      </x:c>
      <x:c r="D69" s="25" t="n">
        <x:v>8</x:v>
      </x:c>
      <x:c r="E69" s="25" t="n">
        <x:v>54</x:v>
      </x:c>
      <x:c r="F69" s="25" t="str">
        <x:v>潮归秘戒</x:v>
      </x:c>
      <x:c r="G69" s="25" t="str">
        <x:v>戒指</x:v>
      </x:c>
      <x:c r="H69" s="25" t="n">
        <x:v>1</x:v>
      </x:c>
      <x:c r="I69" s="25" t="str">
        <x:v>装备合成</x:v>
      </x:c>
      <x:c r="J69" s="25" t="str">
        <x:v>S07</x:v>
      </x:c>
      <x:c r="K69" s="25" t="str">
        <x:v>50-96</x:v>
      </x:c>
      <x:c r="L69" s="25" t="n">
        <x:v>39000</x:v>
      </x:c>
      <x:c r="M69" s="25" t="n">
        <x:v>4</x:v>
      </x:c>
      <x:c r="N69" s="25" t="str">
        <x:v>否</x:v>
      </x:c>
      <x:c r="O69" s="25" t="n">
        <x:v>0</x:v>
      </x:c>
      <x:c r="P69" s="25" t="n">
        <x:v>0</x:v>
      </x:c>
      <x:c r="Q69" s="25" t="n">
        <x:v>0</x:v>
      </x:c>
      <x:c r="R69" s="25" t="str">
        <x:v>洗练绑定装备；项链幸运绑定人物永久进度；武器幸运成本忽略</x:v>
      </x:c>
    </x:row>
    <x:row r="70">
      <x:c r="A70" s="25" t="str">
        <x:v>C02-M</x:v>
      </x:c>
      <x:c r="B70" s="25" t="str">
        <x:v>宁姆格福</x:v>
      </x:c>
      <x:c r="C70" s="25" t="str">
        <x:v>半急速中期</x:v>
      </x:c>
      <x:c r="D70" s="25" t="n">
        <x:v>10</x:v>
      </x:c>
      <x:c r="E70" s="25" t="n">
        <x:v>55</x:v>
      </x:c>
      <x:c r="F70" s="25" t="str">
        <x:v>黄金戍卫腰带</x:v>
      </x:c>
      <x:c r="G70" s="25" t="str">
        <x:v>腰带</x:v>
      </x:c>
      <x:c r="H70" s="25" t="n">
        <x:v>2</x:v>
      </x:c>
      <x:c r="I70" s="25" t="str">
        <x:v>制式</x:v>
      </x:c>
      <x:c r="J70" s="25" t="str">
        <x:v>S01</x:v>
      </x:c>
      <x:c r="K70" s="25" t="str">
        <x:v>22-44</x:v>
      </x:c>
      <x:c r="L70" s="25" t="n">
        <x:v>13800</x:v>
      </x:c>
      <x:c r="M70" s="25" t="n">
        <x:v>1</x:v>
      </x:c>
      <x:c r="N70" s="25" t="str">
        <x:v>否</x:v>
      </x:c>
      <x:c r="O70" s="25" t="n">
        <x:v>0</x:v>
      </x:c>
      <x:c r="P70" s="25" t="n">
        <x:v>0</x:v>
      </x:c>
      <x:c r="Q70" s="25" t="n">
        <x:v>0</x:v>
      </x:c>
      <x:c r="R70" s="25" t="str">
        <x:v>洗练绑定装备；项链幸运绑定人物永久进度；武器幸运成本忽略</x:v>
      </x:c>
    </x:row>
    <x:row r="71">
      <x:c r="A71" s="25" t="str">
        <x:v>C02-M</x:v>
      </x:c>
      <x:c r="B71" s="25" t="str">
        <x:v>宁姆格福</x:v>
      </x:c>
      <x:c r="C71" s="25" t="str">
        <x:v>半急速中期</x:v>
      </x:c>
      <x:c r="D71" s="25" t="n">
        <x:v>11</x:v>
      </x:c>
      <x:c r="E71" s="25" t="n">
        <x:v>56</x:v>
      </x:c>
      <x:c r="F71" s="25" t="str">
        <x:v>卢恩骑士战靴</x:v>
      </x:c>
      <x:c r="G71" s="25" t="str">
        <x:v>鞋子</x:v>
      </x:c>
      <x:c r="H71" s="25" t="n">
        <x:v>2</x:v>
      </x:c>
      <x:c r="I71" s="25" t="str">
        <x:v>制式</x:v>
      </x:c>
      <x:c r="J71" s="25" t="str">
        <x:v>S01</x:v>
      </x:c>
      <x:c r="K71" s="25" t="str">
        <x:v>26-52</x:v>
      </x:c>
      <x:c r="L71" s="25" t="n">
        <x:v>16300</x:v>
      </x:c>
      <x:c r="M71" s="25" t="n">
        <x:v>4</x:v>
      </x:c>
      <x:c r="N71" s="25" t="str">
        <x:v>否</x:v>
      </x:c>
      <x:c r="O71" s="25" t="n">
        <x:v>0</x:v>
      </x:c>
      <x:c r="P71" s="25" t="n">
        <x:v>0</x:v>
      </x:c>
      <x:c r="Q71" s="25" t="n">
        <x:v>0</x:v>
      </x:c>
      <x:c r="R71" s="25" t="str">
        <x:v>洗练绑定装备；项链幸运绑定人物永久进度；武器幸运成本忽略</x:v>
      </x:c>
    </x:row>
    <x:row r="72">
      <x:c r="A72" s="25" t="str">
        <x:v>C02-M</x:v>
      </x:c>
      <x:c r="B72" s="25" t="str">
        <x:v>宁姆格福</x:v>
      </x:c>
      <x:c r="C72" s="25" t="str">
        <x:v>半急速中期</x:v>
      </x:c>
      <x:c r="D72" s="25" t="n">
        <x:v>13</x:v>
      </x:c>
      <x:c r="E72" s="25" t="n">
        <x:v>12</x:v>
      </x:c>
      <x:c r="F72" s="25" t="str">
        <x:v>石蜥面巾</x:v>
      </x:c>
      <x:c r="G72" s="25" t="str">
        <x:v>斗笠</x:v>
      </x:c>
      <x:c r="H72" s="25" t="n">
        <x:v>1</x:v>
      </x:c>
      <x:c r="I72" s="25" t="str">
        <x:v>普通</x:v>
      </x:c>
      <x:c r="J72" s="25" t="str">
        <x:v>S02</x:v>
      </x:c>
      <x:c r="K72" s="25" t="str">
        <x:v>12-24</x:v>
      </x:c>
      <x:c r="L72" s="25" t="n">
        <x:v>10000</x:v>
      </x:c>
      <x:c r="M72" s="25" t="n">
        <x:v>0</x:v>
      </x:c>
      <x:c r="N72" s="25" t="str">
        <x:v>否</x:v>
      </x:c>
      <x:c r="O72" s="25" t="n">
        <x:v>0</x:v>
      </x:c>
      <x:c r="P72" s="25" t="n">
        <x:v>0</x:v>
      </x:c>
      <x:c r="Q72" s="25" t="n">
        <x:v>0</x:v>
      </x:c>
      <x:c r="R72" s="25" t="str">
        <x:v>洗练绑定装备；项链幸运绑定人物永久进度；武器幸运成本忽略</x:v>
      </x:c>
    </x:row>
    <x:row r="73">
      <x:c r="A73" s="25" t="str">
        <x:v>C02-M</x:v>
      </x:c>
      <x:c r="B73" s="25" t="str">
        <x:v>宁姆格福</x:v>
      </x:c>
      <x:c r="C73" s="25" t="str">
        <x:v>半急速中期</x:v>
      </x:c>
      <x:c r="D73" s="25" t="n">
        <x:v>16</x:v>
      </x:c>
      <x:c r="E73" s="25" t="n">
        <x:v>38</x:v>
      </x:c>
      <x:c r="F73" s="25" t="str">
        <x:v>裁决王盾</x:v>
      </x:c>
      <x:c r="G73" s="25" t="str">
        <x:v>盾牌</x:v>
      </x:c>
      <x:c r="H73" s="25" t="n">
        <x:v>1</x:v>
      </x:c>
      <x:c r="I73" s="25" t="str">
        <x:v>稀有</x:v>
      </x:c>
      <x:c r="J73" s="25" t="str">
        <x:v>S02</x:v>
      </x:c>
      <x:c r="K73" s="25" t="str">
        <x:v>26-50</x:v>
      </x:c>
      <x:c r="L73" s="25" t="n">
        <x:v>30900</x:v>
      </x:c>
      <x:c r="M73" s="25" t="n">
        <x:v>0</x:v>
      </x:c>
      <x:c r="N73" s="25" t="str">
        <x:v>否</x:v>
      </x:c>
      <x:c r="O73" s="25" t="n">
        <x:v>0</x:v>
      </x:c>
      <x:c r="P73" s="25" t="n">
        <x:v>0</x:v>
      </x:c>
      <x:c r="Q73" s="25" t="n">
        <x:v>0</x:v>
      </x:c>
      <x:c r="R73" s="25" t="str">
        <x:v>洗练绑定装备；项链幸运绑定人物永久进度；武器幸运成本忽略</x:v>
      </x:c>
    </x:row>
    <x:row r="74">
      <x:c r="A74" s="25" t="str">
        <x:v>C02-M</x:v>
      </x:c>
      <x:c r="B74" s="25" t="str">
        <x:v>宁姆格福</x:v>
      </x:c>
      <x:c r="C74" s="25" t="str">
        <x:v>半急速中期</x:v>
      </x:c>
      <x:c r="D74" s="25" t="n">
        <x:v>18</x:v>
      </x:c>
      <x:c r="E74" s="25" t="n">
        <x:v>26</x:v>
      </x:c>
      <x:c r="F74" s="25" t="str">
        <x:v>无冠王衣</x:v>
      </x:c>
      <x:c r="G74" s="25" t="str">
        <x:v>时装衣服</x:v>
      </x:c>
      <x:c r="H74" s="25" t="n">
        <x:v>1</x:v>
      </x:c>
      <x:c r="I74" s="25" t="str">
        <x:v>守关BOSS</x:v>
      </x:c>
      <x:c r="J74" s="25" t="str">
        <x:v>S02</x:v>
      </x:c>
      <x:c r="K74" s="25" t="str">
        <x:v>28-53</x:v>
      </x:c>
      <x:c r="L74" s="25" t="n">
        <x:v>74300</x:v>
      </x:c>
      <x:c r="M74" s="25" t="n">
        <x:v>0</x:v>
      </x:c>
      <x:c r="N74" s="25" t="str">
        <x:v>否</x:v>
      </x:c>
      <x:c r="O74" s="25" t="n">
        <x:v>0</x:v>
      </x:c>
      <x:c r="P74" s="25" t="n">
        <x:v>0</x:v>
      </x:c>
      <x:c r="Q74" s="25" t="n">
        <x:v>0</x:v>
      </x:c>
      <x:c r="R74" s="25" t="str">
        <x:v>洗练绑定装备；项链幸运绑定人物永久进度；武器幸运成本忽略</x:v>
      </x:c>
    </x:row>
    <x:row r="75">
      <x:c r="A75" s="25" t="str">
        <x:v>C02-M</x:v>
      </x:c>
      <x:c r="B75" s="25" t="str">
        <x:v>宁姆格福</x:v>
      </x:c>
      <x:c r="C75" s="25" t="str">
        <x:v>半急速中期</x:v>
      </x:c>
      <x:c r="D75" s="25" t="n">
        <x:v>19</x:v>
      </x:c>
      <x:c r="E75" s="25" t="n">
        <x:v>39</x:v>
      </x:c>
      <x:c r="F75" s="25" t="str">
        <x:v>兽爪礼刃</x:v>
      </x:c>
      <x:c r="G75" s="25" t="str">
        <x:v>时装武器</x:v>
      </x:c>
      <x:c r="H75" s="25" t="n">
        <x:v>2</x:v>
      </x:c>
      <x:c r="I75" s="25" t="str">
        <x:v>稀有</x:v>
      </x:c>
      <x:c r="J75" s="25" t="str">
        <x:v>S02</x:v>
      </x:c>
      <x:c r="K75" s="25" t="str">
        <x:v>116-224</x:v>
      </x:c>
      <x:c r="L75" s="25" t="n">
        <x:v>24800</x:v>
      </x:c>
      <x:c r="M75" s="25" t="n">
        <x:v>0</x:v>
      </x:c>
      <x:c r="N75" s="25" t="str">
        <x:v>否</x:v>
      </x:c>
      <x:c r="O75" s="25" t="n">
        <x:v>0</x:v>
      </x:c>
      <x:c r="P75" s="25" t="n">
        <x:v>0</x:v>
      </x:c>
      <x:c r="Q75" s="25" t="n">
        <x:v>0</x:v>
      </x:c>
      <x:c r="R75" s="25" t="str">
        <x:v>洗练绑定装备；项链幸运绑定人物永久进度；武器幸运成本忽略</x:v>
      </x:c>
    </x:row>
    <x:row r="76">
      <x:c r="A76" s="25" t="str">
        <x:v>C02-M</x:v>
      </x:c>
      <x:c r="B76" s="25" t="str">
        <x:v>宁姆格福</x:v>
      </x:c>
      <x:c r="C76" s="25" t="str">
        <x:v>半急速中期</x:v>
      </x:c>
      <x:c r="D76" s="25" t="n">
        <x:v>20</x:v>
      </x:c>
      <x:c r="E76" s="25" t="n">
        <x:v>40</x:v>
      </x:c>
      <x:c r="F76" s="25" t="str">
        <x:v>英雄余誓</x:v>
      </x:c>
      <x:c r="G76" s="25" t="str">
        <x:v>时装项链</x:v>
      </x:c>
      <x:c r="H76" s="25" t="n">
        <x:v>2</x:v>
      </x:c>
      <x:c r="I76" s="25" t="str">
        <x:v>稀有</x:v>
      </x:c>
      <x:c r="J76" s="25" t="str">
        <x:v>S02</x:v>
      </x:c>
      <x:c r="K76" s="25" t="str">
        <x:v>31-60</x:v>
      </x:c>
      <x:c r="L76" s="25" t="n">
        <x:v>17900</x:v>
      </x:c>
      <x:c r="M76" s="25" t="n">
        <x:v>0</x:v>
      </x:c>
      <x:c r="N76" s="25" t="str">
        <x:v>否</x:v>
      </x:c>
      <x:c r="O76" s="25" t="n">
        <x:v>0</x:v>
      </x:c>
      <x:c r="P76" s="25" t="n">
        <x:v>0</x:v>
      </x:c>
      <x:c r="Q76" s="25" t="n">
        <x:v>0</x:v>
      </x:c>
      <x:c r="R76" s="25" t="str">
        <x:v>洗练绑定装备；项链幸运绑定人物永久进度；武器幸运成本忽略</x:v>
      </x:c>
    </x:row>
    <x:row r="77">
      <x:c r="A77" s="25" t="str">
        <x:v>C02-M</x:v>
      </x:c>
      <x:c r="B77" s="25" t="str">
        <x:v>宁姆格福</x:v>
      </x:c>
      <x:c r="C77" s="25" t="str">
        <x:v>半急速中期</x:v>
      </x:c>
      <x:c r="D77" s="25" t="n">
        <x:v>21</x:v>
      </x:c>
      <x:c r="E77" s="25" t="n">
        <x:v>41</x:v>
      </x:c>
      <x:c r="F77" s="25" t="str">
        <x:v>初火兜鍪</x:v>
      </x:c>
      <x:c r="G77" s="25" t="str">
        <x:v>时装头盔</x:v>
      </x:c>
      <x:c r="H77" s="25" t="n">
        <x:v>2</x:v>
      </x:c>
      <x:c r="I77" s="25" t="str">
        <x:v>稀有</x:v>
      </x:c>
      <x:c r="J77" s="25" t="str">
        <x:v>S02</x:v>
      </x:c>
      <x:c r="K77" s="25" t="str">
        <x:v>22-42</x:v>
      </x:c>
      <x:c r="L77" s="25" t="n">
        <x:v>30900</x:v>
      </x:c>
      <x:c r="M77" s="25" t="n">
        <x:v>0</x:v>
      </x:c>
      <x:c r="N77" s="25" t="str">
        <x:v>否</x:v>
      </x:c>
      <x:c r="O77" s="25" t="n">
        <x:v>0</x:v>
      </x:c>
      <x:c r="P77" s="25" t="n">
        <x:v>0</x:v>
      </x:c>
      <x:c r="Q77" s="25" t="n">
        <x:v>0</x:v>
      </x:c>
      <x:c r="R77" s="25" t="str">
        <x:v>洗练绑定装备；项链幸运绑定人物永久进度；武器幸运成本忽略</x:v>
      </x:c>
    </x:row>
    <x:row r="78">
      <x:c r="A78" s="25" t="str">
        <x:v>C02-M</x:v>
      </x:c>
      <x:c r="B78" s="25" t="str">
        <x:v>宁姆格福</x:v>
      </x:c>
      <x:c r="C78" s="25" t="str">
        <x:v>半急速中期</x:v>
      </x:c>
      <x:c r="D78" s="25" t="n">
        <x:v>22</x:v>
      </x:c>
      <x:c r="E78" s="25" t="n">
        <x:v>42</x:v>
      </x:c>
      <x:c r="F78" s="25" t="str">
        <x:v>卢恩血镯</x:v>
      </x:c>
      <x:c r="G78" s="25" t="str">
        <x:v>时装手镯</x:v>
      </x:c>
      <x:c r="H78" s="25" t="n">
        <x:v>2</x:v>
      </x:c>
      <x:c r="I78" s="25" t="str">
        <x:v>稀有</x:v>
      </x:c>
      <x:c r="J78" s="25" t="str">
        <x:v>S02</x:v>
      </x:c>
      <x:c r="K78" s="25" t="str">
        <x:v>42-80</x:v>
      </x:c>
      <x:c r="L78" s="25" t="n">
        <x:v>34400</x:v>
      </x:c>
      <x:c r="M78" s="25" t="n">
        <x:v>0</x:v>
      </x:c>
      <x:c r="N78" s="25" t="str">
        <x:v>否</x:v>
      </x:c>
      <x:c r="O78" s="25" t="n">
        <x:v>0</x:v>
      </x:c>
      <x:c r="P78" s="25" t="n">
        <x:v>0</x:v>
      </x:c>
      <x:c r="Q78" s="25" t="n">
        <x:v>0</x:v>
      </x:c>
      <x:c r="R78" s="25" t="str">
        <x:v>洗练绑定装备；项链幸运绑定人物永久进度；武器幸运成本忽略</x:v>
      </x:c>
    </x:row>
    <x:row r="79">
      <x:c r="A79" s="25" t="str">
        <x:v>C02-M</x:v>
      </x:c>
      <x:c r="B79" s="25" t="str">
        <x:v>宁姆格福</x:v>
      </x:c>
      <x:c r="C79" s="25" t="str">
        <x:v>半急速中期</x:v>
      </x:c>
      <x:c r="D79" s="25" t="n">
        <x:v>24</x:v>
      </x:c>
      <x:c r="E79" s="25" t="n">
        <x:v>43</x:v>
      </x:c>
      <x:c r="F79" s="25" t="str">
        <x:v>黄金树戒</x:v>
      </x:c>
      <x:c r="G79" s="25" t="str">
        <x:v>时装戒指</x:v>
      </x:c>
      <x:c r="H79" s="25" t="n">
        <x:v>2</x:v>
      </x:c>
      <x:c r="I79" s="25" t="str">
        <x:v>稀有</x:v>
      </x:c>
      <x:c r="J79" s="25" t="str">
        <x:v>S02</x:v>
      </x:c>
      <x:c r="K79" s="25" t="str">
        <x:v>42-80</x:v>
      </x:c>
      <x:c r="L79" s="25" t="n">
        <x:v>34400</x:v>
      </x:c>
      <x:c r="M79" s="25" t="n">
        <x:v>0</x:v>
      </x:c>
      <x:c r="N79" s="25" t="str">
        <x:v>否</x:v>
      </x:c>
      <x:c r="O79" s="25" t="n">
        <x:v>0</x:v>
      </x:c>
      <x:c r="P79" s="25" t="n">
        <x:v>0</x:v>
      </x:c>
      <x:c r="Q79" s="25" t="n">
        <x:v>0</x:v>
      </x:c>
      <x:c r="R79" s="25" t="str">
        <x:v>洗练绑定装备；项链幸运绑定人物永久进度；武器幸运成本忽略</x:v>
      </x:c>
    </x:row>
    <x:row r="80">
      <x:c r="A80" s="25" t="str">
        <x:v>C02-M</x:v>
      </x:c>
      <x:c r="B80" s="25" t="str">
        <x:v>宁姆格福</x:v>
      </x:c>
      <x:c r="C80" s="25" t="str">
        <x:v>半急速中期</x:v>
      </x:c>
      <x:c r="D80" s="25" t="n">
        <x:v>40</x:v>
      </x:c>
      <x:c r="E80" s="25" t="n">
        <x:v>44</x:v>
      </x:c>
      <x:c r="F80" s="25" t="str">
        <x:v>腐树子鼠</x:v>
      </x:c>
      <x:c r="G80" s="25" t="str">
        <x:v>生肖1</x:v>
      </x:c>
      <x:c r="H80" s="25" t="n">
        <x:v>2</x:v>
      </x:c>
      <x:c r="I80" s="25" t="str">
        <x:v>BOSS</x:v>
      </x:c>
      <x:c r="J80" s="25" t="str">
        <x:v>S02</x:v>
      </x:c>
      <x:c r="K80" s="25" t="str">
        <x:v>29-56</x:v>
      </x:c>
      <x:c r="L80" s="25" t="n">
        <x:v>23600</x:v>
      </x:c>
      <x:c r="M80" s="25" t="n">
        <x:v>0</x:v>
      </x:c>
      <x:c r="N80" s="25" t="str">
        <x:v>否</x:v>
      </x:c>
      <x:c r="O80" s="25" t="n">
        <x:v>0</x:v>
      </x:c>
      <x:c r="P80" s="25" t="n">
        <x:v>0</x:v>
      </x:c>
      <x:c r="Q80" s="25" t="n">
        <x:v>0</x:v>
      </x:c>
      <x:c r="R80" s="25" t="str">
        <x:v>洗练绑定装备；项链幸运绑定人物永久进度；武器幸运成本忽略</x:v>
      </x:c>
    </x:row>
    <x:row r="81">
      <x:c r="A81" s="25" t="str">
        <x:v>C02-M</x:v>
      </x:c>
      <x:c r="B81" s="25" t="str">
        <x:v>宁姆格福</x:v>
      </x:c>
      <x:c r="C81" s="25" t="str">
        <x:v>半急速中期</x:v>
      </x:c>
      <x:c r="D81" s="25" t="n">
        <x:v>44</x:v>
      </x:c>
      <x:c r="E81" s="25" t="n">
        <x:v>45</x:v>
      </x:c>
      <x:c r="F81" s="25" t="str">
        <x:v>猎犬辰龙</x:v>
      </x:c>
      <x:c r="G81" s="25" t="str">
        <x:v>生肖5</x:v>
      </x:c>
      <x:c r="H81" s="25" t="n">
        <x:v>2</x:v>
      </x:c>
      <x:c r="I81" s="25" t="str">
        <x:v>稀有</x:v>
      </x:c>
      <x:c r="J81" s="25" t="str">
        <x:v>S02</x:v>
      </x:c>
      <x:c r="K81" s="25" t="str">
        <x:v>33-64</x:v>
      </x:c>
      <x:c r="L81" s="25" t="n">
        <x:v>39100</x:v>
      </x:c>
      <x:c r="M81" s="25" t="n">
        <x:v>0</x:v>
      </x:c>
      <x:c r="N81" s="25" t="str">
        <x:v>否</x:v>
      </x:c>
      <x:c r="O81" s="25" t="n">
        <x:v>0</x:v>
      </x:c>
      <x:c r="P81" s="25" t="n">
        <x:v>0</x:v>
      </x:c>
      <x:c r="Q81" s="25" t="n">
        <x:v>0</x:v>
      </x:c>
      <x:c r="R81" s="25" t="str">
        <x:v>洗练绑定装备；项链幸运绑定人物永久进度；武器幸运成本忽略</x:v>
      </x:c>
    </x:row>
    <x:row r="82">
      <x:c r="A82" s="25" t="str">
        <x:v>C02-M</x:v>
      </x:c>
      <x:c r="B82" s="25" t="str">
        <x:v>宁姆格福</x:v>
      </x:c>
      <x:c r="C82" s="25" t="str">
        <x:v>半急速中期</x:v>
      </x:c>
      <x:c r="D82" s="25" t="n">
        <x:v>45</x:v>
      </x:c>
      <x:c r="E82" s="25" t="n">
        <x:v>46</x:v>
      </x:c>
      <x:c r="F82" s="25" t="str">
        <x:v>祖魂巳蛇</x:v>
      </x:c>
      <x:c r="G82" s="25" t="str">
        <x:v>生肖6</x:v>
      </x:c>
      <x:c r="H82" s="25" t="n">
        <x:v>2</x:v>
      </x:c>
      <x:c r="I82" s="25" t="str">
        <x:v>稀有</x:v>
      </x:c>
      <x:c r="J82" s="25" t="str">
        <x:v>S02</x:v>
      </x:c>
      <x:c r="K82" s="25" t="str">
        <x:v>33-64</x:v>
      </x:c>
      <x:c r="L82" s="25" t="n">
        <x:v>39100</x:v>
      </x:c>
      <x:c r="M82" s="25" t="n">
        <x:v>0</x:v>
      </x:c>
      <x:c r="N82" s="25" t="str">
        <x:v>否</x:v>
      </x:c>
      <x:c r="O82" s="25" t="n">
        <x:v>0</x:v>
      </x:c>
      <x:c r="P82" s="25" t="n">
        <x:v>0</x:v>
      </x:c>
      <x:c r="Q82" s="25" t="n">
        <x:v>0</x:v>
      </x:c>
      <x:c r="R82" s="25" t="str">
        <x:v>洗练绑定装备；项链幸运绑定人物永久进度；武器幸运成本忽略</x:v>
      </x:c>
    </x:row>
    <x:row r="83">
      <x:c r="A83" s="25" t="str">
        <x:v>C02-G</x:v>
      </x:c>
      <x:c r="B83" s="25" t="str">
        <x:v>宁姆格福</x:v>
      </x:c>
      <x:c r="C83" s="25" t="str">
        <x:v>半急速毕业</x:v>
      </x:c>
      <x:c r="D83" s="25" t="n">
        <x:v>0</x:v>
      </x:c>
      <x:c r="E83" s="25" t="n">
        <x:v>58</x:v>
      </x:c>
      <x:c r="F83" s="25" t="str">
        <x:v>祖灵皮衣</x:v>
      </x:c>
      <x:c r="G83" s="25" t="str">
        <x:v>衣服</x:v>
      </x:c>
      <x:c r="H83" s="25" t="n">
        <x:v>2</x:v>
      </x:c>
      <x:c r="I83" s="25" t="str">
        <x:v>普通</x:v>
      </x:c>
      <x:c r="J83" s="25" t="str">
        <x:v>S02</x:v>
      </x:c>
      <x:c r="K83" s="25" t="str">
        <x:v>44-84</x:v>
      </x:c>
      <x:c r="L83" s="25" t="n">
        <x:v>138000</x:v>
      </x:c>
      <x:c r="M83" s="25" t="n">
        <x:v>3</x:v>
      </x:c>
      <x:c r="N83" s="25" t="str">
        <x:v>否</x:v>
      </x:c>
      <x:c r="O83" s="25" t="n">
        <x:v>0</x:v>
      </x:c>
      <x:c r="P83" s="25" t="n">
        <x:v>0</x:v>
      </x:c>
      <x:c r="Q83" s="25" t="n">
        <x:v>0</x:v>
      </x:c>
      <x:c r="R83" s="25" t="str">
        <x:v>洗练绑定装备；项链幸运绑定人物永久进度；武器幸运成本忽略</x:v>
      </x:c>
    </x:row>
    <x:row r="84">
      <x:c r="A84" s="25" t="str">
        <x:v>C02-G</x:v>
      </x:c>
      <x:c r="B84" s="25" t="str">
        <x:v>宁姆格福</x:v>
      </x:c>
      <x:c r="C84" s="25" t="str">
        <x:v>半急速毕业</x:v>
      </x:c>
      <x:c r="D84" s="25" t="n">
        <x:v>1</x:v>
      </x:c>
      <x:c r="E84" s="25" t="n">
        <x:v>57</x:v>
      </x:c>
      <x:c r="F84" s="25" t="str">
        <x:v>神授征服剑</x:v>
      </x:c>
      <x:c r="G84" s="25" t="str">
        <x:v>武器</x:v>
      </x:c>
      <x:c r="H84" s="25" t="n">
        <x:v>2</x:v>
      </x:c>
      <x:c r="I84" s="25" t="str">
        <x:v>制式</x:v>
      </x:c>
      <x:c r="J84" s="25" t="str">
        <x:v>S01</x:v>
      </x:c>
      <x:c r="K84" s="25" t="str">
        <x:v>360-720</x:v>
      </x:c>
      <x:c r="L84" s="25" t="n">
        <x:v>1</x:v>
      </x:c>
      <x:c r="M84" s="25" t="n">
        <x:v>3</x:v>
      </x:c>
      <x:c r="N84" s="25" t="str">
        <x:v>否</x:v>
      </x:c>
      <x:c r="O84" s="25" t="n">
        <x:v>7</x:v>
      </x:c>
      <x:c r="P84" s="25" t="n">
        <x:v>0</x:v>
      </x:c>
      <x:c r="Q84" s="25" t="n">
        <x:v>0</x:v>
      </x:c>
      <x:c r="R84" s="25" t="str">
        <x:v>洗练绑定装备；项链幸运绑定人物永久进度；武器幸运成本忽略</x:v>
      </x:c>
    </x:row>
    <x:row r="85">
      <x:c r="A85" s="25" t="str">
        <x:v>C02-G</x:v>
      </x:c>
      <x:c r="B85" s="25" t="str">
        <x:v>宁姆格福</x:v>
      </x:c>
      <x:c r="C85" s="25" t="str">
        <x:v>半急速毕业</x:v>
      </x:c>
      <x:c r="D85" s="25" t="n">
        <x:v>2</x:v>
      </x:c>
      <x:c r="E85" s="25" t="n">
        <x:v>61</x:v>
      </x:c>
      <x:c r="F85" s="25" t="str">
        <x:v>半兽战勋</x:v>
      </x:c>
      <x:c r="G85" s="25" t="str">
        <x:v>勋章</x:v>
      </x:c>
      <x:c r="H85" s="25" t="n">
        <x:v>2</x:v>
      </x:c>
      <x:c r="I85" s="25" t="str">
        <x:v>普通</x:v>
      </x:c>
      <x:c r="J85" s="25" t="str">
        <x:v>S02</x:v>
      </x:c>
      <x:c r="K85" s="25" t="str">
        <x:v>40-77</x:v>
      </x:c>
      <x:c r="L85" s="25" t="n">
        <x:v>30300</x:v>
      </x:c>
      <x:c r="M85" s="25" t="n">
        <x:v>0</x:v>
      </x:c>
      <x:c r="N85" s="25" t="str">
        <x:v>否</x:v>
      </x:c>
      <x:c r="O85" s="25" t="n">
        <x:v>0</x:v>
      </x:c>
      <x:c r="P85" s="25" t="n">
        <x:v>0</x:v>
      </x:c>
      <x:c r="Q85" s="25" t="n">
        <x:v>0</x:v>
      </x:c>
      <x:c r="R85" s="25" t="str">
        <x:v>洗练绑定装备；项链幸运绑定人物永久进度；武器幸运成本忽略</x:v>
      </x:c>
    </x:row>
    <x:row r="86">
      <x:c r="A86" s="25" t="str">
        <x:v>C02-G</x:v>
      </x:c>
      <x:c r="B86" s="25" t="str">
        <x:v>宁姆格福</x:v>
      </x:c>
      <x:c r="C86" s="25" t="str">
        <x:v>半急速毕业</x:v>
      </x:c>
      <x:c r="D86" s="25" t="n">
        <x:v>3</x:v>
      </x:c>
      <x:c r="E86" s="25" t="n">
        <x:v>50</x:v>
      </x:c>
      <x:c r="F86" s="25" t="str">
        <x:v>卢恩骑士项链</x:v>
      </x:c>
      <x:c r="G86" s="25" t="str">
        <x:v>项链</x:v>
      </x:c>
      <x:c r="H86" s="25" t="n">
        <x:v>2</x:v>
      </x:c>
      <x:c r="I86" s="25" t="str">
        <x:v>制式</x:v>
      </x:c>
      <x:c r="J86" s="25" t="str">
        <x:v>S01</x:v>
      </x:c>
      <x:c r="K86" s="25" t="str">
        <x:v>37-73</x:v>
      </x:c>
      <x:c r="L86" s="25" t="n">
        <x:v>9750</x:v>
      </x:c>
      <x:c r="M86" s="25" t="n">
        <x:v>1</x:v>
      </x:c>
      <x:c r="N86" s="25" t="str">
        <x:v>否</x:v>
      </x:c>
      <x:c r="O86" s="25" t="n">
        <x:v>0</x:v>
      </x:c>
      <x:c r="P86" s="25" t="n">
        <x:v>0</x:v>
      </x:c>
      <x:c r="Q86" s="25" t="n">
        <x:v>0</x:v>
      </x:c>
      <x:c r="R86" s="25" t="str">
        <x:v>洗练绑定装备；项链幸运绑定人物永久进度；武器幸运成本忽略</x:v>
      </x:c>
    </x:row>
    <x:row r="87">
      <x:c r="A87" s="25" t="str">
        <x:v>C02-G</x:v>
      </x:c>
      <x:c r="B87" s="25" t="str">
        <x:v>宁姆格福</x:v>
      </x:c>
      <x:c r="C87" s="25" t="str">
        <x:v>半急速毕业</x:v>
      </x:c>
      <x:c r="D87" s="25" t="n">
        <x:v>4</x:v>
      </x:c>
      <x:c r="E87" s="25" t="n">
        <x:v>49</x:v>
      </x:c>
      <x:c r="F87" s="25" t="str">
        <x:v>圣树先锋战盔</x:v>
      </x:c>
      <x:c r="G87" s="25" t="str">
        <x:v>头盔</x:v>
      </x:c>
      <x:c r="H87" s="25" t="n">
        <x:v>2</x:v>
      </x:c>
      <x:c r="I87" s="25" t="str">
        <x:v>制式</x:v>
      </x:c>
      <x:c r="J87" s="25" t="str">
        <x:v>S01</x:v>
      </x:c>
      <x:c r="K87" s="25" t="str">
        <x:v>24-48</x:v>
      </x:c>
      <x:c r="L87" s="25" t="n">
        <x:v>15000</x:v>
      </x:c>
      <x:c r="M87" s="25" t="n">
        <x:v>5</x:v>
      </x:c>
      <x:c r="N87" s="25" t="str">
        <x:v>否</x:v>
      </x:c>
      <x:c r="O87" s="25" t="n">
        <x:v>0</x:v>
      </x:c>
      <x:c r="P87" s="25" t="n">
        <x:v>0</x:v>
      </x:c>
      <x:c r="Q87" s="25" t="n">
        <x:v>0</x:v>
      </x:c>
      <x:c r="R87" s="25" t="str">
        <x:v>洗练绑定装备；项链幸运绑定人物永久进度；武器幸运成本忽略</x:v>
      </x:c>
    </x:row>
    <x:row r="88">
      <x:c r="A88" s="25" t="str">
        <x:v>C02-G</x:v>
      </x:c>
      <x:c r="B88" s="25" t="str">
        <x:v>宁姆格福</x:v>
      </x:c>
      <x:c r="C88" s="25" t="str">
        <x:v>半急速毕业</x:v>
      </x:c>
      <x:c r="D88" s="25" t="n">
        <x:v>5</x:v>
      </x:c>
      <x:c r="E88" s="25" t="n">
        <x:v>73</x:v>
      </x:c>
      <x:c r="F88" s="25" t="str">
        <x:v>古龙近卫腕甲</x:v>
      </x:c>
      <x:c r="G88" s="25" t="str">
        <x:v>手镯</x:v>
      </x:c>
      <x:c r="H88" s="25" t="n">
        <x:v>2</x:v>
      </x:c>
      <x:c r="I88" s="25" t="str">
        <x:v>制式</x:v>
      </x:c>
      <x:c r="J88" s="25" t="str">
        <x:v>S01</x:v>
      </x:c>
      <x:c r="K88" s="25" t="str">
        <x:v>51-102</x:v>
      </x:c>
      <x:c r="L88" s="25" t="n">
        <x:v>17000</x:v>
      </x:c>
      <x:c r="M88" s="25" t="n">
        <x:v>1</x:v>
      </x:c>
      <x:c r="N88" s="25" t="str">
        <x:v>否</x:v>
      </x:c>
      <x:c r="O88" s="25" t="n">
        <x:v>0</x:v>
      </x:c>
      <x:c r="P88" s="25" t="n">
        <x:v>0</x:v>
      </x:c>
      <x:c r="Q88" s="25" t="n">
        <x:v>0</x:v>
      </x:c>
      <x:c r="R88" s="25" t="str">
        <x:v>洗练绑定装备；项链幸运绑定人物永久进度；武器幸运成本忽略</x:v>
      </x:c>
    </x:row>
    <x:row r="89">
      <x:c r="A89" s="25" t="str">
        <x:v>C02-G</x:v>
      </x:c>
      <x:c r="B89" s="25" t="str">
        <x:v>宁姆格福</x:v>
      </x:c>
      <x:c r="C89" s="25" t="str">
        <x:v>半急速毕业</x:v>
      </x:c>
      <x:c r="D89" s="25" t="n">
        <x:v>6</x:v>
      </x:c>
      <x:c r="E89" s="25" t="n">
        <x:v>68</x:v>
      </x:c>
      <x:c r="F89" s="25" t="str">
        <x:v>百指接肢腕</x:v>
      </x:c>
      <x:c r="G89" s="25" t="str">
        <x:v>手镯</x:v>
      </x:c>
      <x:c r="H89" s="25" t="n">
        <x:v>2</x:v>
      </x:c>
      <x:c r="I89" s="25" t="str">
        <x:v>装备合成</x:v>
      </x:c>
      <x:c r="J89" s="25" t="str">
        <x:v>S07</x:v>
      </x:c>
      <x:c r="K89" s="25" t="str">
        <x:v>110-210</x:v>
      </x:c>
      <x:c r="L89" s="25" t="n">
        <x:v>85000</x:v>
      </x:c>
      <x:c r="M89" s="25" t="n">
        <x:v>5</x:v>
      </x:c>
      <x:c r="N89" s="25" t="str">
        <x:v>否</x:v>
      </x:c>
      <x:c r="O89" s="25" t="n">
        <x:v>0</x:v>
      </x:c>
      <x:c r="P89" s="25" t="n">
        <x:v>0</x:v>
      </x:c>
      <x:c r="Q89" s="25" t="n">
        <x:v>0</x:v>
      </x:c>
      <x:c r="R89" s="25" t="str">
        <x:v>洗练绑定装备；项链幸运绑定人物永久进度；武器幸运成本忽略</x:v>
      </x:c>
    </x:row>
    <x:row r="90">
      <x:c r="A90" s="25" t="str">
        <x:v>C02-G</x:v>
      </x:c>
      <x:c r="B90" s="25" t="str">
        <x:v>宁姆格福</x:v>
      </x:c>
      <x:c r="C90" s="25" t="str">
        <x:v>半急速毕业</x:v>
      </x:c>
      <x:c r="D90" s="25" t="n">
        <x:v>7</x:v>
      </x:c>
      <x:c r="E90" s="25" t="n">
        <x:v>75</x:v>
      </x:c>
      <x:c r="F90" s="25" t="str">
        <x:v>归乡弩戒</x:v>
      </x:c>
      <x:c r="G90" s="25" t="str">
        <x:v>戒指</x:v>
      </x:c>
      <x:c r="H90" s="25" t="n">
        <x:v>2</x:v>
      </x:c>
      <x:c r="I90" s="25" t="str">
        <x:v>普通</x:v>
      </x:c>
      <x:c r="J90" s="25" t="str">
        <x:v>S02</x:v>
      </x:c>
      <x:c r="K90" s="25" t="str">
        <x:v>41-79</x:v>
      </x:c>
      <x:c r="L90" s="25" t="n">
        <x:v>15700</x:v>
      </x:c>
      <x:c r="M90" s="25" t="n">
        <x:v>3</x:v>
      </x:c>
      <x:c r="N90" s="25" t="str">
        <x:v>否</x:v>
      </x:c>
      <x:c r="O90" s="25" t="n">
        <x:v>0</x:v>
      </x:c>
      <x:c r="P90" s="25" t="n">
        <x:v>0</x:v>
      </x:c>
      <x:c r="Q90" s="25" t="n">
        <x:v>0</x:v>
      </x:c>
      <x:c r="R90" s="25" t="str">
        <x:v>洗练绑定装备；项链幸运绑定人物永久进度；武器幸运成本忽略</x:v>
      </x:c>
    </x:row>
    <x:row r="91">
      <x:c r="A91" s="25" t="str">
        <x:v>C02-G</x:v>
      </x:c>
      <x:c r="B91" s="25" t="str">
        <x:v>宁姆格福</x:v>
      </x:c>
      <x:c r="C91" s="25" t="str">
        <x:v>半急速毕业</x:v>
      </x:c>
      <x:c r="D91" s="25" t="n">
        <x:v>8</x:v>
      </x:c>
      <x:c r="E91" s="25" t="n">
        <x:v>54</x:v>
      </x:c>
      <x:c r="F91" s="25" t="str">
        <x:v>潮归秘戒</x:v>
      </x:c>
      <x:c r="G91" s="25" t="str">
        <x:v>戒指</x:v>
      </x:c>
      <x:c r="H91" s="25" t="n">
        <x:v>1</x:v>
      </x:c>
      <x:c r="I91" s="25" t="str">
        <x:v>装备合成</x:v>
      </x:c>
      <x:c r="J91" s="25" t="str">
        <x:v>S07</x:v>
      </x:c>
      <x:c r="K91" s="25" t="str">
        <x:v>50-96</x:v>
      </x:c>
      <x:c r="L91" s="25" t="n">
        <x:v>39000</x:v>
      </x:c>
      <x:c r="M91" s="25" t="n">
        <x:v>4</x:v>
      </x:c>
      <x:c r="N91" s="25" t="str">
        <x:v>否</x:v>
      </x:c>
      <x:c r="O91" s="25" t="n">
        <x:v>0</x:v>
      </x:c>
      <x:c r="P91" s="25" t="n">
        <x:v>0</x:v>
      </x:c>
      <x:c r="Q91" s="25" t="n">
        <x:v>0</x:v>
      </x:c>
      <x:c r="R91" s="25" t="str">
        <x:v>洗练绑定装备；项链幸运绑定人物永久进度；武器幸运成本忽略</x:v>
      </x:c>
    </x:row>
    <x:row r="92">
      <x:c r="A92" s="25" t="str">
        <x:v>C02-G</x:v>
      </x:c>
      <x:c r="B92" s="25" t="str">
        <x:v>宁姆格福</x:v>
      </x:c>
      <x:c r="C92" s="25" t="str">
        <x:v>半急速毕业</x:v>
      </x:c>
      <x:c r="D92" s="25" t="n">
        <x:v>10</x:v>
      </x:c>
      <x:c r="E92" s="25" t="n">
        <x:v>36</x:v>
      </x:c>
      <x:c r="F92" s="25" t="str">
        <x:v>黄金戍卫腰带</x:v>
      </x:c>
      <x:c r="G92" s="25" t="str">
        <x:v>腰带</x:v>
      </x:c>
      <x:c r="H92" s="25" t="n">
        <x:v>2</x:v>
      </x:c>
      <x:c r="I92" s="25" t="str">
        <x:v>制式</x:v>
      </x:c>
      <x:c r="J92" s="25" t="str">
        <x:v>S01</x:v>
      </x:c>
      <x:c r="K92" s="25" t="str">
        <x:v>22-44</x:v>
      </x:c>
      <x:c r="L92" s="25" t="n">
        <x:v>13800</x:v>
      </x:c>
      <x:c r="M92" s="25" t="n">
        <x:v>4</x:v>
      </x:c>
      <x:c r="N92" s="25" t="str">
        <x:v>否</x:v>
      </x:c>
      <x:c r="O92" s="25" t="n">
        <x:v>0</x:v>
      </x:c>
      <x:c r="P92" s="25" t="n">
        <x:v>0</x:v>
      </x:c>
      <x:c r="Q92" s="25" t="n">
        <x:v>0</x:v>
      </x:c>
      <x:c r="R92" s="25" t="str">
        <x:v>洗练绑定装备；项链幸运绑定人物永久进度；武器幸运成本忽略</x:v>
      </x:c>
    </x:row>
    <x:row r="93">
      <x:c r="A93" s="25" t="str">
        <x:v>C02-G</x:v>
      </x:c>
      <x:c r="B93" s="25" t="str">
        <x:v>宁姆格福</x:v>
      </x:c>
      <x:c r="C93" s="25" t="str">
        <x:v>半急速毕业</x:v>
      </x:c>
      <x:c r="D93" s="25" t="n">
        <x:v>11</x:v>
      </x:c>
      <x:c r="E93" s="25" t="n">
        <x:v>76</x:v>
      </x:c>
      <x:c r="F93" s="25" t="str">
        <x:v>神授征服战靴</x:v>
      </x:c>
      <x:c r="G93" s="25" t="str">
        <x:v>鞋子</x:v>
      </x:c>
      <x:c r="H93" s="25" t="n">
        <x:v>2</x:v>
      </x:c>
      <x:c r="I93" s="25" t="str">
        <x:v>制式</x:v>
      </x:c>
      <x:c r="J93" s="25" t="str">
        <x:v>S01</x:v>
      </x:c>
      <x:c r="K93" s="25" t="str">
        <x:v>36-72</x:v>
      </x:c>
      <x:c r="L93" s="25" t="n">
        <x:v>22500</x:v>
      </x:c>
      <x:c r="M93" s="25" t="n">
        <x:v>4</x:v>
      </x:c>
      <x:c r="N93" s="25" t="str">
        <x:v>否</x:v>
      </x:c>
      <x:c r="O93" s="25" t="n">
        <x:v>0</x:v>
      </x:c>
      <x:c r="P93" s="25" t="n">
        <x:v>0</x:v>
      </x:c>
      <x:c r="Q93" s="25" t="n">
        <x:v>0</x:v>
      </x:c>
      <x:c r="R93" s="25" t="str">
        <x:v>洗练绑定装备；项链幸运绑定人物永久进度；武器幸运成本忽略</x:v>
      </x:c>
    </x:row>
    <x:row r="94">
      <x:c r="A94" s="25" t="str">
        <x:v>C02-G</x:v>
      </x:c>
      <x:c r="B94" s="25" t="str">
        <x:v>宁姆格福</x:v>
      </x:c>
      <x:c r="C94" s="25" t="str">
        <x:v>半急速毕业</x:v>
      </x:c>
      <x:c r="D94" s="25" t="n">
        <x:v>13</x:v>
      </x:c>
      <x:c r="E94" s="25" t="n">
        <x:v>12</x:v>
      </x:c>
      <x:c r="F94" s="25" t="str">
        <x:v>石蜥面巾</x:v>
      </x:c>
      <x:c r="G94" s="25" t="str">
        <x:v>斗笠</x:v>
      </x:c>
      <x:c r="H94" s="25" t="n">
        <x:v>1</x:v>
      </x:c>
      <x:c r="I94" s="25" t="str">
        <x:v>普通</x:v>
      </x:c>
      <x:c r="J94" s="25" t="str">
        <x:v>S02</x:v>
      </x:c>
      <x:c r="K94" s="25" t="str">
        <x:v>12-24</x:v>
      </x:c>
      <x:c r="L94" s="25" t="n">
        <x:v>10000</x:v>
      </x:c>
      <x:c r="M94" s="25" t="n">
        <x:v>0</x:v>
      </x:c>
      <x:c r="N94" s="25" t="str">
        <x:v>否</x:v>
      </x:c>
      <x:c r="O94" s="25" t="n">
        <x:v>0</x:v>
      </x:c>
      <x:c r="P94" s="25" t="n">
        <x:v>0</x:v>
      </x:c>
      <x:c r="Q94" s="25" t="n">
        <x:v>0</x:v>
      </x:c>
      <x:c r="R94" s="25" t="str">
        <x:v>洗练绑定装备；项链幸运绑定人物永久进度；武器幸运成本忽略</x:v>
      </x:c>
    </x:row>
    <x:row r="95">
      <x:c r="A95" s="25" t="str">
        <x:v>C02-G</x:v>
      </x:c>
      <x:c r="B95" s="25" t="str">
        <x:v>宁姆格福</x:v>
      </x:c>
      <x:c r="C95" s="25" t="str">
        <x:v>半急速毕业</x:v>
      </x:c>
      <x:c r="D95" s="25" t="n">
        <x:v>16</x:v>
      </x:c>
      <x:c r="E95" s="25" t="n">
        <x:v>63</x:v>
      </x:c>
      <x:c r="F95" s="25" t="str">
        <x:v>毒花巨盾</x:v>
      </x:c>
      <x:c r="G95" s="25" t="str">
        <x:v>盾牌</x:v>
      </x:c>
      <x:c r="H95" s="25" t="n">
        <x:v>2</x:v>
      </x:c>
      <x:c r="I95" s="25" t="str">
        <x:v>普通</x:v>
      </x:c>
      <x:c r="J95" s="25" t="str">
        <x:v>S02</x:v>
      </x:c>
      <x:c r="K95" s="25" t="str">
        <x:v>36-70</x:v>
      </x:c>
      <x:c r="L95" s="25" t="n">
        <x:v>75600</x:v>
      </x:c>
      <x:c r="M95" s="25" t="n">
        <x:v>0</x:v>
      </x:c>
      <x:c r="N95" s="25" t="str">
        <x:v>否</x:v>
      </x:c>
      <x:c r="O95" s="25" t="n">
        <x:v>0</x:v>
      </x:c>
      <x:c r="P95" s="25" t="n">
        <x:v>0</x:v>
      </x:c>
      <x:c r="Q95" s="25" t="n">
        <x:v>0</x:v>
      </x:c>
      <x:c r="R95" s="25" t="str">
        <x:v>洗练绑定装备；项链幸运绑定人物永久进度；武器幸运成本忽略</x:v>
      </x:c>
    </x:row>
    <x:row r="96">
      <x:c r="A96" s="25" t="str">
        <x:v>C02-G</x:v>
      </x:c>
      <x:c r="B96" s="25" t="str">
        <x:v>宁姆格福</x:v>
      </x:c>
      <x:c r="C96" s="25" t="str">
        <x:v>半急速毕业</x:v>
      </x:c>
      <x:c r="D96" s="25" t="n">
        <x:v>18</x:v>
      </x:c>
      <x:c r="E96" s="25" t="n">
        <x:v>26</x:v>
      </x:c>
      <x:c r="F96" s="25" t="str">
        <x:v>无冠王衣</x:v>
      </x:c>
      <x:c r="G96" s="25" t="str">
        <x:v>时装衣服</x:v>
      </x:c>
      <x:c r="H96" s="25" t="n">
        <x:v>1</x:v>
      </x:c>
      <x:c r="I96" s="25" t="str">
        <x:v>守关BOSS</x:v>
      </x:c>
      <x:c r="J96" s="25" t="str">
        <x:v>S02</x:v>
      </x:c>
      <x:c r="K96" s="25" t="str">
        <x:v>28-53</x:v>
      </x:c>
      <x:c r="L96" s="25" t="n">
        <x:v>74300</x:v>
      </x:c>
      <x:c r="M96" s="25" t="n">
        <x:v>0</x:v>
      </x:c>
      <x:c r="N96" s="25" t="str">
        <x:v>否</x:v>
      </x:c>
      <x:c r="O96" s="25" t="n">
        <x:v>0</x:v>
      </x:c>
      <x:c r="P96" s="25" t="n">
        <x:v>0</x:v>
      </x:c>
      <x:c r="Q96" s="25" t="n">
        <x:v>0</x:v>
      </x:c>
      <x:c r="R96" s="25" t="str">
        <x:v>洗练绑定装备；项链幸运绑定人物永久进度；武器幸运成本忽略</x:v>
      </x:c>
    </x:row>
    <x:row r="97">
      <x:c r="A97" s="25" t="str">
        <x:v>C02-G</x:v>
      </x:c>
      <x:c r="B97" s="25" t="str">
        <x:v>宁姆格福</x:v>
      </x:c>
      <x:c r="C97" s="25" t="str">
        <x:v>半急速毕业</x:v>
      </x:c>
      <x:c r="D97" s="25" t="n">
        <x:v>19</x:v>
      </x:c>
      <x:c r="E97" s="25" t="n">
        <x:v>64</x:v>
      </x:c>
      <x:c r="F97" s="25" t="str">
        <x:v>百夫熔戟</x:v>
      </x:c>
      <x:c r="G97" s="25" t="str">
        <x:v>时装武器</x:v>
      </x:c>
      <x:c r="H97" s="25" t="n">
        <x:v>2</x:v>
      </x:c>
      <x:c r="I97" s="25" t="str">
        <x:v>稀有</x:v>
      </x:c>
      <x:c r="J97" s="25" t="str">
        <x:v>S02</x:v>
      </x:c>
      <x:c r="K97" s="25" t="str">
        <x:v>150-288</x:v>
      </x:c>
      <x:c r="L97" s="25" t="n">
        <x:v>45400</x:v>
      </x:c>
      <x:c r="M97" s="25" t="n">
        <x:v>0</x:v>
      </x:c>
      <x:c r="N97" s="25" t="str">
        <x:v>否</x:v>
      </x:c>
      <x:c r="O97" s="25" t="n">
        <x:v>0</x:v>
      </x:c>
      <x:c r="P97" s="25" t="n">
        <x:v>0</x:v>
      </x:c>
      <x:c r="Q97" s="25" t="n">
        <x:v>0</x:v>
      </x:c>
      <x:c r="R97" s="25" t="str">
        <x:v>洗练绑定装备；项链幸运绑定人物永久进度；武器幸运成本忽略</x:v>
      </x:c>
    </x:row>
    <x:row r="98">
      <x:c r="A98" s="25" t="str">
        <x:v>C02-G</x:v>
      </x:c>
      <x:c r="B98" s="25" t="str">
        <x:v>宁姆格福</x:v>
      </x:c>
      <x:c r="C98" s="25" t="str">
        <x:v>半急速毕业</x:v>
      </x:c>
      <x:c r="D98" s="25" t="n">
        <x:v>20</x:v>
      </x:c>
      <x:c r="E98" s="25" t="n">
        <x:v>40</x:v>
      </x:c>
      <x:c r="F98" s="25" t="str">
        <x:v>英雄余誓</x:v>
      </x:c>
      <x:c r="G98" s="25" t="str">
        <x:v>时装项链</x:v>
      </x:c>
      <x:c r="H98" s="25" t="n">
        <x:v>2</x:v>
      </x:c>
      <x:c r="I98" s="25" t="str">
        <x:v>稀有</x:v>
      </x:c>
      <x:c r="J98" s="25" t="str">
        <x:v>S02</x:v>
      </x:c>
      <x:c r="K98" s="25" t="str">
        <x:v>31-60</x:v>
      </x:c>
      <x:c r="L98" s="25" t="n">
        <x:v>17900</x:v>
      </x:c>
      <x:c r="M98" s="25" t="n">
        <x:v>0</x:v>
      </x:c>
      <x:c r="N98" s="25" t="str">
        <x:v>否</x:v>
      </x:c>
      <x:c r="O98" s="25" t="n">
        <x:v>0</x:v>
      </x:c>
      <x:c r="P98" s="25" t="n">
        <x:v>0</x:v>
      </x:c>
      <x:c r="Q98" s="25" t="n">
        <x:v>0</x:v>
      </x:c>
      <x:c r="R98" s="25" t="str">
        <x:v>洗练绑定装备；项链幸运绑定人物永久进度；武器幸运成本忽略</x:v>
      </x:c>
    </x:row>
    <x:row r="99">
      <x:c r="A99" s="25" t="str">
        <x:v>C02-G</x:v>
      </x:c>
      <x:c r="B99" s="25" t="str">
        <x:v>宁姆格福</x:v>
      </x:c>
      <x:c r="C99" s="25" t="str">
        <x:v>半急速毕业</x:v>
      </x:c>
      <x:c r="D99" s="25" t="n">
        <x:v>21</x:v>
      </x:c>
      <x:c r="E99" s="25" t="n">
        <x:v>41</x:v>
      </x:c>
      <x:c r="F99" s="25" t="str">
        <x:v>初火兜鍪</x:v>
      </x:c>
      <x:c r="G99" s="25" t="str">
        <x:v>时装头盔</x:v>
      </x:c>
      <x:c r="H99" s="25" t="n">
        <x:v>2</x:v>
      </x:c>
      <x:c r="I99" s="25" t="str">
        <x:v>稀有</x:v>
      </x:c>
      <x:c r="J99" s="25" t="str">
        <x:v>S02</x:v>
      </x:c>
      <x:c r="K99" s="25" t="str">
        <x:v>22-42</x:v>
      </x:c>
      <x:c r="L99" s="25" t="n">
        <x:v>30900</x:v>
      </x:c>
      <x:c r="M99" s="25" t="n">
        <x:v>0</x:v>
      </x:c>
      <x:c r="N99" s="25" t="str">
        <x:v>否</x:v>
      </x:c>
      <x:c r="O99" s="25" t="n">
        <x:v>0</x:v>
      </x:c>
      <x:c r="P99" s="25" t="n">
        <x:v>0</x:v>
      </x:c>
      <x:c r="Q99" s="25" t="n">
        <x:v>0</x:v>
      </x:c>
      <x:c r="R99" s="25" t="str">
        <x:v>洗练绑定装备；项链幸运绑定人物永久进度；武器幸运成本忽略</x:v>
      </x:c>
    </x:row>
    <x:row r="100">
      <x:c r="A100" s="25" t="str">
        <x:v>C02-G</x:v>
      </x:c>
      <x:c r="B100" s="25" t="str">
        <x:v>宁姆格福</x:v>
      </x:c>
      <x:c r="C100" s="25" t="str">
        <x:v>半急速毕业</x:v>
      </x:c>
      <x:c r="D100" s="25" t="n">
        <x:v>22</x:v>
      </x:c>
      <x:c r="E100" s="25" t="n">
        <x:v>42</x:v>
      </x:c>
      <x:c r="F100" s="25" t="str">
        <x:v>卢恩血镯</x:v>
      </x:c>
      <x:c r="G100" s="25" t="str">
        <x:v>时装手镯</x:v>
      </x:c>
      <x:c r="H100" s="25" t="n">
        <x:v>2</x:v>
      </x:c>
      <x:c r="I100" s="25" t="str">
        <x:v>稀有</x:v>
      </x:c>
      <x:c r="J100" s="25" t="str">
        <x:v>S02</x:v>
      </x:c>
      <x:c r="K100" s="25" t="str">
        <x:v>42-80</x:v>
      </x:c>
      <x:c r="L100" s="25" t="n">
        <x:v>34400</x:v>
      </x:c>
      <x:c r="M100" s="25" t="n">
        <x:v>0</x:v>
      </x:c>
      <x:c r="N100" s="25" t="str">
        <x:v>否</x:v>
      </x:c>
      <x:c r="O100" s="25" t="n">
        <x:v>0</x:v>
      </x:c>
      <x:c r="P100" s="25" t="n">
        <x:v>0</x:v>
      </x:c>
      <x:c r="Q100" s="25" t="n">
        <x:v>0</x:v>
      </x:c>
      <x:c r="R100" s="25" t="str">
        <x:v>洗练绑定装备；项链幸运绑定人物永久进度；武器幸运成本忽略</x:v>
      </x:c>
    </x:row>
    <x:row r="101">
      <x:c r="A101" s="25" t="str">
        <x:v>C02-G</x:v>
      </x:c>
      <x:c r="B101" s="25" t="str">
        <x:v>宁姆格福</x:v>
      </x:c>
      <x:c r="C101" s="25" t="str">
        <x:v>半急速毕业</x:v>
      </x:c>
      <x:c r="D101" s="25" t="n">
        <x:v>24</x:v>
      </x:c>
      <x:c r="E101" s="25" t="n">
        <x:v>43</x:v>
      </x:c>
      <x:c r="F101" s="25" t="str">
        <x:v>黄金树戒</x:v>
      </x:c>
      <x:c r="G101" s="25" t="str">
        <x:v>时装戒指</x:v>
      </x:c>
      <x:c r="H101" s="25" t="n">
        <x:v>2</x:v>
      </x:c>
      <x:c r="I101" s="25" t="str">
        <x:v>稀有</x:v>
      </x:c>
      <x:c r="J101" s="25" t="str">
        <x:v>S02</x:v>
      </x:c>
      <x:c r="K101" s="25" t="str">
        <x:v>42-80</x:v>
      </x:c>
      <x:c r="L101" s="25" t="n">
        <x:v>34400</x:v>
      </x:c>
      <x:c r="M101" s="25" t="n">
        <x:v>0</x:v>
      </x:c>
      <x:c r="N101" s="25" t="str">
        <x:v>否</x:v>
      </x:c>
      <x:c r="O101" s="25" t="n">
        <x:v>0</x:v>
      </x:c>
      <x:c r="P101" s="25" t="n">
        <x:v>0</x:v>
      </x:c>
      <x:c r="Q101" s="25" t="n">
        <x:v>0</x:v>
      </x:c>
      <x:c r="R101" s="25" t="str">
        <x:v>洗练绑定装备；项链幸运绑定人物永久进度；武器幸运成本忽略</x:v>
      </x:c>
    </x:row>
    <x:row r="102">
      <x:c r="A102" s="25" t="str">
        <x:v>C02-G</x:v>
      </x:c>
      <x:c r="B102" s="25" t="str">
        <x:v>宁姆格福</x:v>
      </x:c>
      <x:c r="C102" s="25" t="str">
        <x:v>半急速毕业</x:v>
      </x:c>
      <x:c r="D102" s="25" t="n">
        <x:v>40</x:v>
      </x:c>
      <x:c r="E102" s="25" t="n">
        <x:v>44</x:v>
      </x:c>
      <x:c r="F102" s="25" t="str">
        <x:v>腐树子鼠</x:v>
      </x:c>
      <x:c r="G102" s="25" t="str">
        <x:v>生肖1</x:v>
      </x:c>
      <x:c r="H102" s="25" t="n">
        <x:v>2</x:v>
      </x:c>
      <x:c r="I102" s="25" t="str">
        <x:v>BOSS</x:v>
      </x:c>
      <x:c r="J102" s="25" t="str">
        <x:v>S02</x:v>
      </x:c>
      <x:c r="K102" s="25" t="str">
        <x:v>29-56</x:v>
      </x:c>
      <x:c r="L102" s="25" t="n">
        <x:v>23600</x:v>
      </x:c>
      <x:c r="M102" s="25" t="n">
        <x:v>0</x:v>
      </x:c>
      <x:c r="N102" s="25" t="str">
        <x:v>否</x:v>
      </x:c>
      <x:c r="O102" s="25" t="n">
        <x:v>0</x:v>
      </x:c>
      <x:c r="P102" s="25" t="n">
        <x:v>0</x:v>
      </x:c>
      <x:c r="Q102" s="25" t="n">
        <x:v>0</x:v>
      </x:c>
      <x:c r="R102" s="25" t="str">
        <x:v>洗练绑定装备；项链幸运绑定人物永久进度；武器幸运成本忽略</x:v>
      </x:c>
    </x:row>
    <x:row r="103">
      <x:c r="A103" s="25" t="str">
        <x:v>C02-G</x:v>
      </x:c>
      <x:c r="B103" s="25" t="str">
        <x:v>宁姆格福</x:v>
      </x:c>
      <x:c r="C103" s="25" t="str">
        <x:v>半急速毕业</x:v>
      </x:c>
      <x:c r="D103" s="25" t="n">
        <x:v>41</x:v>
      </x:c>
      <x:c r="E103" s="25" t="n">
        <x:v>69</x:v>
      </x:c>
      <x:c r="F103" s="25" t="str">
        <x:v>丑牛·风暴负山</x:v>
      </x:c>
      <x:c r="G103" s="25" t="str">
        <x:v>生肖2</x:v>
      </x:c>
      <x:c r="H103" s="25" t="n">
        <x:v>2</x:v>
      </x:c>
      <x:c r="I103" s="25" t="str">
        <x:v>生肖合成</x:v>
      </x:c>
      <x:c r="J103" s="25" t="str">
        <x:v>S07</x:v>
      </x:c>
      <x:c r="K103" s="25" t="str">
        <x:v>25-49</x:v>
      </x:c>
      <x:c r="L103" s="25" t="n">
        <x:v>64000</x:v>
      </x:c>
      <x:c r="M103" s="25" t="n">
        <x:v>0</x:v>
      </x:c>
      <x:c r="N103" s="25" t="str">
        <x:v>否</x:v>
      </x:c>
      <x:c r="O103" s="25" t="n">
        <x:v>0</x:v>
      </x:c>
      <x:c r="P103" s="25" t="n">
        <x:v>0</x:v>
      </x:c>
      <x:c r="Q103" s="25" t="n">
        <x:v>0</x:v>
      </x:c>
      <x:c r="R103" s="25" t="str">
        <x:v>洗练绑定装备；项链幸运绑定人物永久进度；武器幸运成本忽略</x:v>
      </x:c>
    </x:row>
    <x:row r="104">
      <x:c r="A104" s="25" t="str">
        <x:v>C02-G</x:v>
      </x:c>
      <x:c r="B104" s="25" t="str">
        <x:v>宁姆格福</x:v>
      </x:c>
      <x:c r="C104" s="25" t="str">
        <x:v>半急速毕业</x:v>
      </x:c>
      <x:c r="D104" s="25" t="n">
        <x:v>42</x:v>
      </x:c>
      <x:c r="E104" s="25" t="n">
        <x:v>66</x:v>
      </x:c>
      <x:c r="F104" s="25" t="str">
        <x:v>长戟寅虎</x:v>
      </x:c>
      <x:c r="G104" s="25" t="str">
        <x:v>生肖3</x:v>
      </x:c>
      <x:c r="H104" s="25" t="n">
        <x:v>2</x:v>
      </x:c>
      <x:c r="I104" s="25" t="str">
        <x:v>BOSS</x:v>
      </x:c>
      <x:c r="J104" s="25" t="str">
        <x:v>S02</x:v>
      </x:c>
      <x:c r="K104" s="25" t="str">
        <x:v>34-65</x:v>
      </x:c>
      <x:c r="L104" s="25" t="n">
        <x:v>32600</x:v>
      </x:c>
      <x:c r="M104" s="25" t="n">
        <x:v>0</x:v>
      </x:c>
      <x:c r="N104" s="25" t="str">
        <x:v>否</x:v>
      </x:c>
      <x:c r="O104" s="25" t="n">
        <x:v>0</x:v>
      </x:c>
      <x:c r="P104" s="25" t="n">
        <x:v>0</x:v>
      </x:c>
      <x:c r="Q104" s="25" t="n">
        <x:v>0</x:v>
      </x:c>
      <x:c r="R104" s="25" t="str">
        <x:v>洗练绑定装备；项链幸运绑定人物永久进度；武器幸运成本忽略</x:v>
      </x:c>
    </x:row>
    <x:row r="105">
      <x:c r="A105" s="25" t="str">
        <x:v>C02-G</x:v>
      </x:c>
      <x:c r="B105" s="25" t="str">
        <x:v>宁姆格福</x:v>
      </x:c>
      <x:c r="C105" s="25" t="str">
        <x:v>半急速毕业</x:v>
      </x:c>
      <x:c r="D105" s="25" t="n">
        <x:v>44</x:v>
      </x:c>
      <x:c r="E105" s="25" t="n">
        <x:v>45</x:v>
      </x:c>
      <x:c r="F105" s="25" t="str">
        <x:v>猎犬辰龙</x:v>
      </x:c>
      <x:c r="G105" s="25" t="str">
        <x:v>生肖5</x:v>
      </x:c>
      <x:c r="H105" s="25" t="n">
        <x:v>2</x:v>
      </x:c>
      <x:c r="I105" s="25" t="str">
        <x:v>稀有</x:v>
      </x:c>
      <x:c r="J105" s="25" t="str">
        <x:v>S02</x:v>
      </x:c>
      <x:c r="K105" s="25" t="str">
        <x:v>33-64</x:v>
      </x:c>
      <x:c r="L105" s="25" t="n">
        <x:v>39100</x:v>
      </x:c>
      <x:c r="M105" s="25" t="n">
        <x:v>0</x:v>
      </x:c>
      <x:c r="N105" s="25" t="str">
        <x:v>否</x:v>
      </x:c>
      <x:c r="O105" s="25" t="n">
        <x:v>0</x:v>
      </x:c>
      <x:c r="P105" s="25" t="n">
        <x:v>0</x:v>
      </x:c>
      <x:c r="Q105" s="25" t="n">
        <x:v>0</x:v>
      </x:c>
      <x:c r="R105" s="25" t="str">
        <x:v>洗练绑定装备；项链幸运绑定人物永久进度；武器幸运成本忽略</x:v>
      </x:c>
    </x:row>
    <x:row r="106">
      <x:c r="A106" s="25" t="str">
        <x:v>C02-G</x:v>
      </x:c>
      <x:c r="B106" s="25" t="str">
        <x:v>宁姆格福</x:v>
      </x:c>
      <x:c r="C106" s="25" t="str">
        <x:v>半急速毕业</x:v>
      </x:c>
      <x:c r="D106" s="25" t="n">
        <x:v>45</x:v>
      </x:c>
      <x:c r="E106" s="25" t="n">
        <x:v>46</x:v>
      </x:c>
      <x:c r="F106" s="25" t="str">
        <x:v>祖魂巳蛇</x:v>
      </x:c>
      <x:c r="G106" s="25" t="str">
        <x:v>生肖6</x:v>
      </x:c>
      <x:c r="H106" s="25" t="n">
        <x:v>2</x:v>
      </x:c>
      <x:c r="I106" s="25" t="str">
        <x:v>稀有</x:v>
      </x:c>
      <x:c r="J106" s="25" t="str">
        <x:v>S02</x:v>
      </x:c>
      <x:c r="K106" s="25" t="str">
        <x:v>33-64</x:v>
      </x:c>
      <x:c r="L106" s="25" t="n">
        <x:v>39100</x:v>
      </x:c>
      <x:c r="M106" s="25" t="n">
        <x:v>0</x:v>
      </x:c>
      <x:c r="N106" s="25" t="str">
        <x:v>否</x:v>
      </x:c>
      <x:c r="O106" s="25" t="n">
        <x:v>0</x:v>
      </x:c>
      <x:c r="P106" s="25" t="n">
        <x:v>0</x:v>
      </x:c>
      <x:c r="Q106" s="25" t="n">
        <x:v>0</x:v>
      </x:c>
      <x:c r="R106" s="25" t="str">
        <x:v>洗练绑定装备；项链幸运绑定人物永久进度；武器幸运成本忽略</x:v>
      </x:c>
    </x:row>
    <x:row r="107">
      <x:c r="A107" s="25" t="str">
        <x:v>C02-G</x:v>
      </x:c>
      <x:c r="B107" s="25" t="str">
        <x:v>宁姆格福</x:v>
      </x:c>
      <x:c r="C107" s="25" t="str">
        <x:v>半急速毕业</x:v>
      </x:c>
      <x:c r="D107" s="25" t="n">
        <x:v>47</x:v>
      </x:c>
      <x:c r="E107" s="25" t="n">
        <x:v>67</x:v>
      </x:c>
      <x:c r="F107" s="25" t="str">
        <x:v>葬日未羊</x:v>
      </x:c>
      <x:c r="G107" s="25" t="str">
        <x:v>生肖8</x:v>
      </x:c>
      <x:c r="H107" s="25" t="n">
        <x:v>2</x:v>
      </x:c>
      <x:c r="I107" s="25" t="str">
        <x:v>稀有</x:v>
      </x:c>
      <x:c r="J107" s="25" t="str">
        <x:v>S02</x:v>
      </x:c>
      <x:c r="K107" s="25" t="str">
        <x:v>37-72</x:v>
      </x:c>
      <x:c r="L107" s="25" t="n">
        <x:v>51600</x:v>
      </x:c>
      <x:c r="M107" s="25" t="n">
        <x:v>0</x:v>
      </x:c>
      <x:c r="N107" s="25" t="str">
        <x:v>否</x:v>
      </x:c>
      <x:c r="O107" s="25" t="n">
        <x:v>0</x:v>
      </x:c>
      <x:c r="P107" s="25" t="n">
        <x:v>0</x:v>
      </x:c>
      <x:c r="Q107" s="25" t="n">
        <x:v>0</x:v>
      </x:c>
      <x:c r="R107" s="25" t="str">
        <x:v>洗练绑定装备；项链幸运绑定人物永久进度；武器幸运成本忽略</x:v>
      </x:c>
    </x:row>
    <x:row r="108">
      <x:c r="A108" s="25" t="str">
        <x:v>C02-G</x:v>
      </x:c>
      <x:c r="B108" s="25" t="str">
        <x:v>宁姆格福</x:v>
      </x:c>
      <x:c r="C108" s="25" t="str">
        <x:v>半急速毕业</x:v>
      </x:c>
      <x:c r="D108" s="25" t="n">
        <x:v>48</x:v>
      </x:c>
      <x:c r="E108" s="25" t="n">
        <x:v>70</x:v>
      </x:c>
      <x:c r="F108" s="25" t="str">
        <x:v>群星之核LV1</x:v>
      </x:c>
      <x:c r="G108" s="25" t="str">
        <x:v>生肖9</x:v>
      </x:c>
      <x:c r="H108" s="25" t="n">
        <x:v>2</x:v>
      </x:c>
      <x:c r="I108" s="25" t="str">
        <x:v>群攻生肖</x:v>
      </x:c>
      <x:c r="J108" s="25" t="str">
        <x:v>S07</x:v>
      </x:c>
      <x:c r="K108" s="25"/>
      <x:c r="L108" s="25"/>
      <x:c r="M108" s="25" t="n">
        <x:v>0</x:v>
      </x:c>
      <x:c r="N108" s="25" t="str">
        <x:v>否</x:v>
      </x:c>
      <x:c r="O108" s="25" t="n">
        <x:v>0</x:v>
      </x:c>
      <x:c r="P108" s="25" t="n">
        <x:v>0</x:v>
      </x:c>
      <x:c r="Q108" s="25" t="n">
        <x:v>0</x:v>
      </x:c>
      <x:c r="R108" s="25" t="str">
        <x:v>洗练绑定装备；项链幸运绑定人物永久进度；武器幸运成本忽略</x:v>
      </x:c>
    </x:row>
    <x:row r="109">
      <x:c r="A109" s="25" t="str">
        <x:v>C02-X</x:v>
      </x:c>
      <x:c r="B109" s="25" t="str">
        <x:v>宁姆格福</x:v>
      </x:c>
      <x:c r="C109" s="25" t="str">
        <x:v>极端压力</x:v>
      </x:c>
      <x:c r="D109" s="25" t="n">
        <x:v>0</x:v>
      </x:c>
      <x:c r="E109" s="25" t="n">
        <x:v>72</x:v>
      </x:c>
      <x:c r="F109" s="25" t="str">
        <x:v>祖灵皮衣</x:v>
      </x:c>
      <x:c r="G109" s="25" t="str">
        <x:v>衣服</x:v>
      </x:c>
      <x:c r="H109" s="25" t="n">
        <x:v>2</x:v>
      </x:c>
      <x:c r="I109" s="25" t="str">
        <x:v>普通</x:v>
      </x:c>
      <x:c r="J109" s="25" t="str">
        <x:v>S02</x:v>
      </x:c>
      <x:c r="K109" s="25" t="str">
        <x:v>44-84</x:v>
      </x:c>
      <x:c r="L109" s="25" t="n">
        <x:v>138000</x:v>
      </x:c>
      <x:c r="M109" s="25" t="n">
        <x:v>3</x:v>
      </x:c>
      <x:c r="N109" s="25" t="str">
        <x:v>否</x:v>
      </x:c>
      <x:c r="O109" s="25" t="n">
        <x:v>0</x:v>
      </x:c>
      <x:c r="P109" s="25" t="n">
        <x:v>0</x:v>
      </x:c>
      <x:c r="Q109" s="25" t="n">
        <x:v>0</x:v>
      </x:c>
      <x:c r="R109" s="25" t="str">
        <x:v>洗练绑定装备；项链幸运绑定人物永久进度；武器幸运成本忽略</x:v>
      </x:c>
    </x:row>
    <x:row r="110">
      <x:c r="A110" s="25" t="str">
        <x:v>C02-X</x:v>
      </x:c>
      <x:c r="B110" s="25" t="str">
        <x:v>宁姆格福</x:v>
      </x:c>
      <x:c r="C110" s="25" t="str">
        <x:v>极端压力</x:v>
      </x:c>
      <x:c r="D110" s="25" t="n">
        <x:v>1</x:v>
      </x:c>
      <x:c r="E110" s="25" t="n">
        <x:v>77</x:v>
      </x:c>
      <x:c r="F110" s="25" t="str">
        <x:v>沉没王权</x:v>
      </x:c>
      <x:c r="G110" s="25" t="str">
        <x:v>武器</x:v>
      </x:c>
      <x:c r="H110" s="25" t="n">
        <x:v>1</x:v>
      </x:c>
      <x:c r="I110" s="25" t="str">
        <x:v>守关BOSS</x:v>
      </x:c>
      <x:c r="J110" s="25" t="str">
        <x:v>S02</x:v>
      </x:c>
      <x:c r="K110" s="25" t="str">
        <x:v>343-660</x:v>
      </x:c>
      <x:c r="L110" s="25" t="n">
        <x:v>16300</x:v>
      </x:c>
      <x:c r="M110" s="25" t="n">
        <x:v>2</x:v>
      </x:c>
      <x:c r="N110" s="25" t="str">
        <x:v>否</x:v>
      </x:c>
      <x:c r="O110" s="25" t="n">
        <x:v>7</x:v>
      </x:c>
      <x:c r="P110" s="25" t="n">
        <x:v>0</x:v>
      </x:c>
      <x:c r="Q110" s="25" t="n">
        <x:v>0</x:v>
      </x:c>
      <x:c r="R110" s="25" t="str">
        <x:v>洗练绑定装备；项链幸运绑定人物永久进度；武器幸运成本忽略</x:v>
      </x:c>
    </x:row>
    <x:row r="111">
      <x:c r="A111" s="25" t="str">
        <x:v>C02-X</x:v>
      </x:c>
      <x:c r="B111" s="25" t="str">
        <x:v>宁姆格福</x:v>
      </x:c>
      <x:c r="C111" s="25" t="str">
        <x:v>极端压力</x:v>
      </x:c>
      <x:c r="D111" s="25" t="n">
        <x:v>2</x:v>
      </x:c>
      <x:c r="E111" s="25" t="n">
        <x:v>81</x:v>
      </x:c>
      <x:c r="F111" s="25" t="str">
        <x:v>失乡统帅勋</x:v>
      </x:c>
      <x:c r="G111" s="25" t="str">
        <x:v>勋章</x:v>
      </x:c>
      <x:c r="H111" s="25" t="n">
        <x:v>2</x:v>
      </x:c>
      <x:c r="I111" s="25" t="str">
        <x:v>稀有</x:v>
      </x:c>
      <x:c r="J111" s="25" t="str">
        <x:v>S02</x:v>
      </x:c>
      <x:c r="K111" s="25" t="str">
        <x:v>57-110</x:v>
      </x:c>
      <x:c r="L111" s="25" t="n">
        <x:v>60500</x:v>
      </x:c>
      <x:c r="M111" s="25" t="n">
        <x:v>0</x:v>
      </x:c>
      <x:c r="N111" s="25" t="str">
        <x:v>否</x:v>
      </x:c>
      <x:c r="O111" s="25" t="n">
        <x:v>0</x:v>
      </x:c>
      <x:c r="P111" s="25" t="n">
        <x:v>0</x:v>
      </x:c>
      <x:c r="Q111" s="25" t="n">
        <x:v>0</x:v>
      </x:c>
      <x:c r="R111" s="25" t="str">
        <x:v>洗练绑定装备；项链幸运绑定人物永久进度；武器幸运成本忽略</x:v>
      </x:c>
    </x:row>
    <x:row r="112">
      <x:c r="A112" s="25" t="str">
        <x:v>C02-X</x:v>
      </x:c>
      <x:c r="B112" s="25" t="str">
        <x:v>宁姆格福</x:v>
      </x:c>
      <x:c r="C112" s="25" t="str">
        <x:v>极端压力</x:v>
      </x:c>
      <x:c r="D112" s="25" t="n">
        <x:v>3</x:v>
      </x:c>
      <x:c r="E112" s="25" t="n">
        <x:v>98</x:v>
      </x:c>
      <x:c r="F112" s="25" t="str">
        <x:v>风暴王庭链</x:v>
      </x:c>
      <x:c r="G112" s="25" t="str">
        <x:v>项链</x:v>
      </x:c>
      <x:c r="H112" s="25" t="n">
        <x:v>2</x:v>
      </x:c>
      <x:c r="I112" s="25" t="str">
        <x:v>装备合成</x:v>
      </x:c>
      <x:c r="J112" s="25" t="str">
        <x:v>S07</x:v>
      </x:c>
      <x:c r="K112" s="25" t="str">
        <x:v>100-200</x:v>
      </x:c>
      <x:c r="L112" s="25" t="n">
        <x:v>85000</x:v>
      </x:c>
      <x:c r="M112" s="25" t="n">
        <x:v>7</x:v>
      </x:c>
      <x:c r="N112" s="25" t="str">
        <x:v>是</x:v>
      </x:c>
      <x:c r="O112" s="25" t="n">
        <x:v>0</x:v>
      </x:c>
      <x:c r="P112" s="25" t="n">
        <x:v>0</x:v>
      </x:c>
      <x:c r="Q112" s="25" t="n">
        <x:v>0</x:v>
      </x:c>
      <x:c r="R112" s="25" t="str">
        <x:v>洗练绑定装备；项链幸运绑定人物永久进度；武器幸运成本忽略</x:v>
      </x:c>
    </x:row>
    <x:row r="113">
      <x:c r="A113" s="25" t="str">
        <x:v>C02-X</x:v>
      </x:c>
      <x:c r="B113" s="25" t="str">
        <x:v>宁姆格福</x:v>
      </x:c>
      <x:c r="C113" s="25" t="str">
        <x:v>极端压力</x:v>
      </x:c>
      <x:c r="D113" s="25" t="n">
        <x:v>4</x:v>
      </x:c>
      <x:c r="E113" s="25" t="n">
        <x:v>82</x:v>
      </x:c>
      <x:c r="F113" s="25" t="str">
        <x:v>刀翼王盔</x:v>
      </x:c>
      <x:c r="G113" s="25" t="str">
        <x:v>头盔</x:v>
      </x:c>
      <x:c r="H113" s="25" t="n">
        <x:v>2</x:v>
      </x:c>
      <x:c r="I113" s="25" t="str">
        <x:v>普通</x:v>
      </x:c>
      <x:c r="J113" s="25" t="str">
        <x:v>S02</x:v>
      </x:c>
      <x:c r="K113" s="25" t="str">
        <x:v>46-88</x:v>
      </x:c>
      <x:c r="L113" s="25" t="n">
        <x:v>92000</x:v>
      </x:c>
      <x:c r="M113" s="25" t="n">
        <x:v>5</x:v>
      </x:c>
      <x:c r="N113" s="25" t="str">
        <x:v>否</x:v>
      </x:c>
      <x:c r="O113" s="25" t="n">
        <x:v>0</x:v>
      </x:c>
      <x:c r="P113" s="25" t="n">
        <x:v>0</x:v>
      </x:c>
      <x:c r="Q113" s="25" t="n">
        <x:v>0</x:v>
      </x:c>
      <x:c r="R113" s="25" t="str">
        <x:v>洗练绑定装备；项链幸运绑定人物永久进度；武器幸运成本忽略</x:v>
      </x:c>
    </x:row>
    <x:row r="114">
      <x:c r="A114" s="25" t="str">
        <x:v>C02-X</x:v>
      </x:c>
      <x:c r="B114" s="25" t="str">
        <x:v>宁姆格福</x:v>
      </x:c>
      <x:c r="C114" s="25" t="str">
        <x:v>极端压力</x:v>
      </x:c>
      <x:c r="D114" s="25" t="n">
        <x:v>5</x:v>
      </x:c>
      <x:c r="E114" s="25" t="n">
        <x:v>78</x:v>
      </x:c>
      <x:c r="F114" s="25" t="str">
        <x:v>百指腕甲</x:v>
      </x:c>
      <x:c r="G114" s="25" t="str">
        <x:v>手镯</x:v>
      </x:c>
      <x:c r="H114" s="25" t="n">
        <x:v>2</x:v>
      </x:c>
      <x:c r="I114" s="25" t="str">
        <x:v>普通</x:v>
      </x:c>
      <x:c r="J114" s="25" t="str">
        <x:v>S02</x:v>
      </x:c>
      <x:c r="K114" s="25" t="str">
        <x:v>69-132</x:v>
      </x:c>
      <x:c r="L114" s="25" t="n">
        <x:v>53200</x:v>
      </x:c>
      <x:c r="M114" s="25" t="n">
        <x:v>4</x:v>
      </x:c>
      <x:c r="N114" s="25" t="str">
        <x:v>否</x:v>
      </x:c>
      <x:c r="O114" s="25" t="n">
        <x:v>0</x:v>
      </x:c>
      <x:c r="P114" s="25" t="n">
        <x:v>0</x:v>
      </x:c>
      <x:c r="Q114" s="25" t="n">
        <x:v>0</x:v>
      </x:c>
      <x:c r="R114" s="25" t="str">
        <x:v>洗练绑定装备；项链幸运绑定人物永久进度；武器幸运成本忽略</x:v>
      </x:c>
    </x:row>
    <x:row r="115">
      <x:c r="A115" s="25" t="str">
        <x:v>C02-X</x:v>
      </x:c>
      <x:c r="B115" s="25" t="str">
        <x:v>宁姆格福</x:v>
      </x:c>
      <x:c r="C115" s="25" t="str">
        <x:v>极端压力</x:v>
      </x:c>
      <x:c r="D115" s="25" t="n">
        <x:v>6</x:v>
      </x:c>
      <x:c r="E115" s="25" t="n">
        <x:v>68</x:v>
      </x:c>
      <x:c r="F115" s="25" t="str">
        <x:v>百指接肢腕</x:v>
      </x:c>
      <x:c r="G115" s="25" t="str">
        <x:v>手镯</x:v>
      </x:c>
      <x:c r="H115" s="25" t="n">
        <x:v>2</x:v>
      </x:c>
      <x:c r="I115" s="25" t="str">
        <x:v>装备合成</x:v>
      </x:c>
      <x:c r="J115" s="25" t="str">
        <x:v>S07</x:v>
      </x:c>
      <x:c r="K115" s="25" t="str">
        <x:v>110-210</x:v>
      </x:c>
      <x:c r="L115" s="25" t="n">
        <x:v>85000</x:v>
      </x:c>
      <x:c r="M115" s="25" t="n">
        <x:v>5</x:v>
      </x:c>
      <x:c r="N115" s="25" t="str">
        <x:v>否</x:v>
      </x:c>
      <x:c r="O115" s="25" t="n">
        <x:v>0</x:v>
      </x:c>
      <x:c r="P115" s="25" t="n">
        <x:v>0</x:v>
      </x:c>
      <x:c r="Q115" s="25" t="n">
        <x:v>0</x:v>
      </x:c>
      <x:c r="R115" s="25" t="str">
        <x:v>洗练绑定装备；项链幸运绑定人物永久进度；武器幸运成本忽略</x:v>
      </x:c>
    </x:row>
    <x:row r="116">
      <x:c r="A116" s="25" t="str">
        <x:v>C02-X</x:v>
      </x:c>
      <x:c r="B116" s="25" t="str">
        <x:v>宁姆格福</x:v>
      </x:c>
      <x:c r="C116" s="25" t="str">
        <x:v>极端压力</x:v>
      </x:c>
      <x:c r="D116" s="25" t="n">
        <x:v>7</x:v>
      </x:c>
      <x:c r="E116" s="25" t="n">
        <x:v>80</x:v>
      </x:c>
      <x:c r="F116" s="25" t="str">
        <x:v>禁卫誓戒</x:v>
      </x:c>
      <x:c r="G116" s="25" t="str">
        <x:v>戒指</x:v>
      </x:c>
      <x:c r="H116" s="25" t="n">
        <x:v>2</x:v>
      </x:c>
      <x:c r="I116" s="25" t="str">
        <x:v>普通</x:v>
      </x:c>
      <x:c r="J116" s="25" t="str">
        <x:v>S02</x:v>
      </x:c>
      <x:c r="K116" s="25" t="str">
        <x:v>69-132</x:v>
      </x:c>
      <x:c r="L116" s="25" t="n">
        <x:v>53200</x:v>
      </x:c>
      <x:c r="M116" s="25" t="n">
        <x:v>5</x:v>
      </x:c>
      <x:c r="N116" s="25" t="str">
        <x:v>否</x:v>
      </x:c>
      <x:c r="O116" s="25" t="n">
        <x:v>0</x:v>
      </x:c>
      <x:c r="P116" s="25" t="n">
        <x:v>0</x:v>
      </x:c>
      <x:c r="Q116" s="25" t="n">
        <x:v>0</x:v>
      </x:c>
      <x:c r="R116" s="25" t="str">
        <x:v>洗练绑定装备；项链幸运绑定人物永久进度；武器幸运成本忽略</x:v>
      </x:c>
    </x:row>
    <x:row r="117">
      <x:c r="A117" s="25" t="str">
        <x:v>C02-X</x:v>
      </x:c>
      <x:c r="B117" s="25" t="str">
        <x:v>宁姆格福</x:v>
      </x:c>
      <x:c r="C117" s="25" t="str">
        <x:v>极端压力</x:v>
      </x:c>
      <x:c r="D117" s="25" t="n">
        <x:v>8</x:v>
      </x:c>
      <x:c r="E117" s="25" t="n">
        <x:v>79</x:v>
      </x:c>
      <x:c r="F117" s="25" t="str">
        <x:v>禁卫誓戒</x:v>
      </x:c>
      <x:c r="G117" s="25" t="str">
        <x:v>戒指</x:v>
      </x:c>
      <x:c r="H117" s="25" t="n">
        <x:v>2</x:v>
      </x:c>
      <x:c r="I117" s="25" t="str">
        <x:v>普通</x:v>
      </x:c>
      <x:c r="J117" s="25" t="str">
        <x:v>S02</x:v>
      </x:c>
      <x:c r="K117" s="25" t="str">
        <x:v>69-132</x:v>
      </x:c>
      <x:c r="L117" s="25" t="n">
        <x:v>53200</x:v>
      </x:c>
      <x:c r="M117" s="25" t="n">
        <x:v>7</x:v>
      </x:c>
      <x:c r="N117" s="25" t="str">
        <x:v>是</x:v>
      </x:c>
      <x:c r="O117" s="25" t="n">
        <x:v>0</x:v>
      </x:c>
      <x:c r="P117" s="25" t="n">
        <x:v>0</x:v>
      </x:c>
      <x:c r="Q117" s="25" t="n">
        <x:v>0</x:v>
      </x:c>
      <x:c r="R117" s="25" t="str">
        <x:v>洗练绑定装备；项链幸运绑定人物永久进度；武器幸运成本忽略</x:v>
      </x:c>
    </x:row>
    <x:row r="118">
      <x:c r="A118" s="25" t="str">
        <x:v>C02-X</x:v>
      </x:c>
      <x:c r="B118" s="25" t="str">
        <x:v>宁姆格福</x:v>
      </x:c>
      <x:c r="C118" s="25" t="str">
        <x:v>极端压力</x:v>
      </x:c>
      <x:c r="D118" s="25" t="n">
        <x:v>10</x:v>
      </x:c>
      <x:c r="E118" s="25" t="n">
        <x:v>104</x:v>
      </x:c>
      <x:c r="F118" s="25" t="str">
        <x:v>流寇束带</x:v>
      </x:c>
      <x:c r="G118" s="25" t="str">
        <x:v>腰带</x:v>
      </x:c>
      <x:c r="H118" s="25" t="n">
        <x:v>2</x:v>
      </x:c>
      <x:c r="I118" s="25" t="str">
        <x:v>普通</x:v>
      </x:c>
      <x:c r="J118" s="25" t="str">
        <x:v>S02</x:v>
      </x:c>
      <x:c r="K118" s="25" t="str">
        <x:v>41-79</x:v>
      </x:c>
      <x:c r="L118" s="25" t="n">
        <x:v>69000</x:v>
      </x:c>
      <x:c r="M118" s="25" t="n">
        <x:v>8</x:v>
      </x:c>
      <x:c r="N118" s="25" t="str">
        <x:v>是</x:v>
      </x:c>
      <x:c r="O118" s="25" t="n">
        <x:v>0</x:v>
      </x:c>
      <x:c r="P118" s="25" t="n">
        <x:v>0</x:v>
      </x:c>
      <x:c r="Q118" s="25" t="n">
        <x:v>0</x:v>
      </x:c>
      <x:c r="R118" s="25" t="str">
        <x:v>洗练绑定装备；项链幸运绑定人物永久进度；武器幸运成本忽略</x:v>
      </x:c>
    </x:row>
    <x:row r="119">
      <x:c r="A119" s="25" t="str">
        <x:v>C02-X</x:v>
      </x:c>
      <x:c r="B119" s="25" t="str">
        <x:v>宁姆格福</x:v>
      </x:c>
      <x:c r="C119" s="25" t="str">
        <x:v>极端压力</x:v>
      </x:c>
      <x:c r="D119" s="25" t="n">
        <x:v>11</x:v>
      </x:c>
      <x:c r="E119" s="25" t="n">
        <x:v>105</x:v>
      </x:c>
      <x:c r="F119" s="25" t="str">
        <x:v>失乡战靴</x:v>
      </x:c>
      <x:c r="G119" s="25" t="str">
        <x:v>鞋子</x:v>
      </x:c>
      <x:c r="H119" s="25" t="n">
        <x:v>2</x:v>
      </x:c>
      <x:c r="I119" s="25" t="str">
        <x:v>稀有</x:v>
      </x:c>
      <x:c r="J119" s="25" t="str">
        <x:v>S02</x:v>
      </x:c>
      <x:c r="K119" s="25" t="str">
        <x:v>36-70</x:v>
      </x:c>
      <x:c r="L119" s="25" t="n">
        <x:v>42800</x:v>
      </x:c>
      <x:c r="M119" s="25" t="n">
        <x:v>4</x:v>
      </x:c>
      <x:c r="N119" s="25" t="str">
        <x:v>否</x:v>
      </x:c>
      <x:c r="O119" s="25" t="n">
        <x:v>0</x:v>
      </x:c>
      <x:c r="P119" s="25" t="n">
        <x:v>0</x:v>
      </x:c>
      <x:c r="Q119" s="25" t="n">
        <x:v>0</x:v>
      </x:c>
      <x:c r="R119" s="25" t="str">
        <x:v>洗练绑定装备；项链幸运绑定人物永久进度；武器幸运成本忽略</x:v>
      </x:c>
    </x:row>
    <x:row r="120">
      <x:c r="A120" s="25" t="str">
        <x:v>C02-X</x:v>
      </x:c>
      <x:c r="B120" s="25" t="str">
        <x:v>宁姆格福</x:v>
      </x:c>
      <x:c r="C120" s="25" t="str">
        <x:v>极端压力</x:v>
      </x:c>
      <x:c r="D120" s="25" t="n">
        <x:v>13</x:v>
      </x:c>
      <x:c r="E120" s="25" t="n">
        <x:v>85</x:v>
      </x:c>
      <x:c r="F120" s="25" t="str">
        <x:v>幽灯面巾</x:v>
      </x:c>
      <x:c r="G120" s="25" t="str">
        <x:v>斗笠</x:v>
      </x:c>
      <x:c r="H120" s="25" t="n">
        <x:v>1</x:v>
      </x:c>
      <x:c r="I120" s="25" t="str">
        <x:v>普通</x:v>
      </x:c>
      <x:c r="J120" s="25" t="str">
        <x:v>S02</x:v>
      </x:c>
      <x:c r="K120" s="25" t="str">
        <x:v>21-40</x:v>
      </x:c>
      <x:c r="L120" s="25" t="n">
        <x:v>18800</x:v>
      </x:c>
      <x:c r="M120" s="25" t="n">
        <x:v>0</x:v>
      </x:c>
      <x:c r="N120" s="25" t="str">
        <x:v>否</x:v>
      </x:c>
      <x:c r="O120" s="25" t="n">
        <x:v>0</x:v>
      </x:c>
      <x:c r="P120" s="25" t="n">
        <x:v>0</x:v>
      </x:c>
      <x:c r="Q120" s="25" t="n">
        <x:v>0</x:v>
      </x:c>
      <x:c r="R120" s="25" t="str">
        <x:v>洗练绑定装备；项链幸运绑定人物永久进度；武器幸运成本忽略</x:v>
      </x:c>
    </x:row>
    <x:row r="121">
      <x:c r="A121" s="25" t="str">
        <x:v>C02-X</x:v>
      </x:c>
      <x:c r="B121" s="25" t="str">
        <x:v>宁姆格福</x:v>
      </x:c>
      <x:c r="C121" s="25" t="str">
        <x:v>极端压力</x:v>
      </x:c>
      <x:c r="D121" s="25" t="n">
        <x:v>16</x:v>
      </x:c>
      <x:c r="E121" s="25" t="n">
        <x:v>86</x:v>
      </x:c>
      <x:c r="F121" s="25" t="str">
        <x:v>百骸狮盾</x:v>
      </x:c>
      <x:c r="G121" s="25" t="str">
        <x:v>盾牌</x:v>
      </x:c>
      <x:c r="H121" s="25" t="n">
        <x:v>2</x:v>
      </x:c>
      <x:c r="I121" s="25" t="str">
        <x:v>稀有</x:v>
      </x:c>
      <x:c r="J121" s="25" t="str">
        <x:v>S02</x:v>
      </x:c>
      <x:c r="K121" s="25" t="str">
        <x:v>52-100</x:v>
      </x:c>
      <x:c r="L121" s="25" t="n">
        <x:v>151000</x:v>
      </x:c>
      <x:c r="M121" s="25" t="n">
        <x:v>0</x:v>
      </x:c>
      <x:c r="N121" s="25" t="str">
        <x:v>否</x:v>
      </x:c>
      <x:c r="O121" s="25" t="n">
        <x:v>0</x:v>
      </x:c>
      <x:c r="P121" s="25" t="n">
        <x:v>0</x:v>
      </x:c>
      <x:c r="Q121" s="25" t="n">
        <x:v>0</x:v>
      </x:c>
      <x:c r="R121" s="25" t="str">
        <x:v>洗练绑定装备；项链幸运绑定人物永久进度；武器幸运成本忽略</x:v>
      </x:c>
    </x:row>
    <x:row r="122">
      <x:c r="A122" s="25" t="str">
        <x:v>C02-X</x:v>
      </x:c>
      <x:c r="B122" s="25" t="str">
        <x:v>宁姆格福</x:v>
      </x:c>
      <x:c r="C122" s="25" t="str">
        <x:v>极端压力</x:v>
      </x:c>
      <x:c r="D122" s="25" t="n">
        <x:v>18</x:v>
      </x:c>
      <x:c r="E122" s="25" t="n">
        <x:v>87</x:v>
      </x:c>
      <x:c r="F122" s="25" t="str">
        <x:v>百骸王衣</x:v>
      </x:c>
      <x:c r="G122" s="25" t="str">
        <x:v>时装衣服</x:v>
      </x:c>
      <x:c r="H122" s="25" t="n">
        <x:v>2</x:v>
      </x:c>
      <x:c r="I122" s="25" t="str">
        <x:v>BOSS</x:v>
      </x:c>
      <x:c r="J122" s="25" t="str">
        <x:v>S02</x:v>
      </x:c>
      <x:c r="K122" s="25" t="str">
        <x:v>48-93</x:v>
      </x:c>
      <x:c r="L122" s="25" t="n">
        <x:v>319000</x:v>
      </x:c>
      <x:c r="M122" s="25" t="n">
        <x:v>0</x:v>
      </x:c>
      <x:c r="N122" s="25" t="str">
        <x:v>否</x:v>
      </x:c>
      <x:c r="O122" s="25" t="n">
        <x:v>0</x:v>
      </x:c>
      <x:c r="P122" s="25" t="n">
        <x:v>0</x:v>
      </x:c>
      <x:c r="Q122" s="25" t="n">
        <x:v>0</x:v>
      </x:c>
      <x:c r="R122" s="25" t="str">
        <x:v>洗练绑定装备；项链幸运绑定人物永久进度；武器幸运成本忽略</x:v>
      </x:c>
    </x:row>
    <x:row r="123">
      <x:c r="A123" s="25" t="str">
        <x:v>C02-X</x:v>
      </x:c>
      <x:c r="B123" s="25" t="str">
        <x:v>宁姆格福</x:v>
      </x:c>
      <x:c r="C123" s="25" t="str">
        <x:v>极端压力</x:v>
      </x:c>
      <x:c r="D123" s="25" t="n">
        <x:v>19</x:v>
      </x:c>
      <x:c r="E123" s="25" t="n">
        <x:v>88</x:v>
      </x:c>
      <x:c r="F123" s="25" t="str">
        <x:v>王城断罪刃</x:v>
      </x:c>
      <x:c r="G123" s="25" t="str">
        <x:v>时装武器</x:v>
      </x:c>
      <x:c r="H123" s="25" t="n">
        <x:v>2</x:v>
      </x:c>
      <x:c r="I123" s="25" t="str">
        <x:v>稀有</x:v>
      </x:c>
      <x:c r="J123" s="25" t="str">
        <x:v>S02</x:v>
      </x:c>
      <x:c r="K123" s="25" t="str">
        <x:v>166-320</x:v>
      </x:c>
      <x:c r="L123" s="25" t="n">
        <x:v>60500</x:v>
      </x:c>
      <x:c r="M123" s="25" t="n">
        <x:v>0</x:v>
      </x:c>
      <x:c r="N123" s="25" t="str">
        <x:v>否</x:v>
      </x:c>
      <x:c r="O123" s="25" t="n">
        <x:v>0</x:v>
      </x:c>
      <x:c r="P123" s="25" t="n">
        <x:v>0</x:v>
      </x:c>
      <x:c r="Q123" s="25" t="n">
        <x:v>0</x:v>
      </x:c>
      <x:c r="R123" s="25" t="str">
        <x:v>洗练绑定装备；项链幸运绑定人物永久进度；武器幸运成本忽略</x:v>
      </x:c>
    </x:row>
    <x:row r="124">
      <x:c r="A124" s="25" t="str">
        <x:v>C02-X</x:v>
      </x:c>
      <x:c r="B124" s="25" t="str">
        <x:v>宁姆格福</x:v>
      </x:c>
      <x:c r="C124" s="25" t="str">
        <x:v>极端压力</x:v>
      </x:c>
      <x:c r="D124" s="25" t="n">
        <x:v>20</x:v>
      </x:c>
      <x:c r="E124" s="25" t="n">
        <x:v>40</x:v>
      </x:c>
      <x:c r="F124" s="25" t="str">
        <x:v>英雄余誓</x:v>
      </x:c>
      <x:c r="G124" s="25" t="str">
        <x:v>时装项链</x:v>
      </x:c>
      <x:c r="H124" s="25" t="n">
        <x:v>2</x:v>
      </x:c>
      <x:c r="I124" s="25" t="str">
        <x:v>稀有</x:v>
      </x:c>
      <x:c r="J124" s="25" t="str">
        <x:v>S02</x:v>
      </x:c>
      <x:c r="K124" s="25" t="str">
        <x:v>31-60</x:v>
      </x:c>
      <x:c r="L124" s="25" t="n">
        <x:v>17900</x:v>
      </x:c>
      <x:c r="M124" s="25" t="n">
        <x:v>0</x:v>
      </x:c>
      <x:c r="N124" s="25" t="str">
        <x:v>否</x:v>
      </x:c>
      <x:c r="O124" s="25" t="n">
        <x:v>0</x:v>
      </x:c>
      <x:c r="P124" s="25" t="n">
        <x:v>0</x:v>
      </x:c>
      <x:c r="Q124" s="25" t="n">
        <x:v>0</x:v>
      </x:c>
      <x:c r="R124" s="25" t="str">
        <x:v>洗练绑定装备；项链幸运绑定人物永久进度；武器幸运成本忽略</x:v>
      </x:c>
    </x:row>
    <x:row r="125">
      <x:c r="A125" s="25" t="str">
        <x:v>C02-X</x:v>
      </x:c>
      <x:c r="B125" s="25" t="str">
        <x:v>宁姆格福</x:v>
      </x:c>
      <x:c r="C125" s="25" t="str">
        <x:v>极端压力</x:v>
      </x:c>
      <x:c r="D125" s="25" t="n">
        <x:v>21</x:v>
      </x:c>
      <x:c r="E125" s="25" t="n">
        <x:v>89</x:v>
      </x:c>
      <x:c r="F125" s="25" t="str">
        <x:v>鹰主风冠</x:v>
      </x:c>
      <x:c r="G125" s="25" t="str">
        <x:v>时装头盔</x:v>
      </x:c>
      <x:c r="H125" s="25" t="n">
        <x:v>2</x:v>
      </x:c>
      <x:c r="I125" s="25" t="str">
        <x:v>稀有</x:v>
      </x:c>
      <x:c r="J125" s="25" t="str">
        <x:v>S02</x:v>
      </x:c>
      <x:c r="K125" s="25" t="str">
        <x:v>33-63</x:v>
      </x:c>
      <x:c r="L125" s="25" t="n">
        <x:v>78400</x:v>
      </x:c>
      <x:c r="M125" s="25" t="n">
        <x:v>0</x:v>
      </x:c>
      <x:c r="N125" s="25" t="str">
        <x:v>否</x:v>
      </x:c>
      <x:c r="O125" s="25" t="n">
        <x:v>0</x:v>
      </x:c>
      <x:c r="P125" s="25" t="n">
        <x:v>0</x:v>
      </x:c>
      <x:c r="Q125" s="25" t="n">
        <x:v>0</x:v>
      </x:c>
      <x:c r="R125" s="25" t="str">
        <x:v>洗练绑定装备；项链幸运绑定人物永久进度；武器幸运成本忽略</x:v>
      </x:c>
    </x:row>
    <x:row r="126">
      <x:c r="A126" s="25" t="str">
        <x:v>C02-X</x:v>
      </x:c>
      <x:c r="B126" s="25" t="str">
        <x:v>宁姆格福</x:v>
      </x:c>
      <x:c r="C126" s="25" t="str">
        <x:v>极端压力</x:v>
      </x:c>
      <x:c r="D126" s="25" t="n">
        <x:v>22</x:v>
      </x:c>
      <x:c r="E126" s="25" t="n">
        <x:v>42</x:v>
      </x:c>
      <x:c r="F126" s="25" t="str">
        <x:v>卢恩血镯</x:v>
      </x:c>
      <x:c r="G126" s="25" t="str">
        <x:v>时装手镯</x:v>
      </x:c>
      <x:c r="H126" s="25" t="n">
        <x:v>2</x:v>
      </x:c>
      <x:c r="I126" s="25" t="str">
        <x:v>稀有</x:v>
      </x:c>
      <x:c r="J126" s="25" t="str">
        <x:v>S02</x:v>
      </x:c>
      <x:c r="K126" s="25" t="str">
        <x:v>42-80</x:v>
      </x:c>
      <x:c r="L126" s="25" t="n">
        <x:v>34400</x:v>
      </x:c>
      <x:c r="M126" s="25" t="n">
        <x:v>0</x:v>
      </x:c>
      <x:c r="N126" s="25" t="str">
        <x:v>否</x:v>
      </x:c>
      <x:c r="O126" s="25" t="n">
        <x:v>0</x:v>
      </x:c>
      <x:c r="P126" s="25" t="n">
        <x:v>0</x:v>
      </x:c>
      <x:c r="Q126" s="25" t="n">
        <x:v>0</x:v>
      </x:c>
      <x:c r="R126" s="25" t="str">
        <x:v>洗练绑定装备；项链幸运绑定人物永久进度；武器幸运成本忽略</x:v>
      </x:c>
    </x:row>
    <x:row r="127">
      <x:c r="A127" s="25" t="str">
        <x:v>C02-X</x:v>
      </x:c>
      <x:c r="B127" s="25" t="str">
        <x:v>宁姆格福</x:v>
      </x:c>
      <x:c r="C127" s="25" t="str">
        <x:v>极端压力</x:v>
      </x:c>
      <x:c r="D127" s="25" t="n">
        <x:v>23</x:v>
      </x:c>
      <x:c r="E127" s="25" t="n">
        <x:v>90</x:v>
      </x:c>
      <x:c r="F127" s="25" t="str">
        <x:v>卢恩血镯</x:v>
      </x:c>
      <x:c r="G127" s="25" t="str">
        <x:v>时装手镯</x:v>
      </x:c>
      <x:c r="H127" s="25" t="n">
        <x:v>2</x:v>
      </x:c>
      <x:c r="I127" s="25" t="str">
        <x:v>稀有</x:v>
      </x:c>
      <x:c r="J127" s="25" t="str">
        <x:v>S02</x:v>
      </x:c>
      <x:c r="K127" s="25" t="str">
        <x:v>42-80</x:v>
      </x:c>
      <x:c r="L127" s="25" t="n">
        <x:v>34400</x:v>
      </x:c>
      <x:c r="M127" s="25" t="n">
        <x:v>0</x:v>
      </x:c>
      <x:c r="N127" s="25" t="str">
        <x:v>否</x:v>
      </x:c>
      <x:c r="O127" s="25" t="n">
        <x:v>0</x:v>
      </x:c>
      <x:c r="P127" s="25" t="n">
        <x:v>0</x:v>
      </x:c>
      <x:c r="Q127" s="25" t="n">
        <x:v>0</x:v>
      </x:c>
      <x:c r="R127" s="25" t="str">
        <x:v>洗练绑定装备；项链幸运绑定人物永久进度；武器幸运成本忽略</x:v>
      </x:c>
    </x:row>
    <x:row r="128">
      <x:c r="A128" s="25" t="str">
        <x:v>C02-X</x:v>
      </x:c>
      <x:c r="B128" s="25" t="str">
        <x:v>宁姆格福</x:v>
      </x:c>
      <x:c r="C128" s="25" t="str">
        <x:v>极端压力</x:v>
      </x:c>
      <x:c r="D128" s="25" t="n">
        <x:v>24</x:v>
      </x:c>
      <x:c r="E128" s="25" t="n">
        <x:v>43</x:v>
      </x:c>
      <x:c r="F128" s="25" t="str">
        <x:v>黄金树戒</x:v>
      </x:c>
      <x:c r="G128" s="25" t="str">
        <x:v>时装戒指</x:v>
      </x:c>
      <x:c r="H128" s="25" t="n">
        <x:v>2</x:v>
      </x:c>
      <x:c r="I128" s="25" t="str">
        <x:v>稀有</x:v>
      </x:c>
      <x:c r="J128" s="25" t="str">
        <x:v>S02</x:v>
      </x:c>
      <x:c r="K128" s="25" t="str">
        <x:v>42-80</x:v>
      </x:c>
      <x:c r="L128" s="25" t="n">
        <x:v>34400</x:v>
      </x:c>
      <x:c r="M128" s="25" t="n">
        <x:v>0</x:v>
      </x:c>
      <x:c r="N128" s="25" t="str">
        <x:v>否</x:v>
      </x:c>
      <x:c r="O128" s="25" t="n">
        <x:v>0</x:v>
      </x:c>
      <x:c r="P128" s="25" t="n">
        <x:v>0</x:v>
      </x:c>
      <x:c r="Q128" s="25" t="n">
        <x:v>0</x:v>
      </x:c>
      <x:c r="R128" s="25" t="str">
        <x:v>洗练绑定装备；项链幸运绑定人物永久进度；武器幸运成本忽略</x:v>
      </x:c>
    </x:row>
    <x:row r="129">
      <x:c r="A129" s="25" t="str">
        <x:v>C02-X</x:v>
      </x:c>
      <x:c r="B129" s="25" t="str">
        <x:v>宁姆格福</x:v>
      </x:c>
      <x:c r="C129" s="25" t="str">
        <x:v>极端压力</x:v>
      </x:c>
      <x:c r="D129" s="25" t="n">
        <x:v>25</x:v>
      </x:c>
      <x:c r="E129" s="25" t="n">
        <x:v>91</x:v>
      </x:c>
      <x:c r="F129" s="25" t="str">
        <x:v>黄金树戒</x:v>
      </x:c>
      <x:c r="G129" s="25" t="str">
        <x:v>时装戒指</x:v>
      </x:c>
      <x:c r="H129" s="25" t="n">
        <x:v>2</x:v>
      </x:c>
      <x:c r="I129" s="25" t="str">
        <x:v>稀有</x:v>
      </x:c>
      <x:c r="J129" s="25" t="str">
        <x:v>S02</x:v>
      </x:c>
      <x:c r="K129" s="25" t="str">
        <x:v>42-80</x:v>
      </x:c>
      <x:c r="L129" s="25" t="n">
        <x:v>34400</x:v>
      </x:c>
      <x:c r="M129" s="25" t="n">
        <x:v>0</x:v>
      </x:c>
      <x:c r="N129" s="25" t="str">
        <x:v>否</x:v>
      </x:c>
      <x:c r="O129" s="25" t="n">
        <x:v>0</x:v>
      </x:c>
      <x:c r="P129" s="25" t="n">
        <x:v>0</x:v>
      </x:c>
      <x:c r="Q129" s="25" t="n">
        <x:v>0</x:v>
      </x:c>
      <x:c r="R129" s="25" t="str">
        <x:v>洗练绑定装备；项链幸运绑定人物永久进度；武器幸运成本忽略</x:v>
      </x:c>
    </x:row>
    <x:row r="130">
      <x:c r="A130" s="25" t="str">
        <x:v>C02-X</x:v>
      </x:c>
      <x:c r="B130" s="25" t="str">
        <x:v>宁姆格福</x:v>
      </x:c>
      <x:c r="C130" s="25" t="str">
        <x:v>极端压力</x:v>
      </x:c>
      <x:c r="D130" s="25" t="n">
        <x:v>40</x:v>
      </x:c>
      <x:c r="E130" s="25" t="n">
        <x:v>44</x:v>
      </x:c>
      <x:c r="F130" s="25" t="str">
        <x:v>腐树子鼠</x:v>
      </x:c>
      <x:c r="G130" s="25" t="str">
        <x:v>生肖1</x:v>
      </x:c>
      <x:c r="H130" s="25" t="n">
        <x:v>2</x:v>
      </x:c>
      <x:c r="I130" s="25" t="str">
        <x:v>BOSS</x:v>
      </x:c>
      <x:c r="J130" s="25" t="str">
        <x:v>S02</x:v>
      </x:c>
      <x:c r="K130" s="25" t="str">
        <x:v>29-56</x:v>
      </x:c>
      <x:c r="L130" s="25" t="n">
        <x:v>23600</x:v>
      </x:c>
      <x:c r="M130" s="25" t="n">
        <x:v>0</x:v>
      </x:c>
      <x:c r="N130" s="25" t="str">
        <x:v>否</x:v>
      </x:c>
      <x:c r="O130" s="25" t="n">
        <x:v>0</x:v>
      </x:c>
      <x:c r="P130" s="25" t="n">
        <x:v>0</x:v>
      </x:c>
      <x:c r="Q130" s="25" t="n">
        <x:v>0</x:v>
      </x:c>
      <x:c r="R130" s="25" t="str">
        <x:v>洗练绑定装备；项链幸运绑定人物永久进度；武器幸运成本忽略</x:v>
      </x:c>
    </x:row>
    <x:row r="131">
      <x:c r="A131" s="25" t="str">
        <x:v>C02-X</x:v>
      </x:c>
      <x:c r="B131" s="25" t="str">
        <x:v>宁姆格福</x:v>
      </x:c>
      <x:c r="C131" s="25" t="str">
        <x:v>极端压力</x:v>
      </x:c>
      <x:c r="D131" s="25" t="n">
        <x:v>41</x:v>
      </x:c>
      <x:c r="E131" s="25" t="n">
        <x:v>69</x:v>
      </x:c>
      <x:c r="F131" s="25" t="str">
        <x:v>丑牛·风暴负山</x:v>
      </x:c>
      <x:c r="G131" s="25" t="str">
        <x:v>生肖2</x:v>
      </x:c>
      <x:c r="H131" s="25" t="n">
        <x:v>2</x:v>
      </x:c>
      <x:c r="I131" s="25" t="str">
        <x:v>生肖合成</x:v>
      </x:c>
      <x:c r="J131" s="25" t="str">
        <x:v>S07</x:v>
      </x:c>
      <x:c r="K131" s="25" t="str">
        <x:v>25-49</x:v>
      </x:c>
      <x:c r="L131" s="25" t="n">
        <x:v>64000</x:v>
      </x:c>
      <x:c r="M131" s="25" t="n">
        <x:v>0</x:v>
      </x:c>
      <x:c r="N131" s="25" t="str">
        <x:v>否</x:v>
      </x:c>
      <x:c r="O131" s="25" t="n">
        <x:v>0</x:v>
      </x:c>
      <x:c r="P131" s="25" t="n">
        <x:v>0</x:v>
      </x:c>
      <x:c r="Q131" s="25" t="n">
        <x:v>0</x:v>
      </x:c>
      <x:c r="R131" s="25" t="str">
        <x:v>洗练绑定装备；项链幸运绑定人物永久进度；武器幸运成本忽略</x:v>
      </x:c>
    </x:row>
    <x:row r="132">
      <x:c r="A132" s="25" t="str">
        <x:v>C02-X</x:v>
      </x:c>
      <x:c r="B132" s="25" t="str">
        <x:v>宁姆格福</x:v>
      </x:c>
      <x:c r="C132" s="25" t="str">
        <x:v>极端压力</x:v>
      </x:c>
      <x:c r="D132" s="25" t="n">
        <x:v>42</x:v>
      </x:c>
      <x:c r="E132" s="25" t="n">
        <x:v>66</x:v>
      </x:c>
      <x:c r="F132" s="25" t="str">
        <x:v>长戟寅虎</x:v>
      </x:c>
      <x:c r="G132" s="25" t="str">
        <x:v>生肖3</x:v>
      </x:c>
      <x:c r="H132" s="25" t="n">
        <x:v>2</x:v>
      </x:c>
      <x:c r="I132" s="25" t="str">
        <x:v>BOSS</x:v>
      </x:c>
      <x:c r="J132" s="25" t="str">
        <x:v>S02</x:v>
      </x:c>
      <x:c r="K132" s="25" t="str">
        <x:v>34-65</x:v>
      </x:c>
      <x:c r="L132" s="25" t="n">
        <x:v>32600</x:v>
      </x:c>
      <x:c r="M132" s="25" t="n">
        <x:v>0</x:v>
      </x:c>
      <x:c r="N132" s="25" t="str">
        <x:v>否</x:v>
      </x:c>
      <x:c r="O132" s="25" t="n">
        <x:v>0</x:v>
      </x:c>
      <x:c r="P132" s="25" t="n">
        <x:v>0</x:v>
      </x:c>
      <x:c r="Q132" s="25" t="n">
        <x:v>0</x:v>
      </x:c>
      <x:c r="R132" s="25" t="str">
        <x:v>洗练绑定装备；项链幸运绑定人物永久进度；武器幸运成本忽略</x:v>
      </x:c>
    </x:row>
    <x:row r="133">
      <x:c r="A133" s="25" t="str">
        <x:v>C02-X</x:v>
      </x:c>
      <x:c r="B133" s="25" t="str">
        <x:v>宁姆格福</x:v>
      </x:c>
      <x:c r="C133" s="25" t="str">
        <x:v>极端压力</x:v>
      </x:c>
      <x:c r="D133" s="25" t="n">
        <x:v>43</x:v>
      </x:c>
      <x:c r="E133" s="25" t="n">
        <x:v>92</x:v>
      </x:c>
      <x:c r="F133" s="25" t="str">
        <x:v>无月卯兔</x:v>
      </x:c>
      <x:c r="G133" s="25" t="str">
        <x:v>生肖4</x:v>
      </x:c>
      <x:c r="H133" s="25" t="n">
        <x:v>2</x:v>
      </x:c>
      <x:c r="I133" s="25" t="str">
        <x:v>BOSS</x:v>
      </x:c>
      <x:c r="J133" s="25" t="str">
        <x:v>S02</x:v>
      </x:c>
      <x:c r="K133" s="25" t="str">
        <x:v>34-65</x:v>
      </x:c>
      <x:c r="L133" s="25" t="n">
        <x:v>32600</x:v>
      </x:c>
      <x:c r="M133" s="25" t="n">
        <x:v>0</x:v>
      </x:c>
      <x:c r="N133" s="25" t="str">
        <x:v>否</x:v>
      </x:c>
      <x:c r="O133" s="25" t="n">
        <x:v>0</x:v>
      </x:c>
      <x:c r="P133" s="25" t="n">
        <x:v>0</x:v>
      </x:c>
      <x:c r="Q133" s="25" t="n">
        <x:v>0</x:v>
      </x:c>
      <x:c r="R133" s="25" t="str">
        <x:v>洗练绑定装备；项链幸运绑定人物永久进度；武器幸运成本忽略</x:v>
      </x:c>
    </x:row>
    <x:row r="134">
      <x:c r="A134" s="25" t="str">
        <x:v>C02-X</x:v>
      </x:c>
      <x:c r="B134" s="25" t="str">
        <x:v>宁姆格福</x:v>
      </x:c>
      <x:c r="C134" s="25" t="str">
        <x:v>极端压力</x:v>
      </x:c>
      <x:c r="D134" s="25" t="n">
        <x:v>44</x:v>
      </x:c>
      <x:c r="E134" s="25" t="n">
        <x:v>45</x:v>
      </x:c>
      <x:c r="F134" s="25" t="str">
        <x:v>猎犬辰龙</x:v>
      </x:c>
      <x:c r="G134" s="25" t="str">
        <x:v>生肖5</x:v>
      </x:c>
      <x:c r="H134" s="25" t="n">
        <x:v>2</x:v>
      </x:c>
      <x:c r="I134" s="25" t="str">
        <x:v>稀有</x:v>
      </x:c>
      <x:c r="J134" s="25" t="str">
        <x:v>S02</x:v>
      </x:c>
      <x:c r="K134" s="25" t="str">
        <x:v>33-64</x:v>
      </x:c>
      <x:c r="L134" s="25" t="n">
        <x:v>39100</x:v>
      </x:c>
      <x:c r="M134" s="25" t="n">
        <x:v>0</x:v>
      </x:c>
      <x:c r="N134" s="25" t="str">
        <x:v>否</x:v>
      </x:c>
      <x:c r="O134" s="25" t="n">
        <x:v>0</x:v>
      </x:c>
      <x:c r="P134" s="25" t="n">
        <x:v>0</x:v>
      </x:c>
      <x:c r="Q134" s="25" t="n">
        <x:v>0</x:v>
      </x:c>
      <x:c r="R134" s="25" t="str">
        <x:v>洗练绑定装备；项链幸运绑定人物永久进度；武器幸运成本忽略</x:v>
      </x:c>
    </x:row>
    <x:row r="135">
      <x:c r="A135" s="25" t="str">
        <x:v>C02-X</x:v>
      </x:c>
      <x:c r="B135" s="25" t="str">
        <x:v>宁姆格福</x:v>
      </x:c>
      <x:c r="C135" s="25" t="str">
        <x:v>极端压力</x:v>
      </x:c>
      <x:c r="D135" s="25" t="n">
        <x:v>45</x:v>
      </x:c>
      <x:c r="E135" s="25" t="n">
        <x:v>46</x:v>
      </x:c>
      <x:c r="F135" s="25" t="str">
        <x:v>祖魂巳蛇</x:v>
      </x:c>
      <x:c r="G135" s="25" t="str">
        <x:v>生肖6</x:v>
      </x:c>
      <x:c r="H135" s="25" t="n">
        <x:v>2</x:v>
      </x:c>
      <x:c r="I135" s="25" t="str">
        <x:v>稀有</x:v>
      </x:c>
      <x:c r="J135" s="25" t="str">
        <x:v>S02</x:v>
      </x:c>
      <x:c r="K135" s="25" t="str">
        <x:v>33-64</x:v>
      </x:c>
      <x:c r="L135" s="25" t="n">
        <x:v>39100</x:v>
      </x:c>
      <x:c r="M135" s="25" t="n">
        <x:v>0</x:v>
      </x:c>
      <x:c r="N135" s="25" t="str">
        <x:v>否</x:v>
      </x:c>
      <x:c r="O135" s="25" t="n">
        <x:v>0</x:v>
      </x:c>
      <x:c r="P135" s="25" t="n">
        <x:v>0</x:v>
      </x:c>
      <x:c r="Q135" s="25" t="n">
        <x:v>0</x:v>
      </x:c>
      <x:c r="R135" s="25" t="str">
        <x:v>洗练绑定装备；项链幸运绑定人物永久进度；武器幸运成本忽略</x:v>
      </x:c>
    </x:row>
    <x:row r="136">
      <x:c r="A136" s="25" t="str">
        <x:v>C02-X</x:v>
      </x:c>
      <x:c r="B136" s="25" t="str">
        <x:v>宁姆格福</x:v>
      </x:c>
      <x:c r="C136" s="25" t="str">
        <x:v>极端压力</x:v>
      </x:c>
      <x:c r="D136" s="25" t="n">
        <x:v>46</x:v>
      </x:c>
      <x:c r="E136" s="25" t="n">
        <x:v>93</x:v>
      </x:c>
      <x:c r="F136" s="25" t="str">
        <x:v>死水午马</x:v>
      </x:c>
      <x:c r="G136" s="25" t="str">
        <x:v>生肖7</x:v>
      </x:c>
      <x:c r="H136" s="25" t="n">
        <x:v>2</x:v>
      </x:c>
      <x:c r="I136" s="25" t="str">
        <x:v>BOSS</x:v>
      </x:c>
      <x:c r="J136" s="25" t="str">
        <x:v>S02</x:v>
      </x:c>
      <x:c r="K136" s="25" t="str">
        <x:v>38-74</x:v>
      </x:c>
      <x:c r="L136" s="25" t="n">
        <x:v>45300</x:v>
      </x:c>
      <x:c r="M136" s="25" t="n">
        <x:v>0</x:v>
      </x:c>
      <x:c r="N136" s="25" t="str">
        <x:v>否</x:v>
      </x:c>
      <x:c r="O136" s="25" t="n">
        <x:v>0</x:v>
      </x:c>
      <x:c r="P136" s="25" t="n">
        <x:v>0</x:v>
      </x:c>
      <x:c r="Q136" s="25" t="n">
        <x:v>0</x:v>
      </x:c>
      <x:c r="R136" s="25" t="str">
        <x:v>洗练绑定装备；项链幸运绑定人物永久进度；武器幸运成本忽略</x:v>
      </x:c>
    </x:row>
    <x:row r="137">
      <x:c r="A137" s="25" t="str">
        <x:v>C02-X</x:v>
      </x:c>
      <x:c r="B137" s="25" t="str">
        <x:v>宁姆格福</x:v>
      </x:c>
      <x:c r="C137" s="25" t="str">
        <x:v>极端压力</x:v>
      </x:c>
      <x:c r="D137" s="25" t="n">
        <x:v>47</x:v>
      </x:c>
      <x:c r="E137" s="25" t="n">
        <x:v>67</x:v>
      </x:c>
      <x:c r="F137" s="25" t="str">
        <x:v>葬日未羊</x:v>
      </x:c>
      <x:c r="G137" s="25" t="str">
        <x:v>生肖8</x:v>
      </x:c>
      <x:c r="H137" s="25" t="n">
        <x:v>2</x:v>
      </x:c>
      <x:c r="I137" s="25" t="str">
        <x:v>稀有</x:v>
      </x:c>
      <x:c r="J137" s="25" t="str">
        <x:v>S02</x:v>
      </x:c>
      <x:c r="K137" s="25" t="str">
        <x:v>37-72</x:v>
      </x:c>
      <x:c r="L137" s="25" t="n">
        <x:v>51600</x:v>
      </x:c>
      <x:c r="M137" s="25" t="n">
        <x:v>0</x:v>
      </x:c>
      <x:c r="N137" s="25" t="str">
        <x:v>否</x:v>
      </x:c>
      <x:c r="O137" s="25" t="n">
        <x:v>0</x:v>
      </x:c>
      <x:c r="P137" s="25" t="n">
        <x:v>0</x:v>
      </x:c>
      <x:c r="Q137" s="25" t="n">
        <x:v>0</x:v>
      </x:c>
      <x:c r="R137" s="25" t="str">
        <x:v>洗练绑定装备；项链幸运绑定人物永久进度；武器幸运成本忽略</x:v>
      </x:c>
    </x:row>
    <x:row r="138">
      <x:c r="A138" s="25" t="str">
        <x:v>C02-X</x:v>
      </x:c>
      <x:c r="B138" s="25" t="str">
        <x:v>宁姆格福</x:v>
      </x:c>
      <x:c r="C138" s="25" t="str">
        <x:v>极端压力</x:v>
      </x:c>
      <x:c r="D138" s="25" t="n">
        <x:v>48</x:v>
      </x:c>
      <x:c r="E138" s="25" t="n">
        <x:v>94</x:v>
      </x:c>
      <x:c r="F138" s="25" t="str">
        <x:v>雷冠申猴</x:v>
      </x:c>
      <x:c r="G138" s="25" t="str">
        <x:v>生肖9</x:v>
      </x:c>
      <x:c r="H138" s="25" t="n">
        <x:v>2</x:v>
      </x:c>
      <x:c r="I138" s="25" t="str">
        <x:v>BOSS</x:v>
      </x:c>
      <x:c r="J138" s="25" t="str">
        <x:v>S02</x:v>
      </x:c>
      <x:c r="K138" s="25" t="str">
        <x:v>44-84</x:v>
      </x:c>
      <x:c r="L138" s="25" t="n">
        <x:v>59800</x:v>
      </x:c>
      <x:c r="M138" s="25" t="n">
        <x:v>0</x:v>
      </x:c>
      <x:c r="N138" s="25" t="str">
        <x:v>否</x:v>
      </x:c>
      <x:c r="O138" s="25" t="n">
        <x:v>0</x:v>
      </x:c>
      <x:c r="P138" s="25" t="n">
        <x:v>0</x:v>
      </x:c>
      <x:c r="Q138" s="25" t="n">
        <x:v>0</x:v>
      </x:c>
      <x:c r="R138" s="25" t="str">
        <x:v>洗练绑定装备；项链幸运绑定人物永久进度；武器幸运成本忽略</x:v>
      </x:c>
    </x:row>
    <x:row r="139">
      <x:c r="A139" s="25" t="str">
        <x:v>C02-X</x:v>
      </x:c>
      <x:c r="B139" s="25" t="str">
        <x:v>宁姆格福</x:v>
      </x:c>
      <x:c r="C139" s="25" t="str">
        <x:v>极端压力</x:v>
      </x:c>
      <x:c r="D139" s="25" t="n">
        <x:v>49</x:v>
      </x:c>
      <x:c r="E139" s="25" t="n">
        <x:v>95</x:v>
      </x:c>
      <x:c r="F139" s="25" t="str">
        <x:v>恶兆酉鸡</x:v>
      </x:c>
      <x:c r="G139" s="25" t="str">
        <x:v>生肖10</x:v>
      </x:c>
      <x:c r="H139" s="25" t="n">
        <x:v>2</x:v>
      </x:c>
      <x:c r="I139" s="25" t="str">
        <x:v>BOSS</x:v>
      </x:c>
      <x:c r="J139" s="25" t="str">
        <x:v>S02</x:v>
      </x:c>
      <x:c r="K139" s="25" t="str">
        <x:v>44-84</x:v>
      </x:c>
      <x:c r="L139" s="25" t="n">
        <x:v>59800</x:v>
      </x:c>
      <x:c r="M139" s="25" t="n">
        <x:v>0</x:v>
      </x:c>
      <x:c r="N139" s="25" t="str">
        <x:v>否</x:v>
      </x:c>
      <x:c r="O139" s="25" t="n">
        <x:v>0</x:v>
      </x:c>
      <x:c r="P139" s="25" t="n">
        <x:v>0</x:v>
      </x:c>
      <x:c r="Q139" s="25" t="n">
        <x:v>0</x:v>
      </x:c>
      <x:c r="R139" s="25" t="str">
        <x:v>洗练绑定装备；项链幸运绑定人物永久进度；武器幸运成本忽略</x:v>
      </x:c>
    </x:row>
    <x:row r="140">
      <x:c r="A140" s="25" t="str">
        <x:v>C02-X</x:v>
      </x:c>
      <x:c r="B140" s="25" t="str">
        <x:v>宁姆格福</x:v>
      </x:c>
      <x:c r="C140" s="25" t="str">
        <x:v>极端压力</x:v>
      </x:c>
      <x:c r="D140" s="25" t="n">
        <x:v>50</x:v>
      </x:c>
      <x:c r="E140" s="25" t="n">
        <x:v>96</x:v>
      </x:c>
      <x:c r="F140" s="25" t="str">
        <x:v>失乡戌狗</x:v>
      </x:c>
      <x:c r="G140" s="25" t="str">
        <x:v>生肖11</x:v>
      </x:c>
      <x:c r="H140" s="25" t="n">
        <x:v>2</x:v>
      </x:c>
      <x:c r="I140" s="25" t="str">
        <x:v>BOSS</x:v>
      </x:c>
      <x:c r="J140" s="25" t="str">
        <x:v>S02</x:v>
      </x:c>
      <x:c r="K140" s="25" t="str">
        <x:v>48-93</x:v>
      </x:c>
      <x:c r="L140" s="25" t="n">
        <x:v>79800</x:v>
      </x:c>
      <x:c r="M140" s="25" t="n">
        <x:v>0</x:v>
      </x:c>
      <x:c r="N140" s="25" t="str">
        <x:v>否</x:v>
      </x:c>
      <x:c r="O140" s="25" t="n">
        <x:v>0</x:v>
      </x:c>
      <x:c r="P140" s="25" t="n">
        <x:v>0</x:v>
      </x:c>
      <x:c r="Q140" s="25" t="n">
        <x:v>0</x:v>
      </x:c>
      <x:c r="R140" s="25" t="str">
        <x:v>洗练绑定装备；项链幸运绑定人物永久进度；武器幸运成本忽略</x:v>
      </x:c>
    </x:row>
    <x:row r="141">
      <x:c r="A141" s="25" t="str">
        <x:v>C02-X</x:v>
      </x:c>
      <x:c r="B141" s="25" t="str">
        <x:v>宁姆格福</x:v>
      </x:c>
      <x:c r="C141" s="25" t="str">
        <x:v>极端压力</x:v>
      </x:c>
      <x:c r="D141" s="25" t="n">
        <x:v>51</x:v>
      </x:c>
      <x:c r="E141" s="25" t="n">
        <x:v>97</x:v>
      </x:c>
      <x:c r="F141" s="25" t="str">
        <x:v>接肢亥猪</x:v>
      </x:c>
      <x:c r="G141" s="25" t="str">
        <x:v>生肖12</x:v>
      </x:c>
      <x:c r="H141" s="25" t="n">
        <x:v>2</x:v>
      </x:c>
      <x:c r="I141" s="25" t="str">
        <x:v>守关BOSS</x:v>
      </x:c>
      <x:c r="J141" s="25" t="str">
        <x:v>S02</x:v>
      </x:c>
      <x:c r="K141" s="25" t="str">
        <x:v>55-106</x:v>
      </x:c>
      <x:c r="L141" s="25" t="n">
        <x:v>90800</x:v>
      </x:c>
      <x:c r="M141" s="25" t="n">
        <x:v>0</x:v>
      </x:c>
      <x:c r="N141" s="25" t="str">
        <x:v>否</x:v>
      </x:c>
      <x:c r="O141" s="25" t="n">
        <x:v>0</x:v>
      </x:c>
      <x:c r="P141" s="25" t="n">
        <x:v>0</x:v>
      </x:c>
      <x:c r="Q141" s="25" t="n">
        <x:v>0</x:v>
      </x:c>
      <x:c r="R141" s="25" t="str">
        <x:v>洗练绑定装备；项链幸运绑定人物永久进度；武器幸运成本忽略</x:v>
      </x:c>
    </x:row>
    <x:row r="142">
      <x:c r="A142" s="25" t="str">
        <x:v>C03-E</x:v>
      </x:c>
      <x:c r="B142" s="25" t="str">
        <x:v>宁姆格福西域</x:v>
      </x:c>
      <x:c r="C142" s="25" t="str">
        <x:v>半急速入场</x:v>
      </x:c>
      <x:c r="D142" s="25" t="n">
        <x:v>0</x:v>
      </x:c>
      <x:c r="E142" s="25" t="n">
        <x:v>58</x:v>
      </x:c>
      <x:c r="F142" s="25" t="str">
        <x:v>祖灵皮衣</x:v>
      </x:c>
      <x:c r="G142" s="25" t="str">
        <x:v>衣服</x:v>
      </x:c>
      <x:c r="H142" s="25" t="n">
        <x:v>2</x:v>
      </x:c>
      <x:c r="I142" s="25" t="str">
        <x:v>普通</x:v>
      </x:c>
      <x:c r="J142" s="25" t="str">
        <x:v>S02</x:v>
      </x:c>
      <x:c r="K142" s="25" t="str">
        <x:v>44-84</x:v>
      </x:c>
      <x:c r="L142" s="25" t="n">
        <x:v>138000</x:v>
      </x:c>
      <x:c r="M142" s="25" t="n">
        <x:v>3</x:v>
      </x:c>
      <x:c r="N142" s="25" t="str">
        <x:v>否</x:v>
      </x:c>
      <x:c r="O142" s="25" t="n">
        <x:v>0</x:v>
      </x:c>
      <x:c r="P142" s="25" t="n">
        <x:v>0</x:v>
      </x:c>
      <x:c r="Q142" s="25" t="n">
        <x:v>0</x:v>
      </x:c>
      <x:c r="R142" s="25" t="str">
        <x:v>洗练绑定装备；项链幸运绑定人物永久进度；武器幸运成本忽略</x:v>
      </x:c>
    </x:row>
    <x:row r="143">
      <x:c r="A143" s="25" t="str">
        <x:v>C03-E</x:v>
      </x:c>
      <x:c r="B143" s="25" t="str">
        <x:v>宁姆格福西域</x:v>
      </x:c>
      <x:c r="C143" s="25" t="str">
        <x:v>半急速入场</x:v>
      </x:c>
      <x:c r="D143" s="25" t="n">
        <x:v>1</x:v>
      </x:c>
      <x:c r="E143" s="25" t="n">
        <x:v>57</x:v>
      </x:c>
      <x:c r="F143" s="25" t="str">
        <x:v>神授征服剑</x:v>
      </x:c>
      <x:c r="G143" s="25" t="str">
        <x:v>武器</x:v>
      </x:c>
      <x:c r="H143" s="25" t="n">
        <x:v>2</x:v>
      </x:c>
      <x:c r="I143" s="25" t="str">
        <x:v>制式</x:v>
      </x:c>
      <x:c r="J143" s="25" t="str">
        <x:v>S01</x:v>
      </x:c>
      <x:c r="K143" s="25" t="str">
        <x:v>360-720</x:v>
      </x:c>
      <x:c r="L143" s="25" t="n">
        <x:v>1</x:v>
      </x:c>
      <x:c r="M143" s="25" t="n">
        <x:v>3</x:v>
      </x:c>
      <x:c r="N143" s="25" t="str">
        <x:v>否</x:v>
      </x:c>
      <x:c r="O143" s="25" t="n">
        <x:v>7</x:v>
      </x:c>
      <x:c r="P143" s="25" t="n">
        <x:v>0</x:v>
      </x:c>
      <x:c r="Q143" s="25" t="n">
        <x:v>0</x:v>
      </x:c>
      <x:c r="R143" s="25" t="str">
        <x:v>洗练绑定装备；项链幸运绑定人物永久进度；武器幸运成本忽略</x:v>
      </x:c>
    </x:row>
    <x:row r="144">
      <x:c r="A144" s="25" t="str">
        <x:v>C03-E</x:v>
      </x:c>
      <x:c r="B144" s="25" t="str">
        <x:v>宁姆格福西域</x:v>
      </x:c>
      <x:c r="C144" s="25" t="str">
        <x:v>半急速入场</x:v>
      </x:c>
      <x:c r="D144" s="25" t="n">
        <x:v>2</x:v>
      </x:c>
      <x:c r="E144" s="25" t="n">
        <x:v>61</x:v>
      </x:c>
      <x:c r="F144" s="25" t="str">
        <x:v>半兽战勋</x:v>
      </x:c>
      <x:c r="G144" s="25" t="str">
        <x:v>勋章</x:v>
      </x:c>
      <x:c r="H144" s="25" t="n">
        <x:v>2</x:v>
      </x:c>
      <x:c r="I144" s="25" t="str">
        <x:v>普通</x:v>
      </x:c>
      <x:c r="J144" s="25" t="str">
        <x:v>S02</x:v>
      </x:c>
      <x:c r="K144" s="25" t="str">
        <x:v>40-77</x:v>
      </x:c>
      <x:c r="L144" s="25" t="n">
        <x:v>30300</x:v>
      </x:c>
      <x:c r="M144" s="25" t="n">
        <x:v>0</x:v>
      </x:c>
      <x:c r="N144" s="25" t="str">
        <x:v>否</x:v>
      </x:c>
      <x:c r="O144" s="25" t="n">
        <x:v>0</x:v>
      </x:c>
      <x:c r="P144" s="25" t="n">
        <x:v>0</x:v>
      </x:c>
      <x:c r="Q144" s="25" t="n">
        <x:v>0</x:v>
      </x:c>
      <x:c r="R144" s="25" t="str">
        <x:v>洗练绑定装备；项链幸运绑定人物永久进度；武器幸运成本忽略</x:v>
      </x:c>
    </x:row>
    <x:row r="145">
      <x:c r="A145" s="25" t="str">
        <x:v>C03-E</x:v>
      </x:c>
      <x:c r="B145" s="25" t="str">
        <x:v>宁姆格福西域</x:v>
      </x:c>
      <x:c r="C145" s="25" t="str">
        <x:v>半急速入场</x:v>
      </x:c>
      <x:c r="D145" s="25" t="n">
        <x:v>3</x:v>
      </x:c>
      <x:c r="E145" s="25" t="n">
        <x:v>50</x:v>
      </x:c>
      <x:c r="F145" s="25" t="str">
        <x:v>卢恩骑士项链</x:v>
      </x:c>
      <x:c r="G145" s="25" t="str">
        <x:v>项链</x:v>
      </x:c>
      <x:c r="H145" s="25" t="n">
        <x:v>2</x:v>
      </x:c>
      <x:c r="I145" s="25" t="str">
        <x:v>制式</x:v>
      </x:c>
      <x:c r="J145" s="25" t="str">
        <x:v>S01</x:v>
      </x:c>
      <x:c r="K145" s="25" t="str">
        <x:v>37-73</x:v>
      </x:c>
      <x:c r="L145" s="25" t="n">
        <x:v>9750</x:v>
      </x:c>
      <x:c r="M145" s="25" t="n">
        <x:v>1</x:v>
      </x:c>
      <x:c r="N145" s="25" t="str">
        <x:v>否</x:v>
      </x:c>
      <x:c r="O145" s="25" t="n">
        <x:v>0</x:v>
      </x:c>
      <x:c r="P145" s="25" t="n">
        <x:v>0</x:v>
      </x:c>
      <x:c r="Q145" s="25" t="n">
        <x:v>0</x:v>
      </x:c>
      <x:c r="R145" s="25" t="str">
        <x:v>洗练绑定装备；项链幸运绑定人物永久进度；武器幸运成本忽略</x:v>
      </x:c>
    </x:row>
    <x:row r="146">
      <x:c r="A146" s="25" t="str">
        <x:v>C03-E</x:v>
      </x:c>
      <x:c r="B146" s="25" t="str">
        <x:v>宁姆格福西域</x:v>
      </x:c>
      <x:c r="C146" s="25" t="str">
        <x:v>半急速入场</x:v>
      </x:c>
      <x:c r="D146" s="25" t="n">
        <x:v>4</x:v>
      </x:c>
      <x:c r="E146" s="25" t="n">
        <x:v>49</x:v>
      </x:c>
      <x:c r="F146" s="25" t="str">
        <x:v>圣树先锋战盔</x:v>
      </x:c>
      <x:c r="G146" s="25" t="str">
        <x:v>头盔</x:v>
      </x:c>
      <x:c r="H146" s="25" t="n">
        <x:v>2</x:v>
      </x:c>
      <x:c r="I146" s="25" t="str">
        <x:v>制式</x:v>
      </x:c>
      <x:c r="J146" s="25" t="str">
        <x:v>S01</x:v>
      </x:c>
      <x:c r="K146" s="25" t="str">
        <x:v>24-48</x:v>
      </x:c>
      <x:c r="L146" s="25" t="n">
        <x:v>15000</x:v>
      </x:c>
      <x:c r="M146" s="25" t="n">
        <x:v>5</x:v>
      </x:c>
      <x:c r="N146" s="25" t="str">
        <x:v>否</x:v>
      </x:c>
      <x:c r="O146" s="25" t="n">
        <x:v>0</x:v>
      </x:c>
      <x:c r="P146" s="25" t="n">
        <x:v>0</x:v>
      </x:c>
      <x:c r="Q146" s="25" t="n">
        <x:v>0</x:v>
      </x:c>
      <x:c r="R146" s="25" t="str">
        <x:v>洗练绑定装备；项链幸运绑定人物永久进度；武器幸运成本忽略</x:v>
      </x:c>
    </x:row>
    <x:row r="147">
      <x:c r="A147" s="25" t="str">
        <x:v>C03-E</x:v>
      </x:c>
      <x:c r="B147" s="25" t="str">
        <x:v>宁姆格福西域</x:v>
      </x:c>
      <x:c r="C147" s="25" t="str">
        <x:v>半急速入场</x:v>
      </x:c>
      <x:c r="D147" s="25" t="n">
        <x:v>5</x:v>
      </x:c>
      <x:c r="E147" s="25" t="n">
        <x:v>73</x:v>
      </x:c>
      <x:c r="F147" s="25" t="str">
        <x:v>古龙近卫腕甲</x:v>
      </x:c>
      <x:c r="G147" s="25" t="str">
        <x:v>手镯</x:v>
      </x:c>
      <x:c r="H147" s="25" t="n">
        <x:v>2</x:v>
      </x:c>
      <x:c r="I147" s="25" t="str">
        <x:v>制式</x:v>
      </x:c>
      <x:c r="J147" s="25" t="str">
        <x:v>S01</x:v>
      </x:c>
      <x:c r="K147" s="25" t="str">
        <x:v>51-102</x:v>
      </x:c>
      <x:c r="L147" s="25" t="n">
        <x:v>17000</x:v>
      </x:c>
      <x:c r="M147" s="25" t="n">
        <x:v>1</x:v>
      </x:c>
      <x:c r="N147" s="25" t="str">
        <x:v>否</x:v>
      </x:c>
      <x:c r="O147" s="25" t="n">
        <x:v>0</x:v>
      </x:c>
      <x:c r="P147" s="25" t="n">
        <x:v>0</x:v>
      </x:c>
      <x:c r="Q147" s="25" t="n">
        <x:v>0</x:v>
      </x:c>
      <x:c r="R147" s="25" t="str">
        <x:v>洗练绑定装备；项链幸运绑定人物永久进度；武器幸运成本忽略</x:v>
      </x:c>
    </x:row>
    <x:row r="148">
      <x:c r="A148" s="25" t="str">
        <x:v>C03-E</x:v>
      </x:c>
      <x:c r="B148" s="25" t="str">
        <x:v>宁姆格福西域</x:v>
      </x:c>
      <x:c r="C148" s="25" t="str">
        <x:v>半急速入场</x:v>
      </x:c>
      <x:c r="D148" s="25" t="n">
        <x:v>6</x:v>
      </x:c>
      <x:c r="E148" s="25" t="n">
        <x:v>68</x:v>
      </x:c>
      <x:c r="F148" s="25" t="str">
        <x:v>百指接肢腕</x:v>
      </x:c>
      <x:c r="G148" s="25" t="str">
        <x:v>手镯</x:v>
      </x:c>
      <x:c r="H148" s="25" t="n">
        <x:v>2</x:v>
      </x:c>
      <x:c r="I148" s="25" t="str">
        <x:v>装备合成</x:v>
      </x:c>
      <x:c r="J148" s="25" t="str">
        <x:v>S07</x:v>
      </x:c>
      <x:c r="K148" s="25" t="str">
        <x:v>110-210</x:v>
      </x:c>
      <x:c r="L148" s="25" t="n">
        <x:v>85000</x:v>
      </x:c>
      <x:c r="M148" s="25" t="n">
        <x:v>5</x:v>
      </x:c>
      <x:c r="N148" s="25" t="str">
        <x:v>否</x:v>
      </x:c>
      <x:c r="O148" s="25" t="n">
        <x:v>0</x:v>
      </x:c>
      <x:c r="P148" s="25" t="n">
        <x:v>0</x:v>
      </x:c>
      <x:c r="Q148" s="25" t="n">
        <x:v>0</x:v>
      </x:c>
      <x:c r="R148" s="25" t="str">
        <x:v>洗练绑定装备；项链幸运绑定人物永久进度；武器幸运成本忽略</x:v>
      </x:c>
    </x:row>
    <x:row r="149">
      <x:c r="A149" s="25" t="str">
        <x:v>C03-E</x:v>
      </x:c>
      <x:c r="B149" s="25" t="str">
        <x:v>宁姆格福西域</x:v>
      </x:c>
      <x:c r="C149" s="25" t="str">
        <x:v>半急速入场</x:v>
      </x:c>
      <x:c r="D149" s="25" t="n">
        <x:v>7</x:v>
      </x:c>
      <x:c r="E149" s="25" t="n">
        <x:v>75</x:v>
      </x:c>
      <x:c r="F149" s="25" t="str">
        <x:v>归乡弩戒</x:v>
      </x:c>
      <x:c r="G149" s="25" t="str">
        <x:v>戒指</x:v>
      </x:c>
      <x:c r="H149" s="25" t="n">
        <x:v>2</x:v>
      </x:c>
      <x:c r="I149" s="25" t="str">
        <x:v>普通</x:v>
      </x:c>
      <x:c r="J149" s="25" t="str">
        <x:v>S02</x:v>
      </x:c>
      <x:c r="K149" s="25" t="str">
        <x:v>41-79</x:v>
      </x:c>
      <x:c r="L149" s="25" t="n">
        <x:v>15700</x:v>
      </x:c>
      <x:c r="M149" s="25" t="n">
        <x:v>3</x:v>
      </x:c>
      <x:c r="N149" s="25" t="str">
        <x:v>否</x:v>
      </x:c>
      <x:c r="O149" s="25" t="n">
        <x:v>0</x:v>
      </x:c>
      <x:c r="P149" s="25" t="n">
        <x:v>0</x:v>
      </x:c>
      <x:c r="Q149" s="25" t="n">
        <x:v>0</x:v>
      </x:c>
      <x:c r="R149" s="25" t="str">
        <x:v>洗练绑定装备；项链幸运绑定人物永久进度；武器幸运成本忽略</x:v>
      </x:c>
    </x:row>
    <x:row r="150">
      <x:c r="A150" s="25" t="str">
        <x:v>C03-E</x:v>
      </x:c>
      <x:c r="B150" s="25" t="str">
        <x:v>宁姆格福西域</x:v>
      </x:c>
      <x:c r="C150" s="25" t="str">
        <x:v>半急速入场</x:v>
      </x:c>
      <x:c r="D150" s="25" t="n">
        <x:v>8</x:v>
      </x:c>
      <x:c r="E150" s="25" t="n">
        <x:v>54</x:v>
      </x:c>
      <x:c r="F150" s="25" t="str">
        <x:v>潮归秘戒</x:v>
      </x:c>
      <x:c r="G150" s="25" t="str">
        <x:v>戒指</x:v>
      </x:c>
      <x:c r="H150" s="25" t="n">
        <x:v>1</x:v>
      </x:c>
      <x:c r="I150" s="25" t="str">
        <x:v>装备合成</x:v>
      </x:c>
      <x:c r="J150" s="25" t="str">
        <x:v>S07</x:v>
      </x:c>
      <x:c r="K150" s="25" t="str">
        <x:v>50-96</x:v>
      </x:c>
      <x:c r="L150" s="25" t="n">
        <x:v>39000</x:v>
      </x:c>
      <x:c r="M150" s="25" t="n">
        <x:v>4</x:v>
      </x:c>
      <x:c r="N150" s="25" t="str">
        <x:v>否</x:v>
      </x:c>
      <x:c r="O150" s="25" t="n">
        <x:v>0</x:v>
      </x:c>
      <x:c r="P150" s="25" t="n">
        <x:v>0</x:v>
      </x:c>
      <x:c r="Q150" s="25" t="n">
        <x:v>0</x:v>
      </x:c>
      <x:c r="R150" s="25" t="str">
        <x:v>洗练绑定装备；项链幸运绑定人物永久进度；武器幸运成本忽略</x:v>
      </x:c>
    </x:row>
    <x:row r="151">
      <x:c r="A151" s="25" t="str">
        <x:v>C03-E</x:v>
      </x:c>
      <x:c r="B151" s="25" t="str">
        <x:v>宁姆格福西域</x:v>
      </x:c>
      <x:c r="C151" s="25" t="str">
        <x:v>半急速入场</x:v>
      </x:c>
      <x:c r="D151" s="25" t="n">
        <x:v>10</x:v>
      </x:c>
      <x:c r="E151" s="25" t="n">
        <x:v>36</x:v>
      </x:c>
      <x:c r="F151" s="25" t="str">
        <x:v>黄金戍卫腰带</x:v>
      </x:c>
      <x:c r="G151" s="25" t="str">
        <x:v>腰带</x:v>
      </x:c>
      <x:c r="H151" s="25" t="n">
        <x:v>2</x:v>
      </x:c>
      <x:c r="I151" s="25" t="str">
        <x:v>制式</x:v>
      </x:c>
      <x:c r="J151" s="25" t="str">
        <x:v>S01</x:v>
      </x:c>
      <x:c r="K151" s="25" t="str">
        <x:v>22-44</x:v>
      </x:c>
      <x:c r="L151" s="25" t="n">
        <x:v>13800</x:v>
      </x:c>
      <x:c r="M151" s="25" t="n">
        <x:v>4</x:v>
      </x:c>
      <x:c r="N151" s="25" t="str">
        <x:v>否</x:v>
      </x:c>
      <x:c r="O151" s="25" t="n">
        <x:v>0</x:v>
      </x:c>
      <x:c r="P151" s="25" t="n">
        <x:v>0</x:v>
      </x:c>
      <x:c r="Q151" s="25" t="n">
        <x:v>0</x:v>
      </x:c>
      <x:c r="R151" s="25" t="str">
        <x:v>洗练绑定装备；项链幸运绑定人物永久进度；武器幸运成本忽略</x:v>
      </x:c>
    </x:row>
    <x:row r="152">
      <x:c r="A152" s="25" t="str">
        <x:v>C03-E</x:v>
      </x:c>
      <x:c r="B152" s="25" t="str">
        <x:v>宁姆格福西域</x:v>
      </x:c>
      <x:c r="C152" s="25" t="str">
        <x:v>半急速入场</x:v>
      </x:c>
      <x:c r="D152" s="25" t="n">
        <x:v>11</x:v>
      </x:c>
      <x:c r="E152" s="25" t="n">
        <x:v>76</x:v>
      </x:c>
      <x:c r="F152" s="25" t="str">
        <x:v>神授征服战靴</x:v>
      </x:c>
      <x:c r="G152" s="25" t="str">
        <x:v>鞋子</x:v>
      </x:c>
      <x:c r="H152" s="25" t="n">
        <x:v>2</x:v>
      </x:c>
      <x:c r="I152" s="25" t="str">
        <x:v>制式</x:v>
      </x:c>
      <x:c r="J152" s="25" t="str">
        <x:v>S01</x:v>
      </x:c>
      <x:c r="K152" s="25" t="str">
        <x:v>36-72</x:v>
      </x:c>
      <x:c r="L152" s="25" t="n">
        <x:v>22500</x:v>
      </x:c>
      <x:c r="M152" s="25" t="n">
        <x:v>4</x:v>
      </x:c>
      <x:c r="N152" s="25" t="str">
        <x:v>否</x:v>
      </x:c>
      <x:c r="O152" s="25" t="n">
        <x:v>0</x:v>
      </x:c>
      <x:c r="P152" s="25" t="n">
        <x:v>0</x:v>
      </x:c>
      <x:c r="Q152" s="25" t="n">
        <x:v>0</x:v>
      </x:c>
      <x:c r="R152" s="25" t="str">
        <x:v>洗练绑定装备；项链幸运绑定人物永久进度；武器幸运成本忽略</x:v>
      </x:c>
    </x:row>
    <x:row r="153">
      <x:c r="A153" s="25" t="str">
        <x:v>C03-E</x:v>
      </x:c>
      <x:c r="B153" s="25" t="str">
        <x:v>宁姆格福西域</x:v>
      </x:c>
      <x:c r="C153" s="25" t="str">
        <x:v>半急速入场</x:v>
      </x:c>
      <x:c r="D153" s="25" t="n">
        <x:v>13</x:v>
      </x:c>
      <x:c r="E153" s="25" t="n">
        <x:v>12</x:v>
      </x:c>
      <x:c r="F153" s="25" t="str">
        <x:v>石蜥面巾</x:v>
      </x:c>
      <x:c r="G153" s="25" t="str">
        <x:v>斗笠</x:v>
      </x:c>
      <x:c r="H153" s="25" t="n">
        <x:v>1</x:v>
      </x:c>
      <x:c r="I153" s="25" t="str">
        <x:v>普通</x:v>
      </x:c>
      <x:c r="J153" s="25" t="str">
        <x:v>S02</x:v>
      </x:c>
      <x:c r="K153" s="25" t="str">
        <x:v>12-24</x:v>
      </x:c>
      <x:c r="L153" s="25" t="n">
        <x:v>10000</x:v>
      </x:c>
      <x:c r="M153" s="25" t="n">
        <x:v>0</x:v>
      </x:c>
      <x:c r="N153" s="25" t="str">
        <x:v>否</x:v>
      </x:c>
      <x:c r="O153" s="25" t="n">
        <x:v>0</x:v>
      </x:c>
      <x:c r="P153" s="25" t="n">
        <x:v>0</x:v>
      </x:c>
      <x:c r="Q153" s="25" t="n">
        <x:v>0</x:v>
      </x:c>
      <x:c r="R153" s="25" t="str">
        <x:v>洗练绑定装备；项链幸运绑定人物永久进度；武器幸运成本忽略</x:v>
      </x:c>
    </x:row>
    <x:row r="154">
      <x:c r="A154" s="25" t="str">
        <x:v>C03-E</x:v>
      </x:c>
      <x:c r="B154" s="25" t="str">
        <x:v>宁姆格福西域</x:v>
      </x:c>
      <x:c r="C154" s="25" t="str">
        <x:v>半急速入场</x:v>
      </x:c>
      <x:c r="D154" s="25" t="n">
        <x:v>16</x:v>
      </x:c>
      <x:c r="E154" s="25" t="n">
        <x:v>63</x:v>
      </x:c>
      <x:c r="F154" s="25" t="str">
        <x:v>毒花巨盾</x:v>
      </x:c>
      <x:c r="G154" s="25" t="str">
        <x:v>盾牌</x:v>
      </x:c>
      <x:c r="H154" s="25" t="n">
        <x:v>2</x:v>
      </x:c>
      <x:c r="I154" s="25" t="str">
        <x:v>普通</x:v>
      </x:c>
      <x:c r="J154" s="25" t="str">
        <x:v>S02</x:v>
      </x:c>
      <x:c r="K154" s="25" t="str">
        <x:v>36-70</x:v>
      </x:c>
      <x:c r="L154" s="25" t="n">
        <x:v>75600</x:v>
      </x:c>
      <x:c r="M154" s="25" t="n">
        <x:v>0</x:v>
      </x:c>
      <x:c r="N154" s="25" t="str">
        <x:v>否</x:v>
      </x:c>
      <x:c r="O154" s="25" t="n">
        <x:v>0</x:v>
      </x:c>
      <x:c r="P154" s="25" t="n">
        <x:v>0</x:v>
      </x:c>
      <x:c r="Q154" s="25" t="n">
        <x:v>0</x:v>
      </x:c>
      <x:c r="R154" s="25" t="str">
        <x:v>洗练绑定装备；项链幸运绑定人物永久进度；武器幸运成本忽略</x:v>
      </x:c>
    </x:row>
    <x:row r="155">
      <x:c r="A155" s="25" t="str">
        <x:v>C03-E</x:v>
      </x:c>
      <x:c r="B155" s="25" t="str">
        <x:v>宁姆格福西域</x:v>
      </x:c>
      <x:c r="C155" s="25" t="str">
        <x:v>半急速入场</x:v>
      </x:c>
      <x:c r="D155" s="25" t="n">
        <x:v>18</x:v>
      </x:c>
      <x:c r="E155" s="25" t="n">
        <x:v>26</x:v>
      </x:c>
      <x:c r="F155" s="25" t="str">
        <x:v>无冠王衣</x:v>
      </x:c>
      <x:c r="G155" s="25" t="str">
        <x:v>时装衣服</x:v>
      </x:c>
      <x:c r="H155" s="25" t="n">
        <x:v>1</x:v>
      </x:c>
      <x:c r="I155" s="25" t="str">
        <x:v>守关BOSS</x:v>
      </x:c>
      <x:c r="J155" s="25" t="str">
        <x:v>S02</x:v>
      </x:c>
      <x:c r="K155" s="25" t="str">
        <x:v>28-53</x:v>
      </x:c>
      <x:c r="L155" s="25" t="n">
        <x:v>74300</x:v>
      </x:c>
      <x:c r="M155" s="25" t="n">
        <x:v>0</x:v>
      </x:c>
      <x:c r="N155" s="25" t="str">
        <x:v>否</x:v>
      </x:c>
      <x:c r="O155" s="25" t="n">
        <x:v>0</x:v>
      </x:c>
      <x:c r="P155" s="25" t="n">
        <x:v>0</x:v>
      </x:c>
      <x:c r="Q155" s="25" t="n">
        <x:v>0</x:v>
      </x:c>
      <x:c r="R155" s="25" t="str">
        <x:v>洗练绑定装备；项链幸运绑定人物永久进度；武器幸运成本忽略</x:v>
      </x:c>
    </x:row>
    <x:row r="156">
      <x:c r="A156" s="25" t="str">
        <x:v>C03-E</x:v>
      </x:c>
      <x:c r="B156" s="25" t="str">
        <x:v>宁姆格福西域</x:v>
      </x:c>
      <x:c r="C156" s="25" t="str">
        <x:v>半急速入场</x:v>
      </x:c>
      <x:c r="D156" s="25" t="n">
        <x:v>19</x:v>
      </x:c>
      <x:c r="E156" s="25" t="n">
        <x:v>64</x:v>
      </x:c>
      <x:c r="F156" s="25" t="str">
        <x:v>百夫熔戟</x:v>
      </x:c>
      <x:c r="G156" s="25" t="str">
        <x:v>时装武器</x:v>
      </x:c>
      <x:c r="H156" s="25" t="n">
        <x:v>2</x:v>
      </x:c>
      <x:c r="I156" s="25" t="str">
        <x:v>稀有</x:v>
      </x:c>
      <x:c r="J156" s="25" t="str">
        <x:v>S02</x:v>
      </x:c>
      <x:c r="K156" s="25" t="str">
        <x:v>150-288</x:v>
      </x:c>
      <x:c r="L156" s="25" t="n">
        <x:v>45400</x:v>
      </x:c>
      <x:c r="M156" s="25" t="n">
        <x:v>0</x:v>
      </x:c>
      <x:c r="N156" s="25" t="str">
        <x:v>否</x:v>
      </x:c>
      <x:c r="O156" s="25" t="n">
        <x:v>0</x:v>
      </x:c>
      <x:c r="P156" s="25" t="n">
        <x:v>0</x:v>
      </x:c>
      <x:c r="Q156" s="25" t="n">
        <x:v>0</x:v>
      </x:c>
      <x:c r="R156" s="25" t="str">
        <x:v>洗练绑定装备；项链幸运绑定人物永久进度；武器幸运成本忽略</x:v>
      </x:c>
    </x:row>
    <x:row r="157">
      <x:c r="A157" s="25" t="str">
        <x:v>C03-E</x:v>
      </x:c>
      <x:c r="B157" s="25" t="str">
        <x:v>宁姆格福西域</x:v>
      </x:c>
      <x:c r="C157" s="25" t="str">
        <x:v>半急速入场</x:v>
      </x:c>
      <x:c r="D157" s="25" t="n">
        <x:v>20</x:v>
      </x:c>
      <x:c r="E157" s="25" t="n">
        <x:v>40</x:v>
      </x:c>
      <x:c r="F157" s="25" t="str">
        <x:v>英雄余誓</x:v>
      </x:c>
      <x:c r="G157" s="25" t="str">
        <x:v>时装项链</x:v>
      </x:c>
      <x:c r="H157" s="25" t="n">
        <x:v>2</x:v>
      </x:c>
      <x:c r="I157" s="25" t="str">
        <x:v>稀有</x:v>
      </x:c>
      <x:c r="J157" s="25" t="str">
        <x:v>S02</x:v>
      </x:c>
      <x:c r="K157" s="25" t="str">
        <x:v>31-60</x:v>
      </x:c>
      <x:c r="L157" s="25" t="n">
        <x:v>17900</x:v>
      </x:c>
      <x:c r="M157" s="25" t="n">
        <x:v>0</x:v>
      </x:c>
      <x:c r="N157" s="25" t="str">
        <x:v>否</x:v>
      </x:c>
      <x:c r="O157" s="25" t="n">
        <x:v>0</x:v>
      </x:c>
      <x:c r="P157" s="25" t="n">
        <x:v>0</x:v>
      </x:c>
      <x:c r="Q157" s="25" t="n">
        <x:v>0</x:v>
      </x:c>
      <x:c r="R157" s="25" t="str">
        <x:v>洗练绑定装备；项链幸运绑定人物永久进度；武器幸运成本忽略</x:v>
      </x:c>
    </x:row>
    <x:row r="158">
      <x:c r="A158" s="25" t="str">
        <x:v>C03-E</x:v>
      </x:c>
      <x:c r="B158" s="25" t="str">
        <x:v>宁姆格福西域</x:v>
      </x:c>
      <x:c r="C158" s="25" t="str">
        <x:v>半急速入场</x:v>
      </x:c>
      <x:c r="D158" s="25" t="n">
        <x:v>21</x:v>
      </x:c>
      <x:c r="E158" s="25" t="n">
        <x:v>41</x:v>
      </x:c>
      <x:c r="F158" s="25" t="str">
        <x:v>初火兜鍪</x:v>
      </x:c>
      <x:c r="G158" s="25" t="str">
        <x:v>时装头盔</x:v>
      </x:c>
      <x:c r="H158" s="25" t="n">
        <x:v>2</x:v>
      </x:c>
      <x:c r="I158" s="25" t="str">
        <x:v>稀有</x:v>
      </x:c>
      <x:c r="J158" s="25" t="str">
        <x:v>S02</x:v>
      </x:c>
      <x:c r="K158" s="25" t="str">
        <x:v>22-42</x:v>
      </x:c>
      <x:c r="L158" s="25" t="n">
        <x:v>30900</x:v>
      </x:c>
      <x:c r="M158" s="25" t="n">
        <x:v>0</x:v>
      </x:c>
      <x:c r="N158" s="25" t="str">
        <x:v>否</x:v>
      </x:c>
      <x:c r="O158" s="25" t="n">
        <x:v>0</x:v>
      </x:c>
      <x:c r="P158" s="25" t="n">
        <x:v>0</x:v>
      </x:c>
      <x:c r="Q158" s="25" t="n">
        <x:v>0</x:v>
      </x:c>
      <x:c r="R158" s="25" t="str">
        <x:v>洗练绑定装备；项链幸运绑定人物永久进度；武器幸运成本忽略</x:v>
      </x:c>
    </x:row>
    <x:row r="159">
      <x:c r="A159" s="25" t="str">
        <x:v>C03-E</x:v>
      </x:c>
      <x:c r="B159" s="25" t="str">
        <x:v>宁姆格福西域</x:v>
      </x:c>
      <x:c r="C159" s="25" t="str">
        <x:v>半急速入场</x:v>
      </x:c>
      <x:c r="D159" s="25" t="n">
        <x:v>22</x:v>
      </x:c>
      <x:c r="E159" s="25" t="n">
        <x:v>42</x:v>
      </x:c>
      <x:c r="F159" s="25" t="str">
        <x:v>卢恩血镯</x:v>
      </x:c>
      <x:c r="G159" s="25" t="str">
        <x:v>时装手镯</x:v>
      </x:c>
      <x:c r="H159" s="25" t="n">
        <x:v>2</x:v>
      </x:c>
      <x:c r="I159" s="25" t="str">
        <x:v>稀有</x:v>
      </x:c>
      <x:c r="J159" s="25" t="str">
        <x:v>S02</x:v>
      </x:c>
      <x:c r="K159" s="25" t="str">
        <x:v>42-80</x:v>
      </x:c>
      <x:c r="L159" s="25" t="n">
        <x:v>34400</x:v>
      </x:c>
      <x:c r="M159" s="25" t="n">
        <x:v>0</x:v>
      </x:c>
      <x:c r="N159" s="25" t="str">
        <x:v>否</x:v>
      </x:c>
      <x:c r="O159" s="25" t="n">
        <x:v>0</x:v>
      </x:c>
      <x:c r="P159" s="25" t="n">
        <x:v>0</x:v>
      </x:c>
      <x:c r="Q159" s="25" t="n">
        <x:v>0</x:v>
      </x:c>
      <x:c r="R159" s="25" t="str">
        <x:v>洗练绑定装备；项链幸运绑定人物永久进度；武器幸运成本忽略</x:v>
      </x:c>
    </x:row>
    <x:row r="160">
      <x:c r="A160" s="25" t="str">
        <x:v>C03-E</x:v>
      </x:c>
      <x:c r="B160" s="25" t="str">
        <x:v>宁姆格福西域</x:v>
      </x:c>
      <x:c r="C160" s="25" t="str">
        <x:v>半急速入场</x:v>
      </x:c>
      <x:c r="D160" s="25" t="n">
        <x:v>24</x:v>
      </x:c>
      <x:c r="E160" s="25" t="n">
        <x:v>43</x:v>
      </x:c>
      <x:c r="F160" s="25" t="str">
        <x:v>黄金树戒</x:v>
      </x:c>
      <x:c r="G160" s="25" t="str">
        <x:v>时装戒指</x:v>
      </x:c>
      <x:c r="H160" s="25" t="n">
        <x:v>2</x:v>
      </x:c>
      <x:c r="I160" s="25" t="str">
        <x:v>稀有</x:v>
      </x:c>
      <x:c r="J160" s="25" t="str">
        <x:v>S02</x:v>
      </x:c>
      <x:c r="K160" s="25" t="str">
        <x:v>42-80</x:v>
      </x:c>
      <x:c r="L160" s="25" t="n">
        <x:v>34400</x:v>
      </x:c>
      <x:c r="M160" s="25" t="n">
        <x:v>0</x:v>
      </x:c>
      <x:c r="N160" s="25" t="str">
        <x:v>否</x:v>
      </x:c>
      <x:c r="O160" s="25" t="n">
        <x:v>0</x:v>
      </x:c>
      <x:c r="P160" s="25" t="n">
        <x:v>0</x:v>
      </x:c>
      <x:c r="Q160" s="25" t="n">
        <x:v>0</x:v>
      </x:c>
      <x:c r="R160" s="25" t="str">
        <x:v>洗练绑定装备；项链幸运绑定人物永久进度；武器幸运成本忽略</x:v>
      </x:c>
    </x:row>
    <x:row r="161">
      <x:c r="A161" s="25" t="str">
        <x:v>C03-E</x:v>
      </x:c>
      <x:c r="B161" s="25" t="str">
        <x:v>宁姆格福西域</x:v>
      </x:c>
      <x:c r="C161" s="25" t="str">
        <x:v>半急速入场</x:v>
      </x:c>
      <x:c r="D161" s="25" t="n">
        <x:v>40</x:v>
      </x:c>
      <x:c r="E161" s="25" t="n">
        <x:v>44</x:v>
      </x:c>
      <x:c r="F161" s="25" t="str">
        <x:v>腐树子鼠</x:v>
      </x:c>
      <x:c r="G161" s="25" t="str">
        <x:v>生肖1</x:v>
      </x:c>
      <x:c r="H161" s="25" t="n">
        <x:v>2</x:v>
      </x:c>
      <x:c r="I161" s="25" t="str">
        <x:v>BOSS</x:v>
      </x:c>
      <x:c r="J161" s="25" t="str">
        <x:v>S02</x:v>
      </x:c>
      <x:c r="K161" s="25" t="str">
        <x:v>29-56</x:v>
      </x:c>
      <x:c r="L161" s="25" t="n">
        <x:v>23600</x:v>
      </x:c>
      <x:c r="M161" s="25" t="n">
        <x:v>0</x:v>
      </x:c>
      <x:c r="N161" s="25" t="str">
        <x:v>否</x:v>
      </x:c>
      <x:c r="O161" s="25" t="n">
        <x:v>0</x:v>
      </x:c>
      <x:c r="P161" s="25" t="n">
        <x:v>0</x:v>
      </x:c>
      <x:c r="Q161" s="25" t="n">
        <x:v>0</x:v>
      </x:c>
      <x:c r="R161" s="25" t="str">
        <x:v>洗练绑定装备；项链幸运绑定人物永久进度；武器幸运成本忽略</x:v>
      </x:c>
    </x:row>
    <x:row r="162">
      <x:c r="A162" s="25" t="str">
        <x:v>C03-E</x:v>
      </x:c>
      <x:c r="B162" s="25" t="str">
        <x:v>宁姆格福西域</x:v>
      </x:c>
      <x:c r="C162" s="25" t="str">
        <x:v>半急速入场</x:v>
      </x:c>
      <x:c r="D162" s="25" t="n">
        <x:v>41</x:v>
      </x:c>
      <x:c r="E162" s="25" t="n">
        <x:v>69</x:v>
      </x:c>
      <x:c r="F162" s="25" t="str">
        <x:v>丑牛·风暴负山</x:v>
      </x:c>
      <x:c r="G162" s="25" t="str">
        <x:v>生肖2</x:v>
      </x:c>
      <x:c r="H162" s="25" t="n">
        <x:v>2</x:v>
      </x:c>
      <x:c r="I162" s="25" t="str">
        <x:v>生肖合成</x:v>
      </x:c>
      <x:c r="J162" s="25" t="str">
        <x:v>S07</x:v>
      </x:c>
      <x:c r="K162" s="25" t="str">
        <x:v>25-49</x:v>
      </x:c>
      <x:c r="L162" s="25" t="n">
        <x:v>64000</x:v>
      </x:c>
      <x:c r="M162" s="25" t="n">
        <x:v>0</x:v>
      </x:c>
      <x:c r="N162" s="25" t="str">
        <x:v>否</x:v>
      </x:c>
      <x:c r="O162" s="25" t="n">
        <x:v>0</x:v>
      </x:c>
      <x:c r="P162" s="25" t="n">
        <x:v>0</x:v>
      </x:c>
      <x:c r="Q162" s="25" t="n">
        <x:v>0</x:v>
      </x:c>
      <x:c r="R162" s="25" t="str">
        <x:v>洗练绑定装备；项链幸运绑定人物永久进度；武器幸运成本忽略</x:v>
      </x:c>
    </x:row>
    <x:row r="163">
      <x:c r="A163" s="25" t="str">
        <x:v>C03-E</x:v>
      </x:c>
      <x:c r="B163" s="25" t="str">
        <x:v>宁姆格福西域</x:v>
      </x:c>
      <x:c r="C163" s="25" t="str">
        <x:v>半急速入场</x:v>
      </x:c>
      <x:c r="D163" s="25" t="n">
        <x:v>42</x:v>
      </x:c>
      <x:c r="E163" s="25" t="n">
        <x:v>66</x:v>
      </x:c>
      <x:c r="F163" s="25" t="str">
        <x:v>长戟寅虎</x:v>
      </x:c>
      <x:c r="G163" s="25" t="str">
        <x:v>生肖3</x:v>
      </x:c>
      <x:c r="H163" s="25" t="n">
        <x:v>2</x:v>
      </x:c>
      <x:c r="I163" s="25" t="str">
        <x:v>BOSS</x:v>
      </x:c>
      <x:c r="J163" s="25" t="str">
        <x:v>S02</x:v>
      </x:c>
      <x:c r="K163" s="25" t="str">
        <x:v>34-65</x:v>
      </x:c>
      <x:c r="L163" s="25" t="n">
        <x:v>32600</x:v>
      </x:c>
      <x:c r="M163" s="25" t="n">
        <x:v>0</x:v>
      </x:c>
      <x:c r="N163" s="25" t="str">
        <x:v>否</x:v>
      </x:c>
      <x:c r="O163" s="25" t="n">
        <x:v>0</x:v>
      </x:c>
      <x:c r="P163" s="25" t="n">
        <x:v>0</x:v>
      </x:c>
      <x:c r="Q163" s="25" t="n">
        <x:v>0</x:v>
      </x:c>
      <x:c r="R163" s="25" t="str">
        <x:v>洗练绑定装备；项链幸运绑定人物永久进度；武器幸运成本忽略</x:v>
      </x:c>
    </x:row>
    <x:row r="164">
      <x:c r="A164" s="25" t="str">
        <x:v>C03-E</x:v>
      </x:c>
      <x:c r="B164" s="25" t="str">
        <x:v>宁姆格福西域</x:v>
      </x:c>
      <x:c r="C164" s="25" t="str">
        <x:v>半急速入场</x:v>
      </x:c>
      <x:c r="D164" s="25" t="n">
        <x:v>44</x:v>
      </x:c>
      <x:c r="E164" s="25" t="n">
        <x:v>45</x:v>
      </x:c>
      <x:c r="F164" s="25" t="str">
        <x:v>猎犬辰龙</x:v>
      </x:c>
      <x:c r="G164" s="25" t="str">
        <x:v>生肖5</x:v>
      </x:c>
      <x:c r="H164" s="25" t="n">
        <x:v>2</x:v>
      </x:c>
      <x:c r="I164" s="25" t="str">
        <x:v>稀有</x:v>
      </x:c>
      <x:c r="J164" s="25" t="str">
        <x:v>S02</x:v>
      </x:c>
      <x:c r="K164" s="25" t="str">
        <x:v>33-64</x:v>
      </x:c>
      <x:c r="L164" s="25" t="n">
        <x:v>39100</x:v>
      </x:c>
      <x:c r="M164" s="25" t="n">
        <x:v>0</x:v>
      </x:c>
      <x:c r="N164" s="25" t="str">
        <x:v>否</x:v>
      </x:c>
      <x:c r="O164" s="25" t="n">
        <x:v>0</x:v>
      </x:c>
      <x:c r="P164" s="25" t="n">
        <x:v>0</x:v>
      </x:c>
      <x:c r="Q164" s="25" t="n">
        <x:v>0</x:v>
      </x:c>
      <x:c r="R164" s="25" t="str">
        <x:v>洗练绑定装备；项链幸运绑定人物永久进度；武器幸运成本忽略</x:v>
      </x:c>
    </x:row>
    <x:row r="165">
      <x:c r="A165" s="25" t="str">
        <x:v>C03-E</x:v>
      </x:c>
      <x:c r="B165" s="25" t="str">
        <x:v>宁姆格福西域</x:v>
      </x:c>
      <x:c r="C165" s="25" t="str">
        <x:v>半急速入场</x:v>
      </x:c>
      <x:c r="D165" s="25" t="n">
        <x:v>45</x:v>
      </x:c>
      <x:c r="E165" s="25" t="n">
        <x:v>46</x:v>
      </x:c>
      <x:c r="F165" s="25" t="str">
        <x:v>祖魂巳蛇</x:v>
      </x:c>
      <x:c r="G165" s="25" t="str">
        <x:v>生肖6</x:v>
      </x:c>
      <x:c r="H165" s="25" t="n">
        <x:v>2</x:v>
      </x:c>
      <x:c r="I165" s="25" t="str">
        <x:v>稀有</x:v>
      </x:c>
      <x:c r="J165" s="25" t="str">
        <x:v>S02</x:v>
      </x:c>
      <x:c r="K165" s="25" t="str">
        <x:v>33-64</x:v>
      </x:c>
      <x:c r="L165" s="25" t="n">
        <x:v>39100</x:v>
      </x:c>
      <x:c r="M165" s="25" t="n">
        <x:v>0</x:v>
      </x:c>
      <x:c r="N165" s="25" t="str">
        <x:v>否</x:v>
      </x:c>
      <x:c r="O165" s="25" t="n">
        <x:v>0</x:v>
      </x:c>
      <x:c r="P165" s="25" t="n">
        <x:v>0</x:v>
      </x:c>
      <x:c r="Q165" s="25" t="n">
        <x:v>0</x:v>
      </x:c>
      <x:c r="R165" s="25" t="str">
        <x:v>洗练绑定装备；项链幸运绑定人物永久进度；武器幸运成本忽略</x:v>
      </x:c>
    </x:row>
    <x:row r="166">
      <x:c r="A166" s="25" t="str">
        <x:v>C03-E</x:v>
      </x:c>
      <x:c r="B166" s="25" t="str">
        <x:v>宁姆格福西域</x:v>
      </x:c>
      <x:c r="C166" s="25" t="str">
        <x:v>半急速入场</x:v>
      </x:c>
      <x:c r="D166" s="25" t="n">
        <x:v>47</x:v>
      </x:c>
      <x:c r="E166" s="25" t="n">
        <x:v>67</x:v>
      </x:c>
      <x:c r="F166" s="25" t="str">
        <x:v>葬日未羊</x:v>
      </x:c>
      <x:c r="G166" s="25" t="str">
        <x:v>生肖8</x:v>
      </x:c>
      <x:c r="H166" s="25" t="n">
        <x:v>2</x:v>
      </x:c>
      <x:c r="I166" s="25" t="str">
        <x:v>稀有</x:v>
      </x:c>
      <x:c r="J166" s="25" t="str">
        <x:v>S02</x:v>
      </x:c>
      <x:c r="K166" s="25" t="str">
        <x:v>37-72</x:v>
      </x:c>
      <x:c r="L166" s="25" t="n">
        <x:v>51600</x:v>
      </x:c>
      <x:c r="M166" s="25" t="n">
        <x:v>0</x:v>
      </x:c>
      <x:c r="N166" s="25" t="str">
        <x:v>否</x:v>
      </x:c>
      <x:c r="O166" s="25" t="n">
        <x:v>0</x:v>
      </x:c>
      <x:c r="P166" s="25" t="n">
        <x:v>0</x:v>
      </x:c>
      <x:c r="Q166" s="25" t="n">
        <x:v>0</x:v>
      </x:c>
      <x:c r="R166" s="25" t="str">
        <x:v>洗练绑定装备；项链幸运绑定人物永久进度；武器幸运成本忽略</x:v>
      </x:c>
    </x:row>
    <x:row r="167">
      <x:c r="A167" s="25" t="str">
        <x:v>C03-E</x:v>
      </x:c>
      <x:c r="B167" s="25" t="str">
        <x:v>宁姆格福西域</x:v>
      </x:c>
      <x:c r="C167" s="25" t="str">
        <x:v>半急速入场</x:v>
      </x:c>
      <x:c r="D167" s="25" t="n">
        <x:v>48</x:v>
      </x:c>
      <x:c r="E167" s="25" t="n">
        <x:v>70</x:v>
      </x:c>
      <x:c r="F167" s="25" t="str">
        <x:v>群星之核LV1</x:v>
      </x:c>
      <x:c r="G167" s="25" t="str">
        <x:v>生肖9</x:v>
      </x:c>
      <x:c r="H167" s="25" t="n">
        <x:v>2</x:v>
      </x:c>
      <x:c r="I167" s="25" t="str">
        <x:v>群攻生肖</x:v>
      </x:c>
      <x:c r="J167" s="25" t="str">
        <x:v>S07</x:v>
      </x:c>
      <x:c r="K167" s="25"/>
      <x:c r="L167" s="25"/>
      <x:c r="M167" s="25" t="n">
        <x:v>0</x:v>
      </x:c>
      <x:c r="N167" s="25" t="str">
        <x:v>否</x:v>
      </x:c>
      <x:c r="O167" s="25" t="n">
        <x:v>0</x:v>
      </x:c>
      <x:c r="P167" s="25" t="n">
        <x:v>0</x:v>
      </x:c>
      <x:c r="Q167" s="25" t="n">
        <x:v>0</x:v>
      </x:c>
      <x:c r="R167" s="25" t="str">
        <x:v>洗练绑定装备；项链幸运绑定人物永久进度；武器幸运成本忽略</x:v>
      </x:c>
    </x:row>
    <x:row r="168">
      <x:c r="A168" s="25" t="str">
        <x:v>C03-M</x:v>
      </x:c>
      <x:c r="B168" s="25" t="str">
        <x:v>宁姆格福西域</x:v>
      </x:c>
      <x:c r="C168" s="25" t="str">
        <x:v>半急速中期</x:v>
      </x:c>
      <x:c r="D168" s="25" t="n">
        <x:v>0</x:v>
      </x:c>
      <x:c r="E168" s="25" t="n">
        <x:v>58</x:v>
      </x:c>
      <x:c r="F168" s="25" t="str">
        <x:v>祖灵皮衣</x:v>
      </x:c>
      <x:c r="G168" s="25" t="str">
        <x:v>衣服</x:v>
      </x:c>
      <x:c r="H168" s="25" t="n">
        <x:v>2</x:v>
      </x:c>
      <x:c r="I168" s="25" t="str">
        <x:v>普通</x:v>
      </x:c>
      <x:c r="J168" s="25" t="str">
        <x:v>S02</x:v>
      </x:c>
      <x:c r="K168" s="25" t="str">
        <x:v>44-84</x:v>
      </x:c>
      <x:c r="L168" s="25" t="n">
        <x:v>138000</x:v>
      </x:c>
      <x:c r="M168" s="25" t="n">
        <x:v>3</x:v>
      </x:c>
      <x:c r="N168" s="25" t="str">
        <x:v>否</x:v>
      </x:c>
      <x:c r="O168" s="25" t="n">
        <x:v>0</x:v>
      </x:c>
      <x:c r="P168" s="25" t="n">
        <x:v>0</x:v>
      </x:c>
      <x:c r="Q168" s="25" t="n">
        <x:v>0</x:v>
      </x:c>
      <x:c r="R168" s="25" t="str">
        <x:v>洗练绑定装备；项链幸运绑定人物永久进度；武器幸运成本忽略</x:v>
      </x:c>
    </x:row>
    <x:row r="169">
      <x:c r="A169" s="25" t="str">
        <x:v>C03-M</x:v>
      </x:c>
      <x:c r="B169" s="25" t="str">
        <x:v>宁姆格福西域</x:v>
      </x:c>
      <x:c r="C169" s="25" t="str">
        <x:v>半急速中期</x:v>
      </x:c>
      <x:c r="D169" s="25" t="n">
        <x:v>1</x:v>
      </x:c>
      <x:c r="E169" s="25" t="n">
        <x:v>85</x:v>
      </x:c>
      <x:c r="F169" s="25" t="str">
        <x:v>亲卫王剑</x:v>
      </x:c>
      <x:c r="G169" s="25" t="str">
        <x:v>武器</x:v>
      </x:c>
      <x:c r="H169" s="25" t="n">
        <x:v>1</x:v>
      </x:c>
      <x:c r="I169" s="25" t="str">
        <x:v>BOSS</x:v>
      </x:c>
      <x:c r="J169" s="25" t="str">
        <x:v>S02</x:v>
      </x:c>
      <x:c r="K169" s="25" t="str">
        <x:v>302-580</x:v>
      </x:c>
      <x:c r="L169" s="25" t="n">
        <x:v>14400</x:v>
      </x:c>
      <x:c r="M169" s="25" t="n">
        <x:v>1</x:v>
      </x:c>
      <x:c r="N169" s="25" t="str">
        <x:v>否</x:v>
      </x:c>
      <x:c r="O169" s="25" t="n">
        <x:v>7</x:v>
      </x:c>
      <x:c r="P169" s="25" t="n">
        <x:v>0</x:v>
      </x:c>
      <x:c r="Q169" s="25" t="n">
        <x:v>0</x:v>
      </x:c>
      <x:c r="R169" s="25" t="str">
        <x:v>洗练绑定装备；项链幸运绑定人物永久进度；武器幸运成本忽略</x:v>
      </x:c>
    </x:row>
    <x:row r="170">
      <x:c r="A170" s="25" t="str">
        <x:v>C03-M</x:v>
      </x:c>
      <x:c r="B170" s="25" t="str">
        <x:v>宁姆格福西域</x:v>
      </x:c>
      <x:c r="C170" s="25" t="str">
        <x:v>半急速中期</x:v>
      </x:c>
      <x:c r="D170" s="25" t="n">
        <x:v>2</x:v>
      </x:c>
      <x:c r="E170" s="25" t="n">
        <x:v>78</x:v>
      </x:c>
      <x:c r="F170" s="25" t="str">
        <x:v>收尸骨印</x:v>
      </x:c>
      <x:c r="G170" s="25" t="str">
        <x:v>勋章</x:v>
      </x:c>
      <x:c r="H170" s="25" t="n">
        <x:v>3</x:v>
      </x:c>
      <x:c r="I170" s="25" t="str">
        <x:v>稀有</x:v>
      </x:c>
      <x:c r="J170" s="25" t="str">
        <x:v>S07</x:v>
      </x:c>
      <x:c r="K170" s="25" t="str">
        <x:v>62-120</x:v>
      </x:c>
      <x:c r="L170" s="25" t="n">
        <x:v>68000</x:v>
      </x:c>
      <x:c r="M170" s="25" t="n">
        <x:v>0</x:v>
      </x:c>
      <x:c r="N170" s="25" t="str">
        <x:v>否</x:v>
      </x:c>
      <x:c r="O170" s="25" t="n">
        <x:v>0</x:v>
      </x:c>
      <x:c r="P170" s="25" t="n">
        <x:v>0</x:v>
      </x:c>
      <x:c r="Q170" s="25" t="n">
        <x:v>0</x:v>
      </x:c>
      <x:c r="R170" s="25" t="str">
        <x:v>洗练绑定装备；项链幸运绑定人物永久进度；武器幸运成本忽略</x:v>
      </x:c>
    </x:row>
    <x:row r="171">
      <x:c r="A171" s="25" t="str">
        <x:v>C03-M</x:v>
      </x:c>
      <x:c r="B171" s="25" t="str">
        <x:v>宁姆格福西域</x:v>
      </x:c>
      <x:c r="C171" s="25" t="str">
        <x:v>半急速中期</x:v>
      </x:c>
      <x:c r="D171" s="25" t="n">
        <x:v>3</x:v>
      </x:c>
      <x:c r="E171" s="25" t="n">
        <x:v>50</x:v>
      </x:c>
      <x:c r="F171" s="25" t="str">
        <x:v>卢恩骑士项链</x:v>
      </x:c>
      <x:c r="G171" s="25" t="str">
        <x:v>项链</x:v>
      </x:c>
      <x:c r="H171" s="25" t="n">
        <x:v>2</x:v>
      </x:c>
      <x:c r="I171" s="25" t="str">
        <x:v>制式</x:v>
      </x:c>
      <x:c r="J171" s="25" t="str">
        <x:v>S01</x:v>
      </x:c>
      <x:c r="K171" s="25" t="str">
        <x:v>37-73</x:v>
      </x:c>
      <x:c r="L171" s="25" t="n">
        <x:v>9750</x:v>
      </x:c>
      <x:c r="M171" s="25" t="n">
        <x:v>1</x:v>
      </x:c>
      <x:c r="N171" s="25" t="str">
        <x:v>否</x:v>
      </x:c>
      <x:c r="O171" s="25" t="n">
        <x:v>0</x:v>
      </x:c>
      <x:c r="P171" s="25" t="n">
        <x:v>0</x:v>
      </x:c>
      <x:c r="Q171" s="25" t="n">
        <x:v>0</x:v>
      </x:c>
      <x:c r="R171" s="25" t="str">
        <x:v>洗练绑定装备；项链幸运绑定人物永久进度；武器幸运成本忽略</x:v>
      </x:c>
    </x:row>
    <x:row r="172">
      <x:c r="A172" s="25" t="str">
        <x:v>C03-M</x:v>
      </x:c>
      <x:c r="B172" s="25" t="str">
        <x:v>宁姆格福西域</x:v>
      </x:c>
      <x:c r="C172" s="25" t="str">
        <x:v>半急速中期</x:v>
      </x:c>
      <x:c r="D172" s="25" t="n">
        <x:v>4</x:v>
      </x:c>
      <x:c r="E172" s="25" t="n">
        <x:v>35</x:v>
      </x:c>
      <x:c r="F172" s="25" t="str">
        <x:v>圣树先锋战盔</x:v>
      </x:c>
      <x:c r="G172" s="25" t="str">
        <x:v>头盔</x:v>
      </x:c>
      <x:c r="H172" s="25" t="n">
        <x:v>2</x:v>
      </x:c>
      <x:c r="I172" s="25" t="str">
        <x:v>制式</x:v>
      </x:c>
      <x:c r="J172" s="25" t="str">
        <x:v>S01</x:v>
      </x:c>
      <x:c r="K172" s="25" t="str">
        <x:v>24-48</x:v>
      </x:c>
      <x:c r="L172" s="25" t="n">
        <x:v>15000</x:v>
      </x:c>
      <x:c r="M172" s="25" t="n">
        <x:v>4</x:v>
      </x:c>
      <x:c r="N172" s="25" t="str">
        <x:v>否</x:v>
      </x:c>
      <x:c r="O172" s="25" t="n">
        <x:v>0</x:v>
      </x:c>
      <x:c r="P172" s="25" t="n">
        <x:v>0</x:v>
      </x:c>
      <x:c r="Q172" s="25" t="n">
        <x:v>0</x:v>
      </x:c>
      <x:c r="R172" s="25" t="str">
        <x:v>洗练绑定装备；项链幸运绑定人物永久进度；武器幸运成本忽略</x:v>
      </x:c>
    </x:row>
    <x:row r="173">
      <x:c r="A173" s="25" t="str">
        <x:v>C03-M</x:v>
      </x:c>
      <x:c r="B173" s="25" t="str">
        <x:v>宁姆格福西域</x:v>
      </x:c>
      <x:c r="C173" s="25" t="str">
        <x:v>半急速中期</x:v>
      </x:c>
      <x:c r="D173" s="25" t="n">
        <x:v>5</x:v>
      </x:c>
      <x:c r="E173" s="25" t="n">
        <x:v>73</x:v>
      </x:c>
      <x:c r="F173" s="25" t="str">
        <x:v>古龙近卫腕甲</x:v>
      </x:c>
      <x:c r="G173" s="25" t="str">
        <x:v>手镯</x:v>
      </x:c>
      <x:c r="H173" s="25" t="n">
        <x:v>2</x:v>
      </x:c>
      <x:c r="I173" s="25" t="str">
        <x:v>制式</x:v>
      </x:c>
      <x:c r="J173" s="25" t="str">
        <x:v>S01</x:v>
      </x:c>
      <x:c r="K173" s="25" t="str">
        <x:v>51-102</x:v>
      </x:c>
      <x:c r="L173" s="25" t="n">
        <x:v>17000</x:v>
      </x:c>
      <x:c r="M173" s="25" t="n">
        <x:v>1</x:v>
      </x:c>
      <x:c r="N173" s="25" t="str">
        <x:v>否</x:v>
      </x:c>
      <x:c r="O173" s="25" t="n">
        <x:v>0</x:v>
      </x:c>
      <x:c r="P173" s="25" t="n">
        <x:v>0</x:v>
      </x:c>
      <x:c r="Q173" s="25" t="n">
        <x:v>0</x:v>
      </x:c>
      <x:c r="R173" s="25" t="str">
        <x:v>洗练绑定装备；项链幸运绑定人物永久进度；武器幸运成本忽略</x:v>
      </x:c>
    </x:row>
    <x:row r="174">
      <x:c r="A174" s="25" t="str">
        <x:v>C03-M</x:v>
      </x:c>
      <x:c r="B174" s="25" t="str">
        <x:v>宁姆格福西域</x:v>
      </x:c>
      <x:c r="C174" s="25" t="str">
        <x:v>半急速中期</x:v>
      </x:c>
      <x:c r="D174" s="25" t="n">
        <x:v>6</x:v>
      </x:c>
      <x:c r="E174" s="25" t="n">
        <x:v>68</x:v>
      </x:c>
      <x:c r="F174" s="25" t="str">
        <x:v>百指接肢腕</x:v>
      </x:c>
      <x:c r="G174" s="25" t="str">
        <x:v>手镯</x:v>
      </x:c>
      <x:c r="H174" s="25" t="n">
        <x:v>2</x:v>
      </x:c>
      <x:c r="I174" s="25" t="str">
        <x:v>装备合成</x:v>
      </x:c>
      <x:c r="J174" s="25" t="str">
        <x:v>S07</x:v>
      </x:c>
      <x:c r="K174" s="25" t="str">
        <x:v>110-210</x:v>
      </x:c>
      <x:c r="L174" s="25" t="n">
        <x:v>85000</x:v>
      </x:c>
      <x:c r="M174" s="25" t="n">
        <x:v>5</x:v>
      </x:c>
      <x:c r="N174" s="25" t="str">
        <x:v>否</x:v>
      </x:c>
      <x:c r="O174" s="25" t="n">
        <x:v>0</x:v>
      </x:c>
      <x:c r="P174" s="25" t="n">
        <x:v>0</x:v>
      </x:c>
      <x:c r="Q174" s="25" t="n">
        <x:v>0</x:v>
      </x:c>
      <x:c r="R174" s="25" t="str">
        <x:v>洗练绑定装备；项链幸运绑定人物永久进度；武器幸运成本忽略</x:v>
      </x:c>
    </x:row>
    <x:row r="175">
      <x:c r="A175" s="25" t="str">
        <x:v>C03-M</x:v>
      </x:c>
      <x:c r="B175" s="25" t="str">
        <x:v>宁姆格福西域</x:v>
      </x:c>
      <x:c r="C175" s="25" t="str">
        <x:v>半急速中期</x:v>
      </x:c>
      <x:c r="D175" s="25" t="n">
        <x:v>7</x:v>
      </x:c>
      <x:c r="E175" s="25" t="n">
        <x:v>75</x:v>
      </x:c>
      <x:c r="F175" s="25" t="str">
        <x:v>归乡弩戒</x:v>
      </x:c>
      <x:c r="G175" s="25" t="str">
        <x:v>戒指</x:v>
      </x:c>
      <x:c r="H175" s="25" t="n">
        <x:v>2</x:v>
      </x:c>
      <x:c r="I175" s="25" t="str">
        <x:v>普通</x:v>
      </x:c>
      <x:c r="J175" s="25" t="str">
        <x:v>S02</x:v>
      </x:c>
      <x:c r="K175" s="25" t="str">
        <x:v>41-79</x:v>
      </x:c>
      <x:c r="L175" s="25" t="n">
        <x:v>15700</x:v>
      </x:c>
      <x:c r="M175" s="25" t="n">
        <x:v>3</x:v>
      </x:c>
      <x:c r="N175" s="25" t="str">
        <x:v>否</x:v>
      </x:c>
      <x:c r="O175" s="25" t="n">
        <x:v>0</x:v>
      </x:c>
      <x:c r="P175" s="25" t="n">
        <x:v>0</x:v>
      </x:c>
      <x:c r="Q175" s="25" t="n">
        <x:v>0</x:v>
      </x:c>
      <x:c r="R175" s="25" t="str">
        <x:v>洗练绑定装备；项链幸运绑定人物永久进度；武器幸运成本忽略</x:v>
      </x:c>
    </x:row>
    <x:row r="176">
      <x:c r="A176" s="25" t="str">
        <x:v>C03-M</x:v>
      </x:c>
      <x:c r="B176" s="25" t="str">
        <x:v>宁姆格福西域</x:v>
      </x:c>
      <x:c r="C176" s="25" t="str">
        <x:v>半急速中期</x:v>
      </x:c>
      <x:c r="D176" s="25" t="n">
        <x:v>8</x:v>
      </x:c>
      <x:c r="E176" s="25" t="n">
        <x:v>54</x:v>
      </x:c>
      <x:c r="F176" s="25" t="str">
        <x:v>潮归秘戒</x:v>
      </x:c>
      <x:c r="G176" s="25" t="str">
        <x:v>戒指</x:v>
      </x:c>
      <x:c r="H176" s="25" t="n">
        <x:v>1</x:v>
      </x:c>
      <x:c r="I176" s="25" t="str">
        <x:v>装备合成</x:v>
      </x:c>
      <x:c r="J176" s="25" t="str">
        <x:v>S07</x:v>
      </x:c>
      <x:c r="K176" s="25" t="str">
        <x:v>50-96</x:v>
      </x:c>
      <x:c r="L176" s="25" t="n">
        <x:v>39000</x:v>
      </x:c>
      <x:c r="M176" s="25" t="n">
        <x:v>4</x:v>
      </x:c>
      <x:c r="N176" s="25" t="str">
        <x:v>否</x:v>
      </x:c>
      <x:c r="O176" s="25" t="n">
        <x:v>0</x:v>
      </x:c>
      <x:c r="P176" s="25" t="n">
        <x:v>0</x:v>
      </x:c>
      <x:c r="Q176" s="25" t="n">
        <x:v>0</x:v>
      </x:c>
      <x:c r="R176" s="25" t="str">
        <x:v>洗练绑定装备；项链幸运绑定人物永久进度；武器幸运成本忽略</x:v>
      </x:c>
    </x:row>
    <x:row r="177">
      <x:c r="A177" s="25" t="str">
        <x:v>C03-M</x:v>
      </x:c>
      <x:c r="B177" s="25" t="str">
        <x:v>宁姆格福西域</x:v>
      </x:c>
      <x:c r="C177" s="25" t="str">
        <x:v>半急速中期</x:v>
      </x:c>
      <x:c r="D177" s="25" t="n">
        <x:v>10</x:v>
      </x:c>
      <x:c r="E177" s="25" t="n">
        <x:v>36</x:v>
      </x:c>
      <x:c r="F177" s="25" t="str">
        <x:v>黄金戍卫腰带</x:v>
      </x:c>
      <x:c r="G177" s="25" t="str">
        <x:v>腰带</x:v>
      </x:c>
      <x:c r="H177" s="25" t="n">
        <x:v>2</x:v>
      </x:c>
      <x:c r="I177" s="25" t="str">
        <x:v>制式</x:v>
      </x:c>
      <x:c r="J177" s="25" t="str">
        <x:v>S01</x:v>
      </x:c>
      <x:c r="K177" s="25" t="str">
        <x:v>22-44</x:v>
      </x:c>
      <x:c r="L177" s="25" t="n">
        <x:v>13800</x:v>
      </x:c>
      <x:c r="M177" s="25" t="n">
        <x:v>4</x:v>
      </x:c>
      <x:c r="N177" s="25" t="str">
        <x:v>否</x:v>
      </x:c>
      <x:c r="O177" s="25" t="n">
        <x:v>0</x:v>
      </x:c>
      <x:c r="P177" s="25" t="n">
        <x:v>0</x:v>
      </x:c>
      <x:c r="Q177" s="25" t="n">
        <x:v>0</x:v>
      </x:c>
      <x:c r="R177" s="25" t="str">
        <x:v>洗练绑定装备；项链幸运绑定人物永久进度；武器幸运成本忽略</x:v>
      </x:c>
    </x:row>
    <x:row r="178">
      <x:c r="A178" s="25" t="str">
        <x:v>C03-M</x:v>
      </x:c>
      <x:c r="B178" s="25" t="str">
        <x:v>宁姆格福西域</x:v>
      </x:c>
      <x:c r="C178" s="25" t="str">
        <x:v>半急速中期</x:v>
      </x:c>
      <x:c r="D178" s="25" t="n">
        <x:v>11</x:v>
      </x:c>
      <x:c r="E178" s="25" t="n">
        <x:v>76</x:v>
      </x:c>
      <x:c r="F178" s="25" t="str">
        <x:v>神授征服战靴</x:v>
      </x:c>
      <x:c r="G178" s="25" t="str">
        <x:v>鞋子</x:v>
      </x:c>
      <x:c r="H178" s="25" t="n">
        <x:v>2</x:v>
      </x:c>
      <x:c r="I178" s="25" t="str">
        <x:v>制式</x:v>
      </x:c>
      <x:c r="J178" s="25" t="str">
        <x:v>S01</x:v>
      </x:c>
      <x:c r="K178" s="25" t="str">
        <x:v>36-72</x:v>
      </x:c>
      <x:c r="L178" s="25" t="n">
        <x:v>22500</x:v>
      </x:c>
      <x:c r="M178" s="25" t="n">
        <x:v>4</x:v>
      </x:c>
      <x:c r="N178" s="25" t="str">
        <x:v>否</x:v>
      </x:c>
      <x:c r="O178" s="25" t="n">
        <x:v>0</x:v>
      </x:c>
      <x:c r="P178" s="25" t="n">
        <x:v>0</x:v>
      </x:c>
      <x:c r="Q178" s="25" t="n">
        <x:v>0</x:v>
      </x:c>
      <x:c r="R178" s="25" t="str">
        <x:v>洗练绑定装备；项链幸运绑定人物永久进度；武器幸运成本忽略</x:v>
      </x:c>
    </x:row>
    <x:row r="179">
      <x:c r="A179" s="25" t="str">
        <x:v>C03-M</x:v>
      </x:c>
      <x:c r="B179" s="25" t="str">
        <x:v>宁姆格福西域</x:v>
      </x:c>
      <x:c r="C179" s="25" t="str">
        <x:v>半急速中期</x:v>
      </x:c>
      <x:c r="D179" s="25" t="n">
        <x:v>13</x:v>
      </x:c>
      <x:c r="E179" s="25" t="n">
        <x:v>12</x:v>
      </x:c>
      <x:c r="F179" s="25" t="str">
        <x:v>石蜥面巾</x:v>
      </x:c>
      <x:c r="G179" s="25" t="str">
        <x:v>斗笠</x:v>
      </x:c>
      <x:c r="H179" s="25" t="n">
        <x:v>1</x:v>
      </x:c>
      <x:c r="I179" s="25" t="str">
        <x:v>普通</x:v>
      </x:c>
      <x:c r="J179" s="25" t="str">
        <x:v>S02</x:v>
      </x:c>
      <x:c r="K179" s="25" t="str">
        <x:v>12-24</x:v>
      </x:c>
      <x:c r="L179" s="25" t="n">
        <x:v>10000</x:v>
      </x:c>
      <x:c r="M179" s="25" t="n">
        <x:v>0</x:v>
      </x:c>
      <x:c r="N179" s="25" t="str">
        <x:v>否</x:v>
      </x:c>
      <x:c r="O179" s="25" t="n">
        <x:v>0</x:v>
      </x:c>
      <x:c r="P179" s="25" t="n">
        <x:v>0</x:v>
      </x:c>
      <x:c r="Q179" s="25" t="n">
        <x:v>0</x:v>
      </x:c>
      <x:c r="R179" s="25" t="str">
        <x:v>洗练绑定装备；项链幸运绑定人物永久进度；武器幸运成本忽略</x:v>
      </x:c>
    </x:row>
    <x:row r="180">
      <x:c r="A180" s="25" t="str">
        <x:v>C03-M</x:v>
      </x:c>
      <x:c r="B180" s="25" t="str">
        <x:v>宁姆格福西域</x:v>
      </x:c>
      <x:c r="C180" s="25" t="str">
        <x:v>半急速中期</x:v>
      </x:c>
      <x:c r="D180" s="25" t="n">
        <x:v>16</x:v>
      </x:c>
      <x:c r="E180" s="25" t="n">
        <x:v>63</x:v>
      </x:c>
      <x:c r="F180" s="25" t="str">
        <x:v>毒花巨盾</x:v>
      </x:c>
      <x:c r="G180" s="25" t="str">
        <x:v>盾牌</x:v>
      </x:c>
      <x:c r="H180" s="25" t="n">
        <x:v>2</x:v>
      </x:c>
      <x:c r="I180" s="25" t="str">
        <x:v>普通</x:v>
      </x:c>
      <x:c r="J180" s="25" t="str">
        <x:v>S02</x:v>
      </x:c>
      <x:c r="K180" s="25" t="str">
        <x:v>36-70</x:v>
      </x:c>
      <x:c r="L180" s="25" t="n">
        <x:v>75600</x:v>
      </x:c>
      <x:c r="M180" s="25" t="n">
        <x:v>0</x:v>
      </x:c>
      <x:c r="N180" s="25" t="str">
        <x:v>否</x:v>
      </x:c>
      <x:c r="O180" s="25" t="n">
        <x:v>0</x:v>
      </x:c>
      <x:c r="P180" s="25" t="n">
        <x:v>0</x:v>
      </x:c>
      <x:c r="Q180" s="25" t="n">
        <x:v>0</x:v>
      </x:c>
      <x:c r="R180" s="25" t="str">
        <x:v>洗练绑定装备；项链幸运绑定人物永久进度；武器幸运成本忽略</x:v>
      </x:c>
    </x:row>
    <x:row r="181">
      <x:c r="A181" s="25" t="str">
        <x:v>C03-M</x:v>
      </x:c>
      <x:c r="B181" s="25" t="str">
        <x:v>宁姆格福西域</x:v>
      </x:c>
      <x:c r="C181" s="25" t="str">
        <x:v>半急速中期</x:v>
      </x:c>
      <x:c r="D181" s="25" t="n">
        <x:v>18</x:v>
      </x:c>
      <x:c r="E181" s="25" t="n">
        <x:v>26</x:v>
      </x:c>
      <x:c r="F181" s="25" t="str">
        <x:v>无冠王衣</x:v>
      </x:c>
      <x:c r="G181" s="25" t="str">
        <x:v>时装衣服</x:v>
      </x:c>
      <x:c r="H181" s="25" t="n">
        <x:v>1</x:v>
      </x:c>
      <x:c r="I181" s="25" t="str">
        <x:v>守关BOSS</x:v>
      </x:c>
      <x:c r="J181" s="25" t="str">
        <x:v>S02</x:v>
      </x:c>
      <x:c r="K181" s="25" t="str">
        <x:v>28-53</x:v>
      </x:c>
      <x:c r="L181" s="25" t="n">
        <x:v>74300</x:v>
      </x:c>
      <x:c r="M181" s="25" t="n">
        <x:v>0</x:v>
      </x:c>
      <x:c r="N181" s="25" t="str">
        <x:v>否</x:v>
      </x:c>
      <x:c r="O181" s="25" t="n">
        <x:v>0</x:v>
      </x:c>
      <x:c r="P181" s="25" t="n">
        <x:v>0</x:v>
      </x:c>
      <x:c r="Q181" s="25" t="n">
        <x:v>0</x:v>
      </x:c>
      <x:c r="R181" s="25" t="str">
        <x:v>洗练绑定装备；项链幸运绑定人物永久进度；武器幸运成本忽略</x:v>
      </x:c>
    </x:row>
    <x:row r="182">
      <x:c r="A182" s="25" t="str">
        <x:v>C03-M</x:v>
      </x:c>
      <x:c r="B182" s="25" t="str">
        <x:v>宁姆格福西域</x:v>
      </x:c>
      <x:c r="C182" s="25" t="str">
        <x:v>半急速中期</x:v>
      </x:c>
      <x:c r="D182" s="25" t="n">
        <x:v>19</x:v>
      </x:c>
      <x:c r="E182" s="25" t="n">
        <x:v>64</x:v>
      </x:c>
      <x:c r="F182" s="25" t="str">
        <x:v>百夫熔戟</x:v>
      </x:c>
      <x:c r="G182" s="25" t="str">
        <x:v>时装武器</x:v>
      </x:c>
      <x:c r="H182" s="25" t="n">
        <x:v>2</x:v>
      </x:c>
      <x:c r="I182" s="25" t="str">
        <x:v>稀有</x:v>
      </x:c>
      <x:c r="J182" s="25" t="str">
        <x:v>S02</x:v>
      </x:c>
      <x:c r="K182" s="25" t="str">
        <x:v>150-288</x:v>
      </x:c>
      <x:c r="L182" s="25" t="n">
        <x:v>45400</x:v>
      </x:c>
      <x:c r="M182" s="25" t="n">
        <x:v>0</x:v>
      </x:c>
      <x:c r="N182" s="25" t="str">
        <x:v>否</x:v>
      </x:c>
      <x:c r="O182" s="25" t="n">
        <x:v>0</x:v>
      </x:c>
      <x:c r="P182" s="25" t="n">
        <x:v>0</x:v>
      </x:c>
      <x:c r="Q182" s="25" t="n">
        <x:v>0</x:v>
      </x:c>
      <x:c r="R182" s="25" t="str">
        <x:v>洗练绑定装备；项链幸运绑定人物永久进度；武器幸运成本忽略</x:v>
      </x:c>
    </x:row>
    <x:row r="183">
      <x:c r="A183" s="25" t="str">
        <x:v>C03-M</x:v>
      </x:c>
      <x:c r="B183" s="25" t="str">
        <x:v>宁姆格福西域</x:v>
      </x:c>
      <x:c r="C183" s="25" t="str">
        <x:v>半急速中期</x:v>
      </x:c>
      <x:c r="D183" s="25" t="n">
        <x:v>20</x:v>
      </x:c>
      <x:c r="E183" s="25" t="n">
        <x:v>40</x:v>
      </x:c>
      <x:c r="F183" s="25" t="str">
        <x:v>英雄余誓</x:v>
      </x:c>
      <x:c r="G183" s="25" t="str">
        <x:v>时装项链</x:v>
      </x:c>
      <x:c r="H183" s="25" t="n">
        <x:v>2</x:v>
      </x:c>
      <x:c r="I183" s="25" t="str">
        <x:v>稀有</x:v>
      </x:c>
      <x:c r="J183" s="25" t="str">
        <x:v>S02</x:v>
      </x:c>
      <x:c r="K183" s="25" t="str">
        <x:v>31-60</x:v>
      </x:c>
      <x:c r="L183" s="25" t="n">
        <x:v>17900</x:v>
      </x:c>
      <x:c r="M183" s="25" t="n">
        <x:v>0</x:v>
      </x:c>
      <x:c r="N183" s="25" t="str">
        <x:v>否</x:v>
      </x:c>
      <x:c r="O183" s="25" t="n">
        <x:v>0</x:v>
      </x:c>
      <x:c r="P183" s="25" t="n">
        <x:v>0</x:v>
      </x:c>
      <x:c r="Q183" s="25" t="n">
        <x:v>0</x:v>
      </x:c>
      <x:c r="R183" s="25" t="str">
        <x:v>洗练绑定装备；项链幸运绑定人物永久进度；武器幸运成本忽略</x:v>
      </x:c>
    </x:row>
    <x:row r="184">
      <x:c r="A184" s="25" t="str">
        <x:v>C03-M</x:v>
      </x:c>
      <x:c r="B184" s="25" t="str">
        <x:v>宁姆格福西域</x:v>
      </x:c>
      <x:c r="C184" s="25" t="str">
        <x:v>半急速中期</x:v>
      </x:c>
      <x:c r="D184" s="25" t="n">
        <x:v>21</x:v>
      </x:c>
      <x:c r="E184" s="25" t="n">
        <x:v>41</x:v>
      </x:c>
      <x:c r="F184" s="25" t="str">
        <x:v>初火兜鍪</x:v>
      </x:c>
      <x:c r="G184" s="25" t="str">
        <x:v>时装头盔</x:v>
      </x:c>
      <x:c r="H184" s="25" t="n">
        <x:v>2</x:v>
      </x:c>
      <x:c r="I184" s="25" t="str">
        <x:v>稀有</x:v>
      </x:c>
      <x:c r="J184" s="25" t="str">
        <x:v>S02</x:v>
      </x:c>
      <x:c r="K184" s="25" t="str">
        <x:v>22-42</x:v>
      </x:c>
      <x:c r="L184" s="25" t="n">
        <x:v>30900</x:v>
      </x:c>
      <x:c r="M184" s="25" t="n">
        <x:v>0</x:v>
      </x:c>
      <x:c r="N184" s="25" t="str">
        <x:v>否</x:v>
      </x:c>
      <x:c r="O184" s="25" t="n">
        <x:v>0</x:v>
      </x:c>
      <x:c r="P184" s="25" t="n">
        <x:v>0</x:v>
      </x:c>
      <x:c r="Q184" s="25" t="n">
        <x:v>0</x:v>
      </x:c>
      <x:c r="R184" s="25" t="str">
        <x:v>洗练绑定装备；项链幸运绑定人物永久进度；武器幸运成本忽略</x:v>
      </x:c>
    </x:row>
    <x:row r="185">
      <x:c r="A185" s="25" t="str">
        <x:v>C03-M</x:v>
      </x:c>
      <x:c r="B185" s="25" t="str">
        <x:v>宁姆格福西域</x:v>
      </x:c>
      <x:c r="C185" s="25" t="str">
        <x:v>半急速中期</x:v>
      </x:c>
      <x:c r="D185" s="25" t="n">
        <x:v>22</x:v>
      </x:c>
      <x:c r="E185" s="25" t="n">
        <x:v>42</x:v>
      </x:c>
      <x:c r="F185" s="25" t="str">
        <x:v>卢恩血镯</x:v>
      </x:c>
      <x:c r="G185" s="25" t="str">
        <x:v>时装手镯</x:v>
      </x:c>
      <x:c r="H185" s="25" t="n">
        <x:v>2</x:v>
      </x:c>
      <x:c r="I185" s="25" t="str">
        <x:v>稀有</x:v>
      </x:c>
      <x:c r="J185" s="25" t="str">
        <x:v>S02</x:v>
      </x:c>
      <x:c r="K185" s="25" t="str">
        <x:v>42-80</x:v>
      </x:c>
      <x:c r="L185" s="25" t="n">
        <x:v>34400</x:v>
      </x:c>
      <x:c r="M185" s="25" t="n">
        <x:v>0</x:v>
      </x:c>
      <x:c r="N185" s="25" t="str">
        <x:v>否</x:v>
      </x:c>
      <x:c r="O185" s="25" t="n">
        <x:v>0</x:v>
      </x:c>
      <x:c r="P185" s="25" t="n">
        <x:v>0</x:v>
      </x:c>
      <x:c r="Q185" s="25" t="n">
        <x:v>0</x:v>
      </x:c>
      <x:c r="R185" s="25" t="str">
        <x:v>洗练绑定装备；项链幸运绑定人物永久进度；武器幸运成本忽略</x:v>
      </x:c>
    </x:row>
    <x:row r="186">
      <x:c r="A186" s="25" t="str">
        <x:v>C03-M</x:v>
      </x:c>
      <x:c r="B186" s="25" t="str">
        <x:v>宁姆格福西域</x:v>
      </x:c>
      <x:c r="C186" s="25" t="str">
        <x:v>半急速中期</x:v>
      </x:c>
      <x:c r="D186" s="25" t="n">
        <x:v>24</x:v>
      </x:c>
      <x:c r="E186" s="25" t="n">
        <x:v>43</x:v>
      </x:c>
      <x:c r="F186" s="25" t="str">
        <x:v>黄金树戒</x:v>
      </x:c>
      <x:c r="G186" s="25" t="str">
        <x:v>时装戒指</x:v>
      </x:c>
      <x:c r="H186" s="25" t="n">
        <x:v>2</x:v>
      </x:c>
      <x:c r="I186" s="25" t="str">
        <x:v>稀有</x:v>
      </x:c>
      <x:c r="J186" s="25" t="str">
        <x:v>S02</x:v>
      </x:c>
      <x:c r="K186" s="25" t="str">
        <x:v>42-80</x:v>
      </x:c>
      <x:c r="L186" s="25" t="n">
        <x:v>34400</x:v>
      </x:c>
      <x:c r="M186" s="25" t="n">
        <x:v>0</x:v>
      </x:c>
      <x:c r="N186" s="25" t="str">
        <x:v>否</x:v>
      </x:c>
      <x:c r="O186" s="25" t="n">
        <x:v>0</x:v>
      </x:c>
      <x:c r="P186" s="25" t="n">
        <x:v>0</x:v>
      </x:c>
      <x:c r="Q186" s="25" t="n">
        <x:v>0</x:v>
      </x:c>
      <x:c r="R186" s="25" t="str">
        <x:v>洗练绑定装备；项链幸运绑定人物永久进度；武器幸运成本忽略</x:v>
      </x:c>
    </x:row>
    <x:row r="187">
      <x:c r="A187" s="25" t="str">
        <x:v>C03-M</x:v>
      </x:c>
      <x:c r="B187" s="25" t="str">
        <x:v>宁姆格福西域</x:v>
      </x:c>
      <x:c r="C187" s="25" t="str">
        <x:v>半急速中期</x:v>
      </x:c>
      <x:c r="D187" s="25" t="n">
        <x:v>40</x:v>
      </x:c>
      <x:c r="E187" s="25" t="n">
        <x:v>44</x:v>
      </x:c>
      <x:c r="F187" s="25" t="str">
        <x:v>腐树子鼠</x:v>
      </x:c>
      <x:c r="G187" s="25" t="str">
        <x:v>生肖1</x:v>
      </x:c>
      <x:c r="H187" s="25" t="n">
        <x:v>2</x:v>
      </x:c>
      <x:c r="I187" s="25" t="str">
        <x:v>BOSS</x:v>
      </x:c>
      <x:c r="J187" s="25" t="str">
        <x:v>S02</x:v>
      </x:c>
      <x:c r="K187" s="25" t="str">
        <x:v>29-56</x:v>
      </x:c>
      <x:c r="L187" s="25" t="n">
        <x:v>23600</x:v>
      </x:c>
      <x:c r="M187" s="25" t="n">
        <x:v>0</x:v>
      </x:c>
      <x:c r="N187" s="25" t="str">
        <x:v>否</x:v>
      </x:c>
      <x:c r="O187" s="25" t="n">
        <x:v>0</x:v>
      </x:c>
      <x:c r="P187" s="25" t="n">
        <x:v>0</x:v>
      </x:c>
      <x:c r="Q187" s="25" t="n">
        <x:v>0</x:v>
      </x:c>
      <x:c r="R187" s="25" t="str">
        <x:v>洗练绑定装备；项链幸运绑定人物永久进度；武器幸运成本忽略</x:v>
      </x:c>
    </x:row>
    <x:row r="188">
      <x:c r="A188" s="25" t="str">
        <x:v>C03-M</x:v>
      </x:c>
      <x:c r="B188" s="25" t="str">
        <x:v>宁姆格福西域</x:v>
      </x:c>
      <x:c r="C188" s="25" t="str">
        <x:v>半急速中期</x:v>
      </x:c>
      <x:c r="D188" s="25" t="n">
        <x:v>41</x:v>
      </x:c>
      <x:c r="E188" s="25" t="n">
        <x:v>69</x:v>
      </x:c>
      <x:c r="F188" s="25" t="str">
        <x:v>丑牛·风暴负山</x:v>
      </x:c>
      <x:c r="G188" s="25" t="str">
        <x:v>生肖2</x:v>
      </x:c>
      <x:c r="H188" s="25" t="n">
        <x:v>2</x:v>
      </x:c>
      <x:c r="I188" s="25" t="str">
        <x:v>生肖合成</x:v>
      </x:c>
      <x:c r="J188" s="25" t="str">
        <x:v>S07</x:v>
      </x:c>
      <x:c r="K188" s="25" t="str">
        <x:v>25-49</x:v>
      </x:c>
      <x:c r="L188" s="25" t="n">
        <x:v>64000</x:v>
      </x:c>
      <x:c r="M188" s="25" t="n">
        <x:v>0</x:v>
      </x:c>
      <x:c r="N188" s="25" t="str">
        <x:v>否</x:v>
      </x:c>
      <x:c r="O188" s="25" t="n">
        <x:v>0</x:v>
      </x:c>
      <x:c r="P188" s="25" t="n">
        <x:v>0</x:v>
      </x:c>
      <x:c r="Q188" s="25" t="n">
        <x:v>0</x:v>
      </x:c>
      <x:c r="R188" s="25" t="str">
        <x:v>洗练绑定装备；项链幸运绑定人物永久进度；武器幸运成本忽略</x:v>
      </x:c>
    </x:row>
    <x:row r="189">
      <x:c r="A189" s="25" t="str">
        <x:v>C03-M</x:v>
      </x:c>
      <x:c r="B189" s="25" t="str">
        <x:v>宁姆格福西域</x:v>
      </x:c>
      <x:c r="C189" s="25" t="str">
        <x:v>半急速中期</x:v>
      </x:c>
      <x:c r="D189" s="25" t="n">
        <x:v>42</x:v>
      </x:c>
      <x:c r="E189" s="25" t="n">
        <x:v>66</x:v>
      </x:c>
      <x:c r="F189" s="25" t="str">
        <x:v>长戟寅虎</x:v>
      </x:c>
      <x:c r="G189" s="25" t="str">
        <x:v>生肖3</x:v>
      </x:c>
      <x:c r="H189" s="25" t="n">
        <x:v>2</x:v>
      </x:c>
      <x:c r="I189" s="25" t="str">
        <x:v>BOSS</x:v>
      </x:c>
      <x:c r="J189" s="25" t="str">
        <x:v>S02</x:v>
      </x:c>
      <x:c r="K189" s="25" t="str">
        <x:v>34-65</x:v>
      </x:c>
      <x:c r="L189" s="25" t="n">
        <x:v>32600</x:v>
      </x:c>
      <x:c r="M189" s="25" t="n">
        <x:v>0</x:v>
      </x:c>
      <x:c r="N189" s="25" t="str">
        <x:v>否</x:v>
      </x:c>
      <x:c r="O189" s="25" t="n">
        <x:v>0</x:v>
      </x:c>
      <x:c r="P189" s="25" t="n">
        <x:v>0</x:v>
      </x:c>
      <x:c r="Q189" s="25" t="n">
        <x:v>0</x:v>
      </x:c>
      <x:c r="R189" s="25" t="str">
        <x:v>洗练绑定装备；项链幸运绑定人物永久进度；武器幸运成本忽略</x:v>
      </x:c>
    </x:row>
    <x:row r="190">
      <x:c r="A190" s="25" t="str">
        <x:v>C03-M</x:v>
      </x:c>
      <x:c r="B190" s="25" t="str">
        <x:v>宁姆格福西域</x:v>
      </x:c>
      <x:c r="C190" s="25" t="str">
        <x:v>半急速中期</x:v>
      </x:c>
      <x:c r="D190" s="25" t="n">
        <x:v>43</x:v>
      </x:c>
      <x:c r="E190" s="25" t="n">
        <x:v>79</x:v>
      </x:c>
      <x:c r="F190" s="25" t="str">
        <x:v>无月卯兔</x:v>
      </x:c>
      <x:c r="G190" s="25" t="str">
        <x:v>生肖4</x:v>
      </x:c>
      <x:c r="H190" s="25" t="n">
        <x:v>2</x:v>
      </x:c>
      <x:c r="I190" s="25" t="str">
        <x:v>BOSS</x:v>
      </x:c>
      <x:c r="J190" s="25" t="str">
        <x:v>S02</x:v>
      </x:c>
      <x:c r="K190" s="25" t="str">
        <x:v>34-65</x:v>
      </x:c>
      <x:c r="L190" s="25" t="n">
        <x:v>32600</x:v>
      </x:c>
      <x:c r="M190" s="25" t="n">
        <x:v>0</x:v>
      </x:c>
      <x:c r="N190" s="25" t="str">
        <x:v>否</x:v>
      </x:c>
      <x:c r="O190" s="25" t="n">
        <x:v>0</x:v>
      </x:c>
      <x:c r="P190" s="25" t="n">
        <x:v>0</x:v>
      </x:c>
      <x:c r="Q190" s="25" t="n">
        <x:v>0</x:v>
      </x:c>
      <x:c r="R190" s="25" t="str">
        <x:v>洗练绑定装备；项链幸运绑定人物永久进度；武器幸运成本忽略</x:v>
      </x:c>
    </x:row>
    <x:row r="191">
      <x:c r="A191" s="25" t="str">
        <x:v>C03-M</x:v>
      </x:c>
      <x:c r="B191" s="25" t="str">
        <x:v>宁姆格福西域</x:v>
      </x:c>
      <x:c r="C191" s="25" t="str">
        <x:v>半急速中期</x:v>
      </x:c>
      <x:c r="D191" s="25" t="n">
        <x:v>44</x:v>
      </x:c>
      <x:c r="E191" s="25" t="n">
        <x:v>45</x:v>
      </x:c>
      <x:c r="F191" s="25" t="str">
        <x:v>猎犬辰龙</x:v>
      </x:c>
      <x:c r="G191" s="25" t="str">
        <x:v>生肖5</x:v>
      </x:c>
      <x:c r="H191" s="25" t="n">
        <x:v>2</x:v>
      </x:c>
      <x:c r="I191" s="25" t="str">
        <x:v>稀有</x:v>
      </x:c>
      <x:c r="J191" s="25" t="str">
        <x:v>S02</x:v>
      </x:c>
      <x:c r="K191" s="25" t="str">
        <x:v>33-64</x:v>
      </x:c>
      <x:c r="L191" s="25" t="n">
        <x:v>39100</x:v>
      </x:c>
      <x:c r="M191" s="25" t="n">
        <x:v>0</x:v>
      </x:c>
      <x:c r="N191" s="25" t="str">
        <x:v>否</x:v>
      </x:c>
      <x:c r="O191" s="25" t="n">
        <x:v>0</x:v>
      </x:c>
      <x:c r="P191" s="25" t="n">
        <x:v>0</x:v>
      </x:c>
      <x:c r="Q191" s="25" t="n">
        <x:v>0</x:v>
      </x:c>
      <x:c r="R191" s="25" t="str">
        <x:v>洗练绑定装备；项链幸运绑定人物永久进度；武器幸运成本忽略</x:v>
      </x:c>
    </x:row>
    <x:row r="192">
      <x:c r="A192" s="25" t="str">
        <x:v>C03-M</x:v>
      </x:c>
      <x:c r="B192" s="25" t="str">
        <x:v>宁姆格福西域</x:v>
      </x:c>
      <x:c r="C192" s="25" t="str">
        <x:v>半急速中期</x:v>
      </x:c>
      <x:c r="D192" s="25" t="n">
        <x:v>45</x:v>
      </x:c>
      <x:c r="E192" s="25" t="n">
        <x:v>46</x:v>
      </x:c>
      <x:c r="F192" s="25" t="str">
        <x:v>祖魂巳蛇</x:v>
      </x:c>
      <x:c r="G192" s="25" t="str">
        <x:v>生肖6</x:v>
      </x:c>
      <x:c r="H192" s="25" t="n">
        <x:v>2</x:v>
      </x:c>
      <x:c r="I192" s="25" t="str">
        <x:v>稀有</x:v>
      </x:c>
      <x:c r="J192" s="25" t="str">
        <x:v>S02</x:v>
      </x:c>
      <x:c r="K192" s="25" t="str">
        <x:v>33-64</x:v>
      </x:c>
      <x:c r="L192" s="25" t="n">
        <x:v>39100</x:v>
      </x:c>
      <x:c r="M192" s="25" t="n">
        <x:v>0</x:v>
      </x:c>
      <x:c r="N192" s="25" t="str">
        <x:v>否</x:v>
      </x:c>
      <x:c r="O192" s="25" t="n">
        <x:v>0</x:v>
      </x:c>
      <x:c r="P192" s="25" t="n">
        <x:v>0</x:v>
      </x:c>
      <x:c r="Q192" s="25" t="n">
        <x:v>0</x:v>
      </x:c>
      <x:c r="R192" s="25" t="str">
        <x:v>洗练绑定装备；项链幸运绑定人物永久进度；武器幸运成本忽略</x:v>
      </x:c>
    </x:row>
    <x:row r="193">
      <x:c r="A193" s="25" t="str">
        <x:v>C03-M</x:v>
      </x:c>
      <x:c r="B193" s="25" t="str">
        <x:v>宁姆格福西域</x:v>
      </x:c>
      <x:c r="C193" s="25" t="str">
        <x:v>半急速中期</x:v>
      </x:c>
      <x:c r="D193" s="25" t="n">
        <x:v>46</x:v>
      </x:c>
      <x:c r="E193" s="25" t="n">
        <x:v>80</x:v>
      </x:c>
      <x:c r="F193" s="25" t="str">
        <x:v>死水午马</x:v>
      </x:c>
      <x:c r="G193" s="25" t="str">
        <x:v>生肖7</x:v>
      </x:c>
      <x:c r="H193" s="25" t="n">
        <x:v>2</x:v>
      </x:c>
      <x:c r="I193" s="25" t="str">
        <x:v>BOSS</x:v>
      </x:c>
      <x:c r="J193" s="25" t="str">
        <x:v>S02</x:v>
      </x:c>
      <x:c r="K193" s="25" t="str">
        <x:v>38-74</x:v>
      </x:c>
      <x:c r="L193" s="25" t="n">
        <x:v>45300</x:v>
      </x:c>
      <x:c r="M193" s="25" t="n">
        <x:v>0</x:v>
      </x:c>
      <x:c r="N193" s="25" t="str">
        <x:v>否</x:v>
      </x:c>
      <x:c r="O193" s="25" t="n">
        <x:v>0</x:v>
      </x:c>
      <x:c r="P193" s="25" t="n">
        <x:v>0</x:v>
      </x:c>
      <x:c r="Q193" s="25" t="n">
        <x:v>0</x:v>
      </x:c>
      <x:c r="R193" s="25" t="str">
        <x:v>洗练绑定装备；项链幸运绑定人物永久进度；武器幸运成本忽略</x:v>
      </x:c>
    </x:row>
    <x:row r="194">
      <x:c r="A194" s="25" t="str">
        <x:v>C03-M</x:v>
      </x:c>
      <x:c r="B194" s="25" t="str">
        <x:v>宁姆格福西域</x:v>
      </x:c>
      <x:c r="C194" s="25" t="str">
        <x:v>半急速中期</x:v>
      </x:c>
      <x:c r="D194" s="25" t="n">
        <x:v>47</x:v>
      </x:c>
      <x:c r="E194" s="25" t="n">
        <x:v>67</x:v>
      </x:c>
      <x:c r="F194" s="25" t="str">
        <x:v>葬日未羊</x:v>
      </x:c>
      <x:c r="G194" s="25" t="str">
        <x:v>生肖8</x:v>
      </x:c>
      <x:c r="H194" s="25" t="n">
        <x:v>2</x:v>
      </x:c>
      <x:c r="I194" s="25" t="str">
        <x:v>稀有</x:v>
      </x:c>
      <x:c r="J194" s="25" t="str">
        <x:v>S02</x:v>
      </x:c>
      <x:c r="K194" s="25" t="str">
        <x:v>37-72</x:v>
      </x:c>
      <x:c r="L194" s="25" t="n">
        <x:v>51600</x:v>
      </x:c>
      <x:c r="M194" s="25" t="n">
        <x:v>0</x:v>
      </x:c>
      <x:c r="N194" s="25" t="str">
        <x:v>否</x:v>
      </x:c>
      <x:c r="O194" s="25" t="n">
        <x:v>0</x:v>
      </x:c>
      <x:c r="P194" s="25" t="n">
        <x:v>0</x:v>
      </x:c>
      <x:c r="Q194" s="25" t="n">
        <x:v>0</x:v>
      </x:c>
      <x:c r="R194" s="25" t="str">
        <x:v>洗练绑定装备；项链幸运绑定人物永久进度；武器幸运成本忽略</x:v>
      </x:c>
    </x:row>
    <x:row r="195">
      <x:c r="A195" s="25" t="str">
        <x:v>C03-M</x:v>
      </x:c>
      <x:c r="B195" s="25" t="str">
        <x:v>宁姆格福西域</x:v>
      </x:c>
      <x:c r="C195" s="25" t="str">
        <x:v>半急速中期</x:v>
      </x:c>
      <x:c r="D195" s="25" t="n">
        <x:v>48</x:v>
      </x:c>
      <x:c r="E195" s="25" t="n">
        <x:v>81</x:v>
      </x:c>
      <x:c r="F195" s="25" t="str">
        <x:v>雷冠申猴</x:v>
      </x:c>
      <x:c r="G195" s="25" t="str">
        <x:v>生肖9</x:v>
      </x:c>
      <x:c r="H195" s="25" t="n">
        <x:v>2</x:v>
      </x:c>
      <x:c r="I195" s="25" t="str">
        <x:v>BOSS</x:v>
      </x:c>
      <x:c r="J195" s="25" t="str">
        <x:v>S02</x:v>
      </x:c>
      <x:c r="K195" s="25" t="str">
        <x:v>44-84</x:v>
      </x:c>
      <x:c r="L195" s="25" t="n">
        <x:v>59800</x:v>
      </x:c>
      <x:c r="M195" s="25" t="n">
        <x:v>0</x:v>
      </x:c>
      <x:c r="N195" s="25" t="str">
        <x:v>否</x:v>
      </x:c>
      <x:c r="O195" s="25" t="n">
        <x:v>0</x:v>
      </x:c>
      <x:c r="P195" s="25" t="n">
        <x:v>0</x:v>
      </x:c>
      <x:c r="Q195" s="25" t="n">
        <x:v>0</x:v>
      </x:c>
      <x:c r="R195" s="25" t="str">
        <x:v>洗练绑定装备；项链幸运绑定人物永久进度；武器幸运成本忽略</x:v>
      </x:c>
    </x:row>
    <x:row r="196">
      <x:c r="A196" s="25" t="str">
        <x:v>C03-M</x:v>
      </x:c>
      <x:c r="B196" s="25" t="str">
        <x:v>宁姆格福西域</x:v>
      </x:c>
      <x:c r="C196" s="25" t="str">
        <x:v>半急速中期</x:v>
      </x:c>
      <x:c r="D196" s="25" t="n">
        <x:v>49</x:v>
      </x:c>
      <x:c r="E196" s="25" t="n">
        <x:v>82</x:v>
      </x:c>
      <x:c r="F196" s="25" t="str">
        <x:v>恶兆酉鸡</x:v>
      </x:c>
      <x:c r="G196" s="25" t="str">
        <x:v>生肖10</x:v>
      </x:c>
      <x:c r="H196" s="25" t="n">
        <x:v>2</x:v>
      </x:c>
      <x:c r="I196" s="25" t="str">
        <x:v>BOSS</x:v>
      </x:c>
      <x:c r="J196" s="25" t="str">
        <x:v>S02</x:v>
      </x:c>
      <x:c r="K196" s="25" t="str">
        <x:v>44-84</x:v>
      </x:c>
      <x:c r="L196" s="25" t="n">
        <x:v>59800</x:v>
      </x:c>
      <x:c r="M196" s="25" t="n">
        <x:v>0</x:v>
      </x:c>
      <x:c r="N196" s="25" t="str">
        <x:v>否</x:v>
      </x:c>
      <x:c r="O196" s="25" t="n">
        <x:v>0</x:v>
      </x:c>
      <x:c r="P196" s="25" t="n">
        <x:v>0</x:v>
      </x:c>
      <x:c r="Q196" s="25" t="n">
        <x:v>0</x:v>
      </x:c>
      <x:c r="R196" s="25" t="str">
        <x:v>洗练绑定装备；项链幸运绑定人物永久进度；武器幸运成本忽略</x:v>
      </x:c>
    </x:row>
    <x:row r="197">
      <x:c r="A197" s="25" t="str">
        <x:v>C03-M</x:v>
      </x:c>
      <x:c r="B197" s="25" t="str">
        <x:v>宁姆格福西域</x:v>
      </x:c>
      <x:c r="C197" s="25" t="str">
        <x:v>半急速中期</x:v>
      </x:c>
      <x:c r="D197" s="25" t="n">
        <x:v>50</x:v>
      </x:c>
      <x:c r="E197" s="25" t="n">
        <x:v>83</x:v>
      </x:c>
      <x:c r="F197" s="25" t="str">
        <x:v>失乡戌狗</x:v>
      </x:c>
      <x:c r="G197" s="25" t="str">
        <x:v>生肖11</x:v>
      </x:c>
      <x:c r="H197" s="25" t="n">
        <x:v>2</x:v>
      </x:c>
      <x:c r="I197" s="25" t="str">
        <x:v>BOSS</x:v>
      </x:c>
      <x:c r="J197" s="25" t="str">
        <x:v>S02</x:v>
      </x:c>
      <x:c r="K197" s="25" t="str">
        <x:v>48-93</x:v>
      </x:c>
      <x:c r="L197" s="25" t="n">
        <x:v>79800</x:v>
      </x:c>
      <x:c r="M197" s="25" t="n">
        <x:v>0</x:v>
      </x:c>
      <x:c r="N197" s="25" t="str">
        <x:v>否</x:v>
      </x:c>
      <x:c r="O197" s="25" t="n">
        <x:v>0</x:v>
      </x:c>
      <x:c r="P197" s="25" t="n">
        <x:v>0</x:v>
      </x:c>
      <x:c r="Q197" s="25" t="n">
        <x:v>0</x:v>
      </x:c>
      <x:c r="R197" s="25" t="str">
        <x:v>洗练绑定装备；项链幸运绑定人物永久进度；武器幸运成本忽略</x:v>
      </x:c>
    </x:row>
    <x:row r="198">
      <x:c r="A198" s="25" t="str">
        <x:v>C03-M</x:v>
      </x:c>
      <x:c r="B198" s="25" t="str">
        <x:v>宁姆格福西域</x:v>
      </x:c>
      <x:c r="C198" s="25" t="str">
        <x:v>半急速中期</x:v>
      </x:c>
      <x:c r="D198" s="25" t="n">
        <x:v>51</x:v>
      </x:c>
      <x:c r="E198" s="25" t="n">
        <x:v>84</x:v>
      </x:c>
      <x:c r="F198" s="25" t="str">
        <x:v>接肢亥猪</x:v>
      </x:c>
      <x:c r="G198" s="25" t="str">
        <x:v>生肖12</x:v>
      </x:c>
      <x:c r="H198" s="25" t="n">
        <x:v>2</x:v>
      </x:c>
      <x:c r="I198" s="25" t="str">
        <x:v>守关BOSS</x:v>
      </x:c>
      <x:c r="J198" s="25" t="str">
        <x:v>S02</x:v>
      </x:c>
      <x:c r="K198" s="25" t="str">
        <x:v>55-106</x:v>
      </x:c>
      <x:c r="L198" s="25" t="n">
        <x:v>90800</x:v>
      </x:c>
      <x:c r="M198" s="25" t="n">
        <x:v>0</x:v>
      </x:c>
      <x:c r="N198" s="25" t="str">
        <x:v>否</x:v>
      </x:c>
      <x:c r="O198" s="25" t="n">
        <x:v>0</x:v>
      </x:c>
      <x:c r="P198" s="25" t="n">
        <x:v>0</x:v>
      </x:c>
      <x:c r="Q198" s="25" t="n">
        <x:v>0</x:v>
      </x:c>
      <x:c r="R198" s="25" t="str">
        <x:v>洗练绑定装备；项链幸运绑定人物永久进度；武器幸运成本忽略</x:v>
      </x:c>
    </x:row>
    <x:row r="199">
      <x:c r="A199" s="25" t="str">
        <x:v>C03-G</x:v>
      </x:c>
      <x:c r="B199" s="25" t="str">
        <x:v>宁姆格福西域</x:v>
      </x:c>
      <x:c r="C199" s="25" t="str">
        <x:v>半急速毕业</x:v>
      </x:c>
      <x:c r="D199" s="25" t="n">
        <x:v>0</x:v>
      </x:c>
      <x:c r="E199" s="25" t="n">
        <x:v>93</x:v>
      </x:c>
      <x:c r="F199" s="25" t="str">
        <x:v>巨犀荒铠</x:v>
      </x:c>
      <x:c r="G199" s="25" t="str">
        <x:v>衣服</x:v>
      </x:c>
      <x:c r="H199" s="25" t="n">
        <x:v>3</x:v>
      </x:c>
      <x:c r="I199" s="25" t="str">
        <x:v>地图BOSS</x:v>
      </x:c>
      <x:c r="J199" s="25" t="str">
        <x:v>S07</x:v>
      </x:c>
      <x:c r="K199" s="25" t="str">
        <x:v>78-150</x:v>
      </x:c>
      <x:c r="L199" s="25" t="n">
        <x:v>440000</x:v>
      </x:c>
      <x:c r="M199" s="25" t="n">
        <x:v>6</x:v>
      </x:c>
      <x:c r="N199" s="25" t="str">
        <x:v>否</x:v>
      </x:c>
      <x:c r="O199" s="25" t="n">
        <x:v>0</x:v>
      </x:c>
      <x:c r="P199" s="25" t="n">
        <x:v>0</x:v>
      </x:c>
      <x:c r="Q199" s="25" t="n">
        <x:v>0</x:v>
      </x:c>
      <x:c r="R199" s="25" t="str">
        <x:v>洗练绑定装备；项链幸运绑定人物永久进度；武器幸运成本忽略</x:v>
      </x:c>
    </x:row>
    <x:row r="200">
      <x:c r="A200" s="25" t="str">
        <x:v>C03-G</x:v>
      </x:c>
      <x:c r="B200" s="25" t="str">
        <x:v>宁姆格福西域</x:v>
      </x:c>
      <x:c r="C200" s="25" t="str">
        <x:v>半急速毕业</x:v>
      </x:c>
      <x:c r="D200" s="25" t="n">
        <x:v>1</x:v>
      </x:c>
      <x:c r="E200" s="25" t="n">
        <x:v>92</x:v>
      </x:c>
      <x:c r="F200" s="25" t="str">
        <x:v>刑官断刃</x:v>
      </x:c>
      <x:c r="G200" s="25" t="str">
        <x:v>武器</x:v>
      </x:c>
      <x:c r="H200" s="25" t="n">
        <x:v>3</x:v>
      </x:c>
      <x:c r="I200" s="25" t="str">
        <x:v>稀有</x:v>
      </x:c>
      <x:c r="J200" s="25" t="str">
        <x:v>S07</x:v>
      </x:c>
      <x:c r="K200" s="25" t="str">
        <x:v>620-1200</x:v>
      </x:c>
      <x:c r="L200" s="25" t="n">
        <x:v>74000</x:v>
      </x:c>
      <x:c r="M200" s="25" t="n">
        <x:v>1</x:v>
      </x:c>
      <x:c r="N200" s="25" t="str">
        <x:v>否</x:v>
      </x:c>
      <x:c r="O200" s="25" t="n">
        <x:v>7</x:v>
      </x:c>
      <x:c r="P200" s="25" t="n">
        <x:v>0</x:v>
      </x:c>
      <x:c r="Q200" s="25" t="n">
        <x:v>0</x:v>
      </x:c>
      <x:c r="R200" s="25" t="str">
        <x:v>洗练绑定装备；项链幸运绑定人物永久进度；武器幸运成本忽略</x:v>
      </x:c>
    </x:row>
    <x:row r="201">
      <x:c r="A201" s="25" t="str">
        <x:v>C03-G</x:v>
      </x:c>
      <x:c r="B201" s="25" t="str">
        <x:v>宁姆格福西域</x:v>
      </x:c>
      <x:c r="C201" s="25" t="str">
        <x:v>半急速毕业</x:v>
      </x:c>
      <x:c r="D201" s="25" t="n">
        <x:v>2</x:v>
      </x:c>
      <x:c r="E201" s="25" t="n">
        <x:v>88</x:v>
      </x:c>
      <x:c r="F201" s="25" t="str">
        <x:v>火漆追缉令</x:v>
      </x:c>
      <x:c r="G201" s="25" t="str">
        <x:v>勋章</x:v>
      </x:c>
      <x:c r="H201" s="25" t="n">
        <x:v>3</x:v>
      </x:c>
      <x:c r="I201" s="25" t="str">
        <x:v>稀有</x:v>
      </x:c>
      <x:c r="J201" s="25" t="str">
        <x:v>S07</x:v>
      </x:c>
      <x:c r="K201" s="25" t="str">
        <x:v>78-150</x:v>
      </x:c>
      <x:c r="L201" s="25" t="n">
        <x:v>71000</x:v>
      </x:c>
      <x:c r="M201" s="25" t="n">
        <x:v>0</x:v>
      </x:c>
      <x:c r="N201" s="25" t="str">
        <x:v>否</x:v>
      </x:c>
      <x:c r="O201" s="25" t="n">
        <x:v>0</x:v>
      </x:c>
      <x:c r="P201" s="25" t="n">
        <x:v>0</x:v>
      </x:c>
      <x:c r="Q201" s="25" t="n">
        <x:v>0</x:v>
      </x:c>
      <x:c r="R201" s="25" t="str">
        <x:v>洗练绑定装备；项链幸运绑定人物永久进度；武器幸运成本忽略</x:v>
      </x:c>
    </x:row>
    <x:row r="202">
      <x:c r="A202" s="25" t="str">
        <x:v>C03-G</x:v>
      </x:c>
      <x:c r="B202" s="25" t="str">
        <x:v>宁姆格福西域</x:v>
      </x:c>
      <x:c r="C202" s="25" t="str">
        <x:v>半急速毕业</x:v>
      </x:c>
      <x:c r="D202" s="25" t="n">
        <x:v>3</x:v>
      </x:c>
      <x:c r="E202" s="25" t="n">
        <x:v>50</x:v>
      </x:c>
      <x:c r="F202" s="25" t="str">
        <x:v>卢恩骑士项链</x:v>
      </x:c>
      <x:c r="G202" s="25" t="str">
        <x:v>项链</x:v>
      </x:c>
      <x:c r="H202" s="25" t="n">
        <x:v>2</x:v>
      </x:c>
      <x:c r="I202" s="25" t="str">
        <x:v>制式</x:v>
      </x:c>
      <x:c r="J202" s="25" t="str">
        <x:v>S01</x:v>
      </x:c>
      <x:c r="K202" s="25" t="str">
        <x:v>37-73</x:v>
      </x:c>
      <x:c r="L202" s="25" t="n">
        <x:v>9750</x:v>
      </x:c>
      <x:c r="M202" s="25" t="n">
        <x:v>1</x:v>
      </x:c>
      <x:c r="N202" s="25" t="str">
        <x:v>否</x:v>
      </x:c>
      <x:c r="O202" s="25" t="n">
        <x:v>0</x:v>
      </x:c>
      <x:c r="P202" s="25" t="n">
        <x:v>0</x:v>
      </x:c>
      <x:c r="Q202" s="25" t="n">
        <x:v>0</x:v>
      </x:c>
      <x:c r="R202" s="25" t="str">
        <x:v>洗练绑定装备；项链幸运绑定人物永久进度；武器幸运成本忽略</x:v>
      </x:c>
    </x:row>
    <x:row r="203">
      <x:c r="A203" s="25" t="str">
        <x:v>C03-G</x:v>
      </x:c>
      <x:c r="B203" s="25" t="str">
        <x:v>宁姆格福西域</x:v>
      </x:c>
      <x:c r="C203" s="25" t="str">
        <x:v>半急速毕业</x:v>
      </x:c>
      <x:c r="D203" s="25" t="n">
        <x:v>4</x:v>
      </x:c>
      <x:c r="E203" s="25" t="n">
        <x:v>35</x:v>
      </x:c>
      <x:c r="F203" s="25" t="str">
        <x:v>圣树先锋战盔</x:v>
      </x:c>
      <x:c r="G203" s="25" t="str">
        <x:v>头盔</x:v>
      </x:c>
      <x:c r="H203" s="25" t="n">
        <x:v>2</x:v>
      </x:c>
      <x:c r="I203" s="25" t="str">
        <x:v>制式</x:v>
      </x:c>
      <x:c r="J203" s="25" t="str">
        <x:v>S01</x:v>
      </x:c>
      <x:c r="K203" s="25" t="str">
        <x:v>24-48</x:v>
      </x:c>
      <x:c r="L203" s="25" t="n">
        <x:v>15000</x:v>
      </x:c>
      <x:c r="M203" s="25" t="n">
        <x:v>4</x:v>
      </x:c>
      <x:c r="N203" s="25" t="str">
        <x:v>否</x:v>
      </x:c>
      <x:c r="O203" s="25" t="n">
        <x:v>0</x:v>
      </x:c>
      <x:c r="P203" s="25" t="n">
        <x:v>0</x:v>
      </x:c>
      <x:c r="Q203" s="25" t="n">
        <x:v>0</x:v>
      </x:c>
      <x:c r="R203" s="25" t="str">
        <x:v>洗练绑定装备；项链幸运绑定人物永久进度；武器幸运成本忽略</x:v>
      </x:c>
    </x:row>
    <x:row r="204">
      <x:c r="A204" s="25" t="str">
        <x:v>C03-G</x:v>
      </x:c>
      <x:c r="B204" s="25" t="str">
        <x:v>宁姆格福西域</x:v>
      </x:c>
      <x:c r="C204" s="25" t="str">
        <x:v>半急速毕业</x:v>
      </x:c>
      <x:c r="D204" s="25" t="n">
        <x:v>5</x:v>
      </x:c>
      <x:c r="E204" s="25" t="n">
        <x:v>73</x:v>
      </x:c>
      <x:c r="F204" s="25" t="str">
        <x:v>古龙近卫腕甲</x:v>
      </x:c>
      <x:c r="G204" s="25" t="str">
        <x:v>手镯</x:v>
      </x:c>
      <x:c r="H204" s="25" t="n">
        <x:v>2</x:v>
      </x:c>
      <x:c r="I204" s="25" t="str">
        <x:v>制式</x:v>
      </x:c>
      <x:c r="J204" s="25" t="str">
        <x:v>S01</x:v>
      </x:c>
      <x:c r="K204" s="25" t="str">
        <x:v>51-102</x:v>
      </x:c>
      <x:c r="L204" s="25" t="n">
        <x:v>17000</x:v>
      </x:c>
      <x:c r="M204" s="25" t="n">
        <x:v>5</x:v>
      </x:c>
      <x:c r="N204" s="25" t="str">
        <x:v>否</x:v>
      </x:c>
      <x:c r="O204" s="25" t="n">
        <x:v>0</x:v>
      </x:c>
      <x:c r="P204" s="25" t="n">
        <x:v>0</x:v>
      </x:c>
      <x:c r="Q204" s="25" t="n">
        <x:v>0</x:v>
      </x:c>
      <x:c r="R204" s="25" t="str">
        <x:v>洗练绑定装备；项链幸运绑定人物永久进度；武器幸运成本忽略</x:v>
      </x:c>
    </x:row>
    <x:row r="205">
      <x:c r="A205" s="25" t="str">
        <x:v>C03-G</x:v>
      </x:c>
      <x:c r="B205" s="25" t="str">
        <x:v>宁姆格福西域</x:v>
      </x:c>
      <x:c r="C205" s="25" t="str">
        <x:v>半急速毕业</x:v>
      </x:c>
      <x:c r="D205" s="25" t="n">
        <x:v>6</x:v>
      </x:c>
      <x:c r="E205" s="25" t="n">
        <x:v>68</x:v>
      </x:c>
      <x:c r="F205" s="25" t="str">
        <x:v>百指接肢腕</x:v>
      </x:c>
      <x:c r="G205" s="25" t="str">
        <x:v>手镯</x:v>
      </x:c>
      <x:c r="H205" s="25" t="n">
        <x:v>2</x:v>
      </x:c>
      <x:c r="I205" s="25" t="str">
        <x:v>装备合成</x:v>
      </x:c>
      <x:c r="J205" s="25" t="str">
        <x:v>S07</x:v>
      </x:c>
      <x:c r="K205" s="25" t="str">
        <x:v>110-210</x:v>
      </x:c>
      <x:c r="L205" s="25" t="n">
        <x:v>85000</x:v>
      </x:c>
      <x:c r="M205" s="25" t="n">
        <x:v>5</x:v>
      </x:c>
      <x:c r="N205" s="25" t="str">
        <x:v>否</x:v>
      </x:c>
      <x:c r="O205" s="25" t="n">
        <x:v>0</x:v>
      </x:c>
      <x:c r="P205" s="25" t="n">
        <x:v>0</x:v>
      </x:c>
      <x:c r="Q205" s="25" t="n">
        <x:v>0</x:v>
      </x:c>
      <x:c r="R205" s="25" t="str">
        <x:v>洗练绑定装备；项链幸运绑定人物永久进度；武器幸运成本忽略</x:v>
      </x:c>
    </x:row>
    <x:row r="206">
      <x:c r="A206" s="25" t="str">
        <x:v>C03-G</x:v>
      </x:c>
      <x:c r="B206" s="25" t="str">
        <x:v>宁姆格福西域</x:v>
      </x:c>
      <x:c r="C206" s="25" t="str">
        <x:v>半急速毕业</x:v>
      </x:c>
      <x:c r="D206" s="25" t="n">
        <x:v>7</x:v>
      </x:c>
      <x:c r="E206" s="25" t="n">
        <x:v>75</x:v>
      </x:c>
      <x:c r="F206" s="25" t="str">
        <x:v>归乡弩戒</x:v>
      </x:c>
      <x:c r="G206" s="25" t="str">
        <x:v>戒指</x:v>
      </x:c>
      <x:c r="H206" s="25" t="n">
        <x:v>2</x:v>
      </x:c>
      <x:c r="I206" s="25" t="str">
        <x:v>普通</x:v>
      </x:c>
      <x:c r="J206" s="25" t="str">
        <x:v>S02</x:v>
      </x:c>
      <x:c r="K206" s="25" t="str">
        <x:v>41-79</x:v>
      </x:c>
      <x:c r="L206" s="25" t="n">
        <x:v>15700</x:v>
      </x:c>
      <x:c r="M206" s="25" t="n">
        <x:v>3</x:v>
      </x:c>
      <x:c r="N206" s="25" t="str">
        <x:v>否</x:v>
      </x:c>
      <x:c r="O206" s="25" t="n">
        <x:v>0</x:v>
      </x:c>
      <x:c r="P206" s="25" t="n">
        <x:v>0</x:v>
      </x:c>
      <x:c r="Q206" s="25" t="n">
        <x:v>0</x:v>
      </x:c>
      <x:c r="R206" s="25" t="str">
        <x:v>洗练绑定装备；项链幸运绑定人物永久进度；武器幸运成本忽略</x:v>
      </x:c>
    </x:row>
    <x:row r="207">
      <x:c r="A207" s="25" t="str">
        <x:v>C03-G</x:v>
      </x:c>
      <x:c r="B207" s="25" t="str">
        <x:v>宁姆格福西域</x:v>
      </x:c>
      <x:c r="C207" s="25" t="str">
        <x:v>半急速毕业</x:v>
      </x:c>
      <x:c r="D207" s="25" t="n">
        <x:v>8</x:v>
      </x:c>
      <x:c r="E207" s="25" t="n">
        <x:v>54</x:v>
      </x:c>
      <x:c r="F207" s="25" t="str">
        <x:v>潮归秘戒</x:v>
      </x:c>
      <x:c r="G207" s="25" t="str">
        <x:v>戒指</x:v>
      </x:c>
      <x:c r="H207" s="25" t="n">
        <x:v>1</x:v>
      </x:c>
      <x:c r="I207" s="25" t="str">
        <x:v>装备合成</x:v>
      </x:c>
      <x:c r="J207" s="25" t="str">
        <x:v>S07</x:v>
      </x:c>
      <x:c r="K207" s="25" t="str">
        <x:v>50-96</x:v>
      </x:c>
      <x:c r="L207" s="25" t="n">
        <x:v>39000</x:v>
      </x:c>
      <x:c r="M207" s="25" t="n">
        <x:v>4</x:v>
      </x:c>
      <x:c r="N207" s="25" t="str">
        <x:v>否</x:v>
      </x:c>
      <x:c r="O207" s="25" t="n">
        <x:v>0</x:v>
      </x:c>
      <x:c r="P207" s="25" t="n">
        <x:v>0</x:v>
      </x:c>
      <x:c r="Q207" s="25" t="n">
        <x:v>0</x:v>
      </x:c>
      <x:c r="R207" s="25" t="str">
        <x:v>洗练绑定装备；项链幸运绑定人物永久进度；武器幸运成本忽略</x:v>
      </x:c>
    </x:row>
    <x:row r="208">
      <x:c r="A208" s="25" t="str">
        <x:v>C03-G</x:v>
      </x:c>
      <x:c r="B208" s="25" t="str">
        <x:v>宁姆格福西域</x:v>
      </x:c>
      <x:c r="C208" s="25" t="str">
        <x:v>半急速毕业</x:v>
      </x:c>
      <x:c r="D208" s="25" t="n">
        <x:v>10</x:v>
      </x:c>
      <x:c r="E208" s="25" t="n">
        <x:v>36</x:v>
      </x:c>
      <x:c r="F208" s="25" t="str">
        <x:v>黄金戍卫腰带</x:v>
      </x:c>
      <x:c r="G208" s="25" t="str">
        <x:v>腰带</x:v>
      </x:c>
      <x:c r="H208" s="25" t="n">
        <x:v>2</x:v>
      </x:c>
      <x:c r="I208" s="25" t="str">
        <x:v>制式</x:v>
      </x:c>
      <x:c r="J208" s="25" t="str">
        <x:v>S01</x:v>
      </x:c>
      <x:c r="K208" s="25" t="str">
        <x:v>22-44</x:v>
      </x:c>
      <x:c r="L208" s="25" t="n">
        <x:v>13800</x:v>
      </x:c>
      <x:c r="M208" s="25" t="n">
        <x:v>4</x:v>
      </x:c>
      <x:c r="N208" s="25" t="str">
        <x:v>否</x:v>
      </x:c>
      <x:c r="O208" s="25" t="n">
        <x:v>0</x:v>
      </x:c>
      <x:c r="P208" s="25" t="n">
        <x:v>0</x:v>
      </x:c>
      <x:c r="Q208" s="25" t="n">
        <x:v>0</x:v>
      </x:c>
      <x:c r="R208" s="25" t="str">
        <x:v>洗练绑定装备；项链幸运绑定人物永久进度；武器幸运成本忽略</x:v>
      </x:c>
    </x:row>
    <x:row r="209">
      <x:c r="A209" s="25" t="str">
        <x:v>C03-G</x:v>
      </x:c>
      <x:c r="B209" s="25" t="str">
        <x:v>宁姆格福西域</x:v>
      </x:c>
      <x:c r="C209" s="25" t="str">
        <x:v>半急速毕业</x:v>
      </x:c>
      <x:c r="D209" s="25" t="n">
        <x:v>11</x:v>
      </x:c>
      <x:c r="E209" s="25" t="n">
        <x:v>94</x:v>
      </x:c>
      <x:c r="F209" s="25" t="str">
        <x:v>逐风征靴</x:v>
      </x:c>
      <x:c r="G209" s="25" t="str">
        <x:v>鞋子</x:v>
      </x:c>
      <x:c r="H209" s="25" t="n">
        <x:v>3</x:v>
      </x:c>
      <x:c r="I209" s="25" t="str">
        <x:v>装备合成</x:v>
      </x:c>
      <x:c r="J209" s="25" t="str">
        <x:v>S07</x:v>
      </x:c>
      <x:c r="K209" s="25" t="str">
        <x:v>100-200</x:v>
      </x:c>
      <x:c r="L209" s="25" t="n">
        <x:v>150000</x:v>
      </x:c>
      <x:c r="M209" s="25" t="n">
        <x:v>2</x:v>
      </x:c>
      <x:c r="N209" s="25" t="str">
        <x:v>否</x:v>
      </x:c>
      <x:c r="O209" s="25" t="n">
        <x:v>0</x:v>
      </x:c>
      <x:c r="P209" s="25" t="n">
        <x:v>0</x:v>
      </x:c>
      <x:c r="Q209" s="25" t="n">
        <x:v>0</x:v>
      </x:c>
      <x:c r="R209" s="25" t="str">
        <x:v>洗练绑定装备；项链幸运绑定人物永久进度；武器幸运成本忽略</x:v>
      </x:c>
    </x:row>
    <x:row r="210">
      <x:c r="A210" s="25" t="str">
        <x:v>C03-G</x:v>
      </x:c>
      <x:c r="B210" s="25" t="str">
        <x:v>宁姆格福西域</x:v>
      </x:c>
      <x:c r="C210" s="25" t="str">
        <x:v>半急速毕业</x:v>
      </x:c>
      <x:c r="D210" s="25" t="n">
        <x:v>13</x:v>
      </x:c>
      <x:c r="E210" s="25" t="n">
        <x:v>12</x:v>
      </x:c>
      <x:c r="F210" s="25" t="str">
        <x:v>石蜥面巾</x:v>
      </x:c>
      <x:c r="G210" s="25" t="str">
        <x:v>斗笠</x:v>
      </x:c>
      <x:c r="H210" s="25" t="n">
        <x:v>1</x:v>
      </x:c>
      <x:c r="I210" s="25" t="str">
        <x:v>普通</x:v>
      </x:c>
      <x:c r="J210" s="25" t="str">
        <x:v>S02</x:v>
      </x:c>
      <x:c r="K210" s="25" t="str">
        <x:v>12-24</x:v>
      </x:c>
      <x:c r="L210" s="25" t="n">
        <x:v>10000</x:v>
      </x:c>
      <x:c r="M210" s="25" t="n">
        <x:v>0</x:v>
      </x:c>
      <x:c r="N210" s="25" t="str">
        <x:v>否</x:v>
      </x:c>
      <x:c r="O210" s="25" t="n">
        <x:v>0</x:v>
      </x:c>
      <x:c r="P210" s="25" t="n">
        <x:v>0</x:v>
      </x:c>
      <x:c r="Q210" s="25" t="n">
        <x:v>0</x:v>
      </x:c>
      <x:c r="R210" s="25" t="str">
        <x:v>洗练绑定装备；项链幸运绑定人物永久进度；武器幸运成本忽略</x:v>
      </x:c>
    </x:row>
    <x:row r="211">
      <x:c r="A211" s="25" t="str">
        <x:v>C03-G</x:v>
      </x:c>
      <x:c r="B211" s="25" t="str">
        <x:v>宁姆格福西域</x:v>
      </x:c>
      <x:c r="C211" s="25" t="str">
        <x:v>半急速毕业</x:v>
      </x:c>
      <x:c r="D211" s="25" t="n">
        <x:v>16</x:v>
      </x:c>
      <x:c r="E211" s="25" t="n">
        <x:v>89</x:v>
      </x:c>
      <x:c r="F211" s="25" t="str">
        <x:v>边境塔盾</x:v>
      </x:c>
      <x:c r="G211" s="25" t="str">
        <x:v>盾牌</x:v>
      </x:c>
      <x:c r="H211" s="25" t="n">
        <x:v>3</x:v>
      </x:c>
      <x:c r="I211" s="25" t="str">
        <x:v>稀有</x:v>
      </x:c>
      <x:c r="J211" s="25" t="str">
        <x:v>S07</x:v>
      </x:c>
      <x:c r="K211" s="25" t="str">
        <x:v>68-130</x:v>
      </x:c>
      <x:c r="L211" s="25" t="n">
        <x:v>250000</x:v>
      </x:c>
      <x:c r="M211" s="25" t="n">
        <x:v>0</x:v>
      </x:c>
      <x:c r="N211" s="25" t="str">
        <x:v>否</x:v>
      </x:c>
      <x:c r="O211" s="25" t="n">
        <x:v>0</x:v>
      </x:c>
      <x:c r="P211" s="25" t="n">
        <x:v>0</x:v>
      </x:c>
      <x:c r="Q211" s="25" t="n">
        <x:v>0</x:v>
      </x:c>
      <x:c r="R211" s="25" t="str">
        <x:v>洗练绑定装备；项链幸运绑定人物永久进度；武器幸运成本忽略</x:v>
      </x:c>
    </x:row>
    <x:row r="212">
      <x:c r="A212" s="25" t="str">
        <x:v>C03-G</x:v>
      </x:c>
      <x:c r="B212" s="25" t="str">
        <x:v>宁姆格福西域</x:v>
      </x:c>
      <x:c r="C212" s="25" t="str">
        <x:v>半急速毕业</x:v>
      </x:c>
      <x:c r="D212" s="25" t="n">
        <x:v>18</x:v>
      </x:c>
      <x:c r="E212" s="25" t="n">
        <x:v>26</x:v>
      </x:c>
      <x:c r="F212" s="25" t="str">
        <x:v>无冠王衣</x:v>
      </x:c>
      <x:c r="G212" s="25" t="str">
        <x:v>时装衣服</x:v>
      </x:c>
      <x:c r="H212" s="25" t="n">
        <x:v>1</x:v>
      </x:c>
      <x:c r="I212" s="25" t="str">
        <x:v>守关BOSS</x:v>
      </x:c>
      <x:c r="J212" s="25" t="str">
        <x:v>S02</x:v>
      </x:c>
      <x:c r="K212" s="25" t="str">
        <x:v>28-53</x:v>
      </x:c>
      <x:c r="L212" s="25" t="n">
        <x:v>74300</x:v>
      </x:c>
      <x:c r="M212" s="25" t="n">
        <x:v>0</x:v>
      </x:c>
      <x:c r="N212" s="25" t="str">
        <x:v>否</x:v>
      </x:c>
      <x:c r="O212" s="25" t="n">
        <x:v>0</x:v>
      </x:c>
      <x:c r="P212" s="25" t="n">
        <x:v>0</x:v>
      </x:c>
      <x:c r="Q212" s="25" t="n">
        <x:v>0</x:v>
      </x:c>
      <x:c r="R212" s="25" t="str">
        <x:v>洗练绑定装备；项链幸运绑定人物永久进度；武器幸运成本忽略</x:v>
      </x:c>
    </x:row>
    <x:row r="213">
      <x:c r="A213" s="25" t="str">
        <x:v>C03-G</x:v>
      </x:c>
      <x:c r="B213" s="25" t="str">
        <x:v>宁姆格福西域</x:v>
      </x:c>
      <x:c r="C213" s="25" t="str">
        <x:v>半急速毕业</x:v>
      </x:c>
      <x:c r="D213" s="25" t="n">
        <x:v>19</x:v>
      </x:c>
      <x:c r="E213" s="25" t="n">
        <x:v>64</x:v>
      </x:c>
      <x:c r="F213" s="25" t="str">
        <x:v>百夫熔戟</x:v>
      </x:c>
      <x:c r="G213" s="25" t="str">
        <x:v>时装武器</x:v>
      </x:c>
      <x:c r="H213" s="25" t="n">
        <x:v>2</x:v>
      </x:c>
      <x:c r="I213" s="25" t="str">
        <x:v>稀有</x:v>
      </x:c>
      <x:c r="J213" s="25" t="str">
        <x:v>S02</x:v>
      </x:c>
      <x:c r="K213" s="25" t="str">
        <x:v>150-288</x:v>
      </x:c>
      <x:c r="L213" s="25" t="n">
        <x:v>45400</x:v>
      </x:c>
      <x:c r="M213" s="25" t="n">
        <x:v>0</x:v>
      </x:c>
      <x:c r="N213" s="25" t="str">
        <x:v>否</x:v>
      </x:c>
      <x:c r="O213" s="25" t="n">
        <x:v>0</x:v>
      </x:c>
      <x:c r="P213" s="25" t="n">
        <x:v>0</x:v>
      </x:c>
      <x:c r="Q213" s="25" t="n">
        <x:v>0</x:v>
      </x:c>
      <x:c r="R213" s="25" t="str">
        <x:v>洗练绑定装备；项链幸运绑定人物永久进度；武器幸运成本忽略</x:v>
      </x:c>
    </x:row>
    <x:row r="214">
      <x:c r="A214" s="25" t="str">
        <x:v>C03-G</x:v>
      </x:c>
      <x:c r="B214" s="25" t="str">
        <x:v>宁姆格福西域</x:v>
      </x:c>
      <x:c r="C214" s="25" t="str">
        <x:v>半急速毕业</x:v>
      </x:c>
      <x:c r="D214" s="25" t="n">
        <x:v>20</x:v>
      </x:c>
      <x:c r="E214" s="25" t="n">
        <x:v>40</x:v>
      </x:c>
      <x:c r="F214" s="25" t="str">
        <x:v>英雄余誓</x:v>
      </x:c>
      <x:c r="G214" s="25" t="str">
        <x:v>时装项链</x:v>
      </x:c>
      <x:c r="H214" s="25" t="n">
        <x:v>2</x:v>
      </x:c>
      <x:c r="I214" s="25" t="str">
        <x:v>稀有</x:v>
      </x:c>
      <x:c r="J214" s="25" t="str">
        <x:v>S02</x:v>
      </x:c>
      <x:c r="K214" s="25" t="str">
        <x:v>31-60</x:v>
      </x:c>
      <x:c r="L214" s="25" t="n">
        <x:v>17900</x:v>
      </x:c>
      <x:c r="M214" s="25" t="n">
        <x:v>0</x:v>
      </x:c>
      <x:c r="N214" s="25" t="str">
        <x:v>否</x:v>
      </x:c>
      <x:c r="O214" s="25" t="n">
        <x:v>0</x:v>
      </x:c>
      <x:c r="P214" s="25" t="n">
        <x:v>0</x:v>
      </x:c>
      <x:c r="Q214" s="25" t="n">
        <x:v>0</x:v>
      </x:c>
      <x:c r="R214" s="25" t="str">
        <x:v>洗练绑定装备；项链幸运绑定人物永久进度；武器幸运成本忽略</x:v>
      </x:c>
    </x:row>
    <x:row r="215">
      <x:c r="A215" s="25" t="str">
        <x:v>C03-G</x:v>
      </x:c>
      <x:c r="B215" s="25" t="str">
        <x:v>宁姆格福西域</x:v>
      </x:c>
      <x:c r="C215" s="25" t="str">
        <x:v>半急速毕业</x:v>
      </x:c>
      <x:c r="D215" s="25" t="n">
        <x:v>21</x:v>
      </x:c>
      <x:c r="E215" s="25" t="n">
        <x:v>41</x:v>
      </x:c>
      <x:c r="F215" s="25" t="str">
        <x:v>初火兜鍪</x:v>
      </x:c>
      <x:c r="G215" s="25" t="str">
        <x:v>时装头盔</x:v>
      </x:c>
      <x:c r="H215" s="25" t="n">
        <x:v>2</x:v>
      </x:c>
      <x:c r="I215" s="25" t="str">
        <x:v>稀有</x:v>
      </x:c>
      <x:c r="J215" s="25" t="str">
        <x:v>S02</x:v>
      </x:c>
      <x:c r="K215" s="25" t="str">
        <x:v>22-42</x:v>
      </x:c>
      <x:c r="L215" s="25" t="n">
        <x:v>30900</x:v>
      </x:c>
      <x:c r="M215" s="25" t="n">
        <x:v>0</x:v>
      </x:c>
      <x:c r="N215" s="25" t="str">
        <x:v>否</x:v>
      </x:c>
      <x:c r="O215" s="25" t="n">
        <x:v>0</x:v>
      </x:c>
      <x:c r="P215" s="25" t="n">
        <x:v>0</x:v>
      </x:c>
      <x:c r="Q215" s="25" t="n">
        <x:v>0</x:v>
      </x:c>
      <x:c r="R215" s="25" t="str">
        <x:v>洗练绑定装备；项链幸运绑定人物永久进度；武器幸运成本忽略</x:v>
      </x:c>
    </x:row>
    <x:row r="216">
      <x:c r="A216" s="25" t="str">
        <x:v>C03-G</x:v>
      </x:c>
      <x:c r="B216" s="25" t="str">
        <x:v>宁姆格福西域</x:v>
      </x:c>
      <x:c r="C216" s="25" t="str">
        <x:v>半急速毕业</x:v>
      </x:c>
      <x:c r="D216" s="25" t="n">
        <x:v>22</x:v>
      </x:c>
      <x:c r="E216" s="25" t="n">
        <x:v>42</x:v>
      </x:c>
      <x:c r="F216" s="25" t="str">
        <x:v>卢恩血镯</x:v>
      </x:c>
      <x:c r="G216" s="25" t="str">
        <x:v>时装手镯</x:v>
      </x:c>
      <x:c r="H216" s="25" t="n">
        <x:v>2</x:v>
      </x:c>
      <x:c r="I216" s="25" t="str">
        <x:v>稀有</x:v>
      </x:c>
      <x:c r="J216" s="25" t="str">
        <x:v>S02</x:v>
      </x:c>
      <x:c r="K216" s="25" t="str">
        <x:v>42-80</x:v>
      </x:c>
      <x:c r="L216" s="25" t="n">
        <x:v>34400</x:v>
      </x:c>
      <x:c r="M216" s="25" t="n">
        <x:v>0</x:v>
      </x:c>
      <x:c r="N216" s="25" t="str">
        <x:v>否</x:v>
      </x:c>
      <x:c r="O216" s="25" t="n">
        <x:v>0</x:v>
      </x:c>
      <x:c r="P216" s="25" t="n">
        <x:v>0</x:v>
      </x:c>
      <x:c r="Q216" s="25" t="n">
        <x:v>0</x:v>
      </x:c>
      <x:c r="R216" s="25" t="str">
        <x:v>洗练绑定装备；项链幸运绑定人物永久进度；武器幸运成本忽略</x:v>
      </x:c>
    </x:row>
    <x:row r="217">
      <x:c r="A217" s="25" t="str">
        <x:v>C03-G</x:v>
      </x:c>
      <x:c r="B217" s="25" t="str">
        <x:v>宁姆格福西域</x:v>
      </x:c>
      <x:c r="C217" s="25" t="str">
        <x:v>半急速毕业</x:v>
      </x:c>
      <x:c r="D217" s="25" t="n">
        <x:v>24</x:v>
      </x:c>
      <x:c r="E217" s="25" t="n">
        <x:v>43</x:v>
      </x:c>
      <x:c r="F217" s="25" t="str">
        <x:v>黄金树戒</x:v>
      </x:c>
      <x:c r="G217" s="25" t="str">
        <x:v>时装戒指</x:v>
      </x:c>
      <x:c r="H217" s="25" t="n">
        <x:v>2</x:v>
      </x:c>
      <x:c r="I217" s="25" t="str">
        <x:v>稀有</x:v>
      </x:c>
      <x:c r="J217" s="25" t="str">
        <x:v>S02</x:v>
      </x:c>
      <x:c r="K217" s="25" t="str">
        <x:v>42-80</x:v>
      </x:c>
      <x:c r="L217" s="25" t="n">
        <x:v>34400</x:v>
      </x:c>
      <x:c r="M217" s="25" t="n">
        <x:v>0</x:v>
      </x:c>
      <x:c r="N217" s="25" t="str">
        <x:v>否</x:v>
      </x:c>
      <x:c r="O217" s="25" t="n">
        <x:v>0</x:v>
      </x:c>
      <x:c r="P217" s="25" t="n">
        <x:v>0</x:v>
      </x:c>
      <x:c r="Q217" s="25" t="n">
        <x:v>0</x:v>
      </x:c>
      <x:c r="R217" s="25" t="str">
        <x:v>洗练绑定装备；项链幸运绑定人物永久进度；武器幸运成本忽略</x:v>
      </x:c>
    </x:row>
    <x:row r="218">
      <x:c r="A218" s="25" t="str">
        <x:v>C03-G</x:v>
      </x:c>
      <x:c r="B218" s="25" t="str">
        <x:v>宁姆格福西域</x:v>
      </x:c>
      <x:c r="C218" s="25" t="str">
        <x:v>半急速毕业</x:v>
      </x:c>
      <x:c r="D218" s="25" t="n">
        <x:v>40</x:v>
      </x:c>
      <x:c r="E218" s="25" t="n">
        <x:v>44</x:v>
      </x:c>
      <x:c r="F218" s="25" t="str">
        <x:v>腐树子鼠</x:v>
      </x:c>
      <x:c r="G218" s="25" t="str">
        <x:v>生肖1</x:v>
      </x:c>
      <x:c r="H218" s="25" t="n">
        <x:v>2</x:v>
      </x:c>
      <x:c r="I218" s="25" t="str">
        <x:v>BOSS</x:v>
      </x:c>
      <x:c r="J218" s="25" t="str">
        <x:v>S02</x:v>
      </x:c>
      <x:c r="K218" s="25" t="str">
        <x:v>29-56</x:v>
      </x:c>
      <x:c r="L218" s="25" t="n">
        <x:v>23600</x:v>
      </x:c>
      <x:c r="M218" s="25" t="n">
        <x:v>0</x:v>
      </x:c>
      <x:c r="N218" s="25" t="str">
        <x:v>否</x:v>
      </x:c>
      <x:c r="O218" s="25" t="n">
        <x:v>0</x:v>
      </x:c>
      <x:c r="P218" s="25" t="n">
        <x:v>0</x:v>
      </x:c>
      <x:c r="Q218" s="25" t="n">
        <x:v>0</x:v>
      </x:c>
      <x:c r="R218" s="25" t="str">
        <x:v>洗练绑定装备；项链幸运绑定人物永久进度；武器幸运成本忽略</x:v>
      </x:c>
    </x:row>
    <x:row r="219">
      <x:c r="A219" s="25" t="str">
        <x:v>C03-G</x:v>
      </x:c>
      <x:c r="B219" s="25" t="str">
        <x:v>宁姆格福西域</x:v>
      </x:c>
      <x:c r="C219" s="25" t="str">
        <x:v>半急速毕业</x:v>
      </x:c>
      <x:c r="D219" s="25" t="n">
        <x:v>41</x:v>
      </x:c>
      <x:c r="E219" s="25" t="n">
        <x:v>69</x:v>
      </x:c>
      <x:c r="F219" s="25" t="str">
        <x:v>丑牛·风暴负山</x:v>
      </x:c>
      <x:c r="G219" s="25" t="str">
        <x:v>生肖2</x:v>
      </x:c>
      <x:c r="H219" s="25" t="n">
        <x:v>2</x:v>
      </x:c>
      <x:c r="I219" s="25" t="str">
        <x:v>生肖合成</x:v>
      </x:c>
      <x:c r="J219" s="25" t="str">
        <x:v>S07</x:v>
      </x:c>
      <x:c r="K219" s="25" t="str">
        <x:v>25-49</x:v>
      </x:c>
      <x:c r="L219" s="25" t="n">
        <x:v>64000</x:v>
      </x:c>
      <x:c r="M219" s="25" t="n">
        <x:v>0</x:v>
      </x:c>
      <x:c r="N219" s="25" t="str">
        <x:v>否</x:v>
      </x:c>
      <x:c r="O219" s="25" t="n">
        <x:v>0</x:v>
      </x:c>
      <x:c r="P219" s="25" t="n">
        <x:v>0</x:v>
      </x:c>
      <x:c r="Q219" s="25" t="n">
        <x:v>0</x:v>
      </x:c>
      <x:c r="R219" s="25" t="str">
        <x:v>洗练绑定装备；项链幸运绑定人物永久进度；武器幸运成本忽略</x:v>
      </x:c>
    </x:row>
    <x:row r="220">
      <x:c r="A220" s="25" t="str">
        <x:v>C03-G</x:v>
      </x:c>
      <x:c r="B220" s="25" t="str">
        <x:v>宁姆格福西域</x:v>
      </x:c>
      <x:c r="C220" s="25" t="str">
        <x:v>半急速毕业</x:v>
      </x:c>
      <x:c r="D220" s="25" t="n">
        <x:v>42</x:v>
      </x:c>
      <x:c r="E220" s="25" t="n">
        <x:v>66</x:v>
      </x:c>
      <x:c r="F220" s="25" t="str">
        <x:v>长戟寅虎</x:v>
      </x:c>
      <x:c r="G220" s="25" t="str">
        <x:v>生肖3</x:v>
      </x:c>
      <x:c r="H220" s="25" t="n">
        <x:v>2</x:v>
      </x:c>
      <x:c r="I220" s="25" t="str">
        <x:v>BOSS</x:v>
      </x:c>
      <x:c r="J220" s="25" t="str">
        <x:v>S02</x:v>
      </x:c>
      <x:c r="K220" s="25" t="str">
        <x:v>34-65</x:v>
      </x:c>
      <x:c r="L220" s="25" t="n">
        <x:v>32600</x:v>
      </x:c>
      <x:c r="M220" s="25" t="n">
        <x:v>0</x:v>
      </x:c>
      <x:c r="N220" s="25" t="str">
        <x:v>否</x:v>
      </x:c>
      <x:c r="O220" s="25" t="n">
        <x:v>0</x:v>
      </x:c>
      <x:c r="P220" s="25" t="n">
        <x:v>0</x:v>
      </x:c>
      <x:c r="Q220" s="25" t="n">
        <x:v>0</x:v>
      </x:c>
      <x:c r="R220" s="25" t="str">
        <x:v>洗练绑定装备；项链幸运绑定人物永久进度；武器幸运成本忽略</x:v>
      </x:c>
    </x:row>
    <x:row r="221">
      <x:c r="A221" s="25" t="str">
        <x:v>C03-G</x:v>
      </x:c>
      <x:c r="B221" s="25" t="str">
        <x:v>宁姆格福西域</x:v>
      </x:c>
      <x:c r="C221" s="25" t="str">
        <x:v>半急速毕业</x:v>
      </x:c>
      <x:c r="D221" s="25" t="n">
        <x:v>43</x:v>
      </x:c>
      <x:c r="E221" s="25" t="n">
        <x:v>79</x:v>
      </x:c>
      <x:c r="F221" s="25" t="str">
        <x:v>无月卯兔</x:v>
      </x:c>
      <x:c r="G221" s="25" t="str">
        <x:v>生肖4</x:v>
      </x:c>
      <x:c r="H221" s="25" t="n">
        <x:v>2</x:v>
      </x:c>
      <x:c r="I221" s="25" t="str">
        <x:v>BOSS</x:v>
      </x:c>
      <x:c r="J221" s="25" t="str">
        <x:v>S02</x:v>
      </x:c>
      <x:c r="K221" s="25" t="str">
        <x:v>34-65</x:v>
      </x:c>
      <x:c r="L221" s="25" t="n">
        <x:v>32600</x:v>
      </x:c>
      <x:c r="M221" s="25" t="n">
        <x:v>0</x:v>
      </x:c>
      <x:c r="N221" s="25" t="str">
        <x:v>否</x:v>
      </x:c>
      <x:c r="O221" s="25" t="n">
        <x:v>0</x:v>
      </x:c>
      <x:c r="P221" s="25" t="n">
        <x:v>0</x:v>
      </x:c>
      <x:c r="Q221" s="25" t="n">
        <x:v>0</x:v>
      </x:c>
      <x:c r="R221" s="25" t="str">
        <x:v>洗练绑定装备；项链幸运绑定人物永久进度；武器幸运成本忽略</x:v>
      </x:c>
    </x:row>
    <x:row r="222">
      <x:c r="A222" s="25" t="str">
        <x:v>C03-G</x:v>
      </x:c>
      <x:c r="B222" s="25" t="str">
        <x:v>宁姆格福西域</x:v>
      </x:c>
      <x:c r="C222" s="25" t="str">
        <x:v>半急速毕业</x:v>
      </x:c>
      <x:c r="D222" s="25" t="n">
        <x:v>44</x:v>
      </x:c>
      <x:c r="E222" s="25" t="n">
        <x:v>91</x:v>
      </x:c>
      <x:c r="F222" s="25" t="str">
        <x:v>辰龙·荒原逐风</x:v>
      </x:c>
      <x:c r="G222" s="25" t="str">
        <x:v>生肖5</x:v>
      </x:c>
      <x:c r="H222" s="25" t="n">
        <x:v>3</x:v>
      </x:c>
      <x:c r="I222" s="25" t="str">
        <x:v>生肖合成</x:v>
      </x:c>
      <x:c r="J222" s="25" t="str">
        <x:v>S07</x:v>
      </x:c>
      <x:c r="K222" s="25" t="str">
        <x:v>47-90</x:v>
      </x:c>
      <x:c r="L222" s="25" t="n">
        <x:v>120000</x:v>
      </x:c>
      <x:c r="M222" s="25" t="n">
        <x:v>0</x:v>
      </x:c>
      <x:c r="N222" s="25" t="str">
        <x:v>否</x:v>
      </x:c>
      <x:c r="O222" s="25" t="n">
        <x:v>0</x:v>
      </x:c>
      <x:c r="P222" s="25" t="n">
        <x:v>0</x:v>
      </x:c>
      <x:c r="Q222" s="25" t="n">
        <x:v>0</x:v>
      </x:c>
      <x:c r="R222" s="25" t="str">
        <x:v>洗练绑定装备；项链幸运绑定人物永久进度；武器幸运成本忽略</x:v>
      </x:c>
    </x:row>
    <x:row r="223">
      <x:c r="A223" s="25" t="str">
        <x:v>C03-G</x:v>
      </x:c>
      <x:c r="B223" s="25" t="str">
        <x:v>宁姆格福西域</x:v>
      </x:c>
      <x:c r="C223" s="25" t="str">
        <x:v>半急速毕业</x:v>
      </x:c>
      <x:c r="D223" s="25" t="n">
        <x:v>45</x:v>
      </x:c>
      <x:c r="E223" s="25" t="n">
        <x:v>46</x:v>
      </x:c>
      <x:c r="F223" s="25" t="str">
        <x:v>祖魂巳蛇</x:v>
      </x:c>
      <x:c r="G223" s="25" t="str">
        <x:v>生肖6</x:v>
      </x:c>
      <x:c r="H223" s="25" t="n">
        <x:v>2</x:v>
      </x:c>
      <x:c r="I223" s="25" t="str">
        <x:v>稀有</x:v>
      </x:c>
      <x:c r="J223" s="25" t="str">
        <x:v>S02</x:v>
      </x:c>
      <x:c r="K223" s="25" t="str">
        <x:v>33-64</x:v>
      </x:c>
      <x:c r="L223" s="25" t="n">
        <x:v>39100</x:v>
      </x:c>
      <x:c r="M223" s="25" t="n">
        <x:v>0</x:v>
      </x:c>
      <x:c r="N223" s="25" t="str">
        <x:v>否</x:v>
      </x:c>
      <x:c r="O223" s="25" t="n">
        <x:v>0</x:v>
      </x:c>
      <x:c r="P223" s="25" t="n">
        <x:v>0</x:v>
      </x:c>
      <x:c r="Q223" s="25" t="n">
        <x:v>0</x:v>
      </x:c>
      <x:c r="R223" s="25" t="str">
        <x:v>洗练绑定装备；项链幸运绑定人物永久进度；武器幸运成本忽略</x:v>
      </x:c>
    </x:row>
    <x:row r="224">
      <x:c r="A224" s="25" t="str">
        <x:v>C03-G</x:v>
      </x:c>
      <x:c r="B224" s="25" t="str">
        <x:v>宁姆格福西域</x:v>
      </x:c>
      <x:c r="C224" s="25" t="str">
        <x:v>半急速毕业</x:v>
      </x:c>
      <x:c r="D224" s="25" t="n">
        <x:v>46</x:v>
      </x:c>
      <x:c r="E224" s="25" t="n">
        <x:v>80</x:v>
      </x:c>
      <x:c r="F224" s="25" t="str">
        <x:v>死水午马</x:v>
      </x:c>
      <x:c r="G224" s="25" t="str">
        <x:v>生肖7</x:v>
      </x:c>
      <x:c r="H224" s="25" t="n">
        <x:v>2</x:v>
      </x:c>
      <x:c r="I224" s="25" t="str">
        <x:v>BOSS</x:v>
      </x:c>
      <x:c r="J224" s="25" t="str">
        <x:v>S02</x:v>
      </x:c>
      <x:c r="K224" s="25" t="str">
        <x:v>38-74</x:v>
      </x:c>
      <x:c r="L224" s="25" t="n">
        <x:v>45300</x:v>
      </x:c>
      <x:c r="M224" s="25" t="n">
        <x:v>0</x:v>
      </x:c>
      <x:c r="N224" s="25" t="str">
        <x:v>否</x:v>
      </x:c>
      <x:c r="O224" s="25" t="n">
        <x:v>0</x:v>
      </x:c>
      <x:c r="P224" s="25" t="n">
        <x:v>0</x:v>
      </x:c>
      <x:c r="Q224" s="25" t="n">
        <x:v>0</x:v>
      </x:c>
      <x:c r="R224" s="25" t="str">
        <x:v>洗练绑定装备；项链幸运绑定人物永久进度；武器幸运成本忽略</x:v>
      </x:c>
    </x:row>
    <x:row r="225">
      <x:c r="A225" s="25" t="str">
        <x:v>C03-G</x:v>
      </x:c>
      <x:c r="B225" s="25" t="str">
        <x:v>宁姆格福西域</x:v>
      </x:c>
      <x:c r="C225" s="25" t="str">
        <x:v>半急速毕业</x:v>
      </x:c>
      <x:c r="D225" s="25" t="n">
        <x:v>47</x:v>
      </x:c>
      <x:c r="E225" s="25" t="n">
        <x:v>67</x:v>
      </x:c>
      <x:c r="F225" s="25" t="str">
        <x:v>葬日未羊</x:v>
      </x:c>
      <x:c r="G225" s="25" t="str">
        <x:v>生肖8</x:v>
      </x:c>
      <x:c r="H225" s="25" t="n">
        <x:v>2</x:v>
      </x:c>
      <x:c r="I225" s="25" t="str">
        <x:v>稀有</x:v>
      </x:c>
      <x:c r="J225" s="25" t="str">
        <x:v>S02</x:v>
      </x:c>
      <x:c r="K225" s="25" t="str">
        <x:v>37-72</x:v>
      </x:c>
      <x:c r="L225" s="25" t="n">
        <x:v>51600</x:v>
      </x:c>
      <x:c r="M225" s="25" t="n">
        <x:v>0</x:v>
      </x:c>
      <x:c r="N225" s="25" t="str">
        <x:v>否</x:v>
      </x:c>
      <x:c r="O225" s="25" t="n">
        <x:v>0</x:v>
      </x:c>
      <x:c r="P225" s="25" t="n">
        <x:v>0</x:v>
      </x:c>
      <x:c r="Q225" s="25" t="n">
        <x:v>0</x:v>
      </x:c>
      <x:c r="R225" s="25" t="str">
        <x:v>洗练绑定装备；项链幸运绑定人物永久进度；武器幸运成本忽略</x:v>
      </x:c>
    </x:row>
    <x:row r="226">
      <x:c r="A226" s="25" t="str">
        <x:v>C03-G</x:v>
      </x:c>
      <x:c r="B226" s="25" t="str">
        <x:v>宁姆格福西域</x:v>
      </x:c>
      <x:c r="C226" s="25" t="str">
        <x:v>半急速毕业</x:v>
      </x:c>
      <x:c r="D226" s="25" t="n">
        <x:v>48</x:v>
      </x:c>
      <x:c r="E226" s="25" t="n">
        <x:v>81</x:v>
      </x:c>
      <x:c r="F226" s="25" t="str">
        <x:v>雷冠申猴</x:v>
      </x:c>
      <x:c r="G226" s="25" t="str">
        <x:v>生肖9</x:v>
      </x:c>
      <x:c r="H226" s="25" t="n">
        <x:v>2</x:v>
      </x:c>
      <x:c r="I226" s="25" t="str">
        <x:v>BOSS</x:v>
      </x:c>
      <x:c r="J226" s="25" t="str">
        <x:v>S02</x:v>
      </x:c>
      <x:c r="K226" s="25" t="str">
        <x:v>44-84</x:v>
      </x:c>
      <x:c r="L226" s="25" t="n">
        <x:v>59800</x:v>
      </x:c>
      <x:c r="M226" s="25" t="n">
        <x:v>0</x:v>
      </x:c>
      <x:c r="N226" s="25" t="str">
        <x:v>否</x:v>
      </x:c>
      <x:c r="O226" s="25" t="n">
        <x:v>0</x:v>
      </x:c>
      <x:c r="P226" s="25" t="n">
        <x:v>0</x:v>
      </x:c>
      <x:c r="Q226" s="25" t="n">
        <x:v>0</x:v>
      </x:c>
      <x:c r="R226" s="25" t="str">
        <x:v>洗练绑定装备；项链幸运绑定人物永久进度；武器幸运成本忽略</x:v>
      </x:c>
    </x:row>
    <x:row r="227">
      <x:c r="A227" s="25" t="str">
        <x:v>C03-G</x:v>
      </x:c>
      <x:c r="B227" s="25" t="str">
        <x:v>宁姆格福西域</x:v>
      </x:c>
      <x:c r="C227" s="25" t="str">
        <x:v>半急速毕业</x:v>
      </x:c>
      <x:c r="D227" s="25" t="n">
        <x:v>49</x:v>
      </x:c>
      <x:c r="E227" s="25" t="n">
        <x:v>82</x:v>
      </x:c>
      <x:c r="F227" s="25" t="str">
        <x:v>恶兆酉鸡</x:v>
      </x:c>
      <x:c r="G227" s="25" t="str">
        <x:v>生肖10</x:v>
      </x:c>
      <x:c r="H227" s="25" t="n">
        <x:v>2</x:v>
      </x:c>
      <x:c r="I227" s="25" t="str">
        <x:v>BOSS</x:v>
      </x:c>
      <x:c r="J227" s="25" t="str">
        <x:v>S02</x:v>
      </x:c>
      <x:c r="K227" s="25" t="str">
        <x:v>44-84</x:v>
      </x:c>
      <x:c r="L227" s="25" t="n">
        <x:v>59800</x:v>
      </x:c>
      <x:c r="M227" s="25" t="n">
        <x:v>0</x:v>
      </x:c>
      <x:c r="N227" s="25" t="str">
        <x:v>否</x:v>
      </x:c>
      <x:c r="O227" s="25" t="n">
        <x:v>0</x:v>
      </x:c>
      <x:c r="P227" s="25" t="n">
        <x:v>0</x:v>
      </x:c>
      <x:c r="Q227" s="25" t="n">
        <x:v>0</x:v>
      </x:c>
      <x:c r="R227" s="25" t="str">
        <x:v>洗练绑定装备；项链幸运绑定人物永久进度；武器幸运成本忽略</x:v>
      </x:c>
    </x:row>
    <x:row r="228">
      <x:c r="A228" s="25" t="str">
        <x:v>C03-G</x:v>
      </x:c>
      <x:c r="B228" s="25" t="str">
        <x:v>宁姆格福西域</x:v>
      </x:c>
      <x:c r="C228" s="25" t="str">
        <x:v>半急速毕业</x:v>
      </x:c>
      <x:c r="D228" s="25" t="n">
        <x:v>50</x:v>
      </x:c>
      <x:c r="E228" s="25" t="n">
        <x:v>83</x:v>
      </x:c>
      <x:c r="F228" s="25" t="str">
        <x:v>失乡戌狗</x:v>
      </x:c>
      <x:c r="G228" s="25" t="str">
        <x:v>生肖11</x:v>
      </x:c>
      <x:c r="H228" s="25" t="n">
        <x:v>2</x:v>
      </x:c>
      <x:c r="I228" s="25" t="str">
        <x:v>BOSS</x:v>
      </x:c>
      <x:c r="J228" s="25" t="str">
        <x:v>S02</x:v>
      </x:c>
      <x:c r="K228" s="25" t="str">
        <x:v>48-93</x:v>
      </x:c>
      <x:c r="L228" s="25" t="n">
        <x:v>79800</x:v>
      </x:c>
      <x:c r="M228" s="25" t="n">
        <x:v>0</x:v>
      </x:c>
      <x:c r="N228" s="25" t="str">
        <x:v>否</x:v>
      </x:c>
      <x:c r="O228" s="25" t="n">
        <x:v>0</x:v>
      </x:c>
      <x:c r="P228" s="25" t="n">
        <x:v>0</x:v>
      </x:c>
      <x:c r="Q228" s="25" t="n">
        <x:v>0</x:v>
      </x:c>
      <x:c r="R228" s="25" t="str">
        <x:v>洗练绑定装备；项链幸运绑定人物永久进度；武器幸运成本忽略</x:v>
      </x:c>
    </x:row>
    <x:row r="229">
      <x:c r="A229" s="25" t="str">
        <x:v>C03-G</x:v>
      </x:c>
      <x:c r="B229" s="25" t="str">
        <x:v>宁姆格福西域</x:v>
      </x:c>
      <x:c r="C229" s="25" t="str">
        <x:v>半急速毕业</x:v>
      </x:c>
      <x:c r="D229" s="25" t="n">
        <x:v>51</x:v>
      </x:c>
      <x:c r="E229" s="25" t="n">
        <x:v>84</x:v>
      </x:c>
      <x:c r="F229" s="25" t="str">
        <x:v>接肢亥猪</x:v>
      </x:c>
      <x:c r="G229" s="25" t="str">
        <x:v>生肖12</x:v>
      </x:c>
      <x:c r="H229" s="25" t="n">
        <x:v>2</x:v>
      </x:c>
      <x:c r="I229" s="25" t="str">
        <x:v>守关BOSS</x:v>
      </x:c>
      <x:c r="J229" s="25" t="str">
        <x:v>S02</x:v>
      </x:c>
      <x:c r="K229" s="25" t="str">
        <x:v>55-106</x:v>
      </x:c>
      <x:c r="L229" s="25" t="n">
        <x:v>90800</x:v>
      </x:c>
      <x:c r="M229" s="25" t="n">
        <x:v>0</x:v>
      </x:c>
      <x:c r="N229" s="25" t="str">
        <x:v>否</x:v>
      </x:c>
      <x:c r="O229" s="25" t="n">
        <x:v>0</x:v>
      </x:c>
      <x:c r="P229" s="25" t="n">
        <x:v>0</x:v>
      </x:c>
      <x:c r="Q229" s="25" t="n">
        <x:v>0</x:v>
      </x:c>
      <x:c r="R229" s="25" t="str">
        <x:v>洗练绑定装备；项链幸运绑定人物永久进度；武器幸运成本忽略</x:v>
      </x:c>
    </x:row>
    <x:row r="230">
      <x:c r="A230" s="25" t="str">
        <x:v>C03-X</x:v>
      </x:c>
      <x:c r="B230" s="25" t="str">
        <x:v>宁姆格福西域</x:v>
      </x:c>
      <x:c r="C230" s="25" t="str">
        <x:v>极端压力</x:v>
      </x:c>
      <x:c r="D230" s="25" t="n">
        <x:v>0</x:v>
      </x:c>
      <x:c r="E230" s="25" t="n">
        <x:v>87</x:v>
      </x:c>
      <x:c r="F230" s="25" t="str">
        <x:v>巨犀荒铠</x:v>
      </x:c>
      <x:c r="G230" s="25" t="str">
        <x:v>衣服</x:v>
      </x:c>
      <x:c r="H230" s="25" t="n">
        <x:v>3</x:v>
      </x:c>
      <x:c r="I230" s="25" t="str">
        <x:v>地图BOSS</x:v>
      </x:c>
      <x:c r="J230" s="25" t="str">
        <x:v>S07</x:v>
      </x:c>
      <x:c r="K230" s="25" t="str">
        <x:v>78-150</x:v>
      </x:c>
      <x:c r="L230" s="25" t="n">
        <x:v>440000</x:v>
      </x:c>
      <x:c r="M230" s="25" t="n">
        <x:v>7</x:v>
      </x:c>
      <x:c r="N230" s="25" t="str">
        <x:v>是</x:v>
      </x:c>
      <x:c r="O230" s="25" t="n">
        <x:v>0</x:v>
      </x:c>
      <x:c r="P230" s="25" t="n">
        <x:v>0</x:v>
      </x:c>
      <x:c r="Q230" s="25" t="n">
        <x:v>0</x:v>
      </x:c>
      <x:c r="R230" s="25" t="str">
        <x:v>洗练绑定装备；项链幸运绑定人物永久进度；武器幸运成本忽略</x:v>
      </x:c>
    </x:row>
    <x:row r="231">
      <x:c r="A231" s="25" t="str">
        <x:v>C03-X</x:v>
      </x:c>
      <x:c r="B231" s="25" t="str">
        <x:v>宁姆格福西域</x:v>
      </x:c>
      <x:c r="C231" s="25" t="str">
        <x:v>极端压力</x:v>
      </x:c>
      <x:c r="D231" s="25" t="n">
        <x:v>1</x:v>
      </x:c>
      <x:c r="E231" s="25" t="n">
        <x:v>111</x:v>
      </x:c>
      <x:c r="F231" s="25" t="str">
        <x:v>艾德统帅剑</x:v>
      </x:c>
      <x:c r="G231" s="25" t="str">
        <x:v>武器</x:v>
      </x:c>
      <x:c r="H231" s="25" t="n">
        <x:v>3</x:v>
      </x:c>
      <x:c r="I231" s="25" t="str">
        <x:v>地图BOSS</x:v>
      </x:c>
      <x:c r="J231" s="25" t="str">
        <x:v>S07</x:v>
      </x:c>
      <x:c r="K231" s="25" t="str">
        <x:v>780-1500</x:v>
      </x:c>
      <x:c r="L231" s="25" t="n">
        <x:v>92000</x:v>
      </x:c>
      <x:c r="M231" s="25" t="n">
        <x:v>6</x:v>
      </x:c>
      <x:c r="N231" s="25" t="str">
        <x:v>否</x:v>
      </x:c>
      <x:c r="O231" s="25" t="n">
        <x:v>7</x:v>
      </x:c>
      <x:c r="P231" s="25" t="n">
        <x:v>0</x:v>
      </x:c>
      <x:c r="Q231" s="25" t="n">
        <x:v>0</x:v>
      </x:c>
      <x:c r="R231" s="25" t="str">
        <x:v>洗练绑定装备；项链幸运绑定人物永久进度；武器幸运成本忽略</x:v>
      </x:c>
    </x:row>
    <x:row r="232">
      <x:c r="A232" s="25" t="str">
        <x:v>C03-X</x:v>
      </x:c>
      <x:c r="B232" s="25" t="str">
        <x:v>宁姆格福西域</x:v>
      </x:c>
      <x:c r="C232" s="25" t="str">
        <x:v>极端压力</x:v>
      </x:c>
      <x:c r="D232" s="25" t="n">
        <x:v>2</x:v>
      </x:c>
      <x:c r="E232" s="25" t="n">
        <x:v>99</x:v>
      </x:c>
      <x:c r="F232" s="25" t="str">
        <x:v>失乡统帅勋</x:v>
      </x:c>
      <x:c r="G232" s="25" t="str">
        <x:v>勋章</x:v>
      </x:c>
      <x:c r="H232" s="25" t="n">
        <x:v>2</x:v>
      </x:c>
      <x:c r="I232" s="25" t="str">
        <x:v>稀有</x:v>
      </x:c>
      <x:c r="J232" s="25" t="str">
        <x:v>S02</x:v>
      </x:c>
      <x:c r="K232" s="25" t="str">
        <x:v>57-110</x:v>
      </x:c>
      <x:c r="L232" s="25" t="n">
        <x:v>60500</x:v>
      </x:c>
      <x:c r="M232" s="25" t="n">
        <x:v>0</x:v>
      </x:c>
      <x:c r="N232" s="25" t="str">
        <x:v>否</x:v>
      </x:c>
      <x:c r="O232" s="25" t="n">
        <x:v>0</x:v>
      </x:c>
      <x:c r="P232" s="25" t="n">
        <x:v>0</x:v>
      </x:c>
      <x:c r="Q232" s="25" t="n">
        <x:v>0</x:v>
      </x:c>
      <x:c r="R232" s="25" t="str">
        <x:v>洗练绑定装备；项链幸运绑定人物永久进度；武器幸运成本忽略</x:v>
      </x:c>
    </x:row>
    <x:row r="233">
      <x:c r="A233" s="25" t="str">
        <x:v>C03-X</x:v>
      </x:c>
      <x:c r="B233" s="25" t="str">
        <x:v>宁姆格福西域</x:v>
      </x:c>
      <x:c r="C233" s="25" t="str">
        <x:v>极端压力</x:v>
      </x:c>
      <x:c r="D233" s="25" t="n">
        <x:v>3</x:v>
      </x:c>
      <x:c r="E233" s="25" t="n">
        <x:v>110</x:v>
      </x:c>
      <x:c r="F233" s="25" t="str">
        <x:v>风暴王庭链</x:v>
      </x:c>
      <x:c r="G233" s="25" t="str">
        <x:v>项链</x:v>
      </x:c>
      <x:c r="H233" s="25" t="n">
        <x:v>2</x:v>
      </x:c>
      <x:c r="I233" s="25" t="str">
        <x:v>装备合成</x:v>
      </x:c>
      <x:c r="J233" s="25" t="str">
        <x:v>S07</x:v>
      </x:c>
      <x:c r="K233" s="25" t="str">
        <x:v>100-200</x:v>
      </x:c>
      <x:c r="L233" s="25" t="n">
        <x:v>85000</x:v>
      </x:c>
      <x:c r="M233" s="25" t="n">
        <x:v>5</x:v>
      </x:c>
      <x:c r="N233" s="25" t="str">
        <x:v>否</x:v>
      </x:c>
      <x:c r="O233" s="25" t="n">
        <x:v>0</x:v>
      </x:c>
      <x:c r="P233" s="25" t="n">
        <x:v>0</x:v>
      </x:c>
      <x:c r="Q233" s="25" t="n">
        <x:v>0</x:v>
      </x:c>
      <x:c r="R233" s="25" t="str">
        <x:v>洗练绑定装备；项链幸运绑定人物永久进度；武器幸运成本忽略</x:v>
      </x:c>
    </x:row>
    <x:row r="234">
      <x:c r="A234" s="25" t="str">
        <x:v>C03-X</x:v>
      </x:c>
      <x:c r="B234" s="25" t="str">
        <x:v>宁姆格福西域</x:v>
      </x:c>
      <x:c r="C234" s="25" t="str">
        <x:v>极端压力</x:v>
      </x:c>
      <x:c r="D234" s="25" t="n">
        <x:v>4</x:v>
      </x:c>
      <x:c r="E234" s="25" t="n">
        <x:v>109</x:v>
      </x:c>
      <x:c r="F234" s="25" t="str">
        <x:v>断途战冠</x:v>
      </x:c>
      <x:c r="G234" s="25" t="str">
        <x:v>头盔</x:v>
      </x:c>
      <x:c r="H234" s="25" t="n">
        <x:v>3</x:v>
      </x:c>
      <x:c r="I234" s="25" t="str">
        <x:v>装备合成</x:v>
      </x:c>
      <x:c r="J234" s="25" t="str">
        <x:v>S07</x:v>
      </x:c>
      <x:c r="K234" s="25" t="str">
        <x:v>140-260</x:v>
      </x:c>
      <x:c r="L234" s="25" t="n">
        <x:v>270000</x:v>
      </x:c>
      <x:c r="M234" s="25" t="n">
        <x:v>6</x:v>
      </x:c>
      <x:c r="N234" s="25" t="str">
        <x:v>否</x:v>
      </x:c>
      <x:c r="O234" s="25" t="n">
        <x:v>0</x:v>
      </x:c>
      <x:c r="P234" s="25" t="n">
        <x:v>0</x:v>
      </x:c>
      <x:c r="Q234" s="25" t="n">
        <x:v>0</x:v>
      </x:c>
      <x:c r="R234" s="25" t="str">
        <x:v>洗练绑定装备；项链幸运绑定人物永久进度；武器幸运成本忽略</x:v>
      </x:c>
    </x:row>
    <x:row r="235">
      <x:c r="A235" s="25" t="str">
        <x:v>C03-X</x:v>
      </x:c>
      <x:c r="B235" s="25" t="str">
        <x:v>宁姆格福西域</x:v>
      </x:c>
      <x:c r="C235" s="25" t="str">
        <x:v>极端压力</x:v>
      </x:c>
      <x:c r="D235" s="25" t="n">
        <x:v>5</x:v>
      </x:c>
      <x:c r="E235" s="25" t="n">
        <x:v>73</x:v>
      </x:c>
      <x:c r="F235" s="25" t="str">
        <x:v>古龙近卫腕甲</x:v>
      </x:c>
      <x:c r="G235" s="25" t="str">
        <x:v>手镯</x:v>
      </x:c>
      <x:c r="H235" s="25" t="n">
        <x:v>2</x:v>
      </x:c>
      <x:c r="I235" s="25" t="str">
        <x:v>制式</x:v>
      </x:c>
      <x:c r="J235" s="25" t="str">
        <x:v>S01</x:v>
      </x:c>
      <x:c r="K235" s="25" t="str">
        <x:v>51-102</x:v>
      </x:c>
      <x:c r="L235" s="25" t="n">
        <x:v>17000</x:v>
      </x:c>
      <x:c r="M235" s="25" t="n">
        <x:v>8</x:v>
      </x:c>
      <x:c r="N235" s="25" t="str">
        <x:v>是</x:v>
      </x:c>
      <x:c r="O235" s="25" t="n">
        <x:v>0</x:v>
      </x:c>
      <x:c r="P235" s="25" t="n">
        <x:v>0</x:v>
      </x:c>
      <x:c r="Q235" s="25" t="n">
        <x:v>0</x:v>
      </x:c>
      <x:c r="R235" s="25" t="str">
        <x:v>洗练绑定装备；项链幸运绑定人物永久进度；武器幸运成本忽略</x:v>
      </x:c>
    </x:row>
    <x:row r="236">
      <x:c r="A236" s="25" t="str">
        <x:v>C03-X</x:v>
      </x:c>
      <x:c r="B236" s="25" t="str">
        <x:v>宁姆格福西域</x:v>
      </x:c>
      <x:c r="C236" s="25" t="str">
        <x:v>极端压力</x:v>
      </x:c>
      <x:c r="D236" s="25" t="n">
        <x:v>6</x:v>
      </x:c>
      <x:c r="E236" s="25" t="n">
        <x:v>68</x:v>
      </x:c>
      <x:c r="F236" s="25" t="str">
        <x:v>百指接肢腕</x:v>
      </x:c>
      <x:c r="G236" s="25" t="str">
        <x:v>手镯</x:v>
      </x:c>
      <x:c r="H236" s="25" t="n">
        <x:v>2</x:v>
      </x:c>
      <x:c r="I236" s="25" t="str">
        <x:v>装备合成</x:v>
      </x:c>
      <x:c r="J236" s="25" t="str">
        <x:v>S07</x:v>
      </x:c>
      <x:c r="K236" s="25" t="str">
        <x:v>110-210</x:v>
      </x:c>
      <x:c r="L236" s="25" t="n">
        <x:v>85000</x:v>
      </x:c>
      <x:c r="M236" s="25" t="n">
        <x:v>5</x:v>
      </x:c>
      <x:c r="N236" s="25" t="str">
        <x:v>否</x:v>
      </x:c>
      <x:c r="O236" s="25" t="n">
        <x:v>0</x:v>
      </x:c>
      <x:c r="P236" s="25" t="n">
        <x:v>0</x:v>
      </x:c>
      <x:c r="Q236" s="25" t="n">
        <x:v>0</x:v>
      </x:c>
      <x:c r="R236" s="25" t="str">
        <x:v>洗练绑定装备；项链幸运绑定人物永久进度；武器幸运成本忽略</x:v>
      </x:c>
    </x:row>
    <x:row r="237">
      <x:c r="A237" s="25" t="str">
        <x:v>C03-X</x:v>
      </x:c>
      <x:c r="B237" s="25" t="str">
        <x:v>宁姆格福西域</x:v>
      </x:c>
      <x:c r="C237" s="25" t="str">
        <x:v>极端压力</x:v>
      </x:c>
      <x:c r="D237" s="25" t="n">
        <x:v>7</x:v>
      </x:c>
      <x:c r="E237" s="25" t="n">
        <x:v>114</x:v>
      </x:c>
      <x:c r="F237" s="25" t="str">
        <x:v>禁卫誓戒</x:v>
      </x:c>
      <x:c r="G237" s="25" t="str">
        <x:v>戒指</x:v>
      </x:c>
      <x:c r="H237" s="25" t="n">
        <x:v>2</x:v>
      </x:c>
      <x:c r="I237" s="25" t="str">
        <x:v>普通</x:v>
      </x:c>
      <x:c r="J237" s="25" t="str">
        <x:v>S02</x:v>
      </x:c>
      <x:c r="K237" s="25" t="str">
        <x:v>69-132</x:v>
      </x:c>
      <x:c r="L237" s="25" t="n">
        <x:v>53200</x:v>
      </x:c>
      <x:c r="M237" s="25" t="n">
        <x:v>2</x:v>
      </x:c>
      <x:c r="N237" s="25" t="str">
        <x:v>否</x:v>
      </x:c>
      <x:c r="O237" s="25" t="n">
        <x:v>0</x:v>
      </x:c>
      <x:c r="P237" s="25" t="n">
        <x:v>0</x:v>
      </x:c>
      <x:c r="Q237" s="25" t="n">
        <x:v>0</x:v>
      </x:c>
      <x:c r="R237" s="25" t="str">
        <x:v>洗练绑定装备；项链幸运绑定人物永久进度；武器幸运成本忽略</x:v>
      </x:c>
    </x:row>
    <x:row r="238">
      <x:c r="A238" s="25" t="str">
        <x:v>C03-X</x:v>
      </x:c>
      <x:c r="B238" s="25" t="str">
        <x:v>宁姆格福西域</x:v>
      </x:c>
      <x:c r="C238" s="25" t="str">
        <x:v>极端压力</x:v>
      </x:c>
      <x:c r="D238" s="25" t="n">
        <x:v>8</x:v>
      </x:c>
      <x:c r="E238" s="25" t="n">
        <x:v>98</x:v>
      </x:c>
      <x:c r="F238" s="25" t="str">
        <x:v>禁卫誓戒</x:v>
      </x:c>
      <x:c r="G238" s="25" t="str">
        <x:v>戒指</x:v>
      </x:c>
      <x:c r="H238" s="25" t="n">
        <x:v>2</x:v>
      </x:c>
      <x:c r="I238" s="25" t="str">
        <x:v>普通</x:v>
      </x:c>
      <x:c r="J238" s="25" t="str">
        <x:v>S02</x:v>
      </x:c>
      <x:c r="K238" s="25" t="str">
        <x:v>69-132</x:v>
      </x:c>
      <x:c r="L238" s="25" t="n">
        <x:v>53200</x:v>
      </x:c>
      <x:c r="M238" s="25" t="n">
        <x:v>5</x:v>
      </x:c>
      <x:c r="N238" s="25" t="str">
        <x:v>否</x:v>
      </x:c>
      <x:c r="O238" s="25" t="n">
        <x:v>0</x:v>
      </x:c>
      <x:c r="P238" s="25" t="n">
        <x:v>0</x:v>
      </x:c>
      <x:c r="Q238" s="25" t="n">
        <x:v>0</x:v>
      </x:c>
      <x:c r="R238" s="25" t="str">
        <x:v>洗练绑定装备；项链幸运绑定人物永久进度；武器幸运成本忽略</x:v>
      </x:c>
    </x:row>
    <x:row r="239">
      <x:c r="A239" s="25" t="str">
        <x:v>C03-X</x:v>
      </x:c>
      <x:c r="B239" s="25" t="str">
        <x:v>宁姆格福西域</x:v>
      </x:c>
      <x:c r="C239" s="25" t="str">
        <x:v>极端压力</x:v>
      </x:c>
      <x:c r="D239" s="25" t="n">
        <x:v>10</x:v>
      </x:c>
      <x:c r="E239" s="25" t="n">
        <x:v>101</x:v>
      </x:c>
      <x:c r="F239" s="25" t="str">
        <x:v>流寇束带</x:v>
      </x:c>
      <x:c r="G239" s="25" t="str">
        <x:v>腰带</x:v>
      </x:c>
      <x:c r="H239" s="25" t="n">
        <x:v>2</x:v>
      </x:c>
      <x:c r="I239" s="25" t="str">
        <x:v>普通</x:v>
      </x:c>
      <x:c r="J239" s="25" t="str">
        <x:v>S02</x:v>
      </x:c>
      <x:c r="K239" s="25" t="str">
        <x:v>41-79</x:v>
      </x:c>
      <x:c r="L239" s="25" t="n">
        <x:v>69000</x:v>
      </x:c>
      <x:c r="M239" s="25" t="n">
        <x:v>2</x:v>
      </x:c>
      <x:c r="N239" s="25" t="str">
        <x:v>否</x:v>
      </x:c>
      <x:c r="O239" s="25" t="n">
        <x:v>0</x:v>
      </x:c>
      <x:c r="P239" s="25" t="n">
        <x:v>0</x:v>
      </x:c>
      <x:c r="Q239" s="25" t="n">
        <x:v>0</x:v>
      </x:c>
      <x:c r="R239" s="25" t="str">
        <x:v>洗练绑定装备；项链幸运绑定人物永久进度；武器幸运成本忽略</x:v>
      </x:c>
    </x:row>
    <x:row r="240">
      <x:c r="A240" s="25" t="str">
        <x:v>C03-X</x:v>
      </x:c>
      <x:c r="B240" s="25" t="str">
        <x:v>宁姆格福西域</x:v>
      </x:c>
      <x:c r="C240" s="25" t="str">
        <x:v>极端压力</x:v>
      </x:c>
      <x:c r="D240" s="25" t="n">
        <x:v>11</x:v>
      </x:c>
      <x:c r="E240" s="25" t="n">
        <x:v>90</x:v>
      </x:c>
      <x:c r="F240" s="25" t="str">
        <x:v>逐风征靴</x:v>
      </x:c>
      <x:c r="G240" s="25" t="str">
        <x:v>鞋子</x:v>
      </x:c>
      <x:c r="H240" s="25" t="n">
        <x:v>3</x:v>
      </x:c>
      <x:c r="I240" s="25" t="str">
        <x:v>装备合成</x:v>
      </x:c>
      <x:c r="J240" s="25" t="str">
        <x:v>S07</x:v>
      </x:c>
      <x:c r="K240" s="25" t="str">
        <x:v>100-200</x:v>
      </x:c>
      <x:c r="L240" s="25" t="n">
        <x:v>150000</x:v>
      </x:c>
      <x:c r="M240" s="25" t="n">
        <x:v>3</x:v>
      </x:c>
      <x:c r="N240" s="25" t="str">
        <x:v>否</x:v>
      </x:c>
      <x:c r="O240" s="25" t="n">
        <x:v>0</x:v>
      </x:c>
      <x:c r="P240" s="25" t="n">
        <x:v>0</x:v>
      </x:c>
      <x:c r="Q240" s="25" t="n">
        <x:v>0</x:v>
      </x:c>
      <x:c r="R240" s="25" t="str">
        <x:v>洗练绑定装备；项链幸运绑定人物永久进度；武器幸运成本忽略</x:v>
      </x:c>
    </x:row>
    <x:row r="241">
      <x:c r="A241" s="25" t="str">
        <x:v>C03-X</x:v>
      </x:c>
      <x:c r="B241" s="25" t="str">
        <x:v>宁姆格福西域</x:v>
      </x:c>
      <x:c r="C241" s="25" t="str">
        <x:v>极端压力</x:v>
      </x:c>
      <x:c r="D241" s="25" t="n">
        <x:v>13</x:v>
      </x:c>
      <x:c r="E241" s="25" t="n">
        <x:v>102</x:v>
      </x:c>
      <x:c r="F241" s="25" t="str">
        <x:v>幽灯面巾</x:v>
      </x:c>
      <x:c r="G241" s="25" t="str">
        <x:v>斗笠</x:v>
      </x:c>
      <x:c r="H241" s="25" t="n">
        <x:v>1</x:v>
      </x:c>
      <x:c r="I241" s="25" t="str">
        <x:v>普通</x:v>
      </x:c>
      <x:c r="J241" s="25" t="str">
        <x:v>S02</x:v>
      </x:c>
      <x:c r="K241" s="25" t="str">
        <x:v>21-40</x:v>
      </x:c>
      <x:c r="L241" s="25" t="n">
        <x:v>18800</x:v>
      </x:c>
      <x:c r="M241" s="25" t="n">
        <x:v>0</x:v>
      </x:c>
      <x:c r="N241" s="25" t="str">
        <x:v>否</x:v>
      </x:c>
      <x:c r="O241" s="25" t="n">
        <x:v>0</x:v>
      </x:c>
      <x:c r="P241" s="25" t="n">
        <x:v>0</x:v>
      </x:c>
      <x:c r="Q241" s="25" t="n">
        <x:v>0</x:v>
      </x:c>
      <x:c r="R241" s="25" t="str">
        <x:v>洗练绑定装备；项链幸运绑定人物永久进度；武器幸运成本忽略</x:v>
      </x:c>
    </x:row>
    <x:row r="242">
      <x:c r="A242" s="25" t="str">
        <x:v>C03-X</x:v>
      </x:c>
      <x:c r="B242" s="25" t="str">
        <x:v>宁姆格福西域</x:v>
      </x:c>
      <x:c r="C242" s="25" t="str">
        <x:v>极端压力</x:v>
      </x:c>
      <x:c r="D242" s="25" t="n">
        <x:v>16</x:v>
      </x:c>
      <x:c r="E242" s="25" t="n">
        <x:v>103</x:v>
      </x:c>
      <x:c r="F242" s="25" t="str">
        <x:v>百骸狮盾</x:v>
      </x:c>
      <x:c r="G242" s="25" t="str">
        <x:v>盾牌</x:v>
      </x:c>
      <x:c r="H242" s="25" t="n">
        <x:v>2</x:v>
      </x:c>
      <x:c r="I242" s="25" t="str">
        <x:v>稀有</x:v>
      </x:c>
      <x:c r="J242" s="25" t="str">
        <x:v>S02</x:v>
      </x:c>
      <x:c r="K242" s="25" t="str">
        <x:v>52-100</x:v>
      </x:c>
      <x:c r="L242" s="25" t="n">
        <x:v>151000</x:v>
      </x:c>
      <x:c r="M242" s="25" t="n">
        <x:v>0</x:v>
      </x:c>
      <x:c r="N242" s="25" t="str">
        <x:v>否</x:v>
      </x:c>
      <x:c r="O242" s="25" t="n">
        <x:v>0</x:v>
      </x:c>
      <x:c r="P242" s="25" t="n">
        <x:v>0</x:v>
      </x:c>
      <x:c r="Q242" s="25" t="n">
        <x:v>0</x:v>
      </x:c>
      <x:c r="R242" s="25" t="str">
        <x:v>洗练绑定装备；项链幸运绑定人物永久进度；武器幸运成本忽略</x:v>
      </x:c>
    </x:row>
    <x:row r="243">
      <x:c r="A243" s="25" t="str">
        <x:v>C03-X</x:v>
      </x:c>
      <x:c r="B243" s="25" t="str">
        <x:v>宁姆格福西域</x:v>
      </x:c>
      <x:c r="C243" s="25" t="str">
        <x:v>极端压力</x:v>
      </x:c>
      <x:c r="D243" s="25" t="n">
        <x:v>18</x:v>
      </x:c>
      <x:c r="E243" s="25" t="n">
        <x:v>104</x:v>
      </x:c>
      <x:c r="F243" s="25" t="str">
        <x:v>百骸王衣</x:v>
      </x:c>
      <x:c r="G243" s="25" t="str">
        <x:v>时装衣服</x:v>
      </x:c>
      <x:c r="H243" s="25" t="n">
        <x:v>2</x:v>
      </x:c>
      <x:c r="I243" s="25" t="str">
        <x:v>BOSS</x:v>
      </x:c>
      <x:c r="J243" s="25" t="str">
        <x:v>S02</x:v>
      </x:c>
      <x:c r="K243" s="25" t="str">
        <x:v>48-93</x:v>
      </x:c>
      <x:c r="L243" s="25" t="n">
        <x:v>319000</x:v>
      </x:c>
      <x:c r="M243" s="25" t="n">
        <x:v>0</x:v>
      </x:c>
      <x:c r="N243" s="25" t="str">
        <x:v>否</x:v>
      </x:c>
      <x:c r="O243" s="25" t="n">
        <x:v>0</x:v>
      </x:c>
      <x:c r="P243" s="25" t="n">
        <x:v>0</x:v>
      </x:c>
      <x:c r="Q243" s="25" t="n">
        <x:v>0</x:v>
      </x:c>
      <x:c r="R243" s="25" t="str">
        <x:v>洗练绑定装备；项链幸运绑定人物永久进度；武器幸运成本忽略</x:v>
      </x:c>
    </x:row>
    <x:row r="244">
      <x:c r="A244" s="25" t="str">
        <x:v>C03-X</x:v>
      </x:c>
      <x:c r="B244" s="25" t="str">
        <x:v>宁姆格福西域</x:v>
      </x:c>
      <x:c r="C244" s="25" t="str">
        <x:v>极端压力</x:v>
      </x:c>
      <x:c r="D244" s="25" t="n">
        <x:v>19</x:v>
      </x:c>
      <x:c r="E244" s="25" t="n">
        <x:v>105</x:v>
      </x:c>
      <x:c r="F244" s="25" t="str">
        <x:v>王城断罪刃</x:v>
      </x:c>
      <x:c r="G244" s="25" t="str">
        <x:v>时装武器</x:v>
      </x:c>
      <x:c r="H244" s="25" t="n">
        <x:v>2</x:v>
      </x:c>
      <x:c r="I244" s="25" t="str">
        <x:v>稀有</x:v>
      </x:c>
      <x:c r="J244" s="25" t="str">
        <x:v>S02</x:v>
      </x:c>
      <x:c r="K244" s="25" t="str">
        <x:v>166-320</x:v>
      </x:c>
      <x:c r="L244" s="25" t="n">
        <x:v>60500</x:v>
      </x:c>
      <x:c r="M244" s="25" t="n">
        <x:v>0</x:v>
      </x:c>
      <x:c r="N244" s="25" t="str">
        <x:v>否</x:v>
      </x:c>
      <x:c r="O244" s="25" t="n">
        <x:v>0</x:v>
      </x:c>
      <x:c r="P244" s="25" t="n">
        <x:v>0</x:v>
      </x:c>
      <x:c r="Q244" s="25" t="n">
        <x:v>0</x:v>
      </x:c>
      <x:c r="R244" s="25" t="str">
        <x:v>洗练绑定装备；项链幸运绑定人物永久进度；武器幸运成本忽略</x:v>
      </x:c>
    </x:row>
    <x:row r="245">
      <x:c r="A245" s="25" t="str">
        <x:v>C03-X</x:v>
      </x:c>
      <x:c r="B245" s="25" t="str">
        <x:v>宁姆格福西域</x:v>
      </x:c>
      <x:c r="C245" s="25" t="str">
        <x:v>极端压力</x:v>
      </x:c>
      <x:c r="D245" s="25" t="n">
        <x:v>20</x:v>
      </x:c>
      <x:c r="E245" s="25" t="n">
        <x:v>40</x:v>
      </x:c>
      <x:c r="F245" s="25" t="str">
        <x:v>英雄余誓</x:v>
      </x:c>
      <x:c r="G245" s="25" t="str">
        <x:v>时装项链</x:v>
      </x:c>
      <x:c r="H245" s="25" t="n">
        <x:v>2</x:v>
      </x:c>
      <x:c r="I245" s="25" t="str">
        <x:v>稀有</x:v>
      </x:c>
      <x:c r="J245" s="25" t="str">
        <x:v>S02</x:v>
      </x:c>
      <x:c r="K245" s="25" t="str">
        <x:v>31-60</x:v>
      </x:c>
      <x:c r="L245" s="25" t="n">
        <x:v>17900</x:v>
      </x:c>
      <x:c r="M245" s="25" t="n">
        <x:v>0</x:v>
      </x:c>
      <x:c r="N245" s="25" t="str">
        <x:v>否</x:v>
      </x:c>
      <x:c r="O245" s="25" t="n">
        <x:v>0</x:v>
      </x:c>
      <x:c r="P245" s="25" t="n">
        <x:v>0</x:v>
      </x:c>
      <x:c r="Q245" s="25" t="n">
        <x:v>0</x:v>
      </x:c>
      <x:c r="R245" s="25" t="str">
        <x:v>洗练绑定装备；项链幸运绑定人物永久进度；武器幸运成本忽略</x:v>
      </x:c>
    </x:row>
    <x:row r="246">
      <x:c r="A246" s="25" t="str">
        <x:v>C03-X</x:v>
      </x:c>
      <x:c r="B246" s="25" t="str">
        <x:v>宁姆格福西域</x:v>
      </x:c>
      <x:c r="C246" s="25" t="str">
        <x:v>极端压力</x:v>
      </x:c>
      <x:c r="D246" s="25" t="n">
        <x:v>21</x:v>
      </x:c>
      <x:c r="E246" s="25" t="n">
        <x:v>106</x:v>
      </x:c>
      <x:c r="F246" s="25" t="str">
        <x:v>鹰主风冠</x:v>
      </x:c>
      <x:c r="G246" s="25" t="str">
        <x:v>时装头盔</x:v>
      </x:c>
      <x:c r="H246" s="25" t="n">
        <x:v>2</x:v>
      </x:c>
      <x:c r="I246" s="25" t="str">
        <x:v>稀有</x:v>
      </x:c>
      <x:c r="J246" s="25" t="str">
        <x:v>S02</x:v>
      </x:c>
      <x:c r="K246" s="25" t="str">
        <x:v>33-63</x:v>
      </x:c>
      <x:c r="L246" s="25" t="n">
        <x:v>78400</x:v>
      </x:c>
      <x:c r="M246" s="25" t="n">
        <x:v>0</x:v>
      </x:c>
      <x:c r="N246" s="25" t="str">
        <x:v>否</x:v>
      </x:c>
      <x:c r="O246" s="25" t="n">
        <x:v>0</x:v>
      </x:c>
      <x:c r="P246" s="25" t="n">
        <x:v>0</x:v>
      </x:c>
      <x:c r="Q246" s="25" t="n">
        <x:v>0</x:v>
      </x:c>
      <x:c r="R246" s="25" t="str">
        <x:v>洗练绑定装备；项链幸运绑定人物永久进度；武器幸运成本忽略</x:v>
      </x:c>
    </x:row>
    <x:row r="247">
      <x:c r="A247" s="25" t="str">
        <x:v>C03-X</x:v>
      </x:c>
      <x:c r="B247" s="25" t="str">
        <x:v>宁姆格福西域</x:v>
      </x:c>
      <x:c r="C247" s="25" t="str">
        <x:v>极端压力</x:v>
      </x:c>
      <x:c r="D247" s="25" t="n">
        <x:v>22</x:v>
      </x:c>
      <x:c r="E247" s="25" t="n">
        <x:v>42</x:v>
      </x:c>
      <x:c r="F247" s="25" t="str">
        <x:v>卢恩血镯</x:v>
      </x:c>
      <x:c r="G247" s="25" t="str">
        <x:v>时装手镯</x:v>
      </x:c>
      <x:c r="H247" s="25" t="n">
        <x:v>2</x:v>
      </x:c>
      <x:c r="I247" s="25" t="str">
        <x:v>稀有</x:v>
      </x:c>
      <x:c r="J247" s="25" t="str">
        <x:v>S02</x:v>
      </x:c>
      <x:c r="K247" s="25" t="str">
        <x:v>42-80</x:v>
      </x:c>
      <x:c r="L247" s="25" t="n">
        <x:v>34400</x:v>
      </x:c>
      <x:c r="M247" s="25" t="n">
        <x:v>0</x:v>
      </x:c>
      <x:c r="N247" s="25" t="str">
        <x:v>否</x:v>
      </x:c>
      <x:c r="O247" s="25" t="n">
        <x:v>0</x:v>
      </x:c>
      <x:c r="P247" s="25" t="n">
        <x:v>0</x:v>
      </x:c>
      <x:c r="Q247" s="25" t="n">
        <x:v>0</x:v>
      </x:c>
      <x:c r="R247" s="25" t="str">
        <x:v>洗练绑定装备；项链幸运绑定人物永久进度；武器幸运成本忽略</x:v>
      </x:c>
    </x:row>
    <x:row r="248">
      <x:c r="A248" s="25" t="str">
        <x:v>C03-X</x:v>
      </x:c>
      <x:c r="B248" s="25" t="str">
        <x:v>宁姆格福西域</x:v>
      </x:c>
      <x:c r="C248" s="25" t="str">
        <x:v>极端压力</x:v>
      </x:c>
      <x:c r="D248" s="25" t="n">
        <x:v>23</x:v>
      </x:c>
      <x:c r="E248" s="25" t="n">
        <x:v>107</x:v>
      </x:c>
      <x:c r="F248" s="25" t="str">
        <x:v>卢恩血镯</x:v>
      </x:c>
      <x:c r="G248" s="25" t="str">
        <x:v>时装手镯</x:v>
      </x:c>
      <x:c r="H248" s="25" t="n">
        <x:v>2</x:v>
      </x:c>
      <x:c r="I248" s="25" t="str">
        <x:v>稀有</x:v>
      </x:c>
      <x:c r="J248" s="25" t="str">
        <x:v>S02</x:v>
      </x:c>
      <x:c r="K248" s="25" t="str">
        <x:v>42-80</x:v>
      </x:c>
      <x:c r="L248" s="25" t="n">
        <x:v>34400</x:v>
      </x:c>
      <x:c r="M248" s="25" t="n">
        <x:v>0</x:v>
      </x:c>
      <x:c r="N248" s="25" t="str">
        <x:v>否</x:v>
      </x:c>
      <x:c r="O248" s="25" t="n">
        <x:v>0</x:v>
      </x:c>
      <x:c r="P248" s="25" t="n">
        <x:v>0</x:v>
      </x:c>
      <x:c r="Q248" s="25" t="n">
        <x:v>0</x:v>
      </x:c>
      <x:c r="R248" s="25" t="str">
        <x:v>洗练绑定装备；项链幸运绑定人物永久进度；武器幸运成本忽略</x:v>
      </x:c>
    </x:row>
    <x:row r="249">
      <x:c r="A249" s="25" t="str">
        <x:v>C03-X</x:v>
      </x:c>
      <x:c r="B249" s="25" t="str">
        <x:v>宁姆格福西域</x:v>
      </x:c>
      <x:c r="C249" s="25" t="str">
        <x:v>极端压力</x:v>
      </x:c>
      <x:c r="D249" s="25" t="n">
        <x:v>24</x:v>
      </x:c>
      <x:c r="E249" s="25" t="n">
        <x:v>43</x:v>
      </x:c>
      <x:c r="F249" s="25" t="str">
        <x:v>黄金树戒</x:v>
      </x:c>
      <x:c r="G249" s="25" t="str">
        <x:v>时装戒指</x:v>
      </x:c>
      <x:c r="H249" s="25" t="n">
        <x:v>2</x:v>
      </x:c>
      <x:c r="I249" s="25" t="str">
        <x:v>稀有</x:v>
      </x:c>
      <x:c r="J249" s="25" t="str">
        <x:v>S02</x:v>
      </x:c>
      <x:c r="K249" s="25" t="str">
        <x:v>42-80</x:v>
      </x:c>
      <x:c r="L249" s="25" t="n">
        <x:v>34400</x:v>
      </x:c>
      <x:c r="M249" s="25" t="n">
        <x:v>0</x:v>
      </x:c>
      <x:c r="N249" s="25" t="str">
        <x:v>否</x:v>
      </x:c>
      <x:c r="O249" s="25" t="n">
        <x:v>0</x:v>
      </x:c>
      <x:c r="P249" s="25" t="n">
        <x:v>0</x:v>
      </x:c>
      <x:c r="Q249" s="25" t="n">
        <x:v>0</x:v>
      </x:c>
      <x:c r="R249" s="25" t="str">
        <x:v>洗练绑定装备；项链幸运绑定人物永久进度；武器幸运成本忽略</x:v>
      </x:c>
    </x:row>
    <x:row r="250">
      <x:c r="A250" s="25" t="str">
        <x:v>C03-X</x:v>
      </x:c>
      <x:c r="B250" s="25" t="str">
        <x:v>宁姆格福西域</x:v>
      </x:c>
      <x:c r="C250" s="25" t="str">
        <x:v>极端压力</x:v>
      </x:c>
      <x:c r="D250" s="25" t="n">
        <x:v>25</x:v>
      </x:c>
      <x:c r="E250" s="25" t="n">
        <x:v>108</x:v>
      </x:c>
      <x:c r="F250" s="25" t="str">
        <x:v>黄金树戒</x:v>
      </x:c>
      <x:c r="G250" s="25" t="str">
        <x:v>时装戒指</x:v>
      </x:c>
      <x:c r="H250" s="25" t="n">
        <x:v>2</x:v>
      </x:c>
      <x:c r="I250" s="25" t="str">
        <x:v>稀有</x:v>
      </x:c>
      <x:c r="J250" s="25" t="str">
        <x:v>S02</x:v>
      </x:c>
      <x:c r="K250" s="25" t="str">
        <x:v>42-80</x:v>
      </x:c>
      <x:c r="L250" s="25" t="n">
        <x:v>34400</x:v>
      </x:c>
      <x:c r="M250" s="25" t="n">
        <x:v>0</x:v>
      </x:c>
      <x:c r="N250" s="25" t="str">
        <x:v>否</x:v>
      </x:c>
      <x:c r="O250" s="25" t="n">
        <x:v>0</x:v>
      </x:c>
      <x:c r="P250" s="25" t="n">
        <x:v>0</x:v>
      </x:c>
      <x:c r="Q250" s="25" t="n">
        <x:v>0</x:v>
      </x:c>
      <x:c r="R250" s="25" t="str">
        <x:v>洗练绑定装备；项链幸运绑定人物永久进度；武器幸运成本忽略</x:v>
      </x:c>
    </x:row>
    <x:row r="251">
      <x:c r="A251" s="25" t="str">
        <x:v>C03-X</x:v>
      </x:c>
      <x:c r="B251" s="25" t="str">
        <x:v>宁姆格福西域</x:v>
      </x:c>
      <x:c r="C251" s="25" t="str">
        <x:v>极端压力</x:v>
      </x:c>
      <x:c r="D251" s="25" t="n">
        <x:v>40</x:v>
      </x:c>
      <x:c r="E251" s="25" t="n">
        <x:v>44</x:v>
      </x:c>
      <x:c r="F251" s="25" t="str">
        <x:v>腐树子鼠</x:v>
      </x:c>
      <x:c r="G251" s="25" t="str">
        <x:v>生肖1</x:v>
      </x:c>
      <x:c r="H251" s="25" t="n">
        <x:v>2</x:v>
      </x:c>
      <x:c r="I251" s="25" t="str">
        <x:v>BOSS</x:v>
      </x:c>
      <x:c r="J251" s="25" t="str">
        <x:v>S02</x:v>
      </x:c>
      <x:c r="K251" s="25" t="str">
        <x:v>29-56</x:v>
      </x:c>
      <x:c r="L251" s="25" t="n">
        <x:v>23600</x:v>
      </x:c>
      <x:c r="M251" s="25" t="n">
        <x:v>0</x:v>
      </x:c>
      <x:c r="N251" s="25" t="str">
        <x:v>否</x:v>
      </x:c>
      <x:c r="O251" s="25" t="n">
        <x:v>0</x:v>
      </x:c>
      <x:c r="P251" s="25" t="n">
        <x:v>0</x:v>
      </x:c>
      <x:c r="Q251" s="25" t="n">
        <x:v>0</x:v>
      </x:c>
      <x:c r="R251" s="25" t="str">
        <x:v>洗练绑定装备；项链幸运绑定人物永久进度；武器幸运成本忽略</x:v>
      </x:c>
    </x:row>
    <x:row r="252">
      <x:c r="A252" s="25" t="str">
        <x:v>C03-X</x:v>
      </x:c>
      <x:c r="B252" s="25" t="str">
        <x:v>宁姆格福西域</x:v>
      </x:c>
      <x:c r="C252" s="25" t="str">
        <x:v>极端压力</x:v>
      </x:c>
      <x:c r="D252" s="25" t="n">
        <x:v>41</x:v>
      </x:c>
      <x:c r="E252" s="25" t="n">
        <x:v>69</x:v>
      </x:c>
      <x:c r="F252" s="25" t="str">
        <x:v>丑牛·风暴负山</x:v>
      </x:c>
      <x:c r="G252" s="25" t="str">
        <x:v>生肖2</x:v>
      </x:c>
      <x:c r="H252" s="25" t="n">
        <x:v>2</x:v>
      </x:c>
      <x:c r="I252" s="25" t="str">
        <x:v>生肖合成</x:v>
      </x:c>
      <x:c r="J252" s="25" t="str">
        <x:v>S07</x:v>
      </x:c>
      <x:c r="K252" s="25" t="str">
        <x:v>25-49</x:v>
      </x:c>
      <x:c r="L252" s="25" t="n">
        <x:v>64000</x:v>
      </x:c>
      <x:c r="M252" s="25" t="n">
        <x:v>0</x:v>
      </x:c>
      <x:c r="N252" s="25" t="str">
        <x:v>否</x:v>
      </x:c>
      <x:c r="O252" s="25" t="n">
        <x:v>0</x:v>
      </x:c>
      <x:c r="P252" s="25" t="n">
        <x:v>0</x:v>
      </x:c>
      <x:c r="Q252" s="25" t="n">
        <x:v>0</x:v>
      </x:c>
      <x:c r="R252" s="25" t="str">
        <x:v>洗练绑定装备；项链幸运绑定人物永久进度；武器幸运成本忽略</x:v>
      </x:c>
    </x:row>
    <x:row r="253">
      <x:c r="A253" s="25" t="str">
        <x:v>C03-X</x:v>
      </x:c>
      <x:c r="B253" s="25" t="str">
        <x:v>宁姆格福西域</x:v>
      </x:c>
      <x:c r="C253" s="25" t="str">
        <x:v>极端压力</x:v>
      </x:c>
      <x:c r="D253" s="25" t="n">
        <x:v>42</x:v>
      </x:c>
      <x:c r="E253" s="25" t="n">
        <x:v>66</x:v>
      </x:c>
      <x:c r="F253" s="25" t="str">
        <x:v>长戟寅虎</x:v>
      </x:c>
      <x:c r="G253" s="25" t="str">
        <x:v>生肖3</x:v>
      </x:c>
      <x:c r="H253" s="25" t="n">
        <x:v>2</x:v>
      </x:c>
      <x:c r="I253" s="25" t="str">
        <x:v>BOSS</x:v>
      </x:c>
      <x:c r="J253" s="25" t="str">
        <x:v>S02</x:v>
      </x:c>
      <x:c r="K253" s="25" t="str">
        <x:v>34-65</x:v>
      </x:c>
      <x:c r="L253" s="25" t="n">
        <x:v>32600</x:v>
      </x:c>
      <x:c r="M253" s="25" t="n">
        <x:v>0</x:v>
      </x:c>
      <x:c r="N253" s="25" t="str">
        <x:v>否</x:v>
      </x:c>
      <x:c r="O253" s="25" t="n">
        <x:v>0</x:v>
      </x:c>
      <x:c r="P253" s="25" t="n">
        <x:v>0</x:v>
      </x:c>
      <x:c r="Q253" s="25" t="n">
        <x:v>0</x:v>
      </x:c>
      <x:c r="R253" s="25" t="str">
        <x:v>洗练绑定装备；项链幸运绑定人物永久进度；武器幸运成本忽略</x:v>
      </x:c>
    </x:row>
    <x:row r="254">
      <x:c r="A254" s="25" t="str">
        <x:v>C03-X</x:v>
      </x:c>
      <x:c r="B254" s="25" t="str">
        <x:v>宁姆格福西域</x:v>
      </x:c>
      <x:c r="C254" s="25" t="str">
        <x:v>极端压力</x:v>
      </x:c>
      <x:c r="D254" s="25" t="n">
        <x:v>43</x:v>
      </x:c>
      <x:c r="E254" s="25" t="n">
        <x:v>79</x:v>
      </x:c>
      <x:c r="F254" s="25" t="str">
        <x:v>无月卯兔</x:v>
      </x:c>
      <x:c r="G254" s="25" t="str">
        <x:v>生肖4</x:v>
      </x:c>
      <x:c r="H254" s="25" t="n">
        <x:v>2</x:v>
      </x:c>
      <x:c r="I254" s="25" t="str">
        <x:v>BOSS</x:v>
      </x:c>
      <x:c r="J254" s="25" t="str">
        <x:v>S02</x:v>
      </x:c>
      <x:c r="K254" s="25" t="str">
        <x:v>34-65</x:v>
      </x:c>
      <x:c r="L254" s="25" t="n">
        <x:v>32600</x:v>
      </x:c>
      <x:c r="M254" s="25" t="n">
        <x:v>0</x:v>
      </x:c>
      <x:c r="N254" s="25" t="str">
        <x:v>否</x:v>
      </x:c>
      <x:c r="O254" s="25" t="n">
        <x:v>0</x:v>
      </x:c>
      <x:c r="P254" s="25" t="n">
        <x:v>0</x:v>
      </x:c>
      <x:c r="Q254" s="25" t="n">
        <x:v>0</x:v>
      </x:c>
      <x:c r="R254" s="25" t="str">
        <x:v>洗练绑定装备；项链幸运绑定人物永久进度；武器幸运成本忽略</x:v>
      </x:c>
    </x:row>
    <x:row r="255">
      <x:c r="A255" s="25" t="str">
        <x:v>C03-X</x:v>
      </x:c>
      <x:c r="B255" s="25" t="str">
        <x:v>宁姆格福西域</x:v>
      </x:c>
      <x:c r="C255" s="25" t="str">
        <x:v>极端压力</x:v>
      </x:c>
      <x:c r="D255" s="25" t="n">
        <x:v>44</x:v>
      </x:c>
      <x:c r="E255" s="25" t="n">
        <x:v>91</x:v>
      </x:c>
      <x:c r="F255" s="25" t="str">
        <x:v>辰龙·荒原逐风</x:v>
      </x:c>
      <x:c r="G255" s="25" t="str">
        <x:v>生肖5</x:v>
      </x:c>
      <x:c r="H255" s="25" t="n">
        <x:v>3</x:v>
      </x:c>
      <x:c r="I255" s="25" t="str">
        <x:v>生肖合成</x:v>
      </x:c>
      <x:c r="J255" s="25" t="str">
        <x:v>S07</x:v>
      </x:c>
      <x:c r="K255" s="25" t="str">
        <x:v>47-90</x:v>
      </x:c>
      <x:c r="L255" s="25" t="n">
        <x:v>120000</x:v>
      </x:c>
      <x:c r="M255" s="25" t="n">
        <x:v>0</x:v>
      </x:c>
      <x:c r="N255" s="25" t="str">
        <x:v>否</x:v>
      </x:c>
      <x:c r="O255" s="25" t="n">
        <x:v>0</x:v>
      </x:c>
      <x:c r="P255" s="25" t="n">
        <x:v>0</x:v>
      </x:c>
      <x:c r="Q255" s="25" t="n">
        <x:v>0</x:v>
      </x:c>
      <x:c r="R255" s="25" t="str">
        <x:v>洗练绑定装备；项链幸运绑定人物永久进度；武器幸运成本忽略</x:v>
      </x:c>
    </x:row>
    <x:row r="256">
      <x:c r="A256" s="25" t="str">
        <x:v>C03-X</x:v>
      </x:c>
      <x:c r="B256" s="25" t="str">
        <x:v>宁姆格福西域</x:v>
      </x:c>
      <x:c r="C256" s="25" t="str">
        <x:v>极端压力</x:v>
      </x:c>
      <x:c r="D256" s="25" t="n">
        <x:v>45</x:v>
      </x:c>
      <x:c r="E256" s="25" t="n">
        <x:v>46</x:v>
      </x:c>
      <x:c r="F256" s="25" t="str">
        <x:v>祖魂巳蛇</x:v>
      </x:c>
      <x:c r="G256" s="25" t="str">
        <x:v>生肖6</x:v>
      </x:c>
      <x:c r="H256" s="25" t="n">
        <x:v>2</x:v>
      </x:c>
      <x:c r="I256" s="25" t="str">
        <x:v>稀有</x:v>
      </x:c>
      <x:c r="J256" s="25" t="str">
        <x:v>S02</x:v>
      </x:c>
      <x:c r="K256" s="25" t="str">
        <x:v>33-64</x:v>
      </x:c>
      <x:c r="L256" s="25" t="n">
        <x:v>39100</x:v>
      </x:c>
      <x:c r="M256" s="25" t="n">
        <x:v>0</x:v>
      </x:c>
      <x:c r="N256" s="25" t="str">
        <x:v>否</x:v>
      </x:c>
      <x:c r="O256" s="25" t="n">
        <x:v>0</x:v>
      </x:c>
      <x:c r="P256" s="25" t="n">
        <x:v>0</x:v>
      </x:c>
      <x:c r="Q256" s="25" t="n">
        <x:v>0</x:v>
      </x:c>
      <x:c r="R256" s="25" t="str">
        <x:v>洗练绑定装备；项链幸运绑定人物永久进度；武器幸运成本忽略</x:v>
      </x:c>
    </x:row>
    <x:row r="257">
      <x:c r="A257" s="25" t="str">
        <x:v>C03-X</x:v>
      </x:c>
      <x:c r="B257" s="25" t="str">
        <x:v>宁姆格福西域</x:v>
      </x:c>
      <x:c r="C257" s="25" t="str">
        <x:v>极端压力</x:v>
      </x:c>
      <x:c r="D257" s="25" t="n">
        <x:v>46</x:v>
      </x:c>
      <x:c r="E257" s="25" t="n">
        <x:v>80</x:v>
      </x:c>
      <x:c r="F257" s="25" t="str">
        <x:v>死水午马</x:v>
      </x:c>
      <x:c r="G257" s="25" t="str">
        <x:v>生肖7</x:v>
      </x:c>
      <x:c r="H257" s="25" t="n">
        <x:v>2</x:v>
      </x:c>
      <x:c r="I257" s="25" t="str">
        <x:v>BOSS</x:v>
      </x:c>
      <x:c r="J257" s="25" t="str">
        <x:v>S02</x:v>
      </x:c>
      <x:c r="K257" s="25" t="str">
        <x:v>38-74</x:v>
      </x:c>
      <x:c r="L257" s="25" t="n">
        <x:v>45300</x:v>
      </x:c>
      <x:c r="M257" s="25" t="n">
        <x:v>0</x:v>
      </x:c>
      <x:c r="N257" s="25" t="str">
        <x:v>否</x:v>
      </x:c>
      <x:c r="O257" s="25" t="n">
        <x:v>0</x:v>
      </x:c>
      <x:c r="P257" s="25" t="n">
        <x:v>0</x:v>
      </x:c>
      <x:c r="Q257" s="25" t="n">
        <x:v>0</x:v>
      </x:c>
      <x:c r="R257" s="25" t="str">
        <x:v>洗练绑定装备；项链幸运绑定人物永久进度；武器幸运成本忽略</x:v>
      </x:c>
    </x:row>
    <x:row r="258">
      <x:c r="A258" s="25" t="str">
        <x:v>C03-X</x:v>
      </x:c>
      <x:c r="B258" s="25" t="str">
        <x:v>宁姆格福西域</x:v>
      </x:c>
      <x:c r="C258" s="25" t="str">
        <x:v>极端压力</x:v>
      </x:c>
      <x:c r="D258" s="25" t="n">
        <x:v>47</x:v>
      </x:c>
      <x:c r="E258" s="25" t="n">
        <x:v>67</x:v>
      </x:c>
      <x:c r="F258" s="25" t="str">
        <x:v>葬日未羊</x:v>
      </x:c>
      <x:c r="G258" s="25" t="str">
        <x:v>生肖8</x:v>
      </x:c>
      <x:c r="H258" s="25" t="n">
        <x:v>2</x:v>
      </x:c>
      <x:c r="I258" s="25" t="str">
        <x:v>稀有</x:v>
      </x:c>
      <x:c r="J258" s="25" t="str">
        <x:v>S02</x:v>
      </x:c>
      <x:c r="K258" s="25" t="str">
        <x:v>37-72</x:v>
      </x:c>
      <x:c r="L258" s="25" t="n">
        <x:v>51600</x:v>
      </x:c>
      <x:c r="M258" s="25" t="n">
        <x:v>0</x:v>
      </x:c>
      <x:c r="N258" s="25" t="str">
        <x:v>否</x:v>
      </x:c>
      <x:c r="O258" s="25" t="n">
        <x:v>0</x:v>
      </x:c>
      <x:c r="P258" s="25" t="n">
        <x:v>0</x:v>
      </x:c>
      <x:c r="Q258" s="25" t="n">
        <x:v>0</x:v>
      </x:c>
      <x:c r="R258" s="25" t="str">
        <x:v>洗练绑定装备；项链幸运绑定人物永久进度；武器幸运成本忽略</x:v>
      </x:c>
    </x:row>
    <x:row r="259">
      <x:c r="A259" s="25" t="str">
        <x:v>C03-X</x:v>
      </x:c>
      <x:c r="B259" s="25" t="str">
        <x:v>宁姆格福西域</x:v>
      </x:c>
      <x:c r="C259" s="25" t="str">
        <x:v>极端压力</x:v>
      </x:c>
      <x:c r="D259" s="25" t="n">
        <x:v>48</x:v>
      </x:c>
      <x:c r="E259" s="25" t="n">
        <x:v>81</x:v>
      </x:c>
      <x:c r="F259" s="25" t="str">
        <x:v>雷冠申猴</x:v>
      </x:c>
      <x:c r="G259" s="25" t="str">
        <x:v>生肖9</x:v>
      </x:c>
      <x:c r="H259" s="25" t="n">
        <x:v>2</x:v>
      </x:c>
      <x:c r="I259" s="25" t="str">
        <x:v>BOSS</x:v>
      </x:c>
      <x:c r="J259" s="25" t="str">
        <x:v>S02</x:v>
      </x:c>
      <x:c r="K259" s="25" t="str">
        <x:v>44-84</x:v>
      </x:c>
      <x:c r="L259" s="25" t="n">
        <x:v>59800</x:v>
      </x:c>
      <x:c r="M259" s="25" t="n">
        <x:v>0</x:v>
      </x:c>
      <x:c r="N259" s="25" t="str">
        <x:v>否</x:v>
      </x:c>
      <x:c r="O259" s="25" t="n">
        <x:v>0</x:v>
      </x:c>
      <x:c r="P259" s="25" t="n">
        <x:v>0</x:v>
      </x:c>
      <x:c r="Q259" s="25" t="n">
        <x:v>0</x:v>
      </x:c>
      <x:c r="R259" s="25" t="str">
        <x:v>洗练绑定装备；项链幸运绑定人物永久进度；武器幸运成本忽略</x:v>
      </x:c>
    </x:row>
    <x:row r="260">
      <x:c r="A260" s="25" t="str">
        <x:v>C03-X</x:v>
      </x:c>
      <x:c r="B260" s="25" t="str">
        <x:v>宁姆格福西域</x:v>
      </x:c>
      <x:c r="C260" s="25" t="str">
        <x:v>极端压力</x:v>
      </x:c>
      <x:c r="D260" s="25" t="n">
        <x:v>49</x:v>
      </x:c>
      <x:c r="E260" s="25" t="n">
        <x:v>82</x:v>
      </x:c>
      <x:c r="F260" s="25" t="str">
        <x:v>恶兆酉鸡</x:v>
      </x:c>
      <x:c r="G260" s="25" t="str">
        <x:v>生肖10</x:v>
      </x:c>
      <x:c r="H260" s="25" t="n">
        <x:v>2</x:v>
      </x:c>
      <x:c r="I260" s="25" t="str">
        <x:v>BOSS</x:v>
      </x:c>
      <x:c r="J260" s="25" t="str">
        <x:v>S02</x:v>
      </x:c>
      <x:c r="K260" s="25" t="str">
        <x:v>44-84</x:v>
      </x:c>
      <x:c r="L260" s="25" t="n">
        <x:v>59800</x:v>
      </x:c>
      <x:c r="M260" s="25" t="n">
        <x:v>0</x:v>
      </x:c>
      <x:c r="N260" s="25" t="str">
        <x:v>否</x:v>
      </x:c>
      <x:c r="O260" s="25" t="n">
        <x:v>0</x:v>
      </x:c>
      <x:c r="P260" s="25" t="n">
        <x:v>0</x:v>
      </x:c>
      <x:c r="Q260" s="25" t="n">
        <x:v>0</x:v>
      </x:c>
      <x:c r="R260" s="25" t="str">
        <x:v>洗练绑定装备；项链幸运绑定人物永久进度；武器幸运成本忽略</x:v>
      </x:c>
    </x:row>
    <x:row r="261">
      <x:c r="A261" s="25" t="str">
        <x:v>C03-X</x:v>
      </x:c>
      <x:c r="B261" s="25" t="str">
        <x:v>宁姆格福西域</x:v>
      </x:c>
      <x:c r="C261" s="25" t="str">
        <x:v>极端压力</x:v>
      </x:c>
      <x:c r="D261" s="25" t="n">
        <x:v>50</x:v>
      </x:c>
      <x:c r="E261" s="25" t="n">
        <x:v>83</x:v>
      </x:c>
      <x:c r="F261" s="25" t="str">
        <x:v>失乡戌狗</x:v>
      </x:c>
      <x:c r="G261" s="25" t="str">
        <x:v>生肖11</x:v>
      </x:c>
      <x:c r="H261" s="25" t="n">
        <x:v>2</x:v>
      </x:c>
      <x:c r="I261" s="25" t="str">
        <x:v>BOSS</x:v>
      </x:c>
      <x:c r="J261" s="25" t="str">
        <x:v>S02</x:v>
      </x:c>
      <x:c r="K261" s="25" t="str">
        <x:v>48-93</x:v>
      </x:c>
      <x:c r="L261" s="25" t="n">
        <x:v>79800</x:v>
      </x:c>
      <x:c r="M261" s="25" t="n">
        <x:v>0</x:v>
      </x:c>
      <x:c r="N261" s="25" t="str">
        <x:v>否</x:v>
      </x:c>
      <x:c r="O261" s="25" t="n">
        <x:v>0</x:v>
      </x:c>
      <x:c r="P261" s="25" t="n">
        <x:v>0</x:v>
      </x:c>
      <x:c r="Q261" s="25" t="n">
        <x:v>0</x:v>
      </x:c>
      <x:c r="R261" s="25" t="str">
        <x:v>洗练绑定装备；项链幸运绑定人物永久进度；武器幸运成本忽略</x:v>
      </x:c>
    </x:row>
    <x:row r="262">
      <x:c r="A262" s="25" t="str">
        <x:v>C03-X</x:v>
      </x:c>
      <x:c r="B262" s="25" t="str">
        <x:v>宁姆格福西域</x:v>
      </x:c>
      <x:c r="C262" s="25" t="str">
        <x:v>极端压力</x:v>
      </x:c>
      <x:c r="D262" s="25" t="n">
        <x:v>51</x:v>
      </x:c>
      <x:c r="E262" s="25" t="n">
        <x:v>84</x:v>
      </x:c>
      <x:c r="F262" s="25" t="str">
        <x:v>接肢亥猪</x:v>
      </x:c>
      <x:c r="G262" s="25" t="str">
        <x:v>生肖12</x:v>
      </x:c>
      <x:c r="H262" s="25" t="n">
        <x:v>2</x:v>
      </x:c>
      <x:c r="I262" s="25" t="str">
        <x:v>守关BOSS</x:v>
      </x:c>
      <x:c r="J262" s="25" t="str">
        <x:v>S02</x:v>
      </x:c>
      <x:c r="K262" s="25" t="str">
        <x:v>55-106</x:v>
      </x:c>
      <x:c r="L262" s="25" t="n">
        <x:v>90800</x:v>
      </x:c>
      <x:c r="M262" s="25" t="n">
        <x:v>0</x:v>
      </x:c>
      <x:c r="N262" s="25" t="str">
        <x:v>否</x:v>
      </x:c>
      <x:c r="O262" s="25" t="n">
        <x:v>0</x:v>
      </x:c>
      <x:c r="P262" s="25" t="n">
        <x:v>0</x:v>
      </x:c>
      <x:c r="Q262" s="25" t="n">
        <x:v>0</x:v>
      </x:c>
      <x:c r="R262" s="25" t="str">
        <x:v>洗练绑定装备；项链幸运绑定人物永久进度；武器幸运成本忽略</x:v>
      </x:c>
    </x:row>
    <x:row r="263">
      <x:c r="A263" s="25" t="str">
        <x:v>C04-E</x:v>
      </x:c>
      <x:c r="B263" s="25" t="str">
        <x:v>利耶尼亚海域</x:v>
      </x:c>
      <x:c r="C263" s="25" t="str">
        <x:v>半急速入场</x:v>
      </x:c>
      <x:c r="D263" s="25" t="n">
        <x:v>0</x:v>
      </x:c>
      <x:c r="E263" s="25" t="n">
        <x:v>93</x:v>
      </x:c>
      <x:c r="F263" s="25" t="str">
        <x:v>巨犀荒铠</x:v>
      </x:c>
      <x:c r="G263" s="25" t="str">
        <x:v>衣服</x:v>
      </x:c>
      <x:c r="H263" s="25" t="n">
        <x:v>3</x:v>
      </x:c>
      <x:c r="I263" s="25" t="str">
        <x:v>地图BOSS</x:v>
      </x:c>
      <x:c r="J263" s="25" t="str">
        <x:v>S07</x:v>
      </x:c>
      <x:c r="K263" s="25" t="str">
        <x:v>78-150</x:v>
      </x:c>
      <x:c r="L263" s="25" t="n">
        <x:v>440000</x:v>
      </x:c>
      <x:c r="M263" s="25" t="n">
        <x:v>6</x:v>
      </x:c>
      <x:c r="N263" s="25" t="str">
        <x:v>否</x:v>
      </x:c>
      <x:c r="O263" s="25" t="n">
        <x:v>0</x:v>
      </x:c>
      <x:c r="P263" s="25" t="n">
        <x:v>0</x:v>
      </x:c>
      <x:c r="Q263" s="25" t="n">
        <x:v>0</x:v>
      </x:c>
      <x:c r="R263" s="25" t="str">
        <x:v>洗练绑定装备；项链幸运绑定人物永久进度；武器幸运成本忽略</x:v>
      </x:c>
    </x:row>
    <x:row r="264">
      <x:c r="A264" s="25" t="str">
        <x:v>C04-E</x:v>
      </x:c>
      <x:c r="B264" s="25" t="str">
        <x:v>利耶尼亚海域</x:v>
      </x:c>
      <x:c r="C264" s="25" t="str">
        <x:v>半急速入场</x:v>
      </x:c>
      <x:c r="D264" s="25" t="n">
        <x:v>1</x:v>
      </x:c>
      <x:c r="E264" s="25" t="n">
        <x:v>92</x:v>
      </x:c>
      <x:c r="F264" s="25" t="str">
        <x:v>刑官断刃</x:v>
      </x:c>
      <x:c r="G264" s="25" t="str">
        <x:v>武器</x:v>
      </x:c>
      <x:c r="H264" s="25" t="n">
        <x:v>3</x:v>
      </x:c>
      <x:c r="I264" s="25" t="str">
        <x:v>稀有</x:v>
      </x:c>
      <x:c r="J264" s="25" t="str">
        <x:v>S07</x:v>
      </x:c>
      <x:c r="K264" s="25" t="str">
        <x:v>620-1200</x:v>
      </x:c>
      <x:c r="L264" s="25" t="n">
        <x:v>74000</x:v>
      </x:c>
      <x:c r="M264" s="25" t="n">
        <x:v>1</x:v>
      </x:c>
      <x:c r="N264" s="25" t="str">
        <x:v>否</x:v>
      </x:c>
      <x:c r="O264" s="25" t="n">
        <x:v>7</x:v>
      </x:c>
      <x:c r="P264" s="25" t="n">
        <x:v>0</x:v>
      </x:c>
      <x:c r="Q264" s="25" t="n">
        <x:v>0</x:v>
      </x:c>
      <x:c r="R264" s="25" t="str">
        <x:v>洗练绑定装备；项链幸运绑定人物永久进度；武器幸运成本忽略</x:v>
      </x:c>
    </x:row>
    <x:row r="265">
      <x:c r="A265" s="25" t="str">
        <x:v>C04-E</x:v>
      </x:c>
      <x:c r="B265" s="25" t="str">
        <x:v>利耶尼亚海域</x:v>
      </x:c>
      <x:c r="C265" s="25" t="str">
        <x:v>半急速入场</x:v>
      </x:c>
      <x:c r="D265" s="25" t="n">
        <x:v>2</x:v>
      </x:c>
      <x:c r="E265" s="25" t="n">
        <x:v>88</x:v>
      </x:c>
      <x:c r="F265" s="25" t="str">
        <x:v>火漆追缉令</x:v>
      </x:c>
      <x:c r="G265" s="25" t="str">
        <x:v>勋章</x:v>
      </x:c>
      <x:c r="H265" s="25" t="n">
        <x:v>3</x:v>
      </x:c>
      <x:c r="I265" s="25" t="str">
        <x:v>稀有</x:v>
      </x:c>
      <x:c r="J265" s="25" t="str">
        <x:v>S07</x:v>
      </x:c>
      <x:c r="K265" s="25" t="str">
        <x:v>78-150</x:v>
      </x:c>
      <x:c r="L265" s="25" t="n">
        <x:v>71000</x:v>
      </x:c>
      <x:c r="M265" s="25" t="n">
        <x:v>0</x:v>
      </x:c>
      <x:c r="N265" s="25" t="str">
        <x:v>否</x:v>
      </x:c>
      <x:c r="O265" s="25" t="n">
        <x:v>0</x:v>
      </x:c>
      <x:c r="P265" s="25" t="n">
        <x:v>0</x:v>
      </x:c>
      <x:c r="Q265" s="25" t="n">
        <x:v>0</x:v>
      </x:c>
      <x:c r="R265" s="25" t="str">
        <x:v>洗练绑定装备；项链幸运绑定人物永久进度；武器幸运成本忽略</x:v>
      </x:c>
    </x:row>
    <x:row r="266">
      <x:c r="A266" s="25" t="str">
        <x:v>C04-E</x:v>
      </x:c>
      <x:c r="B266" s="25" t="str">
        <x:v>利耶尼亚海域</x:v>
      </x:c>
      <x:c r="C266" s="25" t="str">
        <x:v>半急速入场</x:v>
      </x:c>
      <x:c r="D266" s="25" t="n">
        <x:v>3</x:v>
      </x:c>
      <x:c r="E266" s="25" t="n">
        <x:v>50</x:v>
      </x:c>
      <x:c r="F266" s="25" t="str">
        <x:v>卢恩骑士项链</x:v>
      </x:c>
      <x:c r="G266" s="25" t="str">
        <x:v>项链</x:v>
      </x:c>
      <x:c r="H266" s="25" t="n">
        <x:v>2</x:v>
      </x:c>
      <x:c r="I266" s="25" t="str">
        <x:v>制式</x:v>
      </x:c>
      <x:c r="J266" s="25" t="str">
        <x:v>S01</x:v>
      </x:c>
      <x:c r="K266" s="25" t="str">
        <x:v>37-73</x:v>
      </x:c>
      <x:c r="L266" s="25" t="n">
        <x:v>9750</x:v>
      </x:c>
      <x:c r="M266" s="25" t="n">
        <x:v>1</x:v>
      </x:c>
      <x:c r="N266" s="25" t="str">
        <x:v>否</x:v>
      </x:c>
      <x:c r="O266" s="25" t="n">
        <x:v>0</x:v>
      </x:c>
      <x:c r="P266" s="25" t="n">
        <x:v>0</x:v>
      </x:c>
      <x:c r="Q266" s="25" t="n">
        <x:v>0</x:v>
      </x:c>
      <x:c r="R266" s="25" t="str">
        <x:v>洗练绑定装备；项链幸运绑定人物永久进度；武器幸运成本忽略</x:v>
      </x:c>
    </x:row>
    <x:row r="267">
      <x:c r="A267" s="25" t="str">
        <x:v>C04-E</x:v>
      </x:c>
      <x:c r="B267" s="25" t="str">
        <x:v>利耶尼亚海域</x:v>
      </x:c>
      <x:c r="C267" s="25" t="str">
        <x:v>半急速入场</x:v>
      </x:c>
      <x:c r="D267" s="25" t="n">
        <x:v>4</x:v>
      </x:c>
      <x:c r="E267" s="25" t="n">
        <x:v>35</x:v>
      </x:c>
      <x:c r="F267" s="25" t="str">
        <x:v>圣树先锋战盔</x:v>
      </x:c>
      <x:c r="G267" s="25" t="str">
        <x:v>头盔</x:v>
      </x:c>
      <x:c r="H267" s="25" t="n">
        <x:v>2</x:v>
      </x:c>
      <x:c r="I267" s="25" t="str">
        <x:v>制式</x:v>
      </x:c>
      <x:c r="J267" s="25" t="str">
        <x:v>S01</x:v>
      </x:c>
      <x:c r="K267" s="25" t="str">
        <x:v>24-48</x:v>
      </x:c>
      <x:c r="L267" s="25" t="n">
        <x:v>15000</x:v>
      </x:c>
      <x:c r="M267" s="25" t="n">
        <x:v>4</x:v>
      </x:c>
      <x:c r="N267" s="25" t="str">
        <x:v>否</x:v>
      </x:c>
      <x:c r="O267" s="25" t="n">
        <x:v>0</x:v>
      </x:c>
      <x:c r="P267" s="25" t="n">
        <x:v>0</x:v>
      </x:c>
      <x:c r="Q267" s="25" t="n">
        <x:v>0</x:v>
      </x:c>
      <x:c r="R267" s="25" t="str">
        <x:v>洗练绑定装备；项链幸运绑定人物永久进度；武器幸运成本忽略</x:v>
      </x:c>
    </x:row>
    <x:row r="268">
      <x:c r="A268" s="25" t="str">
        <x:v>C04-E</x:v>
      </x:c>
      <x:c r="B268" s="25" t="str">
        <x:v>利耶尼亚海域</x:v>
      </x:c>
      <x:c r="C268" s="25" t="str">
        <x:v>半急速入场</x:v>
      </x:c>
      <x:c r="D268" s="25" t="n">
        <x:v>5</x:v>
      </x:c>
      <x:c r="E268" s="25" t="n">
        <x:v>73</x:v>
      </x:c>
      <x:c r="F268" s="25" t="str">
        <x:v>古龙近卫腕甲</x:v>
      </x:c>
      <x:c r="G268" s="25" t="str">
        <x:v>手镯</x:v>
      </x:c>
      <x:c r="H268" s="25" t="n">
        <x:v>2</x:v>
      </x:c>
      <x:c r="I268" s="25" t="str">
        <x:v>制式</x:v>
      </x:c>
      <x:c r="J268" s="25" t="str">
        <x:v>S01</x:v>
      </x:c>
      <x:c r="K268" s="25" t="str">
        <x:v>51-102</x:v>
      </x:c>
      <x:c r="L268" s="25" t="n">
        <x:v>17000</x:v>
      </x:c>
      <x:c r="M268" s="25" t="n">
        <x:v>5</x:v>
      </x:c>
      <x:c r="N268" s="25" t="str">
        <x:v>否</x:v>
      </x:c>
      <x:c r="O268" s="25" t="n">
        <x:v>0</x:v>
      </x:c>
      <x:c r="P268" s="25" t="n">
        <x:v>0</x:v>
      </x:c>
      <x:c r="Q268" s="25" t="n">
        <x:v>0</x:v>
      </x:c>
      <x:c r="R268" s="25" t="str">
        <x:v>洗练绑定装备；项链幸运绑定人物永久进度；武器幸运成本忽略</x:v>
      </x:c>
    </x:row>
    <x:row r="269">
      <x:c r="A269" s="25" t="str">
        <x:v>C04-E</x:v>
      </x:c>
      <x:c r="B269" s="25" t="str">
        <x:v>利耶尼亚海域</x:v>
      </x:c>
      <x:c r="C269" s="25" t="str">
        <x:v>半急速入场</x:v>
      </x:c>
      <x:c r="D269" s="25" t="n">
        <x:v>6</x:v>
      </x:c>
      <x:c r="E269" s="25" t="n">
        <x:v>68</x:v>
      </x:c>
      <x:c r="F269" s="25" t="str">
        <x:v>百指接肢腕</x:v>
      </x:c>
      <x:c r="G269" s="25" t="str">
        <x:v>手镯</x:v>
      </x:c>
      <x:c r="H269" s="25" t="n">
        <x:v>2</x:v>
      </x:c>
      <x:c r="I269" s="25" t="str">
        <x:v>装备合成</x:v>
      </x:c>
      <x:c r="J269" s="25" t="str">
        <x:v>S07</x:v>
      </x:c>
      <x:c r="K269" s="25" t="str">
        <x:v>110-210</x:v>
      </x:c>
      <x:c r="L269" s="25" t="n">
        <x:v>85000</x:v>
      </x:c>
      <x:c r="M269" s="25" t="n">
        <x:v>5</x:v>
      </x:c>
      <x:c r="N269" s="25" t="str">
        <x:v>否</x:v>
      </x:c>
      <x:c r="O269" s="25" t="n">
        <x:v>0</x:v>
      </x:c>
      <x:c r="P269" s="25" t="n">
        <x:v>0</x:v>
      </x:c>
      <x:c r="Q269" s="25" t="n">
        <x:v>0</x:v>
      </x:c>
      <x:c r="R269" s="25" t="str">
        <x:v>洗练绑定装备；项链幸运绑定人物永久进度；武器幸运成本忽略</x:v>
      </x:c>
    </x:row>
    <x:row r="270">
      <x:c r="A270" s="25" t="str">
        <x:v>C04-E</x:v>
      </x:c>
      <x:c r="B270" s="25" t="str">
        <x:v>利耶尼亚海域</x:v>
      </x:c>
      <x:c r="C270" s="25" t="str">
        <x:v>半急速入场</x:v>
      </x:c>
      <x:c r="D270" s="25" t="n">
        <x:v>7</x:v>
      </x:c>
      <x:c r="E270" s="25" t="n">
        <x:v>75</x:v>
      </x:c>
      <x:c r="F270" s="25" t="str">
        <x:v>归乡弩戒</x:v>
      </x:c>
      <x:c r="G270" s="25" t="str">
        <x:v>戒指</x:v>
      </x:c>
      <x:c r="H270" s="25" t="n">
        <x:v>2</x:v>
      </x:c>
      <x:c r="I270" s="25" t="str">
        <x:v>普通</x:v>
      </x:c>
      <x:c r="J270" s="25" t="str">
        <x:v>S02</x:v>
      </x:c>
      <x:c r="K270" s="25" t="str">
        <x:v>41-79</x:v>
      </x:c>
      <x:c r="L270" s="25" t="n">
        <x:v>15700</x:v>
      </x:c>
      <x:c r="M270" s="25" t="n">
        <x:v>3</x:v>
      </x:c>
      <x:c r="N270" s="25" t="str">
        <x:v>否</x:v>
      </x:c>
      <x:c r="O270" s="25" t="n">
        <x:v>0</x:v>
      </x:c>
      <x:c r="P270" s="25" t="n">
        <x:v>0</x:v>
      </x:c>
      <x:c r="Q270" s="25" t="n">
        <x:v>0</x:v>
      </x:c>
      <x:c r="R270" s="25" t="str">
        <x:v>洗练绑定装备；项链幸运绑定人物永久进度；武器幸运成本忽略</x:v>
      </x:c>
    </x:row>
    <x:row r="271">
      <x:c r="A271" s="25" t="str">
        <x:v>C04-E</x:v>
      </x:c>
      <x:c r="B271" s="25" t="str">
        <x:v>利耶尼亚海域</x:v>
      </x:c>
      <x:c r="C271" s="25" t="str">
        <x:v>半急速入场</x:v>
      </x:c>
      <x:c r="D271" s="25" t="n">
        <x:v>8</x:v>
      </x:c>
      <x:c r="E271" s="25" t="n">
        <x:v>54</x:v>
      </x:c>
      <x:c r="F271" s="25" t="str">
        <x:v>潮归秘戒</x:v>
      </x:c>
      <x:c r="G271" s="25" t="str">
        <x:v>戒指</x:v>
      </x:c>
      <x:c r="H271" s="25" t="n">
        <x:v>1</x:v>
      </x:c>
      <x:c r="I271" s="25" t="str">
        <x:v>装备合成</x:v>
      </x:c>
      <x:c r="J271" s="25" t="str">
        <x:v>S07</x:v>
      </x:c>
      <x:c r="K271" s="25" t="str">
        <x:v>50-96</x:v>
      </x:c>
      <x:c r="L271" s="25" t="n">
        <x:v>39000</x:v>
      </x:c>
      <x:c r="M271" s="25" t="n">
        <x:v>4</x:v>
      </x:c>
      <x:c r="N271" s="25" t="str">
        <x:v>否</x:v>
      </x:c>
      <x:c r="O271" s="25" t="n">
        <x:v>0</x:v>
      </x:c>
      <x:c r="P271" s="25" t="n">
        <x:v>0</x:v>
      </x:c>
      <x:c r="Q271" s="25" t="n">
        <x:v>0</x:v>
      </x:c>
      <x:c r="R271" s="25" t="str">
        <x:v>洗练绑定装备；项链幸运绑定人物永久进度；武器幸运成本忽略</x:v>
      </x:c>
    </x:row>
    <x:row r="272">
      <x:c r="A272" s="25" t="str">
        <x:v>C04-E</x:v>
      </x:c>
      <x:c r="B272" s="25" t="str">
        <x:v>利耶尼亚海域</x:v>
      </x:c>
      <x:c r="C272" s="25" t="str">
        <x:v>半急速入场</x:v>
      </x:c>
      <x:c r="D272" s="25" t="n">
        <x:v>10</x:v>
      </x:c>
      <x:c r="E272" s="25" t="n">
        <x:v>36</x:v>
      </x:c>
      <x:c r="F272" s="25" t="str">
        <x:v>黄金戍卫腰带</x:v>
      </x:c>
      <x:c r="G272" s="25" t="str">
        <x:v>腰带</x:v>
      </x:c>
      <x:c r="H272" s="25" t="n">
        <x:v>2</x:v>
      </x:c>
      <x:c r="I272" s="25" t="str">
        <x:v>制式</x:v>
      </x:c>
      <x:c r="J272" s="25" t="str">
        <x:v>S01</x:v>
      </x:c>
      <x:c r="K272" s="25" t="str">
        <x:v>22-44</x:v>
      </x:c>
      <x:c r="L272" s="25" t="n">
        <x:v>13800</x:v>
      </x:c>
      <x:c r="M272" s="25" t="n">
        <x:v>4</x:v>
      </x:c>
      <x:c r="N272" s="25" t="str">
        <x:v>否</x:v>
      </x:c>
      <x:c r="O272" s="25" t="n">
        <x:v>0</x:v>
      </x:c>
      <x:c r="P272" s="25" t="n">
        <x:v>0</x:v>
      </x:c>
      <x:c r="Q272" s="25" t="n">
        <x:v>0</x:v>
      </x:c>
      <x:c r="R272" s="25" t="str">
        <x:v>洗练绑定装备；项链幸运绑定人物永久进度；武器幸运成本忽略</x:v>
      </x:c>
    </x:row>
    <x:row r="273">
      <x:c r="A273" s="25" t="str">
        <x:v>C04-E</x:v>
      </x:c>
      <x:c r="B273" s="25" t="str">
        <x:v>利耶尼亚海域</x:v>
      </x:c>
      <x:c r="C273" s="25" t="str">
        <x:v>半急速入场</x:v>
      </x:c>
      <x:c r="D273" s="25" t="n">
        <x:v>11</x:v>
      </x:c>
      <x:c r="E273" s="25" t="n">
        <x:v>94</x:v>
      </x:c>
      <x:c r="F273" s="25" t="str">
        <x:v>逐风征靴</x:v>
      </x:c>
      <x:c r="G273" s="25" t="str">
        <x:v>鞋子</x:v>
      </x:c>
      <x:c r="H273" s="25" t="n">
        <x:v>3</x:v>
      </x:c>
      <x:c r="I273" s="25" t="str">
        <x:v>装备合成</x:v>
      </x:c>
      <x:c r="J273" s="25" t="str">
        <x:v>S07</x:v>
      </x:c>
      <x:c r="K273" s="25" t="str">
        <x:v>100-200</x:v>
      </x:c>
      <x:c r="L273" s="25" t="n">
        <x:v>150000</x:v>
      </x:c>
      <x:c r="M273" s="25" t="n">
        <x:v>2</x:v>
      </x:c>
      <x:c r="N273" s="25" t="str">
        <x:v>否</x:v>
      </x:c>
      <x:c r="O273" s="25" t="n">
        <x:v>0</x:v>
      </x:c>
      <x:c r="P273" s="25" t="n">
        <x:v>0</x:v>
      </x:c>
      <x:c r="Q273" s="25" t="n">
        <x:v>0</x:v>
      </x:c>
      <x:c r="R273" s="25" t="str">
        <x:v>洗练绑定装备；项链幸运绑定人物永久进度；武器幸运成本忽略</x:v>
      </x:c>
    </x:row>
    <x:row r="274">
      <x:c r="A274" s="25" t="str">
        <x:v>C04-E</x:v>
      </x:c>
      <x:c r="B274" s="25" t="str">
        <x:v>利耶尼亚海域</x:v>
      </x:c>
      <x:c r="C274" s="25" t="str">
        <x:v>半急速入场</x:v>
      </x:c>
      <x:c r="D274" s="25" t="n">
        <x:v>13</x:v>
      </x:c>
      <x:c r="E274" s="25" t="n">
        <x:v>12</x:v>
      </x:c>
      <x:c r="F274" s="25" t="str">
        <x:v>石蜥面巾</x:v>
      </x:c>
      <x:c r="G274" s="25" t="str">
        <x:v>斗笠</x:v>
      </x:c>
      <x:c r="H274" s="25" t="n">
        <x:v>1</x:v>
      </x:c>
      <x:c r="I274" s="25" t="str">
        <x:v>普通</x:v>
      </x:c>
      <x:c r="J274" s="25" t="str">
        <x:v>S02</x:v>
      </x:c>
      <x:c r="K274" s="25" t="str">
        <x:v>12-24</x:v>
      </x:c>
      <x:c r="L274" s="25" t="n">
        <x:v>10000</x:v>
      </x:c>
      <x:c r="M274" s="25" t="n">
        <x:v>0</x:v>
      </x:c>
      <x:c r="N274" s="25" t="str">
        <x:v>否</x:v>
      </x:c>
      <x:c r="O274" s="25" t="n">
        <x:v>0</x:v>
      </x:c>
      <x:c r="P274" s="25" t="n">
        <x:v>0</x:v>
      </x:c>
      <x:c r="Q274" s="25" t="n">
        <x:v>0</x:v>
      </x:c>
      <x:c r="R274" s="25" t="str">
        <x:v>洗练绑定装备；项链幸运绑定人物永久进度；武器幸运成本忽略</x:v>
      </x:c>
    </x:row>
    <x:row r="275">
      <x:c r="A275" s="25" t="str">
        <x:v>C04-E</x:v>
      </x:c>
      <x:c r="B275" s="25" t="str">
        <x:v>利耶尼亚海域</x:v>
      </x:c>
      <x:c r="C275" s="25" t="str">
        <x:v>半急速入场</x:v>
      </x:c>
      <x:c r="D275" s="25" t="n">
        <x:v>16</x:v>
      </x:c>
      <x:c r="E275" s="25" t="n">
        <x:v>89</x:v>
      </x:c>
      <x:c r="F275" s="25" t="str">
        <x:v>边境塔盾</x:v>
      </x:c>
      <x:c r="G275" s="25" t="str">
        <x:v>盾牌</x:v>
      </x:c>
      <x:c r="H275" s="25" t="n">
        <x:v>3</x:v>
      </x:c>
      <x:c r="I275" s="25" t="str">
        <x:v>稀有</x:v>
      </x:c>
      <x:c r="J275" s="25" t="str">
        <x:v>S07</x:v>
      </x:c>
      <x:c r="K275" s="25" t="str">
        <x:v>68-130</x:v>
      </x:c>
      <x:c r="L275" s="25" t="n">
        <x:v>250000</x:v>
      </x:c>
      <x:c r="M275" s="25" t="n">
        <x:v>0</x:v>
      </x:c>
      <x:c r="N275" s="25" t="str">
        <x:v>否</x:v>
      </x:c>
      <x:c r="O275" s="25" t="n">
        <x:v>0</x:v>
      </x:c>
      <x:c r="P275" s="25" t="n">
        <x:v>0</x:v>
      </x:c>
      <x:c r="Q275" s="25" t="n">
        <x:v>0</x:v>
      </x:c>
      <x:c r="R275" s="25" t="str">
        <x:v>洗练绑定装备；项链幸运绑定人物永久进度；武器幸运成本忽略</x:v>
      </x:c>
    </x:row>
    <x:row r="276">
      <x:c r="A276" s="25" t="str">
        <x:v>C04-E</x:v>
      </x:c>
      <x:c r="B276" s="25" t="str">
        <x:v>利耶尼亚海域</x:v>
      </x:c>
      <x:c r="C276" s="25" t="str">
        <x:v>半急速入场</x:v>
      </x:c>
      <x:c r="D276" s="25" t="n">
        <x:v>18</x:v>
      </x:c>
      <x:c r="E276" s="25" t="n">
        <x:v>26</x:v>
      </x:c>
      <x:c r="F276" s="25" t="str">
        <x:v>无冠王衣</x:v>
      </x:c>
      <x:c r="G276" s="25" t="str">
        <x:v>时装衣服</x:v>
      </x:c>
      <x:c r="H276" s="25" t="n">
        <x:v>1</x:v>
      </x:c>
      <x:c r="I276" s="25" t="str">
        <x:v>守关BOSS</x:v>
      </x:c>
      <x:c r="J276" s="25" t="str">
        <x:v>S02</x:v>
      </x:c>
      <x:c r="K276" s="25" t="str">
        <x:v>28-53</x:v>
      </x:c>
      <x:c r="L276" s="25" t="n">
        <x:v>74300</x:v>
      </x:c>
      <x:c r="M276" s="25" t="n">
        <x:v>0</x:v>
      </x:c>
      <x:c r="N276" s="25" t="str">
        <x:v>否</x:v>
      </x:c>
      <x:c r="O276" s="25" t="n">
        <x:v>0</x:v>
      </x:c>
      <x:c r="P276" s="25" t="n">
        <x:v>0</x:v>
      </x:c>
      <x:c r="Q276" s="25" t="n">
        <x:v>0</x:v>
      </x:c>
      <x:c r="R276" s="25" t="str">
        <x:v>洗练绑定装备；项链幸运绑定人物永久进度；武器幸运成本忽略</x:v>
      </x:c>
    </x:row>
    <x:row r="277">
      <x:c r="A277" s="25" t="str">
        <x:v>C04-E</x:v>
      </x:c>
      <x:c r="B277" s="25" t="str">
        <x:v>利耶尼亚海域</x:v>
      </x:c>
      <x:c r="C277" s="25" t="str">
        <x:v>半急速入场</x:v>
      </x:c>
      <x:c r="D277" s="25" t="n">
        <x:v>19</x:v>
      </x:c>
      <x:c r="E277" s="25" t="n">
        <x:v>64</x:v>
      </x:c>
      <x:c r="F277" s="25" t="str">
        <x:v>百夫熔戟</x:v>
      </x:c>
      <x:c r="G277" s="25" t="str">
        <x:v>时装武器</x:v>
      </x:c>
      <x:c r="H277" s="25" t="n">
        <x:v>2</x:v>
      </x:c>
      <x:c r="I277" s="25" t="str">
        <x:v>稀有</x:v>
      </x:c>
      <x:c r="J277" s="25" t="str">
        <x:v>S02</x:v>
      </x:c>
      <x:c r="K277" s="25" t="str">
        <x:v>150-288</x:v>
      </x:c>
      <x:c r="L277" s="25" t="n">
        <x:v>45400</x:v>
      </x:c>
      <x:c r="M277" s="25" t="n">
        <x:v>0</x:v>
      </x:c>
      <x:c r="N277" s="25" t="str">
        <x:v>否</x:v>
      </x:c>
      <x:c r="O277" s="25" t="n">
        <x:v>0</x:v>
      </x:c>
      <x:c r="P277" s="25" t="n">
        <x:v>0</x:v>
      </x:c>
      <x:c r="Q277" s="25" t="n">
        <x:v>0</x:v>
      </x:c>
      <x:c r="R277" s="25" t="str">
        <x:v>洗练绑定装备；项链幸运绑定人物永久进度；武器幸运成本忽略</x:v>
      </x:c>
    </x:row>
    <x:row r="278">
      <x:c r="A278" s="25" t="str">
        <x:v>C04-E</x:v>
      </x:c>
      <x:c r="B278" s="25" t="str">
        <x:v>利耶尼亚海域</x:v>
      </x:c>
      <x:c r="C278" s="25" t="str">
        <x:v>半急速入场</x:v>
      </x:c>
      <x:c r="D278" s="25" t="n">
        <x:v>20</x:v>
      </x:c>
      <x:c r="E278" s="25" t="n">
        <x:v>40</x:v>
      </x:c>
      <x:c r="F278" s="25" t="str">
        <x:v>英雄余誓</x:v>
      </x:c>
      <x:c r="G278" s="25" t="str">
        <x:v>时装项链</x:v>
      </x:c>
      <x:c r="H278" s="25" t="n">
        <x:v>2</x:v>
      </x:c>
      <x:c r="I278" s="25" t="str">
        <x:v>稀有</x:v>
      </x:c>
      <x:c r="J278" s="25" t="str">
        <x:v>S02</x:v>
      </x:c>
      <x:c r="K278" s="25" t="str">
        <x:v>31-60</x:v>
      </x:c>
      <x:c r="L278" s="25" t="n">
        <x:v>17900</x:v>
      </x:c>
      <x:c r="M278" s="25" t="n">
        <x:v>0</x:v>
      </x:c>
      <x:c r="N278" s="25" t="str">
        <x:v>否</x:v>
      </x:c>
      <x:c r="O278" s="25" t="n">
        <x:v>0</x:v>
      </x:c>
      <x:c r="P278" s="25" t="n">
        <x:v>0</x:v>
      </x:c>
      <x:c r="Q278" s="25" t="n">
        <x:v>0</x:v>
      </x:c>
      <x:c r="R278" s="25" t="str">
        <x:v>洗练绑定装备；项链幸运绑定人物永久进度；武器幸运成本忽略</x:v>
      </x:c>
    </x:row>
    <x:row r="279">
      <x:c r="A279" s="25" t="str">
        <x:v>C04-E</x:v>
      </x:c>
      <x:c r="B279" s="25" t="str">
        <x:v>利耶尼亚海域</x:v>
      </x:c>
      <x:c r="C279" s="25" t="str">
        <x:v>半急速入场</x:v>
      </x:c>
      <x:c r="D279" s="25" t="n">
        <x:v>21</x:v>
      </x:c>
      <x:c r="E279" s="25" t="n">
        <x:v>41</x:v>
      </x:c>
      <x:c r="F279" s="25" t="str">
        <x:v>初火兜鍪</x:v>
      </x:c>
      <x:c r="G279" s="25" t="str">
        <x:v>时装头盔</x:v>
      </x:c>
      <x:c r="H279" s="25" t="n">
        <x:v>2</x:v>
      </x:c>
      <x:c r="I279" s="25" t="str">
        <x:v>稀有</x:v>
      </x:c>
      <x:c r="J279" s="25" t="str">
        <x:v>S02</x:v>
      </x:c>
      <x:c r="K279" s="25" t="str">
        <x:v>22-42</x:v>
      </x:c>
      <x:c r="L279" s="25" t="n">
        <x:v>30900</x:v>
      </x:c>
      <x:c r="M279" s="25" t="n">
        <x:v>0</x:v>
      </x:c>
      <x:c r="N279" s="25" t="str">
        <x:v>否</x:v>
      </x:c>
      <x:c r="O279" s="25" t="n">
        <x:v>0</x:v>
      </x:c>
      <x:c r="P279" s="25" t="n">
        <x:v>0</x:v>
      </x:c>
      <x:c r="Q279" s="25" t="n">
        <x:v>0</x:v>
      </x:c>
      <x:c r="R279" s="25" t="str">
        <x:v>洗练绑定装备；项链幸运绑定人物永久进度；武器幸运成本忽略</x:v>
      </x:c>
    </x:row>
    <x:row r="280">
      <x:c r="A280" s="25" t="str">
        <x:v>C04-E</x:v>
      </x:c>
      <x:c r="B280" s="25" t="str">
        <x:v>利耶尼亚海域</x:v>
      </x:c>
      <x:c r="C280" s="25" t="str">
        <x:v>半急速入场</x:v>
      </x:c>
      <x:c r="D280" s="25" t="n">
        <x:v>22</x:v>
      </x:c>
      <x:c r="E280" s="25" t="n">
        <x:v>42</x:v>
      </x:c>
      <x:c r="F280" s="25" t="str">
        <x:v>卢恩血镯</x:v>
      </x:c>
      <x:c r="G280" s="25" t="str">
        <x:v>时装手镯</x:v>
      </x:c>
      <x:c r="H280" s="25" t="n">
        <x:v>2</x:v>
      </x:c>
      <x:c r="I280" s="25" t="str">
        <x:v>稀有</x:v>
      </x:c>
      <x:c r="J280" s="25" t="str">
        <x:v>S02</x:v>
      </x:c>
      <x:c r="K280" s="25" t="str">
        <x:v>42-80</x:v>
      </x:c>
      <x:c r="L280" s="25" t="n">
        <x:v>34400</x:v>
      </x:c>
      <x:c r="M280" s="25" t="n">
        <x:v>0</x:v>
      </x:c>
      <x:c r="N280" s="25" t="str">
        <x:v>否</x:v>
      </x:c>
      <x:c r="O280" s="25" t="n">
        <x:v>0</x:v>
      </x:c>
      <x:c r="P280" s="25" t="n">
        <x:v>0</x:v>
      </x:c>
      <x:c r="Q280" s="25" t="n">
        <x:v>0</x:v>
      </x:c>
      <x:c r="R280" s="25" t="str">
        <x:v>洗练绑定装备；项链幸运绑定人物永久进度；武器幸运成本忽略</x:v>
      </x:c>
    </x:row>
    <x:row r="281">
      <x:c r="A281" s="25" t="str">
        <x:v>C04-E</x:v>
      </x:c>
      <x:c r="B281" s="25" t="str">
        <x:v>利耶尼亚海域</x:v>
      </x:c>
      <x:c r="C281" s="25" t="str">
        <x:v>半急速入场</x:v>
      </x:c>
      <x:c r="D281" s="25" t="n">
        <x:v>24</x:v>
      </x:c>
      <x:c r="E281" s="25" t="n">
        <x:v>43</x:v>
      </x:c>
      <x:c r="F281" s="25" t="str">
        <x:v>黄金树戒</x:v>
      </x:c>
      <x:c r="G281" s="25" t="str">
        <x:v>时装戒指</x:v>
      </x:c>
      <x:c r="H281" s="25" t="n">
        <x:v>2</x:v>
      </x:c>
      <x:c r="I281" s="25" t="str">
        <x:v>稀有</x:v>
      </x:c>
      <x:c r="J281" s="25" t="str">
        <x:v>S02</x:v>
      </x:c>
      <x:c r="K281" s="25" t="str">
        <x:v>42-80</x:v>
      </x:c>
      <x:c r="L281" s="25" t="n">
        <x:v>34400</x:v>
      </x:c>
      <x:c r="M281" s="25" t="n">
        <x:v>0</x:v>
      </x:c>
      <x:c r="N281" s="25" t="str">
        <x:v>否</x:v>
      </x:c>
      <x:c r="O281" s="25" t="n">
        <x:v>0</x:v>
      </x:c>
      <x:c r="P281" s="25" t="n">
        <x:v>0</x:v>
      </x:c>
      <x:c r="Q281" s="25" t="n">
        <x:v>0</x:v>
      </x:c>
      <x:c r="R281" s="25" t="str">
        <x:v>洗练绑定装备；项链幸运绑定人物永久进度；武器幸运成本忽略</x:v>
      </x:c>
    </x:row>
    <x:row r="282">
      <x:c r="A282" s="25" t="str">
        <x:v>C04-E</x:v>
      </x:c>
      <x:c r="B282" s="25" t="str">
        <x:v>利耶尼亚海域</x:v>
      </x:c>
      <x:c r="C282" s="25" t="str">
        <x:v>半急速入场</x:v>
      </x:c>
      <x:c r="D282" s="25" t="n">
        <x:v>40</x:v>
      </x:c>
      <x:c r="E282" s="25" t="n">
        <x:v>44</x:v>
      </x:c>
      <x:c r="F282" s="25" t="str">
        <x:v>腐树子鼠</x:v>
      </x:c>
      <x:c r="G282" s="25" t="str">
        <x:v>生肖1</x:v>
      </x:c>
      <x:c r="H282" s="25" t="n">
        <x:v>2</x:v>
      </x:c>
      <x:c r="I282" s="25" t="str">
        <x:v>BOSS</x:v>
      </x:c>
      <x:c r="J282" s="25" t="str">
        <x:v>S02</x:v>
      </x:c>
      <x:c r="K282" s="25" t="str">
        <x:v>29-56</x:v>
      </x:c>
      <x:c r="L282" s="25" t="n">
        <x:v>23600</x:v>
      </x:c>
      <x:c r="M282" s="25" t="n">
        <x:v>0</x:v>
      </x:c>
      <x:c r="N282" s="25" t="str">
        <x:v>否</x:v>
      </x:c>
      <x:c r="O282" s="25" t="n">
        <x:v>0</x:v>
      </x:c>
      <x:c r="P282" s="25" t="n">
        <x:v>0</x:v>
      </x:c>
      <x:c r="Q282" s="25" t="n">
        <x:v>0</x:v>
      </x:c>
      <x:c r="R282" s="25" t="str">
        <x:v>洗练绑定装备；项链幸运绑定人物永久进度；武器幸运成本忽略</x:v>
      </x:c>
    </x:row>
    <x:row r="283">
      <x:c r="A283" s="25" t="str">
        <x:v>C04-E</x:v>
      </x:c>
      <x:c r="B283" s="25" t="str">
        <x:v>利耶尼亚海域</x:v>
      </x:c>
      <x:c r="C283" s="25" t="str">
        <x:v>半急速入场</x:v>
      </x:c>
      <x:c r="D283" s="25" t="n">
        <x:v>41</x:v>
      </x:c>
      <x:c r="E283" s="25" t="n">
        <x:v>69</x:v>
      </x:c>
      <x:c r="F283" s="25" t="str">
        <x:v>丑牛·风暴负山</x:v>
      </x:c>
      <x:c r="G283" s="25" t="str">
        <x:v>生肖2</x:v>
      </x:c>
      <x:c r="H283" s="25" t="n">
        <x:v>2</x:v>
      </x:c>
      <x:c r="I283" s="25" t="str">
        <x:v>生肖合成</x:v>
      </x:c>
      <x:c r="J283" s="25" t="str">
        <x:v>S07</x:v>
      </x:c>
      <x:c r="K283" s="25" t="str">
        <x:v>25-49</x:v>
      </x:c>
      <x:c r="L283" s="25" t="n">
        <x:v>64000</x:v>
      </x:c>
      <x:c r="M283" s="25" t="n">
        <x:v>0</x:v>
      </x:c>
      <x:c r="N283" s="25" t="str">
        <x:v>否</x:v>
      </x:c>
      <x:c r="O283" s="25" t="n">
        <x:v>0</x:v>
      </x:c>
      <x:c r="P283" s="25" t="n">
        <x:v>0</x:v>
      </x:c>
      <x:c r="Q283" s="25" t="n">
        <x:v>0</x:v>
      </x:c>
      <x:c r="R283" s="25" t="str">
        <x:v>洗练绑定装备；项链幸运绑定人物永久进度；武器幸运成本忽略</x:v>
      </x:c>
    </x:row>
    <x:row r="284">
      <x:c r="A284" s="25" t="str">
        <x:v>C04-E</x:v>
      </x:c>
      <x:c r="B284" s="25" t="str">
        <x:v>利耶尼亚海域</x:v>
      </x:c>
      <x:c r="C284" s="25" t="str">
        <x:v>半急速入场</x:v>
      </x:c>
      <x:c r="D284" s="25" t="n">
        <x:v>42</x:v>
      </x:c>
      <x:c r="E284" s="25" t="n">
        <x:v>66</x:v>
      </x:c>
      <x:c r="F284" s="25" t="str">
        <x:v>长戟寅虎</x:v>
      </x:c>
      <x:c r="G284" s="25" t="str">
        <x:v>生肖3</x:v>
      </x:c>
      <x:c r="H284" s="25" t="n">
        <x:v>2</x:v>
      </x:c>
      <x:c r="I284" s="25" t="str">
        <x:v>BOSS</x:v>
      </x:c>
      <x:c r="J284" s="25" t="str">
        <x:v>S02</x:v>
      </x:c>
      <x:c r="K284" s="25" t="str">
        <x:v>34-65</x:v>
      </x:c>
      <x:c r="L284" s="25" t="n">
        <x:v>32600</x:v>
      </x:c>
      <x:c r="M284" s="25" t="n">
        <x:v>0</x:v>
      </x:c>
      <x:c r="N284" s="25" t="str">
        <x:v>否</x:v>
      </x:c>
      <x:c r="O284" s="25" t="n">
        <x:v>0</x:v>
      </x:c>
      <x:c r="P284" s="25" t="n">
        <x:v>0</x:v>
      </x:c>
      <x:c r="Q284" s="25" t="n">
        <x:v>0</x:v>
      </x:c>
      <x:c r="R284" s="25" t="str">
        <x:v>洗练绑定装备；项链幸运绑定人物永久进度；武器幸运成本忽略</x:v>
      </x:c>
    </x:row>
    <x:row r="285">
      <x:c r="A285" s="25" t="str">
        <x:v>C04-E</x:v>
      </x:c>
      <x:c r="B285" s="25" t="str">
        <x:v>利耶尼亚海域</x:v>
      </x:c>
      <x:c r="C285" s="25" t="str">
        <x:v>半急速入场</x:v>
      </x:c>
      <x:c r="D285" s="25" t="n">
        <x:v>43</x:v>
      </x:c>
      <x:c r="E285" s="25" t="n">
        <x:v>79</x:v>
      </x:c>
      <x:c r="F285" s="25" t="str">
        <x:v>无月卯兔</x:v>
      </x:c>
      <x:c r="G285" s="25" t="str">
        <x:v>生肖4</x:v>
      </x:c>
      <x:c r="H285" s="25" t="n">
        <x:v>2</x:v>
      </x:c>
      <x:c r="I285" s="25" t="str">
        <x:v>BOSS</x:v>
      </x:c>
      <x:c r="J285" s="25" t="str">
        <x:v>S02</x:v>
      </x:c>
      <x:c r="K285" s="25" t="str">
        <x:v>34-65</x:v>
      </x:c>
      <x:c r="L285" s="25" t="n">
        <x:v>32600</x:v>
      </x:c>
      <x:c r="M285" s="25" t="n">
        <x:v>0</x:v>
      </x:c>
      <x:c r="N285" s="25" t="str">
        <x:v>否</x:v>
      </x:c>
      <x:c r="O285" s="25" t="n">
        <x:v>0</x:v>
      </x:c>
      <x:c r="P285" s="25" t="n">
        <x:v>0</x:v>
      </x:c>
      <x:c r="Q285" s="25" t="n">
        <x:v>0</x:v>
      </x:c>
      <x:c r="R285" s="25" t="str">
        <x:v>洗练绑定装备；项链幸运绑定人物永久进度；武器幸运成本忽略</x:v>
      </x:c>
    </x:row>
    <x:row r="286">
      <x:c r="A286" s="25" t="str">
        <x:v>C04-E</x:v>
      </x:c>
      <x:c r="B286" s="25" t="str">
        <x:v>利耶尼亚海域</x:v>
      </x:c>
      <x:c r="C286" s="25" t="str">
        <x:v>半急速入场</x:v>
      </x:c>
      <x:c r="D286" s="25" t="n">
        <x:v>44</x:v>
      </x:c>
      <x:c r="E286" s="25" t="n">
        <x:v>91</x:v>
      </x:c>
      <x:c r="F286" s="25" t="str">
        <x:v>辰龙·荒原逐风</x:v>
      </x:c>
      <x:c r="G286" s="25" t="str">
        <x:v>生肖5</x:v>
      </x:c>
      <x:c r="H286" s="25" t="n">
        <x:v>3</x:v>
      </x:c>
      <x:c r="I286" s="25" t="str">
        <x:v>生肖合成</x:v>
      </x:c>
      <x:c r="J286" s="25" t="str">
        <x:v>S07</x:v>
      </x:c>
      <x:c r="K286" s="25" t="str">
        <x:v>47-90</x:v>
      </x:c>
      <x:c r="L286" s="25" t="n">
        <x:v>120000</x:v>
      </x:c>
      <x:c r="M286" s="25" t="n">
        <x:v>0</x:v>
      </x:c>
      <x:c r="N286" s="25" t="str">
        <x:v>否</x:v>
      </x:c>
      <x:c r="O286" s="25" t="n">
        <x:v>0</x:v>
      </x:c>
      <x:c r="P286" s="25" t="n">
        <x:v>0</x:v>
      </x:c>
      <x:c r="Q286" s="25" t="n">
        <x:v>0</x:v>
      </x:c>
      <x:c r="R286" s="25" t="str">
        <x:v>洗练绑定装备；项链幸运绑定人物永久进度；武器幸运成本忽略</x:v>
      </x:c>
    </x:row>
    <x:row r="287">
      <x:c r="A287" s="25" t="str">
        <x:v>C04-E</x:v>
      </x:c>
      <x:c r="B287" s="25" t="str">
        <x:v>利耶尼亚海域</x:v>
      </x:c>
      <x:c r="C287" s="25" t="str">
        <x:v>半急速入场</x:v>
      </x:c>
      <x:c r="D287" s="25" t="n">
        <x:v>45</x:v>
      </x:c>
      <x:c r="E287" s="25" t="n">
        <x:v>46</x:v>
      </x:c>
      <x:c r="F287" s="25" t="str">
        <x:v>祖魂巳蛇</x:v>
      </x:c>
      <x:c r="G287" s="25" t="str">
        <x:v>生肖6</x:v>
      </x:c>
      <x:c r="H287" s="25" t="n">
        <x:v>2</x:v>
      </x:c>
      <x:c r="I287" s="25" t="str">
        <x:v>稀有</x:v>
      </x:c>
      <x:c r="J287" s="25" t="str">
        <x:v>S02</x:v>
      </x:c>
      <x:c r="K287" s="25" t="str">
        <x:v>33-64</x:v>
      </x:c>
      <x:c r="L287" s="25" t="n">
        <x:v>39100</x:v>
      </x:c>
      <x:c r="M287" s="25" t="n">
        <x:v>0</x:v>
      </x:c>
      <x:c r="N287" s="25" t="str">
        <x:v>否</x:v>
      </x:c>
      <x:c r="O287" s="25" t="n">
        <x:v>0</x:v>
      </x:c>
      <x:c r="P287" s="25" t="n">
        <x:v>0</x:v>
      </x:c>
      <x:c r="Q287" s="25" t="n">
        <x:v>0</x:v>
      </x:c>
      <x:c r="R287" s="25" t="str">
        <x:v>洗练绑定装备；项链幸运绑定人物永久进度；武器幸运成本忽略</x:v>
      </x:c>
    </x:row>
    <x:row r="288">
      <x:c r="A288" s="25" t="str">
        <x:v>C04-E</x:v>
      </x:c>
      <x:c r="B288" s="25" t="str">
        <x:v>利耶尼亚海域</x:v>
      </x:c>
      <x:c r="C288" s="25" t="str">
        <x:v>半急速入场</x:v>
      </x:c>
      <x:c r="D288" s="25" t="n">
        <x:v>46</x:v>
      </x:c>
      <x:c r="E288" s="25" t="n">
        <x:v>80</x:v>
      </x:c>
      <x:c r="F288" s="25" t="str">
        <x:v>死水午马</x:v>
      </x:c>
      <x:c r="G288" s="25" t="str">
        <x:v>生肖7</x:v>
      </x:c>
      <x:c r="H288" s="25" t="n">
        <x:v>2</x:v>
      </x:c>
      <x:c r="I288" s="25" t="str">
        <x:v>BOSS</x:v>
      </x:c>
      <x:c r="J288" s="25" t="str">
        <x:v>S02</x:v>
      </x:c>
      <x:c r="K288" s="25" t="str">
        <x:v>38-74</x:v>
      </x:c>
      <x:c r="L288" s="25" t="n">
        <x:v>45300</x:v>
      </x:c>
      <x:c r="M288" s="25" t="n">
        <x:v>0</x:v>
      </x:c>
      <x:c r="N288" s="25" t="str">
        <x:v>否</x:v>
      </x:c>
      <x:c r="O288" s="25" t="n">
        <x:v>0</x:v>
      </x:c>
      <x:c r="P288" s="25" t="n">
        <x:v>0</x:v>
      </x:c>
      <x:c r="Q288" s="25" t="n">
        <x:v>0</x:v>
      </x:c>
      <x:c r="R288" s="25" t="str">
        <x:v>洗练绑定装备；项链幸运绑定人物永久进度；武器幸运成本忽略</x:v>
      </x:c>
    </x:row>
    <x:row r="289">
      <x:c r="A289" s="25" t="str">
        <x:v>C04-E</x:v>
      </x:c>
      <x:c r="B289" s="25" t="str">
        <x:v>利耶尼亚海域</x:v>
      </x:c>
      <x:c r="C289" s="25" t="str">
        <x:v>半急速入场</x:v>
      </x:c>
      <x:c r="D289" s="25" t="n">
        <x:v>47</x:v>
      </x:c>
      <x:c r="E289" s="25" t="n">
        <x:v>67</x:v>
      </x:c>
      <x:c r="F289" s="25" t="str">
        <x:v>葬日未羊</x:v>
      </x:c>
      <x:c r="G289" s="25" t="str">
        <x:v>生肖8</x:v>
      </x:c>
      <x:c r="H289" s="25" t="n">
        <x:v>2</x:v>
      </x:c>
      <x:c r="I289" s="25" t="str">
        <x:v>稀有</x:v>
      </x:c>
      <x:c r="J289" s="25" t="str">
        <x:v>S02</x:v>
      </x:c>
      <x:c r="K289" s="25" t="str">
        <x:v>37-72</x:v>
      </x:c>
      <x:c r="L289" s="25" t="n">
        <x:v>51600</x:v>
      </x:c>
      <x:c r="M289" s="25" t="n">
        <x:v>0</x:v>
      </x:c>
      <x:c r="N289" s="25" t="str">
        <x:v>否</x:v>
      </x:c>
      <x:c r="O289" s="25" t="n">
        <x:v>0</x:v>
      </x:c>
      <x:c r="P289" s="25" t="n">
        <x:v>0</x:v>
      </x:c>
      <x:c r="Q289" s="25" t="n">
        <x:v>0</x:v>
      </x:c>
      <x:c r="R289" s="25" t="str">
        <x:v>洗练绑定装备；项链幸运绑定人物永久进度；武器幸运成本忽略</x:v>
      </x:c>
    </x:row>
    <x:row r="290">
      <x:c r="A290" s="25" t="str">
        <x:v>C04-E</x:v>
      </x:c>
      <x:c r="B290" s="25" t="str">
        <x:v>利耶尼亚海域</x:v>
      </x:c>
      <x:c r="C290" s="25" t="str">
        <x:v>半急速入场</x:v>
      </x:c>
      <x:c r="D290" s="25" t="n">
        <x:v>48</x:v>
      </x:c>
      <x:c r="E290" s="25" t="n">
        <x:v>81</x:v>
      </x:c>
      <x:c r="F290" s="25" t="str">
        <x:v>雷冠申猴</x:v>
      </x:c>
      <x:c r="G290" s="25" t="str">
        <x:v>生肖9</x:v>
      </x:c>
      <x:c r="H290" s="25" t="n">
        <x:v>2</x:v>
      </x:c>
      <x:c r="I290" s="25" t="str">
        <x:v>BOSS</x:v>
      </x:c>
      <x:c r="J290" s="25" t="str">
        <x:v>S02</x:v>
      </x:c>
      <x:c r="K290" s="25" t="str">
        <x:v>44-84</x:v>
      </x:c>
      <x:c r="L290" s="25" t="n">
        <x:v>59800</x:v>
      </x:c>
      <x:c r="M290" s="25" t="n">
        <x:v>0</x:v>
      </x:c>
      <x:c r="N290" s="25" t="str">
        <x:v>否</x:v>
      </x:c>
      <x:c r="O290" s="25" t="n">
        <x:v>0</x:v>
      </x:c>
      <x:c r="P290" s="25" t="n">
        <x:v>0</x:v>
      </x:c>
      <x:c r="Q290" s="25" t="n">
        <x:v>0</x:v>
      </x:c>
      <x:c r="R290" s="25" t="str">
        <x:v>洗练绑定装备；项链幸运绑定人物永久进度；武器幸运成本忽略</x:v>
      </x:c>
    </x:row>
    <x:row r="291">
      <x:c r="A291" s="25" t="str">
        <x:v>C04-E</x:v>
      </x:c>
      <x:c r="B291" s="25" t="str">
        <x:v>利耶尼亚海域</x:v>
      </x:c>
      <x:c r="C291" s="25" t="str">
        <x:v>半急速入场</x:v>
      </x:c>
      <x:c r="D291" s="25" t="n">
        <x:v>49</x:v>
      </x:c>
      <x:c r="E291" s="25" t="n">
        <x:v>82</x:v>
      </x:c>
      <x:c r="F291" s="25" t="str">
        <x:v>恶兆酉鸡</x:v>
      </x:c>
      <x:c r="G291" s="25" t="str">
        <x:v>生肖10</x:v>
      </x:c>
      <x:c r="H291" s="25" t="n">
        <x:v>2</x:v>
      </x:c>
      <x:c r="I291" s="25" t="str">
        <x:v>BOSS</x:v>
      </x:c>
      <x:c r="J291" s="25" t="str">
        <x:v>S02</x:v>
      </x:c>
      <x:c r="K291" s="25" t="str">
        <x:v>44-84</x:v>
      </x:c>
      <x:c r="L291" s="25" t="n">
        <x:v>59800</x:v>
      </x:c>
      <x:c r="M291" s="25" t="n">
        <x:v>0</x:v>
      </x:c>
      <x:c r="N291" s="25" t="str">
        <x:v>否</x:v>
      </x:c>
      <x:c r="O291" s="25" t="n">
        <x:v>0</x:v>
      </x:c>
      <x:c r="P291" s="25" t="n">
        <x:v>0</x:v>
      </x:c>
      <x:c r="Q291" s="25" t="n">
        <x:v>0</x:v>
      </x:c>
      <x:c r="R291" s="25" t="str">
        <x:v>洗练绑定装备；项链幸运绑定人物永久进度；武器幸运成本忽略</x:v>
      </x:c>
    </x:row>
    <x:row r="292">
      <x:c r="A292" s="25" t="str">
        <x:v>C04-E</x:v>
      </x:c>
      <x:c r="B292" s="25" t="str">
        <x:v>利耶尼亚海域</x:v>
      </x:c>
      <x:c r="C292" s="25" t="str">
        <x:v>半急速入场</x:v>
      </x:c>
      <x:c r="D292" s="25" t="n">
        <x:v>50</x:v>
      </x:c>
      <x:c r="E292" s="25" t="n">
        <x:v>83</x:v>
      </x:c>
      <x:c r="F292" s="25" t="str">
        <x:v>失乡戌狗</x:v>
      </x:c>
      <x:c r="G292" s="25" t="str">
        <x:v>生肖11</x:v>
      </x:c>
      <x:c r="H292" s="25" t="n">
        <x:v>2</x:v>
      </x:c>
      <x:c r="I292" s="25" t="str">
        <x:v>BOSS</x:v>
      </x:c>
      <x:c r="J292" s="25" t="str">
        <x:v>S02</x:v>
      </x:c>
      <x:c r="K292" s="25" t="str">
        <x:v>48-93</x:v>
      </x:c>
      <x:c r="L292" s="25" t="n">
        <x:v>79800</x:v>
      </x:c>
      <x:c r="M292" s="25" t="n">
        <x:v>0</x:v>
      </x:c>
      <x:c r="N292" s="25" t="str">
        <x:v>否</x:v>
      </x:c>
      <x:c r="O292" s="25" t="n">
        <x:v>0</x:v>
      </x:c>
      <x:c r="P292" s="25" t="n">
        <x:v>0</x:v>
      </x:c>
      <x:c r="Q292" s="25" t="n">
        <x:v>0</x:v>
      </x:c>
      <x:c r="R292" s="25" t="str">
        <x:v>洗练绑定装备；项链幸运绑定人物永久进度；武器幸运成本忽略</x:v>
      </x:c>
    </x:row>
    <x:row r="293">
      <x:c r="A293" s="25" t="str">
        <x:v>C04-E</x:v>
      </x:c>
      <x:c r="B293" s="25" t="str">
        <x:v>利耶尼亚海域</x:v>
      </x:c>
      <x:c r="C293" s="25" t="str">
        <x:v>半急速入场</x:v>
      </x:c>
      <x:c r="D293" s="25" t="n">
        <x:v>51</x:v>
      </x:c>
      <x:c r="E293" s="25" t="n">
        <x:v>84</x:v>
      </x:c>
      <x:c r="F293" s="25" t="str">
        <x:v>接肢亥猪</x:v>
      </x:c>
      <x:c r="G293" s="25" t="str">
        <x:v>生肖12</x:v>
      </x:c>
      <x:c r="H293" s="25" t="n">
        <x:v>2</x:v>
      </x:c>
      <x:c r="I293" s="25" t="str">
        <x:v>守关BOSS</x:v>
      </x:c>
      <x:c r="J293" s="25" t="str">
        <x:v>S02</x:v>
      </x:c>
      <x:c r="K293" s="25" t="str">
        <x:v>55-106</x:v>
      </x:c>
      <x:c r="L293" s="25" t="n">
        <x:v>90800</x:v>
      </x:c>
      <x:c r="M293" s="25" t="n">
        <x:v>0</x:v>
      </x:c>
      <x:c r="N293" s="25" t="str">
        <x:v>否</x:v>
      </x:c>
      <x:c r="O293" s="25" t="n">
        <x:v>0</x:v>
      </x:c>
      <x:c r="P293" s="25" t="n">
        <x:v>0</x:v>
      </x:c>
      <x:c r="Q293" s="25" t="n">
        <x:v>0</x:v>
      </x:c>
      <x:c r="R293" s="25" t="str">
        <x:v>洗练绑定装备；项链幸运绑定人物永久进度；武器幸运成本忽略</x:v>
      </x:c>
    </x:row>
    <x:row r="294">
      <x:c r="A294" s="25" t="str">
        <x:v>C04-M</x:v>
      </x:c>
      <x:c r="B294" s="25" t="str">
        <x:v>利耶尼亚海域</x:v>
      </x:c>
      <x:c r="C294" s="25" t="str">
        <x:v>半急速中期</x:v>
      </x:c>
      <x:c r="D294" s="25" t="n">
        <x:v>0</x:v>
      </x:c>
      <x:c r="E294" s="25" t="n">
        <x:v>93</x:v>
      </x:c>
      <x:c r="F294" s="25" t="str">
        <x:v>巨犀荒铠</x:v>
      </x:c>
      <x:c r="G294" s="25" t="str">
        <x:v>衣服</x:v>
      </x:c>
      <x:c r="H294" s="25" t="n">
        <x:v>3</x:v>
      </x:c>
      <x:c r="I294" s="25" t="str">
        <x:v>地图BOSS</x:v>
      </x:c>
      <x:c r="J294" s="25" t="str">
        <x:v>S07</x:v>
      </x:c>
      <x:c r="K294" s="25" t="str">
        <x:v>78-150</x:v>
      </x:c>
      <x:c r="L294" s="25" t="n">
        <x:v>440000</x:v>
      </x:c>
      <x:c r="M294" s="25" t="n">
        <x:v>6</x:v>
      </x:c>
      <x:c r="N294" s="25" t="str">
        <x:v>否</x:v>
      </x:c>
      <x:c r="O294" s="25" t="n">
        <x:v>0</x:v>
      </x:c>
      <x:c r="P294" s="25" t="n">
        <x:v>0</x:v>
      </x:c>
      <x:c r="Q294" s="25" t="n">
        <x:v>0</x:v>
      </x:c>
      <x:c r="R294" s="25" t="str">
        <x:v>洗练绑定装备；项链幸运绑定人物永久进度；武器幸运成本忽略</x:v>
      </x:c>
    </x:row>
    <x:row r="295">
      <x:c r="A295" s="25" t="str">
        <x:v>C04-M</x:v>
      </x:c>
      <x:c r="B295" s="25" t="str">
        <x:v>利耶尼亚海域</x:v>
      </x:c>
      <x:c r="C295" s="25" t="str">
        <x:v>半急速中期</x:v>
      </x:c>
      <x:c r="D295" s="25" t="n">
        <x:v>1</x:v>
      </x:c>
      <x:c r="E295" s="25" t="n">
        <x:v>92</x:v>
      </x:c>
      <x:c r="F295" s="25" t="str">
        <x:v>刑官断刃</x:v>
      </x:c>
      <x:c r="G295" s="25" t="str">
        <x:v>武器</x:v>
      </x:c>
      <x:c r="H295" s="25" t="n">
        <x:v>3</x:v>
      </x:c>
      <x:c r="I295" s="25" t="str">
        <x:v>稀有</x:v>
      </x:c>
      <x:c r="J295" s="25" t="str">
        <x:v>S07</x:v>
      </x:c>
      <x:c r="K295" s="25" t="str">
        <x:v>620-1200</x:v>
      </x:c>
      <x:c r="L295" s="25" t="n">
        <x:v>74000</x:v>
      </x:c>
      <x:c r="M295" s="25" t="n">
        <x:v>8</x:v>
      </x:c>
      <x:c r="N295" s="25" t="str">
        <x:v>是</x:v>
      </x:c>
      <x:c r="O295" s="25" t="n">
        <x:v>7</x:v>
      </x:c>
      <x:c r="P295" s="25" t="n">
        <x:v>0</x:v>
      </x:c>
      <x:c r="Q295" s="25" t="n">
        <x:v>0</x:v>
      </x:c>
      <x:c r="R295" s="25" t="str">
        <x:v>洗练绑定装备；项链幸运绑定人物永久进度；武器幸运成本忽略</x:v>
      </x:c>
    </x:row>
    <x:row r="296">
      <x:c r="A296" s="25" t="str">
        <x:v>C04-M</x:v>
      </x:c>
      <x:c r="B296" s="25" t="str">
        <x:v>利耶尼亚海域</x:v>
      </x:c>
      <x:c r="C296" s="25" t="str">
        <x:v>半急速中期</x:v>
      </x:c>
      <x:c r="D296" s="25" t="n">
        <x:v>2</x:v>
      </x:c>
      <x:c r="E296" s="25" t="n">
        <x:v>88</x:v>
      </x:c>
      <x:c r="F296" s="25" t="str">
        <x:v>火漆追缉令</x:v>
      </x:c>
      <x:c r="G296" s="25" t="str">
        <x:v>勋章</x:v>
      </x:c>
      <x:c r="H296" s="25" t="n">
        <x:v>3</x:v>
      </x:c>
      <x:c r="I296" s="25" t="str">
        <x:v>稀有</x:v>
      </x:c>
      <x:c r="J296" s="25" t="str">
        <x:v>S07</x:v>
      </x:c>
      <x:c r="K296" s="25" t="str">
        <x:v>78-150</x:v>
      </x:c>
      <x:c r="L296" s="25" t="n">
        <x:v>71000</x:v>
      </x:c>
      <x:c r="M296" s="25" t="n">
        <x:v>0</x:v>
      </x:c>
      <x:c r="N296" s="25" t="str">
        <x:v>否</x:v>
      </x:c>
      <x:c r="O296" s="25" t="n">
        <x:v>0</x:v>
      </x:c>
      <x:c r="P296" s="25" t="n">
        <x:v>0</x:v>
      </x:c>
      <x:c r="Q296" s="25" t="n">
        <x:v>0</x:v>
      </x:c>
      <x:c r="R296" s="25" t="str">
        <x:v>洗练绑定装备；项链幸运绑定人物永久进度；武器幸运成本忽略</x:v>
      </x:c>
    </x:row>
    <x:row r="297">
      <x:c r="A297" s="25" t="str">
        <x:v>C04-M</x:v>
      </x:c>
      <x:c r="B297" s="25" t="str">
        <x:v>利耶尼亚海域</x:v>
      </x:c>
      <x:c r="C297" s="25" t="str">
        <x:v>半急速中期</x:v>
      </x:c>
      <x:c r="D297" s="25" t="n">
        <x:v>3</x:v>
      </x:c>
      <x:c r="E297" s="25" t="n">
        <x:v>30</x:v>
      </x:c>
      <x:c r="F297" s="25" t="str">
        <x:v>卢恩骑士项链</x:v>
      </x:c>
      <x:c r="G297" s="25" t="str">
        <x:v>项链</x:v>
      </x:c>
      <x:c r="H297" s="25" t="n">
        <x:v>2</x:v>
      </x:c>
      <x:c r="I297" s="25" t="str">
        <x:v>制式</x:v>
      </x:c>
      <x:c r="J297" s="25" t="str">
        <x:v>S01</x:v>
      </x:c>
      <x:c r="K297" s="25" t="str">
        <x:v>37-73</x:v>
      </x:c>
      <x:c r="L297" s="25" t="n">
        <x:v>9750</x:v>
      </x:c>
      <x:c r="M297" s="25" t="n">
        <x:v>4</x:v>
      </x:c>
      <x:c r="N297" s="25" t="str">
        <x:v>否</x:v>
      </x:c>
      <x:c r="O297" s="25" t="n">
        <x:v>0</x:v>
      </x:c>
      <x:c r="P297" s="25" t="n">
        <x:v>0</x:v>
      </x:c>
      <x:c r="Q297" s="25" t="n">
        <x:v>0</x:v>
      </x:c>
      <x:c r="R297" s="25" t="str">
        <x:v>洗练绑定装备；项链幸运绑定人物永久进度；武器幸运成本忽略</x:v>
      </x:c>
    </x:row>
    <x:row r="298">
      <x:c r="A298" s="25" t="str">
        <x:v>C04-M</x:v>
      </x:c>
      <x:c r="B298" s="25" t="str">
        <x:v>利耶尼亚海域</x:v>
      </x:c>
      <x:c r="C298" s="25" t="str">
        <x:v>半急速中期</x:v>
      </x:c>
      <x:c r="D298" s="25" t="n">
        <x:v>4</x:v>
      </x:c>
      <x:c r="E298" s="25" t="n">
        <x:v>35</x:v>
      </x:c>
      <x:c r="F298" s="25" t="str">
        <x:v>圣树先锋战盔</x:v>
      </x:c>
      <x:c r="G298" s="25" t="str">
        <x:v>头盔</x:v>
      </x:c>
      <x:c r="H298" s="25" t="n">
        <x:v>2</x:v>
      </x:c>
      <x:c r="I298" s="25" t="str">
        <x:v>制式</x:v>
      </x:c>
      <x:c r="J298" s="25" t="str">
        <x:v>S01</x:v>
      </x:c>
      <x:c r="K298" s="25" t="str">
        <x:v>24-48</x:v>
      </x:c>
      <x:c r="L298" s="25" t="n">
        <x:v>15000</x:v>
      </x:c>
      <x:c r="M298" s="25" t="n">
        <x:v>4</x:v>
      </x:c>
      <x:c r="N298" s="25" t="str">
        <x:v>否</x:v>
      </x:c>
      <x:c r="O298" s="25" t="n">
        <x:v>0</x:v>
      </x:c>
      <x:c r="P298" s="25" t="n">
        <x:v>0</x:v>
      </x:c>
      <x:c r="Q298" s="25" t="n">
        <x:v>0</x:v>
      </x:c>
      <x:c r="R298" s="25" t="str">
        <x:v>洗练绑定装备；项链幸运绑定人物永久进度；武器幸运成本忽略</x:v>
      </x:c>
    </x:row>
    <x:row r="299">
      <x:c r="A299" s="25" t="str">
        <x:v>C04-M</x:v>
      </x:c>
      <x:c r="B299" s="25" t="str">
        <x:v>利耶尼亚海域</x:v>
      </x:c>
      <x:c r="C299" s="25" t="str">
        <x:v>半急速中期</x:v>
      </x:c>
      <x:c r="D299" s="25" t="n">
        <x:v>5</x:v>
      </x:c>
      <x:c r="E299" s="25" t="n">
        <x:v>59</x:v>
      </x:c>
      <x:c r="F299" s="25" t="str">
        <x:v>古龙近卫腕甲</x:v>
      </x:c>
      <x:c r="G299" s="25" t="str">
        <x:v>手镯</x:v>
      </x:c>
      <x:c r="H299" s="25" t="n">
        <x:v>2</x:v>
      </x:c>
      <x:c r="I299" s="25" t="str">
        <x:v>制式</x:v>
      </x:c>
      <x:c r="J299" s="25" t="str">
        <x:v>S01</x:v>
      </x:c>
      <x:c r="K299" s="25" t="str">
        <x:v>51-102</x:v>
      </x:c>
      <x:c r="L299" s="25" t="n">
        <x:v>17000</x:v>
      </x:c>
      <x:c r="M299" s="25" t="n">
        <x:v>6</x:v>
      </x:c>
      <x:c r="N299" s="25" t="str">
        <x:v>否</x:v>
      </x:c>
      <x:c r="O299" s="25" t="n">
        <x:v>0</x:v>
      </x:c>
      <x:c r="P299" s="25" t="n">
        <x:v>0</x:v>
      </x:c>
      <x:c r="Q299" s="25" t="n">
        <x:v>0</x:v>
      </x:c>
      <x:c r="R299" s="25" t="str">
        <x:v>洗练绑定装备；项链幸运绑定人物永久进度；武器幸运成本忽略</x:v>
      </x:c>
    </x:row>
    <x:row r="300">
      <x:c r="A300" s="25" t="str">
        <x:v>C04-M</x:v>
      </x:c>
      <x:c r="B300" s="25" t="str">
        <x:v>利耶尼亚海域</x:v>
      </x:c>
      <x:c r="C300" s="25" t="str">
        <x:v>半急速中期</x:v>
      </x:c>
      <x:c r="D300" s="25" t="n">
        <x:v>6</x:v>
      </x:c>
      <x:c r="E300" s="25" t="n">
        <x:v>68</x:v>
      </x:c>
      <x:c r="F300" s="25" t="str">
        <x:v>百指接肢腕</x:v>
      </x:c>
      <x:c r="G300" s="25" t="str">
        <x:v>手镯</x:v>
      </x:c>
      <x:c r="H300" s="25" t="n">
        <x:v>2</x:v>
      </x:c>
      <x:c r="I300" s="25" t="str">
        <x:v>装备合成</x:v>
      </x:c>
      <x:c r="J300" s="25" t="str">
        <x:v>S07</x:v>
      </x:c>
      <x:c r="K300" s="25" t="str">
        <x:v>110-210</x:v>
      </x:c>
      <x:c r="L300" s="25" t="n">
        <x:v>85000</x:v>
      </x:c>
      <x:c r="M300" s="25" t="n">
        <x:v>5</x:v>
      </x:c>
      <x:c r="N300" s="25" t="str">
        <x:v>否</x:v>
      </x:c>
      <x:c r="O300" s="25" t="n">
        <x:v>0</x:v>
      </x:c>
      <x:c r="P300" s="25" t="n">
        <x:v>0</x:v>
      </x:c>
      <x:c r="Q300" s="25" t="n">
        <x:v>0</x:v>
      </x:c>
      <x:c r="R300" s="25" t="str">
        <x:v>洗练绑定装备；项链幸运绑定人物永久进度；武器幸运成本忽略</x:v>
      </x:c>
    </x:row>
    <x:row r="301">
      <x:c r="A301" s="25" t="str">
        <x:v>C04-M</x:v>
      </x:c>
      <x:c r="B301" s="25" t="str">
        <x:v>利耶尼亚海域</x:v>
      </x:c>
      <x:c r="C301" s="25" t="str">
        <x:v>半急速中期</x:v>
      </x:c>
      <x:c r="D301" s="25" t="n">
        <x:v>7</x:v>
      </x:c>
      <x:c r="E301" s="25" t="n">
        <x:v>75</x:v>
      </x:c>
      <x:c r="F301" s="25" t="str">
        <x:v>归乡弩戒</x:v>
      </x:c>
      <x:c r="G301" s="25" t="str">
        <x:v>戒指</x:v>
      </x:c>
      <x:c r="H301" s="25" t="n">
        <x:v>2</x:v>
      </x:c>
      <x:c r="I301" s="25" t="str">
        <x:v>普通</x:v>
      </x:c>
      <x:c r="J301" s="25" t="str">
        <x:v>S02</x:v>
      </x:c>
      <x:c r="K301" s="25" t="str">
        <x:v>41-79</x:v>
      </x:c>
      <x:c r="L301" s="25" t="n">
        <x:v>15700</x:v>
      </x:c>
      <x:c r="M301" s="25" t="n">
        <x:v>3</x:v>
      </x:c>
      <x:c r="N301" s="25" t="str">
        <x:v>否</x:v>
      </x:c>
      <x:c r="O301" s="25" t="n">
        <x:v>0</x:v>
      </x:c>
      <x:c r="P301" s="25" t="n">
        <x:v>0</x:v>
      </x:c>
      <x:c r="Q301" s="25" t="n">
        <x:v>0</x:v>
      </x:c>
      <x:c r="R301" s="25" t="str">
        <x:v>洗练绑定装备；项链幸运绑定人物永久进度；武器幸运成本忽略</x:v>
      </x:c>
    </x:row>
    <x:row r="302">
      <x:c r="A302" s="25" t="str">
        <x:v>C04-M</x:v>
      </x:c>
      <x:c r="B302" s="25" t="str">
        <x:v>利耶尼亚海域</x:v>
      </x:c>
      <x:c r="C302" s="25" t="str">
        <x:v>半急速中期</x:v>
      </x:c>
      <x:c r="D302" s="25" t="n">
        <x:v>8</x:v>
      </x:c>
      <x:c r="E302" s="25" t="n">
        <x:v>98</x:v>
      </x:c>
      <x:c r="F302" s="25" t="str">
        <x:v>圣律戒印</x:v>
      </x:c>
      <x:c r="G302" s="25" t="str">
        <x:v>戒指</x:v>
      </x:c>
      <x:c r="H302" s="25" t="n">
        <x:v>3</x:v>
      </x:c>
      <x:c r="I302" s="25" t="str">
        <x:v>稀有</x:v>
      </x:c>
      <x:c r="J302" s="25" t="str">
        <x:v>S07</x:v>
      </x:c>
      <x:c r="K302" s="25" t="str">
        <x:v>99-190</x:v>
      </x:c>
      <x:c r="L302" s="25" t="n">
        <x:v>77000</x:v>
      </x:c>
      <x:c r="M302" s="25" t="n">
        <x:v>1</x:v>
      </x:c>
      <x:c r="N302" s="25" t="str">
        <x:v>否</x:v>
      </x:c>
      <x:c r="O302" s="25" t="n">
        <x:v>0</x:v>
      </x:c>
      <x:c r="P302" s="25" t="n">
        <x:v>0</x:v>
      </x:c>
      <x:c r="Q302" s="25" t="n">
        <x:v>0</x:v>
      </x:c>
      <x:c r="R302" s="25" t="str">
        <x:v>洗练绑定装备；项链幸运绑定人物永久进度；武器幸运成本忽略</x:v>
      </x:c>
    </x:row>
    <x:row r="303">
      <x:c r="A303" s="25" t="str">
        <x:v>C04-M</x:v>
      </x:c>
      <x:c r="B303" s="25" t="str">
        <x:v>利耶尼亚海域</x:v>
      </x:c>
      <x:c r="C303" s="25" t="str">
        <x:v>半急速中期</x:v>
      </x:c>
      <x:c r="D303" s="25" t="n">
        <x:v>10</x:v>
      </x:c>
      <x:c r="E303" s="25" t="n">
        <x:v>99</x:v>
      </x:c>
      <x:c r="F303" s="25" t="str">
        <x:v>流寇束带</x:v>
      </x:c>
      <x:c r="G303" s="25" t="str">
        <x:v>腰带</x:v>
      </x:c>
      <x:c r="H303" s="25" t="n">
        <x:v>2</x:v>
      </x:c>
      <x:c r="I303" s="25" t="str">
        <x:v>普通</x:v>
      </x:c>
      <x:c r="J303" s="25" t="str">
        <x:v>S02</x:v>
      </x:c>
      <x:c r="K303" s="25" t="str">
        <x:v>41-79</x:v>
      </x:c>
      <x:c r="L303" s="25" t="n">
        <x:v>69000</x:v>
      </x:c>
      <x:c r="M303" s="25" t="n">
        <x:v>3</x:v>
      </x:c>
      <x:c r="N303" s="25" t="str">
        <x:v>否</x:v>
      </x:c>
      <x:c r="O303" s="25" t="n">
        <x:v>0</x:v>
      </x:c>
      <x:c r="P303" s="25" t="n">
        <x:v>0</x:v>
      </x:c>
      <x:c r="Q303" s="25" t="n">
        <x:v>0</x:v>
      </x:c>
      <x:c r="R303" s="25" t="str">
        <x:v>洗练绑定装备；项链幸运绑定人物永久进度；武器幸运成本忽略</x:v>
      </x:c>
    </x:row>
    <x:row r="304">
      <x:c r="A304" s="25" t="str">
        <x:v>C04-M</x:v>
      </x:c>
      <x:c r="B304" s="25" t="str">
        <x:v>利耶尼亚海域</x:v>
      </x:c>
      <x:c r="C304" s="25" t="str">
        <x:v>半急速中期</x:v>
      </x:c>
      <x:c r="D304" s="25" t="n">
        <x:v>11</x:v>
      </x:c>
      <x:c r="E304" s="25" t="n">
        <x:v>90</x:v>
      </x:c>
      <x:c r="F304" s="25" t="str">
        <x:v>逐风征靴</x:v>
      </x:c>
      <x:c r="G304" s="25" t="str">
        <x:v>鞋子</x:v>
      </x:c>
      <x:c r="H304" s="25" t="n">
        <x:v>3</x:v>
      </x:c>
      <x:c r="I304" s="25" t="str">
        <x:v>装备合成</x:v>
      </x:c>
      <x:c r="J304" s="25" t="str">
        <x:v>S07</x:v>
      </x:c>
      <x:c r="K304" s="25" t="str">
        <x:v>100-200</x:v>
      </x:c>
      <x:c r="L304" s="25" t="n">
        <x:v>150000</x:v>
      </x:c>
      <x:c r="M304" s="25" t="n">
        <x:v>4</x:v>
      </x:c>
      <x:c r="N304" s="25" t="str">
        <x:v>否</x:v>
      </x:c>
      <x:c r="O304" s="25" t="n">
        <x:v>0</x:v>
      </x:c>
      <x:c r="P304" s="25" t="n">
        <x:v>0</x:v>
      </x:c>
      <x:c r="Q304" s="25" t="n">
        <x:v>0</x:v>
      </x:c>
      <x:c r="R304" s="25" t="str">
        <x:v>洗练绑定装备；项链幸运绑定人物永久进度；武器幸运成本忽略</x:v>
      </x:c>
    </x:row>
    <x:row r="305">
      <x:c r="A305" s="25" t="str">
        <x:v>C04-M</x:v>
      </x:c>
      <x:c r="B305" s="25" t="str">
        <x:v>利耶尼亚海域</x:v>
      </x:c>
      <x:c r="C305" s="25" t="str">
        <x:v>半急速中期</x:v>
      </x:c>
      <x:c r="D305" s="25" t="n">
        <x:v>13</x:v>
      </x:c>
      <x:c r="E305" s="25" t="n">
        <x:v>97</x:v>
      </x:c>
      <x:c r="F305" s="25" t="str">
        <x:v>水巫雾纱笠</x:v>
      </x:c>
      <x:c r="G305" s="25" t="str">
        <x:v>斗笠</x:v>
      </x:c>
      <x:c r="H305" s="25" t="n">
        <x:v>4</x:v>
      </x:c>
      <x:c r="I305" s="25" t="str">
        <x:v>稀有</x:v>
      </x:c>
      <x:c r="J305" s="25" t="str">
        <x:v>S07</x:v>
      </x:c>
      <x:c r="K305" s="25" t="str">
        <x:v>62-120</x:v>
      </x:c>
      <x:c r="L305" s="25" t="n">
        <x:v>79000</x:v>
      </x:c>
      <x:c r="M305" s="25" t="n">
        <x:v>0</x:v>
      </x:c>
      <x:c r="N305" s="25" t="str">
        <x:v>否</x:v>
      </x:c>
      <x:c r="O305" s="25" t="n">
        <x:v>0</x:v>
      </x:c>
      <x:c r="P305" s="25" t="n">
        <x:v>0</x:v>
      </x:c>
      <x:c r="Q305" s="25" t="n">
        <x:v>0</x:v>
      </x:c>
      <x:c r="R305" s="25" t="str">
        <x:v>洗练绑定装备；项链幸运绑定人物永久进度；武器幸运成本忽略</x:v>
      </x:c>
    </x:row>
    <x:row r="306">
      <x:c r="A306" s="25" t="str">
        <x:v>C04-M</x:v>
      </x:c>
      <x:c r="B306" s="25" t="str">
        <x:v>利耶尼亚海域</x:v>
      </x:c>
      <x:c r="C306" s="25" t="str">
        <x:v>半急速中期</x:v>
      </x:c>
      <x:c r="D306" s="25" t="n">
        <x:v>16</x:v>
      </x:c>
      <x:c r="E306" s="25" t="n">
        <x:v>89</x:v>
      </x:c>
      <x:c r="F306" s="25" t="str">
        <x:v>边境塔盾</x:v>
      </x:c>
      <x:c r="G306" s="25" t="str">
        <x:v>盾牌</x:v>
      </x:c>
      <x:c r="H306" s="25" t="n">
        <x:v>3</x:v>
      </x:c>
      <x:c r="I306" s="25" t="str">
        <x:v>稀有</x:v>
      </x:c>
      <x:c r="J306" s="25" t="str">
        <x:v>S07</x:v>
      </x:c>
      <x:c r="K306" s="25" t="str">
        <x:v>68-130</x:v>
      </x:c>
      <x:c r="L306" s="25" t="n">
        <x:v>250000</x:v>
      </x:c>
      <x:c r="M306" s="25" t="n">
        <x:v>0</x:v>
      </x:c>
      <x:c r="N306" s="25" t="str">
        <x:v>否</x:v>
      </x:c>
      <x:c r="O306" s="25" t="n">
        <x:v>0</x:v>
      </x:c>
      <x:c r="P306" s="25" t="n">
        <x:v>0</x:v>
      </x:c>
      <x:c r="Q306" s="25" t="n">
        <x:v>0</x:v>
      </x:c>
      <x:c r="R306" s="25" t="str">
        <x:v>洗练绑定装备；项链幸运绑定人物永久进度；武器幸运成本忽略</x:v>
      </x:c>
    </x:row>
    <x:row r="307">
      <x:c r="A307" s="25" t="str">
        <x:v>C04-M</x:v>
      </x:c>
      <x:c r="B307" s="25" t="str">
        <x:v>利耶尼亚海域</x:v>
      </x:c>
      <x:c r="C307" s="25" t="str">
        <x:v>半急速中期</x:v>
      </x:c>
      <x:c r="D307" s="25" t="n">
        <x:v>18</x:v>
      </x:c>
      <x:c r="E307" s="25" t="n">
        <x:v>26</x:v>
      </x:c>
      <x:c r="F307" s="25" t="str">
        <x:v>无冠王衣</x:v>
      </x:c>
      <x:c r="G307" s="25" t="str">
        <x:v>时装衣服</x:v>
      </x:c>
      <x:c r="H307" s="25" t="n">
        <x:v>1</x:v>
      </x:c>
      <x:c r="I307" s="25" t="str">
        <x:v>守关BOSS</x:v>
      </x:c>
      <x:c r="J307" s="25" t="str">
        <x:v>S02</x:v>
      </x:c>
      <x:c r="K307" s="25" t="str">
        <x:v>28-53</x:v>
      </x:c>
      <x:c r="L307" s="25" t="n">
        <x:v>74300</x:v>
      </x:c>
      <x:c r="M307" s="25" t="n">
        <x:v>0</x:v>
      </x:c>
      <x:c r="N307" s="25" t="str">
        <x:v>否</x:v>
      </x:c>
      <x:c r="O307" s="25" t="n">
        <x:v>0</x:v>
      </x:c>
      <x:c r="P307" s="25" t="n">
        <x:v>0</x:v>
      </x:c>
      <x:c r="Q307" s="25" t="n">
        <x:v>0</x:v>
      </x:c>
      <x:c r="R307" s="25" t="str">
        <x:v>洗练绑定装备；项链幸运绑定人物永久进度；武器幸运成本忽略</x:v>
      </x:c>
    </x:row>
    <x:row r="308">
      <x:c r="A308" s="25" t="str">
        <x:v>C04-M</x:v>
      </x:c>
      <x:c r="B308" s="25" t="str">
        <x:v>利耶尼亚海域</x:v>
      </x:c>
      <x:c r="C308" s="25" t="str">
        <x:v>半急速中期</x:v>
      </x:c>
      <x:c r="D308" s="25" t="n">
        <x:v>19</x:v>
      </x:c>
      <x:c r="E308" s="25" t="n">
        <x:v>64</x:v>
      </x:c>
      <x:c r="F308" s="25" t="str">
        <x:v>百夫熔戟</x:v>
      </x:c>
      <x:c r="G308" s="25" t="str">
        <x:v>时装武器</x:v>
      </x:c>
      <x:c r="H308" s="25" t="n">
        <x:v>2</x:v>
      </x:c>
      <x:c r="I308" s="25" t="str">
        <x:v>稀有</x:v>
      </x:c>
      <x:c r="J308" s="25" t="str">
        <x:v>S02</x:v>
      </x:c>
      <x:c r="K308" s="25" t="str">
        <x:v>150-288</x:v>
      </x:c>
      <x:c r="L308" s="25" t="n">
        <x:v>45400</x:v>
      </x:c>
      <x:c r="M308" s="25" t="n">
        <x:v>0</x:v>
      </x:c>
      <x:c r="N308" s="25" t="str">
        <x:v>否</x:v>
      </x:c>
      <x:c r="O308" s="25" t="n">
        <x:v>0</x:v>
      </x:c>
      <x:c r="P308" s="25" t="n">
        <x:v>0</x:v>
      </x:c>
      <x:c r="Q308" s="25" t="n">
        <x:v>0</x:v>
      </x:c>
      <x:c r="R308" s="25" t="str">
        <x:v>洗练绑定装备；项链幸运绑定人物永久进度；武器幸运成本忽略</x:v>
      </x:c>
    </x:row>
    <x:row r="309">
      <x:c r="A309" s="25" t="str">
        <x:v>C04-M</x:v>
      </x:c>
      <x:c r="B309" s="25" t="str">
        <x:v>利耶尼亚海域</x:v>
      </x:c>
      <x:c r="C309" s="25" t="str">
        <x:v>半急速中期</x:v>
      </x:c>
      <x:c r="D309" s="25" t="n">
        <x:v>20</x:v>
      </x:c>
      <x:c r="E309" s="25" t="n">
        <x:v>40</x:v>
      </x:c>
      <x:c r="F309" s="25" t="str">
        <x:v>英雄余誓</x:v>
      </x:c>
      <x:c r="G309" s="25" t="str">
        <x:v>时装项链</x:v>
      </x:c>
      <x:c r="H309" s="25" t="n">
        <x:v>2</x:v>
      </x:c>
      <x:c r="I309" s="25" t="str">
        <x:v>稀有</x:v>
      </x:c>
      <x:c r="J309" s="25" t="str">
        <x:v>S02</x:v>
      </x:c>
      <x:c r="K309" s="25" t="str">
        <x:v>31-60</x:v>
      </x:c>
      <x:c r="L309" s="25" t="n">
        <x:v>17900</x:v>
      </x:c>
      <x:c r="M309" s="25" t="n">
        <x:v>0</x:v>
      </x:c>
      <x:c r="N309" s="25" t="str">
        <x:v>否</x:v>
      </x:c>
      <x:c r="O309" s="25" t="n">
        <x:v>0</x:v>
      </x:c>
      <x:c r="P309" s="25" t="n">
        <x:v>0</x:v>
      </x:c>
      <x:c r="Q309" s="25" t="n">
        <x:v>0</x:v>
      </x:c>
      <x:c r="R309" s="25" t="str">
        <x:v>洗练绑定装备；项链幸运绑定人物永久进度；武器幸运成本忽略</x:v>
      </x:c>
    </x:row>
    <x:row r="310">
      <x:c r="A310" s="25" t="str">
        <x:v>C04-M</x:v>
      </x:c>
      <x:c r="B310" s="25" t="str">
        <x:v>利耶尼亚海域</x:v>
      </x:c>
      <x:c r="C310" s="25" t="str">
        <x:v>半急速中期</x:v>
      </x:c>
      <x:c r="D310" s="25" t="n">
        <x:v>21</x:v>
      </x:c>
      <x:c r="E310" s="25" t="n">
        <x:v>41</x:v>
      </x:c>
      <x:c r="F310" s="25" t="str">
        <x:v>初火兜鍪</x:v>
      </x:c>
      <x:c r="G310" s="25" t="str">
        <x:v>时装头盔</x:v>
      </x:c>
      <x:c r="H310" s="25" t="n">
        <x:v>2</x:v>
      </x:c>
      <x:c r="I310" s="25" t="str">
        <x:v>稀有</x:v>
      </x:c>
      <x:c r="J310" s="25" t="str">
        <x:v>S02</x:v>
      </x:c>
      <x:c r="K310" s="25" t="str">
        <x:v>22-42</x:v>
      </x:c>
      <x:c r="L310" s="25" t="n">
        <x:v>30900</x:v>
      </x:c>
      <x:c r="M310" s="25" t="n">
        <x:v>0</x:v>
      </x:c>
      <x:c r="N310" s="25" t="str">
        <x:v>否</x:v>
      </x:c>
      <x:c r="O310" s="25" t="n">
        <x:v>0</x:v>
      </x:c>
      <x:c r="P310" s="25" t="n">
        <x:v>0</x:v>
      </x:c>
      <x:c r="Q310" s="25" t="n">
        <x:v>0</x:v>
      </x:c>
      <x:c r="R310" s="25" t="str">
        <x:v>洗练绑定装备；项链幸运绑定人物永久进度；武器幸运成本忽略</x:v>
      </x:c>
    </x:row>
    <x:row r="311">
      <x:c r="A311" s="25" t="str">
        <x:v>C04-M</x:v>
      </x:c>
      <x:c r="B311" s="25" t="str">
        <x:v>利耶尼亚海域</x:v>
      </x:c>
      <x:c r="C311" s="25" t="str">
        <x:v>半急速中期</x:v>
      </x:c>
      <x:c r="D311" s="25" t="n">
        <x:v>22</x:v>
      </x:c>
      <x:c r="E311" s="25" t="n">
        <x:v>42</x:v>
      </x:c>
      <x:c r="F311" s="25" t="str">
        <x:v>卢恩血镯</x:v>
      </x:c>
      <x:c r="G311" s="25" t="str">
        <x:v>时装手镯</x:v>
      </x:c>
      <x:c r="H311" s="25" t="n">
        <x:v>2</x:v>
      </x:c>
      <x:c r="I311" s="25" t="str">
        <x:v>稀有</x:v>
      </x:c>
      <x:c r="J311" s="25" t="str">
        <x:v>S02</x:v>
      </x:c>
      <x:c r="K311" s="25" t="str">
        <x:v>42-80</x:v>
      </x:c>
      <x:c r="L311" s="25" t="n">
        <x:v>34400</x:v>
      </x:c>
      <x:c r="M311" s="25" t="n">
        <x:v>0</x:v>
      </x:c>
      <x:c r="N311" s="25" t="str">
        <x:v>否</x:v>
      </x:c>
      <x:c r="O311" s="25" t="n">
        <x:v>0</x:v>
      </x:c>
      <x:c r="P311" s="25" t="n">
        <x:v>0</x:v>
      </x:c>
      <x:c r="Q311" s="25" t="n">
        <x:v>0</x:v>
      </x:c>
      <x:c r="R311" s="25" t="str">
        <x:v>洗练绑定装备；项链幸运绑定人物永久进度；武器幸运成本忽略</x:v>
      </x:c>
    </x:row>
    <x:row r="312">
      <x:c r="A312" s="25" t="str">
        <x:v>C04-M</x:v>
      </x:c>
      <x:c r="B312" s="25" t="str">
        <x:v>利耶尼亚海域</x:v>
      </x:c>
      <x:c r="C312" s="25" t="str">
        <x:v>半急速中期</x:v>
      </x:c>
      <x:c r="D312" s="25" t="n">
        <x:v>24</x:v>
      </x:c>
      <x:c r="E312" s="25" t="n">
        <x:v>43</x:v>
      </x:c>
      <x:c r="F312" s="25" t="str">
        <x:v>黄金树戒</x:v>
      </x:c>
      <x:c r="G312" s="25" t="str">
        <x:v>时装戒指</x:v>
      </x:c>
      <x:c r="H312" s="25" t="n">
        <x:v>2</x:v>
      </x:c>
      <x:c r="I312" s="25" t="str">
        <x:v>稀有</x:v>
      </x:c>
      <x:c r="J312" s="25" t="str">
        <x:v>S02</x:v>
      </x:c>
      <x:c r="K312" s="25" t="str">
        <x:v>42-80</x:v>
      </x:c>
      <x:c r="L312" s="25" t="n">
        <x:v>34400</x:v>
      </x:c>
      <x:c r="M312" s="25" t="n">
        <x:v>0</x:v>
      </x:c>
      <x:c r="N312" s="25" t="str">
        <x:v>否</x:v>
      </x:c>
      <x:c r="O312" s="25" t="n">
        <x:v>0</x:v>
      </x:c>
      <x:c r="P312" s="25" t="n">
        <x:v>0</x:v>
      </x:c>
      <x:c r="Q312" s="25" t="n">
        <x:v>0</x:v>
      </x:c>
      <x:c r="R312" s="25" t="str">
        <x:v>洗练绑定装备；项链幸运绑定人物永久进度；武器幸运成本忽略</x:v>
      </x:c>
    </x:row>
    <x:row r="313">
      <x:c r="A313" s="25" t="str">
        <x:v>C04-M</x:v>
      </x:c>
      <x:c r="B313" s="25" t="str">
        <x:v>利耶尼亚海域</x:v>
      </x:c>
      <x:c r="C313" s="25" t="str">
        <x:v>半急速中期</x:v>
      </x:c>
      <x:c r="D313" s="25" t="n">
        <x:v>40</x:v>
      </x:c>
      <x:c r="E313" s="25" t="n">
        <x:v>44</x:v>
      </x:c>
      <x:c r="F313" s="25" t="str">
        <x:v>腐树子鼠</x:v>
      </x:c>
      <x:c r="G313" s="25" t="str">
        <x:v>生肖1</x:v>
      </x:c>
      <x:c r="H313" s="25" t="n">
        <x:v>2</x:v>
      </x:c>
      <x:c r="I313" s="25" t="str">
        <x:v>BOSS</x:v>
      </x:c>
      <x:c r="J313" s="25" t="str">
        <x:v>S02</x:v>
      </x:c>
      <x:c r="K313" s="25" t="str">
        <x:v>29-56</x:v>
      </x:c>
      <x:c r="L313" s="25" t="n">
        <x:v>23600</x:v>
      </x:c>
      <x:c r="M313" s="25" t="n">
        <x:v>0</x:v>
      </x:c>
      <x:c r="N313" s="25" t="str">
        <x:v>否</x:v>
      </x:c>
      <x:c r="O313" s="25" t="n">
        <x:v>0</x:v>
      </x:c>
      <x:c r="P313" s="25" t="n">
        <x:v>0</x:v>
      </x:c>
      <x:c r="Q313" s="25" t="n">
        <x:v>0</x:v>
      </x:c>
      <x:c r="R313" s="25" t="str">
        <x:v>洗练绑定装备；项链幸运绑定人物永久进度；武器幸运成本忽略</x:v>
      </x:c>
    </x:row>
    <x:row r="314">
      <x:c r="A314" s="25" t="str">
        <x:v>C04-M</x:v>
      </x:c>
      <x:c r="B314" s="25" t="str">
        <x:v>利耶尼亚海域</x:v>
      </x:c>
      <x:c r="C314" s="25" t="str">
        <x:v>半急速中期</x:v>
      </x:c>
      <x:c r="D314" s="25" t="n">
        <x:v>41</x:v>
      </x:c>
      <x:c r="E314" s="25" t="n">
        <x:v>69</x:v>
      </x:c>
      <x:c r="F314" s="25" t="str">
        <x:v>丑牛·风暴负山</x:v>
      </x:c>
      <x:c r="G314" s="25" t="str">
        <x:v>生肖2</x:v>
      </x:c>
      <x:c r="H314" s="25" t="n">
        <x:v>2</x:v>
      </x:c>
      <x:c r="I314" s="25" t="str">
        <x:v>生肖合成</x:v>
      </x:c>
      <x:c r="J314" s="25" t="str">
        <x:v>S07</x:v>
      </x:c>
      <x:c r="K314" s="25" t="str">
        <x:v>25-49</x:v>
      </x:c>
      <x:c r="L314" s="25" t="n">
        <x:v>64000</x:v>
      </x:c>
      <x:c r="M314" s="25" t="n">
        <x:v>0</x:v>
      </x:c>
      <x:c r="N314" s="25" t="str">
        <x:v>否</x:v>
      </x:c>
      <x:c r="O314" s="25" t="n">
        <x:v>0</x:v>
      </x:c>
      <x:c r="P314" s="25" t="n">
        <x:v>0</x:v>
      </x:c>
      <x:c r="Q314" s="25" t="n">
        <x:v>0</x:v>
      </x:c>
      <x:c r="R314" s="25" t="str">
        <x:v>洗练绑定装备；项链幸运绑定人物永久进度；武器幸运成本忽略</x:v>
      </x:c>
    </x:row>
    <x:row r="315">
      <x:c r="A315" s="25" t="str">
        <x:v>C04-M</x:v>
      </x:c>
      <x:c r="B315" s="25" t="str">
        <x:v>利耶尼亚海域</x:v>
      </x:c>
      <x:c r="C315" s="25" t="str">
        <x:v>半急速中期</x:v>
      </x:c>
      <x:c r="D315" s="25" t="n">
        <x:v>42</x:v>
      </x:c>
      <x:c r="E315" s="25" t="n">
        <x:v>66</x:v>
      </x:c>
      <x:c r="F315" s="25" t="str">
        <x:v>长戟寅虎</x:v>
      </x:c>
      <x:c r="G315" s="25" t="str">
        <x:v>生肖3</x:v>
      </x:c>
      <x:c r="H315" s="25" t="n">
        <x:v>2</x:v>
      </x:c>
      <x:c r="I315" s="25" t="str">
        <x:v>BOSS</x:v>
      </x:c>
      <x:c r="J315" s="25" t="str">
        <x:v>S02</x:v>
      </x:c>
      <x:c r="K315" s="25" t="str">
        <x:v>34-65</x:v>
      </x:c>
      <x:c r="L315" s="25" t="n">
        <x:v>32600</x:v>
      </x:c>
      <x:c r="M315" s="25" t="n">
        <x:v>0</x:v>
      </x:c>
      <x:c r="N315" s="25" t="str">
        <x:v>否</x:v>
      </x:c>
      <x:c r="O315" s="25" t="n">
        <x:v>0</x:v>
      </x:c>
      <x:c r="P315" s="25" t="n">
        <x:v>0</x:v>
      </x:c>
      <x:c r="Q315" s="25" t="n">
        <x:v>0</x:v>
      </x:c>
      <x:c r="R315" s="25" t="str">
        <x:v>洗练绑定装备；项链幸运绑定人物永久进度；武器幸运成本忽略</x:v>
      </x:c>
    </x:row>
    <x:row r="316">
      <x:c r="A316" s="25" t="str">
        <x:v>C04-M</x:v>
      </x:c>
      <x:c r="B316" s="25" t="str">
        <x:v>利耶尼亚海域</x:v>
      </x:c>
      <x:c r="C316" s="25" t="str">
        <x:v>半急速中期</x:v>
      </x:c>
      <x:c r="D316" s="25" t="n">
        <x:v>43</x:v>
      </x:c>
      <x:c r="E316" s="25" t="n">
        <x:v>79</x:v>
      </x:c>
      <x:c r="F316" s="25" t="str">
        <x:v>无月卯兔</x:v>
      </x:c>
      <x:c r="G316" s="25" t="str">
        <x:v>生肖4</x:v>
      </x:c>
      <x:c r="H316" s="25" t="n">
        <x:v>2</x:v>
      </x:c>
      <x:c r="I316" s="25" t="str">
        <x:v>BOSS</x:v>
      </x:c>
      <x:c r="J316" s="25" t="str">
        <x:v>S02</x:v>
      </x:c>
      <x:c r="K316" s="25" t="str">
        <x:v>34-65</x:v>
      </x:c>
      <x:c r="L316" s="25" t="n">
        <x:v>32600</x:v>
      </x:c>
      <x:c r="M316" s="25" t="n">
        <x:v>0</x:v>
      </x:c>
      <x:c r="N316" s="25" t="str">
        <x:v>否</x:v>
      </x:c>
      <x:c r="O316" s="25" t="n">
        <x:v>0</x:v>
      </x:c>
      <x:c r="P316" s="25" t="n">
        <x:v>0</x:v>
      </x:c>
      <x:c r="Q316" s="25" t="n">
        <x:v>0</x:v>
      </x:c>
      <x:c r="R316" s="25" t="str">
        <x:v>洗练绑定装备；项链幸运绑定人物永久进度；武器幸运成本忽略</x:v>
      </x:c>
    </x:row>
    <x:row r="317">
      <x:c r="A317" s="25" t="str">
        <x:v>C04-M</x:v>
      </x:c>
      <x:c r="B317" s="25" t="str">
        <x:v>利耶尼亚海域</x:v>
      </x:c>
      <x:c r="C317" s="25" t="str">
        <x:v>半急速中期</x:v>
      </x:c>
      <x:c r="D317" s="25" t="n">
        <x:v>44</x:v>
      </x:c>
      <x:c r="E317" s="25" t="n">
        <x:v>91</x:v>
      </x:c>
      <x:c r="F317" s="25" t="str">
        <x:v>辰龙·荒原逐风</x:v>
      </x:c>
      <x:c r="G317" s="25" t="str">
        <x:v>生肖5</x:v>
      </x:c>
      <x:c r="H317" s="25" t="n">
        <x:v>3</x:v>
      </x:c>
      <x:c r="I317" s="25" t="str">
        <x:v>生肖合成</x:v>
      </x:c>
      <x:c r="J317" s="25" t="str">
        <x:v>S07</x:v>
      </x:c>
      <x:c r="K317" s="25" t="str">
        <x:v>47-90</x:v>
      </x:c>
      <x:c r="L317" s="25" t="n">
        <x:v>120000</x:v>
      </x:c>
      <x:c r="M317" s="25" t="n">
        <x:v>0</x:v>
      </x:c>
      <x:c r="N317" s="25" t="str">
        <x:v>否</x:v>
      </x:c>
      <x:c r="O317" s="25" t="n">
        <x:v>0</x:v>
      </x:c>
      <x:c r="P317" s="25" t="n">
        <x:v>0</x:v>
      </x:c>
      <x:c r="Q317" s="25" t="n">
        <x:v>0</x:v>
      </x:c>
      <x:c r="R317" s="25" t="str">
        <x:v>洗练绑定装备；项链幸运绑定人物永久进度；武器幸运成本忽略</x:v>
      </x:c>
    </x:row>
    <x:row r="318">
      <x:c r="A318" s="25" t="str">
        <x:v>C04-M</x:v>
      </x:c>
      <x:c r="B318" s="25" t="str">
        <x:v>利耶尼亚海域</x:v>
      </x:c>
      <x:c r="C318" s="25" t="str">
        <x:v>半急速中期</x:v>
      </x:c>
      <x:c r="D318" s="25" t="n">
        <x:v>45</x:v>
      </x:c>
      <x:c r="E318" s="25" t="n">
        <x:v>46</x:v>
      </x:c>
      <x:c r="F318" s="25" t="str">
        <x:v>祖魂巳蛇</x:v>
      </x:c>
      <x:c r="G318" s="25" t="str">
        <x:v>生肖6</x:v>
      </x:c>
      <x:c r="H318" s="25" t="n">
        <x:v>2</x:v>
      </x:c>
      <x:c r="I318" s="25" t="str">
        <x:v>稀有</x:v>
      </x:c>
      <x:c r="J318" s="25" t="str">
        <x:v>S02</x:v>
      </x:c>
      <x:c r="K318" s="25" t="str">
        <x:v>33-64</x:v>
      </x:c>
      <x:c r="L318" s="25" t="n">
        <x:v>39100</x:v>
      </x:c>
      <x:c r="M318" s="25" t="n">
        <x:v>0</x:v>
      </x:c>
      <x:c r="N318" s="25" t="str">
        <x:v>否</x:v>
      </x:c>
      <x:c r="O318" s="25" t="n">
        <x:v>0</x:v>
      </x:c>
      <x:c r="P318" s="25" t="n">
        <x:v>0</x:v>
      </x:c>
      <x:c r="Q318" s="25" t="n">
        <x:v>0</x:v>
      </x:c>
      <x:c r="R318" s="25" t="str">
        <x:v>洗练绑定装备；项链幸运绑定人物永久进度；武器幸运成本忽略</x:v>
      </x:c>
    </x:row>
    <x:row r="319">
      <x:c r="A319" s="25" t="str">
        <x:v>C04-M</x:v>
      </x:c>
      <x:c r="B319" s="25" t="str">
        <x:v>利耶尼亚海域</x:v>
      </x:c>
      <x:c r="C319" s="25" t="str">
        <x:v>半急速中期</x:v>
      </x:c>
      <x:c r="D319" s="25" t="n">
        <x:v>46</x:v>
      </x:c>
      <x:c r="E319" s="25" t="n">
        <x:v>80</x:v>
      </x:c>
      <x:c r="F319" s="25" t="str">
        <x:v>死水午马</x:v>
      </x:c>
      <x:c r="G319" s="25" t="str">
        <x:v>生肖7</x:v>
      </x:c>
      <x:c r="H319" s="25" t="n">
        <x:v>2</x:v>
      </x:c>
      <x:c r="I319" s="25" t="str">
        <x:v>BOSS</x:v>
      </x:c>
      <x:c r="J319" s="25" t="str">
        <x:v>S02</x:v>
      </x:c>
      <x:c r="K319" s="25" t="str">
        <x:v>38-74</x:v>
      </x:c>
      <x:c r="L319" s="25" t="n">
        <x:v>45300</x:v>
      </x:c>
      <x:c r="M319" s="25" t="n">
        <x:v>0</x:v>
      </x:c>
      <x:c r="N319" s="25" t="str">
        <x:v>否</x:v>
      </x:c>
      <x:c r="O319" s="25" t="n">
        <x:v>0</x:v>
      </x:c>
      <x:c r="P319" s="25" t="n">
        <x:v>0</x:v>
      </x:c>
      <x:c r="Q319" s="25" t="n">
        <x:v>0</x:v>
      </x:c>
      <x:c r="R319" s="25" t="str">
        <x:v>洗练绑定装备；项链幸运绑定人物永久进度；武器幸运成本忽略</x:v>
      </x:c>
    </x:row>
    <x:row r="320">
      <x:c r="A320" s="25" t="str">
        <x:v>C04-M</x:v>
      </x:c>
      <x:c r="B320" s="25" t="str">
        <x:v>利耶尼亚海域</x:v>
      </x:c>
      <x:c r="C320" s="25" t="str">
        <x:v>半急速中期</x:v>
      </x:c>
      <x:c r="D320" s="25" t="n">
        <x:v>47</x:v>
      </x:c>
      <x:c r="E320" s="25" t="n">
        <x:v>67</x:v>
      </x:c>
      <x:c r="F320" s="25" t="str">
        <x:v>葬日未羊</x:v>
      </x:c>
      <x:c r="G320" s="25" t="str">
        <x:v>生肖8</x:v>
      </x:c>
      <x:c r="H320" s="25" t="n">
        <x:v>2</x:v>
      </x:c>
      <x:c r="I320" s="25" t="str">
        <x:v>稀有</x:v>
      </x:c>
      <x:c r="J320" s="25" t="str">
        <x:v>S02</x:v>
      </x:c>
      <x:c r="K320" s="25" t="str">
        <x:v>37-72</x:v>
      </x:c>
      <x:c r="L320" s="25" t="n">
        <x:v>51600</x:v>
      </x:c>
      <x:c r="M320" s="25" t="n">
        <x:v>0</x:v>
      </x:c>
      <x:c r="N320" s="25" t="str">
        <x:v>否</x:v>
      </x:c>
      <x:c r="O320" s="25" t="n">
        <x:v>0</x:v>
      </x:c>
      <x:c r="P320" s="25" t="n">
        <x:v>0</x:v>
      </x:c>
      <x:c r="Q320" s="25" t="n">
        <x:v>0</x:v>
      </x:c>
      <x:c r="R320" s="25" t="str">
        <x:v>洗练绑定装备；项链幸运绑定人物永久进度；武器幸运成本忽略</x:v>
      </x:c>
    </x:row>
    <x:row r="321">
      <x:c r="A321" s="25" t="str">
        <x:v>C04-M</x:v>
      </x:c>
      <x:c r="B321" s="25" t="str">
        <x:v>利耶尼亚海域</x:v>
      </x:c>
      <x:c r="C321" s="25" t="str">
        <x:v>半急速中期</x:v>
      </x:c>
      <x:c r="D321" s="25" t="n">
        <x:v>48</x:v>
      </x:c>
      <x:c r="E321" s="25" t="n">
        <x:v>81</x:v>
      </x:c>
      <x:c r="F321" s="25" t="str">
        <x:v>雷冠申猴</x:v>
      </x:c>
      <x:c r="G321" s="25" t="str">
        <x:v>生肖9</x:v>
      </x:c>
      <x:c r="H321" s="25" t="n">
        <x:v>2</x:v>
      </x:c>
      <x:c r="I321" s="25" t="str">
        <x:v>BOSS</x:v>
      </x:c>
      <x:c r="J321" s="25" t="str">
        <x:v>S02</x:v>
      </x:c>
      <x:c r="K321" s="25" t="str">
        <x:v>44-84</x:v>
      </x:c>
      <x:c r="L321" s="25" t="n">
        <x:v>59800</x:v>
      </x:c>
      <x:c r="M321" s="25" t="n">
        <x:v>0</x:v>
      </x:c>
      <x:c r="N321" s="25" t="str">
        <x:v>否</x:v>
      </x:c>
      <x:c r="O321" s="25" t="n">
        <x:v>0</x:v>
      </x:c>
      <x:c r="P321" s="25" t="n">
        <x:v>0</x:v>
      </x:c>
      <x:c r="Q321" s="25" t="n">
        <x:v>0</x:v>
      </x:c>
      <x:c r="R321" s="25" t="str">
        <x:v>洗练绑定装备；项链幸运绑定人物永久进度；武器幸运成本忽略</x:v>
      </x:c>
    </x:row>
    <x:row r="322">
      <x:c r="A322" s="25" t="str">
        <x:v>C04-M</x:v>
      </x:c>
      <x:c r="B322" s="25" t="str">
        <x:v>利耶尼亚海域</x:v>
      </x:c>
      <x:c r="C322" s="25" t="str">
        <x:v>半急速中期</x:v>
      </x:c>
      <x:c r="D322" s="25" t="n">
        <x:v>49</x:v>
      </x:c>
      <x:c r="E322" s="25" t="n">
        <x:v>82</x:v>
      </x:c>
      <x:c r="F322" s="25" t="str">
        <x:v>恶兆酉鸡</x:v>
      </x:c>
      <x:c r="G322" s="25" t="str">
        <x:v>生肖10</x:v>
      </x:c>
      <x:c r="H322" s="25" t="n">
        <x:v>2</x:v>
      </x:c>
      <x:c r="I322" s="25" t="str">
        <x:v>BOSS</x:v>
      </x:c>
      <x:c r="J322" s="25" t="str">
        <x:v>S02</x:v>
      </x:c>
      <x:c r="K322" s="25" t="str">
        <x:v>44-84</x:v>
      </x:c>
      <x:c r="L322" s="25" t="n">
        <x:v>59800</x:v>
      </x:c>
      <x:c r="M322" s="25" t="n">
        <x:v>0</x:v>
      </x:c>
      <x:c r="N322" s="25" t="str">
        <x:v>否</x:v>
      </x:c>
      <x:c r="O322" s="25" t="n">
        <x:v>0</x:v>
      </x:c>
      <x:c r="P322" s="25" t="n">
        <x:v>0</x:v>
      </x:c>
      <x:c r="Q322" s="25" t="n">
        <x:v>0</x:v>
      </x:c>
      <x:c r="R322" s="25" t="str">
        <x:v>洗练绑定装备；项链幸运绑定人物永久进度；武器幸运成本忽略</x:v>
      </x:c>
    </x:row>
    <x:row r="323">
      <x:c r="A323" s="25" t="str">
        <x:v>C04-M</x:v>
      </x:c>
      <x:c r="B323" s="25" t="str">
        <x:v>利耶尼亚海域</x:v>
      </x:c>
      <x:c r="C323" s="25" t="str">
        <x:v>半急速中期</x:v>
      </x:c>
      <x:c r="D323" s="25" t="n">
        <x:v>50</x:v>
      </x:c>
      <x:c r="E323" s="25" t="n">
        <x:v>83</x:v>
      </x:c>
      <x:c r="F323" s="25" t="str">
        <x:v>失乡戌狗</x:v>
      </x:c>
      <x:c r="G323" s="25" t="str">
        <x:v>生肖11</x:v>
      </x:c>
      <x:c r="H323" s="25" t="n">
        <x:v>2</x:v>
      </x:c>
      <x:c r="I323" s="25" t="str">
        <x:v>BOSS</x:v>
      </x:c>
      <x:c r="J323" s="25" t="str">
        <x:v>S02</x:v>
      </x:c>
      <x:c r="K323" s="25" t="str">
        <x:v>48-93</x:v>
      </x:c>
      <x:c r="L323" s="25" t="n">
        <x:v>79800</x:v>
      </x:c>
      <x:c r="M323" s="25" t="n">
        <x:v>0</x:v>
      </x:c>
      <x:c r="N323" s="25" t="str">
        <x:v>否</x:v>
      </x:c>
      <x:c r="O323" s="25" t="n">
        <x:v>0</x:v>
      </x:c>
      <x:c r="P323" s="25" t="n">
        <x:v>0</x:v>
      </x:c>
      <x:c r="Q323" s="25" t="n">
        <x:v>0</x:v>
      </x:c>
      <x:c r="R323" s="25" t="str">
        <x:v>洗练绑定装备；项链幸运绑定人物永久进度；武器幸运成本忽略</x:v>
      </x:c>
    </x:row>
    <x:row r="324">
      <x:c r="A324" s="25" t="str">
        <x:v>C04-M</x:v>
      </x:c>
      <x:c r="B324" s="25" t="str">
        <x:v>利耶尼亚海域</x:v>
      </x:c>
      <x:c r="C324" s="25" t="str">
        <x:v>半急速中期</x:v>
      </x:c>
      <x:c r="D324" s="25" t="n">
        <x:v>51</x:v>
      </x:c>
      <x:c r="E324" s="25" t="n">
        <x:v>84</x:v>
      </x:c>
      <x:c r="F324" s="25" t="str">
        <x:v>接肢亥猪</x:v>
      </x:c>
      <x:c r="G324" s="25" t="str">
        <x:v>生肖12</x:v>
      </x:c>
      <x:c r="H324" s="25" t="n">
        <x:v>2</x:v>
      </x:c>
      <x:c r="I324" s="25" t="str">
        <x:v>守关BOSS</x:v>
      </x:c>
      <x:c r="J324" s="25" t="str">
        <x:v>S02</x:v>
      </x:c>
      <x:c r="K324" s="25" t="str">
        <x:v>55-106</x:v>
      </x:c>
      <x:c r="L324" s="25" t="n">
        <x:v>90800</x:v>
      </x:c>
      <x:c r="M324" s="25" t="n">
        <x:v>0</x:v>
      </x:c>
      <x:c r="N324" s="25" t="str">
        <x:v>否</x:v>
      </x:c>
      <x:c r="O324" s="25" t="n">
        <x:v>0</x:v>
      </x:c>
      <x:c r="P324" s="25" t="n">
        <x:v>0</x:v>
      </x:c>
      <x:c r="Q324" s="25" t="n">
        <x:v>0</x:v>
      </x:c>
      <x:c r="R324" s="25" t="str">
        <x:v>洗练绑定装备；项链幸运绑定人物永久进度；武器幸运成本忽略</x:v>
      </x:c>
    </x:row>
    <x:row r="325">
      <x:c r="A325" s="25" t="str">
        <x:v>C04-G</x:v>
      </x:c>
      <x:c r="B325" s="25" t="str">
        <x:v>利耶尼亚海域</x:v>
      </x:c>
      <x:c r="C325" s="25" t="str">
        <x:v>半急速毕业</x:v>
      </x:c>
      <x:c r="D325" s="25" t="n">
        <x:v>0</x:v>
      </x:c>
      <x:c r="E325" s="25" t="n">
        <x:v>87</x:v>
      </x:c>
      <x:c r="F325" s="25" t="str">
        <x:v>巨犀荒铠</x:v>
      </x:c>
      <x:c r="G325" s="25" t="str">
        <x:v>衣服</x:v>
      </x:c>
      <x:c r="H325" s="25" t="n">
        <x:v>3</x:v>
      </x:c>
      <x:c r="I325" s="25" t="str">
        <x:v>地图BOSS</x:v>
      </x:c>
      <x:c r="J325" s="25" t="str">
        <x:v>S07</x:v>
      </x:c>
      <x:c r="K325" s="25" t="str">
        <x:v>78-150</x:v>
      </x:c>
      <x:c r="L325" s="25" t="n">
        <x:v>440000</x:v>
      </x:c>
      <x:c r="M325" s="25" t="n">
        <x:v>6</x:v>
      </x:c>
      <x:c r="N325" s="25" t="str">
        <x:v>否</x:v>
      </x:c>
      <x:c r="O325" s="25" t="n">
        <x:v>0</x:v>
      </x:c>
      <x:c r="P325" s="25" t="n">
        <x:v>0</x:v>
      </x:c>
      <x:c r="Q325" s="25" t="n">
        <x:v>0</x:v>
      </x:c>
      <x:c r="R325" s="25" t="str">
        <x:v>洗练绑定装备；项链幸运绑定人物永久进度；武器幸运成本忽略</x:v>
      </x:c>
    </x:row>
    <x:row r="326">
      <x:c r="A326" s="25" t="str">
        <x:v>C04-G</x:v>
      </x:c>
      <x:c r="B326" s="25" t="str">
        <x:v>利耶尼亚海域</x:v>
      </x:c>
      <x:c r="C326" s="25" t="str">
        <x:v>半急速毕业</x:v>
      </x:c>
      <x:c r="D326" s="25" t="n">
        <x:v>1</x:v>
      </x:c>
      <x:c r="E326" s="25" t="n">
        <x:v>100</x:v>
      </x:c>
      <x:c r="F326" s="25" t="str">
        <x:v>雷戈古戟</x:v>
      </x:c>
      <x:c r="G326" s="25" t="str">
        <x:v>武器</x:v>
      </x:c>
      <x:c r="H326" s="25" t="n">
        <x:v>3</x:v>
      </x:c>
      <x:c r="I326" s="25" t="str">
        <x:v>地图BOSS</x:v>
      </x:c>
      <x:c r="J326" s="25" t="str">
        <x:v>S07</x:v>
      </x:c>
      <x:c r="K326" s="25" t="str">
        <x:v>780-1500</x:v>
      </x:c>
      <x:c r="L326" s="25" t="n">
        <x:v>88000</x:v>
      </x:c>
      <x:c r="M326" s="25" t="n">
        <x:v>4</x:v>
      </x:c>
      <x:c r="N326" s="25" t="str">
        <x:v>否</x:v>
      </x:c>
      <x:c r="O326" s="25" t="n">
        <x:v>7</x:v>
      </x:c>
      <x:c r="P326" s="25" t="n">
        <x:v>0</x:v>
      </x:c>
      <x:c r="Q326" s="25" t="n">
        <x:v>0</x:v>
      </x:c>
      <x:c r="R326" s="25" t="str">
        <x:v>洗练绑定装备；项链幸运绑定人物永久进度；武器幸运成本忽略</x:v>
      </x:c>
    </x:row>
    <x:row r="327">
      <x:c r="A327" s="25" t="str">
        <x:v>C04-G</x:v>
      </x:c>
      <x:c r="B327" s="25" t="str">
        <x:v>利耶尼亚海域</x:v>
      </x:c>
      <x:c r="C327" s="25" t="str">
        <x:v>半急速毕业</x:v>
      </x:c>
      <x:c r="D327" s="25" t="n">
        <x:v>2</x:v>
      </x:c>
      <x:c r="E327" s="25" t="n">
        <x:v>88</x:v>
      </x:c>
      <x:c r="F327" s="25" t="str">
        <x:v>火漆追缉令</x:v>
      </x:c>
      <x:c r="G327" s="25" t="str">
        <x:v>勋章</x:v>
      </x:c>
      <x:c r="H327" s="25" t="n">
        <x:v>3</x:v>
      </x:c>
      <x:c r="I327" s="25" t="str">
        <x:v>稀有</x:v>
      </x:c>
      <x:c r="J327" s="25" t="str">
        <x:v>S07</x:v>
      </x:c>
      <x:c r="K327" s="25" t="str">
        <x:v>78-150</x:v>
      </x:c>
      <x:c r="L327" s="25" t="n">
        <x:v>71000</x:v>
      </x:c>
      <x:c r="M327" s="25" t="n">
        <x:v>0</x:v>
      </x:c>
      <x:c r="N327" s="25" t="str">
        <x:v>否</x:v>
      </x:c>
      <x:c r="O327" s="25" t="n">
        <x:v>0</x:v>
      </x:c>
      <x:c r="P327" s="25" t="n">
        <x:v>0</x:v>
      </x:c>
      <x:c r="Q327" s="25" t="n">
        <x:v>0</x:v>
      </x:c>
      <x:c r="R327" s="25" t="str">
        <x:v>洗练绑定装备；项链幸运绑定人物永久进度；武器幸运成本忽略</x:v>
      </x:c>
    </x:row>
    <x:row r="328">
      <x:c r="A328" s="25" t="str">
        <x:v>C04-G</x:v>
      </x:c>
      <x:c r="B328" s="25" t="str">
        <x:v>利耶尼亚海域</x:v>
      </x:c>
      <x:c r="C328" s="25" t="str">
        <x:v>半急速毕业</x:v>
      </x:c>
      <x:c r="D328" s="25" t="n">
        <x:v>3</x:v>
      </x:c>
      <x:c r="E328" s="25" t="n">
        <x:v>101</x:v>
      </x:c>
      <x:c r="F328" s="25" t="str">
        <x:v>引魂铜铃链</x:v>
      </x:c>
      <x:c r="G328" s="25" t="str">
        <x:v>项链</x:v>
      </x:c>
      <x:c r="H328" s="25" t="n">
        <x:v>4</x:v>
      </x:c>
      <x:c r="I328" s="25" t="str">
        <x:v>普通</x:v>
      </x:c>
      <x:c r="J328" s="25" t="str">
        <x:v>S07</x:v>
      </x:c>
      <x:c r="K328" s="25" t="str">
        <x:v>88-170</x:v>
      </x:c>
      <x:c r="L328" s="25" t="n">
        <x:v>74000</x:v>
      </x:c>
      <x:c r="M328" s="25" t="n">
        <x:v>1</x:v>
      </x:c>
      <x:c r="N328" s="25" t="str">
        <x:v>否</x:v>
      </x:c>
      <x:c r="O328" s="25" t="n">
        <x:v>0</x:v>
      </x:c>
      <x:c r="P328" s="25" t="n">
        <x:v>0</x:v>
      </x:c>
      <x:c r="Q328" s="25" t="n">
        <x:v>0</x:v>
      </x:c>
      <x:c r="R328" s="25" t="str">
        <x:v>洗练绑定装备；项链幸运绑定人物永久进度；武器幸运成本忽略</x:v>
      </x:c>
    </x:row>
    <x:row r="329">
      <x:c r="A329" s="25" t="str">
        <x:v>C04-G</x:v>
      </x:c>
      <x:c r="B329" s="25" t="str">
        <x:v>利耶尼亚海域</x:v>
      </x:c>
      <x:c r="C329" s="25" t="str">
        <x:v>半急速毕业</x:v>
      </x:c>
      <x:c r="D329" s="25" t="n">
        <x:v>4</x:v>
      </x:c>
      <x:c r="E329" s="25" t="n">
        <x:v>35</x:v>
      </x:c>
      <x:c r="F329" s="25" t="str">
        <x:v>圣树先锋战盔</x:v>
      </x:c>
      <x:c r="G329" s="25" t="str">
        <x:v>头盔</x:v>
      </x:c>
      <x:c r="H329" s="25" t="n">
        <x:v>2</x:v>
      </x:c>
      <x:c r="I329" s="25" t="str">
        <x:v>制式</x:v>
      </x:c>
      <x:c r="J329" s="25" t="str">
        <x:v>S01</x:v>
      </x:c>
      <x:c r="K329" s="25" t="str">
        <x:v>24-48</x:v>
      </x:c>
      <x:c r="L329" s="25" t="n">
        <x:v>15000</x:v>
      </x:c>
      <x:c r="M329" s="25" t="n">
        <x:v>4</x:v>
      </x:c>
      <x:c r="N329" s="25" t="str">
        <x:v>否</x:v>
      </x:c>
      <x:c r="O329" s="25" t="n">
        <x:v>0</x:v>
      </x:c>
      <x:c r="P329" s="25" t="n">
        <x:v>0</x:v>
      </x:c>
      <x:c r="Q329" s="25" t="n">
        <x:v>0</x:v>
      </x:c>
      <x:c r="R329" s="25" t="str">
        <x:v>洗练绑定装备；项链幸运绑定人物永久进度；武器幸运成本忽略</x:v>
      </x:c>
    </x:row>
    <x:row r="330">
      <x:c r="A330" s="25" t="str">
        <x:v>C04-G</x:v>
      </x:c>
      <x:c r="B330" s="25" t="str">
        <x:v>利耶尼亚海域</x:v>
      </x:c>
      <x:c r="C330" s="25" t="str">
        <x:v>半急速毕业</x:v>
      </x:c>
      <x:c r="D330" s="25" t="n">
        <x:v>5</x:v>
      </x:c>
      <x:c r="E330" s="25" t="n">
        <x:v>102</x:v>
      </x:c>
      <x:c r="F330" s="25" t="str">
        <x:v>赐光祷誓镯</x:v>
      </x:c>
      <x:c r="G330" s="25" t="str">
        <x:v>手镯</x:v>
      </x:c>
      <x:c r="H330" s="25" t="n">
        <x:v>3</x:v>
      </x:c>
      <x:c r="I330" s="25" t="str">
        <x:v>稀有</x:v>
      </x:c>
      <x:c r="J330" s="25" t="str">
        <x:v>S07</x:v>
      </x:c>
      <x:c r="K330" s="25" t="str">
        <x:v>99-190</x:v>
      </x:c>
      <x:c r="L330" s="25" t="n">
        <x:v>77000</x:v>
      </x:c>
      <x:c r="M330" s="25" t="n">
        <x:v>1</x:v>
      </x:c>
      <x:c r="N330" s="25" t="str">
        <x:v>否</x:v>
      </x:c>
      <x:c r="O330" s="25" t="n">
        <x:v>0</x:v>
      </x:c>
      <x:c r="P330" s="25" t="n">
        <x:v>0</x:v>
      </x:c>
      <x:c r="Q330" s="25" t="n">
        <x:v>0</x:v>
      </x:c>
      <x:c r="R330" s="25" t="str">
        <x:v>洗练绑定装备；项链幸运绑定人物永久进度；武器幸运成本忽略</x:v>
      </x:c>
    </x:row>
    <x:row r="331">
      <x:c r="A331" s="25" t="str">
        <x:v>C04-G</x:v>
      </x:c>
      <x:c r="B331" s="25" t="str">
        <x:v>利耶尼亚海域</x:v>
      </x:c>
      <x:c r="C331" s="25" t="str">
        <x:v>半急速毕业</x:v>
      </x:c>
      <x:c r="D331" s="25" t="n">
        <x:v>6</x:v>
      </x:c>
      <x:c r="E331" s="25" t="n">
        <x:v>68</x:v>
      </x:c>
      <x:c r="F331" s="25" t="str">
        <x:v>百指接肢腕</x:v>
      </x:c>
      <x:c r="G331" s="25" t="str">
        <x:v>手镯</x:v>
      </x:c>
      <x:c r="H331" s="25" t="n">
        <x:v>2</x:v>
      </x:c>
      <x:c r="I331" s="25" t="str">
        <x:v>装备合成</x:v>
      </x:c>
      <x:c r="J331" s="25" t="str">
        <x:v>S07</x:v>
      </x:c>
      <x:c r="K331" s="25" t="str">
        <x:v>110-210</x:v>
      </x:c>
      <x:c r="L331" s="25" t="n">
        <x:v>85000</x:v>
      </x:c>
      <x:c r="M331" s="25" t="n">
        <x:v>5</x:v>
      </x:c>
      <x:c r="N331" s="25" t="str">
        <x:v>否</x:v>
      </x:c>
      <x:c r="O331" s="25" t="n">
        <x:v>0</x:v>
      </x:c>
      <x:c r="P331" s="25" t="n">
        <x:v>0</x:v>
      </x:c>
      <x:c r="Q331" s="25" t="n">
        <x:v>0</x:v>
      </x:c>
      <x:c r="R331" s="25" t="str">
        <x:v>洗练绑定装备；项链幸运绑定人物永久进度；武器幸运成本忽略</x:v>
      </x:c>
    </x:row>
    <x:row r="332">
      <x:c r="A332" s="25" t="str">
        <x:v>C04-G</x:v>
      </x:c>
      <x:c r="B332" s="25" t="str">
        <x:v>利耶尼亚海域</x:v>
      </x:c>
      <x:c r="C332" s="25" t="str">
        <x:v>半急速毕业</x:v>
      </x:c>
      <x:c r="D332" s="25" t="n">
        <x:v>7</x:v>
      </x:c>
      <x:c r="E332" s="25" t="n">
        <x:v>111</x:v>
      </x:c>
      <x:c r="F332" s="25" t="str">
        <x:v>蓝焰祷戒</x:v>
      </x:c>
      <x:c r="G332" s="25" t="str">
        <x:v>戒指</x:v>
      </x:c>
      <x:c r="H332" s="25" t="n">
        <x:v>4</x:v>
      </x:c>
      <x:c r="I332" s="25" t="str">
        <x:v>稀有</x:v>
      </x:c>
      <x:c r="J332" s="25" t="str">
        <x:v>S07</x:v>
      </x:c>
      <x:c r="K332" s="25" t="str">
        <x:v>150-280</x:v>
      </x:c>
      <x:c r="L332" s="25" t="n">
        <x:v>110000</x:v>
      </x:c>
      <x:c r="M332" s="25" t="n">
        <x:v>4</x:v>
      </x:c>
      <x:c r="N332" s="25" t="str">
        <x:v>否</x:v>
      </x:c>
      <x:c r="O332" s="25" t="n">
        <x:v>0</x:v>
      </x:c>
      <x:c r="P332" s="25" t="n">
        <x:v>0</x:v>
      </x:c>
      <x:c r="Q332" s="25" t="n">
        <x:v>0</x:v>
      </x:c>
      <x:c r="R332" s="25" t="str">
        <x:v>洗练绑定装备；项链幸运绑定人物永久进度；武器幸运成本忽略</x:v>
      </x:c>
    </x:row>
    <x:row r="333">
      <x:c r="A333" s="25" t="str">
        <x:v>C04-G</x:v>
      </x:c>
      <x:c r="B333" s="25" t="str">
        <x:v>利耶尼亚海域</x:v>
      </x:c>
      <x:c r="C333" s="25" t="str">
        <x:v>半急速毕业</x:v>
      </x:c>
      <x:c r="D333" s="25" t="n">
        <x:v>8</x:v>
      </x:c>
      <x:c r="E333" s="25" t="n">
        <x:v>112</x:v>
      </x:c>
      <x:c r="F333" s="25" t="str">
        <x:v>月渊秘戒</x:v>
      </x:c>
      <x:c r="G333" s="25" t="str">
        <x:v>戒指</x:v>
      </x:c>
      <x:c r="H333" s="25" t="n">
        <x:v>4</x:v>
      </x:c>
      <x:c r="I333" s="25" t="str">
        <x:v>装备合成</x:v>
      </x:c>
      <x:c r="J333" s="25" t="str">
        <x:v>S07</x:v>
      </x:c>
      <x:c r="K333" s="25" t="str">
        <x:v>350-670</x:v>
      </x:c>
      <x:c r="L333" s="25" t="n">
        <x:v>270000</x:v>
      </x:c>
      <x:c r="M333" s="25" t="n">
        <x:v>8</x:v>
      </x:c>
      <x:c r="N333" s="25" t="str">
        <x:v>是</x:v>
      </x:c>
      <x:c r="O333" s="25" t="n">
        <x:v>0</x:v>
      </x:c>
      <x:c r="P333" s="25" t="n">
        <x:v>0</x:v>
      </x:c>
      <x:c r="Q333" s="25" t="n">
        <x:v>0</x:v>
      </x:c>
      <x:c r="R333" s="25" t="str">
        <x:v>洗练绑定装备；项链幸运绑定人物永久进度；武器幸运成本忽略</x:v>
      </x:c>
    </x:row>
    <x:row r="334">
      <x:c r="A334" s="25" t="str">
        <x:v>C04-G</x:v>
      </x:c>
      <x:c r="B334" s="25" t="str">
        <x:v>利耶尼亚海域</x:v>
      </x:c>
      <x:c r="C334" s="25" t="str">
        <x:v>半急速毕业</x:v>
      </x:c>
      <x:c r="D334" s="25" t="n">
        <x:v>10</x:v>
      </x:c>
      <x:c r="E334" s="25" t="n">
        <x:v>99</x:v>
      </x:c>
      <x:c r="F334" s="25" t="str">
        <x:v>流寇束带</x:v>
      </x:c>
      <x:c r="G334" s="25" t="str">
        <x:v>腰带</x:v>
      </x:c>
      <x:c r="H334" s="25" t="n">
        <x:v>2</x:v>
      </x:c>
      <x:c r="I334" s="25" t="str">
        <x:v>普通</x:v>
      </x:c>
      <x:c r="J334" s="25" t="str">
        <x:v>S02</x:v>
      </x:c>
      <x:c r="K334" s="25" t="str">
        <x:v>41-79</x:v>
      </x:c>
      <x:c r="L334" s="25" t="n">
        <x:v>69000</x:v>
      </x:c>
      <x:c r="M334" s="25" t="n">
        <x:v>5</x:v>
      </x:c>
      <x:c r="N334" s="25" t="str">
        <x:v>否</x:v>
      </x:c>
      <x:c r="O334" s="25" t="n">
        <x:v>0</x:v>
      </x:c>
      <x:c r="P334" s="25" t="n">
        <x:v>0</x:v>
      </x:c>
      <x:c r="Q334" s="25" t="n">
        <x:v>0</x:v>
      </x:c>
      <x:c r="R334" s="25" t="str">
        <x:v>洗练绑定装备；项链幸运绑定人物永久进度；武器幸运成本忽略</x:v>
      </x:c>
    </x:row>
    <x:row r="335">
      <x:c r="A335" s="25" t="str">
        <x:v>C04-G</x:v>
      </x:c>
      <x:c r="B335" s="25" t="str">
        <x:v>利耶尼亚海域</x:v>
      </x:c>
      <x:c r="C335" s="25" t="str">
        <x:v>半急速毕业</x:v>
      </x:c>
      <x:c r="D335" s="25" t="n">
        <x:v>11</x:v>
      </x:c>
      <x:c r="E335" s="25" t="n">
        <x:v>94</x:v>
      </x:c>
      <x:c r="F335" s="25" t="str">
        <x:v>逐风征靴</x:v>
      </x:c>
      <x:c r="G335" s="25" t="str">
        <x:v>鞋子</x:v>
      </x:c>
      <x:c r="H335" s="25" t="n">
        <x:v>3</x:v>
      </x:c>
      <x:c r="I335" s="25" t="str">
        <x:v>装备合成</x:v>
      </x:c>
      <x:c r="J335" s="25" t="str">
        <x:v>S07</x:v>
      </x:c>
      <x:c r="K335" s="25" t="str">
        <x:v>100-200</x:v>
      </x:c>
      <x:c r="L335" s="25" t="n">
        <x:v>150000</x:v>
      </x:c>
      <x:c r="M335" s="25" t="n">
        <x:v>3</x:v>
      </x:c>
      <x:c r="N335" s="25" t="str">
        <x:v>否</x:v>
      </x:c>
      <x:c r="O335" s="25" t="n">
        <x:v>0</x:v>
      </x:c>
      <x:c r="P335" s="25" t="n">
        <x:v>0</x:v>
      </x:c>
      <x:c r="Q335" s="25" t="n">
        <x:v>0</x:v>
      </x:c>
      <x:c r="R335" s="25" t="str">
        <x:v>洗练绑定装备；项链幸运绑定人物永久进度；武器幸运成本忽略</x:v>
      </x:c>
    </x:row>
    <x:row r="336">
      <x:c r="A336" s="25" t="str">
        <x:v>C04-G</x:v>
      </x:c>
      <x:c r="B336" s="25" t="str">
        <x:v>利耶尼亚海域</x:v>
      </x:c>
      <x:c r="C336" s="25" t="str">
        <x:v>半急速毕业</x:v>
      </x:c>
      <x:c r="D336" s="25" t="n">
        <x:v>13</x:v>
      </x:c>
      <x:c r="E336" s="25" t="n">
        <x:v>105</x:v>
      </x:c>
      <x:c r="F336" s="25" t="str">
        <x:v>白鳍浪客笠</x:v>
      </x:c>
      <x:c r="G336" s="25" t="str">
        <x:v>斗笠</x:v>
      </x:c>
      <x:c r="H336" s="25" t="n">
        <x:v>4</x:v>
      </x:c>
      <x:c r="I336" s="25" t="str">
        <x:v>稀有</x:v>
      </x:c>
      <x:c r="J336" s="25" t="str">
        <x:v>S07</x:v>
      </x:c>
      <x:c r="K336" s="25" t="str">
        <x:v>73-140</x:v>
      </x:c>
      <x:c r="L336" s="25" t="n">
        <x:v>88000</x:v>
      </x:c>
      <x:c r="M336" s="25" t="n">
        <x:v>0</x:v>
      </x:c>
      <x:c r="N336" s="25" t="str">
        <x:v>否</x:v>
      </x:c>
      <x:c r="O336" s="25" t="n">
        <x:v>0</x:v>
      </x:c>
      <x:c r="P336" s="25" t="n">
        <x:v>0</x:v>
      </x:c>
      <x:c r="Q336" s="25" t="n">
        <x:v>0</x:v>
      </x:c>
      <x:c r="R336" s="25" t="str">
        <x:v>洗练绑定装备；项链幸运绑定人物永久进度；武器幸运成本忽略</x:v>
      </x:c>
    </x:row>
    <x:row r="337">
      <x:c r="A337" s="25" t="str">
        <x:v>C04-G</x:v>
      </x:c>
      <x:c r="B337" s="25" t="str">
        <x:v>利耶尼亚海域</x:v>
      </x:c>
      <x:c r="C337" s="25" t="str">
        <x:v>半急速毕业</x:v>
      </x:c>
      <x:c r="D337" s="25" t="n">
        <x:v>16</x:v>
      </x:c>
      <x:c r="E337" s="25" t="n">
        <x:v>89</x:v>
      </x:c>
      <x:c r="F337" s="25" t="str">
        <x:v>边境塔盾</x:v>
      </x:c>
      <x:c r="G337" s="25" t="str">
        <x:v>盾牌</x:v>
      </x:c>
      <x:c r="H337" s="25" t="n">
        <x:v>3</x:v>
      </x:c>
      <x:c r="I337" s="25" t="str">
        <x:v>稀有</x:v>
      </x:c>
      <x:c r="J337" s="25" t="str">
        <x:v>S07</x:v>
      </x:c>
      <x:c r="K337" s="25" t="str">
        <x:v>68-130</x:v>
      </x:c>
      <x:c r="L337" s="25" t="n">
        <x:v>250000</x:v>
      </x:c>
      <x:c r="M337" s="25" t="n">
        <x:v>0</x:v>
      </x:c>
      <x:c r="N337" s="25" t="str">
        <x:v>否</x:v>
      </x:c>
      <x:c r="O337" s="25" t="n">
        <x:v>0</x:v>
      </x:c>
      <x:c r="P337" s="25" t="n">
        <x:v>0</x:v>
      </x:c>
      <x:c r="Q337" s="25" t="n">
        <x:v>0</x:v>
      </x:c>
      <x:c r="R337" s="25" t="str">
        <x:v>洗练绑定装备；项链幸运绑定人物永久进度；武器幸运成本忽略</x:v>
      </x:c>
    </x:row>
    <x:row r="338">
      <x:c r="A338" s="25" t="str">
        <x:v>C04-G</x:v>
      </x:c>
      <x:c r="B338" s="25" t="str">
        <x:v>利耶尼亚海域</x:v>
      </x:c>
      <x:c r="C338" s="25" t="str">
        <x:v>半急速毕业</x:v>
      </x:c>
      <x:c r="D338" s="25" t="n">
        <x:v>18</x:v>
      </x:c>
      <x:c r="E338" s="25" t="n">
        <x:v>26</x:v>
      </x:c>
      <x:c r="F338" s="25" t="str">
        <x:v>无冠王衣</x:v>
      </x:c>
      <x:c r="G338" s="25" t="str">
        <x:v>时装衣服</x:v>
      </x:c>
      <x:c r="H338" s="25" t="n">
        <x:v>1</x:v>
      </x:c>
      <x:c r="I338" s="25" t="str">
        <x:v>守关BOSS</x:v>
      </x:c>
      <x:c r="J338" s="25" t="str">
        <x:v>S02</x:v>
      </x:c>
      <x:c r="K338" s="25" t="str">
        <x:v>28-53</x:v>
      </x:c>
      <x:c r="L338" s="25" t="n">
        <x:v>74300</x:v>
      </x:c>
      <x:c r="M338" s="25" t="n">
        <x:v>0</x:v>
      </x:c>
      <x:c r="N338" s="25" t="str">
        <x:v>否</x:v>
      </x:c>
      <x:c r="O338" s="25" t="n">
        <x:v>0</x:v>
      </x:c>
      <x:c r="P338" s="25" t="n">
        <x:v>0</x:v>
      </x:c>
      <x:c r="Q338" s="25" t="n">
        <x:v>0</x:v>
      </x:c>
      <x:c r="R338" s="25" t="str">
        <x:v>洗练绑定装备；项链幸运绑定人物永久进度；武器幸运成本忽略</x:v>
      </x:c>
    </x:row>
    <x:row r="339">
      <x:c r="A339" s="25" t="str">
        <x:v>C04-G</x:v>
      </x:c>
      <x:c r="B339" s="25" t="str">
        <x:v>利耶尼亚海域</x:v>
      </x:c>
      <x:c r="C339" s="25" t="str">
        <x:v>半急速毕业</x:v>
      </x:c>
      <x:c r="D339" s="25" t="n">
        <x:v>19</x:v>
      </x:c>
      <x:c r="E339" s="25" t="n">
        <x:v>64</x:v>
      </x:c>
      <x:c r="F339" s="25" t="str">
        <x:v>百夫熔戟</x:v>
      </x:c>
      <x:c r="G339" s="25" t="str">
        <x:v>时装武器</x:v>
      </x:c>
      <x:c r="H339" s="25" t="n">
        <x:v>2</x:v>
      </x:c>
      <x:c r="I339" s="25" t="str">
        <x:v>稀有</x:v>
      </x:c>
      <x:c r="J339" s="25" t="str">
        <x:v>S02</x:v>
      </x:c>
      <x:c r="K339" s="25" t="str">
        <x:v>150-288</x:v>
      </x:c>
      <x:c r="L339" s="25" t="n">
        <x:v>45400</x:v>
      </x:c>
      <x:c r="M339" s="25" t="n">
        <x:v>0</x:v>
      </x:c>
      <x:c r="N339" s="25" t="str">
        <x:v>否</x:v>
      </x:c>
      <x:c r="O339" s="25" t="n">
        <x:v>0</x:v>
      </x:c>
      <x:c r="P339" s="25" t="n">
        <x:v>0</x:v>
      </x:c>
      <x:c r="Q339" s="25" t="n">
        <x:v>0</x:v>
      </x:c>
      <x:c r="R339" s="25" t="str">
        <x:v>洗练绑定装备；项链幸运绑定人物永久进度；武器幸运成本忽略</x:v>
      </x:c>
    </x:row>
    <x:row r="340">
      <x:c r="A340" s="25" t="str">
        <x:v>C04-G</x:v>
      </x:c>
      <x:c r="B340" s="25" t="str">
        <x:v>利耶尼亚海域</x:v>
      </x:c>
      <x:c r="C340" s="25" t="str">
        <x:v>半急速毕业</x:v>
      </x:c>
      <x:c r="D340" s="25" t="n">
        <x:v>20</x:v>
      </x:c>
      <x:c r="E340" s="25" t="n">
        <x:v>40</x:v>
      </x:c>
      <x:c r="F340" s="25" t="str">
        <x:v>英雄余誓</x:v>
      </x:c>
      <x:c r="G340" s="25" t="str">
        <x:v>时装项链</x:v>
      </x:c>
      <x:c r="H340" s="25" t="n">
        <x:v>2</x:v>
      </x:c>
      <x:c r="I340" s="25" t="str">
        <x:v>稀有</x:v>
      </x:c>
      <x:c r="J340" s="25" t="str">
        <x:v>S02</x:v>
      </x:c>
      <x:c r="K340" s="25" t="str">
        <x:v>31-60</x:v>
      </x:c>
      <x:c r="L340" s="25" t="n">
        <x:v>17900</x:v>
      </x:c>
      <x:c r="M340" s="25" t="n">
        <x:v>0</x:v>
      </x:c>
      <x:c r="N340" s="25" t="str">
        <x:v>否</x:v>
      </x:c>
      <x:c r="O340" s="25" t="n">
        <x:v>0</x:v>
      </x:c>
      <x:c r="P340" s="25" t="n">
        <x:v>0</x:v>
      </x:c>
      <x:c r="Q340" s="25" t="n">
        <x:v>0</x:v>
      </x:c>
      <x:c r="R340" s="25" t="str">
        <x:v>洗练绑定装备；项链幸运绑定人物永久进度；武器幸运成本忽略</x:v>
      </x:c>
    </x:row>
    <x:row r="341">
      <x:c r="A341" s="25" t="str">
        <x:v>C04-G</x:v>
      </x:c>
      <x:c r="B341" s="25" t="str">
        <x:v>利耶尼亚海域</x:v>
      </x:c>
      <x:c r="C341" s="25" t="str">
        <x:v>半急速毕业</x:v>
      </x:c>
      <x:c r="D341" s="25" t="n">
        <x:v>21</x:v>
      </x:c>
      <x:c r="E341" s="25" t="n">
        <x:v>41</x:v>
      </x:c>
      <x:c r="F341" s="25" t="str">
        <x:v>初火兜鍪</x:v>
      </x:c>
      <x:c r="G341" s="25" t="str">
        <x:v>时装头盔</x:v>
      </x:c>
      <x:c r="H341" s="25" t="n">
        <x:v>2</x:v>
      </x:c>
      <x:c r="I341" s="25" t="str">
        <x:v>稀有</x:v>
      </x:c>
      <x:c r="J341" s="25" t="str">
        <x:v>S02</x:v>
      </x:c>
      <x:c r="K341" s="25" t="str">
        <x:v>22-42</x:v>
      </x:c>
      <x:c r="L341" s="25" t="n">
        <x:v>30900</x:v>
      </x:c>
      <x:c r="M341" s="25" t="n">
        <x:v>0</x:v>
      </x:c>
      <x:c r="N341" s="25" t="str">
        <x:v>否</x:v>
      </x:c>
      <x:c r="O341" s="25" t="n">
        <x:v>0</x:v>
      </x:c>
      <x:c r="P341" s="25" t="n">
        <x:v>0</x:v>
      </x:c>
      <x:c r="Q341" s="25" t="n">
        <x:v>0</x:v>
      </x:c>
      <x:c r="R341" s="25" t="str">
        <x:v>洗练绑定装备；项链幸运绑定人物永久进度；武器幸运成本忽略</x:v>
      </x:c>
    </x:row>
    <x:row r="342">
      <x:c r="A342" s="25" t="str">
        <x:v>C04-G</x:v>
      </x:c>
      <x:c r="B342" s="25" t="str">
        <x:v>利耶尼亚海域</x:v>
      </x:c>
      <x:c r="C342" s="25" t="str">
        <x:v>半急速毕业</x:v>
      </x:c>
      <x:c r="D342" s="25" t="n">
        <x:v>22</x:v>
      </x:c>
      <x:c r="E342" s="25" t="n">
        <x:v>42</x:v>
      </x:c>
      <x:c r="F342" s="25" t="str">
        <x:v>卢恩血镯</x:v>
      </x:c>
      <x:c r="G342" s="25" t="str">
        <x:v>时装手镯</x:v>
      </x:c>
      <x:c r="H342" s="25" t="n">
        <x:v>2</x:v>
      </x:c>
      <x:c r="I342" s="25" t="str">
        <x:v>稀有</x:v>
      </x:c>
      <x:c r="J342" s="25" t="str">
        <x:v>S02</x:v>
      </x:c>
      <x:c r="K342" s="25" t="str">
        <x:v>42-80</x:v>
      </x:c>
      <x:c r="L342" s="25" t="n">
        <x:v>34400</x:v>
      </x:c>
      <x:c r="M342" s="25" t="n">
        <x:v>0</x:v>
      </x:c>
      <x:c r="N342" s="25" t="str">
        <x:v>否</x:v>
      </x:c>
      <x:c r="O342" s="25" t="n">
        <x:v>0</x:v>
      </x:c>
      <x:c r="P342" s="25" t="n">
        <x:v>0</x:v>
      </x:c>
      <x:c r="Q342" s="25" t="n">
        <x:v>0</x:v>
      </x:c>
      <x:c r="R342" s="25" t="str">
        <x:v>洗练绑定装备；项链幸运绑定人物永久进度；武器幸运成本忽略</x:v>
      </x:c>
    </x:row>
    <x:row r="343">
      <x:c r="A343" s="25" t="str">
        <x:v>C04-G</x:v>
      </x:c>
      <x:c r="B343" s="25" t="str">
        <x:v>利耶尼亚海域</x:v>
      </x:c>
      <x:c r="C343" s="25" t="str">
        <x:v>半急速毕业</x:v>
      </x:c>
      <x:c r="D343" s="25" t="n">
        <x:v>24</x:v>
      </x:c>
      <x:c r="E343" s="25" t="n">
        <x:v>43</x:v>
      </x:c>
      <x:c r="F343" s="25" t="str">
        <x:v>黄金树戒</x:v>
      </x:c>
      <x:c r="G343" s="25" t="str">
        <x:v>时装戒指</x:v>
      </x:c>
      <x:c r="H343" s="25" t="n">
        <x:v>2</x:v>
      </x:c>
      <x:c r="I343" s="25" t="str">
        <x:v>稀有</x:v>
      </x:c>
      <x:c r="J343" s="25" t="str">
        <x:v>S02</x:v>
      </x:c>
      <x:c r="K343" s="25" t="str">
        <x:v>42-80</x:v>
      </x:c>
      <x:c r="L343" s="25" t="n">
        <x:v>34400</x:v>
      </x:c>
      <x:c r="M343" s="25" t="n">
        <x:v>0</x:v>
      </x:c>
      <x:c r="N343" s="25" t="str">
        <x:v>否</x:v>
      </x:c>
      <x:c r="O343" s="25" t="n">
        <x:v>0</x:v>
      </x:c>
      <x:c r="P343" s="25" t="n">
        <x:v>0</x:v>
      </x:c>
      <x:c r="Q343" s="25" t="n">
        <x:v>0</x:v>
      </x:c>
      <x:c r="R343" s="25" t="str">
        <x:v>洗练绑定装备；项链幸运绑定人物永久进度；武器幸运成本忽略</x:v>
      </x:c>
    </x:row>
    <x:row r="344">
      <x:c r="A344" s="25" t="str">
        <x:v>C04-G</x:v>
      </x:c>
      <x:c r="B344" s="25" t="str">
        <x:v>利耶尼亚海域</x:v>
      </x:c>
      <x:c r="C344" s="25" t="str">
        <x:v>半急速毕业</x:v>
      </x:c>
      <x:c r="D344" s="25" t="n">
        <x:v>40</x:v>
      </x:c>
      <x:c r="E344" s="25" t="n">
        <x:v>44</x:v>
      </x:c>
      <x:c r="F344" s="25" t="str">
        <x:v>腐树子鼠</x:v>
      </x:c>
      <x:c r="G344" s="25" t="str">
        <x:v>生肖1</x:v>
      </x:c>
      <x:c r="H344" s="25" t="n">
        <x:v>2</x:v>
      </x:c>
      <x:c r="I344" s="25" t="str">
        <x:v>BOSS</x:v>
      </x:c>
      <x:c r="J344" s="25" t="str">
        <x:v>S02</x:v>
      </x:c>
      <x:c r="K344" s="25" t="str">
        <x:v>29-56</x:v>
      </x:c>
      <x:c r="L344" s="25" t="n">
        <x:v>23600</x:v>
      </x:c>
      <x:c r="M344" s="25" t="n">
        <x:v>0</x:v>
      </x:c>
      <x:c r="N344" s="25" t="str">
        <x:v>否</x:v>
      </x:c>
      <x:c r="O344" s="25" t="n">
        <x:v>0</x:v>
      </x:c>
      <x:c r="P344" s="25" t="n">
        <x:v>0</x:v>
      </x:c>
      <x:c r="Q344" s="25" t="n">
        <x:v>0</x:v>
      </x:c>
      <x:c r="R344" s="25" t="str">
        <x:v>洗练绑定装备；项链幸运绑定人物永久进度；武器幸运成本忽略</x:v>
      </x:c>
    </x:row>
    <x:row r="345">
      <x:c r="A345" s="25" t="str">
        <x:v>C04-G</x:v>
      </x:c>
      <x:c r="B345" s="25" t="str">
        <x:v>利耶尼亚海域</x:v>
      </x:c>
      <x:c r="C345" s="25" t="str">
        <x:v>半急速毕业</x:v>
      </x:c>
      <x:c r="D345" s="25" t="n">
        <x:v>41</x:v>
      </x:c>
      <x:c r="E345" s="25" t="n">
        <x:v>69</x:v>
      </x:c>
      <x:c r="F345" s="25" t="str">
        <x:v>丑牛·风暴负山</x:v>
      </x:c>
      <x:c r="G345" s="25" t="str">
        <x:v>生肖2</x:v>
      </x:c>
      <x:c r="H345" s="25" t="n">
        <x:v>2</x:v>
      </x:c>
      <x:c r="I345" s="25" t="str">
        <x:v>生肖合成</x:v>
      </x:c>
      <x:c r="J345" s="25" t="str">
        <x:v>S07</x:v>
      </x:c>
      <x:c r="K345" s="25" t="str">
        <x:v>25-49</x:v>
      </x:c>
      <x:c r="L345" s="25" t="n">
        <x:v>64000</x:v>
      </x:c>
      <x:c r="M345" s="25" t="n">
        <x:v>0</x:v>
      </x:c>
      <x:c r="N345" s="25" t="str">
        <x:v>否</x:v>
      </x:c>
      <x:c r="O345" s="25" t="n">
        <x:v>0</x:v>
      </x:c>
      <x:c r="P345" s="25" t="n">
        <x:v>0</x:v>
      </x:c>
      <x:c r="Q345" s="25" t="n">
        <x:v>0</x:v>
      </x:c>
      <x:c r="R345" s="25" t="str">
        <x:v>洗练绑定装备；项链幸运绑定人物永久进度；武器幸运成本忽略</x:v>
      </x:c>
    </x:row>
    <x:row r="346">
      <x:c r="A346" s="25" t="str">
        <x:v>C04-G</x:v>
      </x:c>
      <x:c r="B346" s="25" t="str">
        <x:v>利耶尼亚海域</x:v>
      </x:c>
      <x:c r="C346" s="25" t="str">
        <x:v>半急速毕业</x:v>
      </x:c>
      <x:c r="D346" s="25" t="n">
        <x:v>42</x:v>
      </x:c>
      <x:c r="E346" s="25" t="n">
        <x:v>66</x:v>
      </x:c>
      <x:c r="F346" s="25" t="str">
        <x:v>长戟寅虎</x:v>
      </x:c>
      <x:c r="G346" s="25" t="str">
        <x:v>生肖3</x:v>
      </x:c>
      <x:c r="H346" s="25" t="n">
        <x:v>2</x:v>
      </x:c>
      <x:c r="I346" s="25" t="str">
        <x:v>BOSS</x:v>
      </x:c>
      <x:c r="J346" s="25" t="str">
        <x:v>S02</x:v>
      </x:c>
      <x:c r="K346" s="25" t="str">
        <x:v>34-65</x:v>
      </x:c>
      <x:c r="L346" s="25" t="n">
        <x:v>32600</x:v>
      </x:c>
      <x:c r="M346" s="25" t="n">
        <x:v>0</x:v>
      </x:c>
      <x:c r="N346" s="25" t="str">
        <x:v>否</x:v>
      </x:c>
      <x:c r="O346" s="25" t="n">
        <x:v>0</x:v>
      </x:c>
      <x:c r="P346" s="25" t="n">
        <x:v>0</x:v>
      </x:c>
      <x:c r="Q346" s="25" t="n">
        <x:v>0</x:v>
      </x:c>
      <x:c r="R346" s="25" t="str">
        <x:v>洗练绑定装备；项链幸运绑定人物永久进度；武器幸运成本忽略</x:v>
      </x:c>
    </x:row>
    <x:row r="347">
      <x:c r="A347" s="25" t="str">
        <x:v>C04-G</x:v>
      </x:c>
      <x:c r="B347" s="25" t="str">
        <x:v>利耶尼亚海域</x:v>
      </x:c>
      <x:c r="C347" s="25" t="str">
        <x:v>半急速毕业</x:v>
      </x:c>
      <x:c r="D347" s="25" t="n">
        <x:v>43</x:v>
      </x:c>
      <x:c r="E347" s="25" t="n">
        <x:v>79</x:v>
      </x:c>
      <x:c r="F347" s="25" t="str">
        <x:v>无月卯兔</x:v>
      </x:c>
      <x:c r="G347" s="25" t="str">
        <x:v>生肖4</x:v>
      </x:c>
      <x:c r="H347" s="25" t="n">
        <x:v>2</x:v>
      </x:c>
      <x:c r="I347" s="25" t="str">
        <x:v>BOSS</x:v>
      </x:c>
      <x:c r="J347" s="25" t="str">
        <x:v>S02</x:v>
      </x:c>
      <x:c r="K347" s="25" t="str">
        <x:v>34-65</x:v>
      </x:c>
      <x:c r="L347" s="25" t="n">
        <x:v>32600</x:v>
      </x:c>
      <x:c r="M347" s="25" t="n">
        <x:v>0</x:v>
      </x:c>
      <x:c r="N347" s="25" t="str">
        <x:v>否</x:v>
      </x:c>
      <x:c r="O347" s="25" t="n">
        <x:v>0</x:v>
      </x:c>
      <x:c r="P347" s="25" t="n">
        <x:v>0</x:v>
      </x:c>
      <x:c r="Q347" s="25" t="n">
        <x:v>0</x:v>
      </x:c>
      <x:c r="R347" s="25" t="str">
        <x:v>洗练绑定装备；项链幸运绑定人物永久进度；武器幸运成本忽略</x:v>
      </x:c>
    </x:row>
    <x:row r="348">
      <x:c r="A348" s="25" t="str">
        <x:v>C04-G</x:v>
      </x:c>
      <x:c r="B348" s="25" t="str">
        <x:v>利耶尼亚海域</x:v>
      </x:c>
      <x:c r="C348" s="25" t="str">
        <x:v>半急速毕业</x:v>
      </x:c>
      <x:c r="D348" s="25" t="n">
        <x:v>44</x:v>
      </x:c>
      <x:c r="E348" s="25" t="n">
        <x:v>91</x:v>
      </x:c>
      <x:c r="F348" s="25" t="str">
        <x:v>辰龙·荒原逐风</x:v>
      </x:c>
      <x:c r="G348" s="25" t="str">
        <x:v>生肖5</x:v>
      </x:c>
      <x:c r="H348" s="25" t="n">
        <x:v>3</x:v>
      </x:c>
      <x:c r="I348" s="25" t="str">
        <x:v>生肖合成</x:v>
      </x:c>
      <x:c r="J348" s="25" t="str">
        <x:v>S07</x:v>
      </x:c>
      <x:c r="K348" s="25" t="str">
        <x:v>47-90</x:v>
      </x:c>
      <x:c r="L348" s="25" t="n">
        <x:v>120000</x:v>
      </x:c>
      <x:c r="M348" s="25" t="n">
        <x:v>0</x:v>
      </x:c>
      <x:c r="N348" s="25" t="str">
        <x:v>否</x:v>
      </x:c>
      <x:c r="O348" s="25" t="n">
        <x:v>0</x:v>
      </x:c>
      <x:c r="P348" s="25" t="n">
        <x:v>0</x:v>
      </x:c>
      <x:c r="Q348" s="25" t="n">
        <x:v>0</x:v>
      </x:c>
      <x:c r="R348" s="25" t="str">
        <x:v>洗练绑定装备；项链幸运绑定人物永久进度；武器幸运成本忽略</x:v>
      </x:c>
    </x:row>
    <x:row r="349">
      <x:c r="A349" s="25" t="str">
        <x:v>C04-G</x:v>
      </x:c>
      <x:c r="B349" s="25" t="str">
        <x:v>利耶尼亚海域</x:v>
      </x:c>
      <x:c r="C349" s="25" t="str">
        <x:v>半急速毕业</x:v>
      </x:c>
      <x:c r="D349" s="25" t="n">
        <x:v>45</x:v>
      </x:c>
      <x:c r="E349" s="25" t="n">
        <x:v>107</x:v>
      </x:c>
      <x:c r="F349" s="25" t="str">
        <x:v>巳蛇·沉潮缚月</x:v>
      </x:c>
      <x:c r="G349" s="25" t="str">
        <x:v>生肖6</x:v>
      </x:c>
      <x:c r="H349" s="25" t="n">
        <x:v>4</x:v>
      </x:c>
      <x:c r="I349" s="25" t="str">
        <x:v>生肖合成</x:v>
      </x:c>
      <x:c r="J349" s="25" t="str">
        <x:v>S07</x:v>
      </x:c>
      <x:c r="K349" s="25" t="str">
        <x:v>83-160</x:v>
      </x:c>
      <x:c r="L349" s="25" t="n">
        <x:v>200000</x:v>
      </x:c>
      <x:c r="M349" s="25" t="n">
        <x:v>0</x:v>
      </x:c>
      <x:c r="N349" s="25" t="str">
        <x:v>否</x:v>
      </x:c>
      <x:c r="O349" s="25" t="n">
        <x:v>0</x:v>
      </x:c>
      <x:c r="P349" s="25" t="n">
        <x:v>0</x:v>
      </x:c>
      <x:c r="Q349" s="25" t="n">
        <x:v>0</x:v>
      </x:c>
      <x:c r="R349" s="25" t="str">
        <x:v>洗练绑定装备；项链幸运绑定人物永久进度；武器幸运成本忽略</x:v>
      </x:c>
    </x:row>
    <x:row r="350">
      <x:c r="A350" s="25" t="str">
        <x:v>C04-G</x:v>
      </x:c>
      <x:c r="B350" s="25" t="str">
        <x:v>利耶尼亚海域</x:v>
      </x:c>
      <x:c r="C350" s="25" t="str">
        <x:v>半急速毕业</x:v>
      </x:c>
      <x:c r="D350" s="25" t="n">
        <x:v>46</x:v>
      </x:c>
      <x:c r="E350" s="25" t="n">
        <x:v>80</x:v>
      </x:c>
      <x:c r="F350" s="25" t="str">
        <x:v>死水午马</x:v>
      </x:c>
      <x:c r="G350" s="25" t="str">
        <x:v>生肖7</x:v>
      </x:c>
      <x:c r="H350" s="25" t="n">
        <x:v>2</x:v>
      </x:c>
      <x:c r="I350" s="25" t="str">
        <x:v>BOSS</x:v>
      </x:c>
      <x:c r="J350" s="25" t="str">
        <x:v>S02</x:v>
      </x:c>
      <x:c r="K350" s="25" t="str">
        <x:v>38-74</x:v>
      </x:c>
      <x:c r="L350" s="25" t="n">
        <x:v>45300</x:v>
      </x:c>
      <x:c r="M350" s="25" t="n">
        <x:v>0</x:v>
      </x:c>
      <x:c r="N350" s="25" t="str">
        <x:v>否</x:v>
      </x:c>
      <x:c r="O350" s="25" t="n">
        <x:v>0</x:v>
      </x:c>
      <x:c r="P350" s="25" t="n">
        <x:v>0</x:v>
      </x:c>
      <x:c r="Q350" s="25" t="n">
        <x:v>0</x:v>
      </x:c>
      <x:c r="R350" s="25" t="str">
        <x:v>洗练绑定装备；项链幸运绑定人物永久进度；武器幸运成本忽略</x:v>
      </x:c>
    </x:row>
    <x:row r="351">
      <x:c r="A351" s="25" t="str">
        <x:v>C04-G</x:v>
      </x:c>
      <x:c r="B351" s="25" t="str">
        <x:v>利耶尼亚海域</x:v>
      </x:c>
      <x:c r="C351" s="25" t="str">
        <x:v>半急速毕业</x:v>
      </x:c>
      <x:c r="D351" s="25" t="n">
        <x:v>47</x:v>
      </x:c>
      <x:c r="E351" s="25" t="n">
        <x:v>67</x:v>
      </x:c>
      <x:c r="F351" s="25" t="str">
        <x:v>葬日未羊</x:v>
      </x:c>
      <x:c r="G351" s="25" t="str">
        <x:v>生肖8</x:v>
      </x:c>
      <x:c r="H351" s="25" t="n">
        <x:v>2</x:v>
      </x:c>
      <x:c r="I351" s="25" t="str">
        <x:v>稀有</x:v>
      </x:c>
      <x:c r="J351" s="25" t="str">
        <x:v>S02</x:v>
      </x:c>
      <x:c r="K351" s="25" t="str">
        <x:v>37-72</x:v>
      </x:c>
      <x:c r="L351" s="25" t="n">
        <x:v>51600</x:v>
      </x:c>
      <x:c r="M351" s="25" t="n">
        <x:v>0</x:v>
      </x:c>
      <x:c r="N351" s="25" t="str">
        <x:v>否</x:v>
      </x:c>
      <x:c r="O351" s="25" t="n">
        <x:v>0</x:v>
      </x:c>
      <x:c r="P351" s="25" t="n">
        <x:v>0</x:v>
      </x:c>
      <x:c r="Q351" s="25" t="n">
        <x:v>0</x:v>
      </x:c>
      <x:c r="R351" s="25" t="str">
        <x:v>洗练绑定装备；项链幸运绑定人物永久进度；武器幸运成本忽略</x:v>
      </x:c>
    </x:row>
    <x:row r="352">
      <x:c r="A352" s="25" t="str">
        <x:v>C04-G</x:v>
      </x:c>
      <x:c r="B352" s="25" t="str">
        <x:v>利耶尼亚海域</x:v>
      </x:c>
      <x:c r="C352" s="25" t="str">
        <x:v>半急速毕业</x:v>
      </x:c>
      <x:c r="D352" s="25" t="n">
        <x:v>48</x:v>
      </x:c>
      <x:c r="E352" s="25" t="n">
        <x:v>81</x:v>
      </x:c>
      <x:c r="F352" s="25" t="str">
        <x:v>雷冠申猴</x:v>
      </x:c>
      <x:c r="G352" s="25" t="str">
        <x:v>生肖9</x:v>
      </x:c>
      <x:c r="H352" s="25" t="n">
        <x:v>2</x:v>
      </x:c>
      <x:c r="I352" s="25" t="str">
        <x:v>BOSS</x:v>
      </x:c>
      <x:c r="J352" s="25" t="str">
        <x:v>S02</x:v>
      </x:c>
      <x:c r="K352" s="25" t="str">
        <x:v>44-84</x:v>
      </x:c>
      <x:c r="L352" s="25" t="n">
        <x:v>59800</x:v>
      </x:c>
      <x:c r="M352" s="25" t="n">
        <x:v>0</x:v>
      </x:c>
      <x:c r="N352" s="25" t="str">
        <x:v>否</x:v>
      </x:c>
      <x:c r="O352" s="25" t="n">
        <x:v>0</x:v>
      </x:c>
      <x:c r="P352" s="25" t="n">
        <x:v>0</x:v>
      </x:c>
      <x:c r="Q352" s="25" t="n">
        <x:v>0</x:v>
      </x:c>
      <x:c r="R352" s="25" t="str">
        <x:v>洗练绑定装备；项链幸运绑定人物永久进度；武器幸运成本忽略</x:v>
      </x:c>
    </x:row>
    <x:row r="353">
      <x:c r="A353" s="25" t="str">
        <x:v>C04-G</x:v>
      </x:c>
      <x:c r="B353" s="25" t="str">
        <x:v>利耶尼亚海域</x:v>
      </x:c>
      <x:c r="C353" s="25" t="str">
        <x:v>半急速毕业</x:v>
      </x:c>
      <x:c r="D353" s="25" t="n">
        <x:v>49</x:v>
      </x:c>
      <x:c r="E353" s="25" t="n">
        <x:v>82</x:v>
      </x:c>
      <x:c r="F353" s="25" t="str">
        <x:v>恶兆酉鸡</x:v>
      </x:c>
      <x:c r="G353" s="25" t="str">
        <x:v>生肖10</x:v>
      </x:c>
      <x:c r="H353" s="25" t="n">
        <x:v>2</x:v>
      </x:c>
      <x:c r="I353" s="25" t="str">
        <x:v>BOSS</x:v>
      </x:c>
      <x:c r="J353" s="25" t="str">
        <x:v>S02</x:v>
      </x:c>
      <x:c r="K353" s="25" t="str">
        <x:v>44-84</x:v>
      </x:c>
      <x:c r="L353" s="25" t="n">
        <x:v>59800</x:v>
      </x:c>
      <x:c r="M353" s="25" t="n">
        <x:v>0</x:v>
      </x:c>
      <x:c r="N353" s="25" t="str">
        <x:v>否</x:v>
      </x:c>
      <x:c r="O353" s="25" t="n">
        <x:v>0</x:v>
      </x:c>
      <x:c r="P353" s="25" t="n">
        <x:v>0</x:v>
      </x:c>
      <x:c r="Q353" s="25" t="n">
        <x:v>0</x:v>
      </x:c>
      <x:c r="R353" s="25" t="str">
        <x:v>洗练绑定装备；项链幸运绑定人物永久进度；武器幸运成本忽略</x:v>
      </x:c>
    </x:row>
    <x:row r="354">
      <x:c r="A354" s="25" t="str">
        <x:v>C04-G</x:v>
      </x:c>
      <x:c r="B354" s="25" t="str">
        <x:v>利耶尼亚海域</x:v>
      </x:c>
      <x:c r="C354" s="25" t="str">
        <x:v>半急速毕业</x:v>
      </x:c>
      <x:c r="D354" s="25" t="n">
        <x:v>50</x:v>
      </x:c>
      <x:c r="E354" s="25" t="n">
        <x:v>83</x:v>
      </x:c>
      <x:c r="F354" s="25" t="str">
        <x:v>失乡戌狗</x:v>
      </x:c>
      <x:c r="G354" s="25" t="str">
        <x:v>生肖11</x:v>
      </x:c>
      <x:c r="H354" s="25" t="n">
        <x:v>2</x:v>
      </x:c>
      <x:c r="I354" s="25" t="str">
        <x:v>BOSS</x:v>
      </x:c>
      <x:c r="J354" s="25" t="str">
        <x:v>S02</x:v>
      </x:c>
      <x:c r="K354" s="25" t="str">
        <x:v>48-93</x:v>
      </x:c>
      <x:c r="L354" s="25" t="n">
        <x:v>79800</x:v>
      </x:c>
      <x:c r="M354" s="25" t="n">
        <x:v>0</x:v>
      </x:c>
      <x:c r="N354" s="25" t="str">
        <x:v>否</x:v>
      </x:c>
      <x:c r="O354" s="25" t="n">
        <x:v>0</x:v>
      </x:c>
      <x:c r="P354" s="25" t="n">
        <x:v>0</x:v>
      </x:c>
      <x:c r="Q354" s="25" t="n">
        <x:v>0</x:v>
      </x:c>
      <x:c r="R354" s="25" t="str">
        <x:v>洗练绑定装备；项链幸运绑定人物永久进度；武器幸运成本忽略</x:v>
      </x:c>
    </x:row>
    <x:row r="355">
      <x:c r="A355" s="25" t="str">
        <x:v>C04-G</x:v>
      </x:c>
      <x:c r="B355" s="25" t="str">
        <x:v>利耶尼亚海域</x:v>
      </x:c>
      <x:c r="C355" s="25" t="str">
        <x:v>半急速毕业</x:v>
      </x:c>
      <x:c r="D355" s="25" t="n">
        <x:v>51</x:v>
      </x:c>
      <x:c r="E355" s="25" t="n">
        <x:v>84</x:v>
      </x:c>
      <x:c r="F355" s="25" t="str">
        <x:v>接肢亥猪</x:v>
      </x:c>
      <x:c r="G355" s="25" t="str">
        <x:v>生肖12</x:v>
      </x:c>
      <x:c r="H355" s="25" t="n">
        <x:v>2</x:v>
      </x:c>
      <x:c r="I355" s="25" t="str">
        <x:v>守关BOSS</x:v>
      </x:c>
      <x:c r="J355" s="25" t="str">
        <x:v>S02</x:v>
      </x:c>
      <x:c r="K355" s="25" t="str">
        <x:v>55-106</x:v>
      </x:c>
      <x:c r="L355" s="25" t="n">
        <x:v>90800</x:v>
      </x:c>
      <x:c r="M355" s="25" t="n">
        <x:v>0</x:v>
      </x:c>
      <x:c r="N355" s="25" t="str">
        <x:v>否</x:v>
      </x:c>
      <x:c r="O355" s="25" t="n">
        <x:v>0</x:v>
      </x:c>
      <x:c r="P355" s="25" t="n">
        <x:v>0</x:v>
      </x:c>
      <x:c r="Q355" s="25" t="n">
        <x:v>0</x:v>
      </x:c>
      <x:c r="R355" s="25" t="str">
        <x:v>洗练绑定装备；项链幸运绑定人物永久进度；武器幸运成本忽略</x:v>
      </x:c>
    </x:row>
    <x:row r="356">
      <x:c r="A356" s="25" t="str">
        <x:v>C04-X</x:v>
      </x:c>
      <x:c r="B356" s="25" t="str">
        <x:v>利耶尼亚海域</x:v>
      </x:c>
      <x:c r="C356" s="25" t="str">
        <x:v>极端压力</x:v>
      </x:c>
      <x:c r="D356" s="25" t="n">
        <x:v>0</x:v>
      </x:c>
      <x:c r="E356" s="25" t="n">
        <x:v>87</x:v>
      </x:c>
      <x:c r="F356" s="25" t="str">
        <x:v>巨犀荒铠</x:v>
      </x:c>
      <x:c r="G356" s="25" t="str">
        <x:v>衣服</x:v>
      </x:c>
      <x:c r="H356" s="25" t="n">
        <x:v>3</x:v>
      </x:c>
      <x:c r="I356" s="25" t="str">
        <x:v>地图BOSS</x:v>
      </x:c>
      <x:c r="J356" s="25" t="str">
        <x:v>S07</x:v>
      </x:c>
      <x:c r="K356" s="25" t="str">
        <x:v>78-150</x:v>
      </x:c>
      <x:c r="L356" s="25" t="n">
        <x:v>440000</x:v>
      </x:c>
      <x:c r="M356" s="25" t="n">
        <x:v>6</x:v>
      </x:c>
      <x:c r="N356" s="25" t="str">
        <x:v>否</x:v>
      </x:c>
      <x:c r="O356" s="25" t="n">
        <x:v>0</x:v>
      </x:c>
      <x:c r="P356" s="25" t="n">
        <x:v>0</x:v>
      </x:c>
      <x:c r="Q356" s="25" t="n">
        <x:v>0</x:v>
      </x:c>
      <x:c r="R356" s="25" t="str">
        <x:v>洗练绑定装备；项链幸运绑定人物永久进度；武器幸运成本忽略</x:v>
      </x:c>
    </x:row>
    <x:row r="357">
      <x:c r="A357" s="25" t="str">
        <x:v>C04-X</x:v>
      </x:c>
      <x:c r="B357" s="25" t="str">
        <x:v>利耶尼亚海域</x:v>
      </x:c>
      <x:c r="C357" s="25" t="str">
        <x:v>极端压力</x:v>
      </x:c>
      <x:c r="D357" s="25" t="n">
        <x:v>1</x:v>
      </x:c>
      <x:c r="E357" s="25" t="n">
        <x:v>113</x:v>
      </x:c>
      <x:c r="F357" s="25" t="str">
        <x:v>莱弥恩的封湖巨剑</x:v>
      </x:c>
      <x:c r="G357" s="25" t="str">
        <x:v>武器</x:v>
      </x:c>
      <x:c r="H357" s="25" t="n">
        <x:v>4</x:v>
      </x:c>
      <x:c r="I357" s="25" t="str">
        <x:v>守关BOSS</x:v>
      </x:c>
      <x:c r="J357" s="25" t="str">
        <x:v>S07</x:v>
      </x:c>
      <x:c r="K357" s="25" t="str">
        <x:v>1500-2800</x:v>
      </x:c>
      <x:c r="L357" s="25" t="n">
        <x:v>170000</x:v>
      </x:c>
      <x:c r="M357" s="25" t="n">
        <x:v>3</x:v>
      </x:c>
      <x:c r="N357" s="25" t="str">
        <x:v>否</x:v>
      </x:c>
      <x:c r="O357" s="25" t="n">
        <x:v>7</x:v>
      </x:c>
      <x:c r="P357" s="25" t="n">
        <x:v>0</x:v>
      </x:c>
      <x:c r="Q357" s="25" t="n">
        <x:v>0</x:v>
      </x:c>
      <x:c r="R357" s="25" t="str">
        <x:v>洗练绑定装备；项链幸运绑定人物永久进度；武器幸运成本忽略</x:v>
      </x:c>
    </x:row>
    <x:row r="358">
      <x:c r="A358" s="25" t="str">
        <x:v>C04-X</x:v>
      </x:c>
      <x:c r="B358" s="25" t="str">
        <x:v>利耶尼亚海域</x:v>
      </x:c>
      <x:c r="C358" s="25" t="str">
        <x:v>极端压力</x:v>
      </x:c>
      <x:c r="D358" s="25" t="n">
        <x:v>2</x:v>
      </x:c>
      <x:c r="E358" s="25" t="n">
        <x:v>116</x:v>
      </x:c>
      <x:c r="F358" s="25" t="str">
        <x:v>失乡统帅勋</x:v>
      </x:c>
      <x:c r="G358" s="25" t="str">
        <x:v>勋章</x:v>
      </x:c>
      <x:c r="H358" s="25" t="n">
        <x:v>2</x:v>
      </x:c>
      <x:c r="I358" s="25" t="str">
        <x:v>稀有</x:v>
      </x:c>
      <x:c r="J358" s="25" t="str">
        <x:v>S02</x:v>
      </x:c>
      <x:c r="K358" s="25" t="str">
        <x:v>57-110</x:v>
      </x:c>
      <x:c r="L358" s="25" t="n">
        <x:v>60500</x:v>
      </x:c>
      <x:c r="M358" s="25" t="n">
        <x:v>0</x:v>
      </x:c>
      <x:c r="N358" s="25" t="str">
        <x:v>否</x:v>
      </x:c>
      <x:c r="O358" s="25" t="n">
        <x:v>0</x:v>
      </x:c>
      <x:c r="P358" s="25" t="n">
        <x:v>0</x:v>
      </x:c>
      <x:c r="Q358" s="25" t="n">
        <x:v>0</x:v>
      </x:c>
      <x:c r="R358" s="25" t="str">
        <x:v>洗练绑定装备；项链幸运绑定人物永久进度；武器幸运成本忽略</x:v>
      </x:c>
    </x:row>
    <x:row r="359">
      <x:c r="A359" s="25" t="str">
        <x:v>C04-X</x:v>
      </x:c>
      <x:c r="B359" s="25" t="str">
        <x:v>利耶尼亚海域</x:v>
      </x:c>
      <x:c r="C359" s="25" t="str">
        <x:v>极端压力</x:v>
      </x:c>
      <x:c r="D359" s="25" t="n">
        <x:v>3</x:v>
      </x:c>
      <x:c r="E359" s="25" t="n">
        <x:v>130</x:v>
      </x:c>
      <x:c r="F359" s="25" t="str">
        <x:v>诱猎声坠</x:v>
      </x:c>
      <x:c r="G359" s="25" t="str">
        <x:v>项链</x:v>
      </x:c>
      <x:c r="H359" s="25" t="n">
        <x:v>4</x:v>
      </x:c>
      <x:c r="I359" s="25" t="str">
        <x:v>稀有</x:v>
      </x:c>
      <x:c r="J359" s="25" t="str">
        <x:v>S07</x:v>
      </x:c>
      <x:c r="K359" s="25" t="str">
        <x:v>160-300</x:v>
      </x:c>
      <x:c r="L359" s="25" t="n">
        <x:v>130000</x:v>
      </x:c>
      <x:c r="M359" s="25" t="n">
        <x:v>6</x:v>
      </x:c>
      <x:c r="N359" s="25" t="str">
        <x:v>否</x:v>
      </x:c>
      <x:c r="O359" s="25" t="n">
        <x:v>0</x:v>
      </x:c>
      <x:c r="P359" s="25" t="n">
        <x:v>0</x:v>
      </x:c>
      <x:c r="Q359" s="25" t="n">
        <x:v>0</x:v>
      </x:c>
      <x:c r="R359" s="25" t="str">
        <x:v>洗练绑定装备；项链幸运绑定人物永久进度；武器幸运成本忽略</x:v>
      </x:c>
    </x:row>
    <x:row r="360">
      <x:c r="A360" s="25" t="str">
        <x:v>C04-X</x:v>
      </x:c>
      <x:c r="B360" s="25" t="str">
        <x:v>利耶尼亚海域</x:v>
      </x:c>
      <x:c r="C360" s="25" t="str">
        <x:v>极端压力</x:v>
      </x:c>
      <x:c r="D360" s="25" t="n">
        <x:v>4</x:v>
      </x:c>
      <x:c r="E360" s="25" t="n">
        <x:v>127</x:v>
      </x:c>
      <x:c r="F360" s="25" t="str">
        <x:v>断途战冠</x:v>
      </x:c>
      <x:c r="G360" s="25" t="str">
        <x:v>头盔</x:v>
      </x:c>
      <x:c r="H360" s="25" t="n">
        <x:v>3</x:v>
      </x:c>
      <x:c r="I360" s="25" t="str">
        <x:v>装备合成</x:v>
      </x:c>
      <x:c r="J360" s="25" t="str">
        <x:v>S07</x:v>
      </x:c>
      <x:c r="K360" s="25" t="str">
        <x:v>140-260</x:v>
      </x:c>
      <x:c r="L360" s="25" t="n">
        <x:v>270000</x:v>
      </x:c>
      <x:c r="M360" s="25" t="n">
        <x:v>5</x:v>
      </x:c>
      <x:c r="N360" s="25" t="str">
        <x:v>否</x:v>
      </x:c>
      <x:c r="O360" s="25" t="n">
        <x:v>0</x:v>
      </x:c>
      <x:c r="P360" s="25" t="n">
        <x:v>0</x:v>
      </x:c>
      <x:c r="Q360" s="25" t="n">
        <x:v>0</x:v>
      </x:c>
      <x:c r="R360" s="25" t="str">
        <x:v>洗练绑定装备；项链幸运绑定人物永久进度；武器幸运成本忽略</x:v>
      </x:c>
    </x:row>
    <x:row r="361">
      <x:c r="A361" s="25" t="str">
        <x:v>C04-X</x:v>
      </x:c>
      <x:c r="B361" s="25" t="str">
        <x:v>利耶尼亚海域</x:v>
      </x:c>
      <x:c r="C361" s="25" t="str">
        <x:v>极端压力</x:v>
      </x:c>
      <x:c r="D361" s="25" t="n">
        <x:v>5</x:v>
      </x:c>
      <x:c r="E361" s="25" t="n">
        <x:v>115</x:v>
      </x:c>
      <x:c r="F361" s="25" t="str">
        <x:v>缚链僧镯</x:v>
      </x:c>
      <x:c r="G361" s="25" t="str">
        <x:v>手镯</x:v>
      </x:c>
      <x:c r="H361" s="25" t="n">
        <x:v>4</x:v>
      </x:c>
      <x:c r="I361" s="25" t="str">
        <x:v>稀有</x:v>
      </x:c>
      <x:c r="J361" s="25" t="str">
        <x:v>S07</x:v>
      </x:c>
      <x:c r="K361" s="25" t="str">
        <x:v>180-340</x:v>
      </x:c>
      <x:c r="L361" s="25" t="n">
        <x:v>130000</x:v>
      </x:c>
      <x:c r="M361" s="25" t="n">
        <x:v>7</x:v>
      </x:c>
      <x:c r="N361" s="25" t="str">
        <x:v>是</x:v>
      </x:c>
      <x:c r="O361" s="25" t="n">
        <x:v>0</x:v>
      </x:c>
      <x:c r="P361" s="25" t="n">
        <x:v>0</x:v>
      </x:c>
      <x:c r="Q361" s="25" t="n">
        <x:v>0</x:v>
      </x:c>
      <x:c r="R361" s="25" t="str">
        <x:v>洗练绑定装备；项链幸运绑定人物永久进度；武器幸运成本忽略</x:v>
      </x:c>
    </x:row>
    <x:row r="362">
      <x:c r="A362" s="25" t="str">
        <x:v>C04-X</x:v>
      </x:c>
      <x:c r="B362" s="25" t="str">
        <x:v>利耶尼亚海域</x:v>
      </x:c>
      <x:c r="C362" s="25" t="str">
        <x:v>极端压力</x:v>
      </x:c>
      <x:c r="D362" s="25" t="n">
        <x:v>6</x:v>
      </x:c>
      <x:c r="E362" s="25" t="n">
        <x:v>68</x:v>
      </x:c>
      <x:c r="F362" s="25" t="str">
        <x:v>百指接肢腕</x:v>
      </x:c>
      <x:c r="G362" s="25" t="str">
        <x:v>手镯</x:v>
      </x:c>
      <x:c r="H362" s="25" t="n">
        <x:v>2</x:v>
      </x:c>
      <x:c r="I362" s="25" t="str">
        <x:v>装备合成</x:v>
      </x:c>
      <x:c r="J362" s="25" t="str">
        <x:v>S07</x:v>
      </x:c>
      <x:c r="K362" s="25" t="str">
        <x:v>110-210</x:v>
      </x:c>
      <x:c r="L362" s="25" t="n">
        <x:v>85000</x:v>
      </x:c>
      <x:c r="M362" s="25" t="n">
        <x:v>5</x:v>
      </x:c>
      <x:c r="N362" s="25" t="str">
        <x:v>否</x:v>
      </x:c>
      <x:c r="O362" s="25" t="n">
        <x:v>0</x:v>
      </x:c>
      <x:c r="P362" s="25" t="n">
        <x:v>0</x:v>
      </x:c>
      <x:c r="Q362" s="25" t="n">
        <x:v>0</x:v>
      </x:c>
      <x:c r="R362" s="25" t="str">
        <x:v>洗练绑定装备；项链幸运绑定人物永久进度；武器幸运成本忽略</x:v>
      </x:c>
    </x:row>
    <x:row r="363">
      <x:c r="A363" s="25" t="str">
        <x:v>C04-X</x:v>
      </x:c>
      <x:c r="B363" s="25" t="str">
        <x:v>利耶尼亚海域</x:v>
      </x:c>
      <x:c r="C363" s="25" t="str">
        <x:v>极端压力</x:v>
      </x:c>
      <x:c r="D363" s="25" t="n">
        <x:v>7</x:v>
      </x:c>
      <x:c r="E363" s="25" t="n">
        <x:v>132</x:v>
      </x:c>
      <x:c r="F363" s="25" t="str">
        <x:v>月渊秘戒</x:v>
      </x:c>
      <x:c r="G363" s="25" t="str">
        <x:v>戒指</x:v>
      </x:c>
      <x:c r="H363" s="25" t="n">
        <x:v>4</x:v>
      </x:c>
      <x:c r="I363" s="25" t="str">
        <x:v>装备合成</x:v>
      </x:c>
      <x:c r="J363" s="25" t="str">
        <x:v>S07</x:v>
      </x:c>
      <x:c r="K363" s="25" t="str">
        <x:v>350-670</x:v>
      </x:c>
      <x:c r="L363" s="25" t="n">
        <x:v>270000</x:v>
      </x:c>
      <x:c r="M363" s="25" t="n">
        <x:v>3</x:v>
      </x:c>
      <x:c r="N363" s="25" t="str">
        <x:v>否</x:v>
      </x:c>
      <x:c r="O363" s="25" t="n">
        <x:v>0</x:v>
      </x:c>
      <x:c r="P363" s="25" t="n">
        <x:v>0</x:v>
      </x:c>
      <x:c r="Q363" s="25" t="n">
        <x:v>0</x:v>
      </x:c>
      <x:c r="R363" s="25" t="str">
        <x:v>洗练绑定装备；项链幸运绑定人物永久进度；武器幸运成本忽略</x:v>
      </x:c>
    </x:row>
    <x:row r="364">
      <x:c r="A364" s="25" t="str">
        <x:v>C04-X</x:v>
      </x:c>
      <x:c r="B364" s="25" t="str">
        <x:v>利耶尼亚海域</x:v>
      </x:c>
      <x:c r="C364" s="25" t="str">
        <x:v>极端压力</x:v>
      </x:c>
      <x:c r="D364" s="25" t="n">
        <x:v>8</x:v>
      </x:c>
      <x:c r="E364" s="25" t="n">
        <x:v>134</x:v>
      </x:c>
      <x:c r="F364" s="25" t="str">
        <x:v>月渊秘戒</x:v>
      </x:c>
      <x:c r="G364" s="25" t="str">
        <x:v>戒指</x:v>
      </x:c>
      <x:c r="H364" s="25" t="n">
        <x:v>4</x:v>
      </x:c>
      <x:c r="I364" s="25" t="str">
        <x:v>装备合成</x:v>
      </x:c>
      <x:c r="J364" s="25" t="str">
        <x:v>S07</x:v>
      </x:c>
      <x:c r="K364" s="25" t="str">
        <x:v>350-670</x:v>
      </x:c>
      <x:c r="L364" s="25" t="n">
        <x:v>270000</x:v>
      </x:c>
      <x:c r="M364" s="25" t="n">
        <x:v>2</x:v>
      </x:c>
      <x:c r="N364" s="25" t="str">
        <x:v>否</x:v>
      </x:c>
      <x:c r="O364" s="25" t="n">
        <x:v>0</x:v>
      </x:c>
      <x:c r="P364" s="25" t="n">
        <x:v>0</x:v>
      </x:c>
      <x:c r="Q364" s="25" t="n">
        <x:v>0</x:v>
      </x:c>
      <x:c r="R364" s="25" t="str">
        <x:v>洗练绑定装备；项链幸运绑定人物永久进度；武器幸运成本忽略</x:v>
      </x:c>
    </x:row>
    <x:row r="365">
      <x:c r="A365" s="25" t="str">
        <x:v>C04-X</x:v>
      </x:c>
      <x:c r="B365" s="25" t="str">
        <x:v>利耶尼亚海域</x:v>
      </x:c>
      <x:c r="C365" s="25" t="str">
        <x:v>极端压力</x:v>
      </x:c>
      <x:c r="D365" s="25" t="n">
        <x:v>10</x:v>
      </x:c>
      <x:c r="E365" s="25" t="n">
        <x:v>133</x:v>
      </x:c>
      <x:c r="F365" s="25" t="str">
        <x:v>闭潮王带</x:v>
      </x:c>
      <x:c r="G365" s="25" t="str">
        <x:v>腰带</x:v>
      </x:c>
      <x:c r="H365" s="25" t="n">
        <x:v>4</x:v>
      </x:c>
      <x:c r="I365" s="25" t="str">
        <x:v>装备合成</x:v>
      </x:c>
      <x:c r="J365" s="25" t="str">
        <x:v>S07</x:v>
      </x:c>
      <x:c r="K365" s="25" t="str">
        <x:v>210-400</x:v>
      </x:c>
      <x:c r="L365" s="25" t="n">
        <x:v>350000</x:v>
      </x:c>
      <x:c r="M365" s="25" t="n">
        <x:v>2</x:v>
      </x:c>
      <x:c r="N365" s="25" t="str">
        <x:v>否</x:v>
      </x:c>
      <x:c r="O365" s="25" t="n">
        <x:v>0</x:v>
      </x:c>
      <x:c r="P365" s="25" t="n">
        <x:v>0</x:v>
      </x:c>
      <x:c r="Q365" s="25" t="n">
        <x:v>0</x:v>
      </x:c>
      <x:c r="R365" s="25" t="str">
        <x:v>洗练绑定装备；项链幸运绑定人物永久进度；武器幸运成本忽略</x:v>
      </x:c>
    </x:row>
    <x:row r="366">
      <x:c r="A366" s="25" t="str">
        <x:v>C04-X</x:v>
      </x:c>
      <x:c r="B366" s="25" t="str">
        <x:v>利耶尼亚海域</x:v>
      </x:c>
      <x:c r="C366" s="25" t="str">
        <x:v>极端压力</x:v>
      </x:c>
      <x:c r="D366" s="25" t="n">
        <x:v>11</x:v>
      </x:c>
      <x:c r="E366" s="25" t="n">
        <x:v>90</x:v>
      </x:c>
      <x:c r="F366" s="25" t="str">
        <x:v>逐风征靴</x:v>
      </x:c>
      <x:c r="G366" s="25" t="str">
        <x:v>鞋子</x:v>
      </x:c>
      <x:c r="H366" s="25" t="n">
        <x:v>3</x:v>
      </x:c>
      <x:c r="I366" s="25" t="str">
        <x:v>装备合成</x:v>
      </x:c>
      <x:c r="J366" s="25" t="str">
        <x:v>S07</x:v>
      </x:c>
      <x:c r="K366" s="25" t="str">
        <x:v>100-200</x:v>
      </x:c>
      <x:c r="L366" s="25" t="n">
        <x:v>150000</x:v>
      </x:c>
      <x:c r="M366" s="25" t="n">
        <x:v>6</x:v>
      </x:c>
      <x:c r="N366" s="25" t="str">
        <x:v>否</x:v>
      </x:c>
      <x:c r="O366" s="25" t="n">
        <x:v>0</x:v>
      </x:c>
      <x:c r="P366" s="25" t="n">
        <x:v>0</x:v>
      </x:c>
      <x:c r="Q366" s="25" t="n">
        <x:v>0</x:v>
      </x:c>
      <x:c r="R366" s="25" t="str">
        <x:v>洗练绑定装备；项链幸运绑定人物永久进度；武器幸运成本忽略</x:v>
      </x:c>
    </x:row>
    <x:row r="367">
      <x:c r="A367" s="25" t="str">
        <x:v>C04-X</x:v>
      </x:c>
      <x:c r="B367" s="25" t="str">
        <x:v>利耶尼亚海域</x:v>
      </x:c>
      <x:c r="C367" s="25" t="str">
        <x:v>极端压力</x:v>
      </x:c>
      <x:c r="D367" s="25" t="n">
        <x:v>13</x:v>
      </x:c>
      <x:c r="E367" s="25" t="n">
        <x:v>118</x:v>
      </x:c>
      <x:c r="F367" s="25" t="str">
        <x:v>回声盗墓笠</x:v>
      </x:c>
      <x:c r="G367" s="25" t="str">
        <x:v>斗笠</x:v>
      </x:c>
      <x:c r="H367" s="25" t="n">
        <x:v>4</x:v>
      </x:c>
      <x:c r="I367" s="25" t="str">
        <x:v>稀有</x:v>
      </x:c>
      <x:c r="J367" s="25" t="str">
        <x:v>S07</x:v>
      </x:c>
      <x:c r="K367" s="25" t="str">
        <x:v>83-160</x:v>
      </x:c>
      <x:c r="L367" s="25" t="n">
        <x:v>100000</x:v>
      </x:c>
      <x:c r="M367" s="25" t="n">
        <x:v>0</x:v>
      </x:c>
      <x:c r="N367" s="25" t="str">
        <x:v>否</x:v>
      </x:c>
      <x:c r="O367" s="25" t="n">
        <x:v>0</x:v>
      </x:c>
      <x:c r="P367" s="25" t="n">
        <x:v>0</x:v>
      </x:c>
      <x:c r="Q367" s="25" t="n">
        <x:v>0</x:v>
      </x:c>
      <x:c r="R367" s="25" t="str">
        <x:v>洗练绑定装备；项链幸运绑定人物永久进度；武器幸运成本忽略</x:v>
      </x:c>
    </x:row>
    <x:row r="368">
      <x:c r="A368" s="25" t="str">
        <x:v>C04-X</x:v>
      </x:c>
      <x:c r="B368" s="25" t="str">
        <x:v>利耶尼亚海域</x:v>
      </x:c>
      <x:c r="C368" s="25" t="str">
        <x:v>极端压力</x:v>
      </x:c>
      <x:c r="D368" s="25" t="n">
        <x:v>16</x:v>
      </x:c>
      <x:c r="E368" s="25" t="n">
        <x:v>119</x:v>
      </x:c>
      <x:c r="F368" s="25" t="str">
        <x:v>桨官铁盾</x:v>
      </x:c>
      <x:c r="G368" s="25" t="str">
        <x:v>盾牌</x:v>
      </x:c>
      <x:c r="H368" s="25" t="n">
        <x:v>4</x:v>
      </x:c>
      <x:c r="I368" s="25" t="str">
        <x:v>稀有</x:v>
      </x:c>
      <x:c r="J368" s="25" t="str">
        <x:v>S07</x:v>
      </x:c>
      <x:c r="K368" s="25" t="str">
        <x:v>120-230</x:v>
      </x:c>
      <x:c r="L368" s="25" t="n">
        <x:v>410000</x:v>
      </x:c>
      <x:c r="M368" s="25" t="n">
        <x:v>0</x:v>
      </x:c>
      <x:c r="N368" s="25" t="str">
        <x:v>否</x:v>
      </x:c>
      <x:c r="O368" s="25" t="n">
        <x:v>0</x:v>
      </x:c>
      <x:c r="P368" s="25" t="n">
        <x:v>0</x:v>
      </x:c>
      <x:c r="Q368" s="25" t="n">
        <x:v>0</x:v>
      </x:c>
      <x:c r="R368" s="25" t="str">
        <x:v>洗练绑定装备；项链幸运绑定人物永久进度；武器幸运成本忽略</x:v>
      </x:c>
    </x:row>
    <x:row r="369">
      <x:c r="A369" s="25" t="str">
        <x:v>C04-X</x:v>
      </x:c>
      <x:c r="B369" s="25" t="str">
        <x:v>利耶尼亚海域</x:v>
      </x:c>
      <x:c r="C369" s="25" t="str">
        <x:v>极端压力</x:v>
      </x:c>
      <x:c r="D369" s="25" t="n">
        <x:v>18</x:v>
      </x:c>
      <x:c r="E369" s="25" t="n">
        <x:v>120</x:v>
      </x:c>
      <x:c r="F369" s="25" t="str">
        <x:v>百骸王衣</x:v>
      </x:c>
      <x:c r="G369" s="25" t="str">
        <x:v>时装衣服</x:v>
      </x:c>
      <x:c r="H369" s="25" t="n">
        <x:v>2</x:v>
      </x:c>
      <x:c r="I369" s="25" t="str">
        <x:v>BOSS</x:v>
      </x:c>
      <x:c r="J369" s="25" t="str">
        <x:v>S02</x:v>
      </x:c>
      <x:c r="K369" s="25" t="str">
        <x:v>48-93</x:v>
      </x:c>
      <x:c r="L369" s="25" t="n">
        <x:v>319000</x:v>
      </x:c>
      <x:c r="M369" s="25" t="n">
        <x:v>0</x:v>
      </x:c>
      <x:c r="N369" s="25" t="str">
        <x:v>否</x:v>
      </x:c>
      <x:c r="O369" s="25" t="n">
        <x:v>0</x:v>
      </x:c>
      <x:c r="P369" s="25" t="n">
        <x:v>0</x:v>
      </x:c>
      <x:c r="Q369" s="25" t="n">
        <x:v>0</x:v>
      </x:c>
      <x:c r="R369" s="25" t="str">
        <x:v>洗练绑定装备；项链幸运绑定人物永久进度；武器幸运成本忽略</x:v>
      </x:c>
    </x:row>
    <x:row r="370">
      <x:c r="A370" s="25" t="str">
        <x:v>C04-X</x:v>
      </x:c>
      <x:c r="B370" s="25" t="str">
        <x:v>利耶尼亚海域</x:v>
      </x:c>
      <x:c r="C370" s="25" t="str">
        <x:v>极端压力</x:v>
      </x:c>
      <x:c r="D370" s="25" t="n">
        <x:v>19</x:v>
      </x:c>
      <x:c r="E370" s="25" t="n">
        <x:v>121</x:v>
      </x:c>
      <x:c r="F370" s="25" t="str">
        <x:v>王城断罪刃</x:v>
      </x:c>
      <x:c r="G370" s="25" t="str">
        <x:v>时装武器</x:v>
      </x:c>
      <x:c r="H370" s="25" t="n">
        <x:v>2</x:v>
      </x:c>
      <x:c r="I370" s="25" t="str">
        <x:v>稀有</x:v>
      </x:c>
      <x:c r="J370" s="25" t="str">
        <x:v>S02</x:v>
      </x:c>
      <x:c r="K370" s="25" t="str">
        <x:v>166-320</x:v>
      </x:c>
      <x:c r="L370" s="25" t="n">
        <x:v>60500</x:v>
      </x:c>
      <x:c r="M370" s="25" t="n">
        <x:v>0</x:v>
      </x:c>
      <x:c r="N370" s="25" t="str">
        <x:v>否</x:v>
      </x:c>
      <x:c r="O370" s="25" t="n">
        <x:v>0</x:v>
      </x:c>
      <x:c r="P370" s="25" t="n">
        <x:v>0</x:v>
      </x:c>
      <x:c r="Q370" s="25" t="n">
        <x:v>0</x:v>
      </x:c>
      <x:c r="R370" s="25" t="str">
        <x:v>洗练绑定装备；项链幸运绑定人物永久进度；武器幸运成本忽略</x:v>
      </x:c>
    </x:row>
    <x:row r="371">
      <x:c r="A371" s="25" t="str">
        <x:v>C04-X</x:v>
      </x:c>
      <x:c r="B371" s="25" t="str">
        <x:v>利耶尼亚海域</x:v>
      </x:c>
      <x:c r="C371" s="25" t="str">
        <x:v>极端压力</x:v>
      </x:c>
      <x:c r="D371" s="25" t="n">
        <x:v>20</x:v>
      </x:c>
      <x:c r="E371" s="25" t="n">
        <x:v>40</x:v>
      </x:c>
      <x:c r="F371" s="25" t="str">
        <x:v>英雄余誓</x:v>
      </x:c>
      <x:c r="G371" s="25" t="str">
        <x:v>时装项链</x:v>
      </x:c>
      <x:c r="H371" s="25" t="n">
        <x:v>2</x:v>
      </x:c>
      <x:c r="I371" s="25" t="str">
        <x:v>稀有</x:v>
      </x:c>
      <x:c r="J371" s="25" t="str">
        <x:v>S02</x:v>
      </x:c>
      <x:c r="K371" s="25" t="str">
        <x:v>31-60</x:v>
      </x:c>
      <x:c r="L371" s="25" t="n">
        <x:v>17900</x:v>
      </x:c>
      <x:c r="M371" s="25" t="n">
        <x:v>0</x:v>
      </x:c>
      <x:c r="N371" s="25" t="str">
        <x:v>否</x:v>
      </x:c>
      <x:c r="O371" s="25" t="n">
        <x:v>0</x:v>
      </x:c>
      <x:c r="P371" s="25" t="n">
        <x:v>0</x:v>
      </x:c>
      <x:c r="Q371" s="25" t="n">
        <x:v>0</x:v>
      </x:c>
      <x:c r="R371" s="25" t="str">
        <x:v>洗练绑定装备；项链幸运绑定人物永久进度；武器幸运成本忽略</x:v>
      </x:c>
    </x:row>
    <x:row r="372">
      <x:c r="A372" s="25" t="str">
        <x:v>C04-X</x:v>
      </x:c>
      <x:c r="B372" s="25" t="str">
        <x:v>利耶尼亚海域</x:v>
      </x:c>
      <x:c r="C372" s="25" t="str">
        <x:v>极端压力</x:v>
      </x:c>
      <x:c r="D372" s="25" t="n">
        <x:v>21</x:v>
      </x:c>
      <x:c r="E372" s="25" t="n">
        <x:v>122</x:v>
      </x:c>
      <x:c r="F372" s="25" t="str">
        <x:v>鹰主风冠</x:v>
      </x:c>
      <x:c r="G372" s="25" t="str">
        <x:v>时装头盔</x:v>
      </x:c>
      <x:c r="H372" s="25" t="n">
        <x:v>2</x:v>
      </x:c>
      <x:c r="I372" s="25" t="str">
        <x:v>稀有</x:v>
      </x:c>
      <x:c r="J372" s="25" t="str">
        <x:v>S02</x:v>
      </x:c>
      <x:c r="K372" s="25" t="str">
        <x:v>33-63</x:v>
      </x:c>
      <x:c r="L372" s="25" t="n">
        <x:v>78400</x:v>
      </x:c>
      <x:c r="M372" s="25" t="n">
        <x:v>0</x:v>
      </x:c>
      <x:c r="N372" s="25" t="str">
        <x:v>否</x:v>
      </x:c>
      <x:c r="O372" s="25" t="n">
        <x:v>0</x:v>
      </x:c>
      <x:c r="P372" s="25" t="n">
        <x:v>0</x:v>
      </x:c>
      <x:c r="Q372" s="25" t="n">
        <x:v>0</x:v>
      </x:c>
      <x:c r="R372" s="25" t="str">
        <x:v>洗练绑定装备；项链幸运绑定人物永久进度；武器幸运成本忽略</x:v>
      </x:c>
    </x:row>
    <x:row r="373">
      <x:c r="A373" s="25" t="str">
        <x:v>C04-X</x:v>
      </x:c>
      <x:c r="B373" s="25" t="str">
        <x:v>利耶尼亚海域</x:v>
      </x:c>
      <x:c r="C373" s="25" t="str">
        <x:v>极端压力</x:v>
      </x:c>
      <x:c r="D373" s="25" t="n">
        <x:v>22</x:v>
      </x:c>
      <x:c r="E373" s="25" t="n">
        <x:v>42</x:v>
      </x:c>
      <x:c r="F373" s="25" t="str">
        <x:v>卢恩血镯</x:v>
      </x:c>
      <x:c r="G373" s="25" t="str">
        <x:v>时装手镯</x:v>
      </x:c>
      <x:c r="H373" s="25" t="n">
        <x:v>2</x:v>
      </x:c>
      <x:c r="I373" s="25" t="str">
        <x:v>稀有</x:v>
      </x:c>
      <x:c r="J373" s="25" t="str">
        <x:v>S02</x:v>
      </x:c>
      <x:c r="K373" s="25" t="str">
        <x:v>42-80</x:v>
      </x:c>
      <x:c r="L373" s="25" t="n">
        <x:v>34400</x:v>
      </x:c>
      <x:c r="M373" s="25" t="n">
        <x:v>0</x:v>
      </x:c>
      <x:c r="N373" s="25" t="str">
        <x:v>否</x:v>
      </x:c>
      <x:c r="O373" s="25" t="n">
        <x:v>0</x:v>
      </x:c>
      <x:c r="P373" s="25" t="n">
        <x:v>0</x:v>
      </x:c>
      <x:c r="Q373" s="25" t="n">
        <x:v>0</x:v>
      </x:c>
      <x:c r="R373" s="25" t="str">
        <x:v>洗练绑定装备；项链幸运绑定人物永久进度；武器幸运成本忽略</x:v>
      </x:c>
    </x:row>
    <x:row r="374">
      <x:c r="A374" s="25" t="str">
        <x:v>C04-X</x:v>
      </x:c>
      <x:c r="B374" s="25" t="str">
        <x:v>利耶尼亚海域</x:v>
      </x:c>
      <x:c r="C374" s="25" t="str">
        <x:v>极端压力</x:v>
      </x:c>
      <x:c r="D374" s="25" t="n">
        <x:v>23</x:v>
      </x:c>
      <x:c r="E374" s="25" t="n">
        <x:v>123</x:v>
      </x:c>
      <x:c r="F374" s="25" t="str">
        <x:v>卢恩血镯</x:v>
      </x:c>
      <x:c r="G374" s="25" t="str">
        <x:v>时装手镯</x:v>
      </x:c>
      <x:c r="H374" s="25" t="n">
        <x:v>2</x:v>
      </x:c>
      <x:c r="I374" s="25" t="str">
        <x:v>稀有</x:v>
      </x:c>
      <x:c r="J374" s="25" t="str">
        <x:v>S02</x:v>
      </x:c>
      <x:c r="K374" s="25" t="str">
        <x:v>42-80</x:v>
      </x:c>
      <x:c r="L374" s="25" t="n">
        <x:v>34400</x:v>
      </x:c>
      <x:c r="M374" s="25" t="n">
        <x:v>0</x:v>
      </x:c>
      <x:c r="N374" s="25" t="str">
        <x:v>否</x:v>
      </x:c>
      <x:c r="O374" s="25" t="n">
        <x:v>0</x:v>
      </x:c>
      <x:c r="P374" s="25" t="n">
        <x:v>0</x:v>
      </x:c>
      <x:c r="Q374" s="25" t="n">
        <x:v>0</x:v>
      </x:c>
      <x:c r="R374" s="25" t="str">
        <x:v>洗练绑定装备；项链幸运绑定人物永久进度；武器幸运成本忽略</x:v>
      </x:c>
    </x:row>
    <x:row r="375">
      <x:c r="A375" s="25" t="str">
        <x:v>C04-X</x:v>
      </x:c>
      <x:c r="B375" s="25" t="str">
        <x:v>利耶尼亚海域</x:v>
      </x:c>
      <x:c r="C375" s="25" t="str">
        <x:v>极端压力</x:v>
      </x:c>
      <x:c r="D375" s="25" t="n">
        <x:v>24</x:v>
      </x:c>
      <x:c r="E375" s="25" t="n">
        <x:v>43</x:v>
      </x:c>
      <x:c r="F375" s="25" t="str">
        <x:v>黄金树戒</x:v>
      </x:c>
      <x:c r="G375" s="25" t="str">
        <x:v>时装戒指</x:v>
      </x:c>
      <x:c r="H375" s="25" t="n">
        <x:v>2</x:v>
      </x:c>
      <x:c r="I375" s="25" t="str">
        <x:v>稀有</x:v>
      </x:c>
      <x:c r="J375" s="25" t="str">
        <x:v>S02</x:v>
      </x:c>
      <x:c r="K375" s="25" t="str">
        <x:v>42-80</x:v>
      </x:c>
      <x:c r="L375" s="25" t="n">
        <x:v>34400</x:v>
      </x:c>
      <x:c r="M375" s="25" t="n">
        <x:v>0</x:v>
      </x:c>
      <x:c r="N375" s="25" t="str">
        <x:v>否</x:v>
      </x:c>
      <x:c r="O375" s="25" t="n">
        <x:v>0</x:v>
      </x:c>
      <x:c r="P375" s="25" t="n">
        <x:v>0</x:v>
      </x:c>
      <x:c r="Q375" s="25" t="n">
        <x:v>0</x:v>
      </x:c>
      <x:c r="R375" s="25" t="str">
        <x:v>洗练绑定装备；项链幸运绑定人物永久进度；武器幸运成本忽略</x:v>
      </x:c>
    </x:row>
    <x:row r="376">
      <x:c r="A376" s="25" t="str">
        <x:v>C04-X</x:v>
      </x:c>
      <x:c r="B376" s="25" t="str">
        <x:v>利耶尼亚海域</x:v>
      </x:c>
      <x:c r="C376" s="25" t="str">
        <x:v>极端压力</x:v>
      </x:c>
      <x:c r="D376" s="25" t="n">
        <x:v>25</x:v>
      </x:c>
      <x:c r="E376" s="25" t="n">
        <x:v>124</x:v>
      </x:c>
      <x:c r="F376" s="25" t="str">
        <x:v>黄金树戒</x:v>
      </x:c>
      <x:c r="G376" s="25" t="str">
        <x:v>时装戒指</x:v>
      </x:c>
      <x:c r="H376" s="25" t="n">
        <x:v>2</x:v>
      </x:c>
      <x:c r="I376" s="25" t="str">
        <x:v>稀有</x:v>
      </x:c>
      <x:c r="J376" s="25" t="str">
        <x:v>S02</x:v>
      </x:c>
      <x:c r="K376" s="25" t="str">
        <x:v>42-80</x:v>
      </x:c>
      <x:c r="L376" s="25" t="n">
        <x:v>34400</x:v>
      </x:c>
      <x:c r="M376" s="25" t="n">
        <x:v>0</x:v>
      </x:c>
      <x:c r="N376" s="25" t="str">
        <x:v>否</x:v>
      </x:c>
      <x:c r="O376" s="25" t="n">
        <x:v>0</x:v>
      </x:c>
      <x:c r="P376" s="25" t="n">
        <x:v>0</x:v>
      </x:c>
      <x:c r="Q376" s="25" t="n">
        <x:v>0</x:v>
      </x:c>
      <x:c r="R376" s="25" t="str">
        <x:v>洗练绑定装备；项链幸运绑定人物永久进度；武器幸运成本忽略</x:v>
      </x:c>
    </x:row>
    <x:row r="377">
      <x:c r="A377" s="25" t="str">
        <x:v>C04-X</x:v>
      </x:c>
      <x:c r="B377" s="25" t="str">
        <x:v>利耶尼亚海域</x:v>
      </x:c>
      <x:c r="C377" s="25" t="str">
        <x:v>极端压力</x:v>
      </x:c>
      <x:c r="D377" s="25" t="n">
        <x:v>40</x:v>
      </x:c>
      <x:c r="E377" s="25" t="n">
        <x:v>44</x:v>
      </x:c>
      <x:c r="F377" s="25" t="str">
        <x:v>腐树子鼠</x:v>
      </x:c>
      <x:c r="G377" s="25" t="str">
        <x:v>生肖1</x:v>
      </x:c>
      <x:c r="H377" s="25" t="n">
        <x:v>2</x:v>
      </x:c>
      <x:c r="I377" s="25" t="str">
        <x:v>BOSS</x:v>
      </x:c>
      <x:c r="J377" s="25" t="str">
        <x:v>S02</x:v>
      </x:c>
      <x:c r="K377" s="25" t="str">
        <x:v>29-56</x:v>
      </x:c>
      <x:c r="L377" s="25" t="n">
        <x:v>23600</x:v>
      </x:c>
      <x:c r="M377" s="25" t="n">
        <x:v>0</x:v>
      </x:c>
      <x:c r="N377" s="25" t="str">
        <x:v>否</x:v>
      </x:c>
      <x:c r="O377" s="25" t="n">
        <x:v>0</x:v>
      </x:c>
      <x:c r="P377" s="25" t="n">
        <x:v>0</x:v>
      </x:c>
      <x:c r="Q377" s="25" t="n">
        <x:v>0</x:v>
      </x:c>
      <x:c r="R377" s="25" t="str">
        <x:v>洗练绑定装备；项链幸运绑定人物永久进度；武器幸运成本忽略</x:v>
      </x:c>
    </x:row>
    <x:row r="378">
      <x:c r="A378" s="25" t="str">
        <x:v>C04-X</x:v>
      </x:c>
      <x:c r="B378" s="25" t="str">
        <x:v>利耶尼亚海域</x:v>
      </x:c>
      <x:c r="C378" s="25" t="str">
        <x:v>极端压力</x:v>
      </x:c>
      <x:c r="D378" s="25" t="n">
        <x:v>41</x:v>
      </x:c>
      <x:c r="E378" s="25" t="n">
        <x:v>69</x:v>
      </x:c>
      <x:c r="F378" s="25" t="str">
        <x:v>丑牛·风暴负山</x:v>
      </x:c>
      <x:c r="G378" s="25" t="str">
        <x:v>生肖2</x:v>
      </x:c>
      <x:c r="H378" s="25" t="n">
        <x:v>2</x:v>
      </x:c>
      <x:c r="I378" s="25" t="str">
        <x:v>生肖合成</x:v>
      </x:c>
      <x:c r="J378" s="25" t="str">
        <x:v>S07</x:v>
      </x:c>
      <x:c r="K378" s="25" t="str">
        <x:v>25-49</x:v>
      </x:c>
      <x:c r="L378" s="25" t="n">
        <x:v>64000</x:v>
      </x:c>
      <x:c r="M378" s="25" t="n">
        <x:v>0</x:v>
      </x:c>
      <x:c r="N378" s="25" t="str">
        <x:v>否</x:v>
      </x:c>
      <x:c r="O378" s="25" t="n">
        <x:v>0</x:v>
      </x:c>
      <x:c r="P378" s="25" t="n">
        <x:v>0</x:v>
      </x:c>
      <x:c r="Q378" s="25" t="n">
        <x:v>0</x:v>
      </x:c>
      <x:c r="R378" s="25" t="str">
        <x:v>洗练绑定装备；项链幸运绑定人物永久进度；武器幸运成本忽略</x:v>
      </x:c>
    </x:row>
    <x:row r="379">
      <x:c r="A379" s="25" t="str">
        <x:v>C04-X</x:v>
      </x:c>
      <x:c r="B379" s="25" t="str">
        <x:v>利耶尼亚海域</x:v>
      </x:c>
      <x:c r="C379" s="25" t="str">
        <x:v>极端压力</x:v>
      </x:c>
      <x:c r="D379" s="25" t="n">
        <x:v>42</x:v>
      </x:c>
      <x:c r="E379" s="25" t="n">
        <x:v>66</x:v>
      </x:c>
      <x:c r="F379" s="25" t="str">
        <x:v>长戟寅虎</x:v>
      </x:c>
      <x:c r="G379" s="25" t="str">
        <x:v>生肖3</x:v>
      </x:c>
      <x:c r="H379" s="25" t="n">
        <x:v>2</x:v>
      </x:c>
      <x:c r="I379" s="25" t="str">
        <x:v>BOSS</x:v>
      </x:c>
      <x:c r="J379" s="25" t="str">
        <x:v>S02</x:v>
      </x:c>
      <x:c r="K379" s="25" t="str">
        <x:v>34-65</x:v>
      </x:c>
      <x:c r="L379" s="25" t="n">
        <x:v>32600</x:v>
      </x:c>
      <x:c r="M379" s="25" t="n">
        <x:v>0</x:v>
      </x:c>
      <x:c r="N379" s="25" t="str">
        <x:v>否</x:v>
      </x:c>
      <x:c r="O379" s="25" t="n">
        <x:v>0</x:v>
      </x:c>
      <x:c r="P379" s="25" t="n">
        <x:v>0</x:v>
      </x:c>
      <x:c r="Q379" s="25" t="n">
        <x:v>0</x:v>
      </x:c>
      <x:c r="R379" s="25" t="str">
        <x:v>洗练绑定装备；项链幸运绑定人物永久进度；武器幸运成本忽略</x:v>
      </x:c>
    </x:row>
    <x:row r="380">
      <x:c r="A380" s="25" t="str">
        <x:v>C04-X</x:v>
      </x:c>
      <x:c r="B380" s="25" t="str">
        <x:v>利耶尼亚海域</x:v>
      </x:c>
      <x:c r="C380" s="25" t="str">
        <x:v>极端压力</x:v>
      </x:c>
      <x:c r="D380" s="25" t="n">
        <x:v>43</x:v>
      </x:c>
      <x:c r="E380" s="25" t="n">
        <x:v>79</x:v>
      </x:c>
      <x:c r="F380" s="25" t="str">
        <x:v>无月卯兔</x:v>
      </x:c>
      <x:c r="G380" s="25" t="str">
        <x:v>生肖4</x:v>
      </x:c>
      <x:c r="H380" s="25" t="n">
        <x:v>2</x:v>
      </x:c>
      <x:c r="I380" s="25" t="str">
        <x:v>BOSS</x:v>
      </x:c>
      <x:c r="J380" s="25" t="str">
        <x:v>S02</x:v>
      </x:c>
      <x:c r="K380" s="25" t="str">
        <x:v>34-65</x:v>
      </x:c>
      <x:c r="L380" s="25" t="n">
        <x:v>32600</x:v>
      </x:c>
      <x:c r="M380" s="25" t="n">
        <x:v>0</x:v>
      </x:c>
      <x:c r="N380" s="25" t="str">
        <x:v>否</x:v>
      </x:c>
      <x:c r="O380" s="25" t="n">
        <x:v>0</x:v>
      </x:c>
      <x:c r="P380" s="25" t="n">
        <x:v>0</x:v>
      </x:c>
      <x:c r="Q380" s="25" t="n">
        <x:v>0</x:v>
      </x:c>
      <x:c r="R380" s="25" t="str">
        <x:v>洗练绑定装备；项链幸运绑定人物永久进度；武器幸运成本忽略</x:v>
      </x:c>
    </x:row>
    <x:row r="381">
      <x:c r="A381" s="25" t="str">
        <x:v>C04-X</x:v>
      </x:c>
      <x:c r="B381" s="25" t="str">
        <x:v>利耶尼亚海域</x:v>
      </x:c>
      <x:c r="C381" s="25" t="str">
        <x:v>极端压力</x:v>
      </x:c>
      <x:c r="D381" s="25" t="n">
        <x:v>44</x:v>
      </x:c>
      <x:c r="E381" s="25" t="n">
        <x:v>91</x:v>
      </x:c>
      <x:c r="F381" s="25" t="str">
        <x:v>辰龙·荒原逐风</x:v>
      </x:c>
      <x:c r="G381" s="25" t="str">
        <x:v>生肖5</x:v>
      </x:c>
      <x:c r="H381" s="25" t="n">
        <x:v>3</x:v>
      </x:c>
      <x:c r="I381" s="25" t="str">
        <x:v>生肖合成</x:v>
      </x:c>
      <x:c r="J381" s="25" t="str">
        <x:v>S07</x:v>
      </x:c>
      <x:c r="K381" s="25" t="str">
        <x:v>47-90</x:v>
      </x:c>
      <x:c r="L381" s="25" t="n">
        <x:v>120000</x:v>
      </x:c>
      <x:c r="M381" s="25" t="n">
        <x:v>0</x:v>
      </x:c>
      <x:c r="N381" s="25" t="str">
        <x:v>否</x:v>
      </x:c>
      <x:c r="O381" s="25" t="n">
        <x:v>0</x:v>
      </x:c>
      <x:c r="P381" s="25" t="n">
        <x:v>0</x:v>
      </x:c>
      <x:c r="Q381" s="25" t="n">
        <x:v>0</x:v>
      </x:c>
      <x:c r="R381" s="25" t="str">
        <x:v>洗练绑定装备；项链幸运绑定人物永久进度；武器幸运成本忽略</x:v>
      </x:c>
    </x:row>
    <x:row r="382">
      <x:c r="A382" s="25" t="str">
        <x:v>C04-X</x:v>
      </x:c>
      <x:c r="B382" s="25" t="str">
        <x:v>利耶尼亚海域</x:v>
      </x:c>
      <x:c r="C382" s="25" t="str">
        <x:v>极端压力</x:v>
      </x:c>
      <x:c r="D382" s="25" t="n">
        <x:v>45</x:v>
      </x:c>
      <x:c r="E382" s="25" t="n">
        <x:v>107</x:v>
      </x:c>
      <x:c r="F382" s="25" t="str">
        <x:v>巳蛇·沉潮缚月</x:v>
      </x:c>
      <x:c r="G382" s="25" t="str">
        <x:v>生肖6</x:v>
      </x:c>
      <x:c r="H382" s="25" t="n">
        <x:v>4</x:v>
      </x:c>
      <x:c r="I382" s="25" t="str">
        <x:v>生肖合成</x:v>
      </x:c>
      <x:c r="J382" s="25" t="str">
        <x:v>S07</x:v>
      </x:c>
      <x:c r="K382" s="25" t="str">
        <x:v>83-160</x:v>
      </x:c>
      <x:c r="L382" s="25" t="n">
        <x:v>200000</x:v>
      </x:c>
      <x:c r="M382" s="25" t="n">
        <x:v>0</x:v>
      </x:c>
      <x:c r="N382" s="25" t="str">
        <x:v>否</x:v>
      </x:c>
      <x:c r="O382" s="25" t="n">
        <x:v>0</x:v>
      </x:c>
      <x:c r="P382" s="25" t="n">
        <x:v>0</x:v>
      </x:c>
      <x:c r="Q382" s="25" t="n">
        <x:v>0</x:v>
      </x:c>
      <x:c r="R382" s="25" t="str">
        <x:v>洗练绑定装备；项链幸运绑定人物永久进度；武器幸运成本忽略</x:v>
      </x:c>
    </x:row>
    <x:row r="383">
      <x:c r="A383" s="25" t="str">
        <x:v>C04-X</x:v>
      </x:c>
      <x:c r="B383" s="25" t="str">
        <x:v>利耶尼亚海域</x:v>
      </x:c>
      <x:c r="C383" s="25" t="str">
        <x:v>极端压力</x:v>
      </x:c>
      <x:c r="D383" s="25" t="n">
        <x:v>46</x:v>
      </x:c>
      <x:c r="E383" s="25" t="n">
        <x:v>80</x:v>
      </x:c>
      <x:c r="F383" s="25" t="str">
        <x:v>死水午马</x:v>
      </x:c>
      <x:c r="G383" s="25" t="str">
        <x:v>生肖7</x:v>
      </x:c>
      <x:c r="H383" s="25" t="n">
        <x:v>2</x:v>
      </x:c>
      <x:c r="I383" s="25" t="str">
        <x:v>BOSS</x:v>
      </x:c>
      <x:c r="J383" s="25" t="str">
        <x:v>S02</x:v>
      </x:c>
      <x:c r="K383" s="25" t="str">
        <x:v>38-74</x:v>
      </x:c>
      <x:c r="L383" s="25" t="n">
        <x:v>45300</x:v>
      </x:c>
      <x:c r="M383" s="25" t="n">
        <x:v>0</x:v>
      </x:c>
      <x:c r="N383" s="25" t="str">
        <x:v>否</x:v>
      </x:c>
      <x:c r="O383" s="25" t="n">
        <x:v>0</x:v>
      </x:c>
      <x:c r="P383" s="25" t="n">
        <x:v>0</x:v>
      </x:c>
      <x:c r="Q383" s="25" t="n">
        <x:v>0</x:v>
      </x:c>
      <x:c r="R383" s="25" t="str">
        <x:v>洗练绑定装备；项链幸运绑定人物永久进度；武器幸运成本忽略</x:v>
      </x:c>
    </x:row>
    <x:row r="384">
      <x:c r="A384" s="25" t="str">
        <x:v>C04-X</x:v>
      </x:c>
      <x:c r="B384" s="25" t="str">
        <x:v>利耶尼亚海域</x:v>
      </x:c>
      <x:c r="C384" s="25" t="str">
        <x:v>极端压力</x:v>
      </x:c>
      <x:c r="D384" s="25" t="n">
        <x:v>47</x:v>
      </x:c>
      <x:c r="E384" s="25" t="n">
        <x:v>67</x:v>
      </x:c>
      <x:c r="F384" s="25" t="str">
        <x:v>葬日未羊</x:v>
      </x:c>
      <x:c r="G384" s="25" t="str">
        <x:v>生肖8</x:v>
      </x:c>
      <x:c r="H384" s="25" t="n">
        <x:v>2</x:v>
      </x:c>
      <x:c r="I384" s="25" t="str">
        <x:v>稀有</x:v>
      </x:c>
      <x:c r="J384" s="25" t="str">
        <x:v>S02</x:v>
      </x:c>
      <x:c r="K384" s="25" t="str">
        <x:v>37-72</x:v>
      </x:c>
      <x:c r="L384" s="25" t="n">
        <x:v>51600</x:v>
      </x:c>
      <x:c r="M384" s="25" t="n">
        <x:v>0</x:v>
      </x:c>
      <x:c r="N384" s="25" t="str">
        <x:v>否</x:v>
      </x:c>
      <x:c r="O384" s="25" t="n">
        <x:v>0</x:v>
      </x:c>
      <x:c r="P384" s="25" t="n">
        <x:v>0</x:v>
      </x:c>
      <x:c r="Q384" s="25" t="n">
        <x:v>0</x:v>
      </x:c>
      <x:c r="R384" s="25" t="str">
        <x:v>洗练绑定装备；项链幸运绑定人物永久进度；武器幸运成本忽略</x:v>
      </x:c>
    </x:row>
    <x:row r="385">
      <x:c r="A385" s="25" t="str">
        <x:v>C04-X</x:v>
      </x:c>
      <x:c r="B385" s="25" t="str">
        <x:v>利耶尼亚海域</x:v>
      </x:c>
      <x:c r="C385" s="25" t="str">
        <x:v>极端压力</x:v>
      </x:c>
      <x:c r="D385" s="25" t="n">
        <x:v>48</x:v>
      </x:c>
      <x:c r="E385" s="25" t="n">
        <x:v>81</x:v>
      </x:c>
      <x:c r="F385" s="25" t="str">
        <x:v>雷冠申猴</x:v>
      </x:c>
      <x:c r="G385" s="25" t="str">
        <x:v>生肖9</x:v>
      </x:c>
      <x:c r="H385" s="25" t="n">
        <x:v>2</x:v>
      </x:c>
      <x:c r="I385" s="25" t="str">
        <x:v>BOSS</x:v>
      </x:c>
      <x:c r="J385" s="25" t="str">
        <x:v>S02</x:v>
      </x:c>
      <x:c r="K385" s="25" t="str">
        <x:v>44-84</x:v>
      </x:c>
      <x:c r="L385" s="25" t="n">
        <x:v>59800</x:v>
      </x:c>
      <x:c r="M385" s="25" t="n">
        <x:v>0</x:v>
      </x:c>
      <x:c r="N385" s="25" t="str">
        <x:v>否</x:v>
      </x:c>
      <x:c r="O385" s="25" t="n">
        <x:v>0</x:v>
      </x:c>
      <x:c r="P385" s="25" t="n">
        <x:v>0</x:v>
      </x:c>
      <x:c r="Q385" s="25" t="n">
        <x:v>0</x:v>
      </x:c>
      <x:c r="R385" s="25" t="str">
        <x:v>洗练绑定装备；项链幸运绑定人物永久进度；武器幸运成本忽略</x:v>
      </x:c>
    </x:row>
    <x:row r="386">
      <x:c r="A386" s="25" t="str">
        <x:v>C04-X</x:v>
      </x:c>
      <x:c r="B386" s="25" t="str">
        <x:v>利耶尼亚海域</x:v>
      </x:c>
      <x:c r="C386" s="25" t="str">
        <x:v>极端压力</x:v>
      </x:c>
      <x:c r="D386" s="25" t="n">
        <x:v>49</x:v>
      </x:c>
      <x:c r="E386" s="25" t="n">
        <x:v>82</x:v>
      </x:c>
      <x:c r="F386" s="25" t="str">
        <x:v>恶兆酉鸡</x:v>
      </x:c>
      <x:c r="G386" s="25" t="str">
        <x:v>生肖10</x:v>
      </x:c>
      <x:c r="H386" s="25" t="n">
        <x:v>2</x:v>
      </x:c>
      <x:c r="I386" s="25" t="str">
        <x:v>BOSS</x:v>
      </x:c>
      <x:c r="J386" s="25" t="str">
        <x:v>S02</x:v>
      </x:c>
      <x:c r="K386" s="25" t="str">
        <x:v>44-84</x:v>
      </x:c>
      <x:c r="L386" s="25" t="n">
        <x:v>59800</x:v>
      </x:c>
      <x:c r="M386" s="25" t="n">
        <x:v>0</x:v>
      </x:c>
      <x:c r="N386" s="25" t="str">
        <x:v>否</x:v>
      </x:c>
      <x:c r="O386" s="25" t="n">
        <x:v>0</x:v>
      </x:c>
      <x:c r="P386" s="25" t="n">
        <x:v>0</x:v>
      </x:c>
      <x:c r="Q386" s="25" t="n">
        <x:v>0</x:v>
      </x:c>
      <x:c r="R386" s="25" t="str">
        <x:v>洗练绑定装备；项链幸运绑定人物永久进度；武器幸运成本忽略</x:v>
      </x:c>
    </x:row>
    <x:row r="387">
      <x:c r="A387" s="25" t="str">
        <x:v>C04-X</x:v>
      </x:c>
      <x:c r="B387" s="25" t="str">
        <x:v>利耶尼亚海域</x:v>
      </x:c>
      <x:c r="C387" s="25" t="str">
        <x:v>极端压力</x:v>
      </x:c>
      <x:c r="D387" s="25" t="n">
        <x:v>50</x:v>
      </x:c>
      <x:c r="E387" s="25" t="n">
        <x:v>83</x:v>
      </x:c>
      <x:c r="F387" s="25" t="str">
        <x:v>失乡戌狗</x:v>
      </x:c>
      <x:c r="G387" s="25" t="str">
        <x:v>生肖11</x:v>
      </x:c>
      <x:c r="H387" s="25" t="n">
        <x:v>2</x:v>
      </x:c>
      <x:c r="I387" s="25" t="str">
        <x:v>BOSS</x:v>
      </x:c>
      <x:c r="J387" s="25" t="str">
        <x:v>S02</x:v>
      </x:c>
      <x:c r="K387" s="25" t="str">
        <x:v>48-93</x:v>
      </x:c>
      <x:c r="L387" s="25" t="n">
        <x:v>79800</x:v>
      </x:c>
      <x:c r="M387" s="25" t="n">
        <x:v>0</x:v>
      </x:c>
      <x:c r="N387" s="25" t="str">
        <x:v>否</x:v>
      </x:c>
      <x:c r="O387" s="25" t="n">
        <x:v>0</x:v>
      </x:c>
      <x:c r="P387" s="25" t="n">
        <x:v>0</x:v>
      </x:c>
      <x:c r="Q387" s="25" t="n">
        <x:v>0</x:v>
      </x:c>
      <x:c r="R387" s="25" t="str">
        <x:v>洗练绑定装备；项链幸运绑定人物永久进度；武器幸运成本忽略</x:v>
      </x:c>
    </x:row>
    <x:row r="388">
      <x:c r="A388" s="25" t="str">
        <x:v>C04-X</x:v>
      </x:c>
      <x:c r="B388" s="25" t="str">
        <x:v>利耶尼亚海域</x:v>
      </x:c>
      <x:c r="C388" s="25" t="str">
        <x:v>极端压力</x:v>
      </x:c>
      <x:c r="D388" s="25" t="n">
        <x:v>51</x:v>
      </x:c>
      <x:c r="E388" s="25" t="n">
        <x:v>84</x:v>
      </x:c>
      <x:c r="F388" s="25" t="str">
        <x:v>接肢亥猪</x:v>
      </x:c>
      <x:c r="G388" s="25" t="str">
        <x:v>生肖12</x:v>
      </x:c>
      <x:c r="H388" s="25" t="n">
        <x:v>2</x:v>
      </x:c>
      <x:c r="I388" s="25" t="str">
        <x:v>守关BOSS</x:v>
      </x:c>
      <x:c r="J388" s="25" t="str">
        <x:v>S02</x:v>
      </x:c>
      <x:c r="K388" s="25" t="str">
        <x:v>55-106</x:v>
      </x:c>
      <x:c r="L388" s="25" t="n">
        <x:v>90800</x:v>
      </x:c>
      <x:c r="M388" s="25" t="n">
        <x:v>0</x:v>
      </x:c>
      <x:c r="N388" s="25" t="str">
        <x:v>否</x:v>
      </x:c>
      <x:c r="O388" s="25" t="n">
        <x:v>0</x:v>
      </x:c>
      <x:c r="P388" s="25" t="n">
        <x:v>0</x:v>
      </x:c>
      <x:c r="Q388" s="25" t="n">
        <x:v>0</x:v>
      </x:c>
      <x:c r="R388" s="25" t="str">
        <x:v>洗练绑定装备；项链幸运绑定人物永久进度；武器幸运成本忽略</x:v>
      </x:c>
    </x:row>
    <x:row r="389">
      <x:c r="A389" s="25" t="str">
        <x:v>C04-X</x:v>
      </x:c>
      <x:c r="B389" s="25" t="str">
        <x:v>利耶尼亚海域</x:v>
      </x:c>
      <x:c r="C389" s="25" t="str">
        <x:v>极端压力</x:v>
      </x:c>
      <x:c r="D389" s="25" t="n">
        <x:v>70</x:v>
      </x:c>
      <x:c r="E389" s="25" t="n">
        <x:v>126</x:v>
      </x:c>
      <x:c r="F389" s="25" t="str">
        <x:v>闭潮秘饰</x:v>
      </x:c>
      <x:c r="G389" s="25" t="str">
        <x:v>时装首饰盒</x:v>
      </x:c>
      <x:c r="H389" s="25" t="n">
        <x:v>4</x:v>
      </x:c>
      <x:c r="I389" s="25" t="str">
        <x:v>装备合成</x:v>
      </x:c>
      <x:c r="J389" s="25" t="str">
        <x:v>S07</x:v>
      </x:c>
      <x:c r="K389" s="25" t="str">
        <x:v>230-450</x:v>
      </x:c>
      <x:c r="L389" s="25" t="n">
        <x:v>460000</x:v>
      </x:c>
      <x:c r="M389" s="25" t="n">
        <x:v>0</x:v>
      </x:c>
      <x:c r="N389" s="25" t="str">
        <x:v>否</x:v>
      </x:c>
      <x:c r="O389" s="25" t="n">
        <x:v>0</x:v>
      </x:c>
      <x:c r="P389" s="25" t="n">
        <x:v>0</x:v>
      </x:c>
      <x:c r="Q389" s="25" t="n">
        <x:v>0</x:v>
      </x:c>
      <x:c r="R389" s="25" t="str">
        <x:v>洗练绑定装备；项链幸运绑定人物永久进度；武器幸运成本忽略</x:v>
      </x:c>
    </x:row>
    <x:row r="390">
      <x:c r="A390" s="25" t="str">
        <x:v>C05-E</x:v>
      </x:c>
      <x:c r="B390" s="25" t="str">
        <x:v>湖之利耶尼亚</x:v>
      </x:c>
      <x:c r="C390" s="25" t="str">
        <x:v>半急速入场</x:v>
      </x:c>
      <x:c r="D390" s="25" t="n">
        <x:v>0</x:v>
      </x:c>
      <x:c r="E390" s="25" t="n">
        <x:v>87</x:v>
      </x:c>
      <x:c r="F390" s="25" t="str">
        <x:v>巨犀荒铠</x:v>
      </x:c>
      <x:c r="G390" s="25" t="str">
        <x:v>衣服</x:v>
      </x:c>
      <x:c r="H390" s="25" t="n">
        <x:v>3</x:v>
      </x:c>
      <x:c r="I390" s="25" t="str">
        <x:v>地图BOSS</x:v>
      </x:c>
      <x:c r="J390" s="25" t="str">
        <x:v>S07</x:v>
      </x:c>
      <x:c r="K390" s="25" t="str">
        <x:v>78-150</x:v>
      </x:c>
      <x:c r="L390" s="25" t="n">
        <x:v>440000</x:v>
      </x:c>
      <x:c r="M390" s="25" t="n">
        <x:v>6</x:v>
      </x:c>
      <x:c r="N390" s="25" t="str">
        <x:v>否</x:v>
      </x:c>
      <x:c r="O390" s="25" t="n">
        <x:v>0</x:v>
      </x:c>
      <x:c r="P390" s="25" t="n">
        <x:v>0</x:v>
      </x:c>
      <x:c r="Q390" s="25" t="n">
        <x:v>0</x:v>
      </x:c>
      <x:c r="R390" s="25" t="str">
        <x:v>洗练绑定装备；项链幸运绑定人物永久进度；武器幸运成本忽略</x:v>
      </x:c>
    </x:row>
    <x:row r="391">
      <x:c r="A391" s="25" t="str">
        <x:v>C05-E</x:v>
      </x:c>
      <x:c r="B391" s="25" t="str">
        <x:v>湖之利耶尼亚</x:v>
      </x:c>
      <x:c r="C391" s="25" t="str">
        <x:v>半急速入场</x:v>
      </x:c>
      <x:c r="D391" s="25" t="n">
        <x:v>1</x:v>
      </x:c>
      <x:c r="E391" s="25" t="n">
        <x:v>100</x:v>
      </x:c>
      <x:c r="F391" s="25" t="str">
        <x:v>雷戈古戟</x:v>
      </x:c>
      <x:c r="G391" s="25" t="str">
        <x:v>武器</x:v>
      </x:c>
      <x:c r="H391" s="25" t="n">
        <x:v>3</x:v>
      </x:c>
      <x:c r="I391" s="25" t="str">
        <x:v>地图BOSS</x:v>
      </x:c>
      <x:c r="J391" s="25" t="str">
        <x:v>S07</x:v>
      </x:c>
      <x:c r="K391" s="25" t="str">
        <x:v>780-1500</x:v>
      </x:c>
      <x:c r="L391" s="25" t="n">
        <x:v>88000</x:v>
      </x:c>
      <x:c r="M391" s="25" t="n">
        <x:v>4</x:v>
      </x:c>
      <x:c r="N391" s="25" t="str">
        <x:v>否</x:v>
      </x:c>
      <x:c r="O391" s="25" t="n">
        <x:v>7</x:v>
      </x:c>
      <x:c r="P391" s="25" t="n">
        <x:v>0</x:v>
      </x:c>
      <x:c r="Q391" s="25" t="n">
        <x:v>0</x:v>
      </x:c>
      <x:c r="R391" s="25" t="str">
        <x:v>洗练绑定装备；项链幸运绑定人物永久进度；武器幸运成本忽略</x:v>
      </x:c>
    </x:row>
    <x:row r="392">
      <x:c r="A392" s="25" t="str">
        <x:v>C05-E</x:v>
      </x:c>
      <x:c r="B392" s="25" t="str">
        <x:v>湖之利耶尼亚</x:v>
      </x:c>
      <x:c r="C392" s="25" t="str">
        <x:v>半急速入场</x:v>
      </x:c>
      <x:c r="D392" s="25" t="n">
        <x:v>2</x:v>
      </x:c>
      <x:c r="E392" s="25" t="n">
        <x:v>88</x:v>
      </x:c>
      <x:c r="F392" s="25" t="str">
        <x:v>火漆追缉令</x:v>
      </x:c>
      <x:c r="G392" s="25" t="str">
        <x:v>勋章</x:v>
      </x:c>
      <x:c r="H392" s="25" t="n">
        <x:v>3</x:v>
      </x:c>
      <x:c r="I392" s="25" t="str">
        <x:v>稀有</x:v>
      </x:c>
      <x:c r="J392" s="25" t="str">
        <x:v>S07</x:v>
      </x:c>
      <x:c r="K392" s="25" t="str">
        <x:v>78-150</x:v>
      </x:c>
      <x:c r="L392" s="25" t="n">
        <x:v>71000</x:v>
      </x:c>
      <x:c r="M392" s="25" t="n">
        <x:v>0</x:v>
      </x:c>
      <x:c r="N392" s="25" t="str">
        <x:v>否</x:v>
      </x:c>
      <x:c r="O392" s="25" t="n">
        <x:v>0</x:v>
      </x:c>
      <x:c r="P392" s="25" t="n">
        <x:v>0</x:v>
      </x:c>
      <x:c r="Q392" s="25" t="n">
        <x:v>0</x:v>
      </x:c>
      <x:c r="R392" s="25" t="str">
        <x:v>洗练绑定装备；项链幸运绑定人物永久进度；武器幸运成本忽略</x:v>
      </x:c>
    </x:row>
    <x:row r="393">
      <x:c r="A393" s="25" t="str">
        <x:v>C05-E</x:v>
      </x:c>
      <x:c r="B393" s="25" t="str">
        <x:v>湖之利耶尼亚</x:v>
      </x:c>
      <x:c r="C393" s="25" t="str">
        <x:v>半急速入场</x:v>
      </x:c>
      <x:c r="D393" s="25" t="n">
        <x:v>3</x:v>
      </x:c>
      <x:c r="E393" s="25" t="n">
        <x:v>101</x:v>
      </x:c>
      <x:c r="F393" s="25" t="str">
        <x:v>引魂铜铃链</x:v>
      </x:c>
      <x:c r="G393" s="25" t="str">
        <x:v>项链</x:v>
      </x:c>
      <x:c r="H393" s="25" t="n">
        <x:v>4</x:v>
      </x:c>
      <x:c r="I393" s="25" t="str">
        <x:v>普通</x:v>
      </x:c>
      <x:c r="J393" s="25" t="str">
        <x:v>S07</x:v>
      </x:c>
      <x:c r="K393" s="25" t="str">
        <x:v>88-170</x:v>
      </x:c>
      <x:c r="L393" s="25" t="n">
        <x:v>74000</x:v>
      </x:c>
      <x:c r="M393" s="25" t="n">
        <x:v>1</x:v>
      </x:c>
      <x:c r="N393" s="25" t="str">
        <x:v>否</x:v>
      </x:c>
      <x:c r="O393" s="25" t="n">
        <x:v>0</x:v>
      </x:c>
      <x:c r="P393" s="25" t="n">
        <x:v>0</x:v>
      </x:c>
      <x:c r="Q393" s="25" t="n">
        <x:v>0</x:v>
      </x:c>
      <x:c r="R393" s="25" t="str">
        <x:v>洗练绑定装备；项链幸运绑定人物永久进度；武器幸运成本忽略</x:v>
      </x:c>
    </x:row>
    <x:row r="394">
      <x:c r="A394" s="25" t="str">
        <x:v>C05-E</x:v>
      </x:c>
      <x:c r="B394" s="25" t="str">
        <x:v>湖之利耶尼亚</x:v>
      </x:c>
      <x:c r="C394" s="25" t="str">
        <x:v>半急速入场</x:v>
      </x:c>
      <x:c r="D394" s="25" t="n">
        <x:v>4</x:v>
      </x:c>
      <x:c r="E394" s="25" t="n">
        <x:v>35</x:v>
      </x:c>
      <x:c r="F394" s="25" t="str">
        <x:v>圣树先锋战盔</x:v>
      </x:c>
      <x:c r="G394" s="25" t="str">
        <x:v>头盔</x:v>
      </x:c>
      <x:c r="H394" s="25" t="n">
        <x:v>2</x:v>
      </x:c>
      <x:c r="I394" s="25" t="str">
        <x:v>制式</x:v>
      </x:c>
      <x:c r="J394" s="25" t="str">
        <x:v>S01</x:v>
      </x:c>
      <x:c r="K394" s="25" t="str">
        <x:v>24-48</x:v>
      </x:c>
      <x:c r="L394" s="25" t="n">
        <x:v>15000</x:v>
      </x:c>
      <x:c r="M394" s="25" t="n">
        <x:v>4</x:v>
      </x:c>
      <x:c r="N394" s="25" t="str">
        <x:v>否</x:v>
      </x:c>
      <x:c r="O394" s="25" t="n">
        <x:v>0</x:v>
      </x:c>
      <x:c r="P394" s="25" t="n">
        <x:v>0</x:v>
      </x:c>
      <x:c r="Q394" s="25" t="n">
        <x:v>0</x:v>
      </x:c>
      <x:c r="R394" s="25" t="str">
        <x:v>洗练绑定装备；项链幸运绑定人物永久进度；武器幸运成本忽略</x:v>
      </x:c>
    </x:row>
    <x:row r="395">
      <x:c r="A395" s="25" t="str">
        <x:v>C05-E</x:v>
      </x:c>
      <x:c r="B395" s="25" t="str">
        <x:v>湖之利耶尼亚</x:v>
      </x:c>
      <x:c r="C395" s="25" t="str">
        <x:v>半急速入场</x:v>
      </x:c>
      <x:c r="D395" s="25" t="n">
        <x:v>5</x:v>
      </x:c>
      <x:c r="E395" s="25" t="n">
        <x:v>102</x:v>
      </x:c>
      <x:c r="F395" s="25" t="str">
        <x:v>赐光祷誓镯</x:v>
      </x:c>
      <x:c r="G395" s="25" t="str">
        <x:v>手镯</x:v>
      </x:c>
      <x:c r="H395" s="25" t="n">
        <x:v>3</x:v>
      </x:c>
      <x:c r="I395" s="25" t="str">
        <x:v>稀有</x:v>
      </x:c>
      <x:c r="J395" s="25" t="str">
        <x:v>S07</x:v>
      </x:c>
      <x:c r="K395" s="25" t="str">
        <x:v>99-190</x:v>
      </x:c>
      <x:c r="L395" s="25" t="n">
        <x:v>77000</x:v>
      </x:c>
      <x:c r="M395" s="25" t="n">
        <x:v>1</x:v>
      </x:c>
      <x:c r="N395" s="25" t="str">
        <x:v>否</x:v>
      </x:c>
      <x:c r="O395" s="25" t="n">
        <x:v>0</x:v>
      </x:c>
      <x:c r="P395" s="25" t="n">
        <x:v>0</x:v>
      </x:c>
      <x:c r="Q395" s="25" t="n">
        <x:v>0</x:v>
      </x:c>
      <x:c r="R395" s="25" t="str">
        <x:v>洗练绑定装备；项链幸运绑定人物永久进度；武器幸运成本忽略</x:v>
      </x:c>
    </x:row>
    <x:row r="396">
      <x:c r="A396" s="25" t="str">
        <x:v>C05-E</x:v>
      </x:c>
      <x:c r="B396" s="25" t="str">
        <x:v>湖之利耶尼亚</x:v>
      </x:c>
      <x:c r="C396" s="25" t="str">
        <x:v>半急速入场</x:v>
      </x:c>
      <x:c r="D396" s="25" t="n">
        <x:v>6</x:v>
      </x:c>
      <x:c r="E396" s="25" t="n">
        <x:v>68</x:v>
      </x:c>
      <x:c r="F396" s="25" t="str">
        <x:v>百指接肢腕</x:v>
      </x:c>
      <x:c r="G396" s="25" t="str">
        <x:v>手镯</x:v>
      </x:c>
      <x:c r="H396" s="25" t="n">
        <x:v>2</x:v>
      </x:c>
      <x:c r="I396" s="25" t="str">
        <x:v>装备合成</x:v>
      </x:c>
      <x:c r="J396" s="25" t="str">
        <x:v>S07</x:v>
      </x:c>
      <x:c r="K396" s="25" t="str">
        <x:v>110-210</x:v>
      </x:c>
      <x:c r="L396" s="25" t="n">
        <x:v>85000</x:v>
      </x:c>
      <x:c r="M396" s="25" t="n">
        <x:v>5</x:v>
      </x:c>
      <x:c r="N396" s="25" t="str">
        <x:v>否</x:v>
      </x:c>
      <x:c r="O396" s="25" t="n">
        <x:v>0</x:v>
      </x:c>
      <x:c r="P396" s="25" t="n">
        <x:v>0</x:v>
      </x:c>
      <x:c r="Q396" s="25" t="n">
        <x:v>0</x:v>
      </x:c>
      <x:c r="R396" s="25" t="str">
        <x:v>洗练绑定装备；项链幸运绑定人物永久进度；武器幸运成本忽略</x:v>
      </x:c>
    </x:row>
    <x:row r="397">
      <x:c r="A397" s="25" t="str">
        <x:v>C05-E</x:v>
      </x:c>
      <x:c r="B397" s="25" t="str">
        <x:v>湖之利耶尼亚</x:v>
      </x:c>
      <x:c r="C397" s="25" t="str">
        <x:v>半急速入场</x:v>
      </x:c>
      <x:c r="D397" s="25" t="n">
        <x:v>7</x:v>
      </x:c>
      <x:c r="E397" s="25" t="n">
        <x:v>111</x:v>
      </x:c>
      <x:c r="F397" s="25" t="str">
        <x:v>蓝焰祷戒</x:v>
      </x:c>
      <x:c r="G397" s="25" t="str">
        <x:v>戒指</x:v>
      </x:c>
      <x:c r="H397" s="25" t="n">
        <x:v>4</x:v>
      </x:c>
      <x:c r="I397" s="25" t="str">
        <x:v>稀有</x:v>
      </x:c>
      <x:c r="J397" s="25" t="str">
        <x:v>S07</x:v>
      </x:c>
      <x:c r="K397" s="25" t="str">
        <x:v>150-280</x:v>
      </x:c>
      <x:c r="L397" s="25" t="n">
        <x:v>110000</x:v>
      </x:c>
      <x:c r="M397" s="25" t="n">
        <x:v>4</x:v>
      </x:c>
      <x:c r="N397" s="25" t="str">
        <x:v>否</x:v>
      </x:c>
      <x:c r="O397" s="25" t="n">
        <x:v>0</x:v>
      </x:c>
      <x:c r="P397" s="25" t="n">
        <x:v>0</x:v>
      </x:c>
      <x:c r="Q397" s="25" t="n">
        <x:v>0</x:v>
      </x:c>
      <x:c r="R397" s="25" t="str">
        <x:v>洗练绑定装备；项链幸运绑定人物永久进度；武器幸运成本忽略</x:v>
      </x:c>
    </x:row>
    <x:row r="398">
      <x:c r="A398" s="25" t="str">
        <x:v>C05-E</x:v>
      </x:c>
      <x:c r="B398" s="25" t="str">
        <x:v>湖之利耶尼亚</x:v>
      </x:c>
      <x:c r="C398" s="25" t="str">
        <x:v>半急速入场</x:v>
      </x:c>
      <x:c r="D398" s="25" t="n">
        <x:v>8</x:v>
      </x:c>
      <x:c r="E398" s="25" t="n">
        <x:v>112</x:v>
      </x:c>
      <x:c r="F398" s="25" t="str">
        <x:v>月渊秘戒</x:v>
      </x:c>
      <x:c r="G398" s="25" t="str">
        <x:v>戒指</x:v>
      </x:c>
      <x:c r="H398" s="25" t="n">
        <x:v>4</x:v>
      </x:c>
      <x:c r="I398" s="25" t="str">
        <x:v>装备合成</x:v>
      </x:c>
      <x:c r="J398" s="25" t="str">
        <x:v>S07</x:v>
      </x:c>
      <x:c r="K398" s="25" t="str">
        <x:v>350-670</x:v>
      </x:c>
      <x:c r="L398" s="25" t="n">
        <x:v>270000</x:v>
      </x:c>
      <x:c r="M398" s="25" t="n">
        <x:v>8</x:v>
      </x:c>
      <x:c r="N398" s="25" t="str">
        <x:v>是</x:v>
      </x:c>
      <x:c r="O398" s="25" t="n">
        <x:v>0</x:v>
      </x:c>
      <x:c r="P398" s="25" t="n">
        <x:v>0</x:v>
      </x:c>
      <x:c r="Q398" s="25" t="n">
        <x:v>0</x:v>
      </x:c>
      <x:c r="R398" s="25" t="str">
        <x:v>洗练绑定装备；项链幸运绑定人物永久进度；武器幸运成本忽略</x:v>
      </x:c>
    </x:row>
    <x:row r="399">
      <x:c r="A399" s="25" t="str">
        <x:v>C05-E</x:v>
      </x:c>
      <x:c r="B399" s="25" t="str">
        <x:v>湖之利耶尼亚</x:v>
      </x:c>
      <x:c r="C399" s="25" t="str">
        <x:v>半急速入场</x:v>
      </x:c>
      <x:c r="D399" s="25" t="n">
        <x:v>10</x:v>
      </x:c>
      <x:c r="E399" s="25" t="n">
        <x:v>99</x:v>
      </x:c>
      <x:c r="F399" s="25" t="str">
        <x:v>流寇束带</x:v>
      </x:c>
      <x:c r="G399" s="25" t="str">
        <x:v>腰带</x:v>
      </x:c>
      <x:c r="H399" s="25" t="n">
        <x:v>2</x:v>
      </x:c>
      <x:c r="I399" s="25" t="str">
        <x:v>普通</x:v>
      </x:c>
      <x:c r="J399" s="25" t="str">
        <x:v>S02</x:v>
      </x:c>
      <x:c r="K399" s="25" t="str">
        <x:v>41-79</x:v>
      </x:c>
      <x:c r="L399" s="25" t="n">
        <x:v>69000</x:v>
      </x:c>
      <x:c r="M399" s="25" t="n">
        <x:v>5</x:v>
      </x:c>
      <x:c r="N399" s="25" t="str">
        <x:v>否</x:v>
      </x:c>
      <x:c r="O399" s="25" t="n">
        <x:v>0</x:v>
      </x:c>
      <x:c r="P399" s="25" t="n">
        <x:v>0</x:v>
      </x:c>
      <x:c r="Q399" s="25" t="n">
        <x:v>0</x:v>
      </x:c>
      <x:c r="R399" s="25" t="str">
        <x:v>洗练绑定装备；项链幸运绑定人物永久进度；武器幸运成本忽略</x:v>
      </x:c>
    </x:row>
    <x:row r="400">
      <x:c r="A400" s="25" t="str">
        <x:v>C05-E</x:v>
      </x:c>
      <x:c r="B400" s="25" t="str">
        <x:v>湖之利耶尼亚</x:v>
      </x:c>
      <x:c r="C400" s="25" t="str">
        <x:v>半急速入场</x:v>
      </x:c>
      <x:c r="D400" s="25" t="n">
        <x:v>11</x:v>
      </x:c>
      <x:c r="E400" s="25" t="n">
        <x:v>94</x:v>
      </x:c>
      <x:c r="F400" s="25" t="str">
        <x:v>逐风征靴</x:v>
      </x:c>
      <x:c r="G400" s="25" t="str">
        <x:v>鞋子</x:v>
      </x:c>
      <x:c r="H400" s="25" t="n">
        <x:v>3</x:v>
      </x:c>
      <x:c r="I400" s="25" t="str">
        <x:v>装备合成</x:v>
      </x:c>
      <x:c r="J400" s="25" t="str">
        <x:v>S07</x:v>
      </x:c>
      <x:c r="K400" s="25" t="str">
        <x:v>100-200</x:v>
      </x:c>
      <x:c r="L400" s="25" t="n">
        <x:v>150000</x:v>
      </x:c>
      <x:c r="M400" s="25" t="n">
        <x:v>3</x:v>
      </x:c>
      <x:c r="N400" s="25" t="str">
        <x:v>否</x:v>
      </x:c>
      <x:c r="O400" s="25" t="n">
        <x:v>0</x:v>
      </x:c>
      <x:c r="P400" s="25" t="n">
        <x:v>0</x:v>
      </x:c>
      <x:c r="Q400" s="25" t="n">
        <x:v>0</x:v>
      </x:c>
      <x:c r="R400" s="25" t="str">
        <x:v>洗练绑定装备；项链幸运绑定人物永久进度；武器幸运成本忽略</x:v>
      </x:c>
    </x:row>
    <x:row r="401">
      <x:c r="A401" s="25" t="str">
        <x:v>C05-E</x:v>
      </x:c>
      <x:c r="B401" s="25" t="str">
        <x:v>湖之利耶尼亚</x:v>
      </x:c>
      <x:c r="C401" s="25" t="str">
        <x:v>半急速入场</x:v>
      </x:c>
      <x:c r="D401" s="25" t="n">
        <x:v>13</x:v>
      </x:c>
      <x:c r="E401" s="25" t="n">
        <x:v>105</x:v>
      </x:c>
      <x:c r="F401" s="25" t="str">
        <x:v>白鳍浪客笠</x:v>
      </x:c>
      <x:c r="G401" s="25" t="str">
        <x:v>斗笠</x:v>
      </x:c>
      <x:c r="H401" s="25" t="n">
        <x:v>4</x:v>
      </x:c>
      <x:c r="I401" s="25" t="str">
        <x:v>稀有</x:v>
      </x:c>
      <x:c r="J401" s="25" t="str">
        <x:v>S07</x:v>
      </x:c>
      <x:c r="K401" s="25" t="str">
        <x:v>73-140</x:v>
      </x:c>
      <x:c r="L401" s="25" t="n">
        <x:v>88000</x:v>
      </x:c>
      <x:c r="M401" s="25" t="n">
        <x:v>0</x:v>
      </x:c>
      <x:c r="N401" s="25" t="str">
        <x:v>否</x:v>
      </x:c>
      <x:c r="O401" s="25" t="n">
        <x:v>0</x:v>
      </x:c>
      <x:c r="P401" s="25" t="n">
        <x:v>0</x:v>
      </x:c>
      <x:c r="Q401" s="25" t="n">
        <x:v>0</x:v>
      </x:c>
      <x:c r="R401" s="25" t="str">
        <x:v>洗练绑定装备；项链幸运绑定人物永久进度；武器幸运成本忽略</x:v>
      </x:c>
    </x:row>
    <x:row r="402">
      <x:c r="A402" s="25" t="str">
        <x:v>C05-E</x:v>
      </x:c>
      <x:c r="B402" s="25" t="str">
        <x:v>湖之利耶尼亚</x:v>
      </x:c>
      <x:c r="C402" s="25" t="str">
        <x:v>半急速入场</x:v>
      </x:c>
      <x:c r="D402" s="25" t="n">
        <x:v>16</x:v>
      </x:c>
      <x:c r="E402" s="25" t="n">
        <x:v>89</x:v>
      </x:c>
      <x:c r="F402" s="25" t="str">
        <x:v>边境塔盾</x:v>
      </x:c>
      <x:c r="G402" s="25" t="str">
        <x:v>盾牌</x:v>
      </x:c>
      <x:c r="H402" s="25" t="n">
        <x:v>3</x:v>
      </x:c>
      <x:c r="I402" s="25" t="str">
        <x:v>稀有</x:v>
      </x:c>
      <x:c r="J402" s="25" t="str">
        <x:v>S07</x:v>
      </x:c>
      <x:c r="K402" s="25" t="str">
        <x:v>68-130</x:v>
      </x:c>
      <x:c r="L402" s="25" t="n">
        <x:v>250000</x:v>
      </x:c>
      <x:c r="M402" s="25" t="n">
        <x:v>0</x:v>
      </x:c>
      <x:c r="N402" s="25" t="str">
        <x:v>否</x:v>
      </x:c>
      <x:c r="O402" s="25" t="n">
        <x:v>0</x:v>
      </x:c>
      <x:c r="P402" s="25" t="n">
        <x:v>0</x:v>
      </x:c>
      <x:c r="Q402" s="25" t="n">
        <x:v>0</x:v>
      </x:c>
      <x:c r="R402" s="25" t="str">
        <x:v>洗练绑定装备；项链幸运绑定人物永久进度；武器幸运成本忽略</x:v>
      </x:c>
    </x:row>
    <x:row r="403">
      <x:c r="A403" s="25" t="str">
        <x:v>C05-E</x:v>
      </x:c>
      <x:c r="B403" s="25" t="str">
        <x:v>湖之利耶尼亚</x:v>
      </x:c>
      <x:c r="C403" s="25" t="str">
        <x:v>半急速入场</x:v>
      </x:c>
      <x:c r="D403" s="25" t="n">
        <x:v>18</x:v>
      </x:c>
      <x:c r="E403" s="25" t="n">
        <x:v>26</x:v>
      </x:c>
      <x:c r="F403" s="25" t="str">
        <x:v>无冠王衣</x:v>
      </x:c>
      <x:c r="G403" s="25" t="str">
        <x:v>时装衣服</x:v>
      </x:c>
      <x:c r="H403" s="25" t="n">
        <x:v>1</x:v>
      </x:c>
      <x:c r="I403" s="25" t="str">
        <x:v>守关BOSS</x:v>
      </x:c>
      <x:c r="J403" s="25" t="str">
        <x:v>S02</x:v>
      </x:c>
      <x:c r="K403" s="25" t="str">
        <x:v>28-53</x:v>
      </x:c>
      <x:c r="L403" s="25" t="n">
        <x:v>74300</x:v>
      </x:c>
      <x:c r="M403" s="25" t="n">
        <x:v>0</x:v>
      </x:c>
      <x:c r="N403" s="25" t="str">
        <x:v>否</x:v>
      </x:c>
      <x:c r="O403" s="25" t="n">
        <x:v>0</x:v>
      </x:c>
      <x:c r="P403" s="25" t="n">
        <x:v>0</x:v>
      </x:c>
      <x:c r="Q403" s="25" t="n">
        <x:v>0</x:v>
      </x:c>
      <x:c r="R403" s="25" t="str">
        <x:v>洗练绑定装备；项链幸运绑定人物永久进度；武器幸运成本忽略</x:v>
      </x:c>
    </x:row>
    <x:row r="404">
      <x:c r="A404" s="25" t="str">
        <x:v>C05-E</x:v>
      </x:c>
      <x:c r="B404" s="25" t="str">
        <x:v>湖之利耶尼亚</x:v>
      </x:c>
      <x:c r="C404" s="25" t="str">
        <x:v>半急速入场</x:v>
      </x:c>
      <x:c r="D404" s="25" t="n">
        <x:v>19</x:v>
      </x:c>
      <x:c r="E404" s="25" t="n">
        <x:v>64</x:v>
      </x:c>
      <x:c r="F404" s="25" t="str">
        <x:v>百夫熔戟</x:v>
      </x:c>
      <x:c r="G404" s="25" t="str">
        <x:v>时装武器</x:v>
      </x:c>
      <x:c r="H404" s="25" t="n">
        <x:v>2</x:v>
      </x:c>
      <x:c r="I404" s="25" t="str">
        <x:v>稀有</x:v>
      </x:c>
      <x:c r="J404" s="25" t="str">
        <x:v>S02</x:v>
      </x:c>
      <x:c r="K404" s="25" t="str">
        <x:v>150-288</x:v>
      </x:c>
      <x:c r="L404" s="25" t="n">
        <x:v>45400</x:v>
      </x:c>
      <x:c r="M404" s="25" t="n">
        <x:v>0</x:v>
      </x:c>
      <x:c r="N404" s="25" t="str">
        <x:v>否</x:v>
      </x:c>
      <x:c r="O404" s="25" t="n">
        <x:v>0</x:v>
      </x:c>
      <x:c r="P404" s="25" t="n">
        <x:v>0</x:v>
      </x:c>
      <x:c r="Q404" s="25" t="n">
        <x:v>0</x:v>
      </x:c>
      <x:c r="R404" s="25" t="str">
        <x:v>洗练绑定装备；项链幸运绑定人物永久进度；武器幸运成本忽略</x:v>
      </x:c>
    </x:row>
    <x:row r="405">
      <x:c r="A405" s="25" t="str">
        <x:v>C05-E</x:v>
      </x:c>
      <x:c r="B405" s="25" t="str">
        <x:v>湖之利耶尼亚</x:v>
      </x:c>
      <x:c r="C405" s="25" t="str">
        <x:v>半急速入场</x:v>
      </x:c>
      <x:c r="D405" s="25" t="n">
        <x:v>20</x:v>
      </x:c>
      <x:c r="E405" s="25" t="n">
        <x:v>40</x:v>
      </x:c>
      <x:c r="F405" s="25" t="str">
        <x:v>英雄余誓</x:v>
      </x:c>
      <x:c r="G405" s="25" t="str">
        <x:v>时装项链</x:v>
      </x:c>
      <x:c r="H405" s="25" t="n">
        <x:v>2</x:v>
      </x:c>
      <x:c r="I405" s="25" t="str">
        <x:v>稀有</x:v>
      </x:c>
      <x:c r="J405" s="25" t="str">
        <x:v>S02</x:v>
      </x:c>
      <x:c r="K405" s="25" t="str">
        <x:v>31-60</x:v>
      </x:c>
      <x:c r="L405" s="25" t="n">
        <x:v>17900</x:v>
      </x:c>
      <x:c r="M405" s="25" t="n">
        <x:v>0</x:v>
      </x:c>
      <x:c r="N405" s="25" t="str">
        <x:v>否</x:v>
      </x:c>
      <x:c r="O405" s="25" t="n">
        <x:v>0</x:v>
      </x:c>
      <x:c r="P405" s="25" t="n">
        <x:v>0</x:v>
      </x:c>
      <x:c r="Q405" s="25" t="n">
        <x:v>0</x:v>
      </x:c>
      <x:c r="R405" s="25" t="str">
        <x:v>洗练绑定装备；项链幸运绑定人物永久进度；武器幸运成本忽略</x:v>
      </x:c>
    </x:row>
    <x:row r="406">
      <x:c r="A406" s="25" t="str">
        <x:v>C05-E</x:v>
      </x:c>
      <x:c r="B406" s="25" t="str">
        <x:v>湖之利耶尼亚</x:v>
      </x:c>
      <x:c r="C406" s="25" t="str">
        <x:v>半急速入场</x:v>
      </x:c>
      <x:c r="D406" s="25" t="n">
        <x:v>21</x:v>
      </x:c>
      <x:c r="E406" s="25" t="n">
        <x:v>41</x:v>
      </x:c>
      <x:c r="F406" s="25" t="str">
        <x:v>初火兜鍪</x:v>
      </x:c>
      <x:c r="G406" s="25" t="str">
        <x:v>时装头盔</x:v>
      </x:c>
      <x:c r="H406" s="25" t="n">
        <x:v>2</x:v>
      </x:c>
      <x:c r="I406" s="25" t="str">
        <x:v>稀有</x:v>
      </x:c>
      <x:c r="J406" s="25" t="str">
        <x:v>S02</x:v>
      </x:c>
      <x:c r="K406" s="25" t="str">
        <x:v>22-42</x:v>
      </x:c>
      <x:c r="L406" s="25" t="n">
        <x:v>30900</x:v>
      </x:c>
      <x:c r="M406" s="25" t="n">
        <x:v>0</x:v>
      </x:c>
      <x:c r="N406" s="25" t="str">
        <x:v>否</x:v>
      </x:c>
      <x:c r="O406" s="25" t="n">
        <x:v>0</x:v>
      </x:c>
      <x:c r="P406" s="25" t="n">
        <x:v>0</x:v>
      </x:c>
      <x:c r="Q406" s="25" t="n">
        <x:v>0</x:v>
      </x:c>
      <x:c r="R406" s="25" t="str">
        <x:v>洗练绑定装备；项链幸运绑定人物永久进度；武器幸运成本忽略</x:v>
      </x:c>
    </x:row>
    <x:row r="407">
      <x:c r="A407" s="25" t="str">
        <x:v>C05-E</x:v>
      </x:c>
      <x:c r="B407" s="25" t="str">
        <x:v>湖之利耶尼亚</x:v>
      </x:c>
      <x:c r="C407" s="25" t="str">
        <x:v>半急速入场</x:v>
      </x:c>
      <x:c r="D407" s="25" t="n">
        <x:v>22</x:v>
      </x:c>
      <x:c r="E407" s="25" t="n">
        <x:v>42</x:v>
      </x:c>
      <x:c r="F407" s="25" t="str">
        <x:v>卢恩血镯</x:v>
      </x:c>
      <x:c r="G407" s="25" t="str">
        <x:v>时装手镯</x:v>
      </x:c>
      <x:c r="H407" s="25" t="n">
        <x:v>2</x:v>
      </x:c>
      <x:c r="I407" s="25" t="str">
        <x:v>稀有</x:v>
      </x:c>
      <x:c r="J407" s="25" t="str">
        <x:v>S02</x:v>
      </x:c>
      <x:c r="K407" s="25" t="str">
        <x:v>42-80</x:v>
      </x:c>
      <x:c r="L407" s="25" t="n">
        <x:v>34400</x:v>
      </x:c>
      <x:c r="M407" s="25" t="n">
        <x:v>0</x:v>
      </x:c>
      <x:c r="N407" s="25" t="str">
        <x:v>否</x:v>
      </x:c>
      <x:c r="O407" s="25" t="n">
        <x:v>0</x:v>
      </x:c>
      <x:c r="P407" s="25" t="n">
        <x:v>0</x:v>
      </x:c>
      <x:c r="Q407" s="25" t="n">
        <x:v>0</x:v>
      </x:c>
      <x:c r="R407" s="25" t="str">
        <x:v>洗练绑定装备；项链幸运绑定人物永久进度；武器幸运成本忽略</x:v>
      </x:c>
    </x:row>
    <x:row r="408">
      <x:c r="A408" s="25" t="str">
        <x:v>C05-E</x:v>
      </x:c>
      <x:c r="B408" s="25" t="str">
        <x:v>湖之利耶尼亚</x:v>
      </x:c>
      <x:c r="C408" s="25" t="str">
        <x:v>半急速入场</x:v>
      </x:c>
      <x:c r="D408" s="25" t="n">
        <x:v>24</x:v>
      </x:c>
      <x:c r="E408" s="25" t="n">
        <x:v>43</x:v>
      </x:c>
      <x:c r="F408" s="25" t="str">
        <x:v>黄金树戒</x:v>
      </x:c>
      <x:c r="G408" s="25" t="str">
        <x:v>时装戒指</x:v>
      </x:c>
      <x:c r="H408" s="25" t="n">
        <x:v>2</x:v>
      </x:c>
      <x:c r="I408" s="25" t="str">
        <x:v>稀有</x:v>
      </x:c>
      <x:c r="J408" s="25" t="str">
        <x:v>S02</x:v>
      </x:c>
      <x:c r="K408" s="25" t="str">
        <x:v>42-80</x:v>
      </x:c>
      <x:c r="L408" s="25" t="n">
        <x:v>34400</x:v>
      </x:c>
      <x:c r="M408" s="25" t="n">
        <x:v>0</x:v>
      </x:c>
      <x:c r="N408" s="25" t="str">
        <x:v>否</x:v>
      </x:c>
      <x:c r="O408" s="25" t="n">
        <x:v>0</x:v>
      </x:c>
      <x:c r="P408" s="25" t="n">
        <x:v>0</x:v>
      </x:c>
      <x:c r="Q408" s="25" t="n">
        <x:v>0</x:v>
      </x:c>
      <x:c r="R408" s="25" t="str">
        <x:v>洗练绑定装备；项链幸运绑定人物永久进度；武器幸运成本忽略</x:v>
      </x:c>
    </x:row>
    <x:row r="409">
      <x:c r="A409" s="25" t="str">
        <x:v>C05-E</x:v>
      </x:c>
      <x:c r="B409" s="25" t="str">
        <x:v>湖之利耶尼亚</x:v>
      </x:c>
      <x:c r="C409" s="25" t="str">
        <x:v>半急速入场</x:v>
      </x:c>
      <x:c r="D409" s="25" t="n">
        <x:v>40</x:v>
      </x:c>
      <x:c r="E409" s="25" t="n">
        <x:v>44</x:v>
      </x:c>
      <x:c r="F409" s="25" t="str">
        <x:v>腐树子鼠</x:v>
      </x:c>
      <x:c r="G409" s="25" t="str">
        <x:v>生肖1</x:v>
      </x:c>
      <x:c r="H409" s="25" t="n">
        <x:v>2</x:v>
      </x:c>
      <x:c r="I409" s="25" t="str">
        <x:v>BOSS</x:v>
      </x:c>
      <x:c r="J409" s="25" t="str">
        <x:v>S02</x:v>
      </x:c>
      <x:c r="K409" s="25" t="str">
        <x:v>29-56</x:v>
      </x:c>
      <x:c r="L409" s="25" t="n">
        <x:v>23600</x:v>
      </x:c>
      <x:c r="M409" s="25" t="n">
        <x:v>0</x:v>
      </x:c>
      <x:c r="N409" s="25" t="str">
        <x:v>否</x:v>
      </x:c>
      <x:c r="O409" s="25" t="n">
        <x:v>0</x:v>
      </x:c>
      <x:c r="P409" s="25" t="n">
        <x:v>0</x:v>
      </x:c>
      <x:c r="Q409" s="25" t="n">
        <x:v>0</x:v>
      </x:c>
      <x:c r="R409" s="25" t="str">
        <x:v>洗练绑定装备；项链幸运绑定人物永久进度；武器幸运成本忽略</x:v>
      </x:c>
    </x:row>
    <x:row r="410">
      <x:c r="A410" s="25" t="str">
        <x:v>C05-E</x:v>
      </x:c>
      <x:c r="B410" s="25" t="str">
        <x:v>湖之利耶尼亚</x:v>
      </x:c>
      <x:c r="C410" s="25" t="str">
        <x:v>半急速入场</x:v>
      </x:c>
      <x:c r="D410" s="25" t="n">
        <x:v>41</x:v>
      </x:c>
      <x:c r="E410" s="25" t="n">
        <x:v>69</x:v>
      </x:c>
      <x:c r="F410" s="25" t="str">
        <x:v>丑牛·风暴负山</x:v>
      </x:c>
      <x:c r="G410" s="25" t="str">
        <x:v>生肖2</x:v>
      </x:c>
      <x:c r="H410" s="25" t="n">
        <x:v>2</x:v>
      </x:c>
      <x:c r="I410" s="25" t="str">
        <x:v>生肖合成</x:v>
      </x:c>
      <x:c r="J410" s="25" t="str">
        <x:v>S07</x:v>
      </x:c>
      <x:c r="K410" s="25" t="str">
        <x:v>25-49</x:v>
      </x:c>
      <x:c r="L410" s="25" t="n">
        <x:v>64000</x:v>
      </x:c>
      <x:c r="M410" s="25" t="n">
        <x:v>0</x:v>
      </x:c>
      <x:c r="N410" s="25" t="str">
        <x:v>否</x:v>
      </x:c>
      <x:c r="O410" s="25" t="n">
        <x:v>0</x:v>
      </x:c>
      <x:c r="P410" s="25" t="n">
        <x:v>0</x:v>
      </x:c>
      <x:c r="Q410" s="25" t="n">
        <x:v>0</x:v>
      </x:c>
      <x:c r="R410" s="25" t="str">
        <x:v>洗练绑定装备；项链幸运绑定人物永久进度；武器幸运成本忽略</x:v>
      </x:c>
    </x:row>
    <x:row r="411">
      <x:c r="A411" s="25" t="str">
        <x:v>C05-E</x:v>
      </x:c>
      <x:c r="B411" s="25" t="str">
        <x:v>湖之利耶尼亚</x:v>
      </x:c>
      <x:c r="C411" s="25" t="str">
        <x:v>半急速入场</x:v>
      </x:c>
      <x:c r="D411" s="25" t="n">
        <x:v>42</x:v>
      </x:c>
      <x:c r="E411" s="25" t="n">
        <x:v>66</x:v>
      </x:c>
      <x:c r="F411" s="25" t="str">
        <x:v>长戟寅虎</x:v>
      </x:c>
      <x:c r="G411" s="25" t="str">
        <x:v>生肖3</x:v>
      </x:c>
      <x:c r="H411" s="25" t="n">
        <x:v>2</x:v>
      </x:c>
      <x:c r="I411" s="25" t="str">
        <x:v>BOSS</x:v>
      </x:c>
      <x:c r="J411" s="25" t="str">
        <x:v>S02</x:v>
      </x:c>
      <x:c r="K411" s="25" t="str">
        <x:v>34-65</x:v>
      </x:c>
      <x:c r="L411" s="25" t="n">
        <x:v>32600</x:v>
      </x:c>
      <x:c r="M411" s="25" t="n">
        <x:v>0</x:v>
      </x:c>
      <x:c r="N411" s="25" t="str">
        <x:v>否</x:v>
      </x:c>
      <x:c r="O411" s="25" t="n">
        <x:v>0</x:v>
      </x:c>
      <x:c r="P411" s="25" t="n">
        <x:v>0</x:v>
      </x:c>
      <x:c r="Q411" s="25" t="n">
        <x:v>0</x:v>
      </x:c>
      <x:c r="R411" s="25" t="str">
        <x:v>洗练绑定装备；项链幸运绑定人物永久进度；武器幸运成本忽略</x:v>
      </x:c>
    </x:row>
    <x:row r="412">
      <x:c r="A412" s="25" t="str">
        <x:v>C05-E</x:v>
      </x:c>
      <x:c r="B412" s="25" t="str">
        <x:v>湖之利耶尼亚</x:v>
      </x:c>
      <x:c r="C412" s="25" t="str">
        <x:v>半急速入场</x:v>
      </x:c>
      <x:c r="D412" s="25" t="n">
        <x:v>43</x:v>
      </x:c>
      <x:c r="E412" s="25" t="n">
        <x:v>79</x:v>
      </x:c>
      <x:c r="F412" s="25" t="str">
        <x:v>无月卯兔</x:v>
      </x:c>
      <x:c r="G412" s="25" t="str">
        <x:v>生肖4</x:v>
      </x:c>
      <x:c r="H412" s="25" t="n">
        <x:v>2</x:v>
      </x:c>
      <x:c r="I412" s="25" t="str">
        <x:v>BOSS</x:v>
      </x:c>
      <x:c r="J412" s="25" t="str">
        <x:v>S02</x:v>
      </x:c>
      <x:c r="K412" s="25" t="str">
        <x:v>34-65</x:v>
      </x:c>
      <x:c r="L412" s="25" t="n">
        <x:v>32600</x:v>
      </x:c>
      <x:c r="M412" s="25" t="n">
        <x:v>0</x:v>
      </x:c>
      <x:c r="N412" s="25" t="str">
        <x:v>否</x:v>
      </x:c>
      <x:c r="O412" s="25" t="n">
        <x:v>0</x:v>
      </x:c>
      <x:c r="P412" s="25" t="n">
        <x:v>0</x:v>
      </x:c>
      <x:c r="Q412" s="25" t="n">
        <x:v>0</x:v>
      </x:c>
      <x:c r="R412" s="25" t="str">
        <x:v>洗练绑定装备；项链幸运绑定人物永久进度；武器幸运成本忽略</x:v>
      </x:c>
    </x:row>
    <x:row r="413">
      <x:c r="A413" s="25" t="str">
        <x:v>C05-E</x:v>
      </x:c>
      <x:c r="B413" s="25" t="str">
        <x:v>湖之利耶尼亚</x:v>
      </x:c>
      <x:c r="C413" s="25" t="str">
        <x:v>半急速入场</x:v>
      </x:c>
      <x:c r="D413" s="25" t="n">
        <x:v>44</x:v>
      </x:c>
      <x:c r="E413" s="25" t="n">
        <x:v>91</x:v>
      </x:c>
      <x:c r="F413" s="25" t="str">
        <x:v>辰龙·荒原逐风</x:v>
      </x:c>
      <x:c r="G413" s="25" t="str">
        <x:v>生肖5</x:v>
      </x:c>
      <x:c r="H413" s="25" t="n">
        <x:v>3</x:v>
      </x:c>
      <x:c r="I413" s="25" t="str">
        <x:v>生肖合成</x:v>
      </x:c>
      <x:c r="J413" s="25" t="str">
        <x:v>S07</x:v>
      </x:c>
      <x:c r="K413" s="25" t="str">
        <x:v>47-90</x:v>
      </x:c>
      <x:c r="L413" s="25" t="n">
        <x:v>120000</x:v>
      </x:c>
      <x:c r="M413" s="25" t="n">
        <x:v>0</x:v>
      </x:c>
      <x:c r="N413" s="25" t="str">
        <x:v>否</x:v>
      </x:c>
      <x:c r="O413" s="25" t="n">
        <x:v>0</x:v>
      </x:c>
      <x:c r="P413" s="25" t="n">
        <x:v>0</x:v>
      </x:c>
      <x:c r="Q413" s="25" t="n">
        <x:v>0</x:v>
      </x:c>
      <x:c r="R413" s="25" t="str">
        <x:v>洗练绑定装备；项链幸运绑定人物永久进度；武器幸运成本忽略</x:v>
      </x:c>
    </x:row>
    <x:row r="414">
      <x:c r="A414" s="25" t="str">
        <x:v>C05-E</x:v>
      </x:c>
      <x:c r="B414" s="25" t="str">
        <x:v>湖之利耶尼亚</x:v>
      </x:c>
      <x:c r="C414" s="25" t="str">
        <x:v>半急速入场</x:v>
      </x:c>
      <x:c r="D414" s="25" t="n">
        <x:v>45</x:v>
      </x:c>
      <x:c r="E414" s="25" t="n">
        <x:v>107</x:v>
      </x:c>
      <x:c r="F414" s="25" t="str">
        <x:v>巳蛇·沉潮缚月</x:v>
      </x:c>
      <x:c r="G414" s="25" t="str">
        <x:v>生肖6</x:v>
      </x:c>
      <x:c r="H414" s="25" t="n">
        <x:v>4</x:v>
      </x:c>
      <x:c r="I414" s="25" t="str">
        <x:v>生肖合成</x:v>
      </x:c>
      <x:c r="J414" s="25" t="str">
        <x:v>S07</x:v>
      </x:c>
      <x:c r="K414" s="25" t="str">
        <x:v>83-160</x:v>
      </x:c>
      <x:c r="L414" s="25" t="n">
        <x:v>200000</x:v>
      </x:c>
      <x:c r="M414" s="25" t="n">
        <x:v>0</x:v>
      </x:c>
      <x:c r="N414" s="25" t="str">
        <x:v>否</x:v>
      </x:c>
      <x:c r="O414" s="25" t="n">
        <x:v>0</x:v>
      </x:c>
      <x:c r="P414" s="25" t="n">
        <x:v>0</x:v>
      </x:c>
      <x:c r="Q414" s="25" t="n">
        <x:v>0</x:v>
      </x:c>
      <x:c r="R414" s="25" t="str">
        <x:v>洗练绑定装备；项链幸运绑定人物永久进度；武器幸运成本忽略</x:v>
      </x:c>
    </x:row>
    <x:row r="415">
      <x:c r="A415" s="25" t="str">
        <x:v>C05-E</x:v>
      </x:c>
      <x:c r="B415" s="25" t="str">
        <x:v>湖之利耶尼亚</x:v>
      </x:c>
      <x:c r="C415" s="25" t="str">
        <x:v>半急速入场</x:v>
      </x:c>
      <x:c r="D415" s="25" t="n">
        <x:v>46</x:v>
      </x:c>
      <x:c r="E415" s="25" t="n">
        <x:v>80</x:v>
      </x:c>
      <x:c r="F415" s="25" t="str">
        <x:v>死水午马</x:v>
      </x:c>
      <x:c r="G415" s="25" t="str">
        <x:v>生肖7</x:v>
      </x:c>
      <x:c r="H415" s="25" t="n">
        <x:v>2</x:v>
      </x:c>
      <x:c r="I415" s="25" t="str">
        <x:v>BOSS</x:v>
      </x:c>
      <x:c r="J415" s="25" t="str">
        <x:v>S02</x:v>
      </x:c>
      <x:c r="K415" s="25" t="str">
        <x:v>38-74</x:v>
      </x:c>
      <x:c r="L415" s="25" t="n">
        <x:v>45300</x:v>
      </x:c>
      <x:c r="M415" s="25" t="n">
        <x:v>0</x:v>
      </x:c>
      <x:c r="N415" s="25" t="str">
        <x:v>否</x:v>
      </x:c>
      <x:c r="O415" s="25" t="n">
        <x:v>0</x:v>
      </x:c>
      <x:c r="P415" s="25" t="n">
        <x:v>0</x:v>
      </x:c>
      <x:c r="Q415" s="25" t="n">
        <x:v>0</x:v>
      </x:c>
      <x:c r="R415" s="25" t="str">
        <x:v>洗练绑定装备；项链幸运绑定人物永久进度；武器幸运成本忽略</x:v>
      </x:c>
    </x:row>
    <x:row r="416">
      <x:c r="A416" s="25" t="str">
        <x:v>C05-E</x:v>
      </x:c>
      <x:c r="B416" s="25" t="str">
        <x:v>湖之利耶尼亚</x:v>
      </x:c>
      <x:c r="C416" s="25" t="str">
        <x:v>半急速入场</x:v>
      </x:c>
      <x:c r="D416" s="25" t="n">
        <x:v>47</x:v>
      </x:c>
      <x:c r="E416" s="25" t="n">
        <x:v>67</x:v>
      </x:c>
      <x:c r="F416" s="25" t="str">
        <x:v>葬日未羊</x:v>
      </x:c>
      <x:c r="G416" s="25" t="str">
        <x:v>生肖8</x:v>
      </x:c>
      <x:c r="H416" s="25" t="n">
        <x:v>2</x:v>
      </x:c>
      <x:c r="I416" s="25" t="str">
        <x:v>稀有</x:v>
      </x:c>
      <x:c r="J416" s="25" t="str">
        <x:v>S02</x:v>
      </x:c>
      <x:c r="K416" s="25" t="str">
        <x:v>37-72</x:v>
      </x:c>
      <x:c r="L416" s="25" t="n">
        <x:v>51600</x:v>
      </x:c>
      <x:c r="M416" s="25" t="n">
        <x:v>0</x:v>
      </x:c>
      <x:c r="N416" s="25" t="str">
        <x:v>否</x:v>
      </x:c>
      <x:c r="O416" s="25" t="n">
        <x:v>0</x:v>
      </x:c>
      <x:c r="P416" s="25" t="n">
        <x:v>0</x:v>
      </x:c>
      <x:c r="Q416" s="25" t="n">
        <x:v>0</x:v>
      </x:c>
      <x:c r="R416" s="25" t="str">
        <x:v>洗练绑定装备；项链幸运绑定人物永久进度；武器幸运成本忽略</x:v>
      </x:c>
    </x:row>
    <x:row r="417">
      <x:c r="A417" s="25" t="str">
        <x:v>C05-E</x:v>
      </x:c>
      <x:c r="B417" s="25" t="str">
        <x:v>湖之利耶尼亚</x:v>
      </x:c>
      <x:c r="C417" s="25" t="str">
        <x:v>半急速入场</x:v>
      </x:c>
      <x:c r="D417" s="25" t="n">
        <x:v>48</x:v>
      </x:c>
      <x:c r="E417" s="25" t="n">
        <x:v>81</x:v>
      </x:c>
      <x:c r="F417" s="25" t="str">
        <x:v>雷冠申猴</x:v>
      </x:c>
      <x:c r="G417" s="25" t="str">
        <x:v>生肖9</x:v>
      </x:c>
      <x:c r="H417" s="25" t="n">
        <x:v>2</x:v>
      </x:c>
      <x:c r="I417" s="25" t="str">
        <x:v>BOSS</x:v>
      </x:c>
      <x:c r="J417" s="25" t="str">
        <x:v>S02</x:v>
      </x:c>
      <x:c r="K417" s="25" t="str">
        <x:v>44-84</x:v>
      </x:c>
      <x:c r="L417" s="25" t="n">
        <x:v>59800</x:v>
      </x:c>
      <x:c r="M417" s="25" t="n">
        <x:v>0</x:v>
      </x:c>
      <x:c r="N417" s="25" t="str">
        <x:v>否</x:v>
      </x:c>
      <x:c r="O417" s="25" t="n">
        <x:v>0</x:v>
      </x:c>
      <x:c r="P417" s="25" t="n">
        <x:v>0</x:v>
      </x:c>
      <x:c r="Q417" s="25" t="n">
        <x:v>0</x:v>
      </x:c>
      <x:c r="R417" s="25" t="str">
        <x:v>洗练绑定装备；项链幸运绑定人物永久进度；武器幸运成本忽略</x:v>
      </x:c>
    </x:row>
    <x:row r="418">
      <x:c r="A418" s="25" t="str">
        <x:v>C05-E</x:v>
      </x:c>
      <x:c r="B418" s="25" t="str">
        <x:v>湖之利耶尼亚</x:v>
      </x:c>
      <x:c r="C418" s="25" t="str">
        <x:v>半急速入场</x:v>
      </x:c>
      <x:c r="D418" s="25" t="n">
        <x:v>49</x:v>
      </x:c>
      <x:c r="E418" s="25" t="n">
        <x:v>82</x:v>
      </x:c>
      <x:c r="F418" s="25" t="str">
        <x:v>恶兆酉鸡</x:v>
      </x:c>
      <x:c r="G418" s="25" t="str">
        <x:v>生肖10</x:v>
      </x:c>
      <x:c r="H418" s="25" t="n">
        <x:v>2</x:v>
      </x:c>
      <x:c r="I418" s="25" t="str">
        <x:v>BOSS</x:v>
      </x:c>
      <x:c r="J418" s="25" t="str">
        <x:v>S02</x:v>
      </x:c>
      <x:c r="K418" s="25" t="str">
        <x:v>44-84</x:v>
      </x:c>
      <x:c r="L418" s="25" t="n">
        <x:v>59800</x:v>
      </x:c>
      <x:c r="M418" s="25" t="n">
        <x:v>0</x:v>
      </x:c>
      <x:c r="N418" s="25" t="str">
        <x:v>否</x:v>
      </x:c>
      <x:c r="O418" s="25" t="n">
        <x:v>0</x:v>
      </x:c>
      <x:c r="P418" s="25" t="n">
        <x:v>0</x:v>
      </x:c>
      <x:c r="Q418" s="25" t="n">
        <x:v>0</x:v>
      </x:c>
      <x:c r="R418" s="25" t="str">
        <x:v>洗练绑定装备；项链幸运绑定人物永久进度；武器幸运成本忽略</x:v>
      </x:c>
    </x:row>
    <x:row r="419">
      <x:c r="A419" s="25" t="str">
        <x:v>C05-E</x:v>
      </x:c>
      <x:c r="B419" s="25" t="str">
        <x:v>湖之利耶尼亚</x:v>
      </x:c>
      <x:c r="C419" s="25" t="str">
        <x:v>半急速入场</x:v>
      </x:c>
      <x:c r="D419" s="25" t="n">
        <x:v>50</x:v>
      </x:c>
      <x:c r="E419" s="25" t="n">
        <x:v>83</x:v>
      </x:c>
      <x:c r="F419" s="25" t="str">
        <x:v>失乡戌狗</x:v>
      </x:c>
      <x:c r="G419" s="25" t="str">
        <x:v>生肖11</x:v>
      </x:c>
      <x:c r="H419" s="25" t="n">
        <x:v>2</x:v>
      </x:c>
      <x:c r="I419" s="25" t="str">
        <x:v>BOSS</x:v>
      </x:c>
      <x:c r="J419" s="25" t="str">
        <x:v>S02</x:v>
      </x:c>
      <x:c r="K419" s="25" t="str">
        <x:v>48-93</x:v>
      </x:c>
      <x:c r="L419" s="25" t="n">
        <x:v>79800</x:v>
      </x:c>
      <x:c r="M419" s="25" t="n">
        <x:v>0</x:v>
      </x:c>
      <x:c r="N419" s="25" t="str">
        <x:v>否</x:v>
      </x:c>
      <x:c r="O419" s="25" t="n">
        <x:v>0</x:v>
      </x:c>
      <x:c r="P419" s="25" t="n">
        <x:v>0</x:v>
      </x:c>
      <x:c r="Q419" s="25" t="n">
        <x:v>0</x:v>
      </x:c>
      <x:c r="R419" s="25" t="str">
        <x:v>洗练绑定装备；项链幸运绑定人物永久进度；武器幸运成本忽略</x:v>
      </x:c>
    </x:row>
    <x:row r="420">
      <x:c r="A420" s="25" t="str">
        <x:v>C05-E</x:v>
      </x:c>
      <x:c r="B420" s="25" t="str">
        <x:v>湖之利耶尼亚</x:v>
      </x:c>
      <x:c r="C420" s="25" t="str">
        <x:v>半急速入场</x:v>
      </x:c>
      <x:c r="D420" s="25" t="n">
        <x:v>51</x:v>
      </x:c>
      <x:c r="E420" s="25" t="n">
        <x:v>84</x:v>
      </x:c>
      <x:c r="F420" s="25" t="str">
        <x:v>接肢亥猪</x:v>
      </x:c>
      <x:c r="G420" s="25" t="str">
        <x:v>生肖12</x:v>
      </x:c>
      <x:c r="H420" s="25" t="n">
        <x:v>2</x:v>
      </x:c>
      <x:c r="I420" s="25" t="str">
        <x:v>守关BOSS</x:v>
      </x:c>
      <x:c r="J420" s="25" t="str">
        <x:v>S02</x:v>
      </x:c>
      <x:c r="K420" s="25" t="str">
        <x:v>55-106</x:v>
      </x:c>
      <x:c r="L420" s="25" t="n">
        <x:v>90800</x:v>
      </x:c>
      <x:c r="M420" s="25" t="n">
        <x:v>0</x:v>
      </x:c>
      <x:c r="N420" s="25" t="str">
        <x:v>否</x:v>
      </x:c>
      <x:c r="O420" s="25" t="n">
        <x:v>0</x:v>
      </x:c>
      <x:c r="P420" s="25" t="n">
        <x:v>0</x:v>
      </x:c>
      <x:c r="Q420" s="25" t="n">
        <x:v>0</x:v>
      </x:c>
      <x:c r="R420" s="25" t="str">
        <x:v>洗练绑定装备；项链幸运绑定人物永久进度；武器幸运成本忽略</x:v>
      </x:c>
    </x:row>
    <x:row r="421">
      <x:c r="A421" s="25" t="str">
        <x:v>C05-M</x:v>
      </x:c>
      <x:c r="B421" s="25" t="str">
        <x:v>湖之利耶尼亚</x:v>
      </x:c>
      <x:c r="C421" s="25" t="str">
        <x:v>半急速中期</x:v>
      </x:c>
      <x:c r="D421" s="25" t="n">
        <x:v>0</x:v>
      </x:c>
      <x:c r="E421" s="25" t="n">
        <x:v>93</x:v>
      </x:c>
      <x:c r="F421" s="25" t="str">
        <x:v>巨犀荒铠</x:v>
      </x:c>
      <x:c r="G421" s="25" t="str">
        <x:v>衣服</x:v>
      </x:c>
      <x:c r="H421" s="25" t="n">
        <x:v>3</x:v>
      </x:c>
      <x:c r="I421" s="25" t="str">
        <x:v>地图BOSS</x:v>
      </x:c>
      <x:c r="J421" s="25" t="str">
        <x:v>S07</x:v>
      </x:c>
      <x:c r="K421" s="25" t="str">
        <x:v>78-150</x:v>
      </x:c>
      <x:c r="L421" s="25" t="n">
        <x:v>440000</x:v>
      </x:c>
      <x:c r="M421" s="25" t="n">
        <x:v>7</x:v>
      </x:c>
      <x:c r="N421" s="25" t="str">
        <x:v>是</x:v>
      </x:c>
      <x:c r="O421" s="25" t="n">
        <x:v>0</x:v>
      </x:c>
      <x:c r="P421" s="25" t="n">
        <x:v>0</x:v>
      </x:c>
      <x:c r="Q421" s="25" t="n">
        <x:v>0</x:v>
      </x:c>
      <x:c r="R421" s="25" t="str">
        <x:v>洗练绑定装备；项链幸运绑定人物永久进度；武器幸运成本忽略</x:v>
      </x:c>
    </x:row>
    <x:row r="422">
      <x:c r="A422" s="25" t="str">
        <x:v>C05-M</x:v>
      </x:c>
      <x:c r="B422" s="25" t="str">
        <x:v>湖之利耶尼亚</x:v>
      </x:c>
      <x:c r="C422" s="25" t="str">
        <x:v>半急速中期</x:v>
      </x:c>
      <x:c r="D422" s="25" t="n">
        <x:v>1</x:v>
      </x:c>
      <x:c r="E422" s="25" t="n">
        <x:v>100</x:v>
      </x:c>
      <x:c r="F422" s="25" t="str">
        <x:v>雷戈古戟</x:v>
      </x:c>
      <x:c r="G422" s="25" t="str">
        <x:v>武器</x:v>
      </x:c>
      <x:c r="H422" s="25" t="n">
        <x:v>3</x:v>
      </x:c>
      <x:c r="I422" s="25" t="str">
        <x:v>地图BOSS</x:v>
      </x:c>
      <x:c r="J422" s="25" t="str">
        <x:v>S07</x:v>
      </x:c>
      <x:c r="K422" s="25" t="str">
        <x:v>780-1500</x:v>
      </x:c>
      <x:c r="L422" s="25" t="n">
        <x:v>88000</x:v>
      </x:c>
      <x:c r="M422" s="25" t="n">
        <x:v>4</x:v>
      </x:c>
      <x:c r="N422" s="25" t="str">
        <x:v>否</x:v>
      </x:c>
      <x:c r="O422" s="25" t="n">
        <x:v>7</x:v>
      </x:c>
      <x:c r="P422" s="25" t="n">
        <x:v>0</x:v>
      </x:c>
      <x:c r="Q422" s="25" t="n">
        <x:v>0</x:v>
      </x:c>
      <x:c r="R422" s="25" t="str">
        <x:v>洗练绑定装备；项链幸运绑定人物永久进度；武器幸运成本忽略</x:v>
      </x:c>
    </x:row>
    <x:row r="423">
      <x:c r="A423" s="25" t="str">
        <x:v>C05-M</x:v>
      </x:c>
      <x:c r="B423" s="25" t="str">
        <x:v>湖之利耶尼亚</x:v>
      </x:c>
      <x:c r="C423" s="25" t="str">
        <x:v>半急速中期</x:v>
      </x:c>
      <x:c r="D423" s="25" t="n">
        <x:v>2</x:v>
      </x:c>
      <x:c r="E423" s="25" t="n">
        <x:v>114</x:v>
      </x:c>
      <x:c r="F423" s="25" t="str">
        <x:v>镇魂勋章</x:v>
      </x:c>
      <x:c r="G423" s="25" t="str">
        <x:v>勋章</x:v>
      </x:c>
      <x:c r="H423" s="25" t="n">
        <x:v>3</x:v>
      </x:c>
      <x:c r="I423" s="25" t="str">
        <x:v>稀有</x:v>
      </x:c>
      <x:c r="J423" s="25" t="str">
        <x:v>S07</x:v>
      </x:c>
      <x:c r="K423" s="25" t="str">
        <x:v>78-150</x:v>
      </x:c>
      <x:c r="L423" s="25" t="n">
        <x:v>83000</x:v>
      </x:c>
      <x:c r="M423" s="25" t="n">
        <x:v>0</x:v>
      </x:c>
      <x:c r="N423" s="25" t="str">
        <x:v>否</x:v>
      </x:c>
      <x:c r="O423" s="25" t="n">
        <x:v>0</x:v>
      </x:c>
      <x:c r="P423" s="25" t="n">
        <x:v>0</x:v>
      </x:c>
      <x:c r="Q423" s="25" t="n">
        <x:v>0</x:v>
      </x:c>
      <x:c r="R423" s="25" t="str">
        <x:v>洗练绑定装备；项链幸运绑定人物永久进度；武器幸运成本忽略</x:v>
      </x:c>
    </x:row>
    <x:row r="424">
      <x:c r="A424" s="25" t="str">
        <x:v>C05-M</x:v>
      </x:c>
      <x:c r="B424" s="25" t="str">
        <x:v>湖之利耶尼亚</x:v>
      </x:c>
      <x:c r="C424" s="25" t="str">
        <x:v>半急速中期</x:v>
      </x:c>
      <x:c r="D424" s="25" t="n">
        <x:v>3</x:v>
      </x:c>
      <x:c r="E424" s="25" t="n">
        <x:v>109</x:v>
      </x:c>
      <x:c r="F424" s="25" t="str">
        <x:v>引魂铜铃链</x:v>
      </x:c>
      <x:c r="G424" s="25" t="str">
        <x:v>项链</x:v>
      </x:c>
      <x:c r="H424" s="25" t="n">
        <x:v>4</x:v>
      </x:c>
      <x:c r="I424" s="25" t="str">
        <x:v>普通</x:v>
      </x:c>
      <x:c r="J424" s="25" t="str">
        <x:v>S07</x:v>
      </x:c>
      <x:c r="K424" s="25" t="str">
        <x:v>88-170</x:v>
      </x:c>
      <x:c r="L424" s="25" t="n">
        <x:v>74000</x:v>
      </x:c>
      <x:c r="M424" s="25" t="n">
        <x:v>4</x:v>
      </x:c>
      <x:c r="N424" s="25" t="str">
        <x:v>否</x:v>
      </x:c>
      <x:c r="O424" s="25" t="n">
        <x:v>0</x:v>
      </x:c>
      <x:c r="P424" s="25" t="n">
        <x:v>0</x:v>
      </x:c>
      <x:c r="Q424" s="25" t="n">
        <x:v>0</x:v>
      </x:c>
      <x:c r="R424" s="25" t="str">
        <x:v>洗练绑定装备；项链幸运绑定人物永久进度；武器幸运成本忽略</x:v>
      </x:c>
    </x:row>
    <x:row r="425">
      <x:c r="A425" s="25" t="str">
        <x:v>C05-M</x:v>
      </x:c>
      <x:c r="B425" s="25" t="str">
        <x:v>湖之利耶尼亚</x:v>
      </x:c>
      <x:c r="C425" s="25" t="str">
        <x:v>半急速中期</x:v>
      </x:c>
      <x:c r="D425" s="25" t="n">
        <x:v>4</x:v>
      </x:c>
      <x:c r="E425" s="25" t="n">
        <x:v>35</x:v>
      </x:c>
      <x:c r="F425" s="25" t="str">
        <x:v>圣树先锋战盔</x:v>
      </x:c>
      <x:c r="G425" s="25" t="str">
        <x:v>头盔</x:v>
      </x:c>
      <x:c r="H425" s="25" t="n">
        <x:v>2</x:v>
      </x:c>
      <x:c r="I425" s="25" t="str">
        <x:v>制式</x:v>
      </x:c>
      <x:c r="J425" s="25" t="str">
        <x:v>S01</x:v>
      </x:c>
      <x:c r="K425" s="25" t="str">
        <x:v>24-48</x:v>
      </x:c>
      <x:c r="L425" s="25" t="n">
        <x:v>15000</x:v>
      </x:c>
      <x:c r="M425" s="25" t="n">
        <x:v>4</x:v>
      </x:c>
      <x:c r="N425" s="25" t="str">
        <x:v>否</x:v>
      </x:c>
      <x:c r="O425" s="25" t="n">
        <x:v>0</x:v>
      </x:c>
      <x:c r="P425" s="25" t="n">
        <x:v>0</x:v>
      </x:c>
      <x:c r="Q425" s="25" t="n">
        <x:v>0</x:v>
      </x:c>
      <x:c r="R425" s="25" t="str">
        <x:v>洗练绑定装备；项链幸运绑定人物永久进度；武器幸运成本忽略</x:v>
      </x:c>
    </x:row>
    <x:row r="426">
      <x:c r="A426" s="25" t="str">
        <x:v>C05-M</x:v>
      </x:c>
      <x:c r="B426" s="25" t="str">
        <x:v>湖之利耶尼亚</x:v>
      </x:c>
      <x:c r="C426" s="25" t="str">
        <x:v>半急速中期</x:v>
      </x:c>
      <x:c r="D426" s="25" t="n">
        <x:v>5</x:v>
      </x:c>
      <x:c r="E426" s="25" t="n">
        <x:v>113</x:v>
      </x:c>
      <x:c r="F426" s="25" t="str">
        <x:v>百指腕甲</x:v>
      </x:c>
      <x:c r="G426" s="25" t="str">
        <x:v>手镯</x:v>
      </x:c>
      <x:c r="H426" s="25" t="n">
        <x:v>2</x:v>
      </x:c>
      <x:c r="I426" s="25" t="str">
        <x:v>普通</x:v>
      </x:c>
      <x:c r="J426" s="25" t="str">
        <x:v>S02</x:v>
      </x:c>
      <x:c r="K426" s="25" t="str">
        <x:v>69-132</x:v>
      </x:c>
      <x:c r="L426" s="25" t="n">
        <x:v>53200</x:v>
      </x:c>
      <x:c r="M426" s="25" t="n">
        <x:v>1</x:v>
      </x:c>
      <x:c r="N426" s="25" t="str">
        <x:v>否</x:v>
      </x:c>
      <x:c r="O426" s="25" t="n">
        <x:v>0</x:v>
      </x:c>
      <x:c r="P426" s="25" t="n">
        <x:v>0</x:v>
      </x:c>
      <x:c r="Q426" s="25" t="n">
        <x:v>0</x:v>
      </x:c>
      <x:c r="R426" s="25" t="str">
        <x:v>洗练绑定装备；项链幸运绑定人物永久进度；武器幸运成本忽略</x:v>
      </x:c>
    </x:row>
    <x:row r="427">
      <x:c r="A427" s="25" t="str">
        <x:v>C05-M</x:v>
      </x:c>
      <x:c r="B427" s="25" t="str">
        <x:v>湖之利耶尼亚</x:v>
      </x:c>
      <x:c r="C427" s="25" t="str">
        <x:v>半急速中期</x:v>
      </x:c>
      <x:c r="D427" s="25" t="n">
        <x:v>6</x:v>
      </x:c>
      <x:c r="E427" s="25" t="n">
        <x:v>68</x:v>
      </x:c>
      <x:c r="F427" s="25" t="str">
        <x:v>百指接肢腕</x:v>
      </x:c>
      <x:c r="G427" s="25" t="str">
        <x:v>手镯</x:v>
      </x:c>
      <x:c r="H427" s="25" t="n">
        <x:v>2</x:v>
      </x:c>
      <x:c r="I427" s="25" t="str">
        <x:v>装备合成</x:v>
      </x:c>
      <x:c r="J427" s="25" t="str">
        <x:v>S07</x:v>
      </x:c>
      <x:c r="K427" s="25" t="str">
        <x:v>110-210</x:v>
      </x:c>
      <x:c r="L427" s="25" t="n">
        <x:v>85000</x:v>
      </x:c>
      <x:c r="M427" s="25" t="n">
        <x:v>5</x:v>
      </x:c>
      <x:c r="N427" s="25" t="str">
        <x:v>否</x:v>
      </x:c>
      <x:c r="O427" s="25" t="n">
        <x:v>0</x:v>
      </x:c>
      <x:c r="P427" s="25" t="n">
        <x:v>0</x:v>
      </x:c>
      <x:c r="Q427" s="25" t="n">
        <x:v>0</x:v>
      </x:c>
      <x:c r="R427" s="25" t="str">
        <x:v>洗练绑定装备；项链幸运绑定人物永久进度；武器幸运成本忽略</x:v>
      </x:c>
    </x:row>
    <x:row r="428">
      <x:c r="A428" s="25" t="str">
        <x:v>C05-M</x:v>
      </x:c>
      <x:c r="B428" s="25" t="str">
        <x:v>湖之利耶尼亚</x:v>
      </x:c>
      <x:c r="C428" s="25" t="str">
        <x:v>半急速中期</x:v>
      </x:c>
      <x:c r="D428" s="25" t="n">
        <x:v>7</x:v>
      </x:c>
      <x:c r="E428" s="25" t="n">
        <x:v>103</x:v>
      </x:c>
      <x:c r="F428" s="25" t="str">
        <x:v>蓝焰祷戒</x:v>
      </x:c>
      <x:c r="G428" s="25" t="str">
        <x:v>戒指</x:v>
      </x:c>
      <x:c r="H428" s="25" t="n">
        <x:v>4</x:v>
      </x:c>
      <x:c r="I428" s="25" t="str">
        <x:v>稀有</x:v>
      </x:c>
      <x:c r="J428" s="25" t="str">
        <x:v>S07</x:v>
      </x:c>
      <x:c r="K428" s="25" t="str">
        <x:v>150-280</x:v>
      </x:c>
      <x:c r="L428" s="25" t="n">
        <x:v>110000</x:v>
      </x:c>
      <x:c r="M428" s="25" t="n">
        <x:v>7</x:v>
      </x:c>
      <x:c r="N428" s="25" t="str">
        <x:v>是</x:v>
      </x:c>
      <x:c r="O428" s="25" t="n">
        <x:v>0</x:v>
      </x:c>
      <x:c r="P428" s="25" t="n">
        <x:v>0</x:v>
      </x:c>
      <x:c r="Q428" s="25" t="n">
        <x:v>0</x:v>
      </x:c>
      <x:c r="R428" s="25" t="str">
        <x:v>洗练绑定装备；项链幸运绑定人物永久进度；武器幸运成本忽略</x:v>
      </x:c>
    </x:row>
    <x:row r="429">
      <x:c r="A429" s="25" t="str">
        <x:v>C05-M</x:v>
      </x:c>
      <x:c r="B429" s="25" t="str">
        <x:v>湖之利耶尼亚</x:v>
      </x:c>
      <x:c r="C429" s="25" t="str">
        <x:v>半急速中期</x:v>
      </x:c>
      <x:c r="D429" s="25" t="n">
        <x:v>8</x:v>
      </x:c>
      <x:c r="E429" s="25" t="n">
        <x:v>106</x:v>
      </x:c>
      <x:c r="F429" s="25" t="str">
        <x:v>月渊秘戒</x:v>
      </x:c>
      <x:c r="G429" s="25" t="str">
        <x:v>戒指</x:v>
      </x:c>
      <x:c r="H429" s="25" t="n">
        <x:v>4</x:v>
      </x:c>
      <x:c r="I429" s="25" t="str">
        <x:v>装备合成</x:v>
      </x:c>
      <x:c r="J429" s="25" t="str">
        <x:v>S07</x:v>
      </x:c>
      <x:c r="K429" s="25" t="str">
        <x:v>350-670</x:v>
      </x:c>
      <x:c r="L429" s="25" t="n">
        <x:v>270000</x:v>
      </x:c>
      <x:c r="M429" s="25" t="n">
        <x:v>1</x:v>
      </x:c>
      <x:c r="N429" s="25" t="str">
        <x:v>否</x:v>
      </x:c>
      <x:c r="O429" s="25" t="n">
        <x:v>0</x:v>
      </x:c>
      <x:c r="P429" s="25" t="n">
        <x:v>0</x:v>
      </x:c>
      <x:c r="Q429" s="25" t="n">
        <x:v>0</x:v>
      </x:c>
      <x:c r="R429" s="25" t="str">
        <x:v>洗练绑定装备；项链幸运绑定人物永久进度；武器幸运成本忽略</x:v>
      </x:c>
    </x:row>
    <x:row r="430">
      <x:c r="A430" s="25" t="str">
        <x:v>C05-M</x:v>
      </x:c>
      <x:c r="B430" s="25" t="str">
        <x:v>湖之利耶尼亚</x:v>
      </x:c>
      <x:c r="C430" s="25" t="str">
        <x:v>半急速中期</x:v>
      </x:c>
      <x:c r="D430" s="25" t="n">
        <x:v>10</x:v>
      </x:c>
      <x:c r="E430" s="25" t="n">
        <x:v>99</x:v>
      </x:c>
      <x:c r="F430" s="25" t="str">
        <x:v>流寇束带</x:v>
      </x:c>
      <x:c r="G430" s="25" t="str">
        <x:v>腰带</x:v>
      </x:c>
      <x:c r="H430" s="25" t="n">
        <x:v>2</x:v>
      </x:c>
      <x:c r="I430" s="25" t="str">
        <x:v>普通</x:v>
      </x:c>
      <x:c r="J430" s="25" t="str">
        <x:v>S02</x:v>
      </x:c>
      <x:c r="K430" s="25" t="str">
        <x:v>41-79</x:v>
      </x:c>
      <x:c r="L430" s="25" t="n">
        <x:v>69000</x:v>
      </x:c>
      <x:c r="M430" s="25" t="n">
        <x:v>5</x:v>
      </x:c>
      <x:c r="N430" s="25" t="str">
        <x:v>否</x:v>
      </x:c>
      <x:c r="O430" s="25" t="n">
        <x:v>0</x:v>
      </x:c>
      <x:c r="P430" s="25" t="n">
        <x:v>0</x:v>
      </x:c>
      <x:c r="Q430" s="25" t="n">
        <x:v>0</x:v>
      </x:c>
      <x:c r="R430" s="25" t="str">
        <x:v>洗练绑定装备；项链幸运绑定人物永久进度；武器幸运成本忽略</x:v>
      </x:c>
    </x:row>
    <x:row r="431">
      <x:c r="A431" s="25" t="str">
        <x:v>C05-M</x:v>
      </x:c>
      <x:c r="B431" s="25" t="str">
        <x:v>湖之利耶尼亚</x:v>
      </x:c>
      <x:c r="C431" s="25" t="str">
        <x:v>半急速中期</x:v>
      </x:c>
      <x:c r="D431" s="25" t="n">
        <x:v>11</x:v>
      </x:c>
      <x:c r="E431" s="25" t="n">
        <x:v>94</x:v>
      </x:c>
      <x:c r="F431" s="25" t="str">
        <x:v>逐风征靴</x:v>
      </x:c>
      <x:c r="G431" s="25" t="str">
        <x:v>鞋子</x:v>
      </x:c>
      <x:c r="H431" s="25" t="n">
        <x:v>3</x:v>
      </x:c>
      <x:c r="I431" s="25" t="str">
        <x:v>装备合成</x:v>
      </x:c>
      <x:c r="J431" s="25" t="str">
        <x:v>S07</x:v>
      </x:c>
      <x:c r="K431" s="25" t="str">
        <x:v>100-200</x:v>
      </x:c>
      <x:c r="L431" s="25" t="n">
        <x:v>150000</x:v>
      </x:c>
      <x:c r="M431" s="25" t="n">
        <x:v>3</x:v>
      </x:c>
      <x:c r="N431" s="25" t="str">
        <x:v>否</x:v>
      </x:c>
      <x:c r="O431" s="25" t="n">
        <x:v>0</x:v>
      </x:c>
      <x:c r="P431" s="25" t="n">
        <x:v>0</x:v>
      </x:c>
      <x:c r="Q431" s="25" t="n">
        <x:v>0</x:v>
      </x:c>
      <x:c r="R431" s="25" t="str">
        <x:v>洗练绑定装备；项链幸运绑定人物永久进度；武器幸运成本忽略</x:v>
      </x:c>
    </x:row>
    <x:row r="432">
      <x:c r="A432" s="25" t="str">
        <x:v>C05-M</x:v>
      </x:c>
      <x:c r="B432" s="25" t="str">
        <x:v>湖之利耶尼亚</x:v>
      </x:c>
      <x:c r="C432" s="25" t="str">
        <x:v>半急速中期</x:v>
      </x:c>
      <x:c r="D432" s="25" t="n">
        <x:v>13</x:v>
      </x:c>
      <x:c r="E432" s="25" t="n">
        <x:v>115</x:v>
      </x:c>
      <x:c r="F432" s="25" t="str">
        <x:v>悬晶祭辉笠</x:v>
      </x:c>
      <x:c r="G432" s="25" t="str">
        <x:v>斗笠</x:v>
      </x:c>
      <x:c r="H432" s="25" t="n">
        <x:v>5</x:v>
      </x:c>
      <x:c r="I432" s="25" t="str">
        <x:v>普通</x:v>
      </x:c>
      <x:c r="J432" s="25" t="str">
        <x:v>S07</x:v>
      </x:c>
      <x:c r="K432" s="25" t="str">
        <x:v>73-140</x:v>
      </x:c>
      <x:c r="L432" s="25" t="n">
        <x:v>91000</x:v>
      </x:c>
      <x:c r="M432" s="25" t="n">
        <x:v>0</x:v>
      </x:c>
      <x:c r="N432" s="25" t="str">
        <x:v>否</x:v>
      </x:c>
      <x:c r="O432" s="25" t="n">
        <x:v>0</x:v>
      </x:c>
      <x:c r="P432" s="25" t="n">
        <x:v>0</x:v>
      </x:c>
      <x:c r="Q432" s="25" t="n">
        <x:v>0</x:v>
      </x:c>
      <x:c r="R432" s="25" t="str">
        <x:v>洗练绑定装备；项链幸运绑定人物永久进度；武器幸运成本忽略</x:v>
      </x:c>
    </x:row>
    <x:row r="433">
      <x:c r="A433" s="25" t="str">
        <x:v>C05-M</x:v>
      </x:c>
      <x:c r="B433" s="25" t="str">
        <x:v>湖之利耶尼亚</x:v>
      </x:c>
      <x:c r="C433" s="25" t="str">
        <x:v>半急速中期</x:v>
      </x:c>
      <x:c r="D433" s="25" t="n">
        <x:v>16</x:v>
      </x:c>
      <x:c r="E433" s="25" t="n">
        <x:v>116</x:v>
      </x:c>
      <x:c r="F433" s="25" t="str">
        <x:v>百骸狮盾</x:v>
      </x:c>
      <x:c r="G433" s="25" t="str">
        <x:v>盾牌</x:v>
      </x:c>
      <x:c r="H433" s="25" t="n">
        <x:v>2</x:v>
      </x:c>
      <x:c r="I433" s="25" t="str">
        <x:v>稀有</x:v>
      </x:c>
      <x:c r="J433" s="25" t="str">
        <x:v>S02</x:v>
      </x:c>
      <x:c r="K433" s="25" t="str">
        <x:v>52-100</x:v>
      </x:c>
      <x:c r="L433" s="25" t="n">
        <x:v>151000</x:v>
      </x:c>
      <x:c r="M433" s="25" t="n">
        <x:v>0</x:v>
      </x:c>
      <x:c r="N433" s="25" t="str">
        <x:v>否</x:v>
      </x:c>
      <x:c r="O433" s="25" t="n">
        <x:v>0</x:v>
      </x:c>
      <x:c r="P433" s="25" t="n">
        <x:v>0</x:v>
      </x:c>
      <x:c r="Q433" s="25" t="n">
        <x:v>0</x:v>
      </x:c>
      <x:c r="R433" s="25" t="str">
        <x:v>洗练绑定装备；项链幸运绑定人物永久进度；武器幸运成本忽略</x:v>
      </x:c>
    </x:row>
    <x:row r="434">
      <x:c r="A434" s="25" t="str">
        <x:v>C05-M</x:v>
      </x:c>
      <x:c r="B434" s="25" t="str">
        <x:v>湖之利耶尼亚</x:v>
      </x:c>
      <x:c r="C434" s="25" t="str">
        <x:v>半急速中期</x:v>
      </x:c>
      <x:c r="D434" s="25" t="n">
        <x:v>18</x:v>
      </x:c>
      <x:c r="E434" s="25" t="n">
        <x:v>26</x:v>
      </x:c>
      <x:c r="F434" s="25" t="str">
        <x:v>无冠王衣</x:v>
      </x:c>
      <x:c r="G434" s="25" t="str">
        <x:v>时装衣服</x:v>
      </x:c>
      <x:c r="H434" s="25" t="n">
        <x:v>1</x:v>
      </x:c>
      <x:c r="I434" s="25" t="str">
        <x:v>守关BOSS</x:v>
      </x:c>
      <x:c r="J434" s="25" t="str">
        <x:v>S02</x:v>
      </x:c>
      <x:c r="K434" s="25" t="str">
        <x:v>28-53</x:v>
      </x:c>
      <x:c r="L434" s="25" t="n">
        <x:v>74300</x:v>
      </x:c>
      <x:c r="M434" s="25" t="n">
        <x:v>0</x:v>
      </x:c>
      <x:c r="N434" s="25" t="str">
        <x:v>否</x:v>
      </x:c>
      <x:c r="O434" s="25" t="n">
        <x:v>0</x:v>
      </x:c>
      <x:c r="P434" s="25" t="n">
        <x:v>0</x:v>
      </x:c>
      <x:c r="Q434" s="25" t="n">
        <x:v>0</x:v>
      </x:c>
      <x:c r="R434" s="25" t="str">
        <x:v>洗练绑定装备；项链幸运绑定人物永久进度；武器幸运成本忽略</x:v>
      </x:c>
    </x:row>
    <x:row r="435">
      <x:c r="A435" s="25" t="str">
        <x:v>C05-M</x:v>
      </x:c>
      <x:c r="B435" s="25" t="str">
        <x:v>湖之利耶尼亚</x:v>
      </x:c>
      <x:c r="C435" s="25" t="str">
        <x:v>半急速中期</x:v>
      </x:c>
      <x:c r="D435" s="25" t="n">
        <x:v>19</x:v>
      </x:c>
      <x:c r="E435" s="25" t="n">
        <x:v>64</x:v>
      </x:c>
      <x:c r="F435" s="25" t="str">
        <x:v>百夫熔戟</x:v>
      </x:c>
      <x:c r="G435" s="25" t="str">
        <x:v>时装武器</x:v>
      </x:c>
      <x:c r="H435" s="25" t="n">
        <x:v>2</x:v>
      </x:c>
      <x:c r="I435" s="25" t="str">
        <x:v>稀有</x:v>
      </x:c>
      <x:c r="J435" s="25" t="str">
        <x:v>S02</x:v>
      </x:c>
      <x:c r="K435" s="25" t="str">
        <x:v>150-288</x:v>
      </x:c>
      <x:c r="L435" s="25" t="n">
        <x:v>45400</x:v>
      </x:c>
      <x:c r="M435" s="25" t="n">
        <x:v>0</x:v>
      </x:c>
      <x:c r="N435" s="25" t="str">
        <x:v>否</x:v>
      </x:c>
      <x:c r="O435" s="25" t="n">
        <x:v>0</x:v>
      </x:c>
      <x:c r="P435" s="25" t="n">
        <x:v>0</x:v>
      </x:c>
      <x:c r="Q435" s="25" t="n">
        <x:v>0</x:v>
      </x:c>
      <x:c r="R435" s="25" t="str">
        <x:v>洗练绑定装备；项链幸运绑定人物永久进度；武器幸运成本忽略</x:v>
      </x:c>
    </x:row>
    <x:row r="436">
      <x:c r="A436" s="25" t="str">
        <x:v>C05-M</x:v>
      </x:c>
      <x:c r="B436" s="25" t="str">
        <x:v>湖之利耶尼亚</x:v>
      </x:c>
      <x:c r="C436" s="25" t="str">
        <x:v>半急速中期</x:v>
      </x:c>
      <x:c r="D436" s="25" t="n">
        <x:v>20</x:v>
      </x:c>
      <x:c r="E436" s="25" t="n">
        <x:v>40</x:v>
      </x:c>
      <x:c r="F436" s="25" t="str">
        <x:v>英雄余誓</x:v>
      </x:c>
      <x:c r="G436" s="25" t="str">
        <x:v>时装项链</x:v>
      </x:c>
      <x:c r="H436" s="25" t="n">
        <x:v>2</x:v>
      </x:c>
      <x:c r="I436" s="25" t="str">
        <x:v>稀有</x:v>
      </x:c>
      <x:c r="J436" s="25" t="str">
        <x:v>S02</x:v>
      </x:c>
      <x:c r="K436" s="25" t="str">
        <x:v>31-60</x:v>
      </x:c>
      <x:c r="L436" s="25" t="n">
        <x:v>17900</x:v>
      </x:c>
      <x:c r="M436" s="25" t="n">
        <x:v>0</x:v>
      </x:c>
      <x:c r="N436" s="25" t="str">
        <x:v>否</x:v>
      </x:c>
      <x:c r="O436" s="25" t="n">
        <x:v>0</x:v>
      </x:c>
      <x:c r="P436" s="25" t="n">
        <x:v>0</x:v>
      </x:c>
      <x:c r="Q436" s="25" t="n">
        <x:v>0</x:v>
      </x:c>
      <x:c r="R436" s="25" t="str">
        <x:v>洗练绑定装备；项链幸运绑定人物永久进度；武器幸运成本忽略</x:v>
      </x:c>
    </x:row>
    <x:row r="437">
      <x:c r="A437" s="25" t="str">
        <x:v>C05-M</x:v>
      </x:c>
      <x:c r="B437" s="25" t="str">
        <x:v>湖之利耶尼亚</x:v>
      </x:c>
      <x:c r="C437" s="25" t="str">
        <x:v>半急速中期</x:v>
      </x:c>
      <x:c r="D437" s="25" t="n">
        <x:v>21</x:v>
      </x:c>
      <x:c r="E437" s="25" t="n">
        <x:v>41</x:v>
      </x:c>
      <x:c r="F437" s="25" t="str">
        <x:v>初火兜鍪</x:v>
      </x:c>
      <x:c r="G437" s="25" t="str">
        <x:v>时装头盔</x:v>
      </x:c>
      <x:c r="H437" s="25" t="n">
        <x:v>2</x:v>
      </x:c>
      <x:c r="I437" s="25" t="str">
        <x:v>稀有</x:v>
      </x:c>
      <x:c r="J437" s="25" t="str">
        <x:v>S02</x:v>
      </x:c>
      <x:c r="K437" s="25" t="str">
        <x:v>22-42</x:v>
      </x:c>
      <x:c r="L437" s="25" t="n">
        <x:v>30900</x:v>
      </x:c>
      <x:c r="M437" s="25" t="n">
        <x:v>0</x:v>
      </x:c>
      <x:c r="N437" s="25" t="str">
        <x:v>否</x:v>
      </x:c>
      <x:c r="O437" s="25" t="n">
        <x:v>0</x:v>
      </x:c>
      <x:c r="P437" s="25" t="n">
        <x:v>0</x:v>
      </x:c>
      <x:c r="Q437" s="25" t="n">
        <x:v>0</x:v>
      </x:c>
      <x:c r="R437" s="25" t="str">
        <x:v>洗练绑定装备；项链幸运绑定人物永久进度；武器幸运成本忽略</x:v>
      </x:c>
    </x:row>
    <x:row r="438">
      <x:c r="A438" s="25" t="str">
        <x:v>C05-M</x:v>
      </x:c>
      <x:c r="B438" s="25" t="str">
        <x:v>湖之利耶尼亚</x:v>
      </x:c>
      <x:c r="C438" s="25" t="str">
        <x:v>半急速中期</x:v>
      </x:c>
      <x:c r="D438" s="25" t="n">
        <x:v>22</x:v>
      </x:c>
      <x:c r="E438" s="25" t="n">
        <x:v>42</x:v>
      </x:c>
      <x:c r="F438" s="25" t="str">
        <x:v>卢恩血镯</x:v>
      </x:c>
      <x:c r="G438" s="25" t="str">
        <x:v>时装手镯</x:v>
      </x:c>
      <x:c r="H438" s="25" t="n">
        <x:v>2</x:v>
      </x:c>
      <x:c r="I438" s="25" t="str">
        <x:v>稀有</x:v>
      </x:c>
      <x:c r="J438" s="25" t="str">
        <x:v>S02</x:v>
      </x:c>
      <x:c r="K438" s="25" t="str">
        <x:v>42-80</x:v>
      </x:c>
      <x:c r="L438" s="25" t="n">
        <x:v>34400</x:v>
      </x:c>
      <x:c r="M438" s="25" t="n">
        <x:v>0</x:v>
      </x:c>
      <x:c r="N438" s="25" t="str">
        <x:v>否</x:v>
      </x:c>
      <x:c r="O438" s="25" t="n">
        <x:v>0</x:v>
      </x:c>
      <x:c r="P438" s="25" t="n">
        <x:v>0</x:v>
      </x:c>
      <x:c r="Q438" s="25" t="n">
        <x:v>0</x:v>
      </x:c>
      <x:c r="R438" s="25" t="str">
        <x:v>洗练绑定装备；项链幸运绑定人物永久进度；武器幸运成本忽略</x:v>
      </x:c>
    </x:row>
    <x:row r="439">
      <x:c r="A439" s="25" t="str">
        <x:v>C05-M</x:v>
      </x:c>
      <x:c r="B439" s="25" t="str">
        <x:v>湖之利耶尼亚</x:v>
      </x:c>
      <x:c r="C439" s="25" t="str">
        <x:v>半急速中期</x:v>
      </x:c>
      <x:c r="D439" s="25" t="n">
        <x:v>24</x:v>
      </x:c>
      <x:c r="E439" s="25" t="n">
        <x:v>43</x:v>
      </x:c>
      <x:c r="F439" s="25" t="str">
        <x:v>黄金树戒</x:v>
      </x:c>
      <x:c r="G439" s="25" t="str">
        <x:v>时装戒指</x:v>
      </x:c>
      <x:c r="H439" s="25" t="n">
        <x:v>2</x:v>
      </x:c>
      <x:c r="I439" s="25" t="str">
        <x:v>稀有</x:v>
      </x:c>
      <x:c r="J439" s="25" t="str">
        <x:v>S02</x:v>
      </x:c>
      <x:c r="K439" s="25" t="str">
        <x:v>42-80</x:v>
      </x:c>
      <x:c r="L439" s="25" t="n">
        <x:v>34400</x:v>
      </x:c>
      <x:c r="M439" s="25" t="n">
        <x:v>0</x:v>
      </x:c>
      <x:c r="N439" s="25" t="str">
        <x:v>否</x:v>
      </x:c>
      <x:c r="O439" s="25" t="n">
        <x:v>0</x:v>
      </x:c>
      <x:c r="P439" s="25" t="n">
        <x:v>0</x:v>
      </x:c>
      <x:c r="Q439" s="25" t="n">
        <x:v>0</x:v>
      </x:c>
      <x:c r="R439" s="25" t="str">
        <x:v>洗练绑定装备；项链幸运绑定人物永久进度；武器幸运成本忽略</x:v>
      </x:c>
    </x:row>
    <x:row r="440">
      <x:c r="A440" s="25" t="str">
        <x:v>C05-M</x:v>
      </x:c>
      <x:c r="B440" s="25" t="str">
        <x:v>湖之利耶尼亚</x:v>
      </x:c>
      <x:c r="C440" s="25" t="str">
        <x:v>半急速中期</x:v>
      </x:c>
      <x:c r="D440" s="25" t="n">
        <x:v>40</x:v>
      </x:c>
      <x:c r="E440" s="25" t="n">
        <x:v>44</x:v>
      </x:c>
      <x:c r="F440" s="25" t="str">
        <x:v>腐树子鼠</x:v>
      </x:c>
      <x:c r="G440" s="25" t="str">
        <x:v>生肖1</x:v>
      </x:c>
      <x:c r="H440" s="25" t="n">
        <x:v>2</x:v>
      </x:c>
      <x:c r="I440" s="25" t="str">
        <x:v>BOSS</x:v>
      </x:c>
      <x:c r="J440" s="25" t="str">
        <x:v>S02</x:v>
      </x:c>
      <x:c r="K440" s="25" t="str">
        <x:v>29-56</x:v>
      </x:c>
      <x:c r="L440" s="25" t="n">
        <x:v>23600</x:v>
      </x:c>
      <x:c r="M440" s="25" t="n">
        <x:v>0</x:v>
      </x:c>
      <x:c r="N440" s="25" t="str">
        <x:v>否</x:v>
      </x:c>
      <x:c r="O440" s="25" t="n">
        <x:v>0</x:v>
      </x:c>
      <x:c r="P440" s="25" t="n">
        <x:v>0</x:v>
      </x:c>
      <x:c r="Q440" s="25" t="n">
        <x:v>0</x:v>
      </x:c>
      <x:c r="R440" s="25" t="str">
        <x:v>洗练绑定装备；项链幸运绑定人物永久进度；武器幸运成本忽略</x:v>
      </x:c>
    </x:row>
    <x:row r="441">
      <x:c r="A441" s="25" t="str">
        <x:v>C05-M</x:v>
      </x:c>
      <x:c r="B441" s="25" t="str">
        <x:v>湖之利耶尼亚</x:v>
      </x:c>
      <x:c r="C441" s="25" t="str">
        <x:v>半急速中期</x:v>
      </x:c>
      <x:c r="D441" s="25" t="n">
        <x:v>41</x:v>
      </x:c>
      <x:c r="E441" s="25" t="n">
        <x:v>69</x:v>
      </x:c>
      <x:c r="F441" s="25" t="str">
        <x:v>丑牛·风暴负山</x:v>
      </x:c>
      <x:c r="G441" s="25" t="str">
        <x:v>生肖2</x:v>
      </x:c>
      <x:c r="H441" s="25" t="n">
        <x:v>2</x:v>
      </x:c>
      <x:c r="I441" s="25" t="str">
        <x:v>生肖合成</x:v>
      </x:c>
      <x:c r="J441" s="25" t="str">
        <x:v>S07</x:v>
      </x:c>
      <x:c r="K441" s="25" t="str">
        <x:v>25-49</x:v>
      </x:c>
      <x:c r="L441" s="25" t="n">
        <x:v>64000</x:v>
      </x:c>
      <x:c r="M441" s="25" t="n">
        <x:v>0</x:v>
      </x:c>
      <x:c r="N441" s="25" t="str">
        <x:v>否</x:v>
      </x:c>
      <x:c r="O441" s="25" t="n">
        <x:v>0</x:v>
      </x:c>
      <x:c r="P441" s="25" t="n">
        <x:v>0</x:v>
      </x:c>
      <x:c r="Q441" s="25" t="n">
        <x:v>0</x:v>
      </x:c>
      <x:c r="R441" s="25" t="str">
        <x:v>洗练绑定装备；项链幸运绑定人物永久进度；武器幸运成本忽略</x:v>
      </x:c>
    </x:row>
    <x:row r="442">
      <x:c r="A442" s="25" t="str">
        <x:v>C05-M</x:v>
      </x:c>
      <x:c r="B442" s="25" t="str">
        <x:v>湖之利耶尼亚</x:v>
      </x:c>
      <x:c r="C442" s="25" t="str">
        <x:v>半急速中期</x:v>
      </x:c>
      <x:c r="D442" s="25" t="n">
        <x:v>42</x:v>
      </x:c>
      <x:c r="E442" s="25" t="n">
        <x:v>66</x:v>
      </x:c>
      <x:c r="F442" s="25" t="str">
        <x:v>长戟寅虎</x:v>
      </x:c>
      <x:c r="G442" s="25" t="str">
        <x:v>生肖3</x:v>
      </x:c>
      <x:c r="H442" s="25" t="n">
        <x:v>2</x:v>
      </x:c>
      <x:c r="I442" s="25" t="str">
        <x:v>BOSS</x:v>
      </x:c>
      <x:c r="J442" s="25" t="str">
        <x:v>S02</x:v>
      </x:c>
      <x:c r="K442" s="25" t="str">
        <x:v>34-65</x:v>
      </x:c>
      <x:c r="L442" s="25" t="n">
        <x:v>32600</x:v>
      </x:c>
      <x:c r="M442" s="25" t="n">
        <x:v>0</x:v>
      </x:c>
      <x:c r="N442" s="25" t="str">
        <x:v>否</x:v>
      </x:c>
      <x:c r="O442" s="25" t="n">
        <x:v>0</x:v>
      </x:c>
      <x:c r="P442" s="25" t="n">
        <x:v>0</x:v>
      </x:c>
      <x:c r="Q442" s="25" t="n">
        <x:v>0</x:v>
      </x:c>
      <x:c r="R442" s="25" t="str">
        <x:v>洗练绑定装备；项链幸运绑定人物永久进度；武器幸运成本忽略</x:v>
      </x:c>
    </x:row>
    <x:row r="443">
      <x:c r="A443" s="25" t="str">
        <x:v>C05-M</x:v>
      </x:c>
      <x:c r="B443" s="25" t="str">
        <x:v>湖之利耶尼亚</x:v>
      </x:c>
      <x:c r="C443" s="25" t="str">
        <x:v>半急速中期</x:v>
      </x:c>
      <x:c r="D443" s="25" t="n">
        <x:v>43</x:v>
      </x:c>
      <x:c r="E443" s="25" t="n">
        <x:v>79</x:v>
      </x:c>
      <x:c r="F443" s="25" t="str">
        <x:v>无月卯兔</x:v>
      </x:c>
      <x:c r="G443" s="25" t="str">
        <x:v>生肖4</x:v>
      </x:c>
      <x:c r="H443" s="25" t="n">
        <x:v>2</x:v>
      </x:c>
      <x:c r="I443" s="25" t="str">
        <x:v>BOSS</x:v>
      </x:c>
      <x:c r="J443" s="25" t="str">
        <x:v>S02</x:v>
      </x:c>
      <x:c r="K443" s="25" t="str">
        <x:v>34-65</x:v>
      </x:c>
      <x:c r="L443" s="25" t="n">
        <x:v>32600</x:v>
      </x:c>
      <x:c r="M443" s="25" t="n">
        <x:v>0</x:v>
      </x:c>
      <x:c r="N443" s="25" t="str">
        <x:v>否</x:v>
      </x:c>
      <x:c r="O443" s="25" t="n">
        <x:v>0</x:v>
      </x:c>
      <x:c r="P443" s="25" t="n">
        <x:v>0</x:v>
      </x:c>
      <x:c r="Q443" s="25" t="n">
        <x:v>0</x:v>
      </x:c>
      <x:c r="R443" s="25" t="str">
        <x:v>洗练绑定装备；项链幸运绑定人物永久进度；武器幸运成本忽略</x:v>
      </x:c>
    </x:row>
    <x:row r="444">
      <x:c r="A444" s="25" t="str">
        <x:v>C05-M</x:v>
      </x:c>
      <x:c r="B444" s="25" t="str">
        <x:v>湖之利耶尼亚</x:v>
      </x:c>
      <x:c r="C444" s="25" t="str">
        <x:v>半急速中期</x:v>
      </x:c>
      <x:c r="D444" s="25" t="n">
        <x:v>44</x:v>
      </x:c>
      <x:c r="E444" s="25" t="n">
        <x:v>91</x:v>
      </x:c>
      <x:c r="F444" s="25" t="str">
        <x:v>辰龙·荒原逐风</x:v>
      </x:c>
      <x:c r="G444" s="25" t="str">
        <x:v>生肖5</x:v>
      </x:c>
      <x:c r="H444" s="25" t="n">
        <x:v>3</x:v>
      </x:c>
      <x:c r="I444" s="25" t="str">
        <x:v>生肖合成</x:v>
      </x:c>
      <x:c r="J444" s="25" t="str">
        <x:v>S07</x:v>
      </x:c>
      <x:c r="K444" s="25" t="str">
        <x:v>47-90</x:v>
      </x:c>
      <x:c r="L444" s="25" t="n">
        <x:v>120000</x:v>
      </x:c>
      <x:c r="M444" s="25" t="n">
        <x:v>0</x:v>
      </x:c>
      <x:c r="N444" s="25" t="str">
        <x:v>否</x:v>
      </x:c>
      <x:c r="O444" s="25" t="n">
        <x:v>0</x:v>
      </x:c>
      <x:c r="P444" s="25" t="n">
        <x:v>0</x:v>
      </x:c>
      <x:c r="Q444" s="25" t="n">
        <x:v>0</x:v>
      </x:c>
      <x:c r="R444" s="25" t="str">
        <x:v>洗练绑定装备；项链幸运绑定人物永久进度；武器幸运成本忽略</x:v>
      </x:c>
    </x:row>
    <x:row r="445">
      <x:c r="A445" s="25" t="str">
        <x:v>C05-M</x:v>
      </x:c>
      <x:c r="B445" s="25" t="str">
        <x:v>湖之利耶尼亚</x:v>
      </x:c>
      <x:c r="C445" s="25" t="str">
        <x:v>半急速中期</x:v>
      </x:c>
      <x:c r="D445" s="25" t="n">
        <x:v>45</x:v>
      </x:c>
      <x:c r="E445" s="25" t="n">
        <x:v>107</x:v>
      </x:c>
      <x:c r="F445" s="25" t="str">
        <x:v>巳蛇·沉潮缚月</x:v>
      </x:c>
      <x:c r="G445" s="25" t="str">
        <x:v>生肖6</x:v>
      </x:c>
      <x:c r="H445" s="25" t="n">
        <x:v>4</x:v>
      </x:c>
      <x:c r="I445" s="25" t="str">
        <x:v>生肖合成</x:v>
      </x:c>
      <x:c r="J445" s="25" t="str">
        <x:v>S07</x:v>
      </x:c>
      <x:c r="K445" s="25" t="str">
        <x:v>83-160</x:v>
      </x:c>
      <x:c r="L445" s="25" t="n">
        <x:v>200000</x:v>
      </x:c>
      <x:c r="M445" s="25" t="n">
        <x:v>0</x:v>
      </x:c>
      <x:c r="N445" s="25" t="str">
        <x:v>否</x:v>
      </x:c>
      <x:c r="O445" s="25" t="n">
        <x:v>0</x:v>
      </x:c>
      <x:c r="P445" s="25" t="n">
        <x:v>0</x:v>
      </x:c>
      <x:c r="Q445" s="25" t="n">
        <x:v>0</x:v>
      </x:c>
      <x:c r="R445" s="25" t="str">
        <x:v>洗练绑定装备；项链幸运绑定人物永久进度；武器幸运成本忽略</x:v>
      </x:c>
    </x:row>
    <x:row r="446">
      <x:c r="A446" s="25" t="str">
        <x:v>C05-M</x:v>
      </x:c>
      <x:c r="B446" s="25" t="str">
        <x:v>湖之利耶尼亚</x:v>
      </x:c>
      <x:c r="C446" s="25" t="str">
        <x:v>半急速中期</x:v>
      </x:c>
      <x:c r="D446" s="25" t="n">
        <x:v>46</x:v>
      </x:c>
      <x:c r="E446" s="25" t="n">
        <x:v>80</x:v>
      </x:c>
      <x:c r="F446" s="25" t="str">
        <x:v>死水午马</x:v>
      </x:c>
      <x:c r="G446" s="25" t="str">
        <x:v>生肖7</x:v>
      </x:c>
      <x:c r="H446" s="25" t="n">
        <x:v>2</x:v>
      </x:c>
      <x:c r="I446" s="25" t="str">
        <x:v>BOSS</x:v>
      </x:c>
      <x:c r="J446" s="25" t="str">
        <x:v>S02</x:v>
      </x:c>
      <x:c r="K446" s="25" t="str">
        <x:v>38-74</x:v>
      </x:c>
      <x:c r="L446" s="25" t="n">
        <x:v>45300</x:v>
      </x:c>
      <x:c r="M446" s="25" t="n">
        <x:v>0</x:v>
      </x:c>
      <x:c r="N446" s="25" t="str">
        <x:v>否</x:v>
      </x:c>
      <x:c r="O446" s="25" t="n">
        <x:v>0</x:v>
      </x:c>
      <x:c r="P446" s="25" t="n">
        <x:v>0</x:v>
      </x:c>
      <x:c r="Q446" s="25" t="n">
        <x:v>0</x:v>
      </x:c>
      <x:c r="R446" s="25" t="str">
        <x:v>洗练绑定装备；项链幸运绑定人物永久进度；武器幸运成本忽略</x:v>
      </x:c>
    </x:row>
    <x:row r="447">
      <x:c r="A447" s="25" t="str">
        <x:v>C05-M</x:v>
      </x:c>
      <x:c r="B447" s="25" t="str">
        <x:v>湖之利耶尼亚</x:v>
      </x:c>
      <x:c r="C447" s="25" t="str">
        <x:v>半急速中期</x:v>
      </x:c>
      <x:c r="D447" s="25" t="n">
        <x:v>47</x:v>
      </x:c>
      <x:c r="E447" s="25" t="n">
        <x:v>67</x:v>
      </x:c>
      <x:c r="F447" s="25" t="str">
        <x:v>葬日未羊</x:v>
      </x:c>
      <x:c r="G447" s="25" t="str">
        <x:v>生肖8</x:v>
      </x:c>
      <x:c r="H447" s="25" t="n">
        <x:v>2</x:v>
      </x:c>
      <x:c r="I447" s="25" t="str">
        <x:v>稀有</x:v>
      </x:c>
      <x:c r="J447" s="25" t="str">
        <x:v>S02</x:v>
      </x:c>
      <x:c r="K447" s="25" t="str">
        <x:v>37-72</x:v>
      </x:c>
      <x:c r="L447" s="25" t="n">
        <x:v>51600</x:v>
      </x:c>
      <x:c r="M447" s="25" t="n">
        <x:v>0</x:v>
      </x:c>
      <x:c r="N447" s="25" t="str">
        <x:v>否</x:v>
      </x:c>
      <x:c r="O447" s="25" t="n">
        <x:v>0</x:v>
      </x:c>
      <x:c r="P447" s="25" t="n">
        <x:v>0</x:v>
      </x:c>
      <x:c r="Q447" s="25" t="n">
        <x:v>0</x:v>
      </x:c>
      <x:c r="R447" s="25" t="str">
        <x:v>洗练绑定装备；项链幸运绑定人物永久进度；武器幸运成本忽略</x:v>
      </x:c>
    </x:row>
    <x:row r="448">
      <x:c r="A448" s="25" t="str">
        <x:v>C05-M</x:v>
      </x:c>
      <x:c r="B448" s="25" t="str">
        <x:v>湖之利耶尼亚</x:v>
      </x:c>
      <x:c r="C448" s="25" t="str">
        <x:v>半急速中期</x:v>
      </x:c>
      <x:c r="D448" s="25" t="n">
        <x:v>48</x:v>
      </x:c>
      <x:c r="E448" s="25" t="n">
        <x:v>81</x:v>
      </x:c>
      <x:c r="F448" s="25" t="str">
        <x:v>雷冠申猴</x:v>
      </x:c>
      <x:c r="G448" s="25" t="str">
        <x:v>生肖9</x:v>
      </x:c>
      <x:c r="H448" s="25" t="n">
        <x:v>2</x:v>
      </x:c>
      <x:c r="I448" s="25" t="str">
        <x:v>BOSS</x:v>
      </x:c>
      <x:c r="J448" s="25" t="str">
        <x:v>S02</x:v>
      </x:c>
      <x:c r="K448" s="25" t="str">
        <x:v>44-84</x:v>
      </x:c>
      <x:c r="L448" s="25" t="n">
        <x:v>59800</x:v>
      </x:c>
      <x:c r="M448" s="25" t="n">
        <x:v>0</x:v>
      </x:c>
      <x:c r="N448" s="25" t="str">
        <x:v>否</x:v>
      </x:c>
      <x:c r="O448" s="25" t="n">
        <x:v>0</x:v>
      </x:c>
      <x:c r="P448" s="25" t="n">
        <x:v>0</x:v>
      </x:c>
      <x:c r="Q448" s="25" t="n">
        <x:v>0</x:v>
      </x:c>
      <x:c r="R448" s="25" t="str">
        <x:v>洗练绑定装备；项链幸运绑定人物永久进度；武器幸运成本忽略</x:v>
      </x:c>
    </x:row>
    <x:row r="449">
      <x:c r="A449" s="25" t="str">
        <x:v>C05-M</x:v>
      </x:c>
      <x:c r="B449" s="25" t="str">
        <x:v>湖之利耶尼亚</x:v>
      </x:c>
      <x:c r="C449" s="25" t="str">
        <x:v>半急速中期</x:v>
      </x:c>
      <x:c r="D449" s="25" t="n">
        <x:v>49</x:v>
      </x:c>
      <x:c r="E449" s="25" t="n">
        <x:v>82</x:v>
      </x:c>
      <x:c r="F449" s="25" t="str">
        <x:v>恶兆酉鸡</x:v>
      </x:c>
      <x:c r="G449" s="25" t="str">
        <x:v>生肖10</x:v>
      </x:c>
      <x:c r="H449" s="25" t="n">
        <x:v>2</x:v>
      </x:c>
      <x:c r="I449" s="25" t="str">
        <x:v>BOSS</x:v>
      </x:c>
      <x:c r="J449" s="25" t="str">
        <x:v>S02</x:v>
      </x:c>
      <x:c r="K449" s="25" t="str">
        <x:v>44-84</x:v>
      </x:c>
      <x:c r="L449" s="25" t="n">
        <x:v>59800</x:v>
      </x:c>
      <x:c r="M449" s="25" t="n">
        <x:v>0</x:v>
      </x:c>
      <x:c r="N449" s="25" t="str">
        <x:v>否</x:v>
      </x:c>
      <x:c r="O449" s="25" t="n">
        <x:v>0</x:v>
      </x:c>
      <x:c r="P449" s="25" t="n">
        <x:v>0</x:v>
      </x:c>
      <x:c r="Q449" s="25" t="n">
        <x:v>0</x:v>
      </x:c>
      <x:c r="R449" s="25" t="str">
        <x:v>洗练绑定装备；项链幸运绑定人物永久进度；武器幸运成本忽略</x:v>
      </x:c>
    </x:row>
    <x:row r="450">
      <x:c r="A450" s="25" t="str">
        <x:v>C05-M</x:v>
      </x:c>
      <x:c r="B450" s="25" t="str">
        <x:v>湖之利耶尼亚</x:v>
      </x:c>
      <x:c r="C450" s="25" t="str">
        <x:v>半急速中期</x:v>
      </x:c>
      <x:c r="D450" s="25" t="n">
        <x:v>50</x:v>
      </x:c>
      <x:c r="E450" s="25" t="n">
        <x:v>83</x:v>
      </x:c>
      <x:c r="F450" s="25" t="str">
        <x:v>失乡戌狗</x:v>
      </x:c>
      <x:c r="G450" s="25" t="str">
        <x:v>生肖11</x:v>
      </x:c>
      <x:c r="H450" s="25" t="n">
        <x:v>2</x:v>
      </x:c>
      <x:c r="I450" s="25" t="str">
        <x:v>BOSS</x:v>
      </x:c>
      <x:c r="J450" s="25" t="str">
        <x:v>S02</x:v>
      </x:c>
      <x:c r="K450" s="25" t="str">
        <x:v>48-93</x:v>
      </x:c>
      <x:c r="L450" s="25" t="n">
        <x:v>79800</x:v>
      </x:c>
      <x:c r="M450" s="25" t="n">
        <x:v>0</x:v>
      </x:c>
      <x:c r="N450" s="25" t="str">
        <x:v>否</x:v>
      </x:c>
      <x:c r="O450" s="25" t="n">
        <x:v>0</x:v>
      </x:c>
      <x:c r="P450" s="25" t="n">
        <x:v>0</x:v>
      </x:c>
      <x:c r="Q450" s="25" t="n">
        <x:v>0</x:v>
      </x:c>
      <x:c r="R450" s="25" t="str">
        <x:v>洗练绑定装备；项链幸运绑定人物永久进度；武器幸运成本忽略</x:v>
      </x:c>
    </x:row>
    <x:row r="451">
      <x:c r="A451" s="25" t="str">
        <x:v>C05-M</x:v>
      </x:c>
      <x:c r="B451" s="25" t="str">
        <x:v>湖之利耶尼亚</x:v>
      </x:c>
      <x:c r="C451" s="25" t="str">
        <x:v>半急速中期</x:v>
      </x:c>
      <x:c r="D451" s="25" t="n">
        <x:v>51</x:v>
      </x:c>
      <x:c r="E451" s="25" t="n">
        <x:v>84</x:v>
      </x:c>
      <x:c r="F451" s="25" t="str">
        <x:v>接肢亥猪</x:v>
      </x:c>
      <x:c r="G451" s="25" t="str">
        <x:v>生肖12</x:v>
      </x:c>
      <x:c r="H451" s="25" t="n">
        <x:v>2</x:v>
      </x:c>
      <x:c r="I451" s="25" t="str">
        <x:v>守关BOSS</x:v>
      </x:c>
      <x:c r="J451" s="25" t="str">
        <x:v>S02</x:v>
      </x:c>
      <x:c r="K451" s="25" t="str">
        <x:v>55-106</x:v>
      </x:c>
      <x:c r="L451" s="25" t="n">
        <x:v>90800</x:v>
      </x:c>
      <x:c r="M451" s="25" t="n">
        <x:v>0</x:v>
      </x:c>
      <x:c r="N451" s="25" t="str">
        <x:v>否</x:v>
      </x:c>
      <x:c r="O451" s="25" t="n">
        <x:v>0</x:v>
      </x:c>
      <x:c r="P451" s="25" t="n">
        <x:v>0</x:v>
      </x:c>
      <x:c r="Q451" s="25" t="n">
        <x:v>0</x:v>
      </x:c>
      <x:c r="R451" s="25" t="str">
        <x:v>洗练绑定装备；项链幸运绑定人物永久进度；武器幸运成本忽略</x:v>
      </x:c>
    </x:row>
    <x:row r="452">
      <x:c r="A452" s="25" t="str">
        <x:v>C05-G</x:v>
      </x:c>
      <x:c r="B452" s="25" t="str">
        <x:v>湖之利耶尼亚</x:v>
      </x:c>
      <x:c r="C452" s="25" t="str">
        <x:v>半急速毕业</x:v>
      </x:c>
      <x:c r="D452" s="25" t="n">
        <x:v>0</x:v>
      </x:c>
      <x:c r="E452" s="25" t="n">
        <x:v>129</x:v>
      </x:c>
      <x:c r="F452" s="25" t="str">
        <x:v>静潮祷仪袍</x:v>
      </x:c>
      <x:c r="G452" s="25" t="str">
        <x:v>衣服</x:v>
      </x:c>
      <x:c r="H452" s="25" t="n">
        <x:v>5</x:v>
      </x:c>
      <x:c r="I452" s="25" t="str">
        <x:v>稀有</x:v>
      </x:c>
      <x:c r="J452" s="25" t="str">
        <x:v>S07</x:v>
      </x:c>
      <x:c r="K452" s="25" t="str">
        <x:v>190-370</x:v>
      </x:c>
      <x:c r="L452" s="25" t="n">
        <x:v>850000</x:v>
      </x:c>
      <x:c r="M452" s="25" t="n">
        <x:v>5</x:v>
      </x:c>
      <x:c r="N452" s="25" t="str">
        <x:v>否</x:v>
      </x:c>
      <x:c r="O452" s="25" t="n">
        <x:v>0</x:v>
      </x:c>
      <x:c r="P452" s="25" t="n">
        <x:v>0</x:v>
      </x:c>
      <x:c r="Q452" s="25" t="n">
        <x:v>0</x:v>
      </x:c>
      <x:c r="R452" s="25" t="str">
        <x:v>洗练绑定装备；项链幸运绑定人物永久进度；武器幸运成本忽略</x:v>
      </x:c>
    </x:row>
    <x:row r="453">
      <x:c r="A453" s="25" t="str">
        <x:v>C05-G</x:v>
      </x:c>
      <x:c r="B453" s="25" t="str">
        <x:v>湖之利耶尼亚</x:v>
      </x:c>
      <x:c r="C453" s="25" t="str">
        <x:v>半急速毕业</x:v>
      </x:c>
      <x:c r="D453" s="25" t="n">
        <x:v>1</x:v>
      </x:c>
      <x:c r="E453" s="25" t="n">
        <x:v>126</x:v>
      </x:c>
      <x:c r="F453" s="25" t="str">
        <x:v>卡利亚月裁长刃</x:v>
      </x:c>
      <x:c r="G453" s="25" t="str">
        <x:v>武器</x:v>
      </x:c>
      <x:c r="H453" s="25" t="n">
        <x:v>5</x:v>
      </x:c>
      <x:c r="I453" s="25" t="str">
        <x:v>装备合成</x:v>
      </x:c>
      <x:c r="J453" s="25" t="str">
        <x:v>S07</x:v>
      </x:c>
      <x:c r="K453" s="25" t="str">
        <x:v>4200-8000</x:v>
      </x:c>
      <x:c r="L453" s="25" t="n">
        <x:v>480000</x:v>
      </x:c>
      <x:c r="M453" s="25" t="n">
        <x:v>2</x:v>
      </x:c>
      <x:c r="N453" s="25" t="str">
        <x:v>否</x:v>
      </x:c>
      <x:c r="O453" s="25" t="n">
        <x:v>7</x:v>
      </x:c>
      <x:c r="P453" s="25" t="n">
        <x:v>0</x:v>
      </x:c>
      <x:c r="Q453" s="25" t="n">
        <x:v>0</x:v>
      </x:c>
      <x:c r="R453" s="25" t="str">
        <x:v>洗练绑定装备；项链幸运绑定人物永久进度；武器幸运成本忽略</x:v>
      </x:c>
    </x:row>
    <x:row r="454">
      <x:c r="A454" s="25" t="str">
        <x:v>C05-G</x:v>
      </x:c>
      <x:c r="B454" s="25" t="str">
        <x:v>湖之利耶尼亚</x:v>
      </x:c>
      <x:c r="C454" s="25" t="str">
        <x:v>半急速毕业</x:v>
      </x:c>
      <x:c r="D454" s="25" t="n">
        <x:v>2</x:v>
      </x:c>
      <x:c r="E454" s="25" t="n">
        <x:v>121</x:v>
      </x:c>
      <x:c r="F454" s="25" t="str">
        <x:v>前庭晶戟勋</x:v>
      </x:c>
      <x:c r="G454" s="25" t="str">
        <x:v>勋章</x:v>
      </x:c>
      <x:c r="H454" s="25" t="n">
        <x:v>5</x:v>
      </x:c>
      <x:c r="I454" s="25" t="str">
        <x:v>稀有</x:v>
      </x:c>
      <x:c r="J454" s="25" t="str">
        <x:v>S07</x:v>
      </x:c>
      <x:c r="K454" s="25" t="str">
        <x:v>210-410</x:v>
      </x:c>
      <x:c r="L454" s="25" t="n">
        <x:v>220000</x:v>
      </x:c>
      <x:c r="M454" s="25" t="n">
        <x:v>0</x:v>
      </x:c>
      <x:c r="N454" s="25" t="str">
        <x:v>否</x:v>
      </x:c>
      <x:c r="O454" s="25" t="n">
        <x:v>0</x:v>
      </x:c>
      <x:c r="P454" s="25" t="n">
        <x:v>0</x:v>
      </x:c>
      <x:c r="Q454" s="25" t="n">
        <x:v>0</x:v>
      </x:c>
      <x:c r="R454" s="25" t="str">
        <x:v>洗练绑定装备；项链幸运绑定人物永久进度；武器幸运成本忽略</x:v>
      </x:c>
    </x:row>
    <x:row r="455">
      <x:c r="A455" s="25" t="str">
        <x:v>C05-G</x:v>
      </x:c>
      <x:c r="B455" s="25" t="str">
        <x:v>湖之利耶尼亚</x:v>
      </x:c>
      <x:c r="C455" s="25" t="str">
        <x:v>半急速毕业</x:v>
      </x:c>
      <x:c r="D455" s="25" t="n">
        <x:v>3</x:v>
      </x:c>
      <x:c r="E455" s="25" t="n">
        <x:v>101</x:v>
      </x:c>
      <x:c r="F455" s="25" t="str">
        <x:v>引魂铜铃链</x:v>
      </x:c>
      <x:c r="G455" s="25" t="str">
        <x:v>项链</x:v>
      </x:c>
      <x:c r="H455" s="25" t="n">
        <x:v>4</x:v>
      </x:c>
      <x:c r="I455" s="25" t="str">
        <x:v>普通</x:v>
      </x:c>
      <x:c r="J455" s="25" t="str">
        <x:v>S07</x:v>
      </x:c>
      <x:c r="K455" s="25" t="str">
        <x:v>88-170</x:v>
      </x:c>
      <x:c r="L455" s="25" t="n">
        <x:v>74000</x:v>
      </x:c>
      <x:c r="M455" s="25" t="n">
        <x:v>8</x:v>
      </x:c>
      <x:c r="N455" s="25" t="str">
        <x:v>是</x:v>
      </x:c>
      <x:c r="O455" s="25" t="n">
        <x:v>0</x:v>
      </x:c>
      <x:c r="P455" s="25" t="n">
        <x:v>0</x:v>
      </x:c>
      <x:c r="Q455" s="25" t="n">
        <x:v>0</x:v>
      </x:c>
      <x:c r="R455" s="25" t="str">
        <x:v>洗练绑定装备；项链幸运绑定人物永久进度；武器幸运成本忽略</x:v>
      </x:c>
    </x:row>
    <x:row r="456">
      <x:c r="A456" s="25" t="str">
        <x:v>C05-G</x:v>
      </x:c>
      <x:c r="B456" s="25" t="str">
        <x:v>湖之利耶尼亚</x:v>
      </x:c>
      <x:c r="C456" s="25" t="str">
        <x:v>半急速毕业</x:v>
      </x:c>
      <x:c r="D456" s="25" t="n">
        <x:v>4</x:v>
      </x:c>
      <x:c r="E456" s="25" t="n">
        <x:v>130</x:v>
      </x:c>
      <x:c r="F456" s="25" t="str">
        <x:v>镜荷眠梦冠</x:v>
      </x:c>
      <x:c r="G456" s="25" t="str">
        <x:v>头盔</x:v>
      </x:c>
      <x:c r="H456" s="25" t="n">
        <x:v>5</x:v>
      </x:c>
      <x:c r="I456" s="25" t="str">
        <x:v>稀有</x:v>
      </x:c>
      <x:c r="J456" s="25" t="str">
        <x:v>S07</x:v>
      </x:c>
      <x:c r="K456" s="25" t="str">
        <x:v>160-310</x:v>
      </x:c>
      <x:c r="L456" s="25" t="n">
        <x:v>320000</x:v>
      </x:c>
      <x:c r="M456" s="25" t="n">
        <x:v>4</x:v>
      </x:c>
      <x:c r="N456" s="25" t="str">
        <x:v>否</x:v>
      </x:c>
      <x:c r="O456" s="25" t="n">
        <x:v>0</x:v>
      </x:c>
      <x:c r="P456" s="25" t="n">
        <x:v>0</x:v>
      </x:c>
      <x:c r="Q456" s="25" t="n">
        <x:v>0</x:v>
      </x:c>
      <x:c r="R456" s="25" t="str">
        <x:v>洗练绑定装备；项链幸运绑定人物永久进度；武器幸运成本忽略</x:v>
      </x:c>
    </x:row>
    <x:row r="457">
      <x:c r="A457" s="25" t="str">
        <x:v>C05-G</x:v>
      </x:c>
      <x:c r="B457" s="25" t="str">
        <x:v>湖之利耶尼亚</x:v>
      </x:c>
      <x:c r="C457" s="25" t="str">
        <x:v>半急速毕业</x:v>
      </x:c>
      <x:c r="D457" s="25" t="n">
        <x:v>5</x:v>
      </x:c>
      <x:c r="E457" s="25" t="n">
        <x:v>113</x:v>
      </x:c>
      <x:c r="F457" s="25" t="str">
        <x:v>百指腕甲</x:v>
      </x:c>
      <x:c r="G457" s="25" t="str">
        <x:v>手镯</x:v>
      </x:c>
      <x:c r="H457" s="25" t="n">
        <x:v>2</x:v>
      </x:c>
      <x:c r="I457" s="25" t="str">
        <x:v>普通</x:v>
      </x:c>
      <x:c r="J457" s="25" t="str">
        <x:v>S02</x:v>
      </x:c>
      <x:c r="K457" s="25" t="str">
        <x:v>69-132</x:v>
      </x:c>
      <x:c r="L457" s="25" t="n">
        <x:v>53200</x:v>
      </x:c>
      <x:c r="M457" s="25" t="n">
        <x:v>2</x:v>
      </x:c>
      <x:c r="N457" s="25" t="str">
        <x:v>否</x:v>
      </x:c>
      <x:c r="O457" s="25" t="n">
        <x:v>0</x:v>
      </x:c>
      <x:c r="P457" s="25" t="n">
        <x:v>0</x:v>
      </x:c>
      <x:c r="Q457" s="25" t="n">
        <x:v>0</x:v>
      </x:c>
      <x:c r="R457" s="25" t="str">
        <x:v>洗练绑定装备；项链幸运绑定人物永久进度；武器幸运成本忽略</x:v>
      </x:c>
    </x:row>
    <x:row r="458">
      <x:c r="A458" s="25" t="str">
        <x:v>C05-G</x:v>
      </x:c>
      <x:c r="B458" s="25" t="str">
        <x:v>湖之利耶尼亚</x:v>
      </x:c>
      <x:c r="C458" s="25" t="str">
        <x:v>半急速毕业</x:v>
      </x:c>
      <x:c r="D458" s="25" t="n">
        <x:v>6</x:v>
      </x:c>
      <x:c r="E458" s="25" t="n">
        <x:v>68</x:v>
      </x:c>
      <x:c r="F458" s="25" t="str">
        <x:v>百指接肢腕</x:v>
      </x:c>
      <x:c r="G458" s="25" t="str">
        <x:v>手镯</x:v>
      </x:c>
      <x:c r="H458" s="25" t="n">
        <x:v>2</x:v>
      </x:c>
      <x:c r="I458" s="25" t="str">
        <x:v>装备合成</x:v>
      </x:c>
      <x:c r="J458" s="25" t="str">
        <x:v>S07</x:v>
      </x:c>
      <x:c r="K458" s="25" t="str">
        <x:v>110-210</x:v>
      </x:c>
      <x:c r="L458" s="25" t="n">
        <x:v>85000</x:v>
      </x:c>
      <x:c r="M458" s="25" t="n">
        <x:v>5</x:v>
      </x:c>
      <x:c r="N458" s="25" t="str">
        <x:v>否</x:v>
      </x:c>
      <x:c r="O458" s="25" t="n">
        <x:v>0</x:v>
      </x:c>
      <x:c r="P458" s="25" t="n">
        <x:v>0</x:v>
      </x:c>
      <x:c r="Q458" s="25" t="n">
        <x:v>0</x:v>
      </x:c>
      <x:c r="R458" s="25" t="str">
        <x:v>洗练绑定装备；项链幸运绑定人物永久进度；武器幸运成本忽略</x:v>
      </x:c>
    </x:row>
    <x:row r="459">
      <x:c r="A459" s="25" t="str">
        <x:v>C05-G</x:v>
      </x:c>
      <x:c r="B459" s="25" t="str">
        <x:v>湖之利耶尼亚</x:v>
      </x:c>
      <x:c r="C459" s="25" t="str">
        <x:v>半急速毕业</x:v>
      </x:c>
      <x:c r="D459" s="25" t="n">
        <x:v>7</x:v>
      </x:c>
      <x:c r="E459" s="25" t="n">
        <x:v>103</x:v>
      </x:c>
      <x:c r="F459" s="25" t="str">
        <x:v>蓝焰祷戒</x:v>
      </x:c>
      <x:c r="G459" s="25" t="str">
        <x:v>戒指</x:v>
      </x:c>
      <x:c r="H459" s="25" t="n">
        <x:v>4</x:v>
      </x:c>
      <x:c r="I459" s="25" t="str">
        <x:v>稀有</x:v>
      </x:c>
      <x:c r="J459" s="25" t="str">
        <x:v>S07</x:v>
      </x:c>
      <x:c r="K459" s="25" t="str">
        <x:v>150-280</x:v>
      </x:c>
      <x:c r="L459" s="25" t="n">
        <x:v>110000</x:v>
      </x:c>
      <x:c r="M459" s="25" t="n">
        <x:v>7</x:v>
      </x:c>
      <x:c r="N459" s="25" t="str">
        <x:v>是</x:v>
      </x:c>
      <x:c r="O459" s="25" t="n">
        <x:v>0</x:v>
      </x:c>
      <x:c r="P459" s="25" t="n">
        <x:v>0</x:v>
      </x:c>
      <x:c r="Q459" s="25" t="n">
        <x:v>0</x:v>
      </x:c>
      <x:c r="R459" s="25" t="str">
        <x:v>洗练绑定装备；项链幸运绑定人物永久进度；武器幸运成本忽略</x:v>
      </x:c>
    </x:row>
    <x:row r="460">
      <x:c r="A460" s="25" t="str">
        <x:v>C05-G</x:v>
      </x:c>
      <x:c r="B460" s="25" t="str">
        <x:v>湖之利耶尼亚</x:v>
      </x:c>
      <x:c r="C460" s="25" t="str">
        <x:v>半急速毕业</x:v>
      </x:c>
      <x:c r="D460" s="25" t="n">
        <x:v>8</x:v>
      </x:c>
      <x:c r="E460" s="25" t="n">
        <x:v>118</x:v>
      </x:c>
      <x:c r="F460" s="25" t="str">
        <x:v>月渊秘戒</x:v>
      </x:c>
      <x:c r="G460" s="25" t="str">
        <x:v>戒指</x:v>
      </x:c>
      <x:c r="H460" s="25" t="n">
        <x:v>4</x:v>
      </x:c>
      <x:c r="I460" s="25" t="str">
        <x:v>装备合成</x:v>
      </x:c>
      <x:c r="J460" s="25" t="str">
        <x:v>S07</x:v>
      </x:c>
      <x:c r="K460" s="25" t="str">
        <x:v>350-670</x:v>
      </x:c>
      <x:c r="L460" s="25" t="n">
        <x:v>270000</x:v>
      </x:c>
      <x:c r="M460" s="25" t="n">
        <x:v>2</x:v>
      </x:c>
      <x:c r="N460" s="25" t="str">
        <x:v>否</x:v>
      </x:c>
      <x:c r="O460" s="25" t="n">
        <x:v>0</x:v>
      </x:c>
      <x:c r="P460" s="25" t="n">
        <x:v>0</x:v>
      </x:c>
      <x:c r="Q460" s="25" t="n">
        <x:v>0</x:v>
      </x:c>
      <x:c r="R460" s="25" t="str">
        <x:v>洗练绑定装备；项链幸运绑定人物永久进度；武器幸运成本忽略</x:v>
      </x:c>
    </x:row>
    <x:row r="461">
      <x:c r="A461" s="25" t="str">
        <x:v>C05-G</x:v>
      </x:c>
      <x:c r="B461" s="25" t="str">
        <x:v>湖之利耶尼亚</x:v>
      </x:c>
      <x:c r="C461" s="25" t="str">
        <x:v>半急速毕业</x:v>
      </x:c>
      <x:c r="D461" s="25" t="n">
        <x:v>10</x:v>
      </x:c>
      <x:c r="E461" s="25" t="n">
        <x:v>131</x:v>
      </x:c>
      <x:c r="F461" s="25" t="str">
        <x:v>汲月雾绦</x:v>
      </x:c>
      <x:c r="G461" s="25" t="str">
        <x:v>腰带</x:v>
      </x:c>
      <x:c r="H461" s="25" t="n">
        <x:v>5</x:v>
      </x:c>
      <x:c r="I461" s="25" t="str">
        <x:v>稀有</x:v>
      </x:c>
      <x:c r="J461" s="25" t="str">
        <x:v>S07</x:v>
      </x:c>
      <x:c r="K461" s="25" t="str">
        <x:v>150-280</x:v>
      </x:c>
      <x:c r="L461" s="25" t="n">
        <x:v>240000</x:v>
      </x:c>
      <x:c r="M461" s="25" t="n">
        <x:v>7</x:v>
      </x:c>
      <x:c r="N461" s="25" t="str">
        <x:v>是</x:v>
      </x:c>
      <x:c r="O461" s="25" t="n">
        <x:v>0</x:v>
      </x:c>
      <x:c r="P461" s="25" t="n">
        <x:v>0</x:v>
      </x:c>
      <x:c r="Q461" s="25" t="n">
        <x:v>0</x:v>
      </x:c>
      <x:c r="R461" s="25" t="str">
        <x:v>洗练绑定装备；项链幸运绑定人物永久进度；武器幸运成本忽略</x:v>
      </x:c>
    </x:row>
    <x:row r="462">
      <x:c r="A462" s="25" t="str">
        <x:v>C05-G</x:v>
      </x:c>
      <x:c r="B462" s="25" t="str">
        <x:v>湖之利耶尼亚</x:v>
      </x:c>
      <x:c r="C462" s="25" t="str">
        <x:v>半急速毕业</x:v>
      </x:c>
      <x:c r="D462" s="25" t="n">
        <x:v>11</x:v>
      </x:c>
      <x:c r="E462" s="25" t="n">
        <x:v>94</x:v>
      </x:c>
      <x:c r="F462" s="25" t="str">
        <x:v>逐风征靴</x:v>
      </x:c>
      <x:c r="G462" s="25" t="str">
        <x:v>鞋子</x:v>
      </x:c>
      <x:c r="H462" s="25" t="n">
        <x:v>3</x:v>
      </x:c>
      <x:c r="I462" s="25" t="str">
        <x:v>装备合成</x:v>
      </x:c>
      <x:c r="J462" s="25" t="str">
        <x:v>S07</x:v>
      </x:c>
      <x:c r="K462" s="25" t="str">
        <x:v>100-200</x:v>
      </x:c>
      <x:c r="L462" s="25" t="n">
        <x:v>150000</x:v>
      </x:c>
      <x:c r="M462" s="25" t="n">
        <x:v>3</x:v>
      </x:c>
      <x:c r="N462" s="25" t="str">
        <x:v>否</x:v>
      </x:c>
      <x:c r="O462" s="25" t="n">
        <x:v>0</x:v>
      </x:c>
      <x:c r="P462" s="25" t="n">
        <x:v>0</x:v>
      </x:c>
      <x:c r="Q462" s="25" t="n">
        <x:v>0</x:v>
      </x:c>
      <x:c r="R462" s="25" t="str">
        <x:v>洗练绑定装备；项链幸运绑定人物永久进度；武器幸运成本忽略</x:v>
      </x:c>
    </x:row>
    <x:row r="463">
      <x:c r="A463" s="25" t="str">
        <x:v>C05-G</x:v>
      </x:c>
      <x:c r="B463" s="25" t="str">
        <x:v>湖之利耶尼亚</x:v>
      </x:c>
      <x:c r="C463" s="25" t="str">
        <x:v>半急速毕业</x:v>
      </x:c>
      <x:c r="D463" s="25" t="n">
        <x:v>13</x:v>
      </x:c>
      <x:c r="E463" s="25" t="n">
        <x:v>124</x:v>
      </x:c>
      <x:c r="F463" s="25" t="str">
        <x:v>银页书鸦笠</x:v>
      </x:c>
      <x:c r="G463" s="25" t="str">
        <x:v>斗笠</x:v>
      </x:c>
      <x:c r="H463" s="25" t="n">
        <x:v>5</x:v>
      </x:c>
      <x:c r="I463" s="25" t="str">
        <x:v>普通</x:v>
      </x:c>
      <x:c r="J463" s="25" t="str">
        <x:v>S07</x:v>
      </x:c>
      <x:c r="K463" s="25" t="str">
        <x:v>83-160</x:v>
      </x:c>
      <x:c r="L463" s="25" t="n">
        <x:v>94000</x:v>
      </x:c>
      <x:c r="M463" s="25" t="n">
        <x:v>0</x:v>
      </x:c>
      <x:c r="N463" s="25" t="str">
        <x:v>否</x:v>
      </x:c>
      <x:c r="O463" s="25" t="n">
        <x:v>0</x:v>
      </x:c>
      <x:c r="P463" s="25" t="n">
        <x:v>0</x:v>
      </x:c>
      <x:c r="Q463" s="25" t="n">
        <x:v>0</x:v>
      </x:c>
      <x:c r="R463" s="25" t="str">
        <x:v>洗练绑定装备；项链幸运绑定人物永久进度；武器幸运成本忽略</x:v>
      </x:c>
    </x:row>
    <x:row r="464">
      <x:c r="A464" s="25" t="str">
        <x:v>C05-G</x:v>
      </x:c>
      <x:c r="B464" s="25" t="str">
        <x:v>湖之利耶尼亚</x:v>
      </x:c>
      <x:c r="C464" s="25" t="str">
        <x:v>半急速毕业</x:v>
      </x:c>
      <x:c r="D464" s="25" t="n">
        <x:v>16</x:v>
      </x:c>
      <x:c r="E464" s="25" t="n">
        <x:v>125</x:v>
      </x:c>
      <x:c r="F464" s="25" t="str">
        <x:v>巡潮重盾</x:v>
      </x:c>
      <x:c r="G464" s="25" t="str">
        <x:v>盾牌</x:v>
      </x:c>
      <x:c r="H464" s="25" t="n">
        <x:v>4</x:v>
      </x:c>
      <x:c r="I464" s="25" t="str">
        <x:v>稀有</x:v>
      </x:c>
      <x:c r="J464" s="25" t="str">
        <x:v>S07</x:v>
      </x:c>
      <x:c r="K464" s="25" t="str">
        <x:v>100-200</x:v>
      </x:c>
      <x:c r="L464" s="25" t="n">
        <x:v>370000</x:v>
      </x:c>
      <x:c r="M464" s="25" t="n">
        <x:v>0</x:v>
      </x:c>
      <x:c r="N464" s="25" t="str">
        <x:v>否</x:v>
      </x:c>
      <x:c r="O464" s="25" t="n">
        <x:v>0</x:v>
      </x:c>
      <x:c r="P464" s="25" t="n">
        <x:v>0</x:v>
      </x:c>
      <x:c r="Q464" s="25" t="n">
        <x:v>0</x:v>
      </x:c>
      <x:c r="R464" s="25" t="str">
        <x:v>洗练绑定装备；项链幸运绑定人物永久进度；武器幸运成本忽略</x:v>
      </x:c>
    </x:row>
    <x:row r="465">
      <x:c r="A465" s="25" t="str">
        <x:v>C05-G</x:v>
      </x:c>
      <x:c r="B465" s="25" t="str">
        <x:v>湖之利耶尼亚</x:v>
      </x:c>
      <x:c r="C465" s="25" t="str">
        <x:v>半急速毕业</x:v>
      </x:c>
      <x:c r="D465" s="25" t="n">
        <x:v>18</x:v>
      </x:c>
      <x:c r="E465" s="25" t="n">
        <x:v>26</x:v>
      </x:c>
      <x:c r="F465" s="25" t="str">
        <x:v>无冠王衣</x:v>
      </x:c>
      <x:c r="G465" s="25" t="str">
        <x:v>时装衣服</x:v>
      </x:c>
      <x:c r="H465" s="25" t="n">
        <x:v>1</x:v>
      </x:c>
      <x:c r="I465" s="25" t="str">
        <x:v>守关BOSS</x:v>
      </x:c>
      <x:c r="J465" s="25" t="str">
        <x:v>S02</x:v>
      </x:c>
      <x:c r="K465" s="25" t="str">
        <x:v>28-53</x:v>
      </x:c>
      <x:c r="L465" s="25" t="n">
        <x:v>74300</x:v>
      </x:c>
      <x:c r="M465" s="25" t="n">
        <x:v>0</x:v>
      </x:c>
      <x:c r="N465" s="25" t="str">
        <x:v>否</x:v>
      </x:c>
      <x:c r="O465" s="25" t="n">
        <x:v>0</x:v>
      </x:c>
      <x:c r="P465" s="25" t="n">
        <x:v>0</x:v>
      </x:c>
      <x:c r="Q465" s="25" t="n">
        <x:v>0</x:v>
      </x:c>
      <x:c r="R465" s="25" t="str">
        <x:v>洗练绑定装备；项链幸运绑定人物永久进度；武器幸运成本忽略</x:v>
      </x:c>
    </x:row>
    <x:row r="466">
      <x:c r="A466" s="25" t="str">
        <x:v>C05-G</x:v>
      </x:c>
      <x:c r="B466" s="25" t="str">
        <x:v>湖之利耶尼亚</x:v>
      </x:c>
      <x:c r="C466" s="25" t="str">
        <x:v>半急速毕业</x:v>
      </x:c>
      <x:c r="D466" s="25" t="n">
        <x:v>19</x:v>
      </x:c>
      <x:c r="E466" s="25" t="n">
        <x:v>64</x:v>
      </x:c>
      <x:c r="F466" s="25" t="str">
        <x:v>百夫熔戟</x:v>
      </x:c>
      <x:c r="G466" s="25" t="str">
        <x:v>时装武器</x:v>
      </x:c>
      <x:c r="H466" s="25" t="n">
        <x:v>2</x:v>
      </x:c>
      <x:c r="I466" s="25" t="str">
        <x:v>稀有</x:v>
      </x:c>
      <x:c r="J466" s="25" t="str">
        <x:v>S02</x:v>
      </x:c>
      <x:c r="K466" s="25" t="str">
        <x:v>150-288</x:v>
      </x:c>
      <x:c r="L466" s="25" t="n">
        <x:v>45400</x:v>
      </x:c>
      <x:c r="M466" s="25" t="n">
        <x:v>0</x:v>
      </x:c>
      <x:c r="N466" s="25" t="str">
        <x:v>否</x:v>
      </x:c>
      <x:c r="O466" s="25" t="n">
        <x:v>0</x:v>
      </x:c>
      <x:c r="P466" s="25" t="n">
        <x:v>0</x:v>
      </x:c>
      <x:c r="Q466" s="25" t="n">
        <x:v>0</x:v>
      </x:c>
      <x:c r="R466" s="25" t="str">
        <x:v>洗练绑定装备；项链幸运绑定人物永久进度；武器幸运成本忽略</x:v>
      </x:c>
    </x:row>
    <x:row r="467">
      <x:c r="A467" s="25" t="str">
        <x:v>C05-G</x:v>
      </x:c>
      <x:c r="B467" s="25" t="str">
        <x:v>湖之利耶尼亚</x:v>
      </x:c>
      <x:c r="C467" s="25" t="str">
        <x:v>半急速毕业</x:v>
      </x:c>
      <x:c r="D467" s="25" t="n">
        <x:v>20</x:v>
      </x:c>
      <x:c r="E467" s="25" t="n">
        <x:v>40</x:v>
      </x:c>
      <x:c r="F467" s="25" t="str">
        <x:v>英雄余誓</x:v>
      </x:c>
      <x:c r="G467" s="25" t="str">
        <x:v>时装项链</x:v>
      </x:c>
      <x:c r="H467" s="25" t="n">
        <x:v>2</x:v>
      </x:c>
      <x:c r="I467" s="25" t="str">
        <x:v>稀有</x:v>
      </x:c>
      <x:c r="J467" s="25" t="str">
        <x:v>S02</x:v>
      </x:c>
      <x:c r="K467" s="25" t="str">
        <x:v>31-60</x:v>
      </x:c>
      <x:c r="L467" s="25" t="n">
        <x:v>17900</x:v>
      </x:c>
      <x:c r="M467" s="25" t="n">
        <x:v>0</x:v>
      </x:c>
      <x:c r="N467" s="25" t="str">
        <x:v>否</x:v>
      </x:c>
      <x:c r="O467" s="25" t="n">
        <x:v>0</x:v>
      </x:c>
      <x:c r="P467" s="25" t="n">
        <x:v>0</x:v>
      </x:c>
      <x:c r="Q467" s="25" t="n">
        <x:v>0</x:v>
      </x:c>
      <x:c r="R467" s="25" t="str">
        <x:v>洗练绑定装备；项链幸运绑定人物永久进度；武器幸运成本忽略</x:v>
      </x:c>
    </x:row>
    <x:row r="468">
      <x:c r="A468" s="25" t="str">
        <x:v>C05-G</x:v>
      </x:c>
      <x:c r="B468" s="25" t="str">
        <x:v>湖之利耶尼亚</x:v>
      </x:c>
      <x:c r="C468" s="25" t="str">
        <x:v>半急速毕业</x:v>
      </x:c>
      <x:c r="D468" s="25" t="n">
        <x:v>21</x:v>
      </x:c>
      <x:c r="E468" s="25" t="n">
        <x:v>41</x:v>
      </x:c>
      <x:c r="F468" s="25" t="str">
        <x:v>初火兜鍪</x:v>
      </x:c>
      <x:c r="G468" s="25" t="str">
        <x:v>时装头盔</x:v>
      </x:c>
      <x:c r="H468" s="25" t="n">
        <x:v>2</x:v>
      </x:c>
      <x:c r="I468" s="25" t="str">
        <x:v>稀有</x:v>
      </x:c>
      <x:c r="J468" s="25" t="str">
        <x:v>S02</x:v>
      </x:c>
      <x:c r="K468" s="25" t="str">
        <x:v>22-42</x:v>
      </x:c>
      <x:c r="L468" s="25" t="n">
        <x:v>30900</x:v>
      </x:c>
      <x:c r="M468" s="25" t="n">
        <x:v>0</x:v>
      </x:c>
      <x:c r="N468" s="25" t="str">
        <x:v>否</x:v>
      </x:c>
      <x:c r="O468" s="25" t="n">
        <x:v>0</x:v>
      </x:c>
      <x:c r="P468" s="25" t="n">
        <x:v>0</x:v>
      </x:c>
      <x:c r="Q468" s="25" t="n">
        <x:v>0</x:v>
      </x:c>
      <x:c r="R468" s="25" t="str">
        <x:v>洗练绑定装备；项链幸运绑定人物永久进度；武器幸运成本忽略</x:v>
      </x:c>
    </x:row>
    <x:row r="469">
      <x:c r="A469" s="25" t="str">
        <x:v>C05-G</x:v>
      </x:c>
      <x:c r="B469" s="25" t="str">
        <x:v>湖之利耶尼亚</x:v>
      </x:c>
      <x:c r="C469" s="25" t="str">
        <x:v>半急速毕业</x:v>
      </x:c>
      <x:c r="D469" s="25" t="n">
        <x:v>22</x:v>
      </x:c>
      <x:c r="E469" s="25" t="n">
        <x:v>42</x:v>
      </x:c>
      <x:c r="F469" s="25" t="str">
        <x:v>卢恩血镯</x:v>
      </x:c>
      <x:c r="G469" s="25" t="str">
        <x:v>时装手镯</x:v>
      </x:c>
      <x:c r="H469" s="25" t="n">
        <x:v>2</x:v>
      </x:c>
      <x:c r="I469" s="25" t="str">
        <x:v>稀有</x:v>
      </x:c>
      <x:c r="J469" s="25" t="str">
        <x:v>S02</x:v>
      </x:c>
      <x:c r="K469" s="25" t="str">
        <x:v>42-80</x:v>
      </x:c>
      <x:c r="L469" s="25" t="n">
        <x:v>34400</x:v>
      </x:c>
      <x:c r="M469" s="25" t="n">
        <x:v>0</x:v>
      </x:c>
      <x:c r="N469" s="25" t="str">
        <x:v>否</x:v>
      </x:c>
      <x:c r="O469" s="25" t="n">
        <x:v>0</x:v>
      </x:c>
      <x:c r="P469" s="25" t="n">
        <x:v>0</x:v>
      </x:c>
      <x:c r="Q469" s="25" t="n">
        <x:v>0</x:v>
      </x:c>
      <x:c r="R469" s="25" t="str">
        <x:v>洗练绑定装备；项链幸运绑定人物永久进度；武器幸运成本忽略</x:v>
      </x:c>
    </x:row>
    <x:row r="470">
      <x:c r="A470" s="25" t="str">
        <x:v>C05-G</x:v>
      </x:c>
      <x:c r="B470" s="25" t="str">
        <x:v>湖之利耶尼亚</x:v>
      </x:c>
      <x:c r="C470" s="25" t="str">
        <x:v>半急速毕业</x:v>
      </x:c>
      <x:c r="D470" s="25" t="n">
        <x:v>24</x:v>
      </x:c>
      <x:c r="E470" s="25" t="n">
        <x:v>43</x:v>
      </x:c>
      <x:c r="F470" s="25" t="str">
        <x:v>黄金树戒</x:v>
      </x:c>
      <x:c r="G470" s="25" t="str">
        <x:v>时装戒指</x:v>
      </x:c>
      <x:c r="H470" s="25" t="n">
        <x:v>2</x:v>
      </x:c>
      <x:c r="I470" s="25" t="str">
        <x:v>稀有</x:v>
      </x:c>
      <x:c r="J470" s="25" t="str">
        <x:v>S02</x:v>
      </x:c>
      <x:c r="K470" s="25" t="str">
        <x:v>42-80</x:v>
      </x:c>
      <x:c r="L470" s="25" t="n">
        <x:v>34400</x:v>
      </x:c>
      <x:c r="M470" s="25" t="n">
        <x:v>0</x:v>
      </x:c>
      <x:c r="N470" s="25" t="str">
        <x:v>否</x:v>
      </x:c>
      <x:c r="O470" s="25" t="n">
        <x:v>0</x:v>
      </x:c>
      <x:c r="P470" s="25" t="n">
        <x:v>0</x:v>
      </x:c>
      <x:c r="Q470" s="25" t="n">
        <x:v>0</x:v>
      </x:c>
      <x:c r="R470" s="25" t="str">
        <x:v>洗练绑定装备；项链幸运绑定人物永久进度；武器幸运成本忽略</x:v>
      </x:c>
    </x:row>
    <x:row r="471">
      <x:c r="A471" s="25" t="str">
        <x:v>C05-G</x:v>
      </x:c>
      <x:c r="B471" s="25" t="str">
        <x:v>湖之利耶尼亚</x:v>
      </x:c>
      <x:c r="C471" s="25" t="str">
        <x:v>半急速毕业</x:v>
      </x:c>
      <x:c r="D471" s="25" t="n">
        <x:v>40</x:v>
      </x:c>
      <x:c r="E471" s="25" t="n">
        <x:v>44</x:v>
      </x:c>
      <x:c r="F471" s="25" t="str">
        <x:v>腐树子鼠</x:v>
      </x:c>
      <x:c r="G471" s="25" t="str">
        <x:v>生肖1</x:v>
      </x:c>
      <x:c r="H471" s="25" t="n">
        <x:v>2</x:v>
      </x:c>
      <x:c r="I471" s="25" t="str">
        <x:v>BOSS</x:v>
      </x:c>
      <x:c r="J471" s="25" t="str">
        <x:v>S02</x:v>
      </x:c>
      <x:c r="K471" s="25" t="str">
        <x:v>29-56</x:v>
      </x:c>
      <x:c r="L471" s="25" t="n">
        <x:v>23600</x:v>
      </x:c>
      <x:c r="M471" s="25" t="n">
        <x:v>0</x:v>
      </x:c>
      <x:c r="N471" s="25" t="str">
        <x:v>否</x:v>
      </x:c>
      <x:c r="O471" s="25" t="n">
        <x:v>0</x:v>
      </x:c>
      <x:c r="P471" s="25" t="n">
        <x:v>0</x:v>
      </x:c>
      <x:c r="Q471" s="25" t="n">
        <x:v>0</x:v>
      </x:c>
      <x:c r="R471" s="25" t="str">
        <x:v>洗练绑定装备；项链幸运绑定人物永久进度；武器幸运成本忽略</x:v>
      </x:c>
    </x:row>
    <x:row r="472">
      <x:c r="A472" s="25" t="str">
        <x:v>C05-G</x:v>
      </x:c>
      <x:c r="B472" s="25" t="str">
        <x:v>湖之利耶尼亚</x:v>
      </x:c>
      <x:c r="C472" s="25" t="str">
        <x:v>半急速毕业</x:v>
      </x:c>
      <x:c r="D472" s="25" t="n">
        <x:v>41</x:v>
      </x:c>
      <x:c r="E472" s="25" t="n">
        <x:v>69</x:v>
      </x:c>
      <x:c r="F472" s="25" t="str">
        <x:v>丑牛·风暴负山</x:v>
      </x:c>
      <x:c r="G472" s="25" t="str">
        <x:v>生肖2</x:v>
      </x:c>
      <x:c r="H472" s="25" t="n">
        <x:v>2</x:v>
      </x:c>
      <x:c r="I472" s="25" t="str">
        <x:v>生肖合成</x:v>
      </x:c>
      <x:c r="J472" s="25" t="str">
        <x:v>S07</x:v>
      </x:c>
      <x:c r="K472" s="25" t="str">
        <x:v>25-49</x:v>
      </x:c>
      <x:c r="L472" s="25" t="n">
        <x:v>64000</x:v>
      </x:c>
      <x:c r="M472" s="25" t="n">
        <x:v>0</x:v>
      </x:c>
      <x:c r="N472" s="25" t="str">
        <x:v>否</x:v>
      </x:c>
      <x:c r="O472" s="25" t="n">
        <x:v>0</x:v>
      </x:c>
      <x:c r="P472" s="25" t="n">
        <x:v>0</x:v>
      </x:c>
      <x:c r="Q472" s="25" t="n">
        <x:v>0</x:v>
      </x:c>
      <x:c r="R472" s="25" t="str">
        <x:v>洗练绑定装备；项链幸运绑定人物永久进度；武器幸运成本忽略</x:v>
      </x:c>
    </x:row>
    <x:row r="473">
      <x:c r="A473" s="25" t="str">
        <x:v>C05-G</x:v>
      </x:c>
      <x:c r="B473" s="25" t="str">
        <x:v>湖之利耶尼亚</x:v>
      </x:c>
      <x:c r="C473" s="25" t="str">
        <x:v>半急速毕业</x:v>
      </x:c>
      <x:c r="D473" s="25" t="n">
        <x:v>42</x:v>
      </x:c>
      <x:c r="E473" s="25" t="n">
        <x:v>66</x:v>
      </x:c>
      <x:c r="F473" s="25" t="str">
        <x:v>长戟寅虎</x:v>
      </x:c>
      <x:c r="G473" s="25" t="str">
        <x:v>生肖3</x:v>
      </x:c>
      <x:c r="H473" s="25" t="n">
        <x:v>2</x:v>
      </x:c>
      <x:c r="I473" s="25" t="str">
        <x:v>BOSS</x:v>
      </x:c>
      <x:c r="J473" s="25" t="str">
        <x:v>S02</x:v>
      </x:c>
      <x:c r="K473" s="25" t="str">
        <x:v>34-65</x:v>
      </x:c>
      <x:c r="L473" s="25" t="n">
        <x:v>32600</x:v>
      </x:c>
      <x:c r="M473" s="25" t="n">
        <x:v>0</x:v>
      </x:c>
      <x:c r="N473" s="25" t="str">
        <x:v>否</x:v>
      </x:c>
      <x:c r="O473" s="25" t="n">
        <x:v>0</x:v>
      </x:c>
      <x:c r="P473" s="25" t="n">
        <x:v>0</x:v>
      </x:c>
      <x:c r="Q473" s="25" t="n">
        <x:v>0</x:v>
      </x:c>
      <x:c r="R473" s="25" t="str">
        <x:v>洗练绑定装备；项链幸运绑定人物永久进度；武器幸运成本忽略</x:v>
      </x:c>
    </x:row>
    <x:row r="474">
      <x:c r="A474" s="25" t="str">
        <x:v>C05-G</x:v>
      </x:c>
      <x:c r="B474" s="25" t="str">
        <x:v>湖之利耶尼亚</x:v>
      </x:c>
      <x:c r="C474" s="25" t="str">
        <x:v>半急速毕业</x:v>
      </x:c>
      <x:c r="D474" s="25" t="n">
        <x:v>43</x:v>
      </x:c>
      <x:c r="E474" s="25" t="n">
        <x:v>127</x:v>
      </x:c>
      <x:c r="F474" s="25" t="str">
        <x:v>卯兔·镜月折辉</x:v>
      </x:c>
      <x:c r="G474" s="25" t="str">
        <x:v>生肖4</x:v>
      </x:c>
      <x:c r="H474" s="25" t="n">
        <x:v>5</x:v>
      </x:c>
      <x:c r="I474" s="25" t="str">
        <x:v>生肖合成</x:v>
      </x:c>
      <x:c r="J474" s="25" t="str">
        <x:v>S07</x:v>
      </x:c>
      <x:c r="K474" s="25" t="str">
        <x:v>150-280</x:v>
      </x:c>
      <x:c r="L474" s="25" t="n">
        <x:v>360000</x:v>
      </x:c>
      <x:c r="M474" s="25" t="n">
        <x:v>0</x:v>
      </x:c>
      <x:c r="N474" s="25" t="str">
        <x:v>否</x:v>
      </x:c>
      <x:c r="O474" s="25" t="n">
        <x:v>0</x:v>
      </x:c>
      <x:c r="P474" s="25" t="n">
        <x:v>0</x:v>
      </x:c>
      <x:c r="Q474" s="25" t="n">
        <x:v>0</x:v>
      </x:c>
      <x:c r="R474" s="25" t="str">
        <x:v>洗练绑定装备；项链幸运绑定人物永久进度；武器幸运成本忽略</x:v>
      </x:c>
    </x:row>
    <x:row r="475">
      <x:c r="A475" s="25" t="str">
        <x:v>C05-G</x:v>
      </x:c>
      <x:c r="B475" s="25" t="str">
        <x:v>湖之利耶尼亚</x:v>
      </x:c>
      <x:c r="C475" s="25" t="str">
        <x:v>半急速毕业</x:v>
      </x:c>
      <x:c r="D475" s="25" t="n">
        <x:v>44</x:v>
      </x:c>
      <x:c r="E475" s="25" t="n">
        <x:v>91</x:v>
      </x:c>
      <x:c r="F475" s="25" t="str">
        <x:v>辰龙·荒原逐风</x:v>
      </x:c>
      <x:c r="G475" s="25" t="str">
        <x:v>生肖5</x:v>
      </x:c>
      <x:c r="H475" s="25" t="n">
        <x:v>3</x:v>
      </x:c>
      <x:c r="I475" s="25" t="str">
        <x:v>生肖合成</x:v>
      </x:c>
      <x:c r="J475" s="25" t="str">
        <x:v>S07</x:v>
      </x:c>
      <x:c r="K475" s="25" t="str">
        <x:v>47-90</x:v>
      </x:c>
      <x:c r="L475" s="25" t="n">
        <x:v>120000</x:v>
      </x:c>
      <x:c r="M475" s="25" t="n">
        <x:v>0</x:v>
      </x:c>
      <x:c r="N475" s="25" t="str">
        <x:v>否</x:v>
      </x:c>
      <x:c r="O475" s="25" t="n">
        <x:v>0</x:v>
      </x:c>
      <x:c r="P475" s="25" t="n">
        <x:v>0</x:v>
      </x:c>
      <x:c r="Q475" s="25" t="n">
        <x:v>0</x:v>
      </x:c>
      <x:c r="R475" s="25" t="str">
        <x:v>洗练绑定装备；项链幸运绑定人物永久进度；武器幸运成本忽略</x:v>
      </x:c>
    </x:row>
    <x:row r="476">
      <x:c r="A476" s="25" t="str">
        <x:v>C05-G</x:v>
      </x:c>
      <x:c r="B476" s="25" t="str">
        <x:v>湖之利耶尼亚</x:v>
      </x:c>
      <x:c r="C476" s="25" t="str">
        <x:v>半急速毕业</x:v>
      </x:c>
      <x:c r="D476" s="25" t="n">
        <x:v>45</x:v>
      </x:c>
      <x:c r="E476" s="25" t="n">
        <x:v>107</x:v>
      </x:c>
      <x:c r="F476" s="25" t="str">
        <x:v>巳蛇·沉潮缚月</x:v>
      </x:c>
      <x:c r="G476" s="25" t="str">
        <x:v>生肖6</x:v>
      </x:c>
      <x:c r="H476" s="25" t="n">
        <x:v>4</x:v>
      </x:c>
      <x:c r="I476" s="25" t="str">
        <x:v>生肖合成</x:v>
      </x:c>
      <x:c r="J476" s="25" t="str">
        <x:v>S07</x:v>
      </x:c>
      <x:c r="K476" s="25" t="str">
        <x:v>83-160</x:v>
      </x:c>
      <x:c r="L476" s="25" t="n">
        <x:v>200000</x:v>
      </x:c>
      <x:c r="M476" s="25" t="n">
        <x:v>0</x:v>
      </x:c>
      <x:c r="N476" s="25" t="str">
        <x:v>否</x:v>
      </x:c>
      <x:c r="O476" s="25" t="n">
        <x:v>0</x:v>
      </x:c>
      <x:c r="P476" s="25" t="n">
        <x:v>0</x:v>
      </x:c>
      <x:c r="Q476" s="25" t="n">
        <x:v>0</x:v>
      </x:c>
      <x:c r="R476" s="25" t="str">
        <x:v>洗练绑定装备；项链幸运绑定人物永久进度；武器幸运成本忽略</x:v>
      </x:c>
    </x:row>
    <x:row r="477">
      <x:c r="A477" s="25" t="str">
        <x:v>C05-G</x:v>
      </x:c>
      <x:c r="B477" s="25" t="str">
        <x:v>湖之利耶尼亚</x:v>
      </x:c>
      <x:c r="C477" s="25" t="str">
        <x:v>半急速毕业</x:v>
      </x:c>
      <x:c r="D477" s="25" t="n">
        <x:v>46</x:v>
      </x:c>
      <x:c r="E477" s="25" t="n">
        <x:v>80</x:v>
      </x:c>
      <x:c r="F477" s="25" t="str">
        <x:v>死水午马</x:v>
      </x:c>
      <x:c r="G477" s="25" t="str">
        <x:v>生肖7</x:v>
      </x:c>
      <x:c r="H477" s="25" t="n">
        <x:v>2</x:v>
      </x:c>
      <x:c r="I477" s="25" t="str">
        <x:v>BOSS</x:v>
      </x:c>
      <x:c r="J477" s="25" t="str">
        <x:v>S02</x:v>
      </x:c>
      <x:c r="K477" s="25" t="str">
        <x:v>38-74</x:v>
      </x:c>
      <x:c r="L477" s="25" t="n">
        <x:v>45300</x:v>
      </x:c>
      <x:c r="M477" s="25" t="n">
        <x:v>0</x:v>
      </x:c>
      <x:c r="N477" s="25" t="str">
        <x:v>否</x:v>
      </x:c>
      <x:c r="O477" s="25" t="n">
        <x:v>0</x:v>
      </x:c>
      <x:c r="P477" s="25" t="n">
        <x:v>0</x:v>
      </x:c>
      <x:c r="Q477" s="25" t="n">
        <x:v>0</x:v>
      </x:c>
      <x:c r="R477" s="25" t="str">
        <x:v>洗练绑定装备；项链幸运绑定人物永久进度；武器幸运成本忽略</x:v>
      </x:c>
    </x:row>
    <x:row r="478">
      <x:c r="A478" s="25" t="str">
        <x:v>C05-G</x:v>
      </x:c>
      <x:c r="B478" s="25" t="str">
        <x:v>湖之利耶尼亚</x:v>
      </x:c>
      <x:c r="C478" s="25" t="str">
        <x:v>半急速毕业</x:v>
      </x:c>
      <x:c r="D478" s="25" t="n">
        <x:v>47</x:v>
      </x:c>
      <x:c r="E478" s="25" t="n">
        <x:v>67</x:v>
      </x:c>
      <x:c r="F478" s="25" t="str">
        <x:v>葬日未羊</x:v>
      </x:c>
      <x:c r="G478" s="25" t="str">
        <x:v>生肖8</x:v>
      </x:c>
      <x:c r="H478" s="25" t="n">
        <x:v>2</x:v>
      </x:c>
      <x:c r="I478" s="25" t="str">
        <x:v>稀有</x:v>
      </x:c>
      <x:c r="J478" s="25" t="str">
        <x:v>S02</x:v>
      </x:c>
      <x:c r="K478" s="25" t="str">
        <x:v>37-72</x:v>
      </x:c>
      <x:c r="L478" s="25" t="n">
        <x:v>51600</x:v>
      </x:c>
      <x:c r="M478" s="25" t="n">
        <x:v>0</x:v>
      </x:c>
      <x:c r="N478" s="25" t="str">
        <x:v>否</x:v>
      </x:c>
      <x:c r="O478" s="25" t="n">
        <x:v>0</x:v>
      </x:c>
      <x:c r="P478" s="25" t="n">
        <x:v>0</x:v>
      </x:c>
      <x:c r="Q478" s="25" t="n">
        <x:v>0</x:v>
      </x:c>
      <x:c r="R478" s="25" t="str">
        <x:v>洗练绑定装备；项链幸运绑定人物永久进度；武器幸运成本忽略</x:v>
      </x:c>
    </x:row>
    <x:row r="479">
      <x:c r="A479" s="25" t="str">
        <x:v>C05-G</x:v>
      </x:c>
      <x:c r="B479" s="25" t="str">
        <x:v>湖之利耶尼亚</x:v>
      </x:c>
      <x:c r="C479" s="25" t="str">
        <x:v>半急速毕业</x:v>
      </x:c>
      <x:c r="D479" s="25" t="n">
        <x:v>48</x:v>
      </x:c>
      <x:c r="E479" s="25" t="n">
        <x:v>81</x:v>
      </x:c>
      <x:c r="F479" s="25" t="str">
        <x:v>雷冠申猴</x:v>
      </x:c>
      <x:c r="G479" s="25" t="str">
        <x:v>生肖9</x:v>
      </x:c>
      <x:c r="H479" s="25" t="n">
        <x:v>2</x:v>
      </x:c>
      <x:c r="I479" s="25" t="str">
        <x:v>BOSS</x:v>
      </x:c>
      <x:c r="J479" s="25" t="str">
        <x:v>S02</x:v>
      </x:c>
      <x:c r="K479" s="25" t="str">
        <x:v>44-84</x:v>
      </x:c>
      <x:c r="L479" s="25" t="n">
        <x:v>59800</x:v>
      </x:c>
      <x:c r="M479" s="25" t="n">
        <x:v>0</x:v>
      </x:c>
      <x:c r="N479" s="25" t="str">
        <x:v>否</x:v>
      </x:c>
      <x:c r="O479" s="25" t="n">
        <x:v>0</x:v>
      </x:c>
      <x:c r="P479" s="25" t="n">
        <x:v>0</x:v>
      </x:c>
      <x:c r="Q479" s="25" t="n">
        <x:v>0</x:v>
      </x:c>
      <x:c r="R479" s="25" t="str">
        <x:v>洗练绑定装备；项链幸运绑定人物永久进度；武器幸运成本忽略</x:v>
      </x:c>
    </x:row>
    <x:row r="480">
      <x:c r="A480" s="25" t="str">
        <x:v>C05-G</x:v>
      </x:c>
      <x:c r="B480" s="25" t="str">
        <x:v>湖之利耶尼亚</x:v>
      </x:c>
      <x:c r="C480" s="25" t="str">
        <x:v>半急速毕业</x:v>
      </x:c>
      <x:c r="D480" s="25" t="n">
        <x:v>49</x:v>
      </x:c>
      <x:c r="E480" s="25" t="n">
        <x:v>82</x:v>
      </x:c>
      <x:c r="F480" s="25" t="str">
        <x:v>恶兆酉鸡</x:v>
      </x:c>
      <x:c r="G480" s="25" t="str">
        <x:v>生肖10</x:v>
      </x:c>
      <x:c r="H480" s="25" t="n">
        <x:v>2</x:v>
      </x:c>
      <x:c r="I480" s="25" t="str">
        <x:v>BOSS</x:v>
      </x:c>
      <x:c r="J480" s="25" t="str">
        <x:v>S02</x:v>
      </x:c>
      <x:c r="K480" s="25" t="str">
        <x:v>44-84</x:v>
      </x:c>
      <x:c r="L480" s="25" t="n">
        <x:v>59800</x:v>
      </x:c>
      <x:c r="M480" s="25" t="n">
        <x:v>0</x:v>
      </x:c>
      <x:c r="N480" s="25" t="str">
        <x:v>否</x:v>
      </x:c>
      <x:c r="O480" s="25" t="n">
        <x:v>0</x:v>
      </x:c>
      <x:c r="P480" s="25" t="n">
        <x:v>0</x:v>
      </x:c>
      <x:c r="Q480" s="25" t="n">
        <x:v>0</x:v>
      </x:c>
      <x:c r="R480" s="25" t="str">
        <x:v>洗练绑定装备；项链幸运绑定人物永久进度；武器幸运成本忽略</x:v>
      </x:c>
    </x:row>
    <x:row r="481">
      <x:c r="A481" s="25" t="str">
        <x:v>C05-G</x:v>
      </x:c>
      <x:c r="B481" s="25" t="str">
        <x:v>湖之利耶尼亚</x:v>
      </x:c>
      <x:c r="C481" s="25" t="str">
        <x:v>半急速毕业</x:v>
      </x:c>
      <x:c r="D481" s="25" t="n">
        <x:v>50</x:v>
      </x:c>
      <x:c r="E481" s="25" t="n">
        <x:v>83</x:v>
      </x:c>
      <x:c r="F481" s="25" t="str">
        <x:v>失乡戌狗</x:v>
      </x:c>
      <x:c r="G481" s="25" t="str">
        <x:v>生肖11</x:v>
      </x:c>
      <x:c r="H481" s="25" t="n">
        <x:v>2</x:v>
      </x:c>
      <x:c r="I481" s="25" t="str">
        <x:v>BOSS</x:v>
      </x:c>
      <x:c r="J481" s="25" t="str">
        <x:v>S02</x:v>
      </x:c>
      <x:c r="K481" s="25" t="str">
        <x:v>48-93</x:v>
      </x:c>
      <x:c r="L481" s="25" t="n">
        <x:v>79800</x:v>
      </x:c>
      <x:c r="M481" s="25" t="n">
        <x:v>0</x:v>
      </x:c>
      <x:c r="N481" s="25" t="str">
        <x:v>否</x:v>
      </x:c>
      <x:c r="O481" s="25" t="n">
        <x:v>0</x:v>
      </x:c>
      <x:c r="P481" s="25" t="n">
        <x:v>0</x:v>
      </x:c>
      <x:c r="Q481" s="25" t="n">
        <x:v>0</x:v>
      </x:c>
      <x:c r="R481" s="25" t="str">
        <x:v>洗练绑定装备；项链幸运绑定人物永久进度；武器幸运成本忽略</x:v>
      </x:c>
    </x:row>
    <x:row r="482">
      <x:c r="A482" s="25" t="str">
        <x:v>C05-G</x:v>
      </x:c>
      <x:c r="B482" s="25" t="str">
        <x:v>湖之利耶尼亚</x:v>
      </x:c>
      <x:c r="C482" s="25" t="str">
        <x:v>半急速毕业</x:v>
      </x:c>
      <x:c r="D482" s="25" t="n">
        <x:v>51</x:v>
      </x:c>
      <x:c r="E482" s="25" t="n">
        <x:v>84</x:v>
      </x:c>
      <x:c r="F482" s="25" t="str">
        <x:v>接肢亥猪</x:v>
      </x:c>
      <x:c r="G482" s="25" t="str">
        <x:v>生肖12</x:v>
      </x:c>
      <x:c r="H482" s="25" t="n">
        <x:v>2</x:v>
      </x:c>
      <x:c r="I482" s="25" t="str">
        <x:v>守关BOSS</x:v>
      </x:c>
      <x:c r="J482" s="25" t="str">
        <x:v>S02</x:v>
      </x:c>
      <x:c r="K482" s="25" t="str">
        <x:v>55-106</x:v>
      </x:c>
      <x:c r="L482" s="25" t="n">
        <x:v>90800</x:v>
      </x:c>
      <x:c r="M482" s="25" t="n">
        <x:v>0</x:v>
      </x:c>
      <x:c r="N482" s="25" t="str">
        <x:v>否</x:v>
      </x:c>
      <x:c r="O482" s="25" t="n">
        <x:v>0</x:v>
      </x:c>
      <x:c r="P482" s="25" t="n">
        <x:v>0</x:v>
      </x:c>
      <x:c r="Q482" s="25" t="n">
        <x:v>0</x:v>
      </x:c>
      <x:c r="R482" s="25" t="str">
        <x:v>洗练绑定装备；项链幸运绑定人物永久进度；武器幸运成本忽略</x:v>
      </x:c>
    </x:row>
    <x:row r="483">
      <x:c r="A483" s="25" t="str">
        <x:v>C05-X</x:v>
      </x:c>
      <x:c r="B483" s="25" t="str">
        <x:v>湖之利耶尼亚</x:v>
      </x:c>
      <x:c r="C483" s="25" t="str">
        <x:v>极端压力</x:v>
      </x:c>
      <x:c r="D483" s="25" t="n">
        <x:v>0</x:v>
      </x:c>
      <x:c r="E483" s="25" t="n">
        <x:v>146</x:v>
      </x:c>
      <x:c r="F483" s="25" t="str">
        <x:v>司冕月蚀礼衣</x:v>
      </x:c>
      <x:c r="G483" s="25" t="str">
        <x:v>衣服</x:v>
      </x:c>
      <x:c r="H483" s="25" t="n">
        <x:v>5</x:v>
      </x:c>
      <x:c r="I483" s="25" t="str">
        <x:v>地图BOSS</x:v>
      </x:c>
      <x:c r="J483" s="25" t="str">
        <x:v>S07</x:v>
      </x:c>
      <x:c r="K483" s="25" t="str">
        <x:v>300-570</x:v>
      </x:c>
      <x:c r="L483" s="25" t="n">
        <x:v>1300000</x:v>
      </x:c>
      <x:c r="M483" s="25" t="n">
        <x:v>5</x:v>
      </x:c>
      <x:c r="N483" s="25" t="str">
        <x:v>否</x:v>
      </x:c>
      <x:c r="O483" s="25" t="n">
        <x:v>0</x:v>
      </x:c>
      <x:c r="P483" s="25" t="n">
        <x:v>0</x:v>
      </x:c>
      <x:c r="Q483" s="25" t="n">
        <x:v>0</x:v>
      </x:c>
      <x:c r="R483" s="25" t="str">
        <x:v>洗练绑定装备；项链幸运绑定人物永久进度；武器幸运成本忽略</x:v>
      </x:c>
    </x:row>
    <x:row r="484">
      <x:c r="A484" s="25" t="str">
        <x:v>C05-X</x:v>
      </x:c>
      <x:c r="B484" s="25" t="str">
        <x:v>湖之利耶尼亚</x:v>
      </x:c>
      <x:c r="C484" s="25" t="str">
        <x:v>极端压力</x:v>
      </x:c>
      <x:c r="D484" s="25" t="n">
        <x:v>1</x:v>
      </x:c>
      <x:c r="E484" s="25" t="n">
        <x:v>126</x:v>
      </x:c>
      <x:c r="F484" s="25" t="str">
        <x:v>卡利亚月裁长刃</x:v>
      </x:c>
      <x:c r="G484" s="25" t="str">
        <x:v>武器</x:v>
      </x:c>
      <x:c r="H484" s="25" t="n">
        <x:v>5</x:v>
      </x:c>
      <x:c r="I484" s="25" t="str">
        <x:v>装备合成</x:v>
      </x:c>
      <x:c r="J484" s="25" t="str">
        <x:v>S07</x:v>
      </x:c>
      <x:c r="K484" s="25" t="str">
        <x:v>4200-8000</x:v>
      </x:c>
      <x:c r="L484" s="25" t="n">
        <x:v>480000</x:v>
      </x:c>
      <x:c r="M484" s="25" t="n">
        <x:v>2</x:v>
      </x:c>
      <x:c r="N484" s="25" t="str">
        <x:v>否</x:v>
      </x:c>
      <x:c r="O484" s="25" t="n">
        <x:v>7</x:v>
      </x:c>
      <x:c r="P484" s="25" t="n">
        <x:v>0</x:v>
      </x:c>
      <x:c r="Q484" s="25" t="n">
        <x:v>0</x:v>
      </x:c>
      <x:c r="R484" s="25" t="str">
        <x:v>洗练绑定装备；项链幸运绑定人物永久进度；武器幸运成本忽略</x:v>
      </x:c>
    </x:row>
    <x:row r="485">
      <x:c r="A485" s="25" t="str">
        <x:v>C05-X</x:v>
      </x:c>
      <x:c r="B485" s="25" t="str">
        <x:v>湖之利耶尼亚</x:v>
      </x:c>
      <x:c r="C485" s="25" t="str">
        <x:v>极端压力</x:v>
      </x:c>
      <x:c r="D485" s="25" t="n">
        <x:v>2</x:v>
      </x:c>
      <x:c r="E485" s="25" t="n">
        <x:v>135</x:v>
      </x:c>
      <x:c r="F485" s="25" t="str">
        <x:v>蚀冠密殿章</x:v>
      </x:c>
      <x:c r="G485" s="25" t="str">
        <x:v>勋章</x:v>
      </x:c>
      <x:c r="H485" s="25" t="n">
        <x:v>5</x:v>
      </x:c>
      <x:c r="I485" s="25" t="str">
        <x:v>稀有</x:v>
      </x:c>
      <x:c r="J485" s="25" t="str">
        <x:v>S07</x:v>
      </x:c>
      <x:c r="K485" s="25" t="str">
        <x:v>260-500</x:v>
      </x:c>
      <x:c r="L485" s="25" t="n">
        <x:v>270000</x:v>
      </x:c>
      <x:c r="M485" s="25" t="n">
        <x:v>0</x:v>
      </x:c>
      <x:c r="N485" s="25" t="str">
        <x:v>否</x:v>
      </x:c>
      <x:c r="O485" s="25" t="n">
        <x:v>0</x:v>
      </x:c>
      <x:c r="P485" s="25" t="n">
        <x:v>0</x:v>
      </x:c>
      <x:c r="Q485" s="25" t="n">
        <x:v>0</x:v>
      </x:c>
      <x:c r="R485" s="25" t="str">
        <x:v>洗练绑定装备；项链幸运绑定人物永久进度；武器幸运成本忽略</x:v>
      </x:c>
    </x:row>
    <x:row r="486">
      <x:c r="A486" s="25" t="str">
        <x:v>C05-X</x:v>
      </x:c>
      <x:c r="B486" s="25" t="str">
        <x:v>湖之利耶尼亚</x:v>
      </x:c>
      <x:c r="C486" s="25" t="str">
        <x:v>极端压力</x:v>
      </x:c>
      <x:c r="D486" s="25" t="n">
        <x:v>3</x:v>
      </x:c>
      <x:c r="E486" s="25" t="n">
        <x:v>147</x:v>
      </x:c>
      <x:c r="F486" s="25" t="str">
        <x:v>镜刃王室链</x:v>
      </x:c>
      <x:c r="G486" s="25" t="str">
        <x:v>项链</x:v>
      </x:c>
      <x:c r="H486" s="25" t="n">
        <x:v>5</x:v>
      </x:c>
      <x:c r="I486" s="25" t="str">
        <x:v>稀有</x:v>
      </x:c>
      <x:c r="J486" s="25" t="str">
        <x:v>S07</x:v>
      </x:c>
      <x:c r="K486" s="25" t="str">
        <x:v>290-560</x:v>
      </x:c>
      <x:c r="L486" s="25" t="n">
        <x:v>240000</x:v>
      </x:c>
      <x:c r="M486" s="25" t="n">
        <x:v>3</x:v>
      </x:c>
      <x:c r="N486" s="25" t="str">
        <x:v>否</x:v>
      </x:c>
      <x:c r="O486" s="25" t="n">
        <x:v>0</x:v>
      </x:c>
      <x:c r="P486" s="25" t="n">
        <x:v>0</x:v>
      </x:c>
      <x:c r="Q486" s="25" t="n">
        <x:v>0</x:v>
      </x:c>
      <x:c r="R486" s="25" t="str">
        <x:v>洗练绑定装备；项链幸运绑定人物永久进度；武器幸运成本忽略</x:v>
      </x:c>
    </x:row>
    <x:row r="487">
      <x:c r="A487" s="25" t="str">
        <x:v>C05-X</x:v>
      </x:c>
      <x:c r="B487" s="25" t="str">
        <x:v>湖之利耶尼亚</x:v>
      </x:c>
      <x:c r="C487" s="25" t="str">
        <x:v>极端压力</x:v>
      </x:c>
      <x:c r="D487" s="25" t="n">
        <x:v>4</x:v>
      </x:c>
      <x:c r="E487" s="25" t="n">
        <x:v>122</x:v>
      </x:c>
      <x:c r="F487" s="25" t="str">
        <x:v>镜荷眠梦冠</x:v>
      </x:c>
      <x:c r="G487" s="25" t="str">
        <x:v>头盔</x:v>
      </x:c>
      <x:c r="H487" s="25" t="n">
        <x:v>5</x:v>
      </x:c>
      <x:c r="I487" s="25" t="str">
        <x:v>稀有</x:v>
      </x:c>
      <x:c r="J487" s="25" t="str">
        <x:v>S07</x:v>
      </x:c>
      <x:c r="K487" s="25" t="str">
        <x:v>160-310</x:v>
      </x:c>
      <x:c r="L487" s="25" t="n">
        <x:v>320000</x:v>
      </x:c>
      <x:c r="M487" s="25" t="n">
        <x:v>4</x:v>
      </x:c>
      <x:c r="N487" s="25" t="str">
        <x:v>否</x:v>
      </x:c>
      <x:c r="O487" s="25" t="n">
        <x:v>0</x:v>
      </x:c>
      <x:c r="P487" s="25" t="n">
        <x:v>0</x:v>
      </x:c>
      <x:c r="Q487" s="25" t="n">
        <x:v>0</x:v>
      </x:c>
      <x:c r="R487" s="25" t="str">
        <x:v>洗练绑定装备；项链幸运绑定人物永久进度；武器幸运成本忽略</x:v>
      </x:c>
    </x:row>
    <x:row r="488">
      <x:c r="A488" s="25" t="str">
        <x:v>C05-X</x:v>
      </x:c>
      <x:c r="B488" s="25" t="str">
        <x:v>湖之利耶尼亚</x:v>
      </x:c>
      <x:c r="C488" s="25" t="str">
        <x:v>极端压力</x:v>
      </x:c>
      <x:c r="D488" s="25" t="n">
        <x:v>5</x:v>
      </x:c>
      <x:c r="E488" s="25" t="n">
        <x:v>113</x:v>
      </x:c>
      <x:c r="F488" s="25" t="str">
        <x:v>百指腕甲</x:v>
      </x:c>
      <x:c r="G488" s="25" t="str">
        <x:v>手镯</x:v>
      </x:c>
      <x:c r="H488" s="25" t="n">
        <x:v>2</x:v>
      </x:c>
      <x:c r="I488" s="25" t="str">
        <x:v>普通</x:v>
      </x:c>
      <x:c r="J488" s="25" t="str">
        <x:v>S02</x:v>
      </x:c>
      <x:c r="K488" s="25" t="str">
        <x:v>69-132</x:v>
      </x:c>
      <x:c r="L488" s="25" t="n">
        <x:v>53200</x:v>
      </x:c>
      <x:c r="M488" s="25" t="n">
        <x:v>2</x:v>
      </x:c>
      <x:c r="N488" s="25" t="str">
        <x:v>否</x:v>
      </x:c>
      <x:c r="O488" s="25" t="n">
        <x:v>0</x:v>
      </x:c>
      <x:c r="P488" s="25" t="n">
        <x:v>0</x:v>
      </x:c>
      <x:c r="Q488" s="25" t="n">
        <x:v>0</x:v>
      </x:c>
      <x:c r="R488" s="25" t="str">
        <x:v>洗练绑定装备；项链幸运绑定人物永久进度；武器幸运成本忽略</x:v>
      </x:c>
    </x:row>
    <x:row r="489">
      <x:c r="A489" s="25" t="str">
        <x:v>C05-X</x:v>
      </x:c>
      <x:c r="B489" s="25" t="str">
        <x:v>湖之利耶尼亚</x:v>
      </x:c>
      <x:c r="C489" s="25" t="str">
        <x:v>极端压力</x:v>
      </x:c>
      <x:c r="D489" s="25" t="n">
        <x:v>6</x:v>
      </x:c>
      <x:c r="E489" s="25" t="n">
        <x:v>68</x:v>
      </x:c>
      <x:c r="F489" s="25" t="str">
        <x:v>百指接肢腕</x:v>
      </x:c>
      <x:c r="G489" s="25" t="str">
        <x:v>手镯</x:v>
      </x:c>
      <x:c r="H489" s="25" t="n">
        <x:v>2</x:v>
      </x:c>
      <x:c r="I489" s="25" t="str">
        <x:v>装备合成</x:v>
      </x:c>
      <x:c r="J489" s="25" t="str">
        <x:v>S07</x:v>
      </x:c>
      <x:c r="K489" s="25" t="str">
        <x:v>110-210</x:v>
      </x:c>
      <x:c r="L489" s="25" t="n">
        <x:v>85000</x:v>
      </x:c>
      <x:c r="M489" s="25" t="n">
        <x:v>5</x:v>
      </x:c>
      <x:c r="N489" s="25" t="str">
        <x:v>否</x:v>
      </x:c>
      <x:c r="O489" s="25" t="n">
        <x:v>0</x:v>
      </x:c>
      <x:c r="P489" s="25" t="n">
        <x:v>0</x:v>
      </x:c>
      <x:c r="Q489" s="25" t="n">
        <x:v>0</x:v>
      </x:c>
      <x:c r="R489" s="25" t="str">
        <x:v>洗练绑定装备；项链幸运绑定人物永久进度；武器幸运成本忽略</x:v>
      </x:c>
    </x:row>
    <x:row r="490">
      <x:c r="A490" s="25" t="str">
        <x:v>C05-X</x:v>
      </x:c>
      <x:c r="B490" s="25" t="str">
        <x:v>湖之利耶尼亚</x:v>
      </x:c>
      <x:c r="C490" s="25" t="str">
        <x:v>极端压力</x:v>
      </x:c>
      <x:c r="D490" s="25" t="n">
        <x:v>7</x:v>
      </x:c>
      <x:c r="E490" s="25" t="n">
        <x:v>148</x:v>
      </x:c>
      <x:c r="F490" s="25" t="str">
        <x:v>月渊秘戒</x:v>
      </x:c>
      <x:c r="G490" s="25" t="str">
        <x:v>戒指</x:v>
      </x:c>
      <x:c r="H490" s="25" t="n">
        <x:v>4</x:v>
      </x:c>
      <x:c r="I490" s="25" t="str">
        <x:v>装备合成</x:v>
      </x:c>
      <x:c r="J490" s="25" t="str">
        <x:v>S07</x:v>
      </x:c>
      <x:c r="K490" s="25" t="str">
        <x:v>350-670</x:v>
      </x:c>
      <x:c r="L490" s="25" t="n">
        <x:v>270000</x:v>
      </x:c>
      <x:c r="M490" s="25" t="n">
        <x:v>6</x:v>
      </x:c>
      <x:c r="N490" s="25" t="str">
        <x:v>否</x:v>
      </x:c>
      <x:c r="O490" s="25" t="n">
        <x:v>0</x:v>
      </x:c>
      <x:c r="P490" s="25" t="n">
        <x:v>0</x:v>
      </x:c>
      <x:c r="Q490" s="25" t="n">
        <x:v>0</x:v>
      </x:c>
      <x:c r="R490" s="25" t="str">
        <x:v>洗练绑定装备；项链幸运绑定人物永久进度；武器幸运成本忽略</x:v>
      </x:c>
    </x:row>
    <x:row r="491">
      <x:c r="A491" s="25" t="str">
        <x:v>C05-X</x:v>
      </x:c>
      <x:c r="B491" s="25" t="str">
        <x:v>湖之利耶尼亚</x:v>
      </x:c>
      <x:c r="C491" s="25" t="str">
        <x:v>极端压力</x:v>
      </x:c>
      <x:c r="D491" s="25" t="n">
        <x:v>8</x:v>
      </x:c>
      <x:c r="E491" s="25" t="n">
        <x:v>118</x:v>
      </x:c>
      <x:c r="F491" s="25" t="str">
        <x:v>月渊秘戒</x:v>
      </x:c>
      <x:c r="G491" s="25" t="str">
        <x:v>戒指</x:v>
      </x:c>
      <x:c r="H491" s="25" t="n">
        <x:v>4</x:v>
      </x:c>
      <x:c r="I491" s="25" t="str">
        <x:v>装备合成</x:v>
      </x:c>
      <x:c r="J491" s="25" t="str">
        <x:v>S07</x:v>
      </x:c>
      <x:c r="K491" s="25" t="str">
        <x:v>350-670</x:v>
      </x:c>
      <x:c r="L491" s="25" t="n">
        <x:v>270000</x:v>
      </x:c>
      <x:c r="M491" s="25" t="n">
        <x:v>2</x:v>
      </x:c>
      <x:c r="N491" s="25" t="str">
        <x:v>否</x:v>
      </x:c>
      <x:c r="O491" s="25" t="n">
        <x:v>0</x:v>
      </x:c>
      <x:c r="P491" s="25" t="n">
        <x:v>0</x:v>
      </x:c>
      <x:c r="Q491" s="25" t="n">
        <x:v>0</x:v>
      </x:c>
      <x:c r="R491" s="25" t="str">
        <x:v>洗练绑定装备；项链幸运绑定人物永久进度；武器幸运成本忽略</x:v>
      </x:c>
    </x:row>
    <x:row r="492">
      <x:c r="A492" s="25" t="str">
        <x:v>C05-X</x:v>
      </x:c>
      <x:c r="B492" s="25" t="str">
        <x:v>湖之利耶尼亚</x:v>
      </x:c>
      <x:c r="C492" s="25" t="str">
        <x:v>极端压力</x:v>
      </x:c>
      <x:c r="D492" s="25" t="n">
        <x:v>10</x:v>
      </x:c>
      <x:c r="E492" s="25" t="n">
        <x:v>144</x:v>
      </x:c>
      <x:c r="F492" s="25" t="str">
        <x:v>闭潮王带</x:v>
      </x:c>
      <x:c r="G492" s="25" t="str">
        <x:v>腰带</x:v>
      </x:c>
      <x:c r="H492" s="25" t="n">
        <x:v>4</x:v>
      </x:c>
      <x:c r="I492" s="25" t="str">
        <x:v>装备合成</x:v>
      </x:c>
      <x:c r="J492" s="25" t="str">
        <x:v>S07</x:v>
      </x:c>
      <x:c r="K492" s="25" t="str">
        <x:v>210-400</x:v>
      </x:c>
      <x:c r="L492" s="25" t="n">
        <x:v>350000</x:v>
      </x:c>
      <x:c r="M492" s="25" t="n">
        <x:v>5</x:v>
      </x:c>
      <x:c r="N492" s="25" t="str">
        <x:v>否</x:v>
      </x:c>
      <x:c r="O492" s="25" t="n">
        <x:v>0</x:v>
      </x:c>
      <x:c r="P492" s="25" t="n">
        <x:v>0</x:v>
      </x:c>
      <x:c r="Q492" s="25" t="n">
        <x:v>0</x:v>
      </x:c>
      <x:c r="R492" s="25" t="str">
        <x:v>洗练绑定装备；项链幸运绑定人物永久进度；武器幸运成本忽略</x:v>
      </x:c>
    </x:row>
    <x:row r="493">
      <x:c r="A493" s="25" t="str">
        <x:v>C05-X</x:v>
      </x:c>
      <x:c r="B493" s="25" t="str">
        <x:v>湖之利耶尼亚</x:v>
      </x:c>
      <x:c r="C493" s="25" t="str">
        <x:v>极端压力</x:v>
      </x:c>
      <x:c r="D493" s="25" t="n">
        <x:v>11</x:v>
      </x:c>
      <x:c r="E493" s="25" t="n">
        <x:v>90</x:v>
      </x:c>
      <x:c r="F493" s="25" t="str">
        <x:v>逐风征靴</x:v>
      </x:c>
      <x:c r="G493" s="25" t="str">
        <x:v>鞋子</x:v>
      </x:c>
      <x:c r="H493" s="25" t="n">
        <x:v>3</x:v>
      </x:c>
      <x:c r="I493" s="25" t="str">
        <x:v>装备合成</x:v>
      </x:c>
      <x:c r="J493" s="25" t="str">
        <x:v>S07</x:v>
      </x:c>
      <x:c r="K493" s="25" t="str">
        <x:v>100-200</x:v>
      </x:c>
      <x:c r="L493" s="25" t="n">
        <x:v>150000</x:v>
      </x:c>
      <x:c r="M493" s="25" t="n">
        <x:v>6</x:v>
      </x:c>
      <x:c r="N493" s="25" t="str">
        <x:v>否</x:v>
      </x:c>
      <x:c r="O493" s="25" t="n">
        <x:v>0</x:v>
      </x:c>
      <x:c r="P493" s="25" t="n">
        <x:v>0</x:v>
      </x:c>
      <x:c r="Q493" s="25" t="n">
        <x:v>0</x:v>
      </x:c>
      <x:c r="R493" s="25" t="str">
        <x:v>洗练绑定装备；项链幸运绑定人物永久进度；武器幸运成本忽略</x:v>
      </x:c>
    </x:row>
    <x:row r="494">
      <x:c r="A494" s="25" t="str">
        <x:v>C05-X</x:v>
      </x:c>
      <x:c r="B494" s="25" t="str">
        <x:v>湖之利耶尼亚</x:v>
      </x:c>
      <x:c r="C494" s="25" t="str">
        <x:v>极端压力</x:v>
      </x:c>
      <x:c r="D494" s="25" t="n">
        <x:v>13</x:v>
      </x:c>
      <x:c r="E494" s="25" t="n">
        <x:v>136</x:v>
      </x:c>
      <x:c r="F494" s="25" t="str">
        <x:v>噬辉蛾蚀月笠</x:v>
      </x:c>
      <x:c r="G494" s="25" t="str">
        <x:v>斗笠</x:v>
      </x:c>
      <x:c r="H494" s="25" t="n">
        <x:v>5</x:v>
      </x:c>
      <x:c r="I494" s="25" t="str">
        <x:v>普通</x:v>
      </x:c>
      <x:c r="J494" s="25" t="str">
        <x:v>S07</x:v>
      </x:c>
      <x:c r="K494" s="25" t="str">
        <x:v>88-170</x:v>
      </x:c>
      <x:c r="L494" s="25" t="n">
        <x:v>110000</x:v>
      </x:c>
      <x:c r="M494" s="25" t="n">
        <x:v>0</x:v>
      </x:c>
      <x:c r="N494" s="25" t="str">
        <x:v>否</x:v>
      </x:c>
      <x:c r="O494" s="25" t="n">
        <x:v>0</x:v>
      </x:c>
      <x:c r="P494" s="25" t="n">
        <x:v>0</x:v>
      </x:c>
      <x:c r="Q494" s="25" t="n">
        <x:v>0</x:v>
      </x:c>
      <x:c r="R494" s="25" t="str">
        <x:v>洗练绑定装备；项链幸运绑定人物永久进度；武器幸运成本忽略</x:v>
      </x:c>
    </x:row>
    <x:row r="495">
      <x:c r="A495" s="25" t="str">
        <x:v>C05-X</x:v>
      </x:c>
      <x:c r="B495" s="25" t="str">
        <x:v>湖之利耶尼亚</x:v>
      </x:c>
      <x:c r="C495" s="25" t="str">
        <x:v>极端压力</x:v>
      </x:c>
      <x:c r="D495" s="25" t="n">
        <x:v>16</x:v>
      </x:c>
      <x:c r="E495" s="25" t="n">
        <x:v>137</x:v>
      </x:c>
      <x:c r="F495" s="25" t="str">
        <x:v>折月傀镜盾</x:v>
      </x:c>
      <x:c r="G495" s="25" t="str">
        <x:v>盾牌</x:v>
      </x:c>
      <x:c r="H495" s="25" t="n">
        <x:v>5</x:v>
      </x:c>
      <x:c r="I495" s="25" t="str">
        <x:v>普通</x:v>
      </x:c>
      <x:c r="J495" s="25" t="str">
        <x:v>S07</x:v>
      </x:c>
      <x:c r="K495" s="25" t="str">
        <x:v>150-290</x:v>
      </x:c>
      <x:c r="L495" s="25" t="n">
        <x:v>410000</x:v>
      </x:c>
      <x:c r="M495" s="25" t="n">
        <x:v>0</x:v>
      </x:c>
      <x:c r="N495" s="25" t="str">
        <x:v>否</x:v>
      </x:c>
      <x:c r="O495" s="25" t="n">
        <x:v>0</x:v>
      </x:c>
      <x:c r="P495" s="25" t="n">
        <x:v>0</x:v>
      </x:c>
      <x:c r="Q495" s="25" t="n">
        <x:v>0</x:v>
      </x:c>
      <x:c r="R495" s="25" t="str">
        <x:v>洗练绑定装备；项链幸运绑定人物永久进度；武器幸运成本忽略</x:v>
      </x:c>
    </x:row>
    <x:row r="496">
      <x:c r="A496" s="25" t="str">
        <x:v>C05-X</x:v>
      </x:c>
      <x:c r="B496" s="25" t="str">
        <x:v>湖之利耶尼亚</x:v>
      </x:c>
      <x:c r="C496" s="25" t="str">
        <x:v>极端压力</x:v>
      </x:c>
      <x:c r="D496" s="25" t="n">
        <x:v>18</x:v>
      </x:c>
      <x:c r="E496" s="25" t="n">
        <x:v>138</x:v>
      </x:c>
      <x:c r="F496" s="25" t="str">
        <x:v>百骸王衣</x:v>
      </x:c>
      <x:c r="G496" s="25" t="str">
        <x:v>时装衣服</x:v>
      </x:c>
      <x:c r="H496" s="25" t="n">
        <x:v>2</x:v>
      </x:c>
      <x:c r="I496" s="25" t="str">
        <x:v>BOSS</x:v>
      </x:c>
      <x:c r="J496" s="25" t="str">
        <x:v>S02</x:v>
      </x:c>
      <x:c r="K496" s="25" t="str">
        <x:v>48-93</x:v>
      </x:c>
      <x:c r="L496" s="25" t="n">
        <x:v>319000</x:v>
      </x:c>
      <x:c r="M496" s="25" t="n">
        <x:v>0</x:v>
      </x:c>
      <x:c r="N496" s="25" t="str">
        <x:v>否</x:v>
      </x:c>
      <x:c r="O496" s="25" t="n">
        <x:v>0</x:v>
      </x:c>
      <x:c r="P496" s="25" t="n">
        <x:v>0</x:v>
      </x:c>
      <x:c r="Q496" s="25" t="n">
        <x:v>0</x:v>
      </x:c>
      <x:c r="R496" s="25" t="str">
        <x:v>洗练绑定装备；项链幸运绑定人物永久进度；武器幸运成本忽略</x:v>
      </x:c>
    </x:row>
    <x:row r="497">
      <x:c r="A497" s="25" t="str">
        <x:v>C05-X</x:v>
      </x:c>
      <x:c r="B497" s="25" t="str">
        <x:v>湖之利耶尼亚</x:v>
      </x:c>
      <x:c r="C497" s="25" t="str">
        <x:v>极端压力</x:v>
      </x:c>
      <x:c r="D497" s="25" t="n">
        <x:v>19</x:v>
      </x:c>
      <x:c r="E497" s="25" t="n">
        <x:v>139</x:v>
      </x:c>
      <x:c r="F497" s="25" t="str">
        <x:v>王城断罪刃</x:v>
      </x:c>
      <x:c r="G497" s="25" t="str">
        <x:v>时装武器</x:v>
      </x:c>
      <x:c r="H497" s="25" t="n">
        <x:v>2</x:v>
      </x:c>
      <x:c r="I497" s="25" t="str">
        <x:v>稀有</x:v>
      </x:c>
      <x:c r="J497" s="25" t="str">
        <x:v>S02</x:v>
      </x:c>
      <x:c r="K497" s="25" t="str">
        <x:v>166-320</x:v>
      </x:c>
      <x:c r="L497" s="25" t="n">
        <x:v>60500</x:v>
      </x:c>
      <x:c r="M497" s="25" t="n">
        <x:v>0</x:v>
      </x:c>
      <x:c r="N497" s="25" t="str">
        <x:v>否</x:v>
      </x:c>
      <x:c r="O497" s="25" t="n">
        <x:v>0</x:v>
      </x:c>
      <x:c r="P497" s="25" t="n">
        <x:v>0</x:v>
      </x:c>
      <x:c r="Q497" s="25" t="n">
        <x:v>0</x:v>
      </x:c>
      <x:c r="R497" s="25" t="str">
        <x:v>洗练绑定装备；项链幸运绑定人物永久进度；武器幸运成本忽略</x:v>
      </x:c>
    </x:row>
    <x:row r="498">
      <x:c r="A498" s="25" t="str">
        <x:v>C05-X</x:v>
      </x:c>
      <x:c r="B498" s="25" t="str">
        <x:v>湖之利耶尼亚</x:v>
      </x:c>
      <x:c r="C498" s="25" t="str">
        <x:v>极端压力</x:v>
      </x:c>
      <x:c r="D498" s="25" t="n">
        <x:v>20</x:v>
      </x:c>
      <x:c r="E498" s="25" t="n">
        <x:v>40</x:v>
      </x:c>
      <x:c r="F498" s="25" t="str">
        <x:v>英雄余誓</x:v>
      </x:c>
      <x:c r="G498" s="25" t="str">
        <x:v>时装项链</x:v>
      </x:c>
      <x:c r="H498" s="25" t="n">
        <x:v>2</x:v>
      </x:c>
      <x:c r="I498" s="25" t="str">
        <x:v>稀有</x:v>
      </x:c>
      <x:c r="J498" s="25" t="str">
        <x:v>S02</x:v>
      </x:c>
      <x:c r="K498" s="25" t="str">
        <x:v>31-60</x:v>
      </x:c>
      <x:c r="L498" s="25" t="n">
        <x:v>17900</x:v>
      </x:c>
      <x:c r="M498" s="25" t="n">
        <x:v>0</x:v>
      </x:c>
      <x:c r="N498" s="25" t="str">
        <x:v>否</x:v>
      </x:c>
      <x:c r="O498" s="25" t="n">
        <x:v>0</x:v>
      </x:c>
      <x:c r="P498" s="25" t="n">
        <x:v>0</x:v>
      </x:c>
      <x:c r="Q498" s="25" t="n">
        <x:v>0</x:v>
      </x:c>
      <x:c r="R498" s="25" t="str">
        <x:v>洗练绑定装备；项链幸运绑定人物永久进度；武器幸运成本忽略</x:v>
      </x:c>
    </x:row>
    <x:row r="499">
      <x:c r="A499" s="25" t="str">
        <x:v>C05-X</x:v>
      </x:c>
      <x:c r="B499" s="25" t="str">
        <x:v>湖之利耶尼亚</x:v>
      </x:c>
      <x:c r="C499" s="25" t="str">
        <x:v>极端压力</x:v>
      </x:c>
      <x:c r="D499" s="25" t="n">
        <x:v>21</x:v>
      </x:c>
      <x:c r="E499" s="25" t="n">
        <x:v>140</x:v>
      </x:c>
      <x:c r="F499" s="25" t="str">
        <x:v>鹰主风冠</x:v>
      </x:c>
      <x:c r="G499" s="25" t="str">
        <x:v>时装头盔</x:v>
      </x:c>
      <x:c r="H499" s="25" t="n">
        <x:v>2</x:v>
      </x:c>
      <x:c r="I499" s="25" t="str">
        <x:v>稀有</x:v>
      </x:c>
      <x:c r="J499" s="25" t="str">
        <x:v>S02</x:v>
      </x:c>
      <x:c r="K499" s="25" t="str">
        <x:v>33-63</x:v>
      </x:c>
      <x:c r="L499" s="25" t="n">
        <x:v>78400</x:v>
      </x:c>
      <x:c r="M499" s="25" t="n">
        <x:v>0</x:v>
      </x:c>
      <x:c r="N499" s="25" t="str">
        <x:v>否</x:v>
      </x:c>
      <x:c r="O499" s="25" t="n">
        <x:v>0</x:v>
      </x:c>
      <x:c r="P499" s="25" t="n">
        <x:v>0</x:v>
      </x:c>
      <x:c r="Q499" s="25" t="n">
        <x:v>0</x:v>
      </x:c>
      <x:c r="R499" s="25" t="str">
        <x:v>洗练绑定装备；项链幸运绑定人物永久进度；武器幸运成本忽略</x:v>
      </x:c>
    </x:row>
    <x:row r="500">
      <x:c r="A500" s="25" t="str">
        <x:v>C05-X</x:v>
      </x:c>
      <x:c r="B500" s="25" t="str">
        <x:v>湖之利耶尼亚</x:v>
      </x:c>
      <x:c r="C500" s="25" t="str">
        <x:v>极端压力</x:v>
      </x:c>
      <x:c r="D500" s="25" t="n">
        <x:v>22</x:v>
      </x:c>
      <x:c r="E500" s="25" t="n">
        <x:v>42</x:v>
      </x:c>
      <x:c r="F500" s="25" t="str">
        <x:v>卢恩血镯</x:v>
      </x:c>
      <x:c r="G500" s="25" t="str">
        <x:v>时装手镯</x:v>
      </x:c>
      <x:c r="H500" s="25" t="n">
        <x:v>2</x:v>
      </x:c>
      <x:c r="I500" s="25" t="str">
        <x:v>稀有</x:v>
      </x:c>
      <x:c r="J500" s="25" t="str">
        <x:v>S02</x:v>
      </x:c>
      <x:c r="K500" s="25" t="str">
        <x:v>42-80</x:v>
      </x:c>
      <x:c r="L500" s="25" t="n">
        <x:v>34400</x:v>
      </x:c>
      <x:c r="M500" s="25" t="n">
        <x:v>0</x:v>
      </x:c>
      <x:c r="N500" s="25" t="str">
        <x:v>否</x:v>
      </x:c>
      <x:c r="O500" s="25" t="n">
        <x:v>0</x:v>
      </x:c>
      <x:c r="P500" s="25" t="n">
        <x:v>0</x:v>
      </x:c>
      <x:c r="Q500" s="25" t="n">
        <x:v>0</x:v>
      </x:c>
      <x:c r="R500" s="25" t="str">
        <x:v>洗练绑定装备；项链幸运绑定人物永久进度；武器幸运成本忽略</x:v>
      </x:c>
    </x:row>
    <x:row r="501">
      <x:c r="A501" s="25" t="str">
        <x:v>C05-X</x:v>
      </x:c>
      <x:c r="B501" s="25" t="str">
        <x:v>湖之利耶尼亚</x:v>
      </x:c>
      <x:c r="C501" s="25" t="str">
        <x:v>极端压力</x:v>
      </x:c>
      <x:c r="D501" s="25" t="n">
        <x:v>23</x:v>
      </x:c>
      <x:c r="E501" s="25" t="n">
        <x:v>141</x:v>
      </x:c>
      <x:c r="F501" s="25" t="str">
        <x:v>卢恩血镯</x:v>
      </x:c>
      <x:c r="G501" s="25" t="str">
        <x:v>时装手镯</x:v>
      </x:c>
      <x:c r="H501" s="25" t="n">
        <x:v>2</x:v>
      </x:c>
      <x:c r="I501" s="25" t="str">
        <x:v>稀有</x:v>
      </x:c>
      <x:c r="J501" s="25" t="str">
        <x:v>S02</x:v>
      </x:c>
      <x:c r="K501" s="25" t="str">
        <x:v>42-80</x:v>
      </x:c>
      <x:c r="L501" s="25" t="n">
        <x:v>34400</x:v>
      </x:c>
      <x:c r="M501" s="25" t="n">
        <x:v>0</x:v>
      </x:c>
      <x:c r="N501" s="25" t="str">
        <x:v>否</x:v>
      </x:c>
      <x:c r="O501" s="25" t="n">
        <x:v>0</x:v>
      </x:c>
      <x:c r="P501" s="25" t="n">
        <x:v>0</x:v>
      </x:c>
      <x:c r="Q501" s="25" t="n">
        <x:v>0</x:v>
      </x:c>
      <x:c r="R501" s="25" t="str">
        <x:v>洗练绑定装备；项链幸运绑定人物永久进度；武器幸运成本忽略</x:v>
      </x:c>
    </x:row>
    <x:row r="502">
      <x:c r="A502" s="25" t="str">
        <x:v>C05-X</x:v>
      </x:c>
      <x:c r="B502" s="25" t="str">
        <x:v>湖之利耶尼亚</x:v>
      </x:c>
      <x:c r="C502" s="25" t="str">
        <x:v>极端压力</x:v>
      </x:c>
      <x:c r="D502" s="25" t="n">
        <x:v>24</x:v>
      </x:c>
      <x:c r="E502" s="25" t="n">
        <x:v>143</x:v>
      </x:c>
      <x:c r="F502" s="25" t="str">
        <x:v>辉月镜戒</x:v>
      </x:c>
      <x:c r="G502" s="25" t="str">
        <x:v>时装戒指</x:v>
      </x:c>
      <x:c r="H502" s="25" t="n">
        <x:v>5</x:v>
      </x:c>
      <x:c r="I502" s="25" t="str">
        <x:v>装备合成</x:v>
      </x:c>
      <x:c r="J502" s="25" t="str">
        <x:v>S07</x:v>
      </x:c>
      <x:c r="K502" s="25" t="str">
        <x:v>570-1100</x:v>
      </x:c>
      <x:c r="L502" s="25" t="n">
        <x:v>550000</x:v>
      </x:c>
      <x:c r="M502" s="25" t="n">
        <x:v>0</x:v>
      </x:c>
      <x:c r="N502" s="25" t="str">
        <x:v>否</x:v>
      </x:c>
      <x:c r="O502" s="25" t="n">
        <x:v>0</x:v>
      </x:c>
      <x:c r="P502" s="25" t="n">
        <x:v>0</x:v>
      </x:c>
      <x:c r="Q502" s="25" t="n">
        <x:v>0</x:v>
      </x:c>
      <x:c r="R502" s="25" t="str">
        <x:v>洗练绑定装备；项链幸运绑定人物永久进度；武器幸运成本忽略</x:v>
      </x:c>
    </x:row>
    <x:row r="503">
      <x:c r="A503" s="25" t="str">
        <x:v>C05-X</x:v>
      </x:c>
      <x:c r="B503" s="25" t="str">
        <x:v>湖之利耶尼亚</x:v>
      </x:c>
      <x:c r="C503" s="25" t="str">
        <x:v>极端压力</x:v>
      </x:c>
      <x:c r="D503" s="25" t="n">
        <x:v>25</x:v>
      </x:c>
      <x:c r="E503" s="25" t="n">
        <x:v>142</x:v>
      </x:c>
      <x:c r="F503" s="25" t="str">
        <x:v>黄金树戒</x:v>
      </x:c>
      <x:c r="G503" s="25" t="str">
        <x:v>时装戒指</x:v>
      </x:c>
      <x:c r="H503" s="25" t="n">
        <x:v>2</x:v>
      </x:c>
      <x:c r="I503" s="25" t="str">
        <x:v>稀有</x:v>
      </x:c>
      <x:c r="J503" s="25" t="str">
        <x:v>S02</x:v>
      </x:c>
      <x:c r="K503" s="25" t="str">
        <x:v>42-80</x:v>
      </x:c>
      <x:c r="L503" s="25" t="n">
        <x:v>34400</x:v>
      </x:c>
      <x:c r="M503" s="25" t="n">
        <x:v>0</x:v>
      </x:c>
      <x:c r="N503" s="25" t="str">
        <x:v>否</x:v>
      </x:c>
      <x:c r="O503" s="25" t="n">
        <x:v>0</x:v>
      </x:c>
      <x:c r="P503" s="25" t="n">
        <x:v>0</x:v>
      </x:c>
      <x:c r="Q503" s="25" t="n">
        <x:v>0</x:v>
      </x:c>
      <x:c r="R503" s="25" t="str">
        <x:v>洗练绑定装备；项链幸运绑定人物永久进度；武器幸运成本忽略</x:v>
      </x:c>
    </x:row>
    <x:row r="504">
      <x:c r="A504" s="25" t="str">
        <x:v>C05-X</x:v>
      </x:c>
      <x:c r="B504" s="25" t="str">
        <x:v>湖之利耶尼亚</x:v>
      </x:c>
      <x:c r="C504" s="25" t="str">
        <x:v>极端压力</x:v>
      </x:c>
      <x:c r="D504" s="25" t="n">
        <x:v>40</x:v>
      </x:c>
      <x:c r="E504" s="25" t="n">
        <x:v>44</x:v>
      </x:c>
      <x:c r="F504" s="25" t="str">
        <x:v>腐树子鼠</x:v>
      </x:c>
      <x:c r="G504" s="25" t="str">
        <x:v>生肖1</x:v>
      </x:c>
      <x:c r="H504" s="25" t="n">
        <x:v>2</x:v>
      </x:c>
      <x:c r="I504" s="25" t="str">
        <x:v>BOSS</x:v>
      </x:c>
      <x:c r="J504" s="25" t="str">
        <x:v>S02</x:v>
      </x:c>
      <x:c r="K504" s="25" t="str">
        <x:v>29-56</x:v>
      </x:c>
      <x:c r="L504" s="25" t="n">
        <x:v>23600</x:v>
      </x:c>
      <x:c r="M504" s="25" t="n">
        <x:v>0</x:v>
      </x:c>
      <x:c r="N504" s="25" t="str">
        <x:v>否</x:v>
      </x:c>
      <x:c r="O504" s="25" t="n">
        <x:v>0</x:v>
      </x:c>
      <x:c r="P504" s="25" t="n">
        <x:v>0</x:v>
      </x:c>
      <x:c r="Q504" s="25" t="n">
        <x:v>0</x:v>
      </x:c>
      <x:c r="R504" s="25" t="str">
        <x:v>洗练绑定装备；项链幸运绑定人物永久进度；武器幸运成本忽略</x:v>
      </x:c>
    </x:row>
    <x:row r="505">
      <x:c r="A505" s="25" t="str">
        <x:v>C05-X</x:v>
      </x:c>
      <x:c r="B505" s="25" t="str">
        <x:v>湖之利耶尼亚</x:v>
      </x:c>
      <x:c r="C505" s="25" t="str">
        <x:v>极端压力</x:v>
      </x:c>
      <x:c r="D505" s="25" t="n">
        <x:v>41</x:v>
      </x:c>
      <x:c r="E505" s="25" t="n">
        <x:v>69</x:v>
      </x:c>
      <x:c r="F505" s="25" t="str">
        <x:v>丑牛·风暴负山</x:v>
      </x:c>
      <x:c r="G505" s="25" t="str">
        <x:v>生肖2</x:v>
      </x:c>
      <x:c r="H505" s="25" t="n">
        <x:v>2</x:v>
      </x:c>
      <x:c r="I505" s="25" t="str">
        <x:v>生肖合成</x:v>
      </x:c>
      <x:c r="J505" s="25" t="str">
        <x:v>S07</x:v>
      </x:c>
      <x:c r="K505" s="25" t="str">
        <x:v>25-49</x:v>
      </x:c>
      <x:c r="L505" s="25" t="n">
        <x:v>64000</x:v>
      </x:c>
      <x:c r="M505" s="25" t="n">
        <x:v>0</x:v>
      </x:c>
      <x:c r="N505" s="25" t="str">
        <x:v>否</x:v>
      </x:c>
      <x:c r="O505" s="25" t="n">
        <x:v>0</x:v>
      </x:c>
      <x:c r="P505" s="25" t="n">
        <x:v>0</x:v>
      </x:c>
      <x:c r="Q505" s="25" t="n">
        <x:v>0</x:v>
      </x:c>
      <x:c r="R505" s="25" t="str">
        <x:v>洗练绑定装备；项链幸运绑定人物永久进度；武器幸运成本忽略</x:v>
      </x:c>
    </x:row>
    <x:row r="506">
      <x:c r="A506" s="25" t="str">
        <x:v>C05-X</x:v>
      </x:c>
      <x:c r="B506" s="25" t="str">
        <x:v>湖之利耶尼亚</x:v>
      </x:c>
      <x:c r="C506" s="25" t="str">
        <x:v>极端压力</x:v>
      </x:c>
      <x:c r="D506" s="25" t="n">
        <x:v>42</x:v>
      </x:c>
      <x:c r="E506" s="25" t="n">
        <x:v>66</x:v>
      </x:c>
      <x:c r="F506" s="25" t="str">
        <x:v>长戟寅虎</x:v>
      </x:c>
      <x:c r="G506" s="25" t="str">
        <x:v>生肖3</x:v>
      </x:c>
      <x:c r="H506" s="25" t="n">
        <x:v>2</x:v>
      </x:c>
      <x:c r="I506" s="25" t="str">
        <x:v>BOSS</x:v>
      </x:c>
      <x:c r="J506" s="25" t="str">
        <x:v>S02</x:v>
      </x:c>
      <x:c r="K506" s="25" t="str">
        <x:v>34-65</x:v>
      </x:c>
      <x:c r="L506" s="25" t="n">
        <x:v>32600</x:v>
      </x:c>
      <x:c r="M506" s="25" t="n">
        <x:v>0</x:v>
      </x:c>
      <x:c r="N506" s="25" t="str">
        <x:v>否</x:v>
      </x:c>
      <x:c r="O506" s="25" t="n">
        <x:v>0</x:v>
      </x:c>
      <x:c r="P506" s="25" t="n">
        <x:v>0</x:v>
      </x:c>
      <x:c r="Q506" s="25" t="n">
        <x:v>0</x:v>
      </x:c>
      <x:c r="R506" s="25" t="str">
        <x:v>洗练绑定装备；项链幸运绑定人物永久进度；武器幸运成本忽略</x:v>
      </x:c>
    </x:row>
    <x:row r="507">
      <x:c r="A507" s="25" t="str">
        <x:v>C05-X</x:v>
      </x:c>
      <x:c r="B507" s="25" t="str">
        <x:v>湖之利耶尼亚</x:v>
      </x:c>
      <x:c r="C507" s="25" t="str">
        <x:v>极端压力</x:v>
      </x:c>
      <x:c r="D507" s="25" t="n">
        <x:v>43</x:v>
      </x:c>
      <x:c r="E507" s="25" t="n">
        <x:v>127</x:v>
      </x:c>
      <x:c r="F507" s="25" t="str">
        <x:v>卯兔·镜月折辉</x:v>
      </x:c>
      <x:c r="G507" s="25" t="str">
        <x:v>生肖4</x:v>
      </x:c>
      <x:c r="H507" s="25" t="n">
        <x:v>5</x:v>
      </x:c>
      <x:c r="I507" s="25" t="str">
        <x:v>生肖合成</x:v>
      </x:c>
      <x:c r="J507" s="25" t="str">
        <x:v>S07</x:v>
      </x:c>
      <x:c r="K507" s="25" t="str">
        <x:v>150-280</x:v>
      </x:c>
      <x:c r="L507" s="25" t="n">
        <x:v>360000</x:v>
      </x:c>
      <x:c r="M507" s="25" t="n">
        <x:v>0</x:v>
      </x:c>
      <x:c r="N507" s="25" t="str">
        <x:v>否</x:v>
      </x:c>
      <x:c r="O507" s="25" t="n">
        <x:v>0</x:v>
      </x:c>
      <x:c r="P507" s="25" t="n">
        <x:v>0</x:v>
      </x:c>
      <x:c r="Q507" s="25" t="n">
        <x:v>0</x:v>
      </x:c>
      <x:c r="R507" s="25" t="str">
        <x:v>洗练绑定装备；项链幸运绑定人物永久进度；武器幸运成本忽略</x:v>
      </x:c>
    </x:row>
    <x:row r="508">
      <x:c r="A508" s="25" t="str">
        <x:v>C05-X</x:v>
      </x:c>
      <x:c r="B508" s="25" t="str">
        <x:v>湖之利耶尼亚</x:v>
      </x:c>
      <x:c r="C508" s="25" t="str">
        <x:v>极端压力</x:v>
      </x:c>
      <x:c r="D508" s="25" t="n">
        <x:v>44</x:v>
      </x:c>
      <x:c r="E508" s="25" t="n">
        <x:v>91</x:v>
      </x:c>
      <x:c r="F508" s="25" t="str">
        <x:v>辰龙·荒原逐风</x:v>
      </x:c>
      <x:c r="G508" s="25" t="str">
        <x:v>生肖5</x:v>
      </x:c>
      <x:c r="H508" s="25" t="n">
        <x:v>3</x:v>
      </x:c>
      <x:c r="I508" s="25" t="str">
        <x:v>生肖合成</x:v>
      </x:c>
      <x:c r="J508" s="25" t="str">
        <x:v>S07</x:v>
      </x:c>
      <x:c r="K508" s="25" t="str">
        <x:v>47-90</x:v>
      </x:c>
      <x:c r="L508" s="25" t="n">
        <x:v>120000</x:v>
      </x:c>
      <x:c r="M508" s="25" t="n">
        <x:v>0</x:v>
      </x:c>
      <x:c r="N508" s="25" t="str">
        <x:v>否</x:v>
      </x:c>
      <x:c r="O508" s="25" t="n">
        <x:v>0</x:v>
      </x:c>
      <x:c r="P508" s="25" t="n">
        <x:v>0</x:v>
      </x:c>
      <x:c r="Q508" s="25" t="n">
        <x:v>0</x:v>
      </x:c>
      <x:c r="R508" s="25" t="str">
        <x:v>洗练绑定装备；项链幸运绑定人物永久进度；武器幸运成本忽略</x:v>
      </x:c>
    </x:row>
    <x:row r="509">
      <x:c r="A509" s="25" t="str">
        <x:v>C05-X</x:v>
      </x:c>
      <x:c r="B509" s="25" t="str">
        <x:v>湖之利耶尼亚</x:v>
      </x:c>
      <x:c r="C509" s="25" t="str">
        <x:v>极端压力</x:v>
      </x:c>
      <x:c r="D509" s="25" t="n">
        <x:v>45</x:v>
      </x:c>
      <x:c r="E509" s="25" t="n">
        <x:v>107</x:v>
      </x:c>
      <x:c r="F509" s="25" t="str">
        <x:v>巳蛇·沉潮缚月</x:v>
      </x:c>
      <x:c r="G509" s="25" t="str">
        <x:v>生肖6</x:v>
      </x:c>
      <x:c r="H509" s="25" t="n">
        <x:v>4</x:v>
      </x:c>
      <x:c r="I509" s="25" t="str">
        <x:v>生肖合成</x:v>
      </x:c>
      <x:c r="J509" s="25" t="str">
        <x:v>S07</x:v>
      </x:c>
      <x:c r="K509" s="25" t="str">
        <x:v>83-160</x:v>
      </x:c>
      <x:c r="L509" s="25" t="n">
        <x:v>200000</x:v>
      </x:c>
      <x:c r="M509" s="25" t="n">
        <x:v>0</x:v>
      </x:c>
      <x:c r="N509" s="25" t="str">
        <x:v>否</x:v>
      </x:c>
      <x:c r="O509" s="25" t="n">
        <x:v>0</x:v>
      </x:c>
      <x:c r="P509" s="25" t="n">
        <x:v>0</x:v>
      </x:c>
      <x:c r="Q509" s="25" t="n">
        <x:v>0</x:v>
      </x:c>
      <x:c r="R509" s="25" t="str">
        <x:v>洗练绑定装备；项链幸运绑定人物永久进度；武器幸运成本忽略</x:v>
      </x:c>
    </x:row>
    <x:row r="510">
      <x:c r="A510" s="25" t="str">
        <x:v>C05-X</x:v>
      </x:c>
      <x:c r="B510" s="25" t="str">
        <x:v>湖之利耶尼亚</x:v>
      </x:c>
      <x:c r="C510" s="25" t="str">
        <x:v>极端压力</x:v>
      </x:c>
      <x:c r="D510" s="25" t="n">
        <x:v>46</x:v>
      </x:c>
      <x:c r="E510" s="25" t="n">
        <x:v>80</x:v>
      </x:c>
      <x:c r="F510" s="25" t="str">
        <x:v>死水午马</x:v>
      </x:c>
      <x:c r="G510" s="25" t="str">
        <x:v>生肖7</x:v>
      </x:c>
      <x:c r="H510" s="25" t="n">
        <x:v>2</x:v>
      </x:c>
      <x:c r="I510" s="25" t="str">
        <x:v>BOSS</x:v>
      </x:c>
      <x:c r="J510" s="25" t="str">
        <x:v>S02</x:v>
      </x:c>
      <x:c r="K510" s="25" t="str">
        <x:v>38-74</x:v>
      </x:c>
      <x:c r="L510" s="25" t="n">
        <x:v>45300</x:v>
      </x:c>
      <x:c r="M510" s="25" t="n">
        <x:v>0</x:v>
      </x:c>
      <x:c r="N510" s="25" t="str">
        <x:v>否</x:v>
      </x:c>
      <x:c r="O510" s="25" t="n">
        <x:v>0</x:v>
      </x:c>
      <x:c r="P510" s="25" t="n">
        <x:v>0</x:v>
      </x:c>
      <x:c r="Q510" s="25" t="n">
        <x:v>0</x:v>
      </x:c>
      <x:c r="R510" s="25" t="str">
        <x:v>洗练绑定装备；项链幸运绑定人物永久进度；武器幸运成本忽略</x:v>
      </x:c>
    </x:row>
    <x:row r="511">
      <x:c r="A511" s="25" t="str">
        <x:v>C05-X</x:v>
      </x:c>
      <x:c r="B511" s="25" t="str">
        <x:v>湖之利耶尼亚</x:v>
      </x:c>
      <x:c r="C511" s="25" t="str">
        <x:v>极端压力</x:v>
      </x:c>
      <x:c r="D511" s="25" t="n">
        <x:v>47</x:v>
      </x:c>
      <x:c r="E511" s="25" t="n">
        <x:v>67</x:v>
      </x:c>
      <x:c r="F511" s="25" t="str">
        <x:v>葬日未羊</x:v>
      </x:c>
      <x:c r="G511" s="25" t="str">
        <x:v>生肖8</x:v>
      </x:c>
      <x:c r="H511" s="25" t="n">
        <x:v>2</x:v>
      </x:c>
      <x:c r="I511" s="25" t="str">
        <x:v>稀有</x:v>
      </x:c>
      <x:c r="J511" s="25" t="str">
        <x:v>S02</x:v>
      </x:c>
      <x:c r="K511" s="25" t="str">
        <x:v>37-72</x:v>
      </x:c>
      <x:c r="L511" s="25" t="n">
        <x:v>51600</x:v>
      </x:c>
      <x:c r="M511" s="25" t="n">
        <x:v>0</x:v>
      </x:c>
      <x:c r="N511" s="25" t="str">
        <x:v>否</x:v>
      </x:c>
      <x:c r="O511" s="25" t="n">
        <x:v>0</x:v>
      </x:c>
      <x:c r="P511" s="25" t="n">
        <x:v>0</x:v>
      </x:c>
      <x:c r="Q511" s="25" t="n">
        <x:v>0</x:v>
      </x:c>
      <x:c r="R511" s="25" t="str">
        <x:v>洗练绑定装备；项链幸运绑定人物永久进度；武器幸运成本忽略</x:v>
      </x:c>
    </x:row>
    <x:row r="512">
      <x:c r="A512" s="25" t="str">
        <x:v>C05-X</x:v>
      </x:c>
      <x:c r="B512" s="25" t="str">
        <x:v>湖之利耶尼亚</x:v>
      </x:c>
      <x:c r="C512" s="25" t="str">
        <x:v>极端压力</x:v>
      </x:c>
      <x:c r="D512" s="25" t="n">
        <x:v>48</x:v>
      </x:c>
      <x:c r="E512" s="25" t="n">
        <x:v>81</x:v>
      </x:c>
      <x:c r="F512" s="25" t="str">
        <x:v>雷冠申猴</x:v>
      </x:c>
      <x:c r="G512" s="25" t="str">
        <x:v>生肖9</x:v>
      </x:c>
      <x:c r="H512" s="25" t="n">
        <x:v>2</x:v>
      </x:c>
      <x:c r="I512" s="25" t="str">
        <x:v>BOSS</x:v>
      </x:c>
      <x:c r="J512" s="25" t="str">
        <x:v>S02</x:v>
      </x:c>
      <x:c r="K512" s="25" t="str">
        <x:v>44-84</x:v>
      </x:c>
      <x:c r="L512" s="25" t="n">
        <x:v>59800</x:v>
      </x:c>
      <x:c r="M512" s="25" t="n">
        <x:v>0</x:v>
      </x:c>
      <x:c r="N512" s="25" t="str">
        <x:v>否</x:v>
      </x:c>
      <x:c r="O512" s="25" t="n">
        <x:v>0</x:v>
      </x:c>
      <x:c r="P512" s="25" t="n">
        <x:v>0</x:v>
      </x:c>
      <x:c r="Q512" s="25" t="n">
        <x:v>0</x:v>
      </x:c>
      <x:c r="R512" s="25" t="str">
        <x:v>洗练绑定装备；项链幸运绑定人物永久进度；武器幸运成本忽略</x:v>
      </x:c>
    </x:row>
    <x:row r="513">
      <x:c r="A513" s="25" t="str">
        <x:v>C05-X</x:v>
      </x:c>
      <x:c r="B513" s="25" t="str">
        <x:v>湖之利耶尼亚</x:v>
      </x:c>
      <x:c r="C513" s="25" t="str">
        <x:v>极端压力</x:v>
      </x:c>
      <x:c r="D513" s="25" t="n">
        <x:v>49</x:v>
      </x:c>
      <x:c r="E513" s="25" t="n">
        <x:v>82</x:v>
      </x:c>
      <x:c r="F513" s="25" t="str">
        <x:v>恶兆酉鸡</x:v>
      </x:c>
      <x:c r="G513" s="25" t="str">
        <x:v>生肖10</x:v>
      </x:c>
      <x:c r="H513" s="25" t="n">
        <x:v>2</x:v>
      </x:c>
      <x:c r="I513" s="25" t="str">
        <x:v>BOSS</x:v>
      </x:c>
      <x:c r="J513" s="25" t="str">
        <x:v>S02</x:v>
      </x:c>
      <x:c r="K513" s="25" t="str">
        <x:v>44-84</x:v>
      </x:c>
      <x:c r="L513" s="25" t="n">
        <x:v>59800</x:v>
      </x:c>
      <x:c r="M513" s="25" t="n">
        <x:v>0</x:v>
      </x:c>
      <x:c r="N513" s="25" t="str">
        <x:v>否</x:v>
      </x:c>
      <x:c r="O513" s="25" t="n">
        <x:v>0</x:v>
      </x:c>
      <x:c r="P513" s="25" t="n">
        <x:v>0</x:v>
      </x:c>
      <x:c r="Q513" s="25" t="n">
        <x:v>0</x:v>
      </x:c>
      <x:c r="R513" s="25" t="str">
        <x:v>洗练绑定装备；项链幸运绑定人物永久进度；武器幸运成本忽略</x:v>
      </x:c>
    </x:row>
    <x:row r="514">
      <x:c r="A514" s="25" t="str">
        <x:v>C05-X</x:v>
      </x:c>
      <x:c r="B514" s="25" t="str">
        <x:v>湖之利耶尼亚</x:v>
      </x:c>
      <x:c r="C514" s="25" t="str">
        <x:v>极端压力</x:v>
      </x:c>
      <x:c r="D514" s="25" t="n">
        <x:v>50</x:v>
      </x:c>
      <x:c r="E514" s="25" t="n">
        <x:v>83</x:v>
      </x:c>
      <x:c r="F514" s="25" t="str">
        <x:v>失乡戌狗</x:v>
      </x:c>
      <x:c r="G514" s="25" t="str">
        <x:v>生肖11</x:v>
      </x:c>
      <x:c r="H514" s="25" t="n">
        <x:v>2</x:v>
      </x:c>
      <x:c r="I514" s="25" t="str">
        <x:v>BOSS</x:v>
      </x:c>
      <x:c r="J514" s="25" t="str">
        <x:v>S02</x:v>
      </x:c>
      <x:c r="K514" s="25" t="str">
        <x:v>48-93</x:v>
      </x:c>
      <x:c r="L514" s="25" t="n">
        <x:v>79800</x:v>
      </x:c>
      <x:c r="M514" s="25" t="n">
        <x:v>0</x:v>
      </x:c>
      <x:c r="N514" s="25" t="str">
        <x:v>否</x:v>
      </x:c>
      <x:c r="O514" s="25" t="n">
        <x:v>0</x:v>
      </x:c>
      <x:c r="P514" s="25" t="n">
        <x:v>0</x:v>
      </x:c>
      <x:c r="Q514" s="25" t="n">
        <x:v>0</x:v>
      </x:c>
      <x:c r="R514" s="25" t="str">
        <x:v>洗练绑定装备；项链幸运绑定人物永久进度；武器幸运成本忽略</x:v>
      </x:c>
    </x:row>
    <x:row r="515">
      <x:c r="A515" s="25" t="str">
        <x:v>C05-X</x:v>
      </x:c>
      <x:c r="B515" s="25" t="str">
        <x:v>湖之利耶尼亚</x:v>
      </x:c>
      <x:c r="C515" s="25" t="str">
        <x:v>极端压力</x:v>
      </x:c>
      <x:c r="D515" s="25" t="n">
        <x:v>51</x:v>
      </x:c>
      <x:c r="E515" s="25" t="n">
        <x:v>84</x:v>
      </x:c>
      <x:c r="F515" s="25" t="str">
        <x:v>接肢亥猪</x:v>
      </x:c>
      <x:c r="G515" s="25" t="str">
        <x:v>生肖12</x:v>
      </x:c>
      <x:c r="H515" s="25" t="n">
        <x:v>2</x:v>
      </x:c>
      <x:c r="I515" s="25" t="str">
        <x:v>守关BOSS</x:v>
      </x:c>
      <x:c r="J515" s="25" t="str">
        <x:v>S02</x:v>
      </x:c>
      <x:c r="K515" s="25" t="str">
        <x:v>55-106</x:v>
      </x:c>
      <x:c r="L515" s="25" t="n">
        <x:v>90800</x:v>
      </x:c>
      <x:c r="M515" s="25" t="n">
        <x:v>0</x:v>
      </x:c>
      <x:c r="N515" s="25" t="str">
        <x:v>否</x:v>
      </x:c>
      <x:c r="O515" s="25" t="n">
        <x:v>0</x:v>
      </x:c>
      <x:c r="P515" s="25" t="n">
        <x:v>0</x:v>
      </x:c>
      <x:c r="Q515" s="25" t="n">
        <x:v>0</x:v>
      </x:c>
      <x:c r="R515" s="25" t="str">
        <x:v>洗练绑定装备；项链幸运绑定人物永久进度；武器幸运成本忽略</x:v>
      </x:c>
    </x:row>
    <x:row r="516">
      <x:c r="A516" s="25" t="str">
        <x:v>C05-X</x:v>
      </x:c>
      <x:c r="B516" s="25" t="str">
        <x:v>湖之利耶尼亚</x:v>
      </x:c>
      <x:c r="C516" s="25" t="str">
        <x:v>极端压力</x:v>
      </x:c>
      <x:c r="D516" s="25" t="n">
        <x:v>70</x:v>
      </x:c>
      <x:c r="E516" s="25" t="n">
        <x:v>145</x:v>
      </x:c>
      <x:c r="F516" s="25" t="str">
        <x:v>闭潮秘饰</x:v>
      </x:c>
      <x:c r="G516" s="25" t="str">
        <x:v>时装首饰盒</x:v>
      </x:c>
      <x:c r="H516" s="25" t="n">
        <x:v>4</x:v>
      </x:c>
      <x:c r="I516" s="25" t="str">
        <x:v>装备合成</x:v>
      </x:c>
      <x:c r="J516" s="25" t="str">
        <x:v>S07</x:v>
      </x:c>
      <x:c r="K516" s="25" t="str">
        <x:v>230-450</x:v>
      </x:c>
      <x:c r="L516" s="25" t="n">
        <x:v>460000</x:v>
      </x:c>
      <x:c r="M516" s="25" t="n">
        <x:v>0</x:v>
      </x:c>
      <x:c r="N516" s="25" t="str">
        <x:v>否</x:v>
      </x:c>
      <x:c r="O516" s="25" t="n">
        <x:v>0</x:v>
      </x:c>
      <x:c r="P516" s="25" t="n">
        <x:v>0</x:v>
      </x:c>
      <x:c r="Q516" s="25" t="n">
        <x:v>0</x:v>
      </x:c>
      <x:c r="R516" s="25" t="str">
        <x:v>洗练绑定装备；项链幸运绑定人物永久进度；武器幸运成本忽略</x:v>
      </x:c>
    </x:row>
    <x:row r="517">
      <x:c r="A517" s="25" t="str">
        <x:v>C06-E</x:v>
      </x:c>
      <x:c r="B517" s="25" t="str">
        <x:v>盖利德</x:v>
      </x:c>
      <x:c r="C517" s="25" t="str">
        <x:v>半急速入场</x:v>
      </x:c>
      <x:c r="D517" s="25" t="n">
        <x:v>0</x:v>
      </x:c>
      <x:c r="E517" s="25" t="n">
        <x:v>129</x:v>
      </x:c>
      <x:c r="F517" s="25" t="str">
        <x:v>静潮祷仪袍</x:v>
      </x:c>
      <x:c r="G517" s="25" t="str">
        <x:v>衣服</x:v>
      </x:c>
      <x:c r="H517" s="25" t="n">
        <x:v>5</x:v>
      </x:c>
      <x:c r="I517" s="25" t="str">
        <x:v>稀有</x:v>
      </x:c>
      <x:c r="J517" s="25" t="str">
        <x:v>S07</x:v>
      </x:c>
      <x:c r="K517" s="25" t="str">
        <x:v>190-370</x:v>
      </x:c>
      <x:c r="L517" s="25" t="n">
        <x:v>850000</x:v>
      </x:c>
      <x:c r="M517" s="25" t="n">
        <x:v>5</x:v>
      </x:c>
      <x:c r="N517" s="25" t="str">
        <x:v>否</x:v>
      </x:c>
      <x:c r="O517" s="25" t="n">
        <x:v>0</x:v>
      </x:c>
      <x:c r="P517" s="25" t="n">
        <x:v>0</x:v>
      </x:c>
      <x:c r="Q517" s="25" t="n">
        <x:v>0</x:v>
      </x:c>
      <x:c r="R517" s="25" t="str">
        <x:v>洗练绑定装备；项链幸运绑定人物永久进度；武器幸运成本忽略</x:v>
      </x:c>
    </x:row>
    <x:row r="518">
      <x:c r="A518" s="25" t="str">
        <x:v>C06-E</x:v>
      </x:c>
      <x:c r="B518" s="25" t="str">
        <x:v>盖利德</x:v>
      </x:c>
      <x:c r="C518" s="25" t="str">
        <x:v>半急速入场</x:v>
      </x:c>
      <x:c r="D518" s="25" t="n">
        <x:v>1</x:v>
      </x:c>
      <x:c r="E518" s="25" t="n">
        <x:v>126</x:v>
      </x:c>
      <x:c r="F518" s="25" t="str">
        <x:v>卡利亚月裁长刃</x:v>
      </x:c>
      <x:c r="G518" s="25" t="str">
        <x:v>武器</x:v>
      </x:c>
      <x:c r="H518" s="25" t="n">
        <x:v>5</x:v>
      </x:c>
      <x:c r="I518" s="25" t="str">
        <x:v>装备合成</x:v>
      </x:c>
      <x:c r="J518" s="25" t="str">
        <x:v>S07</x:v>
      </x:c>
      <x:c r="K518" s="25" t="str">
        <x:v>4200-8000</x:v>
      </x:c>
      <x:c r="L518" s="25" t="n">
        <x:v>480000</x:v>
      </x:c>
      <x:c r="M518" s="25" t="n">
        <x:v>2</x:v>
      </x:c>
      <x:c r="N518" s="25" t="str">
        <x:v>否</x:v>
      </x:c>
      <x:c r="O518" s="25" t="n">
        <x:v>7</x:v>
      </x:c>
      <x:c r="P518" s="25" t="n">
        <x:v>0</x:v>
      </x:c>
      <x:c r="Q518" s="25" t="n">
        <x:v>0</x:v>
      </x:c>
      <x:c r="R518" s="25" t="str">
        <x:v>洗练绑定装备；项链幸运绑定人物永久进度；武器幸运成本忽略</x:v>
      </x:c>
    </x:row>
    <x:row r="519">
      <x:c r="A519" s="25" t="str">
        <x:v>C06-E</x:v>
      </x:c>
      <x:c r="B519" s="25" t="str">
        <x:v>盖利德</x:v>
      </x:c>
      <x:c r="C519" s="25" t="str">
        <x:v>半急速入场</x:v>
      </x:c>
      <x:c r="D519" s="25" t="n">
        <x:v>2</x:v>
      </x:c>
      <x:c r="E519" s="25" t="n">
        <x:v>121</x:v>
      </x:c>
      <x:c r="F519" s="25" t="str">
        <x:v>前庭晶戟勋</x:v>
      </x:c>
      <x:c r="G519" s="25" t="str">
        <x:v>勋章</x:v>
      </x:c>
      <x:c r="H519" s="25" t="n">
        <x:v>5</x:v>
      </x:c>
      <x:c r="I519" s="25" t="str">
        <x:v>稀有</x:v>
      </x:c>
      <x:c r="J519" s="25" t="str">
        <x:v>S07</x:v>
      </x:c>
      <x:c r="K519" s="25" t="str">
        <x:v>210-410</x:v>
      </x:c>
      <x:c r="L519" s="25" t="n">
        <x:v>220000</x:v>
      </x:c>
      <x:c r="M519" s="25" t="n">
        <x:v>0</x:v>
      </x:c>
      <x:c r="N519" s="25" t="str">
        <x:v>否</x:v>
      </x:c>
      <x:c r="O519" s="25" t="n">
        <x:v>0</x:v>
      </x:c>
      <x:c r="P519" s="25" t="n">
        <x:v>0</x:v>
      </x:c>
      <x:c r="Q519" s="25" t="n">
        <x:v>0</x:v>
      </x:c>
      <x:c r="R519" s="25" t="str">
        <x:v>洗练绑定装备；项链幸运绑定人物永久进度；武器幸运成本忽略</x:v>
      </x:c>
    </x:row>
    <x:row r="520">
      <x:c r="A520" s="25" t="str">
        <x:v>C06-E</x:v>
      </x:c>
      <x:c r="B520" s="25" t="str">
        <x:v>盖利德</x:v>
      </x:c>
      <x:c r="C520" s="25" t="str">
        <x:v>半急速入场</x:v>
      </x:c>
      <x:c r="D520" s="25" t="n">
        <x:v>3</x:v>
      </x:c>
      <x:c r="E520" s="25" t="n">
        <x:v>101</x:v>
      </x:c>
      <x:c r="F520" s="25" t="str">
        <x:v>引魂铜铃链</x:v>
      </x:c>
      <x:c r="G520" s="25" t="str">
        <x:v>项链</x:v>
      </x:c>
      <x:c r="H520" s="25" t="n">
        <x:v>4</x:v>
      </x:c>
      <x:c r="I520" s="25" t="str">
        <x:v>普通</x:v>
      </x:c>
      <x:c r="J520" s="25" t="str">
        <x:v>S07</x:v>
      </x:c>
      <x:c r="K520" s="25" t="str">
        <x:v>88-170</x:v>
      </x:c>
      <x:c r="L520" s="25" t="n">
        <x:v>74000</x:v>
      </x:c>
      <x:c r="M520" s="25" t="n">
        <x:v>8</x:v>
      </x:c>
      <x:c r="N520" s="25" t="str">
        <x:v>是</x:v>
      </x:c>
      <x:c r="O520" s="25" t="n">
        <x:v>0</x:v>
      </x:c>
      <x:c r="P520" s="25" t="n">
        <x:v>0</x:v>
      </x:c>
      <x:c r="Q520" s="25" t="n">
        <x:v>0</x:v>
      </x:c>
      <x:c r="R520" s="25" t="str">
        <x:v>洗练绑定装备；项链幸运绑定人物永久进度；武器幸运成本忽略</x:v>
      </x:c>
    </x:row>
    <x:row r="521">
      <x:c r="A521" s="25" t="str">
        <x:v>C06-E</x:v>
      </x:c>
      <x:c r="B521" s="25" t="str">
        <x:v>盖利德</x:v>
      </x:c>
      <x:c r="C521" s="25" t="str">
        <x:v>半急速入场</x:v>
      </x:c>
      <x:c r="D521" s="25" t="n">
        <x:v>4</x:v>
      </x:c>
      <x:c r="E521" s="25" t="n">
        <x:v>130</x:v>
      </x:c>
      <x:c r="F521" s="25" t="str">
        <x:v>镜荷眠梦冠</x:v>
      </x:c>
      <x:c r="G521" s="25" t="str">
        <x:v>头盔</x:v>
      </x:c>
      <x:c r="H521" s="25" t="n">
        <x:v>5</x:v>
      </x:c>
      <x:c r="I521" s="25" t="str">
        <x:v>稀有</x:v>
      </x:c>
      <x:c r="J521" s="25" t="str">
        <x:v>S07</x:v>
      </x:c>
      <x:c r="K521" s="25" t="str">
        <x:v>160-310</x:v>
      </x:c>
      <x:c r="L521" s="25" t="n">
        <x:v>320000</x:v>
      </x:c>
      <x:c r="M521" s="25" t="n">
        <x:v>4</x:v>
      </x:c>
      <x:c r="N521" s="25" t="str">
        <x:v>否</x:v>
      </x:c>
      <x:c r="O521" s="25" t="n">
        <x:v>0</x:v>
      </x:c>
      <x:c r="P521" s="25" t="n">
        <x:v>0</x:v>
      </x:c>
      <x:c r="Q521" s="25" t="n">
        <x:v>0</x:v>
      </x:c>
      <x:c r="R521" s="25" t="str">
        <x:v>洗练绑定装备；项链幸运绑定人物永久进度；武器幸运成本忽略</x:v>
      </x:c>
    </x:row>
    <x:row r="522">
      <x:c r="A522" s="25" t="str">
        <x:v>C06-E</x:v>
      </x:c>
      <x:c r="B522" s="25" t="str">
        <x:v>盖利德</x:v>
      </x:c>
      <x:c r="C522" s="25" t="str">
        <x:v>半急速入场</x:v>
      </x:c>
      <x:c r="D522" s="25" t="n">
        <x:v>5</x:v>
      </x:c>
      <x:c r="E522" s="25" t="n">
        <x:v>113</x:v>
      </x:c>
      <x:c r="F522" s="25" t="str">
        <x:v>百指腕甲</x:v>
      </x:c>
      <x:c r="G522" s="25" t="str">
        <x:v>手镯</x:v>
      </x:c>
      <x:c r="H522" s="25" t="n">
        <x:v>2</x:v>
      </x:c>
      <x:c r="I522" s="25" t="str">
        <x:v>普通</x:v>
      </x:c>
      <x:c r="J522" s="25" t="str">
        <x:v>S02</x:v>
      </x:c>
      <x:c r="K522" s="25" t="str">
        <x:v>69-132</x:v>
      </x:c>
      <x:c r="L522" s="25" t="n">
        <x:v>53200</x:v>
      </x:c>
      <x:c r="M522" s="25" t="n">
        <x:v>2</x:v>
      </x:c>
      <x:c r="N522" s="25" t="str">
        <x:v>否</x:v>
      </x:c>
      <x:c r="O522" s="25" t="n">
        <x:v>0</x:v>
      </x:c>
      <x:c r="P522" s="25" t="n">
        <x:v>0</x:v>
      </x:c>
      <x:c r="Q522" s="25" t="n">
        <x:v>0</x:v>
      </x:c>
      <x:c r="R522" s="25" t="str">
        <x:v>洗练绑定装备；项链幸运绑定人物永久进度；武器幸运成本忽略</x:v>
      </x:c>
    </x:row>
    <x:row r="523">
      <x:c r="A523" s="25" t="str">
        <x:v>C06-E</x:v>
      </x:c>
      <x:c r="B523" s="25" t="str">
        <x:v>盖利德</x:v>
      </x:c>
      <x:c r="C523" s="25" t="str">
        <x:v>半急速入场</x:v>
      </x:c>
      <x:c r="D523" s="25" t="n">
        <x:v>6</x:v>
      </x:c>
      <x:c r="E523" s="25" t="n">
        <x:v>68</x:v>
      </x:c>
      <x:c r="F523" s="25" t="str">
        <x:v>百指接肢腕</x:v>
      </x:c>
      <x:c r="G523" s="25" t="str">
        <x:v>手镯</x:v>
      </x:c>
      <x:c r="H523" s="25" t="n">
        <x:v>2</x:v>
      </x:c>
      <x:c r="I523" s="25" t="str">
        <x:v>装备合成</x:v>
      </x:c>
      <x:c r="J523" s="25" t="str">
        <x:v>S07</x:v>
      </x:c>
      <x:c r="K523" s="25" t="str">
        <x:v>110-210</x:v>
      </x:c>
      <x:c r="L523" s="25" t="n">
        <x:v>85000</x:v>
      </x:c>
      <x:c r="M523" s="25" t="n">
        <x:v>5</x:v>
      </x:c>
      <x:c r="N523" s="25" t="str">
        <x:v>否</x:v>
      </x:c>
      <x:c r="O523" s="25" t="n">
        <x:v>0</x:v>
      </x:c>
      <x:c r="P523" s="25" t="n">
        <x:v>0</x:v>
      </x:c>
      <x:c r="Q523" s="25" t="n">
        <x:v>0</x:v>
      </x:c>
      <x:c r="R523" s="25" t="str">
        <x:v>洗练绑定装备；项链幸运绑定人物永久进度；武器幸运成本忽略</x:v>
      </x:c>
    </x:row>
    <x:row r="524">
      <x:c r="A524" s="25" t="str">
        <x:v>C06-E</x:v>
      </x:c>
      <x:c r="B524" s="25" t="str">
        <x:v>盖利德</x:v>
      </x:c>
      <x:c r="C524" s="25" t="str">
        <x:v>半急速入场</x:v>
      </x:c>
      <x:c r="D524" s="25" t="n">
        <x:v>7</x:v>
      </x:c>
      <x:c r="E524" s="25" t="n">
        <x:v>103</x:v>
      </x:c>
      <x:c r="F524" s="25" t="str">
        <x:v>蓝焰祷戒</x:v>
      </x:c>
      <x:c r="G524" s="25" t="str">
        <x:v>戒指</x:v>
      </x:c>
      <x:c r="H524" s="25" t="n">
        <x:v>4</x:v>
      </x:c>
      <x:c r="I524" s="25" t="str">
        <x:v>稀有</x:v>
      </x:c>
      <x:c r="J524" s="25" t="str">
        <x:v>S07</x:v>
      </x:c>
      <x:c r="K524" s="25" t="str">
        <x:v>150-280</x:v>
      </x:c>
      <x:c r="L524" s="25" t="n">
        <x:v>110000</x:v>
      </x:c>
      <x:c r="M524" s="25" t="n">
        <x:v>7</x:v>
      </x:c>
      <x:c r="N524" s="25" t="str">
        <x:v>是</x:v>
      </x:c>
      <x:c r="O524" s="25" t="n">
        <x:v>0</x:v>
      </x:c>
      <x:c r="P524" s="25" t="n">
        <x:v>0</x:v>
      </x:c>
      <x:c r="Q524" s="25" t="n">
        <x:v>0</x:v>
      </x:c>
      <x:c r="R524" s="25" t="str">
        <x:v>洗练绑定装备；项链幸运绑定人物永久进度；武器幸运成本忽略</x:v>
      </x:c>
    </x:row>
    <x:row r="525">
      <x:c r="A525" s="25" t="str">
        <x:v>C06-E</x:v>
      </x:c>
      <x:c r="B525" s="25" t="str">
        <x:v>盖利德</x:v>
      </x:c>
      <x:c r="C525" s="25" t="str">
        <x:v>半急速入场</x:v>
      </x:c>
      <x:c r="D525" s="25" t="n">
        <x:v>8</x:v>
      </x:c>
      <x:c r="E525" s="25" t="n">
        <x:v>118</x:v>
      </x:c>
      <x:c r="F525" s="25" t="str">
        <x:v>月渊秘戒</x:v>
      </x:c>
      <x:c r="G525" s="25" t="str">
        <x:v>戒指</x:v>
      </x:c>
      <x:c r="H525" s="25" t="n">
        <x:v>4</x:v>
      </x:c>
      <x:c r="I525" s="25" t="str">
        <x:v>装备合成</x:v>
      </x:c>
      <x:c r="J525" s="25" t="str">
        <x:v>S07</x:v>
      </x:c>
      <x:c r="K525" s="25" t="str">
        <x:v>350-670</x:v>
      </x:c>
      <x:c r="L525" s="25" t="n">
        <x:v>270000</x:v>
      </x:c>
      <x:c r="M525" s="25" t="n">
        <x:v>2</x:v>
      </x:c>
      <x:c r="N525" s="25" t="str">
        <x:v>否</x:v>
      </x:c>
      <x:c r="O525" s="25" t="n">
        <x:v>0</x:v>
      </x:c>
      <x:c r="P525" s="25" t="n">
        <x:v>0</x:v>
      </x:c>
      <x:c r="Q525" s="25" t="n">
        <x:v>0</x:v>
      </x:c>
      <x:c r="R525" s="25" t="str">
        <x:v>洗练绑定装备；项链幸运绑定人物永久进度；武器幸运成本忽略</x:v>
      </x:c>
    </x:row>
    <x:row r="526">
      <x:c r="A526" s="25" t="str">
        <x:v>C06-E</x:v>
      </x:c>
      <x:c r="B526" s="25" t="str">
        <x:v>盖利德</x:v>
      </x:c>
      <x:c r="C526" s="25" t="str">
        <x:v>半急速入场</x:v>
      </x:c>
      <x:c r="D526" s="25" t="n">
        <x:v>10</x:v>
      </x:c>
      <x:c r="E526" s="25" t="n">
        <x:v>131</x:v>
      </x:c>
      <x:c r="F526" s="25" t="str">
        <x:v>汲月雾绦</x:v>
      </x:c>
      <x:c r="G526" s="25" t="str">
        <x:v>腰带</x:v>
      </x:c>
      <x:c r="H526" s="25" t="n">
        <x:v>5</x:v>
      </x:c>
      <x:c r="I526" s="25" t="str">
        <x:v>稀有</x:v>
      </x:c>
      <x:c r="J526" s="25" t="str">
        <x:v>S07</x:v>
      </x:c>
      <x:c r="K526" s="25" t="str">
        <x:v>150-280</x:v>
      </x:c>
      <x:c r="L526" s="25" t="n">
        <x:v>240000</x:v>
      </x:c>
      <x:c r="M526" s="25" t="n">
        <x:v>7</x:v>
      </x:c>
      <x:c r="N526" s="25" t="str">
        <x:v>是</x:v>
      </x:c>
      <x:c r="O526" s="25" t="n">
        <x:v>0</x:v>
      </x:c>
      <x:c r="P526" s="25" t="n">
        <x:v>0</x:v>
      </x:c>
      <x:c r="Q526" s="25" t="n">
        <x:v>0</x:v>
      </x:c>
      <x:c r="R526" s="25" t="str">
        <x:v>洗练绑定装备；项链幸运绑定人物永久进度；武器幸运成本忽略</x:v>
      </x:c>
    </x:row>
    <x:row r="527">
      <x:c r="A527" s="25" t="str">
        <x:v>C06-E</x:v>
      </x:c>
      <x:c r="B527" s="25" t="str">
        <x:v>盖利德</x:v>
      </x:c>
      <x:c r="C527" s="25" t="str">
        <x:v>半急速入场</x:v>
      </x:c>
      <x:c r="D527" s="25" t="n">
        <x:v>11</x:v>
      </x:c>
      <x:c r="E527" s="25" t="n">
        <x:v>94</x:v>
      </x:c>
      <x:c r="F527" s="25" t="str">
        <x:v>逐风征靴</x:v>
      </x:c>
      <x:c r="G527" s="25" t="str">
        <x:v>鞋子</x:v>
      </x:c>
      <x:c r="H527" s="25" t="n">
        <x:v>3</x:v>
      </x:c>
      <x:c r="I527" s="25" t="str">
        <x:v>装备合成</x:v>
      </x:c>
      <x:c r="J527" s="25" t="str">
        <x:v>S07</x:v>
      </x:c>
      <x:c r="K527" s="25" t="str">
        <x:v>100-200</x:v>
      </x:c>
      <x:c r="L527" s="25" t="n">
        <x:v>150000</x:v>
      </x:c>
      <x:c r="M527" s="25" t="n">
        <x:v>3</x:v>
      </x:c>
      <x:c r="N527" s="25" t="str">
        <x:v>否</x:v>
      </x:c>
      <x:c r="O527" s="25" t="n">
        <x:v>0</x:v>
      </x:c>
      <x:c r="P527" s="25" t="n">
        <x:v>0</x:v>
      </x:c>
      <x:c r="Q527" s="25" t="n">
        <x:v>0</x:v>
      </x:c>
      <x:c r="R527" s="25" t="str">
        <x:v>洗练绑定装备；项链幸运绑定人物永久进度；武器幸运成本忽略</x:v>
      </x:c>
    </x:row>
    <x:row r="528">
      <x:c r="A528" s="25" t="str">
        <x:v>C06-E</x:v>
      </x:c>
      <x:c r="B528" s="25" t="str">
        <x:v>盖利德</x:v>
      </x:c>
      <x:c r="C528" s="25" t="str">
        <x:v>半急速入场</x:v>
      </x:c>
      <x:c r="D528" s="25" t="n">
        <x:v>13</x:v>
      </x:c>
      <x:c r="E528" s="25" t="n">
        <x:v>124</x:v>
      </x:c>
      <x:c r="F528" s="25" t="str">
        <x:v>银页书鸦笠</x:v>
      </x:c>
      <x:c r="G528" s="25" t="str">
        <x:v>斗笠</x:v>
      </x:c>
      <x:c r="H528" s="25" t="n">
        <x:v>5</x:v>
      </x:c>
      <x:c r="I528" s="25" t="str">
        <x:v>普通</x:v>
      </x:c>
      <x:c r="J528" s="25" t="str">
        <x:v>S07</x:v>
      </x:c>
      <x:c r="K528" s="25" t="str">
        <x:v>83-160</x:v>
      </x:c>
      <x:c r="L528" s="25" t="n">
        <x:v>94000</x:v>
      </x:c>
      <x:c r="M528" s="25" t="n">
        <x:v>0</x:v>
      </x:c>
      <x:c r="N528" s="25" t="str">
        <x:v>否</x:v>
      </x:c>
      <x:c r="O528" s="25" t="n">
        <x:v>0</x:v>
      </x:c>
      <x:c r="P528" s="25" t="n">
        <x:v>0</x:v>
      </x:c>
      <x:c r="Q528" s="25" t="n">
        <x:v>0</x:v>
      </x:c>
      <x:c r="R528" s="25" t="str">
        <x:v>洗练绑定装备；项链幸运绑定人物永久进度；武器幸运成本忽略</x:v>
      </x:c>
    </x:row>
    <x:row r="529">
      <x:c r="A529" s="25" t="str">
        <x:v>C06-E</x:v>
      </x:c>
      <x:c r="B529" s="25" t="str">
        <x:v>盖利德</x:v>
      </x:c>
      <x:c r="C529" s="25" t="str">
        <x:v>半急速入场</x:v>
      </x:c>
      <x:c r="D529" s="25" t="n">
        <x:v>16</x:v>
      </x:c>
      <x:c r="E529" s="25" t="n">
        <x:v>125</x:v>
      </x:c>
      <x:c r="F529" s="25" t="str">
        <x:v>巡潮重盾</x:v>
      </x:c>
      <x:c r="G529" s="25" t="str">
        <x:v>盾牌</x:v>
      </x:c>
      <x:c r="H529" s="25" t="n">
        <x:v>4</x:v>
      </x:c>
      <x:c r="I529" s="25" t="str">
        <x:v>稀有</x:v>
      </x:c>
      <x:c r="J529" s="25" t="str">
        <x:v>S07</x:v>
      </x:c>
      <x:c r="K529" s="25" t="str">
        <x:v>100-200</x:v>
      </x:c>
      <x:c r="L529" s="25" t="n">
        <x:v>370000</x:v>
      </x:c>
      <x:c r="M529" s="25" t="n">
        <x:v>0</x:v>
      </x:c>
      <x:c r="N529" s="25" t="str">
        <x:v>否</x:v>
      </x:c>
      <x:c r="O529" s="25" t="n">
        <x:v>0</x:v>
      </x:c>
      <x:c r="P529" s="25" t="n">
        <x:v>0</x:v>
      </x:c>
      <x:c r="Q529" s="25" t="n">
        <x:v>0</x:v>
      </x:c>
      <x:c r="R529" s="25" t="str">
        <x:v>洗练绑定装备；项链幸运绑定人物永久进度；武器幸运成本忽略</x:v>
      </x:c>
    </x:row>
    <x:row r="530">
      <x:c r="A530" s="25" t="str">
        <x:v>C06-E</x:v>
      </x:c>
      <x:c r="B530" s="25" t="str">
        <x:v>盖利德</x:v>
      </x:c>
      <x:c r="C530" s="25" t="str">
        <x:v>半急速入场</x:v>
      </x:c>
      <x:c r="D530" s="25" t="n">
        <x:v>18</x:v>
      </x:c>
      <x:c r="E530" s="25" t="n">
        <x:v>26</x:v>
      </x:c>
      <x:c r="F530" s="25" t="str">
        <x:v>无冠王衣</x:v>
      </x:c>
      <x:c r="G530" s="25" t="str">
        <x:v>时装衣服</x:v>
      </x:c>
      <x:c r="H530" s="25" t="n">
        <x:v>1</x:v>
      </x:c>
      <x:c r="I530" s="25" t="str">
        <x:v>守关BOSS</x:v>
      </x:c>
      <x:c r="J530" s="25" t="str">
        <x:v>S02</x:v>
      </x:c>
      <x:c r="K530" s="25" t="str">
        <x:v>28-53</x:v>
      </x:c>
      <x:c r="L530" s="25" t="n">
        <x:v>74300</x:v>
      </x:c>
      <x:c r="M530" s="25" t="n">
        <x:v>0</x:v>
      </x:c>
      <x:c r="N530" s="25" t="str">
        <x:v>否</x:v>
      </x:c>
      <x:c r="O530" s="25" t="n">
        <x:v>0</x:v>
      </x:c>
      <x:c r="P530" s="25" t="n">
        <x:v>0</x:v>
      </x:c>
      <x:c r="Q530" s="25" t="n">
        <x:v>0</x:v>
      </x:c>
      <x:c r="R530" s="25" t="str">
        <x:v>洗练绑定装备；项链幸运绑定人物永久进度；武器幸运成本忽略</x:v>
      </x:c>
    </x:row>
    <x:row r="531">
      <x:c r="A531" s="25" t="str">
        <x:v>C06-E</x:v>
      </x:c>
      <x:c r="B531" s="25" t="str">
        <x:v>盖利德</x:v>
      </x:c>
      <x:c r="C531" s="25" t="str">
        <x:v>半急速入场</x:v>
      </x:c>
      <x:c r="D531" s="25" t="n">
        <x:v>19</x:v>
      </x:c>
      <x:c r="E531" s="25" t="n">
        <x:v>64</x:v>
      </x:c>
      <x:c r="F531" s="25" t="str">
        <x:v>百夫熔戟</x:v>
      </x:c>
      <x:c r="G531" s="25" t="str">
        <x:v>时装武器</x:v>
      </x:c>
      <x:c r="H531" s="25" t="n">
        <x:v>2</x:v>
      </x:c>
      <x:c r="I531" s="25" t="str">
        <x:v>稀有</x:v>
      </x:c>
      <x:c r="J531" s="25" t="str">
        <x:v>S02</x:v>
      </x:c>
      <x:c r="K531" s="25" t="str">
        <x:v>150-288</x:v>
      </x:c>
      <x:c r="L531" s="25" t="n">
        <x:v>45400</x:v>
      </x:c>
      <x:c r="M531" s="25" t="n">
        <x:v>0</x:v>
      </x:c>
      <x:c r="N531" s="25" t="str">
        <x:v>否</x:v>
      </x:c>
      <x:c r="O531" s="25" t="n">
        <x:v>0</x:v>
      </x:c>
      <x:c r="P531" s="25" t="n">
        <x:v>0</x:v>
      </x:c>
      <x:c r="Q531" s="25" t="n">
        <x:v>0</x:v>
      </x:c>
      <x:c r="R531" s="25" t="str">
        <x:v>洗练绑定装备；项链幸运绑定人物永久进度；武器幸运成本忽略</x:v>
      </x:c>
    </x:row>
    <x:row r="532">
      <x:c r="A532" s="25" t="str">
        <x:v>C06-E</x:v>
      </x:c>
      <x:c r="B532" s="25" t="str">
        <x:v>盖利德</x:v>
      </x:c>
      <x:c r="C532" s="25" t="str">
        <x:v>半急速入场</x:v>
      </x:c>
      <x:c r="D532" s="25" t="n">
        <x:v>20</x:v>
      </x:c>
      <x:c r="E532" s="25" t="n">
        <x:v>40</x:v>
      </x:c>
      <x:c r="F532" s="25" t="str">
        <x:v>英雄余誓</x:v>
      </x:c>
      <x:c r="G532" s="25" t="str">
        <x:v>时装项链</x:v>
      </x:c>
      <x:c r="H532" s="25" t="n">
        <x:v>2</x:v>
      </x:c>
      <x:c r="I532" s="25" t="str">
        <x:v>稀有</x:v>
      </x:c>
      <x:c r="J532" s="25" t="str">
        <x:v>S02</x:v>
      </x:c>
      <x:c r="K532" s="25" t="str">
        <x:v>31-60</x:v>
      </x:c>
      <x:c r="L532" s="25" t="n">
        <x:v>17900</x:v>
      </x:c>
      <x:c r="M532" s="25" t="n">
        <x:v>0</x:v>
      </x:c>
      <x:c r="N532" s="25" t="str">
        <x:v>否</x:v>
      </x:c>
      <x:c r="O532" s="25" t="n">
        <x:v>0</x:v>
      </x:c>
      <x:c r="P532" s="25" t="n">
        <x:v>0</x:v>
      </x:c>
      <x:c r="Q532" s="25" t="n">
        <x:v>0</x:v>
      </x:c>
      <x:c r="R532" s="25" t="str">
        <x:v>洗练绑定装备；项链幸运绑定人物永久进度；武器幸运成本忽略</x:v>
      </x:c>
    </x:row>
    <x:row r="533">
      <x:c r="A533" s="25" t="str">
        <x:v>C06-E</x:v>
      </x:c>
      <x:c r="B533" s="25" t="str">
        <x:v>盖利德</x:v>
      </x:c>
      <x:c r="C533" s="25" t="str">
        <x:v>半急速入场</x:v>
      </x:c>
      <x:c r="D533" s="25" t="n">
        <x:v>21</x:v>
      </x:c>
      <x:c r="E533" s="25" t="n">
        <x:v>41</x:v>
      </x:c>
      <x:c r="F533" s="25" t="str">
        <x:v>初火兜鍪</x:v>
      </x:c>
      <x:c r="G533" s="25" t="str">
        <x:v>时装头盔</x:v>
      </x:c>
      <x:c r="H533" s="25" t="n">
        <x:v>2</x:v>
      </x:c>
      <x:c r="I533" s="25" t="str">
        <x:v>稀有</x:v>
      </x:c>
      <x:c r="J533" s="25" t="str">
        <x:v>S02</x:v>
      </x:c>
      <x:c r="K533" s="25" t="str">
        <x:v>22-42</x:v>
      </x:c>
      <x:c r="L533" s="25" t="n">
        <x:v>30900</x:v>
      </x:c>
      <x:c r="M533" s="25" t="n">
        <x:v>0</x:v>
      </x:c>
      <x:c r="N533" s="25" t="str">
        <x:v>否</x:v>
      </x:c>
      <x:c r="O533" s="25" t="n">
        <x:v>0</x:v>
      </x:c>
      <x:c r="P533" s="25" t="n">
        <x:v>0</x:v>
      </x:c>
      <x:c r="Q533" s="25" t="n">
        <x:v>0</x:v>
      </x:c>
      <x:c r="R533" s="25" t="str">
        <x:v>洗练绑定装备；项链幸运绑定人物永久进度；武器幸运成本忽略</x:v>
      </x:c>
    </x:row>
    <x:row r="534">
      <x:c r="A534" s="25" t="str">
        <x:v>C06-E</x:v>
      </x:c>
      <x:c r="B534" s="25" t="str">
        <x:v>盖利德</x:v>
      </x:c>
      <x:c r="C534" s="25" t="str">
        <x:v>半急速入场</x:v>
      </x:c>
      <x:c r="D534" s="25" t="n">
        <x:v>22</x:v>
      </x:c>
      <x:c r="E534" s="25" t="n">
        <x:v>42</x:v>
      </x:c>
      <x:c r="F534" s="25" t="str">
        <x:v>卢恩血镯</x:v>
      </x:c>
      <x:c r="G534" s="25" t="str">
        <x:v>时装手镯</x:v>
      </x:c>
      <x:c r="H534" s="25" t="n">
        <x:v>2</x:v>
      </x:c>
      <x:c r="I534" s="25" t="str">
        <x:v>稀有</x:v>
      </x:c>
      <x:c r="J534" s="25" t="str">
        <x:v>S02</x:v>
      </x:c>
      <x:c r="K534" s="25" t="str">
        <x:v>42-80</x:v>
      </x:c>
      <x:c r="L534" s="25" t="n">
        <x:v>34400</x:v>
      </x:c>
      <x:c r="M534" s="25" t="n">
        <x:v>0</x:v>
      </x:c>
      <x:c r="N534" s="25" t="str">
        <x:v>否</x:v>
      </x:c>
      <x:c r="O534" s="25" t="n">
        <x:v>0</x:v>
      </x:c>
      <x:c r="P534" s="25" t="n">
        <x:v>0</x:v>
      </x:c>
      <x:c r="Q534" s="25" t="n">
        <x:v>0</x:v>
      </x:c>
      <x:c r="R534" s="25" t="str">
        <x:v>洗练绑定装备；项链幸运绑定人物永久进度；武器幸运成本忽略</x:v>
      </x:c>
    </x:row>
    <x:row r="535">
      <x:c r="A535" s="25" t="str">
        <x:v>C06-E</x:v>
      </x:c>
      <x:c r="B535" s="25" t="str">
        <x:v>盖利德</x:v>
      </x:c>
      <x:c r="C535" s="25" t="str">
        <x:v>半急速入场</x:v>
      </x:c>
      <x:c r="D535" s="25" t="n">
        <x:v>24</x:v>
      </x:c>
      <x:c r="E535" s="25" t="n">
        <x:v>43</x:v>
      </x:c>
      <x:c r="F535" s="25" t="str">
        <x:v>黄金树戒</x:v>
      </x:c>
      <x:c r="G535" s="25" t="str">
        <x:v>时装戒指</x:v>
      </x:c>
      <x:c r="H535" s="25" t="n">
        <x:v>2</x:v>
      </x:c>
      <x:c r="I535" s="25" t="str">
        <x:v>稀有</x:v>
      </x:c>
      <x:c r="J535" s="25" t="str">
        <x:v>S02</x:v>
      </x:c>
      <x:c r="K535" s="25" t="str">
        <x:v>42-80</x:v>
      </x:c>
      <x:c r="L535" s="25" t="n">
        <x:v>34400</x:v>
      </x:c>
      <x:c r="M535" s="25" t="n">
        <x:v>0</x:v>
      </x:c>
      <x:c r="N535" s="25" t="str">
        <x:v>否</x:v>
      </x:c>
      <x:c r="O535" s="25" t="n">
        <x:v>0</x:v>
      </x:c>
      <x:c r="P535" s="25" t="n">
        <x:v>0</x:v>
      </x:c>
      <x:c r="Q535" s="25" t="n">
        <x:v>0</x:v>
      </x:c>
      <x:c r="R535" s="25" t="str">
        <x:v>洗练绑定装备；项链幸运绑定人物永久进度；武器幸运成本忽略</x:v>
      </x:c>
    </x:row>
    <x:row r="536">
      <x:c r="A536" s="25" t="str">
        <x:v>C06-E</x:v>
      </x:c>
      <x:c r="B536" s="25" t="str">
        <x:v>盖利德</x:v>
      </x:c>
      <x:c r="C536" s="25" t="str">
        <x:v>半急速入场</x:v>
      </x:c>
      <x:c r="D536" s="25" t="n">
        <x:v>40</x:v>
      </x:c>
      <x:c r="E536" s="25" t="n">
        <x:v>44</x:v>
      </x:c>
      <x:c r="F536" s="25" t="str">
        <x:v>腐树子鼠</x:v>
      </x:c>
      <x:c r="G536" s="25" t="str">
        <x:v>生肖1</x:v>
      </x:c>
      <x:c r="H536" s="25" t="n">
        <x:v>2</x:v>
      </x:c>
      <x:c r="I536" s="25" t="str">
        <x:v>BOSS</x:v>
      </x:c>
      <x:c r="J536" s="25" t="str">
        <x:v>S02</x:v>
      </x:c>
      <x:c r="K536" s="25" t="str">
        <x:v>29-56</x:v>
      </x:c>
      <x:c r="L536" s="25" t="n">
        <x:v>23600</x:v>
      </x:c>
      <x:c r="M536" s="25" t="n">
        <x:v>0</x:v>
      </x:c>
      <x:c r="N536" s="25" t="str">
        <x:v>否</x:v>
      </x:c>
      <x:c r="O536" s="25" t="n">
        <x:v>0</x:v>
      </x:c>
      <x:c r="P536" s="25" t="n">
        <x:v>0</x:v>
      </x:c>
      <x:c r="Q536" s="25" t="n">
        <x:v>0</x:v>
      </x:c>
      <x:c r="R536" s="25" t="str">
        <x:v>洗练绑定装备；项链幸运绑定人物永久进度；武器幸运成本忽略</x:v>
      </x:c>
    </x:row>
    <x:row r="537">
      <x:c r="A537" s="25" t="str">
        <x:v>C06-E</x:v>
      </x:c>
      <x:c r="B537" s="25" t="str">
        <x:v>盖利德</x:v>
      </x:c>
      <x:c r="C537" s="25" t="str">
        <x:v>半急速入场</x:v>
      </x:c>
      <x:c r="D537" s="25" t="n">
        <x:v>41</x:v>
      </x:c>
      <x:c r="E537" s="25" t="n">
        <x:v>69</x:v>
      </x:c>
      <x:c r="F537" s="25" t="str">
        <x:v>丑牛·风暴负山</x:v>
      </x:c>
      <x:c r="G537" s="25" t="str">
        <x:v>生肖2</x:v>
      </x:c>
      <x:c r="H537" s="25" t="n">
        <x:v>2</x:v>
      </x:c>
      <x:c r="I537" s="25" t="str">
        <x:v>生肖合成</x:v>
      </x:c>
      <x:c r="J537" s="25" t="str">
        <x:v>S07</x:v>
      </x:c>
      <x:c r="K537" s="25" t="str">
        <x:v>25-49</x:v>
      </x:c>
      <x:c r="L537" s="25" t="n">
        <x:v>64000</x:v>
      </x:c>
      <x:c r="M537" s="25" t="n">
        <x:v>0</x:v>
      </x:c>
      <x:c r="N537" s="25" t="str">
        <x:v>否</x:v>
      </x:c>
      <x:c r="O537" s="25" t="n">
        <x:v>0</x:v>
      </x:c>
      <x:c r="P537" s="25" t="n">
        <x:v>0</x:v>
      </x:c>
      <x:c r="Q537" s="25" t="n">
        <x:v>0</x:v>
      </x:c>
      <x:c r="R537" s="25" t="str">
        <x:v>洗练绑定装备；项链幸运绑定人物永久进度；武器幸运成本忽略</x:v>
      </x:c>
    </x:row>
    <x:row r="538">
      <x:c r="A538" s="25" t="str">
        <x:v>C06-E</x:v>
      </x:c>
      <x:c r="B538" s="25" t="str">
        <x:v>盖利德</x:v>
      </x:c>
      <x:c r="C538" s="25" t="str">
        <x:v>半急速入场</x:v>
      </x:c>
      <x:c r="D538" s="25" t="n">
        <x:v>42</x:v>
      </x:c>
      <x:c r="E538" s="25" t="n">
        <x:v>66</x:v>
      </x:c>
      <x:c r="F538" s="25" t="str">
        <x:v>长戟寅虎</x:v>
      </x:c>
      <x:c r="G538" s="25" t="str">
        <x:v>生肖3</x:v>
      </x:c>
      <x:c r="H538" s="25" t="n">
        <x:v>2</x:v>
      </x:c>
      <x:c r="I538" s="25" t="str">
        <x:v>BOSS</x:v>
      </x:c>
      <x:c r="J538" s="25" t="str">
        <x:v>S02</x:v>
      </x:c>
      <x:c r="K538" s="25" t="str">
        <x:v>34-65</x:v>
      </x:c>
      <x:c r="L538" s="25" t="n">
        <x:v>32600</x:v>
      </x:c>
      <x:c r="M538" s="25" t="n">
        <x:v>0</x:v>
      </x:c>
      <x:c r="N538" s="25" t="str">
        <x:v>否</x:v>
      </x:c>
      <x:c r="O538" s="25" t="n">
        <x:v>0</x:v>
      </x:c>
      <x:c r="P538" s="25" t="n">
        <x:v>0</x:v>
      </x:c>
      <x:c r="Q538" s="25" t="n">
        <x:v>0</x:v>
      </x:c>
      <x:c r="R538" s="25" t="str">
        <x:v>洗练绑定装备；项链幸运绑定人物永久进度；武器幸运成本忽略</x:v>
      </x:c>
    </x:row>
    <x:row r="539">
      <x:c r="A539" s="25" t="str">
        <x:v>C06-E</x:v>
      </x:c>
      <x:c r="B539" s="25" t="str">
        <x:v>盖利德</x:v>
      </x:c>
      <x:c r="C539" s="25" t="str">
        <x:v>半急速入场</x:v>
      </x:c>
      <x:c r="D539" s="25" t="n">
        <x:v>43</x:v>
      </x:c>
      <x:c r="E539" s="25" t="n">
        <x:v>127</x:v>
      </x:c>
      <x:c r="F539" s="25" t="str">
        <x:v>卯兔·镜月折辉</x:v>
      </x:c>
      <x:c r="G539" s="25" t="str">
        <x:v>生肖4</x:v>
      </x:c>
      <x:c r="H539" s="25" t="n">
        <x:v>5</x:v>
      </x:c>
      <x:c r="I539" s="25" t="str">
        <x:v>生肖合成</x:v>
      </x:c>
      <x:c r="J539" s="25" t="str">
        <x:v>S07</x:v>
      </x:c>
      <x:c r="K539" s="25" t="str">
        <x:v>150-280</x:v>
      </x:c>
      <x:c r="L539" s="25" t="n">
        <x:v>360000</x:v>
      </x:c>
      <x:c r="M539" s="25" t="n">
        <x:v>0</x:v>
      </x:c>
      <x:c r="N539" s="25" t="str">
        <x:v>否</x:v>
      </x:c>
      <x:c r="O539" s="25" t="n">
        <x:v>0</x:v>
      </x:c>
      <x:c r="P539" s="25" t="n">
        <x:v>0</x:v>
      </x:c>
      <x:c r="Q539" s="25" t="n">
        <x:v>0</x:v>
      </x:c>
      <x:c r="R539" s="25" t="str">
        <x:v>洗练绑定装备；项链幸运绑定人物永久进度；武器幸运成本忽略</x:v>
      </x:c>
    </x:row>
    <x:row r="540">
      <x:c r="A540" s="25" t="str">
        <x:v>C06-E</x:v>
      </x:c>
      <x:c r="B540" s="25" t="str">
        <x:v>盖利德</x:v>
      </x:c>
      <x:c r="C540" s="25" t="str">
        <x:v>半急速入场</x:v>
      </x:c>
      <x:c r="D540" s="25" t="n">
        <x:v>44</x:v>
      </x:c>
      <x:c r="E540" s="25" t="n">
        <x:v>91</x:v>
      </x:c>
      <x:c r="F540" s="25" t="str">
        <x:v>辰龙·荒原逐风</x:v>
      </x:c>
      <x:c r="G540" s="25" t="str">
        <x:v>生肖5</x:v>
      </x:c>
      <x:c r="H540" s="25" t="n">
        <x:v>3</x:v>
      </x:c>
      <x:c r="I540" s="25" t="str">
        <x:v>生肖合成</x:v>
      </x:c>
      <x:c r="J540" s="25" t="str">
        <x:v>S07</x:v>
      </x:c>
      <x:c r="K540" s="25" t="str">
        <x:v>47-90</x:v>
      </x:c>
      <x:c r="L540" s="25" t="n">
        <x:v>120000</x:v>
      </x:c>
      <x:c r="M540" s="25" t="n">
        <x:v>0</x:v>
      </x:c>
      <x:c r="N540" s="25" t="str">
        <x:v>否</x:v>
      </x:c>
      <x:c r="O540" s="25" t="n">
        <x:v>0</x:v>
      </x:c>
      <x:c r="P540" s="25" t="n">
        <x:v>0</x:v>
      </x:c>
      <x:c r="Q540" s="25" t="n">
        <x:v>0</x:v>
      </x:c>
      <x:c r="R540" s="25" t="str">
        <x:v>洗练绑定装备；项链幸运绑定人物永久进度；武器幸运成本忽略</x:v>
      </x:c>
    </x:row>
    <x:row r="541">
      <x:c r="A541" s="25" t="str">
        <x:v>C06-E</x:v>
      </x:c>
      <x:c r="B541" s="25" t="str">
        <x:v>盖利德</x:v>
      </x:c>
      <x:c r="C541" s="25" t="str">
        <x:v>半急速入场</x:v>
      </x:c>
      <x:c r="D541" s="25" t="n">
        <x:v>45</x:v>
      </x:c>
      <x:c r="E541" s="25" t="n">
        <x:v>107</x:v>
      </x:c>
      <x:c r="F541" s="25" t="str">
        <x:v>巳蛇·沉潮缚月</x:v>
      </x:c>
      <x:c r="G541" s="25" t="str">
        <x:v>生肖6</x:v>
      </x:c>
      <x:c r="H541" s="25" t="n">
        <x:v>4</x:v>
      </x:c>
      <x:c r="I541" s="25" t="str">
        <x:v>生肖合成</x:v>
      </x:c>
      <x:c r="J541" s="25" t="str">
        <x:v>S07</x:v>
      </x:c>
      <x:c r="K541" s="25" t="str">
        <x:v>83-160</x:v>
      </x:c>
      <x:c r="L541" s="25" t="n">
        <x:v>200000</x:v>
      </x:c>
      <x:c r="M541" s="25" t="n">
        <x:v>0</x:v>
      </x:c>
      <x:c r="N541" s="25" t="str">
        <x:v>否</x:v>
      </x:c>
      <x:c r="O541" s="25" t="n">
        <x:v>0</x:v>
      </x:c>
      <x:c r="P541" s="25" t="n">
        <x:v>0</x:v>
      </x:c>
      <x:c r="Q541" s="25" t="n">
        <x:v>0</x:v>
      </x:c>
      <x:c r="R541" s="25" t="str">
        <x:v>洗练绑定装备；项链幸运绑定人物永久进度；武器幸运成本忽略</x:v>
      </x:c>
    </x:row>
    <x:row r="542">
      <x:c r="A542" s="25" t="str">
        <x:v>C06-E</x:v>
      </x:c>
      <x:c r="B542" s="25" t="str">
        <x:v>盖利德</x:v>
      </x:c>
      <x:c r="C542" s="25" t="str">
        <x:v>半急速入场</x:v>
      </x:c>
      <x:c r="D542" s="25" t="n">
        <x:v>46</x:v>
      </x:c>
      <x:c r="E542" s="25" t="n">
        <x:v>80</x:v>
      </x:c>
      <x:c r="F542" s="25" t="str">
        <x:v>死水午马</x:v>
      </x:c>
      <x:c r="G542" s="25" t="str">
        <x:v>生肖7</x:v>
      </x:c>
      <x:c r="H542" s="25" t="n">
        <x:v>2</x:v>
      </x:c>
      <x:c r="I542" s="25" t="str">
        <x:v>BOSS</x:v>
      </x:c>
      <x:c r="J542" s="25" t="str">
        <x:v>S02</x:v>
      </x:c>
      <x:c r="K542" s="25" t="str">
        <x:v>38-74</x:v>
      </x:c>
      <x:c r="L542" s="25" t="n">
        <x:v>45300</x:v>
      </x:c>
      <x:c r="M542" s="25" t="n">
        <x:v>0</x:v>
      </x:c>
      <x:c r="N542" s="25" t="str">
        <x:v>否</x:v>
      </x:c>
      <x:c r="O542" s="25" t="n">
        <x:v>0</x:v>
      </x:c>
      <x:c r="P542" s="25" t="n">
        <x:v>0</x:v>
      </x:c>
      <x:c r="Q542" s="25" t="n">
        <x:v>0</x:v>
      </x:c>
      <x:c r="R542" s="25" t="str">
        <x:v>洗练绑定装备；项链幸运绑定人物永久进度；武器幸运成本忽略</x:v>
      </x:c>
    </x:row>
    <x:row r="543">
      <x:c r="A543" s="25" t="str">
        <x:v>C06-E</x:v>
      </x:c>
      <x:c r="B543" s="25" t="str">
        <x:v>盖利德</x:v>
      </x:c>
      <x:c r="C543" s="25" t="str">
        <x:v>半急速入场</x:v>
      </x:c>
      <x:c r="D543" s="25" t="n">
        <x:v>47</x:v>
      </x:c>
      <x:c r="E543" s="25" t="n">
        <x:v>67</x:v>
      </x:c>
      <x:c r="F543" s="25" t="str">
        <x:v>葬日未羊</x:v>
      </x:c>
      <x:c r="G543" s="25" t="str">
        <x:v>生肖8</x:v>
      </x:c>
      <x:c r="H543" s="25" t="n">
        <x:v>2</x:v>
      </x:c>
      <x:c r="I543" s="25" t="str">
        <x:v>稀有</x:v>
      </x:c>
      <x:c r="J543" s="25" t="str">
        <x:v>S02</x:v>
      </x:c>
      <x:c r="K543" s="25" t="str">
        <x:v>37-72</x:v>
      </x:c>
      <x:c r="L543" s="25" t="n">
        <x:v>51600</x:v>
      </x:c>
      <x:c r="M543" s="25" t="n">
        <x:v>0</x:v>
      </x:c>
      <x:c r="N543" s="25" t="str">
        <x:v>否</x:v>
      </x:c>
      <x:c r="O543" s="25" t="n">
        <x:v>0</x:v>
      </x:c>
      <x:c r="P543" s="25" t="n">
        <x:v>0</x:v>
      </x:c>
      <x:c r="Q543" s="25" t="n">
        <x:v>0</x:v>
      </x:c>
      <x:c r="R543" s="25" t="str">
        <x:v>洗练绑定装备；项链幸运绑定人物永久进度；武器幸运成本忽略</x:v>
      </x:c>
    </x:row>
    <x:row r="544">
      <x:c r="A544" s="25" t="str">
        <x:v>C06-E</x:v>
      </x:c>
      <x:c r="B544" s="25" t="str">
        <x:v>盖利德</x:v>
      </x:c>
      <x:c r="C544" s="25" t="str">
        <x:v>半急速入场</x:v>
      </x:c>
      <x:c r="D544" s="25" t="n">
        <x:v>48</x:v>
      </x:c>
      <x:c r="E544" s="25" t="n">
        <x:v>81</x:v>
      </x:c>
      <x:c r="F544" s="25" t="str">
        <x:v>雷冠申猴</x:v>
      </x:c>
      <x:c r="G544" s="25" t="str">
        <x:v>生肖9</x:v>
      </x:c>
      <x:c r="H544" s="25" t="n">
        <x:v>2</x:v>
      </x:c>
      <x:c r="I544" s="25" t="str">
        <x:v>BOSS</x:v>
      </x:c>
      <x:c r="J544" s="25" t="str">
        <x:v>S02</x:v>
      </x:c>
      <x:c r="K544" s="25" t="str">
        <x:v>44-84</x:v>
      </x:c>
      <x:c r="L544" s="25" t="n">
        <x:v>59800</x:v>
      </x:c>
      <x:c r="M544" s="25" t="n">
        <x:v>0</x:v>
      </x:c>
      <x:c r="N544" s="25" t="str">
        <x:v>否</x:v>
      </x:c>
      <x:c r="O544" s="25" t="n">
        <x:v>0</x:v>
      </x:c>
      <x:c r="P544" s="25" t="n">
        <x:v>0</x:v>
      </x:c>
      <x:c r="Q544" s="25" t="n">
        <x:v>0</x:v>
      </x:c>
      <x:c r="R544" s="25" t="str">
        <x:v>洗练绑定装备；项链幸运绑定人物永久进度；武器幸运成本忽略</x:v>
      </x:c>
    </x:row>
    <x:row r="545">
      <x:c r="A545" s="25" t="str">
        <x:v>C06-E</x:v>
      </x:c>
      <x:c r="B545" s="25" t="str">
        <x:v>盖利德</x:v>
      </x:c>
      <x:c r="C545" s="25" t="str">
        <x:v>半急速入场</x:v>
      </x:c>
      <x:c r="D545" s="25" t="n">
        <x:v>49</x:v>
      </x:c>
      <x:c r="E545" s="25" t="n">
        <x:v>82</x:v>
      </x:c>
      <x:c r="F545" s="25" t="str">
        <x:v>恶兆酉鸡</x:v>
      </x:c>
      <x:c r="G545" s="25" t="str">
        <x:v>生肖10</x:v>
      </x:c>
      <x:c r="H545" s="25" t="n">
        <x:v>2</x:v>
      </x:c>
      <x:c r="I545" s="25" t="str">
        <x:v>BOSS</x:v>
      </x:c>
      <x:c r="J545" s="25" t="str">
        <x:v>S02</x:v>
      </x:c>
      <x:c r="K545" s="25" t="str">
        <x:v>44-84</x:v>
      </x:c>
      <x:c r="L545" s="25" t="n">
        <x:v>59800</x:v>
      </x:c>
      <x:c r="M545" s="25" t="n">
        <x:v>0</x:v>
      </x:c>
      <x:c r="N545" s="25" t="str">
        <x:v>否</x:v>
      </x:c>
      <x:c r="O545" s="25" t="n">
        <x:v>0</x:v>
      </x:c>
      <x:c r="P545" s="25" t="n">
        <x:v>0</x:v>
      </x:c>
      <x:c r="Q545" s="25" t="n">
        <x:v>0</x:v>
      </x:c>
      <x:c r="R545" s="25" t="str">
        <x:v>洗练绑定装备；项链幸运绑定人物永久进度；武器幸运成本忽略</x:v>
      </x:c>
    </x:row>
    <x:row r="546">
      <x:c r="A546" s="25" t="str">
        <x:v>C06-E</x:v>
      </x:c>
      <x:c r="B546" s="25" t="str">
        <x:v>盖利德</x:v>
      </x:c>
      <x:c r="C546" s="25" t="str">
        <x:v>半急速入场</x:v>
      </x:c>
      <x:c r="D546" s="25" t="n">
        <x:v>50</x:v>
      </x:c>
      <x:c r="E546" s="25" t="n">
        <x:v>83</x:v>
      </x:c>
      <x:c r="F546" s="25" t="str">
        <x:v>失乡戌狗</x:v>
      </x:c>
      <x:c r="G546" s="25" t="str">
        <x:v>生肖11</x:v>
      </x:c>
      <x:c r="H546" s="25" t="n">
        <x:v>2</x:v>
      </x:c>
      <x:c r="I546" s="25" t="str">
        <x:v>BOSS</x:v>
      </x:c>
      <x:c r="J546" s="25" t="str">
        <x:v>S02</x:v>
      </x:c>
      <x:c r="K546" s="25" t="str">
        <x:v>48-93</x:v>
      </x:c>
      <x:c r="L546" s="25" t="n">
        <x:v>79800</x:v>
      </x:c>
      <x:c r="M546" s="25" t="n">
        <x:v>0</x:v>
      </x:c>
      <x:c r="N546" s="25" t="str">
        <x:v>否</x:v>
      </x:c>
      <x:c r="O546" s="25" t="n">
        <x:v>0</x:v>
      </x:c>
      <x:c r="P546" s="25" t="n">
        <x:v>0</x:v>
      </x:c>
      <x:c r="Q546" s="25" t="n">
        <x:v>0</x:v>
      </x:c>
      <x:c r="R546" s="25" t="str">
        <x:v>洗练绑定装备；项链幸运绑定人物永久进度；武器幸运成本忽略</x:v>
      </x:c>
    </x:row>
    <x:row r="547">
      <x:c r="A547" s="25" t="str">
        <x:v>C06-E</x:v>
      </x:c>
      <x:c r="B547" s="25" t="str">
        <x:v>盖利德</x:v>
      </x:c>
      <x:c r="C547" s="25" t="str">
        <x:v>半急速入场</x:v>
      </x:c>
      <x:c r="D547" s="25" t="n">
        <x:v>51</x:v>
      </x:c>
      <x:c r="E547" s="25" t="n">
        <x:v>84</x:v>
      </x:c>
      <x:c r="F547" s="25" t="str">
        <x:v>接肢亥猪</x:v>
      </x:c>
      <x:c r="G547" s="25" t="str">
        <x:v>生肖12</x:v>
      </x:c>
      <x:c r="H547" s="25" t="n">
        <x:v>2</x:v>
      </x:c>
      <x:c r="I547" s="25" t="str">
        <x:v>守关BOSS</x:v>
      </x:c>
      <x:c r="J547" s="25" t="str">
        <x:v>S02</x:v>
      </x:c>
      <x:c r="K547" s="25" t="str">
        <x:v>55-106</x:v>
      </x:c>
      <x:c r="L547" s="25" t="n">
        <x:v>90800</x:v>
      </x:c>
      <x:c r="M547" s="25" t="n">
        <x:v>0</x:v>
      </x:c>
      <x:c r="N547" s="25" t="str">
        <x:v>否</x:v>
      </x:c>
      <x:c r="O547" s="25" t="n">
        <x:v>0</x:v>
      </x:c>
      <x:c r="P547" s="25" t="n">
        <x:v>0</x:v>
      </x:c>
      <x:c r="Q547" s="25" t="n">
        <x:v>0</x:v>
      </x:c>
      <x:c r="R547" s="25" t="str">
        <x:v>洗练绑定装备；项链幸运绑定人物永久进度；武器幸运成本忽略</x:v>
      </x:c>
    </x:row>
    <x:row r="548">
      <x:c r="A548" s="25" t="str">
        <x:v>C06-M</x:v>
      </x:c>
      <x:c r="B548" s="25" t="str">
        <x:v>盖利德</x:v>
      </x:c>
      <x:c r="C548" s="25" t="str">
        <x:v>半急速中期</x:v>
      </x:c>
      <x:c r="D548" s="25" t="n">
        <x:v>0</x:v>
      </x:c>
      <x:c r="E548" s="25" t="n">
        <x:v>129</x:v>
      </x:c>
      <x:c r="F548" s="25" t="str">
        <x:v>静潮祷仪袍</x:v>
      </x:c>
      <x:c r="G548" s="25" t="str">
        <x:v>衣服</x:v>
      </x:c>
      <x:c r="H548" s="25" t="n">
        <x:v>5</x:v>
      </x:c>
      <x:c r="I548" s="25" t="str">
        <x:v>稀有</x:v>
      </x:c>
      <x:c r="J548" s="25" t="str">
        <x:v>S07</x:v>
      </x:c>
      <x:c r="K548" s="25" t="str">
        <x:v>190-370</x:v>
      </x:c>
      <x:c r="L548" s="25" t="n">
        <x:v>850000</x:v>
      </x:c>
      <x:c r="M548" s="25" t="n">
        <x:v>5</x:v>
      </x:c>
      <x:c r="N548" s="25" t="str">
        <x:v>否</x:v>
      </x:c>
      <x:c r="O548" s="25" t="n">
        <x:v>0</x:v>
      </x:c>
      <x:c r="P548" s="25" t="n">
        <x:v>0</x:v>
      </x:c>
      <x:c r="Q548" s="25" t="n">
        <x:v>0</x:v>
      </x:c>
      <x:c r="R548" s="25" t="str">
        <x:v>洗练绑定装备；项链幸运绑定人物永久进度；武器幸运成本忽略</x:v>
      </x:c>
    </x:row>
    <x:row r="549">
      <x:c r="A549" s="25" t="str">
        <x:v>C06-M</x:v>
      </x:c>
      <x:c r="B549" s="25" t="str">
        <x:v>盖利德</x:v>
      </x:c>
      <x:c r="C549" s="25" t="str">
        <x:v>半急速中期</x:v>
      </x:c>
      <x:c r="D549" s="25" t="n">
        <x:v>1</x:v>
      </x:c>
      <x:c r="E549" s="25" t="n">
        <x:v>128</x:v>
      </x:c>
      <x:c r="F549" s="25" t="str">
        <x:v>卡利亚月裁长刃</x:v>
      </x:c>
      <x:c r="G549" s="25" t="str">
        <x:v>武器</x:v>
      </x:c>
      <x:c r="H549" s="25" t="n">
        <x:v>5</x:v>
      </x:c>
      <x:c r="I549" s="25" t="str">
        <x:v>装备合成</x:v>
      </x:c>
      <x:c r="J549" s="25" t="str">
        <x:v>S07</x:v>
      </x:c>
      <x:c r="K549" s="25" t="str">
        <x:v>4200-8000</x:v>
      </x:c>
      <x:c r="L549" s="25" t="n">
        <x:v>480000</x:v>
      </x:c>
      <x:c r="M549" s="25" t="n">
        <x:v>6</x:v>
      </x:c>
      <x:c r="N549" s="25" t="str">
        <x:v>否</x:v>
      </x:c>
      <x:c r="O549" s="25" t="n">
        <x:v>7</x:v>
      </x:c>
      <x:c r="P549" s="25" t="n">
        <x:v>0</x:v>
      </x:c>
      <x:c r="Q549" s="25" t="n">
        <x:v>0</x:v>
      </x:c>
      <x:c r="R549" s="25" t="str">
        <x:v>洗练绑定装备；项链幸运绑定人物永久进度；武器幸运成本忽略</x:v>
      </x:c>
    </x:row>
    <x:row r="550">
      <x:c r="A550" s="25" t="str">
        <x:v>C06-M</x:v>
      </x:c>
      <x:c r="B550" s="25" t="str">
        <x:v>盖利德</x:v>
      </x:c>
      <x:c r="C550" s="25" t="str">
        <x:v>半急速中期</x:v>
      </x:c>
      <x:c r="D550" s="25" t="n">
        <x:v>2</x:v>
      </x:c>
      <x:c r="E550" s="25" t="n">
        <x:v>121</x:v>
      </x:c>
      <x:c r="F550" s="25" t="str">
        <x:v>前庭晶戟勋</x:v>
      </x:c>
      <x:c r="G550" s="25" t="str">
        <x:v>勋章</x:v>
      </x:c>
      <x:c r="H550" s="25" t="n">
        <x:v>5</x:v>
      </x:c>
      <x:c r="I550" s="25" t="str">
        <x:v>稀有</x:v>
      </x:c>
      <x:c r="J550" s="25" t="str">
        <x:v>S07</x:v>
      </x:c>
      <x:c r="K550" s="25" t="str">
        <x:v>210-410</x:v>
      </x:c>
      <x:c r="L550" s="25" t="n">
        <x:v>220000</x:v>
      </x:c>
      <x:c r="M550" s="25" t="n">
        <x:v>0</x:v>
      </x:c>
      <x:c r="N550" s="25" t="str">
        <x:v>否</x:v>
      </x:c>
      <x:c r="O550" s="25" t="n">
        <x:v>0</x:v>
      </x:c>
      <x:c r="P550" s="25" t="n">
        <x:v>0</x:v>
      </x:c>
      <x:c r="Q550" s="25" t="n">
        <x:v>0</x:v>
      </x:c>
      <x:c r="R550" s="25" t="str">
        <x:v>洗练绑定装备；项链幸运绑定人物永久进度；武器幸运成本忽略</x:v>
      </x:c>
    </x:row>
    <x:row r="551">
      <x:c r="A551" s="25" t="str">
        <x:v>C06-M</x:v>
      </x:c>
      <x:c r="B551" s="25" t="str">
        <x:v>盖利德</x:v>
      </x:c>
      <x:c r="C551" s="25" t="str">
        <x:v>半急速中期</x:v>
      </x:c>
      <x:c r="D551" s="25" t="n">
        <x:v>3</x:v>
      </x:c>
      <x:c r="E551" s="25" t="n">
        <x:v>101</x:v>
      </x:c>
      <x:c r="F551" s="25" t="str">
        <x:v>引魂铜铃链</x:v>
      </x:c>
      <x:c r="G551" s="25" t="str">
        <x:v>项链</x:v>
      </x:c>
      <x:c r="H551" s="25" t="n">
        <x:v>4</x:v>
      </x:c>
      <x:c r="I551" s="25" t="str">
        <x:v>普通</x:v>
      </x:c>
      <x:c r="J551" s="25" t="str">
        <x:v>S07</x:v>
      </x:c>
      <x:c r="K551" s="25" t="str">
        <x:v>88-170</x:v>
      </x:c>
      <x:c r="L551" s="25" t="n">
        <x:v>74000</x:v>
      </x:c>
      <x:c r="M551" s="25" t="n">
        <x:v>8</x:v>
      </x:c>
      <x:c r="N551" s="25" t="str">
        <x:v>是</x:v>
      </x:c>
      <x:c r="O551" s="25" t="n">
        <x:v>0</x:v>
      </x:c>
      <x:c r="P551" s="25" t="n">
        <x:v>0</x:v>
      </x:c>
      <x:c r="Q551" s="25" t="n">
        <x:v>0</x:v>
      </x:c>
      <x:c r="R551" s="25" t="str">
        <x:v>洗练绑定装备；项链幸运绑定人物永久进度；武器幸运成本忽略</x:v>
      </x:c>
    </x:row>
    <x:row r="552">
      <x:c r="A552" s="25" t="str">
        <x:v>C06-M</x:v>
      </x:c>
      <x:c r="B552" s="25" t="str">
        <x:v>盖利德</x:v>
      </x:c>
      <x:c r="C552" s="25" t="str">
        <x:v>半急速中期</x:v>
      </x:c>
      <x:c r="D552" s="25" t="n">
        <x:v>4</x:v>
      </x:c>
      <x:c r="E552" s="25" t="n">
        <x:v>130</x:v>
      </x:c>
      <x:c r="F552" s="25" t="str">
        <x:v>镜荷眠梦冠</x:v>
      </x:c>
      <x:c r="G552" s="25" t="str">
        <x:v>头盔</x:v>
      </x:c>
      <x:c r="H552" s="25" t="n">
        <x:v>5</x:v>
      </x:c>
      <x:c r="I552" s="25" t="str">
        <x:v>稀有</x:v>
      </x:c>
      <x:c r="J552" s="25" t="str">
        <x:v>S07</x:v>
      </x:c>
      <x:c r="K552" s="25" t="str">
        <x:v>160-310</x:v>
      </x:c>
      <x:c r="L552" s="25" t="n">
        <x:v>320000</x:v>
      </x:c>
      <x:c r="M552" s="25" t="n">
        <x:v>4</x:v>
      </x:c>
      <x:c r="N552" s="25" t="str">
        <x:v>否</x:v>
      </x:c>
      <x:c r="O552" s="25" t="n">
        <x:v>0</x:v>
      </x:c>
      <x:c r="P552" s="25" t="n">
        <x:v>0</x:v>
      </x:c>
      <x:c r="Q552" s="25" t="n">
        <x:v>0</x:v>
      </x:c>
      <x:c r="R552" s="25" t="str">
        <x:v>洗练绑定装备；项链幸运绑定人物永久进度；武器幸运成本忽略</x:v>
      </x:c>
    </x:row>
    <x:row r="553">
      <x:c r="A553" s="25" t="str">
        <x:v>C06-M</x:v>
      </x:c>
      <x:c r="B553" s="25" t="str">
        <x:v>盖利德</x:v>
      </x:c>
      <x:c r="C553" s="25" t="str">
        <x:v>半急速中期</x:v>
      </x:c>
      <x:c r="D553" s="25" t="n">
        <x:v>5</x:v>
      </x:c>
      <x:c r="E553" s="25" t="n">
        <x:v>113</x:v>
      </x:c>
      <x:c r="F553" s="25" t="str">
        <x:v>百指腕甲</x:v>
      </x:c>
      <x:c r="G553" s="25" t="str">
        <x:v>手镯</x:v>
      </x:c>
      <x:c r="H553" s="25" t="n">
        <x:v>2</x:v>
      </x:c>
      <x:c r="I553" s="25" t="str">
        <x:v>普通</x:v>
      </x:c>
      <x:c r="J553" s="25" t="str">
        <x:v>S02</x:v>
      </x:c>
      <x:c r="K553" s="25" t="str">
        <x:v>69-132</x:v>
      </x:c>
      <x:c r="L553" s="25" t="n">
        <x:v>53200</x:v>
      </x:c>
      <x:c r="M553" s="25" t="n">
        <x:v>2</x:v>
      </x:c>
      <x:c r="N553" s="25" t="str">
        <x:v>否</x:v>
      </x:c>
      <x:c r="O553" s="25" t="n">
        <x:v>0</x:v>
      </x:c>
      <x:c r="P553" s="25" t="n">
        <x:v>0</x:v>
      </x:c>
      <x:c r="Q553" s="25" t="n">
        <x:v>0</x:v>
      </x:c>
      <x:c r="R553" s="25" t="str">
        <x:v>洗练绑定装备；项链幸运绑定人物永久进度；武器幸运成本忽略</x:v>
      </x:c>
    </x:row>
    <x:row r="554">
      <x:c r="A554" s="25" t="str">
        <x:v>C06-M</x:v>
      </x:c>
      <x:c r="B554" s="25" t="str">
        <x:v>盖利德</x:v>
      </x:c>
      <x:c r="C554" s="25" t="str">
        <x:v>半急速中期</x:v>
      </x:c>
      <x:c r="D554" s="25" t="n">
        <x:v>6</x:v>
      </x:c>
      <x:c r="E554" s="25" t="n">
        <x:v>68</x:v>
      </x:c>
      <x:c r="F554" s="25" t="str">
        <x:v>百指接肢腕</x:v>
      </x:c>
      <x:c r="G554" s="25" t="str">
        <x:v>手镯</x:v>
      </x:c>
      <x:c r="H554" s="25" t="n">
        <x:v>2</x:v>
      </x:c>
      <x:c r="I554" s="25" t="str">
        <x:v>装备合成</x:v>
      </x:c>
      <x:c r="J554" s="25" t="str">
        <x:v>S07</x:v>
      </x:c>
      <x:c r="K554" s="25" t="str">
        <x:v>110-210</x:v>
      </x:c>
      <x:c r="L554" s="25" t="n">
        <x:v>85000</x:v>
      </x:c>
      <x:c r="M554" s="25" t="n">
        <x:v>5</x:v>
      </x:c>
      <x:c r="N554" s="25" t="str">
        <x:v>否</x:v>
      </x:c>
      <x:c r="O554" s="25" t="n">
        <x:v>0</x:v>
      </x:c>
      <x:c r="P554" s="25" t="n">
        <x:v>0</x:v>
      </x:c>
      <x:c r="Q554" s="25" t="n">
        <x:v>0</x:v>
      </x:c>
      <x:c r="R554" s="25" t="str">
        <x:v>洗练绑定装备；项链幸运绑定人物永久进度；武器幸运成本忽略</x:v>
      </x:c>
    </x:row>
    <x:row r="555">
      <x:c r="A555" s="25" t="str">
        <x:v>C06-M</x:v>
      </x:c>
      <x:c r="B555" s="25" t="str">
        <x:v>盖利德</x:v>
      </x:c>
      <x:c r="C555" s="25" t="str">
        <x:v>半急速中期</x:v>
      </x:c>
      <x:c r="D555" s="25" t="n">
        <x:v>7</x:v>
      </x:c>
      <x:c r="E555" s="25" t="n">
        <x:v>132</x:v>
      </x:c>
      <x:c r="F555" s="25" t="str">
        <x:v>蓝焰祷戒</x:v>
      </x:c>
      <x:c r="G555" s="25" t="str">
        <x:v>戒指</x:v>
      </x:c>
      <x:c r="H555" s="25" t="n">
        <x:v>4</x:v>
      </x:c>
      <x:c r="I555" s="25" t="str">
        <x:v>稀有</x:v>
      </x:c>
      <x:c r="J555" s="25" t="str">
        <x:v>S07</x:v>
      </x:c>
      <x:c r="K555" s="25" t="str">
        <x:v>150-280</x:v>
      </x:c>
      <x:c r="L555" s="25" t="n">
        <x:v>110000</x:v>
      </x:c>
      <x:c r="M555" s="25" t="n">
        <x:v>3</x:v>
      </x:c>
      <x:c r="N555" s="25" t="str">
        <x:v>否</x:v>
      </x:c>
      <x:c r="O555" s="25" t="n">
        <x:v>0</x:v>
      </x:c>
      <x:c r="P555" s="25" t="n">
        <x:v>0</x:v>
      </x:c>
      <x:c r="Q555" s="25" t="n">
        <x:v>0</x:v>
      </x:c>
      <x:c r="R555" s="25" t="str">
        <x:v>洗练绑定装备；项链幸运绑定人物永久进度；武器幸运成本忽略</x:v>
      </x:c>
    </x:row>
    <x:row r="556">
      <x:c r="A556" s="25" t="str">
        <x:v>C06-M</x:v>
      </x:c>
      <x:c r="B556" s="25" t="str">
        <x:v>盖利德</x:v>
      </x:c>
      <x:c r="C556" s="25" t="str">
        <x:v>半急速中期</x:v>
      </x:c>
      <x:c r="D556" s="25" t="n">
        <x:v>8</x:v>
      </x:c>
      <x:c r="E556" s="25" t="n">
        <x:v>106</x:v>
      </x:c>
      <x:c r="F556" s="25" t="str">
        <x:v>月渊秘戒</x:v>
      </x:c>
      <x:c r="G556" s="25" t="str">
        <x:v>戒指</x:v>
      </x:c>
      <x:c r="H556" s="25" t="n">
        <x:v>4</x:v>
      </x:c>
      <x:c r="I556" s="25" t="str">
        <x:v>装备合成</x:v>
      </x:c>
      <x:c r="J556" s="25" t="str">
        <x:v>S07</x:v>
      </x:c>
      <x:c r="K556" s="25" t="str">
        <x:v>350-670</x:v>
      </x:c>
      <x:c r="L556" s="25" t="n">
        <x:v>270000</x:v>
      </x:c>
      <x:c r="M556" s="25" t="n">
        <x:v>7</x:v>
      </x:c>
      <x:c r="N556" s="25" t="str">
        <x:v>是</x:v>
      </x:c>
      <x:c r="O556" s="25" t="n">
        <x:v>0</x:v>
      </x:c>
      <x:c r="P556" s="25" t="n">
        <x:v>0</x:v>
      </x:c>
      <x:c r="Q556" s="25" t="n">
        <x:v>0</x:v>
      </x:c>
      <x:c r="R556" s="25" t="str">
        <x:v>洗练绑定装备；项链幸运绑定人物永久进度；武器幸运成本忽略</x:v>
      </x:c>
    </x:row>
    <x:row r="557">
      <x:c r="A557" s="25" t="str">
        <x:v>C06-M</x:v>
      </x:c>
      <x:c r="B557" s="25" t="str">
        <x:v>盖利德</x:v>
      </x:c>
      <x:c r="C557" s="25" t="str">
        <x:v>半急速中期</x:v>
      </x:c>
      <x:c r="D557" s="25" t="n">
        <x:v>10</x:v>
      </x:c>
      <x:c r="E557" s="25" t="n">
        <x:v>131</x:v>
      </x:c>
      <x:c r="F557" s="25" t="str">
        <x:v>汲月雾绦</x:v>
      </x:c>
      <x:c r="G557" s="25" t="str">
        <x:v>腰带</x:v>
      </x:c>
      <x:c r="H557" s="25" t="n">
        <x:v>5</x:v>
      </x:c>
      <x:c r="I557" s="25" t="str">
        <x:v>稀有</x:v>
      </x:c>
      <x:c r="J557" s="25" t="str">
        <x:v>S07</x:v>
      </x:c>
      <x:c r="K557" s="25" t="str">
        <x:v>150-280</x:v>
      </x:c>
      <x:c r="L557" s="25" t="n">
        <x:v>240000</x:v>
      </x:c>
      <x:c r="M557" s="25" t="n">
        <x:v>7</x:v>
      </x:c>
      <x:c r="N557" s="25" t="str">
        <x:v>是</x:v>
      </x:c>
      <x:c r="O557" s="25" t="n">
        <x:v>0</x:v>
      </x:c>
      <x:c r="P557" s="25" t="n">
        <x:v>0</x:v>
      </x:c>
      <x:c r="Q557" s="25" t="n">
        <x:v>0</x:v>
      </x:c>
      <x:c r="R557" s="25" t="str">
        <x:v>洗练绑定装备；项链幸运绑定人物永久进度；武器幸运成本忽略</x:v>
      </x:c>
    </x:row>
    <x:row r="558">
      <x:c r="A558" s="25" t="str">
        <x:v>C06-M</x:v>
      </x:c>
      <x:c r="B558" s="25" t="str">
        <x:v>盖利德</x:v>
      </x:c>
      <x:c r="C558" s="25" t="str">
        <x:v>半急速中期</x:v>
      </x:c>
      <x:c r="D558" s="25" t="n">
        <x:v>11</x:v>
      </x:c>
      <x:c r="E558" s="25" t="n">
        <x:v>94</x:v>
      </x:c>
      <x:c r="F558" s="25" t="str">
        <x:v>逐风征靴</x:v>
      </x:c>
      <x:c r="G558" s="25" t="str">
        <x:v>鞋子</x:v>
      </x:c>
      <x:c r="H558" s="25" t="n">
        <x:v>3</x:v>
      </x:c>
      <x:c r="I558" s="25" t="str">
        <x:v>装备合成</x:v>
      </x:c>
      <x:c r="J558" s="25" t="str">
        <x:v>S07</x:v>
      </x:c>
      <x:c r="K558" s="25" t="str">
        <x:v>100-200</x:v>
      </x:c>
      <x:c r="L558" s="25" t="n">
        <x:v>150000</x:v>
      </x:c>
      <x:c r="M558" s="25" t="n">
        <x:v>3</x:v>
      </x:c>
      <x:c r="N558" s="25" t="str">
        <x:v>否</x:v>
      </x:c>
      <x:c r="O558" s="25" t="n">
        <x:v>0</x:v>
      </x:c>
      <x:c r="P558" s="25" t="n">
        <x:v>0</x:v>
      </x:c>
      <x:c r="Q558" s="25" t="n">
        <x:v>0</x:v>
      </x:c>
      <x:c r="R558" s="25" t="str">
        <x:v>洗练绑定装备；项链幸运绑定人物永久进度；武器幸运成本忽略</x:v>
      </x:c>
    </x:row>
    <x:row r="559">
      <x:c r="A559" s="25" t="str">
        <x:v>C06-M</x:v>
      </x:c>
      <x:c r="B559" s="25" t="str">
        <x:v>盖利德</x:v>
      </x:c>
      <x:c r="C559" s="25" t="str">
        <x:v>半急速中期</x:v>
      </x:c>
      <x:c r="D559" s="25" t="n">
        <x:v>13</x:v>
      </x:c>
      <x:c r="E559" s="25" t="n">
        <x:v>124</x:v>
      </x:c>
      <x:c r="F559" s="25" t="str">
        <x:v>银页书鸦笠</x:v>
      </x:c>
      <x:c r="G559" s="25" t="str">
        <x:v>斗笠</x:v>
      </x:c>
      <x:c r="H559" s="25" t="n">
        <x:v>5</x:v>
      </x:c>
      <x:c r="I559" s="25" t="str">
        <x:v>普通</x:v>
      </x:c>
      <x:c r="J559" s="25" t="str">
        <x:v>S07</x:v>
      </x:c>
      <x:c r="K559" s="25" t="str">
        <x:v>83-160</x:v>
      </x:c>
      <x:c r="L559" s="25" t="n">
        <x:v>94000</x:v>
      </x:c>
      <x:c r="M559" s="25" t="n">
        <x:v>0</x:v>
      </x:c>
      <x:c r="N559" s="25" t="str">
        <x:v>否</x:v>
      </x:c>
      <x:c r="O559" s="25" t="n">
        <x:v>0</x:v>
      </x:c>
      <x:c r="P559" s="25" t="n">
        <x:v>0</x:v>
      </x:c>
      <x:c r="Q559" s="25" t="n">
        <x:v>0</x:v>
      </x:c>
      <x:c r="R559" s="25" t="str">
        <x:v>洗练绑定装备；项链幸运绑定人物永久进度；武器幸运成本忽略</x:v>
      </x:c>
    </x:row>
    <x:row r="560">
      <x:c r="A560" s="25" t="str">
        <x:v>C06-M</x:v>
      </x:c>
      <x:c r="B560" s="25" t="str">
        <x:v>盖利德</x:v>
      </x:c>
      <x:c r="C560" s="25" t="str">
        <x:v>半急速中期</x:v>
      </x:c>
      <x:c r="D560" s="25" t="n">
        <x:v>16</x:v>
      </x:c>
      <x:c r="E560" s="25" t="n">
        <x:v>125</x:v>
      </x:c>
      <x:c r="F560" s="25" t="str">
        <x:v>巡潮重盾</x:v>
      </x:c>
      <x:c r="G560" s="25" t="str">
        <x:v>盾牌</x:v>
      </x:c>
      <x:c r="H560" s="25" t="n">
        <x:v>4</x:v>
      </x:c>
      <x:c r="I560" s="25" t="str">
        <x:v>稀有</x:v>
      </x:c>
      <x:c r="J560" s="25" t="str">
        <x:v>S07</x:v>
      </x:c>
      <x:c r="K560" s="25" t="str">
        <x:v>100-200</x:v>
      </x:c>
      <x:c r="L560" s="25" t="n">
        <x:v>370000</x:v>
      </x:c>
      <x:c r="M560" s="25" t="n">
        <x:v>0</x:v>
      </x:c>
      <x:c r="N560" s="25" t="str">
        <x:v>否</x:v>
      </x:c>
      <x:c r="O560" s="25" t="n">
        <x:v>0</x:v>
      </x:c>
      <x:c r="P560" s="25" t="n">
        <x:v>0</x:v>
      </x:c>
      <x:c r="Q560" s="25" t="n">
        <x:v>0</x:v>
      </x:c>
      <x:c r="R560" s="25" t="str">
        <x:v>洗练绑定装备；项链幸运绑定人物永久进度；武器幸运成本忽略</x:v>
      </x:c>
    </x:row>
    <x:row r="561">
      <x:c r="A561" s="25" t="str">
        <x:v>C06-M</x:v>
      </x:c>
      <x:c r="B561" s="25" t="str">
        <x:v>盖利德</x:v>
      </x:c>
      <x:c r="C561" s="25" t="str">
        <x:v>半急速中期</x:v>
      </x:c>
      <x:c r="D561" s="25" t="n">
        <x:v>18</x:v>
      </x:c>
      <x:c r="E561" s="25" t="n">
        <x:v>26</x:v>
      </x:c>
      <x:c r="F561" s="25" t="str">
        <x:v>无冠王衣</x:v>
      </x:c>
      <x:c r="G561" s="25" t="str">
        <x:v>时装衣服</x:v>
      </x:c>
      <x:c r="H561" s="25" t="n">
        <x:v>1</x:v>
      </x:c>
      <x:c r="I561" s="25" t="str">
        <x:v>守关BOSS</x:v>
      </x:c>
      <x:c r="J561" s="25" t="str">
        <x:v>S02</x:v>
      </x:c>
      <x:c r="K561" s="25" t="str">
        <x:v>28-53</x:v>
      </x:c>
      <x:c r="L561" s="25" t="n">
        <x:v>74300</x:v>
      </x:c>
      <x:c r="M561" s="25" t="n">
        <x:v>0</x:v>
      </x:c>
      <x:c r="N561" s="25" t="str">
        <x:v>否</x:v>
      </x:c>
      <x:c r="O561" s="25" t="n">
        <x:v>0</x:v>
      </x:c>
      <x:c r="P561" s="25" t="n">
        <x:v>0</x:v>
      </x:c>
      <x:c r="Q561" s="25" t="n">
        <x:v>0</x:v>
      </x:c>
      <x:c r="R561" s="25" t="str">
        <x:v>洗练绑定装备；项链幸运绑定人物永久进度；武器幸运成本忽略</x:v>
      </x:c>
    </x:row>
    <x:row r="562">
      <x:c r="A562" s="25" t="str">
        <x:v>C06-M</x:v>
      </x:c>
      <x:c r="B562" s="25" t="str">
        <x:v>盖利德</x:v>
      </x:c>
      <x:c r="C562" s="25" t="str">
        <x:v>半急速中期</x:v>
      </x:c>
      <x:c r="D562" s="25" t="n">
        <x:v>19</x:v>
      </x:c>
      <x:c r="E562" s="25" t="n">
        <x:v>64</x:v>
      </x:c>
      <x:c r="F562" s="25" t="str">
        <x:v>百夫熔戟</x:v>
      </x:c>
      <x:c r="G562" s="25" t="str">
        <x:v>时装武器</x:v>
      </x:c>
      <x:c r="H562" s="25" t="n">
        <x:v>2</x:v>
      </x:c>
      <x:c r="I562" s="25" t="str">
        <x:v>稀有</x:v>
      </x:c>
      <x:c r="J562" s="25" t="str">
        <x:v>S02</x:v>
      </x:c>
      <x:c r="K562" s="25" t="str">
        <x:v>150-288</x:v>
      </x:c>
      <x:c r="L562" s="25" t="n">
        <x:v>45400</x:v>
      </x:c>
      <x:c r="M562" s="25" t="n">
        <x:v>0</x:v>
      </x:c>
      <x:c r="N562" s="25" t="str">
        <x:v>否</x:v>
      </x:c>
      <x:c r="O562" s="25" t="n">
        <x:v>0</x:v>
      </x:c>
      <x:c r="P562" s="25" t="n">
        <x:v>0</x:v>
      </x:c>
      <x:c r="Q562" s="25" t="n">
        <x:v>0</x:v>
      </x:c>
      <x:c r="R562" s="25" t="str">
        <x:v>洗练绑定装备；项链幸运绑定人物永久进度；武器幸运成本忽略</x:v>
      </x:c>
    </x:row>
    <x:row r="563">
      <x:c r="A563" s="25" t="str">
        <x:v>C06-M</x:v>
      </x:c>
      <x:c r="B563" s="25" t="str">
        <x:v>盖利德</x:v>
      </x:c>
      <x:c r="C563" s="25" t="str">
        <x:v>半急速中期</x:v>
      </x:c>
      <x:c r="D563" s="25" t="n">
        <x:v>20</x:v>
      </x:c>
      <x:c r="E563" s="25" t="n">
        <x:v>40</x:v>
      </x:c>
      <x:c r="F563" s="25" t="str">
        <x:v>英雄余誓</x:v>
      </x:c>
      <x:c r="G563" s="25" t="str">
        <x:v>时装项链</x:v>
      </x:c>
      <x:c r="H563" s="25" t="n">
        <x:v>2</x:v>
      </x:c>
      <x:c r="I563" s="25" t="str">
        <x:v>稀有</x:v>
      </x:c>
      <x:c r="J563" s="25" t="str">
        <x:v>S02</x:v>
      </x:c>
      <x:c r="K563" s="25" t="str">
        <x:v>31-60</x:v>
      </x:c>
      <x:c r="L563" s="25" t="n">
        <x:v>17900</x:v>
      </x:c>
      <x:c r="M563" s="25" t="n">
        <x:v>0</x:v>
      </x:c>
      <x:c r="N563" s="25" t="str">
        <x:v>否</x:v>
      </x:c>
      <x:c r="O563" s="25" t="n">
        <x:v>0</x:v>
      </x:c>
      <x:c r="P563" s="25" t="n">
        <x:v>0</x:v>
      </x:c>
      <x:c r="Q563" s="25" t="n">
        <x:v>0</x:v>
      </x:c>
      <x:c r="R563" s="25" t="str">
        <x:v>洗练绑定装备；项链幸运绑定人物永久进度；武器幸运成本忽略</x:v>
      </x:c>
    </x:row>
    <x:row r="564">
      <x:c r="A564" s="25" t="str">
        <x:v>C06-M</x:v>
      </x:c>
      <x:c r="B564" s="25" t="str">
        <x:v>盖利德</x:v>
      </x:c>
      <x:c r="C564" s="25" t="str">
        <x:v>半急速中期</x:v>
      </x:c>
      <x:c r="D564" s="25" t="n">
        <x:v>21</x:v>
      </x:c>
      <x:c r="E564" s="25" t="n">
        <x:v>41</x:v>
      </x:c>
      <x:c r="F564" s="25" t="str">
        <x:v>初火兜鍪</x:v>
      </x:c>
      <x:c r="G564" s="25" t="str">
        <x:v>时装头盔</x:v>
      </x:c>
      <x:c r="H564" s="25" t="n">
        <x:v>2</x:v>
      </x:c>
      <x:c r="I564" s="25" t="str">
        <x:v>稀有</x:v>
      </x:c>
      <x:c r="J564" s="25" t="str">
        <x:v>S02</x:v>
      </x:c>
      <x:c r="K564" s="25" t="str">
        <x:v>22-42</x:v>
      </x:c>
      <x:c r="L564" s="25" t="n">
        <x:v>30900</x:v>
      </x:c>
      <x:c r="M564" s="25" t="n">
        <x:v>0</x:v>
      </x:c>
      <x:c r="N564" s="25" t="str">
        <x:v>否</x:v>
      </x:c>
      <x:c r="O564" s="25" t="n">
        <x:v>0</x:v>
      </x:c>
      <x:c r="P564" s="25" t="n">
        <x:v>0</x:v>
      </x:c>
      <x:c r="Q564" s="25" t="n">
        <x:v>0</x:v>
      </x:c>
      <x:c r="R564" s="25" t="str">
        <x:v>洗练绑定装备；项链幸运绑定人物永久进度；武器幸运成本忽略</x:v>
      </x:c>
    </x:row>
    <x:row r="565">
      <x:c r="A565" s="25" t="str">
        <x:v>C06-M</x:v>
      </x:c>
      <x:c r="B565" s="25" t="str">
        <x:v>盖利德</x:v>
      </x:c>
      <x:c r="C565" s="25" t="str">
        <x:v>半急速中期</x:v>
      </x:c>
      <x:c r="D565" s="25" t="n">
        <x:v>22</x:v>
      </x:c>
      <x:c r="E565" s="25" t="n">
        <x:v>42</x:v>
      </x:c>
      <x:c r="F565" s="25" t="str">
        <x:v>卢恩血镯</x:v>
      </x:c>
      <x:c r="G565" s="25" t="str">
        <x:v>时装手镯</x:v>
      </x:c>
      <x:c r="H565" s="25" t="n">
        <x:v>2</x:v>
      </x:c>
      <x:c r="I565" s="25" t="str">
        <x:v>稀有</x:v>
      </x:c>
      <x:c r="J565" s="25" t="str">
        <x:v>S02</x:v>
      </x:c>
      <x:c r="K565" s="25" t="str">
        <x:v>42-80</x:v>
      </x:c>
      <x:c r="L565" s="25" t="n">
        <x:v>34400</x:v>
      </x:c>
      <x:c r="M565" s="25" t="n">
        <x:v>0</x:v>
      </x:c>
      <x:c r="N565" s="25" t="str">
        <x:v>否</x:v>
      </x:c>
      <x:c r="O565" s="25" t="n">
        <x:v>0</x:v>
      </x:c>
      <x:c r="P565" s="25" t="n">
        <x:v>0</x:v>
      </x:c>
      <x:c r="Q565" s="25" t="n">
        <x:v>0</x:v>
      </x:c>
      <x:c r="R565" s="25" t="str">
        <x:v>洗练绑定装备；项链幸运绑定人物永久进度；武器幸运成本忽略</x:v>
      </x:c>
    </x:row>
    <x:row r="566">
      <x:c r="A566" s="25" t="str">
        <x:v>C06-M</x:v>
      </x:c>
      <x:c r="B566" s="25" t="str">
        <x:v>盖利德</x:v>
      </x:c>
      <x:c r="C566" s="25" t="str">
        <x:v>半急速中期</x:v>
      </x:c>
      <x:c r="D566" s="25" t="n">
        <x:v>24</x:v>
      </x:c>
      <x:c r="E566" s="25" t="n">
        <x:v>43</x:v>
      </x:c>
      <x:c r="F566" s="25" t="str">
        <x:v>黄金树戒</x:v>
      </x:c>
      <x:c r="G566" s="25" t="str">
        <x:v>时装戒指</x:v>
      </x:c>
      <x:c r="H566" s="25" t="n">
        <x:v>2</x:v>
      </x:c>
      <x:c r="I566" s="25" t="str">
        <x:v>稀有</x:v>
      </x:c>
      <x:c r="J566" s="25" t="str">
        <x:v>S02</x:v>
      </x:c>
      <x:c r="K566" s="25" t="str">
        <x:v>42-80</x:v>
      </x:c>
      <x:c r="L566" s="25" t="n">
        <x:v>34400</x:v>
      </x:c>
      <x:c r="M566" s="25" t="n">
        <x:v>0</x:v>
      </x:c>
      <x:c r="N566" s="25" t="str">
        <x:v>否</x:v>
      </x:c>
      <x:c r="O566" s="25" t="n">
        <x:v>0</x:v>
      </x:c>
      <x:c r="P566" s="25" t="n">
        <x:v>0</x:v>
      </x:c>
      <x:c r="Q566" s="25" t="n">
        <x:v>0</x:v>
      </x:c>
      <x:c r="R566" s="25" t="str">
        <x:v>洗练绑定装备；项链幸运绑定人物永久进度；武器幸运成本忽略</x:v>
      </x:c>
    </x:row>
    <x:row r="567">
      <x:c r="A567" s="25" t="str">
        <x:v>C06-M</x:v>
      </x:c>
      <x:c r="B567" s="25" t="str">
        <x:v>盖利德</x:v>
      </x:c>
      <x:c r="C567" s="25" t="str">
        <x:v>半急速中期</x:v>
      </x:c>
      <x:c r="D567" s="25" t="n">
        <x:v>40</x:v>
      </x:c>
      <x:c r="E567" s="25" t="n">
        <x:v>44</x:v>
      </x:c>
      <x:c r="F567" s="25" t="str">
        <x:v>腐树子鼠</x:v>
      </x:c>
      <x:c r="G567" s="25" t="str">
        <x:v>生肖1</x:v>
      </x:c>
      <x:c r="H567" s="25" t="n">
        <x:v>2</x:v>
      </x:c>
      <x:c r="I567" s="25" t="str">
        <x:v>BOSS</x:v>
      </x:c>
      <x:c r="J567" s="25" t="str">
        <x:v>S02</x:v>
      </x:c>
      <x:c r="K567" s="25" t="str">
        <x:v>29-56</x:v>
      </x:c>
      <x:c r="L567" s="25" t="n">
        <x:v>23600</x:v>
      </x:c>
      <x:c r="M567" s="25" t="n">
        <x:v>0</x:v>
      </x:c>
      <x:c r="N567" s="25" t="str">
        <x:v>否</x:v>
      </x:c>
      <x:c r="O567" s="25" t="n">
        <x:v>0</x:v>
      </x:c>
      <x:c r="P567" s="25" t="n">
        <x:v>0</x:v>
      </x:c>
      <x:c r="Q567" s="25" t="n">
        <x:v>0</x:v>
      </x:c>
      <x:c r="R567" s="25" t="str">
        <x:v>洗练绑定装备；项链幸运绑定人物永久进度；武器幸运成本忽略</x:v>
      </x:c>
    </x:row>
    <x:row r="568">
      <x:c r="A568" s="25" t="str">
        <x:v>C06-M</x:v>
      </x:c>
      <x:c r="B568" s="25" t="str">
        <x:v>盖利德</x:v>
      </x:c>
      <x:c r="C568" s="25" t="str">
        <x:v>半急速中期</x:v>
      </x:c>
      <x:c r="D568" s="25" t="n">
        <x:v>41</x:v>
      </x:c>
      <x:c r="E568" s="25" t="n">
        <x:v>69</x:v>
      </x:c>
      <x:c r="F568" s="25" t="str">
        <x:v>丑牛·风暴负山</x:v>
      </x:c>
      <x:c r="G568" s="25" t="str">
        <x:v>生肖2</x:v>
      </x:c>
      <x:c r="H568" s="25" t="n">
        <x:v>2</x:v>
      </x:c>
      <x:c r="I568" s="25" t="str">
        <x:v>生肖合成</x:v>
      </x:c>
      <x:c r="J568" s="25" t="str">
        <x:v>S07</x:v>
      </x:c>
      <x:c r="K568" s="25" t="str">
        <x:v>25-49</x:v>
      </x:c>
      <x:c r="L568" s="25" t="n">
        <x:v>64000</x:v>
      </x:c>
      <x:c r="M568" s="25" t="n">
        <x:v>0</x:v>
      </x:c>
      <x:c r="N568" s="25" t="str">
        <x:v>否</x:v>
      </x:c>
      <x:c r="O568" s="25" t="n">
        <x:v>0</x:v>
      </x:c>
      <x:c r="P568" s="25" t="n">
        <x:v>0</x:v>
      </x:c>
      <x:c r="Q568" s="25" t="n">
        <x:v>0</x:v>
      </x:c>
      <x:c r="R568" s="25" t="str">
        <x:v>洗练绑定装备；项链幸运绑定人物永久进度；武器幸运成本忽略</x:v>
      </x:c>
    </x:row>
    <x:row r="569">
      <x:c r="A569" s="25" t="str">
        <x:v>C06-M</x:v>
      </x:c>
      <x:c r="B569" s="25" t="str">
        <x:v>盖利德</x:v>
      </x:c>
      <x:c r="C569" s="25" t="str">
        <x:v>半急速中期</x:v>
      </x:c>
      <x:c r="D569" s="25" t="n">
        <x:v>42</x:v>
      </x:c>
      <x:c r="E569" s="25" t="n">
        <x:v>66</x:v>
      </x:c>
      <x:c r="F569" s="25" t="str">
        <x:v>长戟寅虎</x:v>
      </x:c>
      <x:c r="G569" s="25" t="str">
        <x:v>生肖3</x:v>
      </x:c>
      <x:c r="H569" s="25" t="n">
        <x:v>2</x:v>
      </x:c>
      <x:c r="I569" s="25" t="str">
        <x:v>BOSS</x:v>
      </x:c>
      <x:c r="J569" s="25" t="str">
        <x:v>S02</x:v>
      </x:c>
      <x:c r="K569" s="25" t="str">
        <x:v>34-65</x:v>
      </x:c>
      <x:c r="L569" s="25" t="n">
        <x:v>32600</x:v>
      </x:c>
      <x:c r="M569" s="25" t="n">
        <x:v>0</x:v>
      </x:c>
      <x:c r="N569" s="25" t="str">
        <x:v>否</x:v>
      </x:c>
      <x:c r="O569" s="25" t="n">
        <x:v>0</x:v>
      </x:c>
      <x:c r="P569" s="25" t="n">
        <x:v>0</x:v>
      </x:c>
      <x:c r="Q569" s="25" t="n">
        <x:v>0</x:v>
      </x:c>
      <x:c r="R569" s="25" t="str">
        <x:v>洗练绑定装备；项链幸运绑定人物永久进度；武器幸运成本忽略</x:v>
      </x:c>
    </x:row>
    <x:row r="570">
      <x:c r="A570" s="25" t="str">
        <x:v>C06-M</x:v>
      </x:c>
      <x:c r="B570" s="25" t="str">
        <x:v>盖利德</x:v>
      </x:c>
      <x:c r="C570" s="25" t="str">
        <x:v>半急速中期</x:v>
      </x:c>
      <x:c r="D570" s="25" t="n">
        <x:v>43</x:v>
      </x:c>
      <x:c r="E570" s="25" t="n">
        <x:v>127</x:v>
      </x:c>
      <x:c r="F570" s="25" t="str">
        <x:v>卯兔·镜月折辉</x:v>
      </x:c>
      <x:c r="G570" s="25" t="str">
        <x:v>生肖4</x:v>
      </x:c>
      <x:c r="H570" s="25" t="n">
        <x:v>5</x:v>
      </x:c>
      <x:c r="I570" s="25" t="str">
        <x:v>生肖合成</x:v>
      </x:c>
      <x:c r="J570" s="25" t="str">
        <x:v>S07</x:v>
      </x:c>
      <x:c r="K570" s="25" t="str">
        <x:v>150-280</x:v>
      </x:c>
      <x:c r="L570" s="25" t="n">
        <x:v>360000</x:v>
      </x:c>
      <x:c r="M570" s="25" t="n">
        <x:v>0</x:v>
      </x:c>
      <x:c r="N570" s="25" t="str">
        <x:v>否</x:v>
      </x:c>
      <x:c r="O570" s="25" t="n">
        <x:v>0</x:v>
      </x:c>
      <x:c r="P570" s="25" t="n">
        <x:v>0</x:v>
      </x:c>
      <x:c r="Q570" s="25" t="n">
        <x:v>0</x:v>
      </x:c>
      <x:c r="R570" s="25" t="str">
        <x:v>洗练绑定装备；项链幸运绑定人物永久进度；武器幸运成本忽略</x:v>
      </x:c>
    </x:row>
    <x:row r="571">
      <x:c r="A571" s="25" t="str">
        <x:v>C06-M</x:v>
      </x:c>
      <x:c r="B571" s="25" t="str">
        <x:v>盖利德</x:v>
      </x:c>
      <x:c r="C571" s="25" t="str">
        <x:v>半急速中期</x:v>
      </x:c>
      <x:c r="D571" s="25" t="n">
        <x:v>44</x:v>
      </x:c>
      <x:c r="E571" s="25" t="n">
        <x:v>91</x:v>
      </x:c>
      <x:c r="F571" s="25" t="str">
        <x:v>辰龙·荒原逐风</x:v>
      </x:c>
      <x:c r="G571" s="25" t="str">
        <x:v>生肖5</x:v>
      </x:c>
      <x:c r="H571" s="25" t="n">
        <x:v>3</x:v>
      </x:c>
      <x:c r="I571" s="25" t="str">
        <x:v>生肖合成</x:v>
      </x:c>
      <x:c r="J571" s="25" t="str">
        <x:v>S07</x:v>
      </x:c>
      <x:c r="K571" s="25" t="str">
        <x:v>47-90</x:v>
      </x:c>
      <x:c r="L571" s="25" t="n">
        <x:v>120000</x:v>
      </x:c>
      <x:c r="M571" s="25" t="n">
        <x:v>0</x:v>
      </x:c>
      <x:c r="N571" s="25" t="str">
        <x:v>否</x:v>
      </x:c>
      <x:c r="O571" s="25" t="n">
        <x:v>0</x:v>
      </x:c>
      <x:c r="P571" s="25" t="n">
        <x:v>0</x:v>
      </x:c>
      <x:c r="Q571" s="25" t="n">
        <x:v>0</x:v>
      </x:c>
      <x:c r="R571" s="25" t="str">
        <x:v>洗练绑定装备；项链幸运绑定人物永久进度；武器幸运成本忽略</x:v>
      </x:c>
    </x:row>
    <x:row r="572">
      <x:c r="A572" s="25" t="str">
        <x:v>C06-M</x:v>
      </x:c>
      <x:c r="B572" s="25" t="str">
        <x:v>盖利德</x:v>
      </x:c>
      <x:c r="C572" s="25" t="str">
        <x:v>半急速中期</x:v>
      </x:c>
      <x:c r="D572" s="25" t="n">
        <x:v>45</x:v>
      </x:c>
      <x:c r="E572" s="25" t="n">
        <x:v>107</x:v>
      </x:c>
      <x:c r="F572" s="25" t="str">
        <x:v>巳蛇·沉潮缚月</x:v>
      </x:c>
      <x:c r="G572" s="25" t="str">
        <x:v>生肖6</x:v>
      </x:c>
      <x:c r="H572" s="25" t="n">
        <x:v>4</x:v>
      </x:c>
      <x:c r="I572" s="25" t="str">
        <x:v>生肖合成</x:v>
      </x:c>
      <x:c r="J572" s="25" t="str">
        <x:v>S07</x:v>
      </x:c>
      <x:c r="K572" s="25" t="str">
        <x:v>83-160</x:v>
      </x:c>
      <x:c r="L572" s="25" t="n">
        <x:v>200000</x:v>
      </x:c>
      <x:c r="M572" s="25" t="n">
        <x:v>0</x:v>
      </x:c>
      <x:c r="N572" s="25" t="str">
        <x:v>否</x:v>
      </x:c>
      <x:c r="O572" s="25" t="n">
        <x:v>0</x:v>
      </x:c>
      <x:c r="P572" s="25" t="n">
        <x:v>0</x:v>
      </x:c>
      <x:c r="Q572" s="25" t="n">
        <x:v>0</x:v>
      </x:c>
      <x:c r="R572" s="25" t="str">
        <x:v>洗练绑定装备；项链幸运绑定人物永久进度；武器幸运成本忽略</x:v>
      </x:c>
    </x:row>
    <x:row r="573">
      <x:c r="A573" s="25" t="str">
        <x:v>C06-M</x:v>
      </x:c>
      <x:c r="B573" s="25" t="str">
        <x:v>盖利德</x:v>
      </x:c>
      <x:c r="C573" s="25" t="str">
        <x:v>半急速中期</x:v>
      </x:c>
      <x:c r="D573" s="25" t="n">
        <x:v>46</x:v>
      </x:c>
      <x:c r="E573" s="25" t="n">
        <x:v>80</x:v>
      </x:c>
      <x:c r="F573" s="25" t="str">
        <x:v>死水午马</x:v>
      </x:c>
      <x:c r="G573" s="25" t="str">
        <x:v>生肖7</x:v>
      </x:c>
      <x:c r="H573" s="25" t="n">
        <x:v>2</x:v>
      </x:c>
      <x:c r="I573" s="25" t="str">
        <x:v>BOSS</x:v>
      </x:c>
      <x:c r="J573" s="25" t="str">
        <x:v>S02</x:v>
      </x:c>
      <x:c r="K573" s="25" t="str">
        <x:v>38-74</x:v>
      </x:c>
      <x:c r="L573" s="25" t="n">
        <x:v>45300</x:v>
      </x:c>
      <x:c r="M573" s="25" t="n">
        <x:v>0</x:v>
      </x:c>
      <x:c r="N573" s="25" t="str">
        <x:v>否</x:v>
      </x:c>
      <x:c r="O573" s="25" t="n">
        <x:v>0</x:v>
      </x:c>
      <x:c r="P573" s="25" t="n">
        <x:v>0</x:v>
      </x:c>
      <x:c r="Q573" s="25" t="n">
        <x:v>0</x:v>
      </x:c>
      <x:c r="R573" s="25" t="str">
        <x:v>洗练绑定装备；项链幸运绑定人物永久进度；武器幸运成本忽略</x:v>
      </x:c>
    </x:row>
    <x:row r="574">
      <x:c r="A574" s="25" t="str">
        <x:v>C06-M</x:v>
      </x:c>
      <x:c r="B574" s="25" t="str">
        <x:v>盖利德</x:v>
      </x:c>
      <x:c r="C574" s="25" t="str">
        <x:v>半急速中期</x:v>
      </x:c>
      <x:c r="D574" s="25" t="n">
        <x:v>47</x:v>
      </x:c>
      <x:c r="E574" s="25" t="n">
        <x:v>67</x:v>
      </x:c>
      <x:c r="F574" s="25" t="str">
        <x:v>葬日未羊</x:v>
      </x:c>
      <x:c r="G574" s="25" t="str">
        <x:v>生肖8</x:v>
      </x:c>
      <x:c r="H574" s="25" t="n">
        <x:v>2</x:v>
      </x:c>
      <x:c r="I574" s="25" t="str">
        <x:v>稀有</x:v>
      </x:c>
      <x:c r="J574" s="25" t="str">
        <x:v>S02</x:v>
      </x:c>
      <x:c r="K574" s="25" t="str">
        <x:v>37-72</x:v>
      </x:c>
      <x:c r="L574" s="25" t="n">
        <x:v>51600</x:v>
      </x:c>
      <x:c r="M574" s="25" t="n">
        <x:v>0</x:v>
      </x:c>
      <x:c r="N574" s="25" t="str">
        <x:v>否</x:v>
      </x:c>
      <x:c r="O574" s="25" t="n">
        <x:v>0</x:v>
      </x:c>
      <x:c r="P574" s="25" t="n">
        <x:v>0</x:v>
      </x:c>
      <x:c r="Q574" s="25" t="n">
        <x:v>0</x:v>
      </x:c>
      <x:c r="R574" s="25" t="str">
        <x:v>洗练绑定装备；项链幸运绑定人物永久进度；武器幸运成本忽略</x:v>
      </x:c>
    </x:row>
    <x:row r="575">
      <x:c r="A575" s="25" t="str">
        <x:v>C06-M</x:v>
      </x:c>
      <x:c r="B575" s="25" t="str">
        <x:v>盖利德</x:v>
      </x:c>
      <x:c r="C575" s="25" t="str">
        <x:v>半急速中期</x:v>
      </x:c>
      <x:c r="D575" s="25" t="n">
        <x:v>48</x:v>
      </x:c>
      <x:c r="E575" s="25" t="n">
        <x:v>81</x:v>
      </x:c>
      <x:c r="F575" s="25" t="str">
        <x:v>雷冠申猴</x:v>
      </x:c>
      <x:c r="G575" s="25" t="str">
        <x:v>生肖9</x:v>
      </x:c>
      <x:c r="H575" s="25" t="n">
        <x:v>2</x:v>
      </x:c>
      <x:c r="I575" s="25" t="str">
        <x:v>BOSS</x:v>
      </x:c>
      <x:c r="J575" s="25" t="str">
        <x:v>S02</x:v>
      </x:c>
      <x:c r="K575" s="25" t="str">
        <x:v>44-84</x:v>
      </x:c>
      <x:c r="L575" s="25" t="n">
        <x:v>59800</x:v>
      </x:c>
      <x:c r="M575" s="25" t="n">
        <x:v>0</x:v>
      </x:c>
      <x:c r="N575" s="25" t="str">
        <x:v>否</x:v>
      </x:c>
      <x:c r="O575" s="25" t="n">
        <x:v>0</x:v>
      </x:c>
      <x:c r="P575" s="25" t="n">
        <x:v>0</x:v>
      </x:c>
      <x:c r="Q575" s="25" t="n">
        <x:v>0</x:v>
      </x:c>
      <x:c r="R575" s="25" t="str">
        <x:v>洗练绑定装备；项链幸运绑定人物永久进度；武器幸运成本忽略</x:v>
      </x:c>
    </x:row>
    <x:row r="576">
      <x:c r="A576" s="25" t="str">
        <x:v>C06-M</x:v>
      </x:c>
      <x:c r="B576" s="25" t="str">
        <x:v>盖利德</x:v>
      </x:c>
      <x:c r="C576" s="25" t="str">
        <x:v>半急速中期</x:v>
      </x:c>
      <x:c r="D576" s="25" t="n">
        <x:v>49</x:v>
      </x:c>
      <x:c r="E576" s="25" t="n">
        <x:v>82</x:v>
      </x:c>
      <x:c r="F576" s="25" t="str">
        <x:v>恶兆酉鸡</x:v>
      </x:c>
      <x:c r="G576" s="25" t="str">
        <x:v>生肖10</x:v>
      </x:c>
      <x:c r="H576" s="25" t="n">
        <x:v>2</x:v>
      </x:c>
      <x:c r="I576" s="25" t="str">
        <x:v>BOSS</x:v>
      </x:c>
      <x:c r="J576" s="25" t="str">
        <x:v>S02</x:v>
      </x:c>
      <x:c r="K576" s="25" t="str">
        <x:v>44-84</x:v>
      </x:c>
      <x:c r="L576" s="25" t="n">
        <x:v>59800</x:v>
      </x:c>
      <x:c r="M576" s="25" t="n">
        <x:v>0</x:v>
      </x:c>
      <x:c r="N576" s="25" t="str">
        <x:v>否</x:v>
      </x:c>
      <x:c r="O576" s="25" t="n">
        <x:v>0</x:v>
      </x:c>
      <x:c r="P576" s="25" t="n">
        <x:v>0</x:v>
      </x:c>
      <x:c r="Q576" s="25" t="n">
        <x:v>0</x:v>
      </x:c>
      <x:c r="R576" s="25" t="str">
        <x:v>洗练绑定装备；项链幸运绑定人物永久进度；武器幸运成本忽略</x:v>
      </x:c>
    </x:row>
    <x:row r="577">
      <x:c r="A577" s="25" t="str">
        <x:v>C06-M</x:v>
      </x:c>
      <x:c r="B577" s="25" t="str">
        <x:v>盖利德</x:v>
      </x:c>
      <x:c r="C577" s="25" t="str">
        <x:v>半急速中期</x:v>
      </x:c>
      <x:c r="D577" s="25" t="n">
        <x:v>50</x:v>
      </x:c>
      <x:c r="E577" s="25" t="n">
        <x:v>83</x:v>
      </x:c>
      <x:c r="F577" s="25" t="str">
        <x:v>失乡戌狗</x:v>
      </x:c>
      <x:c r="G577" s="25" t="str">
        <x:v>生肖11</x:v>
      </x:c>
      <x:c r="H577" s="25" t="n">
        <x:v>2</x:v>
      </x:c>
      <x:c r="I577" s="25" t="str">
        <x:v>BOSS</x:v>
      </x:c>
      <x:c r="J577" s="25" t="str">
        <x:v>S02</x:v>
      </x:c>
      <x:c r="K577" s="25" t="str">
        <x:v>48-93</x:v>
      </x:c>
      <x:c r="L577" s="25" t="n">
        <x:v>79800</x:v>
      </x:c>
      <x:c r="M577" s="25" t="n">
        <x:v>0</x:v>
      </x:c>
      <x:c r="N577" s="25" t="str">
        <x:v>否</x:v>
      </x:c>
      <x:c r="O577" s="25" t="n">
        <x:v>0</x:v>
      </x:c>
      <x:c r="P577" s="25" t="n">
        <x:v>0</x:v>
      </x:c>
      <x:c r="Q577" s="25" t="n">
        <x:v>0</x:v>
      </x:c>
      <x:c r="R577" s="25" t="str">
        <x:v>洗练绑定装备；项链幸运绑定人物永久进度；武器幸运成本忽略</x:v>
      </x:c>
    </x:row>
    <x:row r="578">
      <x:c r="A578" s="25" t="str">
        <x:v>C06-M</x:v>
      </x:c>
      <x:c r="B578" s="25" t="str">
        <x:v>盖利德</x:v>
      </x:c>
      <x:c r="C578" s="25" t="str">
        <x:v>半急速中期</x:v>
      </x:c>
      <x:c r="D578" s="25" t="n">
        <x:v>51</x:v>
      </x:c>
      <x:c r="E578" s="25" t="n">
        <x:v>84</x:v>
      </x:c>
      <x:c r="F578" s="25" t="str">
        <x:v>接肢亥猪</x:v>
      </x:c>
      <x:c r="G578" s="25" t="str">
        <x:v>生肖12</x:v>
      </x:c>
      <x:c r="H578" s="25" t="n">
        <x:v>2</x:v>
      </x:c>
      <x:c r="I578" s="25" t="str">
        <x:v>守关BOSS</x:v>
      </x:c>
      <x:c r="J578" s="25" t="str">
        <x:v>S02</x:v>
      </x:c>
      <x:c r="K578" s="25" t="str">
        <x:v>55-106</x:v>
      </x:c>
      <x:c r="L578" s="25" t="n">
        <x:v>90800</x:v>
      </x:c>
      <x:c r="M578" s="25" t="n">
        <x:v>0</x:v>
      </x:c>
      <x:c r="N578" s="25" t="str">
        <x:v>否</x:v>
      </x:c>
      <x:c r="O578" s="25" t="n">
        <x:v>0</x:v>
      </x:c>
      <x:c r="P578" s="25" t="n">
        <x:v>0</x:v>
      </x:c>
      <x:c r="Q578" s="25" t="n">
        <x:v>0</x:v>
      </x:c>
      <x:c r="R578" s="25" t="str">
        <x:v>洗练绑定装备；项链幸运绑定人物永久进度；武器幸运成本忽略</x:v>
      </x:c>
    </x:row>
    <x:row r="579">
      <x:c r="A579" s="25" t="str">
        <x:v>C06-G</x:v>
      </x:c>
      <x:c r="B579" s="25" t="str">
        <x:v>盖利德</x:v>
      </x:c>
      <x:c r="C579" s="25" t="str">
        <x:v>半急速毕业</x:v>
      </x:c>
      <x:c r="D579" s="25" t="n">
        <x:v>0</x:v>
      </x:c>
      <x:c r="E579" s="25" t="n">
        <x:v>129</x:v>
      </x:c>
      <x:c r="F579" s="25" t="str">
        <x:v>静潮祷仪袍</x:v>
      </x:c>
      <x:c r="G579" s="25" t="str">
        <x:v>衣服</x:v>
      </x:c>
      <x:c r="H579" s="25" t="n">
        <x:v>5</x:v>
      </x:c>
      <x:c r="I579" s="25" t="str">
        <x:v>稀有</x:v>
      </x:c>
      <x:c r="J579" s="25" t="str">
        <x:v>S07</x:v>
      </x:c>
      <x:c r="K579" s="25" t="str">
        <x:v>190-370</x:v>
      </x:c>
      <x:c r="L579" s="25" t="n">
        <x:v>850000</x:v>
      </x:c>
      <x:c r="M579" s="25" t="n">
        <x:v>5</x:v>
      </x:c>
      <x:c r="N579" s="25" t="str">
        <x:v>否</x:v>
      </x:c>
      <x:c r="O579" s="25" t="n">
        <x:v>0</x:v>
      </x:c>
      <x:c r="P579" s="25" t="n">
        <x:v>0</x:v>
      </x:c>
      <x:c r="Q579" s="25" t="n">
        <x:v>0</x:v>
      </x:c>
      <x:c r="R579" s="25" t="str">
        <x:v>洗练绑定装备；项链幸运绑定人物永久进度；武器幸运成本忽略</x:v>
      </x:c>
    </x:row>
    <x:row r="580">
      <x:c r="A580" s="25" t="str">
        <x:v>C06-G</x:v>
      </x:c>
      <x:c r="B580" s="25" t="str">
        <x:v>盖利德</x:v>
      </x:c>
      <x:c r="C580" s="25" t="str">
        <x:v>半急速毕业</x:v>
      </x:c>
      <x:c r="D580" s="25" t="n">
        <x:v>1</x:v>
      </x:c>
      <x:c r="E580" s="25" t="n">
        <x:v>126</x:v>
      </x:c>
      <x:c r="F580" s="25" t="str">
        <x:v>卡利亚月裁长刃</x:v>
      </x:c>
      <x:c r="G580" s="25" t="str">
        <x:v>武器</x:v>
      </x:c>
      <x:c r="H580" s="25" t="n">
        <x:v>5</x:v>
      </x:c>
      <x:c r="I580" s="25" t="str">
        <x:v>装备合成</x:v>
      </x:c>
      <x:c r="J580" s="25" t="str">
        <x:v>S07</x:v>
      </x:c>
      <x:c r="K580" s="25" t="str">
        <x:v>4200-8000</x:v>
      </x:c>
      <x:c r="L580" s="25" t="n">
        <x:v>480000</x:v>
      </x:c>
      <x:c r="M580" s="25" t="n">
        <x:v>8</x:v>
      </x:c>
      <x:c r="N580" s="25" t="str">
        <x:v>是</x:v>
      </x:c>
      <x:c r="O580" s="25" t="n">
        <x:v>7</x:v>
      </x:c>
      <x:c r="P580" s="25" t="n">
        <x:v>0</x:v>
      </x:c>
      <x:c r="Q580" s="25" t="n">
        <x:v>0</x:v>
      </x:c>
      <x:c r="R580" s="25" t="str">
        <x:v>洗练绑定装备；项链幸运绑定人物永久进度；武器幸运成本忽略</x:v>
      </x:c>
    </x:row>
    <x:row r="581">
      <x:c r="A581" s="25" t="str">
        <x:v>C06-G</x:v>
      </x:c>
      <x:c r="B581" s="25" t="str">
        <x:v>盖利德</x:v>
      </x:c>
      <x:c r="C581" s="25" t="str">
        <x:v>半急速毕业</x:v>
      </x:c>
      <x:c r="D581" s="25" t="n">
        <x:v>2</x:v>
      </x:c>
      <x:c r="E581" s="25" t="n">
        <x:v>134</x:v>
      </x:c>
      <x:c r="F581" s="25" t="str">
        <x:v>琉潮白鳍章</x:v>
      </x:c>
      <x:c r="G581" s="25" t="str">
        <x:v>勋章</x:v>
      </x:c>
      <x:c r="H581" s="25" t="n">
        <x:v>5</x:v>
      </x:c>
      <x:c r="I581" s="25" t="str">
        <x:v>稀有</x:v>
      </x:c>
      <x:c r="J581" s="25" t="str">
        <x:v>S07</x:v>
      </x:c>
      <x:c r="K581" s="25" t="str">
        <x:v>250-480</x:v>
      </x:c>
      <x:c r="L581" s="25" t="n">
        <x:v>260000</x:v>
      </x:c>
      <x:c r="M581" s="25" t="n">
        <x:v>0</x:v>
      </x:c>
      <x:c r="N581" s="25" t="str">
        <x:v>否</x:v>
      </x:c>
      <x:c r="O581" s="25" t="n">
        <x:v>0</x:v>
      </x:c>
      <x:c r="P581" s="25" t="n">
        <x:v>0</x:v>
      </x:c>
      <x:c r="Q581" s="25" t="n">
        <x:v>0</x:v>
      </x:c>
      <x:c r="R581" s="25" t="str">
        <x:v>洗练绑定装备；项链幸运绑定人物永久进度；武器幸运成本忽略</x:v>
      </x:c>
    </x:row>
    <x:row r="582">
      <x:c r="A582" s="25" t="str">
        <x:v>C06-G</x:v>
      </x:c>
      <x:c r="B582" s="25" t="str">
        <x:v>盖利德</x:v>
      </x:c>
      <x:c r="C582" s="25" t="str">
        <x:v>半急速毕业</x:v>
      </x:c>
      <x:c r="D582" s="25" t="n">
        <x:v>3</x:v>
      </x:c>
      <x:c r="E582" s="25" t="n">
        <x:v>139</x:v>
      </x:c>
      <x:c r="F582" s="25" t="str">
        <x:v>诱猎声坠</x:v>
      </x:c>
      <x:c r="G582" s="25" t="str">
        <x:v>项链</x:v>
      </x:c>
      <x:c r="H582" s="25" t="n">
        <x:v>4</x:v>
      </x:c>
      <x:c r="I582" s="25" t="str">
        <x:v>稀有</x:v>
      </x:c>
      <x:c r="J582" s="25" t="str">
        <x:v>S07</x:v>
      </x:c>
      <x:c r="K582" s="25" t="str">
        <x:v>160-300</x:v>
      </x:c>
      <x:c r="L582" s="25" t="n">
        <x:v>130000</x:v>
      </x:c>
      <x:c r="M582" s="25" t="n">
        <x:v>3</x:v>
      </x:c>
      <x:c r="N582" s="25" t="str">
        <x:v>否</x:v>
      </x:c>
      <x:c r="O582" s="25" t="n">
        <x:v>0</x:v>
      </x:c>
      <x:c r="P582" s="25" t="n">
        <x:v>0</x:v>
      </x:c>
      <x:c r="Q582" s="25" t="n">
        <x:v>0</x:v>
      </x:c>
      <x:c r="R582" s="25" t="str">
        <x:v>洗练绑定装备；项链幸运绑定人物永久进度；武器幸运成本忽略</x:v>
      </x:c>
    </x:row>
    <x:row r="583">
      <x:c r="A583" s="25" t="str">
        <x:v>C06-G</x:v>
      </x:c>
      <x:c r="B583" s="25" t="str">
        <x:v>盖利德</x:v>
      </x:c>
      <x:c r="C583" s="25" t="str">
        <x:v>半急速毕业</x:v>
      </x:c>
      <x:c r="D583" s="25" t="n">
        <x:v>4</x:v>
      </x:c>
      <x:c r="E583" s="25" t="n">
        <x:v>130</x:v>
      </x:c>
      <x:c r="F583" s="25" t="str">
        <x:v>镜荷眠梦冠</x:v>
      </x:c>
      <x:c r="G583" s="25" t="str">
        <x:v>头盔</x:v>
      </x:c>
      <x:c r="H583" s="25" t="n">
        <x:v>5</x:v>
      </x:c>
      <x:c r="I583" s="25" t="str">
        <x:v>稀有</x:v>
      </x:c>
      <x:c r="J583" s="25" t="str">
        <x:v>S07</x:v>
      </x:c>
      <x:c r="K583" s="25" t="str">
        <x:v>160-310</x:v>
      </x:c>
      <x:c r="L583" s="25" t="n">
        <x:v>320000</x:v>
      </x:c>
      <x:c r="M583" s="25" t="n">
        <x:v>4</x:v>
      </x:c>
      <x:c r="N583" s="25" t="str">
        <x:v>否</x:v>
      </x:c>
      <x:c r="O583" s="25" t="n">
        <x:v>0</x:v>
      </x:c>
      <x:c r="P583" s="25" t="n">
        <x:v>0</x:v>
      </x:c>
      <x:c r="Q583" s="25" t="n">
        <x:v>0</x:v>
      </x:c>
      <x:c r="R583" s="25" t="str">
        <x:v>洗练绑定装备；项链幸运绑定人物永久进度；武器幸运成本忽略</x:v>
      </x:c>
    </x:row>
    <x:row r="584">
      <x:c r="A584" s="25" t="str">
        <x:v>C06-G</x:v>
      </x:c>
      <x:c r="B584" s="25" t="str">
        <x:v>盖利德</x:v>
      </x:c>
      <x:c r="C584" s="25" t="str">
        <x:v>半急速毕业</x:v>
      </x:c>
      <x:c r="D584" s="25" t="n">
        <x:v>5</x:v>
      </x:c>
      <x:c r="E584" s="25" t="n">
        <x:v>113</x:v>
      </x:c>
      <x:c r="F584" s="25" t="str">
        <x:v>百指腕甲</x:v>
      </x:c>
      <x:c r="G584" s="25" t="str">
        <x:v>手镯</x:v>
      </x:c>
      <x:c r="H584" s="25" t="n">
        <x:v>2</x:v>
      </x:c>
      <x:c r="I584" s="25" t="str">
        <x:v>普通</x:v>
      </x:c>
      <x:c r="J584" s="25" t="str">
        <x:v>S02</x:v>
      </x:c>
      <x:c r="K584" s="25" t="str">
        <x:v>69-132</x:v>
      </x:c>
      <x:c r="L584" s="25" t="n">
        <x:v>53200</x:v>
      </x:c>
      <x:c r="M584" s="25" t="n">
        <x:v>2</x:v>
      </x:c>
      <x:c r="N584" s="25" t="str">
        <x:v>否</x:v>
      </x:c>
      <x:c r="O584" s="25" t="n">
        <x:v>0</x:v>
      </x:c>
      <x:c r="P584" s="25" t="n">
        <x:v>0</x:v>
      </x:c>
      <x:c r="Q584" s="25" t="n">
        <x:v>0</x:v>
      </x:c>
      <x:c r="R584" s="25" t="str">
        <x:v>洗练绑定装备；项链幸运绑定人物永久进度；武器幸运成本忽略</x:v>
      </x:c>
    </x:row>
    <x:row r="585">
      <x:c r="A585" s="25" t="str">
        <x:v>C06-G</x:v>
      </x:c>
      <x:c r="B585" s="25" t="str">
        <x:v>盖利德</x:v>
      </x:c>
      <x:c r="C585" s="25" t="str">
        <x:v>半急速毕业</x:v>
      </x:c>
      <x:c r="D585" s="25" t="n">
        <x:v>6</x:v>
      </x:c>
      <x:c r="E585" s="25" t="n">
        <x:v>68</x:v>
      </x:c>
      <x:c r="F585" s="25" t="str">
        <x:v>百指接肢腕</x:v>
      </x:c>
      <x:c r="G585" s="25" t="str">
        <x:v>手镯</x:v>
      </x:c>
      <x:c r="H585" s="25" t="n">
        <x:v>2</x:v>
      </x:c>
      <x:c r="I585" s="25" t="str">
        <x:v>装备合成</x:v>
      </x:c>
      <x:c r="J585" s="25" t="str">
        <x:v>S07</x:v>
      </x:c>
      <x:c r="K585" s="25" t="str">
        <x:v>110-210</x:v>
      </x:c>
      <x:c r="L585" s="25" t="n">
        <x:v>85000</x:v>
      </x:c>
      <x:c r="M585" s="25" t="n">
        <x:v>5</x:v>
      </x:c>
      <x:c r="N585" s="25" t="str">
        <x:v>否</x:v>
      </x:c>
      <x:c r="O585" s="25" t="n">
        <x:v>0</x:v>
      </x:c>
      <x:c r="P585" s="25" t="n">
        <x:v>0</x:v>
      </x:c>
      <x:c r="Q585" s="25" t="n">
        <x:v>0</x:v>
      </x:c>
      <x:c r="R585" s="25" t="str">
        <x:v>洗练绑定装备；项链幸运绑定人物永久进度；武器幸运成本忽略</x:v>
      </x:c>
    </x:row>
    <x:row r="586">
      <x:c r="A586" s="25" t="str">
        <x:v>C06-G</x:v>
      </x:c>
      <x:c r="B586" s="25" t="str">
        <x:v>盖利德</x:v>
      </x:c>
      <x:c r="C586" s="25" t="str">
        <x:v>半急速毕业</x:v>
      </x:c>
      <x:c r="D586" s="25" t="n">
        <x:v>7</x:v>
      </x:c>
      <x:c r="E586" s="25" t="n">
        <x:v>132</x:v>
      </x:c>
      <x:c r="F586" s="25" t="str">
        <x:v>蓝焰祷戒</x:v>
      </x:c>
      <x:c r="G586" s="25" t="str">
        <x:v>戒指</x:v>
      </x:c>
      <x:c r="H586" s="25" t="n">
        <x:v>4</x:v>
      </x:c>
      <x:c r="I586" s="25" t="str">
        <x:v>稀有</x:v>
      </x:c>
      <x:c r="J586" s="25" t="str">
        <x:v>S07</x:v>
      </x:c>
      <x:c r="K586" s="25" t="str">
        <x:v>150-280</x:v>
      </x:c>
      <x:c r="L586" s="25" t="n">
        <x:v>110000</x:v>
      </x:c>
      <x:c r="M586" s="25" t="n">
        <x:v>5</x:v>
      </x:c>
      <x:c r="N586" s="25" t="str">
        <x:v>否</x:v>
      </x:c>
      <x:c r="O586" s="25" t="n">
        <x:v>0</x:v>
      </x:c>
      <x:c r="P586" s="25" t="n">
        <x:v>0</x:v>
      </x:c>
      <x:c r="Q586" s="25" t="n">
        <x:v>0</x:v>
      </x:c>
      <x:c r="R586" s="25" t="str">
        <x:v>洗练绑定装备；项链幸运绑定人物永久进度；武器幸运成本忽略</x:v>
      </x:c>
    </x:row>
    <x:row r="587">
      <x:c r="A587" s="25" t="str">
        <x:v>C06-G</x:v>
      </x:c>
      <x:c r="B587" s="25" t="str">
        <x:v>盖利德</x:v>
      </x:c>
      <x:c r="C587" s="25" t="str">
        <x:v>半急速毕业</x:v>
      </x:c>
      <x:c r="D587" s="25" t="n">
        <x:v>8</x:v>
      </x:c>
      <x:c r="E587" s="25" t="n">
        <x:v>118</x:v>
      </x:c>
      <x:c r="F587" s="25" t="str">
        <x:v>月渊秘戒</x:v>
      </x:c>
      <x:c r="G587" s="25" t="str">
        <x:v>戒指</x:v>
      </x:c>
      <x:c r="H587" s="25" t="n">
        <x:v>4</x:v>
      </x:c>
      <x:c r="I587" s="25" t="str">
        <x:v>装备合成</x:v>
      </x:c>
      <x:c r="J587" s="25" t="str">
        <x:v>S07</x:v>
      </x:c>
      <x:c r="K587" s="25" t="str">
        <x:v>350-670</x:v>
      </x:c>
      <x:c r="L587" s="25" t="n">
        <x:v>270000</x:v>
      </x:c>
      <x:c r="M587" s="25" t="n">
        <x:v>4</x:v>
      </x:c>
      <x:c r="N587" s="25" t="str">
        <x:v>否</x:v>
      </x:c>
      <x:c r="O587" s="25" t="n">
        <x:v>0</x:v>
      </x:c>
      <x:c r="P587" s="25" t="n">
        <x:v>0</x:v>
      </x:c>
      <x:c r="Q587" s="25" t="n">
        <x:v>0</x:v>
      </x:c>
      <x:c r="R587" s="25" t="str">
        <x:v>洗练绑定装备；项链幸运绑定人物永久进度；武器幸运成本忽略</x:v>
      </x:c>
    </x:row>
    <x:row r="588">
      <x:c r="A588" s="25" t="str">
        <x:v>C06-G</x:v>
      </x:c>
      <x:c r="B588" s="25" t="str">
        <x:v>盖利德</x:v>
      </x:c>
      <x:c r="C588" s="25" t="str">
        <x:v>半急速毕业</x:v>
      </x:c>
      <x:c r="D588" s="25" t="n">
        <x:v>10</x:v>
      </x:c>
      <x:c r="E588" s="25" t="n">
        <x:v>123</x:v>
      </x:c>
      <x:c r="F588" s="25" t="str">
        <x:v>汲月雾绦</x:v>
      </x:c>
      <x:c r="G588" s="25" t="str">
        <x:v>腰带</x:v>
      </x:c>
      <x:c r="H588" s="25" t="n">
        <x:v>5</x:v>
      </x:c>
      <x:c r="I588" s="25" t="str">
        <x:v>稀有</x:v>
      </x:c>
      <x:c r="J588" s="25" t="str">
        <x:v>S07</x:v>
      </x:c>
      <x:c r="K588" s="25" t="str">
        <x:v>150-280</x:v>
      </x:c>
      <x:c r="L588" s="25" t="n">
        <x:v>240000</x:v>
      </x:c>
      <x:c r="M588" s="25" t="n">
        <x:v>5</x:v>
      </x:c>
      <x:c r="N588" s="25" t="str">
        <x:v>否</x:v>
      </x:c>
      <x:c r="O588" s="25" t="n">
        <x:v>0</x:v>
      </x:c>
      <x:c r="P588" s="25" t="n">
        <x:v>0</x:v>
      </x:c>
      <x:c r="Q588" s="25" t="n">
        <x:v>0</x:v>
      </x:c>
      <x:c r="R588" s="25" t="str">
        <x:v>洗练绑定装备；项链幸运绑定人物永久进度；武器幸运成本忽略</x:v>
      </x:c>
    </x:row>
    <x:row r="589">
      <x:c r="A589" s="25" t="str">
        <x:v>C06-G</x:v>
      </x:c>
      <x:c r="B589" s="25" t="str">
        <x:v>盖利德</x:v>
      </x:c>
      <x:c r="C589" s="25" t="str">
        <x:v>半急速毕业</x:v>
      </x:c>
      <x:c r="D589" s="25" t="n">
        <x:v>11</x:v>
      </x:c>
      <x:c r="E589" s="25" t="n">
        <x:v>94</x:v>
      </x:c>
      <x:c r="F589" s="25" t="str">
        <x:v>逐风征靴</x:v>
      </x:c>
      <x:c r="G589" s="25" t="str">
        <x:v>鞋子</x:v>
      </x:c>
      <x:c r="H589" s="25" t="n">
        <x:v>3</x:v>
      </x:c>
      <x:c r="I589" s="25" t="str">
        <x:v>装备合成</x:v>
      </x:c>
      <x:c r="J589" s="25" t="str">
        <x:v>S07</x:v>
      </x:c>
      <x:c r="K589" s="25" t="str">
        <x:v>100-200</x:v>
      </x:c>
      <x:c r="L589" s="25" t="n">
        <x:v>150000</x:v>
      </x:c>
      <x:c r="M589" s="25" t="n">
        <x:v>3</x:v>
      </x:c>
      <x:c r="N589" s="25" t="str">
        <x:v>否</x:v>
      </x:c>
      <x:c r="O589" s="25" t="n">
        <x:v>0</x:v>
      </x:c>
      <x:c r="P589" s="25" t="n">
        <x:v>0</x:v>
      </x:c>
      <x:c r="Q589" s="25" t="n">
        <x:v>0</x:v>
      </x:c>
      <x:c r="R589" s="25" t="str">
        <x:v>洗练绑定装备；项链幸运绑定人物永久进度；武器幸运成本忽略</x:v>
      </x:c>
    </x:row>
    <x:row r="590">
      <x:c r="A590" s="25" t="str">
        <x:v>C06-G</x:v>
      </x:c>
      <x:c r="B590" s="25" t="str">
        <x:v>盖利德</x:v>
      </x:c>
      <x:c r="C590" s="25" t="str">
        <x:v>半急速毕业</x:v>
      </x:c>
      <x:c r="D590" s="25" t="n">
        <x:v>13</x:v>
      </x:c>
      <x:c r="E590" s="25" t="n">
        <x:v>135</x:v>
      </x:c>
      <x:c r="F590" s="25" t="str">
        <x:v>回声盗墓笠</x:v>
      </x:c>
      <x:c r="G590" s="25" t="str">
        <x:v>斗笠</x:v>
      </x:c>
      <x:c r="H590" s="25" t="n">
        <x:v>4</x:v>
      </x:c>
      <x:c r="I590" s="25" t="str">
        <x:v>稀有</x:v>
      </x:c>
      <x:c r="J590" s="25" t="str">
        <x:v>S07</x:v>
      </x:c>
      <x:c r="K590" s="25" t="str">
        <x:v>83-160</x:v>
      </x:c>
      <x:c r="L590" s="25" t="n">
        <x:v>100000</x:v>
      </x:c>
      <x:c r="M590" s="25" t="n">
        <x:v>0</x:v>
      </x:c>
      <x:c r="N590" s="25" t="str">
        <x:v>否</x:v>
      </x:c>
      <x:c r="O590" s="25" t="n">
        <x:v>0</x:v>
      </x:c>
      <x:c r="P590" s="25" t="n">
        <x:v>0</x:v>
      </x:c>
      <x:c r="Q590" s="25" t="n">
        <x:v>0</x:v>
      </x:c>
      <x:c r="R590" s="25" t="str">
        <x:v>洗练绑定装备；项链幸运绑定人物永久进度；武器幸运成本忽略</x:v>
      </x:c>
    </x:row>
    <x:row r="591">
      <x:c r="A591" s="25" t="str">
        <x:v>C06-G</x:v>
      </x:c>
      <x:c r="B591" s="25" t="str">
        <x:v>盖利德</x:v>
      </x:c>
      <x:c r="C591" s="25" t="str">
        <x:v>半急速毕业</x:v>
      </x:c>
      <x:c r="D591" s="25" t="n">
        <x:v>16</x:v>
      </x:c>
      <x:c r="E591" s="25" t="n">
        <x:v>136</x:v>
      </x:c>
      <x:c r="F591" s="25" t="str">
        <x:v>桨官铁盾</x:v>
      </x:c>
      <x:c r="G591" s="25" t="str">
        <x:v>盾牌</x:v>
      </x:c>
      <x:c r="H591" s="25" t="n">
        <x:v>4</x:v>
      </x:c>
      <x:c r="I591" s="25" t="str">
        <x:v>稀有</x:v>
      </x:c>
      <x:c r="J591" s="25" t="str">
        <x:v>S07</x:v>
      </x:c>
      <x:c r="K591" s="25" t="str">
        <x:v>120-230</x:v>
      </x:c>
      <x:c r="L591" s="25" t="n">
        <x:v>410000</x:v>
      </x:c>
      <x:c r="M591" s="25" t="n">
        <x:v>0</x:v>
      </x:c>
      <x:c r="N591" s="25" t="str">
        <x:v>否</x:v>
      </x:c>
      <x:c r="O591" s="25" t="n">
        <x:v>0</x:v>
      </x:c>
      <x:c r="P591" s="25" t="n">
        <x:v>0</x:v>
      </x:c>
      <x:c r="Q591" s="25" t="n">
        <x:v>0</x:v>
      </x:c>
      <x:c r="R591" s="25" t="str">
        <x:v>洗练绑定装备；项链幸运绑定人物永久进度；武器幸运成本忽略</x:v>
      </x:c>
    </x:row>
    <x:row r="592">
      <x:c r="A592" s="25" t="str">
        <x:v>C06-G</x:v>
      </x:c>
      <x:c r="B592" s="25" t="str">
        <x:v>盖利德</x:v>
      </x:c>
      <x:c r="C592" s="25" t="str">
        <x:v>半急速毕业</x:v>
      </x:c>
      <x:c r="D592" s="25" t="n">
        <x:v>18</x:v>
      </x:c>
      <x:c r="E592" s="25" t="n">
        <x:v>137</x:v>
      </x:c>
      <x:c r="F592" s="25" t="str">
        <x:v>红狮余烬王衣</x:v>
      </x:c>
      <x:c r="G592" s="25" t="str">
        <x:v>时装衣服</x:v>
      </x:c>
      <x:c r="H592" s="25" t="n">
        <x:v>6</x:v>
      </x:c>
      <x:c r="I592" s="25" t="str">
        <x:v>装备合成</x:v>
      </x:c>
      <x:c r="J592" s="25" t="str">
        <x:v>S07</x:v>
      </x:c>
      <x:c r="K592" s="25" t="str">
        <x:v>780-1500</x:v>
      </x:c>
      <x:c r="L592" s="25" t="n">
        <x:v>5100000</x:v>
      </x:c>
      <x:c r="M592" s="25" t="n">
        <x:v>0</x:v>
      </x:c>
      <x:c r="N592" s="25" t="str">
        <x:v>否</x:v>
      </x:c>
      <x:c r="O592" s="25" t="n">
        <x:v>0</x:v>
      </x:c>
      <x:c r="P592" s="25" t="n">
        <x:v>0</x:v>
      </x:c>
      <x:c r="Q592" s="25" t="n">
        <x:v>0</x:v>
      </x:c>
      <x:c r="R592" s="25" t="str">
        <x:v>洗练绑定装备；项链幸运绑定人物永久进度；武器幸运成本忽略</x:v>
      </x:c>
    </x:row>
    <x:row r="593">
      <x:c r="A593" s="25" t="str">
        <x:v>C06-G</x:v>
      </x:c>
      <x:c r="B593" s="25" t="str">
        <x:v>盖利德</x:v>
      </x:c>
      <x:c r="C593" s="25" t="str">
        <x:v>半急速毕业</x:v>
      </x:c>
      <x:c r="D593" s="25" t="n">
        <x:v>19</x:v>
      </x:c>
      <x:c r="E593" s="25" t="n">
        <x:v>64</x:v>
      </x:c>
      <x:c r="F593" s="25" t="str">
        <x:v>百夫熔戟</x:v>
      </x:c>
      <x:c r="G593" s="25" t="str">
        <x:v>时装武器</x:v>
      </x:c>
      <x:c r="H593" s="25" t="n">
        <x:v>2</x:v>
      </x:c>
      <x:c r="I593" s="25" t="str">
        <x:v>稀有</x:v>
      </x:c>
      <x:c r="J593" s="25" t="str">
        <x:v>S02</x:v>
      </x:c>
      <x:c r="K593" s="25" t="str">
        <x:v>150-288</x:v>
      </x:c>
      <x:c r="L593" s="25" t="n">
        <x:v>45400</x:v>
      </x:c>
      <x:c r="M593" s="25" t="n">
        <x:v>0</x:v>
      </x:c>
      <x:c r="N593" s="25" t="str">
        <x:v>否</x:v>
      </x:c>
      <x:c r="O593" s="25" t="n">
        <x:v>0</x:v>
      </x:c>
      <x:c r="P593" s="25" t="n">
        <x:v>0</x:v>
      </x:c>
      <x:c r="Q593" s="25" t="n">
        <x:v>0</x:v>
      </x:c>
      <x:c r="R593" s="25" t="str">
        <x:v>洗练绑定装备；项链幸运绑定人物永久进度；武器幸运成本忽略</x:v>
      </x:c>
    </x:row>
    <x:row r="594">
      <x:c r="A594" s="25" t="str">
        <x:v>C06-G</x:v>
      </x:c>
      <x:c r="B594" s="25" t="str">
        <x:v>盖利德</x:v>
      </x:c>
      <x:c r="C594" s="25" t="str">
        <x:v>半急速毕业</x:v>
      </x:c>
      <x:c r="D594" s="25" t="n">
        <x:v>20</x:v>
      </x:c>
      <x:c r="E594" s="25" t="n">
        <x:v>40</x:v>
      </x:c>
      <x:c r="F594" s="25" t="str">
        <x:v>英雄余誓</x:v>
      </x:c>
      <x:c r="G594" s="25" t="str">
        <x:v>时装项链</x:v>
      </x:c>
      <x:c r="H594" s="25" t="n">
        <x:v>2</x:v>
      </x:c>
      <x:c r="I594" s="25" t="str">
        <x:v>稀有</x:v>
      </x:c>
      <x:c r="J594" s="25" t="str">
        <x:v>S02</x:v>
      </x:c>
      <x:c r="K594" s="25" t="str">
        <x:v>31-60</x:v>
      </x:c>
      <x:c r="L594" s="25" t="n">
        <x:v>17900</x:v>
      </x:c>
      <x:c r="M594" s="25" t="n">
        <x:v>0</x:v>
      </x:c>
      <x:c r="N594" s="25" t="str">
        <x:v>否</x:v>
      </x:c>
      <x:c r="O594" s="25" t="n">
        <x:v>0</x:v>
      </x:c>
      <x:c r="P594" s="25" t="n">
        <x:v>0</x:v>
      </x:c>
      <x:c r="Q594" s="25" t="n">
        <x:v>0</x:v>
      </x:c>
      <x:c r="R594" s="25" t="str">
        <x:v>洗练绑定装备；项链幸运绑定人物永久进度；武器幸运成本忽略</x:v>
      </x:c>
    </x:row>
    <x:row r="595">
      <x:c r="A595" s="25" t="str">
        <x:v>C06-G</x:v>
      </x:c>
      <x:c r="B595" s="25" t="str">
        <x:v>盖利德</x:v>
      </x:c>
      <x:c r="C595" s="25" t="str">
        <x:v>半急速毕业</x:v>
      </x:c>
      <x:c r="D595" s="25" t="n">
        <x:v>21</x:v>
      </x:c>
      <x:c r="E595" s="25" t="n">
        <x:v>41</x:v>
      </x:c>
      <x:c r="F595" s="25" t="str">
        <x:v>初火兜鍪</x:v>
      </x:c>
      <x:c r="G595" s="25" t="str">
        <x:v>时装头盔</x:v>
      </x:c>
      <x:c r="H595" s="25" t="n">
        <x:v>2</x:v>
      </x:c>
      <x:c r="I595" s="25" t="str">
        <x:v>稀有</x:v>
      </x:c>
      <x:c r="J595" s="25" t="str">
        <x:v>S02</x:v>
      </x:c>
      <x:c r="K595" s="25" t="str">
        <x:v>22-42</x:v>
      </x:c>
      <x:c r="L595" s="25" t="n">
        <x:v>30900</x:v>
      </x:c>
      <x:c r="M595" s="25" t="n">
        <x:v>0</x:v>
      </x:c>
      <x:c r="N595" s="25" t="str">
        <x:v>否</x:v>
      </x:c>
      <x:c r="O595" s="25" t="n">
        <x:v>0</x:v>
      </x:c>
      <x:c r="P595" s="25" t="n">
        <x:v>0</x:v>
      </x:c>
      <x:c r="Q595" s="25" t="n">
        <x:v>0</x:v>
      </x:c>
      <x:c r="R595" s="25" t="str">
        <x:v>洗练绑定装备；项链幸运绑定人物永久进度；武器幸运成本忽略</x:v>
      </x:c>
    </x:row>
    <x:row r="596">
      <x:c r="A596" s="25" t="str">
        <x:v>C06-G</x:v>
      </x:c>
      <x:c r="B596" s="25" t="str">
        <x:v>盖利德</x:v>
      </x:c>
      <x:c r="C596" s="25" t="str">
        <x:v>半急速毕业</x:v>
      </x:c>
      <x:c r="D596" s="25" t="n">
        <x:v>22</x:v>
      </x:c>
      <x:c r="E596" s="25" t="n">
        <x:v>42</x:v>
      </x:c>
      <x:c r="F596" s="25" t="str">
        <x:v>卢恩血镯</x:v>
      </x:c>
      <x:c r="G596" s="25" t="str">
        <x:v>时装手镯</x:v>
      </x:c>
      <x:c r="H596" s="25" t="n">
        <x:v>2</x:v>
      </x:c>
      <x:c r="I596" s="25" t="str">
        <x:v>稀有</x:v>
      </x:c>
      <x:c r="J596" s="25" t="str">
        <x:v>S02</x:v>
      </x:c>
      <x:c r="K596" s="25" t="str">
        <x:v>42-80</x:v>
      </x:c>
      <x:c r="L596" s="25" t="n">
        <x:v>34400</x:v>
      </x:c>
      <x:c r="M596" s="25" t="n">
        <x:v>0</x:v>
      </x:c>
      <x:c r="N596" s="25" t="str">
        <x:v>否</x:v>
      </x:c>
      <x:c r="O596" s="25" t="n">
        <x:v>0</x:v>
      </x:c>
      <x:c r="P596" s="25" t="n">
        <x:v>0</x:v>
      </x:c>
      <x:c r="Q596" s="25" t="n">
        <x:v>0</x:v>
      </x:c>
      <x:c r="R596" s="25" t="str">
        <x:v>洗练绑定装备；项链幸运绑定人物永久进度；武器幸运成本忽略</x:v>
      </x:c>
    </x:row>
    <x:row r="597">
      <x:c r="A597" s="25" t="str">
        <x:v>C06-G</x:v>
      </x:c>
      <x:c r="B597" s="25" t="str">
        <x:v>盖利德</x:v>
      </x:c>
      <x:c r="C597" s="25" t="str">
        <x:v>半急速毕业</x:v>
      </x:c>
      <x:c r="D597" s="25" t="n">
        <x:v>24</x:v>
      </x:c>
      <x:c r="E597" s="25" t="n">
        <x:v>43</x:v>
      </x:c>
      <x:c r="F597" s="25" t="str">
        <x:v>黄金树戒</x:v>
      </x:c>
      <x:c r="G597" s="25" t="str">
        <x:v>时装戒指</x:v>
      </x:c>
      <x:c r="H597" s="25" t="n">
        <x:v>2</x:v>
      </x:c>
      <x:c r="I597" s="25" t="str">
        <x:v>稀有</x:v>
      </x:c>
      <x:c r="J597" s="25" t="str">
        <x:v>S02</x:v>
      </x:c>
      <x:c r="K597" s="25" t="str">
        <x:v>42-80</x:v>
      </x:c>
      <x:c r="L597" s="25" t="n">
        <x:v>34400</x:v>
      </x:c>
      <x:c r="M597" s="25" t="n">
        <x:v>0</x:v>
      </x:c>
      <x:c r="N597" s="25" t="str">
        <x:v>否</x:v>
      </x:c>
      <x:c r="O597" s="25" t="n">
        <x:v>0</x:v>
      </x:c>
      <x:c r="P597" s="25" t="n">
        <x:v>0</x:v>
      </x:c>
      <x:c r="Q597" s="25" t="n">
        <x:v>0</x:v>
      </x:c>
      <x:c r="R597" s="25" t="str">
        <x:v>洗练绑定装备；项链幸运绑定人物永久进度；武器幸运成本忽略</x:v>
      </x:c>
    </x:row>
    <x:row r="598">
      <x:c r="A598" s="25" t="str">
        <x:v>C06-G</x:v>
      </x:c>
      <x:c r="B598" s="25" t="str">
        <x:v>盖利德</x:v>
      </x:c>
      <x:c r="C598" s="25" t="str">
        <x:v>半急速毕业</x:v>
      </x:c>
      <x:c r="D598" s="25" t="n">
        <x:v>40</x:v>
      </x:c>
      <x:c r="E598" s="25" t="n">
        <x:v>44</x:v>
      </x:c>
      <x:c r="F598" s="25" t="str">
        <x:v>腐树子鼠</x:v>
      </x:c>
      <x:c r="G598" s="25" t="str">
        <x:v>生肖1</x:v>
      </x:c>
      <x:c r="H598" s="25" t="n">
        <x:v>2</x:v>
      </x:c>
      <x:c r="I598" s="25" t="str">
        <x:v>BOSS</x:v>
      </x:c>
      <x:c r="J598" s="25" t="str">
        <x:v>S02</x:v>
      </x:c>
      <x:c r="K598" s="25" t="str">
        <x:v>29-56</x:v>
      </x:c>
      <x:c r="L598" s="25" t="n">
        <x:v>23600</x:v>
      </x:c>
      <x:c r="M598" s="25" t="n">
        <x:v>0</x:v>
      </x:c>
      <x:c r="N598" s="25" t="str">
        <x:v>否</x:v>
      </x:c>
      <x:c r="O598" s="25" t="n">
        <x:v>0</x:v>
      </x:c>
      <x:c r="P598" s="25" t="n">
        <x:v>0</x:v>
      </x:c>
      <x:c r="Q598" s="25" t="n">
        <x:v>0</x:v>
      </x:c>
      <x:c r="R598" s="25" t="str">
        <x:v>洗练绑定装备；项链幸运绑定人物永久进度；武器幸运成本忽略</x:v>
      </x:c>
    </x:row>
    <x:row r="599">
      <x:c r="A599" s="25" t="str">
        <x:v>C06-G</x:v>
      </x:c>
      <x:c r="B599" s="25" t="str">
        <x:v>盖利德</x:v>
      </x:c>
      <x:c r="C599" s="25" t="str">
        <x:v>半急速毕业</x:v>
      </x:c>
      <x:c r="D599" s="25" t="n">
        <x:v>41</x:v>
      </x:c>
      <x:c r="E599" s="25" t="n">
        <x:v>69</x:v>
      </x:c>
      <x:c r="F599" s="25" t="str">
        <x:v>丑牛·风暴负山</x:v>
      </x:c>
      <x:c r="G599" s="25" t="str">
        <x:v>生肖2</x:v>
      </x:c>
      <x:c r="H599" s="25" t="n">
        <x:v>2</x:v>
      </x:c>
      <x:c r="I599" s="25" t="str">
        <x:v>生肖合成</x:v>
      </x:c>
      <x:c r="J599" s="25" t="str">
        <x:v>S07</x:v>
      </x:c>
      <x:c r="K599" s="25" t="str">
        <x:v>25-49</x:v>
      </x:c>
      <x:c r="L599" s="25" t="n">
        <x:v>64000</x:v>
      </x:c>
      <x:c r="M599" s="25" t="n">
        <x:v>0</x:v>
      </x:c>
      <x:c r="N599" s="25" t="str">
        <x:v>否</x:v>
      </x:c>
      <x:c r="O599" s="25" t="n">
        <x:v>0</x:v>
      </x:c>
      <x:c r="P599" s="25" t="n">
        <x:v>0</x:v>
      </x:c>
      <x:c r="Q599" s="25" t="n">
        <x:v>0</x:v>
      </x:c>
      <x:c r="R599" s="25" t="str">
        <x:v>洗练绑定装备；项链幸运绑定人物永久进度；武器幸运成本忽略</x:v>
      </x:c>
    </x:row>
    <x:row r="600">
      <x:c r="A600" s="25" t="str">
        <x:v>C06-G</x:v>
      </x:c>
      <x:c r="B600" s="25" t="str">
        <x:v>盖利德</x:v>
      </x:c>
      <x:c r="C600" s="25" t="str">
        <x:v>半急速毕业</x:v>
      </x:c>
      <x:c r="D600" s="25" t="n">
        <x:v>42</x:v>
      </x:c>
      <x:c r="E600" s="25" t="n">
        <x:v>138</x:v>
      </x:c>
      <x:c r="F600" s="25" t="str">
        <x:v>寅虎·红狮焚原</x:v>
      </x:c>
      <x:c r="G600" s="25" t="str">
        <x:v>生肖3</x:v>
      </x:c>
      <x:c r="H600" s="25" t="n">
        <x:v>6</x:v>
      </x:c>
      <x:c r="I600" s="25" t="str">
        <x:v>生肖合成</x:v>
      </x:c>
      <x:c r="J600" s="25" t="str">
        <x:v>S07</x:v>
      </x:c>
      <x:c r="K600" s="25" t="str">
        <x:v>250-490</x:v>
      </x:c>
      <x:c r="L600" s="25" t="n">
        <x:v>640000</x:v>
      </x:c>
      <x:c r="M600" s="25" t="n">
        <x:v>0</x:v>
      </x:c>
      <x:c r="N600" s="25" t="str">
        <x:v>否</x:v>
      </x:c>
      <x:c r="O600" s="25" t="n">
        <x:v>0</x:v>
      </x:c>
      <x:c r="P600" s="25" t="n">
        <x:v>0</x:v>
      </x:c>
      <x:c r="Q600" s="25" t="n">
        <x:v>0</x:v>
      </x:c>
      <x:c r="R600" s="25" t="str">
        <x:v>洗练绑定装备；项链幸运绑定人物永久进度；武器幸运成本忽略</x:v>
      </x:c>
    </x:row>
    <x:row r="601">
      <x:c r="A601" s="25" t="str">
        <x:v>C06-G</x:v>
      </x:c>
      <x:c r="B601" s="25" t="str">
        <x:v>盖利德</x:v>
      </x:c>
      <x:c r="C601" s="25" t="str">
        <x:v>半急速毕业</x:v>
      </x:c>
      <x:c r="D601" s="25" t="n">
        <x:v>43</x:v>
      </x:c>
      <x:c r="E601" s="25" t="n">
        <x:v>127</x:v>
      </x:c>
      <x:c r="F601" s="25" t="str">
        <x:v>卯兔·镜月折辉</x:v>
      </x:c>
      <x:c r="G601" s="25" t="str">
        <x:v>生肖4</x:v>
      </x:c>
      <x:c r="H601" s="25" t="n">
        <x:v>5</x:v>
      </x:c>
      <x:c r="I601" s="25" t="str">
        <x:v>生肖合成</x:v>
      </x:c>
      <x:c r="J601" s="25" t="str">
        <x:v>S07</x:v>
      </x:c>
      <x:c r="K601" s="25" t="str">
        <x:v>150-280</x:v>
      </x:c>
      <x:c r="L601" s="25" t="n">
        <x:v>360000</x:v>
      </x:c>
      <x:c r="M601" s="25" t="n">
        <x:v>0</x:v>
      </x:c>
      <x:c r="N601" s="25" t="str">
        <x:v>否</x:v>
      </x:c>
      <x:c r="O601" s="25" t="n">
        <x:v>0</x:v>
      </x:c>
      <x:c r="P601" s="25" t="n">
        <x:v>0</x:v>
      </x:c>
      <x:c r="Q601" s="25" t="n">
        <x:v>0</x:v>
      </x:c>
      <x:c r="R601" s="25" t="str">
        <x:v>洗练绑定装备；项链幸运绑定人物永久进度；武器幸运成本忽略</x:v>
      </x:c>
    </x:row>
    <x:row r="602">
      <x:c r="A602" s="25" t="str">
        <x:v>C06-G</x:v>
      </x:c>
      <x:c r="B602" s="25" t="str">
        <x:v>盖利德</x:v>
      </x:c>
      <x:c r="C602" s="25" t="str">
        <x:v>半急速毕业</x:v>
      </x:c>
      <x:c r="D602" s="25" t="n">
        <x:v>44</x:v>
      </x:c>
      <x:c r="E602" s="25" t="n">
        <x:v>91</x:v>
      </x:c>
      <x:c r="F602" s="25" t="str">
        <x:v>辰龙·荒原逐风</x:v>
      </x:c>
      <x:c r="G602" s="25" t="str">
        <x:v>生肖5</x:v>
      </x:c>
      <x:c r="H602" s="25" t="n">
        <x:v>3</x:v>
      </x:c>
      <x:c r="I602" s="25" t="str">
        <x:v>生肖合成</x:v>
      </x:c>
      <x:c r="J602" s="25" t="str">
        <x:v>S07</x:v>
      </x:c>
      <x:c r="K602" s="25" t="str">
        <x:v>47-90</x:v>
      </x:c>
      <x:c r="L602" s="25" t="n">
        <x:v>120000</x:v>
      </x:c>
      <x:c r="M602" s="25" t="n">
        <x:v>0</x:v>
      </x:c>
      <x:c r="N602" s="25" t="str">
        <x:v>否</x:v>
      </x:c>
      <x:c r="O602" s="25" t="n">
        <x:v>0</x:v>
      </x:c>
      <x:c r="P602" s="25" t="n">
        <x:v>0</x:v>
      </x:c>
      <x:c r="Q602" s="25" t="n">
        <x:v>0</x:v>
      </x:c>
      <x:c r="R602" s="25" t="str">
        <x:v>洗练绑定装备；项链幸运绑定人物永久进度；武器幸运成本忽略</x:v>
      </x:c>
    </x:row>
    <x:row r="603">
      <x:c r="A603" s="25" t="str">
        <x:v>C06-G</x:v>
      </x:c>
      <x:c r="B603" s="25" t="str">
        <x:v>盖利德</x:v>
      </x:c>
      <x:c r="C603" s="25" t="str">
        <x:v>半急速毕业</x:v>
      </x:c>
      <x:c r="D603" s="25" t="n">
        <x:v>45</x:v>
      </x:c>
      <x:c r="E603" s="25" t="n">
        <x:v>107</x:v>
      </x:c>
      <x:c r="F603" s="25" t="str">
        <x:v>巳蛇·沉潮缚月</x:v>
      </x:c>
      <x:c r="G603" s="25" t="str">
        <x:v>生肖6</x:v>
      </x:c>
      <x:c r="H603" s="25" t="n">
        <x:v>4</x:v>
      </x:c>
      <x:c r="I603" s="25" t="str">
        <x:v>生肖合成</x:v>
      </x:c>
      <x:c r="J603" s="25" t="str">
        <x:v>S07</x:v>
      </x:c>
      <x:c r="K603" s="25" t="str">
        <x:v>83-160</x:v>
      </x:c>
      <x:c r="L603" s="25" t="n">
        <x:v>200000</x:v>
      </x:c>
      <x:c r="M603" s="25" t="n">
        <x:v>0</x:v>
      </x:c>
      <x:c r="N603" s="25" t="str">
        <x:v>否</x:v>
      </x:c>
      <x:c r="O603" s="25" t="n">
        <x:v>0</x:v>
      </x:c>
      <x:c r="P603" s="25" t="n">
        <x:v>0</x:v>
      </x:c>
      <x:c r="Q603" s="25" t="n">
        <x:v>0</x:v>
      </x:c>
      <x:c r="R603" s="25" t="str">
        <x:v>洗练绑定装备；项链幸运绑定人物永久进度；武器幸运成本忽略</x:v>
      </x:c>
    </x:row>
    <x:row r="604">
      <x:c r="A604" s="25" t="str">
        <x:v>C06-G</x:v>
      </x:c>
      <x:c r="B604" s="25" t="str">
        <x:v>盖利德</x:v>
      </x:c>
      <x:c r="C604" s="25" t="str">
        <x:v>半急速毕业</x:v>
      </x:c>
      <x:c r="D604" s="25" t="n">
        <x:v>46</x:v>
      </x:c>
      <x:c r="E604" s="25" t="n">
        <x:v>80</x:v>
      </x:c>
      <x:c r="F604" s="25" t="str">
        <x:v>死水午马</x:v>
      </x:c>
      <x:c r="G604" s="25" t="str">
        <x:v>生肖7</x:v>
      </x:c>
      <x:c r="H604" s="25" t="n">
        <x:v>2</x:v>
      </x:c>
      <x:c r="I604" s="25" t="str">
        <x:v>BOSS</x:v>
      </x:c>
      <x:c r="J604" s="25" t="str">
        <x:v>S02</x:v>
      </x:c>
      <x:c r="K604" s="25" t="str">
        <x:v>38-74</x:v>
      </x:c>
      <x:c r="L604" s="25" t="n">
        <x:v>45300</x:v>
      </x:c>
      <x:c r="M604" s="25" t="n">
        <x:v>0</x:v>
      </x:c>
      <x:c r="N604" s="25" t="str">
        <x:v>否</x:v>
      </x:c>
      <x:c r="O604" s="25" t="n">
        <x:v>0</x:v>
      </x:c>
      <x:c r="P604" s="25" t="n">
        <x:v>0</x:v>
      </x:c>
      <x:c r="Q604" s="25" t="n">
        <x:v>0</x:v>
      </x:c>
      <x:c r="R604" s="25" t="str">
        <x:v>洗练绑定装备；项链幸运绑定人物永久进度；武器幸运成本忽略</x:v>
      </x:c>
    </x:row>
    <x:row r="605">
      <x:c r="A605" s="25" t="str">
        <x:v>C06-G</x:v>
      </x:c>
      <x:c r="B605" s="25" t="str">
        <x:v>盖利德</x:v>
      </x:c>
      <x:c r="C605" s="25" t="str">
        <x:v>半急速毕业</x:v>
      </x:c>
      <x:c r="D605" s="25" t="n">
        <x:v>47</x:v>
      </x:c>
      <x:c r="E605" s="25" t="n">
        <x:v>67</x:v>
      </x:c>
      <x:c r="F605" s="25" t="str">
        <x:v>葬日未羊</x:v>
      </x:c>
      <x:c r="G605" s="25" t="str">
        <x:v>生肖8</x:v>
      </x:c>
      <x:c r="H605" s="25" t="n">
        <x:v>2</x:v>
      </x:c>
      <x:c r="I605" s="25" t="str">
        <x:v>稀有</x:v>
      </x:c>
      <x:c r="J605" s="25" t="str">
        <x:v>S02</x:v>
      </x:c>
      <x:c r="K605" s="25" t="str">
        <x:v>37-72</x:v>
      </x:c>
      <x:c r="L605" s="25" t="n">
        <x:v>51600</x:v>
      </x:c>
      <x:c r="M605" s="25" t="n">
        <x:v>0</x:v>
      </x:c>
      <x:c r="N605" s="25" t="str">
        <x:v>否</x:v>
      </x:c>
      <x:c r="O605" s="25" t="n">
        <x:v>0</x:v>
      </x:c>
      <x:c r="P605" s="25" t="n">
        <x:v>0</x:v>
      </x:c>
      <x:c r="Q605" s="25" t="n">
        <x:v>0</x:v>
      </x:c>
      <x:c r="R605" s="25" t="str">
        <x:v>洗练绑定装备；项链幸运绑定人物永久进度；武器幸运成本忽略</x:v>
      </x:c>
    </x:row>
    <x:row r="606">
      <x:c r="A606" s="25" t="str">
        <x:v>C06-G</x:v>
      </x:c>
      <x:c r="B606" s="25" t="str">
        <x:v>盖利德</x:v>
      </x:c>
      <x:c r="C606" s="25" t="str">
        <x:v>半急速毕业</x:v>
      </x:c>
      <x:c r="D606" s="25" t="n">
        <x:v>48</x:v>
      </x:c>
      <x:c r="E606" s="25" t="n">
        <x:v>81</x:v>
      </x:c>
      <x:c r="F606" s="25" t="str">
        <x:v>雷冠申猴</x:v>
      </x:c>
      <x:c r="G606" s="25" t="str">
        <x:v>生肖9</x:v>
      </x:c>
      <x:c r="H606" s="25" t="n">
        <x:v>2</x:v>
      </x:c>
      <x:c r="I606" s="25" t="str">
        <x:v>BOSS</x:v>
      </x:c>
      <x:c r="J606" s="25" t="str">
        <x:v>S02</x:v>
      </x:c>
      <x:c r="K606" s="25" t="str">
        <x:v>44-84</x:v>
      </x:c>
      <x:c r="L606" s="25" t="n">
        <x:v>59800</x:v>
      </x:c>
      <x:c r="M606" s="25" t="n">
        <x:v>0</x:v>
      </x:c>
      <x:c r="N606" s="25" t="str">
        <x:v>否</x:v>
      </x:c>
      <x:c r="O606" s="25" t="n">
        <x:v>0</x:v>
      </x:c>
      <x:c r="P606" s="25" t="n">
        <x:v>0</x:v>
      </x:c>
      <x:c r="Q606" s="25" t="n">
        <x:v>0</x:v>
      </x:c>
      <x:c r="R606" s="25" t="str">
        <x:v>洗练绑定装备；项链幸运绑定人物永久进度；武器幸运成本忽略</x:v>
      </x:c>
    </x:row>
    <x:row r="607">
      <x:c r="A607" s="25" t="str">
        <x:v>C06-G</x:v>
      </x:c>
      <x:c r="B607" s="25" t="str">
        <x:v>盖利德</x:v>
      </x:c>
      <x:c r="C607" s="25" t="str">
        <x:v>半急速毕业</x:v>
      </x:c>
      <x:c r="D607" s="25" t="n">
        <x:v>49</x:v>
      </x:c>
      <x:c r="E607" s="25" t="n">
        <x:v>82</x:v>
      </x:c>
      <x:c r="F607" s="25" t="str">
        <x:v>恶兆酉鸡</x:v>
      </x:c>
      <x:c r="G607" s="25" t="str">
        <x:v>生肖10</x:v>
      </x:c>
      <x:c r="H607" s="25" t="n">
        <x:v>2</x:v>
      </x:c>
      <x:c r="I607" s="25" t="str">
        <x:v>BOSS</x:v>
      </x:c>
      <x:c r="J607" s="25" t="str">
        <x:v>S02</x:v>
      </x:c>
      <x:c r="K607" s="25" t="str">
        <x:v>44-84</x:v>
      </x:c>
      <x:c r="L607" s="25" t="n">
        <x:v>59800</x:v>
      </x:c>
      <x:c r="M607" s="25" t="n">
        <x:v>0</x:v>
      </x:c>
      <x:c r="N607" s="25" t="str">
        <x:v>否</x:v>
      </x:c>
      <x:c r="O607" s="25" t="n">
        <x:v>0</x:v>
      </x:c>
      <x:c r="P607" s="25" t="n">
        <x:v>0</x:v>
      </x:c>
      <x:c r="Q607" s="25" t="n">
        <x:v>0</x:v>
      </x:c>
      <x:c r="R607" s="25" t="str">
        <x:v>洗练绑定装备；项链幸运绑定人物永久进度；武器幸运成本忽略</x:v>
      </x:c>
    </x:row>
    <x:row r="608">
      <x:c r="A608" s="25" t="str">
        <x:v>C06-G</x:v>
      </x:c>
      <x:c r="B608" s="25" t="str">
        <x:v>盖利德</x:v>
      </x:c>
      <x:c r="C608" s="25" t="str">
        <x:v>半急速毕业</x:v>
      </x:c>
      <x:c r="D608" s="25" t="n">
        <x:v>50</x:v>
      </x:c>
      <x:c r="E608" s="25" t="n">
        <x:v>83</x:v>
      </x:c>
      <x:c r="F608" s="25" t="str">
        <x:v>失乡戌狗</x:v>
      </x:c>
      <x:c r="G608" s="25" t="str">
        <x:v>生肖11</x:v>
      </x:c>
      <x:c r="H608" s="25" t="n">
        <x:v>2</x:v>
      </x:c>
      <x:c r="I608" s="25" t="str">
        <x:v>BOSS</x:v>
      </x:c>
      <x:c r="J608" s="25" t="str">
        <x:v>S02</x:v>
      </x:c>
      <x:c r="K608" s="25" t="str">
        <x:v>48-93</x:v>
      </x:c>
      <x:c r="L608" s="25" t="n">
        <x:v>79800</x:v>
      </x:c>
      <x:c r="M608" s="25" t="n">
        <x:v>0</x:v>
      </x:c>
      <x:c r="N608" s="25" t="str">
        <x:v>否</x:v>
      </x:c>
      <x:c r="O608" s="25" t="n">
        <x:v>0</x:v>
      </x:c>
      <x:c r="P608" s="25" t="n">
        <x:v>0</x:v>
      </x:c>
      <x:c r="Q608" s="25" t="n">
        <x:v>0</x:v>
      </x:c>
      <x:c r="R608" s="25" t="str">
        <x:v>洗练绑定装备；项链幸运绑定人物永久进度；武器幸运成本忽略</x:v>
      </x:c>
    </x:row>
    <x:row r="609">
      <x:c r="A609" s="25" t="str">
        <x:v>C06-G</x:v>
      </x:c>
      <x:c r="B609" s="25" t="str">
        <x:v>盖利德</x:v>
      </x:c>
      <x:c r="C609" s="25" t="str">
        <x:v>半急速毕业</x:v>
      </x:c>
      <x:c r="D609" s="25" t="n">
        <x:v>51</x:v>
      </x:c>
      <x:c r="E609" s="25" t="n">
        <x:v>84</x:v>
      </x:c>
      <x:c r="F609" s="25" t="str">
        <x:v>接肢亥猪</x:v>
      </x:c>
      <x:c r="G609" s="25" t="str">
        <x:v>生肖12</x:v>
      </x:c>
      <x:c r="H609" s="25" t="n">
        <x:v>2</x:v>
      </x:c>
      <x:c r="I609" s="25" t="str">
        <x:v>守关BOSS</x:v>
      </x:c>
      <x:c r="J609" s="25" t="str">
        <x:v>S02</x:v>
      </x:c>
      <x:c r="K609" s="25" t="str">
        <x:v>55-106</x:v>
      </x:c>
      <x:c r="L609" s="25" t="n">
        <x:v>90800</x:v>
      </x:c>
      <x:c r="M609" s="25" t="n">
        <x:v>0</x:v>
      </x:c>
      <x:c r="N609" s="25" t="str">
        <x:v>否</x:v>
      </x:c>
      <x:c r="O609" s="25" t="n">
        <x:v>0</x:v>
      </x:c>
      <x:c r="P609" s="25" t="n">
        <x:v>0</x:v>
      </x:c>
      <x:c r="Q609" s="25" t="n">
        <x:v>0</x:v>
      </x:c>
      <x:c r="R609" s="25" t="str">
        <x:v>洗练绑定装备；项链幸运绑定人物永久进度；武器幸运成本忽略</x:v>
      </x:c>
    </x:row>
    <x:row r="610">
      <x:c r="A610" s="25" t="str">
        <x:v>C06-X</x:v>
      </x:c>
      <x:c r="B610" s="25" t="str">
        <x:v>盖利德</x:v>
      </x:c>
      <x:c r="C610" s="25" t="str">
        <x:v>极端压力</x:v>
      </x:c>
      <x:c r="D610" s="25" t="n">
        <x:v>0</x:v>
      </x:c>
      <x:c r="E610" s="25" t="n">
        <x:v>163</x:v>
      </x:c>
      <x:c r="F610" s="25" t="str">
        <x:v>碎星红狮战甲</x:v>
      </x:c>
      <x:c r="G610" s="25" t="str">
        <x:v>衣服</x:v>
      </x:c>
      <x:c r="H610" s="25" t="n">
        <x:v>6</x:v>
      </x:c>
      <x:c r="I610" s="25" t="str">
        <x:v>装备合成</x:v>
      </x:c>
      <x:c r="J610" s="25" t="str">
        <x:v>S07</x:v>
      </x:c>
      <x:c r="K610" s="25" t="str">
        <x:v>880-1700</x:v>
      </x:c>
      <x:c r="L610" s="25" t="n">
        <x:v>3900000</x:v>
      </x:c>
      <x:c r="M610" s="25" t="n">
        <x:v>6</x:v>
      </x:c>
      <x:c r="N610" s="25" t="str">
        <x:v>否</x:v>
      </x:c>
      <x:c r="O610" s="25" t="n">
        <x:v>0</x:v>
      </x:c>
      <x:c r="P610" s="25" t="n">
        <x:v>0</x:v>
      </x:c>
      <x:c r="Q610" s="25" t="n">
        <x:v>0</x:v>
      </x:c>
      <x:c r="R610" s="25" t="str">
        <x:v>洗练绑定装备；项链幸运绑定人物永久进度；武器幸运成本忽略</x:v>
      </x:c>
    </x:row>
    <x:row r="611">
      <x:c r="A611" s="25" t="str">
        <x:v>C06-X</x:v>
      </x:c>
      <x:c r="B611" s="25" t="str">
        <x:v>盖利德</x:v>
      </x:c>
      <x:c r="C611" s="25" t="str">
        <x:v>极端压力</x:v>
      </x:c>
      <x:c r="D611" s="25" t="n">
        <x:v>1</x:v>
      </x:c>
      <x:c r="E611" s="25" t="n">
        <x:v>142</x:v>
      </x:c>
      <x:c r="F611" s="25" t="str">
        <x:v>拉塔恩碎星巨刃</x:v>
      </x:c>
      <x:c r="G611" s="25" t="str">
        <x:v>武器</x:v>
      </x:c>
      <x:c r="H611" s="25" t="n">
        <x:v>6</x:v>
      </x:c>
      <x:c r="I611" s="25" t="str">
        <x:v>守关BOSS</x:v>
      </x:c>
      <x:c r="J611" s="25" t="str">
        <x:v>S07</x:v>
      </x:c>
      <x:c r="K611" s="25" t="str">
        <x:v>4600-8800</x:v>
      </x:c>
      <x:c r="L611" s="25" t="n">
        <x:v>530000</x:v>
      </x:c>
      <x:c r="M611" s="25" t="n">
        <x:v>7</x:v>
      </x:c>
      <x:c r="N611" s="25" t="str">
        <x:v>是</x:v>
      </x:c>
      <x:c r="O611" s="25" t="n">
        <x:v>7</x:v>
      </x:c>
      <x:c r="P611" s="25" t="n">
        <x:v>0</x:v>
      </x:c>
      <x:c r="Q611" s="25" t="n">
        <x:v>0</x:v>
      </x:c>
      <x:c r="R611" s="25" t="str">
        <x:v>洗练绑定装备；项链幸运绑定人物永久进度；武器幸运成本忽略</x:v>
      </x:c>
    </x:row>
    <x:row r="612">
      <x:c r="A612" s="25" t="str">
        <x:v>C06-X</x:v>
      </x:c>
      <x:c r="B612" s="25" t="str">
        <x:v>盖利德</x:v>
      </x:c>
      <x:c r="C612" s="25" t="str">
        <x:v>极端压力</x:v>
      </x:c>
      <x:c r="D612" s="25" t="n">
        <x:v>2</x:v>
      </x:c>
      <x:c r="E612" s="25" t="n">
        <x:v>149</x:v>
      </x:c>
      <x:c r="F612" s="25" t="str">
        <x:v>血祭徽章</x:v>
      </x:c>
      <x:c r="G612" s="25" t="str">
        <x:v>勋章</x:v>
      </x:c>
      <x:c r="H612" s="25" t="n">
        <x:v>6</x:v>
      </x:c>
      <x:c r="I612" s="25" t="str">
        <x:v>稀有</x:v>
      </x:c>
      <x:c r="J612" s="25" t="str">
        <x:v>S07</x:v>
      </x:c>
      <x:c r="K612" s="25" t="str">
        <x:v>460-880</x:v>
      </x:c>
      <x:c r="L612" s="25" t="n">
        <x:v>480000</x:v>
      </x:c>
      <x:c r="M612" s="25" t="n">
        <x:v>0</x:v>
      </x:c>
      <x:c r="N612" s="25" t="str">
        <x:v>否</x:v>
      </x:c>
      <x:c r="O612" s="25" t="n">
        <x:v>0</x:v>
      </x:c>
      <x:c r="P612" s="25" t="n">
        <x:v>0</x:v>
      </x:c>
      <x:c r="Q612" s="25" t="n">
        <x:v>0</x:v>
      </x:c>
      <x:c r="R612" s="25" t="str">
        <x:v>洗练绑定装备；项链幸运绑定人物永久进度；武器幸运成本忽略</x:v>
      </x:c>
    </x:row>
    <x:row r="613">
      <x:c r="A613" s="25" t="str">
        <x:v>C06-X</x:v>
      </x:c>
      <x:c r="B613" s="25" t="str">
        <x:v>盖利德</x:v>
      </x:c>
      <x:c r="C613" s="25" t="str">
        <x:v>极端压力</x:v>
      </x:c>
      <x:c r="D613" s="25" t="n">
        <x:v>3</x:v>
      </x:c>
      <x:c r="E613" s="25" t="n">
        <x:v>165</x:v>
      </x:c>
      <x:c r="F613" s="25" t="str">
        <x:v>驯火锁链</x:v>
      </x:c>
      <x:c r="G613" s="25" t="str">
        <x:v>项链</x:v>
      </x:c>
      <x:c r="H613" s="25" t="n">
        <x:v>6</x:v>
      </x:c>
      <x:c r="I613" s="25" t="str">
        <x:v>稀有</x:v>
      </x:c>
      <x:c r="J613" s="25" t="str">
        <x:v>S07</x:v>
      </x:c>
      <x:c r="K613" s="25" t="str">
        <x:v>510-990</x:v>
      </x:c>
      <x:c r="L613" s="25" t="n">
        <x:v>420000</x:v>
      </x:c>
      <x:c r="M613" s="25" t="n">
        <x:v>3</x:v>
      </x:c>
      <x:c r="N613" s="25" t="str">
        <x:v>否</x:v>
      </x:c>
      <x:c r="O613" s="25" t="n">
        <x:v>0</x:v>
      </x:c>
      <x:c r="P613" s="25" t="n">
        <x:v>0</x:v>
      </x:c>
      <x:c r="Q613" s="25" t="n">
        <x:v>0</x:v>
      </x:c>
      <x:c r="R613" s="25" t="str">
        <x:v>洗练绑定装备；项链幸运绑定人物永久进度；武器幸运成本忽略</x:v>
      </x:c>
    </x:row>
    <x:row r="614">
      <x:c r="A614" s="25" t="str">
        <x:v>C06-X</x:v>
      </x:c>
      <x:c r="B614" s="25" t="str">
        <x:v>盖利德</x:v>
      </x:c>
      <x:c r="C614" s="25" t="str">
        <x:v>极端压力</x:v>
      </x:c>
      <x:c r="D614" s="25" t="n">
        <x:v>4</x:v>
      </x:c>
      <x:c r="E614" s="25" t="n">
        <x:v>150</x:v>
      </x:c>
      <x:c r="F614" s="25" t="str">
        <x:v>伊弗腐冠</x:v>
      </x:c>
      <x:c r="G614" s="25" t="str">
        <x:v>头盔</x:v>
      </x:c>
      <x:c r="H614" s="25" t="n">
        <x:v>6</x:v>
      </x:c>
      <x:c r="I614" s="25" t="str">
        <x:v>地图BOSS</x:v>
      </x:c>
      <x:c r="J614" s="25" t="str">
        <x:v>S07</x:v>
      </x:c>
      <x:c r="K614" s="25" t="str">
        <x:v>410-790</x:v>
      </x:c>
      <x:c r="L614" s="25" t="n">
        <x:v>830000</x:v>
      </x:c>
      <x:c r="M614" s="25" t="n">
        <x:v>5</x:v>
      </x:c>
      <x:c r="N614" s="25" t="str">
        <x:v>否</x:v>
      </x:c>
      <x:c r="O614" s="25" t="n">
        <x:v>0</x:v>
      </x:c>
      <x:c r="P614" s="25" t="n">
        <x:v>0</x:v>
      </x:c>
      <x:c r="Q614" s="25" t="n">
        <x:v>0</x:v>
      </x:c>
      <x:c r="R614" s="25" t="str">
        <x:v>洗练绑定装备；项链幸运绑定人物永久进度；武器幸运成本忽略</x:v>
      </x:c>
    </x:row>
    <x:row r="615">
      <x:c r="A615" s="25" t="str">
        <x:v>C06-X</x:v>
      </x:c>
      <x:c r="B615" s="25" t="str">
        <x:v>盖利德</x:v>
      </x:c>
      <x:c r="C615" s="25" t="str">
        <x:v>极端压力</x:v>
      </x:c>
      <x:c r="D615" s="25" t="n">
        <x:v>5</x:v>
      </x:c>
      <x:c r="E615" s="25" t="n">
        <x:v>166</x:v>
      </x:c>
      <x:c r="F615" s="25" t="str">
        <x:v>龙火刑腕</x:v>
      </x:c>
      <x:c r="G615" s="25" t="str">
        <x:v>手镯</x:v>
      </x:c>
      <x:c r="H615" s="25" t="n">
        <x:v>6</x:v>
      </x:c>
      <x:c r="I615" s="25" t="str">
        <x:v>装备合成</x:v>
      </x:c>
      <x:c r="J615" s="25" t="str">
        <x:v>S07</x:v>
      </x:c>
      <x:c r="K615" s="25" t="str">
        <x:v>1100-2100</x:v>
      </x:c>
      <x:c r="L615" s="25" t="n">
        <x:v>850000</x:v>
      </x:c>
      <x:c r="M615" s="25" t="n">
        <x:v>4</x:v>
      </x:c>
      <x:c r="N615" s="25" t="str">
        <x:v>否</x:v>
      </x:c>
      <x:c r="O615" s="25" t="n">
        <x:v>0</x:v>
      </x:c>
      <x:c r="P615" s="25" t="n">
        <x:v>0</x:v>
      </x:c>
      <x:c r="Q615" s="25" t="n">
        <x:v>0</x:v>
      </x:c>
      <x:c r="R615" s="25" t="str">
        <x:v>洗练绑定装备；项链幸运绑定人物永久进度；武器幸运成本忽略</x:v>
      </x:c>
    </x:row>
    <x:row r="616">
      <x:c r="A616" s="25" t="str">
        <x:v>C06-X</x:v>
      </x:c>
      <x:c r="B616" s="25" t="str">
        <x:v>盖利德</x:v>
      </x:c>
      <x:c r="C616" s="25" t="str">
        <x:v>极端压力</x:v>
      </x:c>
      <x:c r="D616" s="25" t="n">
        <x:v>6</x:v>
      </x:c>
      <x:c r="E616" s="25" t="n">
        <x:v>146</x:v>
      </x:c>
      <x:c r="F616" s="25" t="str">
        <x:v>烬鳞护腕</x:v>
      </x:c>
      <x:c r="G616" s="25" t="str">
        <x:v>手镯</x:v>
      </x:c>
      <x:c r="H616" s="25" t="n">
        <x:v>6</x:v>
      </x:c>
      <x:c r="I616" s="25" t="str">
        <x:v>普通</x:v>
      </x:c>
      <x:c r="J616" s="25" t="str">
        <x:v>S07</x:v>
      </x:c>
      <x:c r="K616" s="25" t="str">
        <x:v>330-630</x:v>
      </x:c>
      <x:c r="L616" s="25" t="n">
        <x:v>250000</x:v>
      </x:c>
      <x:c r="M616" s="25" t="n">
        <x:v>5</x:v>
      </x:c>
      <x:c r="N616" s="25" t="str">
        <x:v>否</x:v>
      </x:c>
      <x:c r="O616" s="25" t="n">
        <x:v>0</x:v>
      </x:c>
      <x:c r="P616" s="25" t="n">
        <x:v>0</x:v>
      </x:c>
      <x:c r="Q616" s="25" t="n">
        <x:v>0</x:v>
      </x:c>
      <x:c r="R616" s="25" t="str">
        <x:v>洗练绑定装备；项链幸运绑定人物永久进度；武器幸运成本忽略</x:v>
      </x:c>
    </x:row>
    <x:row r="617">
      <x:c r="A617" s="25" t="str">
        <x:v>C06-X</x:v>
      </x:c>
      <x:c r="B617" s="25" t="str">
        <x:v>盖利德</x:v>
      </x:c>
      <x:c r="C617" s="25" t="str">
        <x:v>极端压力</x:v>
      </x:c>
      <x:c r="D617" s="25" t="n">
        <x:v>7</x:v>
      </x:c>
      <x:c r="E617" s="25" t="n">
        <x:v>147</x:v>
      </x:c>
      <x:c r="F617" s="25" t="str">
        <x:v>熔喉牙戒</x:v>
      </x:c>
      <x:c r="G617" s="25" t="str">
        <x:v>戒指</x:v>
      </x:c>
      <x:c r="H617" s="25" t="n">
        <x:v>6</x:v>
      </x:c>
      <x:c r="I617" s="25" t="str">
        <x:v>稀有</x:v>
      </x:c>
      <x:c r="J617" s="25" t="str">
        <x:v>S07</x:v>
      </x:c>
      <x:c r="K617" s="25" t="str">
        <x:v>490-940</x:v>
      </x:c>
      <x:c r="L617" s="25" t="n">
        <x:v>380000</x:v>
      </x:c>
      <x:c r="M617" s="25" t="n">
        <x:v>5</x:v>
      </x:c>
      <x:c r="N617" s="25" t="str">
        <x:v>否</x:v>
      </x:c>
      <x:c r="O617" s="25" t="n">
        <x:v>0</x:v>
      </x:c>
      <x:c r="P617" s="25" t="n">
        <x:v>0</x:v>
      </x:c>
      <x:c r="Q617" s="25" t="n">
        <x:v>0</x:v>
      </x:c>
      <x:c r="R617" s="25" t="str">
        <x:v>洗练绑定装备；项链幸运绑定人物永久进度；武器幸运成本忽略</x:v>
      </x:c>
    </x:row>
    <x:row r="618">
      <x:c r="A618" s="25" t="str">
        <x:v>C06-X</x:v>
      </x:c>
      <x:c r="B618" s="25" t="str">
        <x:v>盖利德</x:v>
      </x:c>
      <x:c r="C618" s="25" t="str">
        <x:v>极端压力</x:v>
      </x:c>
      <x:c r="D618" s="25" t="n">
        <x:v>8</x:v>
      </x:c>
      <x:c r="E618" s="25" t="n">
        <x:v>148</x:v>
      </x:c>
      <x:c r="F618" s="25" t="str">
        <x:v>熔喉牙戒</x:v>
      </x:c>
      <x:c r="G618" s="25" t="str">
        <x:v>戒指</x:v>
      </x:c>
      <x:c r="H618" s="25" t="n">
        <x:v>6</x:v>
      </x:c>
      <x:c r="I618" s="25" t="str">
        <x:v>稀有</x:v>
      </x:c>
      <x:c r="J618" s="25" t="str">
        <x:v>S07</x:v>
      </x:c>
      <x:c r="K618" s="25" t="str">
        <x:v>490-940</x:v>
      </x:c>
      <x:c r="L618" s="25" t="n">
        <x:v>380000</x:v>
      </x:c>
      <x:c r="M618" s="25" t="n">
        <x:v>5</x:v>
      </x:c>
      <x:c r="N618" s="25" t="str">
        <x:v>否</x:v>
      </x:c>
      <x:c r="O618" s="25" t="n">
        <x:v>0</x:v>
      </x:c>
      <x:c r="P618" s="25" t="n">
        <x:v>0</x:v>
      </x:c>
      <x:c r="Q618" s="25" t="n">
        <x:v>0</x:v>
      </x:c>
      <x:c r="R618" s="25" t="str">
        <x:v>洗练绑定装备；项链幸运绑定人物永久进度；武器幸运成本忽略</x:v>
      </x:c>
    </x:row>
    <x:row r="619">
      <x:c r="A619" s="25" t="str">
        <x:v>C06-X</x:v>
      </x:c>
      <x:c r="B619" s="25" t="str">
        <x:v>盖利德</x:v>
      </x:c>
      <x:c r="C619" s="25" t="str">
        <x:v>极端压力</x:v>
      </x:c>
      <x:c r="D619" s="25" t="n">
        <x:v>10</x:v>
      </x:c>
      <x:c r="E619" s="25" t="n">
        <x:v>151</x:v>
      </x:c>
      <x:c r="F619" s="25" t="str">
        <x:v>斩翼腰封</x:v>
      </x:c>
      <x:c r="G619" s="25" t="str">
        <x:v>腰带</x:v>
      </x:c>
      <x:c r="H619" s="25" t="n">
        <x:v>6</x:v>
      </x:c>
      <x:c r="I619" s="25" t="str">
        <x:v>稀有</x:v>
      </x:c>
      <x:c r="J619" s="25" t="str">
        <x:v>S07</x:v>
      </x:c>
      <x:c r="K619" s="25" t="str">
        <x:v>330-630</x:v>
      </x:c>
      <x:c r="L619" s="25" t="n">
        <x:v>550000</x:v>
      </x:c>
      <x:c r="M619" s="25" t="n">
        <x:v>5</x:v>
      </x:c>
      <x:c r="N619" s="25" t="str">
        <x:v>否</x:v>
      </x:c>
      <x:c r="O619" s="25" t="n">
        <x:v>0</x:v>
      </x:c>
      <x:c r="P619" s="25" t="n">
        <x:v>0</x:v>
      </x:c>
      <x:c r="Q619" s="25" t="n">
        <x:v>0</x:v>
      </x:c>
      <x:c r="R619" s="25" t="str">
        <x:v>洗练绑定装备；项链幸运绑定人物永久进度；武器幸运成本忽略</x:v>
      </x:c>
    </x:row>
    <x:row r="620">
      <x:c r="A620" s="25" t="str">
        <x:v>C06-X</x:v>
      </x:c>
      <x:c r="B620" s="25" t="str">
        <x:v>盖利德</x:v>
      </x:c>
      <x:c r="C620" s="25" t="str">
        <x:v>极端压力</x:v>
      </x:c>
      <x:c r="D620" s="25" t="n">
        <x:v>11</x:v>
      </x:c>
      <x:c r="E620" s="25" t="n">
        <x:v>90</x:v>
      </x:c>
      <x:c r="F620" s="25" t="str">
        <x:v>逐风征靴</x:v>
      </x:c>
      <x:c r="G620" s="25" t="str">
        <x:v>鞋子</x:v>
      </x:c>
      <x:c r="H620" s="25" t="n">
        <x:v>3</x:v>
      </x:c>
      <x:c r="I620" s="25" t="str">
        <x:v>装备合成</x:v>
      </x:c>
      <x:c r="J620" s="25" t="str">
        <x:v>S07</x:v>
      </x:c>
      <x:c r="K620" s="25" t="str">
        <x:v>100-200</x:v>
      </x:c>
      <x:c r="L620" s="25" t="n">
        <x:v>150000</x:v>
      </x:c>
      <x:c r="M620" s="25" t="n">
        <x:v>6</x:v>
      </x:c>
      <x:c r="N620" s="25" t="str">
        <x:v>否</x:v>
      </x:c>
      <x:c r="O620" s="25" t="n">
        <x:v>0</x:v>
      </x:c>
      <x:c r="P620" s="25" t="n">
        <x:v>0</x:v>
      </x:c>
      <x:c r="Q620" s="25" t="n">
        <x:v>0</x:v>
      </x:c>
      <x:c r="R620" s="25" t="str">
        <x:v>洗练绑定装备；项链幸运绑定人物永久进度；武器幸运成本忽略</x:v>
      </x:c>
    </x:row>
    <x:row r="621">
      <x:c r="A621" s="25" t="str">
        <x:v>C06-X</x:v>
      </x:c>
      <x:c r="B621" s="25" t="str">
        <x:v>盖利德</x:v>
      </x:c>
      <x:c r="C621" s="25" t="str">
        <x:v>极端压力</x:v>
      </x:c>
      <x:c r="D621" s="25" t="n">
        <x:v>13</x:v>
      </x:c>
      <x:c r="E621" s="25" t="n">
        <x:v>152</x:v>
      </x:c>
      <x:c r="F621" s="25" t="str">
        <x:v>烙印斗笠</x:v>
      </x:c>
      <x:c r="G621" s="25" t="str">
        <x:v>斗笠</x:v>
      </x:c>
      <x:c r="H621" s="25" t="n">
        <x:v>6</x:v>
      </x:c>
      <x:c r="I621" s="25" t="str">
        <x:v>普通</x:v>
      </x:c>
      <x:c r="J621" s="25" t="str">
        <x:v>S07</x:v>
      </x:c>
      <x:c r="K621" s="25" t="str">
        <x:v>140-260</x:v>
      </x:c>
      <x:c r="L621" s="25" t="n">
        <x:v>170000</x:v>
      </x:c>
      <x:c r="M621" s="25" t="n">
        <x:v>0</x:v>
      </x:c>
      <x:c r="N621" s="25" t="str">
        <x:v>否</x:v>
      </x:c>
      <x:c r="O621" s="25" t="n">
        <x:v>0</x:v>
      </x:c>
      <x:c r="P621" s="25" t="n">
        <x:v>0</x:v>
      </x:c>
      <x:c r="Q621" s="25" t="n">
        <x:v>0</x:v>
      </x:c>
      <x:c r="R621" s="25" t="str">
        <x:v>洗练绑定装备；项链幸运绑定人物永久进度；武器幸运成本忽略</x:v>
      </x:c>
    </x:row>
    <x:row r="622">
      <x:c r="A622" s="25" t="str">
        <x:v>C06-X</x:v>
      </x:c>
      <x:c r="B622" s="25" t="str">
        <x:v>盖利德</x:v>
      </x:c>
      <x:c r="C622" s="25" t="str">
        <x:v>极端压力</x:v>
      </x:c>
      <x:c r="D622" s="25" t="n">
        <x:v>16</x:v>
      </x:c>
      <x:c r="E622" s="25" t="n">
        <x:v>153</x:v>
      </x:c>
      <x:c r="F622" s="25" t="str">
        <x:v>赤焰塔盾</x:v>
      </x:c>
      <x:c r="G622" s="25" t="str">
        <x:v>盾牌</x:v>
      </x:c>
      <x:c r="H622" s="25" t="n">
        <x:v>6</x:v>
      </x:c>
      <x:c r="I622" s="25" t="str">
        <x:v>稀有</x:v>
      </x:c>
      <x:c r="J622" s="25" t="str">
        <x:v>S07</x:v>
      </x:c>
      <x:c r="K622" s="25" t="str">
        <x:v>440-840</x:v>
      </x:c>
      <x:c r="L622" s="25" t="n">
        <x:v>1200000</x:v>
      </x:c>
      <x:c r="M622" s="25" t="n">
        <x:v>0</x:v>
      </x:c>
      <x:c r="N622" s="25" t="str">
        <x:v>否</x:v>
      </x:c>
      <x:c r="O622" s="25" t="n">
        <x:v>0</x:v>
      </x:c>
      <x:c r="P622" s="25" t="n">
        <x:v>0</x:v>
      </x:c>
      <x:c r="Q622" s="25" t="n">
        <x:v>0</x:v>
      </x:c>
      <x:c r="R622" s="25" t="str">
        <x:v>洗练绑定装备；项链幸运绑定人物永久进度；武器幸运成本忽略</x:v>
      </x:c>
    </x:row>
    <x:row r="623">
      <x:c r="A623" s="25" t="str">
        <x:v>C06-X</x:v>
      </x:c>
      <x:c r="B623" s="25" t="str">
        <x:v>盖利德</x:v>
      </x:c>
      <x:c r="C623" s="25" t="str">
        <x:v>极端压力</x:v>
      </x:c>
      <x:c r="D623" s="25" t="n">
        <x:v>18</x:v>
      </x:c>
      <x:c r="E623" s="25" t="n">
        <x:v>137</x:v>
      </x:c>
      <x:c r="F623" s="25" t="str">
        <x:v>红狮余烬王衣</x:v>
      </x:c>
      <x:c r="G623" s="25" t="str">
        <x:v>时装衣服</x:v>
      </x:c>
      <x:c r="H623" s="25" t="n">
        <x:v>6</x:v>
      </x:c>
      <x:c r="I623" s="25" t="str">
        <x:v>装备合成</x:v>
      </x:c>
      <x:c r="J623" s="25" t="str">
        <x:v>S07</x:v>
      </x:c>
      <x:c r="K623" s="25" t="str">
        <x:v>780-1500</x:v>
      </x:c>
      <x:c r="L623" s="25" t="n">
        <x:v>5100000</x:v>
      </x:c>
      <x:c r="M623" s="25" t="n">
        <x:v>0</x:v>
      </x:c>
      <x:c r="N623" s="25" t="str">
        <x:v>否</x:v>
      </x:c>
      <x:c r="O623" s="25" t="n">
        <x:v>0</x:v>
      </x:c>
      <x:c r="P623" s="25" t="n">
        <x:v>0</x:v>
      </x:c>
      <x:c r="Q623" s="25" t="n">
        <x:v>0</x:v>
      </x:c>
      <x:c r="R623" s="25" t="str">
        <x:v>洗练绑定装备；项链幸运绑定人物永久进度；武器幸运成本忽略</x:v>
      </x:c>
    </x:row>
    <x:row r="624">
      <x:c r="A624" s="25" t="str">
        <x:v>C06-X</x:v>
      </x:c>
      <x:c r="B624" s="25" t="str">
        <x:v>盖利德</x:v>
      </x:c>
      <x:c r="C624" s="25" t="str">
        <x:v>极端压力</x:v>
      </x:c>
      <x:c r="D624" s="25" t="n">
        <x:v>19</x:v>
      </x:c>
      <x:c r="E624" s="25" t="n">
        <x:v>154</x:v>
      </x:c>
      <x:c r="F624" s="25" t="str">
        <x:v>王城断罪刃</x:v>
      </x:c>
      <x:c r="G624" s="25" t="str">
        <x:v>时装武器</x:v>
      </x:c>
      <x:c r="H624" s="25" t="n">
        <x:v>2</x:v>
      </x:c>
      <x:c r="I624" s="25" t="str">
        <x:v>稀有</x:v>
      </x:c>
      <x:c r="J624" s="25" t="str">
        <x:v>S02</x:v>
      </x:c>
      <x:c r="K624" s="25" t="str">
        <x:v>166-320</x:v>
      </x:c>
      <x:c r="L624" s="25" t="n">
        <x:v>60500</x:v>
      </x:c>
      <x:c r="M624" s="25" t="n">
        <x:v>0</x:v>
      </x:c>
      <x:c r="N624" s="25" t="str">
        <x:v>否</x:v>
      </x:c>
      <x:c r="O624" s="25" t="n">
        <x:v>0</x:v>
      </x:c>
      <x:c r="P624" s="25" t="n">
        <x:v>0</x:v>
      </x:c>
      <x:c r="Q624" s="25" t="n">
        <x:v>0</x:v>
      </x:c>
      <x:c r="R624" s="25" t="str">
        <x:v>洗练绑定装备；项链幸运绑定人物永久进度；武器幸运成本忽略</x:v>
      </x:c>
    </x:row>
    <x:row r="625">
      <x:c r="A625" s="25" t="str">
        <x:v>C06-X</x:v>
      </x:c>
      <x:c r="B625" s="25" t="str">
        <x:v>盖利德</x:v>
      </x:c>
      <x:c r="C625" s="25" t="str">
        <x:v>极端压力</x:v>
      </x:c>
      <x:c r="D625" s="25" t="n">
        <x:v>20</x:v>
      </x:c>
      <x:c r="E625" s="25" t="n">
        <x:v>40</x:v>
      </x:c>
      <x:c r="F625" s="25" t="str">
        <x:v>英雄余誓</x:v>
      </x:c>
      <x:c r="G625" s="25" t="str">
        <x:v>时装项链</x:v>
      </x:c>
      <x:c r="H625" s="25" t="n">
        <x:v>2</x:v>
      </x:c>
      <x:c r="I625" s="25" t="str">
        <x:v>稀有</x:v>
      </x:c>
      <x:c r="J625" s="25" t="str">
        <x:v>S02</x:v>
      </x:c>
      <x:c r="K625" s="25" t="str">
        <x:v>31-60</x:v>
      </x:c>
      <x:c r="L625" s="25" t="n">
        <x:v>17900</x:v>
      </x:c>
      <x:c r="M625" s="25" t="n">
        <x:v>0</x:v>
      </x:c>
      <x:c r="N625" s="25" t="str">
        <x:v>否</x:v>
      </x:c>
      <x:c r="O625" s="25" t="n">
        <x:v>0</x:v>
      </x:c>
      <x:c r="P625" s="25" t="n">
        <x:v>0</x:v>
      </x:c>
      <x:c r="Q625" s="25" t="n">
        <x:v>0</x:v>
      </x:c>
      <x:c r="R625" s="25" t="str">
        <x:v>洗练绑定装备；项链幸运绑定人物永久进度；武器幸运成本忽略</x:v>
      </x:c>
    </x:row>
    <x:row r="626">
      <x:c r="A626" s="25" t="str">
        <x:v>C06-X</x:v>
      </x:c>
      <x:c r="B626" s="25" t="str">
        <x:v>盖利德</x:v>
      </x:c>
      <x:c r="C626" s="25" t="str">
        <x:v>极端压力</x:v>
      </x:c>
      <x:c r="D626" s="25" t="n">
        <x:v>21</x:v>
      </x:c>
      <x:c r="E626" s="25" t="n">
        <x:v>155</x:v>
      </x:c>
      <x:c r="F626" s="25" t="str">
        <x:v>鹰主风冠</x:v>
      </x:c>
      <x:c r="G626" s="25" t="str">
        <x:v>时装头盔</x:v>
      </x:c>
      <x:c r="H626" s="25" t="n">
        <x:v>2</x:v>
      </x:c>
      <x:c r="I626" s="25" t="str">
        <x:v>稀有</x:v>
      </x:c>
      <x:c r="J626" s="25" t="str">
        <x:v>S02</x:v>
      </x:c>
      <x:c r="K626" s="25" t="str">
        <x:v>33-63</x:v>
      </x:c>
      <x:c r="L626" s="25" t="n">
        <x:v>78400</x:v>
      </x:c>
      <x:c r="M626" s="25" t="n">
        <x:v>0</x:v>
      </x:c>
      <x:c r="N626" s="25" t="str">
        <x:v>否</x:v>
      </x:c>
      <x:c r="O626" s="25" t="n">
        <x:v>0</x:v>
      </x:c>
      <x:c r="P626" s="25" t="n">
        <x:v>0</x:v>
      </x:c>
      <x:c r="Q626" s="25" t="n">
        <x:v>0</x:v>
      </x:c>
      <x:c r="R626" s="25" t="str">
        <x:v>洗练绑定装备；项链幸运绑定人物永久进度；武器幸运成本忽略</x:v>
      </x:c>
    </x:row>
    <x:row r="627">
      <x:c r="A627" s="25" t="str">
        <x:v>C06-X</x:v>
      </x:c>
      <x:c r="B627" s="25" t="str">
        <x:v>盖利德</x:v>
      </x:c>
      <x:c r="C627" s="25" t="str">
        <x:v>极端压力</x:v>
      </x:c>
      <x:c r="D627" s="25" t="n">
        <x:v>22</x:v>
      </x:c>
      <x:c r="E627" s="25" t="n">
        <x:v>42</x:v>
      </x:c>
      <x:c r="F627" s="25" t="str">
        <x:v>卢恩血镯</x:v>
      </x:c>
      <x:c r="G627" s="25" t="str">
        <x:v>时装手镯</x:v>
      </x:c>
      <x:c r="H627" s="25" t="n">
        <x:v>2</x:v>
      </x:c>
      <x:c r="I627" s="25" t="str">
        <x:v>稀有</x:v>
      </x:c>
      <x:c r="J627" s="25" t="str">
        <x:v>S02</x:v>
      </x:c>
      <x:c r="K627" s="25" t="str">
        <x:v>42-80</x:v>
      </x:c>
      <x:c r="L627" s="25" t="n">
        <x:v>34400</x:v>
      </x:c>
      <x:c r="M627" s="25" t="n">
        <x:v>0</x:v>
      </x:c>
      <x:c r="N627" s="25" t="str">
        <x:v>否</x:v>
      </x:c>
      <x:c r="O627" s="25" t="n">
        <x:v>0</x:v>
      </x:c>
      <x:c r="P627" s="25" t="n">
        <x:v>0</x:v>
      </x:c>
      <x:c r="Q627" s="25" t="n">
        <x:v>0</x:v>
      </x:c>
      <x:c r="R627" s="25" t="str">
        <x:v>洗练绑定装备；项链幸运绑定人物永久进度；武器幸运成本忽略</x:v>
      </x:c>
    </x:row>
    <x:row r="628">
      <x:c r="A628" s="25" t="str">
        <x:v>C06-X</x:v>
      </x:c>
      <x:c r="B628" s="25" t="str">
        <x:v>盖利德</x:v>
      </x:c>
      <x:c r="C628" s="25" t="str">
        <x:v>极端压力</x:v>
      </x:c>
      <x:c r="D628" s="25" t="n">
        <x:v>23</x:v>
      </x:c>
      <x:c r="E628" s="25" t="n">
        <x:v>156</x:v>
      </x:c>
      <x:c r="F628" s="25" t="str">
        <x:v>卢恩血镯</x:v>
      </x:c>
      <x:c r="G628" s="25" t="str">
        <x:v>时装手镯</x:v>
      </x:c>
      <x:c r="H628" s="25" t="n">
        <x:v>2</x:v>
      </x:c>
      <x:c r="I628" s="25" t="str">
        <x:v>稀有</x:v>
      </x:c>
      <x:c r="J628" s="25" t="str">
        <x:v>S02</x:v>
      </x:c>
      <x:c r="K628" s="25" t="str">
        <x:v>42-80</x:v>
      </x:c>
      <x:c r="L628" s="25" t="n">
        <x:v>34400</x:v>
      </x:c>
      <x:c r="M628" s="25" t="n">
        <x:v>0</x:v>
      </x:c>
      <x:c r="N628" s="25" t="str">
        <x:v>否</x:v>
      </x:c>
      <x:c r="O628" s="25" t="n">
        <x:v>0</x:v>
      </x:c>
      <x:c r="P628" s="25" t="n">
        <x:v>0</x:v>
      </x:c>
      <x:c r="Q628" s="25" t="n">
        <x:v>0</x:v>
      </x:c>
      <x:c r="R628" s="25" t="str">
        <x:v>洗练绑定装备；项链幸运绑定人物永久进度；武器幸运成本忽略</x:v>
      </x:c>
    </x:row>
    <x:row r="629">
      <x:c r="A629" s="25" t="str">
        <x:v>C06-X</x:v>
      </x:c>
      <x:c r="B629" s="25" t="str">
        <x:v>盖利德</x:v>
      </x:c>
      <x:c r="C629" s="25" t="str">
        <x:v>极端压力</x:v>
      </x:c>
      <x:c r="D629" s="25" t="n">
        <x:v>24</x:v>
      </x:c>
      <x:c r="E629" s="25" t="n">
        <x:v>161</x:v>
      </x:c>
      <x:c r="F629" s="25" t="str">
        <x:v>辉月镜戒</x:v>
      </x:c>
      <x:c r="G629" s="25" t="str">
        <x:v>时装戒指</x:v>
      </x:c>
      <x:c r="H629" s="25" t="n">
        <x:v>5</x:v>
      </x:c>
      <x:c r="I629" s="25" t="str">
        <x:v>装备合成</x:v>
      </x:c>
      <x:c r="J629" s="25" t="str">
        <x:v>S07</x:v>
      </x:c>
      <x:c r="K629" s="25" t="str">
        <x:v>570-1100</x:v>
      </x:c>
      <x:c r="L629" s="25" t="n">
        <x:v>550000</x:v>
      </x:c>
      <x:c r="M629" s="25" t="n">
        <x:v>0</x:v>
      </x:c>
      <x:c r="N629" s="25" t="str">
        <x:v>否</x:v>
      </x:c>
      <x:c r="O629" s="25" t="n">
        <x:v>0</x:v>
      </x:c>
      <x:c r="P629" s="25" t="n">
        <x:v>0</x:v>
      </x:c>
      <x:c r="Q629" s="25" t="n">
        <x:v>0</x:v>
      </x:c>
      <x:c r="R629" s="25" t="str">
        <x:v>洗练绑定装备；项链幸运绑定人物永久进度；武器幸运成本忽略</x:v>
      </x:c>
    </x:row>
    <x:row r="630">
      <x:c r="A630" s="25" t="str">
        <x:v>C06-X</x:v>
      </x:c>
      <x:c r="B630" s="25" t="str">
        <x:v>盖利德</x:v>
      </x:c>
      <x:c r="C630" s="25" t="str">
        <x:v>极端压力</x:v>
      </x:c>
      <x:c r="D630" s="25" t="n">
        <x:v>25</x:v>
      </x:c>
      <x:c r="E630" s="25" t="n">
        <x:v>157</x:v>
      </x:c>
      <x:c r="F630" s="25" t="str">
        <x:v>黄金树戒</x:v>
      </x:c>
      <x:c r="G630" s="25" t="str">
        <x:v>时装戒指</x:v>
      </x:c>
      <x:c r="H630" s="25" t="n">
        <x:v>2</x:v>
      </x:c>
      <x:c r="I630" s="25" t="str">
        <x:v>稀有</x:v>
      </x:c>
      <x:c r="J630" s="25" t="str">
        <x:v>S02</x:v>
      </x:c>
      <x:c r="K630" s="25" t="str">
        <x:v>42-80</x:v>
      </x:c>
      <x:c r="L630" s="25" t="n">
        <x:v>34400</x:v>
      </x:c>
      <x:c r="M630" s="25" t="n">
        <x:v>0</x:v>
      </x:c>
      <x:c r="N630" s="25" t="str">
        <x:v>否</x:v>
      </x:c>
      <x:c r="O630" s="25" t="n">
        <x:v>0</x:v>
      </x:c>
      <x:c r="P630" s="25" t="n">
        <x:v>0</x:v>
      </x:c>
      <x:c r="Q630" s="25" t="n">
        <x:v>0</x:v>
      </x:c>
      <x:c r="R630" s="25" t="str">
        <x:v>洗练绑定装备；项链幸运绑定人物永久进度；武器幸运成本忽略</x:v>
      </x:c>
    </x:row>
    <x:row r="631">
      <x:c r="A631" s="25" t="str">
        <x:v>C06-X</x:v>
      </x:c>
      <x:c r="B631" s="25" t="str">
        <x:v>盖利德</x:v>
      </x:c>
      <x:c r="C631" s="25" t="str">
        <x:v>极端压力</x:v>
      </x:c>
      <x:c r="D631" s="25" t="n">
        <x:v>40</x:v>
      </x:c>
      <x:c r="E631" s="25" t="n">
        <x:v>44</x:v>
      </x:c>
      <x:c r="F631" s="25" t="str">
        <x:v>腐树子鼠</x:v>
      </x:c>
      <x:c r="G631" s="25" t="str">
        <x:v>生肖1</x:v>
      </x:c>
      <x:c r="H631" s="25" t="n">
        <x:v>2</x:v>
      </x:c>
      <x:c r="I631" s="25" t="str">
        <x:v>BOSS</x:v>
      </x:c>
      <x:c r="J631" s="25" t="str">
        <x:v>S02</x:v>
      </x:c>
      <x:c r="K631" s="25" t="str">
        <x:v>29-56</x:v>
      </x:c>
      <x:c r="L631" s="25" t="n">
        <x:v>23600</x:v>
      </x:c>
      <x:c r="M631" s="25" t="n">
        <x:v>0</x:v>
      </x:c>
      <x:c r="N631" s="25" t="str">
        <x:v>否</x:v>
      </x:c>
      <x:c r="O631" s="25" t="n">
        <x:v>0</x:v>
      </x:c>
      <x:c r="P631" s="25" t="n">
        <x:v>0</x:v>
      </x:c>
      <x:c r="Q631" s="25" t="n">
        <x:v>0</x:v>
      </x:c>
      <x:c r="R631" s="25" t="str">
        <x:v>洗练绑定装备；项链幸运绑定人物永久进度；武器幸运成本忽略</x:v>
      </x:c>
    </x:row>
    <x:row r="632">
      <x:c r="A632" s="25" t="str">
        <x:v>C06-X</x:v>
      </x:c>
      <x:c r="B632" s="25" t="str">
        <x:v>盖利德</x:v>
      </x:c>
      <x:c r="C632" s="25" t="str">
        <x:v>极端压力</x:v>
      </x:c>
      <x:c r="D632" s="25" t="n">
        <x:v>41</x:v>
      </x:c>
      <x:c r="E632" s="25" t="n">
        <x:v>69</x:v>
      </x:c>
      <x:c r="F632" s="25" t="str">
        <x:v>丑牛·风暴负山</x:v>
      </x:c>
      <x:c r="G632" s="25" t="str">
        <x:v>生肖2</x:v>
      </x:c>
      <x:c r="H632" s="25" t="n">
        <x:v>2</x:v>
      </x:c>
      <x:c r="I632" s="25" t="str">
        <x:v>生肖合成</x:v>
      </x:c>
      <x:c r="J632" s="25" t="str">
        <x:v>S07</x:v>
      </x:c>
      <x:c r="K632" s="25" t="str">
        <x:v>25-49</x:v>
      </x:c>
      <x:c r="L632" s="25" t="n">
        <x:v>64000</x:v>
      </x:c>
      <x:c r="M632" s="25" t="n">
        <x:v>0</x:v>
      </x:c>
      <x:c r="N632" s="25" t="str">
        <x:v>否</x:v>
      </x:c>
      <x:c r="O632" s="25" t="n">
        <x:v>0</x:v>
      </x:c>
      <x:c r="P632" s="25" t="n">
        <x:v>0</x:v>
      </x:c>
      <x:c r="Q632" s="25" t="n">
        <x:v>0</x:v>
      </x:c>
      <x:c r="R632" s="25" t="str">
        <x:v>洗练绑定装备；项链幸运绑定人物永久进度；武器幸运成本忽略</x:v>
      </x:c>
    </x:row>
    <x:row r="633">
      <x:c r="A633" s="25" t="str">
        <x:v>C06-X</x:v>
      </x:c>
      <x:c r="B633" s="25" t="str">
        <x:v>盖利德</x:v>
      </x:c>
      <x:c r="C633" s="25" t="str">
        <x:v>极端压力</x:v>
      </x:c>
      <x:c r="D633" s="25" t="n">
        <x:v>42</x:v>
      </x:c>
      <x:c r="E633" s="25" t="n">
        <x:v>138</x:v>
      </x:c>
      <x:c r="F633" s="25" t="str">
        <x:v>寅虎·红狮焚原</x:v>
      </x:c>
      <x:c r="G633" s="25" t="str">
        <x:v>生肖3</x:v>
      </x:c>
      <x:c r="H633" s="25" t="n">
        <x:v>6</x:v>
      </x:c>
      <x:c r="I633" s="25" t="str">
        <x:v>生肖合成</x:v>
      </x:c>
      <x:c r="J633" s="25" t="str">
        <x:v>S07</x:v>
      </x:c>
      <x:c r="K633" s="25" t="str">
        <x:v>250-490</x:v>
      </x:c>
      <x:c r="L633" s="25" t="n">
        <x:v>640000</x:v>
      </x:c>
      <x:c r="M633" s="25" t="n">
        <x:v>0</x:v>
      </x:c>
      <x:c r="N633" s="25" t="str">
        <x:v>否</x:v>
      </x:c>
      <x:c r="O633" s="25" t="n">
        <x:v>0</x:v>
      </x:c>
      <x:c r="P633" s="25" t="n">
        <x:v>0</x:v>
      </x:c>
      <x:c r="Q633" s="25" t="n">
        <x:v>0</x:v>
      </x:c>
      <x:c r="R633" s="25" t="str">
        <x:v>洗练绑定装备；项链幸运绑定人物永久进度；武器幸运成本忽略</x:v>
      </x:c>
    </x:row>
    <x:row r="634">
      <x:c r="A634" s="25" t="str">
        <x:v>C06-X</x:v>
      </x:c>
      <x:c r="B634" s="25" t="str">
        <x:v>盖利德</x:v>
      </x:c>
      <x:c r="C634" s="25" t="str">
        <x:v>极端压力</x:v>
      </x:c>
      <x:c r="D634" s="25" t="n">
        <x:v>43</x:v>
      </x:c>
      <x:c r="E634" s="25" t="n">
        <x:v>127</x:v>
      </x:c>
      <x:c r="F634" s="25" t="str">
        <x:v>卯兔·镜月折辉</x:v>
      </x:c>
      <x:c r="G634" s="25" t="str">
        <x:v>生肖4</x:v>
      </x:c>
      <x:c r="H634" s="25" t="n">
        <x:v>5</x:v>
      </x:c>
      <x:c r="I634" s="25" t="str">
        <x:v>生肖合成</x:v>
      </x:c>
      <x:c r="J634" s="25" t="str">
        <x:v>S07</x:v>
      </x:c>
      <x:c r="K634" s="25" t="str">
        <x:v>150-280</x:v>
      </x:c>
      <x:c r="L634" s="25" t="n">
        <x:v>360000</x:v>
      </x:c>
      <x:c r="M634" s="25" t="n">
        <x:v>0</x:v>
      </x:c>
      <x:c r="N634" s="25" t="str">
        <x:v>否</x:v>
      </x:c>
      <x:c r="O634" s="25" t="n">
        <x:v>0</x:v>
      </x:c>
      <x:c r="P634" s="25" t="n">
        <x:v>0</x:v>
      </x:c>
      <x:c r="Q634" s="25" t="n">
        <x:v>0</x:v>
      </x:c>
      <x:c r="R634" s="25" t="str">
        <x:v>洗练绑定装备；项链幸运绑定人物永久进度；武器幸运成本忽略</x:v>
      </x:c>
    </x:row>
    <x:row r="635">
      <x:c r="A635" s="25" t="str">
        <x:v>C06-X</x:v>
      </x:c>
      <x:c r="B635" s="25" t="str">
        <x:v>盖利德</x:v>
      </x:c>
      <x:c r="C635" s="25" t="str">
        <x:v>极端压力</x:v>
      </x:c>
      <x:c r="D635" s="25" t="n">
        <x:v>44</x:v>
      </x:c>
      <x:c r="E635" s="25" t="n">
        <x:v>91</x:v>
      </x:c>
      <x:c r="F635" s="25" t="str">
        <x:v>辰龙·荒原逐风</x:v>
      </x:c>
      <x:c r="G635" s="25" t="str">
        <x:v>生肖5</x:v>
      </x:c>
      <x:c r="H635" s="25" t="n">
        <x:v>3</x:v>
      </x:c>
      <x:c r="I635" s="25" t="str">
        <x:v>生肖合成</x:v>
      </x:c>
      <x:c r="J635" s="25" t="str">
        <x:v>S07</x:v>
      </x:c>
      <x:c r="K635" s="25" t="str">
        <x:v>47-90</x:v>
      </x:c>
      <x:c r="L635" s="25" t="n">
        <x:v>120000</x:v>
      </x:c>
      <x:c r="M635" s="25" t="n">
        <x:v>0</x:v>
      </x:c>
      <x:c r="N635" s="25" t="str">
        <x:v>否</x:v>
      </x:c>
      <x:c r="O635" s="25" t="n">
        <x:v>0</x:v>
      </x:c>
      <x:c r="P635" s="25" t="n">
        <x:v>0</x:v>
      </x:c>
      <x:c r="Q635" s="25" t="n">
        <x:v>0</x:v>
      </x:c>
      <x:c r="R635" s="25" t="str">
        <x:v>洗练绑定装备；项链幸运绑定人物永久进度；武器幸运成本忽略</x:v>
      </x:c>
    </x:row>
    <x:row r="636">
      <x:c r="A636" s="25" t="str">
        <x:v>C06-X</x:v>
      </x:c>
      <x:c r="B636" s="25" t="str">
        <x:v>盖利德</x:v>
      </x:c>
      <x:c r="C636" s="25" t="str">
        <x:v>极端压力</x:v>
      </x:c>
      <x:c r="D636" s="25" t="n">
        <x:v>45</x:v>
      </x:c>
      <x:c r="E636" s="25" t="n">
        <x:v>107</x:v>
      </x:c>
      <x:c r="F636" s="25" t="str">
        <x:v>巳蛇·沉潮缚月</x:v>
      </x:c>
      <x:c r="G636" s="25" t="str">
        <x:v>生肖6</x:v>
      </x:c>
      <x:c r="H636" s="25" t="n">
        <x:v>4</x:v>
      </x:c>
      <x:c r="I636" s="25" t="str">
        <x:v>生肖合成</x:v>
      </x:c>
      <x:c r="J636" s="25" t="str">
        <x:v>S07</x:v>
      </x:c>
      <x:c r="K636" s="25" t="str">
        <x:v>83-160</x:v>
      </x:c>
      <x:c r="L636" s="25" t="n">
        <x:v>200000</x:v>
      </x:c>
      <x:c r="M636" s="25" t="n">
        <x:v>0</x:v>
      </x:c>
      <x:c r="N636" s="25" t="str">
        <x:v>否</x:v>
      </x:c>
      <x:c r="O636" s="25" t="n">
        <x:v>0</x:v>
      </x:c>
      <x:c r="P636" s="25" t="n">
        <x:v>0</x:v>
      </x:c>
      <x:c r="Q636" s="25" t="n">
        <x:v>0</x:v>
      </x:c>
      <x:c r="R636" s="25" t="str">
        <x:v>洗练绑定装备；项链幸运绑定人物永久进度；武器幸运成本忽略</x:v>
      </x:c>
    </x:row>
    <x:row r="637">
      <x:c r="A637" s="25" t="str">
        <x:v>C06-X</x:v>
      </x:c>
      <x:c r="B637" s="25" t="str">
        <x:v>盖利德</x:v>
      </x:c>
      <x:c r="C637" s="25" t="str">
        <x:v>极端压力</x:v>
      </x:c>
      <x:c r="D637" s="25" t="n">
        <x:v>46</x:v>
      </x:c>
      <x:c r="E637" s="25" t="n">
        <x:v>80</x:v>
      </x:c>
      <x:c r="F637" s="25" t="str">
        <x:v>死水午马</x:v>
      </x:c>
      <x:c r="G637" s="25" t="str">
        <x:v>生肖7</x:v>
      </x:c>
      <x:c r="H637" s="25" t="n">
        <x:v>2</x:v>
      </x:c>
      <x:c r="I637" s="25" t="str">
        <x:v>BOSS</x:v>
      </x:c>
      <x:c r="J637" s="25" t="str">
        <x:v>S02</x:v>
      </x:c>
      <x:c r="K637" s="25" t="str">
        <x:v>38-74</x:v>
      </x:c>
      <x:c r="L637" s="25" t="n">
        <x:v>45300</x:v>
      </x:c>
      <x:c r="M637" s="25" t="n">
        <x:v>0</x:v>
      </x:c>
      <x:c r="N637" s="25" t="str">
        <x:v>否</x:v>
      </x:c>
      <x:c r="O637" s="25" t="n">
        <x:v>0</x:v>
      </x:c>
      <x:c r="P637" s="25" t="n">
        <x:v>0</x:v>
      </x:c>
      <x:c r="Q637" s="25" t="n">
        <x:v>0</x:v>
      </x:c>
      <x:c r="R637" s="25" t="str">
        <x:v>洗练绑定装备；项链幸运绑定人物永久进度；武器幸运成本忽略</x:v>
      </x:c>
    </x:row>
    <x:row r="638">
      <x:c r="A638" s="25" t="str">
        <x:v>C06-X</x:v>
      </x:c>
      <x:c r="B638" s="25" t="str">
        <x:v>盖利德</x:v>
      </x:c>
      <x:c r="C638" s="25" t="str">
        <x:v>极端压力</x:v>
      </x:c>
      <x:c r="D638" s="25" t="n">
        <x:v>47</x:v>
      </x:c>
      <x:c r="E638" s="25" t="n">
        <x:v>67</x:v>
      </x:c>
      <x:c r="F638" s="25" t="str">
        <x:v>葬日未羊</x:v>
      </x:c>
      <x:c r="G638" s="25" t="str">
        <x:v>生肖8</x:v>
      </x:c>
      <x:c r="H638" s="25" t="n">
        <x:v>2</x:v>
      </x:c>
      <x:c r="I638" s="25" t="str">
        <x:v>稀有</x:v>
      </x:c>
      <x:c r="J638" s="25" t="str">
        <x:v>S02</x:v>
      </x:c>
      <x:c r="K638" s="25" t="str">
        <x:v>37-72</x:v>
      </x:c>
      <x:c r="L638" s="25" t="n">
        <x:v>51600</x:v>
      </x:c>
      <x:c r="M638" s="25" t="n">
        <x:v>0</x:v>
      </x:c>
      <x:c r="N638" s="25" t="str">
        <x:v>否</x:v>
      </x:c>
      <x:c r="O638" s="25" t="n">
        <x:v>0</x:v>
      </x:c>
      <x:c r="P638" s="25" t="n">
        <x:v>0</x:v>
      </x:c>
      <x:c r="Q638" s="25" t="n">
        <x:v>0</x:v>
      </x:c>
      <x:c r="R638" s="25" t="str">
        <x:v>洗练绑定装备；项链幸运绑定人物永久进度；武器幸运成本忽略</x:v>
      </x:c>
    </x:row>
    <x:row r="639">
      <x:c r="A639" s="25" t="str">
        <x:v>C06-X</x:v>
      </x:c>
      <x:c r="B639" s="25" t="str">
        <x:v>盖利德</x:v>
      </x:c>
      <x:c r="C639" s="25" t="str">
        <x:v>极端压力</x:v>
      </x:c>
      <x:c r="D639" s="25" t="n">
        <x:v>48</x:v>
      </x:c>
      <x:c r="E639" s="25" t="n">
        <x:v>81</x:v>
      </x:c>
      <x:c r="F639" s="25" t="str">
        <x:v>雷冠申猴</x:v>
      </x:c>
      <x:c r="G639" s="25" t="str">
        <x:v>生肖9</x:v>
      </x:c>
      <x:c r="H639" s="25" t="n">
        <x:v>2</x:v>
      </x:c>
      <x:c r="I639" s="25" t="str">
        <x:v>BOSS</x:v>
      </x:c>
      <x:c r="J639" s="25" t="str">
        <x:v>S02</x:v>
      </x:c>
      <x:c r="K639" s="25" t="str">
        <x:v>44-84</x:v>
      </x:c>
      <x:c r="L639" s="25" t="n">
        <x:v>59800</x:v>
      </x:c>
      <x:c r="M639" s="25" t="n">
        <x:v>0</x:v>
      </x:c>
      <x:c r="N639" s="25" t="str">
        <x:v>否</x:v>
      </x:c>
      <x:c r="O639" s="25" t="n">
        <x:v>0</x:v>
      </x:c>
      <x:c r="P639" s="25" t="n">
        <x:v>0</x:v>
      </x:c>
      <x:c r="Q639" s="25" t="n">
        <x:v>0</x:v>
      </x:c>
      <x:c r="R639" s="25" t="str">
        <x:v>洗练绑定装备；项链幸运绑定人物永久进度；武器幸运成本忽略</x:v>
      </x:c>
    </x:row>
    <x:row r="640">
      <x:c r="A640" s="25" t="str">
        <x:v>C06-X</x:v>
      </x:c>
      <x:c r="B640" s="25" t="str">
        <x:v>盖利德</x:v>
      </x:c>
      <x:c r="C640" s="25" t="str">
        <x:v>极端压力</x:v>
      </x:c>
      <x:c r="D640" s="25" t="n">
        <x:v>49</x:v>
      </x:c>
      <x:c r="E640" s="25" t="n">
        <x:v>82</x:v>
      </x:c>
      <x:c r="F640" s="25" t="str">
        <x:v>恶兆酉鸡</x:v>
      </x:c>
      <x:c r="G640" s="25" t="str">
        <x:v>生肖10</x:v>
      </x:c>
      <x:c r="H640" s="25" t="n">
        <x:v>2</x:v>
      </x:c>
      <x:c r="I640" s="25" t="str">
        <x:v>BOSS</x:v>
      </x:c>
      <x:c r="J640" s="25" t="str">
        <x:v>S02</x:v>
      </x:c>
      <x:c r="K640" s="25" t="str">
        <x:v>44-84</x:v>
      </x:c>
      <x:c r="L640" s="25" t="n">
        <x:v>59800</x:v>
      </x:c>
      <x:c r="M640" s="25" t="n">
        <x:v>0</x:v>
      </x:c>
      <x:c r="N640" s="25" t="str">
        <x:v>否</x:v>
      </x:c>
      <x:c r="O640" s="25" t="n">
        <x:v>0</x:v>
      </x:c>
      <x:c r="P640" s="25" t="n">
        <x:v>0</x:v>
      </x:c>
      <x:c r="Q640" s="25" t="n">
        <x:v>0</x:v>
      </x:c>
      <x:c r="R640" s="25" t="str">
        <x:v>洗练绑定装备；项链幸运绑定人物永久进度；武器幸运成本忽略</x:v>
      </x:c>
    </x:row>
    <x:row r="641">
      <x:c r="A641" s="25" t="str">
        <x:v>C06-X</x:v>
      </x:c>
      <x:c r="B641" s="25" t="str">
        <x:v>盖利德</x:v>
      </x:c>
      <x:c r="C641" s="25" t="str">
        <x:v>极端压力</x:v>
      </x:c>
      <x:c r="D641" s="25" t="n">
        <x:v>50</x:v>
      </x:c>
      <x:c r="E641" s="25" t="n">
        <x:v>83</x:v>
      </x:c>
      <x:c r="F641" s="25" t="str">
        <x:v>失乡戌狗</x:v>
      </x:c>
      <x:c r="G641" s="25" t="str">
        <x:v>生肖11</x:v>
      </x:c>
      <x:c r="H641" s="25" t="n">
        <x:v>2</x:v>
      </x:c>
      <x:c r="I641" s="25" t="str">
        <x:v>BOSS</x:v>
      </x:c>
      <x:c r="J641" s="25" t="str">
        <x:v>S02</x:v>
      </x:c>
      <x:c r="K641" s="25" t="str">
        <x:v>48-93</x:v>
      </x:c>
      <x:c r="L641" s="25" t="n">
        <x:v>79800</x:v>
      </x:c>
      <x:c r="M641" s="25" t="n">
        <x:v>0</x:v>
      </x:c>
      <x:c r="N641" s="25" t="str">
        <x:v>否</x:v>
      </x:c>
      <x:c r="O641" s="25" t="n">
        <x:v>0</x:v>
      </x:c>
      <x:c r="P641" s="25" t="n">
        <x:v>0</x:v>
      </x:c>
      <x:c r="Q641" s="25" t="n">
        <x:v>0</x:v>
      </x:c>
      <x:c r="R641" s="25" t="str">
        <x:v>洗练绑定装备；项链幸运绑定人物永久进度；武器幸运成本忽略</x:v>
      </x:c>
    </x:row>
    <x:row r="642">
      <x:c r="A642" s="25" t="str">
        <x:v>C06-X</x:v>
      </x:c>
      <x:c r="B642" s="25" t="str">
        <x:v>盖利德</x:v>
      </x:c>
      <x:c r="C642" s="25" t="str">
        <x:v>极端压力</x:v>
      </x:c>
      <x:c r="D642" s="25" t="n">
        <x:v>51</x:v>
      </x:c>
      <x:c r="E642" s="25" t="n">
        <x:v>84</x:v>
      </x:c>
      <x:c r="F642" s="25" t="str">
        <x:v>接肢亥猪</x:v>
      </x:c>
      <x:c r="G642" s="25" t="str">
        <x:v>生肖12</x:v>
      </x:c>
      <x:c r="H642" s="25" t="n">
        <x:v>2</x:v>
      </x:c>
      <x:c r="I642" s="25" t="str">
        <x:v>守关BOSS</x:v>
      </x:c>
      <x:c r="J642" s="25" t="str">
        <x:v>S02</x:v>
      </x:c>
      <x:c r="K642" s="25" t="str">
        <x:v>55-106</x:v>
      </x:c>
      <x:c r="L642" s="25" t="n">
        <x:v>90800</x:v>
      </x:c>
      <x:c r="M642" s="25" t="n">
        <x:v>0</x:v>
      </x:c>
      <x:c r="N642" s="25" t="str">
        <x:v>否</x:v>
      </x:c>
      <x:c r="O642" s="25" t="n">
        <x:v>0</x:v>
      </x:c>
      <x:c r="P642" s="25" t="n">
        <x:v>0</x:v>
      </x:c>
      <x:c r="Q642" s="25" t="n">
        <x:v>0</x:v>
      </x:c>
      <x:c r="R642" s="25" t="str">
        <x:v>洗练绑定装备；项链幸运绑定人物永久进度；武器幸运成本忽略</x:v>
      </x:c>
    </x:row>
    <x:row r="643">
      <x:c r="A643" s="25" t="str">
        <x:v>C06-X</x:v>
      </x:c>
      <x:c r="B643" s="25" t="str">
        <x:v>盖利德</x:v>
      </x:c>
      <x:c r="C643" s="25" t="str">
        <x:v>极端压力</x:v>
      </x:c>
      <x:c r="D643" s="25" t="n">
        <x:v>70</x:v>
      </x:c>
      <x:c r="E643" s="25" t="n">
        <x:v>160</x:v>
      </x:c>
      <x:c r="F643" s="25" t="str">
        <x:v>闭潮秘饰</x:v>
      </x:c>
      <x:c r="G643" s="25" t="str">
        <x:v>时装首饰盒</x:v>
      </x:c>
      <x:c r="H643" s="25" t="n">
        <x:v>4</x:v>
      </x:c>
      <x:c r="I643" s="25" t="str">
        <x:v>装备合成</x:v>
      </x:c>
      <x:c r="J643" s="25" t="str">
        <x:v>S07</x:v>
      </x:c>
      <x:c r="K643" s="25" t="str">
        <x:v>230-450</x:v>
      </x:c>
      <x:c r="L643" s="25" t="n">
        <x:v>460000</x:v>
      </x:c>
      <x:c r="M643" s="25" t="n">
        <x:v>0</x:v>
      </x:c>
      <x:c r="N643" s="25" t="str">
        <x:v>否</x:v>
      </x:c>
      <x:c r="O643" s="25" t="n">
        <x:v>0</x:v>
      </x:c>
      <x:c r="P643" s="25" t="n">
        <x:v>0</x:v>
      </x:c>
      <x:c r="Q643" s="25" t="n">
        <x:v>0</x:v>
      </x:c>
      <x:c r="R643" s="25" t="str">
        <x:v>洗练绑定装备；项链幸运绑定人物永久进度；武器幸运成本忽略</x:v>
      </x:c>
    </x:row>
    <x:row r="644">
      <x:c r="A644" s="25" t="str">
        <x:v>C07-E</x:v>
      </x:c>
      <x:c r="B644" s="25" t="str">
        <x:v>化圣雪原</x:v>
      </x:c>
      <x:c r="C644" s="25" t="str">
        <x:v>半急速入场</x:v>
      </x:c>
      <x:c r="D644" s="25" t="n">
        <x:v>0</x:v>
      </x:c>
      <x:c r="E644" s="25" t="n">
        <x:v>129</x:v>
      </x:c>
      <x:c r="F644" s="25" t="str">
        <x:v>静潮祷仪袍</x:v>
      </x:c>
      <x:c r="G644" s="25" t="str">
        <x:v>衣服</x:v>
      </x:c>
      <x:c r="H644" s="25" t="n">
        <x:v>5</x:v>
      </x:c>
      <x:c r="I644" s="25" t="str">
        <x:v>稀有</x:v>
      </x:c>
      <x:c r="J644" s="25" t="str">
        <x:v>S07</x:v>
      </x:c>
      <x:c r="K644" s="25" t="str">
        <x:v>190-370</x:v>
      </x:c>
      <x:c r="L644" s="25" t="n">
        <x:v>850000</x:v>
      </x:c>
      <x:c r="M644" s="25" t="n">
        <x:v>5</x:v>
      </x:c>
      <x:c r="N644" s="25" t="str">
        <x:v>否</x:v>
      </x:c>
      <x:c r="O644" s="25" t="n">
        <x:v>0</x:v>
      </x:c>
      <x:c r="P644" s="25" t="n">
        <x:v>0</x:v>
      </x:c>
      <x:c r="Q644" s="25" t="n">
        <x:v>0</x:v>
      </x:c>
      <x:c r="R644" s="25" t="str">
        <x:v>洗练绑定装备；项链幸运绑定人物永久进度；武器幸运成本忽略</x:v>
      </x:c>
    </x:row>
    <x:row r="645">
      <x:c r="A645" s="25" t="str">
        <x:v>C07-E</x:v>
      </x:c>
      <x:c r="B645" s="25" t="str">
        <x:v>化圣雪原</x:v>
      </x:c>
      <x:c r="C645" s="25" t="str">
        <x:v>半急速入场</x:v>
      </x:c>
      <x:c r="D645" s="25" t="n">
        <x:v>1</x:v>
      </x:c>
      <x:c r="E645" s="25" t="n">
        <x:v>126</x:v>
      </x:c>
      <x:c r="F645" s="25" t="str">
        <x:v>卡利亚月裁长刃</x:v>
      </x:c>
      <x:c r="G645" s="25" t="str">
        <x:v>武器</x:v>
      </x:c>
      <x:c r="H645" s="25" t="n">
        <x:v>5</x:v>
      </x:c>
      <x:c r="I645" s="25" t="str">
        <x:v>装备合成</x:v>
      </x:c>
      <x:c r="J645" s="25" t="str">
        <x:v>S07</x:v>
      </x:c>
      <x:c r="K645" s="25" t="str">
        <x:v>4200-8000</x:v>
      </x:c>
      <x:c r="L645" s="25" t="n">
        <x:v>480000</x:v>
      </x:c>
      <x:c r="M645" s="25" t="n">
        <x:v>8</x:v>
      </x:c>
      <x:c r="N645" s="25" t="str">
        <x:v>是</x:v>
      </x:c>
      <x:c r="O645" s="25" t="n">
        <x:v>7</x:v>
      </x:c>
      <x:c r="P645" s="25" t="n">
        <x:v>0</x:v>
      </x:c>
      <x:c r="Q645" s="25" t="n">
        <x:v>0</x:v>
      </x:c>
      <x:c r="R645" s="25" t="str">
        <x:v>洗练绑定装备；项链幸运绑定人物永久进度；武器幸运成本忽略</x:v>
      </x:c>
    </x:row>
    <x:row r="646">
      <x:c r="A646" s="25" t="str">
        <x:v>C07-E</x:v>
      </x:c>
      <x:c r="B646" s="25" t="str">
        <x:v>化圣雪原</x:v>
      </x:c>
      <x:c r="C646" s="25" t="str">
        <x:v>半急速入场</x:v>
      </x:c>
      <x:c r="D646" s="25" t="n">
        <x:v>2</x:v>
      </x:c>
      <x:c r="E646" s="25" t="n">
        <x:v>134</x:v>
      </x:c>
      <x:c r="F646" s="25" t="str">
        <x:v>琉潮白鳍章</x:v>
      </x:c>
      <x:c r="G646" s="25" t="str">
        <x:v>勋章</x:v>
      </x:c>
      <x:c r="H646" s="25" t="n">
        <x:v>5</x:v>
      </x:c>
      <x:c r="I646" s="25" t="str">
        <x:v>稀有</x:v>
      </x:c>
      <x:c r="J646" s="25" t="str">
        <x:v>S07</x:v>
      </x:c>
      <x:c r="K646" s="25" t="str">
        <x:v>250-480</x:v>
      </x:c>
      <x:c r="L646" s="25" t="n">
        <x:v>260000</x:v>
      </x:c>
      <x:c r="M646" s="25" t="n">
        <x:v>0</x:v>
      </x:c>
      <x:c r="N646" s="25" t="str">
        <x:v>否</x:v>
      </x:c>
      <x:c r="O646" s="25" t="n">
        <x:v>0</x:v>
      </x:c>
      <x:c r="P646" s="25" t="n">
        <x:v>0</x:v>
      </x:c>
      <x:c r="Q646" s="25" t="n">
        <x:v>0</x:v>
      </x:c>
      <x:c r="R646" s="25" t="str">
        <x:v>洗练绑定装备；项链幸运绑定人物永久进度；武器幸运成本忽略</x:v>
      </x:c>
    </x:row>
    <x:row r="647">
      <x:c r="A647" s="25" t="str">
        <x:v>C07-E</x:v>
      </x:c>
      <x:c r="B647" s="25" t="str">
        <x:v>化圣雪原</x:v>
      </x:c>
      <x:c r="C647" s="25" t="str">
        <x:v>半急速入场</x:v>
      </x:c>
      <x:c r="D647" s="25" t="n">
        <x:v>3</x:v>
      </x:c>
      <x:c r="E647" s="25" t="n">
        <x:v>139</x:v>
      </x:c>
      <x:c r="F647" s="25" t="str">
        <x:v>诱猎声坠</x:v>
      </x:c>
      <x:c r="G647" s="25" t="str">
        <x:v>项链</x:v>
      </x:c>
      <x:c r="H647" s="25" t="n">
        <x:v>4</x:v>
      </x:c>
      <x:c r="I647" s="25" t="str">
        <x:v>稀有</x:v>
      </x:c>
      <x:c r="J647" s="25" t="str">
        <x:v>S07</x:v>
      </x:c>
      <x:c r="K647" s="25" t="str">
        <x:v>160-300</x:v>
      </x:c>
      <x:c r="L647" s="25" t="n">
        <x:v>130000</x:v>
      </x:c>
      <x:c r="M647" s="25" t="n">
        <x:v>3</x:v>
      </x:c>
      <x:c r="N647" s="25" t="str">
        <x:v>否</x:v>
      </x:c>
      <x:c r="O647" s="25" t="n">
        <x:v>0</x:v>
      </x:c>
      <x:c r="P647" s="25" t="n">
        <x:v>0</x:v>
      </x:c>
      <x:c r="Q647" s="25" t="n">
        <x:v>0</x:v>
      </x:c>
      <x:c r="R647" s="25" t="str">
        <x:v>洗练绑定装备；项链幸运绑定人物永久进度；武器幸运成本忽略</x:v>
      </x:c>
    </x:row>
    <x:row r="648">
      <x:c r="A648" s="25" t="str">
        <x:v>C07-E</x:v>
      </x:c>
      <x:c r="B648" s="25" t="str">
        <x:v>化圣雪原</x:v>
      </x:c>
      <x:c r="C648" s="25" t="str">
        <x:v>半急速入场</x:v>
      </x:c>
      <x:c r="D648" s="25" t="n">
        <x:v>4</x:v>
      </x:c>
      <x:c r="E648" s="25" t="n">
        <x:v>130</x:v>
      </x:c>
      <x:c r="F648" s="25" t="str">
        <x:v>镜荷眠梦冠</x:v>
      </x:c>
      <x:c r="G648" s="25" t="str">
        <x:v>头盔</x:v>
      </x:c>
      <x:c r="H648" s="25" t="n">
        <x:v>5</x:v>
      </x:c>
      <x:c r="I648" s="25" t="str">
        <x:v>稀有</x:v>
      </x:c>
      <x:c r="J648" s="25" t="str">
        <x:v>S07</x:v>
      </x:c>
      <x:c r="K648" s="25" t="str">
        <x:v>160-310</x:v>
      </x:c>
      <x:c r="L648" s="25" t="n">
        <x:v>320000</x:v>
      </x:c>
      <x:c r="M648" s="25" t="n">
        <x:v>4</x:v>
      </x:c>
      <x:c r="N648" s="25" t="str">
        <x:v>否</x:v>
      </x:c>
      <x:c r="O648" s="25" t="n">
        <x:v>0</x:v>
      </x:c>
      <x:c r="P648" s="25" t="n">
        <x:v>0</x:v>
      </x:c>
      <x:c r="Q648" s="25" t="n">
        <x:v>0</x:v>
      </x:c>
      <x:c r="R648" s="25" t="str">
        <x:v>洗练绑定装备；项链幸运绑定人物永久进度；武器幸运成本忽略</x:v>
      </x:c>
    </x:row>
    <x:row r="649">
      <x:c r="A649" s="25" t="str">
        <x:v>C07-E</x:v>
      </x:c>
      <x:c r="B649" s="25" t="str">
        <x:v>化圣雪原</x:v>
      </x:c>
      <x:c r="C649" s="25" t="str">
        <x:v>半急速入场</x:v>
      </x:c>
      <x:c r="D649" s="25" t="n">
        <x:v>5</x:v>
      </x:c>
      <x:c r="E649" s="25" t="n">
        <x:v>113</x:v>
      </x:c>
      <x:c r="F649" s="25" t="str">
        <x:v>百指腕甲</x:v>
      </x:c>
      <x:c r="G649" s="25" t="str">
        <x:v>手镯</x:v>
      </x:c>
      <x:c r="H649" s="25" t="n">
        <x:v>2</x:v>
      </x:c>
      <x:c r="I649" s="25" t="str">
        <x:v>普通</x:v>
      </x:c>
      <x:c r="J649" s="25" t="str">
        <x:v>S02</x:v>
      </x:c>
      <x:c r="K649" s="25" t="str">
        <x:v>69-132</x:v>
      </x:c>
      <x:c r="L649" s="25" t="n">
        <x:v>53200</x:v>
      </x:c>
      <x:c r="M649" s="25" t="n">
        <x:v>2</x:v>
      </x:c>
      <x:c r="N649" s="25" t="str">
        <x:v>否</x:v>
      </x:c>
      <x:c r="O649" s="25" t="n">
        <x:v>0</x:v>
      </x:c>
      <x:c r="P649" s="25" t="n">
        <x:v>0</x:v>
      </x:c>
      <x:c r="Q649" s="25" t="n">
        <x:v>0</x:v>
      </x:c>
      <x:c r="R649" s="25" t="str">
        <x:v>洗练绑定装备；项链幸运绑定人物永久进度；武器幸运成本忽略</x:v>
      </x:c>
    </x:row>
    <x:row r="650">
      <x:c r="A650" s="25" t="str">
        <x:v>C07-E</x:v>
      </x:c>
      <x:c r="B650" s="25" t="str">
        <x:v>化圣雪原</x:v>
      </x:c>
      <x:c r="C650" s="25" t="str">
        <x:v>半急速入场</x:v>
      </x:c>
      <x:c r="D650" s="25" t="n">
        <x:v>6</x:v>
      </x:c>
      <x:c r="E650" s="25" t="n">
        <x:v>68</x:v>
      </x:c>
      <x:c r="F650" s="25" t="str">
        <x:v>百指接肢腕</x:v>
      </x:c>
      <x:c r="G650" s="25" t="str">
        <x:v>手镯</x:v>
      </x:c>
      <x:c r="H650" s="25" t="n">
        <x:v>2</x:v>
      </x:c>
      <x:c r="I650" s="25" t="str">
        <x:v>装备合成</x:v>
      </x:c>
      <x:c r="J650" s="25" t="str">
        <x:v>S07</x:v>
      </x:c>
      <x:c r="K650" s="25" t="str">
        <x:v>110-210</x:v>
      </x:c>
      <x:c r="L650" s="25" t="n">
        <x:v>85000</x:v>
      </x:c>
      <x:c r="M650" s="25" t="n">
        <x:v>5</x:v>
      </x:c>
      <x:c r="N650" s="25" t="str">
        <x:v>否</x:v>
      </x:c>
      <x:c r="O650" s="25" t="n">
        <x:v>0</x:v>
      </x:c>
      <x:c r="P650" s="25" t="n">
        <x:v>0</x:v>
      </x:c>
      <x:c r="Q650" s="25" t="n">
        <x:v>0</x:v>
      </x:c>
      <x:c r="R650" s="25" t="str">
        <x:v>洗练绑定装备；项链幸运绑定人物永久进度；武器幸运成本忽略</x:v>
      </x:c>
    </x:row>
    <x:row r="651">
      <x:c r="A651" s="25" t="str">
        <x:v>C07-E</x:v>
      </x:c>
      <x:c r="B651" s="25" t="str">
        <x:v>化圣雪原</x:v>
      </x:c>
      <x:c r="C651" s="25" t="str">
        <x:v>半急速入场</x:v>
      </x:c>
      <x:c r="D651" s="25" t="n">
        <x:v>7</x:v>
      </x:c>
      <x:c r="E651" s="25" t="n">
        <x:v>132</x:v>
      </x:c>
      <x:c r="F651" s="25" t="str">
        <x:v>蓝焰祷戒</x:v>
      </x:c>
      <x:c r="G651" s="25" t="str">
        <x:v>戒指</x:v>
      </x:c>
      <x:c r="H651" s="25" t="n">
        <x:v>4</x:v>
      </x:c>
      <x:c r="I651" s="25" t="str">
        <x:v>稀有</x:v>
      </x:c>
      <x:c r="J651" s="25" t="str">
        <x:v>S07</x:v>
      </x:c>
      <x:c r="K651" s="25" t="str">
        <x:v>150-280</x:v>
      </x:c>
      <x:c r="L651" s="25" t="n">
        <x:v>110000</x:v>
      </x:c>
      <x:c r="M651" s="25" t="n">
        <x:v>5</x:v>
      </x:c>
      <x:c r="N651" s="25" t="str">
        <x:v>否</x:v>
      </x:c>
      <x:c r="O651" s="25" t="n">
        <x:v>0</x:v>
      </x:c>
      <x:c r="P651" s="25" t="n">
        <x:v>0</x:v>
      </x:c>
      <x:c r="Q651" s="25" t="n">
        <x:v>0</x:v>
      </x:c>
      <x:c r="R651" s="25" t="str">
        <x:v>洗练绑定装备；项链幸运绑定人物永久进度；武器幸运成本忽略</x:v>
      </x:c>
    </x:row>
    <x:row r="652">
      <x:c r="A652" s="25" t="str">
        <x:v>C07-E</x:v>
      </x:c>
      <x:c r="B652" s="25" t="str">
        <x:v>化圣雪原</x:v>
      </x:c>
      <x:c r="C652" s="25" t="str">
        <x:v>半急速入场</x:v>
      </x:c>
      <x:c r="D652" s="25" t="n">
        <x:v>8</x:v>
      </x:c>
      <x:c r="E652" s="25" t="n">
        <x:v>118</x:v>
      </x:c>
      <x:c r="F652" s="25" t="str">
        <x:v>月渊秘戒</x:v>
      </x:c>
      <x:c r="G652" s="25" t="str">
        <x:v>戒指</x:v>
      </x:c>
      <x:c r="H652" s="25" t="n">
        <x:v>4</x:v>
      </x:c>
      <x:c r="I652" s="25" t="str">
        <x:v>装备合成</x:v>
      </x:c>
      <x:c r="J652" s="25" t="str">
        <x:v>S07</x:v>
      </x:c>
      <x:c r="K652" s="25" t="str">
        <x:v>350-670</x:v>
      </x:c>
      <x:c r="L652" s="25" t="n">
        <x:v>270000</x:v>
      </x:c>
      <x:c r="M652" s="25" t="n">
        <x:v>4</x:v>
      </x:c>
      <x:c r="N652" s="25" t="str">
        <x:v>否</x:v>
      </x:c>
      <x:c r="O652" s="25" t="n">
        <x:v>0</x:v>
      </x:c>
      <x:c r="P652" s="25" t="n">
        <x:v>0</x:v>
      </x:c>
      <x:c r="Q652" s="25" t="n">
        <x:v>0</x:v>
      </x:c>
      <x:c r="R652" s="25" t="str">
        <x:v>洗练绑定装备；项链幸运绑定人物永久进度；武器幸运成本忽略</x:v>
      </x:c>
    </x:row>
    <x:row r="653">
      <x:c r="A653" s="25" t="str">
        <x:v>C07-E</x:v>
      </x:c>
      <x:c r="B653" s="25" t="str">
        <x:v>化圣雪原</x:v>
      </x:c>
      <x:c r="C653" s="25" t="str">
        <x:v>半急速入场</x:v>
      </x:c>
      <x:c r="D653" s="25" t="n">
        <x:v>10</x:v>
      </x:c>
      <x:c r="E653" s="25" t="n">
        <x:v>123</x:v>
      </x:c>
      <x:c r="F653" s="25" t="str">
        <x:v>汲月雾绦</x:v>
      </x:c>
      <x:c r="G653" s="25" t="str">
        <x:v>腰带</x:v>
      </x:c>
      <x:c r="H653" s="25" t="n">
        <x:v>5</x:v>
      </x:c>
      <x:c r="I653" s="25" t="str">
        <x:v>稀有</x:v>
      </x:c>
      <x:c r="J653" s="25" t="str">
        <x:v>S07</x:v>
      </x:c>
      <x:c r="K653" s="25" t="str">
        <x:v>150-280</x:v>
      </x:c>
      <x:c r="L653" s="25" t="n">
        <x:v>240000</x:v>
      </x:c>
      <x:c r="M653" s="25" t="n">
        <x:v>5</x:v>
      </x:c>
      <x:c r="N653" s="25" t="str">
        <x:v>否</x:v>
      </x:c>
      <x:c r="O653" s="25" t="n">
        <x:v>0</x:v>
      </x:c>
      <x:c r="P653" s="25" t="n">
        <x:v>0</x:v>
      </x:c>
      <x:c r="Q653" s="25" t="n">
        <x:v>0</x:v>
      </x:c>
      <x:c r="R653" s="25" t="str">
        <x:v>洗练绑定装备；项链幸运绑定人物永久进度；武器幸运成本忽略</x:v>
      </x:c>
    </x:row>
    <x:row r="654">
      <x:c r="A654" s="25" t="str">
        <x:v>C07-E</x:v>
      </x:c>
      <x:c r="B654" s="25" t="str">
        <x:v>化圣雪原</x:v>
      </x:c>
      <x:c r="C654" s="25" t="str">
        <x:v>半急速入场</x:v>
      </x:c>
      <x:c r="D654" s="25" t="n">
        <x:v>11</x:v>
      </x:c>
      <x:c r="E654" s="25" t="n">
        <x:v>94</x:v>
      </x:c>
      <x:c r="F654" s="25" t="str">
        <x:v>逐风征靴</x:v>
      </x:c>
      <x:c r="G654" s="25" t="str">
        <x:v>鞋子</x:v>
      </x:c>
      <x:c r="H654" s="25" t="n">
        <x:v>3</x:v>
      </x:c>
      <x:c r="I654" s="25" t="str">
        <x:v>装备合成</x:v>
      </x:c>
      <x:c r="J654" s="25" t="str">
        <x:v>S07</x:v>
      </x:c>
      <x:c r="K654" s="25" t="str">
        <x:v>100-200</x:v>
      </x:c>
      <x:c r="L654" s="25" t="n">
        <x:v>150000</x:v>
      </x:c>
      <x:c r="M654" s="25" t="n">
        <x:v>3</x:v>
      </x:c>
      <x:c r="N654" s="25" t="str">
        <x:v>否</x:v>
      </x:c>
      <x:c r="O654" s="25" t="n">
        <x:v>0</x:v>
      </x:c>
      <x:c r="P654" s="25" t="n">
        <x:v>0</x:v>
      </x:c>
      <x:c r="Q654" s="25" t="n">
        <x:v>0</x:v>
      </x:c>
      <x:c r="R654" s="25" t="str">
        <x:v>洗练绑定装备；项链幸运绑定人物永久进度；武器幸运成本忽略</x:v>
      </x:c>
    </x:row>
    <x:row r="655">
      <x:c r="A655" s="25" t="str">
        <x:v>C07-E</x:v>
      </x:c>
      <x:c r="B655" s="25" t="str">
        <x:v>化圣雪原</x:v>
      </x:c>
      <x:c r="C655" s="25" t="str">
        <x:v>半急速入场</x:v>
      </x:c>
      <x:c r="D655" s="25" t="n">
        <x:v>13</x:v>
      </x:c>
      <x:c r="E655" s="25" t="n">
        <x:v>135</x:v>
      </x:c>
      <x:c r="F655" s="25" t="str">
        <x:v>回声盗墓笠</x:v>
      </x:c>
      <x:c r="G655" s="25" t="str">
        <x:v>斗笠</x:v>
      </x:c>
      <x:c r="H655" s="25" t="n">
        <x:v>4</x:v>
      </x:c>
      <x:c r="I655" s="25" t="str">
        <x:v>稀有</x:v>
      </x:c>
      <x:c r="J655" s="25" t="str">
        <x:v>S07</x:v>
      </x:c>
      <x:c r="K655" s="25" t="str">
        <x:v>83-160</x:v>
      </x:c>
      <x:c r="L655" s="25" t="n">
        <x:v>100000</x:v>
      </x:c>
      <x:c r="M655" s="25" t="n">
        <x:v>0</x:v>
      </x:c>
      <x:c r="N655" s="25" t="str">
        <x:v>否</x:v>
      </x:c>
      <x:c r="O655" s="25" t="n">
        <x:v>0</x:v>
      </x:c>
      <x:c r="P655" s="25" t="n">
        <x:v>0</x:v>
      </x:c>
      <x:c r="Q655" s="25" t="n">
        <x:v>0</x:v>
      </x:c>
      <x:c r="R655" s="25" t="str">
        <x:v>洗练绑定装备；项链幸运绑定人物永久进度；武器幸运成本忽略</x:v>
      </x:c>
    </x:row>
    <x:row r="656">
      <x:c r="A656" s="25" t="str">
        <x:v>C07-E</x:v>
      </x:c>
      <x:c r="B656" s="25" t="str">
        <x:v>化圣雪原</x:v>
      </x:c>
      <x:c r="C656" s="25" t="str">
        <x:v>半急速入场</x:v>
      </x:c>
      <x:c r="D656" s="25" t="n">
        <x:v>16</x:v>
      </x:c>
      <x:c r="E656" s="25" t="n">
        <x:v>136</x:v>
      </x:c>
      <x:c r="F656" s="25" t="str">
        <x:v>桨官铁盾</x:v>
      </x:c>
      <x:c r="G656" s="25" t="str">
        <x:v>盾牌</x:v>
      </x:c>
      <x:c r="H656" s="25" t="n">
        <x:v>4</x:v>
      </x:c>
      <x:c r="I656" s="25" t="str">
        <x:v>稀有</x:v>
      </x:c>
      <x:c r="J656" s="25" t="str">
        <x:v>S07</x:v>
      </x:c>
      <x:c r="K656" s="25" t="str">
        <x:v>120-230</x:v>
      </x:c>
      <x:c r="L656" s="25" t="n">
        <x:v>410000</x:v>
      </x:c>
      <x:c r="M656" s="25" t="n">
        <x:v>0</x:v>
      </x:c>
      <x:c r="N656" s="25" t="str">
        <x:v>否</x:v>
      </x:c>
      <x:c r="O656" s="25" t="n">
        <x:v>0</x:v>
      </x:c>
      <x:c r="P656" s="25" t="n">
        <x:v>0</x:v>
      </x:c>
      <x:c r="Q656" s="25" t="n">
        <x:v>0</x:v>
      </x:c>
      <x:c r="R656" s="25" t="str">
        <x:v>洗练绑定装备；项链幸运绑定人物永久进度；武器幸运成本忽略</x:v>
      </x:c>
    </x:row>
    <x:row r="657">
      <x:c r="A657" s="25" t="str">
        <x:v>C07-E</x:v>
      </x:c>
      <x:c r="B657" s="25" t="str">
        <x:v>化圣雪原</x:v>
      </x:c>
      <x:c r="C657" s="25" t="str">
        <x:v>半急速入场</x:v>
      </x:c>
      <x:c r="D657" s="25" t="n">
        <x:v>18</x:v>
      </x:c>
      <x:c r="E657" s="25" t="n">
        <x:v>137</x:v>
      </x:c>
      <x:c r="F657" s="25" t="str">
        <x:v>红狮余烬王衣</x:v>
      </x:c>
      <x:c r="G657" s="25" t="str">
        <x:v>时装衣服</x:v>
      </x:c>
      <x:c r="H657" s="25" t="n">
        <x:v>6</x:v>
      </x:c>
      <x:c r="I657" s="25" t="str">
        <x:v>装备合成</x:v>
      </x:c>
      <x:c r="J657" s="25" t="str">
        <x:v>S07</x:v>
      </x:c>
      <x:c r="K657" s="25" t="str">
        <x:v>780-1500</x:v>
      </x:c>
      <x:c r="L657" s="25" t="n">
        <x:v>5100000</x:v>
      </x:c>
      <x:c r="M657" s="25" t="n">
        <x:v>0</x:v>
      </x:c>
      <x:c r="N657" s="25" t="str">
        <x:v>否</x:v>
      </x:c>
      <x:c r="O657" s="25" t="n">
        <x:v>0</x:v>
      </x:c>
      <x:c r="P657" s="25" t="n">
        <x:v>0</x:v>
      </x:c>
      <x:c r="Q657" s="25" t="n">
        <x:v>0</x:v>
      </x:c>
      <x:c r="R657" s="25" t="str">
        <x:v>洗练绑定装备；项链幸运绑定人物永久进度；武器幸运成本忽略</x:v>
      </x:c>
    </x:row>
    <x:row r="658">
      <x:c r="A658" s="25" t="str">
        <x:v>C07-E</x:v>
      </x:c>
      <x:c r="B658" s="25" t="str">
        <x:v>化圣雪原</x:v>
      </x:c>
      <x:c r="C658" s="25" t="str">
        <x:v>半急速入场</x:v>
      </x:c>
      <x:c r="D658" s="25" t="n">
        <x:v>19</x:v>
      </x:c>
      <x:c r="E658" s="25" t="n">
        <x:v>64</x:v>
      </x:c>
      <x:c r="F658" s="25" t="str">
        <x:v>百夫熔戟</x:v>
      </x:c>
      <x:c r="G658" s="25" t="str">
        <x:v>时装武器</x:v>
      </x:c>
      <x:c r="H658" s="25" t="n">
        <x:v>2</x:v>
      </x:c>
      <x:c r="I658" s="25" t="str">
        <x:v>稀有</x:v>
      </x:c>
      <x:c r="J658" s="25" t="str">
        <x:v>S02</x:v>
      </x:c>
      <x:c r="K658" s="25" t="str">
        <x:v>150-288</x:v>
      </x:c>
      <x:c r="L658" s="25" t="n">
        <x:v>45400</x:v>
      </x:c>
      <x:c r="M658" s="25" t="n">
        <x:v>0</x:v>
      </x:c>
      <x:c r="N658" s="25" t="str">
        <x:v>否</x:v>
      </x:c>
      <x:c r="O658" s="25" t="n">
        <x:v>0</x:v>
      </x:c>
      <x:c r="P658" s="25" t="n">
        <x:v>0</x:v>
      </x:c>
      <x:c r="Q658" s="25" t="n">
        <x:v>0</x:v>
      </x:c>
      <x:c r="R658" s="25" t="str">
        <x:v>洗练绑定装备；项链幸运绑定人物永久进度；武器幸运成本忽略</x:v>
      </x:c>
    </x:row>
    <x:row r="659">
      <x:c r="A659" s="25" t="str">
        <x:v>C07-E</x:v>
      </x:c>
      <x:c r="B659" s="25" t="str">
        <x:v>化圣雪原</x:v>
      </x:c>
      <x:c r="C659" s="25" t="str">
        <x:v>半急速入场</x:v>
      </x:c>
      <x:c r="D659" s="25" t="n">
        <x:v>20</x:v>
      </x:c>
      <x:c r="E659" s="25" t="n">
        <x:v>40</x:v>
      </x:c>
      <x:c r="F659" s="25" t="str">
        <x:v>英雄余誓</x:v>
      </x:c>
      <x:c r="G659" s="25" t="str">
        <x:v>时装项链</x:v>
      </x:c>
      <x:c r="H659" s="25" t="n">
        <x:v>2</x:v>
      </x:c>
      <x:c r="I659" s="25" t="str">
        <x:v>稀有</x:v>
      </x:c>
      <x:c r="J659" s="25" t="str">
        <x:v>S02</x:v>
      </x:c>
      <x:c r="K659" s="25" t="str">
        <x:v>31-60</x:v>
      </x:c>
      <x:c r="L659" s="25" t="n">
        <x:v>17900</x:v>
      </x:c>
      <x:c r="M659" s="25" t="n">
        <x:v>0</x:v>
      </x:c>
      <x:c r="N659" s="25" t="str">
        <x:v>否</x:v>
      </x:c>
      <x:c r="O659" s="25" t="n">
        <x:v>0</x:v>
      </x:c>
      <x:c r="P659" s="25" t="n">
        <x:v>0</x:v>
      </x:c>
      <x:c r="Q659" s="25" t="n">
        <x:v>0</x:v>
      </x:c>
      <x:c r="R659" s="25" t="str">
        <x:v>洗练绑定装备；项链幸运绑定人物永久进度；武器幸运成本忽略</x:v>
      </x:c>
    </x:row>
    <x:row r="660">
      <x:c r="A660" s="25" t="str">
        <x:v>C07-E</x:v>
      </x:c>
      <x:c r="B660" s="25" t="str">
        <x:v>化圣雪原</x:v>
      </x:c>
      <x:c r="C660" s="25" t="str">
        <x:v>半急速入场</x:v>
      </x:c>
      <x:c r="D660" s="25" t="n">
        <x:v>21</x:v>
      </x:c>
      <x:c r="E660" s="25" t="n">
        <x:v>41</x:v>
      </x:c>
      <x:c r="F660" s="25" t="str">
        <x:v>初火兜鍪</x:v>
      </x:c>
      <x:c r="G660" s="25" t="str">
        <x:v>时装头盔</x:v>
      </x:c>
      <x:c r="H660" s="25" t="n">
        <x:v>2</x:v>
      </x:c>
      <x:c r="I660" s="25" t="str">
        <x:v>稀有</x:v>
      </x:c>
      <x:c r="J660" s="25" t="str">
        <x:v>S02</x:v>
      </x:c>
      <x:c r="K660" s="25" t="str">
        <x:v>22-42</x:v>
      </x:c>
      <x:c r="L660" s="25" t="n">
        <x:v>30900</x:v>
      </x:c>
      <x:c r="M660" s="25" t="n">
        <x:v>0</x:v>
      </x:c>
      <x:c r="N660" s="25" t="str">
        <x:v>否</x:v>
      </x:c>
      <x:c r="O660" s="25" t="n">
        <x:v>0</x:v>
      </x:c>
      <x:c r="P660" s="25" t="n">
        <x:v>0</x:v>
      </x:c>
      <x:c r="Q660" s="25" t="n">
        <x:v>0</x:v>
      </x:c>
      <x:c r="R660" s="25" t="str">
        <x:v>洗练绑定装备；项链幸运绑定人物永久进度；武器幸运成本忽略</x:v>
      </x:c>
    </x:row>
    <x:row r="661">
      <x:c r="A661" s="25" t="str">
        <x:v>C07-E</x:v>
      </x:c>
      <x:c r="B661" s="25" t="str">
        <x:v>化圣雪原</x:v>
      </x:c>
      <x:c r="C661" s="25" t="str">
        <x:v>半急速入场</x:v>
      </x:c>
      <x:c r="D661" s="25" t="n">
        <x:v>22</x:v>
      </x:c>
      <x:c r="E661" s="25" t="n">
        <x:v>42</x:v>
      </x:c>
      <x:c r="F661" s="25" t="str">
        <x:v>卢恩血镯</x:v>
      </x:c>
      <x:c r="G661" s="25" t="str">
        <x:v>时装手镯</x:v>
      </x:c>
      <x:c r="H661" s="25" t="n">
        <x:v>2</x:v>
      </x:c>
      <x:c r="I661" s="25" t="str">
        <x:v>稀有</x:v>
      </x:c>
      <x:c r="J661" s="25" t="str">
        <x:v>S02</x:v>
      </x:c>
      <x:c r="K661" s="25" t="str">
        <x:v>42-80</x:v>
      </x:c>
      <x:c r="L661" s="25" t="n">
        <x:v>34400</x:v>
      </x:c>
      <x:c r="M661" s="25" t="n">
        <x:v>0</x:v>
      </x:c>
      <x:c r="N661" s="25" t="str">
        <x:v>否</x:v>
      </x:c>
      <x:c r="O661" s="25" t="n">
        <x:v>0</x:v>
      </x:c>
      <x:c r="P661" s="25" t="n">
        <x:v>0</x:v>
      </x:c>
      <x:c r="Q661" s="25" t="n">
        <x:v>0</x:v>
      </x:c>
      <x:c r="R661" s="25" t="str">
        <x:v>洗练绑定装备；项链幸运绑定人物永久进度；武器幸运成本忽略</x:v>
      </x:c>
    </x:row>
    <x:row r="662">
      <x:c r="A662" s="25" t="str">
        <x:v>C07-E</x:v>
      </x:c>
      <x:c r="B662" s="25" t="str">
        <x:v>化圣雪原</x:v>
      </x:c>
      <x:c r="C662" s="25" t="str">
        <x:v>半急速入场</x:v>
      </x:c>
      <x:c r="D662" s="25" t="n">
        <x:v>24</x:v>
      </x:c>
      <x:c r="E662" s="25" t="n">
        <x:v>43</x:v>
      </x:c>
      <x:c r="F662" s="25" t="str">
        <x:v>黄金树戒</x:v>
      </x:c>
      <x:c r="G662" s="25" t="str">
        <x:v>时装戒指</x:v>
      </x:c>
      <x:c r="H662" s="25" t="n">
        <x:v>2</x:v>
      </x:c>
      <x:c r="I662" s="25" t="str">
        <x:v>稀有</x:v>
      </x:c>
      <x:c r="J662" s="25" t="str">
        <x:v>S02</x:v>
      </x:c>
      <x:c r="K662" s="25" t="str">
        <x:v>42-80</x:v>
      </x:c>
      <x:c r="L662" s="25" t="n">
        <x:v>34400</x:v>
      </x:c>
      <x:c r="M662" s="25" t="n">
        <x:v>0</x:v>
      </x:c>
      <x:c r="N662" s="25" t="str">
        <x:v>否</x:v>
      </x:c>
      <x:c r="O662" s="25" t="n">
        <x:v>0</x:v>
      </x:c>
      <x:c r="P662" s="25" t="n">
        <x:v>0</x:v>
      </x:c>
      <x:c r="Q662" s="25" t="n">
        <x:v>0</x:v>
      </x:c>
      <x:c r="R662" s="25" t="str">
        <x:v>洗练绑定装备；项链幸运绑定人物永久进度；武器幸运成本忽略</x:v>
      </x:c>
    </x:row>
    <x:row r="663">
      <x:c r="A663" s="25" t="str">
        <x:v>C07-E</x:v>
      </x:c>
      <x:c r="B663" s="25" t="str">
        <x:v>化圣雪原</x:v>
      </x:c>
      <x:c r="C663" s="25" t="str">
        <x:v>半急速入场</x:v>
      </x:c>
      <x:c r="D663" s="25" t="n">
        <x:v>40</x:v>
      </x:c>
      <x:c r="E663" s="25" t="n">
        <x:v>44</x:v>
      </x:c>
      <x:c r="F663" s="25" t="str">
        <x:v>腐树子鼠</x:v>
      </x:c>
      <x:c r="G663" s="25" t="str">
        <x:v>生肖1</x:v>
      </x:c>
      <x:c r="H663" s="25" t="n">
        <x:v>2</x:v>
      </x:c>
      <x:c r="I663" s="25" t="str">
        <x:v>BOSS</x:v>
      </x:c>
      <x:c r="J663" s="25" t="str">
        <x:v>S02</x:v>
      </x:c>
      <x:c r="K663" s="25" t="str">
        <x:v>29-56</x:v>
      </x:c>
      <x:c r="L663" s="25" t="n">
        <x:v>23600</x:v>
      </x:c>
      <x:c r="M663" s="25" t="n">
        <x:v>0</x:v>
      </x:c>
      <x:c r="N663" s="25" t="str">
        <x:v>否</x:v>
      </x:c>
      <x:c r="O663" s="25" t="n">
        <x:v>0</x:v>
      </x:c>
      <x:c r="P663" s="25" t="n">
        <x:v>0</x:v>
      </x:c>
      <x:c r="Q663" s="25" t="n">
        <x:v>0</x:v>
      </x:c>
      <x:c r="R663" s="25" t="str">
        <x:v>洗练绑定装备；项链幸运绑定人物永久进度；武器幸运成本忽略</x:v>
      </x:c>
    </x:row>
    <x:row r="664">
      <x:c r="A664" s="25" t="str">
        <x:v>C07-E</x:v>
      </x:c>
      <x:c r="B664" s="25" t="str">
        <x:v>化圣雪原</x:v>
      </x:c>
      <x:c r="C664" s="25" t="str">
        <x:v>半急速入场</x:v>
      </x:c>
      <x:c r="D664" s="25" t="n">
        <x:v>41</x:v>
      </x:c>
      <x:c r="E664" s="25" t="n">
        <x:v>69</x:v>
      </x:c>
      <x:c r="F664" s="25" t="str">
        <x:v>丑牛·风暴负山</x:v>
      </x:c>
      <x:c r="G664" s="25" t="str">
        <x:v>生肖2</x:v>
      </x:c>
      <x:c r="H664" s="25" t="n">
        <x:v>2</x:v>
      </x:c>
      <x:c r="I664" s="25" t="str">
        <x:v>生肖合成</x:v>
      </x:c>
      <x:c r="J664" s="25" t="str">
        <x:v>S07</x:v>
      </x:c>
      <x:c r="K664" s="25" t="str">
        <x:v>25-49</x:v>
      </x:c>
      <x:c r="L664" s="25" t="n">
        <x:v>64000</x:v>
      </x:c>
      <x:c r="M664" s="25" t="n">
        <x:v>0</x:v>
      </x:c>
      <x:c r="N664" s="25" t="str">
        <x:v>否</x:v>
      </x:c>
      <x:c r="O664" s="25" t="n">
        <x:v>0</x:v>
      </x:c>
      <x:c r="P664" s="25" t="n">
        <x:v>0</x:v>
      </x:c>
      <x:c r="Q664" s="25" t="n">
        <x:v>0</x:v>
      </x:c>
      <x:c r="R664" s="25" t="str">
        <x:v>洗练绑定装备；项链幸运绑定人物永久进度；武器幸运成本忽略</x:v>
      </x:c>
    </x:row>
    <x:row r="665">
      <x:c r="A665" s="25" t="str">
        <x:v>C07-E</x:v>
      </x:c>
      <x:c r="B665" s="25" t="str">
        <x:v>化圣雪原</x:v>
      </x:c>
      <x:c r="C665" s="25" t="str">
        <x:v>半急速入场</x:v>
      </x:c>
      <x:c r="D665" s="25" t="n">
        <x:v>42</x:v>
      </x:c>
      <x:c r="E665" s="25" t="n">
        <x:v>138</x:v>
      </x:c>
      <x:c r="F665" s="25" t="str">
        <x:v>寅虎·红狮焚原</x:v>
      </x:c>
      <x:c r="G665" s="25" t="str">
        <x:v>生肖3</x:v>
      </x:c>
      <x:c r="H665" s="25" t="n">
        <x:v>6</x:v>
      </x:c>
      <x:c r="I665" s="25" t="str">
        <x:v>生肖合成</x:v>
      </x:c>
      <x:c r="J665" s="25" t="str">
        <x:v>S07</x:v>
      </x:c>
      <x:c r="K665" s="25" t="str">
        <x:v>250-490</x:v>
      </x:c>
      <x:c r="L665" s="25" t="n">
        <x:v>640000</x:v>
      </x:c>
      <x:c r="M665" s="25" t="n">
        <x:v>0</x:v>
      </x:c>
      <x:c r="N665" s="25" t="str">
        <x:v>否</x:v>
      </x:c>
      <x:c r="O665" s="25" t="n">
        <x:v>0</x:v>
      </x:c>
      <x:c r="P665" s="25" t="n">
        <x:v>0</x:v>
      </x:c>
      <x:c r="Q665" s="25" t="n">
        <x:v>0</x:v>
      </x:c>
      <x:c r="R665" s="25" t="str">
        <x:v>洗练绑定装备；项链幸运绑定人物永久进度；武器幸运成本忽略</x:v>
      </x:c>
    </x:row>
    <x:row r="666">
      <x:c r="A666" s="25" t="str">
        <x:v>C07-E</x:v>
      </x:c>
      <x:c r="B666" s="25" t="str">
        <x:v>化圣雪原</x:v>
      </x:c>
      <x:c r="C666" s="25" t="str">
        <x:v>半急速入场</x:v>
      </x:c>
      <x:c r="D666" s="25" t="n">
        <x:v>43</x:v>
      </x:c>
      <x:c r="E666" s="25" t="n">
        <x:v>127</x:v>
      </x:c>
      <x:c r="F666" s="25" t="str">
        <x:v>卯兔·镜月折辉</x:v>
      </x:c>
      <x:c r="G666" s="25" t="str">
        <x:v>生肖4</x:v>
      </x:c>
      <x:c r="H666" s="25" t="n">
        <x:v>5</x:v>
      </x:c>
      <x:c r="I666" s="25" t="str">
        <x:v>生肖合成</x:v>
      </x:c>
      <x:c r="J666" s="25" t="str">
        <x:v>S07</x:v>
      </x:c>
      <x:c r="K666" s="25" t="str">
        <x:v>150-280</x:v>
      </x:c>
      <x:c r="L666" s="25" t="n">
        <x:v>360000</x:v>
      </x:c>
      <x:c r="M666" s="25" t="n">
        <x:v>0</x:v>
      </x:c>
      <x:c r="N666" s="25" t="str">
        <x:v>否</x:v>
      </x:c>
      <x:c r="O666" s="25" t="n">
        <x:v>0</x:v>
      </x:c>
      <x:c r="P666" s="25" t="n">
        <x:v>0</x:v>
      </x:c>
      <x:c r="Q666" s="25" t="n">
        <x:v>0</x:v>
      </x:c>
      <x:c r="R666" s="25" t="str">
        <x:v>洗练绑定装备；项链幸运绑定人物永久进度；武器幸运成本忽略</x:v>
      </x:c>
    </x:row>
    <x:row r="667">
      <x:c r="A667" s="25" t="str">
        <x:v>C07-E</x:v>
      </x:c>
      <x:c r="B667" s="25" t="str">
        <x:v>化圣雪原</x:v>
      </x:c>
      <x:c r="C667" s="25" t="str">
        <x:v>半急速入场</x:v>
      </x:c>
      <x:c r="D667" s="25" t="n">
        <x:v>44</x:v>
      </x:c>
      <x:c r="E667" s="25" t="n">
        <x:v>91</x:v>
      </x:c>
      <x:c r="F667" s="25" t="str">
        <x:v>辰龙·荒原逐风</x:v>
      </x:c>
      <x:c r="G667" s="25" t="str">
        <x:v>生肖5</x:v>
      </x:c>
      <x:c r="H667" s="25" t="n">
        <x:v>3</x:v>
      </x:c>
      <x:c r="I667" s="25" t="str">
        <x:v>生肖合成</x:v>
      </x:c>
      <x:c r="J667" s="25" t="str">
        <x:v>S07</x:v>
      </x:c>
      <x:c r="K667" s="25" t="str">
        <x:v>47-90</x:v>
      </x:c>
      <x:c r="L667" s="25" t="n">
        <x:v>120000</x:v>
      </x:c>
      <x:c r="M667" s="25" t="n">
        <x:v>0</x:v>
      </x:c>
      <x:c r="N667" s="25" t="str">
        <x:v>否</x:v>
      </x:c>
      <x:c r="O667" s="25" t="n">
        <x:v>0</x:v>
      </x:c>
      <x:c r="P667" s="25" t="n">
        <x:v>0</x:v>
      </x:c>
      <x:c r="Q667" s="25" t="n">
        <x:v>0</x:v>
      </x:c>
      <x:c r="R667" s="25" t="str">
        <x:v>洗练绑定装备；项链幸运绑定人物永久进度；武器幸运成本忽略</x:v>
      </x:c>
    </x:row>
    <x:row r="668">
      <x:c r="A668" s="25" t="str">
        <x:v>C07-E</x:v>
      </x:c>
      <x:c r="B668" s="25" t="str">
        <x:v>化圣雪原</x:v>
      </x:c>
      <x:c r="C668" s="25" t="str">
        <x:v>半急速入场</x:v>
      </x:c>
      <x:c r="D668" s="25" t="n">
        <x:v>45</x:v>
      </x:c>
      <x:c r="E668" s="25" t="n">
        <x:v>107</x:v>
      </x:c>
      <x:c r="F668" s="25" t="str">
        <x:v>巳蛇·沉潮缚月</x:v>
      </x:c>
      <x:c r="G668" s="25" t="str">
        <x:v>生肖6</x:v>
      </x:c>
      <x:c r="H668" s="25" t="n">
        <x:v>4</x:v>
      </x:c>
      <x:c r="I668" s="25" t="str">
        <x:v>生肖合成</x:v>
      </x:c>
      <x:c r="J668" s="25" t="str">
        <x:v>S07</x:v>
      </x:c>
      <x:c r="K668" s="25" t="str">
        <x:v>83-160</x:v>
      </x:c>
      <x:c r="L668" s="25" t="n">
        <x:v>200000</x:v>
      </x:c>
      <x:c r="M668" s="25" t="n">
        <x:v>0</x:v>
      </x:c>
      <x:c r="N668" s="25" t="str">
        <x:v>否</x:v>
      </x:c>
      <x:c r="O668" s="25" t="n">
        <x:v>0</x:v>
      </x:c>
      <x:c r="P668" s="25" t="n">
        <x:v>0</x:v>
      </x:c>
      <x:c r="Q668" s="25" t="n">
        <x:v>0</x:v>
      </x:c>
      <x:c r="R668" s="25" t="str">
        <x:v>洗练绑定装备；项链幸运绑定人物永久进度；武器幸运成本忽略</x:v>
      </x:c>
    </x:row>
    <x:row r="669">
      <x:c r="A669" s="25" t="str">
        <x:v>C07-E</x:v>
      </x:c>
      <x:c r="B669" s="25" t="str">
        <x:v>化圣雪原</x:v>
      </x:c>
      <x:c r="C669" s="25" t="str">
        <x:v>半急速入场</x:v>
      </x:c>
      <x:c r="D669" s="25" t="n">
        <x:v>46</x:v>
      </x:c>
      <x:c r="E669" s="25" t="n">
        <x:v>80</x:v>
      </x:c>
      <x:c r="F669" s="25" t="str">
        <x:v>死水午马</x:v>
      </x:c>
      <x:c r="G669" s="25" t="str">
        <x:v>生肖7</x:v>
      </x:c>
      <x:c r="H669" s="25" t="n">
        <x:v>2</x:v>
      </x:c>
      <x:c r="I669" s="25" t="str">
        <x:v>BOSS</x:v>
      </x:c>
      <x:c r="J669" s="25" t="str">
        <x:v>S02</x:v>
      </x:c>
      <x:c r="K669" s="25" t="str">
        <x:v>38-74</x:v>
      </x:c>
      <x:c r="L669" s="25" t="n">
        <x:v>45300</x:v>
      </x:c>
      <x:c r="M669" s="25" t="n">
        <x:v>0</x:v>
      </x:c>
      <x:c r="N669" s="25" t="str">
        <x:v>否</x:v>
      </x:c>
      <x:c r="O669" s="25" t="n">
        <x:v>0</x:v>
      </x:c>
      <x:c r="P669" s="25" t="n">
        <x:v>0</x:v>
      </x:c>
      <x:c r="Q669" s="25" t="n">
        <x:v>0</x:v>
      </x:c>
      <x:c r="R669" s="25" t="str">
        <x:v>洗练绑定装备；项链幸运绑定人物永久进度；武器幸运成本忽略</x:v>
      </x:c>
    </x:row>
    <x:row r="670">
      <x:c r="A670" s="25" t="str">
        <x:v>C07-E</x:v>
      </x:c>
      <x:c r="B670" s="25" t="str">
        <x:v>化圣雪原</x:v>
      </x:c>
      <x:c r="C670" s="25" t="str">
        <x:v>半急速入场</x:v>
      </x:c>
      <x:c r="D670" s="25" t="n">
        <x:v>47</x:v>
      </x:c>
      <x:c r="E670" s="25" t="n">
        <x:v>67</x:v>
      </x:c>
      <x:c r="F670" s="25" t="str">
        <x:v>葬日未羊</x:v>
      </x:c>
      <x:c r="G670" s="25" t="str">
        <x:v>生肖8</x:v>
      </x:c>
      <x:c r="H670" s="25" t="n">
        <x:v>2</x:v>
      </x:c>
      <x:c r="I670" s="25" t="str">
        <x:v>稀有</x:v>
      </x:c>
      <x:c r="J670" s="25" t="str">
        <x:v>S02</x:v>
      </x:c>
      <x:c r="K670" s="25" t="str">
        <x:v>37-72</x:v>
      </x:c>
      <x:c r="L670" s="25" t="n">
        <x:v>51600</x:v>
      </x:c>
      <x:c r="M670" s="25" t="n">
        <x:v>0</x:v>
      </x:c>
      <x:c r="N670" s="25" t="str">
        <x:v>否</x:v>
      </x:c>
      <x:c r="O670" s="25" t="n">
        <x:v>0</x:v>
      </x:c>
      <x:c r="P670" s="25" t="n">
        <x:v>0</x:v>
      </x:c>
      <x:c r="Q670" s="25" t="n">
        <x:v>0</x:v>
      </x:c>
      <x:c r="R670" s="25" t="str">
        <x:v>洗练绑定装备；项链幸运绑定人物永久进度；武器幸运成本忽略</x:v>
      </x:c>
    </x:row>
    <x:row r="671">
      <x:c r="A671" s="25" t="str">
        <x:v>C07-E</x:v>
      </x:c>
      <x:c r="B671" s="25" t="str">
        <x:v>化圣雪原</x:v>
      </x:c>
      <x:c r="C671" s="25" t="str">
        <x:v>半急速入场</x:v>
      </x:c>
      <x:c r="D671" s="25" t="n">
        <x:v>48</x:v>
      </x:c>
      <x:c r="E671" s="25" t="n">
        <x:v>81</x:v>
      </x:c>
      <x:c r="F671" s="25" t="str">
        <x:v>雷冠申猴</x:v>
      </x:c>
      <x:c r="G671" s="25" t="str">
        <x:v>生肖9</x:v>
      </x:c>
      <x:c r="H671" s="25" t="n">
        <x:v>2</x:v>
      </x:c>
      <x:c r="I671" s="25" t="str">
        <x:v>BOSS</x:v>
      </x:c>
      <x:c r="J671" s="25" t="str">
        <x:v>S02</x:v>
      </x:c>
      <x:c r="K671" s="25" t="str">
        <x:v>44-84</x:v>
      </x:c>
      <x:c r="L671" s="25" t="n">
        <x:v>59800</x:v>
      </x:c>
      <x:c r="M671" s="25" t="n">
        <x:v>0</x:v>
      </x:c>
      <x:c r="N671" s="25" t="str">
        <x:v>否</x:v>
      </x:c>
      <x:c r="O671" s="25" t="n">
        <x:v>0</x:v>
      </x:c>
      <x:c r="P671" s="25" t="n">
        <x:v>0</x:v>
      </x:c>
      <x:c r="Q671" s="25" t="n">
        <x:v>0</x:v>
      </x:c>
      <x:c r="R671" s="25" t="str">
        <x:v>洗练绑定装备；项链幸运绑定人物永久进度；武器幸运成本忽略</x:v>
      </x:c>
    </x:row>
    <x:row r="672">
      <x:c r="A672" s="25" t="str">
        <x:v>C07-E</x:v>
      </x:c>
      <x:c r="B672" s="25" t="str">
        <x:v>化圣雪原</x:v>
      </x:c>
      <x:c r="C672" s="25" t="str">
        <x:v>半急速入场</x:v>
      </x:c>
      <x:c r="D672" s="25" t="n">
        <x:v>49</x:v>
      </x:c>
      <x:c r="E672" s="25" t="n">
        <x:v>82</x:v>
      </x:c>
      <x:c r="F672" s="25" t="str">
        <x:v>恶兆酉鸡</x:v>
      </x:c>
      <x:c r="G672" s="25" t="str">
        <x:v>生肖10</x:v>
      </x:c>
      <x:c r="H672" s="25" t="n">
        <x:v>2</x:v>
      </x:c>
      <x:c r="I672" s="25" t="str">
        <x:v>BOSS</x:v>
      </x:c>
      <x:c r="J672" s="25" t="str">
        <x:v>S02</x:v>
      </x:c>
      <x:c r="K672" s="25" t="str">
        <x:v>44-84</x:v>
      </x:c>
      <x:c r="L672" s="25" t="n">
        <x:v>59800</x:v>
      </x:c>
      <x:c r="M672" s="25" t="n">
        <x:v>0</x:v>
      </x:c>
      <x:c r="N672" s="25" t="str">
        <x:v>否</x:v>
      </x:c>
      <x:c r="O672" s="25" t="n">
        <x:v>0</x:v>
      </x:c>
      <x:c r="P672" s="25" t="n">
        <x:v>0</x:v>
      </x:c>
      <x:c r="Q672" s="25" t="n">
        <x:v>0</x:v>
      </x:c>
      <x:c r="R672" s="25" t="str">
        <x:v>洗练绑定装备；项链幸运绑定人物永久进度；武器幸运成本忽略</x:v>
      </x:c>
    </x:row>
    <x:row r="673">
      <x:c r="A673" s="25" t="str">
        <x:v>C07-E</x:v>
      </x:c>
      <x:c r="B673" s="25" t="str">
        <x:v>化圣雪原</x:v>
      </x:c>
      <x:c r="C673" s="25" t="str">
        <x:v>半急速入场</x:v>
      </x:c>
      <x:c r="D673" s="25" t="n">
        <x:v>50</x:v>
      </x:c>
      <x:c r="E673" s="25" t="n">
        <x:v>83</x:v>
      </x:c>
      <x:c r="F673" s="25" t="str">
        <x:v>失乡戌狗</x:v>
      </x:c>
      <x:c r="G673" s="25" t="str">
        <x:v>生肖11</x:v>
      </x:c>
      <x:c r="H673" s="25" t="n">
        <x:v>2</x:v>
      </x:c>
      <x:c r="I673" s="25" t="str">
        <x:v>BOSS</x:v>
      </x:c>
      <x:c r="J673" s="25" t="str">
        <x:v>S02</x:v>
      </x:c>
      <x:c r="K673" s="25" t="str">
        <x:v>48-93</x:v>
      </x:c>
      <x:c r="L673" s="25" t="n">
        <x:v>79800</x:v>
      </x:c>
      <x:c r="M673" s="25" t="n">
        <x:v>0</x:v>
      </x:c>
      <x:c r="N673" s="25" t="str">
        <x:v>否</x:v>
      </x:c>
      <x:c r="O673" s="25" t="n">
        <x:v>0</x:v>
      </x:c>
      <x:c r="P673" s="25" t="n">
        <x:v>0</x:v>
      </x:c>
      <x:c r="Q673" s="25" t="n">
        <x:v>0</x:v>
      </x:c>
      <x:c r="R673" s="25" t="str">
        <x:v>洗练绑定装备；项链幸运绑定人物永久进度；武器幸运成本忽略</x:v>
      </x:c>
    </x:row>
    <x:row r="674">
      <x:c r="A674" s="25" t="str">
        <x:v>C07-E</x:v>
      </x:c>
      <x:c r="B674" s="25" t="str">
        <x:v>化圣雪原</x:v>
      </x:c>
      <x:c r="C674" s="25" t="str">
        <x:v>半急速入场</x:v>
      </x:c>
      <x:c r="D674" s="25" t="n">
        <x:v>51</x:v>
      </x:c>
      <x:c r="E674" s="25" t="n">
        <x:v>84</x:v>
      </x:c>
      <x:c r="F674" s="25" t="str">
        <x:v>接肢亥猪</x:v>
      </x:c>
      <x:c r="G674" s="25" t="str">
        <x:v>生肖12</x:v>
      </x:c>
      <x:c r="H674" s="25" t="n">
        <x:v>2</x:v>
      </x:c>
      <x:c r="I674" s="25" t="str">
        <x:v>守关BOSS</x:v>
      </x:c>
      <x:c r="J674" s="25" t="str">
        <x:v>S02</x:v>
      </x:c>
      <x:c r="K674" s="25" t="str">
        <x:v>55-106</x:v>
      </x:c>
      <x:c r="L674" s="25" t="n">
        <x:v>90800</x:v>
      </x:c>
      <x:c r="M674" s="25" t="n">
        <x:v>0</x:v>
      </x:c>
      <x:c r="N674" s="25" t="str">
        <x:v>否</x:v>
      </x:c>
      <x:c r="O674" s="25" t="n">
        <x:v>0</x:v>
      </x:c>
      <x:c r="P674" s="25" t="n">
        <x:v>0</x:v>
      </x:c>
      <x:c r="Q674" s="25" t="n">
        <x:v>0</x:v>
      </x:c>
      <x:c r="R674" s="25" t="str">
        <x:v>洗练绑定装备；项链幸运绑定人物永久进度；武器幸运成本忽略</x:v>
      </x:c>
    </x:row>
    <x:row r="675">
      <x:c r="A675" s="25" t="str">
        <x:v>C07-M</x:v>
      </x:c>
      <x:c r="B675" s="25" t="str">
        <x:v>化圣雪原</x:v>
      </x:c>
      <x:c r="C675" s="25" t="str">
        <x:v>半急速中期</x:v>
      </x:c>
      <x:c r="D675" s="25" t="n">
        <x:v>0</x:v>
      </x:c>
      <x:c r="E675" s="25" t="n">
        <x:v>129</x:v>
      </x:c>
      <x:c r="F675" s="25" t="str">
        <x:v>静潮祷仪袍</x:v>
      </x:c>
      <x:c r="G675" s="25" t="str">
        <x:v>衣服</x:v>
      </x:c>
      <x:c r="H675" s="25" t="n">
        <x:v>5</x:v>
      </x:c>
      <x:c r="I675" s="25" t="str">
        <x:v>稀有</x:v>
      </x:c>
      <x:c r="J675" s="25" t="str">
        <x:v>S07</x:v>
      </x:c>
      <x:c r="K675" s="25" t="str">
        <x:v>190-370</x:v>
      </x:c>
      <x:c r="L675" s="25" t="n">
        <x:v>850000</x:v>
      </x:c>
      <x:c r="M675" s="25" t="n">
        <x:v>5</x:v>
      </x:c>
      <x:c r="N675" s="25" t="str">
        <x:v>否</x:v>
      </x:c>
      <x:c r="O675" s="25" t="n">
        <x:v>0</x:v>
      </x:c>
      <x:c r="P675" s="25" t="n">
        <x:v>0</x:v>
      </x:c>
      <x:c r="Q675" s="25" t="n">
        <x:v>0</x:v>
      </x:c>
      <x:c r="R675" s="25" t="str">
        <x:v>洗练绑定装备；项链幸运绑定人物永久进度；武器幸运成本忽略</x:v>
      </x:c>
    </x:row>
    <x:row r="676">
      <x:c r="A676" s="25" t="str">
        <x:v>C07-M</x:v>
      </x:c>
      <x:c r="B676" s="25" t="str">
        <x:v>化圣雪原</x:v>
      </x:c>
      <x:c r="C676" s="25" t="str">
        <x:v>半急速中期</x:v>
      </x:c>
      <x:c r="D676" s="25" t="n">
        <x:v>1</x:v>
      </x:c>
      <x:c r="E676" s="25" t="n">
        <x:v>126</x:v>
      </x:c>
      <x:c r="F676" s="25" t="str">
        <x:v>卡利亚月裁长刃</x:v>
      </x:c>
      <x:c r="G676" s="25" t="str">
        <x:v>武器</x:v>
      </x:c>
      <x:c r="H676" s="25" t="n">
        <x:v>5</x:v>
      </x:c>
      <x:c r="I676" s="25" t="str">
        <x:v>装备合成</x:v>
      </x:c>
      <x:c r="J676" s="25" t="str">
        <x:v>S07</x:v>
      </x:c>
      <x:c r="K676" s="25" t="str">
        <x:v>4200-8000</x:v>
      </x:c>
      <x:c r="L676" s="25" t="n">
        <x:v>480000</x:v>
      </x:c>
      <x:c r="M676" s="25" t="n">
        <x:v>8</x:v>
      </x:c>
      <x:c r="N676" s="25" t="str">
        <x:v>是</x:v>
      </x:c>
      <x:c r="O676" s="25" t="n">
        <x:v>7</x:v>
      </x:c>
      <x:c r="P676" s="25" t="n">
        <x:v>0</x:v>
      </x:c>
      <x:c r="Q676" s="25" t="n">
        <x:v>0</x:v>
      </x:c>
      <x:c r="R676" s="25" t="str">
        <x:v>洗练绑定装备；项链幸运绑定人物永久进度；武器幸运成本忽略</x:v>
      </x:c>
    </x:row>
    <x:row r="677">
      <x:c r="A677" s="25" t="str">
        <x:v>C07-M</x:v>
      </x:c>
      <x:c r="B677" s="25" t="str">
        <x:v>化圣雪原</x:v>
      </x:c>
      <x:c r="C677" s="25" t="str">
        <x:v>半急速中期</x:v>
      </x:c>
      <x:c r="D677" s="25" t="n">
        <x:v>2</x:v>
      </x:c>
      <x:c r="E677" s="25" t="n">
        <x:v>134</x:v>
      </x:c>
      <x:c r="F677" s="25" t="str">
        <x:v>琉潮白鳍章</x:v>
      </x:c>
      <x:c r="G677" s="25" t="str">
        <x:v>勋章</x:v>
      </x:c>
      <x:c r="H677" s="25" t="n">
        <x:v>5</x:v>
      </x:c>
      <x:c r="I677" s="25" t="str">
        <x:v>稀有</x:v>
      </x:c>
      <x:c r="J677" s="25" t="str">
        <x:v>S07</x:v>
      </x:c>
      <x:c r="K677" s="25" t="str">
        <x:v>250-480</x:v>
      </x:c>
      <x:c r="L677" s="25" t="n">
        <x:v>260000</x:v>
      </x:c>
      <x:c r="M677" s="25" t="n">
        <x:v>0</x:v>
      </x:c>
      <x:c r="N677" s="25" t="str">
        <x:v>否</x:v>
      </x:c>
      <x:c r="O677" s="25" t="n">
        <x:v>0</x:v>
      </x:c>
      <x:c r="P677" s="25" t="n">
        <x:v>0</x:v>
      </x:c>
      <x:c r="Q677" s="25" t="n">
        <x:v>0</x:v>
      </x:c>
      <x:c r="R677" s="25" t="str">
        <x:v>洗练绑定装备；项链幸运绑定人物永久进度；武器幸运成本忽略</x:v>
      </x:c>
    </x:row>
    <x:row r="678">
      <x:c r="A678" s="25" t="str">
        <x:v>C07-M</x:v>
      </x:c>
      <x:c r="B678" s="25" t="str">
        <x:v>化圣雪原</x:v>
      </x:c>
      <x:c r="C678" s="25" t="str">
        <x:v>半急速中期</x:v>
      </x:c>
      <x:c r="D678" s="25" t="n">
        <x:v>3</x:v>
      </x:c>
      <x:c r="E678" s="25" t="n">
        <x:v>139</x:v>
      </x:c>
      <x:c r="F678" s="25" t="str">
        <x:v>诱猎声坠</x:v>
      </x:c>
      <x:c r="G678" s="25" t="str">
        <x:v>项链</x:v>
      </x:c>
      <x:c r="H678" s="25" t="n">
        <x:v>4</x:v>
      </x:c>
      <x:c r="I678" s="25" t="str">
        <x:v>稀有</x:v>
      </x:c>
      <x:c r="J678" s="25" t="str">
        <x:v>S07</x:v>
      </x:c>
      <x:c r="K678" s="25" t="str">
        <x:v>160-300</x:v>
      </x:c>
      <x:c r="L678" s="25" t="n">
        <x:v>130000</x:v>
      </x:c>
      <x:c r="M678" s="25" t="n">
        <x:v>3</x:v>
      </x:c>
      <x:c r="N678" s="25" t="str">
        <x:v>否</x:v>
      </x:c>
      <x:c r="O678" s="25" t="n">
        <x:v>0</x:v>
      </x:c>
      <x:c r="P678" s="25" t="n">
        <x:v>0</x:v>
      </x:c>
      <x:c r="Q678" s="25" t="n">
        <x:v>0</x:v>
      </x:c>
      <x:c r="R678" s="25" t="str">
        <x:v>洗练绑定装备；项链幸运绑定人物永久进度；武器幸运成本忽略</x:v>
      </x:c>
    </x:row>
    <x:row r="679">
      <x:c r="A679" s="25" t="str">
        <x:v>C07-M</x:v>
      </x:c>
      <x:c r="B679" s="25" t="str">
        <x:v>化圣雪原</x:v>
      </x:c>
      <x:c r="C679" s="25" t="str">
        <x:v>半急速中期</x:v>
      </x:c>
      <x:c r="D679" s="25" t="n">
        <x:v>4</x:v>
      </x:c>
      <x:c r="E679" s="25" t="n">
        <x:v>122</x:v>
      </x:c>
      <x:c r="F679" s="25" t="str">
        <x:v>镜荷眠梦冠</x:v>
      </x:c>
      <x:c r="G679" s="25" t="str">
        <x:v>头盔</x:v>
      </x:c>
      <x:c r="H679" s="25" t="n">
        <x:v>5</x:v>
      </x:c>
      <x:c r="I679" s="25" t="str">
        <x:v>稀有</x:v>
      </x:c>
      <x:c r="J679" s="25" t="str">
        <x:v>S07</x:v>
      </x:c>
      <x:c r="K679" s="25" t="str">
        <x:v>160-310</x:v>
      </x:c>
      <x:c r="L679" s="25" t="n">
        <x:v>320000</x:v>
      </x:c>
      <x:c r="M679" s="25" t="n">
        <x:v>7</x:v>
      </x:c>
      <x:c r="N679" s="25" t="str">
        <x:v>是</x:v>
      </x:c>
      <x:c r="O679" s="25" t="n">
        <x:v>0</x:v>
      </x:c>
      <x:c r="P679" s="25" t="n">
        <x:v>0</x:v>
      </x:c>
      <x:c r="Q679" s="25" t="n">
        <x:v>0</x:v>
      </x:c>
      <x:c r="R679" s="25" t="str">
        <x:v>洗练绑定装备；项链幸运绑定人物永久进度；武器幸运成本忽略</x:v>
      </x:c>
    </x:row>
    <x:row r="680">
      <x:c r="A680" s="25" t="str">
        <x:v>C07-M</x:v>
      </x:c>
      <x:c r="B680" s="25" t="str">
        <x:v>化圣雪原</x:v>
      </x:c>
      <x:c r="C680" s="25" t="str">
        <x:v>半急速中期</x:v>
      </x:c>
      <x:c r="D680" s="25" t="n">
        <x:v>5</x:v>
      </x:c>
      <x:c r="E680" s="25" t="n">
        <x:v>113</x:v>
      </x:c>
      <x:c r="F680" s="25" t="str">
        <x:v>百指腕甲</x:v>
      </x:c>
      <x:c r="G680" s="25" t="str">
        <x:v>手镯</x:v>
      </x:c>
      <x:c r="H680" s="25" t="n">
        <x:v>2</x:v>
      </x:c>
      <x:c r="I680" s="25" t="str">
        <x:v>普通</x:v>
      </x:c>
      <x:c r="J680" s="25" t="str">
        <x:v>S02</x:v>
      </x:c>
      <x:c r="K680" s="25" t="str">
        <x:v>69-132</x:v>
      </x:c>
      <x:c r="L680" s="25" t="n">
        <x:v>53200</x:v>
      </x:c>
      <x:c r="M680" s="25" t="n">
        <x:v>2</x:v>
      </x:c>
      <x:c r="N680" s="25" t="str">
        <x:v>否</x:v>
      </x:c>
      <x:c r="O680" s="25" t="n">
        <x:v>0</x:v>
      </x:c>
      <x:c r="P680" s="25" t="n">
        <x:v>0</x:v>
      </x:c>
      <x:c r="Q680" s="25" t="n">
        <x:v>0</x:v>
      </x:c>
      <x:c r="R680" s="25" t="str">
        <x:v>洗练绑定装备；项链幸运绑定人物永久进度；武器幸运成本忽略</x:v>
      </x:c>
    </x:row>
    <x:row r="681">
      <x:c r="A681" s="25" t="str">
        <x:v>C07-M</x:v>
      </x:c>
      <x:c r="B681" s="25" t="str">
        <x:v>化圣雪原</x:v>
      </x:c>
      <x:c r="C681" s="25" t="str">
        <x:v>半急速中期</x:v>
      </x:c>
      <x:c r="D681" s="25" t="n">
        <x:v>6</x:v>
      </x:c>
      <x:c r="E681" s="25" t="n">
        <x:v>68</x:v>
      </x:c>
      <x:c r="F681" s="25" t="str">
        <x:v>百指接肢腕</x:v>
      </x:c>
      <x:c r="G681" s="25" t="str">
        <x:v>手镯</x:v>
      </x:c>
      <x:c r="H681" s="25" t="n">
        <x:v>2</x:v>
      </x:c>
      <x:c r="I681" s="25" t="str">
        <x:v>装备合成</x:v>
      </x:c>
      <x:c r="J681" s="25" t="str">
        <x:v>S07</x:v>
      </x:c>
      <x:c r="K681" s="25" t="str">
        <x:v>110-210</x:v>
      </x:c>
      <x:c r="L681" s="25" t="n">
        <x:v>85000</x:v>
      </x:c>
      <x:c r="M681" s="25" t="n">
        <x:v>5</x:v>
      </x:c>
      <x:c r="N681" s="25" t="str">
        <x:v>否</x:v>
      </x:c>
      <x:c r="O681" s="25" t="n">
        <x:v>0</x:v>
      </x:c>
      <x:c r="P681" s="25" t="n">
        <x:v>0</x:v>
      </x:c>
      <x:c r="Q681" s="25" t="n">
        <x:v>0</x:v>
      </x:c>
      <x:c r="R681" s="25" t="str">
        <x:v>洗练绑定装备；项链幸运绑定人物永久进度；武器幸运成本忽略</x:v>
      </x:c>
    </x:row>
    <x:row r="682">
      <x:c r="A682" s="25" t="str">
        <x:v>C07-M</x:v>
      </x:c>
      <x:c r="B682" s="25" t="str">
        <x:v>化圣雪原</x:v>
      </x:c>
      <x:c r="C682" s="25" t="str">
        <x:v>半急速中期</x:v>
      </x:c>
      <x:c r="D682" s="25" t="n">
        <x:v>7</x:v>
      </x:c>
      <x:c r="E682" s="25" t="n">
        <x:v>132</x:v>
      </x:c>
      <x:c r="F682" s="25" t="str">
        <x:v>蓝焰祷戒</x:v>
      </x:c>
      <x:c r="G682" s="25" t="str">
        <x:v>戒指</x:v>
      </x:c>
      <x:c r="H682" s="25" t="n">
        <x:v>4</x:v>
      </x:c>
      <x:c r="I682" s="25" t="str">
        <x:v>稀有</x:v>
      </x:c>
      <x:c r="J682" s="25" t="str">
        <x:v>S07</x:v>
      </x:c>
      <x:c r="K682" s="25" t="str">
        <x:v>150-280</x:v>
      </x:c>
      <x:c r="L682" s="25" t="n">
        <x:v>110000</x:v>
      </x:c>
      <x:c r="M682" s="25" t="n">
        <x:v>5</x:v>
      </x:c>
      <x:c r="N682" s="25" t="str">
        <x:v>否</x:v>
      </x:c>
      <x:c r="O682" s="25" t="n">
        <x:v>0</x:v>
      </x:c>
      <x:c r="P682" s="25" t="n">
        <x:v>0</x:v>
      </x:c>
      <x:c r="Q682" s="25" t="n">
        <x:v>0</x:v>
      </x:c>
      <x:c r="R682" s="25" t="str">
        <x:v>洗练绑定装备；项链幸运绑定人物永久进度；武器幸运成本忽略</x:v>
      </x:c>
    </x:row>
    <x:row r="683">
      <x:c r="A683" s="25" t="str">
        <x:v>C07-M</x:v>
      </x:c>
      <x:c r="B683" s="25" t="str">
        <x:v>化圣雪原</x:v>
      </x:c>
      <x:c r="C683" s="25" t="str">
        <x:v>半急速中期</x:v>
      </x:c>
      <x:c r="D683" s="25" t="n">
        <x:v>8</x:v>
      </x:c>
      <x:c r="E683" s="25" t="n">
        <x:v>118</x:v>
      </x:c>
      <x:c r="F683" s="25" t="str">
        <x:v>月渊秘戒</x:v>
      </x:c>
      <x:c r="G683" s="25" t="str">
        <x:v>戒指</x:v>
      </x:c>
      <x:c r="H683" s="25" t="n">
        <x:v>4</x:v>
      </x:c>
      <x:c r="I683" s="25" t="str">
        <x:v>装备合成</x:v>
      </x:c>
      <x:c r="J683" s="25" t="str">
        <x:v>S07</x:v>
      </x:c>
      <x:c r="K683" s="25" t="str">
        <x:v>350-670</x:v>
      </x:c>
      <x:c r="L683" s="25" t="n">
        <x:v>270000</x:v>
      </x:c>
      <x:c r="M683" s="25" t="n">
        <x:v>4</x:v>
      </x:c>
      <x:c r="N683" s="25" t="str">
        <x:v>否</x:v>
      </x:c>
      <x:c r="O683" s="25" t="n">
        <x:v>0</x:v>
      </x:c>
      <x:c r="P683" s="25" t="n">
        <x:v>0</x:v>
      </x:c>
      <x:c r="Q683" s="25" t="n">
        <x:v>0</x:v>
      </x:c>
      <x:c r="R683" s="25" t="str">
        <x:v>洗练绑定装备；项链幸运绑定人物永久进度；武器幸运成本忽略</x:v>
      </x:c>
    </x:row>
    <x:row r="684">
      <x:c r="A684" s="25" t="str">
        <x:v>C07-M</x:v>
      </x:c>
      <x:c r="B684" s="25" t="str">
        <x:v>化圣雪原</x:v>
      </x:c>
      <x:c r="C684" s="25" t="str">
        <x:v>半急速中期</x:v>
      </x:c>
      <x:c r="D684" s="25" t="n">
        <x:v>10</x:v>
      </x:c>
      <x:c r="E684" s="25" t="n">
        <x:v>123</x:v>
      </x:c>
      <x:c r="F684" s="25" t="str">
        <x:v>汲月雾绦</x:v>
      </x:c>
      <x:c r="G684" s="25" t="str">
        <x:v>腰带</x:v>
      </x:c>
      <x:c r="H684" s="25" t="n">
        <x:v>5</x:v>
      </x:c>
      <x:c r="I684" s="25" t="str">
        <x:v>稀有</x:v>
      </x:c>
      <x:c r="J684" s="25" t="str">
        <x:v>S07</x:v>
      </x:c>
      <x:c r="K684" s="25" t="str">
        <x:v>150-280</x:v>
      </x:c>
      <x:c r="L684" s="25" t="n">
        <x:v>240000</x:v>
      </x:c>
      <x:c r="M684" s="25" t="n">
        <x:v>5</x:v>
      </x:c>
      <x:c r="N684" s="25" t="str">
        <x:v>否</x:v>
      </x:c>
      <x:c r="O684" s="25" t="n">
        <x:v>0</x:v>
      </x:c>
      <x:c r="P684" s="25" t="n">
        <x:v>0</x:v>
      </x:c>
      <x:c r="Q684" s="25" t="n">
        <x:v>0</x:v>
      </x:c>
      <x:c r="R684" s="25" t="str">
        <x:v>洗练绑定装备；项链幸运绑定人物永久进度；武器幸运成本忽略</x:v>
      </x:c>
    </x:row>
    <x:row r="685">
      <x:c r="A685" s="25" t="str">
        <x:v>C07-M</x:v>
      </x:c>
      <x:c r="B685" s="25" t="str">
        <x:v>化圣雪原</x:v>
      </x:c>
      <x:c r="C685" s="25" t="str">
        <x:v>半急速中期</x:v>
      </x:c>
      <x:c r="D685" s="25" t="n">
        <x:v>11</x:v>
      </x:c>
      <x:c r="E685" s="25" t="n">
        <x:v>94</x:v>
      </x:c>
      <x:c r="F685" s="25" t="str">
        <x:v>逐风征靴</x:v>
      </x:c>
      <x:c r="G685" s="25" t="str">
        <x:v>鞋子</x:v>
      </x:c>
      <x:c r="H685" s="25" t="n">
        <x:v>3</x:v>
      </x:c>
      <x:c r="I685" s="25" t="str">
        <x:v>装备合成</x:v>
      </x:c>
      <x:c r="J685" s="25" t="str">
        <x:v>S07</x:v>
      </x:c>
      <x:c r="K685" s="25" t="str">
        <x:v>100-200</x:v>
      </x:c>
      <x:c r="L685" s="25" t="n">
        <x:v>150000</x:v>
      </x:c>
      <x:c r="M685" s="25" t="n">
        <x:v>3</x:v>
      </x:c>
      <x:c r="N685" s="25" t="str">
        <x:v>否</x:v>
      </x:c>
      <x:c r="O685" s="25" t="n">
        <x:v>0</x:v>
      </x:c>
      <x:c r="P685" s="25" t="n">
        <x:v>0</x:v>
      </x:c>
      <x:c r="Q685" s="25" t="n">
        <x:v>0</x:v>
      </x:c>
      <x:c r="R685" s="25" t="str">
        <x:v>洗练绑定装备；项链幸运绑定人物永久进度；武器幸运成本忽略</x:v>
      </x:c>
    </x:row>
    <x:row r="686">
      <x:c r="A686" s="25" t="str">
        <x:v>C07-M</x:v>
      </x:c>
      <x:c r="B686" s="25" t="str">
        <x:v>化圣雪原</x:v>
      </x:c>
      <x:c r="C686" s="25" t="str">
        <x:v>半急速中期</x:v>
      </x:c>
      <x:c r="D686" s="25" t="n">
        <x:v>13</x:v>
      </x:c>
      <x:c r="E686" s="25" t="n">
        <x:v>135</x:v>
      </x:c>
      <x:c r="F686" s="25" t="str">
        <x:v>回声盗墓笠</x:v>
      </x:c>
      <x:c r="G686" s="25" t="str">
        <x:v>斗笠</x:v>
      </x:c>
      <x:c r="H686" s="25" t="n">
        <x:v>4</x:v>
      </x:c>
      <x:c r="I686" s="25" t="str">
        <x:v>稀有</x:v>
      </x:c>
      <x:c r="J686" s="25" t="str">
        <x:v>S07</x:v>
      </x:c>
      <x:c r="K686" s="25" t="str">
        <x:v>83-160</x:v>
      </x:c>
      <x:c r="L686" s="25" t="n">
        <x:v>100000</x:v>
      </x:c>
      <x:c r="M686" s="25" t="n">
        <x:v>0</x:v>
      </x:c>
      <x:c r="N686" s="25" t="str">
        <x:v>否</x:v>
      </x:c>
      <x:c r="O686" s="25" t="n">
        <x:v>0</x:v>
      </x:c>
      <x:c r="P686" s="25" t="n">
        <x:v>0</x:v>
      </x:c>
      <x:c r="Q686" s="25" t="n">
        <x:v>0</x:v>
      </x:c>
      <x:c r="R686" s="25" t="str">
        <x:v>洗练绑定装备；项链幸运绑定人物永久进度；武器幸运成本忽略</x:v>
      </x:c>
    </x:row>
    <x:row r="687">
      <x:c r="A687" s="25" t="str">
        <x:v>C07-M</x:v>
      </x:c>
      <x:c r="B687" s="25" t="str">
        <x:v>化圣雪原</x:v>
      </x:c>
      <x:c r="C687" s="25" t="str">
        <x:v>半急速中期</x:v>
      </x:c>
      <x:c r="D687" s="25" t="n">
        <x:v>16</x:v>
      </x:c>
      <x:c r="E687" s="25" t="n">
        <x:v>136</x:v>
      </x:c>
      <x:c r="F687" s="25" t="str">
        <x:v>桨官铁盾</x:v>
      </x:c>
      <x:c r="G687" s="25" t="str">
        <x:v>盾牌</x:v>
      </x:c>
      <x:c r="H687" s="25" t="n">
        <x:v>4</x:v>
      </x:c>
      <x:c r="I687" s="25" t="str">
        <x:v>稀有</x:v>
      </x:c>
      <x:c r="J687" s="25" t="str">
        <x:v>S07</x:v>
      </x:c>
      <x:c r="K687" s="25" t="str">
        <x:v>120-230</x:v>
      </x:c>
      <x:c r="L687" s="25" t="n">
        <x:v>410000</x:v>
      </x:c>
      <x:c r="M687" s="25" t="n">
        <x:v>0</x:v>
      </x:c>
      <x:c r="N687" s="25" t="str">
        <x:v>否</x:v>
      </x:c>
      <x:c r="O687" s="25" t="n">
        <x:v>0</x:v>
      </x:c>
      <x:c r="P687" s="25" t="n">
        <x:v>0</x:v>
      </x:c>
      <x:c r="Q687" s="25" t="n">
        <x:v>0</x:v>
      </x:c>
      <x:c r="R687" s="25" t="str">
        <x:v>洗练绑定装备；项链幸运绑定人物永久进度；武器幸运成本忽略</x:v>
      </x:c>
    </x:row>
    <x:row r="688">
      <x:c r="A688" s="25" t="str">
        <x:v>C07-M</x:v>
      </x:c>
      <x:c r="B688" s="25" t="str">
        <x:v>化圣雪原</x:v>
      </x:c>
      <x:c r="C688" s="25" t="str">
        <x:v>半急速中期</x:v>
      </x:c>
      <x:c r="D688" s="25" t="n">
        <x:v>18</x:v>
      </x:c>
      <x:c r="E688" s="25" t="n">
        <x:v>137</x:v>
      </x:c>
      <x:c r="F688" s="25" t="str">
        <x:v>红狮余烬王衣</x:v>
      </x:c>
      <x:c r="G688" s="25" t="str">
        <x:v>时装衣服</x:v>
      </x:c>
      <x:c r="H688" s="25" t="n">
        <x:v>6</x:v>
      </x:c>
      <x:c r="I688" s="25" t="str">
        <x:v>装备合成</x:v>
      </x:c>
      <x:c r="J688" s="25" t="str">
        <x:v>S07</x:v>
      </x:c>
      <x:c r="K688" s="25" t="str">
        <x:v>780-1500</x:v>
      </x:c>
      <x:c r="L688" s="25" t="n">
        <x:v>5100000</x:v>
      </x:c>
      <x:c r="M688" s="25" t="n">
        <x:v>0</x:v>
      </x:c>
      <x:c r="N688" s="25" t="str">
        <x:v>否</x:v>
      </x:c>
      <x:c r="O688" s="25" t="n">
        <x:v>0</x:v>
      </x:c>
      <x:c r="P688" s="25" t="n">
        <x:v>0</x:v>
      </x:c>
      <x:c r="Q688" s="25" t="n">
        <x:v>0</x:v>
      </x:c>
      <x:c r="R688" s="25" t="str">
        <x:v>洗练绑定装备；项链幸运绑定人物永久进度；武器幸运成本忽略</x:v>
      </x:c>
    </x:row>
    <x:row r="689">
      <x:c r="A689" s="25" t="str">
        <x:v>C07-M</x:v>
      </x:c>
      <x:c r="B689" s="25" t="str">
        <x:v>化圣雪原</x:v>
      </x:c>
      <x:c r="C689" s="25" t="str">
        <x:v>半急速中期</x:v>
      </x:c>
      <x:c r="D689" s="25" t="n">
        <x:v>19</x:v>
      </x:c>
      <x:c r="E689" s="25" t="n">
        <x:v>64</x:v>
      </x:c>
      <x:c r="F689" s="25" t="str">
        <x:v>百夫熔戟</x:v>
      </x:c>
      <x:c r="G689" s="25" t="str">
        <x:v>时装武器</x:v>
      </x:c>
      <x:c r="H689" s="25" t="n">
        <x:v>2</x:v>
      </x:c>
      <x:c r="I689" s="25" t="str">
        <x:v>稀有</x:v>
      </x:c>
      <x:c r="J689" s="25" t="str">
        <x:v>S02</x:v>
      </x:c>
      <x:c r="K689" s="25" t="str">
        <x:v>150-288</x:v>
      </x:c>
      <x:c r="L689" s="25" t="n">
        <x:v>45400</x:v>
      </x:c>
      <x:c r="M689" s="25" t="n">
        <x:v>0</x:v>
      </x:c>
      <x:c r="N689" s="25" t="str">
        <x:v>否</x:v>
      </x:c>
      <x:c r="O689" s="25" t="n">
        <x:v>0</x:v>
      </x:c>
      <x:c r="P689" s="25" t="n">
        <x:v>0</x:v>
      </x:c>
      <x:c r="Q689" s="25" t="n">
        <x:v>0</x:v>
      </x:c>
      <x:c r="R689" s="25" t="str">
        <x:v>洗练绑定装备；项链幸运绑定人物永久进度；武器幸运成本忽略</x:v>
      </x:c>
    </x:row>
    <x:row r="690">
      <x:c r="A690" s="25" t="str">
        <x:v>C07-M</x:v>
      </x:c>
      <x:c r="B690" s="25" t="str">
        <x:v>化圣雪原</x:v>
      </x:c>
      <x:c r="C690" s="25" t="str">
        <x:v>半急速中期</x:v>
      </x:c>
      <x:c r="D690" s="25" t="n">
        <x:v>20</x:v>
      </x:c>
      <x:c r="E690" s="25" t="n">
        <x:v>40</x:v>
      </x:c>
      <x:c r="F690" s="25" t="str">
        <x:v>英雄余誓</x:v>
      </x:c>
      <x:c r="G690" s="25" t="str">
        <x:v>时装项链</x:v>
      </x:c>
      <x:c r="H690" s="25" t="n">
        <x:v>2</x:v>
      </x:c>
      <x:c r="I690" s="25" t="str">
        <x:v>稀有</x:v>
      </x:c>
      <x:c r="J690" s="25" t="str">
        <x:v>S02</x:v>
      </x:c>
      <x:c r="K690" s="25" t="str">
        <x:v>31-60</x:v>
      </x:c>
      <x:c r="L690" s="25" t="n">
        <x:v>17900</x:v>
      </x:c>
      <x:c r="M690" s="25" t="n">
        <x:v>0</x:v>
      </x:c>
      <x:c r="N690" s="25" t="str">
        <x:v>否</x:v>
      </x:c>
      <x:c r="O690" s="25" t="n">
        <x:v>0</x:v>
      </x:c>
      <x:c r="P690" s="25" t="n">
        <x:v>0</x:v>
      </x:c>
      <x:c r="Q690" s="25" t="n">
        <x:v>0</x:v>
      </x:c>
      <x:c r="R690" s="25" t="str">
        <x:v>洗练绑定装备；项链幸运绑定人物永久进度；武器幸运成本忽略</x:v>
      </x:c>
    </x:row>
    <x:row r="691">
      <x:c r="A691" s="25" t="str">
        <x:v>C07-M</x:v>
      </x:c>
      <x:c r="B691" s="25" t="str">
        <x:v>化圣雪原</x:v>
      </x:c>
      <x:c r="C691" s="25" t="str">
        <x:v>半急速中期</x:v>
      </x:c>
      <x:c r="D691" s="25" t="n">
        <x:v>21</x:v>
      </x:c>
      <x:c r="E691" s="25" t="n">
        <x:v>41</x:v>
      </x:c>
      <x:c r="F691" s="25" t="str">
        <x:v>初火兜鍪</x:v>
      </x:c>
      <x:c r="G691" s="25" t="str">
        <x:v>时装头盔</x:v>
      </x:c>
      <x:c r="H691" s="25" t="n">
        <x:v>2</x:v>
      </x:c>
      <x:c r="I691" s="25" t="str">
        <x:v>稀有</x:v>
      </x:c>
      <x:c r="J691" s="25" t="str">
        <x:v>S02</x:v>
      </x:c>
      <x:c r="K691" s="25" t="str">
        <x:v>22-42</x:v>
      </x:c>
      <x:c r="L691" s="25" t="n">
        <x:v>30900</x:v>
      </x:c>
      <x:c r="M691" s="25" t="n">
        <x:v>0</x:v>
      </x:c>
      <x:c r="N691" s="25" t="str">
        <x:v>否</x:v>
      </x:c>
      <x:c r="O691" s="25" t="n">
        <x:v>0</x:v>
      </x:c>
      <x:c r="P691" s="25" t="n">
        <x:v>0</x:v>
      </x:c>
      <x:c r="Q691" s="25" t="n">
        <x:v>0</x:v>
      </x:c>
      <x:c r="R691" s="25" t="str">
        <x:v>洗练绑定装备；项链幸运绑定人物永久进度；武器幸运成本忽略</x:v>
      </x:c>
    </x:row>
    <x:row r="692">
      <x:c r="A692" s="25" t="str">
        <x:v>C07-M</x:v>
      </x:c>
      <x:c r="B692" s="25" t="str">
        <x:v>化圣雪原</x:v>
      </x:c>
      <x:c r="C692" s="25" t="str">
        <x:v>半急速中期</x:v>
      </x:c>
      <x:c r="D692" s="25" t="n">
        <x:v>22</x:v>
      </x:c>
      <x:c r="E692" s="25" t="n">
        <x:v>42</x:v>
      </x:c>
      <x:c r="F692" s="25" t="str">
        <x:v>卢恩血镯</x:v>
      </x:c>
      <x:c r="G692" s="25" t="str">
        <x:v>时装手镯</x:v>
      </x:c>
      <x:c r="H692" s="25" t="n">
        <x:v>2</x:v>
      </x:c>
      <x:c r="I692" s="25" t="str">
        <x:v>稀有</x:v>
      </x:c>
      <x:c r="J692" s="25" t="str">
        <x:v>S02</x:v>
      </x:c>
      <x:c r="K692" s="25" t="str">
        <x:v>42-80</x:v>
      </x:c>
      <x:c r="L692" s="25" t="n">
        <x:v>34400</x:v>
      </x:c>
      <x:c r="M692" s="25" t="n">
        <x:v>0</x:v>
      </x:c>
      <x:c r="N692" s="25" t="str">
        <x:v>否</x:v>
      </x:c>
      <x:c r="O692" s="25" t="n">
        <x:v>0</x:v>
      </x:c>
      <x:c r="P692" s="25" t="n">
        <x:v>0</x:v>
      </x:c>
      <x:c r="Q692" s="25" t="n">
        <x:v>0</x:v>
      </x:c>
      <x:c r="R692" s="25" t="str">
        <x:v>洗练绑定装备；项链幸运绑定人物永久进度；武器幸运成本忽略</x:v>
      </x:c>
    </x:row>
    <x:row r="693">
      <x:c r="A693" s="25" t="str">
        <x:v>C07-M</x:v>
      </x:c>
      <x:c r="B693" s="25" t="str">
        <x:v>化圣雪原</x:v>
      </x:c>
      <x:c r="C693" s="25" t="str">
        <x:v>半急速中期</x:v>
      </x:c>
      <x:c r="D693" s="25" t="n">
        <x:v>24</x:v>
      </x:c>
      <x:c r="E693" s="25" t="n">
        <x:v>43</x:v>
      </x:c>
      <x:c r="F693" s="25" t="str">
        <x:v>黄金树戒</x:v>
      </x:c>
      <x:c r="G693" s="25" t="str">
        <x:v>时装戒指</x:v>
      </x:c>
      <x:c r="H693" s="25" t="n">
        <x:v>2</x:v>
      </x:c>
      <x:c r="I693" s="25" t="str">
        <x:v>稀有</x:v>
      </x:c>
      <x:c r="J693" s="25" t="str">
        <x:v>S02</x:v>
      </x:c>
      <x:c r="K693" s="25" t="str">
        <x:v>42-80</x:v>
      </x:c>
      <x:c r="L693" s="25" t="n">
        <x:v>34400</x:v>
      </x:c>
      <x:c r="M693" s="25" t="n">
        <x:v>0</x:v>
      </x:c>
      <x:c r="N693" s="25" t="str">
        <x:v>否</x:v>
      </x:c>
      <x:c r="O693" s="25" t="n">
        <x:v>0</x:v>
      </x:c>
      <x:c r="P693" s="25" t="n">
        <x:v>0</x:v>
      </x:c>
      <x:c r="Q693" s="25" t="n">
        <x:v>0</x:v>
      </x:c>
      <x:c r="R693" s="25" t="str">
        <x:v>洗练绑定装备；项链幸运绑定人物永久进度；武器幸运成本忽略</x:v>
      </x:c>
    </x:row>
    <x:row r="694">
      <x:c r="A694" s="25" t="str">
        <x:v>C07-M</x:v>
      </x:c>
      <x:c r="B694" s="25" t="str">
        <x:v>化圣雪原</x:v>
      </x:c>
      <x:c r="C694" s="25" t="str">
        <x:v>半急速中期</x:v>
      </x:c>
      <x:c r="D694" s="25" t="n">
        <x:v>40</x:v>
      </x:c>
      <x:c r="E694" s="25" t="n">
        <x:v>44</x:v>
      </x:c>
      <x:c r="F694" s="25" t="str">
        <x:v>腐树子鼠</x:v>
      </x:c>
      <x:c r="G694" s="25" t="str">
        <x:v>生肖1</x:v>
      </x:c>
      <x:c r="H694" s="25" t="n">
        <x:v>2</x:v>
      </x:c>
      <x:c r="I694" s="25" t="str">
        <x:v>BOSS</x:v>
      </x:c>
      <x:c r="J694" s="25" t="str">
        <x:v>S02</x:v>
      </x:c>
      <x:c r="K694" s="25" t="str">
        <x:v>29-56</x:v>
      </x:c>
      <x:c r="L694" s="25" t="n">
        <x:v>23600</x:v>
      </x:c>
      <x:c r="M694" s="25" t="n">
        <x:v>0</x:v>
      </x:c>
      <x:c r="N694" s="25" t="str">
        <x:v>否</x:v>
      </x:c>
      <x:c r="O694" s="25" t="n">
        <x:v>0</x:v>
      </x:c>
      <x:c r="P694" s="25" t="n">
        <x:v>0</x:v>
      </x:c>
      <x:c r="Q694" s="25" t="n">
        <x:v>0</x:v>
      </x:c>
      <x:c r="R694" s="25" t="str">
        <x:v>洗练绑定装备；项链幸运绑定人物永久进度；武器幸运成本忽略</x:v>
      </x:c>
    </x:row>
    <x:row r="695">
      <x:c r="A695" s="25" t="str">
        <x:v>C07-M</x:v>
      </x:c>
      <x:c r="B695" s="25" t="str">
        <x:v>化圣雪原</x:v>
      </x:c>
      <x:c r="C695" s="25" t="str">
        <x:v>半急速中期</x:v>
      </x:c>
      <x:c r="D695" s="25" t="n">
        <x:v>41</x:v>
      </x:c>
      <x:c r="E695" s="25" t="n">
        <x:v>69</x:v>
      </x:c>
      <x:c r="F695" s="25" t="str">
        <x:v>丑牛·风暴负山</x:v>
      </x:c>
      <x:c r="G695" s="25" t="str">
        <x:v>生肖2</x:v>
      </x:c>
      <x:c r="H695" s="25" t="n">
        <x:v>2</x:v>
      </x:c>
      <x:c r="I695" s="25" t="str">
        <x:v>生肖合成</x:v>
      </x:c>
      <x:c r="J695" s="25" t="str">
        <x:v>S07</x:v>
      </x:c>
      <x:c r="K695" s="25" t="str">
        <x:v>25-49</x:v>
      </x:c>
      <x:c r="L695" s="25" t="n">
        <x:v>64000</x:v>
      </x:c>
      <x:c r="M695" s="25" t="n">
        <x:v>0</x:v>
      </x:c>
      <x:c r="N695" s="25" t="str">
        <x:v>否</x:v>
      </x:c>
      <x:c r="O695" s="25" t="n">
        <x:v>0</x:v>
      </x:c>
      <x:c r="P695" s="25" t="n">
        <x:v>0</x:v>
      </x:c>
      <x:c r="Q695" s="25" t="n">
        <x:v>0</x:v>
      </x:c>
      <x:c r="R695" s="25" t="str">
        <x:v>洗练绑定装备；项链幸运绑定人物永久进度；武器幸运成本忽略</x:v>
      </x:c>
    </x:row>
    <x:row r="696">
      <x:c r="A696" s="25" t="str">
        <x:v>C07-M</x:v>
      </x:c>
      <x:c r="B696" s="25" t="str">
        <x:v>化圣雪原</x:v>
      </x:c>
      <x:c r="C696" s="25" t="str">
        <x:v>半急速中期</x:v>
      </x:c>
      <x:c r="D696" s="25" t="n">
        <x:v>42</x:v>
      </x:c>
      <x:c r="E696" s="25" t="n">
        <x:v>138</x:v>
      </x:c>
      <x:c r="F696" s="25" t="str">
        <x:v>寅虎·红狮焚原</x:v>
      </x:c>
      <x:c r="G696" s="25" t="str">
        <x:v>生肖3</x:v>
      </x:c>
      <x:c r="H696" s="25" t="n">
        <x:v>6</x:v>
      </x:c>
      <x:c r="I696" s="25" t="str">
        <x:v>生肖合成</x:v>
      </x:c>
      <x:c r="J696" s="25" t="str">
        <x:v>S07</x:v>
      </x:c>
      <x:c r="K696" s="25" t="str">
        <x:v>250-490</x:v>
      </x:c>
      <x:c r="L696" s="25" t="n">
        <x:v>640000</x:v>
      </x:c>
      <x:c r="M696" s="25" t="n">
        <x:v>0</x:v>
      </x:c>
      <x:c r="N696" s="25" t="str">
        <x:v>否</x:v>
      </x:c>
      <x:c r="O696" s="25" t="n">
        <x:v>0</x:v>
      </x:c>
      <x:c r="P696" s="25" t="n">
        <x:v>0</x:v>
      </x:c>
      <x:c r="Q696" s="25" t="n">
        <x:v>0</x:v>
      </x:c>
      <x:c r="R696" s="25" t="str">
        <x:v>洗练绑定装备；项链幸运绑定人物永久进度；武器幸运成本忽略</x:v>
      </x:c>
    </x:row>
    <x:row r="697">
      <x:c r="A697" s="25" t="str">
        <x:v>C07-M</x:v>
      </x:c>
      <x:c r="B697" s="25" t="str">
        <x:v>化圣雪原</x:v>
      </x:c>
      <x:c r="C697" s="25" t="str">
        <x:v>半急速中期</x:v>
      </x:c>
      <x:c r="D697" s="25" t="n">
        <x:v>43</x:v>
      </x:c>
      <x:c r="E697" s="25" t="n">
        <x:v>127</x:v>
      </x:c>
      <x:c r="F697" s="25" t="str">
        <x:v>卯兔·镜月折辉</x:v>
      </x:c>
      <x:c r="G697" s="25" t="str">
        <x:v>生肖4</x:v>
      </x:c>
      <x:c r="H697" s="25" t="n">
        <x:v>5</x:v>
      </x:c>
      <x:c r="I697" s="25" t="str">
        <x:v>生肖合成</x:v>
      </x:c>
      <x:c r="J697" s="25" t="str">
        <x:v>S07</x:v>
      </x:c>
      <x:c r="K697" s="25" t="str">
        <x:v>150-280</x:v>
      </x:c>
      <x:c r="L697" s="25" t="n">
        <x:v>360000</x:v>
      </x:c>
      <x:c r="M697" s="25" t="n">
        <x:v>0</x:v>
      </x:c>
      <x:c r="N697" s="25" t="str">
        <x:v>否</x:v>
      </x:c>
      <x:c r="O697" s="25" t="n">
        <x:v>0</x:v>
      </x:c>
      <x:c r="P697" s="25" t="n">
        <x:v>0</x:v>
      </x:c>
      <x:c r="Q697" s="25" t="n">
        <x:v>0</x:v>
      </x:c>
      <x:c r="R697" s="25" t="str">
        <x:v>洗练绑定装备；项链幸运绑定人物永久进度；武器幸运成本忽略</x:v>
      </x:c>
    </x:row>
    <x:row r="698">
      <x:c r="A698" s="25" t="str">
        <x:v>C07-M</x:v>
      </x:c>
      <x:c r="B698" s="25" t="str">
        <x:v>化圣雪原</x:v>
      </x:c>
      <x:c r="C698" s="25" t="str">
        <x:v>半急速中期</x:v>
      </x:c>
      <x:c r="D698" s="25" t="n">
        <x:v>44</x:v>
      </x:c>
      <x:c r="E698" s="25" t="n">
        <x:v>91</x:v>
      </x:c>
      <x:c r="F698" s="25" t="str">
        <x:v>辰龙·荒原逐风</x:v>
      </x:c>
      <x:c r="G698" s="25" t="str">
        <x:v>生肖5</x:v>
      </x:c>
      <x:c r="H698" s="25" t="n">
        <x:v>3</x:v>
      </x:c>
      <x:c r="I698" s="25" t="str">
        <x:v>生肖合成</x:v>
      </x:c>
      <x:c r="J698" s="25" t="str">
        <x:v>S07</x:v>
      </x:c>
      <x:c r="K698" s="25" t="str">
        <x:v>47-90</x:v>
      </x:c>
      <x:c r="L698" s="25" t="n">
        <x:v>120000</x:v>
      </x:c>
      <x:c r="M698" s="25" t="n">
        <x:v>0</x:v>
      </x:c>
      <x:c r="N698" s="25" t="str">
        <x:v>否</x:v>
      </x:c>
      <x:c r="O698" s="25" t="n">
        <x:v>0</x:v>
      </x:c>
      <x:c r="P698" s="25" t="n">
        <x:v>0</x:v>
      </x:c>
      <x:c r="Q698" s="25" t="n">
        <x:v>0</x:v>
      </x:c>
      <x:c r="R698" s="25" t="str">
        <x:v>洗练绑定装备；项链幸运绑定人物永久进度；武器幸运成本忽略</x:v>
      </x:c>
    </x:row>
    <x:row r="699">
      <x:c r="A699" s="25" t="str">
        <x:v>C07-M</x:v>
      </x:c>
      <x:c r="B699" s="25" t="str">
        <x:v>化圣雪原</x:v>
      </x:c>
      <x:c r="C699" s="25" t="str">
        <x:v>半急速中期</x:v>
      </x:c>
      <x:c r="D699" s="25" t="n">
        <x:v>45</x:v>
      </x:c>
      <x:c r="E699" s="25" t="n">
        <x:v>107</x:v>
      </x:c>
      <x:c r="F699" s="25" t="str">
        <x:v>巳蛇·沉潮缚月</x:v>
      </x:c>
      <x:c r="G699" s="25" t="str">
        <x:v>生肖6</x:v>
      </x:c>
      <x:c r="H699" s="25" t="n">
        <x:v>4</x:v>
      </x:c>
      <x:c r="I699" s="25" t="str">
        <x:v>生肖合成</x:v>
      </x:c>
      <x:c r="J699" s="25" t="str">
        <x:v>S07</x:v>
      </x:c>
      <x:c r="K699" s="25" t="str">
        <x:v>83-160</x:v>
      </x:c>
      <x:c r="L699" s="25" t="n">
        <x:v>200000</x:v>
      </x:c>
      <x:c r="M699" s="25" t="n">
        <x:v>0</x:v>
      </x:c>
      <x:c r="N699" s="25" t="str">
        <x:v>否</x:v>
      </x:c>
      <x:c r="O699" s="25" t="n">
        <x:v>0</x:v>
      </x:c>
      <x:c r="P699" s="25" t="n">
        <x:v>0</x:v>
      </x:c>
      <x:c r="Q699" s="25" t="n">
        <x:v>0</x:v>
      </x:c>
      <x:c r="R699" s="25" t="str">
        <x:v>洗练绑定装备；项链幸运绑定人物永久进度；武器幸运成本忽略</x:v>
      </x:c>
    </x:row>
    <x:row r="700">
      <x:c r="A700" s="25" t="str">
        <x:v>C07-M</x:v>
      </x:c>
      <x:c r="B700" s="25" t="str">
        <x:v>化圣雪原</x:v>
      </x:c>
      <x:c r="C700" s="25" t="str">
        <x:v>半急速中期</x:v>
      </x:c>
      <x:c r="D700" s="25" t="n">
        <x:v>46</x:v>
      </x:c>
      <x:c r="E700" s="25" t="n">
        <x:v>80</x:v>
      </x:c>
      <x:c r="F700" s="25" t="str">
        <x:v>死水午马</x:v>
      </x:c>
      <x:c r="G700" s="25" t="str">
        <x:v>生肖7</x:v>
      </x:c>
      <x:c r="H700" s="25" t="n">
        <x:v>2</x:v>
      </x:c>
      <x:c r="I700" s="25" t="str">
        <x:v>BOSS</x:v>
      </x:c>
      <x:c r="J700" s="25" t="str">
        <x:v>S02</x:v>
      </x:c>
      <x:c r="K700" s="25" t="str">
        <x:v>38-74</x:v>
      </x:c>
      <x:c r="L700" s="25" t="n">
        <x:v>45300</x:v>
      </x:c>
      <x:c r="M700" s="25" t="n">
        <x:v>0</x:v>
      </x:c>
      <x:c r="N700" s="25" t="str">
        <x:v>否</x:v>
      </x:c>
      <x:c r="O700" s="25" t="n">
        <x:v>0</x:v>
      </x:c>
      <x:c r="P700" s="25" t="n">
        <x:v>0</x:v>
      </x:c>
      <x:c r="Q700" s="25" t="n">
        <x:v>0</x:v>
      </x:c>
      <x:c r="R700" s="25" t="str">
        <x:v>洗练绑定装备；项链幸运绑定人物永久进度；武器幸运成本忽略</x:v>
      </x:c>
    </x:row>
    <x:row r="701">
      <x:c r="A701" s="25" t="str">
        <x:v>C07-M</x:v>
      </x:c>
      <x:c r="B701" s="25" t="str">
        <x:v>化圣雪原</x:v>
      </x:c>
      <x:c r="C701" s="25" t="str">
        <x:v>半急速中期</x:v>
      </x:c>
      <x:c r="D701" s="25" t="n">
        <x:v>47</x:v>
      </x:c>
      <x:c r="E701" s="25" t="n">
        <x:v>67</x:v>
      </x:c>
      <x:c r="F701" s="25" t="str">
        <x:v>葬日未羊</x:v>
      </x:c>
      <x:c r="G701" s="25" t="str">
        <x:v>生肖8</x:v>
      </x:c>
      <x:c r="H701" s="25" t="n">
        <x:v>2</x:v>
      </x:c>
      <x:c r="I701" s="25" t="str">
        <x:v>稀有</x:v>
      </x:c>
      <x:c r="J701" s="25" t="str">
        <x:v>S02</x:v>
      </x:c>
      <x:c r="K701" s="25" t="str">
        <x:v>37-72</x:v>
      </x:c>
      <x:c r="L701" s="25" t="n">
        <x:v>51600</x:v>
      </x:c>
      <x:c r="M701" s="25" t="n">
        <x:v>0</x:v>
      </x:c>
      <x:c r="N701" s="25" t="str">
        <x:v>否</x:v>
      </x:c>
      <x:c r="O701" s="25" t="n">
        <x:v>0</x:v>
      </x:c>
      <x:c r="P701" s="25" t="n">
        <x:v>0</x:v>
      </x:c>
      <x:c r="Q701" s="25" t="n">
        <x:v>0</x:v>
      </x:c>
      <x:c r="R701" s="25" t="str">
        <x:v>洗练绑定装备；项链幸运绑定人物永久进度；武器幸运成本忽略</x:v>
      </x:c>
    </x:row>
    <x:row r="702">
      <x:c r="A702" s="25" t="str">
        <x:v>C07-M</x:v>
      </x:c>
      <x:c r="B702" s="25" t="str">
        <x:v>化圣雪原</x:v>
      </x:c>
      <x:c r="C702" s="25" t="str">
        <x:v>半急速中期</x:v>
      </x:c>
      <x:c r="D702" s="25" t="n">
        <x:v>48</x:v>
      </x:c>
      <x:c r="E702" s="25" t="n">
        <x:v>81</x:v>
      </x:c>
      <x:c r="F702" s="25" t="str">
        <x:v>雷冠申猴</x:v>
      </x:c>
      <x:c r="G702" s="25" t="str">
        <x:v>生肖9</x:v>
      </x:c>
      <x:c r="H702" s="25" t="n">
        <x:v>2</x:v>
      </x:c>
      <x:c r="I702" s="25" t="str">
        <x:v>BOSS</x:v>
      </x:c>
      <x:c r="J702" s="25" t="str">
        <x:v>S02</x:v>
      </x:c>
      <x:c r="K702" s="25" t="str">
        <x:v>44-84</x:v>
      </x:c>
      <x:c r="L702" s="25" t="n">
        <x:v>59800</x:v>
      </x:c>
      <x:c r="M702" s="25" t="n">
        <x:v>0</x:v>
      </x:c>
      <x:c r="N702" s="25" t="str">
        <x:v>否</x:v>
      </x:c>
      <x:c r="O702" s="25" t="n">
        <x:v>0</x:v>
      </x:c>
      <x:c r="P702" s="25" t="n">
        <x:v>0</x:v>
      </x:c>
      <x:c r="Q702" s="25" t="n">
        <x:v>0</x:v>
      </x:c>
      <x:c r="R702" s="25" t="str">
        <x:v>洗练绑定装备；项链幸运绑定人物永久进度；武器幸运成本忽略</x:v>
      </x:c>
    </x:row>
    <x:row r="703">
      <x:c r="A703" s="25" t="str">
        <x:v>C07-M</x:v>
      </x:c>
      <x:c r="B703" s="25" t="str">
        <x:v>化圣雪原</x:v>
      </x:c>
      <x:c r="C703" s="25" t="str">
        <x:v>半急速中期</x:v>
      </x:c>
      <x:c r="D703" s="25" t="n">
        <x:v>49</x:v>
      </x:c>
      <x:c r="E703" s="25" t="n">
        <x:v>82</x:v>
      </x:c>
      <x:c r="F703" s="25" t="str">
        <x:v>恶兆酉鸡</x:v>
      </x:c>
      <x:c r="G703" s="25" t="str">
        <x:v>生肖10</x:v>
      </x:c>
      <x:c r="H703" s="25" t="n">
        <x:v>2</x:v>
      </x:c>
      <x:c r="I703" s="25" t="str">
        <x:v>BOSS</x:v>
      </x:c>
      <x:c r="J703" s="25" t="str">
        <x:v>S02</x:v>
      </x:c>
      <x:c r="K703" s="25" t="str">
        <x:v>44-84</x:v>
      </x:c>
      <x:c r="L703" s="25" t="n">
        <x:v>59800</x:v>
      </x:c>
      <x:c r="M703" s="25" t="n">
        <x:v>0</x:v>
      </x:c>
      <x:c r="N703" s="25" t="str">
        <x:v>否</x:v>
      </x:c>
      <x:c r="O703" s="25" t="n">
        <x:v>0</x:v>
      </x:c>
      <x:c r="P703" s="25" t="n">
        <x:v>0</x:v>
      </x:c>
      <x:c r="Q703" s="25" t="n">
        <x:v>0</x:v>
      </x:c>
      <x:c r="R703" s="25" t="str">
        <x:v>洗练绑定装备；项链幸运绑定人物永久进度；武器幸运成本忽略</x:v>
      </x:c>
    </x:row>
    <x:row r="704">
      <x:c r="A704" s="25" t="str">
        <x:v>C07-M</x:v>
      </x:c>
      <x:c r="B704" s="25" t="str">
        <x:v>化圣雪原</x:v>
      </x:c>
      <x:c r="C704" s="25" t="str">
        <x:v>半急速中期</x:v>
      </x:c>
      <x:c r="D704" s="25" t="n">
        <x:v>50</x:v>
      </x:c>
      <x:c r="E704" s="25" t="n">
        <x:v>83</x:v>
      </x:c>
      <x:c r="F704" s="25" t="str">
        <x:v>失乡戌狗</x:v>
      </x:c>
      <x:c r="G704" s="25" t="str">
        <x:v>生肖11</x:v>
      </x:c>
      <x:c r="H704" s="25" t="n">
        <x:v>2</x:v>
      </x:c>
      <x:c r="I704" s="25" t="str">
        <x:v>BOSS</x:v>
      </x:c>
      <x:c r="J704" s="25" t="str">
        <x:v>S02</x:v>
      </x:c>
      <x:c r="K704" s="25" t="str">
        <x:v>48-93</x:v>
      </x:c>
      <x:c r="L704" s="25" t="n">
        <x:v>79800</x:v>
      </x:c>
      <x:c r="M704" s="25" t="n">
        <x:v>0</x:v>
      </x:c>
      <x:c r="N704" s="25" t="str">
        <x:v>否</x:v>
      </x:c>
      <x:c r="O704" s="25" t="n">
        <x:v>0</x:v>
      </x:c>
      <x:c r="P704" s="25" t="n">
        <x:v>0</x:v>
      </x:c>
      <x:c r="Q704" s="25" t="n">
        <x:v>0</x:v>
      </x:c>
      <x:c r="R704" s="25" t="str">
        <x:v>洗练绑定装备；项链幸运绑定人物永久进度；武器幸运成本忽略</x:v>
      </x:c>
    </x:row>
    <x:row r="705">
      <x:c r="A705" s="25" t="str">
        <x:v>C07-M</x:v>
      </x:c>
      <x:c r="B705" s="25" t="str">
        <x:v>化圣雪原</x:v>
      </x:c>
      <x:c r="C705" s="25" t="str">
        <x:v>半急速中期</x:v>
      </x:c>
      <x:c r="D705" s="25" t="n">
        <x:v>51</x:v>
      </x:c>
      <x:c r="E705" s="25" t="n">
        <x:v>84</x:v>
      </x:c>
      <x:c r="F705" s="25" t="str">
        <x:v>接肢亥猪</x:v>
      </x:c>
      <x:c r="G705" s="25" t="str">
        <x:v>生肖12</x:v>
      </x:c>
      <x:c r="H705" s="25" t="n">
        <x:v>2</x:v>
      </x:c>
      <x:c r="I705" s="25" t="str">
        <x:v>守关BOSS</x:v>
      </x:c>
      <x:c r="J705" s="25" t="str">
        <x:v>S02</x:v>
      </x:c>
      <x:c r="K705" s="25" t="str">
        <x:v>55-106</x:v>
      </x:c>
      <x:c r="L705" s="25" t="n">
        <x:v>90800</x:v>
      </x:c>
      <x:c r="M705" s="25" t="n">
        <x:v>0</x:v>
      </x:c>
      <x:c r="N705" s="25" t="str">
        <x:v>否</x:v>
      </x:c>
      <x:c r="O705" s="25" t="n">
        <x:v>0</x:v>
      </x:c>
      <x:c r="P705" s="25" t="n">
        <x:v>0</x:v>
      </x:c>
      <x:c r="Q705" s="25" t="n">
        <x:v>0</x:v>
      </x:c>
      <x:c r="R705" s="25" t="str">
        <x:v>洗练绑定装备；项链幸运绑定人物永久进度；武器幸运成本忽略</x:v>
      </x:c>
    </x:row>
    <x:row r="706">
      <x:c r="A706" s="25" t="str">
        <x:v>C07-G</x:v>
      </x:c>
      <x:c r="B706" s="25" t="str">
        <x:v>化圣雪原</x:v>
      </x:c>
      <x:c r="C706" s="25" t="str">
        <x:v>半急速毕业</x:v>
      </x:c>
      <x:c r="D706" s="25" t="n">
        <x:v>0</x:v>
      </x:c>
      <x:c r="E706" s="25" t="n">
        <x:v>142</x:v>
      </x:c>
      <x:c r="F706" s="25" t="str">
        <x:v>逆页导师长衣</x:v>
      </x:c>
      <x:c r="G706" s="25" t="str">
        <x:v>衣服</x:v>
      </x:c>
      <x:c r="H706" s="25" t="n">
        <x:v>5</x:v>
      </x:c>
      <x:c r="I706" s="25" t="str">
        <x:v>地图BOSS</x:v>
      </x:c>
      <x:c r="J706" s="25" t="str">
        <x:v>S07</x:v>
      </x:c>
      <x:c r="K706" s="25" t="str">
        <x:v>280-530</x:v>
      </x:c>
      <x:c r="L706" s="25" t="n">
        <x:v>1200000</x:v>
      </x:c>
      <x:c r="M706" s="25" t="n">
        <x:v>4</x:v>
      </x:c>
      <x:c r="N706" s="25" t="str">
        <x:v>否</x:v>
      </x:c>
      <x:c r="O706" s="25" t="n">
        <x:v>0</x:v>
      </x:c>
      <x:c r="P706" s="25" t="n">
        <x:v>0</x:v>
      </x:c>
      <x:c r="Q706" s="25" t="n">
        <x:v>0</x:v>
      </x:c>
      <x:c r="R706" s="25" t="str">
        <x:v>洗练绑定装备；项链幸运绑定人物永久进度；武器幸运成本忽略</x:v>
      </x:c>
    </x:row>
    <x:row r="707">
      <x:c r="A707" s="25" t="str">
        <x:v>C07-G</x:v>
      </x:c>
      <x:c r="B707" s="25" t="str">
        <x:v>化圣雪原</x:v>
      </x:c>
      <x:c r="C707" s="25" t="str">
        <x:v>半急速毕业</x:v>
      </x:c>
      <x:c r="D707" s="25" t="n">
        <x:v>1</x:v>
      </x:c>
      <x:c r="E707" s="25" t="n">
        <x:v>128</x:v>
      </x:c>
      <x:c r="F707" s="25" t="str">
        <x:v>卡利亚月裁长刃</x:v>
      </x:c>
      <x:c r="G707" s="25" t="str">
        <x:v>武器</x:v>
      </x:c>
      <x:c r="H707" s="25" t="n">
        <x:v>5</x:v>
      </x:c>
      <x:c r="I707" s="25" t="str">
        <x:v>装备合成</x:v>
      </x:c>
      <x:c r="J707" s="25" t="str">
        <x:v>S07</x:v>
      </x:c>
      <x:c r="K707" s="25" t="str">
        <x:v>4200-8000</x:v>
      </x:c>
      <x:c r="L707" s="25" t="n">
        <x:v>480000</x:v>
      </x:c>
      <x:c r="M707" s="25" t="n">
        <x:v>2</x:v>
      </x:c>
      <x:c r="N707" s="25" t="str">
        <x:v>否</x:v>
      </x:c>
      <x:c r="O707" s="25" t="n">
        <x:v>7</x:v>
      </x:c>
      <x:c r="P707" s="25" t="n">
        <x:v>0</x:v>
      </x:c>
      <x:c r="Q707" s="25" t="n">
        <x:v>0</x:v>
      </x:c>
      <x:c r="R707" s="25" t="str">
        <x:v>洗练绑定装备；项链幸运绑定人物永久进度；武器幸运成本忽略</x:v>
      </x:c>
    </x:row>
    <x:row r="708">
      <x:c r="A708" s="25" t="str">
        <x:v>C07-G</x:v>
      </x:c>
      <x:c r="B708" s="25" t="str">
        <x:v>化圣雪原</x:v>
      </x:c>
      <x:c r="C708" s="25" t="str">
        <x:v>半急速毕业</x:v>
      </x:c>
      <x:c r="D708" s="25" t="n">
        <x:v>2</x:v>
      </x:c>
      <x:c r="E708" s="25" t="n">
        <x:v>144</x:v>
      </x:c>
      <x:c r="F708" s="25" t="str">
        <x:v>灰烬裁印</x:v>
      </x:c>
      <x:c r="G708" s="25" t="str">
        <x:v>勋章</x:v>
      </x:c>
      <x:c r="H708" s="25" t="n">
        <x:v>6</x:v>
      </x:c>
      <x:c r="I708" s="25" t="str">
        <x:v>稀有</x:v>
      </x:c>
      <x:c r="J708" s="25" t="str">
        <x:v>S07</x:v>
      </x:c>
      <x:c r="K708" s="25" t="str">
        <x:v>350-680</x:v>
      </x:c>
      <x:c r="L708" s="25" t="n">
        <x:v>370000</x:v>
      </x:c>
      <x:c r="M708" s="25" t="n">
        <x:v>0</x:v>
      </x:c>
      <x:c r="N708" s="25" t="str">
        <x:v>否</x:v>
      </x:c>
      <x:c r="O708" s="25" t="n">
        <x:v>0</x:v>
      </x:c>
      <x:c r="P708" s="25" t="n">
        <x:v>0</x:v>
      </x:c>
      <x:c r="Q708" s="25" t="n">
        <x:v>0</x:v>
      </x:c>
      <x:c r="R708" s="25" t="str">
        <x:v>洗练绑定装备；项链幸运绑定人物永久进度；武器幸运成本忽略</x:v>
      </x:c>
    </x:row>
    <x:row r="709">
      <x:c r="A709" s="25" t="str">
        <x:v>C07-G</x:v>
      </x:c>
      <x:c r="B709" s="25" t="str">
        <x:v>化圣雪原</x:v>
      </x:c>
      <x:c r="C709" s="25" t="str">
        <x:v>半急速毕业</x:v>
      </x:c>
      <x:c r="D709" s="25" t="n">
        <x:v>3</x:v>
      </x:c>
      <x:c r="E709" s="25" t="n">
        <x:v>143</x:v>
      </x:c>
      <x:c r="F709" s="25" t="str">
        <x:v>腐狱铁链</x:v>
      </x:c>
      <x:c r="G709" s="25" t="str">
        <x:v>项链</x:v>
      </x:c>
      <x:c r="H709" s="25" t="n">
        <x:v>6</x:v>
      </x:c>
      <x:c r="I709" s="25" t="str">
        <x:v>普通</x:v>
      </x:c>
      <x:c r="J709" s="25" t="str">
        <x:v>S07</x:v>
      </x:c>
      <x:c r="K709" s="25" t="str">
        <x:v>280-530</x:v>
      </x:c>
      <x:c r="L709" s="25" t="n">
        <x:v>230000</x:v>
      </x:c>
      <x:c r="M709" s="25" t="n">
        <x:v>4</x:v>
      </x:c>
      <x:c r="N709" s="25" t="str">
        <x:v>否</x:v>
      </x:c>
      <x:c r="O709" s="25" t="n">
        <x:v>0</x:v>
      </x:c>
      <x:c r="P709" s="25" t="n">
        <x:v>0</x:v>
      </x:c>
      <x:c r="Q709" s="25" t="n">
        <x:v>0</x:v>
      </x:c>
      <x:c r="R709" s="25" t="str">
        <x:v>洗练绑定装备；项链幸运绑定人物永久进度；武器幸运成本忽略</x:v>
      </x:c>
    </x:row>
    <x:row r="710">
      <x:c r="A710" s="25" t="str">
        <x:v>C07-G</x:v>
      </x:c>
      <x:c r="B710" s="25" t="str">
        <x:v>化圣雪原</x:v>
      </x:c>
      <x:c r="C710" s="25" t="str">
        <x:v>半急速毕业</x:v>
      </x:c>
      <x:c r="D710" s="25" t="n">
        <x:v>4</x:v>
      </x:c>
      <x:c r="E710" s="25" t="n">
        <x:v>145</x:v>
      </x:c>
      <x:c r="F710" s="25" t="str">
        <x:v>凝霜乐师冠</x:v>
      </x:c>
      <x:c r="G710" s="25" t="str">
        <x:v>头盔</x:v>
      </x:c>
      <x:c r="H710" s="25" t="n">
        <x:v>5</x:v>
      </x:c>
      <x:c r="I710" s="25" t="str">
        <x:v>稀有</x:v>
      </x:c>
      <x:c r="J710" s="25" t="str">
        <x:v>S07</x:v>
      </x:c>
      <x:c r="K710" s="25" t="str">
        <x:v>200-380</x:v>
      </x:c>
      <x:c r="L710" s="25" t="n">
        <x:v>400000</x:v>
      </x:c>
      <x:c r="M710" s="25" t="n">
        <x:v>3</x:v>
      </x:c>
      <x:c r="N710" s="25" t="str">
        <x:v>否</x:v>
      </x:c>
      <x:c r="O710" s="25" t="n">
        <x:v>0</x:v>
      </x:c>
      <x:c r="P710" s="25" t="n">
        <x:v>0</x:v>
      </x:c>
      <x:c r="Q710" s="25" t="n">
        <x:v>0</x:v>
      </x:c>
      <x:c r="R710" s="25" t="str">
        <x:v>洗练绑定装备；项链幸运绑定人物永久进度；武器幸运成本忽略</x:v>
      </x:c>
    </x:row>
    <x:row r="711">
      <x:c r="A711" s="25" t="str">
        <x:v>C07-G</x:v>
      </x:c>
      <x:c r="B711" s="25" t="str">
        <x:v>化圣雪原</x:v>
      </x:c>
      <x:c r="C711" s="25" t="str">
        <x:v>半急速毕业</x:v>
      </x:c>
      <x:c r="D711" s="25" t="n">
        <x:v>5</x:v>
      </x:c>
      <x:c r="E711" s="25" t="n">
        <x:v>113</x:v>
      </x:c>
      <x:c r="F711" s="25" t="str">
        <x:v>百指腕甲</x:v>
      </x:c>
      <x:c r="G711" s="25" t="str">
        <x:v>手镯</x:v>
      </x:c>
      <x:c r="H711" s="25" t="n">
        <x:v>2</x:v>
      </x:c>
      <x:c r="I711" s="25" t="str">
        <x:v>普通</x:v>
      </x:c>
      <x:c r="J711" s="25" t="str">
        <x:v>S02</x:v>
      </x:c>
      <x:c r="K711" s="25" t="str">
        <x:v>69-132</x:v>
      </x:c>
      <x:c r="L711" s="25" t="n">
        <x:v>53200</x:v>
      </x:c>
      <x:c r="M711" s="25" t="n">
        <x:v>2</x:v>
      </x:c>
      <x:c r="N711" s="25" t="str">
        <x:v>否</x:v>
      </x:c>
      <x:c r="O711" s="25" t="n">
        <x:v>0</x:v>
      </x:c>
      <x:c r="P711" s="25" t="n">
        <x:v>0</x:v>
      </x:c>
      <x:c r="Q711" s="25" t="n">
        <x:v>0</x:v>
      </x:c>
      <x:c r="R711" s="25" t="str">
        <x:v>洗练绑定装备；项链幸运绑定人物永久进度；武器幸运成本忽略</x:v>
      </x:c>
    </x:row>
    <x:row r="712">
      <x:c r="A712" s="25" t="str">
        <x:v>C07-G</x:v>
      </x:c>
      <x:c r="B712" s="25" t="str">
        <x:v>化圣雪原</x:v>
      </x:c>
      <x:c r="C712" s="25" t="str">
        <x:v>半急速毕业</x:v>
      </x:c>
      <x:c r="D712" s="25" t="n">
        <x:v>6</x:v>
      </x:c>
      <x:c r="E712" s="25" t="n">
        <x:v>68</x:v>
      </x:c>
      <x:c r="F712" s="25" t="str">
        <x:v>百指接肢腕</x:v>
      </x:c>
      <x:c r="G712" s="25" t="str">
        <x:v>手镯</x:v>
      </x:c>
      <x:c r="H712" s="25" t="n">
        <x:v>2</x:v>
      </x:c>
      <x:c r="I712" s="25" t="str">
        <x:v>装备合成</x:v>
      </x:c>
      <x:c r="J712" s="25" t="str">
        <x:v>S07</x:v>
      </x:c>
      <x:c r="K712" s="25" t="str">
        <x:v>110-210</x:v>
      </x:c>
      <x:c r="L712" s="25" t="n">
        <x:v>85000</x:v>
      </x:c>
      <x:c r="M712" s="25" t="n">
        <x:v>5</x:v>
      </x:c>
      <x:c r="N712" s="25" t="str">
        <x:v>否</x:v>
      </x:c>
      <x:c r="O712" s="25" t="n">
        <x:v>0</x:v>
      </x:c>
      <x:c r="P712" s="25" t="n">
        <x:v>0</x:v>
      </x:c>
      <x:c r="Q712" s="25" t="n">
        <x:v>0</x:v>
      </x:c>
      <x:c r="R712" s="25" t="str">
        <x:v>洗练绑定装备；项链幸运绑定人物永久进度；武器幸运成本忽略</x:v>
      </x:c>
    </x:row>
    <x:row r="713">
      <x:c r="A713" s="25" t="str">
        <x:v>C07-G</x:v>
      </x:c>
      <x:c r="B713" s="25" t="str">
        <x:v>化圣雪原</x:v>
      </x:c>
      <x:c r="C713" s="25" t="str">
        <x:v>半急速毕业</x:v>
      </x:c>
      <x:c r="D713" s="25" t="n">
        <x:v>7</x:v>
      </x:c>
      <x:c r="E713" s="25" t="n">
        <x:v>111</x:v>
      </x:c>
      <x:c r="F713" s="25" t="str">
        <x:v>蓝焰祷戒</x:v>
      </x:c>
      <x:c r="G713" s="25" t="str">
        <x:v>戒指</x:v>
      </x:c>
      <x:c r="H713" s="25" t="n">
        <x:v>4</x:v>
      </x:c>
      <x:c r="I713" s="25" t="str">
        <x:v>稀有</x:v>
      </x:c>
      <x:c r="J713" s="25" t="str">
        <x:v>S07</x:v>
      </x:c>
      <x:c r="K713" s="25" t="str">
        <x:v>150-280</x:v>
      </x:c>
      <x:c r="L713" s="25" t="n">
        <x:v>110000</x:v>
      </x:c>
      <x:c r="M713" s="25" t="n">
        <x:v>5</x:v>
      </x:c>
      <x:c r="N713" s="25" t="str">
        <x:v>否</x:v>
      </x:c>
      <x:c r="O713" s="25" t="n">
        <x:v>0</x:v>
      </x:c>
      <x:c r="P713" s="25" t="n">
        <x:v>0</x:v>
      </x:c>
      <x:c r="Q713" s="25" t="n">
        <x:v>0</x:v>
      </x:c>
      <x:c r="R713" s="25" t="str">
        <x:v>洗练绑定装备；项链幸运绑定人物永久进度；武器幸运成本忽略</x:v>
      </x:c>
    </x:row>
    <x:row r="714">
      <x:c r="A714" s="25" t="str">
        <x:v>C07-G</x:v>
      </x:c>
      <x:c r="B714" s="25" t="str">
        <x:v>化圣雪原</x:v>
      </x:c>
      <x:c r="C714" s="25" t="str">
        <x:v>半急速毕业</x:v>
      </x:c>
      <x:c r="D714" s="25" t="n">
        <x:v>8</x:v>
      </x:c>
      <x:c r="E714" s="25" t="n">
        <x:v>118</x:v>
      </x:c>
      <x:c r="F714" s="25" t="str">
        <x:v>月渊秘戒</x:v>
      </x:c>
      <x:c r="G714" s="25" t="str">
        <x:v>戒指</x:v>
      </x:c>
      <x:c r="H714" s="25" t="n">
        <x:v>4</x:v>
      </x:c>
      <x:c r="I714" s="25" t="str">
        <x:v>装备合成</x:v>
      </x:c>
      <x:c r="J714" s="25" t="str">
        <x:v>S07</x:v>
      </x:c>
      <x:c r="K714" s="25" t="str">
        <x:v>350-670</x:v>
      </x:c>
      <x:c r="L714" s="25" t="n">
        <x:v>270000</x:v>
      </x:c>
      <x:c r="M714" s="25" t="n">
        <x:v>6</x:v>
      </x:c>
      <x:c r="N714" s="25" t="str">
        <x:v>否</x:v>
      </x:c>
      <x:c r="O714" s="25" t="n">
        <x:v>0</x:v>
      </x:c>
      <x:c r="P714" s="25" t="n">
        <x:v>0</x:v>
      </x:c>
      <x:c r="Q714" s="25" t="n">
        <x:v>0</x:v>
      </x:c>
      <x:c r="R714" s="25" t="str">
        <x:v>洗练绑定装备；项链幸运绑定人物永久进度；武器幸运成本忽略</x:v>
      </x:c>
    </x:row>
    <x:row r="715">
      <x:c r="A715" s="25" t="str">
        <x:v>C07-G</x:v>
      </x:c>
      <x:c r="B715" s="25" t="str">
        <x:v>化圣雪原</x:v>
      </x:c>
      <x:c r="C715" s="25" t="str">
        <x:v>半急速毕业</x:v>
      </x:c>
      <x:c r="D715" s="25" t="n">
        <x:v>10</x:v>
      </x:c>
      <x:c r="E715" s="25" t="n">
        <x:v>123</x:v>
      </x:c>
      <x:c r="F715" s="25" t="str">
        <x:v>汲月雾绦</x:v>
      </x:c>
      <x:c r="G715" s="25" t="str">
        <x:v>腰带</x:v>
      </x:c>
      <x:c r="H715" s="25" t="n">
        <x:v>5</x:v>
      </x:c>
      <x:c r="I715" s="25" t="str">
        <x:v>稀有</x:v>
      </x:c>
      <x:c r="J715" s="25" t="str">
        <x:v>S07</x:v>
      </x:c>
      <x:c r="K715" s="25" t="str">
        <x:v>150-280</x:v>
      </x:c>
      <x:c r="L715" s="25" t="n">
        <x:v>240000</x:v>
      </x:c>
      <x:c r="M715" s="25" t="n">
        <x:v>5</x:v>
      </x:c>
      <x:c r="N715" s="25" t="str">
        <x:v>否</x:v>
      </x:c>
      <x:c r="O715" s="25" t="n">
        <x:v>0</x:v>
      </x:c>
      <x:c r="P715" s="25" t="n">
        <x:v>0</x:v>
      </x:c>
      <x:c r="Q715" s="25" t="n">
        <x:v>0</x:v>
      </x:c>
      <x:c r="R715" s="25" t="str">
        <x:v>洗练绑定装备；项链幸运绑定人物永久进度；武器幸运成本忽略</x:v>
      </x:c>
    </x:row>
    <x:row r="716">
      <x:c r="A716" s="25" t="str">
        <x:v>C07-G</x:v>
      </x:c>
      <x:c r="B716" s="25" t="str">
        <x:v>化圣雪原</x:v>
      </x:c>
      <x:c r="C716" s="25" t="str">
        <x:v>半急速毕业</x:v>
      </x:c>
      <x:c r="D716" s="25" t="n">
        <x:v>11</x:v>
      </x:c>
      <x:c r="E716" s="25" t="n">
        <x:v>94</x:v>
      </x:c>
      <x:c r="F716" s="25" t="str">
        <x:v>逐风征靴</x:v>
      </x:c>
      <x:c r="G716" s="25" t="str">
        <x:v>鞋子</x:v>
      </x:c>
      <x:c r="H716" s="25" t="n">
        <x:v>3</x:v>
      </x:c>
      <x:c r="I716" s="25" t="str">
        <x:v>装备合成</x:v>
      </x:c>
      <x:c r="J716" s="25" t="str">
        <x:v>S07</x:v>
      </x:c>
      <x:c r="K716" s="25" t="str">
        <x:v>100-200</x:v>
      </x:c>
      <x:c r="L716" s="25" t="n">
        <x:v>150000</x:v>
      </x:c>
      <x:c r="M716" s="25" t="n">
        <x:v>3</x:v>
      </x:c>
      <x:c r="N716" s="25" t="str">
        <x:v>否</x:v>
      </x:c>
      <x:c r="O716" s="25" t="n">
        <x:v>0</x:v>
      </x:c>
      <x:c r="P716" s="25" t="n">
        <x:v>0</x:v>
      </x:c>
      <x:c r="Q716" s="25" t="n">
        <x:v>0</x:v>
      </x:c>
      <x:c r="R716" s="25" t="str">
        <x:v>洗练绑定装备；项链幸运绑定人物永久进度；武器幸运成本忽略</x:v>
      </x:c>
    </x:row>
    <x:row r="717">
      <x:c r="A717" s="25" t="str">
        <x:v>C07-G</x:v>
      </x:c>
      <x:c r="B717" s="25" t="str">
        <x:v>化圣雪原</x:v>
      </x:c>
      <x:c r="C717" s="25" t="str">
        <x:v>半急速毕业</x:v>
      </x:c>
      <x:c r="D717" s="25" t="n">
        <x:v>13</x:v>
      </x:c>
      <x:c r="E717" s="25" t="n">
        <x:v>135</x:v>
      </x:c>
      <x:c r="F717" s="25" t="str">
        <x:v>回声盗墓笠</x:v>
      </x:c>
      <x:c r="G717" s="25" t="str">
        <x:v>斗笠</x:v>
      </x:c>
      <x:c r="H717" s="25" t="n">
        <x:v>4</x:v>
      </x:c>
      <x:c r="I717" s="25" t="str">
        <x:v>稀有</x:v>
      </x:c>
      <x:c r="J717" s="25" t="str">
        <x:v>S07</x:v>
      </x:c>
      <x:c r="K717" s="25" t="str">
        <x:v>83-160</x:v>
      </x:c>
      <x:c r="L717" s="25" t="n">
        <x:v>100000</x:v>
      </x:c>
      <x:c r="M717" s="25" t="n">
        <x:v>0</x:v>
      </x:c>
      <x:c r="N717" s="25" t="str">
        <x:v>否</x:v>
      </x:c>
      <x:c r="O717" s="25" t="n">
        <x:v>0</x:v>
      </x:c>
      <x:c r="P717" s="25" t="n">
        <x:v>0</x:v>
      </x:c>
      <x:c r="Q717" s="25" t="n">
        <x:v>0</x:v>
      </x:c>
      <x:c r="R717" s="25" t="str">
        <x:v>洗练绑定装备；项链幸运绑定人物永久进度；武器幸运成本忽略</x:v>
      </x:c>
    </x:row>
    <x:row r="718">
      <x:c r="A718" s="25" t="str">
        <x:v>C07-G</x:v>
      </x:c>
      <x:c r="B718" s="25" t="str">
        <x:v>化圣雪原</x:v>
      </x:c>
      <x:c r="C718" s="25" t="str">
        <x:v>半急速毕业</x:v>
      </x:c>
      <x:c r="D718" s="25" t="n">
        <x:v>16</x:v>
      </x:c>
      <x:c r="E718" s="25" t="n">
        <x:v>146</x:v>
      </x:c>
      <x:c r="F718" s="25" t="str">
        <x:v>折月傀镜盾</x:v>
      </x:c>
      <x:c r="G718" s="25" t="str">
        <x:v>盾牌</x:v>
      </x:c>
      <x:c r="H718" s="25" t="n">
        <x:v>5</x:v>
      </x:c>
      <x:c r="I718" s="25" t="str">
        <x:v>普通</x:v>
      </x:c>
      <x:c r="J718" s="25" t="str">
        <x:v>S07</x:v>
      </x:c>
      <x:c r="K718" s="25" t="str">
        <x:v>150-290</x:v>
      </x:c>
      <x:c r="L718" s="25" t="n">
        <x:v>410000</x:v>
      </x:c>
      <x:c r="M718" s="25" t="n">
        <x:v>0</x:v>
      </x:c>
      <x:c r="N718" s="25" t="str">
        <x:v>否</x:v>
      </x:c>
      <x:c r="O718" s="25" t="n">
        <x:v>0</x:v>
      </x:c>
      <x:c r="P718" s="25" t="n">
        <x:v>0</x:v>
      </x:c>
      <x:c r="Q718" s="25" t="n">
        <x:v>0</x:v>
      </x:c>
      <x:c r="R718" s="25" t="str">
        <x:v>洗练绑定装备；项链幸运绑定人物永久进度；武器幸运成本忽略</x:v>
      </x:c>
    </x:row>
    <x:row r="719">
      <x:c r="A719" s="25" t="str">
        <x:v>C07-G</x:v>
      </x:c>
      <x:c r="B719" s="25" t="str">
        <x:v>化圣雪原</x:v>
      </x:c>
      <x:c r="C719" s="25" t="str">
        <x:v>半急速毕业</x:v>
      </x:c>
      <x:c r="D719" s="25" t="n">
        <x:v>18</x:v>
      </x:c>
      <x:c r="E719" s="25" t="n">
        <x:v>137</x:v>
      </x:c>
      <x:c r="F719" s="25" t="str">
        <x:v>红狮余烬王衣</x:v>
      </x:c>
      <x:c r="G719" s="25" t="str">
        <x:v>时装衣服</x:v>
      </x:c>
      <x:c r="H719" s="25" t="n">
        <x:v>6</x:v>
      </x:c>
      <x:c r="I719" s="25" t="str">
        <x:v>装备合成</x:v>
      </x:c>
      <x:c r="J719" s="25" t="str">
        <x:v>S07</x:v>
      </x:c>
      <x:c r="K719" s="25" t="str">
        <x:v>780-1500</x:v>
      </x:c>
      <x:c r="L719" s="25" t="n">
        <x:v>5100000</x:v>
      </x:c>
      <x:c r="M719" s="25" t="n">
        <x:v>0</x:v>
      </x:c>
      <x:c r="N719" s="25" t="str">
        <x:v>否</x:v>
      </x:c>
      <x:c r="O719" s="25" t="n">
        <x:v>0</x:v>
      </x:c>
      <x:c r="P719" s="25" t="n">
        <x:v>0</x:v>
      </x:c>
      <x:c r="Q719" s="25" t="n">
        <x:v>0</x:v>
      </x:c>
      <x:c r="R719" s="25" t="str">
        <x:v>洗练绑定装备；项链幸运绑定人物永久进度；武器幸运成本忽略</x:v>
      </x:c>
    </x:row>
    <x:row r="720">
      <x:c r="A720" s="25" t="str">
        <x:v>C07-G</x:v>
      </x:c>
      <x:c r="B720" s="25" t="str">
        <x:v>化圣雪原</x:v>
      </x:c>
      <x:c r="C720" s="25" t="str">
        <x:v>半急速毕业</x:v>
      </x:c>
      <x:c r="D720" s="25" t="n">
        <x:v>19</x:v>
      </x:c>
      <x:c r="E720" s="25" t="n">
        <x:v>147</x:v>
      </x:c>
      <x:c r="F720" s="25" t="str">
        <x:v>永霜白金刃</x:v>
      </x:c>
      <x:c r="G720" s="25" t="str">
        <x:v>时装武器</x:v>
      </x:c>
      <x:c r="H720" s="25" t="n">
        <x:v>7</x:v>
      </x:c>
      <x:c r="I720" s="25" t="str">
        <x:v>装备合成</x:v>
      </x:c>
      <x:c r="J720" s="25" t="str">
        <x:v>S07</x:v>
      </x:c>
      <x:c r="K720" s="25" t="str">
        <x:v>4800-9200</x:v>
      </x:c>
      <x:c r="L720" s="25" t="n">
        <x:v>1700000</x:v>
      </x:c>
      <x:c r="M720" s="25" t="n">
        <x:v>0</x:v>
      </x:c>
      <x:c r="N720" s="25" t="str">
        <x:v>否</x:v>
      </x:c>
      <x:c r="O720" s="25" t="n">
        <x:v>0</x:v>
      </x:c>
      <x:c r="P720" s="25" t="n">
        <x:v>0</x:v>
      </x:c>
      <x:c r="Q720" s="25" t="n">
        <x:v>0</x:v>
      </x:c>
      <x:c r="R720" s="25" t="str">
        <x:v>洗练绑定装备；项链幸运绑定人物永久进度；武器幸运成本忽略</x:v>
      </x:c>
    </x:row>
    <x:row r="721">
      <x:c r="A721" s="25" t="str">
        <x:v>C07-G</x:v>
      </x:c>
      <x:c r="B721" s="25" t="str">
        <x:v>化圣雪原</x:v>
      </x:c>
      <x:c r="C721" s="25" t="str">
        <x:v>半急速毕业</x:v>
      </x:c>
      <x:c r="D721" s="25" t="n">
        <x:v>20</x:v>
      </x:c>
      <x:c r="E721" s="25" t="n">
        <x:v>40</x:v>
      </x:c>
      <x:c r="F721" s="25" t="str">
        <x:v>英雄余誓</x:v>
      </x:c>
      <x:c r="G721" s="25" t="str">
        <x:v>时装项链</x:v>
      </x:c>
      <x:c r="H721" s="25" t="n">
        <x:v>2</x:v>
      </x:c>
      <x:c r="I721" s="25" t="str">
        <x:v>稀有</x:v>
      </x:c>
      <x:c r="J721" s="25" t="str">
        <x:v>S02</x:v>
      </x:c>
      <x:c r="K721" s="25" t="str">
        <x:v>31-60</x:v>
      </x:c>
      <x:c r="L721" s="25" t="n">
        <x:v>17900</x:v>
      </x:c>
      <x:c r="M721" s="25" t="n">
        <x:v>0</x:v>
      </x:c>
      <x:c r="N721" s="25" t="str">
        <x:v>否</x:v>
      </x:c>
      <x:c r="O721" s="25" t="n">
        <x:v>0</x:v>
      </x:c>
      <x:c r="P721" s="25" t="n">
        <x:v>0</x:v>
      </x:c>
      <x:c r="Q721" s="25" t="n">
        <x:v>0</x:v>
      </x:c>
      <x:c r="R721" s="25" t="str">
        <x:v>洗练绑定装备；项链幸运绑定人物永久进度；武器幸运成本忽略</x:v>
      </x:c>
    </x:row>
    <x:row r="722">
      <x:c r="A722" s="25" t="str">
        <x:v>C07-G</x:v>
      </x:c>
      <x:c r="B722" s="25" t="str">
        <x:v>化圣雪原</x:v>
      </x:c>
      <x:c r="C722" s="25" t="str">
        <x:v>半急速毕业</x:v>
      </x:c>
      <x:c r="D722" s="25" t="n">
        <x:v>21</x:v>
      </x:c>
      <x:c r="E722" s="25" t="n">
        <x:v>41</x:v>
      </x:c>
      <x:c r="F722" s="25" t="str">
        <x:v>初火兜鍪</x:v>
      </x:c>
      <x:c r="G722" s="25" t="str">
        <x:v>时装头盔</x:v>
      </x:c>
      <x:c r="H722" s="25" t="n">
        <x:v>2</x:v>
      </x:c>
      <x:c r="I722" s="25" t="str">
        <x:v>稀有</x:v>
      </x:c>
      <x:c r="J722" s="25" t="str">
        <x:v>S02</x:v>
      </x:c>
      <x:c r="K722" s="25" t="str">
        <x:v>22-42</x:v>
      </x:c>
      <x:c r="L722" s="25" t="n">
        <x:v>30900</x:v>
      </x:c>
      <x:c r="M722" s="25" t="n">
        <x:v>0</x:v>
      </x:c>
      <x:c r="N722" s="25" t="str">
        <x:v>否</x:v>
      </x:c>
      <x:c r="O722" s="25" t="n">
        <x:v>0</x:v>
      </x:c>
      <x:c r="P722" s="25" t="n">
        <x:v>0</x:v>
      </x:c>
      <x:c r="Q722" s="25" t="n">
        <x:v>0</x:v>
      </x:c>
      <x:c r="R722" s="25" t="str">
        <x:v>洗练绑定装备；项链幸运绑定人物永久进度；武器幸运成本忽略</x:v>
      </x:c>
    </x:row>
    <x:row r="723">
      <x:c r="A723" s="25" t="str">
        <x:v>C07-G</x:v>
      </x:c>
      <x:c r="B723" s="25" t="str">
        <x:v>化圣雪原</x:v>
      </x:c>
      <x:c r="C723" s="25" t="str">
        <x:v>半急速毕业</x:v>
      </x:c>
      <x:c r="D723" s="25" t="n">
        <x:v>22</x:v>
      </x:c>
      <x:c r="E723" s="25" t="n">
        <x:v>42</x:v>
      </x:c>
      <x:c r="F723" s="25" t="str">
        <x:v>卢恩血镯</x:v>
      </x:c>
      <x:c r="G723" s="25" t="str">
        <x:v>时装手镯</x:v>
      </x:c>
      <x:c r="H723" s="25" t="n">
        <x:v>2</x:v>
      </x:c>
      <x:c r="I723" s="25" t="str">
        <x:v>稀有</x:v>
      </x:c>
      <x:c r="J723" s="25" t="str">
        <x:v>S02</x:v>
      </x:c>
      <x:c r="K723" s="25" t="str">
        <x:v>42-80</x:v>
      </x:c>
      <x:c r="L723" s="25" t="n">
        <x:v>34400</x:v>
      </x:c>
      <x:c r="M723" s="25" t="n">
        <x:v>0</x:v>
      </x:c>
      <x:c r="N723" s="25" t="str">
        <x:v>否</x:v>
      </x:c>
      <x:c r="O723" s="25" t="n">
        <x:v>0</x:v>
      </x:c>
      <x:c r="P723" s="25" t="n">
        <x:v>0</x:v>
      </x:c>
      <x:c r="Q723" s="25" t="n">
        <x:v>0</x:v>
      </x:c>
      <x:c r="R723" s="25" t="str">
        <x:v>洗练绑定装备；项链幸运绑定人物永久进度；武器幸运成本忽略</x:v>
      </x:c>
    </x:row>
    <x:row r="724">
      <x:c r="A724" s="25" t="str">
        <x:v>C07-G</x:v>
      </x:c>
      <x:c r="B724" s="25" t="str">
        <x:v>化圣雪原</x:v>
      </x:c>
      <x:c r="C724" s="25" t="str">
        <x:v>半急速毕业</x:v>
      </x:c>
      <x:c r="D724" s="25" t="n">
        <x:v>24</x:v>
      </x:c>
      <x:c r="E724" s="25" t="n">
        <x:v>43</x:v>
      </x:c>
      <x:c r="F724" s="25" t="str">
        <x:v>黄金树戒</x:v>
      </x:c>
      <x:c r="G724" s="25" t="str">
        <x:v>时装戒指</x:v>
      </x:c>
      <x:c r="H724" s="25" t="n">
        <x:v>2</x:v>
      </x:c>
      <x:c r="I724" s="25" t="str">
        <x:v>稀有</x:v>
      </x:c>
      <x:c r="J724" s="25" t="str">
        <x:v>S02</x:v>
      </x:c>
      <x:c r="K724" s="25" t="str">
        <x:v>42-80</x:v>
      </x:c>
      <x:c r="L724" s="25" t="n">
        <x:v>34400</x:v>
      </x:c>
      <x:c r="M724" s="25" t="n">
        <x:v>0</x:v>
      </x:c>
      <x:c r="N724" s="25" t="str">
        <x:v>否</x:v>
      </x:c>
      <x:c r="O724" s="25" t="n">
        <x:v>0</x:v>
      </x:c>
      <x:c r="P724" s="25" t="n">
        <x:v>0</x:v>
      </x:c>
      <x:c r="Q724" s="25" t="n">
        <x:v>0</x:v>
      </x:c>
      <x:c r="R724" s="25" t="str">
        <x:v>洗练绑定装备；项链幸运绑定人物永久进度；武器幸运成本忽略</x:v>
      </x:c>
    </x:row>
    <x:row r="725">
      <x:c r="A725" s="25" t="str">
        <x:v>C07-G</x:v>
      </x:c>
      <x:c r="B725" s="25" t="str">
        <x:v>化圣雪原</x:v>
      </x:c>
      <x:c r="C725" s="25" t="str">
        <x:v>半急速毕业</x:v>
      </x:c>
      <x:c r="D725" s="25" t="n">
        <x:v>40</x:v>
      </x:c>
      <x:c r="E725" s="25" t="n">
        <x:v>44</x:v>
      </x:c>
      <x:c r="F725" s="25" t="str">
        <x:v>腐树子鼠</x:v>
      </x:c>
      <x:c r="G725" s="25" t="str">
        <x:v>生肖1</x:v>
      </x:c>
      <x:c r="H725" s="25" t="n">
        <x:v>2</x:v>
      </x:c>
      <x:c r="I725" s="25" t="str">
        <x:v>BOSS</x:v>
      </x:c>
      <x:c r="J725" s="25" t="str">
        <x:v>S02</x:v>
      </x:c>
      <x:c r="K725" s="25" t="str">
        <x:v>29-56</x:v>
      </x:c>
      <x:c r="L725" s="25" t="n">
        <x:v>23600</x:v>
      </x:c>
      <x:c r="M725" s="25" t="n">
        <x:v>0</x:v>
      </x:c>
      <x:c r="N725" s="25" t="str">
        <x:v>否</x:v>
      </x:c>
      <x:c r="O725" s="25" t="n">
        <x:v>0</x:v>
      </x:c>
      <x:c r="P725" s="25" t="n">
        <x:v>0</x:v>
      </x:c>
      <x:c r="Q725" s="25" t="n">
        <x:v>0</x:v>
      </x:c>
      <x:c r="R725" s="25" t="str">
        <x:v>洗练绑定装备；项链幸运绑定人物永久进度；武器幸运成本忽略</x:v>
      </x:c>
    </x:row>
    <x:row r="726">
      <x:c r="A726" s="25" t="str">
        <x:v>C07-G</x:v>
      </x:c>
      <x:c r="B726" s="25" t="str">
        <x:v>化圣雪原</x:v>
      </x:c>
      <x:c r="C726" s="25" t="str">
        <x:v>半急速毕业</x:v>
      </x:c>
      <x:c r="D726" s="25" t="n">
        <x:v>41</x:v>
      </x:c>
      <x:c r="E726" s="25" t="n">
        <x:v>69</x:v>
      </x:c>
      <x:c r="F726" s="25" t="str">
        <x:v>丑牛·风暴负山</x:v>
      </x:c>
      <x:c r="G726" s="25" t="str">
        <x:v>生肖2</x:v>
      </x:c>
      <x:c r="H726" s="25" t="n">
        <x:v>2</x:v>
      </x:c>
      <x:c r="I726" s="25" t="str">
        <x:v>生肖合成</x:v>
      </x:c>
      <x:c r="J726" s="25" t="str">
        <x:v>S07</x:v>
      </x:c>
      <x:c r="K726" s="25" t="str">
        <x:v>25-49</x:v>
      </x:c>
      <x:c r="L726" s="25" t="n">
        <x:v>64000</x:v>
      </x:c>
      <x:c r="M726" s="25" t="n">
        <x:v>0</x:v>
      </x:c>
      <x:c r="N726" s="25" t="str">
        <x:v>否</x:v>
      </x:c>
      <x:c r="O726" s="25" t="n">
        <x:v>0</x:v>
      </x:c>
      <x:c r="P726" s="25" t="n">
        <x:v>0</x:v>
      </x:c>
      <x:c r="Q726" s="25" t="n">
        <x:v>0</x:v>
      </x:c>
      <x:c r="R726" s="25" t="str">
        <x:v>洗练绑定装备；项链幸运绑定人物永久进度；武器幸运成本忽略</x:v>
      </x:c>
    </x:row>
    <x:row r="727">
      <x:c r="A727" s="25" t="str">
        <x:v>C07-G</x:v>
      </x:c>
      <x:c r="B727" s="25" t="str">
        <x:v>化圣雪原</x:v>
      </x:c>
      <x:c r="C727" s="25" t="str">
        <x:v>半急速毕业</x:v>
      </x:c>
      <x:c r="D727" s="25" t="n">
        <x:v>42</x:v>
      </x:c>
      <x:c r="E727" s="25" t="n">
        <x:v>138</x:v>
      </x:c>
      <x:c r="F727" s="25" t="str">
        <x:v>寅虎·红狮焚原</x:v>
      </x:c>
      <x:c r="G727" s="25" t="str">
        <x:v>生肖3</x:v>
      </x:c>
      <x:c r="H727" s="25" t="n">
        <x:v>6</x:v>
      </x:c>
      <x:c r="I727" s="25" t="str">
        <x:v>生肖合成</x:v>
      </x:c>
      <x:c r="J727" s="25" t="str">
        <x:v>S07</x:v>
      </x:c>
      <x:c r="K727" s="25" t="str">
        <x:v>250-490</x:v>
      </x:c>
      <x:c r="L727" s="25" t="n">
        <x:v>640000</x:v>
      </x:c>
      <x:c r="M727" s="25" t="n">
        <x:v>0</x:v>
      </x:c>
      <x:c r="N727" s="25" t="str">
        <x:v>否</x:v>
      </x:c>
      <x:c r="O727" s="25" t="n">
        <x:v>0</x:v>
      </x:c>
      <x:c r="P727" s="25" t="n">
        <x:v>0</x:v>
      </x:c>
      <x:c r="Q727" s="25" t="n">
        <x:v>0</x:v>
      </x:c>
      <x:c r="R727" s="25" t="str">
        <x:v>洗练绑定装备；项链幸运绑定人物永久进度；武器幸运成本忽略</x:v>
      </x:c>
    </x:row>
    <x:row r="728">
      <x:c r="A728" s="25" t="str">
        <x:v>C07-G</x:v>
      </x:c>
      <x:c r="B728" s="25" t="str">
        <x:v>化圣雪原</x:v>
      </x:c>
      <x:c r="C728" s="25" t="str">
        <x:v>半急速毕业</x:v>
      </x:c>
      <x:c r="D728" s="25" t="n">
        <x:v>43</x:v>
      </x:c>
      <x:c r="E728" s="25" t="n">
        <x:v>127</x:v>
      </x:c>
      <x:c r="F728" s="25" t="str">
        <x:v>卯兔·镜月折辉</x:v>
      </x:c>
      <x:c r="G728" s="25" t="str">
        <x:v>生肖4</x:v>
      </x:c>
      <x:c r="H728" s="25" t="n">
        <x:v>5</x:v>
      </x:c>
      <x:c r="I728" s="25" t="str">
        <x:v>生肖合成</x:v>
      </x:c>
      <x:c r="J728" s="25" t="str">
        <x:v>S07</x:v>
      </x:c>
      <x:c r="K728" s="25" t="str">
        <x:v>150-280</x:v>
      </x:c>
      <x:c r="L728" s="25" t="n">
        <x:v>360000</x:v>
      </x:c>
      <x:c r="M728" s="25" t="n">
        <x:v>0</x:v>
      </x:c>
      <x:c r="N728" s="25" t="str">
        <x:v>否</x:v>
      </x:c>
      <x:c r="O728" s="25" t="n">
        <x:v>0</x:v>
      </x:c>
      <x:c r="P728" s="25" t="n">
        <x:v>0</x:v>
      </x:c>
      <x:c r="Q728" s="25" t="n">
        <x:v>0</x:v>
      </x:c>
      <x:c r="R728" s="25" t="str">
        <x:v>洗练绑定装备；项链幸运绑定人物永久进度；武器幸运成本忽略</x:v>
      </x:c>
    </x:row>
    <x:row r="729">
      <x:c r="A729" s="25" t="str">
        <x:v>C07-G</x:v>
      </x:c>
      <x:c r="B729" s="25" t="str">
        <x:v>化圣雪原</x:v>
      </x:c>
      <x:c r="C729" s="25" t="str">
        <x:v>半急速毕业</x:v>
      </x:c>
      <x:c r="D729" s="25" t="n">
        <x:v>44</x:v>
      </x:c>
      <x:c r="E729" s="25" t="n">
        <x:v>91</x:v>
      </x:c>
      <x:c r="F729" s="25" t="str">
        <x:v>辰龙·荒原逐风</x:v>
      </x:c>
      <x:c r="G729" s="25" t="str">
        <x:v>生肖5</x:v>
      </x:c>
      <x:c r="H729" s="25" t="n">
        <x:v>3</x:v>
      </x:c>
      <x:c r="I729" s="25" t="str">
        <x:v>生肖合成</x:v>
      </x:c>
      <x:c r="J729" s="25" t="str">
        <x:v>S07</x:v>
      </x:c>
      <x:c r="K729" s="25" t="str">
        <x:v>47-90</x:v>
      </x:c>
      <x:c r="L729" s="25" t="n">
        <x:v>120000</x:v>
      </x:c>
      <x:c r="M729" s="25" t="n">
        <x:v>0</x:v>
      </x:c>
      <x:c r="N729" s="25" t="str">
        <x:v>否</x:v>
      </x:c>
      <x:c r="O729" s="25" t="n">
        <x:v>0</x:v>
      </x:c>
      <x:c r="P729" s="25" t="n">
        <x:v>0</x:v>
      </x:c>
      <x:c r="Q729" s="25" t="n">
        <x:v>0</x:v>
      </x:c>
      <x:c r="R729" s="25" t="str">
        <x:v>洗练绑定装备；项链幸运绑定人物永久进度；武器幸运成本忽略</x:v>
      </x:c>
    </x:row>
    <x:row r="730">
      <x:c r="A730" s="25" t="str">
        <x:v>C07-G</x:v>
      </x:c>
      <x:c r="B730" s="25" t="str">
        <x:v>化圣雪原</x:v>
      </x:c>
      <x:c r="C730" s="25" t="str">
        <x:v>半急速毕业</x:v>
      </x:c>
      <x:c r="D730" s="25" t="n">
        <x:v>45</x:v>
      </x:c>
      <x:c r="E730" s="25" t="n">
        <x:v>107</x:v>
      </x:c>
      <x:c r="F730" s="25" t="str">
        <x:v>巳蛇·沉潮缚月</x:v>
      </x:c>
      <x:c r="G730" s="25" t="str">
        <x:v>生肖6</x:v>
      </x:c>
      <x:c r="H730" s="25" t="n">
        <x:v>4</x:v>
      </x:c>
      <x:c r="I730" s="25" t="str">
        <x:v>生肖合成</x:v>
      </x:c>
      <x:c r="J730" s="25" t="str">
        <x:v>S07</x:v>
      </x:c>
      <x:c r="K730" s="25" t="str">
        <x:v>83-160</x:v>
      </x:c>
      <x:c r="L730" s="25" t="n">
        <x:v>200000</x:v>
      </x:c>
      <x:c r="M730" s="25" t="n">
        <x:v>0</x:v>
      </x:c>
      <x:c r="N730" s="25" t="str">
        <x:v>否</x:v>
      </x:c>
      <x:c r="O730" s="25" t="n">
        <x:v>0</x:v>
      </x:c>
      <x:c r="P730" s="25" t="n">
        <x:v>0</x:v>
      </x:c>
      <x:c r="Q730" s="25" t="n">
        <x:v>0</x:v>
      </x:c>
      <x:c r="R730" s="25" t="str">
        <x:v>洗练绑定装备；项链幸运绑定人物永久进度；武器幸运成本忽略</x:v>
      </x:c>
    </x:row>
    <x:row r="731">
      <x:c r="A731" s="25" t="str">
        <x:v>C07-G</x:v>
      </x:c>
      <x:c r="B731" s="25" t="str">
        <x:v>化圣雪原</x:v>
      </x:c>
      <x:c r="C731" s="25" t="str">
        <x:v>半急速毕业</x:v>
      </x:c>
      <x:c r="D731" s="25" t="n">
        <x:v>46</x:v>
      </x:c>
      <x:c r="E731" s="25" t="n">
        <x:v>80</x:v>
      </x:c>
      <x:c r="F731" s="25" t="str">
        <x:v>死水午马</x:v>
      </x:c>
      <x:c r="G731" s="25" t="str">
        <x:v>生肖7</x:v>
      </x:c>
      <x:c r="H731" s="25" t="n">
        <x:v>2</x:v>
      </x:c>
      <x:c r="I731" s="25" t="str">
        <x:v>BOSS</x:v>
      </x:c>
      <x:c r="J731" s="25" t="str">
        <x:v>S02</x:v>
      </x:c>
      <x:c r="K731" s="25" t="str">
        <x:v>38-74</x:v>
      </x:c>
      <x:c r="L731" s="25" t="n">
        <x:v>45300</x:v>
      </x:c>
      <x:c r="M731" s="25" t="n">
        <x:v>0</x:v>
      </x:c>
      <x:c r="N731" s="25" t="str">
        <x:v>否</x:v>
      </x:c>
      <x:c r="O731" s="25" t="n">
        <x:v>0</x:v>
      </x:c>
      <x:c r="P731" s="25" t="n">
        <x:v>0</x:v>
      </x:c>
      <x:c r="Q731" s="25" t="n">
        <x:v>0</x:v>
      </x:c>
      <x:c r="R731" s="25" t="str">
        <x:v>洗练绑定装备；项链幸运绑定人物永久进度；武器幸运成本忽略</x:v>
      </x:c>
    </x:row>
    <x:row r="732">
      <x:c r="A732" s="25" t="str">
        <x:v>C07-G</x:v>
      </x:c>
      <x:c r="B732" s="25" t="str">
        <x:v>化圣雪原</x:v>
      </x:c>
      <x:c r="C732" s="25" t="str">
        <x:v>半急速毕业</x:v>
      </x:c>
      <x:c r="D732" s="25" t="n">
        <x:v>47</x:v>
      </x:c>
      <x:c r="E732" s="25" t="n">
        <x:v>148</x:v>
      </x:c>
      <x:c r="F732" s="25" t="str">
        <x:v>未羊·永霜引路</x:v>
      </x:c>
      <x:c r="G732" s="25" t="str">
        <x:v>生肖8</x:v>
      </x:c>
      <x:c r="H732" s="25" t="n">
        <x:v>7</x:v>
      </x:c>
      <x:c r="I732" s="25" t="str">
        <x:v>生肖合成</x:v>
      </x:c>
      <x:c r="J732" s="25" t="str">
        <x:v>S07</x:v>
      </x:c>
      <x:c r="K732" s="25" t="str">
        <x:v>470-900</x:v>
      </x:c>
      <x:c r="L732" s="25" t="n">
        <x:v>1200000</x:v>
      </x:c>
      <x:c r="M732" s="25" t="n">
        <x:v>0</x:v>
      </x:c>
      <x:c r="N732" s="25" t="str">
        <x:v>否</x:v>
      </x:c>
      <x:c r="O732" s="25" t="n">
        <x:v>0</x:v>
      </x:c>
      <x:c r="P732" s="25" t="n">
        <x:v>0</x:v>
      </x:c>
      <x:c r="Q732" s="25" t="n">
        <x:v>0</x:v>
      </x:c>
      <x:c r="R732" s="25" t="str">
        <x:v>洗练绑定装备；项链幸运绑定人物永久进度；武器幸运成本忽略</x:v>
      </x:c>
    </x:row>
    <x:row r="733">
      <x:c r="A733" s="25" t="str">
        <x:v>C07-G</x:v>
      </x:c>
      <x:c r="B733" s="25" t="str">
        <x:v>化圣雪原</x:v>
      </x:c>
      <x:c r="C733" s="25" t="str">
        <x:v>半急速毕业</x:v>
      </x:c>
      <x:c r="D733" s="25" t="n">
        <x:v>48</x:v>
      </x:c>
      <x:c r="E733" s="25" t="n">
        <x:v>81</x:v>
      </x:c>
      <x:c r="F733" s="25" t="str">
        <x:v>雷冠申猴</x:v>
      </x:c>
      <x:c r="G733" s="25" t="str">
        <x:v>生肖9</x:v>
      </x:c>
      <x:c r="H733" s="25" t="n">
        <x:v>2</x:v>
      </x:c>
      <x:c r="I733" s="25" t="str">
        <x:v>BOSS</x:v>
      </x:c>
      <x:c r="J733" s="25" t="str">
        <x:v>S02</x:v>
      </x:c>
      <x:c r="K733" s="25" t="str">
        <x:v>44-84</x:v>
      </x:c>
      <x:c r="L733" s="25" t="n">
        <x:v>59800</x:v>
      </x:c>
      <x:c r="M733" s="25" t="n">
        <x:v>0</x:v>
      </x:c>
      <x:c r="N733" s="25" t="str">
        <x:v>否</x:v>
      </x:c>
      <x:c r="O733" s="25" t="n">
        <x:v>0</x:v>
      </x:c>
      <x:c r="P733" s="25" t="n">
        <x:v>0</x:v>
      </x:c>
      <x:c r="Q733" s="25" t="n">
        <x:v>0</x:v>
      </x:c>
      <x:c r="R733" s="25" t="str">
        <x:v>洗练绑定装备；项链幸运绑定人物永久进度；武器幸运成本忽略</x:v>
      </x:c>
    </x:row>
    <x:row r="734">
      <x:c r="A734" s="25" t="str">
        <x:v>C07-G</x:v>
      </x:c>
      <x:c r="B734" s="25" t="str">
        <x:v>化圣雪原</x:v>
      </x:c>
      <x:c r="C734" s="25" t="str">
        <x:v>半急速毕业</x:v>
      </x:c>
      <x:c r="D734" s="25" t="n">
        <x:v>49</x:v>
      </x:c>
      <x:c r="E734" s="25" t="n">
        <x:v>82</x:v>
      </x:c>
      <x:c r="F734" s="25" t="str">
        <x:v>恶兆酉鸡</x:v>
      </x:c>
      <x:c r="G734" s="25" t="str">
        <x:v>生肖10</x:v>
      </x:c>
      <x:c r="H734" s="25" t="n">
        <x:v>2</x:v>
      </x:c>
      <x:c r="I734" s="25" t="str">
        <x:v>BOSS</x:v>
      </x:c>
      <x:c r="J734" s="25" t="str">
        <x:v>S02</x:v>
      </x:c>
      <x:c r="K734" s="25" t="str">
        <x:v>44-84</x:v>
      </x:c>
      <x:c r="L734" s="25" t="n">
        <x:v>59800</x:v>
      </x:c>
      <x:c r="M734" s="25" t="n">
        <x:v>0</x:v>
      </x:c>
      <x:c r="N734" s="25" t="str">
        <x:v>否</x:v>
      </x:c>
      <x:c r="O734" s="25" t="n">
        <x:v>0</x:v>
      </x:c>
      <x:c r="P734" s="25" t="n">
        <x:v>0</x:v>
      </x:c>
      <x:c r="Q734" s="25" t="n">
        <x:v>0</x:v>
      </x:c>
      <x:c r="R734" s="25" t="str">
        <x:v>洗练绑定装备；项链幸运绑定人物永久进度；武器幸运成本忽略</x:v>
      </x:c>
    </x:row>
    <x:row r="735">
      <x:c r="A735" s="25" t="str">
        <x:v>C07-G</x:v>
      </x:c>
      <x:c r="B735" s="25" t="str">
        <x:v>化圣雪原</x:v>
      </x:c>
      <x:c r="C735" s="25" t="str">
        <x:v>半急速毕业</x:v>
      </x:c>
      <x:c r="D735" s="25" t="n">
        <x:v>50</x:v>
      </x:c>
      <x:c r="E735" s="25" t="n">
        <x:v>83</x:v>
      </x:c>
      <x:c r="F735" s="25" t="str">
        <x:v>失乡戌狗</x:v>
      </x:c>
      <x:c r="G735" s="25" t="str">
        <x:v>生肖11</x:v>
      </x:c>
      <x:c r="H735" s="25" t="n">
        <x:v>2</x:v>
      </x:c>
      <x:c r="I735" s="25" t="str">
        <x:v>BOSS</x:v>
      </x:c>
      <x:c r="J735" s="25" t="str">
        <x:v>S02</x:v>
      </x:c>
      <x:c r="K735" s="25" t="str">
        <x:v>48-93</x:v>
      </x:c>
      <x:c r="L735" s="25" t="n">
        <x:v>79800</x:v>
      </x:c>
      <x:c r="M735" s="25" t="n">
        <x:v>0</x:v>
      </x:c>
      <x:c r="N735" s="25" t="str">
        <x:v>否</x:v>
      </x:c>
      <x:c r="O735" s="25" t="n">
        <x:v>0</x:v>
      </x:c>
      <x:c r="P735" s="25" t="n">
        <x:v>0</x:v>
      </x:c>
      <x:c r="Q735" s="25" t="n">
        <x:v>0</x:v>
      </x:c>
      <x:c r="R735" s="25" t="str">
        <x:v>洗练绑定装备；项链幸运绑定人物永久进度；武器幸运成本忽略</x:v>
      </x:c>
    </x:row>
    <x:row r="736">
      <x:c r="A736" s="25" t="str">
        <x:v>C07-G</x:v>
      </x:c>
      <x:c r="B736" s="25" t="str">
        <x:v>化圣雪原</x:v>
      </x:c>
      <x:c r="C736" s="25" t="str">
        <x:v>半急速毕业</x:v>
      </x:c>
      <x:c r="D736" s="25" t="n">
        <x:v>51</x:v>
      </x:c>
      <x:c r="E736" s="25" t="n">
        <x:v>84</x:v>
      </x:c>
      <x:c r="F736" s="25" t="str">
        <x:v>接肢亥猪</x:v>
      </x:c>
      <x:c r="G736" s="25" t="str">
        <x:v>生肖12</x:v>
      </x:c>
      <x:c r="H736" s="25" t="n">
        <x:v>2</x:v>
      </x:c>
      <x:c r="I736" s="25" t="str">
        <x:v>守关BOSS</x:v>
      </x:c>
      <x:c r="J736" s="25" t="str">
        <x:v>S02</x:v>
      </x:c>
      <x:c r="K736" s="25" t="str">
        <x:v>55-106</x:v>
      </x:c>
      <x:c r="L736" s="25" t="n">
        <x:v>90800</x:v>
      </x:c>
      <x:c r="M736" s="25" t="n">
        <x:v>0</x:v>
      </x:c>
      <x:c r="N736" s="25" t="str">
        <x:v>否</x:v>
      </x:c>
      <x:c r="O736" s="25" t="n">
        <x:v>0</x:v>
      </x:c>
      <x:c r="P736" s="25" t="n">
        <x:v>0</x:v>
      </x:c>
      <x:c r="Q736" s="25" t="n">
        <x:v>0</x:v>
      </x:c>
      <x:c r="R736" s="25" t="str">
        <x:v>洗练绑定装备；项链幸运绑定人物永久进度；武器幸运成本忽略</x:v>
      </x:c>
    </x:row>
    <x:row r="737">
      <x:c r="A737" s="25" t="str">
        <x:v>C07-X</x:v>
      </x:c>
      <x:c r="B737" s="25" t="str">
        <x:v>化圣雪原</x:v>
      </x:c>
      <x:c r="C737" s="25" t="str">
        <x:v>极端压力</x:v>
      </x:c>
      <x:c r="D737" s="25" t="n">
        <x:v>0</x:v>
      </x:c>
      <x:c r="E737" s="25" t="n">
        <x:v>154</x:v>
      </x:c>
      <x:c r="F737" s="25" t="str">
        <x:v>埃琉斯永霜铠</x:v>
      </x:c>
      <x:c r="G737" s="25" t="str">
        <x:v>衣服</x:v>
      </x:c>
      <x:c r="H737" s="25" t="n">
        <x:v>7</x:v>
      </x:c>
      <x:c r="I737" s="25" t="str">
        <x:v>守关BOSS</x:v>
      </x:c>
      <x:c r="J737" s="25" t="str">
        <x:v>S07</x:v>
      </x:c>
      <x:c r="K737" s="25" t="str">
        <x:v>990-1900</x:v>
      </x:c>
      <x:c r="L737" s="25" t="n">
        <x:v>4400000</x:v>
      </x:c>
      <x:c r="M737" s="25" t="n">
        <x:v>5</x:v>
      </x:c>
      <x:c r="N737" s="25" t="str">
        <x:v>否</x:v>
      </x:c>
      <x:c r="O737" s="25" t="n">
        <x:v>0</x:v>
      </x:c>
      <x:c r="P737" s="25" t="n">
        <x:v>0</x:v>
      </x:c>
      <x:c r="Q737" s="25" t="n">
        <x:v>0</x:v>
      </x:c>
      <x:c r="R737" s="25" t="str">
        <x:v>洗练绑定装备；项链幸运绑定人物永久进度；武器幸运成本忽略</x:v>
      </x:c>
    </x:row>
    <x:row r="738">
      <x:c r="A738" s="25" t="str">
        <x:v>C07-X</x:v>
      </x:c>
      <x:c r="B738" s="25" t="str">
        <x:v>化圣雪原</x:v>
      </x:c>
      <x:c r="C738" s="25" t="str">
        <x:v>极端压力</x:v>
      </x:c>
      <x:c r="D738" s="25" t="n">
        <x:v>1</x:v>
      </x:c>
      <x:c r="E738" s="25" t="n">
        <x:v>153</x:v>
      </x:c>
      <x:c r="F738" s="25" t="str">
        <x:v>诺薇霜镰</x:v>
      </x:c>
      <x:c r="G738" s="25" t="str">
        <x:v>武器</x:v>
      </x:c>
      <x:c r="H738" s="25" t="n">
        <x:v>7</x:v>
      </x:c>
      <x:c r="I738" s="25" t="str">
        <x:v>地图BOSS</x:v>
      </x:c>
      <x:c r="J738" s="25" t="str">
        <x:v>S07</x:v>
      </x:c>
      <x:c r="K738" s="25" t="str">
        <x:v>7800-15000</x:v>
      </x:c>
      <x:c r="L738" s="25" t="n">
        <x:v>920000</x:v>
      </x:c>
      <x:c r="M738" s="25" t="n">
        <x:v>2</x:v>
      </x:c>
      <x:c r="N738" s="25" t="str">
        <x:v>否</x:v>
      </x:c>
      <x:c r="O738" s="25" t="n">
        <x:v>7</x:v>
      </x:c>
      <x:c r="P738" s="25" t="n">
        <x:v>0</x:v>
      </x:c>
      <x:c r="Q738" s="25" t="n">
        <x:v>0</x:v>
      </x:c>
      <x:c r="R738" s="25" t="str">
        <x:v>洗练绑定装备；项链幸运绑定人物永久进度；武器幸运成本忽略</x:v>
      </x:c>
    </x:row>
    <x:row r="739">
      <x:c r="A739" s="25" t="str">
        <x:v>C07-X</x:v>
      </x:c>
      <x:c r="B739" s="25" t="str">
        <x:v>化圣雪原</x:v>
      </x:c>
      <x:c r="C739" s="25" t="str">
        <x:v>极端压力</x:v>
      </x:c>
      <x:c r="D739" s="25" t="n">
        <x:v>2</x:v>
      </x:c>
      <x:c r="E739" s="25" t="n">
        <x:v>160</x:v>
      </x:c>
      <x:c r="F739" s="25" t="str">
        <x:v>霜钟罪章</x:v>
      </x:c>
      <x:c r="G739" s="25" t="str">
        <x:v>勋章</x:v>
      </x:c>
      <x:c r="H739" s="25" t="n">
        <x:v>7</x:v>
      </x:c>
      <x:c r="I739" s="25" t="str">
        <x:v>稀有</x:v>
      </x:c>
      <x:c r="J739" s="25" t="str">
        <x:v>S07</x:v>
      </x:c>
      <x:c r="K739" s="25" t="str">
        <x:v>830-1600</x:v>
      </x:c>
      <x:c r="L739" s="25" t="n">
        <x:v>870000</x:v>
      </x:c>
      <x:c r="M739" s="25" t="n">
        <x:v>0</x:v>
      </x:c>
      <x:c r="N739" s="25" t="str">
        <x:v>否</x:v>
      </x:c>
      <x:c r="O739" s="25" t="n">
        <x:v>0</x:v>
      </x:c>
      <x:c r="P739" s="25" t="n">
        <x:v>0</x:v>
      </x:c>
      <x:c r="Q739" s="25" t="n">
        <x:v>0</x:v>
      </x:c>
      <x:c r="R739" s="25" t="str">
        <x:v>洗练绑定装备；项链幸运绑定人物永久进度；武器幸运成本忽略</x:v>
      </x:c>
    </x:row>
    <x:row r="740">
      <x:c r="A740" s="25" t="str">
        <x:v>C07-X</x:v>
      </x:c>
      <x:c r="B740" s="25" t="str">
        <x:v>化圣雪原</x:v>
      </x:c>
      <x:c r="C740" s="25" t="str">
        <x:v>极端压力</x:v>
      </x:c>
      <x:c r="D740" s="25" t="n">
        <x:v>3</x:v>
      </x:c>
      <x:c r="E740" s="25" t="n">
        <x:v>155</x:v>
      </x:c>
      <x:c r="F740" s="25" t="str">
        <x:v>白翼颈链</x:v>
      </x:c>
      <x:c r="G740" s="25" t="str">
        <x:v>项链</x:v>
      </x:c>
      <x:c r="H740" s="25" t="n">
        <x:v>7</x:v>
      </x:c>
      <x:c r="I740" s="25" t="str">
        <x:v>稀有</x:v>
      </x:c>
      <x:c r="J740" s="25" t="str">
        <x:v>S07</x:v>
      </x:c>
      <x:c r="K740" s="25" t="str">
        <x:v>830-1600</x:v>
      </x:c>
      <x:c r="L740" s="25" t="n">
        <x:v>680000</x:v>
      </x:c>
      <x:c r="M740" s="25" t="n">
        <x:v>5</x:v>
      </x:c>
      <x:c r="N740" s="25" t="str">
        <x:v>否</x:v>
      </x:c>
      <x:c r="O740" s="25" t="n">
        <x:v>0</x:v>
      </x:c>
      <x:c r="P740" s="25" t="n">
        <x:v>0</x:v>
      </x:c>
      <x:c r="Q740" s="25" t="n">
        <x:v>0</x:v>
      </x:c>
      <x:c r="R740" s="25" t="str">
        <x:v>洗练绑定装备；项链幸运绑定人物永久进度；武器幸运成本忽略</x:v>
      </x:c>
    </x:row>
    <x:row r="741">
      <x:c r="A741" s="25" t="str">
        <x:v>C07-X</x:v>
      </x:c>
      <x:c r="B741" s="25" t="str">
        <x:v>化圣雪原</x:v>
      </x:c>
      <x:c r="C741" s="25" t="str">
        <x:v>极端压力</x:v>
      </x:c>
      <x:c r="D741" s="25" t="n">
        <x:v>4</x:v>
      </x:c>
      <x:c r="E741" s="25" t="n">
        <x:v>161</x:v>
      </x:c>
      <x:c r="F741" s="25" t="str">
        <x:v>希尔达圣冠</x:v>
      </x:c>
      <x:c r="G741" s="25" t="str">
        <x:v>头盔</x:v>
      </x:c>
      <x:c r="H741" s="25" t="n">
        <x:v>7</x:v>
      </x:c>
      <x:c r="I741" s="25" t="str">
        <x:v>地图BOSS</x:v>
      </x:c>
      <x:c r="J741" s="25" t="str">
        <x:v>S07</x:v>
      </x:c>
      <x:c r="K741" s="25" t="str">
        <x:v>780-1500</x:v>
      </x:c>
      <x:c r="L741" s="25" t="n">
        <x:v>1600000</x:v>
      </x:c>
      <x:c r="M741" s="25" t="n">
        <x:v>6</x:v>
      </x:c>
      <x:c r="N741" s="25" t="str">
        <x:v>否</x:v>
      </x:c>
      <x:c r="O741" s="25" t="n">
        <x:v>0</x:v>
      </x:c>
      <x:c r="P741" s="25" t="n">
        <x:v>0</x:v>
      </x:c>
      <x:c r="Q741" s="25" t="n">
        <x:v>0</x:v>
      </x:c>
      <x:c r="R741" s="25" t="str">
        <x:v>洗练绑定装备；项链幸运绑定人物永久进度；武器幸运成本忽略</x:v>
      </x:c>
    </x:row>
    <x:row r="742">
      <x:c r="A742" s="25" t="str">
        <x:v>C07-X</x:v>
      </x:c>
      <x:c r="B742" s="25" t="str">
        <x:v>化圣雪原</x:v>
      </x:c>
      <x:c r="C742" s="25" t="str">
        <x:v>极端压力</x:v>
      </x:c>
      <x:c r="D742" s="25" t="n">
        <x:v>5</x:v>
      </x:c>
      <x:c r="E742" s="25" t="n">
        <x:v>177</x:v>
      </x:c>
      <x:c r="F742" s="25" t="str">
        <x:v>龙火刑腕</x:v>
      </x:c>
      <x:c r="G742" s="25" t="str">
        <x:v>手镯</x:v>
      </x:c>
      <x:c r="H742" s="25" t="n">
        <x:v>6</x:v>
      </x:c>
      <x:c r="I742" s="25" t="str">
        <x:v>装备合成</x:v>
      </x:c>
      <x:c r="J742" s="25" t="str">
        <x:v>S07</x:v>
      </x:c>
      <x:c r="K742" s="25" t="str">
        <x:v>1100-2100</x:v>
      </x:c>
      <x:c r="L742" s="25" t="n">
        <x:v>850000</x:v>
      </x:c>
      <x:c r="M742" s="25" t="n">
        <x:v>6</x:v>
      </x:c>
      <x:c r="N742" s="25" t="str">
        <x:v>否</x:v>
      </x:c>
      <x:c r="O742" s="25" t="n">
        <x:v>0</x:v>
      </x:c>
      <x:c r="P742" s="25" t="n">
        <x:v>0</x:v>
      </x:c>
      <x:c r="Q742" s="25" t="n">
        <x:v>0</x:v>
      </x:c>
      <x:c r="R742" s="25" t="str">
        <x:v>洗练绑定装备；项链幸运绑定人物永久进度；武器幸运成本忽略</x:v>
      </x:c>
    </x:row>
    <x:row r="743">
      <x:c r="A743" s="25" t="str">
        <x:v>C07-X</x:v>
      </x:c>
      <x:c r="B743" s="25" t="str">
        <x:v>化圣雪原</x:v>
      </x:c>
      <x:c r="C743" s="25" t="str">
        <x:v>极端压力</x:v>
      </x:c>
      <x:c r="D743" s="25" t="n">
        <x:v>6</x:v>
      </x:c>
      <x:c r="E743" s="25" t="n">
        <x:v>157</x:v>
      </x:c>
      <x:c r="F743" s="25" t="str">
        <x:v>寒狱铁镯</x:v>
      </x:c>
      <x:c r="G743" s="25" t="str">
        <x:v>手镯</x:v>
      </x:c>
      <x:c r="H743" s="25" t="n">
        <x:v>7</x:v>
      </x:c>
      <x:c r="I743" s="25" t="str">
        <x:v>普通</x:v>
      </x:c>
      <x:c r="J743" s="25" t="str">
        <x:v>S07</x:v>
      </x:c>
      <x:c r="K743" s="25" t="str">
        <x:v>620-1200</x:v>
      </x:c>
      <x:c r="L743" s="25" t="n">
        <x:v>460000</x:v>
      </x:c>
      <x:c r="M743" s="25" t="n">
        <x:v>4</x:v>
      </x:c>
      <x:c r="N743" s="25" t="str">
        <x:v>否</x:v>
      </x:c>
      <x:c r="O743" s="25" t="n">
        <x:v>0</x:v>
      </x:c>
      <x:c r="P743" s="25" t="n">
        <x:v>0</x:v>
      </x:c>
      <x:c r="Q743" s="25" t="n">
        <x:v>0</x:v>
      </x:c>
      <x:c r="R743" s="25" t="str">
        <x:v>洗练绑定装备；项链幸运绑定人物永久进度；武器幸运成本忽略</x:v>
      </x:c>
    </x:row>
    <x:row r="744">
      <x:c r="A744" s="25" t="str">
        <x:v>C07-X</x:v>
      </x:c>
      <x:c r="B744" s="25" t="str">
        <x:v>化圣雪原</x:v>
      </x:c>
      <x:c r="C744" s="25" t="str">
        <x:v>极端压力</x:v>
      </x:c>
      <x:c r="D744" s="25" t="n">
        <x:v>7</x:v>
      </x:c>
      <x:c r="E744" s="25" t="n">
        <x:v>159</x:v>
      </x:c>
      <x:c r="F744" s="25" t="str">
        <x:v>巡界牙戒</x:v>
      </x:c>
      <x:c r="G744" s="25" t="str">
        <x:v>戒指</x:v>
      </x:c>
      <x:c r="H744" s="25" t="n">
        <x:v>7</x:v>
      </x:c>
      <x:c r="I744" s="25" t="str">
        <x:v>普通</x:v>
      </x:c>
      <x:c r="J744" s="25" t="str">
        <x:v>S07</x:v>
      </x:c>
      <x:c r="K744" s="25" t="str">
        <x:v>620-1200</x:v>
      </x:c>
      <x:c r="L744" s="25" t="n">
        <x:v>430000</x:v>
      </x:c>
      <x:c r="M744" s="25" t="n">
        <x:v>3</x:v>
      </x:c>
      <x:c r="N744" s="25" t="str">
        <x:v>否</x:v>
      </x:c>
      <x:c r="O744" s="25" t="n">
        <x:v>0</x:v>
      </x:c>
      <x:c r="P744" s="25" t="n">
        <x:v>0</x:v>
      </x:c>
      <x:c r="Q744" s="25" t="n">
        <x:v>0</x:v>
      </x:c>
      <x:c r="R744" s="25" t="str">
        <x:v>洗练绑定装备；项链幸运绑定人物永久进度；武器幸运成本忽略</x:v>
      </x:c>
    </x:row>
    <x:row r="745">
      <x:c r="A745" s="25" t="str">
        <x:v>C07-X</x:v>
      </x:c>
      <x:c r="B745" s="25" t="str">
        <x:v>化圣雪原</x:v>
      </x:c>
      <x:c r="C745" s="25" t="str">
        <x:v>极端压力</x:v>
      </x:c>
      <x:c r="D745" s="25" t="n">
        <x:v>8</x:v>
      </x:c>
      <x:c r="E745" s="25" t="n">
        <x:v>178</x:v>
      </x:c>
      <x:c r="F745" s="25" t="str">
        <x:v>巡界牙戒</x:v>
      </x:c>
      <x:c r="G745" s="25" t="str">
        <x:v>戒指</x:v>
      </x:c>
      <x:c r="H745" s="25" t="n">
        <x:v>7</x:v>
      </x:c>
      <x:c r="I745" s="25" t="str">
        <x:v>普通</x:v>
      </x:c>
      <x:c r="J745" s="25" t="str">
        <x:v>S07</x:v>
      </x:c>
      <x:c r="K745" s="25" t="str">
        <x:v>620-1200</x:v>
      </x:c>
      <x:c r="L745" s="25" t="n">
        <x:v>430000</x:v>
      </x:c>
      <x:c r="M745" s="25" t="n">
        <x:v>6</x:v>
      </x:c>
      <x:c r="N745" s="25" t="str">
        <x:v>否</x:v>
      </x:c>
      <x:c r="O745" s="25" t="n">
        <x:v>0</x:v>
      </x:c>
      <x:c r="P745" s="25" t="n">
        <x:v>0</x:v>
      </x:c>
      <x:c r="Q745" s="25" t="n">
        <x:v>0</x:v>
      </x:c>
      <x:c r="R745" s="25" t="str">
        <x:v>洗练绑定装备；项链幸运绑定人物永久进度；武器幸运成本忽略</x:v>
      </x:c>
    </x:row>
    <x:row r="746">
      <x:c r="A746" s="25" t="str">
        <x:v>C07-X</x:v>
      </x:c>
      <x:c r="B746" s="25" t="str">
        <x:v>化圣雪原</x:v>
      </x:c>
      <x:c r="C746" s="25" t="str">
        <x:v>极端压力</x:v>
      </x:c>
      <x:c r="D746" s="25" t="n">
        <x:v>10</x:v>
      </x:c>
      <x:c r="E746" s="25" t="n">
        <x:v>162</x:v>
      </x:c>
      <x:c r="F746" s="25" t="str">
        <x:v>幻刃腰封</x:v>
      </x:c>
      <x:c r="G746" s="25" t="str">
        <x:v>腰带</x:v>
      </x:c>
      <x:c r="H746" s="25" t="n">
        <x:v>7</x:v>
      </x:c>
      <x:c r="I746" s="25" t="str">
        <x:v>稀有</x:v>
      </x:c>
      <x:c r="J746" s="25" t="str">
        <x:v>S07</x:v>
      </x:c>
      <x:c r="K746" s="25" t="str">
        <x:v>620-1200</x:v>
      </x:c>
      <x:c r="L746" s="25" t="n">
        <x:v>940000</x:v>
      </x:c>
      <x:c r="M746" s="25" t="n">
        <x:v>5</x:v>
      </x:c>
      <x:c r="N746" s="25" t="str">
        <x:v>否</x:v>
      </x:c>
      <x:c r="O746" s="25" t="n">
        <x:v>0</x:v>
      </x:c>
      <x:c r="P746" s="25" t="n">
        <x:v>0</x:v>
      </x:c>
      <x:c r="Q746" s="25" t="n">
        <x:v>0</x:v>
      </x:c>
      <x:c r="R746" s="25" t="str">
        <x:v>洗练绑定装备；项链幸运绑定人物永久进度；武器幸运成本忽略</x:v>
      </x:c>
    </x:row>
    <x:row r="747">
      <x:c r="A747" s="25" t="str">
        <x:v>C07-X</x:v>
      </x:c>
      <x:c r="B747" s="25" t="str">
        <x:v>化圣雪原</x:v>
      </x:c>
      <x:c r="C747" s="25" t="str">
        <x:v>极端压力</x:v>
      </x:c>
      <x:c r="D747" s="25" t="n">
        <x:v>11</x:v>
      </x:c>
      <x:c r="E747" s="25" t="n">
        <x:v>180</x:v>
      </x:c>
      <x:c r="F747" s="25" t="str">
        <x:v>冰骨战靴</x:v>
      </x:c>
      <x:c r="G747" s="25" t="str">
        <x:v>鞋子</x:v>
      </x:c>
      <x:c r="H747" s="25" t="n">
        <x:v>7</x:v>
      </x:c>
      <x:c r="I747" s="25" t="str">
        <x:v>稀有</x:v>
      </x:c>
      <x:c r="J747" s="25" t="str">
        <x:v>S07</x:v>
      </x:c>
      <x:c r="K747" s="25" t="str">
        <x:v>490-940</x:v>
      </x:c>
      <x:c r="L747" s="25" t="n">
        <x:v>890000</x:v>
      </x:c>
      <x:c r="M747" s="25" t="n">
        <x:v>4</x:v>
      </x:c>
      <x:c r="N747" s="25" t="str">
        <x:v>否</x:v>
      </x:c>
      <x:c r="O747" s="25" t="n">
        <x:v>0</x:v>
      </x:c>
      <x:c r="P747" s="25" t="n">
        <x:v>0</x:v>
      </x:c>
      <x:c r="Q747" s="25" t="n">
        <x:v>0</x:v>
      </x:c>
      <x:c r="R747" s="25" t="str">
        <x:v>洗练绑定装备；项链幸运绑定人物永久进度；武器幸运成本忽略</x:v>
      </x:c>
    </x:row>
    <x:row r="748">
      <x:c r="A748" s="25" t="str">
        <x:v>C07-X</x:v>
      </x:c>
      <x:c r="B748" s="25" t="str">
        <x:v>化圣雪原</x:v>
      </x:c>
      <x:c r="C748" s="25" t="str">
        <x:v>极端压力</x:v>
      </x:c>
      <x:c r="D748" s="25" t="n">
        <x:v>13</x:v>
      </x:c>
      <x:c r="E748" s="25" t="n">
        <x:v>164</x:v>
      </x:c>
      <x:c r="F748" s="25" t="str">
        <x:v>雾界斗笠</x:v>
      </x:c>
      <x:c r="G748" s="25" t="str">
        <x:v>斗笠</x:v>
      </x:c>
      <x:c r="H748" s="25" t="n">
        <x:v>7</x:v>
      </x:c>
      <x:c r="I748" s="25" t="str">
        <x:v>普通</x:v>
      </x:c>
      <x:c r="J748" s="25" t="str">
        <x:v>S07</x:v>
      </x:c>
      <x:c r="K748" s="25" t="str">
        <x:v>280-540</x:v>
      </x:c>
      <x:c r="L748" s="25" t="n">
        <x:v>350000</x:v>
      </x:c>
      <x:c r="M748" s="25" t="n">
        <x:v>0</x:v>
      </x:c>
      <x:c r="N748" s="25" t="str">
        <x:v>否</x:v>
      </x:c>
      <x:c r="O748" s="25" t="n">
        <x:v>0</x:v>
      </x:c>
      <x:c r="P748" s="25" t="n">
        <x:v>0</x:v>
      </x:c>
      <x:c r="Q748" s="25" t="n">
        <x:v>0</x:v>
      </x:c>
      <x:c r="R748" s="25" t="str">
        <x:v>洗练绑定装备；项链幸运绑定人物永久进度；武器幸运成本忽略</x:v>
      </x:c>
    </x:row>
    <x:row r="749">
      <x:c r="A749" s="25" t="str">
        <x:v>C07-X</x:v>
      </x:c>
      <x:c r="B749" s="25" t="str">
        <x:v>化圣雪原</x:v>
      </x:c>
      <x:c r="C749" s="25" t="str">
        <x:v>极端压力</x:v>
      </x:c>
      <x:c r="D749" s="25" t="n">
        <x:v>16</x:v>
      </x:c>
      <x:c r="E749" s="25" t="n">
        <x:v>165</x:v>
      </x:c>
      <x:c r="F749" s="25" t="str">
        <x:v>银角塔盾</x:v>
      </x:c>
      <x:c r="G749" s="25" t="str">
        <x:v>盾牌</x:v>
      </x:c>
      <x:c r="H749" s="25" t="n">
        <x:v>7</x:v>
      </x:c>
      <x:c r="I749" s="25" t="str">
        <x:v>稀有</x:v>
      </x:c>
      <x:c r="J749" s="25" t="str">
        <x:v>S07</x:v>
      </x:c>
      <x:c r="K749" s="25" t="str">
        <x:v>780-1500</x:v>
      </x:c>
      <x:c r="L749" s="25" t="n">
        <x:v>2200000</x:v>
      </x:c>
      <x:c r="M749" s="25" t="n">
        <x:v>0</x:v>
      </x:c>
      <x:c r="N749" s="25" t="str">
        <x:v>否</x:v>
      </x:c>
      <x:c r="O749" s="25" t="n">
        <x:v>0</x:v>
      </x:c>
      <x:c r="P749" s="25" t="n">
        <x:v>0</x:v>
      </x:c>
      <x:c r="Q749" s="25" t="n">
        <x:v>0</x:v>
      </x:c>
      <x:c r="R749" s="25" t="str">
        <x:v>洗练绑定装备；项链幸运绑定人物永久进度；武器幸运成本忽略</x:v>
      </x:c>
    </x:row>
    <x:row r="750">
      <x:c r="A750" s="25" t="str">
        <x:v>C07-X</x:v>
      </x:c>
      <x:c r="B750" s="25" t="str">
        <x:v>化圣雪原</x:v>
      </x:c>
      <x:c r="C750" s="25" t="str">
        <x:v>极端压力</x:v>
      </x:c>
      <x:c r="D750" s="25" t="n">
        <x:v>18</x:v>
      </x:c>
      <x:c r="E750" s="25" t="n">
        <x:v>169</x:v>
      </x:c>
      <x:c r="F750" s="25" t="str">
        <x:v>圣雪无火礼衣</x:v>
      </x:c>
      <x:c r="G750" s="25" t="str">
        <x:v>时装衣服</x:v>
      </x:c>
      <x:c r="H750" s="25" t="n">
        <x:v>7</x:v>
      </x:c>
      <x:c r="I750" s="25" t="str">
        <x:v>装备合成</x:v>
      </x:c>
      <x:c r="J750" s="25" t="str">
        <x:v>S07</x:v>
      </x:c>
      <x:c r="K750" s="25" t="str">
        <x:v>1500-2800</x:v>
      </x:c>
      <x:c r="L750" s="25" t="n">
        <x:v>9300000</x:v>
      </x:c>
      <x:c r="M750" s="25" t="n">
        <x:v>0</x:v>
      </x:c>
      <x:c r="N750" s="25" t="str">
        <x:v>否</x:v>
      </x:c>
      <x:c r="O750" s="25" t="n">
        <x:v>0</x:v>
      </x:c>
      <x:c r="P750" s="25" t="n">
        <x:v>0</x:v>
      </x:c>
      <x:c r="Q750" s="25" t="n">
        <x:v>0</x:v>
      </x:c>
      <x:c r="R750" s="25" t="str">
        <x:v>洗练绑定装备；项链幸运绑定人物永久进度；武器幸运成本忽略</x:v>
      </x:c>
    </x:row>
    <x:row r="751">
      <x:c r="A751" s="25" t="str">
        <x:v>C07-X</x:v>
      </x:c>
      <x:c r="B751" s="25" t="str">
        <x:v>化圣雪原</x:v>
      </x:c>
      <x:c r="C751" s="25" t="str">
        <x:v>极端压力</x:v>
      </x:c>
      <x:c r="D751" s="25" t="n">
        <x:v>19</x:v>
      </x:c>
      <x:c r="E751" s="25" t="n">
        <x:v>147</x:v>
      </x:c>
      <x:c r="F751" s="25" t="str">
        <x:v>永霜白金刃</x:v>
      </x:c>
      <x:c r="G751" s="25" t="str">
        <x:v>时装武器</x:v>
      </x:c>
      <x:c r="H751" s="25" t="n">
        <x:v>7</x:v>
      </x:c>
      <x:c r="I751" s="25" t="str">
        <x:v>装备合成</x:v>
      </x:c>
      <x:c r="J751" s="25" t="str">
        <x:v>S07</x:v>
      </x:c>
      <x:c r="K751" s="25" t="str">
        <x:v>4800-9200</x:v>
      </x:c>
      <x:c r="L751" s="25" t="n">
        <x:v>1700000</x:v>
      </x:c>
      <x:c r="M751" s="25" t="n">
        <x:v>0</x:v>
      </x:c>
      <x:c r="N751" s="25" t="str">
        <x:v>否</x:v>
      </x:c>
      <x:c r="O751" s="25" t="n">
        <x:v>0</x:v>
      </x:c>
      <x:c r="P751" s="25" t="n">
        <x:v>0</x:v>
      </x:c>
      <x:c r="Q751" s="25" t="n">
        <x:v>0</x:v>
      </x:c>
      <x:c r="R751" s="25" t="str">
        <x:v>洗练绑定装备；项链幸运绑定人物永久进度；武器幸运成本忽略</x:v>
      </x:c>
    </x:row>
    <x:row r="752">
      <x:c r="A752" s="25" t="str">
        <x:v>C07-X</x:v>
      </x:c>
      <x:c r="B752" s="25" t="str">
        <x:v>化圣雪原</x:v>
      </x:c>
      <x:c r="C752" s="25" t="str">
        <x:v>极端压力</x:v>
      </x:c>
      <x:c r="D752" s="25" t="n">
        <x:v>20</x:v>
      </x:c>
      <x:c r="E752" s="25" t="n">
        <x:v>40</x:v>
      </x:c>
      <x:c r="F752" s="25" t="str">
        <x:v>英雄余誓</x:v>
      </x:c>
      <x:c r="G752" s="25" t="str">
        <x:v>时装项链</x:v>
      </x:c>
      <x:c r="H752" s="25" t="n">
        <x:v>2</x:v>
      </x:c>
      <x:c r="I752" s="25" t="str">
        <x:v>稀有</x:v>
      </x:c>
      <x:c r="J752" s="25" t="str">
        <x:v>S02</x:v>
      </x:c>
      <x:c r="K752" s="25" t="str">
        <x:v>31-60</x:v>
      </x:c>
      <x:c r="L752" s="25" t="n">
        <x:v>17900</x:v>
      </x:c>
      <x:c r="M752" s="25" t="n">
        <x:v>0</x:v>
      </x:c>
      <x:c r="N752" s="25" t="str">
        <x:v>否</x:v>
      </x:c>
      <x:c r="O752" s="25" t="n">
        <x:v>0</x:v>
      </x:c>
      <x:c r="P752" s="25" t="n">
        <x:v>0</x:v>
      </x:c>
      <x:c r="Q752" s="25" t="n">
        <x:v>0</x:v>
      </x:c>
      <x:c r="R752" s="25" t="str">
        <x:v>洗练绑定装备；项链幸运绑定人物永久进度；武器幸运成本忽略</x:v>
      </x:c>
    </x:row>
    <x:row r="753">
      <x:c r="A753" s="25" t="str">
        <x:v>C07-X</x:v>
      </x:c>
      <x:c r="B753" s="25" t="str">
        <x:v>化圣雪原</x:v>
      </x:c>
      <x:c r="C753" s="25" t="str">
        <x:v>极端压力</x:v>
      </x:c>
      <x:c r="D753" s="25" t="n">
        <x:v>21</x:v>
      </x:c>
      <x:c r="E753" s="25" t="n">
        <x:v>166</x:v>
      </x:c>
      <x:c r="F753" s="25" t="str">
        <x:v>鹰主风冠</x:v>
      </x:c>
      <x:c r="G753" s="25" t="str">
        <x:v>时装头盔</x:v>
      </x:c>
      <x:c r="H753" s="25" t="n">
        <x:v>2</x:v>
      </x:c>
      <x:c r="I753" s="25" t="str">
        <x:v>稀有</x:v>
      </x:c>
      <x:c r="J753" s="25" t="str">
        <x:v>S02</x:v>
      </x:c>
      <x:c r="K753" s="25" t="str">
        <x:v>33-63</x:v>
      </x:c>
      <x:c r="L753" s="25" t="n">
        <x:v>78400</x:v>
      </x:c>
      <x:c r="M753" s="25" t="n">
        <x:v>0</x:v>
      </x:c>
      <x:c r="N753" s="25" t="str">
        <x:v>否</x:v>
      </x:c>
      <x:c r="O753" s="25" t="n">
        <x:v>0</x:v>
      </x:c>
      <x:c r="P753" s="25" t="n">
        <x:v>0</x:v>
      </x:c>
      <x:c r="Q753" s="25" t="n">
        <x:v>0</x:v>
      </x:c>
      <x:c r="R753" s="25" t="str">
        <x:v>洗练绑定装备；项链幸运绑定人物永久进度；武器幸运成本忽略</x:v>
      </x:c>
    </x:row>
    <x:row r="754">
      <x:c r="A754" s="25" t="str">
        <x:v>C07-X</x:v>
      </x:c>
      <x:c r="B754" s="25" t="str">
        <x:v>化圣雪原</x:v>
      </x:c>
      <x:c r="C754" s="25" t="str">
        <x:v>极端压力</x:v>
      </x:c>
      <x:c r="D754" s="25" t="n">
        <x:v>22</x:v>
      </x:c>
      <x:c r="E754" s="25" t="n">
        <x:v>42</x:v>
      </x:c>
      <x:c r="F754" s="25" t="str">
        <x:v>卢恩血镯</x:v>
      </x:c>
      <x:c r="G754" s="25" t="str">
        <x:v>时装手镯</x:v>
      </x:c>
      <x:c r="H754" s="25" t="n">
        <x:v>2</x:v>
      </x:c>
      <x:c r="I754" s="25" t="str">
        <x:v>稀有</x:v>
      </x:c>
      <x:c r="J754" s="25" t="str">
        <x:v>S02</x:v>
      </x:c>
      <x:c r="K754" s="25" t="str">
        <x:v>42-80</x:v>
      </x:c>
      <x:c r="L754" s="25" t="n">
        <x:v>34400</x:v>
      </x:c>
      <x:c r="M754" s="25" t="n">
        <x:v>0</x:v>
      </x:c>
      <x:c r="N754" s="25" t="str">
        <x:v>否</x:v>
      </x:c>
      <x:c r="O754" s="25" t="n">
        <x:v>0</x:v>
      </x:c>
      <x:c r="P754" s="25" t="n">
        <x:v>0</x:v>
      </x:c>
      <x:c r="Q754" s="25" t="n">
        <x:v>0</x:v>
      </x:c>
      <x:c r="R754" s="25" t="str">
        <x:v>洗练绑定装备；项链幸运绑定人物永久进度；武器幸运成本忽略</x:v>
      </x:c>
    </x:row>
    <x:row r="755">
      <x:c r="A755" s="25" t="str">
        <x:v>C07-X</x:v>
      </x:c>
      <x:c r="B755" s="25" t="str">
        <x:v>化圣雪原</x:v>
      </x:c>
      <x:c r="C755" s="25" t="str">
        <x:v>极端压力</x:v>
      </x:c>
      <x:c r="D755" s="25" t="n">
        <x:v>23</x:v>
      </x:c>
      <x:c r="E755" s="25" t="n">
        <x:v>167</x:v>
      </x:c>
      <x:c r="F755" s="25" t="str">
        <x:v>卢恩血镯</x:v>
      </x:c>
      <x:c r="G755" s="25" t="str">
        <x:v>时装手镯</x:v>
      </x:c>
      <x:c r="H755" s="25" t="n">
        <x:v>2</x:v>
      </x:c>
      <x:c r="I755" s="25" t="str">
        <x:v>稀有</x:v>
      </x:c>
      <x:c r="J755" s="25" t="str">
        <x:v>S02</x:v>
      </x:c>
      <x:c r="K755" s="25" t="str">
        <x:v>42-80</x:v>
      </x:c>
      <x:c r="L755" s="25" t="n">
        <x:v>34400</x:v>
      </x:c>
      <x:c r="M755" s="25" t="n">
        <x:v>0</x:v>
      </x:c>
      <x:c r="N755" s="25" t="str">
        <x:v>否</x:v>
      </x:c>
      <x:c r="O755" s="25" t="n">
        <x:v>0</x:v>
      </x:c>
      <x:c r="P755" s="25" t="n">
        <x:v>0</x:v>
      </x:c>
      <x:c r="Q755" s="25" t="n">
        <x:v>0</x:v>
      </x:c>
      <x:c r="R755" s="25" t="str">
        <x:v>洗练绑定装备；项链幸运绑定人物永久进度；武器幸运成本忽略</x:v>
      </x:c>
    </x:row>
    <x:row r="756">
      <x:c r="A756" s="25" t="str">
        <x:v>C07-X</x:v>
      </x:c>
      <x:c r="B756" s="25" t="str">
        <x:v>化圣雪原</x:v>
      </x:c>
      <x:c r="C756" s="25" t="str">
        <x:v>极端压力</x:v>
      </x:c>
      <x:c r="D756" s="25" t="n">
        <x:v>24</x:v>
      </x:c>
      <x:c r="E756" s="25" t="n">
        <x:v>171</x:v>
      </x:c>
      <x:c r="F756" s="25" t="str">
        <x:v>辉月镜戒</x:v>
      </x:c>
      <x:c r="G756" s="25" t="str">
        <x:v>时装戒指</x:v>
      </x:c>
      <x:c r="H756" s="25" t="n">
        <x:v>5</x:v>
      </x:c>
      <x:c r="I756" s="25" t="str">
        <x:v>装备合成</x:v>
      </x:c>
      <x:c r="J756" s="25" t="str">
        <x:v>S07</x:v>
      </x:c>
      <x:c r="K756" s="25" t="str">
        <x:v>570-1100</x:v>
      </x:c>
      <x:c r="L756" s="25" t="n">
        <x:v>550000</x:v>
      </x:c>
      <x:c r="M756" s="25" t="n">
        <x:v>0</x:v>
      </x:c>
      <x:c r="N756" s="25" t="str">
        <x:v>否</x:v>
      </x:c>
      <x:c r="O756" s="25" t="n">
        <x:v>0</x:v>
      </x:c>
      <x:c r="P756" s="25" t="n">
        <x:v>0</x:v>
      </x:c>
      <x:c r="Q756" s="25" t="n">
        <x:v>0</x:v>
      </x:c>
      <x:c r="R756" s="25" t="str">
        <x:v>洗练绑定装备；项链幸运绑定人物永久进度；武器幸运成本忽略</x:v>
      </x:c>
    </x:row>
    <x:row r="757">
      <x:c r="A757" s="25" t="str">
        <x:v>C07-X</x:v>
      </x:c>
      <x:c r="B757" s="25" t="str">
        <x:v>化圣雪原</x:v>
      </x:c>
      <x:c r="C757" s="25" t="str">
        <x:v>极端压力</x:v>
      </x:c>
      <x:c r="D757" s="25" t="n">
        <x:v>25</x:v>
      </x:c>
      <x:c r="E757" s="25" t="n">
        <x:v>168</x:v>
      </x:c>
      <x:c r="F757" s="25" t="str">
        <x:v>黄金树戒</x:v>
      </x:c>
      <x:c r="G757" s="25" t="str">
        <x:v>时装戒指</x:v>
      </x:c>
      <x:c r="H757" s="25" t="n">
        <x:v>2</x:v>
      </x:c>
      <x:c r="I757" s="25" t="str">
        <x:v>稀有</x:v>
      </x:c>
      <x:c r="J757" s="25" t="str">
        <x:v>S02</x:v>
      </x:c>
      <x:c r="K757" s="25" t="str">
        <x:v>42-80</x:v>
      </x:c>
      <x:c r="L757" s="25" t="n">
        <x:v>34400</x:v>
      </x:c>
      <x:c r="M757" s="25" t="n">
        <x:v>0</x:v>
      </x:c>
      <x:c r="N757" s="25" t="str">
        <x:v>否</x:v>
      </x:c>
      <x:c r="O757" s="25" t="n">
        <x:v>0</x:v>
      </x:c>
      <x:c r="P757" s="25" t="n">
        <x:v>0</x:v>
      </x:c>
      <x:c r="Q757" s="25" t="n">
        <x:v>0</x:v>
      </x:c>
      <x:c r="R757" s="25" t="str">
        <x:v>洗练绑定装备；项链幸运绑定人物永久进度；武器幸运成本忽略</x:v>
      </x:c>
    </x:row>
    <x:row r="758">
      <x:c r="A758" s="25" t="str">
        <x:v>C07-X</x:v>
      </x:c>
      <x:c r="B758" s="25" t="str">
        <x:v>化圣雪原</x:v>
      </x:c>
      <x:c r="C758" s="25" t="str">
        <x:v>极端压力</x:v>
      </x:c>
      <x:c r="D758" s="25" t="n">
        <x:v>40</x:v>
      </x:c>
      <x:c r="E758" s="25" t="n">
        <x:v>44</x:v>
      </x:c>
      <x:c r="F758" s="25" t="str">
        <x:v>腐树子鼠</x:v>
      </x:c>
      <x:c r="G758" s="25" t="str">
        <x:v>生肖1</x:v>
      </x:c>
      <x:c r="H758" s="25" t="n">
        <x:v>2</x:v>
      </x:c>
      <x:c r="I758" s="25" t="str">
        <x:v>BOSS</x:v>
      </x:c>
      <x:c r="J758" s="25" t="str">
        <x:v>S02</x:v>
      </x:c>
      <x:c r="K758" s="25" t="str">
        <x:v>29-56</x:v>
      </x:c>
      <x:c r="L758" s="25" t="n">
        <x:v>23600</x:v>
      </x:c>
      <x:c r="M758" s="25" t="n">
        <x:v>0</x:v>
      </x:c>
      <x:c r="N758" s="25" t="str">
        <x:v>否</x:v>
      </x:c>
      <x:c r="O758" s="25" t="n">
        <x:v>0</x:v>
      </x:c>
      <x:c r="P758" s="25" t="n">
        <x:v>0</x:v>
      </x:c>
      <x:c r="Q758" s="25" t="n">
        <x:v>0</x:v>
      </x:c>
      <x:c r="R758" s="25" t="str">
        <x:v>洗练绑定装备；项链幸运绑定人物永久进度；武器幸运成本忽略</x:v>
      </x:c>
    </x:row>
    <x:row r="759">
      <x:c r="A759" s="25" t="str">
        <x:v>C07-X</x:v>
      </x:c>
      <x:c r="B759" s="25" t="str">
        <x:v>化圣雪原</x:v>
      </x:c>
      <x:c r="C759" s="25" t="str">
        <x:v>极端压力</x:v>
      </x:c>
      <x:c r="D759" s="25" t="n">
        <x:v>41</x:v>
      </x:c>
      <x:c r="E759" s="25" t="n">
        <x:v>69</x:v>
      </x:c>
      <x:c r="F759" s="25" t="str">
        <x:v>丑牛·风暴负山</x:v>
      </x:c>
      <x:c r="G759" s="25" t="str">
        <x:v>生肖2</x:v>
      </x:c>
      <x:c r="H759" s="25" t="n">
        <x:v>2</x:v>
      </x:c>
      <x:c r="I759" s="25" t="str">
        <x:v>生肖合成</x:v>
      </x:c>
      <x:c r="J759" s="25" t="str">
        <x:v>S07</x:v>
      </x:c>
      <x:c r="K759" s="25" t="str">
        <x:v>25-49</x:v>
      </x:c>
      <x:c r="L759" s="25" t="n">
        <x:v>64000</x:v>
      </x:c>
      <x:c r="M759" s="25" t="n">
        <x:v>0</x:v>
      </x:c>
      <x:c r="N759" s="25" t="str">
        <x:v>否</x:v>
      </x:c>
      <x:c r="O759" s="25" t="n">
        <x:v>0</x:v>
      </x:c>
      <x:c r="P759" s="25" t="n">
        <x:v>0</x:v>
      </x:c>
      <x:c r="Q759" s="25" t="n">
        <x:v>0</x:v>
      </x:c>
      <x:c r="R759" s="25" t="str">
        <x:v>洗练绑定装备；项链幸运绑定人物永久进度；武器幸运成本忽略</x:v>
      </x:c>
    </x:row>
    <x:row r="760">
      <x:c r="A760" s="25" t="str">
        <x:v>C07-X</x:v>
      </x:c>
      <x:c r="B760" s="25" t="str">
        <x:v>化圣雪原</x:v>
      </x:c>
      <x:c r="C760" s="25" t="str">
        <x:v>极端压力</x:v>
      </x:c>
      <x:c r="D760" s="25" t="n">
        <x:v>42</x:v>
      </x:c>
      <x:c r="E760" s="25" t="n">
        <x:v>138</x:v>
      </x:c>
      <x:c r="F760" s="25" t="str">
        <x:v>寅虎·红狮焚原</x:v>
      </x:c>
      <x:c r="G760" s="25" t="str">
        <x:v>生肖3</x:v>
      </x:c>
      <x:c r="H760" s="25" t="n">
        <x:v>6</x:v>
      </x:c>
      <x:c r="I760" s="25" t="str">
        <x:v>生肖合成</x:v>
      </x:c>
      <x:c r="J760" s="25" t="str">
        <x:v>S07</x:v>
      </x:c>
      <x:c r="K760" s="25" t="str">
        <x:v>250-490</x:v>
      </x:c>
      <x:c r="L760" s="25" t="n">
        <x:v>640000</x:v>
      </x:c>
      <x:c r="M760" s="25" t="n">
        <x:v>0</x:v>
      </x:c>
      <x:c r="N760" s="25" t="str">
        <x:v>否</x:v>
      </x:c>
      <x:c r="O760" s="25" t="n">
        <x:v>0</x:v>
      </x:c>
      <x:c r="P760" s="25" t="n">
        <x:v>0</x:v>
      </x:c>
      <x:c r="Q760" s="25" t="n">
        <x:v>0</x:v>
      </x:c>
      <x:c r="R760" s="25" t="str">
        <x:v>洗练绑定装备；项链幸运绑定人物永久进度；武器幸运成本忽略</x:v>
      </x:c>
    </x:row>
    <x:row r="761">
      <x:c r="A761" s="25" t="str">
        <x:v>C07-X</x:v>
      </x:c>
      <x:c r="B761" s="25" t="str">
        <x:v>化圣雪原</x:v>
      </x:c>
      <x:c r="C761" s="25" t="str">
        <x:v>极端压力</x:v>
      </x:c>
      <x:c r="D761" s="25" t="n">
        <x:v>43</x:v>
      </x:c>
      <x:c r="E761" s="25" t="n">
        <x:v>127</x:v>
      </x:c>
      <x:c r="F761" s="25" t="str">
        <x:v>卯兔·镜月折辉</x:v>
      </x:c>
      <x:c r="G761" s="25" t="str">
        <x:v>生肖4</x:v>
      </x:c>
      <x:c r="H761" s="25" t="n">
        <x:v>5</x:v>
      </x:c>
      <x:c r="I761" s="25" t="str">
        <x:v>生肖合成</x:v>
      </x:c>
      <x:c r="J761" s="25" t="str">
        <x:v>S07</x:v>
      </x:c>
      <x:c r="K761" s="25" t="str">
        <x:v>150-280</x:v>
      </x:c>
      <x:c r="L761" s="25" t="n">
        <x:v>360000</x:v>
      </x:c>
      <x:c r="M761" s="25" t="n">
        <x:v>0</x:v>
      </x:c>
      <x:c r="N761" s="25" t="str">
        <x:v>否</x:v>
      </x:c>
      <x:c r="O761" s="25" t="n">
        <x:v>0</x:v>
      </x:c>
      <x:c r="P761" s="25" t="n">
        <x:v>0</x:v>
      </x:c>
      <x:c r="Q761" s="25" t="n">
        <x:v>0</x:v>
      </x:c>
      <x:c r="R761" s="25" t="str">
        <x:v>洗练绑定装备；项链幸运绑定人物永久进度；武器幸运成本忽略</x:v>
      </x:c>
    </x:row>
    <x:row r="762">
      <x:c r="A762" s="25" t="str">
        <x:v>C07-X</x:v>
      </x:c>
      <x:c r="B762" s="25" t="str">
        <x:v>化圣雪原</x:v>
      </x:c>
      <x:c r="C762" s="25" t="str">
        <x:v>极端压力</x:v>
      </x:c>
      <x:c r="D762" s="25" t="n">
        <x:v>44</x:v>
      </x:c>
      <x:c r="E762" s="25" t="n">
        <x:v>91</x:v>
      </x:c>
      <x:c r="F762" s="25" t="str">
        <x:v>辰龙·荒原逐风</x:v>
      </x:c>
      <x:c r="G762" s="25" t="str">
        <x:v>生肖5</x:v>
      </x:c>
      <x:c r="H762" s="25" t="n">
        <x:v>3</x:v>
      </x:c>
      <x:c r="I762" s="25" t="str">
        <x:v>生肖合成</x:v>
      </x:c>
      <x:c r="J762" s="25" t="str">
        <x:v>S07</x:v>
      </x:c>
      <x:c r="K762" s="25" t="str">
        <x:v>47-90</x:v>
      </x:c>
      <x:c r="L762" s="25" t="n">
        <x:v>120000</x:v>
      </x:c>
      <x:c r="M762" s="25" t="n">
        <x:v>0</x:v>
      </x:c>
      <x:c r="N762" s="25" t="str">
        <x:v>否</x:v>
      </x:c>
      <x:c r="O762" s="25" t="n">
        <x:v>0</x:v>
      </x:c>
      <x:c r="P762" s="25" t="n">
        <x:v>0</x:v>
      </x:c>
      <x:c r="Q762" s="25" t="n">
        <x:v>0</x:v>
      </x:c>
      <x:c r="R762" s="25" t="str">
        <x:v>洗练绑定装备；项链幸运绑定人物永久进度；武器幸运成本忽略</x:v>
      </x:c>
    </x:row>
    <x:row r="763">
      <x:c r="A763" s="25" t="str">
        <x:v>C07-X</x:v>
      </x:c>
      <x:c r="B763" s="25" t="str">
        <x:v>化圣雪原</x:v>
      </x:c>
      <x:c r="C763" s="25" t="str">
        <x:v>极端压力</x:v>
      </x:c>
      <x:c r="D763" s="25" t="n">
        <x:v>45</x:v>
      </x:c>
      <x:c r="E763" s="25" t="n">
        <x:v>107</x:v>
      </x:c>
      <x:c r="F763" s="25" t="str">
        <x:v>巳蛇·沉潮缚月</x:v>
      </x:c>
      <x:c r="G763" s="25" t="str">
        <x:v>生肖6</x:v>
      </x:c>
      <x:c r="H763" s="25" t="n">
        <x:v>4</x:v>
      </x:c>
      <x:c r="I763" s="25" t="str">
        <x:v>生肖合成</x:v>
      </x:c>
      <x:c r="J763" s="25" t="str">
        <x:v>S07</x:v>
      </x:c>
      <x:c r="K763" s="25" t="str">
        <x:v>83-160</x:v>
      </x:c>
      <x:c r="L763" s="25" t="n">
        <x:v>200000</x:v>
      </x:c>
      <x:c r="M763" s="25" t="n">
        <x:v>0</x:v>
      </x:c>
      <x:c r="N763" s="25" t="str">
        <x:v>否</x:v>
      </x:c>
      <x:c r="O763" s="25" t="n">
        <x:v>0</x:v>
      </x:c>
      <x:c r="P763" s="25" t="n">
        <x:v>0</x:v>
      </x:c>
      <x:c r="Q763" s="25" t="n">
        <x:v>0</x:v>
      </x:c>
      <x:c r="R763" s="25" t="str">
        <x:v>洗练绑定装备；项链幸运绑定人物永久进度；武器幸运成本忽略</x:v>
      </x:c>
    </x:row>
    <x:row r="764">
      <x:c r="A764" s="25" t="str">
        <x:v>C07-X</x:v>
      </x:c>
      <x:c r="B764" s="25" t="str">
        <x:v>化圣雪原</x:v>
      </x:c>
      <x:c r="C764" s="25" t="str">
        <x:v>极端压力</x:v>
      </x:c>
      <x:c r="D764" s="25" t="n">
        <x:v>46</x:v>
      </x:c>
      <x:c r="E764" s="25" t="n">
        <x:v>80</x:v>
      </x:c>
      <x:c r="F764" s="25" t="str">
        <x:v>死水午马</x:v>
      </x:c>
      <x:c r="G764" s="25" t="str">
        <x:v>生肖7</x:v>
      </x:c>
      <x:c r="H764" s="25" t="n">
        <x:v>2</x:v>
      </x:c>
      <x:c r="I764" s="25" t="str">
        <x:v>BOSS</x:v>
      </x:c>
      <x:c r="J764" s="25" t="str">
        <x:v>S02</x:v>
      </x:c>
      <x:c r="K764" s="25" t="str">
        <x:v>38-74</x:v>
      </x:c>
      <x:c r="L764" s="25" t="n">
        <x:v>45300</x:v>
      </x:c>
      <x:c r="M764" s="25" t="n">
        <x:v>0</x:v>
      </x:c>
      <x:c r="N764" s="25" t="str">
        <x:v>否</x:v>
      </x:c>
      <x:c r="O764" s="25" t="n">
        <x:v>0</x:v>
      </x:c>
      <x:c r="P764" s="25" t="n">
        <x:v>0</x:v>
      </x:c>
      <x:c r="Q764" s="25" t="n">
        <x:v>0</x:v>
      </x:c>
      <x:c r="R764" s="25" t="str">
        <x:v>洗练绑定装备；项链幸运绑定人物永久进度；武器幸运成本忽略</x:v>
      </x:c>
    </x:row>
    <x:row r="765">
      <x:c r="A765" s="25" t="str">
        <x:v>C07-X</x:v>
      </x:c>
      <x:c r="B765" s="25" t="str">
        <x:v>化圣雪原</x:v>
      </x:c>
      <x:c r="C765" s="25" t="str">
        <x:v>极端压力</x:v>
      </x:c>
      <x:c r="D765" s="25" t="n">
        <x:v>47</x:v>
      </x:c>
      <x:c r="E765" s="25" t="n">
        <x:v>148</x:v>
      </x:c>
      <x:c r="F765" s="25" t="str">
        <x:v>未羊·永霜引路</x:v>
      </x:c>
      <x:c r="G765" s="25" t="str">
        <x:v>生肖8</x:v>
      </x:c>
      <x:c r="H765" s="25" t="n">
        <x:v>7</x:v>
      </x:c>
      <x:c r="I765" s="25" t="str">
        <x:v>生肖合成</x:v>
      </x:c>
      <x:c r="J765" s="25" t="str">
        <x:v>S07</x:v>
      </x:c>
      <x:c r="K765" s="25" t="str">
        <x:v>470-900</x:v>
      </x:c>
      <x:c r="L765" s="25" t="n">
        <x:v>1200000</x:v>
      </x:c>
      <x:c r="M765" s="25" t="n">
        <x:v>0</x:v>
      </x:c>
      <x:c r="N765" s="25" t="str">
        <x:v>否</x:v>
      </x:c>
      <x:c r="O765" s="25" t="n">
        <x:v>0</x:v>
      </x:c>
      <x:c r="P765" s="25" t="n">
        <x:v>0</x:v>
      </x:c>
      <x:c r="Q765" s="25" t="n">
        <x:v>0</x:v>
      </x:c>
      <x:c r="R765" s="25" t="str">
        <x:v>洗练绑定装备；项链幸运绑定人物永久进度；武器幸运成本忽略</x:v>
      </x:c>
    </x:row>
    <x:row r="766">
      <x:c r="A766" s="25" t="str">
        <x:v>C07-X</x:v>
      </x:c>
      <x:c r="B766" s="25" t="str">
        <x:v>化圣雪原</x:v>
      </x:c>
      <x:c r="C766" s="25" t="str">
        <x:v>极端压力</x:v>
      </x:c>
      <x:c r="D766" s="25" t="n">
        <x:v>48</x:v>
      </x:c>
      <x:c r="E766" s="25" t="n">
        <x:v>81</x:v>
      </x:c>
      <x:c r="F766" s="25" t="str">
        <x:v>雷冠申猴</x:v>
      </x:c>
      <x:c r="G766" s="25" t="str">
        <x:v>生肖9</x:v>
      </x:c>
      <x:c r="H766" s="25" t="n">
        <x:v>2</x:v>
      </x:c>
      <x:c r="I766" s="25" t="str">
        <x:v>BOSS</x:v>
      </x:c>
      <x:c r="J766" s="25" t="str">
        <x:v>S02</x:v>
      </x:c>
      <x:c r="K766" s="25" t="str">
        <x:v>44-84</x:v>
      </x:c>
      <x:c r="L766" s="25" t="n">
        <x:v>59800</x:v>
      </x:c>
      <x:c r="M766" s="25" t="n">
        <x:v>0</x:v>
      </x:c>
      <x:c r="N766" s="25" t="str">
        <x:v>否</x:v>
      </x:c>
      <x:c r="O766" s="25" t="n">
        <x:v>0</x:v>
      </x:c>
      <x:c r="P766" s="25" t="n">
        <x:v>0</x:v>
      </x:c>
      <x:c r="Q766" s="25" t="n">
        <x:v>0</x:v>
      </x:c>
      <x:c r="R766" s="25" t="str">
        <x:v>洗练绑定装备；项链幸运绑定人物永久进度；武器幸运成本忽略</x:v>
      </x:c>
    </x:row>
    <x:row r="767">
      <x:c r="A767" s="25" t="str">
        <x:v>C07-X</x:v>
      </x:c>
      <x:c r="B767" s="25" t="str">
        <x:v>化圣雪原</x:v>
      </x:c>
      <x:c r="C767" s="25" t="str">
        <x:v>极端压力</x:v>
      </x:c>
      <x:c r="D767" s="25" t="n">
        <x:v>49</x:v>
      </x:c>
      <x:c r="E767" s="25" t="n">
        <x:v>82</x:v>
      </x:c>
      <x:c r="F767" s="25" t="str">
        <x:v>恶兆酉鸡</x:v>
      </x:c>
      <x:c r="G767" s="25" t="str">
        <x:v>生肖10</x:v>
      </x:c>
      <x:c r="H767" s="25" t="n">
        <x:v>2</x:v>
      </x:c>
      <x:c r="I767" s="25" t="str">
        <x:v>BOSS</x:v>
      </x:c>
      <x:c r="J767" s="25" t="str">
        <x:v>S02</x:v>
      </x:c>
      <x:c r="K767" s="25" t="str">
        <x:v>44-84</x:v>
      </x:c>
      <x:c r="L767" s="25" t="n">
        <x:v>59800</x:v>
      </x:c>
      <x:c r="M767" s="25" t="n">
        <x:v>0</x:v>
      </x:c>
      <x:c r="N767" s="25" t="str">
        <x:v>否</x:v>
      </x:c>
      <x:c r="O767" s="25" t="n">
        <x:v>0</x:v>
      </x:c>
      <x:c r="P767" s="25" t="n">
        <x:v>0</x:v>
      </x:c>
      <x:c r="Q767" s="25" t="n">
        <x:v>0</x:v>
      </x:c>
      <x:c r="R767" s="25" t="str">
        <x:v>洗练绑定装备；项链幸运绑定人物永久进度；武器幸运成本忽略</x:v>
      </x:c>
    </x:row>
    <x:row r="768">
      <x:c r="A768" s="25" t="str">
        <x:v>C07-X</x:v>
      </x:c>
      <x:c r="B768" s="25" t="str">
        <x:v>化圣雪原</x:v>
      </x:c>
      <x:c r="C768" s="25" t="str">
        <x:v>极端压力</x:v>
      </x:c>
      <x:c r="D768" s="25" t="n">
        <x:v>50</x:v>
      </x:c>
      <x:c r="E768" s="25" t="n">
        <x:v>83</x:v>
      </x:c>
      <x:c r="F768" s="25" t="str">
        <x:v>失乡戌狗</x:v>
      </x:c>
      <x:c r="G768" s="25" t="str">
        <x:v>生肖11</x:v>
      </x:c>
      <x:c r="H768" s="25" t="n">
        <x:v>2</x:v>
      </x:c>
      <x:c r="I768" s="25" t="str">
        <x:v>BOSS</x:v>
      </x:c>
      <x:c r="J768" s="25" t="str">
        <x:v>S02</x:v>
      </x:c>
      <x:c r="K768" s="25" t="str">
        <x:v>48-93</x:v>
      </x:c>
      <x:c r="L768" s="25" t="n">
        <x:v>79800</x:v>
      </x:c>
      <x:c r="M768" s="25" t="n">
        <x:v>0</x:v>
      </x:c>
      <x:c r="N768" s="25" t="str">
        <x:v>否</x:v>
      </x:c>
      <x:c r="O768" s="25" t="n">
        <x:v>0</x:v>
      </x:c>
      <x:c r="P768" s="25" t="n">
        <x:v>0</x:v>
      </x:c>
      <x:c r="Q768" s="25" t="n">
        <x:v>0</x:v>
      </x:c>
      <x:c r="R768" s="25" t="str">
        <x:v>洗练绑定装备；项链幸运绑定人物永久进度；武器幸运成本忽略</x:v>
      </x:c>
    </x:row>
    <x:row r="769">
      <x:c r="A769" s="25" t="str">
        <x:v>C07-X</x:v>
      </x:c>
      <x:c r="B769" s="25" t="str">
        <x:v>化圣雪原</x:v>
      </x:c>
      <x:c r="C769" s="25" t="str">
        <x:v>极端压力</x:v>
      </x:c>
      <x:c r="D769" s="25" t="n">
        <x:v>51</x:v>
      </x:c>
      <x:c r="E769" s="25" t="n">
        <x:v>84</x:v>
      </x:c>
      <x:c r="F769" s="25" t="str">
        <x:v>接肢亥猪</x:v>
      </x:c>
      <x:c r="G769" s="25" t="str">
        <x:v>生肖12</x:v>
      </x:c>
      <x:c r="H769" s="25" t="n">
        <x:v>2</x:v>
      </x:c>
      <x:c r="I769" s="25" t="str">
        <x:v>守关BOSS</x:v>
      </x:c>
      <x:c r="J769" s="25" t="str">
        <x:v>S02</x:v>
      </x:c>
      <x:c r="K769" s="25" t="str">
        <x:v>55-106</x:v>
      </x:c>
      <x:c r="L769" s="25" t="n">
        <x:v>90800</x:v>
      </x:c>
      <x:c r="M769" s="25" t="n">
        <x:v>0</x:v>
      </x:c>
      <x:c r="N769" s="25" t="str">
        <x:v>否</x:v>
      </x:c>
      <x:c r="O769" s="25" t="n">
        <x:v>0</x:v>
      </x:c>
      <x:c r="P769" s="25" t="n">
        <x:v>0</x:v>
      </x:c>
      <x:c r="Q769" s="25" t="n">
        <x:v>0</x:v>
      </x:c>
      <x:c r="R769" s="25" t="str">
        <x:v>洗练绑定装备；项链幸运绑定人物永久进度；武器幸运成本忽略</x:v>
      </x:c>
    </x:row>
    <x:row r="770">
      <x:c r="A770" s="25" t="str">
        <x:v>C07-X</x:v>
      </x:c>
      <x:c r="B770" s="25" t="str">
        <x:v>化圣雪原</x:v>
      </x:c>
      <x:c r="C770" s="25" t="str">
        <x:v>极端压力</x:v>
      </x:c>
      <x:c r="D770" s="25" t="n">
        <x:v>70</x:v>
      </x:c>
      <x:c r="E770" s="25" t="n">
        <x:v>170</x:v>
      </x:c>
      <x:c r="F770" s="25" t="str">
        <x:v>闭潮秘饰</x:v>
      </x:c>
      <x:c r="G770" s="25" t="str">
        <x:v>时装首饰盒</x:v>
      </x:c>
      <x:c r="H770" s="25" t="n">
        <x:v>4</x:v>
      </x:c>
      <x:c r="I770" s="25" t="str">
        <x:v>装备合成</x:v>
      </x:c>
      <x:c r="J770" s="25" t="str">
        <x:v>S07</x:v>
      </x:c>
      <x:c r="K770" s="25" t="str">
        <x:v>230-450</x:v>
      </x:c>
      <x:c r="L770" s="25" t="n">
        <x:v>460000</x:v>
      </x:c>
      <x:c r="M770" s="25" t="n">
        <x:v>0</x:v>
      </x:c>
      <x:c r="N770" s="25" t="str">
        <x:v>否</x:v>
      </x:c>
      <x:c r="O770" s="25" t="n">
        <x:v>0</x:v>
      </x:c>
      <x:c r="P770" s="25" t="n">
        <x:v>0</x:v>
      </x:c>
      <x:c r="Q770" s="25" t="n">
        <x:v>0</x:v>
      </x:c>
      <x:c r="R770" s="25" t="str">
        <x:v>洗练绑定装备；项链幸运绑定人物永久进度；武器幸运成本忽略</x:v>
      </x:c>
    </x:row>
    <x:row r="771">
      <x:c r="A771" s="25" t="str">
        <x:v>C08-E</x:v>
      </x:c>
      <x:c r="B771" s="25" t="str">
        <x:v>巨人山顶</x:v>
      </x:c>
      <x:c r="C771" s="25" t="str">
        <x:v>半急速入场</x:v>
      </x:c>
      <x:c r="D771" s="25" t="n">
        <x:v>0</x:v>
      </x:c>
      <x:c r="E771" s="25" t="n">
        <x:v>142</x:v>
      </x:c>
      <x:c r="F771" s="25" t="str">
        <x:v>逆页导师长衣</x:v>
      </x:c>
      <x:c r="G771" s="25" t="str">
        <x:v>衣服</x:v>
      </x:c>
      <x:c r="H771" s="25" t="n">
        <x:v>5</x:v>
      </x:c>
      <x:c r="I771" s="25" t="str">
        <x:v>地图BOSS</x:v>
      </x:c>
      <x:c r="J771" s="25" t="str">
        <x:v>S07</x:v>
      </x:c>
      <x:c r="K771" s="25" t="str">
        <x:v>280-530</x:v>
      </x:c>
      <x:c r="L771" s="25" t="n">
        <x:v>1200000</x:v>
      </x:c>
      <x:c r="M771" s="25" t="n">
        <x:v>4</x:v>
      </x:c>
      <x:c r="N771" s="25" t="str">
        <x:v>否</x:v>
      </x:c>
      <x:c r="O771" s="25" t="n">
        <x:v>0</x:v>
      </x:c>
      <x:c r="P771" s="25" t="n">
        <x:v>0</x:v>
      </x:c>
      <x:c r="Q771" s="25" t="n">
        <x:v>0</x:v>
      </x:c>
      <x:c r="R771" s="25" t="str">
        <x:v>洗练绑定装备；项链幸运绑定人物永久进度；武器幸运成本忽略</x:v>
      </x:c>
    </x:row>
    <x:row r="772">
      <x:c r="A772" s="25" t="str">
        <x:v>C08-E</x:v>
      </x:c>
      <x:c r="B772" s="25" t="str">
        <x:v>巨人山顶</x:v>
      </x:c>
      <x:c r="C772" s="25" t="str">
        <x:v>半急速入场</x:v>
      </x:c>
      <x:c r="D772" s="25" t="n">
        <x:v>1</x:v>
      </x:c>
      <x:c r="E772" s="25" t="n">
        <x:v>128</x:v>
      </x:c>
      <x:c r="F772" s="25" t="str">
        <x:v>卡利亚月裁长刃</x:v>
      </x:c>
      <x:c r="G772" s="25" t="str">
        <x:v>武器</x:v>
      </x:c>
      <x:c r="H772" s="25" t="n">
        <x:v>5</x:v>
      </x:c>
      <x:c r="I772" s="25" t="str">
        <x:v>装备合成</x:v>
      </x:c>
      <x:c r="J772" s="25" t="str">
        <x:v>S07</x:v>
      </x:c>
      <x:c r="K772" s="25" t="str">
        <x:v>4200-8000</x:v>
      </x:c>
      <x:c r="L772" s="25" t="n">
        <x:v>480000</x:v>
      </x:c>
      <x:c r="M772" s="25" t="n">
        <x:v>2</x:v>
      </x:c>
      <x:c r="N772" s="25" t="str">
        <x:v>否</x:v>
      </x:c>
      <x:c r="O772" s="25" t="n">
        <x:v>7</x:v>
      </x:c>
      <x:c r="P772" s="25" t="n">
        <x:v>0</x:v>
      </x:c>
      <x:c r="Q772" s="25" t="n">
        <x:v>0</x:v>
      </x:c>
      <x:c r="R772" s="25" t="str">
        <x:v>洗练绑定装备；项链幸运绑定人物永久进度；武器幸运成本忽略</x:v>
      </x:c>
    </x:row>
    <x:row r="773">
      <x:c r="A773" s="25" t="str">
        <x:v>C08-E</x:v>
      </x:c>
      <x:c r="B773" s="25" t="str">
        <x:v>巨人山顶</x:v>
      </x:c>
      <x:c r="C773" s="25" t="str">
        <x:v>半急速入场</x:v>
      </x:c>
      <x:c r="D773" s="25" t="n">
        <x:v>2</x:v>
      </x:c>
      <x:c r="E773" s="25" t="n">
        <x:v>144</x:v>
      </x:c>
      <x:c r="F773" s="25" t="str">
        <x:v>灰烬裁印</x:v>
      </x:c>
      <x:c r="G773" s="25" t="str">
        <x:v>勋章</x:v>
      </x:c>
      <x:c r="H773" s="25" t="n">
        <x:v>6</x:v>
      </x:c>
      <x:c r="I773" s="25" t="str">
        <x:v>稀有</x:v>
      </x:c>
      <x:c r="J773" s="25" t="str">
        <x:v>S07</x:v>
      </x:c>
      <x:c r="K773" s="25" t="str">
        <x:v>350-680</x:v>
      </x:c>
      <x:c r="L773" s="25" t="n">
        <x:v>370000</x:v>
      </x:c>
      <x:c r="M773" s="25" t="n">
        <x:v>0</x:v>
      </x:c>
      <x:c r="N773" s="25" t="str">
        <x:v>否</x:v>
      </x:c>
      <x:c r="O773" s="25" t="n">
        <x:v>0</x:v>
      </x:c>
      <x:c r="P773" s="25" t="n">
        <x:v>0</x:v>
      </x:c>
      <x:c r="Q773" s="25" t="n">
        <x:v>0</x:v>
      </x:c>
      <x:c r="R773" s="25" t="str">
        <x:v>洗练绑定装备；项链幸运绑定人物永久进度；武器幸运成本忽略</x:v>
      </x:c>
    </x:row>
    <x:row r="774">
      <x:c r="A774" s="25" t="str">
        <x:v>C08-E</x:v>
      </x:c>
      <x:c r="B774" s="25" t="str">
        <x:v>巨人山顶</x:v>
      </x:c>
      <x:c r="C774" s="25" t="str">
        <x:v>半急速入场</x:v>
      </x:c>
      <x:c r="D774" s="25" t="n">
        <x:v>3</x:v>
      </x:c>
      <x:c r="E774" s="25" t="n">
        <x:v>143</x:v>
      </x:c>
      <x:c r="F774" s="25" t="str">
        <x:v>腐狱铁链</x:v>
      </x:c>
      <x:c r="G774" s="25" t="str">
        <x:v>项链</x:v>
      </x:c>
      <x:c r="H774" s="25" t="n">
        <x:v>6</x:v>
      </x:c>
      <x:c r="I774" s="25" t="str">
        <x:v>普通</x:v>
      </x:c>
      <x:c r="J774" s="25" t="str">
        <x:v>S07</x:v>
      </x:c>
      <x:c r="K774" s="25" t="str">
        <x:v>280-530</x:v>
      </x:c>
      <x:c r="L774" s="25" t="n">
        <x:v>230000</x:v>
      </x:c>
      <x:c r="M774" s="25" t="n">
        <x:v>4</x:v>
      </x:c>
      <x:c r="N774" s="25" t="str">
        <x:v>否</x:v>
      </x:c>
      <x:c r="O774" s="25" t="n">
        <x:v>0</x:v>
      </x:c>
      <x:c r="P774" s="25" t="n">
        <x:v>0</x:v>
      </x:c>
      <x:c r="Q774" s="25" t="n">
        <x:v>0</x:v>
      </x:c>
      <x:c r="R774" s="25" t="str">
        <x:v>洗练绑定装备；项链幸运绑定人物永久进度；武器幸运成本忽略</x:v>
      </x:c>
    </x:row>
    <x:row r="775">
      <x:c r="A775" s="25" t="str">
        <x:v>C08-E</x:v>
      </x:c>
      <x:c r="B775" s="25" t="str">
        <x:v>巨人山顶</x:v>
      </x:c>
      <x:c r="C775" s="25" t="str">
        <x:v>半急速入场</x:v>
      </x:c>
      <x:c r="D775" s="25" t="n">
        <x:v>4</x:v>
      </x:c>
      <x:c r="E775" s="25" t="n">
        <x:v>145</x:v>
      </x:c>
      <x:c r="F775" s="25" t="str">
        <x:v>凝霜乐师冠</x:v>
      </x:c>
      <x:c r="G775" s="25" t="str">
        <x:v>头盔</x:v>
      </x:c>
      <x:c r="H775" s="25" t="n">
        <x:v>5</x:v>
      </x:c>
      <x:c r="I775" s="25" t="str">
        <x:v>稀有</x:v>
      </x:c>
      <x:c r="J775" s="25" t="str">
        <x:v>S07</x:v>
      </x:c>
      <x:c r="K775" s="25" t="str">
        <x:v>200-380</x:v>
      </x:c>
      <x:c r="L775" s="25" t="n">
        <x:v>400000</x:v>
      </x:c>
      <x:c r="M775" s="25" t="n">
        <x:v>3</x:v>
      </x:c>
      <x:c r="N775" s="25" t="str">
        <x:v>否</x:v>
      </x:c>
      <x:c r="O775" s="25" t="n">
        <x:v>0</x:v>
      </x:c>
      <x:c r="P775" s="25" t="n">
        <x:v>0</x:v>
      </x:c>
      <x:c r="Q775" s="25" t="n">
        <x:v>0</x:v>
      </x:c>
      <x:c r="R775" s="25" t="str">
        <x:v>洗练绑定装备；项链幸运绑定人物永久进度；武器幸运成本忽略</x:v>
      </x:c>
    </x:row>
    <x:row r="776">
      <x:c r="A776" s="25" t="str">
        <x:v>C08-E</x:v>
      </x:c>
      <x:c r="B776" s="25" t="str">
        <x:v>巨人山顶</x:v>
      </x:c>
      <x:c r="C776" s="25" t="str">
        <x:v>半急速入场</x:v>
      </x:c>
      <x:c r="D776" s="25" t="n">
        <x:v>5</x:v>
      </x:c>
      <x:c r="E776" s="25" t="n">
        <x:v>113</x:v>
      </x:c>
      <x:c r="F776" s="25" t="str">
        <x:v>百指腕甲</x:v>
      </x:c>
      <x:c r="G776" s="25" t="str">
        <x:v>手镯</x:v>
      </x:c>
      <x:c r="H776" s="25" t="n">
        <x:v>2</x:v>
      </x:c>
      <x:c r="I776" s="25" t="str">
        <x:v>普通</x:v>
      </x:c>
      <x:c r="J776" s="25" t="str">
        <x:v>S02</x:v>
      </x:c>
      <x:c r="K776" s="25" t="str">
        <x:v>69-132</x:v>
      </x:c>
      <x:c r="L776" s="25" t="n">
        <x:v>53200</x:v>
      </x:c>
      <x:c r="M776" s="25" t="n">
        <x:v>2</x:v>
      </x:c>
      <x:c r="N776" s="25" t="str">
        <x:v>否</x:v>
      </x:c>
      <x:c r="O776" s="25" t="n">
        <x:v>0</x:v>
      </x:c>
      <x:c r="P776" s="25" t="n">
        <x:v>0</x:v>
      </x:c>
      <x:c r="Q776" s="25" t="n">
        <x:v>0</x:v>
      </x:c>
      <x:c r="R776" s="25" t="str">
        <x:v>洗练绑定装备；项链幸运绑定人物永久进度；武器幸运成本忽略</x:v>
      </x:c>
    </x:row>
    <x:row r="777">
      <x:c r="A777" s="25" t="str">
        <x:v>C08-E</x:v>
      </x:c>
      <x:c r="B777" s="25" t="str">
        <x:v>巨人山顶</x:v>
      </x:c>
      <x:c r="C777" s="25" t="str">
        <x:v>半急速入场</x:v>
      </x:c>
      <x:c r="D777" s="25" t="n">
        <x:v>6</x:v>
      </x:c>
      <x:c r="E777" s="25" t="n">
        <x:v>68</x:v>
      </x:c>
      <x:c r="F777" s="25" t="str">
        <x:v>百指接肢腕</x:v>
      </x:c>
      <x:c r="G777" s="25" t="str">
        <x:v>手镯</x:v>
      </x:c>
      <x:c r="H777" s="25" t="n">
        <x:v>2</x:v>
      </x:c>
      <x:c r="I777" s="25" t="str">
        <x:v>装备合成</x:v>
      </x:c>
      <x:c r="J777" s="25" t="str">
        <x:v>S07</x:v>
      </x:c>
      <x:c r="K777" s="25" t="str">
        <x:v>110-210</x:v>
      </x:c>
      <x:c r="L777" s="25" t="n">
        <x:v>85000</x:v>
      </x:c>
      <x:c r="M777" s="25" t="n">
        <x:v>5</x:v>
      </x:c>
      <x:c r="N777" s="25" t="str">
        <x:v>否</x:v>
      </x:c>
      <x:c r="O777" s="25" t="n">
        <x:v>0</x:v>
      </x:c>
      <x:c r="P777" s="25" t="n">
        <x:v>0</x:v>
      </x:c>
      <x:c r="Q777" s="25" t="n">
        <x:v>0</x:v>
      </x:c>
      <x:c r="R777" s="25" t="str">
        <x:v>洗练绑定装备；项链幸运绑定人物永久进度；武器幸运成本忽略</x:v>
      </x:c>
    </x:row>
    <x:row r="778">
      <x:c r="A778" s="25" t="str">
        <x:v>C08-E</x:v>
      </x:c>
      <x:c r="B778" s="25" t="str">
        <x:v>巨人山顶</x:v>
      </x:c>
      <x:c r="C778" s="25" t="str">
        <x:v>半急速入场</x:v>
      </x:c>
      <x:c r="D778" s="25" t="n">
        <x:v>7</x:v>
      </x:c>
      <x:c r="E778" s="25" t="n">
        <x:v>111</x:v>
      </x:c>
      <x:c r="F778" s="25" t="str">
        <x:v>蓝焰祷戒</x:v>
      </x:c>
      <x:c r="G778" s="25" t="str">
        <x:v>戒指</x:v>
      </x:c>
      <x:c r="H778" s="25" t="n">
        <x:v>4</x:v>
      </x:c>
      <x:c r="I778" s="25" t="str">
        <x:v>稀有</x:v>
      </x:c>
      <x:c r="J778" s="25" t="str">
        <x:v>S07</x:v>
      </x:c>
      <x:c r="K778" s="25" t="str">
        <x:v>150-280</x:v>
      </x:c>
      <x:c r="L778" s="25" t="n">
        <x:v>110000</x:v>
      </x:c>
      <x:c r="M778" s="25" t="n">
        <x:v>5</x:v>
      </x:c>
      <x:c r="N778" s="25" t="str">
        <x:v>否</x:v>
      </x:c>
      <x:c r="O778" s="25" t="n">
        <x:v>0</x:v>
      </x:c>
      <x:c r="P778" s="25" t="n">
        <x:v>0</x:v>
      </x:c>
      <x:c r="Q778" s="25" t="n">
        <x:v>0</x:v>
      </x:c>
      <x:c r="R778" s="25" t="str">
        <x:v>洗练绑定装备；项链幸运绑定人物永久进度；武器幸运成本忽略</x:v>
      </x:c>
    </x:row>
    <x:row r="779">
      <x:c r="A779" s="25" t="str">
        <x:v>C08-E</x:v>
      </x:c>
      <x:c r="B779" s="25" t="str">
        <x:v>巨人山顶</x:v>
      </x:c>
      <x:c r="C779" s="25" t="str">
        <x:v>半急速入场</x:v>
      </x:c>
      <x:c r="D779" s="25" t="n">
        <x:v>8</x:v>
      </x:c>
      <x:c r="E779" s="25" t="n">
        <x:v>118</x:v>
      </x:c>
      <x:c r="F779" s="25" t="str">
        <x:v>月渊秘戒</x:v>
      </x:c>
      <x:c r="G779" s="25" t="str">
        <x:v>戒指</x:v>
      </x:c>
      <x:c r="H779" s="25" t="n">
        <x:v>4</x:v>
      </x:c>
      <x:c r="I779" s="25" t="str">
        <x:v>装备合成</x:v>
      </x:c>
      <x:c r="J779" s="25" t="str">
        <x:v>S07</x:v>
      </x:c>
      <x:c r="K779" s="25" t="str">
        <x:v>350-670</x:v>
      </x:c>
      <x:c r="L779" s="25" t="n">
        <x:v>270000</x:v>
      </x:c>
      <x:c r="M779" s="25" t="n">
        <x:v>6</x:v>
      </x:c>
      <x:c r="N779" s="25" t="str">
        <x:v>否</x:v>
      </x:c>
      <x:c r="O779" s="25" t="n">
        <x:v>0</x:v>
      </x:c>
      <x:c r="P779" s="25" t="n">
        <x:v>0</x:v>
      </x:c>
      <x:c r="Q779" s="25" t="n">
        <x:v>0</x:v>
      </x:c>
      <x:c r="R779" s="25" t="str">
        <x:v>洗练绑定装备；项链幸运绑定人物永久进度；武器幸运成本忽略</x:v>
      </x:c>
    </x:row>
    <x:row r="780">
      <x:c r="A780" s="25" t="str">
        <x:v>C08-E</x:v>
      </x:c>
      <x:c r="B780" s="25" t="str">
        <x:v>巨人山顶</x:v>
      </x:c>
      <x:c r="C780" s="25" t="str">
        <x:v>半急速入场</x:v>
      </x:c>
      <x:c r="D780" s="25" t="n">
        <x:v>10</x:v>
      </x:c>
      <x:c r="E780" s="25" t="n">
        <x:v>123</x:v>
      </x:c>
      <x:c r="F780" s="25" t="str">
        <x:v>汲月雾绦</x:v>
      </x:c>
      <x:c r="G780" s="25" t="str">
        <x:v>腰带</x:v>
      </x:c>
      <x:c r="H780" s="25" t="n">
        <x:v>5</x:v>
      </x:c>
      <x:c r="I780" s="25" t="str">
        <x:v>稀有</x:v>
      </x:c>
      <x:c r="J780" s="25" t="str">
        <x:v>S07</x:v>
      </x:c>
      <x:c r="K780" s="25" t="str">
        <x:v>150-280</x:v>
      </x:c>
      <x:c r="L780" s="25" t="n">
        <x:v>240000</x:v>
      </x:c>
      <x:c r="M780" s="25" t="n">
        <x:v>5</x:v>
      </x:c>
      <x:c r="N780" s="25" t="str">
        <x:v>否</x:v>
      </x:c>
      <x:c r="O780" s="25" t="n">
        <x:v>0</x:v>
      </x:c>
      <x:c r="P780" s="25" t="n">
        <x:v>0</x:v>
      </x:c>
      <x:c r="Q780" s="25" t="n">
        <x:v>0</x:v>
      </x:c>
      <x:c r="R780" s="25" t="str">
        <x:v>洗练绑定装备；项链幸运绑定人物永久进度；武器幸运成本忽略</x:v>
      </x:c>
    </x:row>
    <x:row r="781">
      <x:c r="A781" s="25" t="str">
        <x:v>C08-E</x:v>
      </x:c>
      <x:c r="B781" s="25" t="str">
        <x:v>巨人山顶</x:v>
      </x:c>
      <x:c r="C781" s="25" t="str">
        <x:v>半急速入场</x:v>
      </x:c>
      <x:c r="D781" s="25" t="n">
        <x:v>11</x:v>
      </x:c>
      <x:c r="E781" s="25" t="n">
        <x:v>94</x:v>
      </x:c>
      <x:c r="F781" s="25" t="str">
        <x:v>逐风征靴</x:v>
      </x:c>
      <x:c r="G781" s="25" t="str">
        <x:v>鞋子</x:v>
      </x:c>
      <x:c r="H781" s="25" t="n">
        <x:v>3</x:v>
      </x:c>
      <x:c r="I781" s="25" t="str">
        <x:v>装备合成</x:v>
      </x:c>
      <x:c r="J781" s="25" t="str">
        <x:v>S07</x:v>
      </x:c>
      <x:c r="K781" s="25" t="str">
        <x:v>100-200</x:v>
      </x:c>
      <x:c r="L781" s="25" t="n">
        <x:v>150000</x:v>
      </x:c>
      <x:c r="M781" s="25" t="n">
        <x:v>3</x:v>
      </x:c>
      <x:c r="N781" s="25" t="str">
        <x:v>否</x:v>
      </x:c>
      <x:c r="O781" s="25" t="n">
        <x:v>0</x:v>
      </x:c>
      <x:c r="P781" s="25" t="n">
        <x:v>0</x:v>
      </x:c>
      <x:c r="Q781" s="25" t="n">
        <x:v>0</x:v>
      </x:c>
      <x:c r="R781" s="25" t="str">
        <x:v>洗练绑定装备；项链幸运绑定人物永久进度；武器幸运成本忽略</x:v>
      </x:c>
    </x:row>
    <x:row r="782">
      <x:c r="A782" s="25" t="str">
        <x:v>C08-E</x:v>
      </x:c>
      <x:c r="B782" s="25" t="str">
        <x:v>巨人山顶</x:v>
      </x:c>
      <x:c r="C782" s="25" t="str">
        <x:v>半急速入场</x:v>
      </x:c>
      <x:c r="D782" s="25" t="n">
        <x:v>13</x:v>
      </x:c>
      <x:c r="E782" s="25" t="n">
        <x:v>135</x:v>
      </x:c>
      <x:c r="F782" s="25" t="str">
        <x:v>回声盗墓笠</x:v>
      </x:c>
      <x:c r="G782" s="25" t="str">
        <x:v>斗笠</x:v>
      </x:c>
      <x:c r="H782" s="25" t="n">
        <x:v>4</x:v>
      </x:c>
      <x:c r="I782" s="25" t="str">
        <x:v>稀有</x:v>
      </x:c>
      <x:c r="J782" s="25" t="str">
        <x:v>S07</x:v>
      </x:c>
      <x:c r="K782" s="25" t="str">
        <x:v>83-160</x:v>
      </x:c>
      <x:c r="L782" s="25" t="n">
        <x:v>100000</x:v>
      </x:c>
      <x:c r="M782" s="25" t="n">
        <x:v>0</x:v>
      </x:c>
      <x:c r="N782" s="25" t="str">
        <x:v>否</x:v>
      </x:c>
      <x:c r="O782" s="25" t="n">
        <x:v>0</x:v>
      </x:c>
      <x:c r="P782" s="25" t="n">
        <x:v>0</x:v>
      </x:c>
      <x:c r="Q782" s="25" t="n">
        <x:v>0</x:v>
      </x:c>
      <x:c r="R782" s="25" t="str">
        <x:v>洗练绑定装备；项链幸运绑定人物永久进度；武器幸运成本忽略</x:v>
      </x:c>
    </x:row>
    <x:row r="783">
      <x:c r="A783" s="25" t="str">
        <x:v>C08-E</x:v>
      </x:c>
      <x:c r="B783" s="25" t="str">
        <x:v>巨人山顶</x:v>
      </x:c>
      <x:c r="C783" s="25" t="str">
        <x:v>半急速入场</x:v>
      </x:c>
      <x:c r="D783" s="25" t="n">
        <x:v>16</x:v>
      </x:c>
      <x:c r="E783" s="25" t="n">
        <x:v>146</x:v>
      </x:c>
      <x:c r="F783" s="25" t="str">
        <x:v>折月傀镜盾</x:v>
      </x:c>
      <x:c r="G783" s="25" t="str">
        <x:v>盾牌</x:v>
      </x:c>
      <x:c r="H783" s="25" t="n">
        <x:v>5</x:v>
      </x:c>
      <x:c r="I783" s="25" t="str">
        <x:v>普通</x:v>
      </x:c>
      <x:c r="J783" s="25" t="str">
        <x:v>S07</x:v>
      </x:c>
      <x:c r="K783" s="25" t="str">
        <x:v>150-290</x:v>
      </x:c>
      <x:c r="L783" s="25" t="n">
        <x:v>410000</x:v>
      </x:c>
      <x:c r="M783" s="25" t="n">
        <x:v>0</x:v>
      </x:c>
      <x:c r="N783" s="25" t="str">
        <x:v>否</x:v>
      </x:c>
      <x:c r="O783" s="25" t="n">
        <x:v>0</x:v>
      </x:c>
      <x:c r="P783" s="25" t="n">
        <x:v>0</x:v>
      </x:c>
      <x:c r="Q783" s="25" t="n">
        <x:v>0</x:v>
      </x:c>
      <x:c r="R783" s="25" t="str">
        <x:v>洗练绑定装备；项链幸运绑定人物永久进度；武器幸运成本忽略</x:v>
      </x:c>
    </x:row>
    <x:row r="784">
      <x:c r="A784" s="25" t="str">
        <x:v>C08-E</x:v>
      </x:c>
      <x:c r="B784" s="25" t="str">
        <x:v>巨人山顶</x:v>
      </x:c>
      <x:c r="C784" s="25" t="str">
        <x:v>半急速入场</x:v>
      </x:c>
      <x:c r="D784" s="25" t="n">
        <x:v>18</x:v>
      </x:c>
      <x:c r="E784" s="25" t="n">
        <x:v>137</x:v>
      </x:c>
      <x:c r="F784" s="25" t="str">
        <x:v>红狮余烬王衣</x:v>
      </x:c>
      <x:c r="G784" s="25" t="str">
        <x:v>时装衣服</x:v>
      </x:c>
      <x:c r="H784" s="25" t="n">
        <x:v>6</x:v>
      </x:c>
      <x:c r="I784" s="25" t="str">
        <x:v>装备合成</x:v>
      </x:c>
      <x:c r="J784" s="25" t="str">
        <x:v>S07</x:v>
      </x:c>
      <x:c r="K784" s="25" t="str">
        <x:v>780-1500</x:v>
      </x:c>
      <x:c r="L784" s="25" t="n">
        <x:v>5100000</x:v>
      </x:c>
      <x:c r="M784" s="25" t="n">
        <x:v>0</x:v>
      </x:c>
      <x:c r="N784" s="25" t="str">
        <x:v>否</x:v>
      </x:c>
      <x:c r="O784" s="25" t="n">
        <x:v>0</x:v>
      </x:c>
      <x:c r="P784" s="25" t="n">
        <x:v>0</x:v>
      </x:c>
      <x:c r="Q784" s="25" t="n">
        <x:v>0</x:v>
      </x:c>
      <x:c r="R784" s="25" t="str">
        <x:v>洗练绑定装备；项链幸运绑定人物永久进度；武器幸运成本忽略</x:v>
      </x:c>
    </x:row>
    <x:row r="785">
      <x:c r="A785" s="25" t="str">
        <x:v>C08-E</x:v>
      </x:c>
      <x:c r="B785" s="25" t="str">
        <x:v>巨人山顶</x:v>
      </x:c>
      <x:c r="C785" s="25" t="str">
        <x:v>半急速入场</x:v>
      </x:c>
      <x:c r="D785" s="25" t="n">
        <x:v>19</x:v>
      </x:c>
      <x:c r="E785" s="25" t="n">
        <x:v>147</x:v>
      </x:c>
      <x:c r="F785" s="25" t="str">
        <x:v>永霜白金刃</x:v>
      </x:c>
      <x:c r="G785" s="25" t="str">
        <x:v>时装武器</x:v>
      </x:c>
      <x:c r="H785" s="25" t="n">
        <x:v>7</x:v>
      </x:c>
      <x:c r="I785" s="25" t="str">
        <x:v>装备合成</x:v>
      </x:c>
      <x:c r="J785" s="25" t="str">
        <x:v>S07</x:v>
      </x:c>
      <x:c r="K785" s="25" t="str">
        <x:v>4800-9200</x:v>
      </x:c>
      <x:c r="L785" s="25" t="n">
        <x:v>1700000</x:v>
      </x:c>
      <x:c r="M785" s="25" t="n">
        <x:v>0</x:v>
      </x:c>
      <x:c r="N785" s="25" t="str">
        <x:v>否</x:v>
      </x:c>
      <x:c r="O785" s="25" t="n">
        <x:v>0</x:v>
      </x:c>
      <x:c r="P785" s="25" t="n">
        <x:v>0</x:v>
      </x:c>
      <x:c r="Q785" s="25" t="n">
        <x:v>0</x:v>
      </x:c>
      <x:c r="R785" s="25" t="str">
        <x:v>洗练绑定装备；项链幸运绑定人物永久进度；武器幸运成本忽略</x:v>
      </x:c>
    </x:row>
    <x:row r="786">
      <x:c r="A786" s="25" t="str">
        <x:v>C08-E</x:v>
      </x:c>
      <x:c r="B786" s="25" t="str">
        <x:v>巨人山顶</x:v>
      </x:c>
      <x:c r="C786" s="25" t="str">
        <x:v>半急速入场</x:v>
      </x:c>
      <x:c r="D786" s="25" t="n">
        <x:v>20</x:v>
      </x:c>
      <x:c r="E786" s="25" t="n">
        <x:v>40</x:v>
      </x:c>
      <x:c r="F786" s="25" t="str">
        <x:v>英雄余誓</x:v>
      </x:c>
      <x:c r="G786" s="25" t="str">
        <x:v>时装项链</x:v>
      </x:c>
      <x:c r="H786" s="25" t="n">
        <x:v>2</x:v>
      </x:c>
      <x:c r="I786" s="25" t="str">
        <x:v>稀有</x:v>
      </x:c>
      <x:c r="J786" s="25" t="str">
        <x:v>S02</x:v>
      </x:c>
      <x:c r="K786" s="25" t="str">
        <x:v>31-60</x:v>
      </x:c>
      <x:c r="L786" s="25" t="n">
        <x:v>17900</x:v>
      </x:c>
      <x:c r="M786" s="25" t="n">
        <x:v>0</x:v>
      </x:c>
      <x:c r="N786" s="25" t="str">
        <x:v>否</x:v>
      </x:c>
      <x:c r="O786" s="25" t="n">
        <x:v>0</x:v>
      </x:c>
      <x:c r="P786" s="25" t="n">
        <x:v>0</x:v>
      </x:c>
      <x:c r="Q786" s="25" t="n">
        <x:v>0</x:v>
      </x:c>
      <x:c r="R786" s="25" t="str">
        <x:v>洗练绑定装备；项链幸运绑定人物永久进度；武器幸运成本忽略</x:v>
      </x:c>
    </x:row>
    <x:row r="787">
      <x:c r="A787" s="25" t="str">
        <x:v>C08-E</x:v>
      </x:c>
      <x:c r="B787" s="25" t="str">
        <x:v>巨人山顶</x:v>
      </x:c>
      <x:c r="C787" s="25" t="str">
        <x:v>半急速入场</x:v>
      </x:c>
      <x:c r="D787" s="25" t="n">
        <x:v>21</x:v>
      </x:c>
      <x:c r="E787" s="25" t="n">
        <x:v>41</x:v>
      </x:c>
      <x:c r="F787" s="25" t="str">
        <x:v>初火兜鍪</x:v>
      </x:c>
      <x:c r="G787" s="25" t="str">
        <x:v>时装头盔</x:v>
      </x:c>
      <x:c r="H787" s="25" t="n">
        <x:v>2</x:v>
      </x:c>
      <x:c r="I787" s="25" t="str">
        <x:v>稀有</x:v>
      </x:c>
      <x:c r="J787" s="25" t="str">
        <x:v>S02</x:v>
      </x:c>
      <x:c r="K787" s="25" t="str">
        <x:v>22-42</x:v>
      </x:c>
      <x:c r="L787" s="25" t="n">
        <x:v>30900</x:v>
      </x:c>
      <x:c r="M787" s="25" t="n">
        <x:v>0</x:v>
      </x:c>
      <x:c r="N787" s="25" t="str">
        <x:v>否</x:v>
      </x:c>
      <x:c r="O787" s="25" t="n">
        <x:v>0</x:v>
      </x:c>
      <x:c r="P787" s="25" t="n">
        <x:v>0</x:v>
      </x:c>
      <x:c r="Q787" s="25" t="n">
        <x:v>0</x:v>
      </x:c>
      <x:c r="R787" s="25" t="str">
        <x:v>洗练绑定装备；项链幸运绑定人物永久进度；武器幸运成本忽略</x:v>
      </x:c>
    </x:row>
    <x:row r="788">
      <x:c r="A788" s="25" t="str">
        <x:v>C08-E</x:v>
      </x:c>
      <x:c r="B788" s="25" t="str">
        <x:v>巨人山顶</x:v>
      </x:c>
      <x:c r="C788" s="25" t="str">
        <x:v>半急速入场</x:v>
      </x:c>
      <x:c r="D788" s="25" t="n">
        <x:v>22</x:v>
      </x:c>
      <x:c r="E788" s="25" t="n">
        <x:v>42</x:v>
      </x:c>
      <x:c r="F788" s="25" t="str">
        <x:v>卢恩血镯</x:v>
      </x:c>
      <x:c r="G788" s="25" t="str">
        <x:v>时装手镯</x:v>
      </x:c>
      <x:c r="H788" s="25" t="n">
        <x:v>2</x:v>
      </x:c>
      <x:c r="I788" s="25" t="str">
        <x:v>稀有</x:v>
      </x:c>
      <x:c r="J788" s="25" t="str">
        <x:v>S02</x:v>
      </x:c>
      <x:c r="K788" s="25" t="str">
        <x:v>42-80</x:v>
      </x:c>
      <x:c r="L788" s="25" t="n">
        <x:v>34400</x:v>
      </x:c>
      <x:c r="M788" s="25" t="n">
        <x:v>0</x:v>
      </x:c>
      <x:c r="N788" s="25" t="str">
        <x:v>否</x:v>
      </x:c>
      <x:c r="O788" s="25" t="n">
        <x:v>0</x:v>
      </x:c>
      <x:c r="P788" s="25" t="n">
        <x:v>0</x:v>
      </x:c>
      <x:c r="Q788" s="25" t="n">
        <x:v>0</x:v>
      </x:c>
      <x:c r="R788" s="25" t="str">
        <x:v>洗练绑定装备；项链幸运绑定人物永久进度；武器幸运成本忽略</x:v>
      </x:c>
    </x:row>
    <x:row r="789">
      <x:c r="A789" s="25" t="str">
        <x:v>C08-E</x:v>
      </x:c>
      <x:c r="B789" s="25" t="str">
        <x:v>巨人山顶</x:v>
      </x:c>
      <x:c r="C789" s="25" t="str">
        <x:v>半急速入场</x:v>
      </x:c>
      <x:c r="D789" s="25" t="n">
        <x:v>24</x:v>
      </x:c>
      <x:c r="E789" s="25" t="n">
        <x:v>43</x:v>
      </x:c>
      <x:c r="F789" s="25" t="str">
        <x:v>黄金树戒</x:v>
      </x:c>
      <x:c r="G789" s="25" t="str">
        <x:v>时装戒指</x:v>
      </x:c>
      <x:c r="H789" s="25" t="n">
        <x:v>2</x:v>
      </x:c>
      <x:c r="I789" s="25" t="str">
        <x:v>稀有</x:v>
      </x:c>
      <x:c r="J789" s="25" t="str">
        <x:v>S02</x:v>
      </x:c>
      <x:c r="K789" s="25" t="str">
        <x:v>42-80</x:v>
      </x:c>
      <x:c r="L789" s="25" t="n">
        <x:v>34400</x:v>
      </x:c>
      <x:c r="M789" s="25" t="n">
        <x:v>0</x:v>
      </x:c>
      <x:c r="N789" s="25" t="str">
        <x:v>否</x:v>
      </x:c>
      <x:c r="O789" s="25" t="n">
        <x:v>0</x:v>
      </x:c>
      <x:c r="P789" s="25" t="n">
        <x:v>0</x:v>
      </x:c>
      <x:c r="Q789" s="25" t="n">
        <x:v>0</x:v>
      </x:c>
      <x:c r="R789" s="25" t="str">
        <x:v>洗练绑定装备；项链幸运绑定人物永久进度；武器幸运成本忽略</x:v>
      </x:c>
    </x:row>
    <x:row r="790">
      <x:c r="A790" s="25" t="str">
        <x:v>C08-E</x:v>
      </x:c>
      <x:c r="B790" s="25" t="str">
        <x:v>巨人山顶</x:v>
      </x:c>
      <x:c r="C790" s="25" t="str">
        <x:v>半急速入场</x:v>
      </x:c>
      <x:c r="D790" s="25" t="n">
        <x:v>40</x:v>
      </x:c>
      <x:c r="E790" s="25" t="n">
        <x:v>44</x:v>
      </x:c>
      <x:c r="F790" s="25" t="str">
        <x:v>腐树子鼠</x:v>
      </x:c>
      <x:c r="G790" s="25" t="str">
        <x:v>生肖1</x:v>
      </x:c>
      <x:c r="H790" s="25" t="n">
        <x:v>2</x:v>
      </x:c>
      <x:c r="I790" s="25" t="str">
        <x:v>BOSS</x:v>
      </x:c>
      <x:c r="J790" s="25" t="str">
        <x:v>S02</x:v>
      </x:c>
      <x:c r="K790" s="25" t="str">
        <x:v>29-56</x:v>
      </x:c>
      <x:c r="L790" s="25" t="n">
        <x:v>23600</x:v>
      </x:c>
      <x:c r="M790" s="25" t="n">
        <x:v>0</x:v>
      </x:c>
      <x:c r="N790" s="25" t="str">
        <x:v>否</x:v>
      </x:c>
      <x:c r="O790" s="25" t="n">
        <x:v>0</x:v>
      </x:c>
      <x:c r="P790" s="25" t="n">
        <x:v>0</x:v>
      </x:c>
      <x:c r="Q790" s="25" t="n">
        <x:v>0</x:v>
      </x:c>
      <x:c r="R790" s="25" t="str">
        <x:v>洗练绑定装备；项链幸运绑定人物永久进度；武器幸运成本忽略</x:v>
      </x:c>
    </x:row>
    <x:row r="791">
      <x:c r="A791" s="25" t="str">
        <x:v>C08-E</x:v>
      </x:c>
      <x:c r="B791" s="25" t="str">
        <x:v>巨人山顶</x:v>
      </x:c>
      <x:c r="C791" s="25" t="str">
        <x:v>半急速入场</x:v>
      </x:c>
      <x:c r="D791" s="25" t="n">
        <x:v>41</x:v>
      </x:c>
      <x:c r="E791" s="25" t="n">
        <x:v>69</x:v>
      </x:c>
      <x:c r="F791" s="25" t="str">
        <x:v>丑牛·风暴负山</x:v>
      </x:c>
      <x:c r="G791" s="25" t="str">
        <x:v>生肖2</x:v>
      </x:c>
      <x:c r="H791" s="25" t="n">
        <x:v>2</x:v>
      </x:c>
      <x:c r="I791" s="25" t="str">
        <x:v>生肖合成</x:v>
      </x:c>
      <x:c r="J791" s="25" t="str">
        <x:v>S07</x:v>
      </x:c>
      <x:c r="K791" s="25" t="str">
        <x:v>25-49</x:v>
      </x:c>
      <x:c r="L791" s="25" t="n">
        <x:v>64000</x:v>
      </x:c>
      <x:c r="M791" s="25" t="n">
        <x:v>0</x:v>
      </x:c>
      <x:c r="N791" s="25" t="str">
        <x:v>否</x:v>
      </x:c>
      <x:c r="O791" s="25" t="n">
        <x:v>0</x:v>
      </x:c>
      <x:c r="P791" s="25" t="n">
        <x:v>0</x:v>
      </x:c>
      <x:c r="Q791" s="25" t="n">
        <x:v>0</x:v>
      </x:c>
      <x:c r="R791" s="25" t="str">
        <x:v>洗练绑定装备；项链幸运绑定人物永久进度；武器幸运成本忽略</x:v>
      </x:c>
    </x:row>
    <x:row r="792">
      <x:c r="A792" s="25" t="str">
        <x:v>C08-E</x:v>
      </x:c>
      <x:c r="B792" s="25" t="str">
        <x:v>巨人山顶</x:v>
      </x:c>
      <x:c r="C792" s="25" t="str">
        <x:v>半急速入场</x:v>
      </x:c>
      <x:c r="D792" s="25" t="n">
        <x:v>42</x:v>
      </x:c>
      <x:c r="E792" s="25" t="n">
        <x:v>138</x:v>
      </x:c>
      <x:c r="F792" s="25" t="str">
        <x:v>寅虎·红狮焚原</x:v>
      </x:c>
      <x:c r="G792" s="25" t="str">
        <x:v>生肖3</x:v>
      </x:c>
      <x:c r="H792" s="25" t="n">
        <x:v>6</x:v>
      </x:c>
      <x:c r="I792" s="25" t="str">
        <x:v>生肖合成</x:v>
      </x:c>
      <x:c r="J792" s="25" t="str">
        <x:v>S07</x:v>
      </x:c>
      <x:c r="K792" s="25" t="str">
        <x:v>250-490</x:v>
      </x:c>
      <x:c r="L792" s="25" t="n">
        <x:v>640000</x:v>
      </x:c>
      <x:c r="M792" s="25" t="n">
        <x:v>0</x:v>
      </x:c>
      <x:c r="N792" s="25" t="str">
        <x:v>否</x:v>
      </x:c>
      <x:c r="O792" s="25" t="n">
        <x:v>0</x:v>
      </x:c>
      <x:c r="P792" s="25" t="n">
        <x:v>0</x:v>
      </x:c>
      <x:c r="Q792" s="25" t="n">
        <x:v>0</x:v>
      </x:c>
      <x:c r="R792" s="25" t="str">
        <x:v>洗练绑定装备；项链幸运绑定人物永久进度；武器幸运成本忽略</x:v>
      </x:c>
    </x:row>
    <x:row r="793">
      <x:c r="A793" s="25" t="str">
        <x:v>C08-E</x:v>
      </x:c>
      <x:c r="B793" s="25" t="str">
        <x:v>巨人山顶</x:v>
      </x:c>
      <x:c r="C793" s="25" t="str">
        <x:v>半急速入场</x:v>
      </x:c>
      <x:c r="D793" s="25" t="n">
        <x:v>43</x:v>
      </x:c>
      <x:c r="E793" s="25" t="n">
        <x:v>127</x:v>
      </x:c>
      <x:c r="F793" s="25" t="str">
        <x:v>卯兔·镜月折辉</x:v>
      </x:c>
      <x:c r="G793" s="25" t="str">
        <x:v>生肖4</x:v>
      </x:c>
      <x:c r="H793" s="25" t="n">
        <x:v>5</x:v>
      </x:c>
      <x:c r="I793" s="25" t="str">
        <x:v>生肖合成</x:v>
      </x:c>
      <x:c r="J793" s="25" t="str">
        <x:v>S07</x:v>
      </x:c>
      <x:c r="K793" s="25" t="str">
        <x:v>150-280</x:v>
      </x:c>
      <x:c r="L793" s="25" t="n">
        <x:v>360000</x:v>
      </x:c>
      <x:c r="M793" s="25" t="n">
        <x:v>0</x:v>
      </x:c>
      <x:c r="N793" s="25" t="str">
        <x:v>否</x:v>
      </x:c>
      <x:c r="O793" s="25" t="n">
        <x:v>0</x:v>
      </x:c>
      <x:c r="P793" s="25" t="n">
        <x:v>0</x:v>
      </x:c>
      <x:c r="Q793" s="25" t="n">
        <x:v>0</x:v>
      </x:c>
      <x:c r="R793" s="25" t="str">
        <x:v>洗练绑定装备；项链幸运绑定人物永久进度；武器幸运成本忽略</x:v>
      </x:c>
    </x:row>
    <x:row r="794">
      <x:c r="A794" s="25" t="str">
        <x:v>C08-E</x:v>
      </x:c>
      <x:c r="B794" s="25" t="str">
        <x:v>巨人山顶</x:v>
      </x:c>
      <x:c r="C794" s="25" t="str">
        <x:v>半急速入场</x:v>
      </x:c>
      <x:c r="D794" s="25" t="n">
        <x:v>44</x:v>
      </x:c>
      <x:c r="E794" s="25" t="n">
        <x:v>91</x:v>
      </x:c>
      <x:c r="F794" s="25" t="str">
        <x:v>辰龙·荒原逐风</x:v>
      </x:c>
      <x:c r="G794" s="25" t="str">
        <x:v>生肖5</x:v>
      </x:c>
      <x:c r="H794" s="25" t="n">
        <x:v>3</x:v>
      </x:c>
      <x:c r="I794" s="25" t="str">
        <x:v>生肖合成</x:v>
      </x:c>
      <x:c r="J794" s="25" t="str">
        <x:v>S07</x:v>
      </x:c>
      <x:c r="K794" s="25" t="str">
        <x:v>47-90</x:v>
      </x:c>
      <x:c r="L794" s="25" t="n">
        <x:v>120000</x:v>
      </x:c>
      <x:c r="M794" s="25" t="n">
        <x:v>0</x:v>
      </x:c>
      <x:c r="N794" s="25" t="str">
        <x:v>否</x:v>
      </x:c>
      <x:c r="O794" s="25" t="n">
        <x:v>0</x:v>
      </x:c>
      <x:c r="P794" s="25" t="n">
        <x:v>0</x:v>
      </x:c>
      <x:c r="Q794" s="25" t="n">
        <x:v>0</x:v>
      </x:c>
      <x:c r="R794" s="25" t="str">
        <x:v>洗练绑定装备；项链幸运绑定人物永久进度；武器幸运成本忽略</x:v>
      </x:c>
    </x:row>
    <x:row r="795">
      <x:c r="A795" s="25" t="str">
        <x:v>C08-E</x:v>
      </x:c>
      <x:c r="B795" s="25" t="str">
        <x:v>巨人山顶</x:v>
      </x:c>
      <x:c r="C795" s="25" t="str">
        <x:v>半急速入场</x:v>
      </x:c>
      <x:c r="D795" s="25" t="n">
        <x:v>45</x:v>
      </x:c>
      <x:c r="E795" s="25" t="n">
        <x:v>107</x:v>
      </x:c>
      <x:c r="F795" s="25" t="str">
        <x:v>巳蛇·沉潮缚月</x:v>
      </x:c>
      <x:c r="G795" s="25" t="str">
        <x:v>生肖6</x:v>
      </x:c>
      <x:c r="H795" s="25" t="n">
        <x:v>4</x:v>
      </x:c>
      <x:c r="I795" s="25" t="str">
        <x:v>生肖合成</x:v>
      </x:c>
      <x:c r="J795" s="25" t="str">
        <x:v>S07</x:v>
      </x:c>
      <x:c r="K795" s="25" t="str">
        <x:v>83-160</x:v>
      </x:c>
      <x:c r="L795" s="25" t="n">
        <x:v>200000</x:v>
      </x:c>
      <x:c r="M795" s="25" t="n">
        <x:v>0</x:v>
      </x:c>
      <x:c r="N795" s="25" t="str">
        <x:v>否</x:v>
      </x:c>
      <x:c r="O795" s="25" t="n">
        <x:v>0</x:v>
      </x:c>
      <x:c r="P795" s="25" t="n">
        <x:v>0</x:v>
      </x:c>
      <x:c r="Q795" s="25" t="n">
        <x:v>0</x:v>
      </x:c>
      <x:c r="R795" s="25" t="str">
        <x:v>洗练绑定装备；项链幸运绑定人物永久进度；武器幸运成本忽略</x:v>
      </x:c>
    </x:row>
    <x:row r="796">
      <x:c r="A796" s="25" t="str">
        <x:v>C08-E</x:v>
      </x:c>
      <x:c r="B796" s="25" t="str">
        <x:v>巨人山顶</x:v>
      </x:c>
      <x:c r="C796" s="25" t="str">
        <x:v>半急速入场</x:v>
      </x:c>
      <x:c r="D796" s="25" t="n">
        <x:v>46</x:v>
      </x:c>
      <x:c r="E796" s="25" t="n">
        <x:v>80</x:v>
      </x:c>
      <x:c r="F796" s="25" t="str">
        <x:v>死水午马</x:v>
      </x:c>
      <x:c r="G796" s="25" t="str">
        <x:v>生肖7</x:v>
      </x:c>
      <x:c r="H796" s="25" t="n">
        <x:v>2</x:v>
      </x:c>
      <x:c r="I796" s="25" t="str">
        <x:v>BOSS</x:v>
      </x:c>
      <x:c r="J796" s="25" t="str">
        <x:v>S02</x:v>
      </x:c>
      <x:c r="K796" s="25" t="str">
        <x:v>38-74</x:v>
      </x:c>
      <x:c r="L796" s="25" t="n">
        <x:v>45300</x:v>
      </x:c>
      <x:c r="M796" s="25" t="n">
        <x:v>0</x:v>
      </x:c>
      <x:c r="N796" s="25" t="str">
        <x:v>否</x:v>
      </x:c>
      <x:c r="O796" s="25" t="n">
        <x:v>0</x:v>
      </x:c>
      <x:c r="P796" s="25" t="n">
        <x:v>0</x:v>
      </x:c>
      <x:c r="Q796" s="25" t="n">
        <x:v>0</x:v>
      </x:c>
      <x:c r="R796" s="25" t="str">
        <x:v>洗练绑定装备；项链幸运绑定人物永久进度；武器幸运成本忽略</x:v>
      </x:c>
    </x:row>
    <x:row r="797">
      <x:c r="A797" s="25" t="str">
        <x:v>C08-E</x:v>
      </x:c>
      <x:c r="B797" s="25" t="str">
        <x:v>巨人山顶</x:v>
      </x:c>
      <x:c r="C797" s="25" t="str">
        <x:v>半急速入场</x:v>
      </x:c>
      <x:c r="D797" s="25" t="n">
        <x:v>47</x:v>
      </x:c>
      <x:c r="E797" s="25" t="n">
        <x:v>148</x:v>
      </x:c>
      <x:c r="F797" s="25" t="str">
        <x:v>未羊·永霜引路</x:v>
      </x:c>
      <x:c r="G797" s="25" t="str">
        <x:v>生肖8</x:v>
      </x:c>
      <x:c r="H797" s="25" t="n">
        <x:v>7</x:v>
      </x:c>
      <x:c r="I797" s="25" t="str">
        <x:v>生肖合成</x:v>
      </x:c>
      <x:c r="J797" s="25" t="str">
        <x:v>S07</x:v>
      </x:c>
      <x:c r="K797" s="25" t="str">
        <x:v>470-900</x:v>
      </x:c>
      <x:c r="L797" s="25" t="n">
        <x:v>1200000</x:v>
      </x:c>
      <x:c r="M797" s="25" t="n">
        <x:v>0</x:v>
      </x:c>
      <x:c r="N797" s="25" t="str">
        <x:v>否</x:v>
      </x:c>
      <x:c r="O797" s="25" t="n">
        <x:v>0</x:v>
      </x:c>
      <x:c r="P797" s="25" t="n">
        <x:v>0</x:v>
      </x:c>
      <x:c r="Q797" s="25" t="n">
        <x:v>0</x:v>
      </x:c>
      <x:c r="R797" s="25" t="str">
        <x:v>洗练绑定装备；项链幸运绑定人物永久进度；武器幸运成本忽略</x:v>
      </x:c>
    </x:row>
    <x:row r="798">
      <x:c r="A798" s="25" t="str">
        <x:v>C08-E</x:v>
      </x:c>
      <x:c r="B798" s="25" t="str">
        <x:v>巨人山顶</x:v>
      </x:c>
      <x:c r="C798" s="25" t="str">
        <x:v>半急速入场</x:v>
      </x:c>
      <x:c r="D798" s="25" t="n">
        <x:v>48</x:v>
      </x:c>
      <x:c r="E798" s="25" t="n">
        <x:v>81</x:v>
      </x:c>
      <x:c r="F798" s="25" t="str">
        <x:v>雷冠申猴</x:v>
      </x:c>
      <x:c r="G798" s="25" t="str">
        <x:v>生肖9</x:v>
      </x:c>
      <x:c r="H798" s="25" t="n">
        <x:v>2</x:v>
      </x:c>
      <x:c r="I798" s="25" t="str">
        <x:v>BOSS</x:v>
      </x:c>
      <x:c r="J798" s="25" t="str">
        <x:v>S02</x:v>
      </x:c>
      <x:c r="K798" s="25" t="str">
        <x:v>44-84</x:v>
      </x:c>
      <x:c r="L798" s="25" t="n">
        <x:v>59800</x:v>
      </x:c>
      <x:c r="M798" s="25" t="n">
        <x:v>0</x:v>
      </x:c>
      <x:c r="N798" s="25" t="str">
        <x:v>否</x:v>
      </x:c>
      <x:c r="O798" s="25" t="n">
        <x:v>0</x:v>
      </x:c>
      <x:c r="P798" s="25" t="n">
        <x:v>0</x:v>
      </x:c>
      <x:c r="Q798" s="25" t="n">
        <x:v>0</x:v>
      </x:c>
      <x:c r="R798" s="25" t="str">
        <x:v>洗练绑定装备；项链幸运绑定人物永久进度；武器幸运成本忽略</x:v>
      </x:c>
    </x:row>
    <x:row r="799">
      <x:c r="A799" s="25" t="str">
        <x:v>C08-E</x:v>
      </x:c>
      <x:c r="B799" s="25" t="str">
        <x:v>巨人山顶</x:v>
      </x:c>
      <x:c r="C799" s="25" t="str">
        <x:v>半急速入场</x:v>
      </x:c>
      <x:c r="D799" s="25" t="n">
        <x:v>49</x:v>
      </x:c>
      <x:c r="E799" s="25" t="n">
        <x:v>82</x:v>
      </x:c>
      <x:c r="F799" s="25" t="str">
        <x:v>恶兆酉鸡</x:v>
      </x:c>
      <x:c r="G799" s="25" t="str">
        <x:v>生肖10</x:v>
      </x:c>
      <x:c r="H799" s="25" t="n">
        <x:v>2</x:v>
      </x:c>
      <x:c r="I799" s="25" t="str">
        <x:v>BOSS</x:v>
      </x:c>
      <x:c r="J799" s="25" t="str">
        <x:v>S02</x:v>
      </x:c>
      <x:c r="K799" s="25" t="str">
        <x:v>44-84</x:v>
      </x:c>
      <x:c r="L799" s="25" t="n">
        <x:v>59800</x:v>
      </x:c>
      <x:c r="M799" s="25" t="n">
        <x:v>0</x:v>
      </x:c>
      <x:c r="N799" s="25" t="str">
        <x:v>否</x:v>
      </x:c>
      <x:c r="O799" s="25" t="n">
        <x:v>0</x:v>
      </x:c>
      <x:c r="P799" s="25" t="n">
        <x:v>0</x:v>
      </x:c>
      <x:c r="Q799" s="25" t="n">
        <x:v>0</x:v>
      </x:c>
      <x:c r="R799" s="25" t="str">
        <x:v>洗练绑定装备；项链幸运绑定人物永久进度；武器幸运成本忽略</x:v>
      </x:c>
    </x:row>
    <x:row r="800">
      <x:c r="A800" s="25" t="str">
        <x:v>C08-E</x:v>
      </x:c>
      <x:c r="B800" s="25" t="str">
        <x:v>巨人山顶</x:v>
      </x:c>
      <x:c r="C800" s="25" t="str">
        <x:v>半急速入场</x:v>
      </x:c>
      <x:c r="D800" s="25" t="n">
        <x:v>50</x:v>
      </x:c>
      <x:c r="E800" s="25" t="n">
        <x:v>83</x:v>
      </x:c>
      <x:c r="F800" s="25" t="str">
        <x:v>失乡戌狗</x:v>
      </x:c>
      <x:c r="G800" s="25" t="str">
        <x:v>生肖11</x:v>
      </x:c>
      <x:c r="H800" s="25" t="n">
        <x:v>2</x:v>
      </x:c>
      <x:c r="I800" s="25" t="str">
        <x:v>BOSS</x:v>
      </x:c>
      <x:c r="J800" s="25" t="str">
        <x:v>S02</x:v>
      </x:c>
      <x:c r="K800" s="25" t="str">
        <x:v>48-93</x:v>
      </x:c>
      <x:c r="L800" s="25" t="n">
        <x:v>79800</x:v>
      </x:c>
      <x:c r="M800" s="25" t="n">
        <x:v>0</x:v>
      </x:c>
      <x:c r="N800" s="25" t="str">
        <x:v>否</x:v>
      </x:c>
      <x:c r="O800" s="25" t="n">
        <x:v>0</x:v>
      </x:c>
      <x:c r="P800" s="25" t="n">
        <x:v>0</x:v>
      </x:c>
      <x:c r="Q800" s="25" t="n">
        <x:v>0</x:v>
      </x:c>
      <x:c r="R800" s="25" t="str">
        <x:v>洗练绑定装备；项链幸运绑定人物永久进度；武器幸运成本忽略</x:v>
      </x:c>
    </x:row>
    <x:row r="801">
      <x:c r="A801" s="25" t="str">
        <x:v>C08-E</x:v>
      </x:c>
      <x:c r="B801" s="25" t="str">
        <x:v>巨人山顶</x:v>
      </x:c>
      <x:c r="C801" s="25" t="str">
        <x:v>半急速入场</x:v>
      </x:c>
      <x:c r="D801" s="25" t="n">
        <x:v>51</x:v>
      </x:c>
      <x:c r="E801" s="25" t="n">
        <x:v>84</x:v>
      </x:c>
      <x:c r="F801" s="25" t="str">
        <x:v>接肢亥猪</x:v>
      </x:c>
      <x:c r="G801" s="25" t="str">
        <x:v>生肖12</x:v>
      </x:c>
      <x:c r="H801" s="25" t="n">
        <x:v>2</x:v>
      </x:c>
      <x:c r="I801" s="25" t="str">
        <x:v>守关BOSS</x:v>
      </x:c>
      <x:c r="J801" s="25" t="str">
        <x:v>S02</x:v>
      </x:c>
      <x:c r="K801" s="25" t="str">
        <x:v>55-106</x:v>
      </x:c>
      <x:c r="L801" s="25" t="n">
        <x:v>90800</x:v>
      </x:c>
      <x:c r="M801" s="25" t="n">
        <x:v>0</x:v>
      </x:c>
      <x:c r="N801" s="25" t="str">
        <x:v>否</x:v>
      </x:c>
      <x:c r="O801" s="25" t="n">
        <x:v>0</x:v>
      </x:c>
      <x:c r="P801" s="25" t="n">
        <x:v>0</x:v>
      </x:c>
      <x:c r="Q801" s="25" t="n">
        <x:v>0</x:v>
      </x:c>
      <x:c r="R801" s="25" t="str">
        <x:v>洗练绑定装备；项链幸运绑定人物永久进度；武器幸运成本忽略</x:v>
      </x:c>
    </x:row>
    <x:row r="802">
      <x:c r="A802" s="25" t="str">
        <x:v>C08-M</x:v>
      </x:c>
      <x:c r="B802" s="25" t="str">
        <x:v>巨人山顶</x:v>
      </x:c>
      <x:c r="C802" s="25" t="str">
        <x:v>半急速中期</x:v>
      </x:c>
      <x:c r="D802" s="25" t="n">
        <x:v>0</x:v>
      </x:c>
      <x:c r="E802" s="25" t="n">
        <x:v>142</x:v>
      </x:c>
      <x:c r="F802" s="25" t="str">
        <x:v>逆页导师长衣</x:v>
      </x:c>
      <x:c r="G802" s="25" t="str">
        <x:v>衣服</x:v>
      </x:c>
      <x:c r="H802" s="25" t="n">
        <x:v>5</x:v>
      </x:c>
      <x:c r="I802" s="25" t="str">
        <x:v>地图BOSS</x:v>
      </x:c>
      <x:c r="J802" s="25" t="str">
        <x:v>S07</x:v>
      </x:c>
      <x:c r="K802" s="25" t="str">
        <x:v>280-530</x:v>
      </x:c>
      <x:c r="L802" s="25" t="n">
        <x:v>1200000</x:v>
      </x:c>
      <x:c r="M802" s="25" t="n">
        <x:v>4</x:v>
      </x:c>
      <x:c r="N802" s="25" t="str">
        <x:v>否</x:v>
      </x:c>
      <x:c r="O802" s="25" t="n">
        <x:v>0</x:v>
      </x:c>
      <x:c r="P802" s="25" t="n">
        <x:v>0</x:v>
      </x:c>
      <x:c r="Q802" s="25" t="n">
        <x:v>0</x:v>
      </x:c>
      <x:c r="R802" s="25" t="str">
        <x:v>洗练绑定装备；项链幸运绑定人物永久进度；武器幸运成本忽略</x:v>
      </x:c>
    </x:row>
    <x:row r="803">
      <x:c r="A803" s="25" t="str">
        <x:v>C08-M</x:v>
      </x:c>
      <x:c r="B803" s="25" t="str">
        <x:v>巨人山顶</x:v>
      </x:c>
      <x:c r="C803" s="25" t="str">
        <x:v>半急速中期</x:v>
      </x:c>
      <x:c r="D803" s="25" t="n">
        <x:v>1</x:v>
      </x:c>
      <x:c r="E803" s="25" t="n">
        <x:v>128</x:v>
      </x:c>
      <x:c r="F803" s="25" t="str">
        <x:v>卡利亚月裁长刃</x:v>
      </x:c>
      <x:c r="G803" s="25" t="str">
        <x:v>武器</x:v>
      </x:c>
      <x:c r="H803" s="25" t="n">
        <x:v>5</x:v>
      </x:c>
      <x:c r="I803" s="25" t="str">
        <x:v>装备合成</x:v>
      </x:c>
      <x:c r="J803" s="25" t="str">
        <x:v>S07</x:v>
      </x:c>
      <x:c r="K803" s="25" t="str">
        <x:v>4200-8000</x:v>
      </x:c>
      <x:c r="L803" s="25" t="n">
        <x:v>480000</x:v>
      </x:c>
      <x:c r="M803" s="25" t="n">
        <x:v>2</x:v>
      </x:c>
      <x:c r="N803" s="25" t="str">
        <x:v>否</x:v>
      </x:c>
      <x:c r="O803" s="25" t="n">
        <x:v>7</x:v>
      </x:c>
      <x:c r="P803" s="25" t="n">
        <x:v>0</x:v>
      </x:c>
      <x:c r="Q803" s="25" t="n">
        <x:v>0</x:v>
      </x:c>
      <x:c r="R803" s="25" t="str">
        <x:v>洗练绑定装备；项链幸运绑定人物永久进度；武器幸运成本忽略</x:v>
      </x:c>
    </x:row>
    <x:row r="804">
      <x:c r="A804" s="25" t="str">
        <x:v>C08-M</x:v>
      </x:c>
      <x:c r="B804" s="25" t="str">
        <x:v>巨人山顶</x:v>
      </x:c>
      <x:c r="C804" s="25" t="str">
        <x:v>半急速中期</x:v>
      </x:c>
      <x:c r="D804" s="25" t="n">
        <x:v>2</x:v>
      </x:c>
      <x:c r="E804" s="25" t="n">
        <x:v>144</x:v>
      </x:c>
      <x:c r="F804" s="25" t="str">
        <x:v>灰烬裁印</x:v>
      </x:c>
      <x:c r="G804" s="25" t="str">
        <x:v>勋章</x:v>
      </x:c>
      <x:c r="H804" s="25" t="n">
        <x:v>6</x:v>
      </x:c>
      <x:c r="I804" s="25" t="str">
        <x:v>稀有</x:v>
      </x:c>
      <x:c r="J804" s="25" t="str">
        <x:v>S07</x:v>
      </x:c>
      <x:c r="K804" s="25" t="str">
        <x:v>350-680</x:v>
      </x:c>
      <x:c r="L804" s="25" t="n">
        <x:v>370000</x:v>
      </x:c>
      <x:c r="M804" s="25" t="n">
        <x:v>0</x:v>
      </x:c>
      <x:c r="N804" s="25" t="str">
        <x:v>否</x:v>
      </x:c>
      <x:c r="O804" s="25" t="n">
        <x:v>0</x:v>
      </x:c>
      <x:c r="P804" s="25" t="n">
        <x:v>0</x:v>
      </x:c>
      <x:c r="Q804" s="25" t="n">
        <x:v>0</x:v>
      </x:c>
      <x:c r="R804" s="25" t="str">
        <x:v>洗练绑定装备；项链幸运绑定人物永久进度；武器幸运成本忽略</x:v>
      </x:c>
    </x:row>
    <x:row r="805">
      <x:c r="A805" s="25" t="str">
        <x:v>C08-M</x:v>
      </x:c>
      <x:c r="B805" s="25" t="str">
        <x:v>巨人山顶</x:v>
      </x:c>
      <x:c r="C805" s="25" t="str">
        <x:v>半急速中期</x:v>
      </x:c>
      <x:c r="D805" s="25" t="n">
        <x:v>3</x:v>
      </x:c>
      <x:c r="E805" s="25" t="n">
        <x:v>151</x:v>
      </x:c>
      <x:c r="F805" s="25" t="str">
        <x:v>腐狱铁链</x:v>
      </x:c>
      <x:c r="G805" s="25" t="str">
        <x:v>项链</x:v>
      </x:c>
      <x:c r="H805" s="25" t="n">
        <x:v>6</x:v>
      </x:c>
      <x:c r="I805" s="25" t="str">
        <x:v>普通</x:v>
      </x:c>
      <x:c r="J805" s="25" t="str">
        <x:v>S07</x:v>
      </x:c>
      <x:c r="K805" s="25" t="str">
        <x:v>280-530</x:v>
      </x:c>
      <x:c r="L805" s="25" t="n">
        <x:v>230000</x:v>
      </x:c>
      <x:c r="M805" s="25" t="n">
        <x:v>3</x:v>
      </x:c>
      <x:c r="N805" s="25" t="str">
        <x:v>否</x:v>
      </x:c>
      <x:c r="O805" s="25" t="n">
        <x:v>0</x:v>
      </x:c>
      <x:c r="P805" s="25" t="n">
        <x:v>0</x:v>
      </x:c>
      <x:c r="Q805" s="25" t="n">
        <x:v>0</x:v>
      </x:c>
      <x:c r="R805" s="25" t="str">
        <x:v>洗练绑定装备；项链幸运绑定人物永久进度；武器幸运成本忽略</x:v>
      </x:c>
    </x:row>
    <x:row r="806">
      <x:c r="A806" s="25" t="str">
        <x:v>C08-M</x:v>
      </x:c>
      <x:c r="B806" s="25" t="str">
        <x:v>巨人山顶</x:v>
      </x:c>
      <x:c r="C806" s="25" t="str">
        <x:v>半急速中期</x:v>
      </x:c>
      <x:c r="D806" s="25" t="n">
        <x:v>4</x:v>
      </x:c>
      <x:c r="E806" s="25" t="n">
        <x:v>145</x:v>
      </x:c>
      <x:c r="F806" s="25" t="str">
        <x:v>凝霜乐师冠</x:v>
      </x:c>
      <x:c r="G806" s="25" t="str">
        <x:v>头盔</x:v>
      </x:c>
      <x:c r="H806" s="25" t="n">
        <x:v>5</x:v>
      </x:c>
      <x:c r="I806" s="25" t="str">
        <x:v>稀有</x:v>
      </x:c>
      <x:c r="J806" s="25" t="str">
        <x:v>S07</x:v>
      </x:c>
      <x:c r="K806" s="25" t="str">
        <x:v>200-380</x:v>
      </x:c>
      <x:c r="L806" s="25" t="n">
        <x:v>400000</x:v>
      </x:c>
      <x:c r="M806" s="25" t="n">
        <x:v>3</x:v>
      </x:c>
      <x:c r="N806" s="25" t="str">
        <x:v>否</x:v>
      </x:c>
      <x:c r="O806" s="25" t="n">
        <x:v>0</x:v>
      </x:c>
      <x:c r="P806" s="25" t="n">
        <x:v>0</x:v>
      </x:c>
      <x:c r="Q806" s="25" t="n">
        <x:v>0</x:v>
      </x:c>
      <x:c r="R806" s="25" t="str">
        <x:v>洗练绑定装备；项链幸运绑定人物永久进度；武器幸运成本忽略</x:v>
      </x:c>
    </x:row>
    <x:row r="807">
      <x:c r="A807" s="25" t="str">
        <x:v>C08-M</x:v>
      </x:c>
      <x:c r="B807" s="25" t="str">
        <x:v>巨人山顶</x:v>
      </x:c>
      <x:c r="C807" s="25" t="str">
        <x:v>半急速中期</x:v>
      </x:c>
      <x:c r="D807" s="25" t="n">
        <x:v>5</x:v>
      </x:c>
      <x:c r="E807" s="25" t="n">
        <x:v>117</x:v>
      </x:c>
      <x:c r="F807" s="25" t="str">
        <x:v>百指腕甲</x:v>
      </x:c>
      <x:c r="G807" s="25" t="str">
        <x:v>手镯</x:v>
      </x:c>
      <x:c r="H807" s="25" t="n">
        <x:v>2</x:v>
      </x:c>
      <x:c r="I807" s="25" t="str">
        <x:v>普通</x:v>
      </x:c>
      <x:c r="J807" s="25" t="str">
        <x:v>S02</x:v>
      </x:c>
      <x:c r="K807" s="25" t="str">
        <x:v>69-132</x:v>
      </x:c>
      <x:c r="L807" s="25" t="n">
        <x:v>53200</x:v>
      </x:c>
      <x:c r="M807" s="25" t="n">
        <x:v>4</x:v>
      </x:c>
      <x:c r="N807" s="25" t="str">
        <x:v>否</x:v>
      </x:c>
      <x:c r="O807" s="25" t="n">
        <x:v>0</x:v>
      </x:c>
      <x:c r="P807" s="25" t="n">
        <x:v>0</x:v>
      </x:c>
      <x:c r="Q807" s="25" t="n">
        <x:v>0</x:v>
      </x:c>
      <x:c r="R807" s="25" t="str">
        <x:v>洗练绑定装备；项链幸运绑定人物永久进度；武器幸运成本忽略</x:v>
      </x:c>
    </x:row>
    <x:row r="808">
      <x:c r="A808" s="25" t="str">
        <x:v>C08-M</x:v>
      </x:c>
      <x:c r="B808" s="25" t="str">
        <x:v>巨人山顶</x:v>
      </x:c>
      <x:c r="C808" s="25" t="str">
        <x:v>半急速中期</x:v>
      </x:c>
      <x:c r="D808" s="25" t="n">
        <x:v>6</x:v>
      </x:c>
      <x:c r="E808" s="25" t="n">
        <x:v>68</x:v>
      </x:c>
      <x:c r="F808" s="25" t="str">
        <x:v>百指接肢腕</x:v>
      </x:c>
      <x:c r="G808" s="25" t="str">
        <x:v>手镯</x:v>
      </x:c>
      <x:c r="H808" s="25" t="n">
        <x:v>2</x:v>
      </x:c>
      <x:c r="I808" s="25" t="str">
        <x:v>装备合成</x:v>
      </x:c>
      <x:c r="J808" s="25" t="str">
        <x:v>S07</x:v>
      </x:c>
      <x:c r="K808" s="25" t="str">
        <x:v>110-210</x:v>
      </x:c>
      <x:c r="L808" s="25" t="n">
        <x:v>85000</x:v>
      </x:c>
      <x:c r="M808" s="25" t="n">
        <x:v>5</x:v>
      </x:c>
      <x:c r="N808" s="25" t="str">
        <x:v>否</x:v>
      </x:c>
      <x:c r="O808" s="25" t="n">
        <x:v>0</x:v>
      </x:c>
      <x:c r="P808" s="25" t="n">
        <x:v>0</x:v>
      </x:c>
      <x:c r="Q808" s="25" t="n">
        <x:v>0</x:v>
      </x:c>
      <x:c r="R808" s="25" t="str">
        <x:v>洗练绑定装备；项链幸运绑定人物永久进度；武器幸运成本忽略</x:v>
      </x:c>
    </x:row>
    <x:row r="809">
      <x:c r="A809" s="25" t="str">
        <x:v>C08-M</x:v>
      </x:c>
      <x:c r="B809" s="25" t="str">
        <x:v>巨人山顶</x:v>
      </x:c>
      <x:c r="C809" s="25" t="str">
        <x:v>半急速中期</x:v>
      </x:c>
      <x:c r="D809" s="25" t="n">
        <x:v>7</x:v>
      </x:c>
      <x:c r="E809" s="25" t="n">
        <x:v>111</x:v>
      </x:c>
      <x:c r="F809" s="25" t="str">
        <x:v>蓝焰祷戒</x:v>
      </x:c>
      <x:c r="G809" s="25" t="str">
        <x:v>戒指</x:v>
      </x:c>
      <x:c r="H809" s="25" t="n">
        <x:v>4</x:v>
      </x:c>
      <x:c r="I809" s="25" t="str">
        <x:v>稀有</x:v>
      </x:c>
      <x:c r="J809" s="25" t="str">
        <x:v>S07</x:v>
      </x:c>
      <x:c r="K809" s="25" t="str">
        <x:v>150-280</x:v>
      </x:c>
      <x:c r="L809" s="25" t="n">
        <x:v>110000</x:v>
      </x:c>
      <x:c r="M809" s="25" t="n">
        <x:v>5</x:v>
      </x:c>
      <x:c r="N809" s="25" t="str">
        <x:v>否</x:v>
      </x:c>
      <x:c r="O809" s="25" t="n">
        <x:v>0</x:v>
      </x:c>
      <x:c r="P809" s="25" t="n">
        <x:v>0</x:v>
      </x:c>
      <x:c r="Q809" s="25" t="n">
        <x:v>0</x:v>
      </x:c>
      <x:c r="R809" s="25" t="str">
        <x:v>洗练绑定装备；项链幸运绑定人物永久进度；武器幸运成本忽略</x:v>
      </x:c>
    </x:row>
    <x:row r="810">
      <x:c r="A810" s="25" t="str">
        <x:v>C08-M</x:v>
      </x:c>
      <x:c r="B810" s="25" t="str">
        <x:v>巨人山顶</x:v>
      </x:c>
      <x:c r="C810" s="25" t="str">
        <x:v>半急速中期</x:v>
      </x:c>
      <x:c r="D810" s="25" t="n">
        <x:v>8</x:v>
      </x:c>
      <x:c r="E810" s="25" t="n">
        <x:v>118</x:v>
      </x:c>
      <x:c r="F810" s="25" t="str">
        <x:v>月渊秘戒</x:v>
      </x:c>
      <x:c r="G810" s="25" t="str">
        <x:v>戒指</x:v>
      </x:c>
      <x:c r="H810" s="25" t="n">
        <x:v>4</x:v>
      </x:c>
      <x:c r="I810" s="25" t="str">
        <x:v>装备合成</x:v>
      </x:c>
      <x:c r="J810" s="25" t="str">
        <x:v>S07</x:v>
      </x:c>
      <x:c r="K810" s="25" t="str">
        <x:v>350-670</x:v>
      </x:c>
      <x:c r="L810" s="25" t="n">
        <x:v>270000</x:v>
      </x:c>
      <x:c r="M810" s="25" t="n">
        <x:v>6</x:v>
      </x:c>
      <x:c r="N810" s="25" t="str">
        <x:v>否</x:v>
      </x:c>
      <x:c r="O810" s="25" t="n">
        <x:v>0</x:v>
      </x:c>
      <x:c r="P810" s="25" t="n">
        <x:v>0</x:v>
      </x:c>
      <x:c r="Q810" s="25" t="n">
        <x:v>0</x:v>
      </x:c>
      <x:c r="R810" s="25" t="str">
        <x:v>洗练绑定装备；项链幸运绑定人物永久进度；武器幸运成本忽略</x:v>
      </x:c>
    </x:row>
    <x:row r="811">
      <x:c r="A811" s="25" t="str">
        <x:v>C08-M</x:v>
      </x:c>
      <x:c r="B811" s="25" t="str">
        <x:v>巨人山顶</x:v>
      </x:c>
      <x:c r="C811" s="25" t="str">
        <x:v>半急速中期</x:v>
      </x:c>
      <x:c r="D811" s="25" t="n">
        <x:v>10</x:v>
      </x:c>
      <x:c r="E811" s="25" t="n">
        <x:v>123</x:v>
      </x:c>
      <x:c r="F811" s="25" t="str">
        <x:v>汲月雾绦</x:v>
      </x:c>
      <x:c r="G811" s="25" t="str">
        <x:v>腰带</x:v>
      </x:c>
      <x:c r="H811" s="25" t="n">
        <x:v>5</x:v>
      </x:c>
      <x:c r="I811" s="25" t="str">
        <x:v>稀有</x:v>
      </x:c>
      <x:c r="J811" s="25" t="str">
        <x:v>S07</x:v>
      </x:c>
      <x:c r="K811" s="25" t="str">
        <x:v>150-280</x:v>
      </x:c>
      <x:c r="L811" s="25" t="n">
        <x:v>240000</x:v>
      </x:c>
      <x:c r="M811" s="25" t="n">
        <x:v>5</x:v>
      </x:c>
      <x:c r="N811" s="25" t="str">
        <x:v>否</x:v>
      </x:c>
      <x:c r="O811" s="25" t="n">
        <x:v>0</x:v>
      </x:c>
      <x:c r="P811" s="25" t="n">
        <x:v>0</x:v>
      </x:c>
      <x:c r="Q811" s="25" t="n">
        <x:v>0</x:v>
      </x:c>
      <x:c r="R811" s="25" t="str">
        <x:v>洗练绑定装备；项链幸运绑定人物永久进度；武器幸运成本忽略</x:v>
      </x:c>
    </x:row>
    <x:row r="812">
      <x:c r="A812" s="25" t="str">
        <x:v>C08-M</x:v>
      </x:c>
      <x:c r="B812" s="25" t="str">
        <x:v>巨人山顶</x:v>
      </x:c>
      <x:c r="C812" s="25" t="str">
        <x:v>半急速中期</x:v>
      </x:c>
      <x:c r="D812" s="25" t="n">
        <x:v>11</x:v>
      </x:c>
      <x:c r="E812" s="25" t="n">
        <x:v>94</x:v>
      </x:c>
      <x:c r="F812" s="25" t="str">
        <x:v>逐风征靴</x:v>
      </x:c>
      <x:c r="G812" s="25" t="str">
        <x:v>鞋子</x:v>
      </x:c>
      <x:c r="H812" s="25" t="n">
        <x:v>3</x:v>
      </x:c>
      <x:c r="I812" s="25" t="str">
        <x:v>装备合成</x:v>
      </x:c>
      <x:c r="J812" s="25" t="str">
        <x:v>S07</x:v>
      </x:c>
      <x:c r="K812" s="25" t="str">
        <x:v>100-200</x:v>
      </x:c>
      <x:c r="L812" s="25" t="n">
        <x:v>150000</x:v>
      </x:c>
      <x:c r="M812" s="25" t="n">
        <x:v>3</x:v>
      </x:c>
      <x:c r="N812" s="25" t="str">
        <x:v>否</x:v>
      </x:c>
      <x:c r="O812" s="25" t="n">
        <x:v>0</x:v>
      </x:c>
      <x:c r="P812" s="25" t="n">
        <x:v>0</x:v>
      </x:c>
      <x:c r="Q812" s="25" t="n">
        <x:v>0</x:v>
      </x:c>
      <x:c r="R812" s="25" t="str">
        <x:v>洗练绑定装备；项链幸运绑定人物永久进度；武器幸运成本忽略</x:v>
      </x:c>
    </x:row>
    <x:row r="813">
      <x:c r="A813" s="25" t="str">
        <x:v>C08-M</x:v>
      </x:c>
      <x:c r="B813" s="25" t="str">
        <x:v>巨人山顶</x:v>
      </x:c>
      <x:c r="C813" s="25" t="str">
        <x:v>半急速中期</x:v>
      </x:c>
      <x:c r="D813" s="25" t="n">
        <x:v>13</x:v>
      </x:c>
      <x:c r="E813" s="25" t="n">
        <x:v>153</x:v>
      </x:c>
      <x:c r="F813" s="25" t="str">
        <x:v>噬辉蛾蚀月笠</x:v>
      </x:c>
      <x:c r="G813" s="25" t="str">
        <x:v>斗笠</x:v>
      </x:c>
      <x:c r="H813" s="25" t="n">
        <x:v>5</x:v>
      </x:c>
      <x:c r="I813" s="25" t="str">
        <x:v>普通</x:v>
      </x:c>
      <x:c r="J813" s="25" t="str">
        <x:v>S07</x:v>
      </x:c>
      <x:c r="K813" s="25" t="str">
        <x:v>88-170</x:v>
      </x:c>
      <x:c r="L813" s="25" t="n">
        <x:v>110000</x:v>
      </x:c>
      <x:c r="M813" s="25" t="n">
        <x:v>0</x:v>
      </x:c>
      <x:c r="N813" s="25" t="str">
        <x:v>否</x:v>
      </x:c>
      <x:c r="O813" s="25" t="n">
        <x:v>0</x:v>
      </x:c>
      <x:c r="P813" s="25" t="n">
        <x:v>0</x:v>
      </x:c>
      <x:c r="Q813" s="25" t="n">
        <x:v>0</x:v>
      </x:c>
      <x:c r="R813" s="25" t="str">
        <x:v>洗练绑定装备；项链幸运绑定人物永久进度；武器幸运成本忽略</x:v>
      </x:c>
    </x:row>
    <x:row r="814">
      <x:c r="A814" s="25" t="str">
        <x:v>C08-M</x:v>
      </x:c>
      <x:c r="B814" s="25" t="str">
        <x:v>巨人山顶</x:v>
      </x:c>
      <x:c r="C814" s="25" t="str">
        <x:v>半急速中期</x:v>
      </x:c>
      <x:c r="D814" s="25" t="n">
        <x:v>16</x:v>
      </x:c>
      <x:c r="E814" s="25" t="n">
        <x:v>146</x:v>
      </x:c>
      <x:c r="F814" s="25" t="str">
        <x:v>折月傀镜盾</x:v>
      </x:c>
      <x:c r="G814" s="25" t="str">
        <x:v>盾牌</x:v>
      </x:c>
      <x:c r="H814" s="25" t="n">
        <x:v>5</x:v>
      </x:c>
      <x:c r="I814" s="25" t="str">
        <x:v>普通</x:v>
      </x:c>
      <x:c r="J814" s="25" t="str">
        <x:v>S07</x:v>
      </x:c>
      <x:c r="K814" s="25" t="str">
        <x:v>150-290</x:v>
      </x:c>
      <x:c r="L814" s="25" t="n">
        <x:v>410000</x:v>
      </x:c>
      <x:c r="M814" s="25" t="n">
        <x:v>0</x:v>
      </x:c>
      <x:c r="N814" s="25" t="str">
        <x:v>否</x:v>
      </x:c>
      <x:c r="O814" s="25" t="n">
        <x:v>0</x:v>
      </x:c>
      <x:c r="P814" s="25" t="n">
        <x:v>0</x:v>
      </x:c>
      <x:c r="Q814" s="25" t="n">
        <x:v>0</x:v>
      </x:c>
      <x:c r="R814" s="25" t="str">
        <x:v>洗练绑定装备；项链幸运绑定人物永久进度；武器幸运成本忽略</x:v>
      </x:c>
    </x:row>
    <x:row r="815">
      <x:c r="A815" s="25" t="str">
        <x:v>C08-M</x:v>
      </x:c>
      <x:c r="B815" s="25" t="str">
        <x:v>巨人山顶</x:v>
      </x:c>
      <x:c r="C815" s="25" t="str">
        <x:v>半急速中期</x:v>
      </x:c>
      <x:c r="D815" s="25" t="n">
        <x:v>18</x:v>
      </x:c>
      <x:c r="E815" s="25" t="n">
        <x:v>137</x:v>
      </x:c>
      <x:c r="F815" s="25" t="str">
        <x:v>红狮余烬王衣</x:v>
      </x:c>
      <x:c r="G815" s="25" t="str">
        <x:v>时装衣服</x:v>
      </x:c>
      <x:c r="H815" s="25" t="n">
        <x:v>6</x:v>
      </x:c>
      <x:c r="I815" s="25" t="str">
        <x:v>装备合成</x:v>
      </x:c>
      <x:c r="J815" s="25" t="str">
        <x:v>S07</x:v>
      </x:c>
      <x:c r="K815" s="25" t="str">
        <x:v>780-1500</x:v>
      </x:c>
      <x:c r="L815" s="25" t="n">
        <x:v>5100000</x:v>
      </x:c>
      <x:c r="M815" s="25" t="n">
        <x:v>0</x:v>
      </x:c>
      <x:c r="N815" s="25" t="str">
        <x:v>否</x:v>
      </x:c>
      <x:c r="O815" s="25" t="n">
        <x:v>0</x:v>
      </x:c>
      <x:c r="P815" s="25" t="n">
        <x:v>0</x:v>
      </x:c>
      <x:c r="Q815" s="25" t="n">
        <x:v>0</x:v>
      </x:c>
      <x:c r="R815" s="25" t="str">
        <x:v>洗练绑定装备；项链幸运绑定人物永久进度；武器幸运成本忽略</x:v>
      </x:c>
    </x:row>
    <x:row r="816">
      <x:c r="A816" s="25" t="str">
        <x:v>C08-M</x:v>
      </x:c>
      <x:c r="B816" s="25" t="str">
        <x:v>巨人山顶</x:v>
      </x:c>
      <x:c r="C816" s="25" t="str">
        <x:v>半急速中期</x:v>
      </x:c>
      <x:c r="D816" s="25" t="n">
        <x:v>19</x:v>
      </x:c>
      <x:c r="E816" s="25" t="n">
        <x:v>147</x:v>
      </x:c>
      <x:c r="F816" s="25" t="str">
        <x:v>永霜白金刃</x:v>
      </x:c>
      <x:c r="G816" s="25" t="str">
        <x:v>时装武器</x:v>
      </x:c>
      <x:c r="H816" s="25" t="n">
        <x:v>7</x:v>
      </x:c>
      <x:c r="I816" s="25" t="str">
        <x:v>装备合成</x:v>
      </x:c>
      <x:c r="J816" s="25" t="str">
        <x:v>S07</x:v>
      </x:c>
      <x:c r="K816" s="25" t="str">
        <x:v>4800-9200</x:v>
      </x:c>
      <x:c r="L816" s="25" t="n">
        <x:v>1700000</x:v>
      </x:c>
      <x:c r="M816" s="25" t="n">
        <x:v>0</x:v>
      </x:c>
      <x:c r="N816" s="25" t="str">
        <x:v>否</x:v>
      </x:c>
      <x:c r="O816" s="25" t="n">
        <x:v>0</x:v>
      </x:c>
      <x:c r="P816" s="25" t="n">
        <x:v>0</x:v>
      </x:c>
      <x:c r="Q816" s="25" t="n">
        <x:v>0</x:v>
      </x:c>
      <x:c r="R816" s="25" t="str">
        <x:v>洗练绑定装备；项链幸运绑定人物永久进度；武器幸运成本忽略</x:v>
      </x:c>
    </x:row>
    <x:row r="817">
      <x:c r="A817" s="25" t="str">
        <x:v>C08-M</x:v>
      </x:c>
      <x:c r="B817" s="25" t="str">
        <x:v>巨人山顶</x:v>
      </x:c>
      <x:c r="C817" s="25" t="str">
        <x:v>半急速中期</x:v>
      </x:c>
      <x:c r="D817" s="25" t="n">
        <x:v>20</x:v>
      </x:c>
      <x:c r="E817" s="25" t="n">
        <x:v>40</x:v>
      </x:c>
      <x:c r="F817" s="25" t="str">
        <x:v>英雄余誓</x:v>
      </x:c>
      <x:c r="G817" s="25" t="str">
        <x:v>时装项链</x:v>
      </x:c>
      <x:c r="H817" s="25" t="n">
        <x:v>2</x:v>
      </x:c>
      <x:c r="I817" s="25" t="str">
        <x:v>稀有</x:v>
      </x:c>
      <x:c r="J817" s="25" t="str">
        <x:v>S02</x:v>
      </x:c>
      <x:c r="K817" s="25" t="str">
        <x:v>31-60</x:v>
      </x:c>
      <x:c r="L817" s="25" t="n">
        <x:v>17900</x:v>
      </x:c>
      <x:c r="M817" s="25" t="n">
        <x:v>0</x:v>
      </x:c>
      <x:c r="N817" s="25" t="str">
        <x:v>否</x:v>
      </x:c>
      <x:c r="O817" s="25" t="n">
        <x:v>0</x:v>
      </x:c>
      <x:c r="P817" s="25" t="n">
        <x:v>0</x:v>
      </x:c>
      <x:c r="Q817" s="25" t="n">
        <x:v>0</x:v>
      </x:c>
      <x:c r="R817" s="25" t="str">
        <x:v>洗练绑定装备；项链幸运绑定人物永久进度；武器幸运成本忽略</x:v>
      </x:c>
    </x:row>
    <x:row r="818">
      <x:c r="A818" s="25" t="str">
        <x:v>C08-M</x:v>
      </x:c>
      <x:c r="B818" s="25" t="str">
        <x:v>巨人山顶</x:v>
      </x:c>
      <x:c r="C818" s="25" t="str">
        <x:v>半急速中期</x:v>
      </x:c>
      <x:c r="D818" s="25" t="n">
        <x:v>21</x:v>
      </x:c>
      <x:c r="E818" s="25" t="n">
        <x:v>41</x:v>
      </x:c>
      <x:c r="F818" s="25" t="str">
        <x:v>初火兜鍪</x:v>
      </x:c>
      <x:c r="G818" s="25" t="str">
        <x:v>时装头盔</x:v>
      </x:c>
      <x:c r="H818" s="25" t="n">
        <x:v>2</x:v>
      </x:c>
      <x:c r="I818" s="25" t="str">
        <x:v>稀有</x:v>
      </x:c>
      <x:c r="J818" s="25" t="str">
        <x:v>S02</x:v>
      </x:c>
      <x:c r="K818" s="25" t="str">
        <x:v>22-42</x:v>
      </x:c>
      <x:c r="L818" s="25" t="n">
        <x:v>30900</x:v>
      </x:c>
      <x:c r="M818" s="25" t="n">
        <x:v>0</x:v>
      </x:c>
      <x:c r="N818" s="25" t="str">
        <x:v>否</x:v>
      </x:c>
      <x:c r="O818" s="25" t="n">
        <x:v>0</x:v>
      </x:c>
      <x:c r="P818" s="25" t="n">
        <x:v>0</x:v>
      </x:c>
      <x:c r="Q818" s="25" t="n">
        <x:v>0</x:v>
      </x:c>
      <x:c r="R818" s="25" t="str">
        <x:v>洗练绑定装备；项链幸运绑定人物永久进度；武器幸运成本忽略</x:v>
      </x:c>
    </x:row>
    <x:row r="819">
      <x:c r="A819" s="25" t="str">
        <x:v>C08-M</x:v>
      </x:c>
      <x:c r="B819" s="25" t="str">
        <x:v>巨人山顶</x:v>
      </x:c>
      <x:c r="C819" s="25" t="str">
        <x:v>半急速中期</x:v>
      </x:c>
      <x:c r="D819" s="25" t="n">
        <x:v>22</x:v>
      </x:c>
      <x:c r="E819" s="25" t="n">
        <x:v>42</x:v>
      </x:c>
      <x:c r="F819" s="25" t="str">
        <x:v>卢恩血镯</x:v>
      </x:c>
      <x:c r="G819" s="25" t="str">
        <x:v>时装手镯</x:v>
      </x:c>
      <x:c r="H819" s="25" t="n">
        <x:v>2</x:v>
      </x:c>
      <x:c r="I819" s="25" t="str">
        <x:v>稀有</x:v>
      </x:c>
      <x:c r="J819" s="25" t="str">
        <x:v>S02</x:v>
      </x:c>
      <x:c r="K819" s="25" t="str">
        <x:v>42-80</x:v>
      </x:c>
      <x:c r="L819" s="25" t="n">
        <x:v>34400</x:v>
      </x:c>
      <x:c r="M819" s="25" t="n">
        <x:v>0</x:v>
      </x:c>
      <x:c r="N819" s="25" t="str">
        <x:v>否</x:v>
      </x:c>
      <x:c r="O819" s="25" t="n">
        <x:v>0</x:v>
      </x:c>
      <x:c r="P819" s="25" t="n">
        <x:v>0</x:v>
      </x:c>
      <x:c r="Q819" s="25" t="n">
        <x:v>0</x:v>
      </x:c>
      <x:c r="R819" s="25" t="str">
        <x:v>洗练绑定装备；项链幸运绑定人物永久进度；武器幸运成本忽略</x:v>
      </x:c>
    </x:row>
    <x:row r="820">
      <x:c r="A820" s="25" t="str">
        <x:v>C08-M</x:v>
      </x:c>
      <x:c r="B820" s="25" t="str">
        <x:v>巨人山顶</x:v>
      </x:c>
      <x:c r="C820" s="25" t="str">
        <x:v>半急速中期</x:v>
      </x:c>
      <x:c r="D820" s="25" t="n">
        <x:v>24</x:v>
      </x:c>
      <x:c r="E820" s="25" t="n">
        <x:v>43</x:v>
      </x:c>
      <x:c r="F820" s="25" t="str">
        <x:v>黄金树戒</x:v>
      </x:c>
      <x:c r="G820" s="25" t="str">
        <x:v>时装戒指</x:v>
      </x:c>
      <x:c r="H820" s="25" t="n">
        <x:v>2</x:v>
      </x:c>
      <x:c r="I820" s="25" t="str">
        <x:v>稀有</x:v>
      </x:c>
      <x:c r="J820" s="25" t="str">
        <x:v>S02</x:v>
      </x:c>
      <x:c r="K820" s="25" t="str">
        <x:v>42-80</x:v>
      </x:c>
      <x:c r="L820" s="25" t="n">
        <x:v>34400</x:v>
      </x:c>
      <x:c r="M820" s="25" t="n">
        <x:v>0</x:v>
      </x:c>
      <x:c r="N820" s="25" t="str">
        <x:v>否</x:v>
      </x:c>
      <x:c r="O820" s="25" t="n">
        <x:v>0</x:v>
      </x:c>
      <x:c r="P820" s="25" t="n">
        <x:v>0</x:v>
      </x:c>
      <x:c r="Q820" s="25" t="n">
        <x:v>0</x:v>
      </x:c>
      <x:c r="R820" s="25" t="str">
        <x:v>洗练绑定装备；项链幸运绑定人物永久进度；武器幸运成本忽略</x:v>
      </x:c>
    </x:row>
    <x:row r="821">
      <x:c r="A821" s="25" t="str">
        <x:v>C08-M</x:v>
      </x:c>
      <x:c r="B821" s="25" t="str">
        <x:v>巨人山顶</x:v>
      </x:c>
      <x:c r="C821" s="25" t="str">
        <x:v>半急速中期</x:v>
      </x:c>
      <x:c r="D821" s="25" t="n">
        <x:v>40</x:v>
      </x:c>
      <x:c r="E821" s="25" t="n">
        <x:v>44</x:v>
      </x:c>
      <x:c r="F821" s="25" t="str">
        <x:v>腐树子鼠</x:v>
      </x:c>
      <x:c r="G821" s="25" t="str">
        <x:v>生肖1</x:v>
      </x:c>
      <x:c r="H821" s="25" t="n">
        <x:v>2</x:v>
      </x:c>
      <x:c r="I821" s="25" t="str">
        <x:v>BOSS</x:v>
      </x:c>
      <x:c r="J821" s="25" t="str">
        <x:v>S02</x:v>
      </x:c>
      <x:c r="K821" s="25" t="str">
        <x:v>29-56</x:v>
      </x:c>
      <x:c r="L821" s="25" t="n">
        <x:v>23600</x:v>
      </x:c>
      <x:c r="M821" s="25" t="n">
        <x:v>0</x:v>
      </x:c>
      <x:c r="N821" s="25" t="str">
        <x:v>否</x:v>
      </x:c>
      <x:c r="O821" s="25" t="n">
        <x:v>0</x:v>
      </x:c>
      <x:c r="P821" s="25" t="n">
        <x:v>0</x:v>
      </x:c>
      <x:c r="Q821" s="25" t="n">
        <x:v>0</x:v>
      </x:c>
      <x:c r="R821" s="25" t="str">
        <x:v>洗练绑定装备；项链幸运绑定人物永久进度；武器幸运成本忽略</x:v>
      </x:c>
    </x:row>
    <x:row r="822">
      <x:c r="A822" s="25" t="str">
        <x:v>C08-M</x:v>
      </x:c>
      <x:c r="B822" s="25" t="str">
        <x:v>巨人山顶</x:v>
      </x:c>
      <x:c r="C822" s="25" t="str">
        <x:v>半急速中期</x:v>
      </x:c>
      <x:c r="D822" s="25" t="n">
        <x:v>41</x:v>
      </x:c>
      <x:c r="E822" s="25" t="n">
        <x:v>69</x:v>
      </x:c>
      <x:c r="F822" s="25" t="str">
        <x:v>丑牛·风暴负山</x:v>
      </x:c>
      <x:c r="G822" s="25" t="str">
        <x:v>生肖2</x:v>
      </x:c>
      <x:c r="H822" s="25" t="n">
        <x:v>2</x:v>
      </x:c>
      <x:c r="I822" s="25" t="str">
        <x:v>生肖合成</x:v>
      </x:c>
      <x:c r="J822" s="25" t="str">
        <x:v>S07</x:v>
      </x:c>
      <x:c r="K822" s="25" t="str">
        <x:v>25-49</x:v>
      </x:c>
      <x:c r="L822" s="25" t="n">
        <x:v>64000</x:v>
      </x:c>
      <x:c r="M822" s="25" t="n">
        <x:v>0</x:v>
      </x:c>
      <x:c r="N822" s="25" t="str">
        <x:v>否</x:v>
      </x:c>
      <x:c r="O822" s="25" t="n">
        <x:v>0</x:v>
      </x:c>
      <x:c r="P822" s="25" t="n">
        <x:v>0</x:v>
      </x:c>
      <x:c r="Q822" s="25" t="n">
        <x:v>0</x:v>
      </x:c>
      <x:c r="R822" s="25" t="str">
        <x:v>洗练绑定装备；项链幸运绑定人物永久进度；武器幸运成本忽略</x:v>
      </x:c>
    </x:row>
    <x:row r="823">
      <x:c r="A823" s="25" t="str">
        <x:v>C08-M</x:v>
      </x:c>
      <x:c r="B823" s="25" t="str">
        <x:v>巨人山顶</x:v>
      </x:c>
      <x:c r="C823" s="25" t="str">
        <x:v>半急速中期</x:v>
      </x:c>
      <x:c r="D823" s="25" t="n">
        <x:v>42</x:v>
      </x:c>
      <x:c r="E823" s="25" t="n">
        <x:v>138</x:v>
      </x:c>
      <x:c r="F823" s="25" t="str">
        <x:v>寅虎·红狮焚原</x:v>
      </x:c>
      <x:c r="G823" s="25" t="str">
        <x:v>生肖3</x:v>
      </x:c>
      <x:c r="H823" s="25" t="n">
        <x:v>6</x:v>
      </x:c>
      <x:c r="I823" s="25" t="str">
        <x:v>生肖合成</x:v>
      </x:c>
      <x:c r="J823" s="25" t="str">
        <x:v>S07</x:v>
      </x:c>
      <x:c r="K823" s="25" t="str">
        <x:v>250-490</x:v>
      </x:c>
      <x:c r="L823" s="25" t="n">
        <x:v>640000</x:v>
      </x:c>
      <x:c r="M823" s="25" t="n">
        <x:v>0</x:v>
      </x:c>
      <x:c r="N823" s="25" t="str">
        <x:v>否</x:v>
      </x:c>
      <x:c r="O823" s="25" t="n">
        <x:v>0</x:v>
      </x:c>
      <x:c r="P823" s="25" t="n">
        <x:v>0</x:v>
      </x:c>
      <x:c r="Q823" s="25" t="n">
        <x:v>0</x:v>
      </x:c>
      <x:c r="R823" s="25" t="str">
        <x:v>洗练绑定装备；项链幸运绑定人物永久进度；武器幸运成本忽略</x:v>
      </x:c>
    </x:row>
    <x:row r="824">
      <x:c r="A824" s="25" t="str">
        <x:v>C08-M</x:v>
      </x:c>
      <x:c r="B824" s="25" t="str">
        <x:v>巨人山顶</x:v>
      </x:c>
      <x:c r="C824" s="25" t="str">
        <x:v>半急速中期</x:v>
      </x:c>
      <x:c r="D824" s="25" t="n">
        <x:v>43</x:v>
      </x:c>
      <x:c r="E824" s="25" t="n">
        <x:v>127</x:v>
      </x:c>
      <x:c r="F824" s="25" t="str">
        <x:v>卯兔·镜月折辉</x:v>
      </x:c>
      <x:c r="G824" s="25" t="str">
        <x:v>生肖4</x:v>
      </x:c>
      <x:c r="H824" s="25" t="n">
        <x:v>5</x:v>
      </x:c>
      <x:c r="I824" s="25" t="str">
        <x:v>生肖合成</x:v>
      </x:c>
      <x:c r="J824" s="25" t="str">
        <x:v>S07</x:v>
      </x:c>
      <x:c r="K824" s="25" t="str">
        <x:v>150-280</x:v>
      </x:c>
      <x:c r="L824" s="25" t="n">
        <x:v>360000</x:v>
      </x:c>
      <x:c r="M824" s="25" t="n">
        <x:v>0</x:v>
      </x:c>
      <x:c r="N824" s="25" t="str">
        <x:v>否</x:v>
      </x:c>
      <x:c r="O824" s="25" t="n">
        <x:v>0</x:v>
      </x:c>
      <x:c r="P824" s="25" t="n">
        <x:v>0</x:v>
      </x:c>
      <x:c r="Q824" s="25" t="n">
        <x:v>0</x:v>
      </x:c>
      <x:c r="R824" s="25" t="str">
        <x:v>洗练绑定装备；项链幸运绑定人物永久进度；武器幸运成本忽略</x:v>
      </x:c>
    </x:row>
    <x:row r="825">
      <x:c r="A825" s="25" t="str">
        <x:v>C08-M</x:v>
      </x:c>
      <x:c r="B825" s="25" t="str">
        <x:v>巨人山顶</x:v>
      </x:c>
      <x:c r="C825" s="25" t="str">
        <x:v>半急速中期</x:v>
      </x:c>
      <x:c r="D825" s="25" t="n">
        <x:v>44</x:v>
      </x:c>
      <x:c r="E825" s="25" t="n">
        <x:v>91</x:v>
      </x:c>
      <x:c r="F825" s="25" t="str">
        <x:v>辰龙·荒原逐风</x:v>
      </x:c>
      <x:c r="G825" s="25" t="str">
        <x:v>生肖5</x:v>
      </x:c>
      <x:c r="H825" s="25" t="n">
        <x:v>3</x:v>
      </x:c>
      <x:c r="I825" s="25" t="str">
        <x:v>生肖合成</x:v>
      </x:c>
      <x:c r="J825" s="25" t="str">
        <x:v>S07</x:v>
      </x:c>
      <x:c r="K825" s="25" t="str">
        <x:v>47-90</x:v>
      </x:c>
      <x:c r="L825" s="25" t="n">
        <x:v>120000</x:v>
      </x:c>
      <x:c r="M825" s="25" t="n">
        <x:v>0</x:v>
      </x:c>
      <x:c r="N825" s="25" t="str">
        <x:v>否</x:v>
      </x:c>
      <x:c r="O825" s="25" t="n">
        <x:v>0</x:v>
      </x:c>
      <x:c r="P825" s="25" t="n">
        <x:v>0</x:v>
      </x:c>
      <x:c r="Q825" s="25" t="n">
        <x:v>0</x:v>
      </x:c>
      <x:c r="R825" s="25" t="str">
        <x:v>洗练绑定装备；项链幸运绑定人物永久进度；武器幸运成本忽略</x:v>
      </x:c>
    </x:row>
    <x:row r="826">
      <x:c r="A826" s="25" t="str">
        <x:v>C08-M</x:v>
      </x:c>
      <x:c r="B826" s="25" t="str">
        <x:v>巨人山顶</x:v>
      </x:c>
      <x:c r="C826" s="25" t="str">
        <x:v>半急速中期</x:v>
      </x:c>
      <x:c r="D826" s="25" t="n">
        <x:v>45</x:v>
      </x:c>
      <x:c r="E826" s="25" t="n">
        <x:v>107</x:v>
      </x:c>
      <x:c r="F826" s="25" t="str">
        <x:v>巳蛇·沉潮缚月</x:v>
      </x:c>
      <x:c r="G826" s="25" t="str">
        <x:v>生肖6</x:v>
      </x:c>
      <x:c r="H826" s="25" t="n">
        <x:v>4</x:v>
      </x:c>
      <x:c r="I826" s="25" t="str">
        <x:v>生肖合成</x:v>
      </x:c>
      <x:c r="J826" s="25" t="str">
        <x:v>S07</x:v>
      </x:c>
      <x:c r="K826" s="25" t="str">
        <x:v>83-160</x:v>
      </x:c>
      <x:c r="L826" s="25" t="n">
        <x:v>200000</x:v>
      </x:c>
      <x:c r="M826" s="25" t="n">
        <x:v>0</x:v>
      </x:c>
      <x:c r="N826" s="25" t="str">
        <x:v>否</x:v>
      </x:c>
      <x:c r="O826" s="25" t="n">
        <x:v>0</x:v>
      </x:c>
      <x:c r="P826" s="25" t="n">
        <x:v>0</x:v>
      </x:c>
      <x:c r="Q826" s="25" t="n">
        <x:v>0</x:v>
      </x:c>
      <x:c r="R826" s="25" t="str">
        <x:v>洗练绑定装备；项链幸运绑定人物永久进度；武器幸运成本忽略</x:v>
      </x:c>
    </x:row>
    <x:row r="827">
      <x:c r="A827" s="25" t="str">
        <x:v>C08-M</x:v>
      </x:c>
      <x:c r="B827" s="25" t="str">
        <x:v>巨人山顶</x:v>
      </x:c>
      <x:c r="C827" s="25" t="str">
        <x:v>半急速中期</x:v>
      </x:c>
      <x:c r="D827" s="25" t="n">
        <x:v>46</x:v>
      </x:c>
      <x:c r="E827" s="25" t="n">
        <x:v>80</x:v>
      </x:c>
      <x:c r="F827" s="25" t="str">
        <x:v>死水午马</x:v>
      </x:c>
      <x:c r="G827" s="25" t="str">
        <x:v>生肖7</x:v>
      </x:c>
      <x:c r="H827" s="25" t="n">
        <x:v>2</x:v>
      </x:c>
      <x:c r="I827" s="25" t="str">
        <x:v>BOSS</x:v>
      </x:c>
      <x:c r="J827" s="25" t="str">
        <x:v>S02</x:v>
      </x:c>
      <x:c r="K827" s="25" t="str">
        <x:v>38-74</x:v>
      </x:c>
      <x:c r="L827" s="25" t="n">
        <x:v>45300</x:v>
      </x:c>
      <x:c r="M827" s="25" t="n">
        <x:v>0</x:v>
      </x:c>
      <x:c r="N827" s="25" t="str">
        <x:v>否</x:v>
      </x:c>
      <x:c r="O827" s="25" t="n">
        <x:v>0</x:v>
      </x:c>
      <x:c r="P827" s="25" t="n">
        <x:v>0</x:v>
      </x:c>
      <x:c r="Q827" s="25" t="n">
        <x:v>0</x:v>
      </x:c>
      <x:c r="R827" s="25" t="str">
        <x:v>洗练绑定装备；项链幸运绑定人物永久进度；武器幸运成本忽略</x:v>
      </x:c>
    </x:row>
    <x:row r="828">
      <x:c r="A828" s="25" t="str">
        <x:v>C08-M</x:v>
      </x:c>
      <x:c r="B828" s="25" t="str">
        <x:v>巨人山顶</x:v>
      </x:c>
      <x:c r="C828" s="25" t="str">
        <x:v>半急速中期</x:v>
      </x:c>
      <x:c r="D828" s="25" t="n">
        <x:v>47</x:v>
      </x:c>
      <x:c r="E828" s="25" t="n">
        <x:v>148</x:v>
      </x:c>
      <x:c r="F828" s="25" t="str">
        <x:v>未羊·永霜引路</x:v>
      </x:c>
      <x:c r="G828" s="25" t="str">
        <x:v>生肖8</x:v>
      </x:c>
      <x:c r="H828" s="25" t="n">
        <x:v>7</x:v>
      </x:c>
      <x:c r="I828" s="25" t="str">
        <x:v>生肖合成</x:v>
      </x:c>
      <x:c r="J828" s="25" t="str">
        <x:v>S07</x:v>
      </x:c>
      <x:c r="K828" s="25" t="str">
        <x:v>470-900</x:v>
      </x:c>
      <x:c r="L828" s="25" t="n">
        <x:v>1200000</x:v>
      </x:c>
      <x:c r="M828" s="25" t="n">
        <x:v>0</x:v>
      </x:c>
      <x:c r="N828" s="25" t="str">
        <x:v>否</x:v>
      </x:c>
      <x:c r="O828" s="25" t="n">
        <x:v>0</x:v>
      </x:c>
      <x:c r="P828" s="25" t="n">
        <x:v>0</x:v>
      </x:c>
      <x:c r="Q828" s="25" t="n">
        <x:v>0</x:v>
      </x:c>
      <x:c r="R828" s="25" t="str">
        <x:v>洗练绑定装备；项链幸运绑定人物永久进度；武器幸运成本忽略</x:v>
      </x:c>
    </x:row>
    <x:row r="829">
      <x:c r="A829" s="25" t="str">
        <x:v>C08-M</x:v>
      </x:c>
      <x:c r="B829" s="25" t="str">
        <x:v>巨人山顶</x:v>
      </x:c>
      <x:c r="C829" s="25" t="str">
        <x:v>半急速中期</x:v>
      </x:c>
      <x:c r="D829" s="25" t="n">
        <x:v>48</x:v>
      </x:c>
      <x:c r="E829" s="25" t="n">
        <x:v>81</x:v>
      </x:c>
      <x:c r="F829" s="25" t="str">
        <x:v>雷冠申猴</x:v>
      </x:c>
      <x:c r="G829" s="25" t="str">
        <x:v>生肖9</x:v>
      </x:c>
      <x:c r="H829" s="25" t="n">
        <x:v>2</x:v>
      </x:c>
      <x:c r="I829" s="25" t="str">
        <x:v>BOSS</x:v>
      </x:c>
      <x:c r="J829" s="25" t="str">
        <x:v>S02</x:v>
      </x:c>
      <x:c r="K829" s="25" t="str">
        <x:v>44-84</x:v>
      </x:c>
      <x:c r="L829" s="25" t="n">
        <x:v>59800</x:v>
      </x:c>
      <x:c r="M829" s="25" t="n">
        <x:v>0</x:v>
      </x:c>
      <x:c r="N829" s="25" t="str">
        <x:v>否</x:v>
      </x:c>
      <x:c r="O829" s="25" t="n">
        <x:v>0</x:v>
      </x:c>
      <x:c r="P829" s="25" t="n">
        <x:v>0</x:v>
      </x:c>
      <x:c r="Q829" s="25" t="n">
        <x:v>0</x:v>
      </x:c>
      <x:c r="R829" s="25" t="str">
        <x:v>洗练绑定装备；项链幸运绑定人物永久进度；武器幸运成本忽略</x:v>
      </x:c>
    </x:row>
    <x:row r="830">
      <x:c r="A830" s="25" t="str">
        <x:v>C08-M</x:v>
      </x:c>
      <x:c r="B830" s="25" t="str">
        <x:v>巨人山顶</x:v>
      </x:c>
      <x:c r="C830" s="25" t="str">
        <x:v>半急速中期</x:v>
      </x:c>
      <x:c r="D830" s="25" t="n">
        <x:v>49</x:v>
      </x:c>
      <x:c r="E830" s="25" t="n">
        <x:v>82</x:v>
      </x:c>
      <x:c r="F830" s="25" t="str">
        <x:v>恶兆酉鸡</x:v>
      </x:c>
      <x:c r="G830" s="25" t="str">
        <x:v>生肖10</x:v>
      </x:c>
      <x:c r="H830" s="25" t="n">
        <x:v>2</x:v>
      </x:c>
      <x:c r="I830" s="25" t="str">
        <x:v>BOSS</x:v>
      </x:c>
      <x:c r="J830" s="25" t="str">
        <x:v>S02</x:v>
      </x:c>
      <x:c r="K830" s="25" t="str">
        <x:v>44-84</x:v>
      </x:c>
      <x:c r="L830" s="25" t="n">
        <x:v>59800</x:v>
      </x:c>
      <x:c r="M830" s="25" t="n">
        <x:v>0</x:v>
      </x:c>
      <x:c r="N830" s="25" t="str">
        <x:v>否</x:v>
      </x:c>
      <x:c r="O830" s="25" t="n">
        <x:v>0</x:v>
      </x:c>
      <x:c r="P830" s="25" t="n">
        <x:v>0</x:v>
      </x:c>
      <x:c r="Q830" s="25" t="n">
        <x:v>0</x:v>
      </x:c>
      <x:c r="R830" s="25" t="str">
        <x:v>洗练绑定装备；项链幸运绑定人物永久进度；武器幸运成本忽略</x:v>
      </x:c>
    </x:row>
    <x:row r="831">
      <x:c r="A831" s="25" t="str">
        <x:v>C08-M</x:v>
      </x:c>
      <x:c r="B831" s="25" t="str">
        <x:v>巨人山顶</x:v>
      </x:c>
      <x:c r="C831" s="25" t="str">
        <x:v>半急速中期</x:v>
      </x:c>
      <x:c r="D831" s="25" t="n">
        <x:v>50</x:v>
      </x:c>
      <x:c r="E831" s="25" t="n">
        <x:v>83</x:v>
      </x:c>
      <x:c r="F831" s="25" t="str">
        <x:v>失乡戌狗</x:v>
      </x:c>
      <x:c r="G831" s="25" t="str">
        <x:v>生肖11</x:v>
      </x:c>
      <x:c r="H831" s="25" t="n">
        <x:v>2</x:v>
      </x:c>
      <x:c r="I831" s="25" t="str">
        <x:v>BOSS</x:v>
      </x:c>
      <x:c r="J831" s="25" t="str">
        <x:v>S02</x:v>
      </x:c>
      <x:c r="K831" s="25" t="str">
        <x:v>48-93</x:v>
      </x:c>
      <x:c r="L831" s="25" t="n">
        <x:v>79800</x:v>
      </x:c>
      <x:c r="M831" s="25" t="n">
        <x:v>0</x:v>
      </x:c>
      <x:c r="N831" s="25" t="str">
        <x:v>否</x:v>
      </x:c>
      <x:c r="O831" s="25" t="n">
        <x:v>0</x:v>
      </x:c>
      <x:c r="P831" s="25" t="n">
        <x:v>0</x:v>
      </x:c>
      <x:c r="Q831" s="25" t="n">
        <x:v>0</x:v>
      </x:c>
      <x:c r="R831" s="25" t="str">
        <x:v>洗练绑定装备；项链幸运绑定人物永久进度；武器幸运成本忽略</x:v>
      </x:c>
    </x:row>
    <x:row r="832">
      <x:c r="A832" s="25" t="str">
        <x:v>C08-M</x:v>
      </x:c>
      <x:c r="B832" s="25" t="str">
        <x:v>巨人山顶</x:v>
      </x:c>
      <x:c r="C832" s="25" t="str">
        <x:v>半急速中期</x:v>
      </x:c>
      <x:c r="D832" s="25" t="n">
        <x:v>51</x:v>
      </x:c>
      <x:c r="E832" s="25" t="n">
        <x:v>84</x:v>
      </x:c>
      <x:c r="F832" s="25" t="str">
        <x:v>接肢亥猪</x:v>
      </x:c>
      <x:c r="G832" s="25" t="str">
        <x:v>生肖12</x:v>
      </x:c>
      <x:c r="H832" s="25" t="n">
        <x:v>2</x:v>
      </x:c>
      <x:c r="I832" s="25" t="str">
        <x:v>守关BOSS</x:v>
      </x:c>
      <x:c r="J832" s="25" t="str">
        <x:v>S02</x:v>
      </x:c>
      <x:c r="K832" s="25" t="str">
        <x:v>55-106</x:v>
      </x:c>
      <x:c r="L832" s="25" t="n">
        <x:v>90800</x:v>
      </x:c>
      <x:c r="M832" s="25" t="n">
        <x:v>0</x:v>
      </x:c>
      <x:c r="N832" s="25" t="str">
        <x:v>否</x:v>
      </x:c>
      <x:c r="O832" s="25" t="n">
        <x:v>0</x:v>
      </x:c>
      <x:c r="P832" s="25" t="n">
        <x:v>0</x:v>
      </x:c>
      <x:c r="Q832" s="25" t="n">
        <x:v>0</x:v>
      </x:c>
      <x:c r="R832" s="25" t="str">
        <x:v>洗练绑定装备；项链幸运绑定人物永久进度；武器幸运成本忽略</x:v>
      </x:c>
    </x:row>
    <x:row r="833">
      <x:c r="A833" s="25" t="str">
        <x:v>C08-G</x:v>
      </x:c>
      <x:c r="B833" s="25" t="str">
        <x:v>巨人山顶</x:v>
      </x:c>
      <x:c r="C833" s="25" t="str">
        <x:v>半急速毕业</x:v>
      </x:c>
      <x:c r="D833" s="25" t="n">
        <x:v>0</x:v>
      </x:c>
      <x:c r="E833" s="25" t="n">
        <x:v>154</x:v>
      </x:c>
      <x:c r="F833" s="25" t="str">
        <x:v>塞维拉狱衣</x:v>
      </x:c>
      <x:c r="G833" s="25" t="str">
        <x:v>衣服</x:v>
      </x:c>
      <x:c r="H833" s="25" t="n">
        <x:v>6</x:v>
      </x:c>
      <x:c r="I833" s="25" t="str">
        <x:v>地图BOSS</x:v>
      </x:c>
      <x:c r="J833" s="25" t="str">
        <x:v>S07</x:v>
      </x:c>
      <x:c r="K833" s="25" t="str">
        <x:v>490-950</x:v>
      </x:c>
      <x:c r="L833" s="25" t="n">
        <x:v>2200000</x:v>
      </x:c>
      <x:c r="M833" s="25" t="n">
        <x:v>5</x:v>
      </x:c>
      <x:c r="N833" s="25" t="str">
        <x:v>否</x:v>
      </x:c>
      <x:c r="O833" s="25" t="n">
        <x:v>0</x:v>
      </x:c>
      <x:c r="P833" s="25" t="n">
        <x:v>0</x:v>
      </x:c>
      <x:c r="Q833" s="25" t="n">
        <x:v>0</x:v>
      </x:c>
      <x:c r="R833" s="25" t="str">
        <x:v>洗练绑定装备；项链幸运绑定人物永久进度；武器幸运成本忽略</x:v>
      </x:c>
    </x:row>
    <x:row r="834">
      <x:c r="A834" s="25" t="str">
        <x:v>C08-G</x:v>
      </x:c>
      <x:c r="B834" s="25" t="str">
        <x:v>巨人山顶</x:v>
      </x:c>
      <x:c r="C834" s="25" t="str">
        <x:v>半急速毕业</x:v>
      </x:c>
      <x:c r="D834" s="25" t="n">
        <x:v>1</x:v>
      </x:c>
      <x:c r="E834" s="25" t="n">
        <x:v>152</x:v>
      </x:c>
      <x:c r="F834" s="25" t="str">
        <x:v>卡利亚月裁长刃</x:v>
      </x:c>
      <x:c r="G834" s="25" t="str">
        <x:v>武器</x:v>
      </x:c>
      <x:c r="H834" s="25" t="n">
        <x:v>5</x:v>
      </x:c>
      <x:c r="I834" s="25" t="str">
        <x:v>装备合成</x:v>
      </x:c>
      <x:c r="J834" s="25" t="str">
        <x:v>S07</x:v>
      </x:c>
      <x:c r="K834" s="25" t="str">
        <x:v>4200-8000</x:v>
      </x:c>
      <x:c r="L834" s="25" t="n">
        <x:v>480000</x:v>
      </x:c>
      <x:c r="M834" s="25" t="n">
        <x:v>6</x:v>
      </x:c>
      <x:c r="N834" s="25" t="str">
        <x:v>否</x:v>
      </x:c>
      <x:c r="O834" s="25" t="n">
        <x:v>7</x:v>
      </x:c>
      <x:c r="P834" s="25" t="n">
        <x:v>0</x:v>
      </x:c>
      <x:c r="Q834" s="25" t="n">
        <x:v>0</x:v>
      </x:c>
      <x:c r="R834" s="25" t="str">
        <x:v>洗练绑定装备；项链幸运绑定人物永久进度；武器幸运成本忽略</x:v>
      </x:c>
    </x:row>
    <x:row r="835">
      <x:c r="A835" s="25" t="str">
        <x:v>C08-G</x:v>
      </x:c>
      <x:c r="B835" s="25" t="str">
        <x:v>巨人山顶</x:v>
      </x:c>
      <x:c r="C835" s="25" t="str">
        <x:v>半急速毕业</x:v>
      </x:c>
      <x:c r="D835" s="25" t="n">
        <x:v>2</x:v>
      </x:c>
      <x:c r="E835" s="25" t="n">
        <x:v>144</x:v>
      </x:c>
      <x:c r="F835" s="25" t="str">
        <x:v>灰烬裁印</x:v>
      </x:c>
      <x:c r="G835" s="25" t="str">
        <x:v>勋章</x:v>
      </x:c>
      <x:c r="H835" s="25" t="n">
        <x:v>6</x:v>
      </x:c>
      <x:c r="I835" s="25" t="str">
        <x:v>稀有</x:v>
      </x:c>
      <x:c r="J835" s="25" t="str">
        <x:v>S07</x:v>
      </x:c>
      <x:c r="K835" s="25" t="str">
        <x:v>350-680</x:v>
      </x:c>
      <x:c r="L835" s="25" t="n">
        <x:v>370000</x:v>
      </x:c>
      <x:c r="M835" s="25" t="n">
        <x:v>0</x:v>
      </x:c>
      <x:c r="N835" s="25" t="str">
        <x:v>否</x:v>
      </x:c>
      <x:c r="O835" s="25" t="n">
        <x:v>0</x:v>
      </x:c>
      <x:c r="P835" s="25" t="n">
        <x:v>0</x:v>
      </x:c>
      <x:c r="Q835" s="25" t="n">
        <x:v>0</x:v>
      </x:c>
      <x:c r="R835" s="25" t="str">
        <x:v>洗练绑定装备；项链幸运绑定人物永久进度；武器幸运成本忽略</x:v>
      </x:c>
    </x:row>
    <x:row r="836">
      <x:c r="A836" s="25" t="str">
        <x:v>C08-G</x:v>
      </x:c>
      <x:c r="B836" s="25" t="str">
        <x:v>巨人山顶</x:v>
      </x:c>
      <x:c r="C836" s="25" t="str">
        <x:v>半急速毕业</x:v>
      </x:c>
      <x:c r="D836" s="25" t="n">
        <x:v>3</x:v>
      </x:c>
      <x:c r="E836" s="25" t="n">
        <x:v>168</x:v>
      </x:c>
      <x:c r="F836" s="25" t="str">
        <x:v>寒羽猎链</x:v>
      </x:c>
      <x:c r="G836" s="25" t="str">
        <x:v>项链</x:v>
      </x:c>
      <x:c r="H836" s="25" t="n">
        <x:v>7</x:v>
      </x:c>
      <x:c r="I836" s="25" t="str">
        <x:v>普通</x:v>
      </x:c>
      <x:c r="J836" s="25" t="str">
        <x:v>S07</x:v>
      </x:c>
      <x:c r="K836" s="25" t="str">
        <x:v>440-850</x:v>
      </x:c>
      <x:c r="L836" s="25" t="n">
        <x:v>370000</x:v>
      </x:c>
      <x:c r="M836" s="25" t="n">
        <x:v>4</x:v>
      </x:c>
      <x:c r="N836" s="25" t="str">
        <x:v>否</x:v>
      </x:c>
      <x:c r="O836" s="25" t="n">
        <x:v>0</x:v>
      </x:c>
      <x:c r="P836" s="25" t="n">
        <x:v>0</x:v>
      </x:c>
      <x:c r="Q836" s="25" t="n">
        <x:v>0</x:v>
      </x:c>
      <x:c r="R836" s="25" t="str">
        <x:v>洗练绑定装备；项链幸运绑定人物永久进度；武器幸运成本忽略</x:v>
      </x:c>
    </x:row>
    <x:row r="837">
      <x:c r="A837" s="25" t="str">
        <x:v>C08-G</x:v>
      </x:c>
      <x:c r="B837" s="25" t="str">
        <x:v>巨人山顶</x:v>
      </x:c>
      <x:c r="C837" s="25" t="str">
        <x:v>半急速毕业</x:v>
      </x:c>
      <x:c r="D837" s="25" t="n">
        <x:v>4</x:v>
      </x:c>
      <x:c r="E837" s="25" t="n">
        <x:v>159</x:v>
      </x:c>
      <x:c r="F837" s="25" t="str">
        <x:v>白烛礼冠</x:v>
      </x:c>
      <x:c r="G837" s="25" t="str">
        <x:v>头盔</x:v>
      </x:c>
      <x:c r="H837" s="25" t="n">
        <x:v>7</x:v>
      </x:c>
      <x:c r="I837" s="25" t="str">
        <x:v>普通</x:v>
      </x:c>
      <x:c r="J837" s="25" t="str">
        <x:v>S07</x:v>
      </x:c>
      <x:c r="K837" s="25" t="str">
        <x:v>320-610</x:v>
      </x:c>
      <x:c r="L837" s="25" t="n">
        <x:v>640000</x:v>
      </x:c>
      <x:c r="M837" s="25" t="n">
        <x:v>7</x:v>
      </x:c>
      <x:c r="N837" s="25" t="str">
        <x:v>是</x:v>
      </x:c>
      <x:c r="O837" s="25" t="n">
        <x:v>0</x:v>
      </x:c>
      <x:c r="P837" s="25" t="n">
        <x:v>0</x:v>
      </x:c>
      <x:c r="Q837" s="25" t="n">
        <x:v>0</x:v>
      </x:c>
      <x:c r="R837" s="25" t="str">
        <x:v>洗练绑定装备；项链幸运绑定人物永久进度；武器幸运成本忽略</x:v>
      </x:c>
    </x:row>
    <x:row r="838">
      <x:c r="A838" s="25" t="str">
        <x:v>C08-G</x:v>
      </x:c>
      <x:c r="B838" s="25" t="str">
        <x:v>巨人山顶</x:v>
      </x:c>
      <x:c r="C838" s="25" t="str">
        <x:v>半急速毕业</x:v>
      </x:c>
      <x:c r="D838" s="25" t="n">
        <x:v>5</x:v>
      </x:c>
      <x:c r="E838" s="25" t="n">
        <x:v>156</x:v>
      </x:c>
      <x:c r="F838" s="25" t="str">
        <x:v>烬鳞护腕</x:v>
      </x:c>
      <x:c r="G838" s="25" t="str">
        <x:v>手镯</x:v>
      </x:c>
      <x:c r="H838" s="25" t="n">
        <x:v>6</x:v>
      </x:c>
      <x:c r="I838" s="25" t="str">
        <x:v>普通</x:v>
      </x:c>
      <x:c r="J838" s="25" t="str">
        <x:v>S07</x:v>
      </x:c>
      <x:c r="K838" s="25" t="str">
        <x:v>330-630</x:v>
      </x:c>
      <x:c r="L838" s="25" t="n">
        <x:v>250000</x:v>
      </x:c>
      <x:c r="M838" s="25" t="n">
        <x:v>3</x:v>
      </x:c>
      <x:c r="N838" s="25" t="str">
        <x:v>否</x:v>
      </x:c>
      <x:c r="O838" s="25" t="n">
        <x:v>0</x:v>
      </x:c>
      <x:c r="P838" s="25" t="n">
        <x:v>0</x:v>
      </x:c>
      <x:c r="Q838" s="25" t="n">
        <x:v>0</x:v>
      </x:c>
      <x:c r="R838" s="25" t="str">
        <x:v>洗练绑定装备；项链幸运绑定人物永久进度；武器幸运成本忽略</x:v>
      </x:c>
    </x:row>
    <x:row r="839">
      <x:c r="A839" s="25" t="str">
        <x:v>C08-G</x:v>
      </x:c>
      <x:c r="B839" s="25" t="str">
        <x:v>巨人山顶</x:v>
      </x:c>
      <x:c r="C839" s="25" t="str">
        <x:v>半急速毕业</x:v>
      </x:c>
      <x:c r="D839" s="25" t="n">
        <x:v>6</x:v>
      </x:c>
      <x:c r="E839" s="25" t="n">
        <x:v>170</x:v>
      </x:c>
      <x:c r="F839" s="25" t="str">
        <x:v>血菌腕轮</x:v>
      </x:c>
      <x:c r="G839" s="25" t="str">
        <x:v>手镯</x:v>
      </x:c>
      <x:c r="H839" s="25" t="n">
        <x:v>6</x:v>
      </x:c>
      <x:c r="I839" s="25" t="str">
        <x:v>普通</x:v>
      </x:c>
      <x:c r="J839" s="25" t="str">
        <x:v>S07</x:v>
      </x:c>
      <x:c r="K839" s="25" t="str">
        <x:v>300-570</x:v>
      </x:c>
      <x:c r="L839" s="25" t="n">
        <x:v>230000</x:v>
      </x:c>
      <x:c r="M839" s="25" t="n">
        <x:v>6</x:v>
      </x:c>
      <x:c r="N839" s="25" t="str">
        <x:v>否</x:v>
      </x:c>
      <x:c r="O839" s="25" t="n">
        <x:v>0</x:v>
      </x:c>
      <x:c r="P839" s="25" t="n">
        <x:v>0</x:v>
      </x:c>
      <x:c r="Q839" s="25" t="n">
        <x:v>0</x:v>
      </x:c>
      <x:c r="R839" s="25" t="str">
        <x:v>洗练绑定装备；项链幸运绑定人物永久进度；武器幸运成本忽略</x:v>
      </x:c>
    </x:row>
    <x:row r="840">
      <x:c r="A840" s="25" t="str">
        <x:v>C08-G</x:v>
      </x:c>
      <x:c r="B840" s="25" t="str">
        <x:v>巨人山顶</x:v>
      </x:c>
      <x:c r="C840" s="25" t="str">
        <x:v>半急速毕业</x:v>
      </x:c>
      <x:c r="D840" s="25" t="n">
        <x:v>7</x:v>
      </x:c>
      <x:c r="E840" s="25" t="n">
        <x:v>171</x:v>
      </x:c>
      <x:c r="F840" s="25" t="str">
        <x:v>苍鬃牙戒</x:v>
      </x:c>
      <x:c r="G840" s="25" t="str">
        <x:v>戒指</x:v>
      </x:c>
      <x:c r="H840" s="25" t="n">
        <x:v>7</x:v>
      </x:c>
      <x:c r="I840" s="25" t="str">
        <x:v>普通</x:v>
      </x:c>
      <x:c r="J840" s="25" t="str">
        <x:v>S07</x:v>
      </x:c>
      <x:c r="K840" s="25" t="str">
        <x:v>470-910</x:v>
      </x:c>
      <x:c r="L840" s="25" t="n">
        <x:v>370000</x:v>
      </x:c>
      <x:c r="M840" s="25" t="n">
        <x:v>4</x:v>
      </x:c>
      <x:c r="N840" s="25" t="str">
        <x:v>否</x:v>
      </x:c>
      <x:c r="O840" s="25" t="n">
        <x:v>0</x:v>
      </x:c>
      <x:c r="P840" s="25" t="n">
        <x:v>0</x:v>
      </x:c>
      <x:c r="Q840" s="25" t="n">
        <x:v>0</x:v>
      </x:c>
      <x:c r="R840" s="25" t="str">
        <x:v>洗练绑定装备；项链幸运绑定人物永久进度；武器幸运成本忽略</x:v>
      </x:c>
    </x:row>
    <x:row r="841">
      <x:c r="A841" s="25" t="str">
        <x:v>C08-G</x:v>
      </x:c>
      <x:c r="B841" s="25" t="str">
        <x:v>巨人山顶</x:v>
      </x:c>
      <x:c r="C841" s="25" t="str">
        <x:v>半急速毕业</x:v>
      </x:c>
      <x:c r="D841" s="25" t="n">
        <x:v>8</x:v>
      </x:c>
      <x:c r="E841" s="25" t="n">
        <x:v>118</x:v>
      </x:c>
      <x:c r="F841" s="25" t="str">
        <x:v>月渊秘戒</x:v>
      </x:c>
      <x:c r="G841" s="25" t="str">
        <x:v>戒指</x:v>
      </x:c>
      <x:c r="H841" s="25" t="n">
        <x:v>4</x:v>
      </x:c>
      <x:c r="I841" s="25" t="str">
        <x:v>装备合成</x:v>
      </x:c>
      <x:c r="J841" s="25" t="str">
        <x:v>S07</x:v>
      </x:c>
      <x:c r="K841" s="25" t="str">
        <x:v>350-670</x:v>
      </x:c>
      <x:c r="L841" s="25" t="n">
        <x:v>270000</x:v>
      </x:c>
      <x:c r="M841" s="25" t="n">
        <x:v>6</x:v>
      </x:c>
      <x:c r="N841" s="25" t="str">
        <x:v>否</x:v>
      </x:c>
      <x:c r="O841" s="25" t="n">
        <x:v>0</x:v>
      </x:c>
      <x:c r="P841" s="25" t="n">
        <x:v>0</x:v>
      </x:c>
      <x:c r="Q841" s="25" t="n">
        <x:v>0</x:v>
      </x:c>
      <x:c r="R841" s="25" t="str">
        <x:v>洗练绑定装备；项链幸运绑定人物永久进度；武器幸运成本忽略</x:v>
      </x:c>
    </x:row>
    <x:row r="842">
      <x:c r="A842" s="25" t="str">
        <x:v>C08-G</x:v>
      </x:c>
      <x:c r="B842" s="25" t="str">
        <x:v>巨人山顶</x:v>
      </x:c>
      <x:c r="C842" s="25" t="str">
        <x:v>半急速毕业</x:v>
      </x:c>
      <x:c r="D842" s="25" t="n">
        <x:v>10</x:v>
      </x:c>
      <x:c r="E842" s="25" t="n">
        <x:v>160</x:v>
      </x:c>
      <x:c r="F842" s="25" t="str">
        <x:v>寒弓束带</x:v>
      </x:c>
      <x:c r="G842" s="25" t="str">
        <x:v>腰带</x:v>
      </x:c>
      <x:c r="H842" s="25" t="n">
        <x:v>7</x:v>
      </x:c>
      <x:c r="I842" s="25" t="str">
        <x:v>普通</x:v>
      </x:c>
      <x:c r="J842" s="25" t="str">
        <x:v>S07</x:v>
      </x:c>
      <x:c r="K842" s="25" t="str">
        <x:v>320-620</x:v>
      </x:c>
      <x:c r="L842" s="25" t="n">
        <x:v>540000</x:v>
      </x:c>
      <x:c r="M842" s="25" t="n">
        <x:v>6</x:v>
      </x:c>
      <x:c r="N842" s="25" t="str">
        <x:v>否</x:v>
      </x:c>
      <x:c r="O842" s="25" t="n">
        <x:v>0</x:v>
      </x:c>
      <x:c r="P842" s="25" t="n">
        <x:v>0</x:v>
      </x:c>
      <x:c r="Q842" s="25" t="n">
        <x:v>0</x:v>
      </x:c>
      <x:c r="R842" s="25" t="str">
        <x:v>洗练绑定装备；项链幸运绑定人物永久进度；武器幸运成本忽略</x:v>
      </x:c>
    </x:row>
    <x:row r="843">
      <x:c r="A843" s="25" t="str">
        <x:v>C08-G</x:v>
      </x:c>
      <x:c r="B843" s="25" t="str">
        <x:v>巨人山顶</x:v>
      </x:c>
      <x:c r="C843" s="25" t="str">
        <x:v>半急速毕业</x:v>
      </x:c>
      <x:c r="D843" s="25" t="n">
        <x:v>11</x:v>
      </x:c>
      <x:c r="E843" s="25" t="n">
        <x:v>161</x:v>
      </x:c>
      <x:c r="F843" s="25" t="str">
        <x:v>霜风战靴</x:v>
      </x:c>
      <x:c r="G843" s="25" t="str">
        <x:v>鞋子</x:v>
      </x:c>
      <x:c r="H843" s="25" t="n">
        <x:v>7</x:v>
      </x:c>
      <x:c r="I843" s="25" t="str">
        <x:v>稀有</x:v>
      </x:c>
      <x:c r="J843" s="25" t="str">
        <x:v>S07</x:v>
      </x:c>
      <x:c r="K843" s="25" t="str">
        <x:v>410-790</x:v>
      </x:c>
      <x:c r="L843" s="25" t="n">
        <x:v>590000</x:v>
      </x:c>
      <x:c r="M843" s="25" t="n">
        <x:v>3</x:v>
      </x:c>
      <x:c r="N843" s="25" t="str">
        <x:v>否</x:v>
      </x:c>
      <x:c r="O843" s="25" t="n">
        <x:v>0</x:v>
      </x:c>
      <x:c r="P843" s="25" t="n">
        <x:v>0</x:v>
      </x:c>
      <x:c r="Q843" s="25" t="n">
        <x:v>0</x:v>
      </x:c>
      <x:c r="R843" s="25" t="str">
        <x:v>洗练绑定装备；项链幸运绑定人物永久进度；武器幸运成本忽略</x:v>
      </x:c>
    </x:row>
    <x:row r="844">
      <x:c r="A844" s="25" t="str">
        <x:v>C08-G</x:v>
      </x:c>
      <x:c r="B844" s="25" t="str">
        <x:v>巨人山顶</x:v>
      </x:c>
      <x:c r="C844" s="25" t="str">
        <x:v>半急速毕业</x:v>
      </x:c>
      <x:c r="D844" s="25" t="n">
        <x:v>13</x:v>
      </x:c>
      <x:c r="E844" s="25" t="n">
        <x:v>162</x:v>
      </x:c>
      <x:c r="F844" s="25" t="str">
        <x:v>雾界斗笠</x:v>
      </x:c>
      <x:c r="G844" s="25" t="str">
        <x:v>斗笠</x:v>
      </x:c>
      <x:c r="H844" s="25" t="n">
        <x:v>7</x:v>
      </x:c>
      <x:c r="I844" s="25" t="str">
        <x:v>普通</x:v>
      </x:c>
      <x:c r="J844" s="25" t="str">
        <x:v>S07</x:v>
      </x:c>
      <x:c r="K844" s="25" t="str">
        <x:v>280-540</x:v>
      </x:c>
      <x:c r="L844" s="25" t="n">
        <x:v>350000</x:v>
      </x:c>
      <x:c r="M844" s="25" t="n">
        <x:v>0</x:v>
      </x:c>
      <x:c r="N844" s="25" t="str">
        <x:v>否</x:v>
      </x:c>
      <x:c r="O844" s="25" t="n">
        <x:v>0</x:v>
      </x:c>
      <x:c r="P844" s="25" t="n">
        <x:v>0</x:v>
      </x:c>
      <x:c r="Q844" s="25" t="n">
        <x:v>0</x:v>
      </x:c>
      <x:c r="R844" s="25" t="str">
        <x:v>洗练绑定装备；项链幸运绑定人物永久进度；武器幸运成本忽略</x:v>
      </x:c>
    </x:row>
    <x:row r="845">
      <x:c r="A845" s="25" t="str">
        <x:v>C08-G</x:v>
      </x:c>
      <x:c r="B845" s="25" t="str">
        <x:v>巨人山顶</x:v>
      </x:c>
      <x:c r="C845" s="25" t="str">
        <x:v>半急速毕业</x:v>
      </x:c>
      <x:c r="D845" s="25" t="n">
        <x:v>16</x:v>
      </x:c>
      <x:c r="E845" s="25" t="n">
        <x:v>164</x:v>
      </x:c>
      <x:c r="F845" s="25" t="str">
        <x:v>吞日霜壁</x:v>
      </x:c>
      <x:c r="G845" s="25" t="str">
        <x:v>盾牌</x:v>
      </x:c>
      <x:c r="H845" s="25" t="n">
        <x:v>8</x:v>
      </x:c>
      <x:c r="I845" s="25" t="str">
        <x:v>装备合成</x:v>
      </x:c>
      <x:c r="J845" s="25" t="str">
        <x:v>S07</x:v>
      </x:c>
      <x:c r="K845" s="25" t="str">
        <x:v>2800-5400</x:v>
      </x:c>
      <x:c r="L845" s="25" t="n">
        <x:v>7700000</x:v>
      </x:c>
      <x:c r="M845" s="25" t="n">
        <x:v>0</x:v>
      </x:c>
      <x:c r="N845" s="25" t="str">
        <x:v>否</x:v>
      </x:c>
      <x:c r="O845" s="25" t="n">
        <x:v>0</x:v>
      </x:c>
      <x:c r="P845" s="25" t="n">
        <x:v>0</x:v>
      </x:c>
      <x:c r="Q845" s="25" t="n">
        <x:v>0</x:v>
      </x:c>
      <x:c r="R845" s="25" t="str">
        <x:v>洗练绑定装备；项链幸运绑定人物永久进度；武器幸运成本忽略</x:v>
      </x:c>
    </x:row>
    <x:row r="846">
      <x:c r="A846" s="25" t="str">
        <x:v>C08-G</x:v>
      </x:c>
      <x:c r="B846" s="25" t="str">
        <x:v>巨人山顶</x:v>
      </x:c>
      <x:c r="C846" s="25" t="str">
        <x:v>半急速毕业</x:v>
      </x:c>
      <x:c r="D846" s="25" t="n">
        <x:v>18</x:v>
      </x:c>
      <x:c r="E846" s="25" t="n">
        <x:v>137</x:v>
      </x:c>
      <x:c r="F846" s="25" t="str">
        <x:v>红狮余烬王衣</x:v>
      </x:c>
      <x:c r="G846" s="25" t="str">
        <x:v>时装衣服</x:v>
      </x:c>
      <x:c r="H846" s="25" t="n">
        <x:v>6</x:v>
      </x:c>
      <x:c r="I846" s="25" t="str">
        <x:v>装备合成</x:v>
      </x:c>
      <x:c r="J846" s="25" t="str">
        <x:v>S07</x:v>
      </x:c>
      <x:c r="K846" s="25" t="str">
        <x:v>780-1500</x:v>
      </x:c>
      <x:c r="L846" s="25" t="n">
        <x:v>5100000</x:v>
      </x:c>
      <x:c r="M846" s="25" t="n">
        <x:v>0</x:v>
      </x:c>
      <x:c r="N846" s="25" t="str">
        <x:v>否</x:v>
      </x:c>
      <x:c r="O846" s="25" t="n">
        <x:v>0</x:v>
      </x:c>
      <x:c r="P846" s="25" t="n">
        <x:v>0</x:v>
      </x:c>
      <x:c r="Q846" s="25" t="n">
        <x:v>0</x:v>
      </x:c>
      <x:c r="R846" s="25" t="str">
        <x:v>洗练绑定装备；项链幸运绑定人物永久进度；武器幸运成本忽略</x:v>
      </x:c>
    </x:row>
    <x:row r="847">
      <x:c r="A847" s="25" t="str">
        <x:v>C08-G</x:v>
      </x:c>
      <x:c r="B847" s="25" t="str">
        <x:v>巨人山顶</x:v>
      </x:c>
      <x:c r="C847" s="25" t="str">
        <x:v>半急速毕业</x:v>
      </x:c>
      <x:c r="D847" s="25" t="n">
        <x:v>19</x:v>
      </x:c>
      <x:c r="E847" s="25" t="n">
        <x:v>147</x:v>
      </x:c>
      <x:c r="F847" s="25" t="str">
        <x:v>永霜白金刃</x:v>
      </x:c>
      <x:c r="G847" s="25" t="str">
        <x:v>时装武器</x:v>
      </x:c>
      <x:c r="H847" s="25" t="n">
        <x:v>7</x:v>
      </x:c>
      <x:c r="I847" s="25" t="str">
        <x:v>装备合成</x:v>
      </x:c>
      <x:c r="J847" s="25" t="str">
        <x:v>S07</x:v>
      </x:c>
      <x:c r="K847" s="25" t="str">
        <x:v>4800-9200</x:v>
      </x:c>
      <x:c r="L847" s="25" t="n">
        <x:v>1700000</x:v>
      </x:c>
      <x:c r="M847" s="25" t="n">
        <x:v>0</x:v>
      </x:c>
      <x:c r="N847" s="25" t="str">
        <x:v>否</x:v>
      </x:c>
      <x:c r="O847" s="25" t="n">
        <x:v>0</x:v>
      </x:c>
      <x:c r="P847" s="25" t="n">
        <x:v>0</x:v>
      </x:c>
      <x:c r="Q847" s="25" t="n">
        <x:v>0</x:v>
      </x:c>
      <x:c r="R847" s="25" t="str">
        <x:v>洗练绑定装备；项链幸运绑定人物永久进度；武器幸运成本忽略</x:v>
      </x:c>
    </x:row>
    <x:row r="848">
      <x:c r="A848" s="25" t="str">
        <x:v>C08-G</x:v>
      </x:c>
      <x:c r="B848" s="25" t="str">
        <x:v>巨人山顶</x:v>
      </x:c>
      <x:c r="C848" s="25" t="str">
        <x:v>半急速毕业</x:v>
      </x:c>
      <x:c r="D848" s="25" t="n">
        <x:v>20</x:v>
      </x:c>
      <x:c r="E848" s="25" t="n">
        <x:v>40</x:v>
      </x:c>
      <x:c r="F848" s="25" t="str">
        <x:v>英雄余誓</x:v>
      </x:c>
      <x:c r="G848" s="25" t="str">
        <x:v>时装项链</x:v>
      </x:c>
      <x:c r="H848" s="25" t="n">
        <x:v>2</x:v>
      </x:c>
      <x:c r="I848" s="25" t="str">
        <x:v>稀有</x:v>
      </x:c>
      <x:c r="J848" s="25" t="str">
        <x:v>S02</x:v>
      </x:c>
      <x:c r="K848" s="25" t="str">
        <x:v>31-60</x:v>
      </x:c>
      <x:c r="L848" s="25" t="n">
        <x:v>17900</x:v>
      </x:c>
      <x:c r="M848" s="25" t="n">
        <x:v>0</x:v>
      </x:c>
      <x:c r="N848" s="25" t="str">
        <x:v>否</x:v>
      </x:c>
      <x:c r="O848" s="25" t="n">
        <x:v>0</x:v>
      </x:c>
      <x:c r="P848" s="25" t="n">
        <x:v>0</x:v>
      </x:c>
      <x:c r="Q848" s="25" t="n">
        <x:v>0</x:v>
      </x:c>
      <x:c r="R848" s="25" t="str">
        <x:v>洗练绑定装备；项链幸运绑定人物永久进度；武器幸运成本忽略</x:v>
      </x:c>
    </x:row>
    <x:row r="849">
      <x:c r="A849" s="25" t="str">
        <x:v>C08-G</x:v>
      </x:c>
      <x:c r="B849" s="25" t="str">
        <x:v>巨人山顶</x:v>
      </x:c>
      <x:c r="C849" s="25" t="str">
        <x:v>半急速毕业</x:v>
      </x:c>
      <x:c r="D849" s="25" t="n">
        <x:v>21</x:v>
      </x:c>
      <x:c r="E849" s="25" t="n">
        <x:v>41</x:v>
      </x:c>
      <x:c r="F849" s="25" t="str">
        <x:v>初火兜鍪</x:v>
      </x:c>
      <x:c r="G849" s="25" t="str">
        <x:v>时装头盔</x:v>
      </x:c>
      <x:c r="H849" s="25" t="n">
        <x:v>2</x:v>
      </x:c>
      <x:c r="I849" s="25" t="str">
        <x:v>稀有</x:v>
      </x:c>
      <x:c r="J849" s="25" t="str">
        <x:v>S02</x:v>
      </x:c>
      <x:c r="K849" s="25" t="str">
        <x:v>22-42</x:v>
      </x:c>
      <x:c r="L849" s="25" t="n">
        <x:v>30900</x:v>
      </x:c>
      <x:c r="M849" s="25" t="n">
        <x:v>0</x:v>
      </x:c>
      <x:c r="N849" s="25" t="str">
        <x:v>否</x:v>
      </x:c>
      <x:c r="O849" s="25" t="n">
        <x:v>0</x:v>
      </x:c>
      <x:c r="P849" s="25" t="n">
        <x:v>0</x:v>
      </x:c>
      <x:c r="Q849" s="25" t="n">
        <x:v>0</x:v>
      </x:c>
      <x:c r="R849" s="25" t="str">
        <x:v>洗练绑定装备；项链幸运绑定人物永久进度；武器幸运成本忽略</x:v>
      </x:c>
    </x:row>
    <x:row r="850">
      <x:c r="A850" s="25" t="str">
        <x:v>C08-G</x:v>
      </x:c>
      <x:c r="B850" s="25" t="str">
        <x:v>巨人山顶</x:v>
      </x:c>
      <x:c r="C850" s="25" t="str">
        <x:v>半急速毕业</x:v>
      </x:c>
      <x:c r="D850" s="25" t="n">
        <x:v>22</x:v>
      </x:c>
      <x:c r="E850" s="25" t="n">
        <x:v>42</x:v>
      </x:c>
      <x:c r="F850" s="25" t="str">
        <x:v>卢恩血镯</x:v>
      </x:c>
      <x:c r="G850" s="25" t="str">
        <x:v>时装手镯</x:v>
      </x:c>
      <x:c r="H850" s="25" t="n">
        <x:v>2</x:v>
      </x:c>
      <x:c r="I850" s="25" t="str">
        <x:v>稀有</x:v>
      </x:c>
      <x:c r="J850" s="25" t="str">
        <x:v>S02</x:v>
      </x:c>
      <x:c r="K850" s="25" t="str">
        <x:v>42-80</x:v>
      </x:c>
      <x:c r="L850" s="25" t="n">
        <x:v>34400</x:v>
      </x:c>
      <x:c r="M850" s="25" t="n">
        <x:v>0</x:v>
      </x:c>
      <x:c r="N850" s="25" t="str">
        <x:v>否</x:v>
      </x:c>
      <x:c r="O850" s="25" t="n">
        <x:v>0</x:v>
      </x:c>
      <x:c r="P850" s="25" t="n">
        <x:v>0</x:v>
      </x:c>
      <x:c r="Q850" s="25" t="n">
        <x:v>0</x:v>
      </x:c>
      <x:c r="R850" s="25" t="str">
        <x:v>洗练绑定装备；项链幸运绑定人物永久进度；武器幸运成本忽略</x:v>
      </x:c>
    </x:row>
    <x:row r="851">
      <x:c r="A851" s="25" t="str">
        <x:v>C08-G</x:v>
      </x:c>
      <x:c r="B851" s="25" t="str">
        <x:v>巨人山顶</x:v>
      </x:c>
      <x:c r="C851" s="25" t="str">
        <x:v>半急速毕业</x:v>
      </x:c>
      <x:c r="D851" s="25" t="n">
        <x:v>24</x:v>
      </x:c>
      <x:c r="E851" s="25" t="n">
        <x:v>43</x:v>
      </x:c>
      <x:c r="F851" s="25" t="str">
        <x:v>黄金树戒</x:v>
      </x:c>
      <x:c r="G851" s="25" t="str">
        <x:v>时装戒指</x:v>
      </x:c>
      <x:c r="H851" s="25" t="n">
        <x:v>2</x:v>
      </x:c>
      <x:c r="I851" s="25" t="str">
        <x:v>稀有</x:v>
      </x:c>
      <x:c r="J851" s="25" t="str">
        <x:v>S02</x:v>
      </x:c>
      <x:c r="K851" s="25" t="str">
        <x:v>42-80</x:v>
      </x:c>
      <x:c r="L851" s="25" t="n">
        <x:v>34400</x:v>
      </x:c>
      <x:c r="M851" s="25" t="n">
        <x:v>0</x:v>
      </x:c>
      <x:c r="N851" s="25" t="str">
        <x:v>否</x:v>
      </x:c>
      <x:c r="O851" s="25" t="n">
        <x:v>0</x:v>
      </x:c>
      <x:c r="P851" s="25" t="n">
        <x:v>0</x:v>
      </x:c>
      <x:c r="Q851" s="25" t="n">
        <x:v>0</x:v>
      </x:c>
      <x:c r="R851" s="25" t="str">
        <x:v>洗练绑定装备；项链幸运绑定人物永久进度；武器幸运成本忽略</x:v>
      </x:c>
    </x:row>
    <x:row r="852">
      <x:c r="A852" s="25" t="str">
        <x:v>C08-G</x:v>
      </x:c>
      <x:c r="B852" s="25" t="str">
        <x:v>巨人山顶</x:v>
      </x:c>
      <x:c r="C852" s="25" t="str">
        <x:v>半急速毕业</x:v>
      </x:c>
      <x:c r="D852" s="25" t="n">
        <x:v>40</x:v>
      </x:c>
      <x:c r="E852" s="25" t="n">
        <x:v>44</x:v>
      </x:c>
      <x:c r="F852" s="25" t="str">
        <x:v>腐树子鼠</x:v>
      </x:c>
      <x:c r="G852" s="25" t="str">
        <x:v>生肖1</x:v>
      </x:c>
      <x:c r="H852" s="25" t="n">
        <x:v>2</x:v>
      </x:c>
      <x:c r="I852" s="25" t="str">
        <x:v>BOSS</x:v>
      </x:c>
      <x:c r="J852" s="25" t="str">
        <x:v>S02</x:v>
      </x:c>
      <x:c r="K852" s="25" t="str">
        <x:v>29-56</x:v>
      </x:c>
      <x:c r="L852" s="25" t="n">
        <x:v>23600</x:v>
      </x:c>
      <x:c r="M852" s="25" t="n">
        <x:v>0</x:v>
      </x:c>
      <x:c r="N852" s="25" t="str">
        <x:v>否</x:v>
      </x:c>
      <x:c r="O852" s="25" t="n">
        <x:v>0</x:v>
      </x:c>
      <x:c r="P852" s="25" t="n">
        <x:v>0</x:v>
      </x:c>
      <x:c r="Q852" s="25" t="n">
        <x:v>0</x:v>
      </x:c>
      <x:c r="R852" s="25" t="str">
        <x:v>洗练绑定装备；项链幸运绑定人物永久进度；武器幸运成本忽略</x:v>
      </x:c>
    </x:row>
    <x:row r="853">
      <x:c r="A853" s="25" t="str">
        <x:v>C08-G</x:v>
      </x:c>
      <x:c r="B853" s="25" t="str">
        <x:v>巨人山顶</x:v>
      </x:c>
      <x:c r="C853" s="25" t="str">
        <x:v>半急速毕业</x:v>
      </x:c>
      <x:c r="D853" s="25" t="n">
        <x:v>41</x:v>
      </x:c>
      <x:c r="E853" s="25" t="n">
        <x:v>69</x:v>
      </x:c>
      <x:c r="F853" s="25" t="str">
        <x:v>丑牛·风暴负山</x:v>
      </x:c>
      <x:c r="G853" s="25" t="str">
        <x:v>生肖2</x:v>
      </x:c>
      <x:c r="H853" s="25" t="n">
        <x:v>2</x:v>
      </x:c>
      <x:c r="I853" s="25" t="str">
        <x:v>生肖合成</x:v>
      </x:c>
      <x:c r="J853" s="25" t="str">
        <x:v>S07</x:v>
      </x:c>
      <x:c r="K853" s="25" t="str">
        <x:v>25-49</x:v>
      </x:c>
      <x:c r="L853" s="25" t="n">
        <x:v>64000</x:v>
      </x:c>
      <x:c r="M853" s="25" t="n">
        <x:v>0</x:v>
      </x:c>
      <x:c r="N853" s="25" t="str">
        <x:v>否</x:v>
      </x:c>
      <x:c r="O853" s="25" t="n">
        <x:v>0</x:v>
      </x:c>
      <x:c r="P853" s="25" t="n">
        <x:v>0</x:v>
      </x:c>
      <x:c r="Q853" s="25" t="n">
        <x:v>0</x:v>
      </x:c>
      <x:c r="R853" s="25" t="str">
        <x:v>洗练绑定装备；项链幸运绑定人物永久进度；武器幸运成本忽略</x:v>
      </x:c>
    </x:row>
    <x:row r="854">
      <x:c r="A854" s="25" t="str">
        <x:v>C08-G</x:v>
      </x:c>
      <x:c r="B854" s="25" t="str">
        <x:v>巨人山顶</x:v>
      </x:c>
      <x:c r="C854" s="25" t="str">
        <x:v>半急速毕业</x:v>
      </x:c>
      <x:c r="D854" s="25" t="n">
        <x:v>42</x:v>
      </x:c>
      <x:c r="E854" s="25" t="n">
        <x:v>138</x:v>
      </x:c>
      <x:c r="F854" s="25" t="str">
        <x:v>寅虎·红狮焚原</x:v>
      </x:c>
      <x:c r="G854" s="25" t="str">
        <x:v>生肖3</x:v>
      </x:c>
      <x:c r="H854" s="25" t="n">
        <x:v>6</x:v>
      </x:c>
      <x:c r="I854" s="25" t="str">
        <x:v>生肖合成</x:v>
      </x:c>
      <x:c r="J854" s="25" t="str">
        <x:v>S07</x:v>
      </x:c>
      <x:c r="K854" s="25" t="str">
        <x:v>250-490</x:v>
      </x:c>
      <x:c r="L854" s="25" t="n">
        <x:v>640000</x:v>
      </x:c>
      <x:c r="M854" s="25" t="n">
        <x:v>0</x:v>
      </x:c>
      <x:c r="N854" s="25" t="str">
        <x:v>否</x:v>
      </x:c>
      <x:c r="O854" s="25" t="n">
        <x:v>0</x:v>
      </x:c>
      <x:c r="P854" s="25" t="n">
        <x:v>0</x:v>
      </x:c>
      <x:c r="Q854" s="25" t="n">
        <x:v>0</x:v>
      </x:c>
      <x:c r="R854" s="25" t="str">
        <x:v>洗练绑定装备；项链幸运绑定人物永久进度；武器幸运成本忽略</x:v>
      </x:c>
    </x:row>
    <x:row r="855">
      <x:c r="A855" s="25" t="str">
        <x:v>C08-G</x:v>
      </x:c>
      <x:c r="B855" s="25" t="str">
        <x:v>巨人山顶</x:v>
      </x:c>
      <x:c r="C855" s="25" t="str">
        <x:v>半急速毕业</x:v>
      </x:c>
      <x:c r="D855" s="25" t="n">
        <x:v>43</x:v>
      </x:c>
      <x:c r="E855" s="25" t="n">
        <x:v>127</x:v>
      </x:c>
      <x:c r="F855" s="25" t="str">
        <x:v>卯兔·镜月折辉</x:v>
      </x:c>
      <x:c r="G855" s="25" t="str">
        <x:v>生肖4</x:v>
      </x:c>
      <x:c r="H855" s="25" t="n">
        <x:v>5</x:v>
      </x:c>
      <x:c r="I855" s="25" t="str">
        <x:v>生肖合成</x:v>
      </x:c>
      <x:c r="J855" s="25" t="str">
        <x:v>S07</x:v>
      </x:c>
      <x:c r="K855" s="25" t="str">
        <x:v>150-280</x:v>
      </x:c>
      <x:c r="L855" s="25" t="n">
        <x:v>360000</x:v>
      </x:c>
      <x:c r="M855" s="25" t="n">
        <x:v>0</x:v>
      </x:c>
      <x:c r="N855" s="25" t="str">
        <x:v>否</x:v>
      </x:c>
      <x:c r="O855" s="25" t="n">
        <x:v>0</x:v>
      </x:c>
      <x:c r="P855" s="25" t="n">
        <x:v>0</x:v>
      </x:c>
      <x:c r="Q855" s="25" t="n">
        <x:v>0</x:v>
      </x:c>
      <x:c r="R855" s="25" t="str">
        <x:v>洗练绑定装备；项链幸运绑定人物永久进度；武器幸运成本忽略</x:v>
      </x:c>
    </x:row>
    <x:row r="856">
      <x:c r="A856" s="25" t="str">
        <x:v>C08-G</x:v>
      </x:c>
      <x:c r="B856" s="25" t="str">
        <x:v>巨人山顶</x:v>
      </x:c>
      <x:c r="C856" s="25" t="str">
        <x:v>半急速毕业</x:v>
      </x:c>
      <x:c r="D856" s="25" t="n">
        <x:v>44</x:v>
      </x:c>
      <x:c r="E856" s="25" t="n">
        <x:v>91</x:v>
      </x:c>
      <x:c r="F856" s="25" t="str">
        <x:v>辰龙·荒原逐风</x:v>
      </x:c>
      <x:c r="G856" s="25" t="str">
        <x:v>生肖5</x:v>
      </x:c>
      <x:c r="H856" s="25" t="n">
        <x:v>3</x:v>
      </x:c>
      <x:c r="I856" s="25" t="str">
        <x:v>生肖合成</x:v>
      </x:c>
      <x:c r="J856" s="25" t="str">
        <x:v>S07</x:v>
      </x:c>
      <x:c r="K856" s="25" t="str">
        <x:v>47-90</x:v>
      </x:c>
      <x:c r="L856" s="25" t="n">
        <x:v>120000</x:v>
      </x:c>
      <x:c r="M856" s="25" t="n">
        <x:v>0</x:v>
      </x:c>
      <x:c r="N856" s="25" t="str">
        <x:v>否</x:v>
      </x:c>
      <x:c r="O856" s="25" t="n">
        <x:v>0</x:v>
      </x:c>
      <x:c r="P856" s="25" t="n">
        <x:v>0</x:v>
      </x:c>
      <x:c r="Q856" s="25" t="n">
        <x:v>0</x:v>
      </x:c>
      <x:c r="R856" s="25" t="str">
        <x:v>洗练绑定装备；项链幸运绑定人物永久进度；武器幸运成本忽略</x:v>
      </x:c>
    </x:row>
    <x:row r="857">
      <x:c r="A857" s="25" t="str">
        <x:v>C08-G</x:v>
      </x:c>
      <x:c r="B857" s="25" t="str">
        <x:v>巨人山顶</x:v>
      </x:c>
      <x:c r="C857" s="25" t="str">
        <x:v>半急速毕业</x:v>
      </x:c>
      <x:c r="D857" s="25" t="n">
        <x:v>45</x:v>
      </x:c>
      <x:c r="E857" s="25" t="n">
        <x:v>107</x:v>
      </x:c>
      <x:c r="F857" s="25" t="str">
        <x:v>巳蛇·沉潮缚月</x:v>
      </x:c>
      <x:c r="G857" s="25" t="str">
        <x:v>生肖6</x:v>
      </x:c>
      <x:c r="H857" s="25" t="n">
        <x:v>4</x:v>
      </x:c>
      <x:c r="I857" s="25" t="str">
        <x:v>生肖合成</x:v>
      </x:c>
      <x:c r="J857" s="25" t="str">
        <x:v>S07</x:v>
      </x:c>
      <x:c r="K857" s="25" t="str">
        <x:v>83-160</x:v>
      </x:c>
      <x:c r="L857" s="25" t="n">
        <x:v>200000</x:v>
      </x:c>
      <x:c r="M857" s="25" t="n">
        <x:v>0</x:v>
      </x:c>
      <x:c r="N857" s="25" t="str">
        <x:v>否</x:v>
      </x:c>
      <x:c r="O857" s="25" t="n">
        <x:v>0</x:v>
      </x:c>
      <x:c r="P857" s="25" t="n">
        <x:v>0</x:v>
      </x:c>
      <x:c r="Q857" s="25" t="n">
        <x:v>0</x:v>
      </x:c>
      <x:c r="R857" s="25" t="str">
        <x:v>洗练绑定装备；项链幸运绑定人物永久进度；武器幸运成本忽略</x:v>
      </x:c>
    </x:row>
    <x:row r="858">
      <x:c r="A858" s="25" t="str">
        <x:v>C08-G</x:v>
      </x:c>
      <x:c r="B858" s="25" t="str">
        <x:v>巨人山顶</x:v>
      </x:c>
      <x:c r="C858" s="25" t="str">
        <x:v>半急速毕业</x:v>
      </x:c>
      <x:c r="D858" s="25" t="n">
        <x:v>46</x:v>
      </x:c>
      <x:c r="E858" s="25" t="n">
        <x:v>165</x:v>
      </x:c>
      <x:c r="F858" s="25" t="str">
        <x:v>午马·霜脊踏天</x:v>
      </x:c>
      <x:c r="G858" s="25" t="str">
        <x:v>生肖7</x:v>
      </x:c>
      <x:c r="H858" s="25" t="n">
        <x:v>8</x:v>
      </x:c>
      <x:c r="I858" s="25" t="str">
        <x:v>生肖合成</x:v>
      </x:c>
      <x:c r="J858" s="25" t="str">
        <x:v>S07</x:v>
      </x:c>
      <x:c r="K858" s="25" t="str">
        <x:v>830-1600</x:v>
      </x:c>
      <x:c r="L858" s="25" t="n">
        <x:v>2000000</x:v>
      </x:c>
      <x:c r="M858" s="25" t="n">
        <x:v>0</x:v>
      </x:c>
      <x:c r="N858" s="25" t="str">
        <x:v>否</x:v>
      </x:c>
      <x:c r="O858" s="25" t="n">
        <x:v>0</x:v>
      </x:c>
      <x:c r="P858" s="25" t="n">
        <x:v>0</x:v>
      </x:c>
      <x:c r="Q858" s="25" t="n">
        <x:v>0</x:v>
      </x:c>
      <x:c r="R858" s="25" t="str">
        <x:v>洗练绑定装备；项链幸运绑定人物永久进度；武器幸运成本忽略</x:v>
      </x:c>
    </x:row>
    <x:row r="859">
      <x:c r="A859" s="25" t="str">
        <x:v>C08-G</x:v>
      </x:c>
      <x:c r="B859" s="25" t="str">
        <x:v>巨人山顶</x:v>
      </x:c>
      <x:c r="C859" s="25" t="str">
        <x:v>半急速毕业</x:v>
      </x:c>
      <x:c r="D859" s="25" t="n">
        <x:v>47</x:v>
      </x:c>
      <x:c r="E859" s="25" t="n">
        <x:v>148</x:v>
      </x:c>
      <x:c r="F859" s="25" t="str">
        <x:v>未羊·永霜引路</x:v>
      </x:c>
      <x:c r="G859" s="25" t="str">
        <x:v>生肖8</x:v>
      </x:c>
      <x:c r="H859" s="25" t="n">
        <x:v>7</x:v>
      </x:c>
      <x:c r="I859" s="25" t="str">
        <x:v>生肖合成</x:v>
      </x:c>
      <x:c r="J859" s="25" t="str">
        <x:v>S07</x:v>
      </x:c>
      <x:c r="K859" s="25" t="str">
        <x:v>470-900</x:v>
      </x:c>
      <x:c r="L859" s="25" t="n">
        <x:v>1200000</x:v>
      </x:c>
      <x:c r="M859" s="25" t="n">
        <x:v>0</x:v>
      </x:c>
      <x:c r="N859" s="25" t="str">
        <x:v>否</x:v>
      </x:c>
      <x:c r="O859" s="25" t="n">
        <x:v>0</x:v>
      </x:c>
      <x:c r="P859" s="25" t="n">
        <x:v>0</x:v>
      </x:c>
      <x:c r="Q859" s="25" t="n">
        <x:v>0</x:v>
      </x:c>
      <x:c r="R859" s="25" t="str">
        <x:v>洗练绑定装备；项链幸运绑定人物永久进度；武器幸运成本忽略</x:v>
      </x:c>
    </x:row>
    <x:row r="860">
      <x:c r="A860" s="25" t="str">
        <x:v>C08-G</x:v>
      </x:c>
      <x:c r="B860" s="25" t="str">
        <x:v>巨人山顶</x:v>
      </x:c>
      <x:c r="C860" s="25" t="str">
        <x:v>半急速毕业</x:v>
      </x:c>
      <x:c r="D860" s="25" t="n">
        <x:v>48</x:v>
      </x:c>
      <x:c r="E860" s="25" t="n">
        <x:v>81</x:v>
      </x:c>
      <x:c r="F860" s="25" t="str">
        <x:v>雷冠申猴</x:v>
      </x:c>
      <x:c r="G860" s="25" t="str">
        <x:v>生肖9</x:v>
      </x:c>
      <x:c r="H860" s="25" t="n">
        <x:v>2</x:v>
      </x:c>
      <x:c r="I860" s="25" t="str">
        <x:v>BOSS</x:v>
      </x:c>
      <x:c r="J860" s="25" t="str">
        <x:v>S02</x:v>
      </x:c>
      <x:c r="K860" s="25" t="str">
        <x:v>44-84</x:v>
      </x:c>
      <x:c r="L860" s="25" t="n">
        <x:v>59800</x:v>
      </x:c>
      <x:c r="M860" s="25" t="n">
        <x:v>0</x:v>
      </x:c>
      <x:c r="N860" s="25" t="str">
        <x:v>否</x:v>
      </x:c>
      <x:c r="O860" s="25" t="n">
        <x:v>0</x:v>
      </x:c>
      <x:c r="P860" s="25" t="n">
        <x:v>0</x:v>
      </x:c>
      <x:c r="Q860" s="25" t="n">
        <x:v>0</x:v>
      </x:c>
      <x:c r="R860" s="25" t="str">
        <x:v>洗练绑定装备；项链幸运绑定人物永久进度；武器幸运成本忽略</x:v>
      </x:c>
    </x:row>
    <x:row r="861">
      <x:c r="A861" s="25" t="str">
        <x:v>C08-G</x:v>
      </x:c>
      <x:c r="B861" s="25" t="str">
        <x:v>巨人山顶</x:v>
      </x:c>
      <x:c r="C861" s="25" t="str">
        <x:v>半急速毕业</x:v>
      </x:c>
      <x:c r="D861" s="25" t="n">
        <x:v>49</x:v>
      </x:c>
      <x:c r="E861" s="25" t="n">
        <x:v>82</x:v>
      </x:c>
      <x:c r="F861" s="25" t="str">
        <x:v>恶兆酉鸡</x:v>
      </x:c>
      <x:c r="G861" s="25" t="str">
        <x:v>生肖10</x:v>
      </x:c>
      <x:c r="H861" s="25" t="n">
        <x:v>2</x:v>
      </x:c>
      <x:c r="I861" s="25" t="str">
        <x:v>BOSS</x:v>
      </x:c>
      <x:c r="J861" s="25" t="str">
        <x:v>S02</x:v>
      </x:c>
      <x:c r="K861" s="25" t="str">
        <x:v>44-84</x:v>
      </x:c>
      <x:c r="L861" s="25" t="n">
        <x:v>59800</x:v>
      </x:c>
      <x:c r="M861" s="25" t="n">
        <x:v>0</x:v>
      </x:c>
      <x:c r="N861" s="25" t="str">
        <x:v>否</x:v>
      </x:c>
      <x:c r="O861" s="25" t="n">
        <x:v>0</x:v>
      </x:c>
      <x:c r="P861" s="25" t="n">
        <x:v>0</x:v>
      </x:c>
      <x:c r="Q861" s="25" t="n">
        <x:v>0</x:v>
      </x:c>
      <x:c r="R861" s="25" t="str">
        <x:v>洗练绑定装备；项链幸运绑定人物永久进度；武器幸运成本忽略</x:v>
      </x:c>
    </x:row>
    <x:row r="862">
      <x:c r="A862" s="25" t="str">
        <x:v>C08-G</x:v>
      </x:c>
      <x:c r="B862" s="25" t="str">
        <x:v>巨人山顶</x:v>
      </x:c>
      <x:c r="C862" s="25" t="str">
        <x:v>半急速毕业</x:v>
      </x:c>
      <x:c r="D862" s="25" t="n">
        <x:v>50</x:v>
      </x:c>
      <x:c r="E862" s="25" t="n">
        <x:v>83</x:v>
      </x:c>
      <x:c r="F862" s="25" t="str">
        <x:v>失乡戌狗</x:v>
      </x:c>
      <x:c r="G862" s="25" t="str">
        <x:v>生肖11</x:v>
      </x:c>
      <x:c r="H862" s="25" t="n">
        <x:v>2</x:v>
      </x:c>
      <x:c r="I862" s="25" t="str">
        <x:v>BOSS</x:v>
      </x:c>
      <x:c r="J862" s="25" t="str">
        <x:v>S02</x:v>
      </x:c>
      <x:c r="K862" s="25" t="str">
        <x:v>48-93</x:v>
      </x:c>
      <x:c r="L862" s="25" t="n">
        <x:v>79800</x:v>
      </x:c>
      <x:c r="M862" s="25" t="n">
        <x:v>0</x:v>
      </x:c>
      <x:c r="N862" s="25" t="str">
        <x:v>否</x:v>
      </x:c>
      <x:c r="O862" s="25" t="n">
        <x:v>0</x:v>
      </x:c>
      <x:c r="P862" s="25" t="n">
        <x:v>0</x:v>
      </x:c>
      <x:c r="Q862" s="25" t="n">
        <x:v>0</x:v>
      </x:c>
      <x:c r="R862" s="25" t="str">
        <x:v>洗练绑定装备；项链幸运绑定人物永久进度；武器幸运成本忽略</x:v>
      </x:c>
    </x:row>
    <x:row r="863">
      <x:c r="A863" s="25" t="str">
        <x:v>C08-G</x:v>
      </x:c>
      <x:c r="B863" s="25" t="str">
        <x:v>巨人山顶</x:v>
      </x:c>
      <x:c r="C863" s="25" t="str">
        <x:v>半急速毕业</x:v>
      </x:c>
      <x:c r="D863" s="25" t="n">
        <x:v>51</x:v>
      </x:c>
      <x:c r="E863" s="25" t="n">
        <x:v>84</x:v>
      </x:c>
      <x:c r="F863" s="25" t="str">
        <x:v>接肢亥猪</x:v>
      </x:c>
      <x:c r="G863" s="25" t="str">
        <x:v>生肖12</x:v>
      </x:c>
      <x:c r="H863" s="25" t="n">
        <x:v>2</x:v>
      </x:c>
      <x:c r="I863" s="25" t="str">
        <x:v>守关BOSS</x:v>
      </x:c>
      <x:c r="J863" s="25" t="str">
        <x:v>S02</x:v>
      </x:c>
      <x:c r="K863" s="25" t="str">
        <x:v>55-106</x:v>
      </x:c>
      <x:c r="L863" s="25" t="n">
        <x:v>90800</x:v>
      </x:c>
      <x:c r="M863" s="25" t="n">
        <x:v>0</x:v>
      </x:c>
      <x:c r="N863" s="25" t="str">
        <x:v>否</x:v>
      </x:c>
      <x:c r="O863" s="25" t="n">
        <x:v>0</x:v>
      </x:c>
      <x:c r="P863" s="25" t="n">
        <x:v>0</x:v>
      </x:c>
      <x:c r="Q863" s="25" t="n">
        <x:v>0</x:v>
      </x:c>
      <x:c r="R863" s="25" t="str">
        <x:v>洗练绑定装备；项链幸运绑定人物永久进度；武器幸运成本忽略</x:v>
      </x:c>
    </x:row>
    <x:row r="864">
      <x:c r="A864" s="25" t="str">
        <x:v>C08-X</x:v>
      </x:c>
      <x:c r="B864" s="25" t="str">
        <x:v>巨人山顶</x:v>
      </x:c>
      <x:c r="C864" s="25" t="str">
        <x:v>极端压力</x:v>
      </x:c>
      <x:c r="D864" s="25" t="n">
        <x:v>0</x:v>
      </x:c>
      <x:c r="E864" s="25" t="n">
        <x:v>175</x:v>
      </x:c>
      <x:c r="F864" s="25" t="str">
        <x:v>赫芮迦穹霜王衣</x:v>
      </x:c>
      <x:c r="G864" s="25" t="str">
        <x:v>衣服</x:v>
      </x:c>
      <x:c r="H864" s="25" t="n">
        <x:v>8</x:v>
      </x:c>
      <x:c r="I864" s="25" t="str">
        <x:v>地图BOSS</x:v>
      </x:c>
      <x:c r="J864" s="25" t="str">
        <x:v>S07</x:v>
      </x:c>
      <x:c r="K864" s="25" t="str">
        <x:v>1700-3200</x:v>
      </x:c>
      <x:c r="L864" s="25" t="n">
        <x:v>7300000</x:v>
      </x:c>
      <x:c r="M864" s="25" t="n">
        <x:v>1</x:v>
      </x:c>
      <x:c r="N864" s="25" t="str">
        <x:v>否</x:v>
      </x:c>
      <x:c r="O864" s="25" t="n">
        <x:v>0</x:v>
      </x:c>
      <x:c r="P864" s="25" t="n">
        <x:v>0</x:v>
      </x:c>
      <x:c r="Q864" s="25" t="n">
        <x:v>0</x:v>
      </x:c>
      <x:c r="R864" s="25" t="str">
        <x:v>洗练绑定装备；项链幸运绑定人物永久进度；武器幸运成本忽略</x:v>
      </x:c>
    </x:row>
    <x:row r="865">
      <x:c r="A865" s="25" t="str">
        <x:v>C08-X</x:v>
      </x:c>
      <x:c r="B865" s="25" t="str">
        <x:v>巨人山顶</x:v>
      </x:c>
      <x:c r="C865" s="25" t="str">
        <x:v>极端压力</x:v>
      </x:c>
      <x:c r="D865" s="25" t="n">
        <x:v>1</x:v>
      </x:c>
      <x:c r="E865" s="25" t="n">
        <x:v>194</x:v>
      </x:c>
      <x:c r="F865" s="25" t="str">
        <x:v>乌尔迈吞日巨剑</x:v>
      </x:c>
      <x:c r="G865" s="25" t="str">
        <x:v>武器</x:v>
      </x:c>
      <x:c r="H865" s="25" t="n">
        <x:v>8</x:v>
      </x:c>
      <x:c r="I865" s="25" t="str">
        <x:v>守关BOSS</x:v>
      </x:c>
      <x:c r="J865" s="25" t="str">
        <x:v>S07</x:v>
      </x:c>
      <x:c r="K865" s="25" t="str">
        <x:v>15000-28000</x:v>
      </x:c>
      <x:c r="L865" s="25" t="n">
        <x:v>1700000</x:v>
      </x:c>
      <x:c r="M865" s="25" t="n">
        <x:v>5</x:v>
      </x:c>
      <x:c r="N865" s="25" t="str">
        <x:v>否</x:v>
      </x:c>
      <x:c r="O865" s="25" t="n">
        <x:v>7</x:v>
      </x:c>
      <x:c r="P865" s="25" t="n">
        <x:v>0</x:v>
      </x:c>
      <x:c r="Q865" s="25" t="n">
        <x:v>0</x:v>
      </x:c>
      <x:c r="R865" s="25" t="str">
        <x:v>洗练绑定装备；项链幸运绑定人物永久进度；武器幸运成本忽略</x:v>
      </x:c>
    </x:row>
    <x:row r="866">
      <x:c r="A866" s="25" t="str">
        <x:v>C08-X</x:v>
      </x:c>
      <x:c r="B866" s="25" t="str">
        <x:v>巨人山顶</x:v>
      </x:c>
      <x:c r="C866" s="25" t="str">
        <x:v>极端压力</x:v>
      </x:c>
      <x:c r="D866" s="25" t="n">
        <x:v>2</x:v>
      </x:c>
      <x:c r="E866" s="25" t="n">
        <x:v>181</x:v>
      </x:c>
      <x:c r="F866" s="25" t="str">
        <x:v>霜钟罪章</x:v>
      </x:c>
      <x:c r="G866" s="25" t="str">
        <x:v>勋章</x:v>
      </x:c>
      <x:c r="H866" s="25" t="n">
        <x:v>7</x:v>
      </x:c>
      <x:c r="I866" s="25" t="str">
        <x:v>稀有</x:v>
      </x:c>
      <x:c r="J866" s="25" t="str">
        <x:v>S07</x:v>
      </x:c>
      <x:c r="K866" s="25" t="str">
        <x:v>830-1600</x:v>
      </x:c>
      <x:c r="L866" s="25" t="n">
        <x:v>870000</x:v>
      </x:c>
      <x:c r="M866" s="25" t="n">
        <x:v>0</x:v>
      </x:c>
      <x:c r="N866" s="25" t="str">
        <x:v>否</x:v>
      </x:c>
      <x:c r="O866" s="25" t="n">
        <x:v>0</x:v>
      </x:c>
      <x:c r="P866" s="25" t="n">
        <x:v>0</x:v>
      </x:c>
      <x:c r="Q866" s="25" t="n">
        <x:v>0</x:v>
      </x:c>
      <x:c r="R866" s="25" t="str">
        <x:v>洗练绑定装备；项链幸运绑定人物永久进度；武器幸运成本忽略</x:v>
      </x:c>
    </x:row>
    <x:row r="867">
      <x:c r="A867" s="25" t="str">
        <x:v>C08-X</x:v>
      </x:c>
      <x:c r="B867" s="25" t="str">
        <x:v>巨人山顶</x:v>
      </x:c>
      <x:c r="C867" s="25" t="str">
        <x:v>极端压力</x:v>
      </x:c>
      <x:c r="D867" s="25" t="n">
        <x:v>3</x:v>
      </x:c>
      <x:c r="E867" s="25" t="n">
        <x:v>197</x:v>
      </x:c>
      <x:c r="F867" s="25" t="str">
        <x:v>巨人炉心颈环</x:v>
      </x:c>
      <x:c r="G867" s="25" t="str">
        <x:v>项链</x:v>
      </x:c>
      <x:c r="H867" s="25" t="n">
        <x:v>8</x:v>
      </x:c>
      <x:c r="I867" s="25" t="str">
        <x:v>装备合成</x:v>
      </x:c>
      <x:c r="J867" s="25" t="str">
        <x:v>S07</x:v>
      </x:c>
      <x:c r="K867" s="25" t="str">
        <x:v>3300-6300</x:v>
      </x:c>
      <x:c r="L867" s="25" t="n">
        <x:v>2700000</x:v>
      </x:c>
      <x:c r="M867" s="25" t="n">
        <x:v>5</x:v>
      </x:c>
      <x:c r="N867" s="25" t="str">
        <x:v>否</x:v>
      </x:c>
      <x:c r="O867" s="25" t="n">
        <x:v>0</x:v>
      </x:c>
      <x:c r="P867" s="25" t="n">
        <x:v>0</x:v>
      </x:c>
      <x:c r="Q867" s="25" t="n">
        <x:v>0</x:v>
      </x:c>
      <x:c r="R867" s="25" t="str">
        <x:v>洗练绑定装备；项链幸运绑定人物永久进度；武器幸运成本忽略</x:v>
      </x:c>
    </x:row>
    <x:row r="868">
      <x:c r="A868" s="25" t="str">
        <x:v>C08-X</x:v>
      </x:c>
      <x:c r="B868" s="25" t="str">
        <x:v>巨人山顶</x:v>
      </x:c>
      <x:c r="C868" s="25" t="str">
        <x:v>极端压力</x:v>
      </x:c>
      <x:c r="D868" s="25" t="n">
        <x:v>4</x:v>
      </x:c>
      <x:c r="E868" s="25" t="n">
        <x:v>182</x:v>
      </x:c>
      <x:c r="F868" s="25" t="str">
        <x:v>觐庭裂纹盔</x:v>
      </x:c>
      <x:c r="G868" s="25" t="str">
        <x:v>头盔</x:v>
      </x:c>
      <x:c r="H868" s="25" t="n">
        <x:v>8</x:v>
      </x:c>
      <x:c r="I868" s="25" t="str">
        <x:v>稀有</x:v>
      </x:c>
      <x:c r="J868" s="25" t="str">
        <x:v>S07</x:v>
      </x:c>
      <x:c r="K868" s="25" t="str">
        <x:v>1100-2100</x:v>
      </x:c>
      <x:c r="L868" s="25" t="n">
        <x:v>2800000</x:v>
      </x:c>
      <x:c r="M868" s="25" t="n">
        <x:v>6</x:v>
      </x:c>
      <x:c r="N868" s="25" t="str">
        <x:v>否</x:v>
      </x:c>
      <x:c r="O868" s="25" t="n">
        <x:v>0</x:v>
      </x:c>
      <x:c r="P868" s="25" t="n">
        <x:v>0</x:v>
      </x:c>
      <x:c r="Q868" s="25" t="n">
        <x:v>0</x:v>
      </x:c>
      <x:c r="R868" s="25" t="str">
        <x:v>洗练绑定装备；项链幸运绑定人物永久进度；武器幸运成本忽略</x:v>
      </x:c>
    </x:row>
    <x:row r="869">
      <x:c r="A869" s="25" t="str">
        <x:v>C08-X</x:v>
      </x:c>
      <x:c r="B869" s="25" t="str">
        <x:v>巨人山顶</x:v>
      </x:c>
      <x:c r="C869" s="25" t="str">
        <x:v>极端压力</x:v>
      </x:c>
      <x:c r="D869" s="25" t="n">
        <x:v>5</x:v>
      </x:c>
      <x:c r="E869" s="25" t="n">
        <x:v>198</x:v>
      </x:c>
      <x:c r="F869" s="25" t="str">
        <x:v>白魈啸风镯</x:v>
      </x:c>
      <x:c r="G869" s="25" t="str">
        <x:v>手镯</x:v>
      </x:c>
      <x:c r="H869" s="25" t="n">
        <x:v>8</x:v>
      </x:c>
      <x:c r="I869" s="25" t="str">
        <x:v>稀有</x:v>
      </x:c>
      <x:c r="J869" s="25" t="str">
        <x:v>S07</x:v>
      </x:c>
      <x:c r="K869" s="25" t="str">
        <x:v>1400-2600</x:v>
      </x:c>
      <x:c r="L869" s="25" t="n">
        <x:v>1000000</x:v>
      </x:c>
      <x:c r="M869" s="25" t="n">
        <x:v>7</x:v>
      </x:c>
      <x:c r="N869" s="25" t="str">
        <x:v>是</x:v>
      </x:c>
      <x:c r="O869" s="25" t="n">
        <x:v>0</x:v>
      </x:c>
      <x:c r="P869" s="25" t="n">
        <x:v>0</x:v>
      </x:c>
      <x:c r="Q869" s="25" t="n">
        <x:v>0</x:v>
      </x:c>
      <x:c r="R869" s="25" t="str">
        <x:v>洗练绑定装备；项链幸运绑定人物永久进度；武器幸运成本忽略</x:v>
      </x:c>
    </x:row>
    <x:row r="870">
      <x:c r="A870" s="25" t="str">
        <x:v>C08-X</x:v>
      </x:c>
      <x:c r="B870" s="25" t="str">
        <x:v>巨人山顶</x:v>
      </x:c>
      <x:c r="C870" s="25" t="str">
        <x:v>极端压力</x:v>
      </x:c>
      <x:c r="D870" s="25" t="n">
        <x:v>6</x:v>
      </x:c>
      <x:c r="E870" s="25" t="n">
        <x:v>178</x:v>
      </x:c>
      <x:c r="F870" s="25" t="str">
        <x:v>白魈啸风镯</x:v>
      </x:c>
      <x:c r="G870" s="25" t="str">
        <x:v>手镯</x:v>
      </x:c>
      <x:c r="H870" s="25" t="n">
        <x:v>8</x:v>
      </x:c>
      <x:c r="I870" s="25" t="str">
        <x:v>稀有</x:v>
      </x:c>
      <x:c r="J870" s="25" t="str">
        <x:v>S07</x:v>
      </x:c>
      <x:c r="K870" s="25" t="str">
        <x:v>1400-2600</x:v>
      </x:c>
      <x:c r="L870" s="25" t="n">
        <x:v>1000000</x:v>
      </x:c>
      <x:c r="M870" s="25" t="n">
        <x:v>4</x:v>
      </x:c>
      <x:c r="N870" s="25" t="str">
        <x:v>否</x:v>
      </x:c>
      <x:c r="O870" s="25" t="n">
        <x:v>0</x:v>
      </x:c>
      <x:c r="P870" s="25" t="n">
        <x:v>0</x:v>
      </x:c>
      <x:c r="Q870" s="25" t="n">
        <x:v>0</x:v>
      </x:c>
      <x:c r="R870" s="25" t="str">
        <x:v>洗练绑定装备；项链幸运绑定人物永久进度；武器幸运成本忽略</x:v>
      </x:c>
    </x:row>
    <x:row r="871">
      <x:c r="A871" s="25" t="str">
        <x:v>C08-X</x:v>
      </x:c>
      <x:c r="B871" s="25" t="str">
        <x:v>巨人山顶</x:v>
      </x:c>
      <x:c r="C871" s="25" t="str">
        <x:v>极端压力</x:v>
      </x:c>
      <x:c r="D871" s="25" t="n">
        <x:v>7</x:v>
      </x:c>
      <x:c r="E871" s="25" t="n">
        <x:v>199</x:v>
      </x:c>
      <x:c r="F871" s="25" t="str">
        <x:v>守梦霜瞳戒</x:v>
      </x:c>
      <x:c r="G871" s="25" t="str">
        <x:v>戒指</x:v>
      </x:c>
      <x:c r="H871" s="25" t="n">
        <x:v>8</x:v>
      </x:c>
      <x:c r="I871" s="25" t="str">
        <x:v>稀有</x:v>
      </x:c>
      <x:c r="J871" s="25" t="str">
        <x:v>S07</x:v>
      </x:c>
      <x:c r="K871" s="25" t="str">
        <x:v>1800-3400</x:v>
      </x:c>
      <x:c r="L871" s="25" t="n">
        <x:v>1300000</x:v>
      </x:c>
      <x:c r="M871" s="25" t="n">
        <x:v>3</x:v>
      </x:c>
      <x:c r="N871" s="25" t="str">
        <x:v>否</x:v>
      </x:c>
      <x:c r="O871" s="25" t="n">
        <x:v>0</x:v>
      </x:c>
      <x:c r="P871" s="25" t="n">
        <x:v>0</x:v>
      </x:c>
      <x:c r="Q871" s="25" t="n">
        <x:v>0</x:v>
      </x:c>
      <x:c r="R871" s="25" t="str">
        <x:v>洗练绑定装备；项链幸运绑定人物永久进度；武器幸运成本忽略</x:v>
      </x:c>
    </x:row>
    <x:row r="872">
      <x:c r="A872" s="25" t="str">
        <x:v>C08-X</x:v>
      </x:c>
      <x:c r="B872" s="25" t="str">
        <x:v>巨人山顶</x:v>
      </x:c>
      <x:c r="C872" s="25" t="str">
        <x:v>极端压力</x:v>
      </x:c>
      <x:c r="D872" s="25" t="n">
        <x:v>8</x:v>
      </x:c>
      <x:c r="E872" s="25" t="n">
        <x:v>179</x:v>
      </x:c>
      <x:c r="F872" s="25" t="str">
        <x:v>守梦霜瞳戒</x:v>
      </x:c>
      <x:c r="G872" s="25" t="str">
        <x:v>戒指</x:v>
      </x:c>
      <x:c r="H872" s="25" t="n">
        <x:v>8</x:v>
      </x:c>
      <x:c r="I872" s="25" t="str">
        <x:v>稀有</x:v>
      </x:c>
      <x:c r="J872" s="25" t="str">
        <x:v>S07</x:v>
      </x:c>
      <x:c r="K872" s="25" t="str">
        <x:v>1800-3400</x:v>
      </x:c>
      <x:c r="L872" s="25" t="n">
        <x:v>1300000</x:v>
      </x:c>
      <x:c r="M872" s="25" t="n">
        <x:v>2</x:v>
      </x:c>
      <x:c r="N872" s="25" t="str">
        <x:v>否</x:v>
      </x:c>
      <x:c r="O872" s="25" t="n">
        <x:v>0</x:v>
      </x:c>
      <x:c r="P872" s="25" t="n">
        <x:v>0</x:v>
      </x:c>
      <x:c r="Q872" s="25" t="n">
        <x:v>0</x:v>
      </x:c>
      <x:c r="R872" s="25" t="str">
        <x:v>洗练绑定装备；项链幸运绑定人物永久进度；武器幸运成本忽略</x:v>
      </x:c>
    </x:row>
    <x:row r="873">
      <x:c r="A873" s="25" t="str">
        <x:v>C08-X</x:v>
      </x:c>
      <x:c r="B873" s="25" t="str">
        <x:v>巨人山顶</x:v>
      </x:c>
      <x:c r="C873" s="25" t="str">
        <x:v>极端压力</x:v>
      </x:c>
      <x:c r="D873" s="25" t="n">
        <x:v>10</x:v>
      </x:c>
      <x:c r="E873" s="25" t="n">
        <x:v>183</x:v>
      </x:c>
      <x:c r="F873" s="25" t="str">
        <x:v>封门玄冰带</x:v>
      </x:c>
      <x:c r="G873" s="25" t="str">
        <x:v>腰带</x:v>
      </x:c>
      <x:c r="H873" s="25" t="n">
        <x:v>8</x:v>
      </x:c>
      <x:c r="I873" s="25" t="str">
        <x:v>稀有</x:v>
      </x:c>
      <x:c r="J873" s="25" t="str">
        <x:v>S07</x:v>
      </x:c>
      <x:c r="K873" s="25" t="str">
        <x:v>1000-2000</x:v>
      </x:c>
      <x:c r="L873" s="25" t="n">
        <x:v>1800000</x:v>
      </x:c>
      <x:c r="M873" s="25" t="n">
        <x:v>3</x:v>
      </x:c>
      <x:c r="N873" s="25" t="str">
        <x:v>否</x:v>
      </x:c>
      <x:c r="O873" s="25" t="n">
        <x:v>0</x:v>
      </x:c>
      <x:c r="P873" s="25" t="n">
        <x:v>0</x:v>
      </x:c>
      <x:c r="Q873" s="25" t="n">
        <x:v>0</x:v>
      </x:c>
      <x:c r="R873" s="25" t="str">
        <x:v>洗练绑定装备；项链幸运绑定人物永久进度；武器幸运成本忽略</x:v>
      </x:c>
    </x:row>
    <x:row r="874">
      <x:c r="A874" s="25" t="str">
        <x:v>C08-X</x:v>
      </x:c>
      <x:c r="B874" s="25" t="str">
        <x:v>巨人山顶</x:v>
      </x:c>
      <x:c r="C874" s="25" t="str">
        <x:v>极端压力</x:v>
      </x:c>
      <x:c r="D874" s="25" t="n">
        <x:v>11</x:v>
      </x:c>
      <x:c r="E874" s="25" t="n">
        <x:v>201</x:v>
      </x:c>
      <x:c r="F874" s="25" t="str">
        <x:v>雪鬃獒踏靴</x:v>
      </x:c>
      <x:c r="G874" s="25" t="str">
        <x:v>鞋子</x:v>
      </x:c>
      <x:c r="H874" s="25" t="n">
        <x:v>8</x:v>
      </x:c>
      <x:c r="I874" s="25" t="str">
        <x:v>普通</x:v>
      </x:c>
      <x:c r="J874" s="25" t="str">
        <x:v>S07</x:v>
      </x:c>
      <x:c r="K874" s="25" t="str">
        <x:v>570-1100</x:v>
      </x:c>
      <x:c r="L874" s="25" t="n">
        <x:v>790000</x:v>
      </x:c>
      <x:c r="M874" s="25" t="n">
        <x:v>3</x:v>
      </x:c>
      <x:c r="N874" s="25" t="str">
        <x:v>否</x:v>
      </x:c>
      <x:c r="O874" s="25" t="n">
        <x:v>0</x:v>
      </x:c>
      <x:c r="P874" s="25" t="n">
        <x:v>0</x:v>
      </x:c>
      <x:c r="Q874" s="25" t="n">
        <x:v>0</x:v>
      </x:c>
      <x:c r="R874" s="25" t="str">
        <x:v>洗练绑定装备；项链幸运绑定人物永久进度；武器幸运成本忽略</x:v>
      </x:c>
    </x:row>
    <x:row r="875">
      <x:c r="A875" s="25" t="str">
        <x:v>C08-X</x:v>
      </x:c>
      <x:c r="B875" s="25" t="str">
        <x:v>巨人山顶</x:v>
      </x:c>
      <x:c r="C875" s="25" t="str">
        <x:v>极端压力</x:v>
      </x:c>
      <x:c r="D875" s="25" t="n">
        <x:v>13</x:v>
      </x:c>
      <x:c r="E875" s="25" t="n">
        <x:v>185</x:v>
      </x:c>
      <x:c r="F875" s="25" t="str">
        <x:v>织雪白绒笠</x:v>
      </x:c>
      <x:c r="G875" s="25" t="str">
        <x:v>斗笠</x:v>
      </x:c>
      <x:c r="H875" s="25" t="n">
        <x:v>8</x:v>
      </x:c>
      <x:c r="I875" s="25" t="str">
        <x:v>稀有</x:v>
      </x:c>
      <x:c r="J875" s="25" t="str">
        <x:v>S07</x:v>
      </x:c>
      <x:c r="K875" s="25" t="str">
        <x:v>830-1600</x:v>
      </x:c>
      <x:c r="L875" s="25" t="n">
        <x:v>1000000</x:v>
      </x:c>
      <x:c r="M875" s="25" t="n">
        <x:v>0</x:v>
      </x:c>
      <x:c r="N875" s="25" t="str">
        <x:v>否</x:v>
      </x:c>
      <x:c r="O875" s="25" t="n">
        <x:v>0</x:v>
      </x:c>
      <x:c r="P875" s="25" t="n">
        <x:v>0</x:v>
      </x:c>
      <x:c r="Q875" s="25" t="n">
        <x:v>0</x:v>
      </x:c>
      <x:c r="R875" s="25" t="str">
        <x:v>洗练绑定装备；项链幸运绑定人物永久进度；武器幸运成本忽略</x:v>
      </x:c>
    </x:row>
    <x:row r="876">
      <x:c r="A876" s="25" t="str">
        <x:v>C08-X</x:v>
      </x:c>
      <x:c r="B876" s="25" t="str">
        <x:v>巨人山顶</x:v>
      </x:c>
      <x:c r="C876" s="25" t="str">
        <x:v>极端压力</x:v>
      </x:c>
      <x:c r="D876" s="25" t="n">
        <x:v>16</x:v>
      </x:c>
      <x:c r="E876" s="25" t="n">
        <x:v>164</x:v>
      </x:c>
      <x:c r="F876" s="25" t="str">
        <x:v>吞日霜壁</x:v>
      </x:c>
      <x:c r="G876" s="25" t="str">
        <x:v>盾牌</x:v>
      </x:c>
      <x:c r="H876" s="25" t="n">
        <x:v>8</x:v>
      </x:c>
      <x:c r="I876" s="25" t="str">
        <x:v>装备合成</x:v>
      </x:c>
      <x:c r="J876" s="25" t="str">
        <x:v>S07</x:v>
      </x:c>
      <x:c r="K876" s="25" t="str">
        <x:v>2800-5400</x:v>
      </x:c>
      <x:c r="L876" s="25" t="n">
        <x:v>7700000</x:v>
      </x:c>
      <x:c r="M876" s="25" t="n">
        <x:v>0</x:v>
      </x:c>
      <x:c r="N876" s="25" t="str">
        <x:v>否</x:v>
      </x:c>
      <x:c r="O876" s="25" t="n">
        <x:v>0</x:v>
      </x:c>
      <x:c r="P876" s="25" t="n">
        <x:v>0</x:v>
      </x:c>
      <x:c r="Q876" s="25" t="n">
        <x:v>0</x:v>
      </x:c>
      <x:c r="R876" s="25" t="str">
        <x:v>洗练绑定装备；项链幸运绑定人物永久进度；武器幸运成本忽略</x:v>
      </x:c>
    </x:row>
    <x:row r="877">
      <x:c r="A877" s="25" t="str">
        <x:v>C08-X</x:v>
      </x:c>
      <x:c r="B877" s="25" t="str">
        <x:v>巨人山顶</x:v>
      </x:c>
      <x:c r="C877" s="25" t="str">
        <x:v>极端压力</x:v>
      </x:c>
      <x:c r="D877" s="25" t="n">
        <x:v>18</x:v>
      </x:c>
      <x:c r="E877" s="25" t="n">
        <x:v>193</x:v>
      </x:c>
      <x:c r="F877" s="25" t="str">
        <x:v>圣雪无火礼衣</x:v>
      </x:c>
      <x:c r="G877" s="25" t="str">
        <x:v>时装衣服</x:v>
      </x:c>
      <x:c r="H877" s="25" t="n">
        <x:v>7</x:v>
      </x:c>
      <x:c r="I877" s="25" t="str">
        <x:v>装备合成</x:v>
      </x:c>
      <x:c r="J877" s="25" t="str">
        <x:v>S07</x:v>
      </x:c>
      <x:c r="K877" s="25" t="str">
        <x:v>1500-2800</x:v>
      </x:c>
      <x:c r="L877" s="25" t="n">
        <x:v>9300000</x:v>
      </x:c>
      <x:c r="M877" s="25" t="n">
        <x:v>0</x:v>
      </x:c>
      <x:c r="N877" s="25" t="str">
        <x:v>否</x:v>
      </x:c>
      <x:c r="O877" s="25" t="n">
        <x:v>0</x:v>
      </x:c>
      <x:c r="P877" s="25" t="n">
        <x:v>0</x:v>
      </x:c>
      <x:c r="Q877" s="25" t="n">
        <x:v>0</x:v>
      </x:c>
      <x:c r="R877" s="25" t="str">
        <x:v>洗练绑定装备；项链幸运绑定人物永久进度；武器幸运成本忽略</x:v>
      </x:c>
    </x:row>
    <x:row r="878">
      <x:c r="A878" s="25" t="str">
        <x:v>C08-X</x:v>
      </x:c>
      <x:c r="B878" s="25" t="str">
        <x:v>巨人山顶</x:v>
      </x:c>
      <x:c r="C878" s="25" t="str">
        <x:v>极端压力</x:v>
      </x:c>
      <x:c r="D878" s="25" t="n">
        <x:v>19</x:v>
      </x:c>
      <x:c r="E878" s="25" t="n">
        <x:v>147</x:v>
      </x:c>
      <x:c r="F878" s="25" t="str">
        <x:v>永霜白金刃</x:v>
      </x:c>
      <x:c r="G878" s="25" t="str">
        <x:v>时装武器</x:v>
      </x:c>
      <x:c r="H878" s="25" t="n">
        <x:v>7</x:v>
      </x:c>
      <x:c r="I878" s="25" t="str">
        <x:v>装备合成</x:v>
      </x:c>
      <x:c r="J878" s="25" t="str">
        <x:v>S07</x:v>
      </x:c>
      <x:c r="K878" s="25" t="str">
        <x:v>4800-9200</x:v>
      </x:c>
      <x:c r="L878" s="25" t="n">
        <x:v>1700000</x:v>
      </x:c>
      <x:c r="M878" s="25" t="n">
        <x:v>0</x:v>
      </x:c>
      <x:c r="N878" s="25" t="str">
        <x:v>否</x:v>
      </x:c>
      <x:c r="O878" s="25" t="n">
        <x:v>0</x:v>
      </x:c>
      <x:c r="P878" s="25" t="n">
        <x:v>0</x:v>
      </x:c>
      <x:c r="Q878" s="25" t="n">
        <x:v>0</x:v>
      </x:c>
      <x:c r="R878" s="25" t="str">
        <x:v>洗练绑定装备；项链幸运绑定人物永久进度；武器幸运成本忽略</x:v>
      </x:c>
    </x:row>
    <x:row r="879">
      <x:c r="A879" s="25" t="str">
        <x:v>C08-X</x:v>
      </x:c>
      <x:c r="B879" s="25" t="str">
        <x:v>巨人山顶</x:v>
      </x:c>
      <x:c r="C879" s="25" t="str">
        <x:v>极端压力</x:v>
      </x:c>
      <x:c r="D879" s="25" t="n">
        <x:v>20</x:v>
      </x:c>
      <x:c r="E879" s="25" t="n">
        <x:v>40</x:v>
      </x:c>
      <x:c r="F879" s="25" t="str">
        <x:v>英雄余誓</x:v>
      </x:c>
      <x:c r="G879" s="25" t="str">
        <x:v>时装项链</x:v>
      </x:c>
      <x:c r="H879" s="25" t="n">
        <x:v>2</x:v>
      </x:c>
      <x:c r="I879" s="25" t="str">
        <x:v>稀有</x:v>
      </x:c>
      <x:c r="J879" s="25" t="str">
        <x:v>S02</x:v>
      </x:c>
      <x:c r="K879" s="25" t="str">
        <x:v>31-60</x:v>
      </x:c>
      <x:c r="L879" s="25" t="n">
        <x:v>17900</x:v>
      </x:c>
      <x:c r="M879" s="25" t="n">
        <x:v>0</x:v>
      </x:c>
      <x:c r="N879" s="25" t="str">
        <x:v>否</x:v>
      </x:c>
      <x:c r="O879" s="25" t="n">
        <x:v>0</x:v>
      </x:c>
      <x:c r="P879" s="25" t="n">
        <x:v>0</x:v>
      </x:c>
      <x:c r="Q879" s="25" t="n">
        <x:v>0</x:v>
      </x:c>
      <x:c r="R879" s="25" t="str">
        <x:v>洗练绑定装备；项链幸运绑定人物永久进度；武器幸运成本忽略</x:v>
      </x:c>
    </x:row>
    <x:row r="880">
      <x:c r="A880" s="25" t="str">
        <x:v>C08-X</x:v>
      </x:c>
      <x:c r="B880" s="25" t="str">
        <x:v>巨人山顶</x:v>
      </x:c>
      <x:c r="C880" s="25" t="str">
        <x:v>极端压力</x:v>
      </x:c>
      <x:c r="D880" s="25" t="n">
        <x:v>21</x:v>
      </x:c>
      <x:c r="E880" s="25" t="n">
        <x:v>186</x:v>
      </x:c>
      <x:c r="F880" s="25" t="str">
        <x:v>鹰主风冠</x:v>
      </x:c>
      <x:c r="G880" s="25" t="str">
        <x:v>时装头盔</x:v>
      </x:c>
      <x:c r="H880" s="25" t="n">
        <x:v>2</x:v>
      </x:c>
      <x:c r="I880" s="25" t="str">
        <x:v>稀有</x:v>
      </x:c>
      <x:c r="J880" s="25" t="str">
        <x:v>S02</x:v>
      </x:c>
      <x:c r="K880" s="25" t="str">
        <x:v>33-63</x:v>
      </x:c>
      <x:c r="L880" s="25" t="n">
        <x:v>78400</x:v>
      </x:c>
      <x:c r="M880" s="25" t="n">
        <x:v>0</x:v>
      </x:c>
      <x:c r="N880" s="25" t="str">
        <x:v>否</x:v>
      </x:c>
      <x:c r="O880" s="25" t="n">
        <x:v>0</x:v>
      </x:c>
      <x:c r="P880" s="25" t="n">
        <x:v>0</x:v>
      </x:c>
      <x:c r="Q880" s="25" t="n">
        <x:v>0</x:v>
      </x:c>
      <x:c r="R880" s="25" t="str">
        <x:v>洗练绑定装备；项链幸运绑定人物永久进度；武器幸运成本忽略</x:v>
      </x:c>
    </x:row>
    <x:row r="881">
      <x:c r="A881" s="25" t="str">
        <x:v>C08-X</x:v>
      </x:c>
      <x:c r="B881" s="25" t="str">
        <x:v>巨人山顶</x:v>
      </x:c>
      <x:c r="C881" s="25" t="str">
        <x:v>极端压力</x:v>
      </x:c>
      <x:c r="D881" s="25" t="n">
        <x:v>22</x:v>
      </x:c>
      <x:c r="E881" s="25" t="n">
        <x:v>42</x:v>
      </x:c>
      <x:c r="F881" s="25" t="str">
        <x:v>卢恩血镯</x:v>
      </x:c>
      <x:c r="G881" s="25" t="str">
        <x:v>时装手镯</x:v>
      </x:c>
      <x:c r="H881" s="25" t="n">
        <x:v>2</x:v>
      </x:c>
      <x:c r="I881" s="25" t="str">
        <x:v>稀有</x:v>
      </x:c>
      <x:c r="J881" s="25" t="str">
        <x:v>S02</x:v>
      </x:c>
      <x:c r="K881" s="25" t="str">
        <x:v>42-80</x:v>
      </x:c>
      <x:c r="L881" s="25" t="n">
        <x:v>34400</x:v>
      </x:c>
      <x:c r="M881" s="25" t="n">
        <x:v>0</x:v>
      </x:c>
      <x:c r="N881" s="25" t="str">
        <x:v>否</x:v>
      </x:c>
      <x:c r="O881" s="25" t="n">
        <x:v>0</x:v>
      </x:c>
      <x:c r="P881" s="25" t="n">
        <x:v>0</x:v>
      </x:c>
      <x:c r="Q881" s="25" t="n">
        <x:v>0</x:v>
      </x:c>
      <x:c r="R881" s="25" t="str">
        <x:v>洗练绑定装备；项链幸运绑定人物永久进度；武器幸运成本忽略</x:v>
      </x:c>
    </x:row>
    <x:row r="882">
      <x:c r="A882" s="25" t="str">
        <x:v>C08-X</x:v>
      </x:c>
      <x:c r="B882" s="25" t="str">
        <x:v>巨人山顶</x:v>
      </x:c>
      <x:c r="C882" s="25" t="str">
        <x:v>极端压力</x:v>
      </x:c>
      <x:c r="D882" s="25" t="n">
        <x:v>23</x:v>
      </x:c>
      <x:c r="E882" s="25" t="n">
        <x:v>187</x:v>
      </x:c>
      <x:c r="F882" s="25" t="str">
        <x:v>卢恩血镯</x:v>
      </x:c>
      <x:c r="G882" s="25" t="str">
        <x:v>时装手镯</x:v>
      </x:c>
      <x:c r="H882" s="25" t="n">
        <x:v>2</x:v>
      </x:c>
      <x:c r="I882" s="25" t="str">
        <x:v>稀有</x:v>
      </x:c>
      <x:c r="J882" s="25" t="str">
        <x:v>S02</x:v>
      </x:c>
      <x:c r="K882" s="25" t="str">
        <x:v>42-80</x:v>
      </x:c>
      <x:c r="L882" s="25" t="n">
        <x:v>34400</x:v>
      </x:c>
      <x:c r="M882" s="25" t="n">
        <x:v>0</x:v>
      </x:c>
      <x:c r="N882" s="25" t="str">
        <x:v>否</x:v>
      </x:c>
      <x:c r="O882" s="25" t="n">
        <x:v>0</x:v>
      </x:c>
      <x:c r="P882" s="25" t="n">
        <x:v>0</x:v>
      </x:c>
      <x:c r="Q882" s="25" t="n">
        <x:v>0</x:v>
      </x:c>
      <x:c r="R882" s="25" t="str">
        <x:v>洗练绑定装备；项链幸运绑定人物永久进度；武器幸运成本忽略</x:v>
      </x:c>
    </x:row>
    <x:row r="883">
      <x:c r="A883" s="25" t="str">
        <x:v>C08-X</x:v>
      </x:c>
      <x:c r="B883" s="25" t="str">
        <x:v>巨人山顶</x:v>
      </x:c>
      <x:c r="C883" s="25" t="str">
        <x:v>极端压力</x:v>
      </x:c>
      <x:c r="D883" s="25" t="n">
        <x:v>24</x:v>
      </x:c>
      <x:c r="E883" s="25" t="n">
        <x:v>192</x:v>
      </x:c>
      <x:c r="F883" s="25" t="str">
        <x:v>辉月镜戒</x:v>
      </x:c>
      <x:c r="G883" s="25" t="str">
        <x:v>时装戒指</x:v>
      </x:c>
      <x:c r="H883" s="25" t="n">
        <x:v>5</x:v>
      </x:c>
      <x:c r="I883" s="25" t="str">
        <x:v>装备合成</x:v>
      </x:c>
      <x:c r="J883" s="25" t="str">
        <x:v>S07</x:v>
      </x:c>
      <x:c r="K883" s="25" t="str">
        <x:v>570-1100</x:v>
      </x:c>
      <x:c r="L883" s="25" t="n">
        <x:v>550000</x:v>
      </x:c>
      <x:c r="M883" s="25" t="n">
        <x:v>0</x:v>
      </x:c>
      <x:c r="N883" s="25" t="str">
        <x:v>否</x:v>
      </x:c>
      <x:c r="O883" s="25" t="n">
        <x:v>0</x:v>
      </x:c>
      <x:c r="P883" s="25" t="n">
        <x:v>0</x:v>
      </x:c>
      <x:c r="Q883" s="25" t="n">
        <x:v>0</x:v>
      </x:c>
      <x:c r="R883" s="25" t="str">
        <x:v>洗练绑定装备；项链幸运绑定人物永久进度；武器幸运成本忽略</x:v>
      </x:c>
    </x:row>
    <x:row r="884">
      <x:c r="A884" s="25" t="str">
        <x:v>C08-X</x:v>
      </x:c>
      <x:c r="B884" s="25" t="str">
        <x:v>巨人山顶</x:v>
      </x:c>
      <x:c r="C884" s="25" t="str">
        <x:v>极端压力</x:v>
      </x:c>
      <x:c r="D884" s="25" t="n">
        <x:v>25</x:v>
      </x:c>
      <x:c r="E884" s="25" t="n">
        <x:v>188</x:v>
      </x:c>
      <x:c r="F884" s="25" t="str">
        <x:v>黄金树戒</x:v>
      </x:c>
      <x:c r="G884" s="25" t="str">
        <x:v>时装戒指</x:v>
      </x:c>
      <x:c r="H884" s="25" t="n">
        <x:v>2</x:v>
      </x:c>
      <x:c r="I884" s="25" t="str">
        <x:v>稀有</x:v>
      </x:c>
      <x:c r="J884" s="25" t="str">
        <x:v>S02</x:v>
      </x:c>
      <x:c r="K884" s="25" t="str">
        <x:v>42-80</x:v>
      </x:c>
      <x:c r="L884" s="25" t="n">
        <x:v>34400</x:v>
      </x:c>
      <x:c r="M884" s="25" t="n">
        <x:v>0</x:v>
      </x:c>
      <x:c r="N884" s="25" t="str">
        <x:v>否</x:v>
      </x:c>
      <x:c r="O884" s="25" t="n">
        <x:v>0</x:v>
      </x:c>
      <x:c r="P884" s="25" t="n">
        <x:v>0</x:v>
      </x:c>
      <x:c r="Q884" s="25" t="n">
        <x:v>0</x:v>
      </x:c>
      <x:c r="R884" s="25" t="str">
        <x:v>洗练绑定装备；项链幸运绑定人物永久进度；武器幸运成本忽略</x:v>
      </x:c>
    </x:row>
    <x:row r="885">
      <x:c r="A885" s="25" t="str">
        <x:v>C08-X</x:v>
      </x:c>
      <x:c r="B885" s="25" t="str">
        <x:v>巨人山顶</x:v>
      </x:c>
      <x:c r="C885" s="25" t="str">
        <x:v>极端压力</x:v>
      </x:c>
      <x:c r="D885" s="25" t="n">
        <x:v>40</x:v>
      </x:c>
      <x:c r="E885" s="25" t="n">
        <x:v>44</x:v>
      </x:c>
      <x:c r="F885" s="25" t="str">
        <x:v>腐树子鼠</x:v>
      </x:c>
      <x:c r="G885" s="25" t="str">
        <x:v>生肖1</x:v>
      </x:c>
      <x:c r="H885" s="25" t="n">
        <x:v>2</x:v>
      </x:c>
      <x:c r="I885" s="25" t="str">
        <x:v>BOSS</x:v>
      </x:c>
      <x:c r="J885" s="25" t="str">
        <x:v>S02</x:v>
      </x:c>
      <x:c r="K885" s="25" t="str">
        <x:v>29-56</x:v>
      </x:c>
      <x:c r="L885" s="25" t="n">
        <x:v>23600</x:v>
      </x:c>
      <x:c r="M885" s="25" t="n">
        <x:v>0</x:v>
      </x:c>
      <x:c r="N885" s="25" t="str">
        <x:v>否</x:v>
      </x:c>
      <x:c r="O885" s="25" t="n">
        <x:v>0</x:v>
      </x:c>
      <x:c r="P885" s="25" t="n">
        <x:v>0</x:v>
      </x:c>
      <x:c r="Q885" s="25" t="n">
        <x:v>0</x:v>
      </x:c>
      <x:c r="R885" s="25" t="str">
        <x:v>洗练绑定装备；项链幸运绑定人物永久进度；武器幸运成本忽略</x:v>
      </x:c>
    </x:row>
    <x:row r="886">
      <x:c r="A886" s="25" t="str">
        <x:v>C08-X</x:v>
      </x:c>
      <x:c r="B886" s="25" t="str">
        <x:v>巨人山顶</x:v>
      </x:c>
      <x:c r="C886" s="25" t="str">
        <x:v>极端压力</x:v>
      </x:c>
      <x:c r="D886" s="25" t="n">
        <x:v>41</x:v>
      </x:c>
      <x:c r="E886" s="25" t="n">
        <x:v>69</x:v>
      </x:c>
      <x:c r="F886" s="25" t="str">
        <x:v>丑牛·风暴负山</x:v>
      </x:c>
      <x:c r="G886" s="25" t="str">
        <x:v>生肖2</x:v>
      </x:c>
      <x:c r="H886" s="25" t="n">
        <x:v>2</x:v>
      </x:c>
      <x:c r="I886" s="25" t="str">
        <x:v>生肖合成</x:v>
      </x:c>
      <x:c r="J886" s="25" t="str">
        <x:v>S07</x:v>
      </x:c>
      <x:c r="K886" s="25" t="str">
        <x:v>25-49</x:v>
      </x:c>
      <x:c r="L886" s="25" t="n">
        <x:v>64000</x:v>
      </x:c>
      <x:c r="M886" s="25" t="n">
        <x:v>0</x:v>
      </x:c>
      <x:c r="N886" s="25" t="str">
        <x:v>否</x:v>
      </x:c>
      <x:c r="O886" s="25" t="n">
        <x:v>0</x:v>
      </x:c>
      <x:c r="P886" s="25" t="n">
        <x:v>0</x:v>
      </x:c>
      <x:c r="Q886" s="25" t="n">
        <x:v>0</x:v>
      </x:c>
      <x:c r="R886" s="25" t="str">
        <x:v>洗练绑定装备；项链幸运绑定人物永久进度；武器幸运成本忽略</x:v>
      </x:c>
    </x:row>
    <x:row r="887">
      <x:c r="A887" s="25" t="str">
        <x:v>C08-X</x:v>
      </x:c>
      <x:c r="B887" s="25" t="str">
        <x:v>巨人山顶</x:v>
      </x:c>
      <x:c r="C887" s="25" t="str">
        <x:v>极端压力</x:v>
      </x:c>
      <x:c r="D887" s="25" t="n">
        <x:v>42</x:v>
      </x:c>
      <x:c r="E887" s="25" t="n">
        <x:v>138</x:v>
      </x:c>
      <x:c r="F887" s="25" t="str">
        <x:v>寅虎·红狮焚原</x:v>
      </x:c>
      <x:c r="G887" s="25" t="str">
        <x:v>生肖3</x:v>
      </x:c>
      <x:c r="H887" s="25" t="n">
        <x:v>6</x:v>
      </x:c>
      <x:c r="I887" s="25" t="str">
        <x:v>生肖合成</x:v>
      </x:c>
      <x:c r="J887" s="25" t="str">
        <x:v>S07</x:v>
      </x:c>
      <x:c r="K887" s="25" t="str">
        <x:v>250-490</x:v>
      </x:c>
      <x:c r="L887" s="25" t="n">
        <x:v>640000</x:v>
      </x:c>
      <x:c r="M887" s="25" t="n">
        <x:v>0</x:v>
      </x:c>
      <x:c r="N887" s="25" t="str">
        <x:v>否</x:v>
      </x:c>
      <x:c r="O887" s="25" t="n">
        <x:v>0</x:v>
      </x:c>
      <x:c r="P887" s="25" t="n">
        <x:v>0</x:v>
      </x:c>
      <x:c r="Q887" s="25" t="n">
        <x:v>0</x:v>
      </x:c>
      <x:c r="R887" s="25" t="str">
        <x:v>洗练绑定装备；项链幸运绑定人物永久进度；武器幸运成本忽略</x:v>
      </x:c>
    </x:row>
    <x:row r="888">
      <x:c r="A888" s="25" t="str">
        <x:v>C08-X</x:v>
      </x:c>
      <x:c r="B888" s="25" t="str">
        <x:v>巨人山顶</x:v>
      </x:c>
      <x:c r="C888" s="25" t="str">
        <x:v>极端压力</x:v>
      </x:c>
      <x:c r="D888" s="25" t="n">
        <x:v>43</x:v>
      </x:c>
      <x:c r="E888" s="25" t="n">
        <x:v>127</x:v>
      </x:c>
      <x:c r="F888" s="25" t="str">
        <x:v>卯兔·镜月折辉</x:v>
      </x:c>
      <x:c r="G888" s="25" t="str">
        <x:v>生肖4</x:v>
      </x:c>
      <x:c r="H888" s="25" t="n">
        <x:v>5</x:v>
      </x:c>
      <x:c r="I888" s="25" t="str">
        <x:v>生肖合成</x:v>
      </x:c>
      <x:c r="J888" s="25" t="str">
        <x:v>S07</x:v>
      </x:c>
      <x:c r="K888" s="25" t="str">
        <x:v>150-280</x:v>
      </x:c>
      <x:c r="L888" s="25" t="n">
        <x:v>360000</x:v>
      </x:c>
      <x:c r="M888" s="25" t="n">
        <x:v>0</x:v>
      </x:c>
      <x:c r="N888" s="25" t="str">
        <x:v>否</x:v>
      </x:c>
      <x:c r="O888" s="25" t="n">
        <x:v>0</x:v>
      </x:c>
      <x:c r="P888" s="25" t="n">
        <x:v>0</x:v>
      </x:c>
      <x:c r="Q888" s="25" t="n">
        <x:v>0</x:v>
      </x:c>
      <x:c r="R888" s="25" t="str">
        <x:v>洗练绑定装备；项链幸运绑定人物永久进度；武器幸运成本忽略</x:v>
      </x:c>
    </x:row>
    <x:row r="889">
      <x:c r="A889" s="25" t="str">
        <x:v>C08-X</x:v>
      </x:c>
      <x:c r="B889" s="25" t="str">
        <x:v>巨人山顶</x:v>
      </x:c>
      <x:c r="C889" s="25" t="str">
        <x:v>极端压力</x:v>
      </x:c>
      <x:c r="D889" s="25" t="n">
        <x:v>44</x:v>
      </x:c>
      <x:c r="E889" s="25" t="n">
        <x:v>91</x:v>
      </x:c>
      <x:c r="F889" s="25" t="str">
        <x:v>辰龙·荒原逐风</x:v>
      </x:c>
      <x:c r="G889" s="25" t="str">
        <x:v>生肖5</x:v>
      </x:c>
      <x:c r="H889" s="25" t="n">
        <x:v>3</x:v>
      </x:c>
      <x:c r="I889" s="25" t="str">
        <x:v>生肖合成</x:v>
      </x:c>
      <x:c r="J889" s="25" t="str">
        <x:v>S07</x:v>
      </x:c>
      <x:c r="K889" s="25" t="str">
        <x:v>47-90</x:v>
      </x:c>
      <x:c r="L889" s="25" t="n">
        <x:v>120000</x:v>
      </x:c>
      <x:c r="M889" s="25" t="n">
        <x:v>0</x:v>
      </x:c>
      <x:c r="N889" s="25" t="str">
        <x:v>否</x:v>
      </x:c>
      <x:c r="O889" s="25" t="n">
        <x:v>0</x:v>
      </x:c>
      <x:c r="P889" s="25" t="n">
        <x:v>0</x:v>
      </x:c>
      <x:c r="Q889" s="25" t="n">
        <x:v>0</x:v>
      </x:c>
      <x:c r="R889" s="25" t="str">
        <x:v>洗练绑定装备；项链幸运绑定人物永久进度；武器幸运成本忽略</x:v>
      </x:c>
    </x:row>
    <x:row r="890">
      <x:c r="A890" s="25" t="str">
        <x:v>C08-X</x:v>
      </x:c>
      <x:c r="B890" s="25" t="str">
        <x:v>巨人山顶</x:v>
      </x:c>
      <x:c r="C890" s="25" t="str">
        <x:v>极端压力</x:v>
      </x:c>
      <x:c r="D890" s="25" t="n">
        <x:v>45</x:v>
      </x:c>
      <x:c r="E890" s="25" t="n">
        <x:v>107</x:v>
      </x:c>
      <x:c r="F890" s="25" t="str">
        <x:v>巳蛇·沉潮缚月</x:v>
      </x:c>
      <x:c r="G890" s="25" t="str">
        <x:v>生肖6</x:v>
      </x:c>
      <x:c r="H890" s="25" t="n">
        <x:v>4</x:v>
      </x:c>
      <x:c r="I890" s="25" t="str">
        <x:v>生肖合成</x:v>
      </x:c>
      <x:c r="J890" s="25" t="str">
        <x:v>S07</x:v>
      </x:c>
      <x:c r="K890" s="25" t="str">
        <x:v>83-160</x:v>
      </x:c>
      <x:c r="L890" s="25" t="n">
        <x:v>200000</x:v>
      </x:c>
      <x:c r="M890" s="25" t="n">
        <x:v>0</x:v>
      </x:c>
      <x:c r="N890" s="25" t="str">
        <x:v>否</x:v>
      </x:c>
      <x:c r="O890" s="25" t="n">
        <x:v>0</x:v>
      </x:c>
      <x:c r="P890" s="25" t="n">
        <x:v>0</x:v>
      </x:c>
      <x:c r="Q890" s="25" t="n">
        <x:v>0</x:v>
      </x:c>
      <x:c r="R890" s="25" t="str">
        <x:v>洗练绑定装备；项链幸运绑定人物永久进度；武器幸运成本忽略</x:v>
      </x:c>
    </x:row>
    <x:row r="891">
      <x:c r="A891" s="25" t="str">
        <x:v>C08-X</x:v>
      </x:c>
      <x:c r="B891" s="25" t="str">
        <x:v>巨人山顶</x:v>
      </x:c>
      <x:c r="C891" s="25" t="str">
        <x:v>极端压力</x:v>
      </x:c>
      <x:c r="D891" s="25" t="n">
        <x:v>46</x:v>
      </x:c>
      <x:c r="E891" s="25" t="n">
        <x:v>165</x:v>
      </x:c>
      <x:c r="F891" s="25" t="str">
        <x:v>午马·霜脊踏天</x:v>
      </x:c>
      <x:c r="G891" s="25" t="str">
        <x:v>生肖7</x:v>
      </x:c>
      <x:c r="H891" s="25" t="n">
        <x:v>8</x:v>
      </x:c>
      <x:c r="I891" s="25" t="str">
        <x:v>生肖合成</x:v>
      </x:c>
      <x:c r="J891" s="25" t="str">
        <x:v>S07</x:v>
      </x:c>
      <x:c r="K891" s="25" t="str">
        <x:v>830-1600</x:v>
      </x:c>
      <x:c r="L891" s="25" t="n">
        <x:v>2000000</x:v>
      </x:c>
      <x:c r="M891" s="25" t="n">
        <x:v>0</x:v>
      </x:c>
      <x:c r="N891" s="25" t="str">
        <x:v>否</x:v>
      </x:c>
      <x:c r="O891" s="25" t="n">
        <x:v>0</x:v>
      </x:c>
      <x:c r="P891" s="25" t="n">
        <x:v>0</x:v>
      </x:c>
      <x:c r="Q891" s="25" t="n">
        <x:v>0</x:v>
      </x:c>
      <x:c r="R891" s="25" t="str">
        <x:v>洗练绑定装备；项链幸运绑定人物永久进度；武器幸运成本忽略</x:v>
      </x:c>
    </x:row>
    <x:row r="892">
      <x:c r="A892" s="25" t="str">
        <x:v>C08-X</x:v>
      </x:c>
      <x:c r="B892" s="25" t="str">
        <x:v>巨人山顶</x:v>
      </x:c>
      <x:c r="C892" s="25" t="str">
        <x:v>极端压力</x:v>
      </x:c>
      <x:c r="D892" s="25" t="n">
        <x:v>47</x:v>
      </x:c>
      <x:c r="E892" s="25" t="n">
        <x:v>148</x:v>
      </x:c>
      <x:c r="F892" s="25" t="str">
        <x:v>未羊·永霜引路</x:v>
      </x:c>
      <x:c r="G892" s="25" t="str">
        <x:v>生肖8</x:v>
      </x:c>
      <x:c r="H892" s="25" t="n">
        <x:v>7</x:v>
      </x:c>
      <x:c r="I892" s="25" t="str">
        <x:v>生肖合成</x:v>
      </x:c>
      <x:c r="J892" s="25" t="str">
        <x:v>S07</x:v>
      </x:c>
      <x:c r="K892" s="25" t="str">
        <x:v>470-900</x:v>
      </x:c>
      <x:c r="L892" s="25" t="n">
        <x:v>1200000</x:v>
      </x:c>
      <x:c r="M892" s="25" t="n">
        <x:v>0</x:v>
      </x:c>
      <x:c r="N892" s="25" t="str">
        <x:v>否</x:v>
      </x:c>
      <x:c r="O892" s="25" t="n">
        <x:v>0</x:v>
      </x:c>
      <x:c r="P892" s="25" t="n">
        <x:v>0</x:v>
      </x:c>
      <x:c r="Q892" s="25" t="n">
        <x:v>0</x:v>
      </x:c>
      <x:c r="R892" s="25" t="str">
        <x:v>洗练绑定装备；项链幸运绑定人物永久进度；武器幸运成本忽略</x:v>
      </x:c>
    </x:row>
    <x:row r="893">
      <x:c r="A893" s="25" t="str">
        <x:v>C08-X</x:v>
      </x:c>
      <x:c r="B893" s="25" t="str">
        <x:v>巨人山顶</x:v>
      </x:c>
      <x:c r="C893" s="25" t="str">
        <x:v>极端压力</x:v>
      </x:c>
      <x:c r="D893" s="25" t="n">
        <x:v>48</x:v>
      </x:c>
      <x:c r="E893" s="25" t="n">
        <x:v>81</x:v>
      </x:c>
      <x:c r="F893" s="25" t="str">
        <x:v>雷冠申猴</x:v>
      </x:c>
      <x:c r="G893" s="25" t="str">
        <x:v>生肖9</x:v>
      </x:c>
      <x:c r="H893" s="25" t="n">
        <x:v>2</x:v>
      </x:c>
      <x:c r="I893" s="25" t="str">
        <x:v>BOSS</x:v>
      </x:c>
      <x:c r="J893" s="25" t="str">
        <x:v>S02</x:v>
      </x:c>
      <x:c r="K893" s="25" t="str">
        <x:v>44-84</x:v>
      </x:c>
      <x:c r="L893" s="25" t="n">
        <x:v>59800</x:v>
      </x:c>
      <x:c r="M893" s="25" t="n">
        <x:v>0</x:v>
      </x:c>
      <x:c r="N893" s="25" t="str">
        <x:v>否</x:v>
      </x:c>
      <x:c r="O893" s="25" t="n">
        <x:v>0</x:v>
      </x:c>
      <x:c r="P893" s="25" t="n">
        <x:v>0</x:v>
      </x:c>
      <x:c r="Q893" s="25" t="n">
        <x:v>0</x:v>
      </x:c>
      <x:c r="R893" s="25" t="str">
        <x:v>洗练绑定装备；项链幸运绑定人物永久进度；武器幸运成本忽略</x:v>
      </x:c>
    </x:row>
    <x:row r="894">
      <x:c r="A894" s="25" t="str">
        <x:v>C08-X</x:v>
      </x:c>
      <x:c r="B894" s="25" t="str">
        <x:v>巨人山顶</x:v>
      </x:c>
      <x:c r="C894" s="25" t="str">
        <x:v>极端压力</x:v>
      </x:c>
      <x:c r="D894" s="25" t="n">
        <x:v>49</x:v>
      </x:c>
      <x:c r="E894" s="25" t="n">
        <x:v>82</x:v>
      </x:c>
      <x:c r="F894" s="25" t="str">
        <x:v>恶兆酉鸡</x:v>
      </x:c>
      <x:c r="G894" s="25" t="str">
        <x:v>生肖10</x:v>
      </x:c>
      <x:c r="H894" s="25" t="n">
        <x:v>2</x:v>
      </x:c>
      <x:c r="I894" s="25" t="str">
        <x:v>BOSS</x:v>
      </x:c>
      <x:c r="J894" s="25" t="str">
        <x:v>S02</x:v>
      </x:c>
      <x:c r="K894" s="25" t="str">
        <x:v>44-84</x:v>
      </x:c>
      <x:c r="L894" s="25" t="n">
        <x:v>59800</x:v>
      </x:c>
      <x:c r="M894" s="25" t="n">
        <x:v>0</x:v>
      </x:c>
      <x:c r="N894" s="25" t="str">
        <x:v>否</x:v>
      </x:c>
      <x:c r="O894" s="25" t="n">
        <x:v>0</x:v>
      </x:c>
      <x:c r="P894" s="25" t="n">
        <x:v>0</x:v>
      </x:c>
      <x:c r="Q894" s="25" t="n">
        <x:v>0</x:v>
      </x:c>
      <x:c r="R894" s="25" t="str">
        <x:v>洗练绑定装备；项链幸运绑定人物永久进度；武器幸运成本忽略</x:v>
      </x:c>
    </x:row>
    <x:row r="895">
      <x:c r="A895" s="25" t="str">
        <x:v>C08-X</x:v>
      </x:c>
      <x:c r="B895" s="25" t="str">
        <x:v>巨人山顶</x:v>
      </x:c>
      <x:c r="C895" s="25" t="str">
        <x:v>极端压力</x:v>
      </x:c>
      <x:c r="D895" s="25" t="n">
        <x:v>50</x:v>
      </x:c>
      <x:c r="E895" s="25" t="n">
        <x:v>83</x:v>
      </x:c>
      <x:c r="F895" s="25" t="str">
        <x:v>失乡戌狗</x:v>
      </x:c>
      <x:c r="G895" s="25" t="str">
        <x:v>生肖11</x:v>
      </x:c>
      <x:c r="H895" s="25" t="n">
        <x:v>2</x:v>
      </x:c>
      <x:c r="I895" s="25" t="str">
        <x:v>BOSS</x:v>
      </x:c>
      <x:c r="J895" s="25" t="str">
        <x:v>S02</x:v>
      </x:c>
      <x:c r="K895" s="25" t="str">
        <x:v>48-93</x:v>
      </x:c>
      <x:c r="L895" s="25" t="n">
        <x:v>79800</x:v>
      </x:c>
      <x:c r="M895" s="25" t="n">
        <x:v>0</x:v>
      </x:c>
      <x:c r="N895" s="25" t="str">
        <x:v>否</x:v>
      </x:c>
      <x:c r="O895" s="25" t="n">
        <x:v>0</x:v>
      </x:c>
      <x:c r="P895" s="25" t="n">
        <x:v>0</x:v>
      </x:c>
      <x:c r="Q895" s="25" t="n">
        <x:v>0</x:v>
      </x:c>
      <x:c r="R895" s="25" t="str">
        <x:v>洗练绑定装备；项链幸运绑定人物永久进度；武器幸运成本忽略</x:v>
      </x:c>
    </x:row>
    <x:row r="896">
      <x:c r="A896" s="25" t="str">
        <x:v>C08-X</x:v>
      </x:c>
      <x:c r="B896" s="25" t="str">
        <x:v>巨人山顶</x:v>
      </x:c>
      <x:c r="C896" s="25" t="str">
        <x:v>极端压力</x:v>
      </x:c>
      <x:c r="D896" s="25" t="n">
        <x:v>51</x:v>
      </x:c>
      <x:c r="E896" s="25" t="n">
        <x:v>84</x:v>
      </x:c>
      <x:c r="F896" s="25" t="str">
        <x:v>接肢亥猪</x:v>
      </x:c>
      <x:c r="G896" s="25" t="str">
        <x:v>生肖12</x:v>
      </x:c>
      <x:c r="H896" s="25" t="n">
        <x:v>2</x:v>
      </x:c>
      <x:c r="I896" s="25" t="str">
        <x:v>守关BOSS</x:v>
      </x:c>
      <x:c r="J896" s="25" t="str">
        <x:v>S02</x:v>
      </x:c>
      <x:c r="K896" s="25" t="str">
        <x:v>55-106</x:v>
      </x:c>
      <x:c r="L896" s="25" t="n">
        <x:v>90800</x:v>
      </x:c>
      <x:c r="M896" s="25" t="n">
        <x:v>0</x:v>
      </x:c>
      <x:c r="N896" s="25" t="str">
        <x:v>否</x:v>
      </x:c>
      <x:c r="O896" s="25" t="n">
        <x:v>0</x:v>
      </x:c>
      <x:c r="P896" s="25" t="n">
        <x:v>0</x:v>
      </x:c>
      <x:c r="Q896" s="25" t="n">
        <x:v>0</x:v>
      </x:c>
      <x:c r="R896" s="25" t="str">
        <x:v>洗练绑定装备；项链幸运绑定人物永久进度；武器幸运成本忽略</x:v>
      </x:c>
    </x:row>
    <x:row r="897">
      <x:c r="A897" s="25" t="str">
        <x:v>C08-X</x:v>
      </x:c>
      <x:c r="B897" s="25" t="str">
        <x:v>巨人山顶</x:v>
      </x:c>
      <x:c r="C897" s="25" t="str">
        <x:v>极端压力</x:v>
      </x:c>
      <x:c r="D897" s="25" t="n">
        <x:v>70</x:v>
      </x:c>
      <x:c r="E897" s="25" t="n">
        <x:v>191</x:v>
      </x:c>
      <x:c r="F897" s="25" t="str">
        <x:v>闭潮秘饰</x:v>
      </x:c>
      <x:c r="G897" s="25" t="str">
        <x:v>时装首饰盒</x:v>
      </x:c>
      <x:c r="H897" s="25" t="n">
        <x:v>4</x:v>
      </x:c>
      <x:c r="I897" s="25" t="str">
        <x:v>装备合成</x:v>
      </x:c>
      <x:c r="J897" s="25" t="str">
        <x:v>S07</x:v>
      </x:c>
      <x:c r="K897" s="25" t="str">
        <x:v>230-450</x:v>
      </x:c>
      <x:c r="L897" s="25" t="n">
        <x:v>460000</x:v>
      </x:c>
      <x:c r="M897" s="25" t="n">
        <x:v>0</x:v>
      </x:c>
      <x:c r="N897" s="25" t="str">
        <x:v>否</x:v>
      </x:c>
      <x:c r="O897" s="25" t="n">
        <x:v>0</x:v>
      </x:c>
      <x:c r="P897" s="25" t="n">
        <x:v>0</x:v>
      </x:c>
      <x:c r="Q897" s="25" t="n">
        <x:v>0</x:v>
      </x:c>
      <x:c r="R897" s="25" t="str">
        <x:v>洗练绑定装备；项链幸运绑定人物永久进度；武器幸运成本忽略</x:v>
      </x:c>
    </x:row>
    <x:row r="898">
      <x:c r="A898" s="25" t="str">
        <x:v>C08-X</x:v>
      </x:c>
      <x:c r="B898" s="25" t="str">
        <x:v>巨人山顶</x:v>
      </x:c>
      <x:c r="C898" s="25" t="str">
        <x:v>极端压力</x:v>
      </x:c>
      <x:c r="D898" s="25" t="n">
        <x:v>71</x:v>
      </x:c>
      <x:c r="E898" s="25" t="n">
        <x:v>190</x:v>
      </x:c>
      <x:c r="F898" s="25" t="str">
        <x:v>穹霜炉心秘饰</x:v>
      </x:c>
      <x:c r="G898" s="25" t="str">
        <x:v>时装首饰盒</x:v>
      </x:c>
      <x:c r="H898" s="25" t="n">
        <x:v>8</x:v>
      </x:c>
      <x:c r="I898" s="25" t="str">
        <x:v>装备合成</x:v>
      </x:c>
      <x:c r="J898" s="25" t="str">
        <x:v>S07</x:v>
      </x:c>
      <x:c r="K898" s="25" t="str">
        <x:v>2300-4500</x:v>
      </x:c>
      <x:c r="L898" s="25" t="n">
        <x:v>4600000</x:v>
      </x:c>
      <x:c r="M898" s="25" t="n">
        <x:v>0</x:v>
      </x:c>
      <x:c r="N898" s="25" t="str">
        <x:v>否</x:v>
      </x:c>
      <x:c r="O898" s="25" t="n">
        <x:v>0</x:v>
      </x:c>
      <x:c r="P898" s="25" t="n">
        <x:v>0</x:v>
      </x:c>
      <x:c r="Q898" s="25" t="n">
        <x:v>0</x:v>
      </x:c>
      <x:c r="R898" s="25" t="str">
        <x:v>洗练绑定装备；项链幸运绑定人物永久进度；武器幸运成本忽略</x:v>
      </x:c>
    </x:row>
    <x:row r="899">
      <x:c r="A899" s="25" t="str">
        <x:v>C09-E</x:v>
      </x:c>
      <x:c r="B899" s="25" t="str">
        <x:v>亚坛高原</x:v>
      </x:c>
      <x:c r="C899" s="25" t="str">
        <x:v>半急速入场</x:v>
      </x:c>
      <x:c r="D899" s="25" t="n">
        <x:v>0</x:v>
      </x:c>
      <x:c r="E899" s="25" t="n">
        <x:v>154</x:v>
      </x:c>
      <x:c r="F899" s="25" t="str">
        <x:v>塞维拉狱衣</x:v>
      </x:c>
      <x:c r="G899" s="25" t="str">
        <x:v>衣服</x:v>
      </x:c>
      <x:c r="H899" s="25" t="n">
        <x:v>6</x:v>
      </x:c>
      <x:c r="I899" s="25" t="str">
        <x:v>地图BOSS</x:v>
      </x:c>
      <x:c r="J899" s="25" t="str">
        <x:v>S07</x:v>
      </x:c>
      <x:c r="K899" s="25" t="str">
        <x:v>490-950</x:v>
      </x:c>
      <x:c r="L899" s="25" t="n">
        <x:v>2200000</x:v>
      </x:c>
      <x:c r="M899" s="25" t="n">
        <x:v>5</x:v>
      </x:c>
      <x:c r="N899" s="25" t="str">
        <x:v>否</x:v>
      </x:c>
      <x:c r="O899" s="25" t="n">
        <x:v>0</x:v>
      </x:c>
      <x:c r="P899" s="25" t="n">
        <x:v>0</x:v>
      </x:c>
      <x:c r="Q899" s="25" t="n">
        <x:v>0</x:v>
      </x:c>
      <x:c r="R899" s="25" t="str">
        <x:v>洗练绑定装备；项链幸运绑定人物永久进度；武器幸运成本忽略</x:v>
      </x:c>
    </x:row>
    <x:row r="900">
      <x:c r="A900" s="25" t="str">
        <x:v>C09-E</x:v>
      </x:c>
      <x:c r="B900" s="25" t="str">
        <x:v>亚坛高原</x:v>
      </x:c>
      <x:c r="C900" s="25" t="str">
        <x:v>半急速入场</x:v>
      </x:c>
      <x:c r="D900" s="25" t="n">
        <x:v>1</x:v>
      </x:c>
      <x:c r="E900" s="25" t="n">
        <x:v>152</x:v>
      </x:c>
      <x:c r="F900" s="25" t="str">
        <x:v>卡利亚月裁长刃</x:v>
      </x:c>
      <x:c r="G900" s="25" t="str">
        <x:v>武器</x:v>
      </x:c>
      <x:c r="H900" s="25" t="n">
        <x:v>5</x:v>
      </x:c>
      <x:c r="I900" s="25" t="str">
        <x:v>装备合成</x:v>
      </x:c>
      <x:c r="J900" s="25" t="str">
        <x:v>S07</x:v>
      </x:c>
      <x:c r="K900" s="25" t="str">
        <x:v>4200-8000</x:v>
      </x:c>
      <x:c r="L900" s="25" t="n">
        <x:v>480000</x:v>
      </x:c>
      <x:c r="M900" s="25" t="n">
        <x:v>6</x:v>
      </x:c>
      <x:c r="N900" s="25" t="str">
        <x:v>否</x:v>
      </x:c>
      <x:c r="O900" s="25" t="n">
        <x:v>7</x:v>
      </x:c>
      <x:c r="P900" s="25" t="n">
        <x:v>0</x:v>
      </x:c>
      <x:c r="Q900" s="25" t="n">
        <x:v>0</x:v>
      </x:c>
      <x:c r="R900" s="25" t="str">
        <x:v>洗练绑定装备；项链幸运绑定人物永久进度；武器幸运成本忽略</x:v>
      </x:c>
    </x:row>
    <x:row r="901">
      <x:c r="A901" s="25" t="str">
        <x:v>C09-E</x:v>
      </x:c>
      <x:c r="B901" s="25" t="str">
        <x:v>亚坛高原</x:v>
      </x:c>
      <x:c r="C901" s="25" t="str">
        <x:v>半急速入场</x:v>
      </x:c>
      <x:c r="D901" s="25" t="n">
        <x:v>2</x:v>
      </x:c>
      <x:c r="E901" s="25" t="n">
        <x:v>144</x:v>
      </x:c>
      <x:c r="F901" s="25" t="str">
        <x:v>灰烬裁印</x:v>
      </x:c>
      <x:c r="G901" s="25" t="str">
        <x:v>勋章</x:v>
      </x:c>
      <x:c r="H901" s="25" t="n">
        <x:v>6</x:v>
      </x:c>
      <x:c r="I901" s="25" t="str">
        <x:v>稀有</x:v>
      </x:c>
      <x:c r="J901" s="25" t="str">
        <x:v>S07</x:v>
      </x:c>
      <x:c r="K901" s="25" t="str">
        <x:v>350-680</x:v>
      </x:c>
      <x:c r="L901" s="25" t="n">
        <x:v>370000</x:v>
      </x:c>
      <x:c r="M901" s="25" t="n">
        <x:v>0</x:v>
      </x:c>
      <x:c r="N901" s="25" t="str">
        <x:v>否</x:v>
      </x:c>
      <x:c r="O901" s="25" t="n">
        <x:v>0</x:v>
      </x:c>
      <x:c r="P901" s="25" t="n">
        <x:v>0</x:v>
      </x:c>
      <x:c r="Q901" s="25" t="n">
        <x:v>0</x:v>
      </x:c>
      <x:c r="R901" s="25" t="str">
        <x:v>洗练绑定装备；项链幸运绑定人物永久进度；武器幸运成本忽略</x:v>
      </x:c>
    </x:row>
    <x:row r="902">
      <x:c r="A902" s="25" t="str">
        <x:v>C09-E</x:v>
      </x:c>
      <x:c r="B902" s="25" t="str">
        <x:v>亚坛高原</x:v>
      </x:c>
      <x:c r="C902" s="25" t="str">
        <x:v>半急速入场</x:v>
      </x:c>
      <x:c r="D902" s="25" t="n">
        <x:v>3</x:v>
      </x:c>
      <x:c r="E902" s="25" t="n">
        <x:v>168</x:v>
      </x:c>
      <x:c r="F902" s="25" t="str">
        <x:v>寒羽猎链</x:v>
      </x:c>
      <x:c r="G902" s="25" t="str">
        <x:v>项链</x:v>
      </x:c>
      <x:c r="H902" s="25" t="n">
        <x:v>7</x:v>
      </x:c>
      <x:c r="I902" s="25" t="str">
        <x:v>普通</x:v>
      </x:c>
      <x:c r="J902" s="25" t="str">
        <x:v>S07</x:v>
      </x:c>
      <x:c r="K902" s="25" t="str">
        <x:v>440-850</x:v>
      </x:c>
      <x:c r="L902" s="25" t="n">
        <x:v>370000</x:v>
      </x:c>
      <x:c r="M902" s="25" t="n">
        <x:v>4</x:v>
      </x:c>
      <x:c r="N902" s="25" t="str">
        <x:v>否</x:v>
      </x:c>
      <x:c r="O902" s="25" t="n">
        <x:v>0</x:v>
      </x:c>
      <x:c r="P902" s="25" t="n">
        <x:v>0</x:v>
      </x:c>
      <x:c r="Q902" s="25" t="n">
        <x:v>0</x:v>
      </x:c>
      <x:c r="R902" s="25" t="str">
        <x:v>洗练绑定装备；项链幸运绑定人物永久进度；武器幸运成本忽略</x:v>
      </x:c>
    </x:row>
    <x:row r="903">
      <x:c r="A903" s="25" t="str">
        <x:v>C09-E</x:v>
      </x:c>
      <x:c r="B903" s="25" t="str">
        <x:v>亚坛高原</x:v>
      </x:c>
      <x:c r="C903" s="25" t="str">
        <x:v>半急速入场</x:v>
      </x:c>
      <x:c r="D903" s="25" t="n">
        <x:v>4</x:v>
      </x:c>
      <x:c r="E903" s="25" t="n">
        <x:v>159</x:v>
      </x:c>
      <x:c r="F903" s="25" t="str">
        <x:v>白烛礼冠</x:v>
      </x:c>
      <x:c r="G903" s="25" t="str">
        <x:v>头盔</x:v>
      </x:c>
      <x:c r="H903" s="25" t="n">
        <x:v>7</x:v>
      </x:c>
      <x:c r="I903" s="25" t="str">
        <x:v>普通</x:v>
      </x:c>
      <x:c r="J903" s="25" t="str">
        <x:v>S07</x:v>
      </x:c>
      <x:c r="K903" s="25" t="str">
        <x:v>320-610</x:v>
      </x:c>
      <x:c r="L903" s="25" t="n">
        <x:v>640000</x:v>
      </x:c>
      <x:c r="M903" s="25" t="n">
        <x:v>7</x:v>
      </x:c>
      <x:c r="N903" s="25" t="str">
        <x:v>是</x:v>
      </x:c>
      <x:c r="O903" s="25" t="n">
        <x:v>0</x:v>
      </x:c>
      <x:c r="P903" s="25" t="n">
        <x:v>0</x:v>
      </x:c>
      <x:c r="Q903" s="25" t="n">
        <x:v>0</x:v>
      </x:c>
      <x:c r="R903" s="25" t="str">
        <x:v>洗练绑定装备；项链幸运绑定人物永久进度；武器幸运成本忽略</x:v>
      </x:c>
    </x:row>
    <x:row r="904">
      <x:c r="A904" s="25" t="str">
        <x:v>C09-E</x:v>
      </x:c>
      <x:c r="B904" s="25" t="str">
        <x:v>亚坛高原</x:v>
      </x:c>
      <x:c r="C904" s="25" t="str">
        <x:v>半急速入场</x:v>
      </x:c>
      <x:c r="D904" s="25" t="n">
        <x:v>5</x:v>
      </x:c>
      <x:c r="E904" s="25" t="n">
        <x:v>156</x:v>
      </x:c>
      <x:c r="F904" s="25" t="str">
        <x:v>烬鳞护腕</x:v>
      </x:c>
      <x:c r="G904" s="25" t="str">
        <x:v>手镯</x:v>
      </x:c>
      <x:c r="H904" s="25" t="n">
        <x:v>6</x:v>
      </x:c>
      <x:c r="I904" s="25" t="str">
        <x:v>普通</x:v>
      </x:c>
      <x:c r="J904" s="25" t="str">
        <x:v>S07</x:v>
      </x:c>
      <x:c r="K904" s="25" t="str">
        <x:v>330-630</x:v>
      </x:c>
      <x:c r="L904" s="25" t="n">
        <x:v>250000</x:v>
      </x:c>
      <x:c r="M904" s="25" t="n">
        <x:v>3</x:v>
      </x:c>
      <x:c r="N904" s="25" t="str">
        <x:v>否</x:v>
      </x:c>
      <x:c r="O904" s="25" t="n">
        <x:v>0</x:v>
      </x:c>
      <x:c r="P904" s="25" t="n">
        <x:v>0</x:v>
      </x:c>
      <x:c r="Q904" s="25" t="n">
        <x:v>0</x:v>
      </x:c>
      <x:c r="R904" s="25" t="str">
        <x:v>洗练绑定装备；项链幸运绑定人物永久进度；武器幸运成本忽略</x:v>
      </x:c>
    </x:row>
    <x:row r="905">
      <x:c r="A905" s="25" t="str">
        <x:v>C09-E</x:v>
      </x:c>
      <x:c r="B905" s="25" t="str">
        <x:v>亚坛高原</x:v>
      </x:c>
      <x:c r="C905" s="25" t="str">
        <x:v>半急速入场</x:v>
      </x:c>
      <x:c r="D905" s="25" t="n">
        <x:v>6</x:v>
      </x:c>
      <x:c r="E905" s="25" t="n">
        <x:v>170</x:v>
      </x:c>
      <x:c r="F905" s="25" t="str">
        <x:v>血菌腕轮</x:v>
      </x:c>
      <x:c r="G905" s="25" t="str">
        <x:v>手镯</x:v>
      </x:c>
      <x:c r="H905" s="25" t="n">
        <x:v>6</x:v>
      </x:c>
      <x:c r="I905" s="25" t="str">
        <x:v>普通</x:v>
      </x:c>
      <x:c r="J905" s="25" t="str">
        <x:v>S07</x:v>
      </x:c>
      <x:c r="K905" s="25" t="str">
        <x:v>300-570</x:v>
      </x:c>
      <x:c r="L905" s="25" t="n">
        <x:v>230000</x:v>
      </x:c>
      <x:c r="M905" s="25" t="n">
        <x:v>6</x:v>
      </x:c>
      <x:c r="N905" s="25" t="str">
        <x:v>否</x:v>
      </x:c>
      <x:c r="O905" s="25" t="n">
        <x:v>0</x:v>
      </x:c>
      <x:c r="P905" s="25" t="n">
        <x:v>0</x:v>
      </x:c>
      <x:c r="Q905" s="25" t="n">
        <x:v>0</x:v>
      </x:c>
      <x:c r="R905" s="25" t="str">
        <x:v>洗练绑定装备；项链幸运绑定人物永久进度；武器幸运成本忽略</x:v>
      </x:c>
    </x:row>
    <x:row r="906">
      <x:c r="A906" s="25" t="str">
        <x:v>C09-E</x:v>
      </x:c>
      <x:c r="B906" s="25" t="str">
        <x:v>亚坛高原</x:v>
      </x:c>
      <x:c r="C906" s="25" t="str">
        <x:v>半急速入场</x:v>
      </x:c>
      <x:c r="D906" s="25" t="n">
        <x:v>7</x:v>
      </x:c>
      <x:c r="E906" s="25" t="n">
        <x:v>171</x:v>
      </x:c>
      <x:c r="F906" s="25" t="str">
        <x:v>苍鬃牙戒</x:v>
      </x:c>
      <x:c r="G906" s="25" t="str">
        <x:v>戒指</x:v>
      </x:c>
      <x:c r="H906" s="25" t="n">
        <x:v>7</x:v>
      </x:c>
      <x:c r="I906" s="25" t="str">
        <x:v>普通</x:v>
      </x:c>
      <x:c r="J906" s="25" t="str">
        <x:v>S07</x:v>
      </x:c>
      <x:c r="K906" s="25" t="str">
        <x:v>470-910</x:v>
      </x:c>
      <x:c r="L906" s="25" t="n">
        <x:v>370000</x:v>
      </x:c>
      <x:c r="M906" s="25" t="n">
        <x:v>4</x:v>
      </x:c>
      <x:c r="N906" s="25" t="str">
        <x:v>否</x:v>
      </x:c>
      <x:c r="O906" s="25" t="n">
        <x:v>0</x:v>
      </x:c>
      <x:c r="P906" s="25" t="n">
        <x:v>0</x:v>
      </x:c>
      <x:c r="Q906" s="25" t="n">
        <x:v>0</x:v>
      </x:c>
      <x:c r="R906" s="25" t="str">
        <x:v>洗练绑定装备；项链幸运绑定人物永久进度；武器幸运成本忽略</x:v>
      </x:c>
    </x:row>
    <x:row r="907">
      <x:c r="A907" s="25" t="str">
        <x:v>C09-E</x:v>
      </x:c>
      <x:c r="B907" s="25" t="str">
        <x:v>亚坛高原</x:v>
      </x:c>
      <x:c r="C907" s="25" t="str">
        <x:v>半急速入场</x:v>
      </x:c>
      <x:c r="D907" s="25" t="n">
        <x:v>8</x:v>
      </x:c>
      <x:c r="E907" s="25" t="n">
        <x:v>118</x:v>
      </x:c>
      <x:c r="F907" s="25" t="str">
        <x:v>月渊秘戒</x:v>
      </x:c>
      <x:c r="G907" s="25" t="str">
        <x:v>戒指</x:v>
      </x:c>
      <x:c r="H907" s="25" t="n">
        <x:v>4</x:v>
      </x:c>
      <x:c r="I907" s="25" t="str">
        <x:v>装备合成</x:v>
      </x:c>
      <x:c r="J907" s="25" t="str">
        <x:v>S07</x:v>
      </x:c>
      <x:c r="K907" s="25" t="str">
        <x:v>350-670</x:v>
      </x:c>
      <x:c r="L907" s="25" t="n">
        <x:v>270000</x:v>
      </x:c>
      <x:c r="M907" s="25" t="n">
        <x:v>6</x:v>
      </x:c>
      <x:c r="N907" s="25" t="str">
        <x:v>否</x:v>
      </x:c>
      <x:c r="O907" s="25" t="n">
        <x:v>0</x:v>
      </x:c>
      <x:c r="P907" s="25" t="n">
        <x:v>0</x:v>
      </x:c>
      <x:c r="Q907" s="25" t="n">
        <x:v>0</x:v>
      </x:c>
      <x:c r="R907" s="25" t="str">
        <x:v>洗练绑定装备；项链幸运绑定人物永久进度；武器幸运成本忽略</x:v>
      </x:c>
    </x:row>
    <x:row r="908">
      <x:c r="A908" s="25" t="str">
        <x:v>C09-E</x:v>
      </x:c>
      <x:c r="B908" s="25" t="str">
        <x:v>亚坛高原</x:v>
      </x:c>
      <x:c r="C908" s="25" t="str">
        <x:v>半急速入场</x:v>
      </x:c>
      <x:c r="D908" s="25" t="n">
        <x:v>10</x:v>
      </x:c>
      <x:c r="E908" s="25" t="n">
        <x:v>160</x:v>
      </x:c>
      <x:c r="F908" s="25" t="str">
        <x:v>寒弓束带</x:v>
      </x:c>
      <x:c r="G908" s="25" t="str">
        <x:v>腰带</x:v>
      </x:c>
      <x:c r="H908" s="25" t="n">
        <x:v>7</x:v>
      </x:c>
      <x:c r="I908" s="25" t="str">
        <x:v>普通</x:v>
      </x:c>
      <x:c r="J908" s="25" t="str">
        <x:v>S07</x:v>
      </x:c>
      <x:c r="K908" s="25" t="str">
        <x:v>320-620</x:v>
      </x:c>
      <x:c r="L908" s="25" t="n">
        <x:v>540000</x:v>
      </x:c>
      <x:c r="M908" s="25" t="n">
        <x:v>6</x:v>
      </x:c>
      <x:c r="N908" s="25" t="str">
        <x:v>否</x:v>
      </x:c>
      <x:c r="O908" s="25" t="n">
        <x:v>0</x:v>
      </x:c>
      <x:c r="P908" s="25" t="n">
        <x:v>0</x:v>
      </x:c>
      <x:c r="Q908" s="25" t="n">
        <x:v>0</x:v>
      </x:c>
      <x:c r="R908" s="25" t="str">
        <x:v>洗练绑定装备；项链幸运绑定人物永久进度；武器幸运成本忽略</x:v>
      </x:c>
    </x:row>
    <x:row r="909">
      <x:c r="A909" s="25" t="str">
        <x:v>C09-E</x:v>
      </x:c>
      <x:c r="B909" s="25" t="str">
        <x:v>亚坛高原</x:v>
      </x:c>
      <x:c r="C909" s="25" t="str">
        <x:v>半急速入场</x:v>
      </x:c>
      <x:c r="D909" s="25" t="n">
        <x:v>11</x:v>
      </x:c>
      <x:c r="E909" s="25" t="n">
        <x:v>161</x:v>
      </x:c>
      <x:c r="F909" s="25" t="str">
        <x:v>霜风战靴</x:v>
      </x:c>
      <x:c r="G909" s="25" t="str">
        <x:v>鞋子</x:v>
      </x:c>
      <x:c r="H909" s="25" t="n">
        <x:v>7</x:v>
      </x:c>
      <x:c r="I909" s="25" t="str">
        <x:v>稀有</x:v>
      </x:c>
      <x:c r="J909" s="25" t="str">
        <x:v>S07</x:v>
      </x:c>
      <x:c r="K909" s="25" t="str">
        <x:v>410-790</x:v>
      </x:c>
      <x:c r="L909" s="25" t="n">
        <x:v>590000</x:v>
      </x:c>
      <x:c r="M909" s="25" t="n">
        <x:v>3</x:v>
      </x:c>
      <x:c r="N909" s="25" t="str">
        <x:v>否</x:v>
      </x:c>
      <x:c r="O909" s="25" t="n">
        <x:v>0</x:v>
      </x:c>
      <x:c r="P909" s="25" t="n">
        <x:v>0</x:v>
      </x:c>
      <x:c r="Q909" s="25" t="n">
        <x:v>0</x:v>
      </x:c>
      <x:c r="R909" s="25" t="str">
        <x:v>洗练绑定装备；项链幸运绑定人物永久进度；武器幸运成本忽略</x:v>
      </x:c>
    </x:row>
    <x:row r="910">
      <x:c r="A910" s="25" t="str">
        <x:v>C09-E</x:v>
      </x:c>
      <x:c r="B910" s="25" t="str">
        <x:v>亚坛高原</x:v>
      </x:c>
      <x:c r="C910" s="25" t="str">
        <x:v>半急速入场</x:v>
      </x:c>
      <x:c r="D910" s="25" t="n">
        <x:v>13</x:v>
      </x:c>
      <x:c r="E910" s="25" t="n">
        <x:v>162</x:v>
      </x:c>
      <x:c r="F910" s="25" t="str">
        <x:v>雾界斗笠</x:v>
      </x:c>
      <x:c r="G910" s="25" t="str">
        <x:v>斗笠</x:v>
      </x:c>
      <x:c r="H910" s="25" t="n">
        <x:v>7</x:v>
      </x:c>
      <x:c r="I910" s="25" t="str">
        <x:v>普通</x:v>
      </x:c>
      <x:c r="J910" s="25" t="str">
        <x:v>S07</x:v>
      </x:c>
      <x:c r="K910" s="25" t="str">
        <x:v>280-540</x:v>
      </x:c>
      <x:c r="L910" s="25" t="n">
        <x:v>350000</x:v>
      </x:c>
      <x:c r="M910" s="25" t="n">
        <x:v>0</x:v>
      </x:c>
      <x:c r="N910" s="25" t="str">
        <x:v>否</x:v>
      </x:c>
      <x:c r="O910" s="25" t="n">
        <x:v>0</x:v>
      </x:c>
      <x:c r="P910" s="25" t="n">
        <x:v>0</x:v>
      </x:c>
      <x:c r="Q910" s="25" t="n">
        <x:v>0</x:v>
      </x:c>
      <x:c r="R910" s="25" t="str">
        <x:v>洗练绑定装备；项链幸运绑定人物永久进度；武器幸运成本忽略</x:v>
      </x:c>
    </x:row>
    <x:row r="911">
      <x:c r="A911" s="25" t="str">
        <x:v>C09-E</x:v>
      </x:c>
      <x:c r="B911" s="25" t="str">
        <x:v>亚坛高原</x:v>
      </x:c>
      <x:c r="C911" s="25" t="str">
        <x:v>半急速入场</x:v>
      </x:c>
      <x:c r="D911" s="25" t="n">
        <x:v>16</x:v>
      </x:c>
      <x:c r="E911" s="25" t="n">
        <x:v>164</x:v>
      </x:c>
      <x:c r="F911" s="25" t="str">
        <x:v>吞日霜壁</x:v>
      </x:c>
      <x:c r="G911" s="25" t="str">
        <x:v>盾牌</x:v>
      </x:c>
      <x:c r="H911" s="25" t="n">
        <x:v>8</x:v>
      </x:c>
      <x:c r="I911" s="25" t="str">
        <x:v>装备合成</x:v>
      </x:c>
      <x:c r="J911" s="25" t="str">
        <x:v>S07</x:v>
      </x:c>
      <x:c r="K911" s="25" t="str">
        <x:v>2800-5400</x:v>
      </x:c>
      <x:c r="L911" s="25" t="n">
        <x:v>7700000</x:v>
      </x:c>
      <x:c r="M911" s="25" t="n">
        <x:v>0</x:v>
      </x:c>
      <x:c r="N911" s="25" t="str">
        <x:v>否</x:v>
      </x:c>
      <x:c r="O911" s="25" t="n">
        <x:v>0</x:v>
      </x:c>
      <x:c r="P911" s="25" t="n">
        <x:v>0</x:v>
      </x:c>
      <x:c r="Q911" s="25" t="n">
        <x:v>0</x:v>
      </x:c>
      <x:c r="R911" s="25" t="str">
        <x:v>洗练绑定装备；项链幸运绑定人物永久进度；武器幸运成本忽略</x:v>
      </x:c>
    </x:row>
    <x:row r="912">
      <x:c r="A912" s="25" t="str">
        <x:v>C09-E</x:v>
      </x:c>
      <x:c r="B912" s="25" t="str">
        <x:v>亚坛高原</x:v>
      </x:c>
      <x:c r="C912" s="25" t="str">
        <x:v>半急速入场</x:v>
      </x:c>
      <x:c r="D912" s="25" t="n">
        <x:v>18</x:v>
      </x:c>
      <x:c r="E912" s="25" t="n">
        <x:v>137</x:v>
      </x:c>
      <x:c r="F912" s="25" t="str">
        <x:v>红狮余烬王衣</x:v>
      </x:c>
      <x:c r="G912" s="25" t="str">
        <x:v>时装衣服</x:v>
      </x:c>
      <x:c r="H912" s="25" t="n">
        <x:v>6</x:v>
      </x:c>
      <x:c r="I912" s="25" t="str">
        <x:v>装备合成</x:v>
      </x:c>
      <x:c r="J912" s="25" t="str">
        <x:v>S07</x:v>
      </x:c>
      <x:c r="K912" s="25" t="str">
        <x:v>780-1500</x:v>
      </x:c>
      <x:c r="L912" s="25" t="n">
        <x:v>5100000</x:v>
      </x:c>
      <x:c r="M912" s="25" t="n">
        <x:v>0</x:v>
      </x:c>
      <x:c r="N912" s="25" t="str">
        <x:v>否</x:v>
      </x:c>
      <x:c r="O912" s="25" t="n">
        <x:v>0</x:v>
      </x:c>
      <x:c r="P912" s="25" t="n">
        <x:v>0</x:v>
      </x:c>
      <x:c r="Q912" s="25" t="n">
        <x:v>0</x:v>
      </x:c>
      <x:c r="R912" s="25" t="str">
        <x:v>洗练绑定装备；项链幸运绑定人物永久进度；武器幸运成本忽略</x:v>
      </x:c>
    </x:row>
    <x:row r="913">
      <x:c r="A913" s="25" t="str">
        <x:v>C09-E</x:v>
      </x:c>
      <x:c r="B913" s="25" t="str">
        <x:v>亚坛高原</x:v>
      </x:c>
      <x:c r="C913" s="25" t="str">
        <x:v>半急速入场</x:v>
      </x:c>
      <x:c r="D913" s="25" t="n">
        <x:v>19</x:v>
      </x:c>
      <x:c r="E913" s="25" t="n">
        <x:v>147</x:v>
      </x:c>
      <x:c r="F913" s="25" t="str">
        <x:v>永霜白金刃</x:v>
      </x:c>
      <x:c r="G913" s="25" t="str">
        <x:v>时装武器</x:v>
      </x:c>
      <x:c r="H913" s="25" t="n">
        <x:v>7</x:v>
      </x:c>
      <x:c r="I913" s="25" t="str">
        <x:v>装备合成</x:v>
      </x:c>
      <x:c r="J913" s="25" t="str">
        <x:v>S07</x:v>
      </x:c>
      <x:c r="K913" s="25" t="str">
        <x:v>4800-9200</x:v>
      </x:c>
      <x:c r="L913" s="25" t="n">
        <x:v>1700000</x:v>
      </x:c>
      <x:c r="M913" s="25" t="n">
        <x:v>0</x:v>
      </x:c>
      <x:c r="N913" s="25" t="str">
        <x:v>否</x:v>
      </x:c>
      <x:c r="O913" s="25" t="n">
        <x:v>0</x:v>
      </x:c>
      <x:c r="P913" s="25" t="n">
        <x:v>0</x:v>
      </x:c>
      <x:c r="Q913" s="25" t="n">
        <x:v>0</x:v>
      </x:c>
      <x:c r="R913" s="25" t="str">
        <x:v>洗练绑定装备；项链幸运绑定人物永久进度；武器幸运成本忽略</x:v>
      </x:c>
    </x:row>
    <x:row r="914">
      <x:c r="A914" s="25" t="str">
        <x:v>C09-E</x:v>
      </x:c>
      <x:c r="B914" s="25" t="str">
        <x:v>亚坛高原</x:v>
      </x:c>
      <x:c r="C914" s="25" t="str">
        <x:v>半急速入场</x:v>
      </x:c>
      <x:c r="D914" s="25" t="n">
        <x:v>20</x:v>
      </x:c>
      <x:c r="E914" s="25" t="n">
        <x:v>40</x:v>
      </x:c>
      <x:c r="F914" s="25" t="str">
        <x:v>英雄余誓</x:v>
      </x:c>
      <x:c r="G914" s="25" t="str">
        <x:v>时装项链</x:v>
      </x:c>
      <x:c r="H914" s="25" t="n">
        <x:v>2</x:v>
      </x:c>
      <x:c r="I914" s="25" t="str">
        <x:v>稀有</x:v>
      </x:c>
      <x:c r="J914" s="25" t="str">
        <x:v>S02</x:v>
      </x:c>
      <x:c r="K914" s="25" t="str">
        <x:v>31-60</x:v>
      </x:c>
      <x:c r="L914" s="25" t="n">
        <x:v>17900</x:v>
      </x:c>
      <x:c r="M914" s="25" t="n">
        <x:v>0</x:v>
      </x:c>
      <x:c r="N914" s="25" t="str">
        <x:v>否</x:v>
      </x:c>
      <x:c r="O914" s="25" t="n">
        <x:v>0</x:v>
      </x:c>
      <x:c r="P914" s="25" t="n">
        <x:v>0</x:v>
      </x:c>
      <x:c r="Q914" s="25" t="n">
        <x:v>0</x:v>
      </x:c>
      <x:c r="R914" s="25" t="str">
        <x:v>洗练绑定装备；项链幸运绑定人物永久进度；武器幸运成本忽略</x:v>
      </x:c>
    </x:row>
    <x:row r="915">
      <x:c r="A915" s="25" t="str">
        <x:v>C09-E</x:v>
      </x:c>
      <x:c r="B915" s="25" t="str">
        <x:v>亚坛高原</x:v>
      </x:c>
      <x:c r="C915" s="25" t="str">
        <x:v>半急速入场</x:v>
      </x:c>
      <x:c r="D915" s="25" t="n">
        <x:v>21</x:v>
      </x:c>
      <x:c r="E915" s="25" t="n">
        <x:v>41</x:v>
      </x:c>
      <x:c r="F915" s="25" t="str">
        <x:v>初火兜鍪</x:v>
      </x:c>
      <x:c r="G915" s="25" t="str">
        <x:v>时装头盔</x:v>
      </x:c>
      <x:c r="H915" s="25" t="n">
        <x:v>2</x:v>
      </x:c>
      <x:c r="I915" s="25" t="str">
        <x:v>稀有</x:v>
      </x:c>
      <x:c r="J915" s="25" t="str">
        <x:v>S02</x:v>
      </x:c>
      <x:c r="K915" s="25" t="str">
        <x:v>22-42</x:v>
      </x:c>
      <x:c r="L915" s="25" t="n">
        <x:v>30900</x:v>
      </x:c>
      <x:c r="M915" s="25" t="n">
        <x:v>0</x:v>
      </x:c>
      <x:c r="N915" s="25" t="str">
        <x:v>否</x:v>
      </x:c>
      <x:c r="O915" s="25" t="n">
        <x:v>0</x:v>
      </x:c>
      <x:c r="P915" s="25" t="n">
        <x:v>0</x:v>
      </x:c>
      <x:c r="Q915" s="25" t="n">
        <x:v>0</x:v>
      </x:c>
      <x:c r="R915" s="25" t="str">
        <x:v>洗练绑定装备；项链幸运绑定人物永久进度；武器幸运成本忽略</x:v>
      </x:c>
    </x:row>
    <x:row r="916">
      <x:c r="A916" s="25" t="str">
        <x:v>C09-E</x:v>
      </x:c>
      <x:c r="B916" s="25" t="str">
        <x:v>亚坛高原</x:v>
      </x:c>
      <x:c r="C916" s="25" t="str">
        <x:v>半急速入场</x:v>
      </x:c>
      <x:c r="D916" s="25" t="n">
        <x:v>22</x:v>
      </x:c>
      <x:c r="E916" s="25" t="n">
        <x:v>42</x:v>
      </x:c>
      <x:c r="F916" s="25" t="str">
        <x:v>卢恩血镯</x:v>
      </x:c>
      <x:c r="G916" s="25" t="str">
        <x:v>时装手镯</x:v>
      </x:c>
      <x:c r="H916" s="25" t="n">
        <x:v>2</x:v>
      </x:c>
      <x:c r="I916" s="25" t="str">
        <x:v>稀有</x:v>
      </x:c>
      <x:c r="J916" s="25" t="str">
        <x:v>S02</x:v>
      </x:c>
      <x:c r="K916" s="25" t="str">
        <x:v>42-80</x:v>
      </x:c>
      <x:c r="L916" s="25" t="n">
        <x:v>34400</x:v>
      </x:c>
      <x:c r="M916" s="25" t="n">
        <x:v>0</x:v>
      </x:c>
      <x:c r="N916" s="25" t="str">
        <x:v>否</x:v>
      </x:c>
      <x:c r="O916" s="25" t="n">
        <x:v>0</x:v>
      </x:c>
      <x:c r="P916" s="25" t="n">
        <x:v>0</x:v>
      </x:c>
      <x:c r="Q916" s="25" t="n">
        <x:v>0</x:v>
      </x:c>
      <x:c r="R916" s="25" t="str">
        <x:v>洗练绑定装备；项链幸运绑定人物永久进度；武器幸运成本忽略</x:v>
      </x:c>
    </x:row>
    <x:row r="917">
      <x:c r="A917" s="25" t="str">
        <x:v>C09-E</x:v>
      </x:c>
      <x:c r="B917" s="25" t="str">
        <x:v>亚坛高原</x:v>
      </x:c>
      <x:c r="C917" s="25" t="str">
        <x:v>半急速入场</x:v>
      </x:c>
      <x:c r="D917" s="25" t="n">
        <x:v>24</x:v>
      </x:c>
      <x:c r="E917" s="25" t="n">
        <x:v>43</x:v>
      </x:c>
      <x:c r="F917" s="25" t="str">
        <x:v>黄金树戒</x:v>
      </x:c>
      <x:c r="G917" s="25" t="str">
        <x:v>时装戒指</x:v>
      </x:c>
      <x:c r="H917" s="25" t="n">
        <x:v>2</x:v>
      </x:c>
      <x:c r="I917" s="25" t="str">
        <x:v>稀有</x:v>
      </x:c>
      <x:c r="J917" s="25" t="str">
        <x:v>S02</x:v>
      </x:c>
      <x:c r="K917" s="25" t="str">
        <x:v>42-80</x:v>
      </x:c>
      <x:c r="L917" s="25" t="n">
        <x:v>34400</x:v>
      </x:c>
      <x:c r="M917" s="25" t="n">
        <x:v>0</x:v>
      </x:c>
      <x:c r="N917" s="25" t="str">
        <x:v>否</x:v>
      </x:c>
      <x:c r="O917" s="25" t="n">
        <x:v>0</x:v>
      </x:c>
      <x:c r="P917" s="25" t="n">
        <x:v>0</x:v>
      </x:c>
      <x:c r="Q917" s="25" t="n">
        <x:v>0</x:v>
      </x:c>
      <x:c r="R917" s="25" t="str">
        <x:v>洗练绑定装备；项链幸运绑定人物永久进度；武器幸运成本忽略</x:v>
      </x:c>
    </x:row>
    <x:row r="918">
      <x:c r="A918" s="25" t="str">
        <x:v>C09-E</x:v>
      </x:c>
      <x:c r="B918" s="25" t="str">
        <x:v>亚坛高原</x:v>
      </x:c>
      <x:c r="C918" s="25" t="str">
        <x:v>半急速入场</x:v>
      </x:c>
      <x:c r="D918" s="25" t="n">
        <x:v>40</x:v>
      </x:c>
      <x:c r="E918" s="25" t="n">
        <x:v>44</x:v>
      </x:c>
      <x:c r="F918" s="25" t="str">
        <x:v>腐树子鼠</x:v>
      </x:c>
      <x:c r="G918" s="25" t="str">
        <x:v>生肖1</x:v>
      </x:c>
      <x:c r="H918" s="25" t="n">
        <x:v>2</x:v>
      </x:c>
      <x:c r="I918" s="25" t="str">
        <x:v>BOSS</x:v>
      </x:c>
      <x:c r="J918" s="25" t="str">
        <x:v>S02</x:v>
      </x:c>
      <x:c r="K918" s="25" t="str">
        <x:v>29-56</x:v>
      </x:c>
      <x:c r="L918" s="25" t="n">
        <x:v>23600</x:v>
      </x:c>
      <x:c r="M918" s="25" t="n">
        <x:v>0</x:v>
      </x:c>
      <x:c r="N918" s="25" t="str">
        <x:v>否</x:v>
      </x:c>
      <x:c r="O918" s="25" t="n">
        <x:v>0</x:v>
      </x:c>
      <x:c r="P918" s="25" t="n">
        <x:v>0</x:v>
      </x:c>
      <x:c r="Q918" s="25" t="n">
        <x:v>0</x:v>
      </x:c>
      <x:c r="R918" s="25" t="str">
        <x:v>洗练绑定装备；项链幸运绑定人物永久进度；武器幸运成本忽略</x:v>
      </x:c>
    </x:row>
    <x:row r="919">
      <x:c r="A919" s="25" t="str">
        <x:v>C09-E</x:v>
      </x:c>
      <x:c r="B919" s="25" t="str">
        <x:v>亚坛高原</x:v>
      </x:c>
      <x:c r="C919" s="25" t="str">
        <x:v>半急速入场</x:v>
      </x:c>
      <x:c r="D919" s="25" t="n">
        <x:v>41</x:v>
      </x:c>
      <x:c r="E919" s="25" t="n">
        <x:v>69</x:v>
      </x:c>
      <x:c r="F919" s="25" t="str">
        <x:v>丑牛·风暴负山</x:v>
      </x:c>
      <x:c r="G919" s="25" t="str">
        <x:v>生肖2</x:v>
      </x:c>
      <x:c r="H919" s="25" t="n">
        <x:v>2</x:v>
      </x:c>
      <x:c r="I919" s="25" t="str">
        <x:v>生肖合成</x:v>
      </x:c>
      <x:c r="J919" s="25" t="str">
        <x:v>S07</x:v>
      </x:c>
      <x:c r="K919" s="25" t="str">
        <x:v>25-49</x:v>
      </x:c>
      <x:c r="L919" s="25" t="n">
        <x:v>64000</x:v>
      </x:c>
      <x:c r="M919" s="25" t="n">
        <x:v>0</x:v>
      </x:c>
      <x:c r="N919" s="25" t="str">
        <x:v>否</x:v>
      </x:c>
      <x:c r="O919" s="25" t="n">
        <x:v>0</x:v>
      </x:c>
      <x:c r="P919" s="25" t="n">
        <x:v>0</x:v>
      </x:c>
      <x:c r="Q919" s="25" t="n">
        <x:v>0</x:v>
      </x:c>
      <x:c r="R919" s="25" t="str">
        <x:v>洗练绑定装备；项链幸运绑定人物永久进度；武器幸运成本忽略</x:v>
      </x:c>
    </x:row>
    <x:row r="920">
      <x:c r="A920" s="25" t="str">
        <x:v>C09-E</x:v>
      </x:c>
      <x:c r="B920" s="25" t="str">
        <x:v>亚坛高原</x:v>
      </x:c>
      <x:c r="C920" s="25" t="str">
        <x:v>半急速入场</x:v>
      </x:c>
      <x:c r="D920" s="25" t="n">
        <x:v>42</x:v>
      </x:c>
      <x:c r="E920" s="25" t="n">
        <x:v>138</x:v>
      </x:c>
      <x:c r="F920" s="25" t="str">
        <x:v>寅虎·红狮焚原</x:v>
      </x:c>
      <x:c r="G920" s="25" t="str">
        <x:v>生肖3</x:v>
      </x:c>
      <x:c r="H920" s="25" t="n">
        <x:v>6</x:v>
      </x:c>
      <x:c r="I920" s="25" t="str">
        <x:v>生肖合成</x:v>
      </x:c>
      <x:c r="J920" s="25" t="str">
        <x:v>S07</x:v>
      </x:c>
      <x:c r="K920" s="25" t="str">
        <x:v>250-490</x:v>
      </x:c>
      <x:c r="L920" s="25" t="n">
        <x:v>640000</x:v>
      </x:c>
      <x:c r="M920" s="25" t="n">
        <x:v>0</x:v>
      </x:c>
      <x:c r="N920" s="25" t="str">
        <x:v>否</x:v>
      </x:c>
      <x:c r="O920" s="25" t="n">
        <x:v>0</x:v>
      </x:c>
      <x:c r="P920" s="25" t="n">
        <x:v>0</x:v>
      </x:c>
      <x:c r="Q920" s="25" t="n">
        <x:v>0</x:v>
      </x:c>
      <x:c r="R920" s="25" t="str">
        <x:v>洗练绑定装备；项链幸运绑定人物永久进度；武器幸运成本忽略</x:v>
      </x:c>
    </x:row>
    <x:row r="921">
      <x:c r="A921" s="25" t="str">
        <x:v>C09-E</x:v>
      </x:c>
      <x:c r="B921" s="25" t="str">
        <x:v>亚坛高原</x:v>
      </x:c>
      <x:c r="C921" s="25" t="str">
        <x:v>半急速入场</x:v>
      </x:c>
      <x:c r="D921" s="25" t="n">
        <x:v>43</x:v>
      </x:c>
      <x:c r="E921" s="25" t="n">
        <x:v>127</x:v>
      </x:c>
      <x:c r="F921" s="25" t="str">
        <x:v>卯兔·镜月折辉</x:v>
      </x:c>
      <x:c r="G921" s="25" t="str">
        <x:v>生肖4</x:v>
      </x:c>
      <x:c r="H921" s="25" t="n">
        <x:v>5</x:v>
      </x:c>
      <x:c r="I921" s="25" t="str">
        <x:v>生肖合成</x:v>
      </x:c>
      <x:c r="J921" s="25" t="str">
        <x:v>S07</x:v>
      </x:c>
      <x:c r="K921" s="25" t="str">
        <x:v>150-280</x:v>
      </x:c>
      <x:c r="L921" s="25" t="n">
        <x:v>360000</x:v>
      </x:c>
      <x:c r="M921" s="25" t="n">
        <x:v>0</x:v>
      </x:c>
      <x:c r="N921" s="25" t="str">
        <x:v>否</x:v>
      </x:c>
      <x:c r="O921" s="25" t="n">
        <x:v>0</x:v>
      </x:c>
      <x:c r="P921" s="25" t="n">
        <x:v>0</x:v>
      </x:c>
      <x:c r="Q921" s="25" t="n">
        <x:v>0</x:v>
      </x:c>
      <x:c r="R921" s="25" t="str">
        <x:v>洗练绑定装备；项链幸运绑定人物永久进度；武器幸运成本忽略</x:v>
      </x:c>
    </x:row>
    <x:row r="922">
      <x:c r="A922" s="25" t="str">
        <x:v>C09-E</x:v>
      </x:c>
      <x:c r="B922" s="25" t="str">
        <x:v>亚坛高原</x:v>
      </x:c>
      <x:c r="C922" s="25" t="str">
        <x:v>半急速入场</x:v>
      </x:c>
      <x:c r="D922" s="25" t="n">
        <x:v>44</x:v>
      </x:c>
      <x:c r="E922" s="25" t="n">
        <x:v>91</x:v>
      </x:c>
      <x:c r="F922" s="25" t="str">
        <x:v>辰龙·荒原逐风</x:v>
      </x:c>
      <x:c r="G922" s="25" t="str">
        <x:v>生肖5</x:v>
      </x:c>
      <x:c r="H922" s="25" t="n">
        <x:v>3</x:v>
      </x:c>
      <x:c r="I922" s="25" t="str">
        <x:v>生肖合成</x:v>
      </x:c>
      <x:c r="J922" s="25" t="str">
        <x:v>S07</x:v>
      </x:c>
      <x:c r="K922" s="25" t="str">
        <x:v>47-90</x:v>
      </x:c>
      <x:c r="L922" s="25" t="n">
        <x:v>120000</x:v>
      </x:c>
      <x:c r="M922" s="25" t="n">
        <x:v>0</x:v>
      </x:c>
      <x:c r="N922" s="25" t="str">
        <x:v>否</x:v>
      </x:c>
      <x:c r="O922" s="25" t="n">
        <x:v>0</x:v>
      </x:c>
      <x:c r="P922" s="25" t="n">
        <x:v>0</x:v>
      </x:c>
      <x:c r="Q922" s="25" t="n">
        <x:v>0</x:v>
      </x:c>
      <x:c r="R922" s="25" t="str">
        <x:v>洗练绑定装备；项链幸运绑定人物永久进度；武器幸运成本忽略</x:v>
      </x:c>
    </x:row>
    <x:row r="923">
      <x:c r="A923" s="25" t="str">
        <x:v>C09-E</x:v>
      </x:c>
      <x:c r="B923" s="25" t="str">
        <x:v>亚坛高原</x:v>
      </x:c>
      <x:c r="C923" s="25" t="str">
        <x:v>半急速入场</x:v>
      </x:c>
      <x:c r="D923" s="25" t="n">
        <x:v>45</x:v>
      </x:c>
      <x:c r="E923" s="25" t="n">
        <x:v>107</x:v>
      </x:c>
      <x:c r="F923" s="25" t="str">
        <x:v>巳蛇·沉潮缚月</x:v>
      </x:c>
      <x:c r="G923" s="25" t="str">
        <x:v>生肖6</x:v>
      </x:c>
      <x:c r="H923" s="25" t="n">
        <x:v>4</x:v>
      </x:c>
      <x:c r="I923" s="25" t="str">
        <x:v>生肖合成</x:v>
      </x:c>
      <x:c r="J923" s="25" t="str">
        <x:v>S07</x:v>
      </x:c>
      <x:c r="K923" s="25" t="str">
        <x:v>83-160</x:v>
      </x:c>
      <x:c r="L923" s="25" t="n">
        <x:v>200000</x:v>
      </x:c>
      <x:c r="M923" s="25" t="n">
        <x:v>0</x:v>
      </x:c>
      <x:c r="N923" s="25" t="str">
        <x:v>否</x:v>
      </x:c>
      <x:c r="O923" s="25" t="n">
        <x:v>0</x:v>
      </x:c>
      <x:c r="P923" s="25" t="n">
        <x:v>0</x:v>
      </x:c>
      <x:c r="Q923" s="25" t="n">
        <x:v>0</x:v>
      </x:c>
      <x:c r="R923" s="25" t="str">
        <x:v>洗练绑定装备；项链幸运绑定人物永久进度；武器幸运成本忽略</x:v>
      </x:c>
    </x:row>
    <x:row r="924">
      <x:c r="A924" s="25" t="str">
        <x:v>C09-E</x:v>
      </x:c>
      <x:c r="B924" s="25" t="str">
        <x:v>亚坛高原</x:v>
      </x:c>
      <x:c r="C924" s="25" t="str">
        <x:v>半急速入场</x:v>
      </x:c>
      <x:c r="D924" s="25" t="n">
        <x:v>46</x:v>
      </x:c>
      <x:c r="E924" s="25" t="n">
        <x:v>165</x:v>
      </x:c>
      <x:c r="F924" s="25" t="str">
        <x:v>午马·霜脊踏天</x:v>
      </x:c>
      <x:c r="G924" s="25" t="str">
        <x:v>生肖7</x:v>
      </x:c>
      <x:c r="H924" s="25" t="n">
        <x:v>8</x:v>
      </x:c>
      <x:c r="I924" s="25" t="str">
        <x:v>生肖合成</x:v>
      </x:c>
      <x:c r="J924" s="25" t="str">
        <x:v>S07</x:v>
      </x:c>
      <x:c r="K924" s="25" t="str">
        <x:v>830-1600</x:v>
      </x:c>
      <x:c r="L924" s="25" t="n">
        <x:v>2000000</x:v>
      </x:c>
      <x:c r="M924" s="25" t="n">
        <x:v>0</x:v>
      </x:c>
      <x:c r="N924" s="25" t="str">
        <x:v>否</x:v>
      </x:c>
      <x:c r="O924" s="25" t="n">
        <x:v>0</x:v>
      </x:c>
      <x:c r="P924" s="25" t="n">
        <x:v>0</x:v>
      </x:c>
      <x:c r="Q924" s="25" t="n">
        <x:v>0</x:v>
      </x:c>
      <x:c r="R924" s="25" t="str">
        <x:v>洗练绑定装备；项链幸运绑定人物永久进度；武器幸运成本忽略</x:v>
      </x:c>
    </x:row>
    <x:row r="925">
      <x:c r="A925" s="25" t="str">
        <x:v>C09-E</x:v>
      </x:c>
      <x:c r="B925" s="25" t="str">
        <x:v>亚坛高原</x:v>
      </x:c>
      <x:c r="C925" s="25" t="str">
        <x:v>半急速入场</x:v>
      </x:c>
      <x:c r="D925" s="25" t="n">
        <x:v>47</x:v>
      </x:c>
      <x:c r="E925" s="25" t="n">
        <x:v>148</x:v>
      </x:c>
      <x:c r="F925" s="25" t="str">
        <x:v>未羊·永霜引路</x:v>
      </x:c>
      <x:c r="G925" s="25" t="str">
        <x:v>生肖8</x:v>
      </x:c>
      <x:c r="H925" s="25" t="n">
        <x:v>7</x:v>
      </x:c>
      <x:c r="I925" s="25" t="str">
        <x:v>生肖合成</x:v>
      </x:c>
      <x:c r="J925" s="25" t="str">
        <x:v>S07</x:v>
      </x:c>
      <x:c r="K925" s="25" t="str">
        <x:v>470-900</x:v>
      </x:c>
      <x:c r="L925" s="25" t="n">
        <x:v>1200000</x:v>
      </x:c>
      <x:c r="M925" s="25" t="n">
        <x:v>0</x:v>
      </x:c>
      <x:c r="N925" s="25" t="str">
        <x:v>否</x:v>
      </x:c>
      <x:c r="O925" s="25" t="n">
        <x:v>0</x:v>
      </x:c>
      <x:c r="P925" s="25" t="n">
        <x:v>0</x:v>
      </x:c>
      <x:c r="Q925" s="25" t="n">
        <x:v>0</x:v>
      </x:c>
      <x:c r="R925" s="25" t="str">
        <x:v>洗练绑定装备；项链幸运绑定人物永久进度；武器幸运成本忽略</x:v>
      </x:c>
    </x:row>
    <x:row r="926">
      <x:c r="A926" s="25" t="str">
        <x:v>C09-E</x:v>
      </x:c>
      <x:c r="B926" s="25" t="str">
        <x:v>亚坛高原</x:v>
      </x:c>
      <x:c r="C926" s="25" t="str">
        <x:v>半急速入场</x:v>
      </x:c>
      <x:c r="D926" s="25" t="n">
        <x:v>48</x:v>
      </x:c>
      <x:c r="E926" s="25" t="n">
        <x:v>81</x:v>
      </x:c>
      <x:c r="F926" s="25" t="str">
        <x:v>雷冠申猴</x:v>
      </x:c>
      <x:c r="G926" s="25" t="str">
        <x:v>生肖9</x:v>
      </x:c>
      <x:c r="H926" s="25" t="n">
        <x:v>2</x:v>
      </x:c>
      <x:c r="I926" s="25" t="str">
        <x:v>BOSS</x:v>
      </x:c>
      <x:c r="J926" s="25" t="str">
        <x:v>S02</x:v>
      </x:c>
      <x:c r="K926" s="25" t="str">
        <x:v>44-84</x:v>
      </x:c>
      <x:c r="L926" s="25" t="n">
        <x:v>59800</x:v>
      </x:c>
      <x:c r="M926" s="25" t="n">
        <x:v>0</x:v>
      </x:c>
      <x:c r="N926" s="25" t="str">
        <x:v>否</x:v>
      </x:c>
      <x:c r="O926" s="25" t="n">
        <x:v>0</x:v>
      </x:c>
      <x:c r="P926" s="25" t="n">
        <x:v>0</x:v>
      </x:c>
      <x:c r="Q926" s="25" t="n">
        <x:v>0</x:v>
      </x:c>
      <x:c r="R926" s="25" t="str">
        <x:v>洗练绑定装备；项链幸运绑定人物永久进度；武器幸运成本忽略</x:v>
      </x:c>
    </x:row>
    <x:row r="927">
      <x:c r="A927" s="25" t="str">
        <x:v>C09-E</x:v>
      </x:c>
      <x:c r="B927" s="25" t="str">
        <x:v>亚坛高原</x:v>
      </x:c>
      <x:c r="C927" s="25" t="str">
        <x:v>半急速入场</x:v>
      </x:c>
      <x:c r="D927" s="25" t="n">
        <x:v>49</x:v>
      </x:c>
      <x:c r="E927" s="25" t="n">
        <x:v>82</x:v>
      </x:c>
      <x:c r="F927" s="25" t="str">
        <x:v>恶兆酉鸡</x:v>
      </x:c>
      <x:c r="G927" s="25" t="str">
        <x:v>生肖10</x:v>
      </x:c>
      <x:c r="H927" s="25" t="n">
        <x:v>2</x:v>
      </x:c>
      <x:c r="I927" s="25" t="str">
        <x:v>BOSS</x:v>
      </x:c>
      <x:c r="J927" s="25" t="str">
        <x:v>S02</x:v>
      </x:c>
      <x:c r="K927" s="25" t="str">
        <x:v>44-84</x:v>
      </x:c>
      <x:c r="L927" s="25" t="n">
        <x:v>59800</x:v>
      </x:c>
      <x:c r="M927" s="25" t="n">
        <x:v>0</x:v>
      </x:c>
      <x:c r="N927" s="25" t="str">
        <x:v>否</x:v>
      </x:c>
      <x:c r="O927" s="25" t="n">
        <x:v>0</x:v>
      </x:c>
      <x:c r="P927" s="25" t="n">
        <x:v>0</x:v>
      </x:c>
      <x:c r="Q927" s="25" t="n">
        <x:v>0</x:v>
      </x:c>
      <x:c r="R927" s="25" t="str">
        <x:v>洗练绑定装备；项链幸运绑定人物永久进度；武器幸运成本忽略</x:v>
      </x:c>
    </x:row>
    <x:row r="928">
      <x:c r="A928" s="25" t="str">
        <x:v>C09-E</x:v>
      </x:c>
      <x:c r="B928" s="25" t="str">
        <x:v>亚坛高原</x:v>
      </x:c>
      <x:c r="C928" s="25" t="str">
        <x:v>半急速入场</x:v>
      </x:c>
      <x:c r="D928" s="25" t="n">
        <x:v>50</x:v>
      </x:c>
      <x:c r="E928" s="25" t="n">
        <x:v>83</x:v>
      </x:c>
      <x:c r="F928" s="25" t="str">
        <x:v>失乡戌狗</x:v>
      </x:c>
      <x:c r="G928" s="25" t="str">
        <x:v>生肖11</x:v>
      </x:c>
      <x:c r="H928" s="25" t="n">
        <x:v>2</x:v>
      </x:c>
      <x:c r="I928" s="25" t="str">
        <x:v>BOSS</x:v>
      </x:c>
      <x:c r="J928" s="25" t="str">
        <x:v>S02</x:v>
      </x:c>
      <x:c r="K928" s="25" t="str">
        <x:v>48-93</x:v>
      </x:c>
      <x:c r="L928" s="25" t="n">
        <x:v>79800</x:v>
      </x:c>
      <x:c r="M928" s="25" t="n">
        <x:v>0</x:v>
      </x:c>
      <x:c r="N928" s="25" t="str">
        <x:v>否</x:v>
      </x:c>
      <x:c r="O928" s="25" t="n">
        <x:v>0</x:v>
      </x:c>
      <x:c r="P928" s="25" t="n">
        <x:v>0</x:v>
      </x:c>
      <x:c r="Q928" s="25" t="n">
        <x:v>0</x:v>
      </x:c>
      <x:c r="R928" s="25" t="str">
        <x:v>洗练绑定装备；项链幸运绑定人物永久进度；武器幸运成本忽略</x:v>
      </x:c>
    </x:row>
    <x:row r="929">
      <x:c r="A929" s="25" t="str">
        <x:v>C09-E</x:v>
      </x:c>
      <x:c r="B929" s="25" t="str">
        <x:v>亚坛高原</x:v>
      </x:c>
      <x:c r="C929" s="25" t="str">
        <x:v>半急速入场</x:v>
      </x:c>
      <x:c r="D929" s="25" t="n">
        <x:v>51</x:v>
      </x:c>
      <x:c r="E929" s="25" t="n">
        <x:v>84</x:v>
      </x:c>
      <x:c r="F929" s="25" t="str">
        <x:v>接肢亥猪</x:v>
      </x:c>
      <x:c r="G929" s="25" t="str">
        <x:v>生肖12</x:v>
      </x:c>
      <x:c r="H929" s="25" t="n">
        <x:v>2</x:v>
      </x:c>
      <x:c r="I929" s="25" t="str">
        <x:v>守关BOSS</x:v>
      </x:c>
      <x:c r="J929" s="25" t="str">
        <x:v>S02</x:v>
      </x:c>
      <x:c r="K929" s="25" t="str">
        <x:v>55-106</x:v>
      </x:c>
      <x:c r="L929" s="25" t="n">
        <x:v>90800</x:v>
      </x:c>
      <x:c r="M929" s="25" t="n">
        <x:v>0</x:v>
      </x:c>
      <x:c r="N929" s="25" t="str">
        <x:v>否</x:v>
      </x:c>
      <x:c r="O929" s="25" t="n">
        <x:v>0</x:v>
      </x:c>
      <x:c r="P929" s="25" t="n">
        <x:v>0</x:v>
      </x:c>
      <x:c r="Q929" s="25" t="n">
        <x:v>0</x:v>
      </x:c>
      <x:c r="R929" s="25" t="str">
        <x:v>洗练绑定装备；项链幸运绑定人物永久进度；武器幸运成本忽略</x:v>
      </x:c>
    </x:row>
    <x:row r="930">
      <x:c r="A930" s="25" t="str">
        <x:v>C09-M</x:v>
      </x:c>
      <x:c r="B930" s="25" t="str">
        <x:v>亚坛高原</x:v>
      </x:c>
      <x:c r="C930" s="25" t="str">
        <x:v>半急速中期</x:v>
      </x:c>
      <x:c r="D930" s="25" t="n">
        <x:v>0</x:v>
      </x:c>
      <x:c r="E930" s="25" t="n">
        <x:v>154</x:v>
      </x:c>
      <x:c r="F930" s="25" t="str">
        <x:v>塞维拉狱衣</x:v>
      </x:c>
      <x:c r="G930" s="25" t="str">
        <x:v>衣服</x:v>
      </x:c>
      <x:c r="H930" s="25" t="n">
        <x:v>6</x:v>
      </x:c>
      <x:c r="I930" s="25" t="str">
        <x:v>地图BOSS</x:v>
      </x:c>
      <x:c r="J930" s="25" t="str">
        <x:v>S07</x:v>
      </x:c>
      <x:c r="K930" s="25" t="str">
        <x:v>490-950</x:v>
      </x:c>
      <x:c r="L930" s="25" t="n">
        <x:v>2200000</x:v>
      </x:c>
      <x:c r="M930" s="25" t="n">
        <x:v>5</x:v>
      </x:c>
      <x:c r="N930" s="25" t="str">
        <x:v>否</x:v>
      </x:c>
      <x:c r="O930" s="25" t="n">
        <x:v>0</x:v>
      </x:c>
      <x:c r="P930" s="25" t="n">
        <x:v>0</x:v>
      </x:c>
      <x:c r="Q930" s="25" t="n">
        <x:v>0</x:v>
      </x:c>
      <x:c r="R930" s="25" t="str">
        <x:v>洗练绑定装备；项链幸运绑定人物永久进度；武器幸运成本忽略</x:v>
      </x:c>
    </x:row>
    <x:row r="931">
      <x:c r="A931" s="25" t="str">
        <x:v>C09-M</x:v>
      </x:c>
      <x:c r="B931" s="25" t="str">
        <x:v>亚坛高原</x:v>
      </x:c>
      <x:c r="C931" s="25" t="str">
        <x:v>半急速中期</x:v>
      </x:c>
      <x:c r="D931" s="25" t="n">
        <x:v>1</x:v>
      </x:c>
      <x:c r="E931" s="25" t="n">
        <x:v>152</x:v>
      </x:c>
      <x:c r="F931" s="25" t="str">
        <x:v>卡利亚月裁长刃</x:v>
      </x:c>
      <x:c r="G931" s="25" t="str">
        <x:v>武器</x:v>
      </x:c>
      <x:c r="H931" s="25" t="n">
        <x:v>5</x:v>
      </x:c>
      <x:c r="I931" s="25" t="str">
        <x:v>装备合成</x:v>
      </x:c>
      <x:c r="J931" s="25" t="str">
        <x:v>S07</x:v>
      </x:c>
      <x:c r="K931" s="25" t="str">
        <x:v>4200-8000</x:v>
      </x:c>
      <x:c r="L931" s="25" t="n">
        <x:v>480000</x:v>
      </x:c>
      <x:c r="M931" s="25" t="n">
        <x:v>6</x:v>
      </x:c>
      <x:c r="N931" s="25" t="str">
        <x:v>否</x:v>
      </x:c>
      <x:c r="O931" s="25" t="n">
        <x:v>7</x:v>
      </x:c>
      <x:c r="P931" s="25" t="n">
        <x:v>0</x:v>
      </x:c>
      <x:c r="Q931" s="25" t="n">
        <x:v>0</x:v>
      </x:c>
      <x:c r="R931" s="25" t="str">
        <x:v>洗练绑定装备；项链幸运绑定人物永久进度；武器幸运成本忽略</x:v>
      </x:c>
    </x:row>
    <x:row r="932">
      <x:c r="A932" s="25" t="str">
        <x:v>C09-M</x:v>
      </x:c>
      <x:c r="B932" s="25" t="str">
        <x:v>亚坛高原</x:v>
      </x:c>
      <x:c r="C932" s="25" t="str">
        <x:v>半急速中期</x:v>
      </x:c>
      <x:c r="D932" s="25" t="n">
        <x:v>2</x:v>
      </x:c>
      <x:c r="E932" s="25" t="n">
        <x:v>144</x:v>
      </x:c>
      <x:c r="F932" s="25" t="str">
        <x:v>灰烬裁印</x:v>
      </x:c>
      <x:c r="G932" s="25" t="str">
        <x:v>勋章</x:v>
      </x:c>
      <x:c r="H932" s="25" t="n">
        <x:v>6</x:v>
      </x:c>
      <x:c r="I932" s="25" t="str">
        <x:v>稀有</x:v>
      </x:c>
      <x:c r="J932" s="25" t="str">
        <x:v>S07</x:v>
      </x:c>
      <x:c r="K932" s="25" t="str">
        <x:v>350-680</x:v>
      </x:c>
      <x:c r="L932" s="25" t="n">
        <x:v>370000</x:v>
      </x:c>
      <x:c r="M932" s="25" t="n">
        <x:v>0</x:v>
      </x:c>
      <x:c r="N932" s="25" t="str">
        <x:v>否</x:v>
      </x:c>
      <x:c r="O932" s="25" t="n">
        <x:v>0</x:v>
      </x:c>
      <x:c r="P932" s="25" t="n">
        <x:v>0</x:v>
      </x:c>
      <x:c r="Q932" s="25" t="n">
        <x:v>0</x:v>
      </x:c>
      <x:c r="R932" s="25" t="str">
        <x:v>洗练绑定装备；项链幸运绑定人物永久进度；武器幸运成本忽略</x:v>
      </x:c>
    </x:row>
    <x:row r="933">
      <x:c r="A933" s="25" t="str">
        <x:v>C09-M</x:v>
      </x:c>
      <x:c r="B933" s="25" t="str">
        <x:v>亚坛高原</x:v>
      </x:c>
      <x:c r="C933" s="25" t="str">
        <x:v>半急速中期</x:v>
      </x:c>
      <x:c r="D933" s="25" t="n">
        <x:v>3</x:v>
      </x:c>
      <x:c r="E933" s="25" t="n">
        <x:v>168</x:v>
      </x:c>
      <x:c r="F933" s="25" t="str">
        <x:v>寒羽猎链</x:v>
      </x:c>
      <x:c r="G933" s="25" t="str">
        <x:v>项链</x:v>
      </x:c>
      <x:c r="H933" s="25" t="n">
        <x:v>7</x:v>
      </x:c>
      <x:c r="I933" s="25" t="str">
        <x:v>普通</x:v>
      </x:c>
      <x:c r="J933" s="25" t="str">
        <x:v>S07</x:v>
      </x:c>
      <x:c r="K933" s="25" t="str">
        <x:v>440-850</x:v>
      </x:c>
      <x:c r="L933" s="25" t="n">
        <x:v>370000</x:v>
      </x:c>
      <x:c r="M933" s="25" t="n">
        <x:v>4</x:v>
      </x:c>
      <x:c r="N933" s="25" t="str">
        <x:v>否</x:v>
      </x:c>
      <x:c r="O933" s="25" t="n">
        <x:v>0</x:v>
      </x:c>
      <x:c r="P933" s="25" t="n">
        <x:v>0</x:v>
      </x:c>
      <x:c r="Q933" s="25" t="n">
        <x:v>0</x:v>
      </x:c>
      <x:c r="R933" s="25" t="str">
        <x:v>洗练绑定装备；项链幸运绑定人物永久进度；武器幸运成本忽略</x:v>
      </x:c>
    </x:row>
    <x:row r="934">
      <x:c r="A934" s="25" t="str">
        <x:v>C09-M</x:v>
      </x:c>
      <x:c r="B934" s="25" t="str">
        <x:v>亚坛高原</x:v>
      </x:c>
      <x:c r="C934" s="25" t="str">
        <x:v>半急速中期</x:v>
      </x:c>
      <x:c r="D934" s="25" t="n">
        <x:v>4</x:v>
      </x:c>
      <x:c r="E934" s="25" t="n">
        <x:v>174</x:v>
      </x:c>
      <x:c r="F934" s="25" t="str">
        <x:v>白烛礼冠</x:v>
      </x:c>
      <x:c r="G934" s="25" t="str">
        <x:v>头盔</x:v>
      </x:c>
      <x:c r="H934" s="25" t="n">
        <x:v>7</x:v>
      </x:c>
      <x:c r="I934" s="25" t="str">
        <x:v>普通</x:v>
      </x:c>
      <x:c r="J934" s="25" t="str">
        <x:v>S07</x:v>
      </x:c>
      <x:c r="K934" s="25" t="str">
        <x:v>320-610</x:v>
      </x:c>
      <x:c r="L934" s="25" t="n">
        <x:v>640000</x:v>
      </x:c>
      <x:c r="M934" s="25" t="n">
        <x:v>4</x:v>
      </x:c>
      <x:c r="N934" s="25" t="str">
        <x:v>否</x:v>
      </x:c>
      <x:c r="O934" s="25" t="n">
        <x:v>0</x:v>
      </x:c>
      <x:c r="P934" s="25" t="n">
        <x:v>0</x:v>
      </x:c>
      <x:c r="Q934" s="25" t="n">
        <x:v>0</x:v>
      </x:c>
      <x:c r="R934" s="25" t="str">
        <x:v>洗练绑定装备；项链幸运绑定人物永久进度；武器幸运成本忽略</x:v>
      </x:c>
    </x:row>
    <x:row r="935">
      <x:c r="A935" s="25" t="str">
        <x:v>C09-M</x:v>
      </x:c>
      <x:c r="B935" s="25" t="str">
        <x:v>亚坛高原</x:v>
      </x:c>
      <x:c r="C935" s="25" t="str">
        <x:v>半急速中期</x:v>
      </x:c>
      <x:c r="D935" s="25" t="n">
        <x:v>5</x:v>
      </x:c>
      <x:c r="E935" s="25" t="n">
        <x:v>156</x:v>
      </x:c>
      <x:c r="F935" s="25" t="str">
        <x:v>烬鳞护腕</x:v>
      </x:c>
      <x:c r="G935" s="25" t="str">
        <x:v>手镯</x:v>
      </x:c>
      <x:c r="H935" s="25" t="n">
        <x:v>6</x:v>
      </x:c>
      <x:c r="I935" s="25" t="str">
        <x:v>普通</x:v>
      </x:c>
      <x:c r="J935" s="25" t="str">
        <x:v>S07</x:v>
      </x:c>
      <x:c r="K935" s="25" t="str">
        <x:v>330-630</x:v>
      </x:c>
      <x:c r="L935" s="25" t="n">
        <x:v>250000</x:v>
      </x:c>
      <x:c r="M935" s="25" t="n">
        <x:v>3</x:v>
      </x:c>
      <x:c r="N935" s="25" t="str">
        <x:v>否</x:v>
      </x:c>
      <x:c r="O935" s="25" t="n">
        <x:v>0</x:v>
      </x:c>
      <x:c r="P935" s="25" t="n">
        <x:v>0</x:v>
      </x:c>
      <x:c r="Q935" s="25" t="n">
        <x:v>0</x:v>
      </x:c>
      <x:c r="R935" s="25" t="str">
        <x:v>洗练绑定装备；项链幸运绑定人物永久进度；武器幸运成本忽略</x:v>
      </x:c>
    </x:row>
    <x:row r="936">
      <x:c r="A936" s="25" t="str">
        <x:v>C09-M</x:v>
      </x:c>
      <x:c r="B936" s="25" t="str">
        <x:v>亚坛高原</x:v>
      </x:c>
      <x:c r="C936" s="25" t="str">
        <x:v>半急速中期</x:v>
      </x:c>
      <x:c r="D936" s="25" t="n">
        <x:v>6</x:v>
      </x:c>
      <x:c r="E936" s="25" t="n">
        <x:v>157</x:v>
      </x:c>
      <x:c r="F936" s="25" t="str">
        <x:v>血菌腕轮</x:v>
      </x:c>
      <x:c r="G936" s="25" t="str">
        <x:v>手镯</x:v>
      </x:c>
      <x:c r="H936" s="25" t="n">
        <x:v>6</x:v>
      </x:c>
      <x:c r="I936" s="25" t="str">
        <x:v>普通</x:v>
      </x:c>
      <x:c r="J936" s="25" t="str">
        <x:v>S07</x:v>
      </x:c>
      <x:c r="K936" s="25" t="str">
        <x:v>300-570</x:v>
      </x:c>
      <x:c r="L936" s="25" t="n">
        <x:v>230000</x:v>
      </x:c>
      <x:c r="M936" s="25" t="n">
        <x:v>1</x:v>
      </x:c>
      <x:c r="N936" s="25" t="str">
        <x:v>否</x:v>
      </x:c>
      <x:c r="O936" s="25" t="n">
        <x:v>0</x:v>
      </x:c>
      <x:c r="P936" s="25" t="n">
        <x:v>0</x:v>
      </x:c>
      <x:c r="Q936" s="25" t="n">
        <x:v>0</x:v>
      </x:c>
      <x:c r="R936" s="25" t="str">
        <x:v>洗练绑定装备；项链幸运绑定人物永久进度；武器幸运成本忽略</x:v>
      </x:c>
    </x:row>
    <x:row r="937">
      <x:c r="A937" s="25" t="str">
        <x:v>C09-M</x:v>
      </x:c>
      <x:c r="B937" s="25" t="str">
        <x:v>亚坛高原</x:v>
      </x:c>
      <x:c r="C937" s="25" t="str">
        <x:v>半急速中期</x:v>
      </x:c>
      <x:c r="D937" s="25" t="n">
        <x:v>7</x:v>
      </x:c>
      <x:c r="E937" s="25" t="n">
        <x:v>158</x:v>
      </x:c>
      <x:c r="F937" s="25" t="str">
        <x:v>苍鬃牙戒</x:v>
      </x:c>
      <x:c r="G937" s="25" t="str">
        <x:v>戒指</x:v>
      </x:c>
      <x:c r="H937" s="25" t="n">
        <x:v>7</x:v>
      </x:c>
      <x:c r="I937" s="25" t="str">
        <x:v>普通</x:v>
      </x:c>
      <x:c r="J937" s="25" t="str">
        <x:v>S07</x:v>
      </x:c>
      <x:c r="K937" s="25" t="str">
        <x:v>470-910</x:v>
      </x:c>
      <x:c r="L937" s="25" t="n">
        <x:v>370000</x:v>
      </x:c>
      <x:c r="M937" s="25" t="n">
        <x:v>3</x:v>
      </x:c>
      <x:c r="N937" s="25" t="str">
        <x:v>否</x:v>
      </x:c>
      <x:c r="O937" s="25" t="n">
        <x:v>0</x:v>
      </x:c>
      <x:c r="P937" s="25" t="n">
        <x:v>0</x:v>
      </x:c>
      <x:c r="Q937" s="25" t="n">
        <x:v>0</x:v>
      </x:c>
      <x:c r="R937" s="25" t="str">
        <x:v>洗练绑定装备；项链幸运绑定人物永久进度；武器幸运成本忽略</x:v>
      </x:c>
    </x:row>
    <x:row r="938">
      <x:c r="A938" s="25" t="str">
        <x:v>C09-M</x:v>
      </x:c>
      <x:c r="B938" s="25" t="str">
        <x:v>亚坛高原</x:v>
      </x:c>
      <x:c r="C938" s="25" t="str">
        <x:v>半急速中期</x:v>
      </x:c>
      <x:c r="D938" s="25" t="n">
        <x:v>8</x:v>
      </x:c>
      <x:c r="E938" s="25" t="n">
        <x:v>118</x:v>
      </x:c>
      <x:c r="F938" s="25" t="str">
        <x:v>月渊秘戒</x:v>
      </x:c>
      <x:c r="G938" s="25" t="str">
        <x:v>戒指</x:v>
      </x:c>
      <x:c r="H938" s="25" t="n">
        <x:v>4</x:v>
      </x:c>
      <x:c r="I938" s="25" t="str">
        <x:v>装备合成</x:v>
      </x:c>
      <x:c r="J938" s="25" t="str">
        <x:v>S07</x:v>
      </x:c>
      <x:c r="K938" s="25" t="str">
        <x:v>350-670</x:v>
      </x:c>
      <x:c r="L938" s="25" t="n">
        <x:v>270000</x:v>
      </x:c>
      <x:c r="M938" s="25" t="n">
        <x:v>6</x:v>
      </x:c>
      <x:c r="N938" s="25" t="str">
        <x:v>否</x:v>
      </x:c>
      <x:c r="O938" s="25" t="n">
        <x:v>0</x:v>
      </x:c>
      <x:c r="P938" s="25" t="n">
        <x:v>0</x:v>
      </x:c>
      <x:c r="Q938" s="25" t="n">
        <x:v>0</x:v>
      </x:c>
      <x:c r="R938" s="25" t="str">
        <x:v>洗练绑定装备；项链幸运绑定人物永久进度；武器幸运成本忽略</x:v>
      </x:c>
    </x:row>
    <x:row r="939">
      <x:c r="A939" s="25" t="str">
        <x:v>C09-M</x:v>
      </x:c>
      <x:c r="B939" s="25" t="str">
        <x:v>亚坛高原</x:v>
      </x:c>
      <x:c r="C939" s="25" t="str">
        <x:v>半急速中期</x:v>
      </x:c>
      <x:c r="D939" s="25" t="n">
        <x:v>10</x:v>
      </x:c>
      <x:c r="E939" s="25" t="n">
        <x:v>160</x:v>
      </x:c>
      <x:c r="F939" s="25" t="str">
        <x:v>寒弓束带</x:v>
      </x:c>
      <x:c r="G939" s="25" t="str">
        <x:v>腰带</x:v>
      </x:c>
      <x:c r="H939" s="25" t="n">
        <x:v>7</x:v>
      </x:c>
      <x:c r="I939" s="25" t="str">
        <x:v>普通</x:v>
      </x:c>
      <x:c r="J939" s="25" t="str">
        <x:v>S07</x:v>
      </x:c>
      <x:c r="K939" s="25" t="str">
        <x:v>320-620</x:v>
      </x:c>
      <x:c r="L939" s="25" t="n">
        <x:v>540000</x:v>
      </x:c>
      <x:c r="M939" s="25" t="n">
        <x:v>6</x:v>
      </x:c>
      <x:c r="N939" s="25" t="str">
        <x:v>否</x:v>
      </x:c>
      <x:c r="O939" s="25" t="n">
        <x:v>0</x:v>
      </x:c>
      <x:c r="P939" s="25" t="n">
        <x:v>0</x:v>
      </x:c>
      <x:c r="Q939" s="25" t="n">
        <x:v>0</x:v>
      </x:c>
      <x:c r="R939" s="25" t="str">
        <x:v>洗练绑定装备；项链幸运绑定人物永久进度；武器幸运成本忽略</x:v>
      </x:c>
    </x:row>
    <x:row r="940">
      <x:c r="A940" s="25" t="str">
        <x:v>C09-M</x:v>
      </x:c>
      <x:c r="B940" s="25" t="str">
        <x:v>亚坛高原</x:v>
      </x:c>
      <x:c r="C940" s="25" t="str">
        <x:v>半急速中期</x:v>
      </x:c>
      <x:c r="D940" s="25" t="n">
        <x:v>11</x:v>
      </x:c>
      <x:c r="E940" s="25" t="n">
        <x:v>173</x:v>
      </x:c>
      <x:c r="F940" s="25" t="str">
        <x:v>霜风战靴</x:v>
      </x:c>
      <x:c r="G940" s="25" t="str">
        <x:v>鞋子</x:v>
      </x:c>
      <x:c r="H940" s="25" t="n">
        <x:v>7</x:v>
      </x:c>
      <x:c r="I940" s="25" t="str">
        <x:v>稀有</x:v>
      </x:c>
      <x:c r="J940" s="25" t="str">
        <x:v>S07</x:v>
      </x:c>
      <x:c r="K940" s="25" t="str">
        <x:v>410-790</x:v>
      </x:c>
      <x:c r="L940" s="25" t="n">
        <x:v>590000</x:v>
      </x:c>
      <x:c r="M940" s="25" t="n">
        <x:v>7</x:v>
      </x:c>
      <x:c r="N940" s="25" t="str">
        <x:v>是</x:v>
      </x:c>
      <x:c r="O940" s="25" t="n">
        <x:v>0</x:v>
      </x:c>
      <x:c r="P940" s="25" t="n">
        <x:v>0</x:v>
      </x:c>
      <x:c r="Q940" s="25" t="n">
        <x:v>0</x:v>
      </x:c>
      <x:c r="R940" s="25" t="str">
        <x:v>洗练绑定装备；项链幸运绑定人物永久进度；武器幸运成本忽略</x:v>
      </x:c>
    </x:row>
    <x:row r="941">
      <x:c r="A941" s="25" t="str">
        <x:v>C09-M</x:v>
      </x:c>
      <x:c r="B941" s="25" t="str">
        <x:v>亚坛高原</x:v>
      </x:c>
      <x:c r="C941" s="25" t="str">
        <x:v>半急速中期</x:v>
      </x:c>
      <x:c r="D941" s="25" t="n">
        <x:v>13</x:v>
      </x:c>
      <x:c r="E941" s="25" t="n">
        <x:v>162</x:v>
      </x:c>
      <x:c r="F941" s="25" t="str">
        <x:v>雾界斗笠</x:v>
      </x:c>
      <x:c r="G941" s="25" t="str">
        <x:v>斗笠</x:v>
      </x:c>
      <x:c r="H941" s="25" t="n">
        <x:v>7</x:v>
      </x:c>
      <x:c r="I941" s="25" t="str">
        <x:v>普通</x:v>
      </x:c>
      <x:c r="J941" s="25" t="str">
        <x:v>S07</x:v>
      </x:c>
      <x:c r="K941" s="25" t="str">
        <x:v>280-540</x:v>
      </x:c>
      <x:c r="L941" s="25" t="n">
        <x:v>350000</x:v>
      </x:c>
      <x:c r="M941" s="25" t="n">
        <x:v>0</x:v>
      </x:c>
      <x:c r="N941" s="25" t="str">
        <x:v>否</x:v>
      </x:c>
      <x:c r="O941" s="25" t="n">
        <x:v>0</x:v>
      </x:c>
      <x:c r="P941" s="25" t="n">
        <x:v>0</x:v>
      </x:c>
      <x:c r="Q941" s="25" t="n">
        <x:v>0</x:v>
      </x:c>
      <x:c r="R941" s="25" t="str">
        <x:v>洗练绑定装备；项链幸运绑定人物永久进度；武器幸运成本忽略</x:v>
      </x:c>
    </x:row>
    <x:row r="942">
      <x:c r="A942" s="25" t="str">
        <x:v>C09-M</x:v>
      </x:c>
      <x:c r="B942" s="25" t="str">
        <x:v>亚坛高原</x:v>
      </x:c>
      <x:c r="C942" s="25" t="str">
        <x:v>半急速中期</x:v>
      </x:c>
      <x:c r="D942" s="25" t="n">
        <x:v>16</x:v>
      </x:c>
      <x:c r="E942" s="25" t="n">
        <x:v>164</x:v>
      </x:c>
      <x:c r="F942" s="25" t="str">
        <x:v>吞日霜壁</x:v>
      </x:c>
      <x:c r="G942" s="25" t="str">
        <x:v>盾牌</x:v>
      </x:c>
      <x:c r="H942" s="25" t="n">
        <x:v>8</x:v>
      </x:c>
      <x:c r="I942" s="25" t="str">
        <x:v>装备合成</x:v>
      </x:c>
      <x:c r="J942" s="25" t="str">
        <x:v>S07</x:v>
      </x:c>
      <x:c r="K942" s="25" t="str">
        <x:v>2800-5400</x:v>
      </x:c>
      <x:c r="L942" s="25" t="n">
        <x:v>7700000</x:v>
      </x:c>
      <x:c r="M942" s="25" t="n">
        <x:v>0</x:v>
      </x:c>
      <x:c r="N942" s="25" t="str">
        <x:v>否</x:v>
      </x:c>
      <x:c r="O942" s="25" t="n">
        <x:v>0</x:v>
      </x:c>
      <x:c r="P942" s="25" t="n">
        <x:v>0</x:v>
      </x:c>
      <x:c r="Q942" s="25" t="n">
        <x:v>0</x:v>
      </x:c>
      <x:c r="R942" s="25" t="str">
        <x:v>洗练绑定装备；项链幸运绑定人物永久进度；武器幸运成本忽略</x:v>
      </x:c>
    </x:row>
    <x:row r="943">
      <x:c r="A943" s="25" t="str">
        <x:v>C09-M</x:v>
      </x:c>
      <x:c r="B943" s="25" t="str">
        <x:v>亚坛高原</x:v>
      </x:c>
      <x:c r="C943" s="25" t="str">
        <x:v>半急速中期</x:v>
      </x:c>
      <x:c r="D943" s="25" t="n">
        <x:v>18</x:v>
      </x:c>
      <x:c r="E943" s="25" t="n">
        <x:v>137</x:v>
      </x:c>
      <x:c r="F943" s="25" t="str">
        <x:v>红狮余烬王衣</x:v>
      </x:c>
      <x:c r="G943" s="25" t="str">
        <x:v>时装衣服</x:v>
      </x:c>
      <x:c r="H943" s="25" t="n">
        <x:v>6</x:v>
      </x:c>
      <x:c r="I943" s="25" t="str">
        <x:v>装备合成</x:v>
      </x:c>
      <x:c r="J943" s="25" t="str">
        <x:v>S07</x:v>
      </x:c>
      <x:c r="K943" s="25" t="str">
        <x:v>780-1500</x:v>
      </x:c>
      <x:c r="L943" s="25" t="n">
        <x:v>5100000</x:v>
      </x:c>
      <x:c r="M943" s="25" t="n">
        <x:v>0</x:v>
      </x:c>
      <x:c r="N943" s="25" t="str">
        <x:v>否</x:v>
      </x:c>
      <x:c r="O943" s="25" t="n">
        <x:v>0</x:v>
      </x:c>
      <x:c r="P943" s="25" t="n">
        <x:v>0</x:v>
      </x:c>
      <x:c r="Q943" s="25" t="n">
        <x:v>0</x:v>
      </x:c>
      <x:c r="R943" s="25" t="str">
        <x:v>洗练绑定装备；项链幸运绑定人物永久进度；武器幸运成本忽略</x:v>
      </x:c>
    </x:row>
    <x:row r="944">
      <x:c r="A944" s="25" t="str">
        <x:v>C09-M</x:v>
      </x:c>
      <x:c r="B944" s="25" t="str">
        <x:v>亚坛高原</x:v>
      </x:c>
      <x:c r="C944" s="25" t="str">
        <x:v>半急速中期</x:v>
      </x:c>
      <x:c r="D944" s="25" t="n">
        <x:v>19</x:v>
      </x:c>
      <x:c r="E944" s="25" t="n">
        <x:v>147</x:v>
      </x:c>
      <x:c r="F944" s="25" t="str">
        <x:v>永霜白金刃</x:v>
      </x:c>
      <x:c r="G944" s="25" t="str">
        <x:v>时装武器</x:v>
      </x:c>
      <x:c r="H944" s="25" t="n">
        <x:v>7</x:v>
      </x:c>
      <x:c r="I944" s="25" t="str">
        <x:v>装备合成</x:v>
      </x:c>
      <x:c r="J944" s="25" t="str">
        <x:v>S07</x:v>
      </x:c>
      <x:c r="K944" s="25" t="str">
        <x:v>4800-9200</x:v>
      </x:c>
      <x:c r="L944" s="25" t="n">
        <x:v>1700000</x:v>
      </x:c>
      <x:c r="M944" s="25" t="n">
        <x:v>0</x:v>
      </x:c>
      <x:c r="N944" s="25" t="str">
        <x:v>否</x:v>
      </x:c>
      <x:c r="O944" s="25" t="n">
        <x:v>0</x:v>
      </x:c>
      <x:c r="P944" s="25" t="n">
        <x:v>0</x:v>
      </x:c>
      <x:c r="Q944" s="25" t="n">
        <x:v>0</x:v>
      </x:c>
      <x:c r="R944" s="25" t="str">
        <x:v>洗练绑定装备；项链幸运绑定人物永久进度；武器幸运成本忽略</x:v>
      </x:c>
    </x:row>
    <x:row r="945">
      <x:c r="A945" s="25" t="str">
        <x:v>C09-M</x:v>
      </x:c>
      <x:c r="B945" s="25" t="str">
        <x:v>亚坛高原</x:v>
      </x:c>
      <x:c r="C945" s="25" t="str">
        <x:v>半急速中期</x:v>
      </x:c>
      <x:c r="D945" s="25" t="n">
        <x:v>20</x:v>
      </x:c>
      <x:c r="E945" s="25" t="n">
        <x:v>40</x:v>
      </x:c>
      <x:c r="F945" s="25" t="str">
        <x:v>英雄余誓</x:v>
      </x:c>
      <x:c r="G945" s="25" t="str">
        <x:v>时装项链</x:v>
      </x:c>
      <x:c r="H945" s="25" t="n">
        <x:v>2</x:v>
      </x:c>
      <x:c r="I945" s="25" t="str">
        <x:v>稀有</x:v>
      </x:c>
      <x:c r="J945" s="25" t="str">
        <x:v>S02</x:v>
      </x:c>
      <x:c r="K945" s="25" t="str">
        <x:v>31-60</x:v>
      </x:c>
      <x:c r="L945" s="25" t="n">
        <x:v>17900</x:v>
      </x:c>
      <x:c r="M945" s="25" t="n">
        <x:v>0</x:v>
      </x:c>
      <x:c r="N945" s="25" t="str">
        <x:v>否</x:v>
      </x:c>
      <x:c r="O945" s="25" t="n">
        <x:v>0</x:v>
      </x:c>
      <x:c r="P945" s="25" t="n">
        <x:v>0</x:v>
      </x:c>
      <x:c r="Q945" s="25" t="n">
        <x:v>0</x:v>
      </x:c>
      <x:c r="R945" s="25" t="str">
        <x:v>洗练绑定装备；项链幸运绑定人物永久进度；武器幸运成本忽略</x:v>
      </x:c>
    </x:row>
    <x:row r="946">
      <x:c r="A946" s="25" t="str">
        <x:v>C09-M</x:v>
      </x:c>
      <x:c r="B946" s="25" t="str">
        <x:v>亚坛高原</x:v>
      </x:c>
      <x:c r="C946" s="25" t="str">
        <x:v>半急速中期</x:v>
      </x:c>
      <x:c r="D946" s="25" t="n">
        <x:v>21</x:v>
      </x:c>
      <x:c r="E946" s="25" t="n">
        <x:v>41</x:v>
      </x:c>
      <x:c r="F946" s="25" t="str">
        <x:v>初火兜鍪</x:v>
      </x:c>
      <x:c r="G946" s="25" t="str">
        <x:v>时装头盔</x:v>
      </x:c>
      <x:c r="H946" s="25" t="n">
        <x:v>2</x:v>
      </x:c>
      <x:c r="I946" s="25" t="str">
        <x:v>稀有</x:v>
      </x:c>
      <x:c r="J946" s="25" t="str">
        <x:v>S02</x:v>
      </x:c>
      <x:c r="K946" s="25" t="str">
        <x:v>22-42</x:v>
      </x:c>
      <x:c r="L946" s="25" t="n">
        <x:v>30900</x:v>
      </x:c>
      <x:c r="M946" s="25" t="n">
        <x:v>0</x:v>
      </x:c>
      <x:c r="N946" s="25" t="str">
        <x:v>否</x:v>
      </x:c>
      <x:c r="O946" s="25" t="n">
        <x:v>0</x:v>
      </x:c>
      <x:c r="P946" s="25" t="n">
        <x:v>0</x:v>
      </x:c>
      <x:c r="Q946" s="25" t="n">
        <x:v>0</x:v>
      </x:c>
      <x:c r="R946" s="25" t="str">
        <x:v>洗练绑定装备；项链幸运绑定人物永久进度；武器幸运成本忽略</x:v>
      </x:c>
    </x:row>
    <x:row r="947">
      <x:c r="A947" s="25" t="str">
        <x:v>C09-M</x:v>
      </x:c>
      <x:c r="B947" s="25" t="str">
        <x:v>亚坛高原</x:v>
      </x:c>
      <x:c r="C947" s="25" t="str">
        <x:v>半急速中期</x:v>
      </x:c>
      <x:c r="D947" s="25" t="n">
        <x:v>22</x:v>
      </x:c>
      <x:c r="E947" s="25" t="n">
        <x:v>42</x:v>
      </x:c>
      <x:c r="F947" s="25" t="str">
        <x:v>卢恩血镯</x:v>
      </x:c>
      <x:c r="G947" s="25" t="str">
        <x:v>时装手镯</x:v>
      </x:c>
      <x:c r="H947" s="25" t="n">
        <x:v>2</x:v>
      </x:c>
      <x:c r="I947" s="25" t="str">
        <x:v>稀有</x:v>
      </x:c>
      <x:c r="J947" s="25" t="str">
        <x:v>S02</x:v>
      </x:c>
      <x:c r="K947" s="25" t="str">
        <x:v>42-80</x:v>
      </x:c>
      <x:c r="L947" s="25" t="n">
        <x:v>34400</x:v>
      </x:c>
      <x:c r="M947" s="25" t="n">
        <x:v>0</x:v>
      </x:c>
      <x:c r="N947" s="25" t="str">
        <x:v>否</x:v>
      </x:c>
      <x:c r="O947" s="25" t="n">
        <x:v>0</x:v>
      </x:c>
      <x:c r="P947" s="25" t="n">
        <x:v>0</x:v>
      </x:c>
      <x:c r="Q947" s="25" t="n">
        <x:v>0</x:v>
      </x:c>
      <x:c r="R947" s="25" t="str">
        <x:v>洗练绑定装备；项链幸运绑定人物永久进度；武器幸运成本忽略</x:v>
      </x:c>
    </x:row>
    <x:row r="948">
      <x:c r="A948" s="25" t="str">
        <x:v>C09-M</x:v>
      </x:c>
      <x:c r="B948" s="25" t="str">
        <x:v>亚坛高原</x:v>
      </x:c>
      <x:c r="C948" s="25" t="str">
        <x:v>半急速中期</x:v>
      </x:c>
      <x:c r="D948" s="25" t="n">
        <x:v>24</x:v>
      </x:c>
      <x:c r="E948" s="25" t="n">
        <x:v>43</x:v>
      </x:c>
      <x:c r="F948" s="25" t="str">
        <x:v>黄金树戒</x:v>
      </x:c>
      <x:c r="G948" s="25" t="str">
        <x:v>时装戒指</x:v>
      </x:c>
      <x:c r="H948" s="25" t="n">
        <x:v>2</x:v>
      </x:c>
      <x:c r="I948" s="25" t="str">
        <x:v>稀有</x:v>
      </x:c>
      <x:c r="J948" s="25" t="str">
        <x:v>S02</x:v>
      </x:c>
      <x:c r="K948" s="25" t="str">
        <x:v>42-80</x:v>
      </x:c>
      <x:c r="L948" s="25" t="n">
        <x:v>34400</x:v>
      </x:c>
      <x:c r="M948" s="25" t="n">
        <x:v>0</x:v>
      </x:c>
      <x:c r="N948" s="25" t="str">
        <x:v>否</x:v>
      </x:c>
      <x:c r="O948" s="25" t="n">
        <x:v>0</x:v>
      </x:c>
      <x:c r="P948" s="25" t="n">
        <x:v>0</x:v>
      </x:c>
      <x:c r="Q948" s="25" t="n">
        <x:v>0</x:v>
      </x:c>
      <x:c r="R948" s="25" t="str">
        <x:v>洗练绑定装备；项链幸运绑定人物永久进度；武器幸运成本忽略</x:v>
      </x:c>
    </x:row>
    <x:row r="949">
      <x:c r="A949" s="25" t="str">
        <x:v>C09-M</x:v>
      </x:c>
      <x:c r="B949" s="25" t="str">
        <x:v>亚坛高原</x:v>
      </x:c>
      <x:c r="C949" s="25" t="str">
        <x:v>半急速中期</x:v>
      </x:c>
      <x:c r="D949" s="25" t="n">
        <x:v>40</x:v>
      </x:c>
      <x:c r="E949" s="25" t="n">
        <x:v>44</x:v>
      </x:c>
      <x:c r="F949" s="25" t="str">
        <x:v>腐树子鼠</x:v>
      </x:c>
      <x:c r="G949" s="25" t="str">
        <x:v>生肖1</x:v>
      </x:c>
      <x:c r="H949" s="25" t="n">
        <x:v>2</x:v>
      </x:c>
      <x:c r="I949" s="25" t="str">
        <x:v>BOSS</x:v>
      </x:c>
      <x:c r="J949" s="25" t="str">
        <x:v>S02</x:v>
      </x:c>
      <x:c r="K949" s="25" t="str">
        <x:v>29-56</x:v>
      </x:c>
      <x:c r="L949" s="25" t="n">
        <x:v>23600</x:v>
      </x:c>
      <x:c r="M949" s="25" t="n">
        <x:v>0</x:v>
      </x:c>
      <x:c r="N949" s="25" t="str">
        <x:v>否</x:v>
      </x:c>
      <x:c r="O949" s="25" t="n">
        <x:v>0</x:v>
      </x:c>
      <x:c r="P949" s="25" t="n">
        <x:v>0</x:v>
      </x:c>
      <x:c r="Q949" s="25" t="n">
        <x:v>0</x:v>
      </x:c>
      <x:c r="R949" s="25" t="str">
        <x:v>洗练绑定装备；项链幸运绑定人物永久进度；武器幸运成本忽略</x:v>
      </x:c>
    </x:row>
    <x:row r="950">
      <x:c r="A950" s="25" t="str">
        <x:v>C09-M</x:v>
      </x:c>
      <x:c r="B950" s="25" t="str">
        <x:v>亚坛高原</x:v>
      </x:c>
      <x:c r="C950" s="25" t="str">
        <x:v>半急速中期</x:v>
      </x:c>
      <x:c r="D950" s="25" t="n">
        <x:v>41</x:v>
      </x:c>
      <x:c r="E950" s="25" t="n">
        <x:v>69</x:v>
      </x:c>
      <x:c r="F950" s="25" t="str">
        <x:v>丑牛·风暴负山</x:v>
      </x:c>
      <x:c r="G950" s="25" t="str">
        <x:v>生肖2</x:v>
      </x:c>
      <x:c r="H950" s="25" t="n">
        <x:v>2</x:v>
      </x:c>
      <x:c r="I950" s="25" t="str">
        <x:v>生肖合成</x:v>
      </x:c>
      <x:c r="J950" s="25" t="str">
        <x:v>S07</x:v>
      </x:c>
      <x:c r="K950" s="25" t="str">
        <x:v>25-49</x:v>
      </x:c>
      <x:c r="L950" s="25" t="n">
        <x:v>64000</x:v>
      </x:c>
      <x:c r="M950" s="25" t="n">
        <x:v>0</x:v>
      </x:c>
      <x:c r="N950" s="25" t="str">
        <x:v>否</x:v>
      </x:c>
      <x:c r="O950" s="25" t="n">
        <x:v>0</x:v>
      </x:c>
      <x:c r="P950" s="25" t="n">
        <x:v>0</x:v>
      </x:c>
      <x:c r="Q950" s="25" t="n">
        <x:v>0</x:v>
      </x:c>
      <x:c r="R950" s="25" t="str">
        <x:v>洗练绑定装备；项链幸运绑定人物永久进度；武器幸运成本忽略</x:v>
      </x:c>
    </x:row>
    <x:row r="951">
      <x:c r="A951" s="25" t="str">
        <x:v>C09-M</x:v>
      </x:c>
      <x:c r="B951" s="25" t="str">
        <x:v>亚坛高原</x:v>
      </x:c>
      <x:c r="C951" s="25" t="str">
        <x:v>半急速中期</x:v>
      </x:c>
      <x:c r="D951" s="25" t="n">
        <x:v>42</x:v>
      </x:c>
      <x:c r="E951" s="25" t="n">
        <x:v>138</x:v>
      </x:c>
      <x:c r="F951" s="25" t="str">
        <x:v>寅虎·红狮焚原</x:v>
      </x:c>
      <x:c r="G951" s="25" t="str">
        <x:v>生肖3</x:v>
      </x:c>
      <x:c r="H951" s="25" t="n">
        <x:v>6</x:v>
      </x:c>
      <x:c r="I951" s="25" t="str">
        <x:v>生肖合成</x:v>
      </x:c>
      <x:c r="J951" s="25" t="str">
        <x:v>S07</x:v>
      </x:c>
      <x:c r="K951" s="25" t="str">
        <x:v>250-490</x:v>
      </x:c>
      <x:c r="L951" s="25" t="n">
        <x:v>640000</x:v>
      </x:c>
      <x:c r="M951" s="25" t="n">
        <x:v>0</x:v>
      </x:c>
      <x:c r="N951" s="25" t="str">
        <x:v>否</x:v>
      </x:c>
      <x:c r="O951" s="25" t="n">
        <x:v>0</x:v>
      </x:c>
      <x:c r="P951" s="25" t="n">
        <x:v>0</x:v>
      </x:c>
      <x:c r="Q951" s="25" t="n">
        <x:v>0</x:v>
      </x:c>
      <x:c r="R951" s="25" t="str">
        <x:v>洗练绑定装备；项链幸运绑定人物永久进度；武器幸运成本忽略</x:v>
      </x:c>
    </x:row>
    <x:row r="952">
      <x:c r="A952" s="25" t="str">
        <x:v>C09-M</x:v>
      </x:c>
      <x:c r="B952" s="25" t="str">
        <x:v>亚坛高原</x:v>
      </x:c>
      <x:c r="C952" s="25" t="str">
        <x:v>半急速中期</x:v>
      </x:c>
      <x:c r="D952" s="25" t="n">
        <x:v>43</x:v>
      </x:c>
      <x:c r="E952" s="25" t="n">
        <x:v>127</x:v>
      </x:c>
      <x:c r="F952" s="25" t="str">
        <x:v>卯兔·镜月折辉</x:v>
      </x:c>
      <x:c r="G952" s="25" t="str">
        <x:v>生肖4</x:v>
      </x:c>
      <x:c r="H952" s="25" t="n">
        <x:v>5</x:v>
      </x:c>
      <x:c r="I952" s="25" t="str">
        <x:v>生肖合成</x:v>
      </x:c>
      <x:c r="J952" s="25" t="str">
        <x:v>S07</x:v>
      </x:c>
      <x:c r="K952" s="25" t="str">
        <x:v>150-280</x:v>
      </x:c>
      <x:c r="L952" s="25" t="n">
        <x:v>360000</x:v>
      </x:c>
      <x:c r="M952" s="25" t="n">
        <x:v>0</x:v>
      </x:c>
      <x:c r="N952" s="25" t="str">
        <x:v>否</x:v>
      </x:c>
      <x:c r="O952" s="25" t="n">
        <x:v>0</x:v>
      </x:c>
      <x:c r="P952" s="25" t="n">
        <x:v>0</x:v>
      </x:c>
      <x:c r="Q952" s="25" t="n">
        <x:v>0</x:v>
      </x:c>
      <x:c r="R952" s="25" t="str">
        <x:v>洗练绑定装备；项链幸运绑定人物永久进度；武器幸运成本忽略</x:v>
      </x:c>
    </x:row>
    <x:row r="953">
      <x:c r="A953" s="25" t="str">
        <x:v>C09-M</x:v>
      </x:c>
      <x:c r="B953" s="25" t="str">
        <x:v>亚坛高原</x:v>
      </x:c>
      <x:c r="C953" s="25" t="str">
        <x:v>半急速中期</x:v>
      </x:c>
      <x:c r="D953" s="25" t="n">
        <x:v>44</x:v>
      </x:c>
      <x:c r="E953" s="25" t="n">
        <x:v>91</x:v>
      </x:c>
      <x:c r="F953" s="25" t="str">
        <x:v>辰龙·荒原逐风</x:v>
      </x:c>
      <x:c r="G953" s="25" t="str">
        <x:v>生肖5</x:v>
      </x:c>
      <x:c r="H953" s="25" t="n">
        <x:v>3</x:v>
      </x:c>
      <x:c r="I953" s="25" t="str">
        <x:v>生肖合成</x:v>
      </x:c>
      <x:c r="J953" s="25" t="str">
        <x:v>S07</x:v>
      </x:c>
      <x:c r="K953" s="25" t="str">
        <x:v>47-90</x:v>
      </x:c>
      <x:c r="L953" s="25" t="n">
        <x:v>120000</x:v>
      </x:c>
      <x:c r="M953" s="25" t="n">
        <x:v>0</x:v>
      </x:c>
      <x:c r="N953" s="25" t="str">
        <x:v>否</x:v>
      </x:c>
      <x:c r="O953" s="25" t="n">
        <x:v>0</x:v>
      </x:c>
      <x:c r="P953" s="25" t="n">
        <x:v>0</x:v>
      </x:c>
      <x:c r="Q953" s="25" t="n">
        <x:v>0</x:v>
      </x:c>
      <x:c r="R953" s="25" t="str">
        <x:v>洗练绑定装备；项链幸运绑定人物永久进度；武器幸运成本忽略</x:v>
      </x:c>
    </x:row>
    <x:row r="954">
      <x:c r="A954" s="25" t="str">
        <x:v>C09-M</x:v>
      </x:c>
      <x:c r="B954" s="25" t="str">
        <x:v>亚坛高原</x:v>
      </x:c>
      <x:c r="C954" s="25" t="str">
        <x:v>半急速中期</x:v>
      </x:c>
      <x:c r="D954" s="25" t="n">
        <x:v>45</x:v>
      </x:c>
      <x:c r="E954" s="25" t="n">
        <x:v>107</x:v>
      </x:c>
      <x:c r="F954" s="25" t="str">
        <x:v>巳蛇·沉潮缚月</x:v>
      </x:c>
      <x:c r="G954" s="25" t="str">
        <x:v>生肖6</x:v>
      </x:c>
      <x:c r="H954" s="25" t="n">
        <x:v>4</x:v>
      </x:c>
      <x:c r="I954" s="25" t="str">
        <x:v>生肖合成</x:v>
      </x:c>
      <x:c r="J954" s="25" t="str">
        <x:v>S07</x:v>
      </x:c>
      <x:c r="K954" s="25" t="str">
        <x:v>83-160</x:v>
      </x:c>
      <x:c r="L954" s="25" t="n">
        <x:v>200000</x:v>
      </x:c>
      <x:c r="M954" s="25" t="n">
        <x:v>0</x:v>
      </x:c>
      <x:c r="N954" s="25" t="str">
        <x:v>否</x:v>
      </x:c>
      <x:c r="O954" s="25" t="n">
        <x:v>0</x:v>
      </x:c>
      <x:c r="P954" s="25" t="n">
        <x:v>0</x:v>
      </x:c>
      <x:c r="Q954" s="25" t="n">
        <x:v>0</x:v>
      </x:c>
      <x:c r="R954" s="25" t="str">
        <x:v>洗练绑定装备；项链幸运绑定人物永久进度；武器幸运成本忽略</x:v>
      </x:c>
    </x:row>
    <x:row r="955">
      <x:c r="A955" s="25" t="str">
        <x:v>C09-M</x:v>
      </x:c>
      <x:c r="B955" s="25" t="str">
        <x:v>亚坛高原</x:v>
      </x:c>
      <x:c r="C955" s="25" t="str">
        <x:v>半急速中期</x:v>
      </x:c>
      <x:c r="D955" s="25" t="n">
        <x:v>46</x:v>
      </x:c>
      <x:c r="E955" s="25" t="n">
        <x:v>165</x:v>
      </x:c>
      <x:c r="F955" s="25" t="str">
        <x:v>午马·霜脊踏天</x:v>
      </x:c>
      <x:c r="G955" s="25" t="str">
        <x:v>生肖7</x:v>
      </x:c>
      <x:c r="H955" s="25" t="n">
        <x:v>8</x:v>
      </x:c>
      <x:c r="I955" s="25" t="str">
        <x:v>生肖合成</x:v>
      </x:c>
      <x:c r="J955" s="25" t="str">
        <x:v>S07</x:v>
      </x:c>
      <x:c r="K955" s="25" t="str">
        <x:v>830-1600</x:v>
      </x:c>
      <x:c r="L955" s="25" t="n">
        <x:v>2000000</x:v>
      </x:c>
      <x:c r="M955" s="25" t="n">
        <x:v>0</x:v>
      </x:c>
      <x:c r="N955" s="25" t="str">
        <x:v>否</x:v>
      </x:c>
      <x:c r="O955" s="25" t="n">
        <x:v>0</x:v>
      </x:c>
      <x:c r="P955" s="25" t="n">
        <x:v>0</x:v>
      </x:c>
      <x:c r="Q955" s="25" t="n">
        <x:v>0</x:v>
      </x:c>
      <x:c r="R955" s="25" t="str">
        <x:v>洗练绑定装备；项链幸运绑定人物永久进度；武器幸运成本忽略</x:v>
      </x:c>
    </x:row>
    <x:row r="956">
      <x:c r="A956" s="25" t="str">
        <x:v>C09-M</x:v>
      </x:c>
      <x:c r="B956" s="25" t="str">
        <x:v>亚坛高原</x:v>
      </x:c>
      <x:c r="C956" s="25" t="str">
        <x:v>半急速中期</x:v>
      </x:c>
      <x:c r="D956" s="25" t="n">
        <x:v>47</x:v>
      </x:c>
      <x:c r="E956" s="25" t="n">
        <x:v>148</x:v>
      </x:c>
      <x:c r="F956" s="25" t="str">
        <x:v>未羊·永霜引路</x:v>
      </x:c>
      <x:c r="G956" s="25" t="str">
        <x:v>生肖8</x:v>
      </x:c>
      <x:c r="H956" s="25" t="n">
        <x:v>7</x:v>
      </x:c>
      <x:c r="I956" s="25" t="str">
        <x:v>生肖合成</x:v>
      </x:c>
      <x:c r="J956" s="25" t="str">
        <x:v>S07</x:v>
      </x:c>
      <x:c r="K956" s="25" t="str">
        <x:v>470-900</x:v>
      </x:c>
      <x:c r="L956" s="25" t="n">
        <x:v>1200000</x:v>
      </x:c>
      <x:c r="M956" s="25" t="n">
        <x:v>0</x:v>
      </x:c>
      <x:c r="N956" s="25" t="str">
        <x:v>否</x:v>
      </x:c>
      <x:c r="O956" s="25" t="n">
        <x:v>0</x:v>
      </x:c>
      <x:c r="P956" s="25" t="n">
        <x:v>0</x:v>
      </x:c>
      <x:c r="Q956" s="25" t="n">
        <x:v>0</x:v>
      </x:c>
      <x:c r="R956" s="25" t="str">
        <x:v>洗练绑定装备；项链幸运绑定人物永久进度；武器幸运成本忽略</x:v>
      </x:c>
    </x:row>
    <x:row r="957">
      <x:c r="A957" s="25" t="str">
        <x:v>C09-M</x:v>
      </x:c>
      <x:c r="B957" s="25" t="str">
        <x:v>亚坛高原</x:v>
      </x:c>
      <x:c r="C957" s="25" t="str">
        <x:v>半急速中期</x:v>
      </x:c>
      <x:c r="D957" s="25" t="n">
        <x:v>48</x:v>
      </x:c>
      <x:c r="E957" s="25" t="n">
        <x:v>81</x:v>
      </x:c>
      <x:c r="F957" s="25" t="str">
        <x:v>雷冠申猴</x:v>
      </x:c>
      <x:c r="G957" s="25" t="str">
        <x:v>生肖9</x:v>
      </x:c>
      <x:c r="H957" s="25" t="n">
        <x:v>2</x:v>
      </x:c>
      <x:c r="I957" s="25" t="str">
        <x:v>BOSS</x:v>
      </x:c>
      <x:c r="J957" s="25" t="str">
        <x:v>S02</x:v>
      </x:c>
      <x:c r="K957" s="25" t="str">
        <x:v>44-84</x:v>
      </x:c>
      <x:c r="L957" s="25" t="n">
        <x:v>59800</x:v>
      </x:c>
      <x:c r="M957" s="25" t="n">
        <x:v>0</x:v>
      </x:c>
      <x:c r="N957" s="25" t="str">
        <x:v>否</x:v>
      </x:c>
      <x:c r="O957" s="25" t="n">
        <x:v>0</x:v>
      </x:c>
      <x:c r="P957" s="25" t="n">
        <x:v>0</x:v>
      </x:c>
      <x:c r="Q957" s="25" t="n">
        <x:v>0</x:v>
      </x:c>
      <x:c r="R957" s="25" t="str">
        <x:v>洗练绑定装备；项链幸运绑定人物永久进度；武器幸运成本忽略</x:v>
      </x:c>
    </x:row>
    <x:row r="958">
      <x:c r="A958" s="25" t="str">
        <x:v>C09-M</x:v>
      </x:c>
      <x:c r="B958" s="25" t="str">
        <x:v>亚坛高原</x:v>
      </x:c>
      <x:c r="C958" s="25" t="str">
        <x:v>半急速中期</x:v>
      </x:c>
      <x:c r="D958" s="25" t="n">
        <x:v>49</x:v>
      </x:c>
      <x:c r="E958" s="25" t="n">
        <x:v>82</x:v>
      </x:c>
      <x:c r="F958" s="25" t="str">
        <x:v>恶兆酉鸡</x:v>
      </x:c>
      <x:c r="G958" s="25" t="str">
        <x:v>生肖10</x:v>
      </x:c>
      <x:c r="H958" s="25" t="n">
        <x:v>2</x:v>
      </x:c>
      <x:c r="I958" s="25" t="str">
        <x:v>BOSS</x:v>
      </x:c>
      <x:c r="J958" s="25" t="str">
        <x:v>S02</x:v>
      </x:c>
      <x:c r="K958" s="25" t="str">
        <x:v>44-84</x:v>
      </x:c>
      <x:c r="L958" s="25" t="n">
        <x:v>59800</x:v>
      </x:c>
      <x:c r="M958" s="25" t="n">
        <x:v>0</x:v>
      </x:c>
      <x:c r="N958" s="25" t="str">
        <x:v>否</x:v>
      </x:c>
      <x:c r="O958" s="25" t="n">
        <x:v>0</x:v>
      </x:c>
      <x:c r="P958" s="25" t="n">
        <x:v>0</x:v>
      </x:c>
      <x:c r="Q958" s="25" t="n">
        <x:v>0</x:v>
      </x:c>
      <x:c r="R958" s="25" t="str">
        <x:v>洗练绑定装备；项链幸运绑定人物永久进度；武器幸运成本忽略</x:v>
      </x:c>
    </x:row>
    <x:row r="959">
      <x:c r="A959" s="25" t="str">
        <x:v>C09-M</x:v>
      </x:c>
      <x:c r="B959" s="25" t="str">
        <x:v>亚坛高原</x:v>
      </x:c>
      <x:c r="C959" s="25" t="str">
        <x:v>半急速中期</x:v>
      </x:c>
      <x:c r="D959" s="25" t="n">
        <x:v>50</x:v>
      </x:c>
      <x:c r="E959" s="25" t="n">
        <x:v>83</x:v>
      </x:c>
      <x:c r="F959" s="25" t="str">
        <x:v>失乡戌狗</x:v>
      </x:c>
      <x:c r="G959" s="25" t="str">
        <x:v>生肖11</x:v>
      </x:c>
      <x:c r="H959" s="25" t="n">
        <x:v>2</x:v>
      </x:c>
      <x:c r="I959" s="25" t="str">
        <x:v>BOSS</x:v>
      </x:c>
      <x:c r="J959" s="25" t="str">
        <x:v>S02</x:v>
      </x:c>
      <x:c r="K959" s="25" t="str">
        <x:v>48-93</x:v>
      </x:c>
      <x:c r="L959" s="25" t="n">
        <x:v>79800</x:v>
      </x:c>
      <x:c r="M959" s="25" t="n">
        <x:v>0</x:v>
      </x:c>
      <x:c r="N959" s="25" t="str">
        <x:v>否</x:v>
      </x:c>
      <x:c r="O959" s="25" t="n">
        <x:v>0</x:v>
      </x:c>
      <x:c r="P959" s="25" t="n">
        <x:v>0</x:v>
      </x:c>
      <x:c r="Q959" s="25" t="n">
        <x:v>0</x:v>
      </x:c>
      <x:c r="R959" s="25" t="str">
        <x:v>洗练绑定装备；项链幸运绑定人物永久进度；武器幸运成本忽略</x:v>
      </x:c>
    </x:row>
    <x:row r="960">
      <x:c r="A960" s="25" t="str">
        <x:v>C09-M</x:v>
      </x:c>
      <x:c r="B960" s="25" t="str">
        <x:v>亚坛高原</x:v>
      </x:c>
      <x:c r="C960" s="25" t="str">
        <x:v>半急速中期</x:v>
      </x:c>
      <x:c r="D960" s="25" t="n">
        <x:v>51</x:v>
      </x:c>
      <x:c r="E960" s="25" t="n">
        <x:v>84</x:v>
      </x:c>
      <x:c r="F960" s="25" t="str">
        <x:v>接肢亥猪</x:v>
      </x:c>
      <x:c r="G960" s="25" t="str">
        <x:v>生肖12</x:v>
      </x:c>
      <x:c r="H960" s="25" t="n">
        <x:v>2</x:v>
      </x:c>
      <x:c r="I960" s="25" t="str">
        <x:v>守关BOSS</x:v>
      </x:c>
      <x:c r="J960" s="25" t="str">
        <x:v>S02</x:v>
      </x:c>
      <x:c r="K960" s="25" t="str">
        <x:v>55-106</x:v>
      </x:c>
      <x:c r="L960" s="25" t="n">
        <x:v>90800</x:v>
      </x:c>
      <x:c r="M960" s="25" t="n">
        <x:v>0</x:v>
      </x:c>
      <x:c r="N960" s="25" t="str">
        <x:v>否</x:v>
      </x:c>
      <x:c r="O960" s="25" t="n">
        <x:v>0</x:v>
      </x:c>
      <x:c r="P960" s="25" t="n">
        <x:v>0</x:v>
      </x:c>
      <x:c r="Q960" s="25" t="n">
        <x:v>0</x:v>
      </x:c>
      <x:c r="R960" s="25" t="str">
        <x:v>洗练绑定装备；项链幸运绑定人物永久进度；武器幸运成本忽略</x:v>
      </x:c>
    </x:row>
    <x:row r="961">
      <x:c r="A961" s="25" t="str">
        <x:v>C09-G</x:v>
      </x:c>
      <x:c r="B961" s="25" t="str">
        <x:v>亚坛高原</x:v>
      </x:c>
      <x:c r="C961" s="25" t="str">
        <x:v>半急速毕业</x:v>
      </x:c>
      <x:c r="D961" s="25" t="n">
        <x:v>0</x:v>
      </x:c>
      <x:c r="E961" s="25" t="n">
        <x:v>189</x:v>
      </x:c>
      <x:c r="F961" s="25" t="str">
        <x:v>鎏苔守陵衣</x:v>
      </x:c>
      <x:c r="G961" s="25" t="str">
        <x:v>衣服</x:v>
      </x:c>
      <x:c r="H961" s="25" t="n">
        <x:v>9</x:v>
      </x:c>
      <x:c r="I961" s="25" t="str">
        <x:v>普通</x:v>
      </x:c>
      <x:c r="J961" s="25" t="str">
        <x:v>S07</x:v>
      </x:c>
      <x:c r="K961" s="25" t="str">
        <x:v>1200-2300</x:v>
      </x:c>
      <x:c r="L961" s="25" t="n">
        <x:v>5200000</x:v>
      </x:c>
      <x:c r="M961" s="25" t="n">
        <x:v>7</x:v>
      </x:c>
      <x:c r="N961" s="25" t="str">
        <x:v>是</x:v>
      </x:c>
      <x:c r="O961" s="25" t="n">
        <x:v>0</x:v>
      </x:c>
      <x:c r="P961" s="25" t="n">
        <x:v>0</x:v>
      </x:c>
      <x:c r="Q961" s="25" t="n">
        <x:v>0</x:v>
      </x:c>
      <x:c r="R961" s="25" t="str">
        <x:v>洗练绑定装备；项链幸运绑定人物永久进度；武器幸运成本忽略</x:v>
      </x:c>
    </x:row>
    <x:row r="962">
      <x:c r="A962" s="25" t="str">
        <x:v>C09-G</x:v>
      </x:c>
      <x:c r="B962" s="25" t="str">
        <x:v>亚坛高原</x:v>
      </x:c>
      <x:c r="C962" s="25" t="str">
        <x:v>半急速毕业</x:v>
      </x:c>
      <x:c r="D962" s="25" t="n">
        <x:v>1</x:v>
      </x:c>
      <x:c r="E962" s="25" t="n">
        <x:v>188</x:v>
      </x:c>
      <x:c r="F962" s="25" t="str">
        <x:v>黄金律裁阳刃</x:v>
      </x:c>
      <x:c r="G962" s="25" t="str">
        <x:v>武器</x:v>
      </x:c>
      <x:c r="H962" s="25" t="n">
        <x:v>9</x:v>
      </x:c>
      <x:c r="I962" s="25" t="str">
        <x:v>装备合成</x:v>
      </x:c>
      <x:c r="J962" s="25" t="str">
        <x:v>S07</x:v>
      </x:c>
      <x:c r="K962" s="25" t="str">
        <x:v>42000-80000</x:v>
      </x:c>
      <x:c r="L962" s="25" t="n">
        <x:v>4800000</x:v>
      </x:c>
      <x:c r="M962" s="25" t="n">
        <x:v>7</x:v>
      </x:c>
      <x:c r="N962" s="25" t="str">
        <x:v>是</x:v>
      </x:c>
      <x:c r="O962" s="25" t="n">
        <x:v>7</x:v>
      </x:c>
      <x:c r="P962" s="25" t="n">
        <x:v>0</x:v>
      </x:c>
      <x:c r="Q962" s="25" t="n">
        <x:v>0</x:v>
      </x:c>
      <x:c r="R962" s="25" t="str">
        <x:v>洗练绑定装备；项链幸运绑定人物永久进度；武器幸运成本忽略</x:v>
      </x:c>
    </x:row>
    <x:row r="963">
      <x:c r="A963" s="25" t="str">
        <x:v>C09-G</x:v>
      </x:c>
      <x:c r="B963" s="25" t="str">
        <x:v>亚坛高原</x:v>
      </x:c>
      <x:c r="C963" s="25" t="str">
        <x:v>半急速毕业</x:v>
      </x:c>
      <x:c r="D963" s="25" t="n">
        <x:v>2</x:v>
      </x:c>
      <x:c r="E963" s="25" t="n">
        <x:v>144</x:v>
      </x:c>
      <x:c r="F963" s="25" t="str">
        <x:v>灰烬裁印</x:v>
      </x:c>
      <x:c r="G963" s="25" t="str">
        <x:v>勋章</x:v>
      </x:c>
      <x:c r="H963" s="25" t="n">
        <x:v>6</x:v>
      </x:c>
      <x:c r="I963" s="25" t="str">
        <x:v>稀有</x:v>
      </x:c>
      <x:c r="J963" s="25" t="str">
        <x:v>S07</x:v>
      </x:c>
      <x:c r="K963" s="25" t="str">
        <x:v>350-680</x:v>
      </x:c>
      <x:c r="L963" s="25" t="n">
        <x:v>370000</x:v>
      </x:c>
      <x:c r="M963" s="25" t="n">
        <x:v>0</x:v>
      </x:c>
      <x:c r="N963" s="25" t="str">
        <x:v>否</x:v>
      </x:c>
      <x:c r="O963" s="25" t="n">
        <x:v>0</x:v>
      </x:c>
      <x:c r="P963" s="25" t="n">
        <x:v>0</x:v>
      </x:c>
      <x:c r="Q963" s="25" t="n">
        <x:v>0</x:v>
      </x:c>
      <x:c r="R963" s="25" t="str">
        <x:v>洗练绑定装备；项链幸运绑定人物永久进度；武器幸运成本忽略</x:v>
      </x:c>
    </x:row>
    <x:row r="964">
      <x:c r="A964" s="25" t="str">
        <x:v>C09-G</x:v>
      </x:c>
      <x:c r="B964" s="25" t="str">
        <x:v>亚坛高原</x:v>
      </x:c>
      <x:c r="C964" s="25" t="str">
        <x:v>半急速毕业</x:v>
      </x:c>
      <x:c r="D964" s="25" t="n">
        <x:v>3</x:v>
      </x:c>
      <x:c r="E964" s="25" t="n">
        <x:v>177</x:v>
      </x:c>
      <x:c r="F964" s="25" t="str">
        <x:v>白翼颈链</x:v>
      </x:c>
      <x:c r="G964" s="25" t="str">
        <x:v>项链</x:v>
      </x:c>
      <x:c r="H964" s="25" t="n">
        <x:v>7</x:v>
      </x:c>
      <x:c r="I964" s="25" t="str">
        <x:v>稀有</x:v>
      </x:c>
      <x:c r="J964" s="25" t="str">
        <x:v>S07</x:v>
      </x:c>
      <x:c r="K964" s="25" t="str">
        <x:v>830-1600</x:v>
      </x:c>
      <x:c r="L964" s="25" t="n">
        <x:v>680000</x:v>
      </x:c>
      <x:c r="M964" s="25" t="n">
        <x:v>5</x:v>
      </x:c>
      <x:c r="N964" s="25" t="str">
        <x:v>否</x:v>
      </x:c>
      <x:c r="O964" s="25" t="n">
        <x:v>0</x:v>
      </x:c>
      <x:c r="P964" s="25" t="n">
        <x:v>0</x:v>
      </x:c>
      <x:c r="Q964" s="25" t="n">
        <x:v>0</x:v>
      </x:c>
      <x:c r="R964" s="25" t="str">
        <x:v>洗练绑定装备；项链幸运绑定人物永久进度；武器幸运成本忽略</x:v>
      </x:c>
    </x:row>
    <x:row r="965">
      <x:c r="A965" s="25" t="str">
        <x:v>C09-G</x:v>
      </x:c>
      <x:c r="B965" s="25" t="str">
        <x:v>亚坛高原</x:v>
      </x:c>
      <x:c r="C965" s="25" t="str">
        <x:v>半急速毕业</x:v>
      </x:c>
      <x:c r="D965" s="25" t="n">
        <x:v>4</x:v>
      </x:c>
      <x:c r="E965" s="25" t="n">
        <x:v>190</x:v>
      </x:c>
      <x:c r="F965" s="25" t="str">
        <x:v>芙蕾冰冠</x:v>
      </x:c>
      <x:c r="G965" s="25" t="str">
        <x:v>头盔</x:v>
      </x:c>
      <x:c r="H965" s="25" t="n">
        <x:v>7</x:v>
      </x:c>
      <x:c r="I965" s="25" t="str">
        <x:v>地图BOSS</x:v>
      </x:c>
      <x:c r="J965" s="25" t="str">
        <x:v>S07</x:v>
      </x:c>
      <x:c r="K965" s="25" t="str">
        <x:v>730-1400</x:v>
      </x:c>
      <x:c r="L965" s="25" t="n">
        <x:v>1500000</x:v>
      </x:c>
      <x:c r="M965" s="25" t="n">
        <x:v>5</x:v>
      </x:c>
      <x:c r="N965" s="25" t="str">
        <x:v>否</x:v>
      </x:c>
      <x:c r="O965" s="25" t="n">
        <x:v>0</x:v>
      </x:c>
      <x:c r="P965" s="25" t="n">
        <x:v>0</x:v>
      </x:c>
      <x:c r="Q965" s="25" t="n">
        <x:v>0</x:v>
      </x:c>
      <x:c r="R965" s="25" t="str">
        <x:v>洗练绑定装备；项链幸运绑定人物永久进度；武器幸运成本忽略</x:v>
      </x:c>
    </x:row>
    <x:row r="966">
      <x:c r="A966" s="25" t="str">
        <x:v>C09-G</x:v>
      </x:c>
      <x:c r="B966" s="25" t="str">
        <x:v>亚坛高原</x:v>
      </x:c>
      <x:c r="C966" s="25" t="str">
        <x:v>半急速毕业</x:v>
      </x:c>
      <x:c r="D966" s="25" t="n">
        <x:v>5</x:v>
      </x:c>
      <x:c r="E966" s="25" t="n">
        <x:v>192</x:v>
      </x:c>
      <x:c r="F966" s="25" t="str">
        <x:v>残斧魂腕环</x:v>
      </x:c>
      <x:c r="G966" s="25" t="str">
        <x:v>手镯</x:v>
      </x:c>
      <x:c r="H966" s="25" t="n">
        <x:v>8</x:v>
      </x:c>
      <x:c r="I966" s="25" t="str">
        <x:v>普通</x:v>
      </x:c>
      <x:c r="J966" s="25" t="str">
        <x:v>S07</x:v>
      </x:c>
      <x:c r="K966" s="25" t="str">
        <x:v>880-1700</x:v>
      </x:c>
      <x:c r="L966" s="25" t="n">
        <x:v>700000</x:v>
      </x:c>
      <x:c r="M966" s="25" t="n">
        <x:v>5</x:v>
      </x:c>
      <x:c r="N966" s="25" t="str">
        <x:v>否</x:v>
      </x:c>
      <x:c r="O966" s="25" t="n">
        <x:v>0</x:v>
      </x:c>
      <x:c r="P966" s="25" t="n">
        <x:v>0</x:v>
      </x:c>
      <x:c r="Q966" s="25" t="n">
        <x:v>0</x:v>
      </x:c>
      <x:c r="R966" s="25" t="str">
        <x:v>洗练绑定装备；项链幸运绑定人物永久进度；武器幸运成本忽略</x:v>
      </x:c>
    </x:row>
    <x:row r="967">
      <x:c r="A967" s="25" t="str">
        <x:v>C09-G</x:v>
      </x:c>
      <x:c r="B967" s="25" t="str">
        <x:v>亚坛高原</x:v>
      </x:c>
      <x:c r="C967" s="25" t="str">
        <x:v>半急速毕业</x:v>
      </x:c>
      <x:c r="D967" s="25" t="n">
        <x:v>6</x:v>
      </x:c>
      <x:c r="E967" s="25" t="n">
        <x:v>193</x:v>
      </x:c>
      <x:c r="F967" s="25" t="str">
        <x:v>寒狱铁镯</x:v>
      </x:c>
      <x:c r="G967" s="25" t="str">
        <x:v>手镯</x:v>
      </x:c>
      <x:c r="H967" s="25" t="n">
        <x:v>7</x:v>
      </x:c>
      <x:c r="I967" s="25" t="str">
        <x:v>普通</x:v>
      </x:c>
      <x:c r="J967" s="25" t="str">
        <x:v>S07</x:v>
      </x:c>
      <x:c r="K967" s="25" t="str">
        <x:v>620-1200</x:v>
      </x:c>
      <x:c r="L967" s="25" t="n">
        <x:v>460000</x:v>
      </x:c>
      <x:c r="M967" s="25" t="n">
        <x:v>7</x:v>
      </x:c>
      <x:c r="N967" s="25" t="str">
        <x:v>是</x:v>
      </x:c>
      <x:c r="O967" s="25" t="n">
        <x:v>0</x:v>
      </x:c>
      <x:c r="P967" s="25" t="n">
        <x:v>0</x:v>
      </x:c>
      <x:c r="Q967" s="25" t="n">
        <x:v>0</x:v>
      </x:c>
      <x:c r="R967" s="25" t="str">
        <x:v>洗练绑定装备；项链幸运绑定人物永久进度；武器幸运成本忽略</x:v>
      </x:c>
    </x:row>
    <x:row r="968">
      <x:c r="A968" s="25" t="str">
        <x:v>C09-G</x:v>
      </x:c>
      <x:c r="B968" s="25" t="str">
        <x:v>亚坛高原</x:v>
      </x:c>
      <x:c r="C968" s="25" t="str">
        <x:v>半急速毕业</x:v>
      </x:c>
      <x:c r="D968" s="25" t="n">
        <x:v>7</x:v>
      </x:c>
      <x:c r="E968" s="25" t="n">
        <x:v>194</x:v>
      </x:c>
      <x:c r="F968" s="25" t="str">
        <x:v>封誓霜纹戒</x:v>
      </x:c>
      <x:c r="G968" s="25" t="str">
        <x:v>戒指</x:v>
      </x:c>
      <x:c r="H968" s="25" t="n">
        <x:v>8</x:v>
      </x:c>
      <x:c r="I968" s="25" t="str">
        <x:v>稀有</x:v>
      </x:c>
      <x:c r="J968" s="25" t="str">
        <x:v>S07</x:v>
      </x:c>
      <x:c r="K968" s="25" t="str">
        <x:v>1400-2600</x:v>
      </x:c>
      <x:c r="L968" s="25" t="n">
        <x:v>1000000</x:v>
      </x:c>
      <x:c r="M968" s="25" t="n">
        <x:v>8</x:v>
      </x:c>
      <x:c r="N968" s="25" t="str">
        <x:v>是</x:v>
      </x:c>
      <x:c r="O968" s="25" t="n">
        <x:v>0</x:v>
      </x:c>
      <x:c r="P968" s="25" t="n">
        <x:v>0</x:v>
      </x:c>
      <x:c r="Q968" s="25" t="n">
        <x:v>0</x:v>
      </x:c>
      <x:c r="R968" s="25" t="str">
        <x:v>洗练绑定装备；项链幸运绑定人物永久进度；武器幸运成本忽略</x:v>
      </x:c>
    </x:row>
    <x:row r="969">
      <x:c r="A969" s="25" t="str">
        <x:v>C09-G</x:v>
      </x:c>
      <x:c r="B969" s="25" t="str">
        <x:v>亚坛高原</x:v>
      </x:c>
      <x:c r="C969" s="25" t="str">
        <x:v>半急速毕业</x:v>
      </x:c>
      <x:c r="D969" s="25" t="n">
        <x:v>8</x:v>
      </x:c>
      <x:c r="E969" s="25" t="n">
        <x:v>195</x:v>
      </x:c>
      <x:c r="F969" s="25" t="str">
        <x:v>巡界牙戒</x:v>
      </x:c>
      <x:c r="G969" s="25" t="str">
        <x:v>戒指</x:v>
      </x:c>
      <x:c r="H969" s="25" t="n">
        <x:v>7</x:v>
      </x:c>
      <x:c r="I969" s="25" t="str">
        <x:v>普通</x:v>
      </x:c>
      <x:c r="J969" s="25" t="str">
        <x:v>S07</x:v>
      </x:c>
      <x:c r="K969" s="25" t="str">
        <x:v>620-1200</x:v>
      </x:c>
      <x:c r="L969" s="25" t="n">
        <x:v>430000</x:v>
      </x:c>
      <x:c r="M969" s="25" t="n">
        <x:v>5</x:v>
      </x:c>
      <x:c r="N969" s="25" t="str">
        <x:v>否</x:v>
      </x:c>
      <x:c r="O969" s="25" t="n">
        <x:v>0</x:v>
      </x:c>
      <x:c r="P969" s="25" t="n">
        <x:v>0</x:v>
      </x:c>
      <x:c r="Q969" s="25" t="n">
        <x:v>0</x:v>
      </x:c>
      <x:c r="R969" s="25" t="str">
        <x:v>洗练绑定装备；项链幸运绑定人物永久进度；武器幸运成本忽略</x:v>
      </x:c>
    </x:row>
    <x:row r="970">
      <x:c r="A970" s="25" t="str">
        <x:v>C09-G</x:v>
      </x:c>
      <x:c r="B970" s="25" t="str">
        <x:v>亚坛高原</x:v>
      </x:c>
      <x:c r="C970" s="25" t="str">
        <x:v>半急速毕业</x:v>
      </x:c>
      <x:c r="D970" s="25" t="n">
        <x:v>10</x:v>
      </x:c>
      <x:c r="E970" s="25" t="n">
        <x:v>196</x:v>
      </x:c>
      <x:c r="F970" s="25" t="str">
        <x:v>驮碑束腰</x:v>
      </x:c>
      <x:c r="G970" s="25" t="str">
        <x:v>腰带</x:v>
      </x:c>
      <x:c r="H970" s="25" t="n">
        <x:v>8</x:v>
      </x:c>
      <x:c r="I970" s="25" t="str">
        <x:v>稀有</x:v>
      </x:c>
      <x:c r="J970" s="25" t="str">
        <x:v>S07</x:v>
      </x:c>
      <x:c r="K970" s="25" t="str">
        <x:v>730-1400</x:v>
      </x:c>
      <x:c r="L970" s="25" t="n">
        <x:v>1600000</x:v>
      </x:c>
      <x:c r="M970" s="25" t="n">
        <x:v>3</x:v>
      </x:c>
      <x:c r="N970" s="25" t="str">
        <x:v>否</x:v>
      </x:c>
      <x:c r="O970" s="25" t="n">
        <x:v>0</x:v>
      </x:c>
      <x:c r="P970" s="25" t="n">
        <x:v>0</x:v>
      </x:c>
      <x:c r="Q970" s="25" t="n">
        <x:v>0</x:v>
      </x:c>
      <x:c r="R970" s="25" t="str">
        <x:v>洗练绑定装备；项链幸运绑定人物永久进度；武器幸运成本忽略</x:v>
      </x:c>
    </x:row>
    <x:row r="971">
      <x:c r="A971" s="25" t="str">
        <x:v>C09-G</x:v>
      </x:c>
      <x:c r="B971" s="25" t="str">
        <x:v>亚坛高原</x:v>
      </x:c>
      <x:c r="C971" s="25" t="str">
        <x:v>半急速毕业</x:v>
      </x:c>
      <x:c r="D971" s="25" t="n">
        <x:v>11</x:v>
      </x:c>
      <x:c r="E971" s="25" t="n">
        <x:v>197</x:v>
      </x:c>
      <x:c r="F971" s="25" t="str">
        <x:v>寒灯侍履</x:v>
      </x:c>
      <x:c r="G971" s="25" t="str">
        <x:v>鞋子</x:v>
      </x:c>
      <x:c r="H971" s="25" t="n">
        <x:v>8</x:v>
      </x:c>
      <x:c r="I971" s="25" t="str">
        <x:v>普通</x:v>
      </x:c>
      <x:c r="J971" s="25" t="str">
        <x:v>S07</x:v>
      </x:c>
      <x:c r="K971" s="25" t="str">
        <x:v>520-1000</x:v>
      </x:c>
      <x:c r="L971" s="25" t="n">
        <x:v>740000</x:v>
      </x:c>
      <x:c r="M971" s="25" t="n">
        <x:v>7</x:v>
      </x:c>
      <x:c r="N971" s="25" t="str">
        <x:v>是</x:v>
      </x:c>
      <x:c r="O971" s="25" t="n">
        <x:v>0</x:v>
      </x:c>
      <x:c r="P971" s="25" t="n">
        <x:v>0</x:v>
      </x:c>
      <x:c r="Q971" s="25" t="n">
        <x:v>0</x:v>
      </x:c>
      <x:c r="R971" s="25" t="str">
        <x:v>洗练绑定装备；项链幸运绑定人物永久进度；武器幸运成本忽略</x:v>
      </x:c>
    </x:row>
    <x:row r="972">
      <x:c r="A972" s="25" t="str">
        <x:v>C09-G</x:v>
      </x:c>
      <x:c r="B972" s="25" t="str">
        <x:v>亚坛高原</x:v>
      </x:c>
      <x:c r="C972" s="25" t="str">
        <x:v>半急速毕业</x:v>
      </x:c>
      <x:c r="D972" s="25" t="n">
        <x:v>13</x:v>
      </x:c>
      <x:c r="E972" s="25" t="n">
        <x:v>185</x:v>
      </x:c>
      <x:c r="F972" s="25" t="str">
        <x:v>缄声霜帘笠</x:v>
      </x:c>
      <x:c r="G972" s="25" t="str">
        <x:v>斗笠</x:v>
      </x:c>
      <x:c r="H972" s="25" t="n">
        <x:v>8</x:v>
      </x:c>
      <x:c r="I972" s="25" t="str">
        <x:v>稀有</x:v>
      </x:c>
      <x:c r="J972" s="25" t="str">
        <x:v>S07</x:v>
      </x:c>
      <x:c r="K972" s="25" t="str">
        <x:v>780-1500</x:v>
      </x:c>
      <x:c r="L972" s="25" t="n">
        <x:v>940000</x:v>
      </x:c>
      <x:c r="M972" s="25" t="n">
        <x:v>0</x:v>
      </x:c>
      <x:c r="N972" s="25" t="str">
        <x:v>否</x:v>
      </x:c>
      <x:c r="O972" s="25" t="n">
        <x:v>0</x:v>
      </x:c>
      <x:c r="P972" s="25" t="n">
        <x:v>0</x:v>
      </x:c>
      <x:c r="Q972" s="25" t="n">
        <x:v>0</x:v>
      </x:c>
      <x:c r="R972" s="25" t="str">
        <x:v>洗练绑定装备；项链幸运绑定人物永久进度；武器幸运成本忽略</x:v>
      </x:c>
    </x:row>
    <x:row r="973">
      <x:c r="A973" s="25" t="str">
        <x:v>C09-G</x:v>
      </x:c>
      <x:c r="B973" s="25" t="str">
        <x:v>亚坛高原</x:v>
      </x:c>
      <x:c r="C973" s="25" t="str">
        <x:v>半急速毕业</x:v>
      </x:c>
      <x:c r="D973" s="25" t="n">
        <x:v>16</x:v>
      </x:c>
      <x:c r="E973" s="25" t="n">
        <x:v>164</x:v>
      </x:c>
      <x:c r="F973" s="25" t="str">
        <x:v>吞日霜壁</x:v>
      </x:c>
      <x:c r="G973" s="25" t="str">
        <x:v>盾牌</x:v>
      </x:c>
      <x:c r="H973" s="25" t="n">
        <x:v>8</x:v>
      </x:c>
      <x:c r="I973" s="25" t="str">
        <x:v>装备合成</x:v>
      </x:c>
      <x:c r="J973" s="25" t="str">
        <x:v>S07</x:v>
      </x:c>
      <x:c r="K973" s="25" t="str">
        <x:v>2800-5400</x:v>
      </x:c>
      <x:c r="L973" s="25" t="n">
        <x:v>7700000</x:v>
      </x:c>
      <x:c r="M973" s="25" t="n">
        <x:v>0</x:v>
      </x:c>
      <x:c r="N973" s="25" t="str">
        <x:v>否</x:v>
      </x:c>
      <x:c r="O973" s="25" t="n">
        <x:v>0</x:v>
      </x:c>
      <x:c r="P973" s="25" t="n">
        <x:v>0</x:v>
      </x:c>
      <x:c r="Q973" s="25" t="n">
        <x:v>0</x:v>
      </x:c>
      <x:c r="R973" s="25" t="str">
        <x:v>洗练绑定装备；项链幸运绑定人物永久进度；武器幸运成本忽略</x:v>
      </x:c>
    </x:row>
    <x:row r="974">
      <x:c r="A974" s="25" t="str">
        <x:v>C09-G</x:v>
      </x:c>
      <x:c r="B974" s="25" t="str">
        <x:v>亚坛高原</x:v>
      </x:c>
      <x:c r="C974" s="25" t="str">
        <x:v>半急速毕业</x:v>
      </x:c>
      <x:c r="D974" s="25" t="n">
        <x:v>18</x:v>
      </x:c>
      <x:c r="E974" s="25" t="n">
        <x:v>137</x:v>
      </x:c>
      <x:c r="F974" s="25" t="str">
        <x:v>红狮余烬王衣</x:v>
      </x:c>
      <x:c r="G974" s="25" t="str">
        <x:v>时装衣服</x:v>
      </x:c>
      <x:c r="H974" s="25" t="n">
        <x:v>6</x:v>
      </x:c>
      <x:c r="I974" s="25" t="str">
        <x:v>装备合成</x:v>
      </x:c>
      <x:c r="J974" s="25" t="str">
        <x:v>S07</x:v>
      </x:c>
      <x:c r="K974" s="25" t="str">
        <x:v>780-1500</x:v>
      </x:c>
      <x:c r="L974" s="25" t="n">
        <x:v>5100000</x:v>
      </x:c>
      <x:c r="M974" s="25" t="n">
        <x:v>0</x:v>
      </x:c>
      <x:c r="N974" s="25" t="str">
        <x:v>否</x:v>
      </x:c>
      <x:c r="O974" s="25" t="n">
        <x:v>0</x:v>
      </x:c>
      <x:c r="P974" s="25" t="n">
        <x:v>0</x:v>
      </x:c>
      <x:c r="Q974" s="25" t="n">
        <x:v>0</x:v>
      </x:c>
      <x:c r="R974" s="25" t="str">
        <x:v>洗练绑定装备；项链幸运绑定人物永久进度；武器幸运成本忽略</x:v>
      </x:c>
    </x:row>
    <x:row r="975">
      <x:c r="A975" s="25" t="str">
        <x:v>C09-G</x:v>
      </x:c>
      <x:c r="B975" s="25" t="str">
        <x:v>亚坛高原</x:v>
      </x:c>
      <x:c r="C975" s="25" t="str">
        <x:v>半急速毕业</x:v>
      </x:c>
      <x:c r="D975" s="25" t="n">
        <x:v>19</x:v>
      </x:c>
      <x:c r="E975" s="25" t="n">
        <x:v>147</x:v>
      </x:c>
      <x:c r="F975" s="25" t="str">
        <x:v>永霜白金刃</x:v>
      </x:c>
      <x:c r="G975" s="25" t="str">
        <x:v>时装武器</x:v>
      </x:c>
      <x:c r="H975" s="25" t="n">
        <x:v>7</x:v>
      </x:c>
      <x:c r="I975" s="25" t="str">
        <x:v>装备合成</x:v>
      </x:c>
      <x:c r="J975" s="25" t="str">
        <x:v>S07</x:v>
      </x:c>
      <x:c r="K975" s="25" t="str">
        <x:v>4800-9200</x:v>
      </x:c>
      <x:c r="L975" s="25" t="n">
        <x:v>1700000</x:v>
      </x:c>
      <x:c r="M975" s="25" t="n">
        <x:v>0</x:v>
      </x:c>
      <x:c r="N975" s="25" t="str">
        <x:v>否</x:v>
      </x:c>
      <x:c r="O975" s="25" t="n">
        <x:v>0</x:v>
      </x:c>
      <x:c r="P975" s="25" t="n">
        <x:v>0</x:v>
      </x:c>
      <x:c r="Q975" s="25" t="n">
        <x:v>0</x:v>
      </x:c>
      <x:c r="R975" s="25" t="str">
        <x:v>洗练绑定装备；项链幸运绑定人物永久进度；武器幸运成本忽略</x:v>
      </x:c>
    </x:row>
    <x:row r="976">
      <x:c r="A976" s="25" t="str">
        <x:v>C09-G</x:v>
      </x:c>
      <x:c r="B976" s="25" t="str">
        <x:v>亚坛高原</x:v>
      </x:c>
      <x:c r="C976" s="25" t="str">
        <x:v>半急速毕业</x:v>
      </x:c>
      <x:c r="D976" s="25" t="n">
        <x:v>20</x:v>
      </x:c>
      <x:c r="E976" s="25" t="n">
        <x:v>40</x:v>
      </x:c>
      <x:c r="F976" s="25" t="str">
        <x:v>英雄余誓</x:v>
      </x:c>
      <x:c r="G976" s="25" t="str">
        <x:v>时装项链</x:v>
      </x:c>
      <x:c r="H976" s="25" t="n">
        <x:v>2</x:v>
      </x:c>
      <x:c r="I976" s="25" t="str">
        <x:v>稀有</x:v>
      </x:c>
      <x:c r="J976" s="25" t="str">
        <x:v>S02</x:v>
      </x:c>
      <x:c r="K976" s="25" t="str">
        <x:v>31-60</x:v>
      </x:c>
      <x:c r="L976" s="25" t="n">
        <x:v>17900</x:v>
      </x:c>
      <x:c r="M976" s="25" t="n">
        <x:v>0</x:v>
      </x:c>
      <x:c r="N976" s="25" t="str">
        <x:v>否</x:v>
      </x:c>
      <x:c r="O976" s="25" t="n">
        <x:v>0</x:v>
      </x:c>
      <x:c r="P976" s="25" t="n">
        <x:v>0</x:v>
      </x:c>
      <x:c r="Q976" s="25" t="n">
        <x:v>0</x:v>
      </x:c>
      <x:c r="R976" s="25" t="str">
        <x:v>洗练绑定装备；项链幸运绑定人物永久进度；武器幸运成本忽略</x:v>
      </x:c>
    </x:row>
    <x:row r="977">
      <x:c r="A977" s="25" t="str">
        <x:v>C09-G</x:v>
      </x:c>
      <x:c r="B977" s="25" t="str">
        <x:v>亚坛高原</x:v>
      </x:c>
      <x:c r="C977" s="25" t="str">
        <x:v>半急速毕业</x:v>
      </x:c>
      <x:c r="D977" s="25" t="n">
        <x:v>21</x:v>
      </x:c>
      <x:c r="E977" s="25" t="n">
        <x:v>41</x:v>
      </x:c>
      <x:c r="F977" s="25" t="str">
        <x:v>初火兜鍪</x:v>
      </x:c>
      <x:c r="G977" s="25" t="str">
        <x:v>时装头盔</x:v>
      </x:c>
      <x:c r="H977" s="25" t="n">
        <x:v>2</x:v>
      </x:c>
      <x:c r="I977" s="25" t="str">
        <x:v>稀有</x:v>
      </x:c>
      <x:c r="J977" s="25" t="str">
        <x:v>S02</x:v>
      </x:c>
      <x:c r="K977" s="25" t="str">
        <x:v>22-42</x:v>
      </x:c>
      <x:c r="L977" s="25" t="n">
        <x:v>30900</x:v>
      </x:c>
      <x:c r="M977" s="25" t="n">
        <x:v>0</x:v>
      </x:c>
      <x:c r="N977" s="25" t="str">
        <x:v>否</x:v>
      </x:c>
      <x:c r="O977" s="25" t="n">
        <x:v>0</x:v>
      </x:c>
      <x:c r="P977" s="25" t="n">
        <x:v>0</x:v>
      </x:c>
      <x:c r="Q977" s="25" t="n">
        <x:v>0</x:v>
      </x:c>
      <x:c r="R977" s="25" t="str">
        <x:v>洗练绑定装备；项链幸运绑定人物永久进度；武器幸运成本忽略</x:v>
      </x:c>
    </x:row>
    <x:row r="978">
      <x:c r="A978" s="25" t="str">
        <x:v>C09-G</x:v>
      </x:c>
      <x:c r="B978" s="25" t="str">
        <x:v>亚坛高原</x:v>
      </x:c>
      <x:c r="C978" s="25" t="str">
        <x:v>半急速毕业</x:v>
      </x:c>
      <x:c r="D978" s="25" t="n">
        <x:v>22</x:v>
      </x:c>
      <x:c r="E978" s="25" t="n">
        <x:v>42</x:v>
      </x:c>
      <x:c r="F978" s="25" t="str">
        <x:v>卢恩血镯</x:v>
      </x:c>
      <x:c r="G978" s="25" t="str">
        <x:v>时装手镯</x:v>
      </x:c>
      <x:c r="H978" s="25" t="n">
        <x:v>2</x:v>
      </x:c>
      <x:c r="I978" s="25" t="str">
        <x:v>稀有</x:v>
      </x:c>
      <x:c r="J978" s="25" t="str">
        <x:v>S02</x:v>
      </x:c>
      <x:c r="K978" s="25" t="str">
        <x:v>42-80</x:v>
      </x:c>
      <x:c r="L978" s="25" t="n">
        <x:v>34400</x:v>
      </x:c>
      <x:c r="M978" s="25" t="n">
        <x:v>0</x:v>
      </x:c>
      <x:c r="N978" s="25" t="str">
        <x:v>否</x:v>
      </x:c>
      <x:c r="O978" s="25" t="n">
        <x:v>0</x:v>
      </x:c>
      <x:c r="P978" s="25" t="n">
        <x:v>0</x:v>
      </x:c>
      <x:c r="Q978" s="25" t="n">
        <x:v>0</x:v>
      </x:c>
      <x:c r="R978" s="25" t="str">
        <x:v>洗练绑定装备；项链幸运绑定人物永久进度；武器幸运成本忽略</x:v>
      </x:c>
    </x:row>
    <x:row r="979">
      <x:c r="A979" s="25" t="str">
        <x:v>C09-G</x:v>
      </x:c>
      <x:c r="B979" s="25" t="str">
        <x:v>亚坛高原</x:v>
      </x:c>
      <x:c r="C979" s="25" t="str">
        <x:v>半急速毕业</x:v>
      </x:c>
      <x:c r="D979" s="25" t="n">
        <x:v>24</x:v>
      </x:c>
      <x:c r="E979" s="25" t="n">
        <x:v>43</x:v>
      </x:c>
      <x:c r="F979" s="25" t="str">
        <x:v>黄金树戒</x:v>
      </x:c>
      <x:c r="G979" s="25" t="str">
        <x:v>时装戒指</x:v>
      </x:c>
      <x:c r="H979" s="25" t="n">
        <x:v>2</x:v>
      </x:c>
      <x:c r="I979" s="25" t="str">
        <x:v>稀有</x:v>
      </x:c>
      <x:c r="J979" s="25" t="str">
        <x:v>S02</x:v>
      </x:c>
      <x:c r="K979" s="25" t="str">
        <x:v>42-80</x:v>
      </x:c>
      <x:c r="L979" s="25" t="n">
        <x:v>34400</x:v>
      </x:c>
      <x:c r="M979" s="25" t="n">
        <x:v>0</x:v>
      </x:c>
      <x:c r="N979" s="25" t="str">
        <x:v>否</x:v>
      </x:c>
      <x:c r="O979" s="25" t="n">
        <x:v>0</x:v>
      </x:c>
      <x:c r="P979" s="25" t="n">
        <x:v>0</x:v>
      </x:c>
      <x:c r="Q979" s="25" t="n">
        <x:v>0</x:v>
      </x:c>
      <x:c r="R979" s="25" t="str">
        <x:v>洗练绑定装备；项链幸运绑定人物永久进度；武器幸运成本忽略</x:v>
      </x:c>
    </x:row>
    <x:row r="980">
      <x:c r="A980" s="25" t="str">
        <x:v>C09-G</x:v>
      </x:c>
      <x:c r="B980" s="25" t="str">
        <x:v>亚坛高原</x:v>
      </x:c>
      <x:c r="C980" s="25" t="str">
        <x:v>半急速毕业</x:v>
      </x:c>
      <x:c r="D980" s="25" t="n">
        <x:v>40</x:v>
      </x:c>
      <x:c r="E980" s="25" t="n">
        <x:v>44</x:v>
      </x:c>
      <x:c r="F980" s="25" t="str">
        <x:v>腐树子鼠</x:v>
      </x:c>
      <x:c r="G980" s="25" t="str">
        <x:v>生肖1</x:v>
      </x:c>
      <x:c r="H980" s="25" t="n">
        <x:v>2</x:v>
      </x:c>
      <x:c r="I980" s="25" t="str">
        <x:v>BOSS</x:v>
      </x:c>
      <x:c r="J980" s="25" t="str">
        <x:v>S02</x:v>
      </x:c>
      <x:c r="K980" s="25" t="str">
        <x:v>29-56</x:v>
      </x:c>
      <x:c r="L980" s="25" t="n">
        <x:v>23600</x:v>
      </x:c>
      <x:c r="M980" s="25" t="n">
        <x:v>0</x:v>
      </x:c>
      <x:c r="N980" s="25" t="str">
        <x:v>否</x:v>
      </x:c>
      <x:c r="O980" s="25" t="n">
        <x:v>0</x:v>
      </x:c>
      <x:c r="P980" s="25" t="n">
        <x:v>0</x:v>
      </x:c>
      <x:c r="Q980" s="25" t="n">
        <x:v>0</x:v>
      </x:c>
      <x:c r="R980" s="25" t="str">
        <x:v>洗练绑定装备；项链幸运绑定人物永久进度；武器幸运成本忽略</x:v>
      </x:c>
    </x:row>
    <x:row r="981">
      <x:c r="A981" s="25" t="str">
        <x:v>C09-G</x:v>
      </x:c>
      <x:c r="B981" s="25" t="str">
        <x:v>亚坛高原</x:v>
      </x:c>
      <x:c r="C981" s="25" t="str">
        <x:v>半急速毕业</x:v>
      </x:c>
      <x:c r="D981" s="25" t="n">
        <x:v>41</x:v>
      </x:c>
      <x:c r="E981" s="25" t="n">
        <x:v>69</x:v>
      </x:c>
      <x:c r="F981" s="25" t="str">
        <x:v>丑牛·风暴负山</x:v>
      </x:c>
      <x:c r="G981" s="25" t="str">
        <x:v>生肖2</x:v>
      </x:c>
      <x:c r="H981" s="25" t="n">
        <x:v>2</x:v>
      </x:c>
      <x:c r="I981" s="25" t="str">
        <x:v>生肖合成</x:v>
      </x:c>
      <x:c r="J981" s="25" t="str">
        <x:v>S07</x:v>
      </x:c>
      <x:c r="K981" s="25" t="str">
        <x:v>25-49</x:v>
      </x:c>
      <x:c r="L981" s="25" t="n">
        <x:v>64000</x:v>
      </x:c>
      <x:c r="M981" s="25" t="n">
        <x:v>0</x:v>
      </x:c>
      <x:c r="N981" s="25" t="str">
        <x:v>否</x:v>
      </x:c>
      <x:c r="O981" s="25" t="n">
        <x:v>0</x:v>
      </x:c>
      <x:c r="P981" s="25" t="n">
        <x:v>0</x:v>
      </x:c>
      <x:c r="Q981" s="25" t="n">
        <x:v>0</x:v>
      </x:c>
      <x:c r="R981" s="25" t="str">
        <x:v>洗练绑定装备；项链幸运绑定人物永久进度；武器幸运成本忽略</x:v>
      </x:c>
    </x:row>
    <x:row r="982">
      <x:c r="A982" s="25" t="str">
        <x:v>C09-G</x:v>
      </x:c>
      <x:c r="B982" s="25" t="str">
        <x:v>亚坛高原</x:v>
      </x:c>
      <x:c r="C982" s="25" t="str">
        <x:v>半急速毕业</x:v>
      </x:c>
      <x:c r="D982" s="25" t="n">
        <x:v>42</x:v>
      </x:c>
      <x:c r="E982" s="25" t="n">
        <x:v>138</x:v>
      </x:c>
      <x:c r="F982" s="25" t="str">
        <x:v>寅虎·红狮焚原</x:v>
      </x:c>
      <x:c r="G982" s="25" t="str">
        <x:v>生肖3</x:v>
      </x:c>
      <x:c r="H982" s="25" t="n">
        <x:v>6</x:v>
      </x:c>
      <x:c r="I982" s="25" t="str">
        <x:v>生肖合成</x:v>
      </x:c>
      <x:c r="J982" s="25" t="str">
        <x:v>S07</x:v>
      </x:c>
      <x:c r="K982" s="25" t="str">
        <x:v>250-490</x:v>
      </x:c>
      <x:c r="L982" s="25" t="n">
        <x:v>640000</x:v>
      </x:c>
      <x:c r="M982" s="25" t="n">
        <x:v>0</x:v>
      </x:c>
      <x:c r="N982" s="25" t="str">
        <x:v>否</x:v>
      </x:c>
      <x:c r="O982" s="25" t="n">
        <x:v>0</x:v>
      </x:c>
      <x:c r="P982" s="25" t="n">
        <x:v>0</x:v>
      </x:c>
      <x:c r="Q982" s="25" t="n">
        <x:v>0</x:v>
      </x:c>
      <x:c r="R982" s="25" t="str">
        <x:v>洗练绑定装备；项链幸运绑定人物永久进度；武器幸运成本忽略</x:v>
      </x:c>
    </x:row>
    <x:row r="983">
      <x:c r="A983" s="25" t="str">
        <x:v>C09-G</x:v>
      </x:c>
      <x:c r="B983" s="25" t="str">
        <x:v>亚坛高原</x:v>
      </x:c>
      <x:c r="C983" s="25" t="str">
        <x:v>半急速毕业</x:v>
      </x:c>
      <x:c r="D983" s="25" t="n">
        <x:v>43</x:v>
      </x:c>
      <x:c r="E983" s="25" t="n">
        <x:v>127</x:v>
      </x:c>
      <x:c r="F983" s="25" t="str">
        <x:v>卯兔·镜月折辉</x:v>
      </x:c>
      <x:c r="G983" s="25" t="str">
        <x:v>生肖4</x:v>
      </x:c>
      <x:c r="H983" s="25" t="n">
        <x:v>5</x:v>
      </x:c>
      <x:c r="I983" s="25" t="str">
        <x:v>生肖合成</x:v>
      </x:c>
      <x:c r="J983" s="25" t="str">
        <x:v>S07</x:v>
      </x:c>
      <x:c r="K983" s="25" t="str">
        <x:v>150-280</x:v>
      </x:c>
      <x:c r="L983" s="25" t="n">
        <x:v>360000</x:v>
      </x:c>
      <x:c r="M983" s="25" t="n">
        <x:v>0</x:v>
      </x:c>
      <x:c r="N983" s="25" t="str">
        <x:v>否</x:v>
      </x:c>
      <x:c r="O983" s="25" t="n">
        <x:v>0</x:v>
      </x:c>
      <x:c r="P983" s="25" t="n">
        <x:v>0</x:v>
      </x:c>
      <x:c r="Q983" s="25" t="n">
        <x:v>0</x:v>
      </x:c>
      <x:c r="R983" s="25" t="str">
        <x:v>洗练绑定装备；项链幸运绑定人物永久进度；武器幸运成本忽略</x:v>
      </x:c>
    </x:row>
    <x:row r="984">
      <x:c r="A984" s="25" t="str">
        <x:v>C09-G</x:v>
      </x:c>
      <x:c r="B984" s="25" t="str">
        <x:v>亚坛高原</x:v>
      </x:c>
      <x:c r="C984" s="25" t="str">
        <x:v>半急速毕业</x:v>
      </x:c>
      <x:c r="D984" s="25" t="n">
        <x:v>44</x:v>
      </x:c>
      <x:c r="E984" s="25" t="n">
        <x:v>91</x:v>
      </x:c>
      <x:c r="F984" s="25" t="str">
        <x:v>辰龙·荒原逐风</x:v>
      </x:c>
      <x:c r="G984" s="25" t="str">
        <x:v>生肖5</x:v>
      </x:c>
      <x:c r="H984" s="25" t="n">
        <x:v>3</x:v>
      </x:c>
      <x:c r="I984" s="25" t="str">
        <x:v>生肖合成</x:v>
      </x:c>
      <x:c r="J984" s="25" t="str">
        <x:v>S07</x:v>
      </x:c>
      <x:c r="K984" s="25" t="str">
        <x:v>47-90</x:v>
      </x:c>
      <x:c r="L984" s="25" t="n">
        <x:v>120000</x:v>
      </x:c>
      <x:c r="M984" s="25" t="n">
        <x:v>0</x:v>
      </x:c>
      <x:c r="N984" s="25" t="str">
        <x:v>否</x:v>
      </x:c>
      <x:c r="O984" s="25" t="n">
        <x:v>0</x:v>
      </x:c>
      <x:c r="P984" s="25" t="n">
        <x:v>0</x:v>
      </x:c>
      <x:c r="Q984" s="25" t="n">
        <x:v>0</x:v>
      </x:c>
      <x:c r="R984" s="25" t="str">
        <x:v>洗练绑定装备；项链幸运绑定人物永久进度；武器幸运成本忽略</x:v>
      </x:c>
    </x:row>
    <x:row r="985">
      <x:c r="A985" s="25" t="str">
        <x:v>C09-G</x:v>
      </x:c>
      <x:c r="B985" s="25" t="str">
        <x:v>亚坛高原</x:v>
      </x:c>
      <x:c r="C985" s="25" t="str">
        <x:v>半急速毕业</x:v>
      </x:c>
      <x:c r="D985" s="25" t="n">
        <x:v>45</x:v>
      </x:c>
      <x:c r="E985" s="25" t="n">
        <x:v>107</x:v>
      </x:c>
      <x:c r="F985" s="25" t="str">
        <x:v>巳蛇·沉潮缚月</x:v>
      </x:c>
      <x:c r="G985" s="25" t="str">
        <x:v>生肖6</x:v>
      </x:c>
      <x:c r="H985" s="25" t="n">
        <x:v>4</x:v>
      </x:c>
      <x:c r="I985" s="25" t="str">
        <x:v>生肖合成</x:v>
      </x:c>
      <x:c r="J985" s="25" t="str">
        <x:v>S07</x:v>
      </x:c>
      <x:c r="K985" s="25" t="str">
        <x:v>83-160</x:v>
      </x:c>
      <x:c r="L985" s="25" t="n">
        <x:v>200000</x:v>
      </x:c>
      <x:c r="M985" s="25" t="n">
        <x:v>0</x:v>
      </x:c>
      <x:c r="N985" s="25" t="str">
        <x:v>否</x:v>
      </x:c>
      <x:c r="O985" s="25" t="n">
        <x:v>0</x:v>
      </x:c>
      <x:c r="P985" s="25" t="n">
        <x:v>0</x:v>
      </x:c>
      <x:c r="Q985" s="25" t="n">
        <x:v>0</x:v>
      </x:c>
      <x:c r="R985" s="25" t="str">
        <x:v>洗练绑定装备；项链幸运绑定人物永久进度；武器幸运成本忽略</x:v>
      </x:c>
    </x:row>
    <x:row r="986">
      <x:c r="A986" s="25" t="str">
        <x:v>C09-G</x:v>
      </x:c>
      <x:c r="B986" s="25" t="str">
        <x:v>亚坛高原</x:v>
      </x:c>
      <x:c r="C986" s="25" t="str">
        <x:v>半急速毕业</x:v>
      </x:c>
      <x:c r="D986" s="25" t="n">
        <x:v>46</x:v>
      </x:c>
      <x:c r="E986" s="25" t="n">
        <x:v>165</x:v>
      </x:c>
      <x:c r="F986" s="25" t="str">
        <x:v>午马·霜脊踏天</x:v>
      </x:c>
      <x:c r="G986" s="25" t="str">
        <x:v>生肖7</x:v>
      </x:c>
      <x:c r="H986" s="25" t="n">
        <x:v>8</x:v>
      </x:c>
      <x:c r="I986" s="25" t="str">
        <x:v>生肖合成</x:v>
      </x:c>
      <x:c r="J986" s="25" t="str">
        <x:v>S07</x:v>
      </x:c>
      <x:c r="K986" s="25" t="str">
        <x:v>830-1600</x:v>
      </x:c>
      <x:c r="L986" s="25" t="n">
        <x:v>2000000</x:v>
      </x:c>
      <x:c r="M986" s="25" t="n">
        <x:v>0</x:v>
      </x:c>
      <x:c r="N986" s="25" t="str">
        <x:v>否</x:v>
      </x:c>
      <x:c r="O986" s="25" t="n">
        <x:v>0</x:v>
      </x:c>
      <x:c r="P986" s="25" t="n">
        <x:v>0</x:v>
      </x:c>
      <x:c r="Q986" s="25" t="n">
        <x:v>0</x:v>
      </x:c>
      <x:c r="R986" s="25" t="str">
        <x:v>洗练绑定装备；项链幸运绑定人物永久进度；武器幸运成本忽略</x:v>
      </x:c>
    </x:row>
    <x:row r="987">
      <x:c r="A987" s="25" t="str">
        <x:v>C09-G</x:v>
      </x:c>
      <x:c r="B987" s="25" t="str">
        <x:v>亚坛高原</x:v>
      </x:c>
      <x:c r="C987" s="25" t="str">
        <x:v>半急速毕业</x:v>
      </x:c>
      <x:c r="D987" s="25" t="n">
        <x:v>47</x:v>
      </x:c>
      <x:c r="E987" s="25" t="n">
        <x:v>148</x:v>
      </x:c>
      <x:c r="F987" s="25" t="str">
        <x:v>未羊·永霜引路</x:v>
      </x:c>
      <x:c r="G987" s="25" t="str">
        <x:v>生肖8</x:v>
      </x:c>
      <x:c r="H987" s="25" t="n">
        <x:v>7</x:v>
      </x:c>
      <x:c r="I987" s="25" t="str">
        <x:v>生肖合成</x:v>
      </x:c>
      <x:c r="J987" s="25" t="str">
        <x:v>S07</x:v>
      </x:c>
      <x:c r="K987" s="25" t="str">
        <x:v>470-900</x:v>
      </x:c>
      <x:c r="L987" s="25" t="n">
        <x:v>1200000</x:v>
      </x:c>
      <x:c r="M987" s="25" t="n">
        <x:v>0</x:v>
      </x:c>
      <x:c r="N987" s="25" t="str">
        <x:v>否</x:v>
      </x:c>
      <x:c r="O987" s="25" t="n">
        <x:v>0</x:v>
      </x:c>
      <x:c r="P987" s="25" t="n">
        <x:v>0</x:v>
      </x:c>
      <x:c r="Q987" s="25" t="n">
        <x:v>0</x:v>
      </x:c>
      <x:c r="R987" s="25" t="str">
        <x:v>洗练绑定装备；项链幸运绑定人物永久进度；武器幸运成本忽略</x:v>
      </x:c>
    </x:row>
    <x:row r="988">
      <x:c r="A988" s="25" t="str">
        <x:v>C09-G</x:v>
      </x:c>
      <x:c r="B988" s="25" t="str">
        <x:v>亚坛高原</x:v>
      </x:c>
      <x:c r="C988" s="25" t="str">
        <x:v>半急速毕业</x:v>
      </x:c>
      <x:c r="D988" s="25" t="n">
        <x:v>48</x:v>
      </x:c>
      <x:c r="E988" s="25" t="n">
        <x:v>81</x:v>
      </x:c>
      <x:c r="F988" s="25" t="str">
        <x:v>雷冠申猴</x:v>
      </x:c>
      <x:c r="G988" s="25" t="str">
        <x:v>生肖9</x:v>
      </x:c>
      <x:c r="H988" s="25" t="n">
        <x:v>2</x:v>
      </x:c>
      <x:c r="I988" s="25" t="str">
        <x:v>BOSS</x:v>
      </x:c>
      <x:c r="J988" s="25" t="str">
        <x:v>S02</x:v>
      </x:c>
      <x:c r="K988" s="25" t="str">
        <x:v>44-84</x:v>
      </x:c>
      <x:c r="L988" s="25" t="n">
        <x:v>59800</x:v>
      </x:c>
      <x:c r="M988" s="25" t="n">
        <x:v>0</x:v>
      </x:c>
      <x:c r="N988" s="25" t="str">
        <x:v>否</x:v>
      </x:c>
      <x:c r="O988" s="25" t="n">
        <x:v>0</x:v>
      </x:c>
      <x:c r="P988" s="25" t="n">
        <x:v>0</x:v>
      </x:c>
      <x:c r="Q988" s="25" t="n">
        <x:v>0</x:v>
      </x:c>
      <x:c r="R988" s="25" t="str">
        <x:v>洗练绑定装备；项链幸运绑定人物永久进度；武器幸运成本忽略</x:v>
      </x:c>
    </x:row>
    <x:row r="989">
      <x:c r="A989" s="25" t="str">
        <x:v>C09-G</x:v>
      </x:c>
      <x:c r="B989" s="25" t="str">
        <x:v>亚坛高原</x:v>
      </x:c>
      <x:c r="C989" s="25" t="str">
        <x:v>半急速毕业</x:v>
      </x:c>
      <x:c r="D989" s="25" t="n">
        <x:v>49</x:v>
      </x:c>
      <x:c r="E989" s="25" t="n">
        <x:v>187</x:v>
      </x:c>
      <x:c r="F989" s="25" t="str">
        <x:v>酉鸡·鎏日司晨</x:v>
      </x:c>
      <x:c r="G989" s="25" t="str">
        <x:v>生肖10</x:v>
      </x:c>
      <x:c r="H989" s="25" t="n">
        <x:v>9</x:v>
      </x:c>
      <x:c r="I989" s="25" t="str">
        <x:v>生肖合成</x:v>
      </x:c>
      <x:c r="J989" s="25" t="str">
        <x:v>S07</x:v>
      </x:c>
      <x:c r="K989" s="25" t="str">
        <x:v>1500-2800</x:v>
      </x:c>
      <x:c r="L989" s="25" t="n">
        <x:v>3600000</x:v>
      </x:c>
      <x:c r="M989" s="25" t="n">
        <x:v>0</x:v>
      </x:c>
      <x:c r="N989" s="25" t="str">
        <x:v>否</x:v>
      </x:c>
      <x:c r="O989" s="25" t="n">
        <x:v>0</x:v>
      </x:c>
      <x:c r="P989" s="25" t="n">
        <x:v>0</x:v>
      </x:c>
      <x:c r="Q989" s="25" t="n">
        <x:v>0</x:v>
      </x:c>
      <x:c r="R989" s="25" t="str">
        <x:v>洗练绑定装备；项链幸运绑定人物永久进度；武器幸运成本忽略</x:v>
      </x:c>
    </x:row>
    <x:row r="990">
      <x:c r="A990" s="25" t="str">
        <x:v>C09-G</x:v>
      </x:c>
      <x:c r="B990" s="25" t="str">
        <x:v>亚坛高原</x:v>
      </x:c>
      <x:c r="C990" s="25" t="str">
        <x:v>半急速毕业</x:v>
      </x:c>
      <x:c r="D990" s="25" t="n">
        <x:v>50</x:v>
      </x:c>
      <x:c r="E990" s="25" t="n">
        <x:v>83</x:v>
      </x:c>
      <x:c r="F990" s="25" t="str">
        <x:v>失乡戌狗</x:v>
      </x:c>
      <x:c r="G990" s="25" t="str">
        <x:v>生肖11</x:v>
      </x:c>
      <x:c r="H990" s="25" t="n">
        <x:v>2</x:v>
      </x:c>
      <x:c r="I990" s="25" t="str">
        <x:v>BOSS</x:v>
      </x:c>
      <x:c r="J990" s="25" t="str">
        <x:v>S02</x:v>
      </x:c>
      <x:c r="K990" s="25" t="str">
        <x:v>48-93</x:v>
      </x:c>
      <x:c r="L990" s="25" t="n">
        <x:v>79800</x:v>
      </x:c>
      <x:c r="M990" s="25" t="n">
        <x:v>0</x:v>
      </x:c>
      <x:c r="N990" s="25" t="str">
        <x:v>否</x:v>
      </x:c>
      <x:c r="O990" s="25" t="n">
        <x:v>0</x:v>
      </x:c>
      <x:c r="P990" s="25" t="n">
        <x:v>0</x:v>
      </x:c>
      <x:c r="Q990" s="25" t="n">
        <x:v>0</x:v>
      </x:c>
      <x:c r="R990" s="25" t="str">
        <x:v>洗练绑定装备；项链幸运绑定人物永久进度；武器幸运成本忽略</x:v>
      </x:c>
    </x:row>
    <x:row r="991">
      <x:c r="A991" s="25" t="str">
        <x:v>C09-G</x:v>
      </x:c>
      <x:c r="B991" s="25" t="str">
        <x:v>亚坛高原</x:v>
      </x:c>
      <x:c r="C991" s="25" t="str">
        <x:v>半急速毕业</x:v>
      </x:c>
      <x:c r="D991" s="25" t="n">
        <x:v>51</x:v>
      </x:c>
      <x:c r="E991" s="25" t="n">
        <x:v>84</x:v>
      </x:c>
      <x:c r="F991" s="25" t="str">
        <x:v>接肢亥猪</x:v>
      </x:c>
      <x:c r="G991" s="25" t="str">
        <x:v>生肖12</x:v>
      </x:c>
      <x:c r="H991" s="25" t="n">
        <x:v>2</x:v>
      </x:c>
      <x:c r="I991" s="25" t="str">
        <x:v>守关BOSS</x:v>
      </x:c>
      <x:c r="J991" s="25" t="str">
        <x:v>S02</x:v>
      </x:c>
      <x:c r="K991" s="25" t="str">
        <x:v>55-106</x:v>
      </x:c>
      <x:c r="L991" s="25" t="n">
        <x:v>90800</x:v>
      </x:c>
      <x:c r="M991" s="25" t="n">
        <x:v>0</x:v>
      </x:c>
      <x:c r="N991" s="25" t="str">
        <x:v>否</x:v>
      </x:c>
      <x:c r="O991" s="25" t="n">
        <x:v>0</x:v>
      </x:c>
      <x:c r="P991" s="25" t="n">
        <x:v>0</x:v>
      </x:c>
      <x:c r="Q991" s="25" t="n">
        <x:v>0</x:v>
      </x:c>
      <x:c r="R991" s="25" t="str">
        <x:v>洗练绑定装备；项链幸运绑定人物永久进度；武器幸运成本忽略</x:v>
      </x:c>
    </x:row>
    <x:row r="992">
      <x:c r="A992" s="25" t="str">
        <x:v>C09-X</x:v>
      </x:c>
      <x:c r="B992" s="25" t="str">
        <x:v>亚坛高原</x:v>
      </x:c>
      <x:c r="C992" s="25" t="str">
        <x:v>极端压力</x:v>
      </x:c>
      <x:c r="D992" s="25" t="n">
        <x:v>0</x:v>
      </x:c>
      <x:c r="E992" s="25" t="n">
        <x:v>198</x:v>
      </x:c>
      <x:c r="F992" s="25" t="str">
        <x:v>赫桑达执宪战衣</x:v>
      </x:c>
      <x:c r="G992" s="25" t="str">
        <x:v>衣服</x:v>
      </x:c>
      <x:c r="H992" s="25" t="n">
        <x:v>9</x:v>
      </x:c>
      <x:c r="I992" s="25" t="str">
        <x:v>地图BOSS</x:v>
      </x:c>
      <x:c r="J992" s="25" t="str">
        <x:v>S07</x:v>
      </x:c>
      <x:c r="K992" s="25" t="str">
        <x:v>3000-5700</x:v>
      </x:c>
      <x:c r="L992" s="25" t="n">
        <x:v>13100000</x:v>
      </x:c>
      <x:c r="M992" s="25" t="n">
        <x:v>4</x:v>
      </x:c>
      <x:c r="N992" s="25" t="str">
        <x:v>否</x:v>
      </x:c>
      <x:c r="O992" s="25" t="n">
        <x:v>0</x:v>
      </x:c>
      <x:c r="P992" s="25" t="n">
        <x:v>0</x:v>
      </x:c>
      <x:c r="Q992" s="25" t="n">
        <x:v>0</x:v>
      </x:c>
      <x:c r="R992" s="25" t="str">
        <x:v>洗练绑定装备；项链幸运绑定人物永久进度；武器幸运成本忽略</x:v>
      </x:c>
    </x:row>
    <x:row r="993">
      <x:c r="A993" s="25" t="str">
        <x:v>C09-X</x:v>
      </x:c>
      <x:c r="B993" s="25" t="str">
        <x:v>亚坛高原</x:v>
      </x:c>
      <x:c r="C993" s="25" t="str">
        <x:v>极端压力</x:v>
      </x:c>
      <x:c r="D993" s="25" t="n">
        <x:v>1</x:v>
      </x:c>
      <x:c r="E993" s="25" t="n">
        <x:v>186</x:v>
      </x:c>
      <x:c r="F993" s="25" t="str">
        <x:v>黄金律裁阳刃</x:v>
      </x:c>
      <x:c r="G993" s="25" t="str">
        <x:v>武器</x:v>
      </x:c>
      <x:c r="H993" s="25" t="n">
        <x:v>9</x:v>
      </x:c>
      <x:c r="I993" s="25" t="str">
        <x:v>装备合成</x:v>
      </x:c>
      <x:c r="J993" s="25" t="str">
        <x:v>S07</x:v>
      </x:c>
      <x:c r="K993" s="25" t="str">
        <x:v>42000-80000</x:v>
      </x:c>
      <x:c r="L993" s="25" t="n">
        <x:v>4800000</x:v>
      </x:c>
      <x:c r="M993" s="25" t="n">
        <x:v>5</x:v>
      </x:c>
      <x:c r="N993" s="25" t="str">
        <x:v>否</x:v>
      </x:c>
      <x:c r="O993" s="25" t="n">
        <x:v>7</x:v>
      </x:c>
      <x:c r="P993" s="25" t="n">
        <x:v>0</x:v>
      </x:c>
      <x:c r="Q993" s="25" t="n">
        <x:v>0</x:v>
      </x:c>
      <x:c r="R993" s="25" t="str">
        <x:v>洗练绑定装备；项链幸运绑定人物永久进度；武器幸运成本忽略</x:v>
      </x:c>
    </x:row>
    <x:row r="994">
      <x:c r="A994" s="25" t="str">
        <x:v>C09-X</x:v>
      </x:c>
      <x:c r="B994" s="25" t="str">
        <x:v>亚坛高原</x:v>
      </x:c>
      <x:c r="C994" s="25" t="str">
        <x:v>极端压力</x:v>
      </x:c>
      <x:c r="D994" s="25" t="n">
        <x:v>2</x:v>
      </x:c>
      <x:c r="E994" s="25" t="n">
        <x:v>204</x:v>
      </x:c>
      <x:c r="F994" s="25" t="str">
        <x:v>霜钟罪章</x:v>
      </x:c>
      <x:c r="G994" s="25" t="str">
        <x:v>勋章</x:v>
      </x:c>
      <x:c r="H994" s="25" t="n">
        <x:v>7</x:v>
      </x:c>
      <x:c r="I994" s="25" t="str">
        <x:v>稀有</x:v>
      </x:c>
      <x:c r="J994" s="25" t="str">
        <x:v>S07</x:v>
      </x:c>
      <x:c r="K994" s="25" t="str">
        <x:v>830-1600</x:v>
      </x:c>
      <x:c r="L994" s="25" t="n">
        <x:v>870000</x:v>
      </x:c>
      <x:c r="M994" s="25" t="n">
        <x:v>0</x:v>
      </x:c>
      <x:c r="N994" s="25" t="str">
        <x:v>否</x:v>
      </x:c>
      <x:c r="O994" s="25" t="n">
        <x:v>0</x:v>
      </x:c>
      <x:c r="P994" s="25" t="n">
        <x:v>0</x:v>
      </x:c>
      <x:c r="Q994" s="25" t="n">
        <x:v>0</x:v>
      </x:c>
      <x:c r="R994" s="25" t="str">
        <x:v>洗练绑定装备；项链幸运绑定人物永久进度；武器幸运成本忽略</x:v>
      </x:c>
    </x:row>
    <x:row r="995">
      <x:c r="A995" s="25" t="str">
        <x:v>C09-X</x:v>
      </x:c>
      <x:c r="B995" s="25" t="str">
        <x:v>亚坛高原</x:v>
      </x:c>
      <x:c r="C995" s="25" t="str">
        <x:v>极端压力</x:v>
      </x:c>
      <x:c r="D995" s="25" t="n">
        <x:v>3</x:v>
      </x:c>
      <x:c r="E995" s="25" t="n">
        <x:v>215</x:v>
      </x:c>
      <x:c r="F995" s="25" t="str">
        <x:v>巨人炉心颈环</x:v>
      </x:c>
      <x:c r="G995" s="25" t="str">
        <x:v>项链</x:v>
      </x:c>
      <x:c r="H995" s="25" t="n">
        <x:v>8</x:v>
      </x:c>
      <x:c r="I995" s="25" t="str">
        <x:v>装备合成</x:v>
      </x:c>
      <x:c r="J995" s="25" t="str">
        <x:v>S07</x:v>
      </x:c>
      <x:c r="K995" s="25" t="str">
        <x:v>3300-6300</x:v>
      </x:c>
      <x:c r="L995" s="25" t="n">
        <x:v>2700000</x:v>
      </x:c>
      <x:c r="M995" s="25" t="n">
        <x:v>4</x:v>
      </x:c>
      <x:c r="N995" s="25" t="str">
        <x:v>否</x:v>
      </x:c>
      <x:c r="O995" s="25" t="n">
        <x:v>0</x:v>
      </x:c>
      <x:c r="P995" s="25" t="n">
        <x:v>0</x:v>
      </x:c>
      <x:c r="Q995" s="25" t="n">
        <x:v>0</x:v>
      </x:c>
      <x:c r="R995" s="25" t="str">
        <x:v>洗练绑定装备；项链幸运绑定人物永久进度；武器幸运成本忽略</x:v>
      </x:c>
    </x:row>
    <x:row r="996">
      <x:c r="A996" s="25" t="str">
        <x:v>C09-X</x:v>
      </x:c>
      <x:c r="B996" s="25" t="str">
        <x:v>亚坛高原</x:v>
      </x:c>
      <x:c r="C996" s="25" t="str">
        <x:v>极端压力</x:v>
      </x:c>
      <x:c r="D996" s="25" t="n">
        <x:v>4</x:v>
      </x:c>
      <x:c r="E996" s="25" t="n">
        <x:v>218</x:v>
      </x:c>
      <x:c r="F996" s="25" t="str">
        <x:v>无面近卫盔</x:v>
      </x:c>
      <x:c r="G996" s="25" t="str">
        <x:v>头盔</x:v>
      </x:c>
      <x:c r="H996" s="25" t="n">
        <x:v>9</x:v>
      </x:c>
      <x:c r="I996" s="25" t="str">
        <x:v>稀有</x:v>
      </x:c>
      <x:c r="J996" s="25" t="str">
        <x:v>S07</x:v>
      </x:c>
      <x:c r="K996" s="25" t="str">
        <x:v>1700-3300</x:v>
      </x:c>
      <x:c r="L996" s="25" t="n">
        <x:v>4400000</x:v>
      </x:c>
      <x:c r="M996" s="25" t="n">
        <x:v>4</x:v>
      </x:c>
      <x:c r="N996" s="25" t="str">
        <x:v>否</x:v>
      </x:c>
      <x:c r="O996" s="25" t="n">
        <x:v>0</x:v>
      </x:c>
      <x:c r="P996" s="25" t="n">
        <x:v>0</x:v>
      </x:c>
      <x:c r="Q996" s="25" t="n">
        <x:v>0</x:v>
      </x:c>
      <x:c r="R996" s="25" t="str">
        <x:v>洗练绑定装备；项链幸运绑定人物永久进度；武器幸运成本忽略</x:v>
      </x:c>
    </x:row>
    <x:row r="997">
      <x:c r="A997" s="25" t="str">
        <x:v>C09-X</x:v>
      </x:c>
      <x:c r="B997" s="25" t="str">
        <x:v>亚坛高原</x:v>
      </x:c>
      <x:c r="C997" s="25" t="str">
        <x:v>极端压力</x:v>
      </x:c>
      <x:c r="D997" s="25" t="n">
        <x:v>5</x:v>
      </x:c>
      <x:c r="E997" s="25" t="n">
        <x:v>201</x:v>
      </x:c>
      <x:c r="F997" s="25" t="str">
        <x:v>熔勺婆铜镯</x:v>
      </x:c>
      <x:c r="G997" s="25" t="str">
        <x:v>手镯</x:v>
      </x:c>
      <x:c r="H997" s="25" t="n">
        <x:v>9</x:v>
      </x:c>
      <x:c r="I997" s="25" t="str">
        <x:v>稀有</x:v>
      </x:c>
      <x:c r="J997" s="25" t="str">
        <x:v>S07</x:v>
      </x:c>
      <x:c r="K997" s="25" t="str">
        <x:v>2600-5000</x:v>
      </x:c>
      <x:c r="L997" s="25" t="n">
        <x:v>2000000</x:v>
      </x:c>
      <x:c r="M997" s="25" t="n">
        <x:v>5</x:v>
      </x:c>
      <x:c r="N997" s="25" t="str">
        <x:v>否</x:v>
      </x:c>
      <x:c r="O997" s="25" t="n">
        <x:v>0</x:v>
      </x:c>
      <x:c r="P997" s="25" t="n">
        <x:v>0</x:v>
      </x:c>
      <x:c r="Q997" s="25" t="n">
        <x:v>0</x:v>
      </x:c>
      <x:c r="R997" s="25" t="str">
        <x:v>洗练绑定装备；项链幸运绑定人物永久进度；武器幸运成本忽略</x:v>
      </x:c>
    </x:row>
    <x:row r="998">
      <x:c r="A998" s="25" t="str">
        <x:v>C09-X</x:v>
      </x:c>
      <x:c r="B998" s="25" t="str">
        <x:v>亚坛高原</x:v>
      </x:c>
      <x:c r="C998" s="25" t="str">
        <x:v>极端压力</x:v>
      </x:c>
      <x:c r="D998" s="25" t="n">
        <x:v>6</x:v>
      </x:c>
      <x:c r="E998" s="25" t="n">
        <x:v>200</x:v>
      </x:c>
      <x:c r="F998" s="25" t="str">
        <x:v>熔勺婆铜镯</x:v>
      </x:c>
      <x:c r="G998" s="25" t="str">
        <x:v>手镯</x:v>
      </x:c>
      <x:c r="H998" s="25" t="n">
        <x:v>9</x:v>
      </x:c>
      <x:c r="I998" s="25" t="str">
        <x:v>稀有</x:v>
      </x:c>
      <x:c r="J998" s="25" t="str">
        <x:v>S07</x:v>
      </x:c>
      <x:c r="K998" s="25" t="str">
        <x:v>2600-5000</x:v>
      </x:c>
      <x:c r="L998" s="25" t="n">
        <x:v>2000000</x:v>
      </x:c>
      <x:c r="M998" s="25" t="n">
        <x:v>3</x:v>
      </x:c>
      <x:c r="N998" s="25" t="str">
        <x:v>否</x:v>
      </x:c>
      <x:c r="O998" s="25" t="n">
        <x:v>0</x:v>
      </x:c>
      <x:c r="P998" s="25" t="n">
        <x:v>0</x:v>
      </x:c>
      <x:c r="Q998" s="25" t="n">
        <x:v>0</x:v>
      </x:c>
      <x:c r="R998" s="25" t="str">
        <x:v>洗练绑定装备；项链幸运绑定人物永久进度；武器幸运成本忽略</x:v>
      </x:c>
    </x:row>
    <x:row r="999">
      <x:c r="A999" s="25" t="str">
        <x:v>C09-X</x:v>
      </x:c>
      <x:c r="B999" s="25" t="str">
        <x:v>亚坛高原</x:v>
      </x:c>
      <x:c r="C999" s="25" t="str">
        <x:v>极端压力</x:v>
      </x:c>
      <x:c r="D999" s="25" t="n">
        <x:v>7</x:v>
      </x:c>
      <x:c r="E999" s="25" t="n">
        <x:v>202</x:v>
      </x:c>
      <x:c r="F999" s="25" t="str">
        <x:v>守门卜者戒</x:v>
      </x:c>
      <x:c r="G999" s="25" t="str">
        <x:v>戒指</x:v>
      </x:c>
      <x:c r="H999" s="25" t="n">
        <x:v>9</x:v>
      </x:c>
      <x:c r="I999" s="25" t="str">
        <x:v>稀有</x:v>
      </x:c>
      <x:c r="J999" s="25" t="str">
        <x:v>S07</x:v>
      </x:c>
      <x:c r="K999" s="25" t="str">
        <x:v>3100-6000</x:v>
      </x:c>
      <x:c r="L999" s="25" t="n">
        <x:v>2400000</x:v>
      </x:c>
      <x:c r="M999" s="25" t="n">
        <x:v>7</x:v>
      </x:c>
      <x:c r="N999" s="25" t="str">
        <x:v>是</x:v>
      </x:c>
      <x:c r="O999" s="25" t="n">
        <x:v>0</x:v>
      </x:c>
      <x:c r="P999" s="25" t="n">
        <x:v>0</x:v>
      </x:c>
      <x:c r="Q999" s="25" t="n">
        <x:v>0</x:v>
      </x:c>
      <x:c r="R999" s="25" t="str">
        <x:v>洗练绑定装备；项链幸运绑定人物永久进度；武器幸运成本忽略</x:v>
      </x:c>
    </x:row>
    <x:row r="1000">
      <x:c r="A1000" s="25" t="str">
        <x:v>C09-X</x:v>
      </x:c>
      <x:c r="B1000" s="25" t="str">
        <x:v>亚坛高原</x:v>
      </x:c>
      <x:c r="C1000" s="25" t="str">
        <x:v>极端压力</x:v>
      </x:c>
      <x:c r="D1000" s="25" t="n">
        <x:v>8</x:v>
      </x:c>
      <x:c r="E1000" s="25" t="n">
        <x:v>221</x:v>
      </x:c>
      <x:c r="F1000" s="25" t="str">
        <x:v>守门卜者戒</x:v>
      </x:c>
      <x:c r="G1000" s="25" t="str">
        <x:v>戒指</x:v>
      </x:c>
      <x:c r="H1000" s="25" t="n">
        <x:v>9</x:v>
      </x:c>
      <x:c r="I1000" s="25" t="str">
        <x:v>稀有</x:v>
      </x:c>
      <x:c r="J1000" s="25" t="str">
        <x:v>S07</x:v>
      </x:c>
      <x:c r="K1000" s="25" t="str">
        <x:v>3100-6000</x:v>
      </x:c>
      <x:c r="L1000" s="25" t="n">
        <x:v>2400000</x:v>
      </x:c>
      <x:c r="M1000" s="25" t="n">
        <x:v>5</x:v>
      </x:c>
      <x:c r="N1000" s="25" t="str">
        <x:v>否</x:v>
      </x:c>
      <x:c r="O1000" s="25" t="n">
        <x:v>0</x:v>
      </x:c>
      <x:c r="P1000" s="25" t="n">
        <x:v>0</x:v>
      </x:c>
      <x:c r="Q1000" s="25" t="n">
        <x:v>0</x:v>
      </x:c>
      <x:c r="R1000" s="25" t="str">
        <x:v>洗练绑定装备；项链幸运绑定人物永久进度；武器幸运成本忽略</x:v>
      </x:c>
    </x:row>
    <x:row r="1001">
      <x:c r="A1001" s="25" t="str">
        <x:v>C09-X</x:v>
      </x:c>
      <x:c r="B1001" s="25" t="str">
        <x:v>亚坛高原</x:v>
      </x:c>
      <x:c r="C1001" s="25" t="str">
        <x:v>极端压力</x:v>
      </x:c>
      <x:c r="D1001" s="25" t="n">
        <x:v>10</x:v>
      </x:c>
      <x:c r="E1001" s="25" t="n">
        <x:v>206</x:v>
      </x:c>
      <x:c r="F1001" s="25" t="str">
        <x:v>百战旗官带</x:v>
      </x:c>
      <x:c r="G1001" s="25" t="str">
        <x:v>腰带</x:v>
      </x:c>
      <x:c r="H1001" s="25" t="n">
        <x:v>9</x:v>
      </x:c>
      <x:c r="I1001" s="25" t="str">
        <x:v>稀有</x:v>
      </x:c>
      <x:c r="J1001" s="25" t="str">
        <x:v>S07</x:v>
      </x:c>
      <x:c r="K1001" s="25" t="str">
        <x:v>1900-3600</x:v>
      </x:c>
      <x:c r="L1001" s="25" t="n">
        <x:v>3100000</x:v>
      </x:c>
      <x:c r="M1001" s="25" t="n">
        <x:v>6</x:v>
      </x:c>
      <x:c r="N1001" s="25" t="str">
        <x:v>否</x:v>
      </x:c>
      <x:c r="O1001" s="25" t="n">
        <x:v>0</x:v>
      </x:c>
      <x:c r="P1001" s="25" t="n">
        <x:v>0</x:v>
      </x:c>
      <x:c r="Q1001" s="25" t="n">
        <x:v>0</x:v>
      </x:c>
      <x:c r="R1001" s="25" t="str">
        <x:v>洗练绑定装备；项链幸运绑定人物永久进度；武器幸运成本忽略</x:v>
      </x:c>
    </x:row>
    <x:row r="1002">
      <x:c r="A1002" s="25" t="str">
        <x:v>C09-X</x:v>
      </x:c>
      <x:c r="B1002" s="25" t="str">
        <x:v>亚坛高原</x:v>
      </x:c>
      <x:c r="C1002" s="25" t="str">
        <x:v>极端压力</x:v>
      </x:c>
      <x:c r="D1002" s="25" t="n">
        <x:v>11</x:v>
      </x:c>
      <x:c r="E1002" s="25" t="n">
        <x:v>223</x:v>
      </x:c>
      <x:c r="F1002" s="25" t="str">
        <x:v>拾箭童疾履</x:v>
      </x:c>
      <x:c r="G1002" s="25" t="str">
        <x:v>鞋子</x:v>
      </x:c>
      <x:c r="H1002" s="25" t="n">
        <x:v>9</x:v>
      </x:c>
      <x:c r="I1002" s="25" t="str">
        <x:v>普通</x:v>
      </x:c>
      <x:c r="J1002" s="25" t="str">
        <x:v>S07</x:v>
      </x:c>
      <x:c r="K1002" s="25" t="str">
        <x:v>990-1900</x:v>
      </x:c>
      <x:c r="L1002" s="25" t="n">
        <x:v>1400000</x:v>
      </x:c>
      <x:c r="M1002" s="25" t="n">
        <x:v>4</x:v>
      </x:c>
      <x:c r="N1002" s="25" t="str">
        <x:v>否</x:v>
      </x:c>
      <x:c r="O1002" s="25" t="n">
        <x:v>0</x:v>
      </x:c>
      <x:c r="P1002" s="25" t="n">
        <x:v>0</x:v>
      </x:c>
      <x:c r="Q1002" s="25" t="n">
        <x:v>0</x:v>
      </x:c>
      <x:c r="R1002" s="25" t="str">
        <x:v>洗练绑定装备；项链幸运绑定人物永久进度；武器幸运成本忽略</x:v>
      </x:c>
    </x:row>
    <x:row r="1003">
      <x:c r="A1003" s="25" t="str">
        <x:v>C09-X</x:v>
      </x:c>
      <x:c r="B1003" s="25" t="str">
        <x:v>亚坛高原</x:v>
      </x:c>
      <x:c r="C1003" s="25" t="str">
        <x:v>极端压力</x:v>
      </x:c>
      <x:c r="D1003" s="25" t="n">
        <x:v>13</x:v>
      </x:c>
      <x:c r="E1003" s="25" t="n">
        <x:v>208</x:v>
      </x:c>
      <x:c r="F1003" s="25" t="str">
        <x:v>潜旗客灰翎笠</x:v>
      </x:c>
      <x:c r="G1003" s="25" t="str">
        <x:v>斗笠</x:v>
      </x:c>
      <x:c r="H1003" s="25" t="n">
        <x:v>9</x:v>
      </x:c>
      <x:c r="I1003" s="25" t="str">
        <x:v>稀有</x:v>
      </x:c>
      <x:c r="J1003" s="25" t="str">
        <x:v>S07</x:v>
      </x:c>
      <x:c r="K1003" s="25" t="str">
        <x:v>1500-2800</x:v>
      </x:c>
      <x:c r="L1003" s="25" t="n">
        <x:v>1800000</x:v>
      </x:c>
      <x:c r="M1003" s="25" t="n">
        <x:v>0</x:v>
      </x:c>
      <x:c r="N1003" s="25" t="str">
        <x:v>否</x:v>
      </x:c>
      <x:c r="O1003" s="25" t="n">
        <x:v>0</x:v>
      </x:c>
      <x:c r="P1003" s="25" t="n">
        <x:v>0</x:v>
      </x:c>
      <x:c r="Q1003" s="25" t="n">
        <x:v>0</x:v>
      </x:c>
      <x:c r="R1003" s="25" t="str">
        <x:v>洗练绑定装备；项链幸运绑定人物永久进度；武器幸运成本忽略</x:v>
      </x:c>
    </x:row>
    <x:row r="1004">
      <x:c r="A1004" s="25" t="str">
        <x:v>C09-X</x:v>
      </x:c>
      <x:c r="B1004" s="25" t="str">
        <x:v>亚坛高原</x:v>
      </x:c>
      <x:c r="C1004" s="25" t="str">
        <x:v>极端压力</x:v>
      </x:c>
      <x:c r="D1004" s="25" t="n">
        <x:v>16</x:v>
      </x:c>
      <x:c r="E1004" s="25" t="n">
        <x:v>164</x:v>
      </x:c>
      <x:c r="F1004" s="25" t="str">
        <x:v>吞日霜壁</x:v>
      </x:c>
      <x:c r="G1004" s="25" t="str">
        <x:v>盾牌</x:v>
      </x:c>
      <x:c r="H1004" s="25" t="n">
        <x:v>8</x:v>
      </x:c>
      <x:c r="I1004" s="25" t="str">
        <x:v>装备合成</x:v>
      </x:c>
      <x:c r="J1004" s="25" t="str">
        <x:v>S07</x:v>
      </x:c>
      <x:c r="K1004" s="25" t="str">
        <x:v>2800-5400</x:v>
      </x:c>
      <x:c r="L1004" s="25" t="n">
        <x:v>7700000</x:v>
      </x:c>
      <x:c r="M1004" s="25" t="n">
        <x:v>0</x:v>
      </x:c>
      <x:c r="N1004" s="25" t="str">
        <x:v>否</x:v>
      </x:c>
      <x:c r="O1004" s="25" t="n">
        <x:v>0</x:v>
      </x:c>
      <x:c r="P1004" s="25" t="n">
        <x:v>0</x:v>
      </x:c>
      <x:c r="Q1004" s="25" t="n">
        <x:v>0</x:v>
      </x:c>
      <x:c r="R1004" s="25" t="str">
        <x:v>洗练绑定装备；项链幸运绑定人物永久进度；武器幸运成本忽略</x:v>
      </x:c>
    </x:row>
    <x:row r="1005">
      <x:c r="A1005" s="25" t="str">
        <x:v>C09-X</x:v>
      </x:c>
      <x:c r="B1005" s="25" t="str">
        <x:v>亚坛高原</x:v>
      </x:c>
      <x:c r="C1005" s="25" t="str">
        <x:v>极端压力</x:v>
      </x:c>
      <x:c r="D1005" s="25" t="n">
        <x:v>18</x:v>
      </x:c>
      <x:c r="E1005" s="25" t="n">
        <x:v>212</x:v>
      </x:c>
      <x:c r="F1005" s="25" t="str">
        <x:v>鎏日王仪战衣</x:v>
      </x:c>
      <x:c r="G1005" s="25" t="str">
        <x:v>时装衣服</x:v>
      </x:c>
      <x:c r="H1005" s="25" t="n">
        <x:v>9</x:v>
      </x:c>
      <x:c r="I1005" s="25" t="str">
        <x:v>装备合成</x:v>
      </x:c>
      <x:c r="J1005" s="25" t="str">
        <x:v>S07</x:v>
      </x:c>
      <x:c r="K1005" s="25" t="str">
        <x:v>4600-8800</x:v>
      </x:c>
      <x:c r="L1005" s="25" t="n">
        <x:v>29000000</x:v>
      </x:c>
      <x:c r="M1005" s="25" t="n">
        <x:v>0</x:v>
      </x:c>
      <x:c r="N1005" s="25" t="str">
        <x:v>否</x:v>
      </x:c>
      <x:c r="O1005" s="25" t="n">
        <x:v>0</x:v>
      </x:c>
      <x:c r="P1005" s="25" t="n">
        <x:v>0</x:v>
      </x:c>
      <x:c r="Q1005" s="25" t="n">
        <x:v>0</x:v>
      </x:c>
      <x:c r="R1005" s="25" t="str">
        <x:v>洗练绑定装备；项链幸运绑定人物永久进度；武器幸运成本忽略</x:v>
      </x:c>
    </x:row>
    <x:row r="1006">
      <x:c r="A1006" s="25" t="str">
        <x:v>C09-X</x:v>
      </x:c>
      <x:c r="B1006" s="25" t="str">
        <x:v>亚坛高原</x:v>
      </x:c>
      <x:c r="C1006" s="25" t="str">
        <x:v>极端压力</x:v>
      </x:c>
      <x:c r="D1006" s="25" t="n">
        <x:v>19</x:v>
      </x:c>
      <x:c r="E1006" s="25" t="n">
        <x:v>147</x:v>
      </x:c>
      <x:c r="F1006" s="25" t="str">
        <x:v>永霜白金刃</x:v>
      </x:c>
      <x:c r="G1006" s="25" t="str">
        <x:v>时装武器</x:v>
      </x:c>
      <x:c r="H1006" s="25" t="n">
        <x:v>7</x:v>
      </x:c>
      <x:c r="I1006" s="25" t="str">
        <x:v>装备合成</x:v>
      </x:c>
      <x:c r="J1006" s="25" t="str">
        <x:v>S07</x:v>
      </x:c>
      <x:c r="K1006" s="25" t="str">
        <x:v>4800-9200</x:v>
      </x:c>
      <x:c r="L1006" s="25" t="n">
        <x:v>1700000</x:v>
      </x:c>
      <x:c r="M1006" s="25" t="n">
        <x:v>0</x:v>
      </x:c>
      <x:c r="N1006" s="25" t="str">
        <x:v>否</x:v>
      </x:c>
      <x:c r="O1006" s="25" t="n">
        <x:v>0</x:v>
      </x:c>
      <x:c r="P1006" s="25" t="n">
        <x:v>0</x:v>
      </x:c>
      <x:c r="Q1006" s="25" t="n">
        <x:v>0</x:v>
      </x:c>
      <x:c r="R1006" s="25" t="str">
        <x:v>洗练绑定装备；项链幸运绑定人物永久进度；武器幸运成本忽略</x:v>
      </x:c>
    </x:row>
    <x:row r="1007">
      <x:c r="A1007" s="25" t="str">
        <x:v>C09-X</x:v>
      </x:c>
      <x:c r="B1007" s="25" t="str">
        <x:v>亚坛高原</x:v>
      </x:c>
      <x:c r="C1007" s="25" t="str">
        <x:v>极端压力</x:v>
      </x:c>
      <x:c r="D1007" s="25" t="n">
        <x:v>20</x:v>
      </x:c>
      <x:c r="E1007" s="25" t="n">
        <x:v>40</x:v>
      </x:c>
      <x:c r="F1007" s="25" t="str">
        <x:v>英雄余誓</x:v>
      </x:c>
      <x:c r="G1007" s="25" t="str">
        <x:v>时装项链</x:v>
      </x:c>
      <x:c r="H1007" s="25" t="n">
        <x:v>2</x:v>
      </x:c>
      <x:c r="I1007" s="25" t="str">
        <x:v>稀有</x:v>
      </x:c>
      <x:c r="J1007" s="25" t="str">
        <x:v>S02</x:v>
      </x:c>
      <x:c r="K1007" s="25" t="str">
        <x:v>31-60</x:v>
      </x:c>
      <x:c r="L1007" s="25" t="n">
        <x:v>17900</x:v>
      </x:c>
      <x:c r="M1007" s="25" t="n">
        <x:v>0</x:v>
      </x:c>
      <x:c r="N1007" s="25" t="str">
        <x:v>否</x:v>
      </x:c>
      <x:c r="O1007" s="25" t="n">
        <x:v>0</x:v>
      </x:c>
      <x:c r="P1007" s="25" t="n">
        <x:v>0</x:v>
      </x:c>
      <x:c r="Q1007" s="25" t="n">
        <x:v>0</x:v>
      </x:c>
      <x:c r="R1007" s="25" t="str">
        <x:v>洗练绑定装备；项链幸运绑定人物永久进度；武器幸运成本忽略</x:v>
      </x:c>
    </x:row>
    <x:row r="1008">
      <x:c r="A1008" s="25" t="str">
        <x:v>C09-X</x:v>
      </x:c>
      <x:c r="B1008" s="25" t="str">
        <x:v>亚坛高原</x:v>
      </x:c>
      <x:c r="C1008" s="25" t="str">
        <x:v>极端压力</x:v>
      </x:c>
      <x:c r="D1008" s="25" t="n">
        <x:v>21</x:v>
      </x:c>
      <x:c r="E1008" s="25" t="n">
        <x:v>209</x:v>
      </x:c>
      <x:c r="F1008" s="25" t="str">
        <x:v>鹰主风冠</x:v>
      </x:c>
      <x:c r="G1008" s="25" t="str">
        <x:v>时装头盔</x:v>
      </x:c>
      <x:c r="H1008" s="25" t="n">
        <x:v>2</x:v>
      </x:c>
      <x:c r="I1008" s="25" t="str">
        <x:v>稀有</x:v>
      </x:c>
      <x:c r="J1008" s="25" t="str">
        <x:v>S02</x:v>
      </x:c>
      <x:c r="K1008" s="25" t="str">
        <x:v>33-63</x:v>
      </x:c>
      <x:c r="L1008" s="25" t="n">
        <x:v>78400</x:v>
      </x:c>
      <x:c r="M1008" s="25" t="n">
        <x:v>0</x:v>
      </x:c>
      <x:c r="N1008" s="25" t="str">
        <x:v>否</x:v>
      </x:c>
      <x:c r="O1008" s="25" t="n">
        <x:v>0</x:v>
      </x:c>
      <x:c r="P1008" s="25" t="n">
        <x:v>0</x:v>
      </x:c>
      <x:c r="Q1008" s="25" t="n">
        <x:v>0</x:v>
      </x:c>
      <x:c r="R1008" s="25" t="str">
        <x:v>洗练绑定装备；项链幸运绑定人物永久进度；武器幸运成本忽略</x:v>
      </x:c>
    </x:row>
    <x:row r="1009">
      <x:c r="A1009" s="25" t="str">
        <x:v>C09-X</x:v>
      </x:c>
      <x:c r="B1009" s="25" t="str">
        <x:v>亚坛高原</x:v>
      </x:c>
      <x:c r="C1009" s="25" t="str">
        <x:v>极端压力</x:v>
      </x:c>
      <x:c r="D1009" s="25" t="n">
        <x:v>22</x:v>
      </x:c>
      <x:c r="E1009" s="25" t="n">
        <x:v>42</x:v>
      </x:c>
      <x:c r="F1009" s="25" t="str">
        <x:v>卢恩血镯</x:v>
      </x:c>
      <x:c r="G1009" s="25" t="str">
        <x:v>时装手镯</x:v>
      </x:c>
      <x:c r="H1009" s="25" t="n">
        <x:v>2</x:v>
      </x:c>
      <x:c r="I1009" s="25" t="str">
        <x:v>稀有</x:v>
      </x:c>
      <x:c r="J1009" s="25" t="str">
        <x:v>S02</x:v>
      </x:c>
      <x:c r="K1009" s="25" t="str">
        <x:v>42-80</x:v>
      </x:c>
      <x:c r="L1009" s="25" t="n">
        <x:v>34400</x:v>
      </x:c>
      <x:c r="M1009" s="25" t="n">
        <x:v>0</x:v>
      </x:c>
      <x:c r="N1009" s="25" t="str">
        <x:v>否</x:v>
      </x:c>
      <x:c r="O1009" s="25" t="n">
        <x:v>0</x:v>
      </x:c>
      <x:c r="P1009" s="25" t="n">
        <x:v>0</x:v>
      </x:c>
      <x:c r="Q1009" s="25" t="n">
        <x:v>0</x:v>
      </x:c>
      <x:c r="R1009" s="25" t="str">
        <x:v>洗练绑定装备；项链幸运绑定人物永久进度；武器幸运成本忽略</x:v>
      </x:c>
    </x:row>
    <x:row r="1010">
      <x:c r="A1010" s="25" t="str">
        <x:v>C09-X</x:v>
      </x:c>
      <x:c r="B1010" s="25" t="str">
        <x:v>亚坛高原</x:v>
      </x:c>
      <x:c r="C1010" s="25" t="str">
        <x:v>极端压力</x:v>
      </x:c>
      <x:c r="D1010" s="25" t="n">
        <x:v>23</x:v>
      </x:c>
      <x:c r="E1010" s="25" t="n">
        <x:v>210</x:v>
      </x:c>
      <x:c r="F1010" s="25" t="str">
        <x:v>卢恩血镯</x:v>
      </x:c>
      <x:c r="G1010" s="25" t="str">
        <x:v>时装手镯</x:v>
      </x:c>
      <x:c r="H1010" s="25" t="n">
        <x:v>2</x:v>
      </x:c>
      <x:c r="I1010" s="25" t="str">
        <x:v>稀有</x:v>
      </x:c>
      <x:c r="J1010" s="25" t="str">
        <x:v>S02</x:v>
      </x:c>
      <x:c r="K1010" s="25" t="str">
        <x:v>42-80</x:v>
      </x:c>
      <x:c r="L1010" s="25" t="n">
        <x:v>34400</x:v>
      </x:c>
      <x:c r="M1010" s="25" t="n">
        <x:v>0</x:v>
      </x:c>
      <x:c r="N1010" s="25" t="str">
        <x:v>否</x:v>
      </x:c>
      <x:c r="O1010" s="25" t="n">
        <x:v>0</x:v>
      </x:c>
      <x:c r="P1010" s="25" t="n">
        <x:v>0</x:v>
      </x:c>
      <x:c r="Q1010" s="25" t="n">
        <x:v>0</x:v>
      </x:c>
      <x:c r="R1010" s="25" t="str">
        <x:v>洗练绑定装备；项链幸运绑定人物永久进度；武器幸运成本忽略</x:v>
      </x:c>
    </x:row>
    <x:row r="1011">
      <x:c r="A1011" s="25" t="str">
        <x:v>C09-X</x:v>
      </x:c>
      <x:c r="B1011" s="25" t="str">
        <x:v>亚坛高原</x:v>
      </x:c>
      <x:c r="C1011" s="25" t="str">
        <x:v>极端压力</x:v>
      </x:c>
      <x:c r="D1011" s="25" t="n">
        <x:v>24</x:v>
      </x:c>
      <x:c r="E1011" s="25" t="n">
        <x:v>214</x:v>
      </x:c>
      <x:c r="F1011" s="25" t="str">
        <x:v>辉月镜戒</x:v>
      </x:c>
      <x:c r="G1011" s="25" t="str">
        <x:v>时装戒指</x:v>
      </x:c>
      <x:c r="H1011" s="25" t="n">
        <x:v>5</x:v>
      </x:c>
      <x:c r="I1011" s="25" t="str">
        <x:v>装备合成</x:v>
      </x:c>
      <x:c r="J1011" s="25" t="str">
        <x:v>S07</x:v>
      </x:c>
      <x:c r="K1011" s="25" t="str">
        <x:v>570-1100</x:v>
      </x:c>
      <x:c r="L1011" s="25" t="n">
        <x:v>550000</x:v>
      </x:c>
      <x:c r="M1011" s="25" t="n">
        <x:v>0</x:v>
      </x:c>
      <x:c r="N1011" s="25" t="str">
        <x:v>否</x:v>
      </x:c>
      <x:c r="O1011" s="25" t="n">
        <x:v>0</x:v>
      </x:c>
      <x:c r="P1011" s="25" t="n">
        <x:v>0</x:v>
      </x:c>
      <x:c r="Q1011" s="25" t="n">
        <x:v>0</x:v>
      </x:c>
      <x:c r="R1011" s="25" t="str">
        <x:v>洗练绑定装备；项链幸运绑定人物永久进度；武器幸运成本忽略</x:v>
      </x:c>
    </x:row>
    <x:row r="1012">
      <x:c r="A1012" s="25" t="str">
        <x:v>C09-X</x:v>
      </x:c>
      <x:c r="B1012" s="25" t="str">
        <x:v>亚坛高原</x:v>
      </x:c>
      <x:c r="C1012" s="25" t="str">
        <x:v>极端压力</x:v>
      </x:c>
      <x:c r="D1012" s="25" t="n">
        <x:v>25</x:v>
      </x:c>
      <x:c r="E1012" s="25" t="n">
        <x:v>211</x:v>
      </x:c>
      <x:c r="F1012" s="25" t="str">
        <x:v>黄金树戒</x:v>
      </x:c>
      <x:c r="G1012" s="25" t="str">
        <x:v>时装戒指</x:v>
      </x:c>
      <x:c r="H1012" s="25" t="n">
        <x:v>2</x:v>
      </x:c>
      <x:c r="I1012" s="25" t="str">
        <x:v>稀有</x:v>
      </x:c>
      <x:c r="J1012" s="25" t="str">
        <x:v>S02</x:v>
      </x:c>
      <x:c r="K1012" s="25" t="str">
        <x:v>42-80</x:v>
      </x:c>
      <x:c r="L1012" s="25" t="n">
        <x:v>34400</x:v>
      </x:c>
      <x:c r="M1012" s="25" t="n">
        <x:v>0</x:v>
      </x:c>
      <x:c r="N1012" s="25" t="str">
        <x:v>否</x:v>
      </x:c>
      <x:c r="O1012" s="25" t="n">
        <x:v>0</x:v>
      </x:c>
      <x:c r="P1012" s="25" t="n">
        <x:v>0</x:v>
      </x:c>
      <x:c r="Q1012" s="25" t="n">
        <x:v>0</x:v>
      </x:c>
      <x:c r="R1012" s="25" t="str">
        <x:v>洗练绑定装备；项链幸运绑定人物永久进度；武器幸运成本忽略</x:v>
      </x:c>
    </x:row>
    <x:row r="1013">
      <x:c r="A1013" s="25" t="str">
        <x:v>C09-X</x:v>
      </x:c>
      <x:c r="B1013" s="25" t="str">
        <x:v>亚坛高原</x:v>
      </x:c>
      <x:c r="C1013" s="25" t="str">
        <x:v>极端压力</x:v>
      </x:c>
      <x:c r="D1013" s="25" t="n">
        <x:v>40</x:v>
      </x:c>
      <x:c r="E1013" s="25" t="n">
        <x:v>44</x:v>
      </x:c>
      <x:c r="F1013" s="25" t="str">
        <x:v>腐树子鼠</x:v>
      </x:c>
      <x:c r="G1013" s="25" t="str">
        <x:v>生肖1</x:v>
      </x:c>
      <x:c r="H1013" s="25" t="n">
        <x:v>2</x:v>
      </x:c>
      <x:c r="I1013" s="25" t="str">
        <x:v>BOSS</x:v>
      </x:c>
      <x:c r="J1013" s="25" t="str">
        <x:v>S02</x:v>
      </x:c>
      <x:c r="K1013" s="25" t="str">
        <x:v>29-56</x:v>
      </x:c>
      <x:c r="L1013" s="25" t="n">
        <x:v>23600</x:v>
      </x:c>
      <x:c r="M1013" s="25" t="n">
        <x:v>0</x:v>
      </x:c>
      <x:c r="N1013" s="25" t="str">
        <x:v>否</x:v>
      </x:c>
      <x:c r="O1013" s="25" t="n">
        <x:v>0</x:v>
      </x:c>
      <x:c r="P1013" s="25" t="n">
        <x:v>0</x:v>
      </x:c>
      <x:c r="Q1013" s="25" t="n">
        <x:v>0</x:v>
      </x:c>
      <x:c r="R1013" s="25" t="str">
        <x:v>洗练绑定装备；项链幸运绑定人物永久进度；武器幸运成本忽略</x:v>
      </x:c>
    </x:row>
    <x:row r="1014">
      <x:c r="A1014" s="25" t="str">
        <x:v>C09-X</x:v>
      </x:c>
      <x:c r="B1014" s="25" t="str">
        <x:v>亚坛高原</x:v>
      </x:c>
      <x:c r="C1014" s="25" t="str">
        <x:v>极端压力</x:v>
      </x:c>
      <x:c r="D1014" s="25" t="n">
        <x:v>41</x:v>
      </x:c>
      <x:c r="E1014" s="25" t="n">
        <x:v>69</x:v>
      </x:c>
      <x:c r="F1014" s="25" t="str">
        <x:v>丑牛·风暴负山</x:v>
      </x:c>
      <x:c r="G1014" s="25" t="str">
        <x:v>生肖2</x:v>
      </x:c>
      <x:c r="H1014" s="25" t="n">
        <x:v>2</x:v>
      </x:c>
      <x:c r="I1014" s="25" t="str">
        <x:v>生肖合成</x:v>
      </x:c>
      <x:c r="J1014" s="25" t="str">
        <x:v>S07</x:v>
      </x:c>
      <x:c r="K1014" s="25" t="str">
        <x:v>25-49</x:v>
      </x:c>
      <x:c r="L1014" s="25" t="n">
        <x:v>64000</x:v>
      </x:c>
      <x:c r="M1014" s="25" t="n">
        <x:v>0</x:v>
      </x:c>
      <x:c r="N1014" s="25" t="str">
        <x:v>否</x:v>
      </x:c>
      <x:c r="O1014" s="25" t="n">
        <x:v>0</x:v>
      </x:c>
      <x:c r="P1014" s="25" t="n">
        <x:v>0</x:v>
      </x:c>
      <x:c r="Q1014" s="25" t="n">
        <x:v>0</x:v>
      </x:c>
      <x:c r="R1014" s="25" t="str">
        <x:v>洗练绑定装备；项链幸运绑定人物永久进度；武器幸运成本忽略</x:v>
      </x:c>
    </x:row>
    <x:row r="1015">
      <x:c r="A1015" s="25" t="str">
        <x:v>C09-X</x:v>
      </x:c>
      <x:c r="B1015" s="25" t="str">
        <x:v>亚坛高原</x:v>
      </x:c>
      <x:c r="C1015" s="25" t="str">
        <x:v>极端压力</x:v>
      </x:c>
      <x:c r="D1015" s="25" t="n">
        <x:v>42</x:v>
      </x:c>
      <x:c r="E1015" s="25" t="n">
        <x:v>138</x:v>
      </x:c>
      <x:c r="F1015" s="25" t="str">
        <x:v>寅虎·红狮焚原</x:v>
      </x:c>
      <x:c r="G1015" s="25" t="str">
        <x:v>生肖3</x:v>
      </x:c>
      <x:c r="H1015" s="25" t="n">
        <x:v>6</x:v>
      </x:c>
      <x:c r="I1015" s="25" t="str">
        <x:v>生肖合成</x:v>
      </x:c>
      <x:c r="J1015" s="25" t="str">
        <x:v>S07</x:v>
      </x:c>
      <x:c r="K1015" s="25" t="str">
        <x:v>250-490</x:v>
      </x:c>
      <x:c r="L1015" s="25" t="n">
        <x:v>640000</x:v>
      </x:c>
      <x:c r="M1015" s="25" t="n">
        <x:v>0</x:v>
      </x:c>
      <x:c r="N1015" s="25" t="str">
        <x:v>否</x:v>
      </x:c>
      <x:c r="O1015" s="25" t="n">
        <x:v>0</x:v>
      </x:c>
      <x:c r="P1015" s="25" t="n">
        <x:v>0</x:v>
      </x:c>
      <x:c r="Q1015" s="25" t="n">
        <x:v>0</x:v>
      </x:c>
      <x:c r="R1015" s="25" t="str">
        <x:v>洗练绑定装备；项链幸运绑定人物永久进度；武器幸运成本忽略</x:v>
      </x:c>
    </x:row>
    <x:row r="1016">
      <x:c r="A1016" s="25" t="str">
        <x:v>C09-X</x:v>
      </x:c>
      <x:c r="B1016" s="25" t="str">
        <x:v>亚坛高原</x:v>
      </x:c>
      <x:c r="C1016" s="25" t="str">
        <x:v>极端压力</x:v>
      </x:c>
      <x:c r="D1016" s="25" t="n">
        <x:v>43</x:v>
      </x:c>
      <x:c r="E1016" s="25" t="n">
        <x:v>127</x:v>
      </x:c>
      <x:c r="F1016" s="25" t="str">
        <x:v>卯兔·镜月折辉</x:v>
      </x:c>
      <x:c r="G1016" s="25" t="str">
        <x:v>生肖4</x:v>
      </x:c>
      <x:c r="H1016" s="25" t="n">
        <x:v>5</x:v>
      </x:c>
      <x:c r="I1016" s="25" t="str">
        <x:v>生肖合成</x:v>
      </x:c>
      <x:c r="J1016" s="25" t="str">
        <x:v>S07</x:v>
      </x:c>
      <x:c r="K1016" s="25" t="str">
        <x:v>150-280</x:v>
      </x:c>
      <x:c r="L1016" s="25" t="n">
        <x:v>360000</x:v>
      </x:c>
      <x:c r="M1016" s="25" t="n">
        <x:v>0</x:v>
      </x:c>
      <x:c r="N1016" s="25" t="str">
        <x:v>否</x:v>
      </x:c>
      <x:c r="O1016" s="25" t="n">
        <x:v>0</x:v>
      </x:c>
      <x:c r="P1016" s="25" t="n">
        <x:v>0</x:v>
      </x:c>
      <x:c r="Q1016" s="25" t="n">
        <x:v>0</x:v>
      </x:c>
      <x:c r="R1016" s="25" t="str">
        <x:v>洗练绑定装备；项链幸运绑定人物永久进度；武器幸运成本忽略</x:v>
      </x:c>
    </x:row>
    <x:row r="1017">
      <x:c r="A1017" s="25" t="str">
        <x:v>C09-X</x:v>
      </x:c>
      <x:c r="B1017" s="25" t="str">
        <x:v>亚坛高原</x:v>
      </x:c>
      <x:c r="C1017" s="25" t="str">
        <x:v>极端压力</x:v>
      </x:c>
      <x:c r="D1017" s="25" t="n">
        <x:v>44</x:v>
      </x:c>
      <x:c r="E1017" s="25" t="n">
        <x:v>91</x:v>
      </x:c>
      <x:c r="F1017" s="25" t="str">
        <x:v>辰龙·荒原逐风</x:v>
      </x:c>
      <x:c r="G1017" s="25" t="str">
        <x:v>生肖5</x:v>
      </x:c>
      <x:c r="H1017" s="25" t="n">
        <x:v>3</x:v>
      </x:c>
      <x:c r="I1017" s="25" t="str">
        <x:v>生肖合成</x:v>
      </x:c>
      <x:c r="J1017" s="25" t="str">
        <x:v>S07</x:v>
      </x:c>
      <x:c r="K1017" s="25" t="str">
        <x:v>47-90</x:v>
      </x:c>
      <x:c r="L1017" s="25" t="n">
        <x:v>120000</x:v>
      </x:c>
      <x:c r="M1017" s="25" t="n">
        <x:v>0</x:v>
      </x:c>
      <x:c r="N1017" s="25" t="str">
        <x:v>否</x:v>
      </x:c>
      <x:c r="O1017" s="25" t="n">
        <x:v>0</x:v>
      </x:c>
      <x:c r="P1017" s="25" t="n">
        <x:v>0</x:v>
      </x:c>
      <x:c r="Q1017" s="25" t="n">
        <x:v>0</x:v>
      </x:c>
      <x:c r="R1017" s="25" t="str">
        <x:v>洗练绑定装备；项链幸运绑定人物永久进度；武器幸运成本忽略</x:v>
      </x:c>
    </x:row>
    <x:row r="1018">
      <x:c r="A1018" s="25" t="str">
        <x:v>C09-X</x:v>
      </x:c>
      <x:c r="B1018" s="25" t="str">
        <x:v>亚坛高原</x:v>
      </x:c>
      <x:c r="C1018" s="25" t="str">
        <x:v>极端压力</x:v>
      </x:c>
      <x:c r="D1018" s="25" t="n">
        <x:v>45</x:v>
      </x:c>
      <x:c r="E1018" s="25" t="n">
        <x:v>107</x:v>
      </x:c>
      <x:c r="F1018" s="25" t="str">
        <x:v>巳蛇·沉潮缚月</x:v>
      </x:c>
      <x:c r="G1018" s="25" t="str">
        <x:v>生肖6</x:v>
      </x:c>
      <x:c r="H1018" s="25" t="n">
        <x:v>4</x:v>
      </x:c>
      <x:c r="I1018" s="25" t="str">
        <x:v>生肖合成</x:v>
      </x:c>
      <x:c r="J1018" s="25" t="str">
        <x:v>S07</x:v>
      </x:c>
      <x:c r="K1018" s="25" t="str">
        <x:v>83-160</x:v>
      </x:c>
      <x:c r="L1018" s="25" t="n">
        <x:v>200000</x:v>
      </x:c>
      <x:c r="M1018" s="25" t="n">
        <x:v>0</x:v>
      </x:c>
      <x:c r="N1018" s="25" t="str">
        <x:v>否</x:v>
      </x:c>
      <x:c r="O1018" s="25" t="n">
        <x:v>0</x:v>
      </x:c>
      <x:c r="P1018" s="25" t="n">
        <x:v>0</x:v>
      </x:c>
      <x:c r="Q1018" s="25" t="n">
        <x:v>0</x:v>
      </x:c>
      <x:c r="R1018" s="25" t="str">
        <x:v>洗练绑定装备；项链幸运绑定人物永久进度；武器幸运成本忽略</x:v>
      </x:c>
    </x:row>
    <x:row r="1019">
      <x:c r="A1019" s="25" t="str">
        <x:v>C09-X</x:v>
      </x:c>
      <x:c r="B1019" s="25" t="str">
        <x:v>亚坛高原</x:v>
      </x:c>
      <x:c r="C1019" s="25" t="str">
        <x:v>极端压力</x:v>
      </x:c>
      <x:c r="D1019" s="25" t="n">
        <x:v>46</x:v>
      </x:c>
      <x:c r="E1019" s="25" t="n">
        <x:v>165</x:v>
      </x:c>
      <x:c r="F1019" s="25" t="str">
        <x:v>午马·霜脊踏天</x:v>
      </x:c>
      <x:c r="G1019" s="25" t="str">
        <x:v>生肖7</x:v>
      </x:c>
      <x:c r="H1019" s="25" t="n">
        <x:v>8</x:v>
      </x:c>
      <x:c r="I1019" s="25" t="str">
        <x:v>生肖合成</x:v>
      </x:c>
      <x:c r="J1019" s="25" t="str">
        <x:v>S07</x:v>
      </x:c>
      <x:c r="K1019" s="25" t="str">
        <x:v>830-1600</x:v>
      </x:c>
      <x:c r="L1019" s="25" t="n">
        <x:v>2000000</x:v>
      </x:c>
      <x:c r="M1019" s="25" t="n">
        <x:v>0</x:v>
      </x:c>
      <x:c r="N1019" s="25" t="str">
        <x:v>否</x:v>
      </x:c>
      <x:c r="O1019" s="25" t="n">
        <x:v>0</x:v>
      </x:c>
      <x:c r="P1019" s="25" t="n">
        <x:v>0</x:v>
      </x:c>
      <x:c r="Q1019" s="25" t="n">
        <x:v>0</x:v>
      </x:c>
      <x:c r="R1019" s="25" t="str">
        <x:v>洗练绑定装备；项链幸运绑定人物永久进度；武器幸运成本忽略</x:v>
      </x:c>
    </x:row>
    <x:row r="1020">
      <x:c r="A1020" s="25" t="str">
        <x:v>C09-X</x:v>
      </x:c>
      <x:c r="B1020" s="25" t="str">
        <x:v>亚坛高原</x:v>
      </x:c>
      <x:c r="C1020" s="25" t="str">
        <x:v>极端压力</x:v>
      </x:c>
      <x:c r="D1020" s="25" t="n">
        <x:v>47</x:v>
      </x:c>
      <x:c r="E1020" s="25" t="n">
        <x:v>148</x:v>
      </x:c>
      <x:c r="F1020" s="25" t="str">
        <x:v>未羊·永霜引路</x:v>
      </x:c>
      <x:c r="G1020" s="25" t="str">
        <x:v>生肖8</x:v>
      </x:c>
      <x:c r="H1020" s="25" t="n">
        <x:v>7</x:v>
      </x:c>
      <x:c r="I1020" s="25" t="str">
        <x:v>生肖合成</x:v>
      </x:c>
      <x:c r="J1020" s="25" t="str">
        <x:v>S07</x:v>
      </x:c>
      <x:c r="K1020" s="25" t="str">
        <x:v>470-900</x:v>
      </x:c>
      <x:c r="L1020" s="25" t="n">
        <x:v>1200000</x:v>
      </x:c>
      <x:c r="M1020" s="25" t="n">
        <x:v>0</x:v>
      </x:c>
      <x:c r="N1020" s="25" t="str">
        <x:v>否</x:v>
      </x:c>
      <x:c r="O1020" s="25" t="n">
        <x:v>0</x:v>
      </x:c>
      <x:c r="P1020" s="25" t="n">
        <x:v>0</x:v>
      </x:c>
      <x:c r="Q1020" s="25" t="n">
        <x:v>0</x:v>
      </x:c>
      <x:c r="R1020" s="25" t="str">
        <x:v>洗练绑定装备；项链幸运绑定人物永久进度；武器幸运成本忽略</x:v>
      </x:c>
    </x:row>
    <x:row r="1021">
      <x:c r="A1021" s="25" t="str">
        <x:v>C09-X</x:v>
      </x:c>
      <x:c r="B1021" s="25" t="str">
        <x:v>亚坛高原</x:v>
      </x:c>
      <x:c r="C1021" s="25" t="str">
        <x:v>极端压力</x:v>
      </x:c>
      <x:c r="D1021" s="25" t="n">
        <x:v>48</x:v>
      </x:c>
      <x:c r="E1021" s="25" t="n">
        <x:v>81</x:v>
      </x:c>
      <x:c r="F1021" s="25" t="str">
        <x:v>雷冠申猴</x:v>
      </x:c>
      <x:c r="G1021" s="25" t="str">
        <x:v>生肖9</x:v>
      </x:c>
      <x:c r="H1021" s="25" t="n">
        <x:v>2</x:v>
      </x:c>
      <x:c r="I1021" s="25" t="str">
        <x:v>BOSS</x:v>
      </x:c>
      <x:c r="J1021" s="25" t="str">
        <x:v>S02</x:v>
      </x:c>
      <x:c r="K1021" s="25" t="str">
        <x:v>44-84</x:v>
      </x:c>
      <x:c r="L1021" s="25" t="n">
        <x:v>59800</x:v>
      </x:c>
      <x:c r="M1021" s="25" t="n">
        <x:v>0</x:v>
      </x:c>
      <x:c r="N1021" s="25" t="str">
        <x:v>否</x:v>
      </x:c>
      <x:c r="O1021" s="25" t="n">
        <x:v>0</x:v>
      </x:c>
      <x:c r="P1021" s="25" t="n">
        <x:v>0</x:v>
      </x:c>
      <x:c r="Q1021" s="25" t="n">
        <x:v>0</x:v>
      </x:c>
      <x:c r="R1021" s="25" t="str">
        <x:v>洗练绑定装备；项链幸运绑定人物永久进度；武器幸运成本忽略</x:v>
      </x:c>
    </x:row>
    <x:row r="1022">
      <x:c r="A1022" s="25" t="str">
        <x:v>C09-X</x:v>
      </x:c>
      <x:c r="B1022" s="25" t="str">
        <x:v>亚坛高原</x:v>
      </x:c>
      <x:c r="C1022" s="25" t="str">
        <x:v>极端压力</x:v>
      </x:c>
      <x:c r="D1022" s="25" t="n">
        <x:v>49</x:v>
      </x:c>
      <x:c r="E1022" s="25" t="n">
        <x:v>187</x:v>
      </x:c>
      <x:c r="F1022" s="25" t="str">
        <x:v>酉鸡·鎏日司晨</x:v>
      </x:c>
      <x:c r="G1022" s="25" t="str">
        <x:v>生肖10</x:v>
      </x:c>
      <x:c r="H1022" s="25" t="n">
        <x:v>9</x:v>
      </x:c>
      <x:c r="I1022" s="25" t="str">
        <x:v>生肖合成</x:v>
      </x:c>
      <x:c r="J1022" s="25" t="str">
        <x:v>S07</x:v>
      </x:c>
      <x:c r="K1022" s="25" t="str">
        <x:v>1500-2800</x:v>
      </x:c>
      <x:c r="L1022" s="25" t="n">
        <x:v>3600000</x:v>
      </x:c>
      <x:c r="M1022" s="25" t="n">
        <x:v>0</x:v>
      </x:c>
      <x:c r="N1022" s="25" t="str">
        <x:v>否</x:v>
      </x:c>
      <x:c r="O1022" s="25" t="n">
        <x:v>0</x:v>
      </x:c>
      <x:c r="P1022" s="25" t="n">
        <x:v>0</x:v>
      </x:c>
      <x:c r="Q1022" s="25" t="n">
        <x:v>0</x:v>
      </x:c>
      <x:c r="R1022" s="25" t="str">
        <x:v>洗练绑定装备；项链幸运绑定人物永久进度；武器幸运成本忽略</x:v>
      </x:c>
    </x:row>
    <x:row r="1023">
      <x:c r="A1023" s="25" t="str">
        <x:v>C09-X</x:v>
      </x:c>
      <x:c r="B1023" s="25" t="str">
        <x:v>亚坛高原</x:v>
      </x:c>
      <x:c r="C1023" s="25" t="str">
        <x:v>极端压力</x:v>
      </x:c>
      <x:c r="D1023" s="25" t="n">
        <x:v>50</x:v>
      </x:c>
      <x:c r="E1023" s="25" t="n">
        <x:v>83</x:v>
      </x:c>
      <x:c r="F1023" s="25" t="str">
        <x:v>失乡戌狗</x:v>
      </x:c>
      <x:c r="G1023" s="25" t="str">
        <x:v>生肖11</x:v>
      </x:c>
      <x:c r="H1023" s="25" t="n">
        <x:v>2</x:v>
      </x:c>
      <x:c r="I1023" s="25" t="str">
        <x:v>BOSS</x:v>
      </x:c>
      <x:c r="J1023" s="25" t="str">
        <x:v>S02</x:v>
      </x:c>
      <x:c r="K1023" s="25" t="str">
        <x:v>48-93</x:v>
      </x:c>
      <x:c r="L1023" s="25" t="n">
        <x:v>79800</x:v>
      </x:c>
      <x:c r="M1023" s="25" t="n">
        <x:v>0</x:v>
      </x:c>
      <x:c r="N1023" s="25" t="str">
        <x:v>否</x:v>
      </x:c>
      <x:c r="O1023" s="25" t="n">
        <x:v>0</x:v>
      </x:c>
      <x:c r="P1023" s="25" t="n">
        <x:v>0</x:v>
      </x:c>
      <x:c r="Q1023" s="25" t="n">
        <x:v>0</x:v>
      </x:c>
      <x:c r="R1023" s="25" t="str">
        <x:v>洗练绑定装备；项链幸运绑定人物永久进度；武器幸运成本忽略</x:v>
      </x:c>
    </x:row>
    <x:row r="1024">
      <x:c r="A1024" s="25" t="str">
        <x:v>C09-X</x:v>
      </x:c>
      <x:c r="B1024" s="25" t="str">
        <x:v>亚坛高原</x:v>
      </x:c>
      <x:c r="C1024" s="25" t="str">
        <x:v>极端压力</x:v>
      </x:c>
      <x:c r="D1024" s="25" t="n">
        <x:v>51</x:v>
      </x:c>
      <x:c r="E1024" s="25" t="n">
        <x:v>84</x:v>
      </x:c>
      <x:c r="F1024" s="25" t="str">
        <x:v>接肢亥猪</x:v>
      </x:c>
      <x:c r="G1024" s="25" t="str">
        <x:v>生肖12</x:v>
      </x:c>
      <x:c r="H1024" s="25" t="n">
        <x:v>2</x:v>
      </x:c>
      <x:c r="I1024" s="25" t="str">
        <x:v>守关BOSS</x:v>
      </x:c>
      <x:c r="J1024" s="25" t="str">
        <x:v>S02</x:v>
      </x:c>
      <x:c r="K1024" s="25" t="str">
        <x:v>55-106</x:v>
      </x:c>
      <x:c r="L1024" s="25" t="n">
        <x:v>90800</x:v>
      </x:c>
      <x:c r="M1024" s="25" t="n">
        <x:v>0</x:v>
      </x:c>
      <x:c r="N1024" s="25" t="str">
        <x:v>否</x:v>
      </x:c>
      <x:c r="O1024" s="25" t="n">
        <x:v>0</x:v>
      </x:c>
      <x:c r="P1024" s="25" t="n">
        <x:v>0</x:v>
      </x:c>
      <x:c r="Q1024" s="25" t="n">
        <x:v>0</x:v>
      </x:c>
      <x:c r="R1024" s="25" t="str">
        <x:v>洗练绑定装备；项链幸运绑定人物永久进度；武器幸运成本忽略</x:v>
      </x:c>
    </x:row>
    <x:row r="1025">
      <x:c r="A1025" s="25" t="str">
        <x:v>C09-X</x:v>
      </x:c>
      <x:c r="B1025" s="25" t="str">
        <x:v>亚坛高原</x:v>
      </x:c>
      <x:c r="C1025" s="25" t="str">
        <x:v>极端压力</x:v>
      </x:c>
      <x:c r="D1025" s="25" t="n">
        <x:v>70</x:v>
      </x:c>
      <x:c r="E1025" s="25" t="n">
        <x:v>213</x:v>
      </x:c>
      <x:c r="F1025" s="25" t="str">
        <x:v>闭潮秘饰</x:v>
      </x:c>
      <x:c r="G1025" s="25" t="str">
        <x:v>时装首饰盒</x:v>
      </x:c>
      <x:c r="H1025" s="25" t="n">
        <x:v>4</x:v>
      </x:c>
      <x:c r="I1025" s="25" t="str">
        <x:v>装备合成</x:v>
      </x:c>
      <x:c r="J1025" s="25" t="str">
        <x:v>S07</x:v>
      </x:c>
      <x:c r="K1025" s="25" t="str">
        <x:v>230-450</x:v>
      </x:c>
      <x:c r="L1025" s="25" t="n">
        <x:v>460000</x:v>
      </x:c>
      <x:c r="M1025" s="25" t="n">
        <x:v>0</x:v>
      </x:c>
      <x:c r="N1025" s="25" t="str">
        <x:v>否</x:v>
      </x:c>
      <x:c r="O1025" s="25" t="n">
        <x:v>0</x:v>
      </x:c>
      <x:c r="P1025" s="25" t="n">
        <x:v>0</x:v>
      </x:c>
      <x:c r="Q1025" s="25" t="n">
        <x:v>0</x:v>
      </x:c>
      <x:c r="R1025" s="25" t="str">
        <x:v>洗练绑定装备；项链幸运绑定人物永久进度；武器幸运成本忽略</x:v>
      </x:c>
    </x:row>
    <x:row r="1026">
      <x:c r="A1026" s="25" t="str">
        <x:v>C09-X</x:v>
      </x:c>
      <x:c r="B1026" s="25" t="str">
        <x:v>亚坛高原</x:v>
      </x:c>
      <x:c r="C1026" s="25" t="str">
        <x:v>极端压力</x:v>
      </x:c>
      <x:c r="D1026" s="25" t="n">
        <x:v>71</x:v>
      </x:c>
      <x:c r="E1026" s="25" t="n">
        <x:v>216</x:v>
      </x:c>
      <x:c r="F1026" s="25" t="str">
        <x:v>穹霜炉心秘饰</x:v>
      </x:c>
      <x:c r="G1026" s="25" t="str">
        <x:v>时装首饰盒</x:v>
      </x:c>
      <x:c r="H1026" s="25" t="n">
        <x:v>8</x:v>
      </x:c>
      <x:c r="I1026" s="25" t="str">
        <x:v>装备合成</x:v>
      </x:c>
      <x:c r="J1026" s="25" t="str">
        <x:v>S07</x:v>
      </x:c>
      <x:c r="K1026" s="25" t="str">
        <x:v>2300-4500</x:v>
      </x:c>
      <x:c r="L1026" s="25" t="n">
        <x:v>4600000</x:v>
      </x:c>
      <x:c r="M1026" s="25" t="n">
        <x:v>0</x:v>
      </x:c>
      <x:c r="N1026" s="25" t="str">
        <x:v>否</x:v>
      </x:c>
      <x:c r="O1026" s="25" t="n">
        <x:v>0</x:v>
      </x:c>
      <x:c r="P1026" s="25" t="n">
        <x:v>0</x:v>
      </x:c>
      <x:c r="Q1026" s="25" t="n">
        <x:v>0</x:v>
      </x:c>
      <x:c r="R1026" s="25" t="str">
        <x:v>洗练绑定装备；项链幸运绑定人物永久进度；武器幸运成本忽略</x:v>
      </x:c>
    </x:row>
    <x:row r="1027">
      <x:c r="A1027" s="25" t="str">
        <x:v>C10-E</x:v>
      </x:c>
      <x:c r="B1027" s="25" t="str">
        <x:v>王城罗德尔</x:v>
      </x:c>
      <x:c r="C1027" s="25" t="str">
        <x:v>半急速入场</x:v>
      </x:c>
      <x:c r="D1027" s="25" t="n">
        <x:v>0</x:v>
      </x:c>
      <x:c r="E1027" s="25" t="n">
        <x:v>189</x:v>
      </x:c>
      <x:c r="F1027" s="25" t="str">
        <x:v>鎏苔守陵衣</x:v>
      </x:c>
      <x:c r="G1027" s="25" t="str">
        <x:v>衣服</x:v>
      </x:c>
      <x:c r="H1027" s="25" t="n">
        <x:v>9</x:v>
      </x:c>
      <x:c r="I1027" s="25" t="str">
        <x:v>普通</x:v>
      </x:c>
      <x:c r="J1027" s="25" t="str">
        <x:v>S07</x:v>
      </x:c>
      <x:c r="K1027" s="25" t="str">
        <x:v>1200-2300</x:v>
      </x:c>
      <x:c r="L1027" s="25" t="n">
        <x:v>5200000</x:v>
      </x:c>
      <x:c r="M1027" s="25" t="n">
        <x:v>7</x:v>
      </x:c>
      <x:c r="N1027" s="25" t="str">
        <x:v>是</x:v>
      </x:c>
      <x:c r="O1027" s="25" t="n">
        <x:v>0</x:v>
      </x:c>
      <x:c r="P1027" s="25" t="n">
        <x:v>0</x:v>
      </x:c>
      <x:c r="Q1027" s="25" t="n">
        <x:v>0</x:v>
      </x:c>
      <x:c r="R1027" s="25" t="str">
        <x:v>洗练绑定装备；项链幸运绑定人物永久进度；武器幸运成本忽略</x:v>
      </x:c>
    </x:row>
    <x:row r="1028">
      <x:c r="A1028" s="25" t="str">
        <x:v>C10-E</x:v>
      </x:c>
      <x:c r="B1028" s="25" t="str">
        <x:v>王城罗德尔</x:v>
      </x:c>
      <x:c r="C1028" s="25" t="str">
        <x:v>半急速入场</x:v>
      </x:c>
      <x:c r="D1028" s="25" t="n">
        <x:v>1</x:v>
      </x:c>
      <x:c r="E1028" s="25" t="n">
        <x:v>188</x:v>
      </x:c>
      <x:c r="F1028" s="25" t="str">
        <x:v>黄金律裁阳刃</x:v>
      </x:c>
      <x:c r="G1028" s="25" t="str">
        <x:v>武器</x:v>
      </x:c>
      <x:c r="H1028" s="25" t="n">
        <x:v>9</x:v>
      </x:c>
      <x:c r="I1028" s="25" t="str">
        <x:v>装备合成</x:v>
      </x:c>
      <x:c r="J1028" s="25" t="str">
        <x:v>S07</x:v>
      </x:c>
      <x:c r="K1028" s="25" t="str">
        <x:v>42000-80000</x:v>
      </x:c>
      <x:c r="L1028" s="25" t="n">
        <x:v>4800000</x:v>
      </x:c>
      <x:c r="M1028" s="25" t="n">
        <x:v>7</x:v>
      </x:c>
      <x:c r="N1028" s="25" t="str">
        <x:v>是</x:v>
      </x:c>
      <x:c r="O1028" s="25" t="n">
        <x:v>7</x:v>
      </x:c>
      <x:c r="P1028" s="25" t="n">
        <x:v>0</x:v>
      </x:c>
      <x:c r="Q1028" s="25" t="n">
        <x:v>0</x:v>
      </x:c>
      <x:c r="R1028" s="25" t="str">
        <x:v>洗练绑定装备；项链幸运绑定人物永久进度；武器幸运成本忽略</x:v>
      </x:c>
    </x:row>
    <x:row r="1029">
      <x:c r="A1029" s="25" t="str">
        <x:v>C10-E</x:v>
      </x:c>
      <x:c r="B1029" s="25" t="str">
        <x:v>王城罗德尔</x:v>
      </x:c>
      <x:c r="C1029" s="25" t="str">
        <x:v>半急速入场</x:v>
      </x:c>
      <x:c r="D1029" s="25" t="n">
        <x:v>2</x:v>
      </x:c>
      <x:c r="E1029" s="25" t="n">
        <x:v>144</x:v>
      </x:c>
      <x:c r="F1029" s="25" t="str">
        <x:v>灰烬裁印</x:v>
      </x:c>
      <x:c r="G1029" s="25" t="str">
        <x:v>勋章</x:v>
      </x:c>
      <x:c r="H1029" s="25" t="n">
        <x:v>6</x:v>
      </x:c>
      <x:c r="I1029" s="25" t="str">
        <x:v>稀有</x:v>
      </x:c>
      <x:c r="J1029" s="25" t="str">
        <x:v>S07</x:v>
      </x:c>
      <x:c r="K1029" s="25" t="str">
        <x:v>350-680</x:v>
      </x:c>
      <x:c r="L1029" s="25" t="n">
        <x:v>370000</x:v>
      </x:c>
      <x:c r="M1029" s="25" t="n">
        <x:v>0</x:v>
      </x:c>
      <x:c r="N1029" s="25" t="str">
        <x:v>否</x:v>
      </x:c>
      <x:c r="O1029" s="25" t="n">
        <x:v>0</x:v>
      </x:c>
      <x:c r="P1029" s="25" t="n">
        <x:v>0</x:v>
      </x:c>
      <x:c r="Q1029" s="25" t="n">
        <x:v>0</x:v>
      </x:c>
      <x:c r="R1029" s="25" t="str">
        <x:v>洗练绑定装备；项链幸运绑定人物永久进度；武器幸运成本忽略</x:v>
      </x:c>
    </x:row>
    <x:row r="1030">
      <x:c r="A1030" s="25" t="str">
        <x:v>C10-E</x:v>
      </x:c>
      <x:c r="B1030" s="25" t="str">
        <x:v>王城罗德尔</x:v>
      </x:c>
      <x:c r="C1030" s="25" t="str">
        <x:v>半急速入场</x:v>
      </x:c>
      <x:c r="D1030" s="25" t="n">
        <x:v>3</x:v>
      </x:c>
      <x:c r="E1030" s="25" t="n">
        <x:v>177</x:v>
      </x:c>
      <x:c r="F1030" s="25" t="str">
        <x:v>白翼颈链</x:v>
      </x:c>
      <x:c r="G1030" s="25" t="str">
        <x:v>项链</x:v>
      </x:c>
      <x:c r="H1030" s="25" t="n">
        <x:v>7</x:v>
      </x:c>
      <x:c r="I1030" s="25" t="str">
        <x:v>稀有</x:v>
      </x:c>
      <x:c r="J1030" s="25" t="str">
        <x:v>S07</x:v>
      </x:c>
      <x:c r="K1030" s="25" t="str">
        <x:v>830-1600</x:v>
      </x:c>
      <x:c r="L1030" s="25" t="n">
        <x:v>680000</x:v>
      </x:c>
      <x:c r="M1030" s="25" t="n">
        <x:v>5</x:v>
      </x:c>
      <x:c r="N1030" s="25" t="str">
        <x:v>否</x:v>
      </x:c>
      <x:c r="O1030" s="25" t="n">
        <x:v>0</x:v>
      </x:c>
      <x:c r="P1030" s="25" t="n">
        <x:v>0</x:v>
      </x:c>
      <x:c r="Q1030" s="25" t="n">
        <x:v>0</x:v>
      </x:c>
      <x:c r="R1030" s="25" t="str">
        <x:v>洗练绑定装备；项链幸运绑定人物永久进度；武器幸运成本忽略</x:v>
      </x:c>
    </x:row>
    <x:row r="1031">
      <x:c r="A1031" s="25" t="str">
        <x:v>C10-E</x:v>
      </x:c>
      <x:c r="B1031" s="25" t="str">
        <x:v>王城罗德尔</x:v>
      </x:c>
      <x:c r="C1031" s="25" t="str">
        <x:v>半急速入场</x:v>
      </x:c>
      <x:c r="D1031" s="25" t="n">
        <x:v>4</x:v>
      </x:c>
      <x:c r="E1031" s="25" t="n">
        <x:v>190</x:v>
      </x:c>
      <x:c r="F1031" s="25" t="str">
        <x:v>芙蕾冰冠</x:v>
      </x:c>
      <x:c r="G1031" s="25" t="str">
        <x:v>头盔</x:v>
      </x:c>
      <x:c r="H1031" s="25" t="n">
        <x:v>7</x:v>
      </x:c>
      <x:c r="I1031" s="25" t="str">
        <x:v>地图BOSS</x:v>
      </x:c>
      <x:c r="J1031" s="25" t="str">
        <x:v>S07</x:v>
      </x:c>
      <x:c r="K1031" s="25" t="str">
        <x:v>730-1400</x:v>
      </x:c>
      <x:c r="L1031" s="25" t="n">
        <x:v>1500000</x:v>
      </x:c>
      <x:c r="M1031" s="25" t="n">
        <x:v>5</x:v>
      </x:c>
      <x:c r="N1031" s="25" t="str">
        <x:v>否</x:v>
      </x:c>
      <x:c r="O1031" s="25" t="n">
        <x:v>0</x:v>
      </x:c>
      <x:c r="P1031" s="25" t="n">
        <x:v>0</x:v>
      </x:c>
      <x:c r="Q1031" s="25" t="n">
        <x:v>0</x:v>
      </x:c>
      <x:c r="R1031" s="25" t="str">
        <x:v>洗练绑定装备；项链幸运绑定人物永久进度；武器幸运成本忽略</x:v>
      </x:c>
    </x:row>
    <x:row r="1032">
      <x:c r="A1032" s="25" t="str">
        <x:v>C10-E</x:v>
      </x:c>
      <x:c r="B1032" s="25" t="str">
        <x:v>王城罗德尔</x:v>
      </x:c>
      <x:c r="C1032" s="25" t="str">
        <x:v>半急速入场</x:v>
      </x:c>
      <x:c r="D1032" s="25" t="n">
        <x:v>5</x:v>
      </x:c>
      <x:c r="E1032" s="25" t="n">
        <x:v>192</x:v>
      </x:c>
      <x:c r="F1032" s="25" t="str">
        <x:v>残斧魂腕环</x:v>
      </x:c>
      <x:c r="G1032" s="25" t="str">
        <x:v>手镯</x:v>
      </x:c>
      <x:c r="H1032" s="25" t="n">
        <x:v>8</x:v>
      </x:c>
      <x:c r="I1032" s="25" t="str">
        <x:v>普通</x:v>
      </x:c>
      <x:c r="J1032" s="25" t="str">
        <x:v>S07</x:v>
      </x:c>
      <x:c r="K1032" s="25" t="str">
        <x:v>880-1700</x:v>
      </x:c>
      <x:c r="L1032" s="25" t="n">
        <x:v>700000</x:v>
      </x:c>
      <x:c r="M1032" s="25" t="n">
        <x:v>5</x:v>
      </x:c>
      <x:c r="N1032" s="25" t="str">
        <x:v>否</x:v>
      </x:c>
      <x:c r="O1032" s="25" t="n">
        <x:v>0</x:v>
      </x:c>
      <x:c r="P1032" s="25" t="n">
        <x:v>0</x:v>
      </x:c>
      <x:c r="Q1032" s="25" t="n">
        <x:v>0</x:v>
      </x:c>
      <x:c r="R1032" s="25" t="str">
        <x:v>洗练绑定装备；项链幸运绑定人物永久进度；武器幸运成本忽略</x:v>
      </x:c>
    </x:row>
    <x:row r="1033">
      <x:c r="A1033" s="25" t="str">
        <x:v>C10-E</x:v>
      </x:c>
      <x:c r="B1033" s="25" t="str">
        <x:v>王城罗德尔</x:v>
      </x:c>
      <x:c r="C1033" s="25" t="str">
        <x:v>半急速入场</x:v>
      </x:c>
      <x:c r="D1033" s="25" t="n">
        <x:v>6</x:v>
      </x:c>
      <x:c r="E1033" s="25" t="n">
        <x:v>193</x:v>
      </x:c>
      <x:c r="F1033" s="25" t="str">
        <x:v>寒狱铁镯</x:v>
      </x:c>
      <x:c r="G1033" s="25" t="str">
        <x:v>手镯</x:v>
      </x:c>
      <x:c r="H1033" s="25" t="n">
        <x:v>7</x:v>
      </x:c>
      <x:c r="I1033" s="25" t="str">
        <x:v>普通</x:v>
      </x:c>
      <x:c r="J1033" s="25" t="str">
        <x:v>S07</x:v>
      </x:c>
      <x:c r="K1033" s="25" t="str">
        <x:v>620-1200</x:v>
      </x:c>
      <x:c r="L1033" s="25" t="n">
        <x:v>460000</x:v>
      </x:c>
      <x:c r="M1033" s="25" t="n">
        <x:v>7</x:v>
      </x:c>
      <x:c r="N1033" s="25" t="str">
        <x:v>是</x:v>
      </x:c>
      <x:c r="O1033" s="25" t="n">
        <x:v>0</x:v>
      </x:c>
      <x:c r="P1033" s="25" t="n">
        <x:v>0</x:v>
      </x:c>
      <x:c r="Q1033" s="25" t="n">
        <x:v>0</x:v>
      </x:c>
      <x:c r="R1033" s="25" t="str">
        <x:v>洗练绑定装备；项链幸运绑定人物永久进度；武器幸运成本忽略</x:v>
      </x:c>
    </x:row>
    <x:row r="1034">
      <x:c r="A1034" s="25" t="str">
        <x:v>C10-E</x:v>
      </x:c>
      <x:c r="B1034" s="25" t="str">
        <x:v>王城罗德尔</x:v>
      </x:c>
      <x:c r="C1034" s="25" t="str">
        <x:v>半急速入场</x:v>
      </x:c>
      <x:c r="D1034" s="25" t="n">
        <x:v>7</x:v>
      </x:c>
      <x:c r="E1034" s="25" t="n">
        <x:v>194</x:v>
      </x:c>
      <x:c r="F1034" s="25" t="str">
        <x:v>封誓霜纹戒</x:v>
      </x:c>
      <x:c r="G1034" s="25" t="str">
        <x:v>戒指</x:v>
      </x:c>
      <x:c r="H1034" s="25" t="n">
        <x:v>8</x:v>
      </x:c>
      <x:c r="I1034" s="25" t="str">
        <x:v>稀有</x:v>
      </x:c>
      <x:c r="J1034" s="25" t="str">
        <x:v>S07</x:v>
      </x:c>
      <x:c r="K1034" s="25" t="str">
        <x:v>1400-2600</x:v>
      </x:c>
      <x:c r="L1034" s="25" t="n">
        <x:v>1000000</x:v>
      </x:c>
      <x:c r="M1034" s="25" t="n">
        <x:v>8</x:v>
      </x:c>
      <x:c r="N1034" s="25" t="str">
        <x:v>是</x:v>
      </x:c>
      <x:c r="O1034" s="25" t="n">
        <x:v>0</x:v>
      </x:c>
      <x:c r="P1034" s="25" t="n">
        <x:v>0</x:v>
      </x:c>
      <x:c r="Q1034" s="25" t="n">
        <x:v>0</x:v>
      </x:c>
      <x:c r="R1034" s="25" t="str">
        <x:v>洗练绑定装备；项链幸运绑定人物永久进度；武器幸运成本忽略</x:v>
      </x:c>
    </x:row>
    <x:row r="1035">
      <x:c r="A1035" s="25" t="str">
        <x:v>C10-E</x:v>
      </x:c>
      <x:c r="B1035" s="25" t="str">
        <x:v>王城罗德尔</x:v>
      </x:c>
      <x:c r="C1035" s="25" t="str">
        <x:v>半急速入场</x:v>
      </x:c>
      <x:c r="D1035" s="25" t="n">
        <x:v>8</x:v>
      </x:c>
      <x:c r="E1035" s="25" t="n">
        <x:v>195</x:v>
      </x:c>
      <x:c r="F1035" s="25" t="str">
        <x:v>巡界牙戒</x:v>
      </x:c>
      <x:c r="G1035" s="25" t="str">
        <x:v>戒指</x:v>
      </x:c>
      <x:c r="H1035" s="25" t="n">
        <x:v>7</x:v>
      </x:c>
      <x:c r="I1035" s="25" t="str">
        <x:v>普通</x:v>
      </x:c>
      <x:c r="J1035" s="25" t="str">
        <x:v>S07</x:v>
      </x:c>
      <x:c r="K1035" s="25" t="str">
        <x:v>620-1200</x:v>
      </x:c>
      <x:c r="L1035" s="25" t="n">
        <x:v>430000</x:v>
      </x:c>
      <x:c r="M1035" s="25" t="n">
        <x:v>5</x:v>
      </x:c>
      <x:c r="N1035" s="25" t="str">
        <x:v>否</x:v>
      </x:c>
      <x:c r="O1035" s="25" t="n">
        <x:v>0</x:v>
      </x:c>
      <x:c r="P1035" s="25" t="n">
        <x:v>0</x:v>
      </x:c>
      <x:c r="Q1035" s="25" t="n">
        <x:v>0</x:v>
      </x:c>
      <x:c r="R1035" s="25" t="str">
        <x:v>洗练绑定装备；项链幸运绑定人物永久进度；武器幸运成本忽略</x:v>
      </x:c>
    </x:row>
    <x:row r="1036">
      <x:c r="A1036" s="25" t="str">
        <x:v>C10-E</x:v>
      </x:c>
      <x:c r="B1036" s="25" t="str">
        <x:v>王城罗德尔</x:v>
      </x:c>
      <x:c r="C1036" s="25" t="str">
        <x:v>半急速入场</x:v>
      </x:c>
      <x:c r="D1036" s="25" t="n">
        <x:v>10</x:v>
      </x:c>
      <x:c r="E1036" s="25" t="n">
        <x:v>196</x:v>
      </x:c>
      <x:c r="F1036" s="25" t="str">
        <x:v>驮碑束腰</x:v>
      </x:c>
      <x:c r="G1036" s="25" t="str">
        <x:v>腰带</x:v>
      </x:c>
      <x:c r="H1036" s="25" t="n">
        <x:v>8</x:v>
      </x:c>
      <x:c r="I1036" s="25" t="str">
        <x:v>稀有</x:v>
      </x:c>
      <x:c r="J1036" s="25" t="str">
        <x:v>S07</x:v>
      </x:c>
      <x:c r="K1036" s="25" t="str">
        <x:v>730-1400</x:v>
      </x:c>
      <x:c r="L1036" s="25" t="n">
        <x:v>1600000</x:v>
      </x:c>
      <x:c r="M1036" s="25" t="n">
        <x:v>3</x:v>
      </x:c>
      <x:c r="N1036" s="25" t="str">
        <x:v>否</x:v>
      </x:c>
      <x:c r="O1036" s="25" t="n">
        <x:v>0</x:v>
      </x:c>
      <x:c r="P1036" s="25" t="n">
        <x:v>0</x:v>
      </x:c>
      <x:c r="Q1036" s="25" t="n">
        <x:v>0</x:v>
      </x:c>
      <x:c r="R1036" s="25" t="str">
        <x:v>洗练绑定装备；项链幸运绑定人物永久进度；武器幸运成本忽略</x:v>
      </x:c>
    </x:row>
    <x:row r="1037">
      <x:c r="A1037" s="25" t="str">
        <x:v>C10-E</x:v>
      </x:c>
      <x:c r="B1037" s="25" t="str">
        <x:v>王城罗德尔</x:v>
      </x:c>
      <x:c r="C1037" s="25" t="str">
        <x:v>半急速入场</x:v>
      </x:c>
      <x:c r="D1037" s="25" t="n">
        <x:v>11</x:v>
      </x:c>
      <x:c r="E1037" s="25" t="n">
        <x:v>197</x:v>
      </x:c>
      <x:c r="F1037" s="25" t="str">
        <x:v>寒灯侍履</x:v>
      </x:c>
      <x:c r="G1037" s="25" t="str">
        <x:v>鞋子</x:v>
      </x:c>
      <x:c r="H1037" s="25" t="n">
        <x:v>8</x:v>
      </x:c>
      <x:c r="I1037" s="25" t="str">
        <x:v>普通</x:v>
      </x:c>
      <x:c r="J1037" s="25" t="str">
        <x:v>S07</x:v>
      </x:c>
      <x:c r="K1037" s="25" t="str">
        <x:v>520-1000</x:v>
      </x:c>
      <x:c r="L1037" s="25" t="n">
        <x:v>740000</x:v>
      </x:c>
      <x:c r="M1037" s="25" t="n">
        <x:v>7</x:v>
      </x:c>
      <x:c r="N1037" s="25" t="str">
        <x:v>是</x:v>
      </x:c>
      <x:c r="O1037" s="25" t="n">
        <x:v>0</x:v>
      </x:c>
      <x:c r="P1037" s="25" t="n">
        <x:v>0</x:v>
      </x:c>
      <x:c r="Q1037" s="25" t="n">
        <x:v>0</x:v>
      </x:c>
      <x:c r="R1037" s="25" t="str">
        <x:v>洗练绑定装备；项链幸运绑定人物永久进度；武器幸运成本忽略</x:v>
      </x:c>
    </x:row>
    <x:row r="1038">
      <x:c r="A1038" s="25" t="str">
        <x:v>C10-E</x:v>
      </x:c>
      <x:c r="B1038" s="25" t="str">
        <x:v>王城罗德尔</x:v>
      </x:c>
      <x:c r="C1038" s="25" t="str">
        <x:v>半急速入场</x:v>
      </x:c>
      <x:c r="D1038" s="25" t="n">
        <x:v>13</x:v>
      </x:c>
      <x:c r="E1038" s="25" t="n">
        <x:v>185</x:v>
      </x:c>
      <x:c r="F1038" s="25" t="str">
        <x:v>缄声霜帘笠</x:v>
      </x:c>
      <x:c r="G1038" s="25" t="str">
        <x:v>斗笠</x:v>
      </x:c>
      <x:c r="H1038" s="25" t="n">
        <x:v>8</x:v>
      </x:c>
      <x:c r="I1038" s="25" t="str">
        <x:v>稀有</x:v>
      </x:c>
      <x:c r="J1038" s="25" t="str">
        <x:v>S07</x:v>
      </x:c>
      <x:c r="K1038" s="25" t="str">
        <x:v>780-1500</x:v>
      </x:c>
      <x:c r="L1038" s="25" t="n">
        <x:v>940000</x:v>
      </x:c>
      <x:c r="M1038" s="25" t="n">
        <x:v>0</x:v>
      </x:c>
      <x:c r="N1038" s="25" t="str">
        <x:v>否</x:v>
      </x:c>
      <x:c r="O1038" s="25" t="n">
        <x:v>0</x:v>
      </x:c>
      <x:c r="P1038" s="25" t="n">
        <x:v>0</x:v>
      </x:c>
      <x:c r="Q1038" s="25" t="n">
        <x:v>0</x:v>
      </x:c>
      <x:c r="R1038" s="25" t="str">
        <x:v>洗练绑定装备；项链幸运绑定人物永久进度；武器幸运成本忽略</x:v>
      </x:c>
    </x:row>
    <x:row r="1039">
      <x:c r="A1039" s="25" t="str">
        <x:v>C10-E</x:v>
      </x:c>
      <x:c r="B1039" s="25" t="str">
        <x:v>王城罗德尔</x:v>
      </x:c>
      <x:c r="C1039" s="25" t="str">
        <x:v>半急速入场</x:v>
      </x:c>
      <x:c r="D1039" s="25" t="n">
        <x:v>16</x:v>
      </x:c>
      <x:c r="E1039" s="25" t="n">
        <x:v>164</x:v>
      </x:c>
      <x:c r="F1039" s="25" t="str">
        <x:v>吞日霜壁</x:v>
      </x:c>
      <x:c r="G1039" s="25" t="str">
        <x:v>盾牌</x:v>
      </x:c>
      <x:c r="H1039" s="25" t="n">
        <x:v>8</x:v>
      </x:c>
      <x:c r="I1039" s="25" t="str">
        <x:v>装备合成</x:v>
      </x:c>
      <x:c r="J1039" s="25" t="str">
        <x:v>S07</x:v>
      </x:c>
      <x:c r="K1039" s="25" t="str">
        <x:v>2800-5400</x:v>
      </x:c>
      <x:c r="L1039" s="25" t="n">
        <x:v>7700000</x:v>
      </x:c>
      <x:c r="M1039" s="25" t="n">
        <x:v>0</x:v>
      </x:c>
      <x:c r="N1039" s="25" t="str">
        <x:v>否</x:v>
      </x:c>
      <x:c r="O1039" s="25" t="n">
        <x:v>0</x:v>
      </x:c>
      <x:c r="P1039" s="25" t="n">
        <x:v>0</x:v>
      </x:c>
      <x:c r="Q1039" s="25" t="n">
        <x:v>0</x:v>
      </x:c>
      <x:c r="R1039" s="25" t="str">
        <x:v>洗练绑定装备；项链幸运绑定人物永久进度；武器幸运成本忽略</x:v>
      </x:c>
    </x:row>
    <x:row r="1040">
      <x:c r="A1040" s="25" t="str">
        <x:v>C10-E</x:v>
      </x:c>
      <x:c r="B1040" s="25" t="str">
        <x:v>王城罗德尔</x:v>
      </x:c>
      <x:c r="C1040" s="25" t="str">
        <x:v>半急速入场</x:v>
      </x:c>
      <x:c r="D1040" s="25" t="n">
        <x:v>18</x:v>
      </x:c>
      <x:c r="E1040" s="25" t="n">
        <x:v>137</x:v>
      </x:c>
      <x:c r="F1040" s="25" t="str">
        <x:v>红狮余烬王衣</x:v>
      </x:c>
      <x:c r="G1040" s="25" t="str">
        <x:v>时装衣服</x:v>
      </x:c>
      <x:c r="H1040" s="25" t="n">
        <x:v>6</x:v>
      </x:c>
      <x:c r="I1040" s="25" t="str">
        <x:v>装备合成</x:v>
      </x:c>
      <x:c r="J1040" s="25" t="str">
        <x:v>S07</x:v>
      </x:c>
      <x:c r="K1040" s="25" t="str">
        <x:v>780-1500</x:v>
      </x:c>
      <x:c r="L1040" s="25" t="n">
        <x:v>5100000</x:v>
      </x:c>
      <x:c r="M1040" s="25" t="n">
        <x:v>0</x:v>
      </x:c>
      <x:c r="N1040" s="25" t="str">
        <x:v>否</x:v>
      </x:c>
      <x:c r="O1040" s="25" t="n">
        <x:v>0</x:v>
      </x:c>
      <x:c r="P1040" s="25" t="n">
        <x:v>0</x:v>
      </x:c>
      <x:c r="Q1040" s="25" t="n">
        <x:v>0</x:v>
      </x:c>
      <x:c r="R1040" s="25" t="str">
        <x:v>洗练绑定装备；项链幸运绑定人物永久进度；武器幸运成本忽略</x:v>
      </x:c>
    </x:row>
    <x:row r="1041">
      <x:c r="A1041" s="25" t="str">
        <x:v>C10-E</x:v>
      </x:c>
      <x:c r="B1041" s="25" t="str">
        <x:v>王城罗德尔</x:v>
      </x:c>
      <x:c r="C1041" s="25" t="str">
        <x:v>半急速入场</x:v>
      </x:c>
      <x:c r="D1041" s="25" t="n">
        <x:v>19</x:v>
      </x:c>
      <x:c r="E1041" s="25" t="n">
        <x:v>147</x:v>
      </x:c>
      <x:c r="F1041" s="25" t="str">
        <x:v>永霜白金刃</x:v>
      </x:c>
      <x:c r="G1041" s="25" t="str">
        <x:v>时装武器</x:v>
      </x:c>
      <x:c r="H1041" s="25" t="n">
        <x:v>7</x:v>
      </x:c>
      <x:c r="I1041" s="25" t="str">
        <x:v>装备合成</x:v>
      </x:c>
      <x:c r="J1041" s="25" t="str">
        <x:v>S07</x:v>
      </x:c>
      <x:c r="K1041" s="25" t="str">
        <x:v>4800-9200</x:v>
      </x:c>
      <x:c r="L1041" s="25" t="n">
        <x:v>1700000</x:v>
      </x:c>
      <x:c r="M1041" s="25" t="n">
        <x:v>0</x:v>
      </x:c>
      <x:c r="N1041" s="25" t="str">
        <x:v>否</x:v>
      </x:c>
      <x:c r="O1041" s="25" t="n">
        <x:v>0</x:v>
      </x:c>
      <x:c r="P1041" s="25" t="n">
        <x:v>0</x:v>
      </x:c>
      <x:c r="Q1041" s="25" t="n">
        <x:v>0</x:v>
      </x:c>
      <x:c r="R1041" s="25" t="str">
        <x:v>洗练绑定装备；项链幸运绑定人物永久进度；武器幸运成本忽略</x:v>
      </x:c>
    </x:row>
    <x:row r="1042">
      <x:c r="A1042" s="25" t="str">
        <x:v>C10-E</x:v>
      </x:c>
      <x:c r="B1042" s="25" t="str">
        <x:v>王城罗德尔</x:v>
      </x:c>
      <x:c r="C1042" s="25" t="str">
        <x:v>半急速入场</x:v>
      </x:c>
      <x:c r="D1042" s="25" t="n">
        <x:v>20</x:v>
      </x:c>
      <x:c r="E1042" s="25" t="n">
        <x:v>40</x:v>
      </x:c>
      <x:c r="F1042" s="25" t="str">
        <x:v>英雄余誓</x:v>
      </x:c>
      <x:c r="G1042" s="25" t="str">
        <x:v>时装项链</x:v>
      </x:c>
      <x:c r="H1042" s="25" t="n">
        <x:v>2</x:v>
      </x:c>
      <x:c r="I1042" s="25" t="str">
        <x:v>稀有</x:v>
      </x:c>
      <x:c r="J1042" s="25" t="str">
        <x:v>S02</x:v>
      </x:c>
      <x:c r="K1042" s="25" t="str">
        <x:v>31-60</x:v>
      </x:c>
      <x:c r="L1042" s="25" t="n">
        <x:v>17900</x:v>
      </x:c>
      <x:c r="M1042" s="25" t="n">
        <x:v>0</x:v>
      </x:c>
      <x:c r="N1042" s="25" t="str">
        <x:v>否</x:v>
      </x:c>
      <x:c r="O1042" s="25" t="n">
        <x:v>0</x:v>
      </x:c>
      <x:c r="P1042" s="25" t="n">
        <x:v>0</x:v>
      </x:c>
      <x:c r="Q1042" s="25" t="n">
        <x:v>0</x:v>
      </x:c>
      <x:c r="R1042" s="25" t="str">
        <x:v>洗练绑定装备；项链幸运绑定人物永久进度；武器幸运成本忽略</x:v>
      </x:c>
    </x:row>
    <x:row r="1043">
      <x:c r="A1043" s="25" t="str">
        <x:v>C10-E</x:v>
      </x:c>
      <x:c r="B1043" s="25" t="str">
        <x:v>王城罗德尔</x:v>
      </x:c>
      <x:c r="C1043" s="25" t="str">
        <x:v>半急速入场</x:v>
      </x:c>
      <x:c r="D1043" s="25" t="n">
        <x:v>21</x:v>
      </x:c>
      <x:c r="E1043" s="25" t="n">
        <x:v>41</x:v>
      </x:c>
      <x:c r="F1043" s="25" t="str">
        <x:v>初火兜鍪</x:v>
      </x:c>
      <x:c r="G1043" s="25" t="str">
        <x:v>时装头盔</x:v>
      </x:c>
      <x:c r="H1043" s="25" t="n">
        <x:v>2</x:v>
      </x:c>
      <x:c r="I1043" s="25" t="str">
        <x:v>稀有</x:v>
      </x:c>
      <x:c r="J1043" s="25" t="str">
        <x:v>S02</x:v>
      </x:c>
      <x:c r="K1043" s="25" t="str">
        <x:v>22-42</x:v>
      </x:c>
      <x:c r="L1043" s="25" t="n">
        <x:v>30900</x:v>
      </x:c>
      <x:c r="M1043" s="25" t="n">
        <x:v>0</x:v>
      </x:c>
      <x:c r="N1043" s="25" t="str">
        <x:v>否</x:v>
      </x:c>
      <x:c r="O1043" s="25" t="n">
        <x:v>0</x:v>
      </x:c>
      <x:c r="P1043" s="25" t="n">
        <x:v>0</x:v>
      </x:c>
      <x:c r="Q1043" s="25" t="n">
        <x:v>0</x:v>
      </x:c>
      <x:c r="R1043" s="25" t="str">
        <x:v>洗练绑定装备；项链幸运绑定人物永久进度；武器幸运成本忽略</x:v>
      </x:c>
    </x:row>
    <x:row r="1044">
      <x:c r="A1044" s="25" t="str">
        <x:v>C10-E</x:v>
      </x:c>
      <x:c r="B1044" s="25" t="str">
        <x:v>王城罗德尔</x:v>
      </x:c>
      <x:c r="C1044" s="25" t="str">
        <x:v>半急速入场</x:v>
      </x:c>
      <x:c r="D1044" s="25" t="n">
        <x:v>22</x:v>
      </x:c>
      <x:c r="E1044" s="25" t="n">
        <x:v>42</x:v>
      </x:c>
      <x:c r="F1044" s="25" t="str">
        <x:v>卢恩血镯</x:v>
      </x:c>
      <x:c r="G1044" s="25" t="str">
        <x:v>时装手镯</x:v>
      </x:c>
      <x:c r="H1044" s="25" t="n">
        <x:v>2</x:v>
      </x:c>
      <x:c r="I1044" s="25" t="str">
        <x:v>稀有</x:v>
      </x:c>
      <x:c r="J1044" s="25" t="str">
        <x:v>S02</x:v>
      </x:c>
      <x:c r="K1044" s="25" t="str">
        <x:v>42-80</x:v>
      </x:c>
      <x:c r="L1044" s="25" t="n">
        <x:v>34400</x:v>
      </x:c>
      <x:c r="M1044" s="25" t="n">
        <x:v>0</x:v>
      </x:c>
      <x:c r="N1044" s="25" t="str">
        <x:v>否</x:v>
      </x:c>
      <x:c r="O1044" s="25" t="n">
        <x:v>0</x:v>
      </x:c>
      <x:c r="P1044" s="25" t="n">
        <x:v>0</x:v>
      </x:c>
      <x:c r="Q1044" s="25" t="n">
        <x:v>0</x:v>
      </x:c>
      <x:c r="R1044" s="25" t="str">
        <x:v>洗练绑定装备；项链幸运绑定人物永久进度；武器幸运成本忽略</x:v>
      </x:c>
    </x:row>
    <x:row r="1045">
      <x:c r="A1045" s="25" t="str">
        <x:v>C10-E</x:v>
      </x:c>
      <x:c r="B1045" s="25" t="str">
        <x:v>王城罗德尔</x:v>
      </x:c>
      <x:c r="C1045" s="25" t="str">
        <x:v>半急速入场</x:v>
      </x:c>
      <x:c r="D1045" s="25" t="n">
        <x:v>24</x:v>
      </x:c>
      <x:c r="E1045" s="25" t="n">
        <x:v>43</x:v>
      </x:c>
      <x:c r="F1045" s="25" t="str">
        <x:v>黄金树戒</x:v>
      </x:c>
      <x:c r="G1045" s="25" t="str">
        <x:v>时装戒指</x:v>
      </x:c>
      <x:c r="H1045" s="25" t="n">
        <x:v>2</x:v>
      </x:c>
      <x:c r="I1045" s="25" t="str">
        <x:v>稀有</x:v>
      </x:c>
      <x:c r="J1045" s="25" t="str">
        <x:v>S02</x:v>
      </x:c>
      <x:c r="K1045" s="25" t="str">
        <x:v>42-80</x:v>
      </x:c>
      <x:c r="L1045" s="25" t="n">
        <x:v>34400</x:v>
      </x:c>
      <x:c r="M1045" s="25" t="n">
        <x:v>0</x:v>
      </x:c>
      <x:c r="N1045" s="25" t="str">
        <x:v>否</x:v>
      </x:c>
      <x:c r="O1045" s="25" t="n">
        <x:v>0</x:v>
      </x:c>
      <x:c r="P1045" s="25" t="n">
        <x:v>0</x:v>
      </x:c>
      <x:c r="Q1045" s="25" t="n">
        <x:v>0</x:v>
      </x:c>
      <x:c r="R1045" s="25" t="str">
        <x:v>洗练绑定装备；项链幸运绑定人物永久进度；武器幸运成本忽略</x:v>
      </x:c>
    </x:row>
    <x:row r="1046">
      <x:c r="A1046" s="25" t="str">
        <x:v>C10-E</x:v>
      </x:c>
      <x:c r="B1046" s="25" t="str">
        <x:v>王城罗德尔</x:v>
      </x:c>
      <x:c r="C1046" s="25" t="str">
        <x:v>半急速入场</x:v>
      </x:c>
      <x:c r="D1046" s="25" t="n">
        <x:v>40</x:v>
      </x:c>
      <x:c r="E1046" s="25" t="n">
        <x:v>44</x:v>
      </x:c>
      <x:c r="F1046" s="25" t="str">
        <x:v>腐树子鼠</x:v>
      </x:c>
      <x:c r="G1046" s="25" t="str">
        <x:v>生肖1</x:v>
      </x:c>
      <x:c r="H1046" s="25" t="n">
        <x:v>2</x:v>
      </x:c>
      <x:c r="I1046" s="25" t="str">
        <x:v>BOSS</x:v>
      </x:c>
      <x:c r="J1046" s="25" t="str">
        <x:v>S02</x:v>
      </x:c>
      <x:c r="K1046" s="25" t="str">
        <x:v>29-56</x:v>
      </x:c>
      <x:c r="L1046" s="25" t="n">
        <x:v>23600</x:v>
      </x:c>
      <x:c r="M1046" s="25" t="n">
        <x:v>0</x:v>
      </x:c>
      <x:c r="N1046" s="25" t="str">
        <x:v>否</x:v>
      </x:c>
      <x:c r="O1046" s="25" t="n">
        <x:v>0</x:v>
      </x:c>
      <x:c r="P1046" s="25" t="n">
        <x:v>0</x:v>
      </x:c>
      <x:c r="Q1046" s="25" t="n">
        <x:v>0</x:v>
      </x:c>
      <x:c r="R1046" s="25" t="str">
        <x:v>洗练绑定装备；项链幸运绑定人物永久进度；武器幸运成本忽略</x:v>
      </x:c>
    </x:row>
    <x:row r="1047">
      <x:c r="A1047" s="25" t="str">
        <x:v>C10-E</x:v>
      </x:c>
      <x:c r="B1047" s="25" t="str">
        <x:v>王城罗德尔</x:v>
      </x:c>
      <x:c r="C1047" s="25" t="str">
        <x:v>半急速入场</x:v>
      </x:c>
      <x:c r="D1047" s="25" t="n">
        <x:v>41</x:v>
      </x:c>
      <x:c r="E1047" s="25" t="n">
        <x:v>69</x:v>
      </x:c>
      <x:c r="F1047" s="25" t="str">
        <x:v>丑牛·风暴负山</x:v>
      </x:c>
      <x:c r="G1047" s="25" t="str">
        <x:v>生肖2</x:v>
      </x:c>
      <x:c r="H1047" s="25" t="n">
        <x:v>2</x:v>
      </x:c>
      <x:c r="I1047" s="25" t="str">
        <x:v>生肖合成</x:v>
      </x:c>
      <x:c r="J1047" s="25" t="str">
        <x:v>S07</x:v>
      </x:c>
      <x:c r="K1047" s="25" t="str">
        <x:v>25-49</x:v>
      </x:c>
      <x:c r="L1047" s="25" t="n">
        <x:v>64000</x:v>
      </x:c>
      <x:c r="M1047" s="25" t="n">
        <x:v>0</x:v>
      </x:c>
      <x:c r="N1047" s="25" t="str">
        <x:v>否</x:v>
      </x:c>
      <x:c r="O1047" s="25" t="n">
        <x:v>0</x:v>
      </x:c>
      <x:c r="P1047" s="25" t="n">
        <x:v>0</x:v>
      </x:c>
      <x:c r="Q1047" s="25" t="n">
        <x:v>0</x:v>
      </x:c>
      <x:c r="R1047" s="25" t="str">
        <x:v>洗练绑定装备；项链幸运绑定人物永久进度；武器幸运成本忽略</x:v>
      </x:c>
    </x:row>
    <x:row r="1048">
      <x:c r="A1048" s="25" t="str">
        <x:v>C10-E</x:v>
      </x:c>
      <x:c r="B1048" s="25" t="str">
        <x:v>王城罗德尔</x:v>
      </x:c>
      <x:c r="C1048" s="25" t="str">
        <x:v>半急速入场</x:v>
      </x:c>
      <x:c r="D1048" s="25" t="n">
        <x:v>42</x:v>
      </x:c>
      <x:c r="E1048" s="25" t="n">
        <x:v>138</x:v>
      </x:c>
      <x:c r="F1048" s="25" t="str">
        <x:v>寅虎·红狮焚原</x:v>
      </x:c>
      <x:c r="G1048" s="25" t="str">
        <x:v>生肖3</x:v>
      </x:c>
      <x:c r="H1048" s="25" t="n">
        <x:v>6</x:v>
      </x:c>
      <x:c r="I1048" s="25" t="str">
        <x:v>生肖合成</x:v>
      </x:c>
      <x:c r="J1048" s="25" t="str">
        <x:v>S07</x:v>
      </x:c>
      <x:c r="K1048" s="25" t="str">
        <x:v>250-490</x:v>
      </x:c>
      <x:c r="L1048" s="25" t="n">
        <x:v>640000</x:v>
      </x:c>
      <x:c r="M1048" s="25" t="n">
        <x:v>0</x:v>
      </x:c>
      <x:c r="N1048" s="25" t="str">
        <x:v>否</x:v>
      </x:c>
      <x:c r="O1048" s="25" t="n">
        <x:v>0</x:v>
      </x:c>
      <x:c r="P1048" s="25" t="n">
        <x:v>0</x:v>
      </x:c>
      <x:c r="Q1048" s="25" t="n">
        <x:v>0</x:v>
      </x:c>
      <x:c r="R1048" s="25" t="str">
        <x:v>洗练绑定装备；项链幸运绑定人物永久进度；武器幸运成本忽略</x:v>
      </x:c>
    </x:row>
    <x:row r="1049">
      <x:c r="A1049" s="25" t="str">
        <x:v>C10-E</x:v>
      </x:c>
      <x:c r="B1049" s="25" t="str">
        <x:v>王城罗德尔</x:v>
      </x:c>
      <x:c r="C1049" s="25" t="str">
        <x:v>半急速入场</x:v>
      </x:c>
      <x:c r="D1049" s="25" t="n">
        <x:v>43</x:v>
      </x:c>
      <x:c r="E1049" s="25" t="n">
        <x:v>127</x:v>
      </x:c>
      <x:c r="F1049" s="25" t="str">
        <x:v>卯兔·镜月折辉</x:v>
      </x:c>
      <x:c r="G1049" s="25" t="str">
        <x:v>生肖4</x:v>
      </x:c>
      <x:c r="H1049" s="25" t="n">
        <x:v>5</x:v>
      </x:c>
      <x:c r="I1049" s="25" t="str">
        <x:v>生肖合成</x:v>
      </x:c>
      <x:c r="J1049" s="25" t="str">
        <x:v>S07</x:v>
      </x:c>
      <x:c r="K1049" s="25" t="str">
        <x:v>150-280</x:v>
      </x:c>
      <x:c r="L1049" s="25" t="n">
        <x:v>360000</x:v>
      </x:c>
      <x:c r="M1049" s="25" t="n">
        <x:v>0</x:v>
      </x:c>
      <x:c r="N1049" s="25" t="str">
        <x:v>否</x:v>
      </x:c>
      <x:c r="O1049" s="25" t="n">
        <x:v>0</x:v>
      </x:c>
      <x:c r="P1049" s="25" t="n">
        <x:v>0</x:v>
      </x:c>
      <x:c r="Q1049" s="25" t="n">
        <x:v>0</x:v>
      </x:c>
      <x:c r="R1049" s="25" t="str">
        <x:v>洗练绑定装备；项链幸运绑定人物永久进度；武器幸运成本忽略</x:v>
      </x:c>
    </x:row>
    <x:row r="1050">
      <x:c r="A1050" s="25" t="str">
        <x:v>C10-E</x:v>
      </x:c>
      <x:c r="B1050" s="25" t="str">
        <x:v>王城罗德尔</x:v>
      </x:c>
      <x:c r="C1050" s="25" t="str">
        <x:v>半急速入场</x:v>
      </x:c>
      <x:c r="D1050" s="25" t="n">
        <x:v>44</x:v>
      </x:c>
      <x:c r="E1050" s="25" t="n">
        <x:v>91</x:v>
      </x:c>
      <x:c r="F1050" s="25" t="str">
        <x:v>辰龙·荒原逐风</x:v>
      </x:c>
      <x:c r="G1050" s="25" t="str">
        <x:v>生肖5</x:v>
      </x:c>
      <x:c r="H1050" s="25" t="n">
        <x:v>3</x:v>
      </x:c>
      <x:c r="I1050" s="25" t="str">
        <x:v>生肖合成</x:v>
      </x:c>
      <x:c r="J1050" s="25" t="str">
        <x:v>S07</x:v>
      </x:c>
      <x:c r="K1050" s="25" t="str">
        <x:v>47-90</x:v>
      </x:c>
      <x:c r="L1050" s="25" t="n">
        <x:v>120000</x:v>
      </x:c>
      <x:c r="M1050" s="25" t="n">
        <x:v>0</x:v>
      </x:c>
      <x:c r="N1050" s="25" t="str">
        <x:v>否</x:v>
      </x:c>
      <x:c r="O1050" s="25" t="n">
        <x:v>0</x:v>
      </x:c>
      <x:c r="P1050" s="25" t="n">
        <x:v>0</x:v>
      </x:c>
      <x:c r="Q1050" s="25" t="n">
        <x:v>0</x:v>
      </x:c>
      <x:c r="R1050" s="25" t="str">
        <x:v>洗练绑定装备；项链幸运绑定人物永久进度；武器幸运成本忽略</x:v>
      </x:c>
    </x:row>
    <x:row r="1051">
      <x:c r="A1051" s="25" t="str">
        <x:v>C10-E</x:v>
      </x:c>
      <x:c r="B1051" s="25" t="str">
        <x:v>王城罗德尔</x:v>
      </x:c>
      <x:c r="C1051" s="25" t="str">
        <x:v>半急速入场</x:v>
      </x:c>
      <x:c r="D1051" s="25" t="n">
        <x:v>45</x:v>
      </x:c>
      <x:c r="E1051" s="25" t="n">
        <x:v>107</x:v>
      </x:c>
      <x:c r="F1051" s="25" t="str">
        <x:v>巳蛇·沉潮缚月</x:v>
      </x:c>
      <x:c r="G1051" s="25" t="str">
        <x:v>生肖6</x:v>
      </x:c>
      <x:c r="H1051" s="25" t="n">
        <x:v>4</x:v>
      </x:c>
      <x:c r="I1051" s="25" t="str">
        <x:v>生肖合成</x:v>
      </x:c>
      <x:c r="J1051" s="25" t="str">
        <x:v>S07</x:v>
      </x:c>
      <x:c r="K1051" s="25" t="str">
        <x:v>83-160</x:v>
      </x:c>
      <x:c r="L1051" s="25" t="n">
        <x:v>200000</x:v>
      </x:c>
      <x:c r="M1051" s="25" t="n">
        <x:v>0</x:v>
      </x:c>
      <x:c r="N1051" s="25" t="str">
        <x:v>否</x:v>
      </x:c>
      <x:c r="O1051" s="25" t="n">
        <x:v>0</x:v>
      </x:c>
      <x:c r="P1051" s="25" t="n">
        <x:v>0</x:v>
      </x:c>
      <x:c r="Q1051" s="25" t="n">
        <x:v>0</x:v>
      </x:c>
      <x:c r="R1051" s="25" t="str">
        <x:v>洗练绑定装备；项链幸运绑定人物永久进度；武器幸运成本忽略</x:v>
      </x:c>
    </x:row>
    <x:row r="1052">
      <x:c r="A1052" s="25" t="str">
        <x:v>C10-E</x:v>
      </x:c>
      <x:c r="B1052" s="25" t="str">
        <x:v>王城罗德尔</x:v>
      </x:c>
      <x:c r="C1052" s="25" t="str">
        <x:v>半急速入场</x:v>
      </x:c>
      <x:c r="D1052" s="25" t="n">
        <x:v>46</x:v>
      </x:c>
      <x:c r="E1052" s="25" t="n">
        <x:v>165</x:v>
      </x:c>
      <x:c r="F1052" s="25" t="str">
        <x:v>午马·霜脊踏天</x:v>
      </x:c>
      <x:c r="G1052" s="25" t="str">
        <x:v>生肖7</x:v>
      </x:c>
      <x:c r="H1052" s="25" t="n">
        <x:v>8</x:v>
      </x:c>
      <x:c r="I1052" s="25" t="str">
        <x:v>生肖合成</x:v>
      </x:c>
      <x:c r="J1052" s="25" t="str">
        <x:v>S07</x:v>
      </x:c>
      <x:c r="K1052" s="25" t="str">
        <x:v>830-1600</x:v>
      </x:c>
      <x:c r="L1052" s="25" t="n">
        <x:v>2000000</x:v>
      </x:c>
      <x:c r="M1052" s="25" t="n">
        <x:v>0</x:v>
      </x:c>
      <x:c r="N1052" s="25" t="str">
        <x:v>否</x:v>
      </x:c>
      <x:c r="O1052" s="25" t="n">
        <x:v>0</x:v>
      </x:c>
      <x:c r="P1052" s="25" t="n">
        <x:v>0</x:v>
      </x:c>
      <x:c r="Q1052" s="25" t="n">
        <x:v>0</x:v>
      </x:c>
      <x:c r="R1052" s="25" t="str">
        <x:v>洗练绑定装备；项链幸运绑定人物永久进度；武器幸运成本忽略</x:v>
      </x:c>
    </x:row>
    <x:row r="1053">
      <x:c r="A1053" s="25" t="str">
        <x:v>C10-E</x:v>
      </x:c>
      <x:c r="B1053" s="25" t="str">
        <x:v>王城罗德尔</x:v>
      </x:c>
      <x:c r="C1053" s="25" t="str">
        <x:v>半急速入场</x:v>
      </x:c>
      <x:c r="D1053" s="25" t="n">
        <x:v>47</x:v>
      </x:c>
      <x:c r="E1053" s="25" t="n">
        <x:v>148</x:v>
      </x:c>
      <x:c r="F1053" s="25" t="str">
        <x:v>未羊·永霜引路</x:v>
      </x:c>
      <x:c r="G1053" s="25" t="str">
        <x:v>生肖8</x:v>
      </x:c>
      <x:c r="H1053" s="25" t="n">
        <x:v>7</x:v>
      </x:c>
      <x:c r="I1053" s="25" t="str">
        <x:v>生肖合成</x:v>
      </x:c>
      <x:c r="J1053" s="25" t="str">
        <x:v>S07</x:v>
      </x:c>
      <x:c r="K1053" s="25" t="str">
        <x:v>470-900</x:v>
      </x:c>
      <x:c r="L1053" s="25" t="n">
        <x:v>1200000</x:v>
      </x:c>
      <x:c r="M1053" s="25" t="n">
        <x:v>0</x:v>
      </x:c>
      <x:c r="N1053" s="25" t="str">
        <x:v>否</x:v>
      </x:c>
      <x:c r="O1053" s="25" t="n">
        <x:v>0</x:v>
      </x:c>
      <x:c r="P1053" s="25" t="n">
        <x:v>0</x:v>
      </x:c>
      <x:c r="Q1053" s="25" t="n">
        <x:v>0</x:v>
      </x:c>
      <x:c r="R1053" s="25" t="str">
        <x:v>洗练绑定装备；项链幸运绑定人物永久进度；武器幸运成本忽略</x:v>
      </x:c>
    </x:row>
    <x:row r="1054">
      <x:c r="A1054" s="25" t="str">
        <x:v>C10-E</x:v>
      </x:c>
      <x:c r="B1054" s="25" t="str">
        <x:v>王城罗德尔</x:v>
      </x:c>
      <x:c r="C1054" s="25" t="str">
        <x:v>半急速入场</x:v>
      </x:c>
      <x:c r="D1054" s="25" t="n">
        <x:v>48</x:v>
      </x:c>
      <x:c r="E1054" s="25" t="n">
        <x:v>81</x:v>
      </x:c>
      <x:c r="F1054" s="25" t="str">
        <x:v>雷冠申猴</x:v>
      </x:c>
      <x:c r="G1054" s="25" t="str">
        <x:v>生肖9</x:v>
      </x:c>
      <x:c r="H1054" s="25" t="n">
        <x:v>2</x:v>
      </x:c>
      <x:c r="I1054" s="25" t="str">
        <x:v>BOSS</x:v>
      </x:c>
      <x:c r="J1054" s="25" t="str">
        <x:v>S02</x:v>
      </x:c>
      <x:c r="K1054" s="25" t="str">
        <x:v>44-84</x:v>
      </x:c>
      <x:c r="L1054" s="25" t="n">
        <x:v>59800</x:v>
      </x:c>
      <x:c r="M1054" s="25" t="n">
        <x:v>0</x:v>
      </x:c>
      <x:c r="N1054" s="25" t="str">
        <x:v>否</x:v>
      </x:c>
      <x:c r="O1054" s="25" t="n">
        <x:v>0</x:v>
      </x:c>
      <x:c r="P1054" s="25" t="n">
        <x:v>0</x:v>
      </x:c>
      <x:c r="Q1054" s="25" t="n">
        <x:v>0</x:v>
      </x:c>
      <x:c r="R1054" s="25" t="str">
        <x:v>洗练绑定装备；项链幸运绑定人物永久进度；武器幸运成本忽略</x:v>
      </x:c>
    </x:row>
    <x:row r="1055">
      <x:c r="A1055" s="25" t="str">
        <x:v>C10-E</x:v>
      </x:c>
      <x:c r="B1055" s="25" t="str">
        <x:v>王城罗德尔</x:v>
      </x:c>
      <x:c r="C1055" s="25" t="str">
        <x:v>半急速入场</x:v>
      </x:c>
      <x:c r="D1055" s="25" t="n">
        <x:v>49</x:v>
      </x:c>
      <x:c r="E1055" s="25" t="n">
        <x:v>187</x:v>
      </x:c>
      <x:c r="F1055" s="25" t="str">
        <x:v>酉鸡·鎏日司晨</x:v>
      </x:c>
      <x:c r="G1055" s="25" t="str">
        <x:v>生肖10</x:v>
      </x:c>
      <x:c r="H1055" s="25" t="n">
        <x:v>9</x:v>
      </x:c>
      <x:c r="I1055" s="25" t="str">
        <x:v>生肖合成</x:v>
      </x:c>
      <x:c r="J1055" s="25" t="str">
        <x:v>S07</x:v>
      </x:c>
      <x:c r="K1055" s="25" t="str">
        <x:v>1500-2800</x:v>
      </x:c>
      <x:c r="L1055" s="25" t="n">
        <x:v>3600000</x:v>
      </x:c>
      <x:c r="M1055" s="25" t="n">
        <x:v>0</x:v>
      </x:c>
      <x:c r="N1055" s="25" t="str">
        <x:v>否</x:v>
      </x:c>
      <x:c r="O1055" s="25" t="n">
        <x:v>0</x:v>
      </x:c>
      <x:c r="P1055" s="25" t="n">
        <x:v>0</x:v>
      </x:c>
      <x:c r="Q1055" s="25" t="n">
        <x:v>0</x:v>
      </x:c>
      <x:c r="R1055" s="25" t="str">
        <x:v>洗练绑定装备；项链幸运绑定人物永久进度；武器幸运成本忽略</x:v>
      </x:c>
    </x:row>
    <x:row r="1056">
      <x:c r="A1056" s="25" t="str">
        <x:v>C10-E</x:v>
      </x:c>
      <x:c r="B1056" s="25" t="str">
        <x:v>王城罗德尔</x:v>
      </x:c>
      <x:c r="C1056" s="25" t="str">
        <x:v>半急速入场</x:v>
      </x:c>
      <x:c r="D1056" s="25" t="n">
        <x:v>50</x:v>
      </x:c>
      <x:c r="E1056" s="25" t="n">
        <x:v>83</x:v>
      </x:c>
      <x:c r="F1056" s="25" t="str">
        <x:v>失乡戌狗</x:v>
      </x:c>
      <x:c r="G1056" s="25" t="str">
        <x:v>生肖11</x:v>
      </x:c>
      <x:c r="H1056" s="25" t="n">
        <x:v>2</x:v>
      </x:c>
      <x:c r="I1056" s="25" t="str">
        <x:v>BOSS</x:v>
      </x:c>
      <x:c r="J1056" s="25" t="str">
        <x:v>S02</x:v>
      </x:c>
      <x:c r="K1056" s="25" t="str">
        <x:v>48-93</x:v>
      </x:c>
      <x:c r="L1056" s="25" t="n">
        <x:v>79800</x:v>
      </x:c>
      <x:c r="M1056" s="25" t="n">
        <x:v>0</x:v>
      </x:c>
      <x:c r="N1056" s="25" t="str">
        <x:v>否</x:v>
      </x:c>
      <x:c r="O1056" s="25" t="n">
        <x:v>0</x:v>
      </x:c>
      <x:c r="P1056" s="25" t="n">
        <x:v>0</x:v>
      </x:c>
      <x:c r="Q1056" s="25" t="n">
        <x:v>0</x:v>
      </x:c>
      <x:c r="R1056" s="25" t="str">
        <x:v>洗练绑定装备；项链幸运绑定人物永久进度；武器幸运成本忽略</x:v>
      </x:c>
    </x:row>
    <x:row r="1057">
      <x:c r="A1057" s="25" t="str">
        <x:v>C10-E</x:v>
      </x:c>
      <x:c r="B1057" s="25" t="str">
        <x:v>王城罗德尔</x:v>
      </x:c>
      <x:c r="C1057" s="25" t="str">
        <x:v>半急速入场</x:v>
      </x:c>
      <x:c r="D1057" s="25" t="n">
        <x:v>51</x:v>
      </x:c>
      <x:c r="E1057" s="25" t="n">
        <x:v>84</x:v>
      </x:c>
      <x:c r="F1057" s="25" t="str">
        <x:v>接肢亥猪</x:v>
      </x:c>
      <x:c r="G1057" s="25" t="str">
        <x:v>生肖12</x:v>
      </x:c>
      <x:c r="H1057" s="25" t="n">
        <x:v>2</x:v>
      </x:c>
      <x:c r="I1057" s="25" t="str">
        <x:v>守关BOSS</x:v>
      </x:c>
      <x:c r="J1057" s="25" t="str">
        <x:v>S02</x:v>
      </x:c>
      <x:c r="K1057" s="25" t="str">
        <x:v>55-106</x:v>
      </x:c>
      <x:c r="L1057" s="25" t="n">
        <x:v>90800</x:v>
      </x:c>
      <x:c r="M1057" s="25" t="n">
        <x:v>0</x:v>
      </x:c>
      <x:c r="N1057" s="25" t="str">
        <x:v>否</x:v>
      </x:c>
      <x:c r="O1057" s="25" t="n">
        <x:v>0</x:v>
      </x:c>
      <x:c r="P1057" s="25" t="n">
        <x:v>0</x:v>
      </x:c>
      <x:c r="Q1057" s="25" t="n">
        <x:v>0</x:v>
      </x:c>
      <x:c r="R1057" s="25" t="str">
        <x:v>洗练绑定装备；项链幸运绑定人物永久进度；武器幸运成本忽略</x:v>
      </x:c>
    </x:row>
    <x:row r="1058">
      <x:c r="A1058" s="25" t="str">
        <x:v>C10-M</x:v>
      </x:c>
      <x:c r="B1058" s="25" t="str">
        <x:v>王城罗德尔</x:v>
      </x:c>
      <x:c r="C1058" s="25" t="str">
        <x:v>半急速中期</x:v>
      </x:c>
      <x:c r="D1058" s="25" t="n">
        <x:v>0</x:v>
      </x:c>
      <x:c r="E1058" s="25" t="n">
        <x:v>176</x:v>
      </x:c>
      <x:c r="F1058" s="25" t="str">
        <x:v>鎏苔守陵衣</x:v>
      </x:c>
      <x:c r="G1058" s="25" t="str">
        <x:v>衣服</x:v>
      </x:c>
      <x:c r="H1058" s="25" t="n">
        <x:v>9</x:v>
      </x:c>
      <x:c r="I1058" s="25" t="str">
        <x:v>普通</x:v>
      </x:c>
      <x:c r="J1058" s="25" t="str">
        <x:v>S07</x:v>
      </x:c>
      <x:c r="K1058" s="25" t="str">
        <x:v>1200-2300</x:v>
      </x:c>
      <x:c r="L1058" s="25" t="n">
        <x:v>5200000</x:v>
      </x:c>
      <x:c r="M1058" s="25" t="n">
        <x:v>4</x:v>
      </x:c>
      <x:c r="N1058" s="25" t="str">
        <x:v>否</x:v>
      </x:c>
      <x:c r="O1058" s="25" t="n">
        <x:v>0</x:v>
      </x:c>
      <x:c r="P1058" s="25" t="n">
        <x:v>0</x:v>
      </x:c>
      <x:c r="Q1058" s="25" t="n">
        <x:v>0</x:v>
      </x:c>
      <x:c r="R1058" s="25" t="str">
        <x:v>洗练绑定装备；项链幸运绑定人物永久进度；武器幸运成本忽略</x:v>
      </x:c>
    </x:row>
    <x:row r="1059">
      <x:c r="A1059" s="25" t="str">
        <x:v>C10-M</x:v>
      </x:c>
      <x:c r="B1059" s="25" t="str">
        <x:v>王城罗德尔</x:v>
      </x:c>
      <x:c r="C1059" s="25" t="str">
        <x:v>半急速中期</x:v>
      </x:c>
      <x:c r="D1059" s="25" t="n">
        <x:v>1</x:v>
      </x:c>
      <x:c r="E1059" s="25" t="n">
        <x:v>186</x:v>
      </x:c>
      <x:c r="F1059" s="25" t="str">
        <x:v>黄金律裁阳刃</x:v>
      </x:c>
      <x:c r="G1059" s="25" t="str">
        <x:v>武器</x:v>
      </x:c>
      <x:c r="H1059" s="25" t="n">
        <x:v>9</x:v>
      </x:c>
      <x:c r="I1059" s="25" t="str">
        <x:v>装备合成</x:v>
      </x:c>
      <x:c r="J1059" s="25" t="str">
        <x:v>S07</x:v>
      </x:c>
      <x:c r="K1059" s="25" t="str">
        <x:v>42000-80000</x:v>
      </x:c>
      <x:c r="L1059" s="25" t="n">
        <x:v>4800000</x:v>
      </x:c>
      <x:c r="M1059" s="25" t="n">
        <x:v>4</x:v>
      </x:c>
      <x:c r="N1059" s="25" t="str">
        <x:v>否</x:v>
      </x:c>
      <x:c r="O1059" s="25" t="n">
        <x:v>7</x:v>
      </x:c>
      <x:c r="P1059" s="25" t="n">
        <x:v>0</x:v>
      </x:c>
      <x:c r="Q1059" s="25" t="n">
        <x:v>0</x:v>
      </x:c>
      <x:c r="R1059" s="25" t="str">
        <x:v>洗练绑定装备；项链幸运绑定人物永久进度；武器幸运成本忽略</x:v>
      </x:c>
    </x:row>
    <x:row r="1060">
      <x:c r="A1060" s="25" t="str">
        <x:v>C10-M</x:v>
      </x:c>
      <x:c r="B1060" s="25" t="str">
        <x:v>王城罗德尔</x:v>
      </x:c>
      <x:c r="C1060" s="25" t="str">
        <x:v>半急速中期</x:v>
      </x:c>
      <x:c r="D1060" s="25" t="n">
        <x:v>2</x:v>
      </x:c>
      <x:c r="E1060" s="25" t="n">
        <x:v>144</x:v>
      </x:c>
      <x:c r="F1060" s="25" t="str">
        <x:v>灰烬裁印</x:v>
      </x:c>
      <x:c r="G1060" s="25" t="str">
        <x:v>勋章</x:v>
      </x:c>
      <x:c r="H1060" s="25" t="n">
        <x:v>6</x:v>
      </x:c>
      <x:c r="I1060" s="25" t="str">
        <x:v>稀有</x:v>
      </x:c>
      <x:c r="J1060" s="25" t="str">
        <x:v>S07</x:v>
      </x:c>
      <x:c r="K1060" s="25" t="str">
        <x:v>350-680</x:v>
      </x:c>
      <x:c r="L1060" s="25" t="n">
        <x:v>370000</x:v>
      </x:c>
      <x:c r="M1060" s="25" t="n">
        <x:v>0</x:v>
      </x:c>
      <x:c r="N1060" s="25" t="str">
        <x:v>否</x:v>
      </x:c>
      <x:c r="O1060" s="25" t="n">
        <x:v>0</x:v>
      </x:c>
      <x:c r="P1060" s="25" t="n">
        <x:v>0</x:v>
      </x:c>
      <x:c r="Q1060" s="25" t="n">
        <x:v>0</x:v>
      </x:c>
      <x:c r="R1060" s="25" t="str">
        <x:v>洗练绑定装备；项链幸运绑定人物永久进度；武器幸运成本忽略</x:v>
      </x:c>
    </x:row>
    <x:row r="1061">
      <x:c r="A1061" s="25" t="str">
        <x:v>C10-M</x:v>
      </x:c>
      <x:c r="B1061" s="25" t="str">
        <x:v>王城罗德尔</x:v>
      </x:c>
      <x:c r="C1061" s="25" t="str">
        <x:v>半急速中期</x:v>
      </x:c>
      <x:c r="D1061" s="25" t="n">
        <x:v>3</x:v>
      </x:c>
      <x:c r="E1061" s="25" t="n">
        <x:v>191</x:v>
      </x:c>
      <x:c r="F1061" s="25" t="str">
        <x:v>白翼颈链</x:v>
      </x:c>
      <x:c r="G1061" s="25" t="str">
        <x:v>项链</x:v>
      </x:c>
      <x:c r="H1061" s="25" t="n">
        <x:v>7</x:v>
      </x:c>
      <x:c r="I1061" s="25" t="str">
        <x:v>稀有</x:v>
      </x:c>
      <x:c r="J1061" s="25" t="str">
        <x:v>S07</x:v>
      </x:c>
      <x:c r="K1061" s="25" t="str">
        <x:v>830-1600</x:v>
      </x:c>
      <x:c r="L1061" s="25" t="n">
        <x:v>680000</x:v>
      </x:c>
      <x:c r="M1061" s="25" t="n">
        <x:v>4</x:v>
      </x:c>
      <x:c r="N1061" s="25" t="str">
        <x:v>否</x:v>
      </x:c>
      <x:c r="O1061" s="25" t="n">
        <x:v>0</x:v>
      </x:c>
      <x:c r="P1061" s="25" t="n">
        <x:v>0</x:v>
      </x:c>
      <x:c r="Q1061" s="25" t="n">
        <x:v>0</x:v>
      </x:c>
      <x:c r="R1061" s="25" t="str">
        <x:v>洗练绑定装备；项链幸运绑定人物永久进度；武器幸运成本忽略</x:v>
      </x:c>
    </x:row>
    <x:row r="1062">
      <x:c r="A1062" s="25" t="str">
        <x:v>C10-M</x:v>
      </x:c>
      <x:c r="B1062" s="25" t="str">
        <x:v>王城罗德尔</x:v>
      </x:c>
      <x:c r="C1062" s="25" t="str">
        <x:v>半急速中期</x:v>
      </x:c>
      <x:c r="D1062" s="25" t="n">
        <x:v>4</x:v>
      </x:c>
      <x:c r="E1062" s="25" t="n">
        <x:v>182</x:v>
      </x:c>
      <x:c r="F1062" s="25" t="str">
        <x:v>芙蕾冰冠</x:v>
      </x:c>
      <x:c r="G1062" s="25" t="str">
        <x:v>头盔</x:v>
      </x:c>
      <x:c r="H1062" s="25" t="n">
        <x:v>7</x:v>
      </x:c>
      <x:c r="I1062" s="25" t="str">
        <x:v>地图BOSS</x:v>
      </x:c>
      <x:c r="J1062" s="25" t="str">
        <x:v>S07</x:v>
      </x:c>
      <x:c r="K1062" s="25" t="str">
        <x:v>730-1400</x:v>
      </x:c>
      <x:c r="L1062" s="25" t="n">
        <x:v>1500000</x:v>
      </x:c>
      <x:c r="M1062" s="25" t="n">
        <x:v>2</x:v>
      </x:c>
      <x:c r="N1062" s="25" t="str">
        <x:v>否</x:v>
      </x:c>
      <x:c r="O1062" s="25" t="n">
        <x:v>0</x:v>
      </x:c>
      <x:c r="P1062" s="25" t="n">
        <x:v>0</x:v>
      </x:c>
      <x:c r="Q1062" s="25" t="n">
        <x:v>0</x:v>
      </x:c>
      <x:c r="R1062" s="25" t="str">
        <x:v>洗练绑定装备；项链幸运绑定人物永久进度；武器幸运成本忽略</x:v>
      </x:c>
    </x:row>
    <x:row r="1063">
      <x:c r="A1063" s="25" t="str">
        <x:v>C10-M</x:v>
      </x:c>
      <x:c r="B1063" s="25" t="str">
        <x:v>王城罗德尔</x:v>
      </x:c>
      <x:c r="C1063" s="25" t="str">
        <x:v>半急速中期</x:v>
      </x:c>
      <x:c r="D1063" s="25" t="n">
        <x:v>5</x:v>
      </x:c>
      <x:c r="E1063" s="25" t="n">
        <x:v>192</x:v>
      </x:c>
      <x:c r="F1063" s="25" t="str">
        <x:v>残斧魂腕环</x:v>
      </x:c>
      <x:c r="G1063" s="25" t="str">
        <x:v>手镯</x:v>
      </x:c>
      <x:c r="H1063" s="25" t="n">
        <x:v>8</x:v>
      </x:c>
      <x:c r="I1063" s="25" t="str">
        <x:v>普通</x:v>
      </x:c>
      <x:c r="J1063" s="25" t="str">
        <x:v>S07</x:v>
      </x:c>
      <x:c r="K1063" s="25" t="str">
        <x:v>880-1700</x:v>
      </x:c>
      <x:c r="L1063" s="25" t="n">
        <x:v>700000</x:v>
      </x:c>
      <x:c r="M1063" s="25" t="n">
        <x:v>2</x:v>
      </x:c>
      <x:c r="N1063" s="25" t="str">
        <x:v>否</x:v>
      </x:c>
      <x:c r="O1063" s="25" t="n">
        <x:v>0</x:v>
      </x:c>
      <x:c r="P1063" s="25" t="n">
        <x:v>0</x:v>
      </x:c>
      <x:c r="Q1063" s="25" t="n">
        <x:v>0</x:v>
      </x:c>
      <x:c r="R1063" s="25" t="str">
        <x:v>洗练绑定装备；项链幸运绑定人物永久进度；武器幸运成本忽略</x:v>
      </x:c>
    </x:row>
    <x:row r="1064">
      <x:c r="A1064" s="25" t="str">
        <x:v>C10-M</x:v>
      </x:c>
      <x:c r="B1064" s="25" t="str">
        <x:v>王城罗德尔</x:v>
      </x:c>
      <x:c r="C1064" s="25" t="str">
        <x:v>半急速中期</x:v>
      </x:c>
      <x:c r="D1064" s="25" t="n">
        <x:v>6</x:v>
      </x:c>
      <x:c r="E1064" s="25" t="n">
        <x:v>201</x:v>
      </x:c>
      <x:c r="F1064" s="25" t="str">
        <x:v>寒狱铁镯</x:v>
      </x:c>
      <x:c r="G1064" s="25" t="str">
        <x:v>手镯</x:v>
      </x:c>
      <x:c r="H1064" s="25" t="n">
        <x:v>7</x:v>
      </x:c>
      <x:c r="I1064" s="25" t="str">
        <x:v>普通</x:v>
      </x:c>
      <x:c r="J1064" s="25" t="str">
        <x:v>S07</x:v>
      </x:c>
      <x:c r="K1064" s="25" t="str">
        <x:v>620-1200</x:v>
      </x:c>
      <x:c r="L1064" s="25" t="n">
        <x:v>460000</x:v>
      </x:c>
      <x:c r="M1064" s="25" t="n">
        <x:v>5</x:v>
      </x:c>
      <x:c r="N1064" s="25" t="str">
        <x:v>否</x:v>
      </x:c>
      <x:c r="O1064" s="25" t="n">
        <x:v>0</x:v>
      </x:c>
      <x:c r="P1064" s="25" t="n">
        <x:v>0</x:v>
      </x:c>
      <x:c r="Q1064" s="25" t="n">
        <x:v>0</x:v>
      </x:c>
      <x:c r="R1064" s="25" t="str">
        <x:v>洗练绑定装备；项链幸运绑定人物永久进度；武器幸运成本忽略</x:v>
      </x:c>
    </x:row>
    <x:row r="1065">
      <x:c r="A1065" s="25" t="str">
        <x:v>C10-M</x:v>
      </x:c>
      <x:c r="B1065" s="25" t="str">
        <x:v>王城罗德尔</x:v>
      </x:c>
      <x:c r="C1065" s="25" t="str">
        <x:v>半急速中期</x:v>
      </x:c>
      <x:c r="D1065" s="25" t="n">
        <x:v>7</x:v>
      </x:c>
      <x:c r="E1065" s="25" t="n">
        <x:v>198</x:v>
      </x:c>
      <x:c r="F1065" s="25" t="str">
        <x:v>封誓霜纹戒</x:v>
      </x:c>
      <x:c r="G1065" s="25" t="str">
        <x:v>戒指</x:v>
      </x:c>
      <x:c r="H1065" s="25" t="n">
        <x:v>8</x:v>
      </x:c>
      <x:c r="I1065" s="25" t="str">
        <x:v>稀有</x:v>
      </x:c>
      <x:c r="J1065" s="25" t="str">
        <x:v>S07</x:v>
      </x:c>
      <x:c r="K1065" s="25" t="str">
        <x:v>1400-2600</x:v>
      </x:c>
      <x:c r="L1065" s="25" t="n">
        <x:v>1000000</x:v>
      </x:c>
      <x:c r="M1065" s="25" t="n">
        <x:v>5</x:v>
      </x:c>
      <x:c r="N1065" s="25" t="str">
        <x:v>否</x:v>
      </x:c>
      <x:c r="O1065" s="25" t="n">
        <x:v>0</x:v>
      </x:c>
      <x:c r="P1065" s="25" t="n">
        <x:v>0</x:v>
      </x:c>
      <x:c r="Q1065" s="25" t="n">
        <x:v>0</x:v>
      </x:c>
      <x:c r="R1065" s="25" t="str">
        <x:v>洗练绑定装备；项链幸运绑定人物永久进度；武器幸运成本忽略</x:v>
      </x:c>
    </x:row>
    <x:row r="1066">
      <x:c r="A1066" s="25" t="str">
        <x:v>C10-M</x:v>
      </x:c>
      <x:c r="B1066" s="25" t="str">
        <x:v>王城罗德尔</x:v>
      </x:c>
      <x:c r="C1066" s="25" t="str">
        <x:v>半急速中期</x:v>
      </x:c>
      <x:c r="D1066" s="25" t="n">
        <x:v>8</x:v>
      </x:c>
      <x:c r="E1066" s="25" t="n">
        <x:v>195</x:v>
      </x:c>
      <x:c r="F1066" s="25" t="str">
        <x:v>巡界牙戒</x:v>
      </x:c>
      <x:c r="G1066" s="25" t="str">
        <x:v>戒指</x:v>
      </x:c>
      <x:c r="H1066" s="25" t="n">
        <x:v>7</x:v>
      </x:c>
      <x:c r="I1066" s="25" t="str">
        <x:v>普通</x:v>
      </x:c>
      <x:c r="J1066" s="25" t="str">
        <x:v>S07</x:v>
      </x:c>
      <x:c r="K1066" s="25" t="str">
        <x:v>620-1200</x:v>
      </x:c>
      <x:c r="L1066" s="25" t="n">
        <x:v>430000</x:v>
      </x:c>
      <x:c r="M1066" s="25" t="n">
        <x:v>5</x:v>
      </x:c>
      <x:c r="N1066" s="25" t="str">
        <x:v>否</x:v>
      </x:c>
      <x:c r="O1066" s="25" t="n">
        <x:v>0</x:v>
      </x:c>
      <x:c r="P1066" s="25" t="n">
        <x:v>0</x:v>
      </x:c>
      <x:c r="Q1066" s="25" t="n">
        <x:v>0</x:v>
      </x:c>
      <x:c r="R1066" s="25" t="str">
        <x:v>洗练绑定装备；项链幸运绑定人物永久进度；武器幸运成本忽略</x:v>
      </x:c>
    </x:row>
    <x:row r="1067">
      <x:c r="A1067" s="25" t="str">
        <x:v>C10-M</x:v>
      </x:c>
      <x:c r="B1067" s="25" t="str">
        <x:v>王城罗德尔</x:v>
      </x:c>
      <x:c r="C1067" s="25" t="str">
        <x:v>半急速中期</x:v>
      </x:c>
      <x:c r="D1067" s="25" t="n">
        <x:v>10</x:v>
      </x:c>
      <x:c r="E1067" s="25" t="n">
        <x:v>183</x:v>
      </x:c>
      <x:c r="F1067" s="25" t="str">
        <x:v>驮碑束腰</x:v>
      </x:c>
      <x:c r="G1067" s="25" t="str">
        <x:v>腰带</x:v>
      </x:c>
      <x:c r="H1067" s="25" t="n">
        <x:v>8</x:v>
      </x:c>
      <x:c r="I1067" s="25" t="str">
        <x:v>稀有</x:v>
      </x:c>
      <x:c r="J1067" s="25" t="str">
        <x:v>S07</x:v>
      </x:c>
      <x:c r="K1067" s="25" t="str">
        <x:v>730-1400</x:v>
      </x:c>
      <x:c r="L1067" s="25" t="n">
        <x:v>1600000</x:v>
      </x:c>
      <x:c r="M1067" s="25" t="n">
        <x:v>5</x:v>
      </x:c>
      <x:c r="N1067" s="25" t="str">
        <x:v>否</x:v>
      </x:c>
      <x:c r="O1067" s="25" t="n">
        <x:v>0</x:v>
      </x:c>
      <x:c r="P1067" s="25" t="n">
        <x:v>0</x:v>
      </x:c>
      <x:c r="Q1067" s="25" t="n">
        <x:v>0</x:v>
      </x:c>
      <x:c r="R1067" s="25" t="str">
        <x:v>洗练绑定装备；项链幸运绑定人物永久进度；武器幸运成本忽略</x:v>
      </x:c>
    </x:row>
    <x:row r="1068">
      <x:c r="A1068" s="25" t="str">
        <x:v>C10-M</x:v>
      </x:c>
      <x:c r="B1068" s="25" t="str">
        <x:v>王城罗德尔</x:v>
      </x:c>
      <x:c r="C1068" s="25" t="str">
        <x:v>半急速中期</x:v>
      </x:c>
      <x:c r="D1068" s="25" t="n">
        <x:v>11</x:v>
      </x:c>
      <x:c r="E1068" s="25" t="n">
        <x:v>199</x:v>
      </x:c>
      <x:c r="F1068" s="25" t="str">
        <x:v>寒灯侍履</x:v>
      </x:c>
      <x:c r="G1068" s="25" t="str">
        <x:v>鞋子</x:v>
      </x:c>
      <x:c r="H1068" s="25" t="n">
        <x:v>8</x:v>
      </x:c>
      <x:c r="I1068" s="25" t="str">
        <x:v>普通</x:v>
      </x:c>
      <x:c r="J1068" s="25" t="str">
        <x:v>S07</x:v>
      </x:c>
      <x:c r="K1068" s="25" t="str">
        <x:v>520-1000</x:v>
      </x:c>
      <x:c r="L1068" s="25" t="n">
        <x:v>740000</x:v>
      </x:c>
      <x:c r="M1068" s="25" t="n">
        <x:v>2</x:v>
      </x:c>
      <x:c r="N1068" s="25" t="str">
        <x:v>否</x:v>
      </x:c>
      <x:c r="O1068" s="25" t="n">
        <x:v>0</x:v>
      </x:c>
      <x:c r="P1068" s="25" t="n">
        <x:v>0</x:v>
      </x:c>
      <x:c r="Q1068" s="25" t="n">
        <x:v>0</x:v>
      </x:c>
      <x:c r="R1068" s="25" t="str">
        <x:v>洗练绑定装备；项链幸运绑定人物永久进度；武器幸运成本忽略</x:v>
      </x:c>
    </x:row>
    <x:row r="1069">
      <x:c r="A1069" s="25" t="str">
        <x:v>C10-M</x:v>
      </x:c>
      <x:c r="B1069" s="25" t="str">
        <x:v>王城罗德尔</x:v>
      </x:c>
      <x:c r="C1069" s="25" t="str">
        <x:v>半急速中期</x:v>
      </x:c>
      <x:c r="D1069" s="25" t="n">
        <x:v>13</x:v>
      </x:c>
      <x:c r="E1069" s="25" t="n">
        <x:v>185</x:v>
      </x:c>
      <x:c r="F1069" s="25" t="str">
        <x:v>缄声霜帘笠</x:v>
      </x:c>
      <x:c r="G1069" s="25" t="str">
        <x:v>斗笠</x:v>
      </x:c>
      <x:c r="H1069" s="25" t="n">
        <x:v>8</x:v>
      </x:c>
      <x:c r="I1069" s="25" t="str">
        <x:v>稀有</x:v>
      </x:c>
      <x:c r="J1069" s="25" t="str">
        <x:v>S07</x:v>
      </x:c>
      <x:c r="K1069" s="25" t="str">
        <x:v>780-1500</x:v>
      </x:c>
      <x:c r="L1069" s="25" t="n">
        <x:v>940000</x:v>
      </x:c>
      <x:c r="M1069" s="25" t="n">
        <x:v>0</x:v>
      </x:c>
      <x:c r="N1069" s="25" t="str">
        <x:v>否</x:v>
      </x:c>
      <x:c r="O1069" s="25" t="n">
        <x:v>0</x:v>
      </x:c>
      <x:c r="P1069" s="25" t="n">
        <x:v>0</x:v>
      </x:c>
      <x:c r="Q1069" s="25" t="n">
        <x:v>0</x:v>
      </x:c>
      <x:c r="R1069" s="25" t="str">
        <x:v>洗练绑定装备；项链幸运绑定人物永久进度；武器幸运成本忽略</x:v>
      </x:c>
    </x:row>
    <x:row r="1070">
      <x:c r="A1070" s="25" t="str">
        <x:v>C10-M</x:v>
      </x:c>
      <x:c r="B1070" s="25" t="str">
        <x:v>王城罗德尔</x:v>
      </x:c>
      <x:c r="C1070" s="25" t="str">
        <x:v>半急速中期</x:v>
      </x:c>
      <x:c r="D1070" s="25" t="n">
        <x:v>16</x:v>
      </x:c>
      <x:c r="E1070" s="25" t="n">
        <x:v>164</x:v>
      </x:c>
      <x:c r="F1070" s="25" t="str">
        <x:v>吞日霜壁</x:v>
      </x:c>
      <x:c r="G1070" s="25" t="str">
        <x:v>盾牌</x:v>
      </x:c>
      <x:c r="H1070" s="25" t="n">
        <x:v>8</x:v>
      </x:c>
      <x:c r="I1070" s="25" t="str">
        <x:v>装备合成</x:v>
      </x:c>
      <x:c r="J1070" s="25" t="str">
        <x:v>S07</x:v>
      </x:c>
      <x:c r="K1070" s="25" t="str">
        <x:v>2800-5400</x:v>
      </x:c>
      <x:c r="L1070" s="25" t="n">
        <x:v>7700000</x:v>
      </x:c>
      <x:c r="M1070" s="25" t="n">
        <x:v>0</x:v>
      </x:c>
      <x:c r="N1070" s="25" t="str">
        <x:v>否</x:v>
      </x:c>
      <x:c r="O1070" s="25" t="n">
        <x:v>0</x:v>
      </x:c>
      <x:c r="P1070" s="25" t="n">
        <x:v>0</x:v>
      </x:c>
      <x:c r="Q1070" s="25" t="n">
        <x:v>0</x:v>
      </x:c>
      <x:c r="R1070" s="25" t="str">
        <x:v>洗练绑定装备；项链幸运绑定人物永久进度；武器幸运成本忽略</x:v>
      </x:c>
    </x:row>
    <x:row r="1071">
      <x:c r="A1071" s="25" t="str">
        <x:v>C10-M</x:v>
      </x:c>
      <x:c r="B1071" s="25" t="str">
        <x:v>王城罗德尔</x:v>
      </x:c>
      <x:c r="C1071" s="25" t="str">
        <x:v>半急速中期</x:v>
      </x:c>
      <x:c r="D1071" s="25" t="n">
        <x:v>18</x:v>
      </x:c>
      <x:c r="E1071" s="25" t="n">
        <x:v>137</x:v>
      </x:c>
      <x:c r="F1071" s="25" t="str">
        <x:v>红狮余烬王衣</x:v>
      </x:c>
      <x:c r="G1071" s="25" t="str">
        <x:v>时装衣服</x:v>
      </x:c>
      <x:c r="H1071" s="25" t="n">
        <x:v>6</x:v>
      </x:c>
      <x:c r="I1071" s="25" t="str">
        <x:v>装备合成</x:v>
      </x:c>
      <x:c r="J1071" s="25" t="str">
        <x:v>S07</x:v>
      </x:c>
      <x:c r="K1071" s="25" t="str">
        <x:v>780-1500</x:v>
      </x:c>
      <x:c r="L1071" s="25" t="n">
        <x:v>5100000</x:v>
      </x:c>
      <x:c r="M1071" s="25" t="n">
        <x:v>0</x:v>
      </x:c>
      <x:c r="N1071" s="25" t="str">
        <x:v>否</x:v>
      </x:c>
      <x:c r="O1071" s="25" t="n">
        <x:v>0</x:v>
      </x:c>
      <x:c r="P1071" s="25" t="n">
        <x:v>0</x:v>
      </x:c>
      <x:c r="Q1071" s="25" t="n">
        <x:v>0</x:v>
      </x:c>
      <x:c r="R1071" s="25" t="str">
        <x:v>洗练绑定装备；项链幸运绑定人物永久进度；武器幸运成本忽略</x:v>
      </x:c>
    </x:row>
    <x:row r="1072">
      <x:c r="A1072" s="25" t="str">
        <x:v>C10-M</x:v>
      </x:c>
      <x:c r="B1072" s="25" t="str">
        <x:v>王城罗德尔</x:v>
      </x:c>
      <x:c r="C1072" s="25" t="str">
        <x:v>半急速中期</x:v>
      </x:c>
      <x:c r="D1072" s="25" t="n">
        <x:v>19</x:v>
      </x:c>
      <x:c r="E1072" s="25" t="n">
        <x:v>147</x:v>
      </x:c>
      <x:c r="F1072" s="25" t="str">
        <x:v>永霜白金刃</x:v>
      </x:c>
      <x:c r="G1072" s="25" t="str">
        <x:v>时装武器</x:v>
      </x:c>
      <x:c r="H1072" s="25" t="n">
        <x:v>7</x:v>
      </x:c>
      <x:c r="I1072" s="25" t="str">
        <x:v>装备合成</x:v>
      </x:c>
      <x:c r="J1072" s="25" t="str">
        <x:v>S07</x:v>
      </x:c>
      <x:c r="K1072" s="25" t="str">
        <x:v>4800-9200</x:v>
      </x:c>
      <x:c r="L1072" s="25" t="n">
        <x:v>1700000</x:v>
      </x:c>
      <x:c r="M1072" s="25" t="n">
        <x:v>0</x:v>
      </x:c>
      <x:c r="N1072" s="25" t="str">
        <x:v>否</x:v>
      </x:c>
      <x:c r="O1072" s="25" t="n">
        <x:v>0</x:v>
      </x:c>
      <x:c r="P1072" s="25" t="n">
        <x:v>0</x:v>
      </x:c>
      <x:c r="Q1072" s="25" t="n">
        <x:v>0</x:v>
      </x:c>
      <x:c r="R1072" s="25" t="str">
        <x:v>洗练绑定装备；项链幸运绑定人物永久进度；武器幸运成本忽略</x:v>
      </x:c>
    </x:row>
    <x:row r="1073">
      <x:c r="A1073" s="25" t="str">
        <x:v>C10-M</x:v>
      </x:c>
      <x:c r="B1073" s="25" t="str">
        <x:v>王城罗德尔</x:v>
      </x:c>
      <x:c r="C1073" s="25" t="str">
        <x:v>半急速中期</x:v>
      </x:c>
      <x:c r="D1073" s="25" t="n">
        <x:v>20</x:v>
      </x:c>
      <x:c r="E1073" s="25" t="n">
        <x:v>40</x:v>
      </x:c>
      <x:c r="F1073" s="25" t="str">
        <x:v>英雄余誓</x:v>
      </x:c>
      <x:c r="G1073" s="25" t="str">
        <x:v>时装项链</x:v>
      </x:c>
      <x:c r="H1073" s="25" t="n">
        <x:v>2</x:v>
      </x:c>
      <x:c r="I1073" s="25" t="str">
        <x:v>稀有</x:v>
      </x:c>
      <x:c r="J1073" s="25" t="str">
        <x:v>S02</x:v>
      </x:c>
      <x:c r="K1073" s="25" t="str">
        <x:v>31-60</x:v>
      </x:c>
      <x:c r="L1073" s="25" t="n">
        <x:v>17900</x:v>
      </x:c>
      <x:c r="M1073" s="25" t="n">
        <x:v>0</x:v>
      </x:c>
      <x:c r="N1073" s="25" t="str">
        <x:v>否</x:v>
      </x:c>
      <x:c r="O1073" s="25" t="n">
        <x:v>0</x:v>
      </x:c>
      <x:c r="P1073" s="25" t="n">
        <x:v>0</x:v>
      </x:c>
      <x:c r="Q1073" s="25" t="n">
        <x:v>0</x:v>
      </x:c>
      <x:c r="R1073" s="25" t="str">
        <x:v>洗练绑定装备；项链幸运绑定人物永久进度；武器幸运成本忽略</x:v>
      </x:c>
    </x:row>
    <x:row r="1074">
      <x:c r="A1074" s="25" t="str">
        <x:v>C10-M</x:v>
      </x:c>
      <x:c r="B1074" s="25" t="str">
        <x:v>王城罗德尔</x:v>
      </x:c>
      <x:c r="C1074" s="25" t="str">
        <x:v>半急速中期</x:v>
      </x:c>
      <x:c r="D1074" s="25" t="n">
        <x:v>21</x:v>
      </x:c>
      <x:c r="E1074" s="25" t="n">
        <x:v>41</x:v>
      </x:c>
      <x:c r="F1074" s="25" t="str">
        <x:v>初火兜鍪</x:v>
      </x:c>
      <x:c r="G1074" s="25" t="str">
        <x:v>时装头盔</x:v>
      </x:c>
      <x:c r="H1074" s="25" t="n">
        <x:v>2</x:v>
      </x:c>
      <x:c r="I1074" s="25" t="str">
        <x:v>稀有</x:v>
      </x:c>
      <x:c r="J1074" s="25" t="str">
        <x:v>S02</x:v>
      </x:c>
      <x:c r="K1074" s="25" t="str">
        <x:v>22-42</x:v>
      </x:c>
      <x:c r="L1074" s="25" t="n">
        <x:v>30900</x:v>
      </x:c>
      <x:c r="M1074" s="25" t="n">
        <x:v>0</x:v>
      </x:c>
      <x:c r="N1074" s="25" t="str">
        <x:v>否</x:v>
      </x:c>
      <x:c r="O1074" s="25" t="n">
        <x:v>0</x:v>
      </x:c>
      <x:c r="P1074" s="25" t="n">
        <x:v>0</x:v>
      </x:c>
      <x:c r="Q1074" s="25" t="n">
        <x:v>0</x:v>
      </x:c>
      <x:c r="R1074" s="25" t="str">
        <x:v>洗练绑定装备；项链幸运绑定人物永久进度；武器幸运成本忽略</x:v>
      </x:c>
    </x:row>
    <x:row r="1075">
      <x:c r="A1075" s="25" t="str">
        <x:v>C10-M</x:v>
      </x:c>
      <x:c r="B1075" s="25" t="str">
        <x:v>王城罗德尔</x:v>
      </x:c>
      <x:c r="C1075" s="25" t="str">
        <x:v>半急速中期</x:v>
      </x:c>
      <x:c r="D1075" s="25" t="n">
        <x:v>22</x:v>
      </x:c>
      <x:c r="E1075" s="25" t="n">
        <x:v>42</x:v>
      </x:c>
      <x:c r="F1075" s="25" t="str">
        <x:v>卢恩血镯</x:v>
      </x:c>
      <x:c r="G1075" s="25" t="str">
        <x:v>时装手镯</x:v>
      </x:c>
      <x:c r="H1075" s="25" t="n">
        <x:v>2</x:v>
      </x:c>
      <x:c r="I1075" s="25" t="str">
        <x:v>稀有</x:v>
      </x:c>
      <x:c r="J1075" s="25" t="str">
        <x:v>S02</x:v>
      </x:c>
      <x:c r="K1075" s="25" t="str">
        <x:v>42-80</x:v>
      </x:c>
      <x:c r="L1075" s="25" t="n">
        <x:v>34400</x:v>
      </x:c>
      <x:c r="M1075" s="25" t="n">
        <x:v>0</x:v>
      </x:c>
      <x:c r="N1075" s="25" t="str">
        <x:v>否</x:v>
      </x:c>
      <x:c r="O1075" s="25" t="n">
        <x:v>0</x:v>
      </x:c>
      <x:c r="P1075" s="25" t="n">
        <x:v>0</x:v>
      </x:c>
      <x:c r="Q1075" s="25" t="n">
        <x:v>0</x:v>
      </x:c>
      <x:c r="R1075" s="25" t="str">
        <x:v>洗练绑定装备；项链幸运绑定人物永久进度；武器幸运成本忽略</x:v>
      </x:c>
    </x:row>
    <x:row r="1076">
      <x:c r="A1076" s="25" t="str">
        <x:v>C10-M</x:v>
      </x:c>
      <x:c r="B1076" s="25" t="str">
        <x:v>王城罗德尔</x:v>
      </x:c>
      <x:c r="C1076" s="25" t="str">
        <x:v>半急速中期</x:v>
      </x:c>
      <x:c r="D1076" s="25" t="n">
        <x:v>24</x:v>
      </x:c>
      <x:c r="E1076" s="25" t="n">
        <x:v>43</x:v>
      </x:c>
      <x:c r="F1076" s="25" t="str">
        <x:v>黄金树戒</x:v>
      </x:c>
      <x:c r="G1076" s="25" t="str">
        <x:v>时装戒指</x:v>
      </x:c>
      <x:c r="H1076" s="25" t="n">
        <x:v>2</x:v>
      </x:c>
      <x:c r="I1076" s="25" t="str">
        <x:v>稀有</x:v>
      </x:c>
      <x:c r="J1076" s="25" t="str">
        <x:v>S02</x:v>
      </x:c>
      <x:c r="K1076" s="25" t="str">
        <x:v>42-80</x:v>
      </x:c>
      <x:c r="L1076" s="25" t="n">
        <x:v>34400</x:v>
      </x:c>
      <x:c r="M1076" s="25" t="n">
        <x:v>0</x:v>
      </x:c>
      <x:c r="N1076" s="25" t="str">
        <x:v>否</x:v>
      </x:c>
      <x:c r="O1076" s="25" t="n">
        <x:v>0</x:v>
      </x:c>
      <x:c r="P1076" s="25" t="n">
        <x:v>0</x:v>
      </x:c>
      <x:c r="Q1076" s="25" t="n">
        <x:v>0</x:v>
      </x:c>
      <x:c r="R1076" s="25" t="str">
        <x:v>洗练绑定装备；项链幸运绑定人物永久进度；武器幸运成本忽略</x:v>
      </x:c>
    </x:row>
    <x:row r="1077">
      <x:c r="A1077" s="25" t="str">
        <x:v>C10-M</x:v>
      </x:c>
      <x:c r="B1077" s="25" t="str">
        <x:v>王城罗德尔</x:v>
      </x:c>
      <x:c r="C1077" s="25" t="str">
        <x:v>半急速中期</x:v>
      </x:c>
      <x:c r="D1077" s="25" t="n">
        <x:v>40</x:v>
      </x:c>
      <x:c r="E1077" s="25" t="n">
        <x:v>44</x:v>
      </x:c>
      <x:c r="F1077" s="25" t="str">
        <x:v>腐树子鼠</x:v>
      </x:c>
      <x:c r="G1077" s="25" t="str">
        <x:v>生肖1</x:v>
      </x:c>
      <x:c r="H1077" s="25" t="n">
        <x:v>2</x:v>
      </x:c>
      <x:c r="I1077" s="25" t="str">
        <x:v>BOSS</x:v>
      </x:c>
      <x:c r="J1077" s="25" t="str">
        <x:v>S02</x:v>
      </x:c>
      <x:c r="K1077" s="25" t="str">
        <x:v>29-56</x:v>
      </x:c>
      <x:c r="L1077" s="25" t="n">
        <x:v>23600</x:v>
      </x:c>
      <x:c r="M1077" s="25" t="n">
        <x:v>0</x:v>
      </x:c>
      <x:c r="N1077" s="25" t="str">
        <x:v>否</x:v>
      </x:c>
      <x:c r="O1077" s="25" t="n">
        <x:v>0</x:v>
      </x:c>
      <x:c r="P1077" s="25" t="n">
        <x:v>0</x:v>
      </x:c>
      <x:c r="Q1077" s="25" t="n">
        <x:v>0</x:v>
      </x:c>
      <x:c r="R1077" s="25" t="str">
        <x:v>洗练绑定装备；项链幸运绑定人物永久进度；武器幸运成本忽略</x:v>
      </x:c>
    </x:row>
    <x:row r="1078">
      <x:c r="A1078" s="25" t="str">
        <x:v>C10-M</x:v>
      </x:c>
      <x:c r="B1078" s="25" t="str">
        <x:v>王城罗德尔</x:v>
      </x:c>
      <x:c r="C1078" s="25" t="str">
        <x:v>半急速中期</x:v>
      </x:c>
      <x:c r="D1078" s="25" t="n">
        <x:v>41</x:v>
      </x:c>
      <x:c r="E1078" s="25" t="n">
        <x:v>69</x:v>
      </x:c>
      <x:c r="F1078" s="25" t="str">
        <x:v>丑牛·风暴负山</x:v>
      </x:c>
      <x:c r="G1078" s="25" t="str">
        <x:v>生肖2</x:v>
      </x:c>
      <x:c r="H1078" s="25" t="n">
        <x:v>2</x:v>
      </x:c>
      <x:c r="I1078" s="25" t="str">
        <x:v>生肖合成</x:v>
      </x:c>
      <x:c r="J1078" s="25" t="str">
        <x:v>S07</x:v>
      </x:c>
      <x:c r="K1078" s="25" t="str">
        <x:v>25-49</x:v>
      </x:c>
      <x:c r="L1078" s="25" t="n">
        <x:v>64000</x:v>
      </x:c>
      <x:c r="M1078" s="25" t="n">
        <x:v>0</x:v>
      </x:c>
      <x:c r="N1078" s="25" t="str">
        <x:v>否</x:v>
      </x:c>
      <x:c r="O1078" s="25" t="n">
        <x:v>0</x:v>
      </x:c>
      <x:c r="P1078" s="25" t="n">
        <x:v>0</x:v>
      </x:c>
      <x:c r="Q1078" s="25" t="n">
        <x:v>0</x:v>
      </x:c>
      <x:c r="R1078" s="25" t="str">
        <x:v>洗练绑定装备；项链幸运绑定人物永久进度；武器幸运成本忽略</x:v>
      </x:c>
    </x:row>
    <x:row r="1079">
      <x:c r="A1079" s="25" t="str">
        <x:v>C10-M</x:v>
      </x:c>
      <x:c r="B1079" s="25" t="str">
        <x:v>王城罗德尔</x:v>
      </x:c>
      <x:c r="C1079" s="25" t="str">
        <x:v>半急速中期</x:v>
      </x:c>
      <x:c r="D1079" s="25" t="n">
        <x:v>42</x:v>
      </x:c>
      <x:c r="E1079" s="25" t="n">
        <x:v>138</x:v>
      </x:c>
      <x:c r="F1079" s="25" t="str">
        <x:v>寅虎·红狮焚原</x:v>
      </x:c>
      <x:c r="G1079" s="25" t="str">
        <x:v>生肖3</x:v>
      </x:c>
      <x:c r="H1079" s="25" t="n">
        <x:v>6</x:v>
      </x:c>
      <x:c r="I1079" s="25" t="str">
        <x:v>生肖合成</x:v>
      </x:c>
      <x:c r="J1079" s="25" t="str">
        <x:v>S07</x:v>
      </x:c>
      <x:c r="K1079" s="25" t="str">
        <x:v>250-490</x:v>
      </x:c>
      <x:c r="L1079" s="25" t="n">
        <x:v>640000</x:v>
      </x:c>
      <x:c r="M1079" s="25" t="n">
        <x:v>0</x:v>
      </x:c>
      <x:c r="N1079" s="25" t="str">
        <x:v>否</x:v>
      </x:c>
      <x:c r="O1079" s="25" t="n">
        <x:v>0</x:v>
      </x:c>
      <x:c r="P1079" s="25" t="n">
        <x:v>0</x:v>
      </x:c>
      <x:c r="Q1079" s="25" t="n">
        <x:v>0</x:v>
      </x:c>
      <x:c r="R1079" s="25" t="str">
        <x:v>洗练绑定装备；项链幸运绑定人物永久进度；武器幸运成本忽略</x:v>
      </x:c>
    </x:row>
    <x:row r="1080">
      <x:c r="A1080" s="25" t="str">
        <x:v>C10-M</x:v>
      </x:c>
      <x:c r="B1080" s="25" t="str">
        <x:v>王城罗德尔</x:v>
      </x:c>
      <x:c r="C1080" s="25" t="str">
        <x:v>半急速中期</x:v>
      </x:c>
      <x:c r="D1080" s="25" t="n">
        <x:v>43</x:v>
      </x:c>
      <x:c r="E1080" s="25" t="n">
        <x:v>127</x:v>
      </x:c>
      <x:c r="F1080" s="25" t="str">
        <x:v>卯兔·镜月折辉</x:v>
      </x:c>
      <x:c r="G1080" s="25" t="str">
        <x:v>生肖4</x:v>
      </x:c>
      <x:c r="H1080" s="25" t="n">
        <x:v>5</x:v>
      </x:c>
      <x:c r="I1080" s="25" t="str">
        <x:v>生肖合成</x:v>
      </x:c>
      <x:c r="J1080" s="25" t="str">
        <x:v>S07</x:v>
      </x:c>
      <x:c r="K1080" s="25" t="str">
        <x:v>150-280</x:v>
      </x:c>
      <x:c r="L1080" s="25" t="n">
        <x:v>360000</x:v>
      </x:c>
      <x:c r="M1080" s="25" t="n">
        <x:v>0</x:v>
      </x:c>
      <x:c r="N1080" s="25" t="str">
        <x:v>否</x:v>
      </x:c>
      <x:c r="O1080" s="25" t="n">
        <x:v>0</x:v>
      </x:c>
      <x:c r="P1080" s="25" t="n">
        <x:v>0</x:v>
      </x:c>
      <x:c r="Q1080" s="25" t="n">
        <x:v>0</x:v>
      </x:c>
      <x:c r="R1080" s="25" t="str">
        <x:v>洗练绑定装备；项链幸运绑定人物永久进度；武器幸运成本忽略</x:v>
      </x:c>
    </x:row>
    <x:row r="1081">
      <x:c r="A1081" s="25" t="str">
        <x:v>C10-M</x:v>
      </x:c>
      <x:c r="B1081" s="25" t="str">
        <x:v>王城罗德尔</x:v>
      </x:c>
      <x:c r="C1081" s="25" t="str">
        <x:v>半急速中期</x:v>
      </x:c>
      <x:c r="D1081" s="25" t="n">
        <x:v>44</x:v>
      </x:c>
      <x:c r="E1081" s="25" t="n">
        <x:v>91</x:v>
      </x:c>
      <x:c r="F1081" s="25" t="str">
        <x:v>辰龙·荒原逐风</x:v>
      </x:c>
      <x:c r="G1081" s="25" t="str">
        <x:v>生肖5</x:v>
      </x:c>
      <x:c r="H1081" s="25" t="n">
        <x:v>3</x:v>
      </x:c>
      <x:c r="I1081" s="25" t="str">
        <x:v>生肖合成</x:v>
      </x:c>
      <x:c r="J1081" s="25" t="str">
        <x:v>S07</x:v>
      </x:c>
      <x:c r="K1081" s="25" t="str">
        <x:v>47-90</x:v>
      </x:c>
      <x:c r="L1081" s="25" t="n">
        <x:v>120000</x:v>
      </x:c>
      <x:c r="M1081" s="25" t="n">
        <x:v>0</x:v>
      </x:c>
      <x:c r="N1081" s="25" t="str">
        <x:v>否</x:v>
      </x:c>
      <x:c r="O1081" s="25" t="n">
        <x:v>0</x:v>
      </x:c>
      <x:c r="P1081" s="25" t="n">
        <x:v>0</x:v>
      </x:c>
      <x:c r="Q1081" s="25" t="n">
        <x:v>0</x:v>
      </x:c>
      <x:c r="R1081" s="25" t="str">
        <x:v>洗练绑定装备；项链幸运绑定人物永久进度；武器幸运成本忽略</x:v>
      </x:c>
    </x:row>
    <x:row r="1082">
      <x:c r="A1082" s="25" t="str">
        <x:v>C10-M</x:v>
      </x:c>
      <x:c r="B1082" s="25" t="str">
        <x:v>王城罗德尔</x:v>
      </x:c>
      <x:c r="C1082" s="25" t="str">
        <x:v>半急速中期</x:v>
      </x:c>
      <x:c r="D1082" s="25" t="n">
        <x:v>45</x:v>
      </x:c>
      <x:c r="E1082" s="25" t="n">
        <x:v>107</x:v>
      </x:c>
      <x:c r="F1082" s="25" t="str">
        <x:v>巳蛇·沉潮缚月</x:v>
      </x:c>
      <x:c r="G1082" s="25" t="str">
        <x:v>生肖6</x:v>
      </x:c>
      <x:c r="H1082" s="25" t="n">
        <x:v>4</x:v>
      </x:c>
      <x:c r="I1082" s="25" t="str">
        <x:v>生肖合成</x:v>
      </x:c>
      <x:c r="J1082" s="25" t="str">
        <x:v>S07</x:v>
      </x:c>
      <x:c r="K1082" s="25" t="str">
        <x:v>83-160</x:v>
      </x:c>
      <x:c r="L1082" s="25" t="n">
        <x:v>200000</x:v>
      </x:c>
      <x:c r="M1082" s="25" t="n">
        <x:v>0</x:v>
      </x:c>
      <x:c r="N1082" s="25" t="str">
        <x:v>否</x:v>
      </x:c>
      <x:c r="O1082" s="25" t="n">
        <x:v>0</x:v>
      </x:c>
      <x:c r="P1082" s="25" t="n">
        <x:v>0</x:v>
      </x:c>
      <x:c r="Q1082" s="25" t="n">
        <x:v>0</x:v>
      </x:c>
      <x:c r="R1082" s="25" t="str">
        <x:v>洗练绑定装备；项链幸运绑定人物永久进度；武器幸运成本忽略</x:v>
      </x:c>
    </x:row>
    <x:row r="1083">
      <x:c r="A1083" s="25" t="str">
        <x:v>C10-M</x:v>
      </x:c>
      <x:c r="B1083" s="25" t="str">
        <x:v>王城罗德尔</x:v>
      </x:c>
      <x:c r="C1083" s="25" t="str">
        <x:v>半急速中期</x:v>
      </x:c>
      <x:c r="D1083" s="25" t="n">
        <x:v>46</x:v>
      </x:c>
      <x:c r="E1083" s="25" t="n">
        <x:v>165</x:v>
      </x:c>
      <x:c r="F1083" s="25" t="str">
        <x:v>午马·霜脊踏天</x:v>
      </x:c>
      <x:c r="G1083" s="25" t="str">
        <x:v>生肖7</x:v>
      </x:c>
      <x:c r="H1083" s="25" t="n">
        <x:v>8</x:v>
      </x:c>
      <x:c r="I1083" s="25" t="str">
        <x:v>生肖合成</x:v>
      </x:c>
      <x:c r="J1083" s="25" t="str">
        <x:v>S07</x:v>
      </x:c>
      <x:c r="K1083" s="25" t="str">
        <x:v>830-1600</x:v>
      </x:c>
      <x:c r="L1083" s="25" t="n">
        <x:v>2000000</x:v>
      </x:c>
      <x:c r="M1083" s="25" t="n">
        <x:v>0</x:v>
      </x:c>
      <x:c r="N1083" s="25" t="str">
        <x:v>否</x:v>
      </x:c>
      <x:c r="O1083" s="25" t="n">
        <x:v>0</x:v>
      </x:c>
      <x:c r="P1083" s="25" t="n">
        <x:v>0</x:v>
      </x:c>
      <x:c r="Q1083" s="25" t="n">
        <x:v>0</x:v>
      </x:c>
      <x:c r="R1083" s="25" t="str">
        <x:v>洗练绑定装备；项链幸运绑定人物永久进度；武器幸运成本忽略</x:v>
      </x:c>
    </x:row>
    <x:row r="1084">
      <x:c r="A1084" s="25" t="str">
        <x:v>C10-M</x:v>
      </x:c>
      <x:c r="B1084" s="25" t="str">
        <x:v>王城罗德尔</x:v>
      </x:c>
      <x:c r="C1084" s="25" t="str">
        <x:v>半急速中期</x:v>
      </x:c>
      <x:c r="D1084" s="25" t="n">
        <x:v>47</x:v>
      </x:c>
      <x:c r="E1084" s="25" t="n">
        <x:v>148</x:v>
      </x:c>
      <x:c r="F1084" s="25" t="str">
        <x:v>未羊·永霜引路</x:v>
      </x:c>
      <x:c r="G1084" s="25" t="str">
        <x:v>生肖8</x:v>
      </x:c>
      <x:c r="H1084" s="25" t="n">
        <x:v>7</x:v>
      </x:c>
      <x:c r="I1084" s="25" t="str">
        <x:v>生肖合成</x:v>
      </x:c>
      <x:c r="J1084" s="25" t="str">
        <x:v>S07</x:v>
      </x:c>
      <x:c r="K1084" s="25" t="str">
        <x:v>470-900</x:v>
      </x:c>
      <x:c r="L1084" s="25" t="n">
        <x:v>1200000</x:v>
      </x:c>
      <x:c r="M1084" s="25" t="n">
        <x:v>0</x:v>
      </x:c>
      <x:c r="N1084" s="25" t="str">
        <x:v>否</x:v>
      </x:c>
      <x:c r="O1084" s="25" t="n">
        <x:v>0</x:v>
      </x:c>
      <x:c r="P1084" s="25" t="n">
        <x:v>0</x:v>
      </x:c>
      <x:c r="Q1084" s="25" t="n">
        <x:v>0</x:v>
      </x:c>
      <x:c r="R1084" s="25" t="str">
        <x:v>洗练绑定装备；项链幸运绑定人物永久进度；武器幸运成本忽略</x:v>
      </x:c>
    </x:row>
    <x:row r="1085">
      <x:c r="A1085" s="25" t="str">
        <x:v>C10-M</x:v>
      </x:c>
      <x:c r="B1085" s="25" t="str">
        <x:v>王城罗德尔</x:v>
      </x:c>
      <x:c r="C1085" s="25" t="str">
        <x:v>半急速中期</x:v>
      </x:c>
      <x:c r="D1085" s="25" t="n">
        <x:v>48</x:v>
      </x:c>
      <x:c r="E1085" s="25" t="n">
        <x:v>81</x:v>
      </x:c>
      <x:c r="F1085" s="25" t="str">
        <x:v>雷冠申猴</x:v>
      </x:c>
      <x:c r="G1085" s="25" t="str">
        <x:v>生肖9</x:v>
      </x:c>
      <x:c r="H1085" s="25" t="n">
        <x:v>2</x:v>
      </x:c>
      <x:c r="I1085" s="25" t="str">
        <x:v>BOSS</x:v>
      </x:c>
      <x:c r="J1085" s="25" t="str">
        <x:v>S02</x:v>
      </x:c>
      <x:c r="K1085" s="25" t="str">
        <x:v>44-84</x:v>
      </x:c>
      <x:c r="L1085" s="25" t="n">
        <x:v>59800</x:v>
      </x:c>
      <x:c r="M1085" s="25" t="n">
        <x:v>0</x:v>
      </x:c>
      <x:c r="N1085" s="25" t="str">
        <x:v>否</x:v>
      </x:c>
      <x:c r="O1085" s="25" t="n">
        <x:v>0</x:v>
      </x:c>
      <x:c r="P1085" s="25" t="n">
        <x:v>0</x:v>
      </x:c>
      <x:c r="Q1085" s="25" t="n">
        <x:v>0</x:v>
      </x:c>
      <x:c r="R1085" s="25" t="str">
        <x:v>洗练绑定装备；项链幸运绑定人物永久进度；武器幸运成本忽略</x:v>
      </x:c>
    </x:row>
    <x:row r="1086">
      <x:c r="A1086" s="25" t="str">
        <x:v>C10-M</x:v>
      </x:c>
      <x:c r="B1086" s="25" t="str">
        <x:v>王城罗德尔</x:v>
      </x:c>
      <x:c r="C1086" s="25" t="str">
        <x:v>半急速中期</x:v>
      </x:c>
      <x:c r="D1086" s="25" t="n">
        <x:v>49</x:v>
      </x:c>
      <x:c r="E1086" s="25" t="n">
        <x:v>187</x:v>
      </x:c>
      <x:c r="F1086" s="25" t="str">
        <x:v>酉鸡·鎏日司晨</x:v>
      </x:c>
      <x:c r="G1086" s="25" t="str">
        <x:v>生肖10</x:v>
      </x:c>
      <x:c r="H1086" s="25" t="n">
        <x:v>9</x:v>
      </x:c>
      <x:c r="I1086" s="25" t="str">
        <x:v>生肖合成</x:v>
      </x:c>
      <x:c r="J1086" s="25" t="str">
        <x:v>S07</x:v>
      </x:c>
      <x:c r="K1086" s="25" t="str">
        <x:v>1500-2800</x:v>
      </x:c>
      <x:c r="L1086" s="25" t="n">
        <x:v>3600000</x:v>
      </x:c>
      <x:c r="M1086" s="25" t="n">
        <x:v>0</x:v>
      </x:c>
      <x:c r="N1086" s="25" t="str">
        <x:v>否</x:v>
      </x:c>
      <x:c r="O1086" s="25" t="n">
        <x:v>0</x:v>
      </x:c>
      <x:c r="P1086" s="25" t="n">
        <x:v>0</x:v>
      </x:c>
      <x:c r="Q1086" s="25" t="n">
        <x:v>0</x:v>
      </x:c>
      <x:c r="R1086" s="25" t="str">
        <x:v>洗练绑定装备；项链幸运绑定人物永久进度；武器幸运成本忽略</x:v>
      </x:c>
    </x:row>
    <x:row r="1087">
      <x:c r="A1087" s="25" t="str">
        <x:v>C10-M</x:v>
      </x:c>
      <x:c r="B1087" s="25" t="str">
        <x:v>王城罗德尔</x:v>
      </x:c>
      <x:c r="C1087" s="25" t="str">
        <x:v>半急速中期</x:v>
      </x:c>
      <x:c r="D1087" s="25" t="n">
        <x:v>50</x:v>
      </x:c>
      <x:c r="E1087" s="25" t="n">
        <x:v>83</x:v>
      </x:c>
      <x:c r="F1087" s="25" t="str">
        <x:v>失乡戌狗</x:v>
      </x:c>
      <x:c r="G1087" s="25" t="str">
        <x:v>生肖11</x:v>
      </x:c>
      <x:c r="H1087" s="25" t="n">
        <x:v>2</x:v>
      </x:c>
      <x:c r="I1087" s="25" t="str">
        <x:v>BOSS</x:v>
      </x:c>
      <x:c r="J1087" s="25" t="str">
        <x:v>S02</x:v>
      </x:c>
      <x:c r="K1087" s="25" t="str">
        <x:v>48-93</x:v>
      </x:c>
      <x:c r="L1087" s="25" t="n">
        <x:v>79800</x:v>
      </x:c>
      <x:c r="M1087" s="25" t="n">
        <x:v>0</x:v>
      </x:c>
      <x:c r="N1087" s="25" t="str">
        <x:v>否</x:v>
      </x:c>
      <x:c r="O1087" s="25" t="n">
        <x:v>0</x:v>
      </x:c>
      <x:c r="P1087" s="25" t="n">
        <x:v>0</x:v>
      </x:c>
      <x:c r="Q1087" s="25" t="n">
        <x:v>0</x:v>
      </x:c>
      <x:c r="R1087" s="25" t="str">
        <x:v>洗练绑定装备；项链幸运绑定人物永久进度；武器幸运成本忽略</x:v>
      </x:c>
    </x:row>
    <x:row r="1088">
      <x:c r="A1088" s="25" t="str">
        <x:v>C10-M</x:v>
      </x:c>
      <x:c r="B1088" s="25" t="str">
        <x:v>王城罗德尔</x:v>
      </x:c>
      <x:c r="C1088" s="25" t="str">
        <x:v>半急速中期</x:v>
      </x:c>
      <x:c r="D1088" s="25" t="n">
        <x:v>51</x:v>
      </x:c>
      <x:c r="E1088" s="25" t="n">
        <x:v>84</x:v>
      </x:c>
      <x:c r="F1088" s="25" t="str">
        <x:v>接肢亥猪</x:v>
      </x:c>
      <x:c r="G1088" s="25" t="str">
        <x:v>生肖12</x:v>
      </x:c>
      <x:c r="H1088" s="25" t="n">
        <x:v>2</x:v>
      </x:c>
      <x:c r="I1088" s="25" t="str">
        <x:v>守关BOSS</x:v>
      </x:c>
      <x:c r="J1088" s="25" t="str">
        <x:v>S02</x:v>
      </x:c>
      <x:c r="K1088" s="25" t="str">
        <x:v>55-106</x:v>
      </x:c>
      <x:c r="L1088" s="25" t="n">
        <x:v>90800</x:v>
      </x:c>
      <x:c r="M1088" s="25" t="n">
        <x:v>0</x:v>
      </x:c>
      <x:c r="N1088" s="25" t="str">
        <x:v>否</x:v>
      </x:c>
      <x:c r="O1088" s="25" t="n">
        <x:v>0</x:v>
      </x:c>
      <x:c r="P1088" s="25" t="n">
        <x:v>0</x:v>
      </x:c>
      <x:c r="Q1088" s="25" t="n">
        <x:v>0</x:v>
      </x:c>
      <x:c r="R1088" s="25" t="str">
        <x:v>洗练绑定装备；项链幸运绑定人物永久进度；武器幸运成本忽略</x:v>
      </x:c>
    </x:row>
    <x:row r="1089">
      <x:c r="A1089" s="25" t="str">
        <x:v>C10-G</x:v>
      </x:c>
      <x:c r="B1089" s="25" t="str">
        <x:v>王城罗德尔</x:v>
      </x:c>
      <x:c r="C1089" s="25" t="str">
        <x:v>半急速毕业</x:v>
      </x:c>
      <x:c r="D1089" s="25" t="n">
        <x:v>0</x:v>
      </x:c>
      <x:c r="E1089" s="25" t="n">
        <x:v>217</x:v>
      </x:c>
      <x:c r="F1089" s="25" t="str">
        <x:v>锁链关门甲</x:v>
      </x:c>
      <x:c r="G1089" s="25" t="str">
        <x:v>衣服</x:v>
      </x:c>
      <x:c r="H1089" s="25" t="n">
        <x:v>9</x:v>
      </x:c>
      <x:c r="I1089" s="25" t="str">
        <x:v>普通</x:v>
      </x:c>
      <x:c r="J1089" s="25" t="str">
        <x:v>S07</x:v>
      </x:c>
      <x:c r="K1089" s="25" t="str">
        <x:v>1400-2600</x:v>
      </x:c>
      <x:c r="L1089" s="25" t="n">
        <x:v>7800000</x:v>
      </x:c>
      <x:c r="M1089" s="25" t="n">
        <x:v>7</x:v>
      </x:c>
      <x:c r="N1089" s="25" t="str">
        <x:v>是</x:v>
      </x:c>
      <x:c r="O1089" s="25" t="n">
        <x:v>0</x:v>
      </x:c>
      <x:c r="P1089" s="25" t="n">
        <x:v>0</x:v>
      </x:c>
      <x:c r="Q1089" s="25" t="n">
        <x:v>0</x:v>
      </x:c>
      <x:c r="R1089" s="25" t="str">
        <x:v>洗练绑定装备；项链幸运绑定人物永久进度；武器幸运成本忽略</x:v>
      </x:c>
    </x:row>
    <x:row r="1090">
      <x:c r="A1090" s="25" t="str">
        <x:v>C10-G</x:v>
      </x:c>
      <x:c r="B1090" s="25" t="str">
        <x:v>王城罗德尔</x:v>
      </x:c>
      <x:c r="C1090" s="25" t="str">
        <x:v>半急速毕业</x:v>
      </x:c>
      <x:c r="D1090" s="25" t="n">
        <x:v>1</x:v>
      </x:c>
      <x:c r="E1090" s="25" t="n">
        <x:v>214</x:v>
      </x:c>
      <x:c r="F1090" s="25" t="str">
        <x:v>王座终裁圣刃</x:v>
      </x:c>
      <x:c r="G1090" s="25" t="str">
        <x:v>武器</x:v>
      </x:c>
      <x:c r="H1090" s="25" t="n">
        <x:v>10</x:v>
      </x:c>
      <x:c r="I1090" s="25" t="str">
        <x:v>装备合成</x:v>
      </x:c>
      <x:c r="J1090" s="25" t="str">
        <x:v>S07</x:v>
      </x:c>
      <x:c r="K1090" s="25" t="str">
        <x:v>73000-140000</x:v>
      </x:c>
      <x:c r="L1090" s="25" t="n">
        <x:v>8500000</x:v>
      </x:c>
      <x:c r="M1090" s="25" t="n">
        <x:v>8</x:v>
      </x:c>
      <x:c r="N1090" s="25" t="str">
        <x:v>是</x:v>
      </x:c>
      <x:c r="O1090" s="25" t="n">
        <x:v>7</x:v>
      </x:c>
      <x:c r="P1090" s="25" t="n">
        <x:v>0</x:v>
      </x:c>
      <x:c r="Q1090" s="25" t="n">
        <x:v>0</x:v>
      </x:c>
      <x:c r="R1090" s="25" t="str">
        <x:v>洗练绑定装备；项链幸运绑定人物永久进度；武器幸运成本忽略</x:v>
      </x:c>
    </x:row>
    <x:row r="1091">
      <x:c r="A1091" s="25" t="str">
        <x:v>C10-G</x:v>
      </x:c>
      <x:c r="B1091" s="25" t="str">
        <x:v>王城罗德尔</x:v>
      </x:c>
      <x:c r="C1091" s="25" t="str">
        <x:v>半急速毕业</x:v>
      </x:c>
      <x:c r="D1091" s="25" t="n">
        <x:v>2</x:v>
      </x:c>
      <x:c r="E1091" s="25" t="n">
        <x:v>209</x:v>
      </x:c>
      <x:c r="F1091" s="25" t="str">
        <x:v>默祷雪章</x:v>
      </x:c>
      <x:c r="G1091" s="25" t="str">
        <x:v>勋章</x:v>
      </x:c>
      <x:c r="H1091" s="25" t="n">
        <x:v>7</x:v>
      </x:c>
      <x:c r="I1091" s="25" t="str">
        <x:v>稀有</x:v>
      </x:c>
      <x:c r="J1091" s="25" t="str">
        <x:v>S07</x:v>
      </x:c>
      <x:c r="K1091" s="25" t="str">
        <x:v>730-1400</x:v>
      </x:c>
      <x:c r="L1091" s="25" t="n">
        <x:v>770000</x:v>
      </x:c>
      <x:c r="M1091" s="25" t="n">
        <x:v>0</x:v>
      </x:c>
      <x:c r="N1091" s="25" t="str">
        <x:v>否</x:v>
      </x:c>
      <x:c r="O1091" s="25" t="n">
        <x:v>0</x:v>
      </x:c>
      <x:c r="P1091" s="25" t="n">
        <x:v>0</x:v>
      </x:c>
      <x:c r="Q1091" s="25" t="n">
        <x:v>0</x:v>
      </x:c>
      <x:c r="R1091" s="25" t="str">
        <x:v>洗练绑定装备；项链幸运绑定人物永久进度；武器幸运成本忽略</x:v>
      </x:c>
    </x:row>
    <x:row r="1092">
      <x:c r="A1092" s="25" t="str">
        <x:v>C10-G</x:v>
      </x:c>
      <x:c r="B1092" s="25" t="str">
        <x:v>王城罗德尔</x:v>
      </x:c>
      <x:c r="C1092" s="25" t="str">
        <x:v>半急速毕业</x:v>
      </x:c>
      <x:c r="D1092" s="25" t="n">
        <x:v>3</x:v>
      </x:c>
      <x:c r="E1092" s="25" t="n">
        <x:v>204</x:v>
      </x:c>
      <x:c r="F1092" s="25" t="str">
        <x:v>衔烛鸦羽坠</x:v>
      </x:c>
      <x:c r="G1092" s="25" t="str">
        <x:v>项链</x:v>
      </x:c>
      <x:c r="H1092" s="25" t="n">
        <x:v>9</x:v>
      </x:c>
      <x:c r="I1092" s="25" t="str">
        <x:v>普通</x:v>
      </x:c>
      <x:c r="J1092" s="25" t="str">
        <x:v>S07</x:v>
      </x:c>
      <x:c r="K1092" s="25" t="str">
        <x:v>1400-2700</x:v>
      </x:c>
      <x:c r="L1092" s="25" t="n">
        <x:v>1100000</x:v>
      </x:c>
      <x:c r="M1092" s="25" t="n">
        <x:v>2</x:v>
      </x:c>
      <x:c r="N1092" s="25" t="str">
        <x:v>否</x:v>
      </x:c>
      <x:c r="O1092" s="25" t="n">
        <x:v>0</x:v>
      </x:c>
      <x:c r="P1092" s="25" t="n">
        <x:v>0</x:v>
      </x:c>
      <x:c r="Q1092" s="25" t="n">
        <x:v>0</x:v>
      </x:c>
      <x:c r="R1092" s="25" t="str">
        <x:v>洗练绑定装备；项链幸运绑定人物永久进度；武器幸运成本忽略</x:v>
      </x:c>
    </x:row>
    <x:row r="1093">
      <x:c r="A1093" s="25" t="str">
        <x:v>C10-G</x:v>
      </x:c>
      <x:c r="B1093" s="25" t="str">
        <x:v>王城罗德尔</x:v>
      </x:c>
      <x:c r="C1093" s="25" t="str">
        <x:v>半急速毕业</x:v>
      </x:c>
      <x:c r="D1093" s="25" t="n">
        <x:v>4</x:v>
      </x:c>
      <x:c r="E1093" s="25" t="n">
        <x:v>210</x:v>
      </x:c>
      <x:c r="F1093" s="25" t="str">
        <x:v>镜甲将军盔</x:v>
      </x:c>
      <x:c r="G1093" s="25" t="str">
        <x:v>头盔</x:v>
      </x:c>
      <x:c r="H1093" s="25" t="n">
        <x:v>8</x:v>
      </x:c>
      <x:c r="I1093" s="25" t="str">
        <x:v>稀有</x:v>
      </x:c>
      <x:c r="J1093" s="25" t="str">
        <x:v>S07</x:v>
      </x:c>
      <x:c r="K1093" s="25" t="str">
        <x:v>990-1900</x:v>
      </x:c>
      <x:c r="L1093" s="25" t="n">
        <x:v>2600000</x:v>
      </x:c>
      <x:c r="M1093" s="25" t="n">
        <x:v>5</x:v>
      </x:c>
      <x:c r="N1093" s="25" t="str">
        <x:v>否</x:v>
      </x:c>
      <x:c r="O1093" s="25" t="n">
        <x:v>0</x:v>
      </x:c>
      <x:c r="P1093" s="25" t="n">
        <x:v>0</x:v>
      </x:c>
      <x:c r="Q1093" s="25" t="n">
        <x:v>0</x:v>
      </x:c>
      <x:c r="R1093" s="25" t="str">
        <x:v>洗练绑定装备；项链幸运绑定人物永久进度；武器幸运成本忽略</x:v>
      </x:c>
    </x:row>
    <x:row r="1094">
      <x:c r="A1094" s="25" t="str">
        <x:v>C10-G</x:v>
      </x:c>
      <x:c r="B1094" s="25" t="str">
        <x:v>王城罗德尔</x:v>
      </x:c>
      <x:c r="C1094" s="25" t="str">
        <x:v>半急速毕业</x:v>
      </x:c>
      <x:c r="D1094" s="25" t="n">
        <x:v>5</x:v>
      </x:c>
      <x:c r="E1094" s="25" t="n">
        <x:v>205</x:v>
      </x:c>
      <x:c r="F1094" s="25" t="str">
        <x:v>葬犬衔骨镯</x:v>
      </x:c>
      <x:c r="G1094" s="25" t="str">
        <x:v>手镯</x:v>
      </x:c>
      <x:c r="H1094" s="25" t="n">
        <x:v>9</x:v>
      </x:c>
      <x:c r="I1094" s="25" t="str">
        <x:v>普通</x:v>
      </x:c>
      <x:c r="J1094" s="25" t="str">
        <x:v>S07</x:v>
      </x:c>
      <x:c r="K1094" s="25" t="str">
        <x:v>1700-3200</x:v>
      </x:c>
      <x:c r="L1094" s="25" t="n">
        <x:v>1300000</x:v>
      </x:c>
      <x:c r="M1094" s="25" t="n">
        <x:v>2</x:v>
      </x:c>
      <x:c r="N1094" s="25" t="str">
        <x:v>否</x:v>
      </x:c>
      <x:c r="O1094" s="25" t="n">
        <x:v>0</x:v>
      </x:c>
      <x:c r="P1094" s="25" t="n">
        <x:v>0</x:v>
      </x:c>
      <x:c r="Q1094" s="25" t="n">
        <x:v>0</x:v>
      </x:c>
      <x:c r="R1094" s="25" t="str">
        <x:v>洗练绑定装备；项链幸运绑定人物永久进度；武器幸运成本忽略</x:v>
      </x:c>
    </x:row>
    <x:row r="1095">
      <x:c r="A1095" s="25" t="str">
        <x:v>C10-G</x:v>
      </x:c>
      <x:c r="B1095" s="25" t="str">
        <x:v>王城罗德尔</x:v>
      </x:c>
      <x:c r="C1095" s="25" t="str">
        <x:v>半急速毕业</x:v>
      </x:c>
      <x:c r="D1095" s="25" t="n">
        <x:v>6</x:v>
      </x:c>
      <x:c r="E1095" s="25" t="n">
        <x:v>221</x:v>
      </x:c>
      <x:c r="F1095" s="25" t="str">
        <x:v>白魈啸风镯</x:v>
      </x:c>
      <x:c r="G1095" s="25" t="str">
        <x:v>手镯</x:v>
      </x:c>
      <x:c r="H1095" s="25" t="n">
        <x:v>8</x:v>
      </x:c>
      <x:c r="I1095" s="25" t="str">
        <x:v>稀有</x:v>
      </x:c>
      <x:c r="J1095" s="25" t="str">
        <x:v>S07</x:v>
      </x:c>
      <x:c r="K1095" s="25" t="str">
        <x:v>1400-2600</x:v>
      </x:c>
      <x:c r="L1095" s="25" t="n">
        <x:v>1000000</x:v>
      </x:c>
      <x:c r="M1095" s="25" t="n">
        <x:v>8</x:v>
      </x:c>
      <x:c r="N1095" s="25" t="str">
        <x:v>是</x:v>
      </x:c>
      <x:c r="O1095" s="25" t="n">
        <x:v>0</x:v>
      </x:c>
      <x:c r="P1095" s="25" t="n">
        <x:v>0</x:v>
      </x:c>
      <x:c r="Q1095" s="25" t="n">
        <x:v>0</x:v>
      </x:c>
      <x:c r="R1095" s="25" t="str">
        <x:v>洗练绑定装备；项链幸运绑定人物永久进度；武器幸运成本忽略</x:v>
      </x:c>
    </x:row>
    <x:row r="1096">
      <x:c r="A1096" s="25" t="str">
        <x:v>C10-G</x:v>
      </x:c>
      <x:c r="B1096" s="25" t="str">
        <x:v>王城罗德尔</x:v>
      </x:c>
      <x:c r="C1096" s="25" t="str">
        <x:v>半急速毕业</x:v>
      </x:c>
      <x:c r="D1096" s="25" t="n">
        <x:v>7</x:v>
      </x:c>
      <x:c r="E1096" s="25" t="n">
        <x:v>207</x:v>
      </x:c>
      <x:c r="F1096" s="25" t="str">
        <x:v>献梦琥金戒</x:v>
      </x:c>
      <x:c r="G1096" s="25" t="str">
        <x:v>戒指</x:v>
      </x:c>
      <x:c r="H1096" s="25" t="n">
        <x:v>9</x:v>
      </x:c>
      <x:c r="I1096" s="25" t="str">
        <x:v>稀有</x:v>
      </x:c>
      <x:c r="J1096" s="25" t="str">
        <x:v>S07</x:v>
      </x:c>
      <x:c r="K1096" s="25" t="str">
        <x:v>2400-4600</x:v>
      </x:c>
      <x:c r="L1096" s="25" t="n">
        <x:v>1900000</x:v>
      </x:c>
      <x:c r="M1096" s="25" t="n">
        <x:v>8</x:v>
      </x:c>
      <x:c r="N1096" s="25" t="str">
        <x:v>是</x:v>
      </x:c>
      <x:c r="O1096" s="25" t="n">
        <x:v>0</x:v>
      </x:c>
      <x:c r="P1096" s="25" t="n">
        <x:v>0</x:v>
      </x:c>
      <x:c r="Q1096" s="25" t="n">
        <x:v>0</x:v>
      </x:c>
      <x:c r="R1096" s="25" t="str">
        <x:v>洗练绑定装备；项链幸运绑定人物永久进度；武器幸运成本忽略</x:v>
      </x:c>
    </x:row>
    <x:row r="1097">
      <x:c r="A1097" s="25" t="str">
        <x:v>C10-G</x:v>
      </x:c>
      <x:c r="B1097" s="25" t="str">
        <x:v>王城罗德尔</x:v>
      </x:c>
      <x:c r="C1097" s="25" t="str">
        <x:v>半急速毕业</x:v>
      </x:c>
      <x:c r="D1097" s="25" t="n">
        <x:v>8</x:v>
      </x:c>
      <x:c r="E1097" s="25" t="n">
        <x:v>208</x:v>
      </x:c>
      <x:c r="F1097" s="25" t="str">
        <x:v>守梦霜瞳戒</x:v>
      </x:c>
      <x:c r="G1097" s="25" t="str">
        <x:v>戒指</x:v>
      </x:c>
      <x:c r="H1097" s="25" t="n">
        <x:v>8</x:v>
      </x:c>
      <x:c r="I1097" s="25" t="str">
        <x:v>稀有</x:v>
      </x:c>
      <x:c r="J1097" s="25" t="str">
        <x:v>S07</x:v>
      </x:c>
      <x:c r="K1097" s="25" t="str">
        <x:v>1800-3400</x:v>
      </x:c>
      <x:c r="L1097" s="25" t="n">
        <x:v>1300000</x:v>
      </x:c>
      <x:c r="M1097" s="25" t="n">
        <x:v>3</x:v>
      </x:c>
      <x:c r="N1097" s="25" t="str">
        <x:v>否</x:v>
      </x:c>
      <x:c r="O1097" s="25" t="n">
        <x:v>0</x:v>
      </x:c>
      <x:c r="P1097" s="25" t="n">
        <x:v>0</x:v>
      </x:c>
      <x:c r="Q1097" s="25" t="n">
        <x:v>0</x:v>
      </x:c>
      <x:c r="R1097" s="25" t="str">
        <x:v>洗练绑定装备；项链幸运绑定人物永久进度；武器幸运成本忽略</x:v>
      </x:c>
    </x:row>
    <x:row r="1098">
      <x:c r="A1098" s="25" t="str">
        <x:v>C10-G</x:v>
      </x:c>
      <x:c r="B1098" s="25" t="str">
        <x:v>王城罗德尔</x:v>
      </x:c>
      <x:c r="C1098" s="25" t="str">
        <x:v>半急速毕业</x:v>
      </x:c>
      <x:c r="D1098" s="25" t="n">
        <x:v>10</x:v>
      </x:c>
      <x:c r="E1098" s="25" t="n">
        <x:v>211</x:v>
      </x:c>
      <x:c r="F1098" s="25" t="str">
        <x:v>链轮束腰</x:v>
      </x:c>
      <x:c r="G1098" s="25" t="str">
        <x:v>腰带</x:v>
      </x:c>
      <x:c r="H1098" s="25" t="n">
        <x:v>10</x:v>
      </x:c>
      <x:c r="I1098" s="25" t="str">
        <x:v>普通</x:v>
      </x:c>
      <x:c r="J1098" s="25" t="str">
        <x:v>S07</x:v>
      </x:c>
      <x:c r="K1098" s="25" t="str">
        <x:v>1600-3000</x:v>
      </x:c>
      <x:c r="L1098" s="25" t="n">
        <x:v>2600000</x:v>
      </x:c>
      <x:c r="M1098" s="25" t="n">
        <x:v>3</x:v>
      </x:c>
      <x:c r="N1098" s="25" t="str">
        <x:v>否</x:v>
      </x:c>
      <x:c r="O1098" s="25" t="n">
        <x:v>0</x:v>
      </x:c>
      <x:c r="P1098" s="25" t="n">
        <x:v>0</x:v>
      </x:c>
      <x:c r="Q1098" s="25" t="n">
        <x:v>0</x:v>
      </x:c>
      <x:c r="R1098" s="25" t="str">
        <x:v>洗练绑定装备；项链幸运绑定人物永久进度；武器幸运成本忽略</x:v>
      </x:c>
    </x:row>
    <x:row r="1099">
      <x:c r="A1099" s="25" t="str">
        <x:v>C10-G</x:v>
      </x:c>
      <x:c r="B1099" s="25" t="str">
        <x:v>王城罗德尔</x:v>
      </x:c>
      <x:c r="C1099" s="25" t="str">
        <x:v>半急速毕业</x:v>
      </x:c>
      <x:c r="D1099" s="25" t="n">
        <x:v>11</x:v>
      </x:c>
      <x:c r="E1099" s="25" t="n">
        <x:v>225</x:v>
      </x:c>
      <x:c r="F1099" s="25" t="str">
        <x:v>啮岩鼠爪靴</x:v>
      </x:c>
      <x:c r="G1099" s="25" t="str">
        <x:v>鞋子</x:v>
      </x:c>
      <x:c r="H1099" s="25" t="n">
        <x:v>9</x:v>
      </x:c>
      <x:c r="I1099" s="25" t="str">
        <x:v>普通</x:v>
      </x:c>
      <x:c r="J1099" s="25" t="str">
        <x:v>S07</x:v>
      </x:c>
      <x:c r="K1099" s="25" t="str">
        <x:v>830-1600</x:v>
      </x:c>
      <x:c r="L1099" s="25" t="n">
        <x:v>1200000</x:v>
      </x:c>
      <x:c r="M1099" s="25" t="n">
        <x:v>2</x:v>
      </x:c>
      <x:c r="N1099" s="25" t="str">
        <x:v>否</x:v>
      </x:c>
      <x:c r="O1099" s="25" t="n">
        <x:v>0</x:v>
      </x:c>
      <x:c r="P1099" s="25" t="n">
        <x:v>0</x:v>
      </x:c>
      <x:c r="Q1099" s="25" t="n">
        <x:v>0</x:v>
      </x:c>
      <x:c r="R1099" s="25" t="str">
        <x:v>洗练绑定装备；项链幸运绑定人物永久进度；武器幸运成本忽略</x:v>
      </x:c>
    </x:row>
    <x:row r="1100">
      <x:c r="A1100" s="25" t="str">
        <x:v>C10-G</x:v>
      </x:c>
      <x:c r="B1100" s="25" t="str">
        <x:v>王城罗德尔</x:v>
      </x:c>
      <x:c r="C1100" s="25" t="str">
        <x:v>半急速毕业</x:v>
      </x:c>
      <x:c r="D1100" s="25" t="n">
        <x:v>13</x:v>
      </x:c>
      <x:c r="E1100" s="25" t="n">
        <x:v>213</x:v>
      </x:c>
      <x:c r="F1100" s="25" t="str">
        <x:v>无声司铎笠</x:v>
      </x:c>
      <x:c r="G1100" s="25" t="str">
        <x:v>斗笠</x:v>
      </x:c>
      <x:c r="H1100" s="25" t="n">
        <x:v>9</x:v>
      </x:c>
      <x:c r="I1100" s="25" t="str">
        <x:v>稀有</x:v>
      </x:c>
      <x:c r="J1100" s="25" t="str">
        <x:v>S07</x:v>
      </x:c>
      <x:c r="K1100" s="25" t="str">
        <x:v>1400-2600</x:v>
      </x:c>
      <x:c r="L1100" s="25" t="n">
        <x:v>1700000</x:v>
      </x:c>
      <x:c r="M1100" s="25" t="n">
        <x:v>0</x:v>
      </x:c>
      <x:c r="N1100" s="25" t="str">
        <x:v>否</x:v>
      </x:c>
      <x:c r="O1100" s="25" t="n">
        <x:v>0</x:v>
      </x:c>
      <x:c r="P1100" s="25" t="n">
        <x:v>0</x:v>
      </x:c>
      <x:c r="Q1100" s="25" t="n">
        <x:v>0</x:v>
      </x:c>
      <x:c r="R1100" s="25" t="str">
        <x:v>洗练绑定装备；项链幸运绑定人物永久进度；武器幸运成本忽略</x:v>
      </x:c>
    </x:row>
    <x:row r="1101">
      <x:c r="A1101" s="25" t="str">
        <x:v>C10-G</x:v>
      </x:c>
      <x:c r="B1101" s="25" t="str">
        <x:v>王城罗德尔</x:v>
      </x:c>
      <x:c r="C1101" s="25" t="str">
        <x:v>半急速毕业</x:v>
      </x:c>
      <x:c r="D1101" s="25" t="n">
        <x:v>16</x:v>
      </x:c>
      <x:c r="E1101" s="25" t="n">
        <x:v>164</x:v>
      </x:c>
      <x:c r="F1101" s="25" t="str">
        <x:v>吞日霜壁</x:v>
      </x:c>
      <x:c r="G1101" s="25" t="str">
        <x:v>盾牌</x:v>
      </x:c>
      <x:c r="H1101" s="25" t="n">
        <x:v>8</x:v>
      </x:c>
      <x:c r="I1101" s="25" t="str">
        <x:v>装备合成</x:v>
      </x:c>
      <x:c r="J1101" s="25" t="str">
        <x:v>S07</x:v>
      </x:c>
      <x:c r="K1101" s="25" t="str">
        <x:v>2800-5400</x:v>
      </x:c>
      <x:c r="L1101" s="25" t="n">
        <x:v>7700000</x:v>
      </x:c>
      <x:c r="M1101" s="25" t="n">
        <x:v>0</x:v>
      </x:c>
      <x:c r="N1101" s="25" t="str">
        <x:v>否</x:v>
      </x:c>
      <x:c r="O1101" s="25" t="n">
        <x:v>0</x:v>
      </x:c>
      <x:c r="P1101" s="25" t="n">
        <x:v>0</x:v>
      </x:c>
      <x:c r="Q1101" s="25" t="n">
        <x:v>0</x:v>
      </x:c>
      <x:c r="R1101" s="25" t="str">
        <x:v>洗练绑定装备；项链幸运绑定人物永久进度；武器幸运成本忽略</x:v>
      </x:c>
    </x:row>
    <x:row r="1102">
      <x:c r="A1102" s="25" t="str">
        <x:v>C10-G</x:v>
      </x:c>
      <x:c r="B1102" s="25" t="str">
        <x:v>王城罗德尔</x:v>
      </x:c>
      <x:c r="C1102" s="25" t="str">
        <x:v>半急速毕业</x:v>
      </x:c>
      <x:c r="D1102" s="25" t="n">
        <x:v>18</x:v>
      </x:c>
      <x:c r="E1102" s="25" t="n">
        <x:v>137</x:v>
      </x:c>
      <x:c r="F1102" s="25" t="str">
        <x:v>红狮余烬王衣</x:v>
      </x:c>
      <x:c r="G1102" s="25" t="str">
        <x:v>时装衣服</x:v>
      </x:c>
      <x:c r="H1102" s="25" t="n">
        <x:v>6</x:v>
      </x:c>
      <x:c r="I1102" s="25" t="str">
        <x:v>装备合成</x:v>
      </x:c>
      <x:c r="J1102" s="25" t="str">
        <x:v>S07</x:v>
      </x:c>
      <x:c r="K1102" s="25" t="str">
        <x:v>780-1500</x:v>
      </x:c>
      <x:c r="L1102" s="25" t="n">
        <x:v>5100000</x:v>
      </x:c>
      <x:c r="M1102" s="25" t="n">
        <x:v>0</x:v>
      </x:c>
      <x:c r="N1102" s="25" t="str">
        <x:v>否</x:v>
      </x:c>
      <x:c r="O1102" s="25" t="n">
        <x:v>0</x:v>
      </x:c>
      <x:c r="P1102" s="25" t="n">
        <x:v>0</x:v>
      </x:c>
      <x:c r="Q1102" s="25" t="n">
        <x:v>0</x:v>
      </x:c>
      <x:c r="R1102" s="25" t="str">
        <x:v>洗练绑定装备；项链幸运绑定人物永久进度；武器幸运成本忽略</x:v>
      </x:c>
    </x:row>
    <x:row r="1103">
      <x:c r="A1103" s="25" t="str">
        <x:v>C10-G</x:v>
      </x:c>
      <x:c r="B1103" s="25" t="str">
        <x:v>王城罗德尔</x:v>
      </x:c>
      <x:c r="C1103" s="25" t="str">
        <x:v>半急速毕业</x:v>
      </x:c>
      <x:c r="D1103" s="25" t="n">
        <x:v>19</x:v>
      </x:c>
      <x:c r="E1103" s="25" t="n">
        <x:v>147</x:v>
      </x:c>
      <x:c r="F1103" s="25" t="str">
        <x:v>永霜白金刃</x:v>
      </x:c>
      <x:c r="G1103" s="25" t="str">
        <x:v>时装武器</x:v>
      </x:c>
      <x:c r="H1103" s="25" t="n">
        <x:v>7</x:v>
      </x:c>
      <x:c r="I1103" s="25" t="str">
        <x:v>装备合成</x:v>
      </x:c>
      <x:c r="J1103" s="25" t="str">
        <x:v>S07</x:v>
      </x:c>
      <x:c r="K1103" s="25" t="str">
        <x:v>4800-9200</x:v>
      </x:c>
      <x:c r="L1103" s="25" t="n">
        <x:v>1700000</x:v>
      </x:c>
      <x:c r="M1103" s="25" t="n">
        <x:v>0</x:v>
      </x:c>
      <x:c r="N1103" s="25" t="str">
        <x:v>否</x:v>
      </x:c>
      <x:c r="O1103" s="25" t="n">
        <x:v>0</x:v>
      </x:c>
      <x:c r="P1103" s="25" t="n">
        <x:v>0</x:v>
      </x:c>
      <x:c r="Q1103" s="25" t="n">
        <x:v>0</x:v>
      </x:c>
      <x:c r="R1103" s="25" t="str">
        <x:v>洗练绑定装备；项链幸运绑定人物永久进度；武器幸运成本忽略</x:v>
      </x:c>
    </x:row>
    <x:row r="1104">
      <x:c r="A1104" s="25" t="str">
        <x:v>C10-G</x:v>
      </x:c>
      <x:c r="B1104" s="25" t="str">
        <x:v>王城罗德尔</x:v>
      </x:c>
      <x:c r="C1104" s="25" t="str">
        <x:v>半急速毕业</x:v>
      </x:c>
      <x:c r="D1104" s="25" t="n">
        <x:v>20</x:v>
      </x:c>
      <x:c r="E1104" s="25" t="n">
        <x:v>40</x:v>
      </x:c>
      <x:c r="F1104" s="25" t="str">
        <x:v>英雄余誓</x:v>
      </x:c>
      <x:c r="G1104" s="25" t="str">
        <x:v>时装项链</x:v>
      </x:c>
      <x:c r="H1104" s="25" t="n">
        <x:v>2</x:v>
      </x:c>
      <x:c r="I1104" s="25" t="str">
        <x:v>稀有</x:v>
      </x:c>
      <x:c r="J1104" s="25" t="str">
        <x:v>S02</x:v>
      </x:c>
      <x:c r="K1104" s="25" t="str">
        <x:v>31-60</x:v>
      </x:c>
      <x:c r="L1104" s="25" t="n">
        <x:v>17900</x:v>
      </x:c>
      <x:c r="M1104" s="25" t="n">
        <x:v>0</x:v>
      </x:c>
      <x:c r="N1104" s="25" t="str">
        <x:v>否</x:v>
      </x:c>
      <x:c r="O1104" s="25" t="n">
        <x:v>0</x:v>
      </x:c>
      <x:c r="P1104" s="25" t="n">
        <x:v>0</x:v>
      </x:c>
      <x:c r="Q1104" s="25" t="n">
        <x:v>0</x:v>
      </x:c>
      <x:c r="R1104" s="25" t="str">
        <x:v>洗练绑定装备；项链幸运绑定人物永久进度；武器幸运成本忽略</x:v>
      </x:c>
    </x:row>
    <x:row r="1105">
      <x:c r="A1105" s="25" t="str">
        <x:v>C10-G</x:v>
      </x:c>
      <x:c r="B1105" s="25" t="str">
        <x:v>王城罗德尔</x:v>
      </x:c>
      <x:c r="C1105" s="25" t="str">
        <x:v>半急速毕业</x:v>
      </x:c>
      <x:c r="D1105" s="25" t="n">
        <x:v>21</x:v>
      </x:c>
      <x:c r="E1105" s="25" t="n">
        <x:v>41</x:v>
      </x:c>
      <x:c r="F1105" s="25" t="str">
        <x:v>初火兜鍪</x:v>
      </x:c>
      <x:c r="G1105" s="25" t="str">
        <x:v>时装头盔</x:v>
      </x:c>
      <x:c r="H1105" s="25" t="n">
        <x:v>2</x:v>
      </x:c>
      <x:c r="I1105" s="25" t="str">
        <x:v>稀有</x:v>
      </x:c>
      <x:c r="J1105" s="25" t="str">
        <x:v>S02</x:v>
      </x:c>
      <x:c r="K1105" s="25" t="str">
        <x:v>22-42</x:v>
      </x:c>
      <x:c r="L1105" s="25" t="n">
        <x:v>30900</x:v>
      </x:c>
      <x:c r="M1105" s="25" t="n">
        <x:v>0</x:v>
      </x:c>
      <x:c r="N1105" s="25" t="str">
        <x:v>否</x:v>
      </x:c>
      <x:c r="O1105" s="25" t="n">
        <x:v>0</x:v>
      </x:c>
      <x:c r="P1105" s="25" t="n">
        <x:v>0</x:v>
      </x:c>
      <x:c r="Q1105" s="25" t="n">
        <x:v>0</x:v>
      </x:c>
      <x:c r="R1105" s="25" t="str">
        <x:v>洗练绑定装备；项链幸运绑定人物永久进度；武器幸运成本忽略</x:v>
      </x:c>
    </x:row>
    <x:row r="1106">
      <x:c r="A1106" s="25" t="str">
        <x:v>C10-G</x:v>
      </x:c>
      <x:c r="B1106" s="25" t="str">
        <x:v>王城罗德尔</x:v>
      </x:c>
      <x:c r="C1106" s="25" t="str">
        <x:v>半急速毕业</x:v>
      </x:c>
      <x:c r="D1106" s="25" t="n">
        <x:v>22</x:v>
      </x:c>
      <x:c r="E1106" s="25" t="n">
        <x:v>42</x:v>
      </x:c>
      <x:c r="F1106" s="25" t="str">
        <x:v>卢恩血镯</x:v>
      </x:c>
      <x:c r="G1106" s="25" t="str">
        <x:v>时装手镯</x:v>
      </x:c>
      <x:c r="H1106" s="25" t="n">
        <x:v>2</x:v>
      </x:c>
      <x:c r="I1106" s="25" t="str">
        <x:v>稀有</x:v>
      </x:c>
      <x:c r="J1106" s="25" t="str">
        <x:v>S02</x:v>
      </x:c>
      <x:c r="K1106" s="25" t="str">
        <x:v>42-80</x:v>
      </x:c>
      <x:c r="L1106" s="25" t="n">
        <x:v>34400</x:v>
      </x:c>
      <x:c r="M1106" s="25" t="n">
        <x:v>0</x:v>
      </x:c>
      <x:c r="N1106" s="25" t="str">
        <x:v>否</x:v>
      </x:c>
      <x:c r="O1106" s="25" t="n">
        <x:v>0</x:v>
      </x:c>
      <x:c r="P1106" s="25" t="n">
        <x:v>0</x:v>
      </x:c>
      <x:c r="Q1106" s="25" t="n">
        <x:v>0</x:v>
      </x:c>
      <x:c r="R1106" s="25" t="str">
        <x:v>洗练绑定装备；项链幸运绑定人物永久进度；武器幸运成本忽略</x:v>
      </x:c>
    </x:row>
    <x:row r="1107">
      <x:c r="A1107" s="25" t="str">
        <x:v>C10-G</x:v>
      </x:c>
      <x:c r="B1107" s="25" t="str">
        <x:v>王城罗德尔</x:v>
      </x:c>
      <x:c r="C1107" s="25" t="str">
        <x:v>半急速毕业</x:v>
      </x:c>
      <x:c r="D1107" s="25" t="n">
        <x:v>24</x:v>
      </x:c>
      <x:c r="E1107" s="25" t="n">
        <x:v>43</x:v>
      </x:c>
      <x:c r="F1107" s="25" t="str">
        <x:v>黄金树戒</x:v>
      </x:c>
      <x:c r="G1107" s="25" t="str">
        <x:v>时装戒指</x:v>
      </x:c>
      <x:c r="H1107" s="25" t="n">
        <x:v>2</x:v>
      </x:c>
      <x:c r="I1107" s="25" t="str">
        <x:v>稀有</x:v>
      </x:c>
      <x:c r="J1107" s="25" t="str">
        <x:v>S02</x:v>
      </x:c>
      <x:c r="K1107" s="25" t="str">
        <x:v>42-80</x:v>
      </x:c>
      <x:c r="L1107" s="25" t="n">
        <x:v>34400</x:v>
      </x:c>
      <x:c r="M1107" s="25" t="n">
        <x:v>0</x:v>
      </x:c>
      <x:c r="N1107" s="25" t="str">
        <x:v>否</x:v>
      </x:c>
      <x:c r="O1107" s="25" t="n">
        <x:v>0</x:v>
      </x:c>
      <x:c r="P1107" s="25" t="n">
        <x:v>0</x:v>
      </x:c>
      <x:c r="Q1107" s="25" t="n">
        <x:v>0</x:v>
      </x:c>
      <x:c r="R1107" s="25" t="str">
        <x:v>洗练绑定装备；项链幸运绑定人物永久进度；武器幸运成本忽略</x:v>
      </x:c>
    </x:row>
    <x:row r="1108">
      <x:c r="A1108" s="25" t="str">
        <x:v>C10-G</x:v>
      </x:c>
      <x:c r="B1108" s="25" t="str">
        <x:v>王城罗德尔</x:v>
      </x:c>
      <x:c r="C1108" s="25" t="str">
        <x:v>半急速毕业</x:v>
      </x:c>
      <x:c r="D1108" s="25" t="n">
        <x:v>40</x:v>
      </x:c>
      <x:c r="E1108" s="25" t="n">
        <x:v>44</x:v>
      </x:c>
      <x:c r="F1108" s="25" t="str">
        <x:v>腐树子鼠</x:v>
      </x:c>
      <x:c r="G1108" s="25" t="str">
        <x:v>生肖1</x:v>
      </x:c>
      <x:c r="H1108" s="25" t="n">
        <x:v>2</x:v>
      </x:c>
      <x:c r="I1108" s="25" t="str">
        <x:v>BOSS</x:v>
      </x:c>
      <x:c r="J1108" s="25" t="str">
        <x:v>S02</x:v>
      </x:c>
      <x:c r="K1108" s="25" t="str">
        <x:v>29-56</x:v>
      </x:c>
      <x:c r="L1108" s="25" t="n">
        <x:v>23600</x:v>
      </x:c>
      <x:c r="M1108" s="25" t="n">
        <x:v>0</x:v>
      </x:c>
      <x:c r="N1108" s="25" t="str">
        <x:v>否</x:v>
      </x:c>
      <x:c r="O1108" s="25" t="n">
        <x:v>0</x:v>
      </x:c>
      <x:c r="P1108" s="25" t="n">
        <x:v>0</x:v>
      </x:c>
      <x:c r="Q1108" s="25" t="n">
        <x:v>0</x:v>
      </x:c>
      <x:c r="R1108" s="25" t="str">
        <x:v>洗练绑定装备；项链幸运绑定人物永久进度；武器幸运成本忽略</x:v>
      </x:c>
    </x:row>
    <x:row r="1109">
      <x:c r="A1109" s="25" t="str">
        <x:v>C10-G</x:v>
      </x:c>
      <x:c r="B1109" s="25" t="str">
        <x:v>王城罗德尔</x:v>
      </x:c>
      <x:c r="C1109" s="25" t="str">
        <x:v>半急速毕业</x:v>
      </x:c>
      <x:c r="D1109" s="25" t="n">
        <x:v>41</x:v>
      </x:c>
      <x:c r="E1109" s="25" t="n">
        <x:v>69</x:v>
      </x:c>
      <x:c r="F1109" s="25" t="str">
        <x:v>丑牛·风暴负山</x:v>
      </x:c>
      <x:c r="G1109" s="25" t="str">
        <x:v>生肖2</x:v>
      </x:c>
      <x:c r="H1109" s="25" t="n">
        <x:v>2</x:v>
      </x:c>
      <x:c r="I1109" s="25" t="str">
        <x:v>生肖合成</x:v>
      </x:c>
      <x:c r="J1109" s="25" t="str">
        <x:v>S07</x:v>
      </x:c>
      <x:c r="K1109" s="25" t="str">
        <x:v>25-49</x:v>
      </x:c>
      <x:c r="L1109" s="25" t="n">
        <x:v>64000</x:v>
      </x:c>
      <x:c r="M1109" s="25" t="n">
        <x:v>0</x:v>
      </x:c>
      <x:c r="N1109" s="25" t="str">
        <x:v>否</x:v>
      </x:c>
      <x:c r="O1109" s="25" t="n">
        <x:v>0</x:v>
      </x:c>
      <x:c r="P1109" s="25" t="n">
        <x:v>0</x:v>
      </x:c>
      <x:c r="Q1109" s="25" t="n">
        <x:v>0</x:v>
      </x:c>
      <x:c r="R1109" s="25" t="str">
        <x:v>洗练绑定装备；项链幸运绑定人物永久进度；武器幸运成本忽略</x:v>
      </x:c>
    </x:row>
    <x:row r="1110">
      <x:c r="A1110" s="25" t="str">
        <x:v>C10-G</x:v>
      </x:c>
      <x:c r="B1110" s="25" t="str">
        <x:v>王城罗德尔</x:v>
      </x:c>
      <x:c r="C1110" s="25" t="str">
        <x:v>半急速毕业</x:v>
      </x:c>
      <x:c r="D1110" s="25" t="n">
        <x:v>42</x:v>
      </x:c>
      <x:c r="E1110" s="25" t="n">
        <x:v>138</x:v>
      </x:c>
      <x:c r="F1110" s="25" t="str">
        <x:v>寅虎·红狮焚原</x:v>
      </x:c>
      <x:c r="G1110" s="25" t="str">
        <x:v>生肖3</x:v>
      </x:c>
      <x:c r="H1110" s="25" t="n">
        <x:v>6</x:v>
      </x:c>
      <x:c r="I1110" s="25" t="str">
        <x:v>生肖合成</x:v>
      </x:c>
      <x:c r="J1110" s="25" t="str">
        <x:v>S07</x:v>
      </x:c>
      <x:c r="K1110" s="25" t="str">
        <x:v>250-490</x:v>
      </x:c>
      <x:c r="L1110" s="25" t="n">
        <x:v>640000</x:v>
      </x:c>
      <x:c r="M1110" s="25" t="n">
        <x:v>0</x:v>
      </x:c>
      <x:c r="N1110" s="25" t="str">
        <x:v>否</x:v>
      </x:c>
      <x:c r="O1110" s="25" t="n">
        <x:v>0</x:v>
      </x:c>
      <x:c r="P1110" s="25" t="n">
        <x:v>0</x:v>
      </x:c>
      <x:c r="Q1110" s="25" t="n">
        <x:v>0</x:v>
      </x:c>
      <x:c r="R1110" s="25" t="str">
        <x:v>洗练绑定装备；项链幸运绑定人物永久进度；武器幸运成本忽略</x:v>
      </x:c>
    </x:row>
    <x:row r="1111">
      <x:c r="A1111" s="25" t="str">
        <x:v>C10-G</x:v>
      </x:c>
      <x:c r="B1111" s="25" t="str">
        <x:v>王城罗德尔</x:v>
      </x:c>
      <x:c r="C1111" s="25" t="str">
        <x:v>半急速毕业</x:v>
      </x:c>
      <x:c r="D1111" s="25" t="n">
        <x:v>43</x:v>
      </x:c>
      <x:c r="E1111" s="25" t="n">
        <x:v>127</x:v>
      </x:c>
      <x:c r="F1111" s="25" t="str">
        <x:v>卯兔·镜月折辉</x:v>
      </x:c>
      <x:c r="G1111" s="25" t="str">
        <x:v>生肖4</x:v>
      </x:c>
      <x:c r="H1111" s="25" t="n">
        <x:v>5</x:v>
      </x:c>
      <x:c r="I1111" s="25" t="str">
        <x:v>生肖合成</x:v>
      </x:c>
      <x:c r="J1111" s="25" t="str">
        <x:v>S07</x:v>
      </x:c>
      <x:c r="K1111" s="25" t="str">
        <x:v>150-280</x:v>
      </x:c>
      <x:c r="L1111" s="25" t="n">
        <x:v>360000</x:v>
      </x:c>
      <x:c r="M1111" s="25" t="n">
        <x:v>0</x:v>
      </x:c>
      <x:c r="N1111" s="25" t="str">
        <x:v>否</x:v>
      </x:c>
      <x:c r="O1111" s="25" t="n">
        <x:v>0</x:v>
      </x:c>
      <x:c r="P1111" s="25" t="n">
        <x:v>0</x:v>
      </x:c>
      <x:c r="Q1111" s="25" t="n">
        <x:v>0</x:v>
      </x:c>
      <x:c r="R1111" s="25" t="str">
        <x:v>洗练绑定装备；项链幸运绑定人物永久进度；武器幸运成本忽略</x:v>
      </x:c>
    </x:row>
    <x:row r="1112">
      <x:c r="A1112" s="25" t="str">
        <x:v>C10-G</x:v>
      </x:c>
      <x:c r="B1112" s="25" t="str">
        <x:v>王城罗德尔</x:v>
      </x:c>
      <x:c r="C1112" s="25" t="str">
        <x:v>半急速毕业</x:v>
      </x:c>
      <x:c r="D1112" s="25" t="n">
        <x:v>44</x:v>
      </x:c>
      <x:c r="E1112" s="25" t="n">
        <x:v>91</x:v>
      </x:c>
      <x:c r="F1112" s="25" t="str">
        <x:v>辰龙·荒原逐风</x:v>
      </x:c>
      <x:c r="G1112" s="25" t="str">
        <x:v>生肖5</x:v>
      </x:c>
      <x:c r="H1112" s="25" t="n">
        <x:v>3</x:v>
      </x:c>
      <x:c r="I1112" s="25" t="str">
        <x:v>生肖合成</x:v>
      </x:c>
      <x:c r="J1112" s="25" t="str">
        <x:v>S07</x:v>
      </x:c>
      <x:c r="K1112" s="25" t="str">
        <x:v>47-90</x:v>
      </x:c>
      <x:c r="L1112" s="25" t="n">
        <x:v>120000</x:v>
      </x:c>
      <x:c r="M1112" s="25" t="n">
        <x:v>0</x:v>
      </x:c>
      <x:c r="N1112" s="25" t="str">
        <x:v>否</x:v>
      </x:c>
      <x:c r="O1112" s="25" t="n">
        <x:v>0</x:v>
      </x:c>
      <x:c r="P1112" s="25" t="n">
        <x:v>0</x:v>
      </x:c>
      <x:c r="Q1112" s="25" t="n">
        <x:v>0</x:v>
      </x:c>
      <x:c r="R1112" s="25" t="str">
        <x:v>洗练绑定装备；项链幸运绑定人物永久进度；武器幸运成本忽略</x:v>
      </x:c>
    </x:row>
    <x:row r="1113">
      <x:c r="A1113" s="25" t="str">
        <x:v>C10-G</x:v>
      </x:c>
      <x:c r="B1113" s="25" t="str">
        <x:v>王城罗德尔</x:v>
      </x:c>
      <x:c r="C1113" s="25" t="str">
        <x:v>半急速毕业</x:v>
      </x:c>
      <x:c r="D1113" s="25" t="n">
        <x:v>45</x:v>
      </x:c>
      <x:c r="E1113" s="25" t="n">
        <x:v>107</x:v>
      </x:c>
      <x:c r="F1113" s="25" t="str">
        <x:v>巳蛇·沉潮缚月</x:v>
      </x:c>
      <x:c r="G1113" s="25" t="str">
        <x:v>生肖6</x:v>
      </x:c>
      <x:c r="H1113" s="25" t="n">
        <x:v>4</x:v>
      </x:c>
      <x:c r="I1113" s="25" t="str">
        <x:v>生肖合成</x:v>
      </x:c>
      <x:c r="J1113" s="25" t="str">
        <x:v>S07</x:v>
      </x:c>
      <x:c r="K1113" s="25" t="str">
        <x:v>83-160</x:v>
      </x:c>
      <x:c r="L1113" s="25" t="n">
        <x:v>200000</x:v>
      </x:c>
      <x:c r="M1113" s="25" t="n">
        <x:v>0</x:v>
      </x:c>
      <x:c r="N1113" s="25" t="str">
        <x:v>否</x:v>
      </x:c>
      <x:c r="O1113" s="25" t="n">
        <x:v>0</x:v>
      </x:c>
      <x:c r="P1113" s="25" t="n">
        <x:v>0</x:v>
      </x:c>
      <x:c r="Q1113" s="25" t="n">
        <x:v>0</x:v>
      </x:c>
      <x:c r="R1113" s="25" t="str">
        <x:v>洗练绑定装备；项链幸运绑定人物永久进度；武器幸运成本忽略</x:v>
      </x:c>
    </x:row>
    <x:row r="1114">
      <x:c r="A1114" s="25" t="str">
        <x:v>C10-G</x:v>
      </x:c>
      <x:c r="B1114" s="25" t="str">
        <x:v>王城罗德尔</x:v>
      </x:c>
      <x:c r="C1114" s="25" t="str">
        <x:v>半急速毕业</x:v>
      </x:c>
      <x:c r="D1114" s="25" t="n">
        <x:v>46</x:v>
      </x:c>
      <x:c r="E1114" s="25" t="n">
        <x:v>165</x:v>
      </x:c>
      <x:c r="F1114" s="25" t="str">
        <x:v>午马·霜脊踏天</x:v>
      </x:c>
      <x:c r="G1114" s="25" t="str">
        <x:v>生肖7</x:v>
      </x:c>
      <x:c r="H1114" s="25" t="n">
        <x:v>8</x:v>
      </x:c>
      <x:c r="I1114" s="25" t="str">
        <x:v>生肖合成</x:v>
      </x:c>
      <x:c r="J1114" s="25" t="str">
        <x:v>S07</x:v>
      </x:c>
      <x:c r="K1114" s="25" t="str">
        <x:v>830-1600</x:v>
      </x:c>
      <x:c r="L1114" s="25" t="n">
        <x:v>2000000</x:v>
      </x:c>
      <x:c r="M1114" s="25" t="n">
        <x:v>0</x:v>
      </x:c>
      <x:c r="N1114" s="25" t="str">
        <x:v>否</x:v>
      </x:c>
      <x:c r="O1114" s="25" t="n">
        <x:v>0</x:v>
      </x:c>
      <x:c r="P1114" s="25" t="n">
        <x:v>0</x:v>
      </x:c>
      <x:c r="Q1114" s="25" t="n">
        <x:v>0</x:v>
      </x:c>
      <x:c r="R1114" s="25" t="str">
        <x:v>洗练绑定装备；项链幸运绑定人物永久进度；武器幸运成本忽略</x:v>
      </x:c>
    </x:row>
    <x:row r="1115">
      <x:c r="A1115" s="25" t="str">
        <x:v>C10-G</x:v>
      </x:c>
      <x:c r="B1115" s="25" t="str">
        <x:v>王城罗德尔</x:v>
      </x:c>
      <x:c r="C1115" s="25" t="str">
        <x:v>半急速毕业</x:v>
      </x:c>
      <x:c r="D1115" s="25" t="n">
        <x:v>47</x:v>
      </x:c>
      <x:c r="E1115" s="25" t="n">
        <x:v>148</x:v>
      </x:c>
      <x:c r="F1115" s="25" t="str">
        <x:v>未羊·永霜引路</x:v>
      </x:c>
      <x:c r="G1115" s="25" t="str">
        <x:v>生肖8</x:v>
      </x:c>
      <x:c r="H1115" s="25" t="n">
        <x:v>7</x:v>
      </x:c>
      <x:c r="I1115" s="25" t="str">
        <x:v>生肖合成</x:v>
      </x:c>
      <x:c r="J1115" s="25" t="str">
        <x:v>S07</x:v>
      </x:c>
      <x:c r="K1115" s="25" t="str">
        <x:v>470-900</x:v>
      </x:c>
      <x:c r="L1115" s="25" t="n">
        <x:v>1200000</x:v>
      </x:c>
      <x:c r="M1115" s="25" t="n">
        <x:v>0</x:v>
      </x:c>
      <x:c r="N1115" s="25" t="str">
        <x:v>否</x:v>
      </x:c>
      <x:c r="O1115" s="25" t="n">
        <x:v>0</x:v>
      </x:c>
      <x:c r="P1115" s="25" t="n">
        <x:v>0</x:v>
      </x:c>
      <x:c r="Q1115" s="25" t="n">
        <x:v>0</x:v>
      </x:c>
      <x:c r="R1115" s="25" t="str">
        <x:v>洗练绑定装备；项链幸运绑定人物永久进度；武器幸运成本忽略</x:v>
      </x:c>
    </x:row>
    <x:row r="1116">
      <x:c r="A1116" s="25" t="str">
        <x:v>C10-G</x:v>
      </x:c>
      <x:c r="B1116" s="25" t="str">
        <x:v>王城罗德尔</x:v>
      </x:c>
      <x:c r="C1116" s="25" t="str">
        <x:v>半急速毕业</x:v>
      </x:c>
      <x:c r="D1116" s="25" t="n">
        <x:v>48</x:v>
      </x:c>
      <x:c r="E1116" s="25" t="n">
        <x:v>81</x:v>
      </x:c>
      <x:c r="F1116" s="25" t="str">
        <x:v>雷冠申猴</x:v>
      </x:c>
      <x:c r="G1116" s="25" t="str">
        <x:v>生肖9</x:v>
      </x:c>
      <x:c r="H1116" s="25" t="n">
        <x:v>2</x:v>
      </x:c>
      <x:c r="I1116" s="25" t="str">
        <x:v>BOSS</x:v>
      </x:c>
      <x:c r="J1116" s="25" t="str">
        <x:v>S02</x:v>
      </x:c>
      <x:c r="K1116" s="25" t="str">
        <x:v>44-84</x:v>
      </x:c>
      <x:c r="L1116" s="25" t="n">
        <x:v>59800</x:v>
      </x:c>
      <x:c r="M1116" s="25" t="n">
        <x:v>0</x:v>
      </x:c>
      <x:c r="N1116" s="25" t="str">
        <x:v>否</x:v>
      </x:c>
      <x:c r="O1116" s="25" t="n">
        <x:v>0</x:v>
      </x:c>
      <x:c r="P1116" s="25" t="n">
        <x:v>0</x:v>
      </x:c>
      <x:c r="Q1116" s="25" t="n">
        <x:v>0</x:v>
      </x:c>
      <x:c r="R1116" s="25" t="str">
        <x:v>洗练绑定装备；项链幸运绑定人物永久进度；武器幸运成本忽略</x:v>
      </x:c>
    </x:row>
    <x:row r="1117">
      <x:c r="A1117" s="25" t="str">
        <x:v>C10-G</x:v>
      </x:c>
      <x:c r="B1117" s="25" t="str">
        <x:v>王城罗德尔</x:v>
      </x:c>
      <x:c r="C1117" s="25" t="str">
        <x:v>半急速毕业</x:v>
      </x:c>
      <x:c r="D1117" s="25" t="n">
        <x:v>49</x:v>
      </x:c>
      <x:c r="E1117" s="25" t="n">
        <x:v>187</x:v>
      </x:c>
      <x:c r="F1117" s="25" t="str">
        <x:v>酉鸡·鎏日司晨</x:v>
      </x:c>
      <x:c r="G1117" s="25" t="str">
        <x:v>生肖10</x:v>
      </x:c>
      <x:c r="H1117" s="25" t="n">
        <x:v>9</x:v>
      </x:c>
      <x:c r="I1117" s="25" t="str">
        <x:v>生肖合成</x:v>
      </x:c>
      <x:c r="J1117" s="25" t="str">
        <x:v>S07</x:v>
      </x:c>
      <x:c r="K1117" s="25" t="str">
        <x:v>1500-2800</x:v>
      </x:c>
      <x:c r="L1117" s="25" t="n">
        <x:v>3600000</x:v>
      </x:c>
      <x:c r="M1117" s="25" t="n">
        <x:v>0</x:v>
      </x:c>
      <x:c r="N1117" s="25" t="str">
        <x:v>否</x:v>
      </x:c>
      <x:c r="O1117" s="25" t="n">
        <x:v>0</x:v>
      </x:c>
      <x:c r="P1117" s="25" t="n">
        <x:v>0</x:v>
      </x:c>
      <x:c r="Q1117" s="25" t="n">
        <x:v>0</x:v>
      </x:c>
      <x:c r="R1117" s="25" t="str">
        <x:v>洗练绑定装备；项链幸运绑定人物永久进度；武器幸运成本忽略</x:v>
      </x:c>
    </x:row>
    <x:row r="1118">
      <x:c r="A1118" s="25" t="str">
        <x:v>C10-G</x:v>
      </x:c>
      <x:c r="B1118" s="25" t="str">
        <x:v>王城罗德尔</x:v>
      </x:c>
      <x:c r="C1118" s="25" t="str">
        <x:v>半急速毕业</x:v>
      </x:c>
      <x:c r="D1118" s="25" t="n">
        <x:v>50</x:v>
      </x:c>
      <x:c r="E1118" s="25" t="n">
        <x:v>215</x:v>
      </x:c>
      <x:c r="F1118" s="25" t="str">
        <x:v>戌狗·王座守门</x:v>
      </x:c>
      <x:c r="G1118" s="25" t="str">
        <x:v>生肖11</x:v>
      </x:c>
      <x:c r="H1118" s="25" t="n">
        <x:v>10</x:v>
      </x:c>
      <x:c r="I1118" s="25" t="str">
        <x:v>生肖合成</x:v>
      </x:c>
      <x:c r="J1118" s="25" t="str">
        <x:v>S07</x:v>
      </x:c>
      <x:c r="K1118" s="25" t="str">
        <x:v>2500-4900</x:v>
      </x:c>
      <x:c r="L1118" s="25" t="n">
        <x:v>6400000</x:v>
      </x:c>
      <x:c r="M1118" s="25" t="n">
        <x:v>0</x:v>
      </x:c>
      <x:c r="N1118" s="25" t="str">
        <x:v>否</x:v>
      </x:c>
      <x:c r="O1118" s="25" t="n">
        <x:v>0</x:v>
      </x:c>
      <x:c r="P1118" s="25" t="n">
        <x:v>0</x:v>
      </x:c>
      <x:c r="Q1118" s="25" t="n">
        <x:v>0</x:v>
      </x:c>
      <x:c r="R1118" s="25" t="str">
        <x:v>洗练绑定装备；项链幸运绑定人物永久进度；武器幸运成本忽略</x:v>
      </x:c>
    </x:row>
    <x:row r="1119">
      <x:c r="A1119" s="25" t="str">
        <x:v>C10-G</x:v>
      </x:c>
      <x:c r="B1119" s="25" t="str">
        <x:v>王城罗德尔</x:v>
      </x:c>
      <x:c r="C1119" s="25" t="str">
        <x:v>半急速毕业</x:v>
      </x:c>
      <x:c r="D1119" s="25" t="n">
        <x:v>51</x:v>
      </x:c>
      <x:c r="E1119" s="25" t="n">
        <x:v>84</x:v>
      </x:c>
      <x:c r="F1119" s="25" t="str">
        <x:v>接肢亥猪</x:v>
      </x:c>
      <x:c r="G1119" s="25" t="str">
        <x:v>生肖12</x:v>
      </x:c>
      <x:c r="H1119" s="25" t="n">
        <x:v>2</x:v>
      </x:c>
      <x:c r="I1119" s="25" t="str">
        <x:v>守关BOSS</x:v>
      </x:c>
      <x:c r="J1119" s="25" t="str">
        <x:v>S02</x:v>
      </x:c>
      <x:c r="K1119" s="25" t="str">
        <x:v>55-106</x:v>
      </x:c>
      <x:c r="L1119" s="25" t="n">
        <x:v>90800</x:v>
      </x:c>
      <x:c r="M1119" s="25" t="n">
        <x:v>0</x:v>
      </x:c>
      <x:c r="N1119" s="25" t="str">
        <x:v>否</x:v>
      </x:c>
      <x:c r="O1119" s="25" t="n">
        <x:v>0</x:v>
      </x:c>
      <x:c r="P1119" s="25" t="n">
        <x:v>0</x:v>
      </x:c>
      <x:c r="Q1119" s="25" t="n">
        <x:v>0</x:v>
      </x:c>
      <x:c r="R1119" s="25" t="str">
        <x:v>洗练绑定装备；项链幸运绑定人物永久进度；武器幸运成本忽略</x:v>
      </x:c>
    </x:row>
    <x:row r="1120">
      <x:c r="A1120" s="25" t="str">
        <x:v>C10-X</x:v>
      </x:c>
      <x:c r="B1120" s="25" t="str">
        <x:v>王城罗德尔</x:v>
      </x:c>
      <x:c r="C1120" s="25" t="str">
        <x:v>极端压力</x:v>
      </x:c>
      <x:c r="D1120" s="25" t="n">
        <x:v>0</x:v>
      </x:c>
      <x:c r="E1120" s="25" t="n">
        <x:v>246</x:v>
      </x:c>
      <x:c r="F1120" s="25" t="str">
        <x:v>永辉空王礼服</x:v>
      </x:c>
      <x:c r="G1120" s="25" t="str">
        <x:v>衣服</x:v>
      </x:c>
      <x:c r="H1120" s="25" t="n">
        <x:v>10</x:v>
      </x:c>
      <x:c r="I1120" s="25" t="str">
        <x:v>地图BOSS</x:v>
      </x:c>
      <x:c r="J1120" s="25" t="str">
        <x:v>S07</x:v>
      </x:c>
      <x:c r="K1120" s="25" t="str">
        <x:v>5200-10000</x:v>
      </x:c>
      <x:c r="L1120" s="25" t="n">
        <x:v>23000000</x:v>
      </x:c>
      <x:c r="M1120" s="25" t="n">
        <x:v>6</x:v>
      </x:c>
      <x:c r="N1120" s="25" t="str">
        <x:v>否</x:v>
      </x:c>
      <x:c r="O1120" s="25" t="n">
        <x:v>0</x:v>
      </x:c>
      <x:c r="P1120" s="25" t="n">
        <x:v>0</x:v>
      </x:c>
      <x:c r="Q1120" s="25" t="n">
        <x:v>0</x:v>
      </x:c>
      <x:c r="R1120" s="25" t="str">
        <x:v>洗练绑定装备；项链幸运绑定人物永久进度；武器幸运成本忽略</x:v>
      </x:c>
    </x:row>
    <x:row r="1121">
      <x:c r="A1121" s="25" t="str">
        <x:v>C10-X</x:v>
      </x:c>
      <x:c r="B1121" s="25" t="str">
        <x:v>王城罗德尔</x:v>
      </x:c>
      <x:c r="C1121" s="25" t="str">
        <x:v>极端压力</x:v>
      </x:c>
      <x:c r="D1121" s="25" t="n">
        <x:v>1</x:v>
      </x:c>
      <x:c r="E1121" s="25" t="n">
        <x:v>216</x:v>
      </x:c>
      <x:c r="F1121" s="25" t="str">
        <x:v>王座终裁圣刃</x:v>
      </x:c>
      <x:c r="G1121" s="25" t="str">
        <x:v>武器</x:v>
      </x:c>
      <x:c r="H1121" s="25" t="n">
        <x:v>10</x:v>
      </x:c>
      <x:c r="I1121" s="25" t="str">
        <x:v>装备合成</x:v>
      </x:c>
      <x:c r="J1121" s="25" t="str">
        <x:v>S07</x:v>
      </x:c>
      <x:c r="K1121" s="25" t="str">
        <x:v>73000-140000</x:v>
      </x:c>
      <x:c r="L1121" s="25" t="n">
        <x:v>8500000</x:v>
      </x:c>
      <x:c r="M1121" s="25" t="n">
        <x:v>8</x:v>
      </x:c>
      <x:c r="N1121" s="25" t="str">
        <x:v>是</x:v>
      </x:c>
      <x:c r="O1121" s="25" t="n">
        <x:v>7</x:v>
      </x:c>
      <x:c r="P1121" s="25" t="n">
        <x:v>0</x:v>
      </x:c>
      <x:c r="Q1121" s="25" t="n">
        <x:v>0</x:v>
      </x:c>
      <x:c r="R1121" s="25" t="str">
        <x:v>洗练绑定装备；项链幸运绑定人物永久进度；武器幸运成本忽略</x:v>
      </x:c>
    </x:row>
    <x:row r="1122">
      <x:c r="A1122" s="25" t="str">
        <x:v>C10-X</x:v>
      </x:c>
      <x:c r="B1122" s="25" t="str">
        <x:v>王城罗德尔</x:v>
      </x:c>
      <x:c r="C1122" s="25" t="str">
        <x:v>极端压力</x:v>
      </x:c>
      <x:c r="D1122" s="25" t="n">
        <x:v>2</x:v>
      </x:c>
      <x:c r="E1122" s="25" t="n">
        <x:v>232</x:v>
      </x:c>
      <x:c r="F1122" s="25" t="str">
        <x:v>无声执冠勋章</x:v>
      </x:c>
      <x:c r="G1122" s="25" t="str">
        <x:v>勋章</x:v>
      </x:c>
      <x:c r="H1122" s="25" t="n">
        <x:v>10</x:v>
      </x:c>
      <x:c r="I1122" s="25" t="str">
        <x:v>稀有</x:v>
      </x:c>
      <x:c r="J1122" s="25" t="str">
        <x:v>S07</x:v>
      </x:c>
      <x:c r="K1122" s="25" t="str">
        <x:v>4600-8800</x:v>
      </x:c>
      <x:c r="L1122" s="25" t="n">
        <x:v>4800000</x:v>
      </x:c>
      <x:c r="M1122" s="25" t="n">
        <x:v>0</x:v>
      </x:c>
      <x:c r="N1122" s="25" t="str">
        <x:v>否</x:v>
      </x:c>
      <x:c r="O1122" s="25" t="n">
        <x:v>0</x:v>
      </x:c>
      <x:c r="P1122" s="25" t="n">
        <x:v>0</x:v>
      </x:c>
      <x:c r="Q1122" s="25" t="n">
        <x:v>0</x:v>
      </x:c>
      <x:c r="R1122" s="25" t="str">
        <x:v>洗练绑定装备；项链幸运绑定人物永久进度；武器幸运成本忽略</x:v>
      </x:c>
    </x:row>
    <x:row r="1123">
      <x:c r="A1123" s="25" t="str">
        <x:v>C10-X</x:v>
      </x:c>
      <x:c r="B1123" s="25" t="str">
        <x:v>王城罗德尔</x:v>
      </x:c>
      <x:c r="C1123" s="25" t="str">
        <x:v>极端压力</x:v>
      </x:c>
      <x:c r="D1123" s="25" t="n">
        <x:v>3</x:v>
      </x:c>
      <x:c r="E1123" s="25" t="n">
        <x:v>248</x:v>
      </x:c>
      <x:c r="F1123" s="25" t="str">
        <x:v>熔桂狮鬃坠</x:v>
      </x:c>
      <x:c r="G1123" s="25" t="str">
        <x:v>项链</x:v>
      </x:c>
      <x:c r="H1123" s="25" t="n">
        <x:v>10</x:v>
      </x:c>
      <x:c r="I1123" s="25" t="str">
        <x:v>稀有</x:v>
      </x:c>
      <x:c r="J1123" s="25" t="str">
        <x:v>S07</x:v>
      </x:c>
      <x:c r="K1123" s="25" t="str">
        <x:v>5100-9900</x:v>
      </x:c>
      <x:c r="L1123" s="25" t="n">
        <x:v>4200000</x:v>
      </x:c>
      <x:c r="M1123" s="25" t="n">
        <x:v>4</x:v>
      </x:c>
      <x:c r="N1123" s="25" t="str">
        <x:v>否</x:v>
      </x:c>
      <x:c r="O1123" s="25" t="n">
        <x:v>0</x:v>
      </x:c>
      <x:c r="P1123" s="25" t="n">
        <x:v>0</x:v>
      </x:c>
      <x:c r="Q1123" s="25" t="n">
        <x:v>0</x:v>
      </x:c>
      <x:c r="R1123" s="25" t="str">
        <x:v>洗练绑定装备；项链幸运绑定人物永久进度；武器幸运成本忽略</x:v>
      </x:c>
    </x:row>
    <x:row r="1124">
      <x:c r="A1124" s="25" t="str">
        <x:v>C10-X</x:v>
      </x:c>
      <x:c r="B1124" s="25" t="str">
        <x:v>王城罗德尔</x:v>
      </x:c>
      <x:c r="C1124" s="25" t="str">
        <x:v>极端压力</x:v>
      </x:c>
      <x:c r="D1124" s="25" t="n">
        <x:v>4</x:v>
      </x:c>
      <x:c r="E1124" s="25" t="n">
        <x:v>233</x:v>
      </x:c>
      <x:c r="F1124" s="25" t="str">
        <x:v>律烛诵壁冠</x:v>
      </x:c>
      <x:c r="G1124" s="25" t="str">
        <x:v>头盔</x:v>
      </x:c>
      <x:c r="H1124" s="25" t="n">
        <x:v>10</x:v>
      </x:c>
      <x:c r="I1124" s="25" t="str">
        <x:v>普通</x:v>
      </x:c>
      <x:c r="J1124" s="25" t="str">
        <x:v>S07</x:v>
      </x:c>
      <x:c r="K1124" s="25" t="str">
        <x:v>2200-4200</x:v>
      </x:c>
      <x:c r="L1124" s="25" t="n">
        <x:v>4400000</x:v>
      </x:c>
      <x:c r="M1124" s="25" t="n">
        <x:v>3</x:v>
      </x:c>
      <x:c r="N1124" s="25" t="str">
        <x:v>否</x:v>
      </x:c>
      <x:c r="O1124" s="25" t="n">
        <x:v>0</x:v>
      </x:c>
      <x:c r="P1124" s="25" t="n">
        <x:v>0</x:v>
      </x:c>
      <x:c r="Q1124" s="25" t="n">
        <x:v>0</x:v>
      </x:c>
      <x:c r="R1124" s="25" t="str">
        <x:v>洗练绑定装备；项链幸运绑定人物永久进度；武器幸运成本忽略</x:v>
      </x:c>
    </x:row>
    <x:row r="1125">
      <x:c r="A1125" s="25" t="str">
        <x:v>C10-X</x:v>
      </x:c>
      <x:c r="B1125" s="25" t="str">
        <x:v>王城罗德尔</x:v>
      </x:c>
      <x:c r="C1125" s="25" t="str">
        <x:v>极端压力</x:v>
      </x:c>
      <x:c r="D1125" s="25" t="n">
        <x:v>5</x:v>
      </x:c>
      <x:c r="E1125" s="25" t="n">
        <x:v>249</x:v>
      </x:c>
      <x:c r="F1125" s="25" t="str">
        <x:v>空炉渣火镯</x:v>
      </x:c>
      <x:c r="G1125" s="25" t="str">
        <x:v>手镯</x:v>
      </x:c>
      <x:c r="H1125" s="25" t="n">
        <x:v>10</x:v>
      </x:c>
      <x:c r="I1125" s="25" t="str">
        <x:v>稀有</x:v>
      </x:c>
      <x:c r="J1125" s="25" t="str">
        <x:v>S07</x:v>
      </x:c>
      <x:c r="K1125" s="25" t="str">
        <x:v>4900-9400</x:v>
      </x:c>
      <x:c r="L1125" s="25" t="n">
        <x:v>3800000</x:v>
      </x:c>
      <x:c r="M1125" s="25" t="n">
        <x:v>5</x:v>
      </x:c>
      <x:c r="N1125" s="25" t="str">
        <x:v>否</x:v>
      </x:c>
      <x:c r="O1125" s="25" t="n">
        <x:v>0</x:v>
      </x:c>
      <x:c r="P1125" s="25" t="n">
        <x:v>0</x:v>
      </x:c>
      <x:c r="Q1125" s="25" t="n">
        <x:v>0</x:v>
      </x:c>
      <x:c r="R1125" s="25" t="str">
        <x:v>洗练绑定装备；项链幸运绑定人物永久进度；武器幸运成本忽略</x:v>
      </x:c>
    </x:row>
    <x:row r="1126">
      <x:c r="A1126" s="25" t="str">
        <x:v>C10-X</x:v>
      </x:c>
      <x:c r="B1126" s="25" t="str">
        <x:v>王城罗德尔</x:v>
      </x:c>
      <x:c r="C1126" s="25" t="str">
        <x:v>极端压力</x:v>
      </x:c>
      <x:c r="D1126" s="25" t="n">
        <x:v>6</x:v>
      </x:c>
      <x:c r="E1126" s="25" t="n">
        <x:v>229</x:v>
      </x:c>
      <x:c r="F1126" s="25" t="str">
        <x:v>空炉渣火镯</x:v>
      </x:c>
      <x:c r="G1126" s="25" t="str">
        <x:v>手镯</x:v>
      </x:c>
      <x:c r="H1126" s="25" t="n">
        <x:v>10</x:v>
      </x:c>
      <x:c r="I1126" s="25" t="str">
        <x:v>稀有</x:v>
      </x:c>
      <x:c r="J1126" s="25" t="str">
        <x:v>S07</x:v>
      </x:c>
      <x:c r="K1126" s="25" t="str">
        <x:v>4900-9400</x:v>
      </x:c>
      <x:c r="L1126" s="25" t="n">
        <x:v>3800000</x:v>
      </x:c>
      <x:c r="M1126" s="25" t="n">
        <x:v>4</x:v>
      </x:c>
      <x:c r="N1126" s="25" t="str">
        <x:v>否</x:v>
      </x:c>
      <x:c r="O1126" s="25" t="n">
        <x:v>0</x:v>
      </x:c>
      <x:c r="P1126" s="25" t="n">
        <x:v>0</x:v>
      </x:c>
      <x:c r="Q1126" s="25" t="n">
        <x:v>0</x:v>
      </x:c>
      <x:c r="R1126" s="25" t="str">
        <x:v>洗练绑定装备；项链幸运绑定人物永久进度；武器幸运成本忽略</x:v>
      </x:c>
    </x:row>
    <x:row r="1127">
      <x:c r="A1127" s="25" t="str">
        <x:v>C10-X</x:v>
      </x:c>
      <x:c r="B1127" s="25" t="str">
        <x:v>王城罗德尔</x:v>
      </x:c>
      <x:c r="C1127" s="25" t="str">
        <x:v>极端压力</x:v>
      </x:c>
      <x:c r="D1127" s="25" t="n">
        <x:v>7</x:v>
      </x:c>
      <x:c r="E1127" s="25" t="n">
        <x:v>230</x:v>
      </x:c>
      <x:c r="F1127" s="25" t="str">
        <x:v>缄律书记戒</x:v>
      </x:c>
      <x:c r="G1127" s="25" t="str">
        <x:v>戒指</x:v>
      </x:c>
      <x:c r="H1127" s="25" t="n">
        <x:v>10</x:v>
      </x:c>
      <x:c r="I1127" s="25" t="str">
        <x:v>稀有</x:v>
      </x:c>
      <x:c r="J1127" s="25" t="str">
        <x:v>S07</x:v>
      </x:c>
      <x:c r="K1127" s="25" t="str">
        <x:v>5700-11000</x:v>
      </x:c>
      <x:c r="L1127" s="25" t="n">
        <x:v>4200000</x:v>
      </x:c>
      <x:c r="M1127" s="25" t="n">
        <x:v>4</x:v>
      </x:c>
      <x:c r="N1127" s="25" t="str">
        <x:v>否</x:v>
      </x:c>
      <x:c r="O1127" s="25" t="n">
        <x:v>0</x:v>
      </x:c>
      <x:c r="P1127" s="25" t="n">
        <x:v>0</x:v>
      </x:c>
      <x:c r="Q1127" s="25" t="n">
        <x:v>0</x:v>
      </x:c>
      <x:c r="R1127" s="25" t="str">
        <x:v>洗练绑定装备；项链幸运绑定人物永久进度；武器幸运成本忽略</x:v>
      </x:c>
    </x:row>
    <x:row r="1128">
      <x:c r="A1128" s="25" t="str">
        <x:v>C10-X</x:v>
      </x:c>
      <x:c r="B1128" s="25" t="str">
        <x:v>王城罗德尔</x:v>
      </x:c>
      <x:c r="C1128" s="25" t="str">
        <x:v>极端压力</x:v>
      </x:c>
      <x:c r="D1128" s="25" t="n">
        <x:v>8</x:v>
      </x:c>
      <x:c r="E1128" s="25" t="n">
        <x:v>250</x:v>
      </x:c>
      <x:c r="F1128" s="25" t="str">
        <x:v>缄律书记戒</x:v>
      </x:c>
      <x:c r="G1128" s="25" t="str">
        <x:v>戒指</x:v>
      </x:c>
      <x:c r="H1128" s="25" t="n">
        <x:v>10</x:v>
      </x:c>
      <x:c r="I1128" s="25" t="str">
        <x:v>稀有</x:v>
      </x:c>
      <x:c r="J1128" s="25" t="str">
        <x:v>S07</x:v>
      </x:c>
      <x:c r="K1128" s="25" t="str">
        <x:v>5700-11000</x:v>
      </x:c>
      <x:c r="L1128" s="25" t="n">
        <x:v>4200000</x:v>
      </x:c>
      <x:c r="M1128" s="25" t="n">
        <x:v>5</x:v>
      </x:c>
      <x:c r="N1128" s="25" t="str">
        <x:v>否</x:v>
      </x:c>
      <x:c r="O1128" s="25" t="n">
        <x:v>0</x:v>
      </x:c>
      <x:c r="P1128" s="25" t="n">
        <x:v>0</x:v>
      </x:c>
      <x:c r="Q1128" s="25" t="n">
        <x:v>0</x:v>
      </x:c>
      <x:c r="R1128" s="25" t="str">
        <x:v>洗练绑定装备；项链幸运绑定人物永久进度；武器幸运成本忽略</x:v>
      </x:c>
    </x:row>
    <x:row r="1129">
      <x:c r="A1129" s="25" t="str">
        <x:v>C10-X</x:v>
      </x:c>
      <x:c r="B1129" s="25" t="str">
        <x:v>王城罗德尔</x:v>
      </x:c>
      <x:c r="C1129" s="25" t="str">
        <x:v>极端压力</x:v>
      </x:c>
      <x:c r="D1129" s="25" t="n">
        <x:v>10</x:v>
      </x:c>
      <x:c r="E1129" s="25" t="n">
        <x:v>251</x:v>
      </x:c>
      <x:c r="F1129" s="25" t="str">
        <x:v>七帷掌仪腰封</x:v>
      </x:c>
      <x:c r="G1129" s="25" t="str">
        <x:v>腰带</x:v>
      </x:c>
      <x:c r="H1129" s="25" t="n">
        <x:v>10</x:v>
      </x:c>
      <x:c r="I1129" s="25" t="str">
        <x:v>稀有</x:v>
      </x:c>
      <x:c r="J1129" s="25" t="str">
        <x:v>S07</x:v>
      </x:c>
      <x:c r="K1129" s="25" t="str">
        <x:v>3300-6300</x:v>
      </x:c>
      <x:c r="L1129" s="25" t="n">
        <x:v>5500000</x:v>
      </x:c>
      <x:c r="M1129" s="25" t="n">
        <x:v>5</x:v>
      </x:c>
      <x:c r="N1129" s="25" t="str">
        <x:v>否</x:v>
      </x:c>
      <x:c r="O1129" s="25" t="n">
        <x:v>0</x:v>
      </x:c>
      <x:c r="P1129" s="25" t="n">
        <x:v>0</x:v>
      </x:c>
      <x:c r="Q1129" s="25" t="n">
        <x:v>0</x:v>
      </x:c>
      <x:c r="R1129" s="25" t="str">
        <x:v>洗练绑定装备；项链幸运绑定人物永久进度；武器幸运成本忽略</x:v>
      </x:c>
    </x:row>
    <x:row r="1130">
      <x:c r="A1130" s="25" t="str">
        <x:v>C10-X</x:v>
      </x:c>
      <x:c r="B1130" s="25" t="str">
        <x:v>王城罗德尔</x:v>
      </x:c>
      <x:c r="C1130" s="25" t="str">
        <x:v>极端压力</x:v>
      </x:c>
      <x:c r="D1130" s="25" t="n">
        <x:v>11</x:v>
      </x:c>
      <x:c r="E1130" s="25" t="n">
        <x:v>235</x:v>
      </x:c>
      <x:c r="F1130" s="25" t="str">
        <x:v>枕陵掘痕靴</x:v>
      </x:c>
      <x:c r="G1130" s="25" t="str">
        <x:v>鞋子</x:v>
      </x:c>
      <x:c r="H1130" s="25" t="n">
        <x:v>10</x:v>
      </x:c>
      <x:c r="I1130" s="25" t="str">
        <x:v>普通</x:v>
      </x:c>
      <x:c r="J1130" s="25" t="str">
        <x:v>S07</x:v>
      </x:c>
      <x:c r="K1130" s="25" t="str">
        <x:v>1800-3400</x:v>
      </x:c>
      <x:c r="L1130" s="25" t="n">
        <x:v>2200000</x:v>
      </x:c>
      <x:c r="M1130" s="25" t="n">
        <x:v>6</x:v>
      </x:c>
      <x:c r="N1130" s="25" t="str">
        <x:v>否</x:v>
      </x:c>
      <x:c r="O1130" s="25" t="n">
        <x:v>0</x:v>
      </x:c>
      <x:c r="P1130" s="25" t="n">
        <x:v>0</x:v>
      </x:c>
      <x:c r="Q1130" s="25" t="n">
        <x:v>0</x:v>
      </x:c>
      <x:c r="R1130" s="25" t="str">
        <x:v>洗练绑定装备；项链幸运绑定人物永久进度；武器幸运成本忽略</x:v>
      </x:c>
    </x:row>
    <x:row r="1131">
      <x:c r="A1131" s="25" t="str">
        <x:v>C10-X</x:v>
      </x:c>
      <x:c r="B1131" s="25" t="str">
        <x:v>王城罗德尔</x:v>
      </x:c>
      <x:c r="C1131" s="25" t="str">
        <x:v>极端压力</x:v>
      </x:c>
      <x:c r="D1131" s="25" t="n">
        <x:v>13</x:v>
      </x:c>
      <x:c r="E1131" s="25" t="n">
        <x:v>236</x:v>
      </x:c>
      <x:c r="F1131" s="25" t="str">
        <x:v>碎日禁卫斗笠</x:v>
      </x:c>
      <x:c r="G1131" s="25" t="str">
        <x:v>斗笠</x:v>
      </x:c>
      <x:c r="H1131" s="25" t="n">
        <x:v>10</x:v>
      </x:c>
      <x:c r="I1131" s="25" t="str">
        <x:v>地图BOSS</x:v>
      </x:c>
      <x:c r="J1131" s="25" t="str">
        <x:v>S07</x:v>
      </x:c>
      <x:c r="K1131" s="25" t="str">
        <x:v>3200-6100</x:v>
      </x:c>
      <x:c r="L1131" s="25" t="n">
        <x:v>3600000</x:v>
      </x:c>
      <x:c r="M1131" s="25" t="n">
        <x:v>0</x:v>
      </x:c>
      <x:c r="N1131" s="25" t="str">
        <x:v>否</x:v>
      </x:c>
      <x:c r="O1131" s="25" t="n">
        <x:v>0</x:v>
      </x:c>
      <x:c r="P1131" s="25" t="n">
        <x:v>0</x:v>
      </x:c>
      <x:c r="Q1131" s="25" t="n">
        <x:v>0</x:v>
      </x:c>
      <x:c r="R1131" s="25" t="str">
        <x:v>洗练绑定装备；项链幸运绑定人物永久进度；武器幸运成本忽略</x:v>
      </x:c>
    </x:row>
    <x:row r="1132">
      <x:c r="A1132" s="25" t="str">
        <x:v>C10-X</x:v>
      </x:c>
      <x:c r="B1132" s="25" t="str">
        <x:v>王城罗德尔</x:v>
      </x:c>
      <x:c r="C1132" s="25" t="str">
        <x:v>极端压力</x:v>
      </x:c>
      <x:c r="D1132" s="25" t="n">
        <x:v>16</x:v>
      </x:c>
      <x:c r="E1132" s="25" t="n">
        <x:v>237</x:v>
      </x:c>
      <x:c r="F1132" s="25" t="str">
        <x:v>返魂寝门盾</x:v>
      </x:c>
      <x:c r="G1132" s="25" t="str">
        <x:v>盾牌</x:v>
      </x:c>
      <x:c r="H1132" s="25" t="n">
        <x:v>10</x:v>
      </x:c>
      <x:c r="I1132" s="25" t="str">
        <x:v>稀有</x:v>
      </x:c>
      <x:c r="J1132" s="25" t="str">
        <x:v>S07</x:v>
      </x:c>
      <x:c r="K1132" s="25" t="str">
        <x:v>4200-8000</x:v>
      </x:c>
      <x:c r="L1132" s="25" t="n">
        <x:v>11400000</x:v>
      </x:c>
      <x:c r="M1132" s="25" t="n">
        <x:v>0</x:v>
      </x:c>
      <x:c r="N1132" s="25" t="str">
        <x:v>否</x:v>
      </x:c>
      <x:c r="O1132" s="25" t="n">
        <x:v>0</x:v>
      </x:c>
      <x:c r="P1132" s="25" t="n">
        <x:v>0</x:v>
      </x:c>
      <x:c r="Q1132" s="25" t="n">
        <x:v>0</x:v>
      </x:c>
      <x:c r="R1132" s="25" t="str">
        <x:v>洗练绑定装备；项链幸运绑定人物永久进度；武器幸运成本忽略</x:v>
      </x:c>
    </x:row>
    <x:row r="1133">
      <x:c r="A1133" s="25" t="str">
        <x:v>C10-X</x:v>
      </x:c>
      <x:c r="B1133" s="25" t="str">
        <x:v>王城罗德尔</x:v>
      </x:c>
      <x:c r="C1133" s="25" t="str">
        <x:v>极端压力</x:v>
      </x:c>
      <x:c r="D1133" s="25" t="n">
        <x:v>18</x:v>
      </x:c>
      <x:c r="E1133" s="25" t="n">
        <x:v>241</x:v>
      </x:c>
      <x:c r="F1133" s="25" t="str">
        <x:v>艾尔登无冕王衣</x:v>
      </x:c>
      <x:c r="G1133" s="25" t="str">
        <x:v>时装衣服</x:v>
      </x:c>
      <x:c r="H1133" s="25" t="n">
        <x:v>10</x:v>
      </x:c>
      <x:c r="I1133" s="25" t="str">
        <x:v>装备合成</x:v>
      </x:c>
      <x:c r="J1133" s="25" t="str">
        <x:v>S07</x:v>
      </x:c>
      <x:c r="K1133" s="25" t="str">
        <x:v>7800-15000</x:v>
      </x:c>
      <x:c r="L1133" s="25" t="n">
        <x:v>51000000</x:v>
      </x:c>
      <x:c r="M1133" s="25" t="n">
        <x:v>0</x:v>
      </x:c>
      <x:c r="N1133" s="25" t="str">
        <x:v>否</x:v>
      </x:c>
      <x:c r="O1133" s="25" t="n">
        <x:v>0</x:v>
      </x:c>
      <x:c r="P1133" s="25" t="n">
        <x:v>0</x:v>
      </x:c>
      <x:c r="Q1133" s="25" t="n">
        <x:v>0</x:v>
      </x:c>
      <x:c r="R1133" s="25" t="str">
        <x:v>洗练绑定装备；项链幸运绑定人物永久进度；武器幸运成本忽略</x:v>
      </x:c>
    </x:row>
    <x:row r="1134">
      <x:c r="A1134" s="25" t="str">
        <x:v>C10-X</x:v>
      </x:c>
      <x:c r="B1134" s="25" t="str">
        <x:v>王城罗德尔</x:v>
      </x:c>
      <x:c r="C1134" s="25" t="str">
        <x:v>极端压力</x:v>
      </x:c>
      <x:c r="D1134" s="25" t="n">
        <x:v>19</x:v>
      </x:c>
      <x:c r="E1134" s="25" t="n">
        <x:v>147</x:v>
      </x:c>
      <x:c r="F1134" s="25" t="str">
        <x:v>永霜白金刃</x:v>
      </x:c>
      <x:c r="G1134" s="25" t="str">
        <x:v>时装武器</x:v>
      </x:c>
      <x:c r="H1134" s="25" t="n">
        <x:v>7</x:v>
      </x:c>
      <x:c r="I1134" s="25" t="str">
        <x:v>装备合成</x:v>
      </x:c>
      <x:c r="J1134" s="25" t="str">
        <x:v>S07</x:v>
      </x:c>
      <x:c r="K1134" s="25" t="str">
        <x:v>4800-9200</x:v>
      </x:c>
      <x:c r="L1134" s="25" t="n">
        <x:v>1700000</x:v>
      </x:c>
      <x:c r="M1134" s="25" t="n">
        <x:v>0</x:v>
      </x:c>
      <x:c r="N1134" s="25" t="str">
        <x:v>否</x:v>
      </x:c>
      <x:c r="O1134" s="25" t="n">
        <x:v>0</x:v>
      </x:c>
      <x:c r="P1134" s="25" t="n">
        <x:v>0</x:v>
      </x:c>
      <x:c r="Q1134" s="25" t="n">
        <x:v>0</x:v>
      </x:c>
      <x:c r="R1134" s="25" t="str">
        <x:v>洗练绑定装备；项链幸运绑定人物永久进度；武器幸运成本忽略</x:v>
      </x:c>
    </x:row>
    <x:row r="1135">
      <x:c r="A1135" s="25" t="str">
        <x:v>C10-X</x:v>
      </x:c>
      <x:c r="B1135" s="25" t="str">
        <x:v>王城罗德尔</x:v>
      </x:c>
      <x:c r="C1135" s="25" t="str">
        <x:v>极端压力</x:v>
      </x:c>
      <x:c r="D1135" s="25" t="n">
        <x:v>20</x:v>
      </x:c>
      <x:c r="E1135" s="25" t="n">
        <x:v>40</x:v>
      </x:c>
      <x:c r="F1135" s="25" t="str">
        <x:v>英雄余誓</x:v>
      </x:c>
      <x:c r="G1135" s="25" t="str">
        <x:v>时装项链</x:v>
      </x:c>
      <x:c r="H1135" s="25" t="n">
        <x:v>2</x:v>
      </x:c>
      <x:c r="I1135" s="25" t="str">
        <x:v>稀有</x:v>
      </x:c>
      <x:c r="J1135" s="25" t="str">
        <x:v>S02</x:v>
      </x:c>
      <x:c r="K1135" s="25" t="str">
        <x:v>31-60</x:v>
      </x:c>
      <x:c r="L1135" s="25" t="n">
        <x:v>17900</x:v>
      </x:c>
      <x:c r="M1135" s="25" t="n">
        <x:v>0</x:v>
      </x:c>
      <x:c r="N1135" s="25" t="str">
        <x:v>否</x:v>
      </x:c>
      <x:c r="O1135" s="25" t="n">
        <x:v>0</x:v>
      </x:c>
      <x:c r="P1135" s="25" t="n">
        <x:v>0</x:v>
      </x:c>
      <x:c r="Q1135" s="25" t="n">
        <x:v>0</x:v>
      </x:c>
      <x:c r="R1135" s="25" t="str">
        <x:v>洗练绑定装备；项链幸运绑定人物永久进度；武器幸运成本忽略</x:v>
      </x:c>
    </x:row>
    <x:row r="1136">
      <x:c r="A1136" s="25" t="str">
        <x:v>C10-X</x:v>
      </x:c>
      <x:c r="B1136" s="25" t="str">
        <x:v>王城罗德尔</x:v>
      </x:c>
      <x:c r="C1136" s="25" t="str">
        <x:v>极端压力</x:v>
      </x:c>
      <x:c r="D1136" s="25" t="n">
        <x:v>21</x:v>
      </x:c>
      <x:c r="E1136" s="25" t="n">
        <x:v>238</x:v>
      </x:c>
      <x:c r="F1136" s="25" t="str">
        <x:v>鹰主风冠</x:v>
      </x:c>
      <x:c r="G1136" s="25" t="str">
        <x:v>时装头盔</x:v>
      </x:c>
      <x:c r="H1136" s="25" t="n">
        <x:v>2</x:v>
      </x:c>
      <x:c r="I1136" s="25" t="str">
        <x:v>稀有</x:v>
      </x:c>
      <x:c r="J1136" s="25" t="str">
        <x:v>S02</x:v>
      </x:c>
      <x:c r="K1136" s="25" t="str">
        <x:v>33-63</x:v>
      </x:c>
      <x:c r="L1136" s="25" t="n">
        <x:v>78400</x:v>
      </x:c>
      <x:c r="M1136" s="25" t="n">
        <x:v>0</x:v>
      </x:c>
      <x:c r="N1136" s="25" t="str">
        <x:v>否</x:v>
      </x:c>
      <x:c r="O1136" s="25" t="n">
        <x:v>0</x:v>
      </x:c>
      <x:c r="P1136" s="25" t="n">
        <x:v>0</x:v>
      </x:c>
      <x:c r="Q1136" s="25" t="n">
        <x:v>0</x:v>
      </x:c>
      <x:c r="R1136" s="25" t="str">
        <x:v>洗练绑定装备；项链幸运绑定人物永久进度；武器幸运成本忽略</x:v>
      </x:c>
    </x:row>
    <x:row r="1137">
      <x:c r="A1137" s="25" t="str">
        <x:v>C10-X</x:v>
      </x:c>
      <x:c r="B1137" s="25" t="str">
        <x:v>王城罗德尔</x:v>
      </x:c>
      <x:c r="C1137" s="25" t="str">
        <x:v>极端压力</x:v>
      </x:c>
      <x:c r="D1137" s="25" t="n">
        <x:v>22</x:v>
      </x:c>
      <x:c r="E1137" s="25" t="n">
        <x:v>42</x:v>
      </x:c>
      <x:c r="F1137" s="25" t="str">
        <x:v>卢恩血镯</x:v>
      </x:c>
      <x:c r="G1137" s="25" t="str">
        <x:v>时装手镯</x:v>
      </x:c>
      <x:c r="H1137" s="25" t="n">
        <x:v>2</x:v>
      </x:c>
      <x:c r="I1137" s="25" t="str">
        <x:v>稀有</x:v>
      </x:c>
      <x:c r="J1137" s="25" t="str">
        <x:v>S02</x:v>
      </x:c>
      <x:c r="K1137" s="25" t="str">
        <x:v>42-80</x:v>
      </x:c>
      <x:c r="L1137" s="25" t="n">
        <x:v>34400</x:v>
      </x:c>
      <x:c r="M1137" s="25" t="n">
        <x:v>0</x:v>
      </x:c>
      <x:c r="N1137" s="25" t="str">
        <x:v>否</x:v>
      </x:c>
      <x:c r="O1137" s="25" t="n">
        <x:v>0</x:v>
      </x:c>
      <x:c r="P1137" s="25" t="n">
        <x:v>0</x:v>
      </x:c>
      <x:c r="Q1137" s="25" t="n">
        <x:v>0</x:v>
      </x:c>
      <x:c r="R1137" s="25" t="str">
        <x:v>洗练绑定装备；项链幸运绑定人物永久进度；武器幸运成本忽略</x:v>
      </x:c>
    </x:row>
    <x:row r="1138">
      <x:c r="A1138" s="25" t="str">
        <x:v>C10-X</x:v>
      </x:c>
      <x:c r="B1138" s="25" t="str">
        <x:v>王城罗德尔</x:v>
      </x:c>
      <x:c r="C1138" s="25" t="str">
        <x:v>极端压力</x:v>
      </x:c>
      <x:c r="D1138" s="25" t="n">
        <x:v>23</x:v>
      </x:c>
      <x:c r="E1138" s="25" t="n">
        <x:v>239</x:v>
      </x:c>
      <x:c r="F1138" s="25" t="str">
        <x:v>卢恩血镯</x:v>
      </x:c>
      <x:c r="G1138" s="25" t="str">
        <x:v>时装手镯</x:v>
      </x:c>
      <x:c r="H1138" s="25" t="n">
        <x:v>2</x:v>
      </x:c>
      <x:c r="I1138" s="25" t="str">
        <x:v>稀有</x:v>
      </x:c>
      <x:c r="J1138" s="25" t="str">
        <x:v>S02</x:v>
      </x:c>
      <x:c r="K1138" s="25" t="str">
        <x:v>42-80</x:v>
      </x:c>
      <x:c r="L1138" s="25" t="n">
        <x:v>34400</x:v>
      </x:c>
      <x:c r="M1138" s="25" t="n">
        <x:v>0</x:v>
      </x:c>
      <x:c r="N1138" s="25" t="str">
        <x:v>否</x:v>
      </x:c>
      <x:c r="O1138" s="25" t="n">
        <x:v>0</x:v>
      </x:c>
      <x:c r="P1138" s="25" t="n">
        <x:v>0</x:v>
      </x:c>
      <x:c r="Q1138" s="25" t="n">
        <x:v>0</x:v>
      </x:c>
      <x:c r="R1138" s="25" t="str">
        <x:v>洗练绑定装备；项链幸运绑定人物永久进度；武器幸运成本忽略</x:v>
      </x:c>
    </x:row>
    <x:row r="1139">
      <x:c r="A1139" s="25" t="str">
        <x:v>C10-X</x:v>
      </x:c>
      <x:c r="B1139" s="25" t="str">
        <x:v>王城罗德尔</x:v>
      </x:c>
      <x:c r="C1139" s="25" t="str">
        <x:v>极端压力</x:v>
      </x:c>
      <x:c r="D1139" s="25" t="n">
        <x:v>24</x:v>
      </x:c>
      <x:c r="E1139" s="25" t="n">
        <x:v>244</x:v>
      </x:c>
      <x:c r="F1139" s="25" t="str">
        <x:v>辉月镜戒</x:v>
      </x:c>
      <x:c r="G1139" s="25" t="str">
        <x:v>时装戒指</x:v>
      </x:c>
      <x:c r="H1139" s="25" t="n">
        <x:v>5</x:v>
      </x:c>
      <x:c r="I1139" s="25" t="str">
        <x:v>装备合成</x:v>
      </x:c>
      <x:c r="J1139" s="25" t="str">
        <x:v>S07</x:v>
      </x:c>
      <x:c r="K1139" s="25" t="str">
        <x:v>570-1100</x:v>
      </x:c>
      <x:c r="L1139" s="25" t="n">
        <x:v>550000</x:v>
      </x:c>
      <x:c r="M1139" s="25" t="n">
        <x:v>0</x:v>
      </x:c>
      <x:c r="N1139" s="25" t="str">
        <x:v>否</x:v>
      </x:c>
      <x:c r="O1139" s="25" t="n">
        <x:v>0</x:v>
      </x:c>
      <x:c r="P1139" s="25" t="n">
        <x:v>0</x:v>
      </x:c>
      <x:c r="Q1139" s="25" t="n">
        <x:v>0</x:v>
      </x:c>
      <x:c r="R1139" s="25" t="str">
        <x:v>洗练绑定装备；项链幸运绑定人物永久进度；武器幸运成本忽略</x:v>
      </x:c>
    </x:row>
    <x:row r="1140">
      <x:c r="A1140" s="25" t="str">
        <x:v>C10-X</x:v>
      </x:c>
      <x:c r="B1140" s="25" t="str">
        <x:v>王城罗德尔</x:v>
      </x:c>
      <x:c r="C1140" s="25" t="str">
        <x:v>极端压力</x:v>
      </x:c>
      <x:c r="D1140" s="25" t="n">
        <x:v>25</x:v>
      </x:c>
      <x:c r="E1140" s="25" t="n">
        <x:v>240</x:v>
      </x:c>
      <x:c r="F1140" s="25" t="str">
        <x:v>黄金树戒</x:v>
      </x:c>
      <x:c r="G1140" s="25" t="str">
        <x:v>时装戒指</x:v>
      </x:c>
      <x:c r="H1140" s="25" t="n">
        <x:v>2</x:v>
      </x:c>
      <x:c r="I1140" s="25" t="str">
        <x:v>稀有</x:v>
      </x:c>
      <x:c r="J1140" s="25" t="str">
        <x:v>S02</x:v>
      </x:c>
      <x:c r="K1140" s="25" t="str">
        <x:v>42-80</x:v>
      </x:c>
      <x:c r="L1140" s="25" t="n">
        <x:v>34400</x:v>
      </x:c>
      <x:c r="M1140" s="25" t="n">
        <x:v>0</x:v>
      </x:c>
      <x:c r="N1140" s="25" t="str">
        <x:v>否</x:v>
      </x:c>
      <x:c r="O1140" s="25" t="n">
        <x:v>0</x:v>
      </x:c>
      <x:c r="P1140" s="25" t="n">
        <x:v>0</x:v>
      </x:c>
      <x:c r="Q1140" s="25" t="n">
        <x:v>0</x:v>
      </x:c>
      <x:c r="R1140" s="25" t="str">
        <x:v>洗练绑定装备；项链幸运绑定人物永久进度；武器幸运成本忽略</x:v>
      </x:c>
    </x:row>
    <x:row r="1141">
      <x:c r="A1141" s="25" t="str">
        <x:v>C10-X</x:v>
      </x:c>
      <x:c r="B1141" s="25" t="str">
        <x:v>王城罗德尔</x:v>
      </x:c>
      <x:c r="C1141" s="25" t="str">
        <x:v>极端压力</x:v>
      </x:c>
      <x:c r="D1141" s="25" t="n">
        <x:v>40</x:v>
      </x:c>
      <x:c r="E1141" s="25" t="n">
        <x:v>44</x:v>
      </x:c>
      <x:c r="F1141" s="25" t="str">
        <x:v>腐树子鼠</x:v>
      </x:c>
      <x:c r="G1141" s="25" t="str">
        <x:v>生肖1</x:v>
      </x:c>
      <x:c r="H1141" s="25" t="n">
        <x:v>2</x:v>
      </x:c>
      <x:c r="I1141" s="25" t="str">
        <x:v>BOSS</x:v>
      </x:c>
      <x:c r="J1141" s="25" t="str">
        <x:v>S02</x:v>
      </x:c>
      <x:c r="K1141" s="25" t="str">
        <x:v>29-56</x:v>
      </x:c>
      <x:c r="L1141" s="25" t="n">
        <x:v>23600</x:v>
      </x:c>
      <x:c r="M1141" s="25" t="n">
        <x:v>0</x:v>
      </x:c>
      <x:c r="N1141" s="25" t="str">
        <x:v>否</x:v>
      </x:c>
      <x:c r="O1141" s="25" t="n">
        <x:v>0</x:v>
      </x:c>
      <x:c r="P1141" s="25" t="n">
        <x:v>0</x:v>
      </x:c>
      <x:c r="Q1141" s="25" t="n">
        <x:v>0</x:v>
      </x:c>
      <x:c r="R1141" s="25" t="str">
        <x:v>洗练绑定装备；项链幸运绑定人物永久进度；武器幸运成本忽略</x:v>
      </x:c>
    </x:row>
    <x:row r="1142">
      <x:c r="A1142" s="25" t="str">
        <x:v>C10-X</x:v>
      </x:c>
      <x:c r="B1142" s="25" t="str">
        <x:v>王城罗德尔</x:v>
      </x:c>
      <x:c r="C1142" s="25" t="str">
        <x:v>极端压力</x:v>
      </x:c>
      <x:c r="D1142" s="25" t="n">
        <x:v>41</x:v>
      </x:c>
      <x:c r="E1142" s="25" t="n">
        <x:v>69</x:v>
      </x:c>
      <x:c r="F1142" s="25" t="str">
        <x:v>丑牛·风暴负山</x:v>
      </x:c>
      <x:c r="G1142" s="25" t="str">
        <x:v>生肖2</x:v>
      </x:c>
      <x:c r="H1142" s="25" t="n">
        <x:v>2</x:v>
      </x:c>
      <x:c r="I1142" s="25" t="str">
        <x:v>生肖合成</x:v>
      </x:c>
      <x:c r="J1142" s="25" t="str">
        <x:v>S07</x:v>
      </x:c>
      <x:c r="K1142" s="25" t="str">
        <x:v>25-49</x:v>
      </x:c>
      <x:c r="L1142" s="25" t="n">
        <x:v>64000</x:v>
      </x:c>
      <x:c r="M1142" s="25" t="n">
        <x:v>0</x:v>
      </x:c>
      <x:c r="N1142" s="25" t="str">
        <x:v>否</x:v>
      </x:c>
      <x:c r="O1142" s="25" t="n">
        <x:v>0</x:v>
      </x:c>
      <x:c r="P1142" s="25" t="n">
        <x:v>0</x:v>
      </x:c>
      <x:c r="Q1142" s="25" t="n">
        <x:v>0</x:v>
      </x:c>
      <x:c r="R1142" s="25" t="str">
        <x:v>洗练绑定装备；项链幸运绑定人物永久进度；武器幸运成本忽略</x:v>
      </x:c>
    </x:row>
    <x:row r="1143">
      <x:c r="A1143" s="25" t="str">
        <x:v>C10-X</x:v>
      </x:c>
      <x:c r="B1143" s="25" t="str">
        <x:v>王城罗德尔</x:v>
      </x:c>
      <x:c r="C1143" s="25" t="str">
        <x:v>极端压力</x:v>
      </x:c>
      <x:c r="D1143" s="25" t="n">
        <x:v>42</x:v>
      </x:c>
      <x:c r="E1143" s="25" t="n">
        <x:v>138</x:v>
      </x:c>
      <x:c r="F1143" s="25" t="str">
        <x:v>寅虎·红狮焚原</x:v>
      </x:c>
      <x:c r="G1143" s="25" t="str">
        <x:v>生肖3</x:v>
      </x:c>
      <x:c r="H1143" s="25" t="n">
        <x:v>6</x:v>
      </x:c>
      <x:c r="I1143" s="25" t="str">
        <x:v>生肖合成</x:v>
      </x:c>
      <x:c r="J1143" s="25" t="str">
        <x:v>S07</x:v>
      </x:c>
      <x:c r="K1143" s="25" t="str">
        <x:v>250-490</x:v>
      </x:c>
      <x:c r="L1143" s="25" t="n">
        <x:v>640000</x:v>
      </x:c>
      <x:c r="M1143" s="25" t="n">
        <x:v>0</x:v>
      </x:c>
      <x:c r="N1143" s="25" t="str">
        <x:v>否</x:v>
      </x:c>
      <x:c r="O1143" s="25" t="n">
        <x:v>0</x:v>
      </x:c>
      <x:c r="P1143" s="25" t="n">
        <x:v>0</x:v>
      </x:c>
      <x:c r="Q1143" s="25" t="n">
        <x:v>0</x:v>
      </x:c>
      <x:c r="R1143" s="25" t="str">
        <x:v>洗练绑定装备；项链幸运绑定人物永久进度；武器幸运成本忽略</x:v>
      </x:c>
    </x:row>
    <x:row r="1144">
      <x:c r="A1144" s="25" t="str">
        <x:v>C10-X</x:v>
      </x:c>
      <x:c r="B1144" s="25" t="str">
        <x:v>王城罗德尔</x:v>
      </x:c>
      <x:c r="C1144" s="25" t="str">
        <x:v>极端压力</x:v>
      </x:c>
      <x:c r="D1144" s="25" t="n">
        <x:v>43</x:v>
      </x:c>
      <x:c r="E1144" s="25" t="n">
        <x:v>127</x:v>
      </x:c>
      <x:c r="F1144" s="25" t="str">
        <x:v>卯兔·镜月折辉</x:v>
      </x:c>
      <x:c r="G1144" s="25" t="str">
        <x:v>生肖4</x:v>
      </x:c>
      <x:c r="H1144" s="25" t="n">
        <x:v>5</x:v>
      </x:c>
      <x:c r="I1144" s="25" t="str">
        <x:v>生肖合成</x:v>
      </x:c>
      <x:c r="J1144" s="25" t="str">
        <x:v>S07</x:v>
      </x:c>
      <x:c r="K1144" s="25" t="str">
        <x:v>150-280</x:v>
      </x:c>
      <x:c r="L1144" s="25" t="n">
        <x:v>360000</x:v>
      </x:c>
      <x:c r="M1144" s="25" t="n">
        <x:v>0</x:v>
      </x:c>
      <x:c r="N1144" s="25" t="str">
        <x:v>否</x:v>
      </x:c>
      <x:c r="O1144" s="25" t="n">
        <x:v>0</x:v>
      </x:c>
      <x:c r="P1144" s="25" t="n">
        <x:v>0</x:v>
      </x:c>
      <x:c r="Q1144" s="25" t="n">
        <x:v>0</x:v>
      </x:c>
      <x:c r="R1144" s="25" t="str">
        <x:v>洗练绑定装备；项链幸运绑定人物永久进度；武器幸运成本忽略</x:v>
      </x:c>
    </x:row>
    <x:row r="1145">
      <x:c r="A1145" s="25" t="str">
        <x:v>C10-X</x:v>
      </x:c>
      <x:c r="B1145" s="25" t="str">
        <x:v>王城罗德尔</x:v>
      </x:c>
      <x:c r="C1145" s="25" t="str">
        <x:v>极端压力</x:v>
      </x:c>
      <x:c r="D1145" s="25" t="n">
        <x:v>44</x:v>
      </x:c>
      <x:c r="E1145" s="25" t="n">
        <x:v>91</x:v>
      </x:c>
      <x:c r="F1145" s="25" t="str">
        <x:v>辰龙·荒原逐风</x:v>
      </x:c>
      <x:c r="G1145" s="25" t="str">
        <x:v>生肖5</x:v>
      </x:c>
      <x:c r="H1145" s="25" t="n">
        <x:v>3</x:v>
      </x:c>
      <x:c r="I1145" s="25" t="str">
        <x:v>生肖合成</x:v>
      </x:c>
      <x:c r="J1145" s="25" t="str">
        <x:v>S07</x:v>
      </x:c>
      <x:c r="K1145" s="25" t="str">
        <x:v>47-90</x:v>
      </x:c>
      <x:c r="L1145" s="25" t="n">
        <x:v>120000</x:v>
      </x:c>
      <x:c r="M1145" s="25" t="n">
        <x:v>0</x:v>
      </x:c>
      <x:c r="N1145" s="25" t="str">
        <x:v>否</x:v>
      </x:c>
      <x:c r="O1145" s="25" t="n">
        <x:v>0</x:v>
      </x:c>
      <x:c r="P1145" s="25" t="n">
        <x:v>0</x:v>
      </x:c>
      <x:c r="Q1145" s="25" t="n">
        <x:v>0</x:v>
      </x:c>
      <x:c r="R1145" s="25" t="str">
        <x:v>洗练绑定装备；项链幸运绑定人物永久进度；武器幸运成本忽略</x:v>
      </x:c>
    </x:row>
    <x:row r="1146">
      <x:c r="A1146" s="25" t="str">
        <x:v>C10-X</x:v>
      </x:c>
      <x:c r="B1146" s="25" t="str">
        <x:v>王城罗德尔</x:v>
      </x:c>
      <x:c r="C1146" s="25" t="str">
        <x:v>极端压力</x:v>
      </x:c>
      <x:c r="D1146" s="25" t="n">
        <x:v>45</x:v>
      </x:c>
      <x:c r="E1146" s="25" t="n">
        <x:v>107</x:v>
      </x:c>
      <x:c r="F1146" s="25" t="str">
        <x:v>巳蛇·沉潮缚月</x:v>
      </x:c>
      <x:c r="G1146" s="25" t="str">
        <x:v>生肖6</x:v>
      </x:c>
      <x:c r="H1146" s="25" t="n">
        <x:v>4</x:v>
      </x:c>
      <x:c r="I1146" s="25" t="str">
        <x:v>生肖合成</x:v>
      </x:c>
      <x:c r="J1146" s="25" t="str">
        <x:v>S07</x:v>
      </x:c>
      <x:c r="K1146" s="25" t="str">
        <x:v>83-160</x:v>
      </x:c>
      <x:c r="L1146" s="25" t="n">
        <x:v>200000</x:v>
      </x:c>
      <x:c r="M1146" s="25" t="n">
        <x:v>0</x:v>
      </x:c>
      <x:c r="N1146" s="25" t="str">
        <x:v>否</x:v>
      </x:c>
      <x:c r="O1146" s="25" t="n">
        <x:v>0</x:v>
      </x:c>
      <x:c r="P1146" s="25" t="n">
        <x:v>0</x:v>
      </x:c>
      <x:c r="Q1146" s="25" t="n">
        <x:v>0</x:v>
      </x:c>
      <x:c r="R1146" s="25" t="str">
        <x:v>洗练绑定装备；项链幸运绑定人物永久进度；武器幸运成本忽略</x:v>
      </x:c>
    </x:row>
    <x:row r="1147">
      <x:c r="A1147" s="25" t="str">
        <x:v>C10-X</x:v>
      </x:c>
      <x:c r="B1147" s="25" t="str">
        <x:v>王城罗德尔</x:v>
      </x:c>
      <x:c r="C1147" s="25" t="str">
        <x:v>极端压力</x:v>
      </x:c>
      <x:c r="D1147" s="25" t="n">
        <x:v>46</x:v>
      </x:c>
      <x:c r="E1147" s="25" t="n">
        <x:v>165</x:v>
      </x:c>
      <x:c r="F1147" s="25" t="str">
        <x:v>午马·霜脊踏天</x:v>
      </x:c>
      <x:c r="G1147" s="25" t="str">
        <x:v>生肖7</x:v>
      </x:c>
      <x:c r="H1147" s="25" t="n">
        <x:v>8</x:v>
      </x:c>
      <x:c r="I1147" s="25" t="str">
        <x:v>生肖合成</x:v>
      </x:c>
      <x:c r="J1147" s="25" t="str">
        <x:v>S07</x:v>
      </x:c>
      <x:c r="K1147" s="25" t="str">
        <x:v>830-1600</x:v>
      </x:c>
      <x:c r="L1147" s="25" t="n">
        <x:v>2000000</x:v>
      </x:c>
      <x:c r="M1147" s="25" t="n">
        <x:v>0</x:v>
      </x:c>
      <x:c r="N1147" s="25" t="str">
        <x:v>否</x:v>
      </x:c>
      <x:c r="O1147" s="25" t="n">
        <x:v>0</x:v>
      </x:c>
      <x:c r="P1147" s="25" t="n">
        <x:v>0</x:v>
      </x:c>
      <x:c r="Q1147" s="25" t="n">
        <x:v>0</x:v>
      </x:c>
      <x:c r="R1147" s="25" t="str">
        <x:v>洗练绑定装备；项链幸运绑定人物永久进度；武器幸运成本忽略</x:v>
      </x:c>
    </x:row>
    <x:row r="1148">
      <x:c r="A1148" s="25" t="str">
        <x:v>C10-X</x:v>
      </x:c>
      <x:c r="B1148" s="25" t="str">
        <x:v>王城罗德尔</x:v>
      </x:c>
      <x:c r="C1148" s="25" t="str">
        <x:v>极端压力</x:v>
      </x:c>
      <x:c r="D1148" s="25" t="n">
        <x:v>47</x:v>
      </x:c>
      <x:c r="E1148" s="25" t="n">
        <x:v>148</x:v>
      </x:c>
      <x:c r="F1148" s="25" t="str">
        <x:v>未羊·永霜引路</x:v>
      </x:c>
      <x:c r="G1148" s="25" t="str">
        <x:v>生肖8</x:v>
      </x:c>
      <x:c r="H1148" s="25" t="n">
        <x:v>7</x:v>
      </x:c>
      <x:c r="I1148" s="25" t="str">
        <x:v>生肖合成</x:v>
      </x:c>
      <x:c r="J1148" s="25" t="str">
        <x:v>S07</x:v>
      </x:c>
      <x:c r="K1148" s="25" t="str">
        <x:v>470-900</x:v>
      </x:c>
      <x:c r="L1148" s="25" t="n">
        <x:v>1200000</x:v>
      </x:c>
      <x:c r="M1148" s="25" t="n">
        <x:v>0</x:v>
      </x:c>
      <x:c r="N1148" s="25" t="str">
        <x:v>否</x:v>
      </x:c>
      <x:c r="O1148" s="25" t="n">
        <x:v>0</x:v>
      </x:c>
      <x:c r="P1148" s="25" t="n">
        <x:v>0</x:v>
      </x:c>
      <x:c r="Q1148" s="25" t="n">
        <x:v>0</x:v>
      </x:c>
      <x:c r="R1148" s="25" t="str">
        <x:v>洗练绑定装备；项链幸运绑定人物永久进度；武器幸运成本忽略</x:v>
      </x:c>
    </x:row>
    <x:row r="1149">
      <x:c r="A1149" s="25" t="str">
        <x:v>C10-X</x:v>
      </x:c>
      <x:c r="B1149" s="25" t="str">
        <x:v>王城罗德尔</x:v>
      </x:c>
      <x:c r="C1149" s="25" t="str">
        <x:v>极端压力</x:v>
      </x:c>
      <x:c r="D1149" s="25" t="n">
        <x:v>48</x:v>
      </x:c>
      <x:c r="E1149" s="25" t="n">
        <x:v>81</x:v>
      </x:c>
      <x:c r="F1149" s="25" t="str">
        <x:v>雷冠申猴</x:v>
      </x:c>
      <x:c r="G1149" s="25" t="str">
        <x:v>生肖9</x:v>
      </x:c>
      <x:c r="H1149" s="25" t="n">
        <x:v>2</x:v>
      </x:c>
      <x:c r="I1149" s="25" t="str">
        <x:v>BOSS</x:v>
      </x:c>
      <x:c r="J1149" s="25" t="str">
        <x:v>S02</x:v>
      </x:c>
      <x:c r="K1149" s="25" t="str">
        <x:v>44-84</x:v>
      </x:c>
      <x:c r="L1149" s="25" t="n">
        <x:v>59800</x:v>
      </x:c>
      <x:c r="M1149" s="25" t="n">
        <x:v>0</x:v>
      </x:c>
      <x:c r="N1149" s="25" t="str">
        <x:v>否</x:v>
      </x:c>
      <x:c r="O1149" s="25" t="n">
        <x:v>0</x:v>
      </x:c>
      <x:c r="P1149" s="25" t="n">
        <x:v>0</x:v>
      </x:c>
      <x:c r="Q1149" s="25" t="n">
        <x:v>0</x:v>
      </x:c>
      <x:c r="R1149" s="25" t="str">
        <x:v>洗练绑定装备；项链幸运绑定人物永久进度；武器幸运成本忽略</x:v>
      </x:c>
    </x:row>
    <x:row r="1150">
      <x:c r="A1150" s="25" t="str">
        <x:v>C10-X</x:v>
      </x:c>
      <x:c r="B1150" s="25" t="str">
        <x:v>王城罗德尔</x:v>
      </x:c>
      <x:c r="C1150" s="25" t="str">
        <x:v>极端压力</x:v>
      </x:c>
      <x:c r="D1150" s="25" t="n">
        <x:v>49</x:v>
      </x:c>
      <x:c r="E1150" s="25" t="n">
        <x:v>187</x:v>
      </x:c>
      <x:c r="F1150" s="25" t="str">
        <x:v>酉鸡·鎏日司晨</x:v>
      </x:c>
      <x:c r="G1150" s="25" t="str">
        <x:v>生肖10</x:v>
      </x:c>
      <x:c r="H1150" s="25" t="n">
        <x:v>9</x:v>
      </x:c>
      <x:c r="I1150" s="25" t="str">
        <x:v>生肖合成</x:v>
      </x:c>
      <x:c r="J1150" s="25" t="str">
        <x:v>S07</x:v>
      </x:c>
      <x:c r="K1150" s="25" t="str">
        <x:v>1500-2800</x:v>
      </x:c>
      <x:c r="L1150" s="25" t="n">
        <x:v>3600000</x:v>
      </x:c>
      <x:c r="M1150" s="25" t="n">
        <x:v>0</x:v>
      </x:c>
      <x:c r="N1150" s="25" t="str">
        <x:v>否</x:v>
      </x:c>
      <x:c r="O1150" s="25" t="n">
        <x:v>0</x:v>
      </x:c>
      <x:c r="P1150" s="25" t="n">
        <x:v>0</x:v>
      </x:c>
      <x:c r="Q1150" s="25" t="n">
        <x:v>0</x:v>
      </x:c>
      <x:c r="R1150" s="25" t="str">
        <x:v>洗练绑定装备；项链幸运绑定人物永久进度；武器幸运成本忽略</x:v>
      </x:c>
    </x:row>
    <x:row r="1151">
      <x:c r="A1151" s="25" t="str">
        <x:v>C10-X</x:v>
      </x:c>
      <x:c r="B1151" s="25" t="str">
        <x:v>王城罗德尔</x:v>
      </x:c>
      <x:c r="C1151" s="25" t="str">
        <x:v>极端压力</x:v>
      </x:c>
      <x:c r="D1151" s="25" t="n">
        <x:v>50</x:v>
      </x:c>
      <x:c r="E1151" s="25" t="n">
        <x:v>215</x:v>
      </x:c>
      <x:c r="F1151" s="25" t="str">
        <x:v>戌狗·王座守门</x:v>
      </x:c>
      <x:c r="G1151" s="25" t="str">
        <x:v>生肖11</x:v>
      </x:c>
      <x:c r="H1151" s="25" t="n">
        <x:v>10</x:v>
      </x:c>
      <x:c r="I1151" s="25" t="str">
        <x:v>生肖合成</x:v>
      </x:c>
      <x:c r="J1151" s="25" t="str">
        <x:v>S07</x:v>
      </x:c>
      <x:c r="K1151" s="25" t="str">
        <x:v>2500-4900</x:v>
      </x:c>
      <x:c r="L1151" s="25" t="n">
        <x:v>6400000</x:v>
      </x:c>
      <x:c r="M1151" s="25" t="n">
        <x:v>0</x:v>
      </x:c>
      <x:c r="N1151" s="25" t="str">
        <x:v>否</x:v>
      </x:c>
      <x:c r="O1151" s="25" t="n">
        <x:v>0</x:v>
      </x:c>
      <x:c r="P1151" s="25" t="n">
        <x:v>0</x:v>
      </x:c>
      <x:c r="Q1151" s="25" t="n">
        <x:v>0</x:v>
      </x:c>
      <x:c r="R1151" s="25" t="str">
        <x:v>洗练绑定装备；项链幸运绑定人物永久进度；武器幸运成本忽略</x:v>
      </x:c>
    </x:row>
    <x:row r="1152">
      <x:c r="A1152" s="25" t="str">
        <x:v>C10-X</x:v>
      </x:c>
      <x:c r="B1152" s="25" t="str">
        <x:v>王城罗德尔</x:v>
      </x:c>
      <x:c r="C1152" s="25" t="str">
        <x:v>极端压力</x:v>
      </x:c>
      <x:c r="D1152" s="25" t="n">
        <x:v>51</x:v>
      </x:c>
      <x:c r="E1152" s="25" t="n">
        <x:v>84</x:v>
      </x:c>
      <x:c r="F1152" s="25" t="str">
        <x:v>接肢亥猪</x:v>
      </x:c>
      <x:c r="G1152" s="25" t="str">
        <x:v>生肖12</x:v>
      </x:c>
      <x:c r="H1152" s="25" t="n">
        <x:v>2</x:v>
      </x:c>
      <x:c r="I1152" s="25" t="str">
        <x:v>守关BOSS</x:v>
      </x:c>
      <x:c r="J1152" s="25" t="str">
        <x:v>S02</x:v>
      </x:c>
      <x:c r="K1152" s="25" t="str">
        <x:v>55-106</x:v>
      </x:c>
      <x:c r="L1152" s="25" t="n">
        <x:v>90800</x:v>
      </x:c>
      <x:c r="M1152" s="25" t="n">
        <x:v>0</x:v>
      </x:c>
      <x:c r="N1152" s="25" t="str">
        <x:v>否</x:v>
      </x:c>
      <x:c r="O1152" s="25" t="n">
        <x:v>0</x:v>
      </x:c>
      <x:c r="P1152" s="25" t="n">
        <x:v>0</x:v>
      </x:c>
      <x:c r="Q1152" s="25" t="n">
        <x:v>0</x:v>
      </x:c>
      <x:c r="R1152" s="25" t="str">
        <x:v>洗练绑定装备；项链幸运绑定人物永久进度；武器幸运成本忽略</x:v>
      </x:c>
    </x:row>
    <x:row r="1153">
      <x:c r="A1153" s="25" t="str">
        <x:v>C10-X</x:v>
      </x:c>
      <x:c r="B1153" s="25" t="str">
        <x:v>王城罗德尔</x:v>
      </x:c>
      <x:c r="C1153" s="25" t="str">
        <x:v>极端压力</x:v>
      </x:c>
      <x:c r="D1153" s="25" t="n">
        <x:v>70</x:v>
      </x:c>
      <x:c r="E1153" s="25" t="n">
        <x:v>243</x:v>
      </x:c>
      <x:c r="F1153" s="25" t="str">
        <x:v>闭潮秘饰</x:v>
      </x:c>
      <x:c r="G1153" s="25" t="str">
        <x:v>时装首饰盒</x:v>
      </x:c>
      <x:c r="H1153" s="25" t="n">
        <x:v>4</x:v>
      </x:c>
      <x:c r="I1153" s="25" t="str">
        <x:v>装备合成</x:v>
      </x:c>
      <x:c r="J1153" s="25" t="str">
        <x:v>S07</x:v>
      </x:c>
      <x:c r="K1153" s="25" t="str">
        <x:v>230-450</x:v>
      </x:c>
      <x:c r="L1153" s="25" t="n">
        <x:v>460000</x:v>
      </x:c>
      <x:c r="M1153" s="25" t="n">
        <x:v>0</x:v>
      </x:c>
      <x:c r="N1153" s="25" t="str">
        <x:v>否</x:v>
      </x:c>
      <x:c r="O1153" s="25" t="n">
        <x:v>0</x:v>
      </x:c>
      <x:c r="P1153" s="25" t="n">
        <x:v>0</x:v>
      </x:c>
      <x:c r="Q1153" s="25" t="n">
        <x:v>0</x:v>
      </x:c>
      <x:c r="R1153" s="25" t="str">
        <x:v>洗练绑定装备；项链幸运绑定人物永久进度；武器幸运成本忽略</x:v>
      </x:c>
    </x:row>
    <x:row r="1154">
      <x:c r="A1154" s="25" t="str">
        <x:v>C10-X</x:v>
      </x:c>
      <x:c r="B1154" s="25" t="str">
        <x:v>王城罗德尔</x:v>
      </x:c>
      <x:c r="C1154" s="25" t="str">
        <x:v>极端压力</x:v>
      </x:c>
      <x:c r="D1154" s="25" t="n">
        <x:v>71</x:v>
      </x:c>
      <x:c r="E1154" s="25" t="n">
        <x:v>245</x:v>
      </x:c>
      <x:c r="F1154" s="25" t="str">
        <x:v>穹霜炉心秘饰</x:v>
      </x:c>
      <x:c r="G1154" s="25" t="str">
        <x:v>时装首饰盒</x:v>
      </x:c>
      <x:c r="H1154" s="25" t="n">
        <x:v>8</x:v>
      </x:c>
      <x:c r="I1154" s="25" t="str">
        <x:v>装备合成</x:v>
      </x:c>
      <x:c r="J1154" s="25" t="str">
        <x:v>S07</x:v>
      </x:c>
      <x:c r="K1154" s="25" t="str">
        <x:v>2300-4500</x:v>
      </x:c>
      <x:c r="L1154" s="25" t="n">
        <x:v>4600000</x:v>
      </x:c>
      <x:c r="M1154" s="25" t="n">
        <x:v>0</x:v>
      </x:c>
      <x:c r="N1154" s="25" t="str">
        <x:v>否</x:v>
      </x:c>
      <x:c r="O1154" s="25" t="n">
        <x:v>0</x:v>
      </x:c>
      <x:c r="P1154" s="25" t="n">
        <x:v>0</x:v>
      </x:c>
      <x:c r="Q1154" s="25" t="n">
        <x:v>0</x:v>
      </x:c>
      <x:c r="R1154" s="25" t="str">
        <x:v>洗练绑定装备；项链幸运绑定人物永久进度；武器幸运成本忽略</x:v>
      </x:c>
    </x:row>
    <x:row r="1155">
      <x:c r="A1155" s="25" t="str">
        <x:v>C10-X</x:v>
      </x:c>
      <x:c r="B1155" s="25" t="str">
        <x:v>王城罗德尔</x:v>
      </x:c>
      <x:c r="C1155" s="25" t="str">
        <x:v>极端压力</x:v>
      </x:c>
      <x:c r="D1155" s="25" t="n">
        <x:v>72</x:v>
      </x:c>
      <x:c r="E1155" s="25" t="n">
        <x:v>242</x:v>
      </x:c>
      <x:c r="F1155" s="25" t="str">
        <x:v>无上王徽秘饰</x:v>
      </x:c>
      <x:c r="G1155" s="25" t="str">
        <x:v>时装首饰盒</x:v>
      </x:c>
      <x:c r="H1155" s="25" t="n">
        <x:v>10</x:v>
      </x:c>
      <x:c r="I1155" s="25" t="str">
        <x:v>装备合成</x:v>
      </x:c>
      <x:c r="J1155" s="25" t="str">
        <x:v>S07</x:v>
      </x:c>
      <x:c r="K1155" s="25" t="str">
        <x:v>7300-14000</x:v>
      </x:c>
      <x:c r="L1155" s="25" t="n">
        <x:v>14400000</x:v>
      </x:c>
      <x:c r="M1155" s="25" t="n">
        <x:v>0</x:v>
      </x:c>
      <x:c r="N1155" s="25" t="str">
        <x:v>否</x:v>
      </x:c>
      <x:c r="O1155" s="25" t="n">
        <x:v>0</x:v>
      </x:c>
      <x:c r="P1155" s="25" t="n">
        <x:v>0</x:v>
      </x:c>
      <x:c r="Q1155" s="25" t="n">
        <x:v>0</x:v>
      </x:c>
      <x:c r="R1155" s="25" t="str">
        <x:v>洗练绑定装备；项链幸运绑定人物永久进度；武器幸运成本忽略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1" hidden="0" customWidth="1"/>
    <x:col min="5" max="5" width="13" hidden="0" customWidth="1"/>
    <x:col min="6" max="6" width="30" hidden="0" customWidth="1"/>
    <x:col min="7" max="7" width="12" hidden="0" customWidth="1"/>
    <x:col min="8" max="8" width="20" hidden="0" customWidth="1"/>
    <x:col min="9" max="9" width="16" hidden="0" customWidth="1"/>
    <x:col min="10" max="10" width="14" hidden="0" customWidth="1"/>
    <x:col min="11" max="11" width="43" hidden="0" customWidth="1"/>
  </x:cols>
  <x:sheetData>
    <x:row r="1" ht="29" customHeight="1">
      <x:c r="A1" s="4" t="str">
        <x:v>逐条洗练结果｜固定随机种子可重现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3" customHeight="1">
      <x:c r="A2" s="11" t="str">
        <x:v>这是一次符合概率池的具体配装样本，不是全体玩家平均或最优解。两份自产同名装备轮换试洗；没有锁单条或结果回滚。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槽位</x:v>
      </x:c>
      <x:c r="E4" s="19" t="str">
        <x:v>副本ID</x:v>
      </x:c>
      <x:c r="F4" s="19" t="str">
        <x:v>装备名称</x:v>
      </x:c>
      <x:c r="G4" s="19" t="str">
        <x:v>第几条</x:v>
      </x:c>
      <x:c r="H4" s="19" t="str">
        <x:v>属性</x:v>
      </x:c>
      <x:c r="I4" s="19" t="str">
        <x:v>数值</x:v>
      </x:c>
      <x:c r="J4" s="19" t="str">
        <x:v>原池行号</x:v>
      </x:c>
      <x:c r="K4" s="19" t="str">
        <x:v>范围规则</x:v>
      </x:c>
    </x:row>
    <x:row r="5">
      <x:c r="A5" s="25" t="str">
        <x:v>C02-M</x:v>
      </x:c>
      <x:c r="B5" s="25" t="str">
        <x:v>宁姆格福</x:v>
      </x:c>
      <x:c r="C5" s="25" t="str">
        <x:v>半急速中期</x:v>
      </x:c>
      <x:c r="D5" s="25" t="n">
        <x:v>0</x:v>
      </x:c>
      <x:c r="E5" s="25" t="n">
        <x:v>29</x:v>
      </x:c>
      <x:c r="F5" s="25" t="str">
        <x:v>卢恩骑士战甲</x:v>
      </x:c>
      <x:c r="G5" s="25" t="n">
        <x:v>1</x:v>
      </x:c>
      <x:c r="H5" s="25" t="str">
        <x:v>处决概率</x:v>
      </x:c>
      <x:c r="I5" s="25" t="n">
        <x:v>1</x:v>
      </x:c>
      <x:c r="J5" s="25" t="n">
        <x:v>6</x:v>
      </x:c>
      <x:c r="K5" s="25" t="str">
        <x:v>仅装备原始基础值决定主属性范围</x:v>
      </x:c>
    </x:row>
    <x:row r="6">
      <x:c r="A6" s="25" t="str">
        <x:v>C02-M</x:v>
      </x:c>
      <x:c r="B6" s="25" t="str">
        <x:v>宁姆格福</x:v>
      </x:c>
      <x:c r="C6" s="25" t="str">
        <x:v>半急速中期</x:v>
      </x:c>
      <x:c r="D6" s="25" t="n">
        <x:v>0</x:v>
      </x:c>
      <x:c r="E6" s="25" t="n">
        <x:v>29</x:v>
      </x:c>
      <x:c r="F6" s="25" t="str">
        <x:v>卢恩骑士战甲</x:v>
      </x:c>
      <x:c r="G6" s="25" t="n">
        <x:v>2</x:v>
      </x:c>
      <x:c r="H6" s="25" t="str">
        <x:v>最大爆率</x:v>
      </x:c>
      <x:c r="I6" s="25" t="n">
        <x:v>1</x:v>
      </x:c>
      <x:c r="J6" s="25" t="n">
        <x:v>22</x:v>
      </x:c>
      <x:c r="K6" s="25" t="str">
        <x:v>仅装备原始基础值决定主属性范围</x:v>
      </x:c>
    </x:row>
    <x:row r="7">
      <x:c r="A7" s="25" t="str">
        <x:v>C02-M</x:v>
      </x:c>
      <x:c r="B7" s="25" t="str">
        <x:v>宁姆格福</x:v>
      </x:c>
      <x:c r="C7" s="25" t="str">
        <x:v>半急速中期</x:v>
      </x:c>
      <x:c r="D7" s="25" t="n">
        <x:v>1</x:v>
      </x:c>
      <x:c r="E7" s="25" t="n">
        <x:v>47</x:v>
      </x:c>
      <x:c r="F7" s="25" t="str">
        <x:v>执刑雷刃</x:v>
      </x:c>
      <x:c r="G7" s="25" t="n">
        <x:v>1</x:v>
      </x:c>
      <x:c r="H7" s="25" t="str">
        <x:v>攻击加成</x:v>
      </x:c>
      <x:c r="I7" s="25" t="n">
        <x:v>16</x:v>
      </x:c>
      <x:c r="J7" s="25" t="n">
        <x:v>18</x:v>
      </x:c>
      <x:c r="K7" s="25" t="str">
        <x:v>仅装备原始基础值决定主属性范围</x:v>
      </x:c>
    </x:row>
    <x:row r="8">
      <x:c r="A8" s="25" t="str">
        <x:v>C02-M</x:v>
      </x:c>
      <x:c r="B8" s="25" t="str">
        <x:v>宁姆格福</x:v>
      </x:c>
      <x:c r="C8" s="25" t="str">
        <x:v>半急速中期</x:v>
      </x:c>
      <x:c r="D8" s="25" t="n">
        <x:v>1</x:v>
      </x:c>
      <x:c r="E8" s="25" t="n">
        <x:v>47</x:v>
      </x:c>
      <x:c r="F8" s="25" t="str">
        <x:v>执刑雷刃</x:v>
      </x:c>
      <x:c r="G8" s="25" t="n">
        <x:v>2</x:v>
      </x:c>
      <x:c r="H8" s="25" t="str">
        <x:v>致命一击</x:v>
      </x:c>
      <x:c r="I8" s="25" t="n">
        <x:v>1</x:v>
      </x:c>
      <x:c r="J8" s="25" t="n">
        <x:v>16</x:v>
      </x:c>
      <x:c r="K8" s="25" t="str">
        <x:v>仅装备原始基础值决定主属性范围</x:v>
      </x:c>
    </x:row>
    <x:row r="9">
      <x:c r="A9" s="25" t="str">
        <x:v>C02-M</x:v>
      </x:c>
      <x:c r="B9" s="25" t="str">
        <x:v>宁姆格福</x:v>
      </x:c>
      <x:c r="C9" s="25" t="str">
        <x:v>半急速中期</x:v>
      </x:c>
      <x:c r="D9" s="25" t="n">
        <x:v>1</x:v>
      </x:c>
      <x:c r="E9" s="25" t="n">
        <x:v>47</x:v>
      </x:c>
      <x:c r="F9" s="25" t="str">
        <x:v>执刑雷刃</x:v>
      </x:c>
      <x:c r="G9" s="25" t="n">
        <x:v>3</x:v>
      </x:c>
      <x:c r="H9" s="25" t="str">
        <x:v>暴击</x:v>
      </x:c>
      <x:c r="I9" s="25" t="n">
        <x:v>1</x:v>
      </x:c>
      <x:c r="J9" s="25" t="n">
        <x:v>14</x:v>
      </x:c>
      <x:c r="K9" s="25" t="str">
        <x:v>仅装备原始基础值决定主属性范围</x:v>
      </x:c>
    </x:row>
    <x:row r="10">
      <x:c r="A10" s="25" t="str">
        <x:v>C02-M</x:v>
      </x:c>
      <x:c r="B10" s="25" t="str">
        <x:v>宁姆格福</x:v>
      </x:c>
      <x:c r="C10" s="25" t="str">
        <x:v>半急速中期</x:v>
      </x:c>
      <x:c r="D10" s="25" t="n">
        <x:v>1</x:v>
      </x:c>
      <x:c r="E10" s="25" t="n">
        <x:v>47</x:v>
      </x:c>
      <x:c r="F10" s="25" t="str">
        <x:v>执刑雷刃</x:v>
      </x:c>
      <x:c r="G10" s="25" t="n">
        <x:v>4</x:v>
      </x:c>
      <x:c r="H10" s="25" t="str">
        <x:v>道术</x:v>
      </x:c>
      <x:c r="I10" s="25" t="n">
        <x:v>43</x:v>
      </x:c>
      <x:c r="J10" s="25" t="n">
        <x:v>3</x:v>
      </x:c>
      <x:c r="K10" s="25" t="str">
        <x:v>仅装备原始基础值决定主属性范围</x:v>
      </x:c>
    </x:row>
    <x:row r="11">
      <x:c r="A11" s="25" t="str">
        <x:v>C02-M</x:v>
      </x:c>
      <x:c r="B11" s="25" t="str">
        <x:v>宁姆格福</x:v>
      </x:c>
      <x:c r="C11" s="25" t="str">
        <x:v>半急速中期</x:v>
      </x:c>
      <x:c r="D11" s="25" t="n">
        <x:v>1</x:v>
      </x:c>
      <x:c r="E11" s="25" t="n">
        <x:v>47</x:v>
      </x:c>
      <x:c r="F11" s="25" t="str">
        <x:v>执刑雷刃</x:v>
      </x:c>
      <x:c r="G11" s="25" t="n">
        <x:v>5</x:v>
      </x:c>
      <x:c r="H11" s="25" t="str">
        <x:v>处决时间</x:v>
      </x:c>
      <x:c r="I11" s="25" t="n">
        <x:v>1</x:v>
      </x:c>
      <x:c r="J11" s="25" t="n">
        <x:v>8</x:v>
      </x:c>
      <x:c r="K11" s="25" t="str">
        <x:v>仅装备原始基础值决定主属性范围</x:v>
      </x:c>
    </x:row>
    <x:row r="12">
      <x:c r="A12" s="25" t="str">
        <x:v>C02-M</x:v>
      </x:c>
      <x:c r="B12" s="25" t="str">
        <x:v>宁姆格福</x:v>
      </x:c>
      <x:c r="C12" s="25" t="str">
        <x:v>半急速中期</x:v>
      </x:c>
      <x:c r="D12" s="25" t="n">
        <x:v>3</x:v>
      </x:c>
      <x:c r="E12" s="25" t="n">
        <x:v>50</x:v>
      </x:c>
      <x:c r="F12" s="25" t="str">
        <x:v>卢恩骑士项链</x:v>
      </x:c>
      <x:c r="G12" s="25" t="n">
        <x:v>1</x:v>
      </x:c>
      <x:c r="H12" s="25" t="str">
        <x:v>攻击加成</x:v>
      </x:c>
      <x:c r="I12" s="25" t="n">
        <x:v>46</x:v>
      </x:c>
      <x:c r="J12" s="25" t="n">
        <x:v>19</x:v>
      </x:c>
      <x:c r="K12" s="25" t="str">
        <x:v>仅装备原始基础值决定主属性范围</x:v>
      </x:c>
    </x:row>
    <x:row r="13">
      <x:c r="A13" s="25" t="str">
        <x:v>C02-M</x:v>
      </x:c>
      <x:c r="B13" s="25" t="str">
        <x:v>宁姆格福</x:v>
      </x:c>
      <x:c r="C13" s="25" t="str">
        <x:v>半急速中期</x:v>
      </x:c>
      <x:c r="D13" s="25" t="n">
        <x:v>4</x:v>
      </x:c>
      <x:c r="E13" s="25" t="n">
        <x:v>49</x:v>
      </x:c>
      <x:c r="F13" s="25" t="str">
        <x:v>圣树先锋战盔</x:v>
      </x:c>
      <x:c r="G13" s="25" t="n">
        <x:v>1</x:v>
      </x:c>
      <x:c r="H13" s="25" t="str">
        <x:v>韧性</x:v>
      </x:c>
      <x:c r="I13" s="25" t="n">
        <x:v>20</x:v>
      </x:c>
      <x:c r="J13" s="25" t="n">
        <x:v>13</x:v>
      </x:c>
      <x:c r="K13" s="25" t="str">
        <x:v>仅装备原始基础值决定主属性范围</x:v>
      </x:c>
    </x:row>
    <x:row r="14">
      <x:c r="A14" s="25" t="str">
        <x:v>C02-M</x:v>
      </x:c>
      <x:c r="B14" s="25" t="str">
        <x:v>宁姆格福</x:v>
      </x:c>
      <x:c r="C14" s="25" t="str">
        <x:v>半急速中期</x:v>
      </x:c>
      <x:c r="D14" s="25" t="n">
        <x:v>4</x:v>
      </x:c>
      <x:c r="E14" s="25" t="n">
        <x:v>49</x:v>
      </x:c>
      <x:c r="F14" s="25" t="str">
        <x:v>圣树先锋战盔</x:v>
      </x:c>
      <x:c r="G14" s="25" t="n">
        <x:v>2</x:v>
      </x:c>
      <x:c r="H14" s="25" t="str">
        <x:v>伤害系数</x:v>
      </x:c>
      <x:c r="I14" s="25" t="n">
        <x:v>2</x:v>
      </x:c>
      <x:c r="J14" s="25" t="n">
        <x:v>26</x:v>
      </x:c>
      <x:c r="K14" s="25" t="str">
        <x:v>仅装备原始基础值决定主属性范围</x:v>
      </x:c>
    </x:row>
    <x:row r="15">
      <x:c r="A15" s="25" t="str">
        <x:v>C02-M</x:v>
      </x:c>
      <x:c r="B15" s="25" t="str">
        <x:v>宁姆格福</x:v>
      </x:c>
      <x:c r="C15" s="25" t="str">
        <x:v>半急速中期</x:v>
      </x:c>
      <x:c r="D15" s="25" t="n">
        <x:v>4</x:v>
      </x:c>
      <x:c r="E15" s="25" t="n">
        <x:v>49</x:v>
      </x:c>
      <x:c r="F15" s="25" t="str">
        <x:v>圣树先锋战盔</x:v>
      </x:c>
      <x:c r="G15" s="25" t="n">
        <x:v>3</x:v>
      </x:c>
      <x:c r="H15" s="25" t="str">
        <x:v>韧性</x:v>
      </x:c>
      <x:c r="I15" s="25" t="n">
        <x:v>10</x:v>
      </x:c>
      <x:c r="J15" s="25" t="n">
        <x:v>12</x:v>
      </x:c>
      <x:c r="K15" s="25" t="str">
        <x:v>仅装备原始基础值决定主属性范围</x:v>
      </x:c>
    </x:row>
    <x:row r="16">
      <x:c r="A16" s="25" t="str">
        <x:v>C02-M</x:v>
      </x:c>
      <x:c r="B16" s="25" t="str">
        <x:v>宁姆格福</x:v>
      </x:c>
      <x:c r="C16" s="25" t="str">
        <x:v>半急速中期</x:v>
      </x:c>
      <x:c r="D16" s="25" t="n">
        <x:v>4</x:v>
      </x:c>
      <x:c r="E16" s="25" t="n">
        <x:v>49</x:v>
      </x:c>
      <x:c r="F16" s="25" t="str">
        <x:v>圣树先锋战盔</x:v>
      </x:c>
      <x:c r="G16" s="25" t="n">
        <x:v>4</x:v>
      </x:c>
      <x:c r="H16" s="25" t="str">
        <x:v>魔法</x:v>
      </x:c>
      <x:c r="I16" s="25" t="n">
        <x:v>7</x:v>
      </x:c>
      <x:c r="J16" s="25" t="n">
        <x:v>2</x:v>
      </x:c>
      <x:c r="K16" s="25" t="str">
        <x:v>仅装备原始基础值决定主属性范围</x:v>
      </x:c>
    </x:row>
    <x:row r="17">
      <x:c r="A17" s="25" t="str">
        <x:v>C02-M</x:v>
      </x:c>
      <x:c r="B17" s="25" t="str">
        <x:v>宁姆格福</x:v>
      </x:c>
      <x:c r="C17" s="25" t="str">
        <x:v>半急速中期</x:v>
      </x:c>
      <x:c r="D17" s="25" t="n">
        <x:v>4</x:v>
      </x:c>
      <x:c r="E17" s="25" t="n">
        <x:v>49</x:v>
      </x:c>
      <x:c r="F17" s="25" t="str">
        <x:v>圣树先锋战盔</x:v>
      </x:c>
      <x:c r="G17" s="25" t="n">
        <x:v>5</x:v>
      </x:c>
      <x:c r="H17" s="25" t="str">
        <x:v>攻击加成</x:v>
      </x:c>
      <x:c r="I17" s="25" t="n">
        <x:v>39</x:v>
      </x:c>
      <x:c r="J17" s="25" t="n">
        <x:v>19</x:v>
      </x:c>
      <x:c r="K17" s="25" t="str">
        <x:v>仅装备原始基础值决定主属性范围</x:v>
      </x:c>
    </x:row>
    <x:row r="18">
      <x:c r="A18" s="25" t="str">
        <x:v>C02-M</x:v>
      </x:c>
      <x:c r="B18" s="25" t="str">
        <x:v>宁姆格福</x:v>
      </x:c>
      <x:c r="C18" s="25" t="str">
        <x:v>半急速中期</x:v>
      </x:c>
      <x:c r="D18" s="25" t="n">
        <x:v>5</x:v>
      </x:c>
      <x:c r="E18" s="25" t="n">
        <x:v>31</x:v>
      </x:c>
      <x:c r="F18" s="25" t="str">
        <x:v>圣树先锋腕甲</x:v>
      </x:c>
      <x:c r="G18" s="25" t="n">
        <x:v>1</x:v>
      </x:c>
      <x:c r="H18" s="25" t="str">
        <x:v>攻击加成</x:v>
      </x:c>
      <x:c r="I18" s="25" t="n">
        <x:v>19</x:v>
      </x:c>
      <x:c r="J18" s="25" t="n">
        <x:v>18</x:v>
      </x:c>
      <x:c r="K18" s="25" t="str">
        <x:v>仅装备原始基础值决定主属性范围</x:v>
      </x:c>
    </x:row>
    <x:row r="19">
      <x:c r="A19" s="25" t="str">
        <x:v>C02-M</x:v>
      </x:c>
      <x:c r="B19" s="25" t="str">
        <x:v>宁姆格福</x:v>
      </x:c>
      <x:c r="C19" s="25" t="str">
        <x:v>半急速中期</x:v>
      </x:c>
      <x:c r="D19" s="25" t="n">
        <x:v>5</x:v>
      </x:c>
      <x:c r="E19" s="25" t="n">
        <x:v>31</x:v>
      </x:c>
      <x:c r="F19" s="25" t="str">
        <x:v>圣树先锋腕甲</x:v>
      </x:c>
      <x:c r="G19" s="25" t="n">
        <x:v>2</x:v>
      </x:c>
      <x:c r="H19" s="25" t="str">
        <x:v>处决伤害</x:v>
      </x:c>
      <x:c r="I19" s="25" t="n">
        <x:v>2</x:v>
      </x:c>
      <x:c r="J19" s="25" t="n">
        <x:v>11</x:v>
      </x:c>
      <x:c r="K19" s="25" t="str">
        <x:v>仅装备原始基础值决定主属性范围</x:v>
      </x:c>
    </x:row>
    <x:row r="20">
      <x:c r="A20" s="25" t="str">
        <x:v>C02-M</x:v>
      </x:c>
      <x:c r="B20" s="25" t="str">
        <x:v>宁姆格福</x:v>
      </x:c>
      <x:c r="C20" s="25" t="str">
        <x:v>半急速中期</x:v>
      </x:c>
      <x:c r="D20" s="25" t="n">
        <x:v>5</x:v>
      </x:c>
      <x:c r="E20" s="25" t="n">
        <x:v>31</x:v>
      </x:c>
      <x:c r="F20" s="25" t="str">
        <x:v>圣树先锋腕甲</x:v>
      </x:c>
      <x:c r="G20" s="25" t="n">
        <x:v>3</x:v>
      </x:c>
      <x:c r="H20" s="25" t="str">
        <x:v>处决概率</x:v>
      </x:c>
      <x:c r="I20" s="25" t="n">
        <x:v>2</x:v>
      </x:c>
      <x:c r="J20" s="25" t="n">
        <x:v>7</x:v>
      </x:c>
      <x:c r="K20" s="25" t="str">
        <x:v>仅装备原始基础值决定主属性范围</x:v>
      </x:c>
    </x:row>
    <x:row r="21">
      <x:c r="A21" s="25" t="str">
        <x:v>C02-M</x:v>
      </x:c>
      <x:c r="B21" s="25" t="str">
        <x:v>宁姆格福</x:v>
      </x:c>
      <x:c r="C21" s="25" t="str">
        <x:v>半急速中期</x:v>
      </x:c>
      <x:c r="D21" s="25" t="n">
        <x:v>5</x:v>
      </x:c>
      <x:c r="E21" s="25" t="n">
        <x:v>31</x:v>
      </x:c>
      <x:c r="F21" s="25" t="str">
        <x:v>圣树先锋腕甲</x:v>
      </x:c>
      <x:c r="G21" s="25" t="n">
        <x:v>4</x:v>
      </x:c>
      <x:c r="H21" s="25" t="str">
        <x:v>处决时间</x:v>
      </x:c>
      <x:c r="I21" s="25" t="n">
        <x:v>2</x:v>
      </x:c>
      <x:c r="J21" s="25" t="n">
        <x:v>9</x:v>
      </x:c>
      <x:c r="K21" s="25" t="str">
        <x:v>仅装备原始基础值决定主属性范围</x:v>
      </x:c>
    </x:row>
    <x:row r="22">
      <x:c r="A22" s="25" t="str">
        <x:v>C02-M</x:v>
      </x:c>
      <x:c r="B22" s="25" t="str">
        <x:v>宁姆格福</x:v>
      </x:c>
      <x:c r="C22" s="25" t="str">
        <x:v>半急速中期</x:v>
      </x:c>
      <x:c r="D22" s="25" t="n">
        <x:v>5</x:v>
      </x:c>
      <x:c r="E22" s="25" t="n">
        <x:v>31</x:v>
      </x:c>
      <x:c r="F22" s="25" t="str">
        <x:v>圣树先锋腕甲</x:v>
      </x:c>
      <x:c r="G22" s="25" t="n">
        <x:v>5</x:v>
      </x:c>
      <x:c r="H22" s="25" t="str">
        <x:v>魔法</x:v>
      </x:c>
      <x:c r="I22" s="25" t="n">
        <x:v>2</x:v>
      </x:c>
      <x:c r="J22" s="25" t="n">
        <x:v>2</x:v>
      </x:c>
      <x:c r="K22" s="25" t="str">
        <x:v>仅装备原始基础值决定主属性范围</x:v>
      </x:c>
    </x:row>
    <x:row r="23">
      <x:c r="A23" s="25" t="str">
        <x:v>C02-M</x:v>
      </x:c>
      <x:c r="B23" s="25" t="str">
        <x:v>宁姆格福</x:v>
      </x:c>
      <x:c r="C23" s="25" t="str">
        <x:v>半急速中期</x:v>
      </x:c>
      <x:c r="D23" s="25" t="n">
        <x:v>5</x:v>
      </x:c>
      <x:c r="E23" s="25" t="n">
        <x:v>31</x:v>
      </x:c>
      <x:c r="F23" s="25" t="str">
        <x:v>圣树先锋腕甲</x:v>
      </x:c>
      <x:c r="G23" s="25" t="n">
        <x:v>6</x:v>
      </x:c>
      <x:c r="H23" s="25" t="str">
        <x:v>致命一击</x:v>
      </x:c>
      <x:c r="I23" s="25" t="n">
        <x:v>1</x:v>
      </x:c>
      <x:c r="J23" s="25" t="n">
        <x:v>16</x:v>
      </x:c>
      <x:c r="K23" s="25" t="str">
        <x:v>仅装备原始基础值决定主属性范围</x:v>
      </x:c>
    </x:row>
    <x:row r="24">
      <x:c r="A24" s="25" t="str">
        <x:v>C02-M</x:v>
      </x:c>
      <x:c r="B24" s="25" t="str">
        <x:v>宁姆格福</x:v>
      </x:c>
      <x:c r="C24" s="25" t="str">
        <x:v>半急速中期</x:v>
      </x:c>
      <x:c r="D24" s="25" t="n">
        <x:v>6</x:v>
      </x:c>
      <x:c r="E24" s="25" t="n">
        <x:v>52</x:v>
      </x:c>
      <x:c r="F24" s="25" t="str">
        <x:v>黄金戍卫腕甲</x:v>
      </x:c>
      <x:c r="G24" s="25" t="n">
        <x:v>1</x:v>
      </x:c>
      <x:c r="H24" s="25" t="str">
        <x:v>攻击加成</x:v>
      </x:c>
      <x:c r="I24" s="25" t="n">
        <x:v>15</x:v>
      </x:c>
      <x:c r="J24" s="25" t="n">
        <x:v>18</x:v>
      </x:c>
      <x:c r="K24" s="25" t="str">
        <x:v>仅装备原始基础值决定主属性范围</x:v>
      </x:c>
    </x:row>
    <x:row r="25">
      <x:c r="A25" s="25" t="str">
        <x:v>C02-M</x:v>
      </x:c>
      <x:c r="B25" s="25" t="str">
        <x:v>宁姆格福</x:v>
      </x:c>
      <x:c r="C25" s="25" t="str">
        <x:v>半急速中期</x:v>
      </x:c>
      <x:c r="D25" s="25" t="n">
        <x:v>6</x:v>
      </x:c>
      <x:c r="E25" s="25" t="n">
        <x:v>52</x:v>
      </x:c>
      <x:c r="F25" s="25" t="str">
        <x:v>黄金戍卫腕甲</x:v>
      </x:c>
      <x:c r="G25" s="25" t="n">
        <x:v>2</x:v>
      </x:c>
      <x:c r="H25" s="25" t="str">
        <x:v>攻击速度</x:v>
      </x:c>
      <x:c r="I25" s="25" t="n">
        <x:v>2</x:v>
      </x:c>
      <x:c r="J25" s="25" t="n">
        <x:v>5</x:v>
      </x:c>
      <x:c r="K25" s="25" t="str">
        <x:v>仅装备原始基础值决定主属性范围</x:v>
      </x:c>
    </x:row>
    <x:row r="26">
      <x:c r="A26" s="25" t="str">
        <x:v>C02-M</x:v>
      </x:c>
      <x:c r="B26" s="25" t="str">
        <x:v>宁姆格福</x:v>
      </x:c>
      <x:c r="C26" s="25" t="str">
        <x:v>半急速中期</x:v>
      </x:c>
      <x:c r="D26" s="25" t="n">
        <x:v>6</x:v>
      </x:c>
      <x:c r="E26" s="25" t="n">
        <x:v>52</x:v>
      </x:c>
      <x:c r="F26" s="25" t="str">
        <x:v>黄金戍卫腕甲</x:v>
      </x:c>
      <x:c r="G26" s="25" t="n">
        <x:v>3</x:v>
      </x:c>
      <x:c r="H26" s="25" t="str">
        <x:v>最大爆率</x:v>
      </x:c>
      <x:c r="I26" s="25" t="n">
        <x:v>1</x:v>
      </x:c>
      <x:c r="J26" s="25" t="n">
        <x:v>22</x:v>
      </x:c>
      <x:c r="K26" s="25" t="str">
        <x:v>仅装备原始基础值决定主属性范围</x:v>
      </x:c>
    </x:row>
    <x:row r="27">
      <x:c r="A27" s="25" t="str">
        <x:v>C02-M</x:v>
      </x:c>
      <x:c r="B27" s="25" t="str">
        <x:v>宁姆格福</x:v>
      </x:c>
      <x:c r="C27" s="25" t="str">
        <x:v>半急速中期</x:v>
      </x:c>
      <x:c r="D27" s="25" t="n">
        <x:v>6</x:v>
      </x:c>
      <x:c r="E27" s="25" t="n">
        <x:v>52</x:v>
      </x:c>
      <x:c r="F27" s="25" t="str">
        <x:v>黄金戍卫腕甲</x:v>
      </x:c>
      <x:c r="G27" s="25" t="n">
        <x:v>4</x:v>
      </x:c>
      <x:c r="H27" s="25" t="str">
        <x:v>攻击加成</x:v>
      </x:c>
      <x:c r="I27" s="25" t="n">
        <x:v>24</x:v>
      </x:c>
      <x:c r="J27" s="25" t="n">
        <x:v>18</x:v>
      </x:c>
      <x:c r="K27" s="25" t="str">
        <x:v>仅装备原始基础值决定主属性范围</x:v>
      </x:c>
    </x:row>
    <x:row r="28">
      <x:c r="A28" s="25" t="str">
        <x:v>C02-M</x:v>
      </x:c>
      <x:c r="B28" s="25" t="str">
        <x:v>宁姆格福</x:v>
      </x:c>
      <x:c r="C28" s="25" t="str">
        <x:v>半急速中期</x:v>
      </x:c>
      <x:c r="D28" s="25" t="n">
        <x:v>7</x:v>
      </x:c>
      <x:c r="E28" s="25" t="n">
        <x:v>53</x:v>
      </x:c>
      <x:c r="F28" s="25" t="str">
        <x:v>圣树先锋戒指</x:v>
      </x:c>
      <x:c r="G28" s="25" t="n">
        <x:v>1</x:v>
      </x:c>
      <x:c r="H28" s="25" t="str">
        <x:v>攻击加成</x:v>
      </x:c>
      <x:c r="I28" s="25" t="n">
        <x:v>17</x:v>
      </x:c>
      <x:c r="J28" s="25" t="n">
        <x:v>18</x:v>
      </x:c>
      <x:c r="K28" s="25" t="str">
        <x:v>仅装备原始基础值决定主属性范围</x:v>
      </x:c>
    </x:row>
    <x:row r="29">
      <x:c r="A29" s="25" t="str">
        <x:v>C02-M</x:v>
      </x:c>
      <x:c r="B29" s="25" t="str">
        <x:v>宁姆格福</x:v>
      </x:c>
      <x:c r="C29" s="25" t="str">
        <x:v>半急速中期</x:v>
      </x:c>
      <x:c r="D29" s="25" t="n">
        <x:v>7</x:v>
      </x:c>
      <x:c r="E29" s="25" t="n">
        <x:v>53</x:v>
      </x:c>
      <x:c r="F29" s="25" t="str">
        <x:v>圣树先锋戒指</x:v>
      </x:c>
      <x:c r="G29" s="25" t="n">
        <x:v>2</x:v>
      </x:c>
      <x:c r="H29" s="25" t="str">
        <x:v>处决概率</x:v>
      </x:c>
      <x:c r="I29" s="25" t="n">
        <x:v>2</x:v>
      </x:c>
      <x:c r="J29" s="25" t="n">
        <x:v>7</x:v>
      </x:c>
      <x:c r="K29" s="25" t="str">
        <x:v>仅装备原始基础值决定主属性范围</x:v>
      </x:c>
    </x:row>
    <x:row r="30">
      <x:c r="A30" s="25" t="str">
        <x:v>C02-M</x:v>
      </x:c>
      <x:c r="B30" s="25" t="str">
        <x:v>宁姆格福</x:v>
      </x:c>
      <x:c r="C30" s="25" t="str">
        <x:v>半急速中期</x:v>
      </x:c>
      <x:c r="D30" s="25" t="n">
        <x:v>8</x:v>
      </x:c>
      <x:c r="E30" s="25" t="n">
        <x:v>54</x:v>
      </x:c>
      <x:c r="F30" s="25" t="str">
        <x:v>潮归秘戒</x:v>
      </x:c>
      <x:c r="G30" s="25" t="n">
        <x:v>1</x:v>
      </x:c>
      <x:c r="H30" s="25" t="str">
        <x:v>道术</x:v>
      </x:c>
      <x:c r="I30" s="25" t="n">
        <x:v>6</x:v>
      </x:c>
      <x:c r="J30" s="25" t="n">
        <x:v>3</x:v>
      </x:c>
      <x:c r="K30" s="25" t="str">
        <x:v>仅装备原始基础值决定主属性范围</x:v>
      </x:c>
    </x:row>
    <x:row r="31">
      <x:c r="A31" s="25" t="str">
        <x:v>C02-M</x:v>
      </x:c>
      <x:c r="B31" s="25" t="str">
        <x:v>宁姆格福</x:v>
      </x:c>
      <x:c r="C31" s="25" t="str">
        <x:v>半急速中期</x:v>
      </x:c>
      <x:c r="D31" s="25" t="n">
        <x:v>8</x:v>
      </x:c>
      <x:c r="E31" s="25" t="n">
        <x:v>54</x:v>
      </x:c>
      <x:c r="F31" s="25" t="str">
        <x:v>潮归秘戒</x:v>
      </x:c>
      <x:c r="G31" s="25" t="n">
        <x:v>2</x:v>
      </x:c>
      <x:c r="H31" s="25" t="str">
        <x:v>伤害系数</x:v>
      </x:c>
      <x:c r="I31" s="25" t="n">
        <x:v>2</x:v>
      </x:c>
      <x:c r="J31" s="25" t="n">
        <x:v>26</x:v>
      </x:c>
      <x:c r="K31" s="25" t="str">
        <x:v>仅装备原始基础值决定主属性范围</x:v>
      </x:c>
    </x:row>
    <x:row r="32">
      <x:c r="A32" s="25" t="str">
        <x:v>C02-M</x:v>
      </x:c>
      <x:c r="B32" s="25" t="str">
        <x:v>宁姆格福</x:v>
      </x:c>
      <x:c r="C32" s="25" t="str">
        <x:v>半急速中期</x:v>
      </x:c>
      <x:c r="D32" s="25" t="n">
        <x:v>8</x:v>
      </x:c>
      <x:c r="E32" s="25" t="n">
        <x:v>54</x:v>
      </x:c>
      <x:c r="F32" s="25" t="str">
        <x:v>潮归秘戒</x:v>
      </x:c>
      <x:c r="G32" s="25" t="n">
        <x:v>3</x:v>
      </x:c>
      <x:c r="H32" s="25" t="str">
        <x:v>攻击加成</x:v>
      </x:c>
      <x:c r="I32" s="25" t="n">
        <x:v>25</x:v>
      </x:c>
      <x:c r="J32" s="25" t="n">
        <x:v>18</x:v>
      </x:c>
      <x:c r="K32" s="25" t="str">
        <x:v>仅装备原始基础值决定主属性范围</x:v>
      </x:c>
    </x:row>
    <x:row r="33">
      <x:c r="A33" s="25" t="str">
        <x:v>C02-M</x:v>
      </x:c>
      <x:c r="B33" s="25" t="str">
        <x:v>宁姆格福</x:v>
      </x:c>
      <x:c r="C33" s="25" t="str">
        <x:v>半急速中期</x:v>
      </x:c>
      <x:c r="D33" s="25" t="n">
        <x:v>8</x:v>
      </x:c>
      <x:c r="E33" s="25" t="n">
        <x:v>54</x:v>
      </x:c>
      <x:c r="F33" s="25" t="str">
        <x:v>潮归秘戒</x:v>
      </x:c>
      <x:c r="G33" s="25" t="n">
        <x:v>4</x:v>
      </x:c>
      <x:c r="H33" s="25" t="str">
        <x:v>暴击</x:v>
      </x:c>
      <x:c r="I33" s="25" t="n">
        <x:v>2</x:v>
      </x:c>
      <x:c r="J33" s="25" t="n">
        <x:v>15</x:v>
      </x:c>
      <x:c r="K33" s="25" t="str">
        <x:v>仅装备原始基础值决定主属性范围</x:v>
      </x:c>
    </x:row>
    <x:row r="34">
      <x:c r="A34" s="25" t="str">
        <x:v>C02-M</x:v>
      </x:c>
      <x:c r="B34" s="25" t="str">
        <x:v>宁姆格福</x:v>
      </x:c>
      <x:c r="C34" s="25" t="str">
        <x:v>半急速中期</x:v>
      </x:c>
      <x:c r="D34" s="25" t="n">
        <x:v>10</x:v>
      </x:c>
      <x:c r="E34" s="25" t="n">
        <x:v>55</x:v>
      </x:c>
      <x:c r="F34" s="25" t="str">
        <x:v>黄金戍卫腰带</x:v>
      </x:c>
      <x:c r="G34" s="25" t="n">
        <x:v>1</x:v>
      </x:c>
      <x:c r="H34" s="25" t="str">
        <x:v>攻击加成</x:v>
      </x:c>
      <x:c r="I34" s="25" t="n">
        <x:v>34</x:v>
      </x:c>
      <x:c r="J34" s="25" t="n">
        <x:v>19</x:v>
      </x:c>
      <x:c r="K34" s="25" t="str">
        <x:v>仅装备原始基础值决定主属性范围</x:v>
      </x:c>
    </x:row>
    <x:row r="35">
      <x:c r="A35" s="25" t="str">
        <x:v>C02-M</x:v>
      </x:c>
      <x:c r="B35" s="25" t="str">
        <x:v>宁姆格福</x:v>
      </x:c>
      <x:c r="C35" s="25" t="str">
        <x:v>半急速中期</x:v>
      </x:c>
      <x:c r="D35" s="25" t="n">
        <x:v>11</x:v>
      </x:c>
      <x:c r="E35" s="25" t="n">
        <x:v>56</x:v>
      </x:c>
      <x:c r="F35" s="25" t="str">
        <x:v>卢恩骑士战靴</x:v>
      </x:c>
      <x:c r="G35" s="25" t="n">
        <x:v>1</x:v>
      </x:c>
      <x:c r="H35" s="25" t="str">
        <x:v>处决伤害</x:v>
      </x:c>
      <x:c r="I35" s="25" t="n">
        <x:v>2</x:v>
      </x:c>
      <x:c r="J35" s="25" t="n">
        <x:v>11</x:v>
      </x:c>
      <x:c r="K35" s="25" t="str">
        <x:v>仅装备原始基础值决定主属性范围</x:v>
      </x:c>
    </x:row>
    <x:row r="36">
      <x:c r="A36" s="25" t="str">
        <x:v>C02-M</x:v>
      </x:c>
      <x:c r="B36" s="25" t="str">
        <x:v>宁姆格福</x:v>
      </x:c>
      <x:c r="C36" s="25" t="str">
        <x:v>半急速中期</x:v>
      </x:c>
      <x:c r="D36" s="25" t="n">
        <x:v>11</x:v>
      </x:c>
      <x:c r="E36" s="25" t="n">
        <x:v>56</x:v>
      </x:c>
      <x:c r="F36" s="25" t="str">
        <x:v>卢恩骑士战靴</x:v>
      </x:c>
      <x:c r="G36" s="25" t="n">
        <x:v>2</x:v>
      </x:c>
      <x:c r="H36" s="25" t="str">
        <x:v>伤害系数</x:v>
      </x:c>
      <x:c r="I36" s="25" t="n">
        <x:v>1</x:v>
      </x:c>
      <x:c r="J36" s="25" t="n">
        <x:v>25</x:v>
      </x:c>
      <x:c r="K36" s="25" t="str">
        <x:v>仅装备原始基础值决定主属性范围</x:v>
      </x:c>
    </x:row>
    <x:row r="37">
      <x:c r="A37" s="25" t="str">
        <x:v>C02-M</x:v>
      </x:c>
      <x:c r="B37" s="25" t="str">
        <x:v>宁姆格福</x:v>
      </x:c>
      <x:c r="C37" s="25" t="str">
        <x:v>半急速中期</x:v>
      </x:c>
      <x:c r="D37" s="25" t="n">
        <x:v>11</x:v>
      </x:c>
      <x:c r="E37" s="25" t="n">
        <x:v>56</x:v>
      </x:c>
      <x:c r="F37" s="25" t="str">
        <x:v>卢恩骑士战靴</x:v>
      </x:c>
      <x:c r="G37" s="25" t="n">
        <x:v>3</x:v>
      </x:c>
      <x:c r="H37" s="25" t="str">
        <x:v>处决时间</x:v>
      </x:c>
      <x:c r="I37" s="25" t="n">
        <x:v>1</x:v>
      </x:c>
      <x:c r="J37" s="25" t="n">
        <x:v>8</x:v>
      </x:c>
      <x:c r="K37" s="25" t="str">
        <x:v>仅装备原始基础值决定主属性范围</x:v>
      </x:c>
    </x:row>
    <x:row r="38">
      <x:c r="A38" s="25" t="str">
        <x:v>C02-M</x:v>
      </x:c>
      <x:c r="B38" s="25" t="str">
        <x:v>宁姆格福</x:v>
      </x:c>
      <x:c r="C38" s="25" t="str">
        <x:v>半急速中期</x:v>
      </x:c>
      <x:c r="D38" s="25" t="n">
        <x:v>11</x:v>
      </x:c>
      <x:c r="E38" s="25" t="n">
        <x:v>56</x:v>
      </x:c>
      <x:c r="F38" s="25" t="str">
        <x:v>卢恩骑士战靴</x:v>
      </x:c>
      <x:c r="G38" s="25" t="n">
        <x:v>4</x:v>
      </x:c>
      <x:c r="H38" s="25" t="str">
        <x:v>道术</x:v>
      </x:c>
      <x:c r="I38" s="25" t="n">
        <x:v>8</x:v>
      </x:c>
      <x:c r="J38" s="25" t="n">
        <x:v>3</x:v>
      </x:c>
      <x:c r="K38" s="25" t="str">
        <x:v>仅装备原始基础值决定主属性范围</x:v>
      </x:c>
    </x:row>
    <x:row r="39">
      <x:c r="A39" s="25" t="str">
        <x:v>C02-G</x:v>
      </x:c>
      <x:c r="B39" s="25" t="str">
        <x:v>宁姆格福</x:v>
      </x:c>
      <x:c r="C39" s="25" t="str">
        <x:v>半急速毕业</x:v>
      </x:c>
      <x:c r="D39" s="25" t="n">
        <x:v>0</x:v>
      </x:c>
      <x:c r="E39" s="25" t="n">
        <x:v>58</x:v>
      </x:c>
      <x:c r="F39" s="25" t="str">
        <x:v>祖灵皮衣</x:v>
      </x:c>
      <x:c r="G39" s="25" t="n">
        <x:v>1</x:v>
      </x:c>
      <x:c r="H39" s="25" t="str">
        <x:v>攻击</x:v>
      </x:c>
      <x:c r="I39" s="25" t="n">
        <x:v>16</x:v>
      </x:c>
      <x:c r="J39" s="25" t="n">
        <x:v>1</x:v>
      </x:c>
      <x:c r="K39" s="25" t="str">
        <x:v>仅装备原始基础值决定主属性范围</x:v>
      </x:c>
    </x:row>
    <x:row r="40">
      <x:c r="A40" s="25" t="str">
        <x:v>C02-G</x:v>
      </x:c>
      <x:c r="B40" s="25" t="str">
        <x:v>宁姆格福</x:v>
      </x:c>
      <x:c r="C40" s="25" t="str">
        <x:v>半急速毕业</x:v>
      </x:c>
      <x:c r="D40" s="25" t="n">
        <x:v>0</x:v>
      </x:c>
      <x:c r="E40" s="25" t="n">
        <x:v>58</x:v>
      </x:c>
      <x:c r="F40" s="25" t="str">
        <x:v>祖灵皮衣</x:v>
      </x:c>
      <x:c r="G40" s="25" t="n">
        <x:v>2</x:v>
      </x:c>
      <x:c r="H40" s="25" t="str">
        <x:v>攻击加成</x:v>
      </x:c>
      <x:c r="I40" s="25" t="n">
        <x:v>29</x:v>
      </x:c>
      <x:c r="J40" s="25" t="n">
        <x:v>18</x:v>
      </x:c>
      <x:c r="K40" s="25" t="str">
        <x:v>仅装备原始基础值决定主属性范围</x:v>
      </x:c>
    </x:row>
    <x:row r="41">
      <x:c r="A41" s="25" t="str">
        <x:v>C02-G</x:v>
      </x:c>
      <x:c r="B41" s="25" t="str">
        <x:v>宁姆格福</x:v>
      </x:c>
      <x:c r="C41" s="25" t="str">
        <x:v>半急速毕业</x:v>
      </x:c>
      <x:c r="D41" s="25" t="n">
        <x:v>0</x:v>
      </x:c>
      <x:c r="E41" s="25" t="n">
        <x:v>58</x:v>
      </x:c>
      <x:c r="F41" s="25" t="str">
        <x:v>祖灵皮衣</x:v>
      </x:c>
      <x:c r="G41" s="25" t="n">
        <x:v>3</x:v>
      </x:c>
      <x:c r="H41" s="25" t="str">
        <x:v>韧性</x:v>
      </x:c>
      <x:c r="I41" s="25" t="n">
        <x:v>20</x:v>
      </x:c>
      <x:c r="J41" s="25" t="n">
        <x:v>13</x:v>
      </x:c>
      <x:c r="K41" s="25" t="str">
        <x:v>仅装备原始基础值决定主属性范围</x:v>
      </x:c>
    </x:row>
    <x:row r="42">
      <x:c r="A42" s="25" t="str">
        <x:v>C02-G</x:v>
      </x:c>
      <x:c r="B42" s="25" t="str">
        <x:v>宁姆格福</x:v>
      </x:c>
      <x:c r="C42" s="25" t="str">
        <x:v>半急速毕业</x:v>
      </x:c>
      <x:c r="D42" s="25" t="n">
        <x:v>1</x:v>
      </x:c>
      <x:c r="E42" s="25" t="n">
        <x:v>57</x:v>
      </x:c>
      <x:c r="F42" s="25" t="str">
        <x:v>神授征服剑</x:v>
      </x:c>
      <x:c r="G42" s="25" t="n">
        <x:v>1</x:v>
      </x:c>
      <x:c r="H42" s="25" t="str">
        <x:v>处决概率</x:v>
      </x:c>
      <x:c r="I42" s="25" t="n">
        <x:v>1</x:v>
      </x:c>
      <x:c r="J42" s="25" t="n">
        <x:v>6</x:v>
      </x:c>
      <x:c r="K42" s="25" t="str">
        <x:v>仅装备原始基础值决定主属性范围</x:v>
      </x:c>
    </x:row>
    <x:row r="43">
      <x:c r="A43" s="25" t="str">
        <x:v>C02-G</x:v>
      </x:c>
      <x:c r="B43" s="25" t="str">
        <x:v>宁姆格福</x:v>
      </x:c>
      <x:c r="C43" s="25" t="str">
        <x:v>半急速毕业</x:v>
      </x:c>
      <x:c r="D43" s="25" t="n">
        <x:v>1</x:v>
      </x:c>
      <x:c r="E43" s="25" t="n">
        <x:v>57</x:v>
      </x:c>
      <x:c r="F43" s="25" t="str">
        <x:v>神授征服剑</x:v>
      </x:c>
      <x:c r="G43" s="25" t="n">
        <x:v>2</x:v>
      </x:c>
      <x:c r="H43" s="25" t="str">
        <x:v>攻击加成</x:v>
      </x:c>
      <x:c r="I43" s="25" t="n">
        <x:v>32</x:v>
      </x:c>
      <x:c r="J43" s="25" t="n">
        <x:v>19</x:v>
      </x:c>
      <x:c r="K43" s="25" t="str">
        <x:v>仅装备原始基础值决定主属性范围</x:v>
      </x:c>
    </x:row>
    <x:row r="44">
      <x:c r="A44" s="25" t="str">
        <x:v>C02-G</x:v>
      </x:c>
      <x:c r="B44" s="25" t="str">
        <x:v>宁姆格福</x:v>
      </x:c>
      <x:c r="C44" s="25" t="str">
        <x:v>半急速毕业</x:v>
      </x:c>
      <x:c r="D44" s="25" t="n">
        <x:v>1</x:v>
      </x:c>
      <x:c r="E44" s="25" t="n">
        <x:v>57</x:v>
      </x:c>
      <x:c r="F44" s="25" t="str">
        <x:v>神授征服剑</x:v>
      </x:c>
      <x:c r="G44" s="25" t="n">
        <x:v>3</x:v>
      </x:c>
      <x:c r="H44" s="25" t="str">
        <x:v>魔法</x:v>
      </x:c>
      <x:c r="I44" s="25" t="n">
        <x:v>61</x:v>
      </x:c>
      <x:c r="J44" s="25" t="n">
        <x:v>2</x:v>
      </x:c>
      <x:c r="K44" s="25" t="str">
        <x:v>仅装备原始基础值决定主属性范围</x:v>
      </x:c>
    </x:row>
    <x:row r="45">
      <x:c r="A45" s="25" t="str">
        <x:v>C02-G</x:v>
      </x:c>
      <x:c r="B45" s="25" t="str">
        <x:v>宁姆格福</x:v>
      </x:c>
      <x:c r="C45" s="25" t="str">
        <x:v>半急速毕业</x:v>
      </x:c>
      <x:c r="D45" s="25" t="n">
        <x:v>3</x:v>
      </x:c>
      <x:c r="E45" s="25" t="n">
        <x:v>50</x:v>
      </x:c>
      <x:c r="F45" s="25" t="str">
        <x:v>卢恩骑士项链</x:v>
      </x:c>
      <x:c r="G45" s="25" t="n">
        <x:v>1</x:v>
      </x:c>
      <x:c r="H45" s="25" t="str">
        <x:v>攻击加成</x:v>
      </x:c>
      <x:c r="I45" s="25" t="n">
        <x:v>46</x:v>
      </x:c>
      <x:c r="J45" s="25" t="n">
        <x:v>19</x:v>
      </x:c>
      <x:c r="K45" s="25" t="str">
        <x:v>仅装备原始基础值决定主属性范围</x:v>
      </x:c>
    </x:row>
    <x:row r="46">
      <x:c r="A46" s="25" t="str">
        <x:v>C02-G</x:v>
      </x:c>
      <x:c r="B46" s="25" t="str">
        <x:v>宁姆格福</x:v>
      </x:c>
      <x:c r="C46" s="25" t="str">
        <x:v>半急速毕业</x:v>
      </x:c>
      <x:c r="D46" s="25" t="n">
        <x:v>4</x:v>
      </x:c>
      <x:c r="E46" s="25" t="n">
        <x:v>49</x:v>
      </x:c>
      <x:c r="F46" s="25" t="str">
        <x:v>圣树先锋战盔</x:v>
      </x:c>
      <x:c r="G46" s="25" t="n">
        <x:v>1</x:v>
      </x:c>
      <x:c r="H46" s="25" t="str">
        <x:v>韧性</x:v>
      </x:c>
      <x:c r="I46" s="25" t="n">
        <x:v>20</x:v>
      </x:c>
      <x:c r="J46" s="25" t="n">
        <x:v>13</x:v>
      </x:c>
      <x:c r="K46" s="25" t="str">
        <x:v>仅装备原始基础值决定主属性范围</x:v>
      </x:c>
    </x:row>
    <x:row r="47">
      <x:c r="A47" s="25" t="str">
        <x:v>C02-G</x:v>
      </x:c>
      <x:c r="B47" s="25" t="str">
        <x:v>宁姆格福</x:v>
      </x:c>
      <x:c r="C47" s="25" t="str">
        <x:v>半急速毕业</x:v>
      </x:c>
      <x:c r="D47" s="25" t="n">
        <x:v>4</x:v>
      </x:c>
      <x:c r="E47" s="25" t="n">
        <x:v>49</x:v>
      </x:c>
      <x:c r="F47" s="25" t="str">
        <x:v>圣树先锋战盔</x:v>
      </x:c>
      <x:c r="G47" s="25" t="n">
        <x:v>2</x:v>
      </x:c>
      <x:c r="H47" s="25" t="str">
        <x:v>伤害系数</x:v>
      </x:c>
      <x:c r="I47" s="25" t="n">
        <x:v>2</x:v>
      </x:c>
      <x:c r="J47" s="25" t="n">
        <x:v>26</x:v>
      </x:c>
      <x:c r="K47" s="25" t="str">
        <x:v>仅装备原始基础值决定主属性范围</x:v>
      </x:c>
    </x:row>
    <x:row r="48">
      <x:c r="A48" s="25" t="str">
        <x:v>C02-G</x:v>
      </x:c>
      <x:c r="B48" s="25" t="str">
        <x:v>宁姆格福</x:v>
      </x:c>
      <x:c r="C48" s="25" t="str">
        <x:v>半急速毕业</x:v>
      </x:c>
      <x:c r="D48" s="25" t="n">
        <x:v>4</x:v>
      </x:c>
      <x:c r="E48" s="25" t="n">
        <x:v>49</x:v>
      </x:c>
      <x:c r="F48" s="25" t="str">
        <x:v>圣树先锋战盔</x:v>
      </x:c>
      <x:c r="G48" s="25" t="n">
        <x:v>3</x:v>
      </x:c>
      <x:c r="H48" s="25" t="str">
        <x:v>韧性</x:v>
      </x:c>
      <x:c r="I48" s="25" t="n">
        <x:v>10</x:v>
      </x:c>
      <x:c r="J48" s="25" t="n">
        <x:v>12</x:v>
      </x:c>
      <x:c r="K48" s="25" t="str">
        <x:v>仅装备原始基础值决定主属性范围</x:v>
      </x:c>
    </x:row>
    <x:row r="49">
      <x:c r="A49" s="25" t="str">
        <x:v>C02-G</x:v>
      </x:c>
      <x:c r="B49" s="25" t="str">
        <x:v>宁姆格福</x:v>
      </x:c>
      <x:c r="C49" s="25" t="str">
        <x:v>半急速毕业</x:v>
      </x:c>
      <x:c r="D49" s="25" t="n">
        <x:v>4</x:v>
      </x:c>
      <x:c r="E49" s="25" t="n">
        <x:v>49</x:v>
      </x:c>
      <x:c r="F49" s="25" t="str">
        <x:v>圣树先锋战盔</x:v>
      </x:c>
      <x:c r="G49" s="25" t="n">
        <x:v>4</x:v>
      </x:c>
      <x:c r="H49" s="25" t="str">
        <x:v>魔法</x:v>
      </x:c>
      <x:c r="I49" s="25" t="n">
        <x:v>7</x:v>
      </x:c>
      <x:c r="J49" s="25" t="n">
        <x:v>2</x:v>
      </x:c>
      <x:c r="K49" s="25" t="str">
        <x:v>仅装备原始基础值决定主属性范围</x:v>
      </x:c>
    </x:row>
    <x:row r="50">
      <x:c r="A50" s="25" t="str">
        <x:v>C02-G</x:v>
      </x:c>
      <x:c r="B50" s="25" t="str">
        <x:v>宁姆格福</x:v>
      </x:c>
      <x:c r="C50" s="25" t="str">
        <x:v>半急速毕业</x:v>
      </x:c>
      <x:c r="D50" s="25" t="n">
        <x:v>4</x:v>
      </x:c>
      <x:c r="E50" s="25" t="n">
        <x:v>49</x:v>
      </x:c>
      <x:c r="F50" s="25" t="str">
        <x:v>圣树先锋战盔</x:v>
      </x:c>
      <x:c r="G50" s="25" t="n">
        <x:v>5</x:v>
      </x:c>
      <x:c r="H50" s="25" t="str">
        <x:v>攻击加成</x:v>
      </x:c>
      <x:c r="I50" s="25" t="n">
        <x:v>39</x:v>
      </x:c>
      <x:c r="J50" s="25" t="n">
        <x:v>19</x:v>
      </x:c>
      <x:c r="K50" s="25" t="str">
        <x:v>仅装备原始基础值决定主属性范围</x:v>
      </x:c>
    </x:row>
    <x:row r="51">
      <x:c r="A51" s="25" t="str">
        <x:v>C02-G</x:v>
      </x:c>
      <x:c r="B51" s="25" t="str">
        <x:v>宁姆格福</x:v>
      </x:c>
      <x:c r="C51" s="25" t="str">
        <x:v>半急速毕业</x:v>
      </x:c>
      <x:c r="D51" s="25" t="n">
        <x:v>5</x:v>
      </x:c>
      <x:c r="E51" s="25" t="n">
        <x:v>73</x:v>
      </x:c>
      <x:c r="F51" s="25" t="str">
        <x:v>古龙近卫腕甲</x:v>
      </x:c>
      <x:c r="G51" s="25" t="n">
        <x:v>1</x:v>
      </x:c>
      <x:c r="H51" s="25" t="str">
        <x:v>攻击加成</x:v>
      </x:c>
      <x:c r="I51" s="25" t="n">
        <x:v>30</x:v>
      </x:c>
      <x:c r="J51" s="25" t="n">
        <x:v>18</x:v>
      </x:c>
      <x:c r="K51" s="25" t="str">
        <x:v>仅装备原始基础值决定主属性范围</x:v>
      </x:c>
    </x:row>
    <x:row r="52">
      <x:c r="A52" s="25" t="str">
        <x:v>C02-G</x:v>
      </x:c>
      <x:c r="B52" s="25" t="str">
        <x:v>宁姆格福</x:v>
      </x:c>
      <x:c r="C52" s="25" t="str">
        <x:v>半急速毕业</x:v>
      </x:c>
      <x:c r="D52" s="25" t="n">
        <x:v>6</x:v>
      </x:c>
      <x:c r="E52" s="25" t="n">
        <x:v>68</x:v>
      </x:c>
      <x:c r="F52" s="25" t="str">
        <x:v>百指接肢腕</x:v>
      </x:c>
      <x:c r="G52" s="25" t="n">
        <x:v>1</x:v>
      </x:c>
      <x:c r="H52" s="25" t="str">
        <x:v>处决伤害</x:v>
      </x:c>
      <x:c r="I52" s="25" t="n">
        <x:v>1</x:v>
      </x:c>
      <x:c r="J52" s="25" t="n">
        <x:v>10</x:v>
      </x:c>
      <x:c r="K52" s="25" t="str">
        <x:v>仅装备原始基础值决定主属性范围</x:v>
      </x:c>
    </x:row>
    <x:row r="53">
      <x:c r="A53" s="25" t="str">
        <x:v>C02-G</x:v>
      </x:c>
      <x:c r="B53" s="25" t="str">
        <x:v>宁姆格福</x:v>
      </x:c>
      <x:c r="C53" s="25" t="str">
        <x:v>半急速毕业</x:v>
      </x:c>
      <x:c r="D53" s="25" t="n">
        <x:v>6</x:v>
      </x:c>
      <x:c r="E53" s="25" t="n">
        <x:v>68</x:v>
      </x:c>
      <x:c r="F53" s="25" t="str">
        <x:v>百指接肢腕</x:v>
      </x:c>
      <x:c r="G53" s="25" t="n">
        <x:v>2</x:v>
      </x:c>
      <x:c r="H53" s="25" t="str">
        <x:v>攻击加成</x:v>
      </x:c>
      <x:c r="I53" s="25" t="n">
        <x:v>28</x:v>
      </x:c>
      <x:c r="J53" s="25" t="n">
        <x:v>18</x:v>
      </x:c>
      <x:c r="K53" s="25" t="str">
        <x:v>仅装备原始基础值决定主属性范围</x:v>
      </x:c>
    </x:row>
    <x:row r="54">
      <x:c r="A54" s="25" t="str">
        <x:v>C02-G</x:v>
      </x:c>
      <x:c r="B54" s="25" t="str">
        <x:v>宁姆格福</x:v>
      </x:c>
      <x:c r="C54" s="25" t="str">
        <x:v>半急速毕业</x:v>
      </x:c>
      <x:c r="D54" s="25" t="n">
        <x:v>6</x:v>
      </x:c>
      <x:c r="E54" s="25" t="n">
        <x:v>68</x:v>
      </x:c>
      <x:c r="F54" s="25" t="str">
        <x:v>百指接肢腕</x:v>
      </x:c>
      <x:c r="G54" s="25" t="n">
        <x:v>3</x:v>
      </x:c>
      <x:c r="H54" s="25" t="str">
        <x:v>攻击加成</x:v>
      </x:c>
      <x:c r="I54" s="25" t="n">
        <x:v>45</x:v>
      </x:c>
      <x:c r="J54" s="25" t="n">
        <x:v>19</x:v>
      </x:c>
      <x:c r="K54" s="25" t="str">
        <x:v>仅装备原始基础值决定主属性范围</x:v>
      </x:c>
    </x:row>
    <x:row r="55">
      <x:c r="A55" s="25" t="str">
        <x:v>C02-G</x:v>
      </x:c>
      <x:c r="B55" s="25" t="str">
        <x:v>宁姆格福</x:v>
      </x:c>
      <x:c r="C55" s="25" t="str">
        <x:v>半急速毕业</x:v>
      </x:c>
      <x:c r="D55" s="25" t="n">
        <x:v>6</x:v>
      </x:c>
      <x:c r="E55" s="25" t="n">
        <x:v>68</x:v>
      </x:c>
      <x:c r="F55" s="25" t="str">
        <x:v>百指接肢腕</x:v>
      </x:c>
      <x:c r="G55" s="25" t="n">
        <x:v>4</x:v>
      </x:c>
      <x:c r="H55" s="25" t="str">
        <x:v>处决伤害</x:v>
      </x:c>
      <x:c r="I55" s="25" t="n">
        <x:v>2</x:v>
      </x:c>
      <x:c r="J55" s="25" t="n">
        <x:v>11</x:v>
      </x:c>
      <x:c r="K55" s="25" t="str">
        <x:v>仅装备原始基础值决定主属性范围</x:v>
      </x:c>
    </x:row>
    <x:row r="56">
      <x:c r="A56" s="25" t="str">
        <x:v>C02-G</x:v>
      </x:c>
      <x:c r="B56" s="25" t="str">
        <x:v>宁姆格福</x:v>
      </x:c>
      <x:c r="C56" s="25" t="str">
        <x:v>半急速毕业</x:v>
      </x:c>
      <x:c r="D56" s="25" t="n">
        <x:v>6</x:v>
      </x:c>
      <x:c r="E56" s="25" t="n">
        <x:v>68</x:v>
      </x:c>
      <x:c r="F56" s="25" t="str">
        <x:v>百指接肢腕</x:v>
      </x:c>
      <x:c r="G56" s="25" t="n">
        <x:v>5</x:v>
      </x:c>
      <x:c r="H56" s="25" t="str">
        <x:v>暴击</x:v>
      </x:c>
      <x:c r="I56" s="25" t="n">
        <x:v>1</x:v>
      </x:c>
      <x:c r="J56" s="25" t="n">
        <x:v>14</x:v>
      </x:c>
      <x:c r="K56" s="25" t="str">
        <x:v>仅装备原始基础值决定主属性范围</x:v>
      </x:c>
    </x:row>
    <x:row r="57">
      <x:c r="A57" s="25" t="str">
        <x:v>C02-G</x:v>
      </x:c>
      <x:c r="B57" s="25" t="str">
        <x:v>宁姆格福</x:v>
      </x:c>
      <x:c r="C57" s="25" t="str">
        <x:v>半急速毕业</x:v>
      </x:c>
      <x:c r="D57" s="25" t="n">
        <x:v>7</x:v>
      </x:c>
      <x:c r="E57" s="25" t="n">
        <x:v>75</x:v>
      </x:c>
      <x:c r="F57" s="25" t="str">
        <x:v>归乡弩戒</x:v>
      </x:c>
      <x:c r="G57" s="25" t="n">
        <x:v>1</x:v>
      </x:c>
      <x:c r="H57" s="25" t="str">
        <x:v>攻击加成</x:v>
      </x:c>
      <x:c r="I57" s="25" t="n">
        <x:v>25</x:v>
      </x:c>
      <x:c r="J57" s="25" t="n">
        <x:v>18</x:v>
      </x:c>
      <x:c r="K57" s="25" t="str">
        <x:v>仅装备原始基础值决定主属性范围</x:v>
      </x:c>
    </x:row>
    <x:row r="58">
      <x:c r="A58" s="25" t="str">
        <x:v>C02-G</x:v>
      </x:c>
      <x:c r="B58" s="25" t="str">
        <x:v>宁姆格福</x:v>
      </x:c>
      <x:c r="C58" s="25" t="str">
        <x:v>半急速毕业</x:v>
      </x:c>
      <x:c r="D58" s="25" t="n">
        <x:v>7</x:v>
      </x:c>
      <x:c r="E58" s="25" t="n">
        <x:v>75</x:v>
      </x:c>
      <x:c r="F58" s="25" t="str">
        <x:v>归乡弩戒</x:v>
      </x:c>
      <x:c r="G58" s="25" t="n">
        <x:v>2</x:v>
      </x:c>
      <x:c r="H58" s="25" t="str">
        <x:v>攻击</x:v>
      </x:c>
      <x:c r="I58" s="25" t="n">
        <x:v>23</x:v>
      </x:c>
      <x:c r="J58" s="25" t="n">
        <x:v>1</x:v>
      </x:c>
      <x:c r="K58" s="25" t="str">
        <x:v>仅装备原始基础值决定主属性范围</x:v>
      </x:c>
    </x:row>
    <x:row r="59">
      <x:c r="A59" s="25" t="str">
        <x:v>C02-G</x:v>
      </x:c>
      <x:c r="B59" s="25" t="str">
        <x:v>宁姆格福</x:v>
      </x:c>
      <x:c r="C59" s="25" t="str">
        <x:v>半急速毕业</x:v>
      </x:c>
      <x:c r="D59" s="25" t="n">
        <x:v>7</x:v>
      </x:c>
      <x:c r="E59" s="25" t="n">
        <x:v>75</x:v>
      </x:c>
      <x:c r="F59" s="25" t="str">
        <x:v>归乡弩戒</x:v>
      </x:c>
      <x:c r="G59" s="25" t="n">
        <x:v>3</x:v>
      </x:c>
      <x:c r="H59" s="25" t="str">
        <x:v>攻击加成</x:v>
      </x:c>
      <x:c r="I59" s="25" t="n">
        <x:v>20</x:v>
      </x:c>
      <x:c r="J59" s="25" t="n">
        <x:v>18</x:v>
      </x:c>
      <x:c r="K59" s="25" t="str">
        <x:v>仅装备原始基础值决定主属性范围</x:v>
      </x:c>
    </x:row>
    <x:row r="60">
      <x:c r="A60" s="25" t="str">
        <x:v>C02-G</x:v>
      </x:c>
      <x:c r="B60" s="25" t="str">
        <x:v>宁姆格福</x:v>
      </x:c>
      <x:c r="C60" s="25" t="str">
        <x:v>半急速毕业</x:v>
      </x:c>
      <x:c r="D60" s="25" t="n">
        <x:v>8</x:v>
      </x:c>
      <x:c r="E60" s="25" t="n">
        <x:v>54</x:v>
      </x:c>
      <x:c r="F60" s="25" t="str">
        <x:v>潮归秘戒</x:v>
      </x:c>
      <x:c r="G60" s="25" t="n">
        <x:v>1</x:v>
      </x:c>
      <x:c r="H60" s="25" t="str">
        <x:v>道术</x:v>
      </x:c>
      <x:c r="I60" s="25" t="n">
        <x:v>6</x:v>
      </x:c>
      <x:c r="J60" s="25" t="n">
        <x:v>3</x:v>
      </x:c>
      <x:c r="K60" s="25" t="str">
        <x:v>仅装备原始基础值决定主属性范围</x:v>
      </x:c>
    </x:row>
    <x:row r="61">
      <x:c r="A61" s="25" t="str">
        <x:v>C02-G</x:v>
      </x:c>
      <x:c r="B61" s="25" t="str">
        <x:v>宁姆格福</x:v>
      </x:c>
      <x:c r="C61" s="25" t="str">
        <x:v>半急速毕业</x:v>
      </x:c>
      <x:c r="D61" s="25" t="n">
        <x:v>8</x:v>
      </x:c>
      <x:c r="E61" s="25" t="n">
        <x:v>54</x:v>
      </x:c>
      <x:c r="F61" s="25" t="str">
        <x:v>潮归秘戒</x:v>
      </x:c>
      <x:c r="G61" s="25" t="n">
        <x:v>2</x:v>
      </x:c>
      <x:c r="H61" s="25" t="str">
        <x:v>伤害系数</x:v>
      </x:c>
      <x:c r="I61" s="25" t="n">
        <x:v>2</x:v>
      </x:c>
      <x:c r="J61" s="25" t="n">
        <x:v>26</x:v>
      </x:c>
      <x:c r="K61" s="25" t="str">
        <x:v>仅装备原始基础值决定主属性范围</x:v>
      </x:c>
    </x:row>
    <x:row r="62">
      <x:c r="A62" s="25" t="str">
        <x:v>C02-G</x:v>
      </x:c>
      <x:c r="B62" s="25" t="str">
        <x:v>宁姆格福</x:v>
      </x:c>
      <x:c r="C62" s="25" t="str">
        <x:v>半急速毕业</x:v>
      </x:c>
      <x:c r="D62" s="25" t="n">
        <x:v>8</x:v>
      </x:c>
      <x:c r="E62" s="25" t="n">
        <x:v>54</x:v>
      </x:c>
      <x:c r="F62" s="25" t="str">
        <x:v>潮归秘戒</x:v>
      </x:c>
      <x:c r="G62" s="25" t="n">
        <x:v>3</x:v>
      </x:c>
      <x:c r="H62" s="25" t="str">
        <x:v>攻击加成</x:v>
      </x:c>
      <x:c r="I62" s="25" t="n">
        <x:v>25</x:v>
      </x:c>
      <x:c r="J62" s="25" t="n">
        <x:v>18</x:v>
      </x:c>
      <x:c r="K62" s="25" t="str">
        <x:v>仅装备原始基础值决定主属性范围</x:v>
      </x:c>
    </x:row>
    <x:row r="63">
      <x:c r="A63" s="25" t="str">
        <x:v>C02-G</x:v>
      </x:c>
      <x:c r="B63" s="25" t="str">
        <x:v>宁姆格福</x:v>
      </x:c>
      <x:c r="C63" s="25" t="str">
        <x:v>半急速毕业</x:v>
      </x:c>
      <x:c r="D63" s="25" t="n">
        <x:v>8</x:v>
      </x:c>
      <x:c r="E63" s="25" t="n">
        <x:v>54</x:v>
      </x:c>
      <x:c r="F63" s="25" t="str">
        <x:v>潮归秘戒</x:v>
      </x:c>
      <x:c r="G63" s="25" t="n">
        <x:v>4</x:v>
      </x:c>
      <x:c r="H63" s="25" t="str">
        <x:v>暴击</x:v>
      </x:c>
      <x:c r="I63" s="25" t="n">
        <x:v>2</x:v>
      </x:c>
      <x:c r="J63" s="25" t="n">
        <x:v>15</x:v>
      </x:c>
      <x:c r="K63" s="25" t="str">
        <x:v>仅装备原始基础值决定主属性范围</x:v>
      </x:c>
    </x:row>
    <x:row r="64">
      <x:c r="A64" s="25" t="str">
        <x:v>C02-G</x:v>
      </x:c>
      <x:c r="B64" s="25" t="str">
        <x:v>宁姆格福</x:v>
      </x:c>
      <x:c r="C64" s="25" t="str">
        <x:v>半急速毕业</x:v>
      </x:c>
      <x:c r="D64" s="25" t="n">
        <x:v>10</x:v>
      </x:c>
      <x:c r="E64" s="25" t="n">
        <x:v>36</x:v>
      </x:c>
      <x:c r="F64" s="25" t="str">
        <x:v>黄金戍卫腰带</x:v>
      </x:c>
      <x:c r="G64" s="25" t="n">
        <x:v>1</x:v>
      </x:c>
      <x:c r="H64" s="25" t="str">
        <x:v>攻击</x:v>
      </x:c>
      <x:c r="I64" s="25" t="n">
        <x:v>22</x:v>
      </x:c>
      <x:c r="J64" s="25" t="n">
        <x:v>1</x:v>
      </x:c>
      <x:c r="K64" s="25" t="str">
        <x:v>仅装备原始基础值决定主属性范围</x:v>
      </x:c>
    </x:row>
    <x:row r="65">
      <x:c r="A65" s="25" t="str">
        <x:v>C02-G</x:v>
      </x:c>
      <x:c r="B65" s="25" t="str">
        <x:v>宁姆格福</x:v>
      </x:c>
      <x:c r="C65" s="25" t="str">
        <x:v>半急速毕业</x:v>
      </x:c>
      <x:c r="D65" s="25" t="n">
        <x:v>10</x:v>
      </x:c>
      <x:c r="E65" s="25" t="n">
        <x:v>36</x:v>
      </x:c>
      <x:c r="F65" s="25" t="str">
        <x:v>黄金戍卫腰带</x:v>
      </x:c>
      <x:c r="G65" s="25" t="n">
        <x:v>2</x:v>
      </x:c>
      <x:c r="H65" s="25" t="str">
        <x:v>暴击</x:v>
      </x:c>
      <x:c r="I65" s="25" t="n">
        <x:v>1</x:v>
      </x:c>
      <x:c r="J65" s="25" t="n">
        <x:v>14</x:v>
      </x:c>
      <x:c r="K65" s="25" t="str">
        <x:v>仅装备原始基础值决定主属性范围</x:v>
      </x:c>
    </x:row>
    <x:row r="66">
      <x:c r="A66" s="25" t="str">
        <x:v>C02-G</x:v>
      </x:c>
      <x:c r="B66" s="25" t="str">
        <x:v>宁姆格福</x:v>
      </x:c>
      <x:c r="C66" s="25" t="str">
        <x:v>半急速毕业</x:v>
      </x:c>
      <x:c r="D66" s="25" t="n">
        <x:v>10</x:v>
      </x:c>
      <x:c r="E66" s="25" t="n">
        <x:v>36</x:v>
      </x:c>
      <x:c r="F66" s="25" t="str">
        <x:v>黄金戍卫腰带</x:v>
      </x:c>
      <x:c r="G66" s="25" t="n">
        <x:v>3</x:v>
      </x:c>
      <x:c r="H66" s="25" t="str">
        <x:v>攻击加成</x:v>
      </x:c>
      <x:c r="I66" s="25" t="n">
        <x:v>22</x:v>
      </x:c>
      <x:c r="J66" s="25" t="n">
        <x:v>18</x:v>
      </x:c>
      <x:c r="K66" s="25" t="str">
        <x:v>仅装备原始基础值决定主属性范围</x:v>
      </x:c>
    </x:row>
    <x:row r="67">
      <x:c r="A67" s="25" t="str">
        <x:v>C02-G</x:v>
      </x:c>
      <x:c r="B67" s="25" t="str">
        <x:v>宁姆格福</x:v>
      </x:c>
      <x:c r="C67" s="25" t="str">
        <x:v>半急速毕业</x:v>
      </x:c>
      <x:c r="D67" s="25" t="n">
        <x:v>10</x:v>
      </x:c>
      <x:c r="E67" s="25" t="n">
        <x:v>36</x:v>
      </x:c>
      <x:c r="F67" s="25" t="str">
        <x:v>黄金戍卫腰带</x:v>
      </x:c>
      <x:c r="G67" s="25" t="n">
        <x:v>4</x:v>
      </x:c>
      <x:c r="H67" s="25" t="str">
        <x:v>致命一击</x:v>
      </x:c>
      <x:c r="I67" s="25" t="n">
        <x:v>1</x:v>
      </x:c>
      <x:c r="J67" s="25" t="n">
        <x:v>16</x:v>
      </x:c>
      <x:c r="K67" s="25" t="str">
        <x:v>仅装备原始基础值决定主属性范围</x:v>
      </x:c>
    </x:row>
    <x:row r="68">
      <x:c r="A68" s="25" t="str">
        <x:v>C02-G</x:v>
      </x:c>
      <x:c r="B68" s="25" t="str">
        <x:v>宁姆格福</x:v>
      </x:c>
      <x:c r="C68" s="25" t="str">
        <x:v>半急速毕业</x:v>
      </x:c>
      <x:c r="D68" s="25" t="n">
        <x:v>11</x:v>
      </x:c>
      <x:c r="E68" s="25" t="n">
        <x:v>76</x:v>
      </x:c>
      <x:c r="F68" s="25" t="str">
        <x:v>神授征服战靴</x:v>
      </x:c>
      <x:c r="G68" s="25" t="n">
        <x:v>1</x:v>
      </x:c>
      <x:c r="H68" s="25" t="str">
        <x:v>魔法</x:v>
      </x:c>
      <x:c r="I68" s="25" t="n">
        <x:v>5</x:v>
      </x:c>
      <x:c r="J68" s="25" t="n">
        <x:v>2</x:v>
      </x:c>
      <x:c r="K68" s="25" t="str">
        <x:v>仅装备原始基础值决定主属性范围</x:v>
      </x:c>
    </x:row>
    <x:row r="69">
      <x:c r="A69" s="25" t="str">
        <x:v>C02-G</x:v>
      </x:c>
      <x:c r="B69" s="25" t="str">
        <x:v>宁姆格福</x:v>
      </x:c>
      <x:c r="C69" s="25" t="str">
        <x:v>半急速毕业</x:v>
      </x:c>
      <x:c r="D69" s="25" t="n">
        <x:v>11</x:v>
      </x:c>
      <x:c r="E69" s="25" t="n">
        <x:v>76</x:v>
      </x:c>
      <x:c r="F69" s="25" t="str">
        <x:v>神授征服战靴</x:v>
      </x:c>
      <x:c r="G69" s="25" t="n">
        <x:v>2</x:v>
      </x:c>
      <x:c r="H69" s="25" t="str">
        <x:v>致命一击</x:v>
      </x:c>
      <x:c r="I69" s="25" t="n">
        <x:v>1</x:v>
      </x:c>
      <x:c r="J69" s="25" t="n">
        <x:v>16</x:v>
      </x:c>
      <x:c r="K69" s="25" t="str">
        <x:v>仅装备原始基础值决定主属性范围</x:v>
      </x:c>
    </x:row>
    <x:row r="70">
      <x:c r="A70" s="25" t="str">
        <x:v>C02-G</x:v>
      </x:c>
      <x:c r="B70" s="25" t="str">
        <x:v>宁姆格福</x:v>
      </x:c>
      <x:c r="C70" s="25" t="str">
        <x:v>半急速毕业</x:v>
      </x:c>
      <x:c r="D70" s="25" t="n">
        <x:v>11</x:v>
      </x:c>
      <x:c r="E70" s="25" t="n">
        <x:v>76</x:v>
      </x:c>
      <x:c r="F70" s="25" t="str">
        <x:v>神授征服战靴</x:v>
      </x:c>
      <x:c r="G70" s="25" t="n">
        <x:v>3</x:v>
      </x:c>
      <x:c r="H70" s="25" t="str">
        <x:v>攻击加成</x:v>
      </x:c>
      <x:c r="I70" s="25" t="n">
        <x:v>13</x:v>
      </x:c>
      <x:c r="J70" s="25" t="n">
        <x:v>18</x:v>
      </x:c>
      <x:c r="K70" s="25" t="str">
        <x:v>仅装备原始基础值决定主属性范围</x:v>
      </x:c>
    </x:row>
    <x:row r="71">
      <x:c r="A71" s="25" t="str">
        <x:v>C02-G</x:v>
      </x:c>
      <x:c r="B71" s="25" t="str">
        <x:v>宁姆格福</x:v>
      </x:c>
      <x:c r="C71" s="25" t="str">
        <x:v>半急速毕业</x:v>
      </x:c>
      <x:c r="D71" s="25" t="n">
        <x:v>11</x:v>
      </x:c>
      <x:c r="E71" s="25" t="n">
        <x:v>76</x:v>
      </x:c>
      <x:c r="F71" s="25" t="str">
        <x:v>神授征服战靴</x:v>
      </x:c>
      <x:c r="G71" s="25" t="n">
        <x:v>4</x:v>
      </x:c>
      <x:c r="H71" s="25" t="str">
        <x:v>攻击</x:v>
      </x:c>
      <x:c r="I71" s="25" t="n">
        <x:v>23</x:v>
      </x:c>
      <x:c r="J71" s="25" t="n">
        <x:v>1</x:v>
      </x:c>
      <x:c r="K71" s="25" t="str">
        <x:v>仅装备原始基础值决定主属性范围</x:v>
      </x:c>
    </x:row>
    <x:row r="72">
      <x:c r="A72" s="25" t="str">
        <x:v>C02-X</x:v>
      </x:c>
      <x:c r="B72" s="25" t="str">
        <x:v>宁姆格福</x:v>
      </x:c>
      <x:c r="C72" s="25" t="str">
        <x:v>极端压力</x:v>
      </x:c>
      <x:c r="D72" s="25" t="n">
        <x:v>0</x:v>
      </x:c>
      <x:c r="E72" s="25" t="n">
        <x:v>72</x:v>
      </x:c>
      <x:c r="F72" s="25" t="str">
        <x:v>祖灵皮衣</x:v>
      </x:c>
      <x:c r="G72" s="25" t="n">
        <x:v>1</x:v>
      </x:c>
      <x:c r="H72" s="25" t="str">
        <x:v>攻击加成</x:v>
      </x:c>
      <x:c r="I72" s="25" t="n">
        <x:v>23</x:v>
      </x:c>
      <x:c r="J72" s="25" t="n">
        <x:v>18</x:v>
      </x:c>
      <x:c r="K72" s="25" t="str">
        <x:v>仅装备原始基础值决定主属性范围</x:v>
      </x:c>
    </x:row>
    <x:row r="73">
      <x:c r="A73" s="25" t="str">
        <x:v>C02-X</x:v>
      </x:c>
      <x:c r="B73" s="25" t="str">
        <x:v>宁姆格福</x:v>
      </x:c>
      <x:c r="C73" s="25" t="str">
        <x:v>极端压力</x:v>
      </x:c>
      <x:c r="D73" s="25" t="n">
        <x:v>0</x:v>
      </x:c>
      <x:c r="E73" s="25" t="n">
        <x:v>72</x:v>
      </x:c>
      <x:c r="F73" s="25" t="str">
        <x:v>祖灵皮衣</x:v>
      </x:c>
      <x:c r="G73" s="25" t="n">
        <x:v>2</x:v>
      </x:c>
      <x:c r="H73" s="25" t="str">
        <x:v>攻击加成</x:v>
      </x:c>
      <x:c r="I73" s="25" t="n">
        <x:v>28</x:v>
      </x:c>
      <x:c r="J73" s="25" t="n">
        <x:v>18</x:v>
      </x:c>
      <x:c r="K73" s="25" t="str">
        <x:v>仅装备原始基础值决定主属性范围</x:v>
      </x:c>
    </x:row>
    <x:row r="74">
      <x:c r="A74" s="25" t="str">
        <x:v>C02-X</x:v>
      </x:c>
      <x:c r="B74" s="25" t="str">
        <x:v>宁姆格福</x:v>
      </x:c>
      <x:c r="C74" s="25" t="str">
        <x:v>极端压力</x:v>
      </x:c>
      <x:c r="D74" s="25" t="n">
        <x:v>0</x:v>
      </x:c>
      <x:c r="E74" s="25" t="n">
        <x:v>72</x:v>
      </x:c>
      <x:c r="F74" s="25" t="str">
        <x:v>祖灵皮衣</x:v>
      </x:c>
      <x:c r="G74" s="25" t="n">
        <x:v>3</x:v>
      </x:c>
      <x:c r="H74" s="25" t="str">
        <x:v>吸血</x:v>
      </x:c>
      <x:c r="I74" s="25" t="n">
        <x:v>1</x:v>
      </x:c>
      <x:c r="J74" s="25" t="n">
        <x:v>20</x:v>
      </x:c>
      <x:c r="K74" s="25" t="str">
        <x:v>仅装备原始基础值决定主属性范围</x:v>
      </x:c>
    </x:row>
    <x:row r="75">
      <x:c r="A75" s="25" t="str">
        <x:v>C02-X</x:v>
      </x:c>
      <x:c r="B75" s="25" t="str">
        <x:v>宁姆格福</x:v>
      </x:c>
      <x:c r="C75" s="25" t="str">
        <x:v>极端压力</x:v>
      </x:c>
      <x:c r="D75" s="25" t="n">
        <x:v>1</x:v>
      </x:c>
      <x:c r="E75" s="25" t="n">
        <x:v>77</x:v>
      </x:c>
      <x:c r="F75" s="25" t="str">
        <x:v>沉没王权</x:v>
      </x:c>
      <x:c r="G75" s="25" t="n">
        <x:v>1</x:v>
      </x:c>
      <x:c r="H75" s="25" t="str">
        <x:v>攻击</x:v>
      </x:c>
      <x:c r="I75" s="25" t="n">
        <x:v>181</x:v>
      </x:c>
      <x:c r="J75" s="25" t="n">
        <x:v>1</x:v>
      </x:c>
      <x:c r="K75" s="25" t="str">
        <x:v>仅装备原始基础值决定主属性范围</x:v>
      </x:c>
    </x:row>
    <x:row r="76">
      <x:c r="A76" s="25" t="str">
        <x:v>C02-X</x:v>
      </x:c>
      <x:c r="B76" s="25" t="str">
        <x:v>宁姆格福</x:v>
      </x:c>
      <x:c r="C76" s="25" t="str">
        <x:v>极端压力</x:v>
      </x:c>
      <x:c r="D76" s="25" t="n">
        <x:v>1</x:v>
      </x:c>
      <x:c r="E76" s="25" t="n">
        <x:v>77</x:v>
      </x:c>
      <x:c r="F76" s="25" t="str">
        <x:v>沉没王权</x:v>
      </x:c>
      <x:c r="G76" s="25" t="n">
        <x:v>2</x:v>
      </x:c>
      <x:c r="H76" s="25" t="str">
        <x:v>攻击</x:v>
      </x:c>
      <x:c r="I76" s="25" t="n">
        <x:v>204</x:v>
      </x:c>
      <x:c r="J76" s="25" t="n">
        <x:v>1</x:v>
      </x:c>
      <x:c r="K76" s="25" t="str">
        <x:v>仅装备原始基础值决定主属性范围</x:v>
      </x:c>
    </x:row>
    <x:row r="77">
      <x:c r="A77" s="25" t="str">
        <x:v>C02-X</x:v>
      </x:c>
      <x:c r="B77" s="25" t="str">
        <x:v>宁姆格福</x:v>
      </x:c>
      <x:c r="C77" s="25" t="str">
        <x:v>极端压力</x:v>
      </x:c>
      <x:c r="D77" s="25" t="n">
        <x:v>3</x:v>
      </x:c>
      <x:c r="E77" s="25" t="n">
        <x:v>98</x:v>
      </x:c>
      <x:c r="F77" s="25" t="str">
        <x:v>风暴王庭链</x:v>
      </x:c>
      <x:c r="G77" s="25" t="n">
        <x:v>1</x:v>
      </x:c>
      <x:c r="H77" s="25" t="str">
        <x:v>攻击</x:v>
      </x:c>
      <x:c r="I77" s="25" t="n">
        <x:v>7</x:v>
      </x:c>
      <x:c r="J77" s="25" t="n">
        <x:v>1</x:v>
      </x:c>
      <x:c r="K77" s="25" t="str">
        <x:v>仅装备原始基础值决定主属性范围</x:v>
      </x:c>
    </x:row>
    <x:row r="78">
      <x:c r="A78" s="25" t="str">
        <x:v>C02-X</x:v>
      </x:c>
      <x:c r="B78" s="25" t="str">
        <x:v>宁姆格福</x:v>
      </x:c>
      <x:c r="C78" s="25" t="str">
        <x:v>极端压力</x:v>
      </x:c>
      <x:c r="D78" s="25" t="n">
        <x:v>3</x:v>
      </x:c>
      <x:c r="E78" s="25" t="n">
        <x:v>98</x:v>
      </x:c>
      <x:c r="F78" s="25" t="str">
        <x:v>风暴王庭链</x:v>
      </x:c>
      <x:c r="G78" s="25" t="n">
        <x:v>2</x:v>
      </x:c>
      <x:c r="H78" s="25" t="str">
        <x:v>处决时间</x:v>
      </x:c>
      <x:c r="I78" s="25" t="n">
        <x:v>1</x:v>
      </x:c>
      <x:c r="J78" s="25" t="n">
        <x:v>8</x:v>
      </x:c>
      <x:c r="K78" s="25" t="str">
        <x:v>仅装备原始基础值决定主属性范围</x:v>
      </x:c>
    </x:row>
    <x:row r="79">
      <x:c r="A79" s="25" t="str">
        <x:v>C02-X</x:v>
      </x:c>
      <x:c r="B79" s="25" t="str">
        <x:v>宁姆格福</x:v>
      </x:c>
      <x:c r="C79" s="25" t="str">
        <x:v>极端压力</x:v>
      </x:c>
      <x:c r="D79" s="25" t="n">
        <x:v>3</x:v>
      </x:c>
      <x:c r="E79" s="25" t="n">
        <x:v>98</x:v>
      </x:c>
      <x:c r="F79" s="25" t="str">
        <x:v>风暴王庭链</x:v>
      </x:c>
      <x:c r="G79" s="25" t="n">
        <x:v>3</x:v>
      </x:c>
      <x:c r="H79" s="25" t="str">
        <x:v>道术</x:v>
      </x:c>
      <x:c r="I79" s="25" t="n">
        <x:v>14</x:v>
      </x:c>
      <x:c r="J79" s="25" t="n">
        <x:v>3</x:v>
      </x:c>
      <x:c r="K79" s="25" t="str">
        <x:v>仅装备原始基础值决定主属性范围</x:v>
      </x:c>
    </x:row>
    <x:row r="80">
      <x:c r="A80" s="25" t="str">
        <x:v>C02-X</x:v>
      </x:c>
      <x:c r="B80" s="25" t="str">
        <x:v>宁姆格福</x:v>
      </x:c>
      <x:c r="C80" s="25" t="str">
        <x:v>极端压力</x:v>
      </x:c>
      <x:c r="D80" s="25" t="n">
        <x:v>3</x:v>
      </x:c>
      <x:c r="E80" s="25" t="n">
        <x:v>98</x:v>
      </x:c>
      <x:c r="F80" s="25" t="str">
        <x:v>风暴王庭链</x:v>
      </x:c>
      <x:c r="G80" s="25" t="n">
        <x:v>4</x:v>
      </x:c>
      <x:c r="H80" s="25" t="str">
        <x:v>韧性</x:v>
      </x:c>
      <x:c r="I80" s="25" t="n">
        <x:v>10</x:v>
      </x:c>
      <x:c r="J80" s="25" t="n">
        <x:v>12</x:v>
      </x:c>
      <x:c r="K80" s="25" t="str">
        <x:v>仅装备原始基础值决定主属性范围</x:v>
      </x:c>
    </x:row>
    <x:row r="81">
      <x:c r="A81" s="25" t="str">
        <x:v>C02-X</x:v>
      </x:c>
      <x:c r="B81" s="25" t="str">
        <x:v>宁姆格福</x:v>
      </x:c>
      <x:c r="C81" s="25" t="str">
        <x:v>极端压力</x:v>
      </x:c>
      <x:c r="D81" s="25" t="n">
        <x:v>3</x:v>
      </x:c>
      <x:c r="E81" s="25" t="n">
        <x:v>98</x:v>
      </x:c>
      <x:c r="F81" s="25" t="str">
        <x:v>风暴王庭链</x:v>
      </x:c>
      <x:c r="G81" s="25" t="n">
        <x:v>5</x:v>
      </x:c>
      <x:c r="H81" s="25" t="str">
        <x:v>最大爆率</x:v>
      </x:c>
      <x:c r="I81" s="25" t="n">
        <x:v>1</x:v>
      </x:c>
      <x:c r="J81" s="25" t="n">
        <x:v>22</x:v>
      </x:c>
      <x:c r="K81" s="25" t="str">
        <x:v>仅装备原始基础值决定主属性范围</x:v>
      </x:c>
    </x:row>
    <x:row r="82">
      <x:c r="A82" s="25" t="str">
        <x:v>C02-X</x:v>
      </x:c>
      <x:c r="B82" s="25" t="str">
        <x:v>宁姆格福</x:v>
      </x:c>
      <x:c r="C82" s="25" t="str">
        <x:v>极端压力</x:v>
      </x:c>
      <x:c r="D82" s="25" t="n">
        <x:v>3</x:v>
      </x:c>
      <x:c r="E82" s="25" t="n">
        <x:v>98</x:v>
      </x:c>
      <x:c r="F82" s="25" t="str">
        <x:v>风暴王庭链</x:v>
      </x:c>
      <x:c r="G82" s="25" t="n">
        <x:v>6</x:v>
      </x:c>
      <x:c r="H82" s="25" t="str">
        <x:v>韧性</x:v>
      </x:c>
      <x:c r="I82" s="25" t="n">
        <x:v>10</x:v>
      </x:c>
      <x:c r="J82" s="25" t="n">
        <x:v>12</x:v>
      </x:c>
      <x:c r="K82" s="25" t="str">
        <x:v>仅装备原始基础值决定主属性范围</x:v>
      </x:c>
    </x:row>
    <x:row r="83">
      <x:c r="A83" s="25" t="str">
        <x:v>C02-X</x:v>
      </x:c>
      <x:c r="B83" s="25" t="str">
        <x:v>宁姆格福</x:v>
      </x:c>
      <x:c r="C83" s="25" t="str">
        <x:v>极端压力</x:v>
      </x:c>
      <x:c r="D83" s="25" t="n">
        <x:v>3</x:v>
      </x:c>
      <x:c r="E83" s="25" t="n">
        <x:v>98</x:v>
      </x:c>
      <x:c r="F83" s="25" t="str">
        <x:v>风暴王庭链</x:v>
      </x:c>
      <x:c r="G83" s="25" t="n">
        <x:v>7</x:v>
      </x:c>
      <x:c r="H83" s="25" t="str">
        <x:v>处决概率</x:v>
      </x:c>
      <x:c r="I83" s="25" t="n">
        <x:v>2</x:v>
      </x:c>
      <x:c r="J83" s="25" t="n">
        <x:v>7</x:v>
      </x:c>
      <x:c r="K83" s="25" t="str">
        <x:v>仅装备原始基础值决定主属性范围</x:v>
      </x:c>
    </x:row>
    <x:row r="84">
      <x:c r="A84" s="25" t="str">
        <x:v>C02-X</x:v>
      </x:c>
      <x:c r="B84" s="25" t="str">
        <x:v>宁姆格福</x:v>
      </x:c>
      <x:c r="C84" s="25" t="str">
        <x:v>极端压力</x:v>
      </x:c>
      <x:c r="D84" s="25" t="n">
        <x:v>4</x:v>
      </x:c>
      <x:c r="E84" s="25" t="n">
        <x:v>82</x:v>
      </x:c>
      <x:c r="F84" s="25" t="str">
        <x:v>刀翼王盔</x:v>
      </x:c>
      <x:c r="G84" s="25" t="n">
        <x:v>1</x:v>
      </x:c>
      <x:c r="H84" s="25" t="str">
        <x:v>攻击加成</x:v>
      </x:c>
      <x:c r="I84" s="25" t="n">
        <x:v>48</x:v>
      </x:c>
      <x:c r="J84" s="25" t="n">
        <x:v>19</x:v>
      </x:c>
      <x:c r="K84" s="25" t="str">
        <x:v>仅装备原始基础值决定主属性范围</x:v>
      </x:c>
    </x:row>
    <x:row r="85">
      <x:c r="A85" s="25" t="str">
        <x:v>C02-X</x:v>
      </x:c>
      <x:c r="B85" s="25" t="str">
        <x:v>宁姆格福</x:v>
      </x:c>
      <x:c r="C85" s="25" t="str">
        <x:v>极端压力</x:v>
      </x:c>
      <x:c r="D85" s="25" t="n">
        <x:v>4</x:v>
      </x:c>
      <x:c r="E85" s="25" t="n">
        <x:v>82</x:v>
      </x:c>
      <x:c r="F85" s="25" t="str">
        <x:v>刀翼王盔</x:v>
      </x:c>
      <x:c r="G85" s="25" t="n">
        <x:v>2</x:v>
      </x:c>
      <x:c r="H85" s="25" t="str">
        <x:v>攻击加成</x:v>
      </x:c>
      <x:c r="I85" s="25" t="n">
        <x:v>44</x:v>
      </x:c>
      <x:c r="J85" s="25" t="n">
        <x:v>19</x:v>
      </x:c>
      <x:c r="K85" s="25" t="str">
        <x:v>仅装备原始基础值决定主属性范围</x:v>
      </x:c>
    </x:row>
    <x:row r="86">
      <x:c r="A86" s="25" t="str">
        <x:v>C02-X</x:v>
      </x:c>
      <x:c r="B86" s="25" t="str">
        <x:v>宁姆格福</x:v>
      </x:c>
      <x:c r="C86" s="25" t="str">
        <x:v>极端压力</x:v>
      </x:c>
      <x:c r="D86" s="25" t="n">
        <x:v>4</x:v>
      </x:c>
      <x:c r="E86" s="25" t="n">
        <x:v>82</x:v>
      </x:c>
      <x:c r="F86" s="25" t="str">
        <x:v>刀翼王盔</x:v>
      </x:c>
      <x:c r="G86" s="25" t="n">
        <x:v>3</x:v>
      </x:c>
      <x:c r="H86" s="25" t="str">
        <x:v>攻击加成</x:v>
      </x:c>
      <x:c r="I86" s="25" t="n">
        <x:v>20</x:v>
      </x:c>
      <x:c r="J86" s="25" t="n">
        <x:v>18</x:v>
      </x:c>
      <x:c r="K86" s="25" t="str">
        <x:v>仅装备原始基础值决定主属性范围</x:v>
      </x:c>
    </x:row>
    <x:row r="87">
      <x:c r="A87" s="25" t="str">
        <x:v>C02-X</x:v>
      </x:c>
      <x:c r="B87" s="25" t="str">
        <x:v>宁姆格福</x:v>
      </x:c>
      <x:c r="C87" s="25" t="str">
        <x:v>极端压力</x:v>
      </x:c>
      <x:c r="D87" s="25" t="n">
        <x:v>4</x:v>
      </x:c>
      <x:c r="E87" s="25" t="n">
        <x:v>82</x:v>
      </x:c>
      <x:c r="F87" s="25" t="str">
        <x:v>刀翼王盔</x:v>
      </x:c>
      <x:c r="G87" s="25" t="n">
        <x:v>4</x:v>
      </x:c>
      <x:c r="H87" s="25" t="str">
        <x:v>致命一击</x:v>
      </x:c>
      <x:c r="I87" s="25" t="n">
        <x:v>1</x:v>
      </x:c>
      <x:c r="J87" s="25" t="n">
        <x:v>16</x:v>
      </x:c>
      <x:c r="K87" s="25" t="str">
        <x:v>仅装备原始基础值决定主属性范围</x:v>
      </x:c>
    </x:row>
    <x:row r="88">
      <x:c r="A88" s="25" t="str">
        <x:v>C02-X</x:v>
      </x:c>
      <x:c r="B88" s="25" t="str">
        <x:v>宁姆格福</x:v>
      </x:c>
      <x:c r="C88" s="25" t="str">
        <x:v>极端压力</x:v>
      </x:c>
      <x:c r="D88" s="25" t="n">
        <x:v>4</x:v>
      </x:c>
      <x:c r="E88" s="25" t="n">
        <x:v>82</x:v>
      </x:c>
      <x:c r="F88" s="25" t="str">
        <x:v>刀翼王盔</x:v>
      </x:c>
      <x:c r="G88" s="25" t="n">
        <x:v>5</x:v>
      </x:c>
      <x:c r="H88" s="25" t="str">
        <x:v>处决概率</x:v>
      </x:c>
      <x:c r="I88" s="25" t="n">
        <x:v>1</x:v>
      </x:c>
      <x:c r="J88" s="25" t="n">
        <x:v>6</x:v>
      </x:c>
      <x:c r="K88" s="25" t="str">
        <x:v>仅装备原始基础值决定主属性范围</x:v>
      </x:c>
    </x:row>
    <x:row r="89">
      <x:c r="A89" s="25" t="str">
        <x:v>C02-X</x:v>
      </x:c>
      <x:c r="B89" s="25" t="str">
        <x:v>宁姆格福</x:v>
      </x:c>
      <x:c r="C89" s="25" t="str">
        <x:v>极端压力</x:v>
      </x:c>
      <x:c r="D89" s="25" t="n">
        <x:v>5</x:v>
      </x:c>
      <x:c r="E89" s="25" t="n">
        <x:v>78</x:v>
      </x:c>
      <x:c r="F89" s="25" t="str">
        <x:v>百指腕甲</x:v>
      </x:c>
      <x:c r="G89" s="25" t="n">
        <x:v>1</x:v>
      </x:c>
      <x:c r="H89" s="25" t="str">
        <x:v>暴击</x:v>
      </x:c>
      <x:c r="I89" s="25" t="n">
        <x:v>1</x:v>
      </x:c>
      <x:c r="J89" s="25" t="n">
        <x:v>14</x:v>
      </x:c>
      <x:c r="K89" s="25" t="str">
        <x:v>仅装备原始基础值决定主属性范围</x:v>
      </x:c>
    </x:row>
    <x:row r="90">
      <x:c r="A90" s="25" t="str">
        <x:v>C02-X</x:v>
      </x:c>
      <x:c r="B90" s="25" t="str">
        <x:v>宁姆格福</x:v>
      </x:c>
      <x:c r="C90" s="25" t="str">
        <x:v>极端压力</x:v>
      </x:c>
      <x:c r="D90" s="25" t="n">
        <x:v>5</x:v>
      </x:c>
      <x:c r="E90" s="25" t="n">
        <x:v>78</x:v>
      </x:c>
      <x:c r="F90" s="25" t="str">
        <x:v>百指腕甲</x:v>
      </x:c>
      <x:c r="G90" s="25" t="n">
        <x:v>2</x:v>
      </x:c>
      <x:c r="H90" s="25" t="str">
        <x:v>攻击加成</x:v>
      </x:c>
      <x:c r="I90" s="25" t="n">
        <x:v>29</x:v>
      </x:c>
      <x:c r="J90" s="25" t="n">
        <x:v>18</x:v>
      </x:c>
      <x:c r="K90" s="25" t="str">
        <x:v>仅装备原始基础值决定主属性范围</x:v>
      </x:c>
    </x:row>
    <x:row r="91">
      <x:c r="A91" s="25" t="str">
        <x:v>C02-X</x:v>
      </x:c>
      <x:c r="B91" s="25" t="str">
        <x:v>宁姆格福</x:v>
      </x:c>
      <x:c r="C91" s="25" t="str">
        <x:v>极端压力</x:v>
      </x:c>
      <x:c r="D91" s="25" t="n">
        <x:v>5</x:v>
      </x:c>
      <x:c r="E91" s="25" t="n">
        <x:v>78</x:v>
      </x:c>
      <x:c r="F91" s="25" t="str">
        <x:v>百指腕甲</x:v>
      </x:c>
      <x:c r="G91" s="25" t="n">
        <x:v>3</x:v>
      </x:c>
      <x:c r="H91" s="25" t="str">
        <x:v>攻击加成</x:v>
      </x:c>
      <x:c r="I91" s="25" t="n">
        <x:v>30</x:v>
      </x:c>
      <x:c r="J91" s="25" t="n">
        <x:v>18</x:v>
      </x:c>
      <x:c r="K91" s="25" t="str">
        <x:v>仅装备原始基础值决定主属性范围</x:v>
      </x:c>
    </x:row>
    <x:row r="92">
      <x:c r="A92" s="25" t="str">
        <x:v>C02-X</x:v>
      </x:c>
      <x:c r="B92" s="25" t="str">
        <x:v>宁姆格福</x:v>
      </x:c>
      <x:c r="C92" s="25" t="str">
        <x:v>极端压力</x:v>
      </x:c>
      <x:c r="D92" s="25" t="n">
        <x:v>5</x:v>
      </x:c>
      <x:c r="E92" s="25" t="n">
        <x:v>78</x:v>
      </x:c>
      <x:c r="F92" s="25" t="str">
        <x:v>百指腕甲</x:v>
      </x:c>
      <x:c r="G92" s="25" t="n">
        <x:v>4</x:v>
      </x:c>
      <x:c r="H92" s="25" t="str">
        <x:v>伤害系数</x:v>
      </x:c>
      <x:c r="I92" s="25" t="n">
        <x:v>1</x:v>
      </x:c>
      <x:c r="J92" s="25" t="n">
        <x:v>25</x:v>
      </x:c>
      <x:c r="K92" s="25" t="str">
        <x:v>仅装备原始基础值决定主属性范围</x:v>
      </x:c>
    </x:row>
    <x:row r="93">
      <x:c r="A93" s="25" t="str">
        <x:v>C02-X</x:v>
      </x:c>
      <x:c r="B93" s="25" t="str">
        <x:v>宁姆格福</x:v>
      </x:c>
      <x:c r="C93" s="25" t="str">
        <x:v>极端压力</x:v>
      </x:c>
      <x:c r="D93" s="25" t="n">
        <x:v>6</x:v>
      </x:c>
      <x:c r="E93" s="25" t="n">
        <x:v>68</x:v>
      </x:c>
      <x:c r="F93" s="25" t="str">
        <x:v>百指接肢腕</x:v>
      </x:c>
      <x:c r="G93" s="25" t="n">
        <x:v>1</x:v>
      </x:c>
      <x:c r="H93" s="25" t="str">
        <x:v>处决伤害</x:v>
      </x:c>
      <x:c r="I93" s="25" t="n">
        <x:v>1</x:v>
      </x:c>
      <x:c r="J93" s="25" t="n">
        <x:v>10</x:v>
      </x:c>
      <x:c r="K93" s="25" t="str">
        <x:v>仅装备原始基础值决定主属性范围</x:v>
      </x:c>
    </x:row>
    <x:row r="94">
      <x:c r="A94" s="25" t="str">
        <x:v>C02-X</x:v>
      </x:c>
      <x:c r="B94" s="25" t="str">
        <x:v>宁姆格福</x:v>
      </x:c>
      <x:c r="C94" s="25" t="str">
        <x:v>极端压力</x:v>
      </x:c>
      <x:c r="D94" s="25" t="n">
        <x:v>6</x:v>
      </x:c>
      <x:c r="E94" s="25" t="n">
        <x:v>68</x:v>
      </x:c>
      <x:c r="F94" s="25" t="str">
        <x:v>百指接肢腕</x:v>
      </x:c>
      <x:c r="G94" s="25" t="n">
        <x:v>2</x:v>
      </x:c>
      <x:c r="H94" s="25" t="str">
        <x:v>攻击加成</x:v>
      </x:c>
      <x:c r="I94" s="25" t="n">
        <x:v>28</x:v>
      </x:c>
      <x:c r="J94" s="25" t="n">
        <x:v>18</x:v>
      </x:c>
      <x:c r="K94" s="25" t="str">
        <x:v>仅装备原始基础值决定主属性范围</x:v>
      </x:c>
    </x:row>
    <x:row r="95">
      <x:c r="A95" s="25" t="str">
        <x:v>C02-X</x:v>
      </x:c>
      <x:c r="B95" s="25" t="str">
        <x:v>宁姆格福</x:v>
      </x:c>
      <x:c r="C95" s="25" t="str">
        <x:v>极端压力</x:v>
      </x:c>
      <x:c r="D95" s="25" t="n">
        <x:v>6</x:v>
      </x:c>
      <x:c r="E95" s="25" t="n">
        <x:v>68</x:v>
      </x:c>
      <x:c r="F95" s="25" t="str">
        <x:v>百指接肢腕</x:v>
      </x:c>
      <x:c r="G95" s="25" t="n">
        <x:v>3</x:v>
      </x:c>
      <x:c r="H95" s="25" t="str">
        <x:v>攻击加成</x:v>
      </x:c>
      <x:c r="I95" s="25" t="n">
        <x:v>45</x:v>
      </x:c>
      <x:c r="J95" s="25" t="n">
        <x:v>19</x:v>
      </x:c>
      <x:c r="K95" s="25" t="str">
        <x:v>仅装备原始基础值决定主属性范围</x:v>
      </x:c>
    </x:row>
    <x:row r="96">
      <x:c r="A96" s="25" t="str">
        <x:v>C02-X</x:v>
      </x:c>
      <x:c r="B96" s="25" t="str">
        <x:v>宁姆格福</x:v>
      </x:c>
      <x:c r="C96" s="25" t="str">
        <x:v>极端压力</x:v>
      </x:c>
      <x:c r="D96" s="25" t="n">
        <x:v>6</x:v>
      </x:c>
      <x:c r="E96" s="25" t="n">
        <x:v>68</x:v>
      </x:c>
      <x:c r="F96" s="25" t="str">
        <x:v>百指接肢腕</x:v>
      </x:c>
      <x:c r="G96" s="25" t="n">
        <x:v>4</x:v>
      </x:c>
      <x:c r="H96" s="25" t="str">
        <x:v>处决伤害</x:v>
      </x:c>
      <x:c r="I96" s="25" t="n">
        <x:v>2</x:v>
      </x:c>
      <x:c r="J96" s="25" t="n">
        <x:v>11</x:v>
      </x:c>
      <x:c r="K96" s="25" t="str">
        <x:v>仅装备原始基础值决定主属性范围</x:v>
      </x:c>
    </x:row>
    <x:row r="97">
      <x:c r="A97" s="25" t="str">
        <x:v>C02-X</x:v>
      </x:c>
      <x:c r="B97" s="25" t="str">
        <x:v>宁姆格福</x:v>
      </x:c>
      <x:c r="C97" s="25" t="str">
        <x:v>极端压力</x:v>
      </x:c>
      <x:c r="D97" s="25" t="n">
        <x:v>6</x:v>
      </x:c>
      <x:c r="E97" s="25" t="n">
        <x:v>68</x:v>
      </x:c>
      <x:c r="F97" s="25" t="str">
        <x:v>百指接肢腕</x:v>
      </x:c>
      <x:c r="G97" s="25" t="n">
        <x:v>5</x:v>
      </x:c>
      <x:c r="H97" s="25" t="str">
        <x:v>暴击</x:v>
      </x:c>
      <x:c r="I97" s="25" t="n">
        <x:v>1</x:v>
      </x:c>
      <x:c r="J97" s="25" t="n">
        <x:v>14</x:v>
      </x:c>
      <x:c r="K97" s="25" t="str">
        <x:v>仅装备原始基础值决定主属性范围</x:v>
      </x:c>
    </x:row>
    <x:row r="98">
      <x:c r="A98" s="25" t="str">
        <x:v>C02-X</x:v>
      </x:c>
      <x:c r="B98" s="25" t="str">
        <x:v>宁姆格福</x:v>
      </x:c>
      <x:c r="C98" s="25" t="str">
        <x:v>极端压力</x:v>
      </x:c>
      <x:c r="D98" s="25" t="n">
        <x:v>7</x:v>
      </x:c>
      <x:c r="E98" s="25" t="n">
        <x:v>80</x:v>
      </x:c>
      <x:c r="F98" s="25" t="str">
        <x:v>禁卫誓戒</x:v>
      </x:c>
      <x:c r="G98" s="25" t="n">
        <x:v>1</x:v>
      </x:c>
      <x:c r="H98" s="25" t="str">
        <x:v>处决概率</x:v>
      </x:c>
      <x:c r="I98" s="25" t="n">
        <x:v>2</x:v>
      </x:c>
      <x:c r="J98" s="25" t="n">
        <x:v>7</x:v>
      </x:c>
      <x:c r="K98" s="25" t="str">
        <x:v>仅装备原始基础值决定主属性范围</x:v>
      </x:c>
    </x:row>
    <x:row r="99">
      <x:c r="A99" s="25" t="str">
        <x:v>C02-X</x:v>
      </x:c>
      <x:c r="B99" s="25" t="str">
        <x:v>宁姆格福</x:v>
      </x:c>
      <x:c r="C99" s="25" t="str">
        <x:v>极端压力</x:v>
      </x:c>
      <x:c r="D99" s="25" t="n">
        <x:v>7</x:v>
      </x:c>
      <x:c r="E99" s="25" t="n">
        <x:v>80</x:v>
      </x:c>
      <x:c r="F99" s="25" t="str">
        <x:v>禁卫誓戒</x:v>
      </x:c>
      <x:c r="G99" s="25" t="n">
        <x:v>2</x:v>
      </x:c>
      <x:c r="H99" s="25" t="str">
        <x:v>攻击加成</x:v>
      </x:c>
      <x:c r="I99" s="25" t="n">
        <x:v>17</x:v>
      </x:c>
      <x:c r="J99" s="25" t="n">
        <x:v>18</x:v>
      </x:c>
      <x:c r="K99" s="25" t="str">
        <x:v>仅装备原始基础值决定主属性范围</x:v>
      </x:c>
    </x:row>
    <x:row r="100">
      <x:c r="A100" s="25" t="str">
        <x:v>C02-X</x:v>
      </x:c>
      <x:c r="B100" s="25" t="str">
        <x:v>宁姆格福</x:v>
      </x:c>
      <x:c r="C100" s="25" t="str">
        <x:v>极端压力</x:v>
      </x:c>
      <x:c r="D100" s="25" t="n">
        <x:v>7</x:v>
      </x:c>
      <x:c r="E100" s="25" t="n">
        <x:v>80</x:v>
      </x:c>
      <x:c r="F100" s="25" t="str">
        <x:v>禁卫誓戒</x:v>
      </x:c>
      <x:c r="G100" s="25" t="n">
        <x:v>3</x:v>
      </x:c>
      <x:c r="H100" s="25" t="str">
        <x:v>攻击加成</x:v>
      </x:c>
      <x:c r="I100" s="25" t="n">
        <x:v>26</x:v>
      </x:c>
      <x:c r="J100" s="25" t="n">
        <x:v>18</x:v>
      </x:c>
      <x:c r="K100" s="25" t="str">
        <x:v>仅装备原始基础值决定主属性范围</x:v>
      </x:c>
    </x:row>
    <x:row r="101">
      <x:c r="A101" s="25" t="str">
        <x:v>C02-X</x:v>
      </x:c>
      <x:c r="B101" s="25" t="str">
        <x:v>宁姆格福</x:v>
      </x:c>
      <x:c r="C101" s="25" t="str">
        <x:v>极端压力</x:v>
      </x:c>
      <x:c r="D101" s="25" t="n">
        <x:v>7</x:v>
      </x:c>
      <x:c r="E101" s="25" t="n">
        <x:v>80</x:v>
      </x:c>
      <x:c r="F101" s="25" t="str">
        <x:v>禁卫誓戒</x:v>
      </x:c>
      <x:c r="G101" s="25" t="n">
        <x:v>4</x:v>
      </x:c>
      <x:c r="H101" s="25" t="str">
        <x:v>魔法</x:v>
      </x:c>
      <x:c r="I101" s="25" t="n">
        <x:v>2</x:v>
      </x:c>
      <x:c r="J101" s="25" t="n">
        <x:v>2</x:v>
      </x:c>
      <x:c r="K101" s="25" t="str">
        <x:v>仅装备原始基础值决定主属性范围</x:v>
      </x:c>
    </x:row>
    <x:row r="102">
      <x:c r="A102" s="25" t="str">
        <x:v>C02-X</x:v>
      </x:c>
      <x:c r="B102" s="25" t="str">
        <x:v>宁姆格福</x:v>
      </x:c>
      <x:c r="C102" s="25" t="str">
        <x:v>极端压力</x:v>
      </x:c>
      <x:c r="D102" s="25" t="n">
        <x:v>7</x:v>
      </x:c>
      <x:c r="E102" s="25" t="n">
        <x:v>80</x:v>
      </x:c>
      <x:c r="F102" s="25" t="str">
        <x:v>禁卫誓戒</x:v>
      </x:c>
      <x:c r="G102" s="25" t="n">
        <x:v>5</x:v>
      </x:c>
      <x:c r="H102" s="25" t="str">
        <x:v>攻击</x:v>
      </x:c>
      <x:c r="I102" s="25" t="n">
        <x:v>57</x:v>
      </x:c>
      <x:c r="J102" s="25" t="n">
        <x:v>1</x:v>
      </x:c>
      <x:c r="K102" s="25" t="str">
        <x:v>仅装备原始基础值决定主属性范围</x:v>
      </x:c>
    </x:row>
    <x:row r="103">
      <x:c r="A103" s="25" t="str">
        <x:v>C02-X</x:v>
      </x:c>
      <x:c r="B103" s="25" t="str">
        <x:v>宁姆格福</x:v>
      </x:c>
      <x:c r="C103" s="25" t="str">
        <x:v>极端压力</x:v>
      </x:c>
      <x:c r="D103" s="25" t="n">
        <x:v>8</x:v>
      </x:c>
      <x:c r="E103" s="25" t="n">
        <x:v>79</x:v>
      </x:c>
      <x:c r="F103" s="25" t="str">
        <x:v>禁卫誓戒</x:v>
      </x:c>
      <x:c r="G103" s="25" t="n">
        <x:v>1</x:v>
      </x:c>
      <x:c r="H103" s="25" t="str">
        <x:v>处决伤害</x:v>
      </x:c>
      <x:c r="I103" s="25" t="n">
        <x:v>1</x:v>
      </x:c>
      <x:c r="J103" s="25" t="n">
        <x:v>10</x:v>
      </x:c>
      <x:c r="K103" s="25" t="str">
        <x:v>仅装备原始基础值决定主属性范围</x:v>
      </x:c>
    </x:row>
    <x:row r="104">
      <x:c r="A104" s="25" t="str">
        <x:v>C02-X</x:v>
      </x:c>
      <x:c r="B104" s="25" t="str">
        <x:v>宁姆格福</x:v>
      </x:c>
      <x:c r="C104" s="25" t="str">
        <x:v>极端压力</x:v>
      </x:c>
      <x:c r="D104" s="25" t="n">
        <x:v>8</x:v>
      </x:c>
      <x:c r="E104" s="25" t="n">
        <x:v>79</x:v>
      </x:c>
      <x:c r="F104" s="25" t="str">
        <x:v>禁卫誓戒</x:v>
      </x:c>
      <x:c r="G104" s="25" t="n">
        <x:v>2</x:v>
      </x:c>
      <x:c r="H104" s="25" t="str">
        <x:v>处决伤害</x:v>
      </x:c>
      <x:c r="I104" s="25" t="n">
        <x:v>2</x:v>
      </x:c>
      <x:c r="J104" s="25" t="n">
        <x:v>11</x:v>
      </x:c>
      <x:c r="K104" s="25" t="str">
        <x:v>仅装备原始基础值决定主属性范围</x:v>
      </x:c>
    </x:row>
    <x:row r="105">
      <x:c r="A105" s="25" t="str">
        <x:v>C02-X</x:v>
      </x:c>
      <x:c r="B105" s="25" t="str">
        <x:v>宁姆格福</x:v>
      </x:c>
      <x:c r="C105" s="25" t="str">
        <x:v>极端压力</x:v>
      </x:c>
      <x:c r="D105" s="25" t="n">
        <x:v>8</x:v>
      </x:c>
      <x:c r="E105" s="25" t="n">
        <x:v>79</x:v>
      </x:c>
      <x:c r="F105" s="25" t="str">
        <x:v>禁卫誓戒</x:v>
      </x:c>
      <x:c r="G105" s="25" t="n">
        <x:v>3</x:v>
      </x:c>
      <x:c r="H105" s="25" t="str">
        <x:v>攻击加成</x:v>
      </x:c>
      <x:c r="I105" s="25" t="n">
        <x:v>3</x:v>
      </x:c>
      <x:c r="J105" s="25" t="n">
        <x:v>18</x:v>
      </x:c>
      <x:c r="K105" s="25" t="str">
        <x:v>仅装备原始基础值决定主属性范围</x:v>
      </x:c>
    </x:row>
    <x:row r="106">
      <x:c r="A106" s="25" t="str">
        <x:v>C02-X</x:v>
      </x:c>
      <x:c r="B106" s="25" t="str">
        <x:v>宁姆格福</x:v>
      </x:c>
      <x:c r="C106" s="25" t="str">
        <x:v>极端压力</x:v>
      </x:c>
      <x:c r="D106" s="25" t="n">
        <x:v>8</x:v>
      </x:c>
      <x:c r="E106" s="25" t="n">
        <x:v>79</x:v>
      </x:c>
      <x:c r="F106" s="25" t="str">
        <x:v>禁卫誓戒</x:v>
      </x:c>
      <x:c r="G106" s="25" t="n">
        <x:v>4</x:v>
      </x:c>
      <x:c r="H106" s="25" t="str">
        <x:v>攻击</x:v>
      </x:c>
      <x:c r="I106" s="25" t="n">
        <x:v>57</x:v>
      </x:c>
      <x:c r="J106" s="25" t="n">
        <x:v>1</x:v>
      </x:c>
      <x:c r="K106" s="25" t="str">
        <x:v>仅装备原始基础值决定主属性范围</x:v>
      </x:c>
    </x:row>
    <x:row r="107">
      <x:c r="A107" s="25" t="str">
        <x:v>C02-X</x:v>
      </x:c>
      <x:c r="B107" s="25" t="str">
        <x:v>宁姆格福</x:v>
      </x:c>
      <x:c r="C107" s="25" t="str">
        <x:v>极端压力</x:v>
      </x:c>
      <x:c r="D107" s="25" t="n">
        <x:v>8</x:v>
      </x:c>
      <x:c r="E107" s="25" t="n">
        <x:v>79</x:v>
      </x:c>
      <x:c r="F107" s="25" t="str">
        <x:v>禁卫誓戒</x:v>
      </x:c>
      <x:c r="G107" s="25" t="n">
        <x:v>5</x:v>
      </x:c>
      <x:c r="H107" s="25" t="str">
        <x:v>攻击加成</x:v>
      </x:c>
      <x:c r="I107" s="25" t="n">
        <x:v>21</x:v>
      </x:c>
      <x:c r="J107" s="25" t="n">
        <x:v>18</x:v>
      </x:c>
      <x:c r="K107" s="25" t="str">
        <x:v>仅装备原始基础值决定主属性范围</x:v>
      </x:c>
    </x:row>
    <x:row r="108">
      <x:c r="A108" s="25" t="str">
        <x:v>C02-X</x:v>
      </x:c>
      <x:c r="B108" s="25" t="str">
        <x:v>宁姆格福</x:v>
      </x:c>
      <x:c r="C108" s="25" t="str">
        <x:v>极端压力</x:v>
      </x:c>
      <x:c r="D108" s="25" t="n">
        <x:v>8</x:v>
      </x:c>
      <x:c r="E108" s="25" t="n">
        <x:v>79</x:v>
      </x:c>
      <x:c r="F108" s="25" t="str">
        <x:v>禁卫誓戒</x:v>
      </x:c>
      <x:c r="G108" s="25" t="n">
        <x:v>6</x:v>
      </x:c>
      <x:c r="H108" s="25" t="str">
        <x:v>攻击</x:v>
      </x:c>
      <x:c r="I108" s="25" t="n">
        <x:v>31</x:v>
      </x:c>
      <x:c r="J108" s="25" t="n">
        <x:v>1</x:v>
      </x:c>
      <x:c r="K108" s="25" t="str">
        <x:v>仅装备原始基础值决定主属性范围</x:v>
      </x:c>
    </x:row>
    <x:row r="109">
      <x:c r="A109" s="25" t="str">
        <x:v>C02-X</x:v>
      </x:c>
      <x:c r="B109" s="25" t="str">
        <x:v>宁姆格福</x:v>
      </x:c>
      <x:c r="C109" s="25" t="str">
        <x:v>极端压力</x:v>
      </x:c>
      <x:c r="D109" s="25" t="n">
        <x:v>8</x:v>
      </x:c>
      <x:c r="E109" s="25" t="n">
        <x:v>79</x:v>
      </x:c>
      <x:c r="F109" s="25" t="str">
        <x:v>禁卫誓戒</x:v>
      </x:c>
      <x:c r="G109" s="25" t="n">
        <x:v>7</x:v>
      </x:c>
      <x:c r="H109" s="25" t="str">
        <x:v>处决伤害</x:v>
      </x:c>
      <x:c r="I109" s="25" t="n">
        <x:v>2</x:v>
      </x:c>
      <x:c r="J109" s="25" t="n">
        <x:v>11</x:v>
      </x:c>
      <x:c r="K109" s="25" t="str">
        <x:v>仅装备原始基础值决定主属性范围</x:v>
      </x:c>
    </x:row>
    <x:row r="110">
      <x:c r="A110" s="25" t="str">
        <x:v>C02-X</x:v>
      </x:c>
      <x:c r="B110" s="25" t="str">
        <x:v>宁姆格福</x:v>
      </x:c>
      <x:c r="C110" s="25" t="str">
        <x:v>极端压力</x:v>
      </x:c>
      <x:c r="D110" s="25" t="n">
        <x:v>10</x:v>
      </x:c>
      <x:c r="E110" s="25" t="n">
        <x:v>104</x:v>
      </x:c>
      <x:c r="F110" s="25" t="str">
        <x:v>流寇束带</x:v>
      </x:c>
      <x:c r="G110" s="25" t="n">
        <x:v>1</x:v>
      </x:c>
      <x:c r="H110" s="25" t="str">
        <x:v>最大爆率</x:v>
      </x:c>
      <x:c r="I110" s="25" t="n">
        <x:v>1</x:v>
      </x:c>
      <x:c r="J110" s="25" t="n">
        <x:v>22</x:v>
      </x:c>
      <x:c r="K110" s="25" t="str">
        <x:v>仅装备原始基础值决定主属性范围</x:v>
      </x:c>
    </x:row>
    <x:row r="111">
      <x:c r="A111" s="25" t="str">
        <x:v>C02-X</x:v>
      </x:c>
      <x:c r="B111" s="25" t="str">
        <x:v>宁姆格福</x:v>
      </x:c>
      <x:c r="C111" s="25" t="str">
        <x:v>极端压力</x:v>
      </x:c>
      <x:c r="D111" s="25" t="n">
        <x:v>10</x:v>
      </x:c>
      <x:c r="E111" s="25" t="n">
        <x:v>104</x:v>
      </x:c>
      <x:c r="F111" s="25" t="str">
        <x:v>流寇束带</x:v>
      </x:c>
      <x:c r="G111" s="25" t="n">
        <x:v>2</x:v>
      </x:c>
      <x:c r="H111" s="25" t="str">
        <x:v>魔法</x:v>
      </x:c>
      <x:c r="I111" s="25" t="n">
        <x:v>11</x:v>
      </x:c>
      <x:c r="J111" s="25" t="n">
        <x:v>2</x:v>
      </x:c>
      <x:c r="K111" s="25" t="str">
        <x:v>仅装备原始基础值决定主属性范围</x:v>
      </x:c>
    </x:row>
    <x:row r="112">
      <x:c r="A112" s="25" t="str">
        <x:v>C02-X</x:v>
      </x:c>
      <x:c r="B112" s="25" t="str">
        <x:v>宁姆格福</x:v>
      </x:c>
      <x:c r="C112" s="25" t="str">
        <x:v>极端压力</x:v>
      </x:c>
      <x:c r="D112" s="25" t="n">
        <x:v>10</x:v>
      </x:c>
      <x:c r="E112" s="25" t="n">
        <x:v>104</x:v>
      </x:c>
      <x:c r="F112" s="25" t="str">
        <x:v>流寇束带</x:v>
      </x:c>
      <x:c r="G112" s="25" t="n">
        <x:v>3</x:v>
      </x:c>
      <x:c r="H112" s="25" t="str">
        <x:v>处决概率</x:v>
      </x:c>
      <x:c r="I112" s="25" t="n">
        <x:v>1</x:v>
      </x:c>
      <x:c r="J112" s="25" t="n">
        <x:v>6</x:v>
      </x:c>
      <x:c r="K112" s="25" t="str">
        <x:v>仅装备原始基础值决定主属性范围</x:v>
      </x:c>
    </x:row>
    <x:row r="113">
      <x:c r="A113" s="25" t="str">
        <x:v>C02-X</x:v>
      </x:c>
      <x:c r="B113" s="25" t="str">
        <x:v>宁姆格福</x:v>
      </x:c>
      <x:c r="C113" s="25" t="str">
        <x:v>极端压力</x:v>
      </x:c>
      <x:c r="D113" s="25" t="n">
        <x:v>10</x:v>
      </x:c>
      <x:c r="E113" s="25" t="n">
        <x:v>104</x:v>
      </x:c>
      <x:c r="F113" s="25" t="str">
        <x:v>流寇束带</x:v>
      </x:c>
      <x:c r="G113" s="25" t="n">
        <x:v>4</x:v>
      </x:c>
      <x:c r="H113" s="25" t="str">
        <x:v>最大爆率</x:v>
      </x:c>
      <x:c r="I113" s="25" t="n">
        <x:v>2</x:v>
      </x:c>
      <x:c r="J113" s="25" t="n">
        <x:v>23</x:v>
      </x:c>
      <x:c r="K113" s="25" t="str">
        <x:v>仅装备原始基础值决定主属性范围</x:v>
      </x:c>
    </x:row>
    <x:row r="114">
      <x:c r="A114" s="25" t="str">
        <x:v>C02-X</x:v>
      </x:c>
      <x:c r="B114" s="25" t="str">
        <x:v>宁姆格福</x:v>
      </x:c>
      <x:c r="C114" s="25" t="str">
        <x:v>极端压力</x:v>
      </x:c>
      <x:c r="D114" s="25" t="n">
        <x:v>10</x:v>
      </x:c>
      <x:c r="E114" s="25" t="n">
        <x:v>104</x:v>
      </x:c>
      <x:c r="F114" s="25" t="str">
        <x:v>流寇束带</x:v>
      </x:c>
      <x:c r="G114" s="25" t="n">
        <x:v>5</x:v>
      </x:c>
      <x:c r="H114" s="25" t="str">
        <x:v>处决概率</x:v>
      </x:c>
      <x:c r="I114" s="25" t="n">
        <x:v>1</x:v>
      </x:c>
      <x:c r="J114" s="25" t="n">
        <x:v>6</x:v>
      </x:c>
      <x:c r="K114" s="25" t="str">
        <x:v>仅装备原始基础值决定主属性范围</x:v>
      </x:c>
    </x:row>
    <x:row r="115">
      <x:c r="A115" s="25" t="str">
        <x:v>C02-X</x:v>
      </x:c>
      <x:c r="B115" s="25" t="str">
        <x:v>宁姆格福</x:v>
      </x:c>
      <x:c r="C115" s="25" t="str">
        <x:v>极端压力</x:v>
      </x:c>
      <x:c r="D115" s="25" t="n">
        <x:v>10</x:v>
      </x:c>
      <x:c r="E115" s="25" t="n">
        <x:v>104</x:v>
      </x:c>
      <x:c r="F115" s="25" t="str">
        <x:v>流寇束带</x:v>
      </x:c>
      <x:c r="G115" s="25" t="n">
        <x:v>6</x:v>
      </x:c>
      <x:c r="H115" s="25" t="str">
        <x:v>伤害系数</x:v>
      </x:c>
      <x:c r="I115" s="25" t="n">
        <x:v>1</x:v>
      </x:c>
      <x:c r="J115" s="25" t="n">
        <x:v>25</x:v>
      </x:c>
      <x:c r="K115" s="25" t="str">
        <x:v>仅装备原始基础值决定主属性范围</x:v>
      </x:c>
    </x:row>
    <x:row r="116">
      <x:c r="A116" s="25" t="str">
        <x:v>C02-X</x:v>
      </x:c>
      <x:c r="B116" s="25" t="str">
        <x:v>宁姆格福</x:v>
      </x:c>
      <x:c r="C116" s="25" t="str">
        <x:v>极端压力</x:v>
      </x:c>
      <x:c r="D116" s="25" t="n">
        <x:v>10</x:v>
      </x:c>
      <x:c r="E116" s="25" t="n">
        <x:v>104</x:v>
      </x:c>
      <x:c r="F116" s="25" t="str">
        <x:v>流寇束带</x:v>
      </x:c>
      <x:c r="G116" s="25" t="n">
        <x:v>7</x:v>
      </x:c>
      <x:c r="H116" s="25" t="str">
        <x:v>攻击速度</x:v>
      </x:c>
      <x:c r="I116" s="25" t="n">
        <x:v>2</x:v>
      </x:c>
      <x:c r="J116" s="25" t="n">
        <x:v>5</x:v>
      </x:c>
      <x:c r="K116" s="25" t="str">
        <x:v>仅装备原始基础值决定主属性范围</x:v>
      </x:c>
    </x:row>
    <x:row r="117">
      <x:c r="A117" s="25" t="str">
        <x:v>C02-X</x:v>
      </x:c>
      <x:c r="B117" s="25" t="str">
        <x:v>宁姆格福</x:v>
      </x:c>
      <x:c r="C117" s="25" t="str">
        <x:v>极端压力</x:v>
      </x:c>
      <x:c r="D117" s="25" t="n">
        <x:v>10</x:v>
      </x:c>
      <x:c r="E117" s="25" t="n">
        <x:v>104</x:v>
      </x:c>
      <x:c r="F117" s="25" t="str">
        <x:v>流寇束带</x:v>
      </x:c>
      <x:c r="G117" s="25" t="n">
        <x:v>8</x:v>
      </x:c>
      <x:c r="H117" s="25" t="str">
        <x:v>最大爆率</x:v>
      </x:c>
      <x:c r="I117" s="25" t="n">
        <x:v>1</x:v>
      </x:c>
      <x:c r="J117" s="25" t="n">
        <x:v>22</x:v>
      </x:c>
      <x:c r="K117" s="25" t="str">
        <x:v>仅装备原始基础值决定主属性范围</x:v>
      </x:c>
    </x:row>
    <x:row r="118">
      <x:c r="A118" s="25" t="str">
        <x:v>C02-X</x:v>
      </x:c>
      <x:c r="B118" s="25" t="str">
        <x:v>宁姆格福</x:v>
      </x:c>
      <x:c r="C118" s="25" t="str">
        <x:v>极端压力</x:v>
      </x:c>
      <x:c r="D118" s="25" t="n">
        <x:v>11</x:v>
      </x:c>
      <x:c r="E118" s="25" t="n">
        <x:v>105</x:v>
      </x:c>
      <x:c r="F118" s="25" t="str">
        <x:v>失乡战靴</x:v>
      </x:c>
      <x:c r="G118" s="25" t="n">
        <x:v>1</x:v>
      </x:c>
      <x:c r="H118" s="25" t="str">
        <x:v>魔法</x:v>
      </x:c>
      <x:c r="I118" s="25" t="n">
        <x:v>24</x:v>
      </x:c>
      <x:c r="J118" s="25" t="n">
        <x:v>2</x:v>
      </x:c>
      <x:c r="K118" s="25" t="str">
        <x:v>仅装备原始基础值决定主属性范围</x:v>
      </x:c>
    </x:row>
    <x:row r="119">
      <x:c r="A119" s="25" t="str">
        <x:v>C02-X</x:v>
      </x:c>
      <x:c r="B119" s="25" t="str">
        <x:v>宁姆格福</x:v>
      </x:c>
      <x:c r="C119" s="25" t="str">
        <x:v>极端压力</x:v>
      </x:c>
      <x:c r="D119" s="25" t="n">
        <x:v>11</x:v>
      </x:c>
      <x:c r="E119" s="25" t="n">
        <x:v>105</x:v>
      </x:c>
      <x:c r="F119" s="25" t="str">
        <x:v>失乡战靴</x:v>
      </x:c>
      <x:c r="G119" s="25" t="n">
        <x:v>2</x:v>
      </x:c>
      <x:c r="H119" s="25" t="str">
        <x:v>攻击加成</x:v>
      </x:c>
      <x:c r="I119" s="25" t="n">
        <x:v>22</x:v>
      </x:c>
      <x:c r="J119" s="25" t="n">
        <x:v>18</x:v>
      </x:c>
      <x:c r="K119" s="25" t="str">
        <x:v>仅装备原始基础值决定主属性范围</x:v>
      </x:c>
    </x:row>
    <x:row r="120">
      <x:c r="A120" s="25" t="str">
        <x:v>C02-X</x:v>
      </x:c>
      <x:c r="B120" s="25" t="str">
        <x:v>宁姆格福</x:v>
      </x:c>
      <x:c r="C120" s="25" t="str">
        <x:v>极端压力</x:v>
      </x:c>
      <x:c r="D120" s="25" t="n">
        <x:v>11</x:v>
      </x:c>
      <x:c r="E120" s="25" t="n">
        <x:v>105</x:v>
      </x:c>
      <x:c r="F120" s="25" t="str">
        <x:v>失乡战靴</x:v>
      </x:c>
      <x:c r="G120" s="25" t="n">
        <x:v>3</x:v>
      </x:c>
      <x:c r="H120" s="25" t="str">
        <x:v>攻击</x:v>
      </x:c>
      <x:c r="I120" s="25" t="n">
        <x:v>25</x:v>
      </x:c>
      <x:c r="J120" s="25" t="n">
        <x:v>1</x:v>
      </x:c>
      <x:c r="K120" s="25" t="str">
        <x:v>仅装备原始基础值决定主属性范围</x:v>
      </x:c>
    </x:row>
    <x:row r="121">
      <x:c r="A121" s="25" t="str">
        <x:v>C02-X</x:v>
      </x:c>
      <x:c r="B121" s="25" t="str">
        <x:v>宁姆格福</x:v>
      </x:c>
      <x:c r="C121" s="25" t="str">
        <x:v>极端压力</x:v>
      </x:c>
      <x:c r="D121" s="25" t="n">
        <x:v>11</x:v>
      </x:c>
      <x:c r="E121" s="25" t="n">
        <x:v>105</x:v>
      </x:c>
      <x:c r="F121" s="25" t="str">
        <x:v>失乡战靴</x:v>
      </x:c>
      <x:c r="G121" s="25" t="n">
        <x:v>4</x:v>
      </x:c>
      <x:c r="H121" s="25" t="str">
        <x:v>吸血</x:v>
      </x:c>
      <x:c r="I121" s="25" t="n">
        <x:v>1</x:v>
      </x:c>
      <x:c r="J121" s="25" t="n">
        <x:v>20</x:v>
      </x:c>
      <x:c r="K121" s="25" t="str">
        <x:v>仅装备原始基础值决定主属性范围</x:v>
      </x:c>
    </x:row>
    <x:row r="122">
      <x:c r="A122" s="25" t="str">
        <x:v>C03-E</x:v>
      </x:c>
      <x:c r="B122" s="25" t="str">
        <x:v>宁姆格福西域</x:v>
      </x:c>
      <x:c r="C122" s="25" t="str">
        <x:v>半急速入场</x:v>
      </x:c>
      <x:c r="D122" s="25" t="n">
        <x:v>0</x:v>
      </x:c>
      <x:c r="E122" s="25" t="n">
        <x:v>58</x:v>
      </x:c>
      <x:c r="F122" s="25" t="str">
        <x:v>祖灵皮衣</x:v>
      </x:c>
      <x:c r="G122" s="25" t="n">
        <x:v>1</x:v>
      </x:c>
      <x:c r="H122" s="25" t="str">
        <x:v>攻击</x:v>
      </x:c>
      <x:c r="I122" s="25" t="n">
        <x:v>16</x:v>
      </x:c>
      <x:c r="J122" s="25" t="n">
        <x:v>1</x:v>
      </x:c>
      <x:c r="K122" s="25" t="str">
        <x:v>仅装备原始基础值决定主属性范围</x:v>
      </x:c>
    </x:row>
    <x:row r="123">
      <x:c r="A123" s="25" t="str">
        <x:v>C03-E</x:v>
      </x:c>
      <x:c r="B123" s="25" t="str">
        <x:v>宁姆格福西域</x:v>
      </x:c>
      <x:c r="C123" s="25" t="str">
        <x:v>半急速入场</x:v>
      </x:c>
      <x:c r="D123" s="25" t="n">
        <x:v>0</x:v>
      </x:c>
      <x:c r="E123" s="25" t="n">
        <x:v>58</x:v>
      </x:c>
      <x:c r="F123" s="25" t="str">
        <x:v>祖灵皮衣</x:v>
      </x:c>
      <x:c r="G123" s="25" t="n">
        <x:v>2</x:v>
      </x:c>
      <x:c r="H123" s="25" t="str">
        <x:v>攻击加成</x:v>
      </x:c>
      <x:c r="I123" s="25" t="n">
        <x:v>29</x:v>
      </x:c>
      <x:c r="J123" s="25" t="n">
        <x:v>18</x:v>
      </x:c>
      <x:c r="K123" s="25" t="str">
        <x:v>仅装备原始基础值决定主属性范围</x:v>
      </x:c>
    </x:row>
    <x:row r="124">
      <x:c r="A124" s="25" t="str">
        <x:v>C03-E</x:v>
      </x:c>
      <x:c r="B124" s="25" t="str">
        <x:v>宁姆格福西域</x:v>
      </x:c>
      <x:c r="C124" s="25" t="str">
        <x:v>半急速入场</x:v>
      </x:c>
      <x:c r="D124" s="25" t="n">
        <x:v>0</x:v>
      </x:c>
      <x:c r="E124" s="25" t="n">
        <x:v>58</x:v>
      </x:c>
      <x:c r="F124" s="25" t="str">
        <x:v>祖灵皮衣</x:v>
      </x:c>
      <x:c r="G124" s="25" t="n">
        <x:v>3</x:v>
      </x:c>
      <x:c r="H124" s="25" t="str">
        <x:v>韧性</x:v>
      </x:c>
      <x:c r="I124" s="25" t="n">
        <x:v>20</x:v>
      </x:c>
      <x:c r="J124" s="25" t="n">
        <x:v>13</x:v>
      </x:c>
      <x:c r="K124" s="25" t="str">
        <x:v>仅装备原始基础值决定主属性范围</x:v>
      </x:c>
    </x:row>
    <x:row r="125">
      <x:c r="A125" s="25" t="str">
        <x:v>C03-E</x:v>
      </x:c>
      <x:c r="B125" s="25" t="str">
        <x:v>宁姆格福西域</x:v>
      </x:c>
      <x:c r="C125" s="25" t="str">
        <x:v>半急速入场</x:v>
      </x:c>
      <x:c r="D125" s="25" t="n">
        <x:v>1</x:v>
      </x:c>
      <x:c r="E125" s="25" t="n">
        <x:v>57</x:v>
      </x:c>
      <x:c r="F125" s="25" t="str">
        <x:v>神授征服剑</x:v>
      </x:c>
      <x:c r="G125" s="25" t="n">
        <x:v>1</x:v>
      </x:c>
      <x:c r="H125" s="25" t="str">
        <x:v>处决概率</x:v>
      </x:c>
      <x:c r="I125" s="25" t="n">
        <x:v>1</x:v>
      </x:c>
      <x:c r="J125" s="25" t="n">
        <x:v>6</x:v>
      </x:c>
      <x:c r="K125" s="25" t="str">
        <x:v>仅装备原始基础值决定主属性范围</x:v>
      </x:c>
    </x:row>
    <x:row r="126">
      <x:c r="A126" s="25" t="str">
        <x:v>C03-E</x:v>
      </x:c>
      <x:c r="B126" s="25" t="str">
        <x:v>宁姆格福西域</x:v>
      </x:c>
      <x:c r="C126" s="25" t="str">
        <x:v>半急速入场</x:v>
      </x:c>
      <x:c r="D126" s="25" t="n">
        <x:v>1</x:v>
      </x:c>
      <x:c r="E126" s="25" t="n">
        <x:v>57</x:v>
      </x:c>
      <x:c r="F126" s="25" t="str">
        <x:v>神授征服剑</x:v>
      </x:c>
      <x:c r="G126" s="25" t="n">
        <x:v>2</x:v>
      </x:c>
      <x:c r="H126" s="25" t="str">
        <x:v>攻击加成</x:v>
      </x:c>
      <x:c r="I126" s="25" t="n">
        <x:v>32</x:v>
      </x:c>
      <x:c r="J126" s="25" t="n">
        <x:v>19</x:v>
      </x:c>
      <x:c r="K126" s="25" t="str">
        <x:v>仅装备原始基础值决定主属性范围</x:v>
      </x:c>
    </x:row>
    <x:row r="127">
      <x:c r="A127" s="25" t="str">
        <x:v>C03-E</x:v>
      </x:c>
      <x:c r="B127" s="25" t="str">
        <x:v>宁姆格福西域</x:v>
      </x:c>
      <x:c r="C127" s="25" t="str">
        <x:v>半急速入场</x:v>
      </x:c>
      <x:c r="D127" s="25" t="n">
        <x:v>1</x:v>
      </x:c>
      <x:c r="E127" s="25" t="n">
        <x:v>57</x:v>
      </x:c>
      <x:c r="F127" s="25" t="str">
        <x:v>神授征服剑</x:v>
      </x:c>
      <x:c r="G127" s="25" t="n">
        <x:v>3</x:v>
      </x:c>
      <x:c r="H127" s="25" t="str">
        <x:v>魔法</x:v>
      </x:c>
      <x:c r="I127" s="25" t="n">
        <x:v>61</x:v>
      </x:c>
      <x:c r="J127" s="25" t="n">
        <x:v>2</x:v>
      </x:c>
      <x:c r="K127" s="25" t="str">
        <x:v>仅装备原始基础值决定主属性范围</x:v>
      </x:c>
    </x:row>
    <x:row r="128">
      <x:c r="A128" s="25" t="str">
        <x:v>C03-E</x:v>
      </x:c>
      <x:c r="B128" s="25" t="str">
        <x:v>宁姆格福西域</x:v>
      </x:c>
      <x:c r="C128" s="25" t="str">
        <x:v>半急速入场</x:v>
      </x:c>
      <x:c r="D128" s="25" t="n">
        <x:v>3</x:v>
      </x:c>
      <x:c r="E128" s="25" t="n">
        <x:v>50</x:v>
      </x:c>
      <x:c r="F128" s="25" t="str">
        <x:v>卢恩骑士项链</x:v>
      </x:c>
      <x:c r="G128" s="25" t="n">
        <x:v>1</x:v>
      </x:c>
      <x:c r="H128" s="25" t="str">
        <x:v>攻击加成</x:v>
      </x:c>
      <x:c r="I128" s="25" t="n">
        <x:v>46</x:v>
      </x:c>
      <x:c r="J128" s="25" t="n">
        <x:v>19</x:v>
      </x:c>
      <x:c r="K128" s="25" t="str">
        <x:v>仅装备原始基础值决定主属性范围</x:v>
      </x:c>
    </x:row>
    <x:row r="129">
      <x:c r="A129" s="25" t="str">
        <x:v>C03-E</x:v>
      </x:c>
      <x:c r="B129" s="25" t="str">
        <x:v>宁姆格福西域</x:v>
      </x:c>
      <x:c r="C129" s="25" t="str">
        <x:v>半急速入场</x:v>
      </x:c>
      <x:c r="D129" s="25" t="n">
        <x:v>4</x:v>
      </x:c>
      <x:c r="E129" s="25" t="n">
        <x:v>49</x:v>
      </x:c>
      <x:c r="F129" s="25" t="str">
        <x:v>圣树先锋战盔</x:v>
      </x:c>
      <x:c r="G129" s="25" t="n">
        <x:v>1</x:v>
      </x:c>
      <x:c r="H129" s="25" t="str">
        <x:v>韧性</x:v>
      </x:c>
      <x:c r="I129" s="25" t="n">
        <x:v>20</x:v>
      </x:c>
      <x:c r="J129" s="25" t="n">
        <x:v>13</x:v>
      </x:c>
      <x:c r="K129" s="25" t="str">
        <x:v>仅装备原始基础值决定主属性范围</x:v>
      </x:c>
    </x:row>
    <x:row r="130">
      <x:c r="A130" s="25" t="str">
        <x:v>C03-E</x:v>
      </x:c>
      <x:c r="B130" s="25" t="str">
        <x:v>宁姆格福西域</x:v>
      </x:c>
      <x:c r="C130" s="25" t="str">
        <x:v>半急速入场</x:v>
      </x:c>
      <x:c r="D130" s="25" t="n">
        <x:v>4</x:v>
      </x:c>
      <x:c r="E130" s="25" t="n">
        <x:v>49</x:v>
      </x:c>
      <x:c r="F130" s="25" t="str">
        <x:v>圣树先锋战盔</x:v>
      </x:c>
      <x:c r="G130" s="25" t="n">
        <x:v>2</x:v>
      </x:c>
      <x:c r="H130" s="25" t="str">
        <x:v>伤害系数</x:v>
      </x:c>
      <x:c r="I130" s="25" t="n">
        <x:v>2</x:v>
      </x:c>
      <x:c r="J130" s="25" t="n">
        <x:v>26</x:v>
      </x:c>
      <x:c r="K130" s="25" t="str">
        <x:v>仅装备原始基础值决定主属性范围</x:v>
      </x:c>
    </x:row>
    <x:row r="131">
      <x:c r="A131" s="25" t="str">
        <x:v>C03-E</x:v>
      </x:c>
      <x:c r="B131" s="25" t="str">
        <x:v>宁姆格福西域</x:v>
      </x:c>
      <x:c r="C131" s="25" t="str">
        <x:v>半急速入场</x:v>
      </x:c>
      <x:c r="D131" s="25" t="n">
        <x:v>4</x:v>
      </x:c>
      <x:c r="E131" s="25" t="n">
        <x:v>49</x:v>
      </x:c>
      <x:c r="F131" s="25" t="str">
        <x:v>圣树先锋战盔</x:v>
      </x:c>
      <x:c r="G131" s="25" t="n">
        <x:v>3</x:v>
      </x:c>
      <x:c r="H131" s="25" t="str">
        <x:v>韧性</x:v>
      </x:c>
      <x:c r="I131" s="25" t="n">
        <x:v>10</x:v>
      </x:c>
      <x:c r="J131" s="25" t="n">
        <x:v>12</x:v>
      </x:c>
      <x:c r="K131" s="25" t="str">
        <x:v>仅装备原始基础值决定主属性范围</x:v>
      </x:c>
    </x:row>
    <x:row r="132">
      <x:c r="A132" s="25" t="str">
        <x:v>C03-E</x:v>
      </x:c>
      <x:c r="B132" s="25" t="str">
        <x:v>宁姆格福西域</x:v>
      </x:c>
      <x:c r="C132" s="25" t="str">
        <x:v>半急速入场</x:v>
      </x:c>
      <x:c r="D132" s="25" t="n">
        <x:v>4</x:v>
      </x:c>
      <x:c r="E132" s="25" t="n">
        <x:v>49</x:v>
      </x:c>
      <x:c r="F132" s="25" t="str">
        <x:v>圣树先锋战盔</x:v>
      </x:c>
      <x:c r="G132" s="25" t="n">
        <x:v>4</x:v>
      </x:c>
      <x:c r="H132" s="25" t="str">
        <x:v>魔法</x:v>
      </x:c>
      <x:c r="I132" s="25" t="n">
        <x:v>7</x:v>
      </x:c>
      <x:c r="J132" s="25" t="n">
        <x:v>2</x:v>
      </x:c>
      <x:c r="K132" s="25" t="str">
        <x:v>仅装备原始基础值决定主属性范围</x:v>
      </x:c>
    </x:row>
    <x:row r="133">
      <x:c r="A133" s="25" t="str">
        <x:v>C03-E</x:v>
      </x:c>
      <x:c r="B133" s="25" t="str">
        <x:v>宁姆格福西域</x:v>
      </x:c>
      <x:c r="C133" s="25" t="str">
        <x:v>半急速入场</x:v>
      </x:c>
      <x:c r="D133" s="25" t="n">
        <x:v>4</x:v>
      </x:c>
      <x:c r="E133" s="25" t="n">
        <x:v>49</x:v>
      </x:c>
      <x:c r="F133" s="25" t="str">
        <x:v>圣树先锋战盔</x:v>
      </x:c>
      <x:c r="G133" s="25" t="n">
        <x:v>5</x:v>
      </x:c>
      <x:c r="H133" s="25" t="str">
        <x:v>攻击加成</x:v>
      </x:c>
      <x:c r="I133" s="25" t="n">
        <x:v>39</x:v>
      </x:c>
      <x:c r="J133" s="25" t="n">
        <x:v>19</x:v>
      </x:c>
      <x:c r="K133" s="25" t="str">
        <x:v>仅装备原始基础值决定主属性范围</x:v>
      </x:c>
    </x:row>
    <x:row r="134">
      <x:c r="A134" s="25" t="str">
        <x:v>C03-E</x:v>
      </x:c>
      <x:c r="B134" s="25" t="str">
        <x:v>宁姆格福西域</x:v>
      </x:c>
      <x:c r="C134" s="25" t="str">
        <x:v>半急速入场</x:v>
      </x:c>
      <x:c r="D134" s="25" t="n">
        <x:v>5</x:v>
      </x:c>
      <x:c r="E134" s="25" t="n">
        <x:v>73</x:v>
      </x:c>
      <x:c r="F134" s="25" t="str">
        <x:v>古龙近卫腕甲</x:v>
      </x:c>
      <x:c r="G134" s="25" t="n">
        <x:v>1</x:v>
      </x:c>
      <x:c r="H134" s="25" t="str">
        <x:v>攻击加成</x:v>
      </x:c>
      <x:c r="I134" s="25" t="n">
        <x:v>30</x:v>
      </x:c>
      <x:c r="J134" s="25" t="n">
        <x:v>18</x:v>
      </x:c>
      <x:c r="K134" s="25" t="str">
        <x:v>仅装备原始基础值决定主属性范围</x:v>
      </x:c>
    </x:row>
    <x:row r="135">
      <x:c r="A135" s="25" t="str">
        <x:v>C03-E</x:v>
      </x:c>
      <x:c r="B135" s="25" t="str">
        <x:v>宁姆格福西域</x:v>
      </x:c>
      <x:c r="C135" s="25" t="str">
        <x:v>半急速入场</x:v>
      </x:c>
      <x:c r="D135" s="25" t="n">
        <x:v>6</x:v>
      </x:c>
      <x:c r="E135" s="25" t="n">
        <x:v>68</x:v>
      </x:c>
      <x:c r="F135" s="25" t="str">
        <x:v>百指接肢腕</x:v>
      </x:c>
      <x:c r="G135" s="25" t="n">
        <x:v>1</x:v>
      </x:c>
      <x:c r="H135" s="25" t="str">
        <x:v>处决伤害</x:v>
      </x:c>
      <x:c r="I135" s="25" t="n">
        <x:v>1</x:v>
      </x:c>
      <x:c r="J135" s="25" t="n">
        <x:v>10</x:v>
      </x:c>
      <x:c r="K135" s="25" t="str">
        <x:v>仅装备原始基础值决定主属性范围</x:v>
      </x:c>
    </x:row>
    <x:row r="136">
      <x:c r="A136" s="25" t="str">
        <x:v>C03-E</x:v>
      </x:c>
      <x:c r="B136" s="25" t="str">
        <x:v>宁姆格福西域</x:v>
      </x:c>
      <x:c r="C136" s="25" t="str">
        <x:v>半急速入场</x:v>
      </x:c>
      <x:c r="D136" s="25" t="n">
        <x:v>6</x:v>
      </x:c>
      <x:c r="E136" s="25" t="n">
        <x:v>68</x:v>
      </x:c>
      <x:c r="F136" s="25" t="str">
        <x:v>百指接肢腕</x:v>
      </x:c>
      <x:c r="G136" s="25" t="n">
        <x:v>2</x:v>
      </x:c>
      <x:c r="H136" s="25" t="str">
        <x:v>攻击加成</x:v>
      </x:c>
      <x:c r="I136" s="25" t="n">
        <x:v>28</x:v>
      </x:c>
      <x:c r="J136" s="25" t="n">
        <x:v>18</x:v>
      </x:c>
      <x:c r="K136" s="25" t="str">
        <x:v>仅装备原始基础值决定主属性范围</x:v>
      </x:c>
    </x:row>
    <x:row r="137">
      <x:c r="A137" s="25" t="str">
        <x:v>C03-E</x:v>
      </x:c>
      <x:c r="B137" s="25" t="str">
        <x:v>宁姆格福西域</x:v>
      </x:c>
      <x:c r="C137" s="25" t="str">
        <x:v>半急速入场</x:v>
      </x:c>
      <x:c r="D137" s="25" t="n">
        <x:v>6</x:v>
      </x:c>
      <x:c r="E137" s="25" t="n">
        <x:v>68</x:v>
      </x:c>
      <x:c r="F137" s="25" t="str">
        <x:v>百指接肢腕</x:v>
      </x:c>
      <x:c r="G137" s="25" t="n">
        <x:v>3</x:v>
      </x:c>
      <x:c r="H137" s="25" t="str">
        <x:v>攻击加成</x:v>
      </x:c>
      <x:c r="I137" s="25" t="n">
        <x:v>45</x:v>
      </x:c>
      <x:c r="J137" s="25" t="n">
        <x:v>19</x:v>
      </x:c>
      <x:c r="K137" s="25" t="str">
        <x:v>仅装备原始基础值决定主属性范围</x:v>
      </x:c>
    </x:row>
    <x:row r="138">
      <x:c r="A138" s="25" t="str">
        <x:v>C03-E</x:v>
      </x:c>
      <x:c r="B138" s="25" t="str">
        <x:v>宁姆格福西域</x:v>
      </x:c>
      <x:c r="C138" s="25" t="str">
        <x:v>半急速入场</x:v>
      </x:c>
      <x:c r="D138" s="25" t="n">
        <x:v>6</x:v>
      </x:c>
      <x:c r="E138" s="25" t="n">
        <x:v>68</x:v>
      </x:c>
      <x:c r="F138" s="25" t="str">
        <x:v>百指接肢腕</x:v>
      </x:c>
      <x:c r="G138" s="25" t="n">
        <x:v>4</x:v>
      </x:c>
      <x:c r="H138" s="25" t="str">
        <x:v>处决伤害</x:v>
      </x:c>
      <x:c r="I138" s="25" t="n">
        <x:v>2</x:v>
      </x:c>
      <x:c r="J138" s="25" t="n">
        <x:v>11</x:v>
      </x:c>
      <x:c r="K138" s="25" t="str">
        <x:v>仅装备原始基础值决定主属性范围</x:v>
      </x:c>
    </x:row>
    <x:row r="139">
      <x:c r="A139" s="25" t="str">
        <x:v>C03-E</x:v>
      </x:c>
      <x:c r="B139" s="25" t="str">
        <x:v>宁姆格福西域</x:v>
      </x:c>
      <x:c r="C139" s="25" t="str">
        <x:v>半急速入场</x:v>
      </x:c>
      <x:c r="D139" s="25" t="n">
        <x:v>6</x:v>
      </x:c>
      <x:c r="E139" s="25" t="n">
        <x:v>68</x:v>
      </x:c>
      <x:c r="F139" s="25" t="str">
        <x:v>百指接肢腕</x:v>
      </x:c>
      <x:c r="G139" s="25" t="n">
        <x:v>5</x:v>
      </x:c>
      <x:c r="H139" s="25" t="str">
        <x:v>暴击</x:v>
      </x:c>
      <x:c r="I139" s="25" t="n">
        <x:v>1</x:v>
      </x:c>
      <x:c r="J139" s="25" t="n">
        <x:v>14</x:v>
      </x:c>
      <x:c r="K139" s="25" t="str">
        <x:v>仅装备原始基础值决定主属性范围</x:v>
      </x:c>
    </x:row>
    <x:row r="140">
      <x:c r="A140" s="25" t="str">
        <x:v>C03-E</x:v>
      </x:c>
      <x:c r="B140" s="25" t="str">
        <x:v>宁姆格福西域</x:v>
      </x:c>
      <x:c r="C140" s="25" t="str">
        <x:v>半急速入场</x:v>
      </x:c>
      <x:c r="D140" s="25" t="n">
        <x:v>7</x:v>
      </x:c>
      <x:c r="E140" s="25" t="n">
        <x:v>75</x:v>
      </x:c>
      <x:c r="F140" s="25" t="str">
        <x:v>归乡弩戒</x:v>
      </x:c>
      <x:c r="G140" s="25" t="n">
        <x:v>1</x:v>
      </x:c>
      <x:c r="H140" s="25" t="str">
        <x:v>攻击加成</x:v>
      </x:c>
      <x:c r="I140" s="25" t="n">
        <x:v>25</x:v>
      </x:c>
      <x:c r="J140" s="25" t="n">
        <x:v>18</x:v>
      </x:c>
      <x:c r="K140" s="25" t="str">
        <x:v>仅装备原始基础值决定主属性范围</x:v>
      </x:c>
    </x:row>
    <x:row r="141">
      <x:c r="A141" s="25" t="str">
        <x:v>C03-E</x:v>
      </x:c>
      <x:c r="B141" s="25" t="str">
        <x:v>宁姆格福西域</x:v>
      </x:c>
      <x:c r="C141" s="25" t="str">
        <x:v>半急速入场</x:v>
      </x:c>
      <x:c r="D141" s="25" t="n">
        <x:v>7</x:v>
      </x:c>
      <x:c r="E141" s="25" t="n">
        <x:v>75</x:v>
      </x:c>
      <x:c r="F141" s="25" t="str">
        <x:v>归乡弩戒</x:v>
      </x:c>
      <x:c r="G141" s="25" t="n">
        <x:v>2</x:v>
      </x:c>
      <x:c r="H141" s="25" t="str">
        <x:v>攻击</x:v>
      </x:c>
      <x:c r="I141" s="25" t="n">
        <x:v>23</x:v>
      </x:c>
      <x:c r="J141" s="25" t="n">
        <x:v>1</x:v>
      </x:c>
      <x:c r="K141" s="25" t="str">
        <x:v>仅装备原始基础值决定主属性范围</x:v>
      </x:c>
    </x:row>
    <x:row r="142">
      <x:c r="A142" s="25" t="str">
        <x:v>C03-E</x:v>
      </x:c>
      <x:c r="B142" s="25" t="str">
        <x:v>宁姆格福西域</x:v>
      </x:c>
      <x:c r="C142" s="25" t="str">
        <x:v>半急速入场</x:v>
      </x:c>
      <x:c r="D142" s="25" t="n">
        <x:v>7</x:v>
      </x:c>
      <x:c r="E142" s="25" t="n">
        <x:v>75</x:v>
      </x:c>
      <x:c r="F142" s="25" t="str">
        <x:v>归乡弩戒</x:v>
      </x:c>
      <x:c r="G142" s="25" t="n">
        <x:v>3</x:v>
      </x:c>
      <x:c r="H142" s="25" t="str">
        <x:v>攻击加成</x:v>
      </x:c>
      <x:c r="I142" s="25" t="n">
        <x:v>20</x:v>
      </x:c>
      <x:c r="J142" s="25" t="n">
        <x:v>18</x:v>
      </x:c>
      <x:c r="K142" s="25" t="str">
        <x:v>仅装备原始基础值决定主属性范围</x:v>
      </x:c>
    </x:row>
    <x:row r="143">
      <x:c r="A143" s="25" t="str">
        <x:v>C03-E</x:v>
      </x:c>
      <x:c r="B143" s="25" t="str">
        <x:v>宁姆格福西域</x:v>
      </x:c>
      <x:c r="C143" s="25" t="str">
        <x:v>半急速入场</x:v>
      </x:c>
      <x:c r="D143" s="25" t="n">
        <x:v>8</x:v>
      </x:c>
      <x:c r="E143" s="25" t="n">
        <x:v>54</x:v>
      </x:c>
      <x:c r="F143" s="25" t="str">
        <x:v>潮归秘戒</x:v>
      </x:c>
      <x:c r="G143" s="25" t="n">
        <x:v>1</x:v>
      </x:c>
      <x:c r="H143" s="25" t="str">
        <x:v>道术</x:v>
      </x:c>
      <x:c r="I143" s="25" t="n">
        <x:v>6</x:v>
      </x:c>
      <x:c r="J143" s="25" t="n">
        <x:v>3</x:v>
      </x:c>
      <x:c r="K143" s="25" t="str">
        <x:v>仅装备原始基础值决定主属性范围</x:v>
      </x:c>
    </x:row>
    <x:row r="144">
      <x:c r="A144" s="25" t="str">
        <x:v>C03-E</x:v>
      </x:c>
      <x:c r="B144" s="25" t="str">
        <x:v>宁姆格福西域</x:v>
      </x:c>
      <x:c r="C144" s="25" t="str">
        <x:v>半急速入场</x:v>
      </x:c>
      <x:c r="D144" s="25" t="n">
        <x:v>8</x:v>
      </x:c>
      <x:c r="E144" s="25" t="n">
        <x:v>54</x:v>
      </x:c>
      <x:c r="F144" s="25" t="str">
        <x:v>潮归秘戒</x:v>
      </x:c>
      <x:c r="G144" s="25" t="n">
        <x:v>2</x:v>
      </x:c>
      <x:c r="H144" s="25" t="str">
        <x:v>伤害系数</x:v>
      </x:c>
      <x:c r="I144" s="25" t="n">
        <x:v>2</x:v>
      </x:c>
      <x:c r="J144" s="25" t="n">
        <x:v>26</x:v>
      </x:c>
      <x:c r="K144" s="25" t="str">
        <x:v>仅装备原始基础值决定主属性范围</x:v>
      </x:c>
    </x:row>
    <x:row r="145">
      <x:c r="A145" s="25" t="str">
        <x:v>C03-E</x:v>
      </x:c>
      <x:c r="B145" s="25" t="str">
        <x:v>宁姆格福西域</x:v>
      </x:c>
      <x:c r="C145" s="25" t="str">
        <x:v>半急速入场</x:v>
      </x:c>
      <x:c r="D145" s="25" t="n">
        <x:v>8</x:v>
      </x:c>
      <x:c r="E145" s="25" t="n">
        <x:v>54</x:v>
      </x:c>
      <x:c r="F145" s="25" t="str">
        <x:v>潮归秘戒</x:v>
      </x:c>
      <x:c r="G145" s="25" t="n">
        <x:v>3</x:v>
      </x:c>
      <x:c r="H145" s="25" t="str">
        <x:v>攻击加成</x:v>
      </x:c>
      <x:c r="I145" s="25" t="n">
        <x:v>25</x:v>
      </x:c>
      <x:c r="J145" s="25" t="n">
        <x:v>18</x:v>
      </x:c>
      <x:c r="K145" s="25" t="str">
        <x:v>仅装备原始基础值决定主属性范围</x:v>
      </x:c>
    </x:row>
    <x:row r="146">
      <x:c r="A146" s="25" t="str">
        <x:v>C03-E</x:v>
      </x:c>
      <x:c r="B146" s="25" t="str">
        <x:v>宁姆格福西域</x:v>
      </x:c>
      <x:c r="C146" s="25" t="str">
        <x:v>半急速入场</x:v>
      </x:c>
      <x:c r="D146" s="25" t="n">
        <x:v>8</x:v>
      </x:c>
      <x:c r="E146" s="25" t="n">
        <x:v>54</x:v>
      </x:c>
      <x:c r="F146" s="25" t="str">
        <x:v>潮归秘戒</x:v>
      </x:c>
      <x:c r="G146" s="25" t="n">
        <x:v>4</x:v>
      </x:c>
      <x:c r="H146" s="25" t="str">
        <x:v>暴击</x:v>
      </x:c>
      <x:c r="I146" s="25" t="n">
        <x:v>2</x:v>
      </x:c>
      <x:c r="J146" s="25" t="n">
        <x:v>15</x:v>
      </x:c>
      <x:c r="K146" s="25" t="str">
        <x:v>仅装备原始基础值决定主属性范围</x:v>
      </x:c>
    </x:row>
    <x:row r="147">
      <x:c r="A147" s="25" t="str">
        <x:v>C03-E</x:v>
      </x:c>
      <x:c r="B147" s="25" t="str">
        <x:v>宁姆格福西域</x:v>
      </x:c>
      <x:c r="C147" s="25" t="str">
        <x:v>半急速入场</x:v>
      </x:c>
      <x:c r="D147" s="25" t="n">
        <x:v>10</x:v>
      </x:c>
      <x:c r="E147" s="25" t="n">
        <x:v>36</x:v>
      </x:c>
      <x:c r="F147" s="25" t="str">
        <x:v>黄金戍卫腰带</x:v>
      </x:c>
      <x:c r="G147" s="25" t="n">
        <x:v>1</x:v>
      </x:c>
      <x:c r="H147" s="25" t="str">
        <x:v>攻击</x:v>
      </x:c>
      <x:c r="I147" s="25" t="n">
        <x:v>22</x:v>
      </x:c>
      <x:c r="J147" s="25" t="n">
        <x:v>1</x:v>
      </x:c>
      <x:c r="K147" s="25" t="str">
        <x:v>仅装备原始基础值决定主属性范围</x:v>
      </x:c>
    </x:row>
    <x:row r="148">
      <x:c r="A148" s="25" t="str">
        <x:v>C03-E</x:v>
      </x:c>
      <x:c r="B148" s="25" t="str">
        <x:v>宁姆格福西域</x:v>
      </x:c>
      <x:c r="C148" s="25" t="str">
        <x:v>半急速入场</x:v>
      </x:c>
      <x:c r="D148" s="25" t="n">
        <x:v>10</x:v>
      </x:c>
      <x:c r="E148" s="25" t="n">
        <x:v>36</x:v>
      </x:c>
      <x:c r="F148" s="25" t="str">
        <x:v>黄金戍卫腰带</x:v>
      </x:c>
      <x:c r="G148" s="25" t="n">
        <x:v>2</x:v>
      </x:c>
      <x:c r="H148" s="25" t="str">
        <x:v>暴击</x:v>
      </x:c>
      <x:c r="I148" s="25" t="n">
        <x:v>1</x:v>
      </x:c>
      <x:c r="J148" s="25" t="n">
        <x:v>14</x:v>
      </x:c>
      <x:c r="K148" s="25" t="str">
        <x:v>仅装备原始基础值决定主属性范围</x:v>
      </x:c>
    </x:row>
    <x:row r="149">
      <x:c r="A149" s="25" t="str">
        <x:v>C03-E</x:v>
      </x:c>
      <x:c r="B149" s="25" t="str">
        <x:v>宁姆格福西域</x:v>
      </x:c>
      <x:c r="C149" s="25" t="str">
        <x:v>半急速入场</x:v>
      </x:c>
      <x:c r="D149" s="25" t="n">
        <x:v>10</x:v>
      </x:c>
      <x:c r="E149" s="25" t="n">
        <x:v>36</x:v>
      </x:c>
      <x:c r="F149" s="25" t="str">
        <x:v>黄金戍卫腰带</x:v>
      </x:c>
      <x:c r="G149" s="25" t="n">
        <x:v>3</x:v>
      </x:c>
      <x:c r="H149" s="25" t="str">
        <x:v>攻击加成</x:v>
      </x:c>
      <x:c r="I149" s="25" t="n">
        <x:v>22</x:v>
      </x:c>
      <x:c r="J149" s="25" t="n">
        <x:v>18</x:v>
      </x:c>
      <x:c r="K149" s="25" t="str">
        <x:v>仅装备原始基础值决定主属性范围</x:v>
      </x:c>
    </x:row>
    <x:row r="150">
      <x:c r="A150" s="25" t="str">
        <x:v>C03-E</x:v>
      </x:c>
      <x:c r="B150" s="25" t="str">
        <x:v>宁姆格福西域</x:v>
      </x:c>
      <x:c r="C150" s="25" t="str">
        <x:v>半急速入场</x:v>
      </x:c>
      <x:c r="D150" s="25" t="n">
        <x:v>10</x:v>
      </x:c>
      <x:c r="E150" s="25" t="n">
        <x:v>36</x:v>
      </x:c>
      <x:c r="F150" s="25" t="str">
        <x:v>黄金戍卫腰带</x:v>
      </x:c>
      <x:c r="G150" s="25" t="n">
        <x:v>4</x:v>
      </x:c>
      <x:c r="H150" s="25" t="str">
        <x:v>致命一击</x:v>
      </x:c>
      <x:c r="I150" s="25" t="n">
        <x:v>1</x:v>
      </x:c>
      <x:c r="J150" s="25" t="n">
        <x:v>16</x:v>
      </x:c>
      <x:c r="K150" s="25" t="str">
        <x:v>仅装备原始基础值决定主属性范围</x:v>
      </x:c>
    </x:row>
    <x:row r="151">
      <x:c r="A151" s="25" t="str">
        <x:v>C03-E</x:v>
      </x:c>
      <x:c r="B151" s="25" t="str">
        <x:v>宁姆格福西域</x:v>
      </x:c>
      <x:c r="C151" s="25" t="str">
        <x:v>半急速入场</x:v>
      </x:c>
      <x:c r="D151" s="25" t="n">
        <x:v>11</x:v>
      </x:c>
      <x:c r="E151" s="25" t="n">
        <x:v>76</x:v>
      </x:c>
      <x:c r="F151" s="25" t="str">
        <x:v>神授征服战靴</x:v>
      </x:c>
      <x:c r="G151" s="25" t="n">
        <x:v>1</x:v>
      </x:c>
      <x:c r="H151" s="25" t="str">
        <x:v>魔法</x:v>
      </x:c>
      <x:c r="I151" s="25" t="n">
        <x:v>5</x:v>
      </x:c>
      <x:c r="J151" s="25" t="n">
        <x:v>2</x:v>
      </x:c>
      <x:c r="K151" s="25" t="str">
        <x:v>仅装备原始基础值决定主属性范围</x:v>
      </x:c>
    </x:row>
    <x:row r="152">
      <x:c r="A152" s="25" t="str">
        <x:v>C03-E</x:v>
      </x:c>
      <x:c r="B152" s="25" t="str">
        <x:v>宁姆格福西域</x:v>
      </x:c>
      <x:c r="C152" s="25" t="str">
        <x:v>半急速入场</x:v>
      </x:c>
      <x:c r="D152" s="25" t="n">
        <x:v>11</x:v>
      </x:c>
      <x:c r="E152" s="25" t="n">
        <x:v>76</x:v>
      </x:c>
      <x:c r="F152" s="25" t="str">
        <x:v>神授征服战靴</x:v>
      </x:c>
      <x:c r="G152" s="25" t="n">
        <x:v>2</x:v>
      </x:c>
      <x:c r="H152" s="25" t="str">
        <x:v>致命一击</x:v>
      </x:c>
      <x:c r="I152" s="25" t="n">
        <x:v>1</x:v>
      </x:c>
      <x:c r="J152" s="25" t="n">
        <x:v>16</x:v>
      </x:c>
      <x:c r="K152" s="25" t="str">
        <x:v>仅装备原始基础值决定主属性范围</x:v>
      </x:c>
    </x:row>
    <x:row r="153">
      <x:c r="A153" s="25" t="str">
        <x:v>C03-E</x:v>
      </x:c>
      <x:c r="B153" s="25" t="str">
        <x:v>宁姆格福西域</x:v>
      </x:c>
      <x:c r="C153" s="25" t="str">
        <x:v>半急速入场</x:v>
      </x:c>
      <x:c r="D153" s="25" t="n">
        <x:v>11</x:v>
      </x:c>
      <x:c r="E153" s="25" t="n">
        <x:v>76</x:v>
      </x:c>
      <x:c r="F153" s="25" t="str">
        <x:v>神授征服战靴</x:v>
      </x:c>
      <x:c r="G153" s="25" t="n">
        <x:v>3</x:v>
      </x:c>
      <x:c r="H153" s="25" t="str">
        <x:v>攻击加成</x:v>
      </x:c>
      <x:c r="I153" s="25" t="n">
        <x:v>13</x:v>
      </x:c>
      <x:c r="J153" s="25" t="n">
        <x:v>18</x:v>
      </x:c>
      <x:c r="K153" s="25" t="str">
        <x:v>仅装备原始基础值决定主属性范围</x:v>
      </x:c>
    </x:row>
    <x:row r="154">
      <x:c r="A154" s="25" t="str">
        <x:v>C03-E</x:v>
      </x:c>
      <x:c r="B154" s="25" t="str">
        <x:v>宁姆格福西域</x:v>
      </x:c>
      <x:c r="C154" s="25" t="str">
        <x:v>半急速入场</x:v>
      </x:c>
      <x:c r="D154" s="25" t="n">
        <x:v>11</x:v>
      </x:c>
      <x:c r="E154" s="25" t="n">
        <x:v>76</x:v>
      </x:c>
      <x:c r="F154" s="25" t="str">
        <x:v>神授征服战靴</x:v>
      </x:c>
      <x:c r="G154" s="25" t="n">
        <x:v>4</x:v>
      </x:c>
      <x:c r="H154" s="25" t="str">
        <x:v>攻击</x:v>
      </x:c>
      <x:c r="I154" s="25" t="n">
        <x:v>23</x:v>
      </x:c>
      <x:c r="J154" s="25" t="n">
        <x:v>1</x:v>
      </x:c>
      <x:c r="K154" s="25" t="str">
        <x:v>仅装备原始基础值决定主属性范围</x:v>
      </x:c>
    </x:row>
    <x:row r="155">
      <x:c r="A155" s="25" t="str">
        <x:v>C03-M</x:v>
      </x:c>
      <x:c r="B155" s="25" t="str">
        <x:v>宁姆格福西域</x:v>
      </x:c>
      <x:c r="C155" s="25" t="str">
        <x:v>半急速中期</x:v>
      </x:c>
      <x:c r="D155" s="25" t="n">
        <x:v>0</x:v>
      </x:c>
      <x:c r="E155" s="25" t="n">
        <x:v>58</x:v>
      </x:c>
      <x:c r="F155" s="25" t="str">
        <x:v>祖灵皮衣</x:v>
      </x:c>
      <x:c r="G155" s="25" t="n">
        <x:v>1</x:v>
      </x:c>
      <x:c r="H155" s="25" t="str">
        <x:v>攻击</x:v>
      </x:c>
      <x:c r="I155" s="25" t="n">
        <x:v>16</x:v>
      </x:c>
      <x:c r="J155" s="25" t="n">
        <x:v>1</x:v>
      </x:c>
      <x:c r="K155" s="25" t="str">
        <x:v>仅装备原始基础值决定主属性范围</x:v>
      </x:c>
    </x:row>
    <x:row r="156">
      <x:c r="A156" s="25" t="str">
        <x:v>C03-M</x:v>
      </x:c>
      <x:c r="B156" s="25" t="str">
        <x:v>宁姆格福西域</x:v>
      </x:c>
      <x:c r="C156" s="25" t="str">
        <x:v>半急速中期</x:v>
      </x:c>
      <x:c r="D156" s="25" t="n">
        <x:v>0</x:v>
      </x:c>
      <x:c r="E156" s="25" t="n">
        <x:v>58</x:v>
      </x:c>
      <x:c r="F156" s="25" t="str">
        <x:v>祖灵皮衣</x:v>
      </x:c>
      <x:c r="G156" s="25" t="n">
        <x:v>2</x:v>
      </x:c>
      <x:c r="H156" s="25" t="str">
        <x:v>攻击加成</x:v>
      </x:c>
      <x:c r="I156" s="25" t="n">
        <x:v>29</x:v>
      </x:c>
      <x:c r="J156" s="25" t="n">
        <x:v>18</x:v>
      </x:c>
      <x:c r="K156" s="25" t="str">
        <x:v>仅装备原始基础值决定主属性范围</x:v>
      </x:c>
    </x:row>
    <x:row r="157">
      <x:c r="A157" s="25" t="str">
        <x:v>C03-M</x:v>
      </x:c>
      <x:c r="B157" s="25" t="str">
        <x:v>宁姆格福西域</x:v>
      </x:c>
      <x:c r="C157" s="25" t="str">
        <x:v>半急速中期</x:v>
      </x:c>
      <x:c r="D157" s="25" t="n">
        <x:v>0</x:v>
      </x:c>
      <x:c r="E157" s="25" t="n">
        <x:v>58</x:v>
      </x:c>
      <x:c r="F157" s="25" t="str">
        <x:v>祖灵皮衣</x:v>
      </x:c>
      <x:c r="G157" s="25" t="n">
        <x:v>3</x:v>
      </x:c>
      <x:c r="H157" s="25" t="str">
        <x:v>韧性</x:v>
      </x:c>
      <x:c r="I157" s="25" t="n">
        <x:v>20</x:v>
      </x:c>
      <x:c r="J157" s="25" t="n">
        <x:v>13</x:v>
      </x:c>
      <x:c r="K157" s="25" t="str">
        <x:v>仅装备原始基础值决定主属性范围</x:v>
      </x:c>
    </x:row>
    <x:row r="158">
      <x:c r="A158" s="25" t="str">
        <x:v>C03-M</x:v>
      </x:c>
      <x:c r="B158" s="25" t="str">
        <x:v>宁姆格福西域</x:v>
      </x:c>
      <x:c r="C158" s="25" t="str">
        <x:v>半急速中期</x:v>
      </x:c>
      <x:c r="D158" s="25" t="n">
        <x:v>1</x:v>
      </x:c>
      <x:c r="E158" s="25" t="n">
        <x:v>85</x:v>
      </x:c>
      <x:c r="F158" s="25" t="str">
        <x:v>亲卫王剑</x:v>
      </x:c>
      <x:c r="G158" s="25" t="n">
        <x:v>1</x:v>
      </x:c>
      <x:c r="H158" s="25" t="str">
        <x:v>攻击加成</x:v>
      </x:c>
      <x:c r="I158" s="25" t="n">
        <x:v>21</x:v>
      </x:c>
      <x:c r="J158" s="25" t="n">
        <x:v>18</x:v>
      </x:c>
      <x:c r="K158" s="25" t="str">
        <x:v>仅装备原始基础值决定主属性范围</x:v>
      </x:c>
    </x:row>
    <x:row r="159">
      <x:c r="A159" s="25" t="str">
        <x:v>C03-M</x:v>
      </x:c>
      <x:c r="B159" s="25" t="str">
        <x:v>宁姆格福西域</x:v>
      </x:c>
      <x:c r="C159" s="25" t="str">
        <x:v>半急速中期</x:v>
      </x:c>
      <x:c r="D159" s="25" t="n">
        <x:v>3</x:v>
      </x:c>
      <x:c r="E159" s="25" t="n">
        <x:v>50</x:v>
      </x:c>
      <x:c r="F159" s="25" t="str">
        <x:v>卢恩骑士项链</x:v>
      </x:c>
      <x:c r="G159" s="25" t="n">
        <x:v>1</x:v>
      </x:c>
      <x:c r="H159" s="25" t="str">
        <x:v>攻击加成</x:v>
      </x:c>
      <x:c r="I159" s="25" t="n">
        <x:v>46</x:v>
      </x:c>
      <x:c r="J159" s="25" t="n">
        <x:v>19</x:v>
      </x:c>
      <x:c r="K159" s="25" t="str">
        <x:v>仅装备原始基础值决定主属性范围</x:v>
      </x:c>
    </x:row>
    <x:row r="160">
      <x:c r="A160" s="25" t="str">
        <x:v>C03-M</x:v>
      </x:c>
      <x:c r="B160" s="25" t="str">
        <x:v>宁姆格福西域</x:v>
      </x:c>
      <x:c r="C160" s="25" t="str">
        <x:v>半急速中期</x:v>
      </x:c>
      <x:c r="D160" s="25" t="n">
        <x:v>4</x:v>
      </x:c>
      <x:c r="E160" s="25" t="n">
        <x:v>35</x:v>
      </x:c>
      <x:c r="F160" s="25" t="str">
        <x:v>圣树先锋战盔</x:v>
      </x:c>
      <x:c r="G160" s="25" t="n">
        <x:v>1</x:v>
      </x:c>
      <x:c r="H160" s="25" t="str">
        <x:v>攻击速度</x:v>
      </x:c>
      <x:c r="I160" s="25" t="n">
        <x:v>2</x:v>
      </x:c>
      <x:c r="J160" s="25" t="n">
        <x:v>5</x:v>
      </x:c>
      <x:c r="K160" s="25" t="str">
        <x:v>仅装备原始基础值决定主属性范围</x:v>
      </x:c>
    </x:row>
    <x:row r="161">
      <x:c r="A161" s="25" t="str">
        <x:v>C03-M</x:v>
      </x:c>
      <x:c r="B161" s="25" t="str">
        <x:v>宁姆格福西域</x:v>
      </x:c>
      <x:c r="C161" s="25" t="str">
        <x:v>半急速中期</x:v>
      </x:c>
      <x:c r="D161" s="25" t="n">
        <x:v>4</x:v>
      </x:c>
      <x:c r="E161" s="25" t="n">
        <x:v>35</x:v>
      </x:c>
      <x:c r="F161" s="25" t="str">
        <x:v>圣树先锋战盔</x:v>
      </x:c>
      <x:c r="G161" s="25" t="n">
        <x:v>2</x:v>
      </x:c>
      <x:c r="H161" s="25" t="str">
        <x:v>攻击加成</x:v>
      </x:c>
      <x:c r="I161" s="25" t="n">
        <x:v>49</x:v>
      </x:c>
      <x:c r="J161" s="25" t="n">
        <x:v>19</x:v>
      </x:c>
      <x:c r="K161" s="25" t="str">
        <x:v>仅装备原始基础值决定主属性范围</x:v>
      </x:c>
    </x:row>
    <x:row r="162">
      <x:c r="A162" s="25" t="str">
        <x:v>C03-M</x:v>
      </x:c>
      <x:c r="B162" s="25" t="str">
        <x:v>宁姆格福西域</x:v>
      </x:c>
      <x:c r="C162" s="25" t="str">
        <x:v>半急速中期</x:v>
      </x:c>
      <x:c r="D162" s="25" t="n">
        <x:v>4</x:v>
      </x:c>
      <x:c r="E162" s="25" t="n">
        <x:v>35</x:v>
      </x:c>
      <x:c r="F162" s="25" t="str">
        <x:v>圣树先锋战盔</x:v>
      </x:c>
      <x:c r="G162" s="25" t="n">
        <x:v>3</x:v>
      </x:c>
      <x:c r="H162" s="25" t="str">
        <x:v>攻击速度</x:v>
      </x:c>
      <x:c r="I162" s="25" t="n">
        <x:v>1</x:v>
      </x:c>
      <x:c r="J162" s="25" t="n">
        <x:v>4</x:v>
      </x:c>
      <x:c r="K162" s="25" t="str">
        <x:v>仅装备原始基础值决定主属性范围</x:v>
      </x:c>
    </x:row>
    <x:row r="163">
      <x:c r="A163" s="25" t="str">
        <x:v>C03-M</x:v>
      </x:c>
      <x:c r="B163" s="25" t="str">
        <x:v>宁姆格福西域</x:v>
      </x:c>
      <x:c r="C163" s="25" t="str">
        <x:v>半急速中期</x:v>
      </x:c>
      <x:c r="D163" s="25" t="n">
        <x:v>4</x:v>
      </x:c>
      <x:c r="E163" s="25" t="n">
        <x:v>35</x:v>
      </x:c>
      <x:c r="F163" s="25" t="str">
        <x:v>圣树先锋战盔</x:v>
      </x:c>
      <x:c r="G163" s="25" t="n">
        <x:v>4</x:v>
      </x:c>
      <x:c r="H163" s="25" t="str">
        <x:v>处决伤害</x:v>
      </x:c>
      <x:c r="I163" s="25" t="n">
        <x:v>1</x:v>
      </x:c>
      <x:c r="J163" s="25" t="n">
        <x:v>10</x:v>
      </x:c>
      <x:c r="K163" s="25" t="str">
        <x:v>仅装备原始基础值决定主属性范围</x:v>
      </x:c>
    </x:row>
    <x:row r="164">
      <x:c r="A164" s="25" t="str">
        <x:v>C03-M</x:v>
      </x:c>
      <x:c r="B164" s="25" t="str">
        <x:v>宁姆格福西域</x:v>
      </x:c>
      <x:c r="C164" s="25" t="str">
        <x:v>半急速中期</x:v>
      </x:c>
      <x:c r="D164" s="25" t="n">
        <x:v>5</x:v>
      </x:c>
      <x:c r="E164" s="25" t="n">
        <x:v>73</x:v>
      </x:c>
      <x:c r="F164" s="25" t="str">
        <x:v>古龙近卫腕甲</x:v>
      </x:c>
      <x:c r="G164" s="25" t="n">
        <x:v>1</x:v>
      </x:c>
      <x:c r="H164" s="25" t="str">
        <x:v>攻击加成</x:v>
      </x:c>
      <x:c r="I164" s="25" t="n">
        <x:v>30</x:v>
      </x:c>
      <x:c r="J164" s="25" t="n">
        <x:v>18</x:v>
      </x:c>
      <x:c r="K164" s="25" t="str">
        <x:v>仅装备原始基础值决定主属性范围</x:v>
      </x:c>
    </x:row>
    <x:row r="165">
      <x:c r="A165" s="25" t="str">
        <x:v>C03-M</x:v>
      </x:c>
      <x:c r="B165" s="25" t="str">
        <x:v>宁姆格福西域</x:v>
      </x:c>
      <x:c r="C165" s="25" t="str">
        <x:v>半急速中期</x:v>
      </x:c>
      <x:c r="D165" s="25" t="n">
        <x:v>6</x:v>
      </x:c>
      <x:c r="E165" s="25" t="n">
        <x:v>68</x:v>
      </x:c>
      <x:c r="F165" s="25" t="str">
        <x:v>百指接肢腕</x:v>
      </x:c>
      <x:c r="G165" s="25" t="n">
        <x:v>1</x:v>
      </x:c>
      <x:c r="H165" s="25" t="str">
        <x:v>处决伤害</x:v>
      </x:c>
      <x:c r="I165" s="25" t="n">
        <x:v>1</x:v>
      </x:c>
      <x:c r="J165" s="25" t="n">
        <x:v>10</x:v>
      </x:c>
      <x:c r="K165" s="25" t="str">
        <x:v>仅装备原始基础值决定主属性范围</x:v>
      </x:c>
    </x:row>
    <x:row r="166">
      <x:c r="A166" s="25" t="str">
        <x:v>C03-M</x:v>
      </x:c>
      <x:c r="B166" s="25" t="str">
        <x:v>宁姆格福西域</x:v>
      </x:c>
      <x:c r="C166" s="25" t="str">
        <x:v>半急速中期</x:v>
      </x:c>
      <x:c r="D166" s="25" t="n">
        <x:v>6</x:v>
      </x:c>
      <x:c r="E166" s="25" t="n">
        <x:v>68</x:v>
      </x:c>
      <x:c r="F166" s="25" t="str">
        <x:v>百指接肢腕</x:v>
      </x:c>
      <x:c r="G166" s="25" t="n">
        <x:v>2</x:v>
      </x:c>
      <x:c r="H166" s="25" t="str">
        <x:v>攻击加成</x:v>
      </x:c>
      <x:c r="I166" s="25" t="n">
        <x:v>28</x:v>
      </x:c>
      <x:c r="J166" s="25" t="n">
        <x:v>18</x:v>
      </x:c>
      <x:c r="K166" s="25" t="str">
        <x:v>仅装备原始基础值决定主属性范围</x:v>
      </x:c>
    </x:row>
    <x:row r="167">
      <x:c r="A167" s="25" t="str">
        <x:v>C03-M</x:v>
      </x:c>
      <x:c r="B167" s="25" t="str">
        <x:v>宁姆格福西域</x:v>
      </x:c>
      <x:c r="C167" s="25" t="str">
        <x:v>半急速中期</x:v>
      </x:c>
      <x:c r="D167" s="25" t="n">
        <x:v>6</x:v>
      </x:c>
      <x:c r="E167" s="25" t="n">
        <x:v>68</x:v>
      </x:c>
      <x:c r="F167" s="25" t="str">
        <x:v>百指接肢腕</x:v>
      </x:c>
      <x:c r="G167" s="25" t="n">
        <x:v>3</x:v>
      </x:c>
      <x:c r="H167" s="25" t="str">
        <x:v>攻击加成</x:v>
      </x:c>
      <x:c r="I167" s="25" t="n">
        <x:v>45</x:v>
      </x:c>
      <x:c r="J167" s="25" t="n">
        <x:v>19</x:v>
      </x:c>
      <x:c r="K167" s="25" t="str">
        <x:v>仅装备原始基础值决定主属性范围</x:v>
      </x:c>
    </x:row>
    <x:row r="168">
      <x:c r="A168" s="25" t="str">
        <x:v>C03-M</x:v>
      </x:c>
      <x:c r="B168" s="25" t="str">
        <x:v>宁姆格福西域</x:v>
      </x:c>
      <x:c r="C168" s="25" t="str">
        <x:v>半急速中期</x:v>
      </x:c>
      <x:c r="D168" s="25" t="n">
        <x:v>6</x:v>
      </x:c>
      <x:c r="E168" s="25" t="n">
        <x:v>68</x:v>
      </x:c>
      <x:c r="F168" s="25" t="str">
        <x:v>百指接肢腕</x:v>
      </x:c>
      <x:c r="G168" s="25" t="n">
        <x:v>4</x:v>
      </x:c>
      <x:c r="H168" s="25" t="str">
        <x:v>处决伤害</x:v>
      </x:c>
      <x:c r="I168" s="25" t="n">
        <x:v>2</x:v>
      </x:c>
      <x:c r="J168" s="25" t="n">
        <x:v>11</x:v>
      </x:c>
      <x:c r="K168" s="25" t="str">
        <x:v>仅装备原始基础值决定主属性范围</x:v>
      </x:c>
    </x:row>
    <x:row r="169">
      <x:c r="A169" s="25" t="str">
        <x:v>C03-M</x:v>
      </x:c>
      <x:c r="B169" s="25" t="str">
        <x:v>宁姆格福西域</x:v>
      </x:c>
      <x:c r="C169" s="25" t="str">
        <x:v>半急速中期</x:v>
      </x:c>
      <x:c r="D169" s="25" t="n">
        <x:v>6</x:v>
      </x:c>
      <x:c r="E169" s="25" t="n">
        <x:v>68</x:v>
      </x:c>
      <x:c r="F169" s="25" t="str">
        <x:v>百指接肢腕</x:v>
      </x:c>
      <x:c r="G169" s="25" t="n">
        <x:v>5</x:v>
      </x:c>
      <x:c r="H169" s="25" t="str">
        <x:v>暴击</x:v>
      </x:c>
      <x:c r="I169" s="25" t="n">
        <x:v>1</x:v>
      </x:c>
      <x:c r="J169" s="25" t="n">
        <x:v>14</x:v>
      </x:c>
      <x:c r="K169" s="25" t="str">
        <x:v>仅装备原始基础值决定主属性范围</x:v>
      </x:c>
    </x:row>
    <x:row r="170">
      <x:c r="A170" s="25" t="str">
        <x:v>C03-M</x:v>
      </x:c>
      <x:c r="B170" s="25" t="str">
        <x:v>宁姆格福西域</x:v>
      </x:c>
      <x:c r="C170" s="25" t="str">
        <x:v>半急速中期</x:v>
      </x:c>
      <x:c r="D170" s="25" t="n">
        <x:v>7</x:v>
      </x:c>
      <x:c r="E170" s="25" t="n">
        <x:v>75</x:v>
      </x:c>
      <x:c r="F170" s="25" t="str">
        <x:v>归乡弩戒</x:v>
      </x:c>
      <x:c r="G170" s="25" t="n">
        <x:v>1</x:v>
      </x:c>
      <x:c r="H170" s="25" t="str">
        <x:v>攻击加成</x:v>
      </x:c>
      <x:c r="I170" s="25" t="n">
        <x:v>25</x:v>
      </x:c>
      <x:c r="J170" s="25" t="n">
        <x:v>18</x:v>
      </x:c>
      <x:c r="K170" s="25" t="str">
        <x:v>仅装备原始基础值决定主属性范围</x:v>
      </x:c>
    </x:row>
    <x:row r="171">
      <x:c r="A171" s="25" t="str">
        <x:v>C03-M</x:v>
      </x:c>
      <x:c r="B171" s="25" t="str">
        <x:v>宁姆格福西域</x:v>
      </x:c>
      <x:c r="C171" s="25" t="str">
        <x:v>半急速中期</x:v>
      </x:c>
      <x:c r="D171" s="25" t="n">
        <x:v>7</x:v>
      </x:c>
      <x:c r="E171" s="25" t="n">
        <x:v>75</x:v>
      </x:c>
      <x:c r="F171" s="25" t="str">
        <x:v>归乡弩戒</x:v>
      </x:c>
      <x:c r="G171" s="25" t="n">
        <x:v>2</x:v>
      </x:c>
      <x:c r="H171" s="25" t="str">
        <x:v>攻击</x:v>
      </x:c>
      <x:c r="I171" s="25" t="n">
        <x:v>23</x:v>
      </x:c>
      <x:c r="J171" s="25" t="n">
        <x:v>1</x:v>
      </x:c>
      <x:c r="K171" s="25" t="str">
        <x:v>仅装备原始基础值决定主属性范围</x:v>
      </x:c>
    </x:row>
    <x:row r="172">
      <x:c r="A172" s="25" t="str">
        <x:v>C03-M</x:v>
      </x:c>
      <x:c r="B172" s="25" t="str">
        <x:v>宁姆格福西域</x:v>
      </x:c>
      <x:c r="C172" s="25" t="str">
        <x:v>半急速中期</x:v>
      </x:c>
      <x:c r="D172" s="25" t="n">
        <x:v>7</x:v>
      </x:c>
      <x:c r="E172" s="25" t="n">
        <x:v>75</x:v>
      </x:c>
      <x:c r="F172" s="25" t="str">
        <x:v>归乡弩戒</x:v>
      </x:c>
      <x:c r="G172" s="25" t="n">
        <x:v>3</x:v>
      </x:c>
      <x:c r="H172" s="25" t="str">
        <x:v>攻击加成</x:v>
      </x:c>
      <x:c r="I172" s="25" t="n">
        <x:v>20</x:v>
      </x:c>
      <x:c r="J172" s="25" t="n">
        <x:v>18</x:v>
      </x:c>
      <x:c r="K172" s="25" t="str">
        <x:v>仅装备原始基础值决定主属性范围</x:v>
      </x:c>
    </x:row>
    <x:row r="173">
      <x:c r="A173" s="25" t="str">
        <x:v>C03-M</x:v>
      </x:c>
      <x:c r="B173" s="25" t="str">
        <x:v>宁姆格福西域</x:v>
      </x:c>
      <x:c r="C173" s="25" t="str">
        <x:v>半急速中期</x:v>
      </x:c>
      <x:c r="D173" s="25" t="n">
        <x:v>8</x:v>
      </x:c>
      <x:c r="E173" s="25" t="n">
        <x:v>54</x:v>
      </x:c>
      <x:c r="F173" s="25" t="str">
        <x:v>潮归秘戒</x:v>
      </x:c>
      <x:c r="G173" s="25" t="n">
        <x:v>1</x:v>
      </x:c>
      <x:c r="H173" s="25" t="str">
        <x:v>道术</x:v>
      </x:c>
      <x:c r="I173" s="25" t="n">
        <x:v>6</x:v>
      </x:c>
      <x:c r="J173" s="25" t="n">
        <x:v>3</x:v>
      </x:c>
      <x:c r="K173" s="25" t="str">
        <x:v>仅装备原始基础值决定主属性范围</x:v>
      </x:c>
    </x:row>
    <x:row r="174">
      <x:c r="A174" s="25" t="str">
        <x:v>C03-M</x:v>
      </x:c>
      <x:c r="B174" s="25" t="str">
        <x:v>宁姆格福西域</x:v>
      </x:c>
      <x:c r="C174" s="25" t="str">
        <x:v>半急速中期</x:v>
      </x:c>
      <x:c r="D174" s="25" t="n">
        <x:v>8</x:v>
      </x:c>
      <x:c r="E174" s="25" t="n">
        <x:v>54</x:v>
      </x:c>
      <x:c r="F174" s="25" t="str">
        <x:v>潮归秘戒</x:v>
      </x:c>
      <x:c r="G174" s="25" t="n">
        <x:v>2</x:v>
      </x:c>
      <x:c r="H174" s="25" t="str">
        <x:v>伤害系数</x:v>
      </x:c>
      <x:c r="I174" s="25" t="n">
        <x:v>2</x:v>
      </x:c>
      <x:c r="J174" s="25" t="n">
        <x:v>26</x:v>
      </x:c>
      <x:c r="K174" s="25" t="str">
        <x:v>仅装备原始基础值决定主属性范围</x:v>
      </x:c>
    </x:row>
    <x:row r="175">
      <x:c r="A175" s="25" t="str">
        <x:v>C03-M</x:v>
      </x:c>
      <x:c r="B175" s="25" t="str">
        <x:v>宁姆格福西域</x:v>
      </x:c>
      <x:c r="C175" s="25" t="str">
        <x:v>半急速中期</x:v>
      </x:c>
      <x:c r="D175" s="25" t="n">
        <x:v>8</x:v>
      </x:c>
      <x:c r="E175" s="25" t="n">
        <x:v>54</x:v>
      </x:c>
      <x:c r="F175" s="25" t="str">
        <x:v>潮归秘戒</x:v>
      </x:c>
      <x:c r="G175" s="25" t="n">
        <x:v>3</x:v>
      </x:c>
      <x:c r="H175" s="25" t="str">
        <x:v>攻击加成</x:v>
      </x:c>
      <x:c r="I175" s="25" t="n">
        <x:v>25</x:v>
      </x:c>
      <x:c r="J175" s="25" t="n">
        <x:v>18</x:v>
      </x:c>
      <x:c r="K175" s="25" t="str">
        <x:v>仅装备原始基础值决定主属性范围</x:v>
      </x:c>
    </x:row>
    <x:row r="176">
      <x:c r="A176" s="25" t="str">
        <x:v>C03-M</x:v>
      </x:c>
      <x:c r="B176" s="25" t="str">
        <x:v>宁姆格福西域</x:v>
      </x:c>
      <x:c r="C176" s="25" t="str">
        <x:v>半急速中期</x:v>
      </x:c>
      <x:c r="D176" s="25" t="n">
        <x:v>8</x:v>
      </x:c>
      <x:c r="E176" s="25" t="n">
        <x:v>54</x:v>
      </x:c>
      <x:c r="F176" s="25" t="str">
        <x:v>潮归秘戒</x:v>
      </x:c>
      <x:c r="G176" s="25" t="n">
        <x:v>4</x:v>
      </x:c>
      <x:c r="H176" s="25" t="str">
        <x:v>暴击</x:v>
      </x:c>
      <x:c r="I176" s="25" t="n">
        <x:v>2</x:v>
      </x:c>
      <x:c r="J176" s="25" t="n">
        <x:v>15</x:v>
      </x:c>
      <x:c r="K176" s="25" t="str">
        <x:v>仅装备原始基础值决定主属性范围</x:v>
      </x:c>
    </x:row>
    <x:row r="177">
      <x:c r="A177" s="25" t="str">
        <x:v>C03-M</x:v>
      </x:c>
      <x:c r="B177" s="25" t="str">
        <x:v>宁姆格福西域</x:v>
      </x:c>
      <x:c r="C177" s="25" t="str">
        <x:v>半急速中期</x:v>
      </x:c>
      <x:c r="D177" s="25" t="n">
        <x:v>10</x:v>
      </x:c>
      <x:c r="E177" s="25" t="n">
        <x:v>36</x:v>
      </x:c>
      <x:c r="F177" s="25" t="str">
        <x:v>黄金戍卫腰带</x:v>
      </x:c>
      <x:c r="G177" s="25" t="n">
        <x:v>1</x:v>
      </x:c>
      <x:c r="H177" s="25" t="str">
        <x:v>攻击</x:v>
      </x:c>
      <x:c r="I177" s="25" t="n">
        <x:v>22</x:v>
      </x:c>
      <x:c r="J177" s="25" t="n">
        <x:v>1</x:v>
      </x:c>
      <x:c r="K177" s="25" t="str">
        <x:v>仅装备原始基础值决定主属性范围</x:v>
      </x:c>
    </x:row>
    <x:row r="178">
      <x:c r="A178" s="25" t="str">
        <x:v>C03-M</x:v>
      </x:c>
      <x:c r="B178" s="25" t="str">
        <x:v>宁姆格福西域</x:v>
      </x:c>
      <x:c r="C178" s="25" t="str">
        <x:v>半急速中期</x:v>
      </x:c>
      <x:c r="D178" s="25" t="n">
        <x:v>10</x:v>
      </x:c>
      <x:c r="E178" s="25" t="n">
        <x:v>36</x:v>
      </x:c>
      <x:c r="F178" s="25" t="str">
        <x:v>黄金戍卫腰带</x:v>
      </x:c>
      <x:c r="G178" s="25" t="n">
        <x:v>2</x:v>
      </x:c>
      <x:c r="H178" s="25" t="str">
        <x:v>暴击</x:v>
      </x:c>
      <x:c r="I178" s="25" t="n">
        <x:v>1</x:v>
      </x:c>
      <x:c r="J178" s="25" t="n">
        <x:v>14</x:v>
      </x:c>
      <x:c r="K178" s="25" t="str">
        <x:v>仅装备原始基础值决定主属性范围</x:v>
      </x:c>
    </x:row>
    <x:row r="179">
      <x:c r="A179" s="25" t="str">
        <x:v>C03-M</x:v>
      </x:c>
      <x:c r="B179" s="25" t="str">
        <x:v>宁姆格福西域</x:v>
      </x:c>
      <x:c r="C179" s="25" t="str">
        <x:v>半急速中期</x:v>
      </x:c>
      <x:c r="D179" s="25" t="n">
        <x:v>10</x:v>
      </x:c>
      <x:c r="E179" s="25" t="n">
        <x:v>36</x:v>
      </x:c>
      <x:c r="F179" s="25" t="str">
        <x:v>黄金戍卫腰带</x:v>
      </x:c>
      <x:c r="G179" s="25" t="n">
        <x:v>3</x:v>
      </x:c>
      <x:c r="H179" s="25" t="str">
        <x:v>攻击加成</x:v>
      </x:c>
      <x:c r="I179" s="25" t="n">
        <x:v>22</x:v>
      </x:c>
      <x:c r="J179" s="25" t="n">
        <x:v>18</x:v>
      </x:c>
      <x:c r="K179" s="25" t="str">
        <x:v>仅装备原始基础值决定主属性范围</x:v>
      </x:c>
    </x:row>
    <x:row r="180">
      <x:c r="A180" s="25" t="str">
        <x:v>C03-M</x:v>
      </x:c>
      <x:c r="B180" s="25" t="str">
        <x:v>宁姆格福西域</x:v>
      </x:c>
      <x:c r="C180" s="25" t="str">
        <x:v>半急速中期</x:v>
      </x:c>
      <x:c r="D180" s="25" t="n">
        <x:v>10</x:v>
      </x:c>
      <x:c r="E180" s="25" t="n">
        <x:v>36</x:v>
      </x:c>
      <x:c r="F180" s="25" t="str">
        <x:v>黄金戍卫腰带</x:v>
      </x:c>
      <x:c r="G180" s="25" t="n">
        <x:v>4</x:v>
      </x:c>
      <x:c r="H180" s="25" t="str">
        <x:v>致命一击</x:v>
      </x:c>
      <x:c r="I180" s="25" t="n">
        <x:v>1</x:v>
      </x:c>
      <x:c r="J180" s="25" t="n">
        <x:v>16</x:v>
      </x:c>
      <x:c r="K180" s="25" t="str">
        <x:v>仅装备原始基础值决定主属性范围</x:v>
      </x:c>
    </x:row>
    <x:row r="181">
      <x:c r="A181" s="25" t="str">
        <x:v>C03-M</x:v>
      </x:c>
      <x:c r="B181" s="25" t="str">
        <x:v>宁姆格福西域</x:v>
      </x:c>
      <x:c r="C181" s="25" t="str">
        <x:v>半急速中期</x:v>
      </x:c>
      <x:c r="D181" s="25" t="n">
        <x:v>11</x:v>
      </x:c>
      <x:c r="E181" s="25" t="n">
        <x:v>76</x:v>
      </x:c>
      <x:c r="F181" s="25" t="str">
        <x:v>神授征服战靴</x:v>
      </x:c>
      <x:c r="G181" s="25" t="n">
        <x:v>1</x:v>
      </x:c>
      <x:c r="H181" s="25" t="str">
        <x:v>魔法</x:v>
      </x:c>
      <x:c r="I181" s="25" t="n">
        <x:v>5</x:v>
      </x:c>
      <x:c r="J181" s="25" t="n">
        <x:v>2</x:v>
      </x:c>
      <x:c r="K181" s="25" t="str">
        <x:v>仅装备原始基础值决定主属性范围</x:v>
      </x:c>
    </x:row>
    <x:row r="182">
      <x:c r="A182" s="25" t="str">
        <x:v>C03-M</x:v>
      </x:c>
      <x:c r="B182" s="25" t="str">
        <x:v>宁姆格福西域</x:v>
      </x:c>
      <x:c r="C182" s="25" t="str">
        <x:v>半急速中期</x:v>
      </x:c>
      <x:c r="D182" s="25" t="n">
        <x:v>11</x:v>
      </x:c>
      <x:c r="E182" s="25" t="n">
        <x:v>76</x:v>
      </x:c>
      <x:c r="F182" s="25" t="str">
        <x:v>神授征服战靴</x:v>
      </x:c>
      <x:c r="G182" s="25" t="n">
        <x:v>2</x:v>
      </x:c>
      <x:c r="H182" s="25" t="str">
        <x:v>致命一击</x:v>
      </x:c>
      <x:c r="I182" s="25" t="n">
        <x:v>1</x:v>
      </x:c>
      <x:c r="J182" s="25" t="n">
        <x:v>16</x:v>
      </x:c>
      <x:c r="K182" s="25" t="str">
        <x:v>仅装备原始基础值决定主属性范围</x:v>
      </x:c>
    </x:row>
    <x:row r="183">
      <x:c r="A183" s="25" t="str">
        <x:v>C03-M</x:v>
      </x:c>
      <x:c r="B183" s="25" t="str">
        <x:v>宁姆格福西域</x:v>
      </x:c>
      <x:c r="C183" s="25" t="str">
        <x:v>半急速中期</x:v>
      </x:c>
      <x:c r="D183" s="25" t="n">
        <x:v>11</x:v>
      </x:c>
      <x:c r="E183" s="25" t="n">
        <x:v>76</x:v>
      </x:c>
      <x:c r="F183" s="25" t="str">
        <x:v>神授征服战靴</x:v>
      </x:c>
      <x:c r="G183" s="25" t="n">
        <x:v>3</x:v>
      </x:c>
      <x:c r="H183" s="25" t="str">
        <x:v>攻击加成</x:v>
      </x:c>
      <x:c r="I183" s="25" t="n">
        <x:v>13</x:v>
      </x:c>
      <x:c r="J183" s="25" t="n">
        <x:v>18</x:v>
      </x:c>
      <x:c r="K183" s="25" t="str">
        <x:v>仅装备原始基础值决定主属性范围</x:v>
      </x:c>
    </x:row>
    <x:row r="184">
      <x:c r="A184" s="25" t="str">
        <x:v>C03-M</x:v>
      </x:c>
      <x:c r="B184" s="25" t="str">
        <x:v>宁姆格福西域</x:v>
      </x:c>
      <x:c r="C184" s="25" t="str">
        <x:v>半急速中期</x:v>
      </x:c>
      <x:c r="D184" s="25" t="n">
        <x:v>11</x:v>
      </x:c>
      <x:c r="E184" s="25" t="n">
        <x:v>76</x:v>
      </x:c>
      <x:c r="F184" s="25" t="str">
        <x:v>神授征服战靴</x:v>
      </x:c>
      <x:c r="G184" s="25" t="n">
        <x:v>4</x:v>
      </x:c>
      <x:c r="H184" s="25" t="str">
        <x:v>攻击</x:v>
      </x:c>
      <x:c r="I184" s="25" t="n">
        <x:v>23</x:v>
      </x:c>
      <x:c r="J184" s="25" t="n">
        <x:v>1</x:v>
      </x:c>
      <x:c r="K184" s="25" t="str">
        <x:v>仅装备原始基础值决定主属性范围</x:v>
      </x:c>
    </x:row>
    <x:row r="185">
      <x:c r="A185" s="25" t="str">
        <x:v>C03-G</x:v>
      </x:c>
      <x:c r="B185" s="25" t="str">
        <x:v>宁姆格福西域</x:v>
      </x:c>
      <x:c r="C185" s="25" t="str">
        <x:v>半急速毕业</x:v>
      </x:c>
      <x:c r="D185" s="25" t="n">
        <x:v>0</x:v>
      </x:c>
      <x:c r="E185" s="25" t="n">
        <x:v>93</x:v>
      </x:c>
      <x:c r="F185" s="25" t="str">
        <x:v>巨犀荒铠</x:v>
      </x:c>
      <x:c r="G185" s="25" t="n">
        <x:v>1</x:v>
      </x:c>
      <x:c r="H185" s="25" t="str">
        <x:v>攻击</x:v>
      </x:c>
      <x:c r="I185" s="25" t="n">
        <x:v>21</x:v>
      </x:c>
      <x:c r="J185" s="25" t="n">
        <x:v>1</x:v>
      </x:c>
      <x:c r="K185" s="25" t="str">
        <x:v>仅装备原始基础值决定主属性范围</x:v>
      </x:c>
    </x:row>
    <x:row r="186">
      <x:c r="A186" s="25" t="str">
        <x:v>C03-G</x:v>
      </x:c>
      <x:c r="B186" s="25" t="str">
        <x:v>宁姆格福西域</x:v>
      </x:c>
      <x:c r="C186" s="25" t="str">
        <x:v>半急速毕业</x:v>
      </x:c>
      <x:c r="D186" s="25" t="n">
        <x:v>0</x:v>
      </x:c>
      <x:c r="E186" s="25" t="n">
        <x:v>93</x:v>
      </x:c>
      <x:c r="F186" s="25" t="str">
        <x:v>巨犀荒铠</x:v>
      </x:c>
      <x:c r="G186" s="25" t="n">
        <x:v>2</x:v>
      </x:c>
      <x:c r="H186" s="25" t="str">
        <x:v>攻击加成</x:v>
      </x:c>
      <x:c r="I186" s="25" t="n">
        <x:v>21</x:v>
      </x:c>
      <x:c r="J186" s="25" t="n">
        <x:v>18</x:v>
      </x:c>
      <x:c r="K186" s="25" t="str">
        <x:v>仅装备原始基础值决定主属性范围</x:v>
      </x:c>
    </x:row>
    <x:row r="187">
      <x:c r="A187" s="25" t="str">
        <x:v>C03-G</x:v>
      </x:c>
      <x:c r="B187" s="25" t="str">
        <x:v>宁姆格福西域</x:v>
      </x:c>
      <x:c r="C187" s="25" t="str">
        <x:v>半急速毕业</x:v>
      </x:c>
      <x:c r="D187" s="25" t="n">
        <x:v>0</x:v>
      </x:c>
      <x:c r="E187" s="25" t="n">
        <x:v>93</x:v>
      </x:c>
      <x:c r="F187" s="25" t="str">
        <x:v>巨犀荒铠</x:v>
      </x:c>
      <x:c r="G187" s="25" t="n">
        <x:v>3</x:v>
      </x:c>
      <x:c r="H187" s="25" t="str">
        <x:v>攻击加成</x:v>
      </x:c>
      <x:c r="I187" s="25" t="n">
        <x:v>45</x:v>
      </x:c>
      <x:c r="J187" s="25" t="n">
        <x:v>19</x:v>
      </x:c>
      <x:c r="K187" s="25" t="str">
        <x:v>仅装备原始基础值决定主属性范围</x:v>
      </x:c>
    </x:row>
    <x:row r="188">
      <x:c r="A188" s="25" t="str">
        <x:v>C03-G</x:v>
      </x:c>
      <x:c r="B188" s="25" t="str">
        <x:v>宁姆格福西域</x:v>
      </x:c>
      <x:c r="C188" s="25" t="str">
        <x:v>半急速毕业</x:v>
      </x:c>
      <x:c r="D188" s="25" t="n">
        <x:v>0</x:v>
      </x:c>
      <x:c r="E188" s="25" t="n">
        <x:v>93</x:v>
      </x:c>
      <x:c r="F188" s="25" t="str">
        <x:v>巨犀荒铠</x:v>
      </x:c>
      <x:c r="G188" s="25" t="n">
        <x:v>4</x:v>
      </x:c>
      <x:c r="H188" s="25" t="str">
        <x:v>攻击速度</x:v>
      </x:c>
      <x:c r="I188" s="25" t="n">
        <x:v>1</x:v>
      </x:c>
      <x:c r="J188" s="25" t="n">
        <x:v>4</x:v>
      </x:c>
      <x:c r="K188" s="25" t="str">
        <x:v>仅装备原始基础值决定主属性范围</x:v>
      </x:c>
    </x:row>
    <x:row r="189">
      <x:c r="A189" s="25" t="str">
        <x:v>C03-G</x:v>
      </x:c>
      <x:c r="B189" s="25" t="str">
        <x:v>宁姆格福西域</x:v>
      </x:c>
      <x:c r="C189" s="25" t="str">
        <x:v>半急速毕业</x:v>
      </x:c>
      <x:c r="D189" s="25" t="n">
        <x:v>0</x:v>
      </x:c>
      <x:c r="E189" s="25" t="n">
        <x:v>93</x:v>
      </x:c>
      <x:c r="F189" s="25" t="str">
        <x:v>巨犀荒铠</x:v>
      </x:c>
      <x:c r="G189" s="25" t="n">
        <x:v>5</x:v>
      </x:c>
      <x:c r="H189" s="25" t="str">
        <x:v>攻击速度</x:v>
      </x:c>
      <x:c r="I189" s="25" t="n">
        <x:v>2</x:v>
      </x:c>
      <x:c r="J189" s="25" t="n">
        <x:v>5</x:v>
      </x:c>
      <x:c r="K189" s="25" t="str">
        <x:v>仅装备原始基础值决定主属性范围</x:v>
      </x:c>
    </x:row>
    <x:row r="190">
      <x:c r="A190" s="25" t="str">
        <x:v>C03-G</x:v>
      </x:c>
      <x:c r="B190" s="25" t="str">
        <x:v>宁姆格福西域</x:v>
      </x:c>
      <x:c r="C190" s="25" t="str">
        <x:v>半急速毕业</x:v>
      </x:c>
      <x:c r="D190" s="25" t="n">
        <x:v>0</x:v>
      </x:c>
      <x:c r="E190" s="25" t="n">
        <x:v>93</x:v>
      </x:c>
      <x:c r="F190" s="25" t="str">
        <x:v>巨犀荒铠</x:v>
      </x:c>
      <x:c r="G190" s="25" t="n">
        <x:v>6</x:v>
      </x:c>
      <x:c r="H190" s="25" t="str">
        <x:v>最大爆率</x:v>
      </x:c>
      <x:c r="I190" s="25" t="n">
        <x:v>2</x:v>
      </x:c>
      <x:c r="J190" s="25" t="n">
        <x:v>23</x:v>
      </x:c>
      <x:c r="K190" s="25" t="str">
        <x:v>仅装备原始基础值决定主属性范围</x:v>
      </x:c>
    </x:row>
    <x:row r="191">
      <x:c r="A191" s="25" t="str">
        <x:v>C03-G</x:v>
      </x:c>
      <x:c r="B191" s="25" t="str">
        <x:v>宁姆格福西域</x:v>
      </x:c>
      <x:c r="C191" s="25" t="str">
        <x:v>半急速毕业</x:v>
      </x:c>
      <x:c r="D191" s="25" t="n">
        <x:v>1</x:v>
      </x:c>
      <x:c r="E191" s="25" t="n">
        <x:v>92</x:v>
      </x:c>
      <x:c r="F191" s="25" t="str">
        <x:v>刑官断刃</x:v>
      </x:c>
      <x:c r="G191" s="25" t="n">
        <x:v>1</x:v>
      </x:c>
      <x:c r="H191" s="25" t="str">
        <x:v>攻击加成</x:v>
      </x:c>
      <x:c r="I191" s="25" t="n">
        <x:v>32</x:v>
      </x:c>
      <x:c r="J191" s="25" t="n">
        <x:v>19</x:v>
      </x:c>
      <x:c r="K191" s="25" t="str">
        <x:v>仅装备原始基础值决定主属性范围</x:v>
      </x:c>
    </x:row>
    <x:row r="192">
      <x:c r="A192" s="25" t="str">
        <x:v>C03-G</x:v>
      </x:c>
      <x:c r="B192" s="25" t="str">
        <x:v>宁姆格福西域</x:v>
      </x:c>
      <x:c r="C192" s="25" t="str">
        <x:v>半急速毕业</x:v>
      </x:c>
      <x:c r="D192" s="25" t="n">
        <x:v>3</x:v>
      </x:c>
      <x:c r="E192" s="25" t="n">
        <x:v>50</x:v>
      </x:c>
      <x:c r="F192" s="25" t="str">
        <x:v>卢恩骑士项链</x:v>
      </x:c>
      <x:c r="G192" s="25" t="n">
        <x:v>1</x:v>
      </x:c>
      <x:c r="H192" s="25" t="str">
        <x:v>攻击加成</x:v>
      </x:c>
      <x:c r="I192" s="25" t="n">
        <x:v>46</x:v>
      </x:c>
      <x:c r="J192" s="25" t="n">
        <x:v>19</x:v>
      </x:c>
      <x:c r="K192" s="25" t="str">
        <x:v>仅装备原始基础值决定主属性范围</x:v>
      </x:c>
    </x:row>
    <x:row r="193">
      <x:c r="A193" s="25" t="str">
        <x:v>C03-G</x:v>
      </x:c>
      <x:c r="B193" s="25" t="str">
        <x:v>宁姆格福西域</x:v>
      </x:c>
      <x:c r="C193" s="25" t="str">
        <x:v>半急速毕业</x:v>
      </x:c>
      <x:c r="D193" s="25" t="n">
        <x:v>4</x:v>
      </x:c>
      <x:c r="E193" s="25" t="n">
        <x:v>35</x:v>
      </x:c>
      <x:c r="F193" s="25" t="str">
        <x:v>圣树先锋战盔</x:v>
      </x:c>
      <x:c r="G193" s="25" t="n">
        <x:v>1</x:v>
      </x:c>
      <x:c r="H193" s="25" t="str">
        <x:v>攻击速度</x:v>
      </x:c>
      <x:c r="I193" s="25" t="n">
        <x:v>2</x:v>
      </x:c>
      <x:c r="J193" s="25" t="n">
        <x:v>5</x:v>
      </x:c>
      <x:c r="K193" s="25" t="str">
        <x:v>仅装备原始基础值决定主属性范围</x:v>
      </x:c>
    </x:row>
    <x:row r="194">
      <x:c r="A194" s="25" t="str">
        <x:v>C03-G</x:v>
      </x:c>
      <x:c r="B194" s="25" t="str">
        <x:v>宁姆格福西域</x:v>
      </x:c>
      <x:c r="C194" s="25" t="str">
        <x:v>半急速毕业</x:v>
      </x:c>
      <x:c r="D194" s="25" t="n">
        <x:v>4</x:v>
      </x:c>
      <x:c r="E194" s="25" t="n">
        <x:v>35</x:v>
      </x:c>
      <x:c r="F194" s="25" t="str">
        <x:v>圣树先锋战盔</x:v>
      </x:c>
      <x:c r="G194" s="25" t="n">
        <x:v>2</x:v>
      </x:c>
      <x:c r="H194" s="25" t="str">
        <x:v>攻击加成</x:v>
      </x:c>
      <x:c r="I194" s="25" t="n">
        <x:v>49</x:v>
      </x:c>
      <x:c r="J194" s="25" t="n">
        <x:v>19</x:v>
      </x:c>
      <x:c r="K194" s="25" t="str">
        <x:v>仅装备原始基础值决定主属性范围</x:v>
      </x:c>
    </x:row>
    <x:row r="195">
      <x:c r="A195" s="25" t="str">
        <x:v>C03-G</x:v>
      </x:c>
      <x:c r="B195" s="25" t="str">
        <x:v>宁姆格福西域</x:v>
      </x:c>
      <x:c r="C195" s="25" t="str">
        <x:v>半急速毕业</x:v>
      </x:c>
      <x:c r="D195" s="25" t="n">
        <x:v>4</x:v>
      </x:c>
      <x:c r="E195" s="25" t="n">
        <x:v>35</x:v>
      </x:c>
      <x:c r="F195" s="25" t="str">
        <x:v>圣树先锋战盔</x:v>
      </x:c>
      <x:c r="G195" s="25" t="n">
        <x:v>3</x:v>
      </x:c>
      <x:c r="H195" s="25" t="str">
        <x:v>攻击速度</x:v>
      </x:c>
      <x:c r="I195" s="25" t="n">
        <x:v>1</x:v>
      </x:c>
      <x:c r="J195" s="25" t="n">
        <x:v>4</x:v>
      </x:c>
      <x:c r="K195" s="25" t="str">
        <x:v>仅装备原始基础值决定主属性范围</x:v>
      </x:c>
    </x:row>
    <x:row r="196">
      <x:c r="A196" s="25" t="str">
        <x:v>C03-G</x:v>
      </x:c>
      <x:c r="B196" s="25" t="str">
        <x:v>宁姆格福西域</x:v>
      </x:c>
      <x:c r="C196" s="25" t="str">
        <x:v>半急速毕业</x:v>
      </x:c>
      <x:c r="D196" s="25" t="n">
        <x:v>4</x:v>
      </x:c>
      <x:c r="E196" s="25" t="n">
        <x:v>35</x:v>
      </x:c>
      <x:c r="F196" s="25" t="str">
        <x:v>圣树先锋战盔</x:v>
      </x:c>
      <x:c r="G196" s="25" t="n">
        <x:v>4</x:v>
      </x:c>
      <x:c r="H196" s="25" t="str">
        <x:v>处决伤害</x:v>
      </x:c>
      <x:c r="I196" s="25" t="n">
        <x:v>1</x:v>
      </x:c>
      <x:c r="J196" s="25" t="n">
        <x:v>10</x:v>
      </x:c>
      <x:c r="K196" s="25" t="str">
        <x:v>仅装备原始基础值决定主属性范围</x:v>
      </x:c>
    </x:row>
    <x:row r="197">
      <x:c r="A197" s="25" t="str">
        <x:v>C03-G</x:v>
      </x:c>
      <x:c r="B197" s="25" t="str">
        <x:v>宁姆格福西域</x:v>
      </x:c>
      <x:c r="C197" s="25" t="str">
        <x:v>半急速毕业</x:v>
      </x:c>
      <x:c r="D197" s="25" t="n">
        <x:v>5</x:v>
      </x:c>
      <x:c r="E197" s="25" t="n">
        <x:v>73</x:v>
      </x:c>
      <x:c r="F197" s="25" t="str">
        <x:v>古龙近卫腕甲</x:v>
      </x:c>
      <x:c r="G197" s="25" t="n">
        <x:v>1</x:v>
      </x:c>
      <x:c r="H197" s="25" t="str">
        <x:v>吸血</x:v>
      </x:c>
      <x:c r="I197" s="25" t="n">
        <x:v>1</x:v>
      </x:c>
      <x:c r="J197" s="25" t="n">
        <x:v>20</x:v>
      </x:c>
      <x:c r="K197" s="25" t="str">
        <x:v>仅装备原始基础值决定主属性范围</x:v>
      </x:c>
    </x:row>
    <x:row r="198">
      <x:c r="A198" s="25" t="str">
        <x:v>C03-G</x:v>
      </x:c>
      <x:c r="B198" s="25" t="str">
        <x:v>宁姆格福西域</x:v>
      </x:c>
      <x:c r="C198" s="25" t="str">
        <x:v>半急速毕业</x:v>
      </x:c>
      <x:c r="D198" s="25" t="n">
        <x:v>5</x:v>
      </x:c>
      <x:c r="E198" s="25" t="n">
        <x:v>73</x:v>
      </x:c>
      <x:c r="F198" s="25" t="str">
        <x:v>古龙近卫腕甲</x:v>
      </x:c>
      <x:c r="G198" s="25" t="n">
        <x:v>2</x:v>
      </x:c>
      <x:c r="H198" s="25" t="str">
        <x:v>攻击速度</x:v>
      </x:c>
      <x:c r="I198" s="25" t="n">
        <x:v>2</x:v>
      </x:c>
      <x:c r="J198" s="25" t="n">
        <x:v>5</x:v>
      </x:c>
      <x:c r="K198" s="25" t="str">
        <x:v>仅装备原始基础值决定主属性范围</x:v>
      </x:c>
    </x:row>
    <x:row r="199">
      <x:c r="A199" s="25" t="str">
        <x:v>C03-G</x:v>
      </x:c>
      <x:c r="B199" s="25" t="str">
        <x:v>宁姆格福西域</x:v>
      </x:c>
      <x:c r="C199" s="25" t="str">
        <x:v>半急速毕业</x:v>
      </x:c>
      <x:c r="D199" s="25" t="n">
        <x:v>5</x:v>
      </x:c>
      <x:c r="E199" s="25" t="n">
        <x:v>73</x:v>
      </x:c>
      <x:c r="F199" s="25" t="str">
        <x:v>古龙近卫腕甲</x:v>
      </x:c>
      <x:c r="G199" s="25" t="n">
        <x:v>3</x:v>
      </x:c>
      <x:c r="H199" s="25" t="str">
        <x:v>韧性</x:v>
      </x:c>
      <x:c r="I199" s="25" t="n">
        <x:v>10</x:v>
      </x:c>
      <x:c r="J199" s="25" t="n">
        <x:v>12</x:v>
      </x:c>
      <x:c r="K199" s="25" t="str">
        <x:v>仅装备原始基础值决定主属性范围</x:v>
      </x:c>
    </x:row>
    <x:row r="200">
      <x:c r="A200" s="25" t="str">
        <x:v>C03-G</x:v>
      </x:c>
      <x:c r="B200" s="25" t="str">
        <x:v>宁姆格福西域</x:v>
      </x:c>
      <x:c r="C200" s="25" t="str">
        <x:v>半急速毕业</x:v>
      </x:c>
      <x:c r="D200" s="25" t="n">
        <x:v>5</x:v>
      </x:c>
      <x:c r="E200" s="25" t="n">
        <x:v>73</x:v>
      </x:c>
      <x:c r="F200" s="25" t="str">
        <x:v>古龙近卫腕甲</x:v>
      </x:c>
      <x:c r="G200" s="25" t="n">
        <x:v>4</x:v>
      </x:c>
      <x:c r="H200" s="25" t="str">
        <x:v>处决伤害</x:v>
      </x:c>
      <x:c r="I200" s="25" t="n">
        <x:v>1</x:v>
      </x:c>
      <x:c r="J200" s="25" t="n">
        <x:v>10</x:v>
      </x:c>
      <x:c r="K200" s="25" t="str">
        <x:v>仅装备原始基础值决定主属性范围</x:v>
      </x:c>
    </x:row>
    <x:row r="201">
      <x:c r="A201" s="25" t="str">
        <x:v>C03-G</x:v>
      </x:c>
      <x:c r="B201" s="25" t="str">
        <x:v>宁姆格福西域</x:v>
      </x:c>
      <x:c r="C201" s="25" t="str">
        <x:v>半急速毕业</x:v>
      </x:c>
      <x:c r="D201" s="25" t="n">
        <x:v>5</x:v>
      </x:c>
      <x:c r="E201" s="25" t="n">
        <x:v>73</x:v>
      </x:c>
      <x:c r="F201" s="25" t="str">
        <x:v>古龙近卫腕甲</x:v>
      </x:c>
      <x:c r="G201" s="25" t="n">
        <x:v>5</x:v>
      </x:c>
      <x:c r="H201" s="25" t="str">
        <x:v>攻击加成</x:v>
      </x:c>
      <x:c r="I201" s="25" t="n">
        <x:v>33</x:v>
      </x:c>
      <x:c r="J201" s="25" t="n">
        <x:v>19</x:v>
      </x:c>
      <x:c r="K201" s="25" t="str">
        <x:v>仅装备原始基础值决定主属性范围</x:v>
      </x:c>
    </x:row>
    <x:row r="202">
      <x:c r="A202" s="25" t="str">
        <x:v>C03-G</x:v>
      </x:c>
      <x:c r="B202" s="25" t="str">
        <x:v>宁姆格福西域</x:v>
      </x:c>
      <x:c r="C202" s="25" t="str">
        <x:v>半急速毕业</x:v>
      </x:c>
      <x:c r="D202" s="25" t="n">
        <x:v>6</x:v>
      </x:c>
      <x:c r="E202" s="25" t="n">
        <x:v>68</x:v>
      </x:c>
      <x:c r="F202" s="25" t="str">
        <x:v>百指接肢腕</x:v>
      </x:c>
      <x:c r="G202" s="25" t="n">
        <x:v>1</x:v>
      </x:c>
      <x:c r="H202" s="25" t="str">
        <x:v>处决伤害</x:v>
      </x:c>
      <x:c r="I202" s="25" t="n">
        <x:v>1</x:v>
      </x:c>
      <x:c r="J202" s="25" t="n">
        <x:v>10</x:v>
      </x:c>
      <x:c r="K202" s="25" t="str">
        <x:v>仅装备原始基础值决定主属性范围</x:v>
      </x:c>
    </x:row>
    <x:row r="203">
      <x:c r="A203" s="25" t="str">
        <x:v>C03-G</x:v>
      </x:c>
      <x:c r="B203" s="25" t="str">
        <x:v>宁姆格福西域</x:v>
      </x:c>
      <x:c r="C203" s="25" t="str">
        <x:v>半急速毕业</x:v>
      </x:c>
      <x:c r="D203" s="25" t="n">
        <x:v>6</x:v>
      </x:c>
      <x:c r="E203" s="25" t="n">
        <x:v>68</x:v>
      </x:c>
      <x:c r="F203" s="25" t="str">
        <x:v>百指接肢腕</x:v>
      </x:c>
      <x:c r="G203" s="25" t="n">
        <x:v>2</x:v>
      </x:c>
      <x:c r="H203" s="25" t="str">
        <x:v>攻击加成</x:v>
      </x:c>
      <x:c r="I203" s="25" t="n">
        <x:v>28</x:v>
      </x:c>
      <x:c r="J203" s="25" t="n">
        <x:v>18</x:v>
      </x:c>
      <x:c r="K203" s="25" t="str">
        <x:v>仅装备原始基础值决定主属性范围</x:v>
      </x:c>
    </x:row>
    <x:row r="204">
      <x:c r="A204" s="25" t="str">
        <x:v>C03-G</x:v>
      </x:c>
      <x:c r="B204" s="25" t="str">
        <x:v>宁姆格福西域</x:v>
      </x:c>
      <x:c r="C204" s="25" t="str">
        <x:v>半急速毕业</x:v>
      </x:c>
      <x:c r="D204" s="25" t="n">
        <x:v>6</x:v>
      </x:c>
      <x:c r="E204" s="25" t="n">
        <x:v>68</x:v>
      </x:c>
      <x:c r="F204" s="25" t="str">
        <x:v>百指接肢腕</x:v>
      </x:c>
      <x:c r="G204" s="25" t="n">
        <x:v>3</x:v>
      </x:c>
      <x:c r="H204" s="25" t="str">
        <x:v>攻击加成</x:v>
      </x:c>
      <x:c r="I204" s="25" t="n">
        <x:v>45</x:v>
      </x:c>
      <x:c r="J204" s="25" t="n">
        <x:v>19</x:v>
      </x:c>
      <x:c r="K204" s="25" t="str">
        <x:v>仅装备原始基础值决定主属性范围</x:v>
      </x:c>
    </x:row>
    <x:row r="205">
      <x:c r="A205" s="25" t="str">
        <x:v>C03-G</x:v>
      </x:c>
      <x:c r="B205" s="25" t="str">
        <x:v>宁姆格福西域</x:v>
      </x:c>
      <x:c r="C205" s="25" t="str">
        <x:v>半急速毕业</x:v>
      </x:c>
      <x:c r="D205" s="25" t="n">
        <x:v>6</x:v>
      </x:c>
      <x:c r="E205" s="25" t="n">
        <x:v>68</x:v>
      </x:c>
      <x:c r="F205" s="25" t="str">
        <x:v>百指接肢腕</x:v>
      </x:c>
      <x:c r="G205" s="25" t="n">
        <x:v>4</x:v>
      </x:c>
      <x:c r="H205" s="25" t="str">
        <x:v>处决伤害</x:v>
      </x:c>
      <x:c r="I205" s="25" t="n">
        <x:v>2</x:v>
      </x:c>
      <x:c r="J205" s="25" t="n">
        <x:v>11</x:v>
      </x:c>
      <x:c r="K205" s="25" t="str">
        <x:v>仅装备原始基础值决定主属性范围</x:v>
      </x:c>
    </x:row>
    <x:row r="206">
      <x:c r="A206" s="25" t="str">
        <x:v>C03-G</x:v>
      </x:c>
      <x:c r="B206" s="25" t="str">
        <x:v>宁姆格福西域</x:v>
      </x:c>
      <x:c r="C206" s="25" t="str">
        <x:v>半急速毕业</x:v>
      </x:c>
      <x:c r="D206" s="25" t="n">
        <x:v>6</x:v>
      </x:c>
      <x:c r="E206" s="25" t="n">
        <x:v>68</x:v>
      </x:c>
      <x:c r="F206" s="25" t="str">
        <x:v>百指接肢腕</x:v>
      </x:c>
      <x:c r="G206" s="25" t="n">
        <x:v>5</x:v>
      </x:c>
      <x:c r="H206" s="25" t="str">
        <x:v>暴击</x:v>
      </x:c>
      <x:c r="I206" s="25" t="n">
        <x:v>1</x:v>
      </x:c>
      <x:c r="J206" s="25" t="n">
        <x:v>14</x:v>
      </x:c>
      <x:c r="K206" s="25" t="str">
        <x:v>仅装备原始基础值决定主属性范围</x:v>
      </x:c>
    </x:row>
    <x:row r="207">
      <x:c r="A207" s="25" t="str">
        <x:v>C03-G</x:v>
      </x:c>
      <x:c r="B207" s="25" t="str">
        <x:v>宁姆格福西域</x:v>
      </x:c>
      <x:c r="C207" s="25" t="str">
        <x:v>半急速毕业</x:v>
      </x:c>
      <x:c r="D207" s="25" t="n">
        <x:v>7</x:v>
      </x:c>
      <x:c r="E207" s="25" t="n">
        <x:v>75</x:v>
      </x:c>
      <x:c r="F207" s="25" t="str">
        <x:v>归乡弩戒</x:v>
      </x:c>
      <x:c r="G207" s="25" t="n">
        <x:v>1</x:v>
      </x:c>
      <x:c r="H207" s="25" t="str">
        <x:v>攻击加成</x:v>
      </x:c>
      <x:c r="I207" s="25" t="n">
        <x:v>25</x:v>
      </x:c>
      <x:c r="J207" s="25" t="n">
        <x:v>18</x:v>
      </x:c>
      <x:c r="K207" s="25" t="str">
        <x:v>仅装备原始基础值决定主属性范围</x:v>
      </x:c>
    </x:row>
    <x:row r="208">
      <x:c r="A208" s="25" t="str">
        <x:v>C03-G</x:v>
      </x:c>
      <x:c r="B208" s="25" t="str">
        <x:v>宁姆格福西域</x:v>
      </x:c>
      <x:c r="C208" s="25" t="str">
        <x:v>半急速毕业</x:v>
      </x:c>
      <x:c r="D208" s="25" t="n">
        <x:v>7</x:v>
      </x:c>
      <x:c r="E208" s="25" t="n">
        <x:v>75</x:v>
      </x:c>
      <x:c r="F208" s="25" t="str">
        <x:v>归乡弩戒</x:v>
      </x:c>
      <x:c r="G208" s="25" t="n">
        <x:v>2</x:v>
      </x:c>
      <x:c r="H208" s="25" t="str">
        <x:v>攻击</x:v>
      </x:c>
      <x:c r="I208" s="25" t="n">
        <x:v>23</x:v>
      </x:c>
      <x:c r="J208" s="25" t="n">
        <x:v>1</x:v>
      </x:c>
      <x:c r="K208" s="25" t="str">
        <x:v>仅装备原始基础值决定主属性范围</x:v>
      </x:c>
    </x:row>
    <x:row r="209">
      <x:c r="A209" s="25" t="str">
        <x:v>C03-G</x:v>
      </x:c>
      <x:c r="B209" s="25" t="str">
        <x:v>宁姆格福西域</x:v>
      </x:c>
      <x:c r="C209" s="25" t="str">
        <x:v>半急速毕业</x:v>
      </x:c>
      <x:c r="D209" s="25" t="n">
        <x:v>7</x:v>
      </x:c>
      <x:c r="E209" s="25" t="n">
        <x:v>75</x:v>
      </x:c>
      <x:c r="F209" s="25" t="str">
        <x:v>归乡弩戒</x:v>
      </x:c>
      <x:c r="G209" s="25" t="n">
        <x:v>3</x:v>
      </x:c>
      <x:c r="H209" s="25" t="str">
        <x:v>攻击加成</x:v>
      </x:c>
      <x:c r="I209" s="25" t="n">
        <x:v>20</x:v>
      </x:c>
      <x:c r="J209" s="25" t="n">
        <x:v>18</x:v>
      </x:c>
      <x:c r="K209" s="25" t="str">
        <x:v>仅装备原始基础值决定主属性范围</x:v>
      </x:c>
    </x:row>
    <x:row r="210">
      <x:c r="A210" s="25" t="str">
        <x:v>C03-G</x:v>
      </x:c>
      <x:c r="B210" s="25" t="str">
        <x:v>宁姆格福西域</x:v>
      </x:c>
      <x:c r="C210" s="25" t="str">
        <x:v>半急速毕业</x:v>
      </x:c>
      <x:c r="D210" s="25" t="n">
        <x:v>8</x:v>
      </x:c>
      <x:c r="E210" s="25" t="n">
        <x:v>54</x:v>
      </x:c>
      <x:c r="F210" s="25" t="str">
        <x:v>潮归秘戒</x:v>
      </x:c>
      <x:c r="G210" s="25" t="n">
        <x:v>1</x:v>
      </x:c>
      <x:c r="H210" s="25" t="str">
        <x:v>道术</x:v>
      </x:c>
      <x:c r="I210" s="25" t="n">
        <x:v>6</x:v>
      </x:c>
      <x:c r="J210" s="25" t="n">
        <x:v>3</x:v>
      </x:c>
      <x:c r="K210" s="25" t="str">
        <x:v>仅装备原始基础值决定主属性范围</x:v>
      </x:c>
    </x:row>
    <x:row r="211">
      <x:c r="A211" s="25" t="str">
        <x:v>C03-G</x:v>
      </x:c>
      <x:c r="B211" s="25" t="str">
        <x:v>宁姆格福西域</x:v>
      </x:c>
      <x:c r="C211" s="25" t="str">
        <x:v>半急速毕业</x:v>
      </x:c>
      <x:c r="D211" s="25" t="n">
        <x:v>8</x:v>
      </x:c>
      <x:c r="E211" s="25" t="n">
        <x:v>54</x:v>
      </x:c>
      <x:c r="F211" s="25" t="str">
        <x:v>潮归秘戒</x:v>
      </x:c>
      <x:c r="G211" s="25" t="n">
        <x:v>2</x:v>
      </x:c>
      <x:c r="H211" s="25" t="str">
        <x:v>伤害系数</x:v>
      </x:c>
      <x:c r="I211" s="25" t="n">
        <x:v>2</x:v>
      </x:c>
      <x:c r="J211" s="25" t="n">
        <x:v>26</x:v>
      </x:c>
      <x:c r="K211" s="25" t="str">
        <x:v>仅装备原始基础值决定主属性范围</x:v>
      </x:c>
    </x:row>
    <x:row r="212">
      <x:c r="A212" s="25" t="str">
        <x:v>C03-G</x:v>
      </x:c>
      <x:c r="B212" s="25" t="str">
        <x:v>宁姆格福西域</x:v>
      </x:c>
      <x:c r="C212" s="25" t="str">
        <x:v>半急速毕业</x:v>
      </x:c>
      <x:c r="D212" s="25" t="n">
        <x:v>8</x:v>
      </x:c>
      <x:c r="E212" s="25" t="n">
        <x:v>54</x:v>
      </x:c>
      <x:c r="F212" s="25" t="str">
        <x:v>潮归秘戒</x:v>
      </x:c>
      <x:c r="G212" s="25" t="n">
        <x:v>3</x:v>
      </x:c>
      <x:c r="H212" s="25" t="str">
        <x:v>攻击加成</x:v>
      </x:c>
      <x:c r="I212" s="25" t="n">
        <x:v>25</x:v>
      </x:c>
      <x:c r="J212" s="25" t="n">
        <x:v>18</x:v>
      </x:c>
      <x:c r="K212" s="25" t="str">
        <x:v>仅装备原始基础值决定主属性范围</x:v>
      </x:c>
    </x:row>
    <x:row r="213">
      <x:c r="A213" s="25" t="str">
        <x:v>C03-G</x:v>
      </x:c>
      <x:c r="B213" s="25" t="str">
        <x:v>宁姆格福西域</x:v>
      </x:c>
      <x:c r="C213" s="25" t="str">
        <x:v>半急速毕业</x:v>
      </x:c>
      <x:c r="D213" s="25" t="n">
        <x:v>8</x:v>
      </x:c>
      <x:c r="E213" s="25" t="n">
        <x:v>54</x:v>
      </x:c>
      <x:c r="F213" s="25" t="str">
        <x:v>潮归秘戒</x:v>
      </x:c>
      <x:c r="G213" s="25" t="n">
        <x:v>4</x:v>
      </x:c>
      <x:c r="H213" s="25" t="str">
        <x:v>暴击</x:v>
      </x:c>
      <x:c r="I213" s="25" t="n">
        <x:v>2</x:v>
      </x:c>
      <x:c r="J213" s="25" t="n">
        <x:v>15</x:v>
      </x:c>
      <x:c r="K213" s="25" t="str">
        <x:v>仅装备原始基础值决定主属性范围</x:v>
      </x:c>
    </x:row>
    <x:row r="214">
      <x:c r="A214" s="25" t="str">
        <x:v>C03-G</x:v>
      </x:c>
      <x:c r="B214" s="25" t="str">
        <x:v>宁姆格福西域</x:v>
      </x:c>
      <x:c r="C214" s="25" t="str">
        <x:v>半急速毕业</x:v>
      </x:c>
      <x:c r="D214" s="25" t="n">
        <x:v>10</x:v>
      </x:c>
      <x:c r="E214" s="25" t="n">
        <x:v>36</x:v>
      </x:c>
      <x:c r="F214" s="25" t="str">
        <x:v>黄金戍卫腰带</x:v>
      </x:c>
      <x:c r="G214" s="25" t="n">
        <x:v>1</x:v>
      </x:c>
      <x:c r="H214" s="25" t="str">
        <x:v>攻击</x:v>
      </x:c>
      <x:c r="I214" s="25" t="n">
        <x:v>22</x:v>
      </x:c>
      <x:c r="J214" s="25" t="n">
        <x:v>1</x:v>
      </x:c>
      <x:c r="K214" s="25" t="str">
        <x:v>仅装备原始基础值决定主属性范围</x:v>
      </x:c>
    </x:row>
    <x:row r="215">
      <x:c r="A215" s="25" t="str">
        <x:v>C03-G</x:v>
      </x:c>
      <x:c r="B215" s="25" t="str">
        <x:v>宁姆格福西域</x:v>
      </x:c>
      <x:c r="C215" s="25" t="str">
        <x:v>半急速毕业</x:v>
      </x:c>
      <x:c r="D215" s="25" t="n">
        <x:v>10</x:v>
      </x:c>
      <x:c r="E215" s="25" t="n">
        <x:v>36</x:v>
      </x:c>
      <x:c r="F215" s="25" t="str">
        <x:v>黄金戍卫腰带</x:v>
      </x:c>
      <x:c r="G215" s="25" t="n">
        <x:v>2</x:v>
      </x:c>
      <x:c r="H215" s="25" t="str">
        <x:v>暴击</x:v>
      </x:c>
      <x:c r="I215" s="25" t="n">
        <x:v>1</x:v>
      </x:c>
      <x:c r="J215" s="25" t="n">
        <x:v>14</x:v>
      </x:c>
      <x:c r="K215" s="25" t="str">
        <x:v>仅装备原始基础值决定主属性范围</x:v>
      </x:c>
    </x:row>
    <x:row r="216">
      <x:c r="A216" s="25" t="str">
        <x:v>C03-G</x:v>
      </x:c>
      <x:c r="B216" s="25" t="str">
        <x:v>宁姆格福西域</x:v>
      </x:c>
      <x:c r="C216" s="25" t="str">
        <x:v>半急速毕业</x:v>
      </x:c>
      <x:c r="D216" s="25" t="n">
        <x:v>10</x:v>
      </x:c>
      <x:c r="E216" s="25" t="n">
        <x:v>36</x:v>
      </x:c>
      <x:c r="F216" s="25" t="str">
        <x:v>黄金戍卫腰带</x:v>
      </x:c>
      <x:c r="G216" s="25" t="n">
        <x:v>3</x:v>
      </x:c>
      <x:c r="H216" s="25" t="str">
        <x:v>攻击加成</x:v>
      </x:c>
      <x:c r="I216" s="25" t="n">
        <x:v>22</x:v>
      </x:c>
      <x:c r="J216" s="25" t="n">
        <x:v>18</x:v>
      </x:c>
      <x:c r="K216" s="25" t="str">
        <x:v>仅装备原始基础值决定主属性范围</x:v>
      </x:c>
    </x:row>
    <x:row r="217">
      <x:c r="A217" s="25" t="str">
        <x:v>C03-G</x:v>
      </x:c>
      <x:c r="B217" s="25" t="str">
        <x:v>宁姆格福西域</x:v>
      </x:c>
      <x:c r="C217" s="25" t="str">
        <x:v>半急速毕业</x:v>
      </x:c>
      <x:c r="D217" s="25" t="n">
        <x:v>10</x:v>
      </x:c>
      <x:c r="E217" s="25" t="n">
        <x:v>36</x:v>
      </x:c>
      <x:c r="F217" s="25" t="str">
        <x:v>黄金戍卫腰带</x:v>
      </x:c>
      <x:c r="G217" s="25" t="n">
        <x:v>4</x:v>
      </x:c>
      <x:c r="H217" s="25" t="str">
        <x:v>致命一击</x:v>
      </x:c>
      <x:c r="I217" s="25" t="n">
        <x:v>1</x:v>
      </x:c>
      <x:c r="J217" s="25" t="n">
        <x:v>16</x:v>
      </x:c>
      <x:c r="K217" s="25" t="str">
        <x:v>仅装备原始基础值决定主属性范围</x:v>
      </x:c>
    </x:row>
    <x:row r="218">
      <x:c r="A218" s="25" t="str">
        <x:v>C03-G</x:v>
      </x:c>
      <x:c r="B218" s="25" t="str">
        <x:v>宁姆格福西域</x:v>
      </x:c>
      <x:c r="C218" s="25" t="str">
        <x:v>半急速毕业</x:v>
      </x:c>
      <x:c r="D218" s="25" t="n">
        <x:v>11</x:v>
      </x:c>
      <x:c r="E218" s="25" t="n">
        <x:v>94</x:v>
      </x:c>
      <x:c r="F218" s="25" t="str">
        <x:v>逐风征靴</x:v>
      </x:c>
      <x:c r="G218" s="25" t="n">
        <x:v>1</x:v>
      </x:c>
      <x:c r="H218" s="25" t="str">
        <x:v>攻击加成</x:v>
      </x:c>
      <x:c r="I218" s="25" t="n">
        <x:v>13</x:v>
      </x:c>
      <x:c r="J218" s="25" t="n">
        <x:v>18</x:v>
      </x:c>
      <x:c r="K218" s="25" t="str">
        <x:v>仅装备原始基础值决定主属性范围</x:v>
      </x:c>
    </x:row>
    <x:row r="219">
      <x:c r="A219" s="25" t="str">
        <x:v>C03-G</x:v>
      </x:c>
      <x:c r="B219" s="25" t="str">
        <x:v>宁姆格福西域</x:v>
      </x:c>
      <x:c r="C219" s="25" t="str">
        <x:v>半急速毕业</x:v>
      </x:c>
      <x:c r="D219" s="25" t="n">
        <x:v>11</x:v>
      </x:c>
      <x:c r="E219" s="25" t="n">
        <x:v>94</x:v>
      </x:c>
      <x:c r="F219" s="25" t="str">
        <x:v>逐风征靴</x:v>
      </x:c>
      <x:c r="G219" s="25" t="n">
        <x:v>2</x:v>
      </x:c>
      <x:c r="H219" s="25" t="str">
        <x:v>攻击</x:v>
      </x:c>
      <x:c r="I219" s="25" t="n">
        <x:v>53</x:v>
      </x:c>
      <x:c r="J219" s="25" t="n">
        <x:v>1</x:v>
      </x:c>
      <x:c r="K219" s="25" t="str">
        <x:v>仅装备原始基础值决定主属性范围</x:v>
      </x:c>
    </x:row>
    <x:row r="220">
      <x:c r="A220" s="25" t="str">
        <x:v>C03-X</x:v>
      </x:c>
      <x:c r="B220" s="25" t="str">
        <x:v>宁姆格福西域</x:v>
      </x:c>
      <x:c r="C220" s="25" t="str">
        <x:v>极端压力</x:v>
      </x:c>
      <x:c r="D220" s="25" t="n">
        <x:v>0</x:v>
      </x:c>
      <x:c r="E220" s="25" t="n">
        <x:v>87</x:v>
      </x:c>
      <x:c r="F220" s="25" t="str">
        <x:v>巨犀荒铠</x:v>
      </x:c>
      <x:c r="G220" s="25" t="n">
        <x:v>1</x:v>
      </x:c>
      <x:c r="H220" s="25" t="str">
        <x:v>暴击</x:v>
      </x:c>
      <x:c r="I220" s="25" t="n">
        <x:v>1</x:v>
      </x:c>
      <x:c r="J220" s="25" t="n">
        <x:v>14</x:v>
      </x:c>
      <x:c r="K220" s="25" t="str">
        <x:v>仅装备原始基础值决定主属性范围</x:v>
      </x:c>
    </x:row>
    <x:row r="221">
      <x:c r="A221" s="25" t="str">
        <x:v>C03-X</x:v>
      </x:c>
      <x:c r="B221" s="25" t="str">
        <x:v>宁姆格福西域</x:v>
      </x:c>
      <x:c r="C221" s="25" t="str">
        <x:v>极端压力</x:v>
      </x:c>
      <x:c r="D221" s="25" t="n">
        <x:v>0</x:v>
      </x:c>
      <x:c r="E221" s="25" t="n">
        <x:v>87</x:v>
      </x:c>
      <x:c r="F221" s="25" t="str">
        <x:v>巨犀荒铠</x:v>
      </x:c>
      <x:c r="G221" s="25" t="n">
        <x:v>2</x:v>
      </x:c>
      <x:c r="H221" s="25" t="str">
        <x:v>伤害系数</x:v>
      </x:c>
      <x:c r="I221" s="25" t="n">
        <x:v>1</x:v>
      </x:c>
      <x:c r="J221" s="25" t="n">
        <x:v>25</x:v>
      </x:c>
      <x:c r="K221" s="25" t="str">
        <x:v>仅装备原始基础值决定主属性范围</x:v>
      </x:c>
    </x:row>
    <x:row r="222">
      <x:c r="A222" s="25" t="str">
        <x:v>C03-X</x:v>
      </x:c>
      <x:c r="B222" s="25" t="str">
        <x:v>宁姆格福西域</x:v>
      </x:c>
      <x:c r="C222" s="25" t="str">
        <x:v>极端压力</x:v>
      </x:c>
      <x:c r="D222" s="25" t="n">
        <x:v>0</x:v>
      </x:c>
      <x:c r="E222" s="25" t="n">
        <x:v>87</x:v>
      </x:c>
      <x:c r="F222" s="25" t="str">
        <x:v>巨犀荒铠</x:v>
      </x:c>
      <x:c r="G222" s="25" t="n">
        <x:v>3</x:v>
      </x:c>
      <x:c r="H222" s="25" t="str">
        <x:v>魔法</x:v>
      </x:c>
      <x:c r="I222" s="25" t="n">
        <x:v>17</x:v>
      </x:c>
      <x:c r="J222" s="25" t="n">
        <x:v>2</x:v>
      </x:c>
      <x:c r="K222" s="25" t="str">
        <x:v>仅装备原始基础值决定主属性范围</x:v>
      </x:c>
    </x:row>
    <x:row r="223">
      <x:c r="A223" s="25" t="str">
        <x:v>C03-X</x:v>
      </x:c>
      <x:c r="B223" s="25" t="str">
        <x:v>宁姆格福西域</x:v>
      </x:c>
      <x:c r="C223" s="25" t="str">
        <x:v>极端压力</x:v>
      </x:c>
      <x:c r="D223" s="25" t="n">
        <x:v>0</x:v>
      </x:c>
      <x:c r="E223" s="25" t="n">
        <x:v>87</x:v>
      </x:c>
      <x:c r="F223" s="25" t="str">
        <x:v>巨犀荒铠</x:v>
      </x:c>
      <x:c r="G223" s="25" t="n">
        <x:v>4</x:v>
      </x:c>
      <x:c r="H223" s="25" t="str">
        <x:v>攻击速度</x:v>
      </x:c>
      <x:c r="I223" s="25" t="n">
        <x:v>1</x:v>
      </x:c>
      <x:c r="J223" s="25" t="n">
        <x:v>4</x:v>
      </x:c>
      <x:c r="K223" s="25" t="str">
        <x:v>仅装备原始基础值决定主属性范围</x:v>
      </x:c>
    </x:row>
    <x:row r="224">
      <x:c r="A224" s="25" t="str">
        <x:v>C03-X</x:v>
      </x:c>
      <x:c r="B224" s="25" t="str">
        <x:v>宁姆格福西域</x:v>
      </x:c>
      <x:c r="C224" s="25" t="str">
        <x:v>极端压力</x:v>
      </x:c>
      <x:c r="D224" s="25" t="n">
        <x:v>0</x:v>
      </x:c>
      <x:c r="E224" s="25" t="n">
        <x:v>87</x:v>
      </x:c>
      <x:c r="F224" s="25" t="str">
        <x:v>巨犀荒铠</x:v>
      </x:c>
      <x:c r="G224" s="25" t="n">
        <x:v>5</x:v>
      </x:c>
      <x:c r="H224" s="25" t="str">
        <x:v>处决概率</x:v>
      </x:c>
      <x:c r="I224" s="25" t="n">
        <x:v>1</x:v>
      </x:c>
      <x:c r="J224" s="25" t="n">
        <x:v>6</x:v>
      </x:c>
      <x:c r="K224" s="25" t="str">
        <x:v>仅装备原始基础值决定主属性范围</x:v>
      </x:c>
    </x:row>
    <x:row r="225">
      <x:c r="A225" s="25" t="str">
        <x:v>C03-X</x:v>
      </x:c>
      <x:c r="B225" s="25" t="str">
        <x:v>宁姆格福西域</x:v>
      </x:c>
      <x:c r="C225" s="25" t="str">
        <x:v>极端压力</x:v>
      </x:c>
      <x:c r="D225" s="25" t="n">
        <x:v>0</x:v>
      </x:c>
      <x:c r="E225" s="25" t="n">
        <x:v>87</x:v>
      </x:c>
      <x:c r="F225" s="25" t="str">
        <x:v>巨犀荒铠</x:v>
      </x:c>
      <x:c r="G225" s="25" t="n">
        <x:v>6</x:v>
      </x:c>
      <x:c r="H225" s="25" t="str">
        <x:v>攻击</x:v>
      </x:c>
      <x:c r="I225" s="25" t="n">
        <x:v>61</x:v>
      </x:c>
      <x:c r="J225" s="25" t="n">
        <x:v>1</x:v>
      </x:c>
      <x:c r="K225" s="25" t="str">
        <x:v>仅装备原始基础值决定主属性范围</x:v>
      </x:c>
    </x:row>
    <x:row r="226">
      <x:c r="A226" s="25" t="str">
        <x:v>C03-X</x:v>
      </x:c>
      <x:c r="B226" s="25" t="str">
        <x:v>宁姆格福西域</x:v>
      </x:c>
      <x:c r="C226" s="25" t="str">
        <x:v>极端压力</x:v>
      </x:c>
      <x:c r="D226" s="25" t="n">
        <x:v>0</x:v>
      </x:c>
      <x:c r="E226" s="25" t="n">
        <x:v>87</x:v>
      </x:c>
      <x:c r="F226" s="25" t="str">
        <x:v>巨犀荒铠</x:v>
      </x:c>
      <x:c r="G226" s="25" t="n">
        <x:v>7</x:v>
      </x:c>
      <x:c r="H226" s="25" t="str">
        <x:v>处决概率</x:v>
      </x:c>
      <x:c r="I226" s="25" t="n">
        <x:v>2</x:v>
      </x:c>
      <x:c r="J226" s="25" t="n">
        <x:v>7</x:v>
      </x:c>
      <x:c r="K226" s="25" t="str">
        <x:v>仅装备原始基础值决定主属性范围</x:v>
      </x:c>
    </x:row>
    <x:row r="227">
      <x:c r="A227" s="25" t="str">
        <x:v>C03-X</x:v>
      </x:c>
      <x:c r="B227" s="25" t="str">
        <x:v>宁姆格福西域</x:v>
      </x:c>
      <x:c r="C227" s="25" t="str">
        <x:v>极端压力</x:v>
      </x:c>
      <x:c r="D227" s="25" t="n">
        <x:v>1</x:v>
      </x:c>
      <x:c r="E227" s="25" t="n">
        <x:v>111</x:v>
      </x:c>
      <x:c r="F227" s="25" t="str">
        <x:v>艾德统帅剑</x:v>
      </x:c>
      <x:c r="G227" s="25" t="n">
        <x:v>1</x:v>
      </x:c>
      <x:c r="H227" s="25" t="str">
        <x:v>处决概率</x:v>
      </x:c>
      <x:c r="I227" s="25" t="n">
        <x:v>1</x:v>
      </x:c>
      <x:c r="J227" s="25" t="n">
        <x:v>6</x:v>
      </x:c>
      <x:c r="K227" s="25" t="str">
        <x:v>仅装备原始基础值决定主属性范围</x:v>
      </x:c>
    </x:row>
    <x:row r="228">
      <x:c r="A228" s="25" t="str">
        <x:v>C03-X</x:v>
      </x:c>
      <x:c r="B228" s="25" t="str">
        <x:v>宁姆格福西域</x:v>
      </x:c>
      <x:c r="C228" s="25" t="str">
        <x:v>极端压力</x:v>
      </x:c>
      <x:c r="D228" s="25" t="n">
        <x:v>1</x:v>
      </x:c>
      <x:c r="E228" s="25" t="n">
        <x:v>111</x:v>
      </x:c>
      <x:c r="F228" s="25" t="str">
        <x:v>艾德统帅剑</x:v>
      </x:c>
      <x:c r="G228" s="25" t="n">
        <x:v>2</x:v>
      </x:c>
      <x:c r="H228" s="25" t="str">
        <x:v>处决概率</x:v>
      </x:c>
      <x:c r="I228" s="25" t="n">
        <x:v>1</x:v>
      </x:c>
      <x:c r="J228" s="25" t="n">
        <x:v>6</x:v>
      </x:c>
      <x:c r="K228" s="25" t="str">
        <x:v>仅装备原始基础值决定主属性范围</x:v>
      </x:c>
    </x:row>
    <x:row r="229">
      <x:c r="A229" s="25" t="str">
        <x:v>C03-X</x:v>
      </x:c>
      <x:c r="B229" s="25" t="str">
        <x:v>宁姆格福西域</x:v>
      </x:c>
      <x:c r="C229" s="25" t="str">
        <x:v>极端压力</x:v>
      </x:c>
      <x:c r="D229" s="25" t="n">
        <x:v>1</x:v>
      </x:c>
      <x:c r="E229" s="25" t="n">
        <x:v>111</x:v>
      </x:c>
      <x:c r="F229" s="25" t="str">
        <x:v>艾德统帅剑</x:v>
      </x:c>
      <x:c r="G229" s="25" t="n">
        <x:v>3</x:v>
      </x:c>
      <x:c r="H229" s="25" t="str">
        <x:v>韧性</x:v>
      </x:c>
      <x:c r="I229" s="25" t="n">
        <x:v>10</x:v>
      </x:c>
      <x:c r="J229" s="25" t="n">
        <x:v>12</x:v>
      </x:c>
      <x:c r="K229" s="25" t="str">
        <x:v>仅装备原始基础值决定主属性范围</x:v>
      </x:c>
    </x:row>
    <x:row r="230">
      <x:c r="A230" s="25" t="str">
        <x:v>C03-X</x:v>
      </x:c>
      <x:c r="B230" s="25" t="str">
        <x:v>宁姆格福西域</x:v>
      </x:c>
      <x:c r="C230" s="25" t="str">
        <x:v>极端压力</x:v>
      </x:c>
      <x:c r="D230" s="25" t="n">
        <x:v>1</x:v>
      </x:c>
      <x:c r="E230" s="25" t="n">
        <x:v>111</x:v>
      </x:c>
      <x:c r="F230" s="25" t="str">
        <x:v>艾德统帅剑</x:v>
      </x:c>
      <x:c r="G230" s="25" t="n">
        <x:v>4</x:v>
      </x:c>
      <x:c r="H230" s="25" t="str">
        <x:v>攻击</x:v>
      </x:c>
      <x:c r="I230" s="25" t="n">
        <x:v>553</x:v>
      </x:c>
      <x:c r="J230" s="25" t="n">
        <x:v>1</x:v>
      </x:c>
      <x:c r="K230" s="25" t="str">
        <x:v>仅装备原始基础值决定主属性范围</x:v>
      </x:c>
    </x:row>
    <x:row r="231">
      <x:c r="A231" s="25" t="str">
        <x:v>C03-X</x:v>
      </x:c>
      <x:c r="B231" s="25" t="str">
        <x:v>宁姆格福西域</x:v>
      </x:c>
      <x:c r="C231" s="25" t="str">
        <x:v>极端压力</x:v>
      </x:c>
      <x:c r="D231" s="25" t="n">
        <x:v>1</x:v>
      </x:c>
      <x:c r="E231" s="25" t="n">
        <x:v>111</x:v>
      </x:c>
      <x:c r="F231" s="25" t="str">
        <x:v>艾德统帅剑</x:v>
      </x:c>
      <x:c r="G231" s="25" t="n">
        <x:v>5</x:v>
      </x:c>
      <x:c r="H231" s="25" t="str">
        <x:v>攻击加成</x:v>
      </x:c>
      <x:c r="I231" s="25" t="n">
        <x:v>39</x:v>
      </x:c>
      <x:c r="J231" s="25" t="n">
        <x:v>19</x:v>
      </x:c>
      <x:c r="K231" s="25" t="str">
        <x:v>仅装备原始基础值决定主属性范围</x:v>
      </x:c>
    </x:row>
    <x:row r="232">
      <x:c r="A232" s="25" t="str">
        <x:v>C03-X</x:v>
      </x:c>
      <x:c r="B232" s="25" t="str">
        <x:v>宁姆格福西域</x:v>
      </x:c>
      <x:c r="C232" s="25" t="str">
        <x:v>极端压力</x:v>
      </x:c>
      <x:c r="D232" s="25" t="n">
        <x:v>1</x:v>
      </x:c>
      <x:c r="E232" s="25" t="n">
        <x:v>111</x:v>
      </x:c>
      <x:c r="F232" s="25" t="str">
        <x:v>艾德统帅剑</x:v>
      </x:c>
      <x:c r="G232" s="25" t="n">
        <x:v>6</x:v>
      </x:c>
      <x:c r="H232" s="25" t="str">
        <x:v>最大爆率</x:v>
      </x:c>
      <x:c r="I232" s="25" t="n">
        <x:v>1</x:v>
      </x:c>
      <x:c r="J232" s="25" t="n">
        <x:v>22</x:v>
      </x:c>
      <x:c r="K232" s="25" t="str">
        <x:v>仅装备原始基础值决定主属性范围</x:v>
      </x:c>
    </x:row>
    <x:row r="233">
      <x:c r="A233" s="25" t="str">
        <x:v>C03-X</x:v>
      </x:c>
      <x:c r="B233" s="25" t="str">
        <x:v>宁姆格福西域</x:v>
      </x:c>
      <x:c r="C233" s="25" t="str">
        <x:v>极端压力</x:v>
      </x:c>
      <x:c r="D233" s="25" t="n">
        <x:v>3</x:v>
      </x:c>
      <x:c r="E233" s="25" t="n">
        <x:v>110</x:v>
      </x:c>
      <x:c r="F233" s="25" t="str">
        <x:v>风暴王庭链</x:v>
      </x:c>
      <x:c r="G233" s="25" t="n">
        <x:v>1</x:v>
      </x:c>
      <x:c r="H233" s="25" t="str">
        <x:v>攻击加成</x:v>
      </x:c>
      <x:c r="I233" s="25" t="n">
        <x:v>45</x:v>
      </x:c>
      <x:c r="J233" s="25" t="n">
        <x:v>19</x:v>
      </x:c>
      <x:c r="K233" s="25" t="str">
        <x:v>仅装备原始基础值决定主属性范围</x:v>
      </x:c>
    </x:row>
    <x:row r="234">
      <x:c r="A234" s="25" t="str">
        <x:v>C03-X</x:v>
      </x:c>
      <x:c r="B234" s="25" t="str">
        <x:v>宁姆格福西域</x:v>
      </x:c>
      <x:c r="C234" s="25" t="str">
        <x:v>极端压力</x:v>
      </x:c>
      <x:c r="D234" s="25" t="n">
        <x:v>3</x:v>
      </x:c>
      <x:c r="E234" s="25" t="n">
        <x:v>110</x:v>
      </x:c>
      <x:c r="F234" s="25" t="str">
        <x:v>风暴王庭链</x:v>
      </x:c>
      <x:c r="G234" s="25" t="n">
        <x:v>2</x:v>
      </x:c>
      <x:c r="H234" s="25" t="str">
        <x:v>攻击加成</x:v>
      </x:c>
      <x:c r="I234" s="25" t="n">
        <x:v>24</x:v>
      </x:c>
      <x:c r="J234" s="25" t="n">
        <x:v>18</x:v>
      </x:c>
      <x:c r="K234" s="25" t="str">
        <x:v>仅装备原始基础值决定主属性范围</x:v>
      </x:c>
    </x:row>
    <x:row r="235">
      <x:c r="A235" s="25" t="str">
        <x:v>C03-X</x:v>
      </x:c>
      <x:c r="B235" s="25" t="str">
        <x:v>宁姆格福西域</x:v>
      </x:c>
      <x:c r="C235" s="25" t="str">
        <x:v>极端压力</x:v>
      </x:c>
      <x:c r="D235" s="25" t="n">
        <x:v>3</x:v>
      </x:c>
      <x:c r="E235" s="25" t="n">
        <x:v>110</x:v>
      </x:c>
      <x:c r="F235" s="25" t="str">
        <x:v>风暴王庭链</x:v>
      </x:c>
      <x:c r="G235" s="25" t="n">
        <x:v>3</x:v>
      </x:c>
      <x:c r="H235" s="25" t="str">
        <x:v>道术</x:v>
      </x:c>
      <x:c r="I235" s="25" t="n">
        <x:v>21</x:v>
      </x:c>
      <x:c r="J235" s="25" t="n">
        <x:v>3</x:v>
      </x:c>
      <x:c r="K235" s="25" t="str">
        <x:v>仅装备原始基础值决定主属性范围</x:v>
      </x:c>
    </x:row>
    <x:row r="236">
      <x:c r="A236" s="25" t="str">
        <x:v>C03-X</x:v>
      </x:c>
      <x:c r="B236" s="25" t="str">
        <x:v>宁姆格福西域</x:v>
      </x:c>
      <x:c r="C236" s="25" t="str">
        <x:v>极端压力</x:v>
      </x:c>
      <x:c r="D236" s="25" t="n">
        <x:v>3</x:v>
      </x:c>
      <x:c r="E236" s="25" t="n">
        <x:v>110</x:v>
      </x:c>
      <x:c r="F236" s="25" t="str">
        <x:v>风暴王庭链</x:v>
      </x:c>
      <x:c r="G236" s="25" t="n">
        <x:v>4</x:v>
      </x:c>
      <x:c r="H236" s="25" t="str">
        <x:v>暴击</x:v>
      </x:c>
      <x:c r="I236" s="25" t="n">
        <x:v>1</x:v>
      </x:c>
      <x:c r="J236" s="25" t="n">
        <x:v>14</x:v>
      </x:c>
      <x:c r="K236" s="25" t="str">
        <x:v>仅装备原始基础值决定主属性范围</x:v>
      </x:c>
    </x:row>
    <x:row r="237">
      <x:c r="A237" s="25" t="str">
        <x:v>C03-X</x:v>
      </x:c>
      <x:c r="B237" s="25" t="str">
        <x:v>宁姆格福西域</x:v>
      </x:c>
      <x:c r="C237" s="25" t="str">
        <x:v>极端压力</x:v>
      </x:c>
      <x:c r="D237" s="25" t="n">
        <x:v>3</x:v>
      </x:c>
      <x:c r="E237" s="25" t="n">
        <x:v>110</x:v>
      </x:c>
      <x:c r="F237" s="25" t="str">
        <x:v>风暴王庭链</x:v>
      </x:c>
      <x:c r="G237" s="25" t="n">
        <x:v>5</x:v>
      </x:c>
      <x:c r="H237" s="25" t="str">
        <x:v>攻击加成</x:v>
      </x:c>
      <x:c r="I237" s="25" t="n">
        <x:v>16</x:v>
      </x:c>
      <x:c r="J237" s="25" t="n">
        <x:v>18</x:v>
      </x:c>
      <x:c r="K237" s="25" t="str">
        <x:v>仅装备原始基础值决定主属性范围</x:v>
      </x:c>
    </x:row>
    <x:row r="238">
      <x:c r="A238" s="25" t="str">
        <x:v>C03-X</x:v>
      </x:c>
      <x:c r="B238" s="25" t="str">
        <x:v>宁姆格福西域</x:v>
      </x:c>
      <x:c r="C238" s="25" t="str">
        <x:v>极端压力</x:v>
      </x:c>
      <x:c r="D238" s="25" t="n">
        <x:v>4</x:v>
      </x:c>
      <x:c r="E238" s="25" t="n">
        <x:v>109</x:v>
      </x:c>
      <x:c r="F238" s="25" t="str">
        <x:v>断途战冠</x:v>
      </x:c>
      <x:c r="G238" s="25" t="n">
        <x:v>1</x:v>
      </x:c>
      <x:c r="H238" s="25" t="str">
        <x:v>吸血</x:v>
      </x:c>
      <x:c r="I238" s="25" t="n">
        <x:v>1</x:v>
      </x:c>
      <x:c r="J238" s="25" t="n">
        <x:v>20</x:v>
      </x:c>
      <x:c r="K238" s="25" t="str">
        <x:v>仅装备原始基础值决定主属性范围</x:v>
      </x:c>
    </x:row>
    <x:row r="239">
      <x:c r="A239" s="25" t="str">
        <x:v>C03-X</x:v>
      </x:c>
      <x:c r="B239" s="25" t="str">
        <x:v>宁姆格福西域</x:v>
      </x:c>
      <x:c r="C239" s="25" t="str">
        <x:v>极端压力</x:v>
      </x:c>
      <x:c r="D239" s="25" t="n">
        <x:v>4</x:v>
      </x:c>
      <x:c r="E239" s="25" t="n">
        <x:v>109</x:v>
      </x:c>
      <x:c r="F239" s="25" t="str">
        <x:v>断途战冠</x:v>
      </x:c>
      <x:c r="G239" s="25" t="n">
        <x:v>2</x:v>
      </x:c>
      <x:c r="H239" s="25" t="str">
        <x:v>攻击加成</x:v>
      </x:c>
      <x:c r="I239" s="25" t="n">
        <x:v>44</x:v>
      </x:c>
      <x:c r="J239" s="25" t="n">
        <x:v>19</x:v>
      </x:c>
      <x:c r="K239" s="25" t="str">
        <x:v>仅装备原始基础值决定主属性范围</x:v>
      </x:c>
    </x:row>
    <x:row r="240">
      <x:c r="A240" s="25" t="str">
        <x:v>C03-X</x:v>
      </x:c>
      <x:c r="B240" s="25" t="str">
        <x:v>宁姆格福西域</x:v>
      </x:c>
      <x:c r="C240" s="25" t="str">
        <x:v>极端压力</x:v>
      </x:c>
      <x:c r="D240" s="25" t="n">
        <x:v>4</x:v>
      </x:c>
      <x:c r="E240" s="25" t="n">
        <x:v>109</x:v>
      </x:c>
      <x:c r="F240" s="25" t="str">
        <x:v>断途战冠</x:v>
      </x:c>
      <x:c r="G240" s="25" t="n">
        <x:v>3</x:v>
      </x:c>
      <x:c r="H240" s="25" t="str">
        <x:v>吸血</x:v>
      </x:c>
      <x:c r="I240" s="25" t="n">
        <x:v>1</x:v>
      </x:c>
      <x:c r="J240" s="25" t="n">
        <x:v>20</x:v>
      </x:c>
      <x:c r="K240" s="25" t="str">
        <x:v>仅装备原始基础值决定主属性范围</x:v>
      </x:c>
    </x:row>
    <x:row r="241">
      <x:c r="A241" s="25" t="str">
        <x:v>C03-X</x:v>
      </x:c>
      <x:c r="B241" s="25" t="str">
        <x:v>宁姆格福西域</x:v>
      </x:c>
      <x:c r="C241" s="25" t="str">
        <x:v>极端压力</x:v>
      </x:c>
      <x:c r="D241" s="25" t="n">
        <x:v>4</x:v>
      </x:c>
      <x:c r="E241" s="25" t="n">
        <x:v>109</x:v>
      </x:c>
      <x:c r="F241" s="25" t="str">
        <x:v>断途战冠</x:v>
      </x:c>
      <x:c r="G241" s="25" t="n">
        <x:v>4</x:v>
      </x:c>
      <x:c r="H241" s="25" t="str">
        <x:v>处决概率</x:v>
      </x:c>
      <x:c r="I241" s="25" t="n">
        <x:v>2</x:v>
      </x:c>
      <x:c r="J241" s="25" t="n">
        <x:v>7</x:v>
      </x:c>
      <x:c r="K241" s="25" t="str">
        <x:v>仅装备原始基础值决定主属性范围</x:v>
      </x:c>
    </x:row>
    <x:row r="242">
      <x:c r="A242" s="25" t="str">
        <x:v>C03-X</x:v>
      </x:c>
      <x:c r="B242" s="25" t="str">
        <x:v>宁姆格福西域</x:v>
      </x:c>
      <x:c r="C242" s="25" t="str">
        <x:v>极端压力</x:v>
      </x:c>
      <x:c r="D242" s="25" t="n">
        <x:v>4</x:v>
      </x:c>
      <x:c r="E242" s="25" t="n">
        <x:v>109</x:v>
      </x:c>
      <x:c r="F242" s="25" t="str">
        <x:v>断途战冠</x:v>
      </x:c>
      <x:c r="G242" s="25" t="n">
        <x:v>5</x:v>
      </x:c>
      <x:c r="H242" s="25" t="str">
        <x:v>攻击加成</x:v>
      </x:c>
      <x:c r="I242" s="25" t="n">
        <x:v>32</x:v>
      </x:c>
      <x:c r="J242" s="25" t="n">
        <x:v>19</x:v>
      </x:c>
      <x:c r="K242" s="25" t="str">
        <x:v>仅装备原始基础值决定主属性范围</x:v>
      </x:c>
    </x:row>
    <x:row r="243">
      <x:c r="A243" s="25" t="str">
        <x:v>C03-X</x:v>
      </x:c>
      <x:c r="B243" s="25" t="str">
        <x:v>宁姆格福西域</x:v>
      </x:c>
      <x:c r="C243" s="25" t="str">
        <x:v>极端压力</x:v>
      </x:c>
      <x:c r="D243" s="25" t="n">
        <x:v>4</x:v>
      </x:c>
      <x:c r="E243" s="25" t="n">
        <x:v>109</x:v>
      </x:c>
      <x:c r="F243" s="25" t="str">
        <x:v>断途战冠</x:v>
      </x:c>
      <x:c r="G243" s="25" t="n">
        <x:v>6</x:v>
      </x:c>
      <x:c r="H243" s="25" t="str">
        <x:v>伤害吸收上限</x:v>
      </x:c>
      <x:c r="I243" s="25" t="n">
        <x:v>3</x:v>
      </x:c>
      <x:c r="J243" s="25" t="n">
        <x:v>30</x:v>
      </x:c>
      <x:c r="K243" s="25" t="str">
        <x:v>仅装备原始基础值决定主属性范围</x:v>
      </x:c>
    </x:row>
    <x:row r="244">
      <x:c r="A244" s="25" t="str">
        <x:v>C03-X</x:v>
      </x:c>
      <x:c r="B244" s="25" t="str">
        <x:v>宁姆格福西域</x:v>
      </x:c>
      <x:c r="C244" s="25" t="str">
        <x:v>极端压力</x:v>
      </x:c>
      <x:c r="D244" s="25" t="n">
        <x:v>5</x:v>
      </x:c>
      <x:c r="E244" s="25" t="n">
        <x:v>73</x:v>
      </x:c>
      <x:c r="F244" s="25" t="str">
        <x:v>古龙近卫腕甲</x:v>
      </x:c>
      <x:c r="G244" s="25" t="n">
        <x:v>1</x:v>
      </x:c>
      <x:c r="H244" s="25" t="str">
        <x:v>处决伤害</x:v>
      </x:c>
      <x:c r="I244" s="25" t="n">
        <x:v>2</x:v>
      </x:c>
      <x:c r="J244" s="25" t="n">
        <x:v>11</x:v>
      </x:c>
      <x:c r="K244" s="25" t="str">
        <x:v>仅装备原始基础值决定主属性范围</x:v>
      </x:c>
    </x:row>
    <x:row r="245">
      <x:c r="A245" s="25" t="str">
        <x:v>C03-X</x:v>
      </x:c>
      <x:c r="B245" s="25" t="str">
        <x:v>宁姆格福西域</x:v>
      </x:c>
      <x:c r="C245" s="25" t="str">
        <x:v>极端压力</x:v>
      </x:c>
      <x:c r="D245" s="25" t="n">
        <x:v>5</x:v>
      </x:c>
      <x:c r="E245" s="25" t="n">
        <x:v>73</x:v>
      </x:c>
      <x:c r="F245" s="25" t="str">
        <x:v>古龙近卫腕甲</x:v>
      </x:c>
      <x:c r="G245" s="25" t="n">
        <x:v>2</x:v>
      </x:c>
      <x:c r="H245" s="25" t="str">
        <x:v>伤害吸收上限</x:v>
      </x:c>
      <x:c r="I245" s="25" t="n">
        <x:v>1</x:v>
      </x:c>
      <x:c r="J245" s="25" t="n">
        <x:v>28</x:v>
      </x:c>
      <x:c r="K245" s="25" t="str">
        <x:v>仅装备原始基础值决定主属性范围</x:v>
      </x:c>
    </x:row>
    <x:row r="246">
      <x:c r="A246" s="25" t="str">
        <x:v>C03-X</x:v>
      </x:c>
      <x:c r="B246" s="25" t="str">
        <x:v>宁姆格福西域</x:v>
      </x:c>
      <x:c r="C246" s="25" t="str">
        <x:v>极端压力</x:v>
      </x:c>
      <x:c r="D246" s="25" t="n">
        <x:v>5</x:v>
      </x:c>
      <x:c r="E246" s="25" t="n">
        <x:v>73</x:v>
      </x:c>
      <x:c r="F246" s="25" t="str">
        <x:v>古龙近卫腕甲</x:v>
      </x:c>
      <x:c r="G246" s="25" t="n">
        <x:v>3</x:v>
      </x:c>
      <x:c r="H246" s="25" t="str">
        <x:v>处决概率</x:v>
      </x:c>
      <x:c r="I246" s="25" t="n">
        <x:v>1</x:v>
      </x:c>
      <x:c r="J246" s="25" t="n">
        <x:v>6</x:v>
      </x:c>
      <x:c r="K246" s="25" t="str">
        <x:v>仅装备原始基础值决定主属性范围</x:v>
      </x:c>
    </x:row>
    <x:row r="247">
      <x:c r="A247" s="25" t="str">
        <x:v>C03-X</x:v>
      </x:c>
      <x:c r="B247" s="25" t="str">
        <x:v>宁姆格福西域</x:v>
      </x:c>
      <x:c r="C247" s="25" t="str">
        <x:v>极端压力</x:v>
      </x:c>
      <x:c r="D247" s="25" t="n">
        <x:v>5</x:v>
      </x:c>
      <x:c r="E247" s="25" t="n">
        <x:v>73</x:v>
      </x:c>
      <x:c r="F247" s="25" t="str">
        <x:v>古龙近卫腕甲</x:v>
      </x:c>
      <x:c r="G247" s="25" t="n">
        <x:v>4</x:v>
      </x:c>
      <x:c r="H247" s="25" t="str">
        <x:v>攻击</x:v>
      </x:c>
      <x:c r="I247" s="25" t="n">
        <x:v>50</x:v>
      </x:c>
      <x:c r="J247" s="25" t="n">
        <x:v>1</x:v>
      </x:c>
      <x:c r="K247" s="25" t="str">
        <x:v>仅装备原始基础值决定主属性范围</x:v>
      </x:c>
    </x:row>
    <x:row r="248">
      <x:c r="A248" s="25" t="str">
        <x:v>C03-X</x:v>
      </x:c>
      <x:c r="B248" s="25" t="str">
        <x:v>宁姆格福西域</x:v>
      </x:c>
      <x:c r="C248" s="25" t="str">
        <x:v>极端压力</x:v>
      </x:c>
      <x:c r="D248" s="25" t="n">
        <x:v>5</x:v>
      </x:c>
      <x:c r="E248" s="25" t="n">
        <x:v>73</x:v>
      </x:c>
      <x:c r="F248" s="25" t="str">
        <x:v>古龙近卫腕甲</x:v>
      </x:c>
      <x:c r="G248" s="25" t="n">
        <x:v>5</x:v>
      </x:c>
      <x:c r="H248" s="25" t="str">
        <x:v>攻击</x:v>
      </x:c>
      <x:c r="I248" s="25" t="n">
        <x:v>48</x:v>
      </x:c>
      <x:c r="J248" s="25" t="n">
        <x:v>1</x:v>
      </x:c>
      <x:c r="K248" s="25" t="str">
        <x:v>仅装备原始基础值决定主属性范围</x:v>
      </x:c>
    </x:row>
    <x:row r="249">
      <x:c r="A249" s="25" t="str">
        <x:v>C03-X</x:v>
      </x:c>
      <x:c r="B249" s="25" t="str">
        <x:v>宁姆格福西域</x:v>
      </x:c>
      <x:c r="C249" s="25" t="str">
        <x:v>极端压力</x:v>
      </x:c>
      <x:c r="D249" s="25" t="n">
        <x:v>5</x:v>
      </x:c>
      <x:c r="E249" s="25" t="n">
        <x:v>73</x:v>
      </x:c>
      <x:c r="F249" s="25" t="str">
        <x:v>古龙近卫腕甲</x:v>
      </x:c>
      <x:c r="G249" s="25" t="n">
        <x:v>6</x:v>
      </x:c>
      <x:c r="H249" s="25" t="str">
        <x:v>吸血</x:v>
      </x:c>
      <x:c r="I249" s="25" t="n">
        <x:v>2</x:v>
      </x:c>
      <x:c r="J249" s="25" t="n">
        <x:v>21</x:v>
      </x:c>
      <x:c r="K249" s="25" t="str">
        <x:v>仅装备原始基础值决定主属性范围</x:v>
      </x:c>
    </x:row>
    <x:row r="250">
      <x:c r="A250" s="25" t="str">
        <x:v>C03-X</x:v>
      </x:c>
      <x:c r="B250" s="25" t="str">
        <x:v>宁姆格福西域</x:v>
      </x:c>
      <x:c r="C250" s="25" t="str">
        <x:v>极端压力</x:v>
      </x:c>
      <x:c r="D250" s="25" t="n">
        <x:v>5</x:v>
      </x:c>
      <x:c r="E250" s="25" t="n">
        <x:v>73</x:v>
      </x:c>
      <x:c r="F250" s="25" t="str">
        <x:v>古龙近卫腕甲</x:v>
      </x:c>
      <x:c r="G250" s="25" t="n">
        <x:v>7</x:v>
      </x:c>
      <x:c r="H250" s="25" t="str">
        <x:v>处决伤害</x:v>
      </x:c>
      <x:c r="I250" s="25" t="n">
        <x:v>1</x:v>
      </x:c>
      <x:c r="J250" s="25" t="n">
        <x:v>10</x:v>
      </x:c>
      <x:c r="K250" s="25" t="str">
        <x:v>仅装备原始基础值决定主属性范围</x:v>
      </x:c>
    </x:row>
    <x:row r="251">
      <x:c r="A251" s="25" t="str">
        <x:v>C03-X</x:v>
      </x:c>
      <x:c r="B251" s="25" t="str">
        <x:v>宁姆格福西域</x:v>
      </x:c>
      <x:c r="C251" s="25" t="str">
        <x:v>极端压力</x:v>
      </x:c>
      <x:c r="D251" s="25" t="n">
        <x:v>5</x:v>
      </x:c>
      <x:c r="E251" s="25" t="n">
        <x:v>73</x:v>
      </x:c>
      <x:c r="F251" s="25" t="str">
        <x:v>古龙近卫腕甲</x:v>
      </x:c>
      <x:c r="G251" s="25" t="n">
        <x:v>8</x:v>
      </x:c>
      <x:c r="H251" s="25" t="str">
        <x:v>攻击加成</x:v>
      </x:c>
      <x:c r="I251" s="25" t="n">
        <x:v>8</x:v>
      </x:c>
      <x:c r="J251" s="25" t="n">
        <x:v>18</x:v>
      </x:c>
      <x:c r="K251" s="25" t="str">
        <x:v>仅装备原始基础值决定主属性范围</x:v>
      </x:c>
    </x:row>
    <x:row r="252">
      <x:c r="A252" s="25" t="str">
        <x:v>C03-X</x:v>
      </x:c>
      <x:c r="B252" s="25" t="str">
        <x:v>宁姆格福西域</x:v>
      </x:c>
      <x:c r="C252" s="25" t="str">
        <x:v>极端压力</x:v>
      </x:c>
      <x:c r="D252" s="25" t="n">
        <x:v>6</x:v>
      </x:c>
      <x:c r="E252" s="25" t="n">
        <x:v>68</x:v>
      </x:c>
      <x:c r="F252" s="25" t="str">
        <x:v>百指接肢腕</x:v>
      </x:c>
      <x:c r="G252" s="25" t="n">
        <x:v>1</x:v>
      </x:c>
      <x:c r="H252" s="25" t="str">
        <x:v>处决伤害</x:v>
      </x:c>
      <x:c r="I252" s="25" t="n">
        <x:v>1</x:v>
      </x:c>
      <x:c r="J252" s="25" t="n">
        <x:v>10</x:v>
      </x:c>
      <x:c r="K252" s="25" t="str">
        <x:v>仅装备原始基础值决定主属性范围</x:v>
      </x:c>
    </x:row>
    <x:row r="253">
      <x:c r="A253" s="25" t="str">
        <x:v>C03-X</x:v>
      </x:c>
      <x:c r="B253" s="25" t="str">
        <x:v>宁姆格福西域</x:v>
      </x:c>
      <x:c r="C253" s="25" t="str">
        <x:v>极端压力</x:v>
      </x:c>
      <x:c r="D253" s="25" t="n">
        <x:v>6</x:v>
      </x:c>
      <x:c r="E253" s="25" t="n">
        <x:v>68</x:v>
      </x:c>
      <x:c r="F253" s="25" t="str">
        <x:v>百指接肢腕</x:v>
      </x:c>
      <x:c r="G253" s="25" t="n">
        <x:v>2</x:v>
      </x:c>
      <x:c r="H253" s="25" t="str">
        <x:v>攻击加成</x:v>
      </x:c>
      <x:c r="I253" s="25" t="n">
        <x:v>28</x:v>
      </x:c>
      <x:c r="J253" s="25" t="n">
        <x:v>18</x:v>
      </x:c>
      <x:c r="K253" s="25" t="str">
        <x:v>仅装备原始基础值决定主属性范围</x:v>
      </x:c>
    </x:row>
    <x:row r="254">
      <x:c r="A254" s="25" t="str">
        <x:v>C03-X</x:v>
      </x:c>
      <x:c r="B254" s="25" t="str">
        <x:v>宁姆格福西域</x:v>
      </x:c>
      <x:c r="C254" s="25" t="str">
        <x:v>极端压力</x:v>
      </x:c>
      <x:c r="D254" s="25" t="n">
        <x:v>6</x:v>
      </x:c>
      <x:c r="E254" s="25" t="n">
        <x:v>68</x:v>
      </x:c>
      <x:c r="F254" s="25" t="str">
        <x:v>百指接肢腕</x:v>
      </x:c>
      <x:c r="G254" s="25" t="n">
        <x:v>3</x:v>
      </x:c>
      <x:c r="H254" s="25" t="str">
        <x:v>攻击加成</x:v>
      </x:c>
      <x:c r="I254" s="25" t="n">
        <x:v>45</x:v>
      </x:c>
      <x:c r="J254" s="25" t="n">
        <x:v>19</x:v>
      </x:c>
      <x:c r="K254" s="25" t="str">
        <x:v>仅装备原始基础值决定主属性范围</x:v>
      </x:c>
    </x:row>
    <x:row r="255">
      <x:c r="A255" s="25" t="str">
        <x:v>C03-X</x:v>
      </x:c>
      <x:c r="B255" s="25" t="str">
        <x:v>宁姆格福西域</x:v>
      </x:c>
      <x:c r="C255" s="25" t="str">
        <x:v>极端压力</x:v>
      </x:c>
      <x:c r="D255" s="25" t="n">
        <x:v>6</x:v>
      </x:c>
      <x:c r="E255" s="25" t="n">
        <x:v>68</x:v>
      </x:c>
      <x:c r="F255" s="25" t="str">
        <x:v>百指接肢腕</x:v>
      </x:c>
      <x:c r="G255" s="25" t="n">
        <x:v>4</x:v>
      </x:c>
      <x:c r="H255" s="25" t="str">
        <x:v>处决伤害</x:v>
      </x:c>
      <x:c r="I255" s="25" t="n">
        <x:v>2</x:v>
      </x:c>
      <x:c r="J255" s="25" t="n">
        <x:v>11</x:v>
      </x:c>
      <x:c r="K255" s="25" t="str">
        <x:v>仅装备原始基础值决定主属性范围</x:v>
      </x:c>
    </x:row>
    <x:row r="256">
      <x:c r="A256" s="25" t="str">
        <x:v>C03-X</x:v>
      </x:c>
      <x:c r="B256" s="25" t="str">
        <x:v>宁姆格福西域</x:v>
      </x:c>
      <x:c r="C256" s="25" t="str">
        <x:v>极端压力</x:v>
      </x:c>
      <x:c r="D256" s="25" t="n">
        <x:v>6</x:v>
      </x:c>
      <x:c r="E256" s="25" t="n">
        <x:v>68</x:v>
      </x:c>
      <x:c r="F256" s="25" t="str">
        <x:v>百指接肢腕</x:v>
      </x:c>
      <x:c r="G256" s="25" t="n">
        <x:v>5</x:v>
      </x:c>
      <x:c r="H256" s="25" t="str">
        <x:v>暴击</x:v>
      </x:c>
      <x:c r="I256" s="25" t="n">
        <x:v>1</x:v>
      </x:c>
      <x:c r="J256" s="25" t="n">
        <x:v>14</x:v>
      </x:c>
      <x:c r="K256" s="25" t="str">
        <x:v>仅装备原始基础值决定主属性范围</x:v>
      </x:c>
    </x:row>
    <x:row r="257">
      <x:c r="A257" s="25" t="str">
        <x:v>C03-X</x:v>
      </x:c>
      <x:c r="B257" s="25" t="str">
        <x:v>宁姆格福西域</x:v>
      </x:c>
      <x:c r="C257" s="25" t="str">
        <x:v>极端压力</x:v>
      </x:c>
      <x:c r="D257" s="25" t="n">
        <x:v>7</x:v>
      </x:c>
      <x:c r="E257" s="25" t="n">
        <x:v>114</x:v>
      </x:c>
      <x:c r="F257" s="25" t="str">
        <x:v>禁卫誓戒</x:v>
      </x:c>
      <x:c r="G257" s="25" t="n">
        <x:v>1</x:v>
      </x:c>
      <x:c r="H257" s="25" t="str">
        <x:v>攻击加成</x:v>
      </x:c>
      <x:c r="I257" s="25" t="n">
        <x:v>27</x:v>
      </x:c>
      <x:c r="J257" s="25" t="n">
        <x:v>18</x:v>
      </x:c>
      <x:c r="K257" s="25" t="str">
        <x:v>仅装备原始基础值决定主属性范围</x:v>
      </x:c>
    </x:row>
    <x:row r="258">
      <x:c r="A258" s="25" t="str">
        <x:v>C03-X</x:v>
      </x:c>
      <x:c r="B258" s="25" t="str">
        <x:v>宁姆格福西域</x:v>
      </x:c>
      <x:c r="C258" s="25" t="str">
        <x:v>极端压力</x:v>
      </x:c>
      <x:c r="D258" s="25" t="n">
        <x:v>7</x:v>
      </x:c>
      <x:c r="E258" s="25" t="n">
        <x:v>114</x:v>
      </x:c>
      <x:c r="F258" s="25" t="str">
        <x:v>禁卫誓戒</x:v>
      </x:c>
      <x:c r="G258" s="25" t="n">
        <x:v>2</x:v>
      </x:c>
      <x:c r="H258" s="25" t="str">
        <x:v>攻击加成</x:v>
      </x:c>
      <x:c r="I258" s="25" t="n">
        <x:v>30</x:v>
      </x:c>
      <x:c r="J258" s="25" t="n">
        <x:v>18</x:v>
      </x:c>
      <x:c r="K258" s="25" t="str">
        <x:v>仅装备原始基础值决定主属性范围</x:v>
      </x:c>
    </x:row>
    <x:row r="259">
      <x:c r="A259" s="25" t="str">
        <x:v>C03-X</x:v>
      </x:c>
      <x:c r="B259" s="25" t="str">
        <x:v>宁姆格福西域</x:v>
      </x:c>
      <x:c r="C259" s="25" t="str">
        <x:v>极端压力</x:v>
      </x:c>
      <x:c r="D259" s="25" t="n">
        <x:v>8</x:v>
      </x:c>
      <x:c r="E259" s="25" t="n">
        <x:v>98</x:v>
      </x:c>
      <x:c r="F259" s="25" t="str">
        <x:v>禁卫誓戒</x:v>
      </x:c>
      <x:c r="G259" s="25" t="n">
        <x:v>1</x:v>
      </x:c>
      <x:c r="H259" s="25" t="str">
        <x:v>致命一击</x:v>
      </x:c>
      <x:c r="I259" s="25" t="n">
        <x:v>2</x:v>
      </x:c>
      <x:c r="J259" s="25" t="n">
        <x:v>17</x:v>
      </x:c>
      <x:c r="K259" s="25" t="str">
        <x:v>仅装备原始基础值决定主属性范围</x:v>
      </x:c>
    </x:row>
    <x:row r="260">
      <x:c r="A260" s="25" t="str">
        <x:v>C03-X</x:v>
      </x:c>
      <x:c r="B260" s="25" t="str">
        <x:v>宁姆格福西域</x:v>
      </x:c>
      <x:c r="C260" s="25" t="str">
        <x:v>极端压力</x:v>
      </x:c>
      <x:c r="D260" s="25" t="n">
        <x:v>8</x:v>
      </x:c>
      <x:c r="E260" s="25" t="n">
        <x:v>98</x:v>
      </x:c>
      <x:c r="F260" s="25" t="str">
        <x:v>禁卫誓戒</x:v>
      </x:c>
      <x:c r="G260" s="25" t="n">
        <x:v>2</x:v>
      </x:c>
      <x:c r="H260" s="25" t="str">
        <x:v>攻击加成</x:v>
      </x:c>
      <x:c r="I260" s="25" t="n">
        <x:v>24</x:v>
      </x:c>
      <x:c r="J260" s="25" t="n">
        <x:v>18</x:v>
      </x:c>
      <x:c r="K260" s="25" t="str">
        <x:v>仅装备原始基础值决定主属性范围</x:v>
      </x:c>
    </x:row>
    <x:row r="261">
      <x:c r="A261" s="25" t="str">
        <x:v>C03-X</x:v>
      </x:c>
      <x:c r="B261" s="25" t="str">
        <x:v>宁姆格福西域</x:v>
      </x:c>
      <x:c r="C261" s="25" t="str">
        <x:v>极端压力</x:v>
      </x:c>
      <x:c r="D261" s="25" t="n">
        <x:v>8</x:v>
      </x:c>
      <x:c r="E261" s="25" t="n">
        <x:v>98</x:v>
      </x:c>
      <x:c r="F261" s="25" t="str">
        <x:v>禁卫誓戒</x:v>
      </x:c>
      <x:c r="G261" s="25" t="n">
        <x:v>3</x:v>
      </x:c>
      <x:c r="H261" s="25" t="str">
        <x:v>伤害吸收上限</x:v>
      </x:c>
      <x:c r="I261" s="25" t="n">
        <x:v>1</x:v>
      </x:c>
      <x:c r="J261" s="25" t="n">
        <x:v>28</x:v>
      </x:c>
      <x:c r="K261" s="25" t="str">
        <x:v>仅装备原始基础值决定主属性范围</x:v>
      </x:c>
    </x:row>
    <x:row r="262">
      <x:c r="A262" s="25" t="str">
        <x:v>C03-X</x:v>
      </x:c>
      <x:c r="B262" s="25" t="str">
        <x:v>宁姆格福西域</x:v>
      </x:c>
      <x:c r="C262" s="25" t="str">
        <x:v>极端压力</x:v>
      </x:c>
      <x:c r="D262" s="25" t="n">
        <x:v>8</x:v>
      </x:c>
      <x:c r="E262" s="25" t="n">
        <x:v>98</x:v>
      </x:c>
      <x:c r="F262" s="25" t="str">
        <x:v>禁卫誓戒</x:v>
      </x:c>
      <x:c r="G262" s="25" t="n">
        <x:v>4</x:v>
      </x:c>
      <x:c r="H262" s="25" t="str">
        <x:v>道术</x:v>
      </x:c>
      <x:c r="I262" s="25" t="n">
        <x:v>27</x:v>
      </x:c>
      <x:c r="J262" s="25" t="n">
        <x:v>3</x:v>
      </x:c>
      <x:c r="K262" s="25" t="str">
        <x:v>仅装备原始基础值决定主属性范围</x:v>
      </x:c>
    </x:row>
    <x:row r="263">
      <x:c r="A263" s="25" t="str">
        <x:v>C03-X</x:v>
      </x:c>
      <x:c r="B263" s="25" t="str">
        <x:v>宁姆格福西域</x:v>
      </x:c>
      <x:c r="C263" s="25" t="str">
        <x:v>极端压力</x:v>
      </x:c>
      <x:c r="D263" s="25" t="n">
        <x:v>8</x:v>
      </x:c>
      <x:c r="E263" s="25" t="n">
        <x:v>98</x:v>
      </x:c>
      <x:c r="F263" s="25" t="str">
        <x:v>禁卫誓戒</x:v>
      </x:c>
      <x:c r="G263" s="25" t="n">
        <x:v>5</x:v>
      </x:c>
      <x:c r="H263" s="25" t="str">
        <x:v>攻击</x:v>
      </x:c>
      <x:c r="I263" s="25" t="n">
        <x:v>34</x:v>
      </x:c>
      <x:c r="J263" s="25" t="n">
        <x:v>1</x:v>
      </x:c>
      <x:c r="K263" s="25" t="str">
        <x:v>仅装备原始基础值决定主属性范围</x:v>
      </x:c>
    </x:row>
    <x:row r="264">
      <x:c r="A264" s="25" t="str">
        <x:v>C03-X</x:v>
      </x:c>
      <x:c r="B264" s="25" t="str">
        <x:v>宁姆格福西域</x:v>
      </x:c>
      <x:c r="C264" s="25" t="str">
        <x:v>极端压力</x:v>
      </x:c>
      <x:c r="D264" s="25" t="n">
        <x:v>10</x:v>
      </x:c>
      <x:c r="E264" s="25" t="n">
        <x:v>101</x:v>
      </x:c>
      <x:c r="F264" s="25" t="str">
        <x:v>流寇束带</x:v>
      </x:c>
      <x:c r="G264" s="25" t="n">
        <x:v>1</x:v>
      </x:c>
      <x:c r="H264" s="25" t="str">
        <x:v>攻击加成</x:v>
      </x:c>
      <x:c r="I264" s="25" t="n">
        <x:v>32</x:v>
      </x:c>
      <x:c r="J264" s="25" t="n">
        <x:v>19</x:v>
      </x:c>
      <x:c r="K264" s="25" t="str">
        <x:v>仅装备原始基础值决定主属性范围</x:v>
      </x:c>
    </x:row>
    <x:row r="265">
      <x:c r="A265" s="25" t="str">
        <x:v>C03-X</x:v>
      </x:c>
      <x:c r="B265" s="25" t="str">
        <x:v>宁姆格福西域</x:v>
      </x:c>
      <x:c r="C265" s="25" t="str">
        <x:v>极端压力</x:v>
      </x:c>
      <x:c r="D265" s="25" t="n">
        <x:v>10</x:v>
      </x:c>
      <x:c r="E265" s="25" t="n">
        <x:v>101</x:v>
      </x:c>
      <x:c r="F265" s="25" t="str">
        <x:v>流寇束带</x:v>
      </x:c>
      <x:c r="G265" s="25" t="n">
        <x:v>2</x:v>
      </x:c>
      <x:c r="H265" s="25" t="str">
        <x:v>攻击</x:v>
      </x:c>
      <x:c r="I265" s="25" t="n">
        <x:v>25</x:v>
      </x:c>
      <x:c r="J265" s="25" t="n">
        <x:v>1</x:v>
      </x:c>
      <x:c r="K265" s="25" t="str">
        <x:v>仅装备原始基础值决定主属性范围</x:v>
      </x:c>
    </x:row>
    <x:row r="266">
      <x:c r="A266" s="25" t="str">
        <x:v>C03-X</x:v>
      </x:c>
      <x:c r="B266" s="25" t="str">
        <x:v>宁姆格福西域</x:v>
      </x:c>
      <x:c r="C266" s="25" t="str">
        <x:v>极端压力</x:v>
      </x:c>
      <x:c r="D266" s="25" t="n">
        <x:v>11</x:v>
      </x:c>
      <x:c r="E266" s="25" t="n">
        <x:v>90</x:v>
      </x:c>
      <x:c r="F266" s="25" t="str">
        <x:v>逐风征靴</x:v>
      </x:c>
      <x:c r="G266" s="25" t="n">
        <x:v>1</x:v>
      </x:c>
      <x:c r="H266" s="25" t="str">
        <x:v>攻击加成</x:v>
      </x:c>
      <x:c r="I266" s="25" t="n">
        <x:v>23</x:v>
      </x:c>
      <x:c r="J266" s="25" t="n">
        <x:v>18</x:v>
      </x:c>
      <x:c r="K266" s="25" t="str">
        <x:v>仅装备原始基础值决定主属性范围</x:v>
      </x:c>
    </x:row>
    <x:row r="267">
      <x:c r="A267" s="25" t="str">
        <x:v>C03-X</x:v>
      </x:c>
      <x:c r="B267" s="25" t="str">
        <x:v>宁姆格福西域</x:v>
      </x:c>
      <x:c r="C267" s="25" t="str">
        <x:v>极端压力</x:v>
      </x:c>
      <x:c r="D267" s="25" t="n">
        <x:v>11</x:v>
      </x:c>
      <x:c r="E267" s="25" t="n">
        <x:v>90</x:v>
      </x:c>
      <x:c r="F267" s="25" t="str">
        <x:v>逐风征靴</x:v>
      </x:c>
      <x:c r="G267" s="25" t="n">
        <x:v>2</x:v>
      </x:c>
      <x:c r="H267" s="25" t="str">
        <x:v>伤害系数</x:v>
      </x:c>
      <x:c r="I267" s="25" t="n">
        <x:v>1</x:v>
      </x:c>
      <x:c r="J267" s="25" t="n">
        <x:v>25</x:v>
      </x:c>
      <x:c r="K267" s="25" t="str">
        <x:v>仅装备原始基础值决定主属性范围</x:v>
      </x:c>
    </x:row>
    <x:row r="268">
      <x:c r="A268" s="25" t="str">
        <x:v>C03-X</x:v>
      </x:c>
      <x:c r="B268" s="25" t="str">
        <x:v>宁姆格福西域</x:v>
      </x:c>
      <x:c r="C268" s="25" t="str">
        <x:v>极端压力</x:v>
      </x:c>
      <x:c r="D268" s="25" t="n">
        <x:v>11</x:v>
      </x:c>
      <x:c r="E268" s="25" t="n">
        <x:v>90</x:v>
      </x:c>
      <x:c r="F268" s="25" t="str">
        <x:v>逐风征靴</x:v>
      </x:c>
      <x:c r="G268" s="25" t="n">
        <x:v>3</x:v>
      </x:c>
      <x:c r="H268" s="25" t="str">
        <x:v>攻击加成</x:v>
      </x:c>
      <x:c r="I268" s="25" t="n">
        <x:v>41</x:v>
      </x:c>
      <x:c r="J268" s="25" t="n">
        <x:v>19</x:v>
      </x:c>
      <x:c r="K268" s="25" t="str">
        <x:v>仅装备原始基础值决定主属性范围</x:v>
      </x:c>
    </x:row>
    <x:row r="269">
      <x:c r="A269" s="25" t="str">
        <x:v>C04-E</x:v>
      </x:c>
      <x:c r="B269" s="25" t="str">
        <x:v>利耶尼亚海域</x:v>
      </x:c>
      <x:c r="C269" s="25" t="str">
        <x:v>半急速入场</x:v>
      </x:c>
      <x:c r="D269" s="25" t="n">
        <x:v>0</x:v>
      </x:c>
      <x:c r="E269" s="25" t="n">
        <x:v>93</x:v>
      </x:c>
      <x:c r="F269" s="25" t="str">
        <x:v>巨犀荒铠</x:v>
      </x:c>
      <x:c r="G269" s="25" t="n">
        <x:v>1</x:v>
      </x:c>
      <x:c r="H269" s="25" t="str">
        <x:v>攻击</x:v>
      </x:c>
      <x:c r="I269" s="25" t="n">
        <x:v>21</x:v>
      </x:c>
      <x:c r="J269" s="25" t="n">
        <x:v>1</x:v>
      </x:c>
      <x:c r="K269" s="25" t="str">
        <x:v>仅装备原始基础值决定主属性范围</x:v>
      </x:c>
    </x:row>
    <x:row r="270">
      <x:c r="A270" s="25" t="str">
        <x:v>C04-E</x:v>
      </x:c>
      <x:c r="B270" s="25" t="str">
        <x:v>利耶尼亚海域</x:v>
      </x:c>
      <x:c r="C270" s="25" t="str">
        <x:v>半急速入场</x:v>
      </x:c>
      <x:c r="D270" s="25" t="n">
        <x:v>0</x:v>
      </x:c>
      <x:c r="E270" s="25" t="n">
        <x:v>93</x:v>
      </x:c>
      <x:c r="F270" s="25" t="str">
        <x:v>巨犀荒铠</x:v>
      </x:c>
      <x:c r="G270" s="25" t="n">
        <x:v>2</x:v>
      </x:c>
      <x:c r="H270" s="25" t="str">
        <x:v>攻击加成</x:v>
      </x:c>
      <x:c r="I270" s="25" t="n">
        <x:v>21</x:v>
      </x:c>
      <x:c r="J270" s="25" t="n">
        <x:v>18</x:v>
      </x:c>
      <x:c r="K270" s="25" t="str">
        <x:v>仅装备原始基础值决定主属性范围</x:v>
      </x:c>
    </x:row>
    <x:row r="271">
      <x:c r="A271" s="25" t="str">
        <x:v>C04-E</x:v>
      </x:c>
      <x:c r="B271" s="25" t="str">
        <x:v>利耶尼亚海域</x:v>
      </x:c>
      <x:c r="C271" s="25" t="str">
        <x:v>半急速入场</x:v>
      </x:c>
      <x:c r="D271" s="25" t="n">
        <x:v>0</x:v>
      </x:c>
      <x:c r="E271" s="25" t="n">
        <x:v>93</x:v>
      </x:c>
      <x:c r="F271" s="25" t="str">
        <x:v>巨犀荒铠</x:v>
      </x:c>
      <x:c r="G271" s="25" t="n">
        <x:v>3</x:v>
      </x:c>
      <x:c r="H271" s="25" t="str">
        <x:v>攻击加成</x:v>
      </x:c>
      <x:c r="I271" s="25" t="n">
        <x:v>45</x:v>
      </x:c>
      <x:c r="J271" s="25" t="n">
        <x:v>19</x:v>
      </x:c>
      <x:c r="K271" s="25" t="str">
        <x:v>仅装备原始基础值决定主属性范围</x:v>
      </x:c>
    </x:row>
    <x:row r="272">
      <x:c r="A272" s="25" t="str">
        <x:v>C04-E</x:v>
      </x:c>
      <x:c r="B272" s="25" t="str">
        <x:v>利耶尼亚海域</x:v>
      </x:c>
      <x:c r="C272" s="25" t="str">
        <x:v>半急速入场</x:v>
      </x:c>
      <x:c r="D272" s="25" t="n">
        <x:v>0</x:v>
      </x:c>
      <x:c r="E272" s="25" t="n">
        <x:v>93</x:v>
      </x:c>
      <x:c r="F272" s="25" t="str">
        <x:v>巨犀荒铠</x:v>
      </x:c>
      <x:c r="G272" s="25" t="n">
        <x:v>4</x:v>
      </x:c>
      <x:c r="H272" s="25" t="str">
        <x:v>攻击速度</x:v>
      </x:c>
      <x:c r="I272" s="25" t="n">
        <x:v>1</x:v>
      </x:c>
      <x:c r="J272" s="25" t="n">
        <x:v>4</x:v>
      </x:c>
      <x:c r="K272" s="25" t="str">
        <x:v>仅装备原始基础值决定主属性范围</x:v>
      </x:c>
    </x:row>
    <x:row r="273">
      <x:c r="A273" s="25" t="str">
        <x:v>C04-E</x:v>
      </x:c>
      <x:c r="B273" s="25" t="str">
        <x:v>利耶尼亚海域</x:v>
      </x:c>
      <x:c r="C273" s="25" t="str">
        <x:v>半急速入场</x:v>
      </x:c>
      <x:c r="D273" s="25" t="n">
        <x:v>0</x:v>
      </x:c>
      <x:c r="E273" s="25" t="n">
        <x:v>93</x:v>
      </x:c>
      <x:c r="F273" s="25" t="str">
        <x:v>巨犀荒铠</x:v>
      </x:c>
      <x:c r="G273" s="25" t="n">
        <x:v>5</x:v>
      </x:c>
      <x:c r="H273" s="25" t="str">
        <x:v>攻击速度</x:v>
      </x:c>
      <x:c r="I273" s="25" t="n">
        <x:v>2</x:v>
      </x:c>
      <x:c r="J273" s="25" t="n">
        <x:v>5</x:v>
      </x:c>
      <x:c r="K273" s="25" t="str">
        <x:v>仅装备原始基础值决定主属性范围</x:v>
      </x:c>
    </x:row>
    <x:row r="274">
      <x:c r="A274" s="25" t="str">
        <x:v>C04-E</x:v>
      </x:c>
      <x:c r="B274" s="25" t="str">
        <x:v>利耶尼亚海域</x:v>
      </x:c>
      <x:c r="C274" s="25" t="str">
        <x:v>半急速入场</x:v>
      </x:c>
      <x:c r="D274" s="25" t="n">
        <x:v>0</x:v>
      </x:c>
      <x:c r="E274" s="25" t="n">
        <x:v>93</x:v>
      </x:c>
      <x:c r="F274" s="25" t="str">
        <x:v>巨犀荒铠</x:v>
      </x:c>
      <x:c r="G274" s="25" t="n">
        <x:v>6</x:v>
      </x:c>
      <x:c r="H274" s="25" t="str">
        <x:v>最大爆率</x:v>
      </x:c>
      <x:c r="I274" s="25" t="n">
        <x:v>2</x:v>
      </x:c>
      <x:c r="J274" s="25" t="n">
        <x:v>23</x:v>
      </x:c>
      <x:c r="K274" s="25" t="str">
        <x:v>仅装备原始基础值决定主属性范围</x:v>
      </x:c>
    </x:row>
    <x:row r="275">
      <x:c r="A275" s="25" t="str">
        <x:v>C04-E</x:v>
      </x:c>
      <x:c r="B275" s="25" t="str">
        <x:v>利耶尼亚海域</x:v>
      </x:c>
      <x:c r="C275" s="25" t="str">
        <x:v>半急速入场</x:v>
      </x:c>
      <x:c r="D275" s="25" t="n">
        <x:v>1</x:v>
      </x:c>
      <x:c r="E275" s="25" t="n">
        <x:v>92</x:v>
      </x:c>
      <x:c r="F275" s="25" t="str">
        <x:v>刑官断刃</x:v>
      </x:c>
      <x:c r="G275" s="25" t="n">
        <x:v>1</x:v>
      </x:c>
      <x:c r="H275" s="25" t="str">
        <x:v>攻击加成</x:v>
      </x:c>
      <x:c r="I275" s="25" t="n">
        <x:v>32</x:v>
      </x:c>
      <x:c r="J275" s="25" t="n">
        <x:v>19</x:v>
      </x:c>
      <x:c r="K275" s="25" t="str">
        <x:v>仅装备原始基础值决定主属性范围</x:v>
      </x:c>
    </x:row>
    <x:row r="276">
      <x:c r="A276" s="25" t="str">
        <x:v>C04-E</x:v>
      </x:c>
      <x:c r="B276" s="25" t="str">
        <x:v>利耶尼亚海域</x:v>
      </x:c>
      <x:c r="C276" s="25" t="str">
        <x:v>半急速入场</x:v>
      </x:c>
      <x:c r="D276" s="25" t="n">
        <x:v>3</x:v>
      </x:c>
      <x:c r="E276" s="25" t="n">
        <x:v>50</x:v>
      </x:c>
      <x:c r="F276" s="25" t="str">
        <x:v>卢恩骑士项链</x:v>
      </x:c>
      <x:c r="G276" s="25" t="n">
        <x:v>1</x:v>
      </x:c>
      <x:c r="H276" s="25" t="str">
        <x:v>攻击加成</x:v>
      </x:c>
      <x:c r="I276" s="25" t="n">
        <x:v>46</x:v>
      </x:c>
      <x:c r="J276" s="25" t="n">
        <x:v>19</x:v>
      </x:c>
      <x:c r="K276" s="25" t="str">
        <x:v>仅装备原始基础值决定主属性范围</x:v>
      </x:c>
    </x:row>
    <x:row r="277">
      <x:c r="A277" s="25" t="str">
        <x:v>C04-E</x:v>
      </x:c>
      <x:c r="B277" s="25" t="str">
        <x:v>利耶尼亚海域</x:v>
      </x:c>
      <x:c r="C277" s="25" t="str">
        <x:v>半急速入场</x:v>
      </x:c>
      <x:c r="D277" s="25" t="n">
        <x:v>4</x:v>
      </x:c>
      <x:c r="E277" s="25" t="n">
        <x:v>35</x:v>
      </x:c>
      <x:c r="F277" s="25" t="str">
        <x:v>圣树先锋战盔</x:v>
      </x:c>
      <x:c r="G277" s="25" t="n">
        <x:v>1</x:v>
      </x:c>
      <x:c r="H277" s="25" t="str">
        <x:v>攻击速度</x:v>
      </x:c>
      <x:c r="I277" s="25" t="n">
        <x:v>2</x:v>
      </x:c>
      <x:c r="J277" s="25" t="n">
        <x:v>5</x:v>
      </x:c>
      <x:c r="K277" s="25" t="str">
        <x:v>仅装备原始基础值决定主属性范围</x:v>
      </x:c>
    </x:row>
    <x:row r="278">
      <x:c r="A278" s="25" t="str">
        <x:v>C04-E</x:v>
      </x:c>
      <x:c r="B278" s="25" t="str">
        <x:v>利耶尼亚海域</x:v>
      </x:c>
      <x:c r="C278" s="25" t="str">
        <x:v>半急速入场</x:v>
      </x:c>
      <x:c r="D278" s="25" t="n">
        <x:v>4</x:v>
      </x:c>
      <x:c r="E278" s="25" t="n">
        <x:v>35</x:v>
      </x:c>
      <x:c r="F278" s="25" t="str">
        <x:v>圣树先锋战盔</x:v>
      </x:c>
      <x:c r="G278" s="25" t="n">
        <x:v>2</x:v>
      </x:c>
      <x:c r="H278" s="25" t="str">
        <x:v>攻击加成</x:v>
      </x:c>
      <x:c r="I278" s="25" t="n">
        <x:v>49</x:v>
      </x:c>
      <x:c r="J278" s="25" t="n">
        <x:v>19</x:v>
      </x:c>
      <x:c r="K278" s="25" t="str">
        <x:v>仅装备原始基础值决定主属性范围</x:v>
      </x:c>
    </x:row>
    <x:row r="279">
      <x:c r="A279" s="25" t="str">
        <x:v>C04-E</x:v>
      </x:c>
      <x:c r="B279" s="25" t="str">
        <x:v>利耶尼亚海域</x:v>
      </x:c>
      <x:c r="C279" s="25" t="str">
        <x:v>半急速入场</x:v>
      </x:c>
      <x:c r="D279" s="25" t="n">
        <x:v>4</x:v>
      </x:c>
      <x:c r="E279" s="25" t="n">
        <x:v>35</x:v>
      </x:c>
      <x:c r="F279" s="25" t="str">
        <x:v>圣树先锋战盔</x:v>
      </x:c>
      <x:c r="G279" s="25" t="n">
        <x:v>3</x:v>
      </x:c>
      <x:c r="H279" s="25" t="str">
        <x:v>攻击速度</x:v>
      </x:c>
      <x:c r="I279" s="25" t="n">
        <x:v>1</x:v>
      </x:c>
      <x:c r="J279" s="25" t="n">
        <x:v>4</x:v>
      </x:c>
      <x:c r="K279" s="25" t="str">
        <x:v>仅装备原始基础值决定主属性范围</x:v>
      </x:c>
    </x:row>
    <x:row r="280">
      <x:c r="A280" s="25" t="str">
        <x:v>C04-E</x:v>
      </x:c>
      <x:c r="B280" s="25" t="str">
        <x:v>利耶尼亚海域</x:v>
      </x:c>
      <x:c r="C280" s="25" t="str">
        <x:v>半急速入场</x:v>
      </x:c>
      <x:c r="D280" s="25" t="n">
        <x:v>4</x:v>
      </x:c>
      <x:c r="E280" s="25" t="n">
        <x:v>35</x:v>
      </x:c>
      <x:c r="F280" s="25" t="str">
        <x:v>圣树先锋战盔</x:v>
      </x:c>
      <x:c r="G280" s="25" t="n">
        <x:v>4</x:v>
      </x:c>
      <x:c r="H280" s="25" t="str">
        <x:v>处决伤害</x:v>
      </x:c>
      <x:c r="I280" s="25" t="n">
        <x:v>1</x:v>
      </x:c>
      <x:c r="J280" s="25" t="n">
        <x:v>10</x:v>
      </x:c>
      <x:c r="K280" s="25" t="str">
        <x:v>仅装备原始基础值决定主属性范围</x:v>
      </x:c>
    </x:row>
    <x:row r="281">
      <x:c r="A281" s="25" t="str">
        <x:v>C04-E</x:v>
      </x:c>
      <x:c r="B281" s="25" t="str">
        <x:v>利耶尼亚海域</x:v>
      </x:c>
      <x:c r="C281" s="25" t="str">
        <x:v>半急速入场</x:v>
      </x:c>
      <x:c r="D281" s="25" t="n">
        <x:v>5</x:v>
      </x:c>
      <x:c r="E281" s="25" t="n">
        <x:v>73</x:v>
      </x:c>
      <x:c r="F281" s="25" t="str">
        <x:v>古龙近卫腕甲</x:v>
      </x:c>
      <x:c r="G281" s="25" t="n">
        <x:v>1</x:v>
      </x:c>
      <x:c r="H281" s="25" t="str">
        <x:v>吸血</x:v>
      </x:c>
      <x:c r="I281" s="25" t="n">
        <x:v>1</x:v>
      </x:c>
      <x:c r="J281" s="25" t="n">
        <x:v>20</x:v>
      </x:c>
      <x:c r="K281" s="25" t="str">
        <x:v>仅装备原始基础值决定主属性范围</x:v>
      </x:c>
    </x:row>
    <x:row r="282">
      <x:c r="A282" s="25" t="str">
        <x:v>C04-E</x:v>
      </x:c>
      <x:c r="B282" s="25" t="str">
        <x:v>利耶尼亚海域</x:v>
      </x:c>
      <x:c r="C282" s="25" t="str">
        <x:v>半急速入场</x:v>
      </x:c>
      <x:c r="D282" s="25" t="n">
        <x:v>5</x:v>
      </x:c>
      <x:c r="E282" s="25" t="n">
        <x:v>73</x:v>
      </x:c>
      <x:c r="F282" s="25" t="str">
        <x:v>古龙近卫腕甲</x:v>
      </x:c>
      <x:c r="G282" s="25" t="n">
        <x:v>2</x:v>
      </x:c>
      <x:c r="H282" s="25" t="str">
        <x:v>攻击速度</x:v>
      </x:c>
      <x:c r="I282" s="25" t="n">
        <x:v>2</x:v>
      </x:c>
      <x:c r="J282" s="25" t="n">
        <x:v>5</x:v>
      </x:c>
      <x:c r="K282" s="25" t="str">
        <x:v>仅装备原始基础值决定主属性范围</x:v>
      </x:c>
    </x:row>
    <x:row r="283">
      <x:c r="A283" s="25" t="str">
        <x:v>C04-E</x:v>
      </x:c>
      <x:c r="B283" s="25" t="str">
        <x:v>利耶尼亚海域</x:v>
      </x:c>
      <x:c r="C283" s="25" t="str">
        <x:v>半急速入场</x:v>
      </x:c>
      <x:c r="D283" s="25" t="n">
        <x:v>5</x:v>
      </x:c>
      <x:c r="E283" s="25" t="n">
        <x:v>73</x:v>
      </x:c>
      <x:c r="F283" s="25" t="str">
        <x:v>古龙近卫腕甲</x:v>
      </x:c>
      <x:c r="G283" s="25" t="n">
        <x:v>3</x:v>
      </x:c>
      <x:c r="H283" s="25" t="str">
        <x:v>韧性</x:v>
      </x:c>
      <x:c r="I283" s="25" t="n">
        <x:v>10</x:v>
      </x:c>
      <x:c r="J283" s="25" t="n">
        <x:v>12</x:v>
      </x:c>
      <x:c r="K283" s="25" t="str">
        <x:v>仅装备原始基础值决定主属性范围</x:v>
      </x:c>
    </x:row>
    <x:row r="284">
      <x:c r="A284" s="25" t="str">
        <x:v>C04-E</x:v>
      </x:c>
      <x:c r="B284" s="25" t="str">
        <x:v>利耶尼亚海域</x:v>
      </x:c>
      <x:c r="C284" s="25" t="str">
        <x:v>半急速入场</x:v>
      </x:c>
      <x:c r="D284" s="25" t="n">
        <x:v>5</x:v>
      </x:c>
      <x:c r="E284" s="25" t="n">
        <x:v>73</x:v>
      </x:c>
      <x:c r="F284" s="25" t="str">
        <x:v>古龙近卫腕甲</x:v>
      </x:c>
      <x:c r="G284" s="25" t="n">
        <x:v>4</x:v>
      </x:c>
      <x:c r="H284" s="25" t="str">
        <x:v>处决伤害</x:v>
      </x:c>
      <x:c r="I284" s="25" t="n">
        <x:v>1</x:v>
      </x:c>
      <x:c r="J284" s="25" t="n">
        <x:v>10</x:v>
      </x:c>
      <x:c r="K284" s="25" t="str">
        <x:v>仅装备原始基础值决定主属性范围</x:v>
      </x:c>
    </x:row>
    <x:row r="285">
      <x:c r="A285" s="25" t="str">
        <x:v>C04-E</x:v>
      </x:c>
      <x:c r="B285" s="25" t="str">
        <x:v>利耶尼亚海域</x:v>
      </x:c>
      <x:c r="C285" s="25" t="str">
        <x:v>半急速入场</x:v>
      </x:c>
      <x:c r="D285" s="25" t="n">
        <x:v>5</x:v>
      </x:c>
      <x:c r="E285" s="25" t="n">
        <x:v>73</x:v>
      </x:c>
      <x:c r="F285" s="25" t="str">
        <x:v>古龙近卫腕甲</x:v>
      </x:c>
      <x:c r="G285" s="25" t="n">
        <x:v>5</x:v>
      </x:c>
      <x:c r="H285" s="25" t="str">
        <x:v>攻击加成</x:v>
      </x:c>
      <x:c r="I285" s="25" t="n">
        <x:v>33</x:v>
      </x:c>
      <x:c r="J285" s="25" t="n">
        <x:v>19</x:v>
      </x:c>
      <x:c r="K285" s="25" t="str">
        <x:v>仅装备原始基础值决定主属性范围</x:v>
      </x:c>
    </x:row>
    <x:row r="286">
      <x:c r="A286" s="25" t="str">
        <x:v>C04-E</x:v>
      </x:c>
      <x:c r="B286" s="25" t="str">
        <x:v>利耶尼亚海域</x:v>
      </x:c>
      <x:c r="C286" s="25" t="str">
        <x:v>半急速入场</x:v>
      </x:c>
      <x:c r="D286" s="25" t="n">
        <x:v>6</x:v>
      </x:c>
      <x:c r="E286" s="25" t="n">
        <x:v>68</x:v>
      </x:c>
      <x:c r="F286" s="25" t="str">
        <x:v>百指接肢腕</x:v>
      </x:c>
      <x:c r="G286" s="25" t="n">
        <x:v>1</x:v>
      </x:c>
      <x:c r="H286" s="25" t="str">
        <x:v>处决伤害</x:v>
      </x:c>
      <x:c r="I286" s="25" t="n">
        <x:v>1</x:v>
      </x:c>
      <x:c r="J286" s="25" t="n">
        <x:v>10</x:v>
      </x:c>
      <x:c r="K286" s="25" t="str">
        <x:v>仅装备原始基础值决定主属性范围</x:v>
      </x:c>
    </x:row>
    <x:row r="287">
      <x:c r="A287" s="25" t="str">
        <x:v>C04-E</x:v>
      </x:c>
      <x:c r="B287" s="25" t="str">
        <x:v>利耶尼亚海域</x:v>
      </x:c>
      <x:c r="C287" s="25" t="str">
        <x:v>半急速入场</x:v>
      </x:c>
      <x:c r="D287" s="25" t="n">
        <x:v>6</x:v>
      </x:c>
      <x:c r="E287" s="25" t="n">
        <x:v>68</x:v>
      </x:c>
      <x:c r="F287" s="25" t="str">
        <x:v>百指接肢腕</x:v>
      </x:c>
      <x:c r="G287" s="25" t="n">
        <x:v>2</x:v>
      </x:c>
      <x:c r="H287" s="25" t="str">
        <x:v>攻击加成</x:v>
      </x:c>
      <x:c r="I287" s="25" t="n">
        <x:v>28</x:v>
      </x:c>
      <x:c r="J287" s="25" t="n">
        <x:v>18</x:v>
      </x:c>
      <x:c r="K287" s="25" t="str">
        <x:v>仅装备原始基础值决定主属性范围</x:v>
      </x:c>
    </x:row>
    <x:row r="288">
      <x:c r="A288" s="25" t="str">
        <x:v>C04-E</x:v>
      </x:c>
      <x:c r="B288" s="25" t="str">
        <x:v>利耶尼亚海域</x:v>
      </x:c>
      <x:c r="C288" s="25" t="str">
        <x:v>半急速入场</x:v>
      </x:c>
      <x:c r="D288" s="25" t="n">
        <x:v>6</x:v>
      </x:c>
      <x:c r="E288" s="25" t="n">
        <x:v>68</x:v>
      </x:c>
      <x:c r="F288" s="25" t="str">
        <x:v>百指接肢腕</x:v>
      </x:c>
      <x:c r="G288" s="25" t="n">
        <x:v>3</x:v>
      </x:c>
      <x:c r="H288" s="25" t="str">
        <x:v>攻击加成</x:v>
      </x:c>
      <x:c r="I288" s="25" t="n">
        <x:v>45</x:v>
      </x:c>
      <x:c r="J288" s="25" t="n">
        <x:v>19</x:v>
      </x:c>
      <x:c r="K288" s="25" t="str">
        <x:v>仅装备原始基础值决定主属性范围</x:v>
      </x:c>
    </x:row>
    <x:row r="289">
      <x:c r="A289" s="25" t="str">
        <x:v>C04-E</x:v>
      </x:c>
      <x:c r="B289" s="25" t="str">
        <x:v>利耶尼亚海域</x:v>
      </x:c>
      <x:c r="C289" s="25" t="str">
        <x:v>半急速入场</x:v>
      </x:c>
      <x:c r="D289" s="25" t="n">
        <x:v>6</x:v>
      </x:c>
      <x:c r="E289" s="25" t="n">
        <x:v>68</x:v>
      </x:c>
      <x:c r="F289" s="25" t="str">
        <x:v>百指接肢腕</x:v>
      </x:c>
      <x:c r="G289" s="25" t="n">
        <x:v>4</x:v>
      </x:c>
      <x:c r="H289" s="25" t="str">
        <x:v>处决伤害</x:v>
      </x:c>
      <x:c r="I289" s="25" t="n">
        <x:v>2</x:v>
      </x:c>
      <x:c r="J289" s="25" t="n">
        <x:v>11</x:v>
      </x:c>
      <x:c r="K289" s="25" t="str">
        <x:v>仅装备原始基础值决定主属性范围</x:v>
      </x:c>
    </x:row>
    <x:row r="290">
      <x:c r="A290" s="25" t="str">
        <x:v>C04-E</x:v>
      </x:c>
      <x:c r="B290" s="25" t="str">
        <x:v>利耶尼亚海域</x:v>
      </x:c>
      <x:c r="C290" s="25" t="str">
        <x:v>半急速入场</x:v>
      </x:c>
      <x:c r="D290" s="25" t="n">
        <x:v>6</x:v>
      </x:c>
      <x:c r="E290" s="25" t="n">
        <x:v>68</x:v>
      </x:c>
      <x:c r="F290" s="25" t="str">
        <x:v>百指接肢腕</x:v>
      </x:c>
      <x:c r="G290" s="25" t="n">
        <x:v>5</x:v>
      </x:c>
      <x:c r="H290" s="25" t="str">
        <x:v>暴击</x:v>
      </x:c>
      <x:c r="I290" s="25" t="n">
        <x:v>1</x:v>
      </x:c>
      <x:c r="J290" s="25" t="n">
        <x:v>14</x:v>
      </x:c>
      <x:c r="K290" s="25" t="str">
        <x:v>仅装备原始基础值决定主属性范围</x:v>
      </x:c>
    </x:row>
    <x:row r="291">
      <x:c r="A291" s="25" t="str">
        <x:v>C04-E</x:v>
      </x:c>
      <x:c r="B291" s="25" t="str">
        <x:v>利耶尼亚海域</x:v>
      </x:c>
      <x:c r="C291" s="25" t="str">
        <x:v>半急速入场</x:v>
      </x:c>
      <x:c r="D291" s="25" t="n">
        <x:v>7</x:v>
      </x:c>
      <x:c r="E291" s="25" t="n">
        <x:v>75</x:v>
      </x:c>
      <x:c r="F291" s="25" t="str">
        <x:v>归乡弩戒</x:v>
      </x:c>
      <x:c r="G291" s="25" t="n">
        <x:v>1</x:v>
      </x:c>
      <x:c r="H291" s="25" t="str">
        <x:v>攻击加成</x:v>
      </x:c>
      <x:c r="I291" s="25" t="n">
        <x:v>25</x:v>
      </x:c>
      <x:c r="J291" s="25" t="n">
        <x:v>18</x:v>
      </x:c>
      <x:c r="K291" s="25" t="str">
        <x:v>仅装备原始基础值决定主属性范围</x:v>
      </x:c>
    </x:row>
    <x:row r="292">
      <x:c r="A292" s="25" t="str">
        <x:v>C04-E</x:v>
      </x:c>
      <x:c r="B292" s="25" t="str">
        <x:v>利耶尼亚海域</x:v>
      </x:c>
      <x:c r="C292" s="25" t="str">
        <x:v>半急速入场</x:v>
      </x:c>
      <x:c r="D292" s="25" t="n">
        <x:v>7</x:v>
      </x:c>
      <x:c r="E292" s="25" t="n">
        <x:v>75</x:v>
      </x:c>
      <x:c r="F292" s="25" t="str">
        <x:v>归乡弩戒</x:v>
      </x:c>
      <x:c r="G292" s="25" t="n">
        <x:v>2</x:v>
      </x:c>
      <x:c r="H292" s="25" t="str">
        <x:v>攻击</x:v>
      </x:c>
      <x:c r="I292" s="25" t="n">
        <x:v>23</x:v>
      </x:c>
      <x:c r="J292" s="25" t="n">
        <x:v>1</x:v>
      </x:c>
      <x:c r="K292" s="25" t="str">
        <x:v>仅装备原始基础值决定主属性范围</x:v>
      </x:c>
    </x:row>
    <x:row r="293">
      <x:c r="A293" s="25" t="str">
        <x:v>C04-E</x:v>
      </x:c>
      <x:c r="B293" s="25" t="str">
        <x:v>利耶尼亚海域</x:v>
      </x:c>
      <x:c r="C293" s="25" t="str">
        <x:v>半急速入场</x:v>
      </x:c>
      <x:c r="D293" s="25" t="n">
        <x:v>7</x:v>
      </x:c>
      <x:c r="E293" s="25" t="n">
        <x:v>75</x:v>
      </x:c>
      <x:c r="F293" s="25" t="str">
        <x:v>归乡弩戒</x:v>
      </x:c>
      <x:c r="G293" s="25" t="n">
        <x:v>3</x:v>
      </x:c>
      <x:c r="H293" s="25" t="str">
        <x:v>攻击加成</x:v>
      </x:c>
      <x:c r="I293" s="25" t="n">
        <x:v>20</x:v>
      </x:c>
      <x:c r="J293" s="25" t="n">
        <x:v>18</x:v>
      </x:c>
      <x:c r="K293" s="25" t="str">
        <x:v>仅装备原始基础值决定主属性范围</x:v>
      </x:c>
    </x:row>
    <x:row r="294">
      <x:c r="A294" s="25" t="str">
        <x:v>C04-E</x:v>
      </x:c>
      <x:c r="B294" s="25" t="str">
        <x:v>利耶尼亚海域</x:v>
      </x:c>
      <x:c r="C294" s="25" t="str">
        <x:v>半急速入场</x:v>
      </x:c>
      <x:c r="D294" s="25" t="n">
        <x:v>8</x:v>
      </x:c>
      <x:c r="E294" s="25" t="n">
        <x:v>54</x:v>
      </x:c>
      <x:c r="F294" s="25" t="str">
        <x:v>潮归秘戒</x:v>
      </x:c>
      <x:c r="G294" s="25" t="n">
        <x:v>1</x:v>
      </x:c>
      <x:c r="H294" s="25" t="str">
        <x:v>道术</x:v>
      </x:c>
      <x:c r="I294" s="25" t="n">
        <x:v>6</x:v>
      </x:c>
      <x:c r="J294" s="25" t="n">
        <x:v>3</x:v>
      </x:c>
      <x:c r="K294" s="25" t="str">
        <x:v>仅装备原始基础值决定主属性范围</x:v>
      </x:c>
    </x:row>
    <x:row r="295">
      <x:c r="A295" s="25" t="str">
        <x:v>C04-E</x:v>
      </x:c>
      <x:c r="B295" s="25" t="str">
        <x:v>利耶尼亚海域</x:v>
      </x:c>
      <x:c r="C295" s="25" t="str">
        <x:v>半急速入场</x:v>
      </x:c>
      <x:c r="D295" s="25" t="n">
        <x:v>8</x:v>
      </x:c>
      <x:c r="E295" s="25" t="n">
        <x:v>54</x:v>
      </x:c>
      <x:c r="F295" s="25" t="str">
        <x:v>潮归秘戒</x:v>
      </x:c>
      <x:c r="G295" s="25" t="n">
        <x:v>2</x:v>
      </x:c>
      <x:c r="H295" s="25" t="str">
        <x:v>伤害系数</x:v>
      </x:c>
      <x:c r="I295" s="25" t="n">
        <x:v>2</x:v>
      </x:c>
      <x:c r="J295" s="25" t="n">
        <x:v>26</x:v>
      </x:c>
      <x:c r="K295" s="25" t="str">
        <x:v>仅装备原始基础值决定主属性范围</x:v>
      </x:c>
    </x:row>
    <x:row r="296">
      <x:c r="A296" s="25" t="str">
        <x:v>C04-E</x:v>
      </x:c>
      <x:c r="B296" s="25" t="str">
        <x:v>利耶尼亚海域</x:v>
      </x:c>
      <x:c r="C296" s="25" t="str">
        <x:v>半急速入场</x:v>
      </x:c>
      <x:c r="D296" s="25" t="n">
        <x:v>8</x:v>
      </x:c>
      <x:c r="E296" s="25" t="n">
        <x:v>54</x:v>
      </x:c>
      <x:c r="F296" s="25" t="str">
        <x:v>潮归秘戒</x:v>
      </x:c>
      <x:c r="G296" s="25" t="n">
        <x:v>3</x:v>
      </x:c>
      <x:c r="H296" s="25" t="str">
        <x:v>攻击加成</x:v>
      </x:c>
      <x:c r="I296" s="25" t="n">
        <x:v>25</x:v>
      </x:c>
      <x:c r="J296" s="25" t="n">
        <x:v>18</x:v>
      </x:c>
      <x:c r="K296" s="25" t="str">
        <x:v>仅装备原始基础值决定主属性范围</x:v>
      </x:c>
    </x:row>
    <x:row r="297">
      <x:c r="A297" s="25" t="str">
        <x:v>C04-E</x:v>
      </x:c>
      <x:c r="B297" s="25" t="str">
        <x:v>利耶尼亚海域</x:v>
      </x:c>
      <x:c r="C297" s="25" t="str">
        <x:v>半急速入场</x:v>
      </x:c>
      <x:c r="D297" s="25" t="n">
        <x:v>8</x:v>
      </x:c>
      <x:c r="E297" s="25" t="n">
        <x:v>54</x:v>
      </x:c>
      <x:c r="F297" s="25" t="str">
        <x:v>潮归秘戒</x:v>
      </x:c>
      <x:c r="G297" s="25" t="n">
        <x:v>4</x:v>
      </x:c>
      <x:c r="H297" s="25" t="str">
        <x:v>暴击</x:v>
      </x:c>
      <x:c r="I297" s="25" t="n">
        <x:v>2</x:v>
      </x:c>
      <x:c r="J297" s="25" t="n">
        <x:v>15</x:v>
      </x:c>
      <x:c r="K297" s="25" t="str">
        <x:v>仅装备原始基础值决定主属性范围</x:v>
      </x:c>
    </x:row>
    <x:row r="298">
      <x:c r="A298" s="25" t="str">
        <x:v>C04-E</x:v>
      </x:c>
      <x:c r="B298" s="25" t="str">
        <x:v>利耶尼亚海域</x:v>
      </x:c>
      <x:c r="C298" s="25" t="str">
        <x:v>半急速入场</x:v>
      </x:c>
      <x:c r="D298" s="25" t="n">
        <x:v>10</x:v>
      </x:c>
      <x:c r="E298" s="25" t="n">
        <x:v>36</x:v>
      </x:c>
      <x:c r="F298" s="25" t="str">
        <x:v>黄金戍卫腰带</x:v>
      </x:c>
      <x:c r="G298" s="25" t="n">
        <x:v>1</x:v>
      </x:c>
      <x:c r="H298" s="25" t="str">
        <x:v>攻击</x:v>
      </x:c>
      <x:c r="I298" s="25" t="n">
        <x:v>22</x:v>
      </x:c>
      <x:c r="J298" s="25" t="n">
        <x:v>1</x:v>
      </x:c>
      <x:c r="K298" s="25" t="str">
        <x:v>仅装备原始基础值决定主属性范围</x:v>
      </x:c>
    </x:row>
    <x:row r="299">
      <x:c r="A299" s="25" t="str">
        <x:v>C04-E</x:v>
      </x:c>
      <x:c r="B299" s="25" t="str">
        <x:v>利耶尼亚海域</x:v>
      </x:c>
      <x:c r="C299" s="25" t="str">
        <x:v>半急速入场</x:v>
      </x:c>
      <x:c r="D299" s="25" t="n">
        <x:v>10</x:v>
      </x:c>
      <x:c r="E299" s="25" t="n">
        <x:v>36</x:v>
      </x:c>
      <x:c r="F299" s="25" t="str">
        <x:v>黄金戍卫腰带</x:v>
      </x:c>
      <x:c r="G299" s="25" t="n">
        <x:v>2</x:v>
      </x:c>
      <x:c r="H299" s="25" t="str">
        <x:v>暴击</x:v>
      </x:c>
      <x:c r="I299" s="25" t="n">
        <x:v>1</x:v>
      </x:c>
      <x:c r="J299" s="25" t="n">
        <x:v>14</x:v>
      </x:c>
      <x:c r="K299" s="25" t="str">
        <x:v>仅装备原始基础值决定主属性范围</x:v>
      </x:c>
    </x:row>
    <x:row r="300">
      <x:c r="A300" s="25" t="str">
        <x:v>C04-E</x:v>
      </x:c>
      <x:c r="B300" s="25" t="str">
        <x:v>利耶尼亚海域</x:v>
      </x:c>
      <x:c r="C300" s="25" t="str">
        <x:v>半急速入场</x:v>
      </x:c>
      <x:c r="D300" s="25" t="n">
        <x:v>10</x:v>
      </x:c>
      <x:c r="E300" s="25" t="n">
        <x:v>36</x:v>
      </x:c>
      <x:c r="F300" s="25" t="str">
        <x:v>黄金戍卫腰带</x:v>
      </x:c>
      <x:c r="G300" s="25" t="n">
        <x:v>3</x:v>
      </x:c>
      <x:c r="H300" s="25" t="str">
        <x:v>攻击加成</x:v>
      </x:c>
      <x:c r="I300" s="25" t="n">
        <x:v>22</x:v>
      </x:c>
      <x:c r="J300" s="25" t="n">
        <x:v>18</x:v>
      </x:c>
      <x:c r="K300" s="25" t="str">
        <x:v>仅装备原始基础值决定主属性范围</x:v>
      </x:c>
    </x:row>
    <x:row r="301">
      <x:c r="A301" s="25" t="str">
        <x:v>C04-E</x:v>
      </x:c>
      <x:c r="B301" s="25" t="str">
        <x:v>利耶尼亚海域</x:v>
      </x:c>
      <x:c r="C301" s="25" t="str">
        <x:v>半急速入场</x:v>
      </x:c>
      <x:c r="D301" s="25" t="n">
        <x:v>10</x:v>
      </x:c>
      <x:c r="E301" s="25" t="n">
        <x:v>36</x:v>
      </x:c>
      <x:c r="F301" s="25" t="str">
        <x:v>黄金戍卫腰带</x:v>
      </x:c>
      <x:c r="G301" s="25" t="n">
        <x:v>4</x:v>
      </x:c>
      <x:c r="H301" s="25" t="str">
        <x:v>致命一击</x:v>
      </x:c>
      <x:c r="I301" s="25" t="n">
        <x:v>1</x:v>
      </x:c>
      <x:c r="J301" s="25" t="n">
        <x:v>16</x:v>
      </x:c>
      <x:c r="K301" s="25" t="str">
        <x:v>仅装备原始基础值决定主属性范围</x:v>
      </x:c>
    </x:row>
    <x:row r="302">
      <x:c r="A302" s="25" t="str">
        <x:v>C04-E</x:v>
      </x:c>
      <x:c r="B302" s="25" t="str">
        <x:v>利耶尼亚海域</x:v>
      </x:c>
      <x:c r="C302" s="25" t="str">
        <x:v>半急速入场</x:v>
      </x:c>
      <x:c r="D302" s="25" t="n">
        <x:v>11</x:v>
      </x:c>
      <x:c r="E302" s="25" t="n">
        <x:v>94</x:v>
      </x:c>
      <x:c r="F302" s="25" t="str">
        <x:v>逐风征靴</x:v>
      </x:c>
      <x:c r="G302" s="25" t="n">
        <x:v>1</x:v>
      </x:c>
      <x:c r="H302" s="25" t="str">
        <x:v>攻击加成</x:v>
      </x:c>
      <x:c r="I302" s="25" t="n">
        <x:v>13</x:v>
      </x:c>
      <x:c r="J302" s="25" t="n">
        <x:v>18</x:v>
      </x:c>
      <x:c r="K302" s="25" t="str">
        <x:v>仅装备原始基础值决定主属性范围</x:v>
      </x:c>
    </x:row>
    <x:row r="303">
      <x:c r="A303" s="25" t="str">
        <x:v>C04-E</x:v>
      </x:c>
      <x:c r="B303" s="25" t="str">
        <x:v>利耶尼亚海域</x:v>
      </x:c>
      <x:c r="C303" s="25" t="str">
        <x:v>半急速入场</x:v>
      </x:c>
      <x:c r="D303" s="25" t="n">
        <x:v>11</x:v>
      </x:c>
      <x:c r="E303" s="25" t="n">
        <x:v>94</x:v>
      </x:c>
      <x:c r="F303" s="25" t="str">
        <x:v>逐风征靴</x:v>
      </x:c>
      <x:c r="G303" s="25" t="n">
        <x:v>2</x:v>
      </x:c>
      <x:c r="H303" s="25" t="str">
        <x:v>攻击</x:v>
      </x:c>
      <x:c r="I303" s="25" t="n">
        <x:v>53</x:v>
      </x:c>
      <x:c r="J303" s="25" t="n">
        <x:v>1</x:v>
      </x:c>
      <x:c r="K303" s="25" t="str">
        <x:v>仅装备原始基础值决定主属性范围</x:v>
      </x:c>
    </x:row>
    <x:row r="304">
      <x:c r="A304" s="25" t="str">
        <x:v>C04-M</x:v>
      </x:c>
      <x:c r="B304" s="25" t="str">
        <x:v>利耶尼亚海域</x:v>
      </x:c>
      <x:c r="C304" s="25" t="str">
        <x:v>半急速中期</x:v>
      </x:c>
      <x:c r="D304" s="25" t="n">
        <x:v>0</x:v>
      </x:c>
      <x:c r="E304" s="25" t="n">
        <x:v>93</x:v>
      </x:c>
      <x:c r="F304" s="25" t="str">
        <x:v>巨犀荒铠</x:v>
      </x:c>
      <x:c r="G304" s="25" t="n">
        <x:v>1</x:v>
      </x:c>
      <x:c r="H304" s="25" t="str">
        <x:v>攻击</x:v>
      </x:c>
      <x:c r="I304" s="25" t="n">
        <x:v>21</x:v>
      </x:c>
      <x:c r="J304" s="25" t="n">
        <x:v>1</x:v>
      </x:c>
      <x:c r="K304" s="25" t="str">
        <x:v>仅装备原始基础值决定主属性范围</x:v>
      </x:c>
    </x:row>
    <x:row r="305">
      <x:c r="A305" s="25" t="str">
        <x:v>C04-M</x:v>
      </x:c>
      <x:c r="B305" s="25" t="str">
        <x:v>利耶尼亚海域</x:v>
      </x:c>
      <x:c r="C305" s="25" t="str">
        <x:v>半急速中期</x:v>
      </x:c>
      <x:c r="D305" s="25" t="n">
        <x:v>0</x:v>
      </x:c>
      <x:c r="E305" s="25" t="n">
        <x:v>93</x:v>
      </x:c>
      <x:c r="F305" s="25" t="str">
        <x:v>巨犀荒铠</x:v>
      </x:c>
      <x:c r="G305" s="25" t="n">
        <x:v>2</x:v>
      </x:c>
      <x:c r="H305" s="25" t="str">
        <x:v>攻击加成</x:v>
      </x:c>
      <x:c r="I305" s="25" t="n">
        <x:v>21</x:v>
      </x:c>
      <x:c r="J305" s="25" t="n">
        <x:v>18</x:v>
      </x:c>
      <x:c r="K305" s="25" t="str">
        <x:v>仅装备原始基础值决定主属性范围</x:v>
      </x:c>
    </x:row>
    <x:row r="306">
      <x:c r="A306" s="25" t="str">
        <x:v>C04-M</x:v>
      </x:c>
      <x:c r="B306" s="25" t="str">
        <x:v>利耶尼亚海域</x:v>
      </x:c>
      <x:c r="C306" s="25" t="str">
        <x:v>半急速中期</x:v>
      </x:c>
      <x:c r="D306" s="25" t="n">
        <x:v>0</x:v>
      </x:c>
      <x:c r="E306" s="25" t="n">
        <x:v>93</x:v>
      </x:c>
      <x:c r="F306" s="25" t="str">
        <x:v>巨犀荒铠</x:v>
      </x:c>
      <x:c r="G306" s="25" t="n">
        <x:v>3</x:v>
      </x:c>
      <x:c r="H306" s="25" t="str">
        <x:v>攻击加成</x:v>
      </x:c>
      <x:c r="I306" s="25" t="n">
        <x:v>45</x:v>
      </x:c>
      <x:c r="J306" s="25" t="n">
        <x:v>19</x:v>
      </x:c>
      <x:c r="K306" s="25" t="str">
        <x:v>仅装备原始基础值决定主属性范围</x:v>
      </x:c>
    </x:row>
    <x:row r="307">
      <x:c r="A307" s="25" t="str">
        <x:v>C04-M</x:v>
      </x:c>
      <x:c r="B307" s="25" t="str">
        <x:v>利耶尼亚海域</x:v>
      </x:c>
      <x:c r="C307" s="25" t="str">
        <x:v>半急速中期</x:v>
      </x:c>
      <x:c r="D307" s="25" t="n">
        <x:v>0</x:v>
      </x:c>
      <x:c r="E307" s="25" t="n">
        <x:v>93</x:v>
      </x:c>
      <x:c r="F307" s="25" t="str">
        <x:v>巨犀荒铠</x:v>
      </x:c>
      <x:c r="G307" s="25" t="n">
        <x:v>4</x:v>
      </x:c>
      <x:c r="H307" s="25" t="str">
        <x:v>攻击速度</x:v>
      </x:c>
      <x:c r="I307" s="25" t="n">
        <x:v>1</x:v>
      </x:c>
      <x:c r="J307" s="25" t="n">
        <x:v>4</x:v>
      </x:c>
      <x:c r="K307" s="25" t="str">
        <x:v>仅装备原始基础值决定主属性范围</x:v>
      </x:c>
    </x:row>
    <x:row r="308">
      <x:c r="A308" s="25" t="str">
        <x:v>C04-M</x:v>
      </x:c>
      <x:c r="B308" s="25" t="str">
        <x:v>利耶尼亚海域</x:v>
      </x:c>
      <x:c r="C308" s="25" t="str">
        <x:v>半急速中期</x:v>
      </x:c>
      <x:c r="D308" s="25" t="n">
        <x:v>0</x:v>
      </x:c>
      <x:c r="E308" s="25" t="n">
        <x:v>93</x:v>
      </x:c>
      <x:c r="F308" s="25" t="str">
        <x:v>巨犀荒铠</x:v>
      </x:c>
      <x:c r="G308" s="25" t="n">
        <x:v>5</x:v>
      </x:c>
      <x:c r="H308" s="25" t="str">
        <x:v>攻击速度</x:v>
      </x:c>
      <x:c r="I308" s="25" t="n">
        <x:v>2</x:v>
      </x:c>
      <x:c r="J308" s="25" t="n">
        <x:v>5</x:v>
      </x:c>
      <x:c r="K308" s="25" t="str">
        <x:v>仅装备原始基础值决定主属性范围</x:v>
      </x:c>
    </x:row>
    <x:row r="309">
      <x:c r="A309" s="25" t="str">
        <x:v>C04-M</x:v>
      </x:c>
      <x:c r="B309" s="25" t="str">
        <x:v>利耶尼亚海域</x:v>
      </x:c>
      <x:c r="C309" s="25" t="str">
        <x:v>半急速中期</x:v>
      </x:c>
      <x:c r="D309" s="25" t="n">
        <x:v>0</x:v>
      </x:c>
      <x:c r="E309" s="25" t="n">
        <x:v>93</x:v>
      </x:c>
      <x:c r="F309" s="25" t="str">
        <x:v>巨犀荒铠</x:v>
      </x:c>
      <x:c r="G309" s="25" t="n">
        <x:v>6</x:v>
      </x:c>
      <x:c r="H309" s="25" t="str">
        <x:v>最大爆率</x:v>
      </x:c>
      <x:c r="I309" s="25" t="n">
        <x:v>2</x:v>
      </x:c>
      <x:c r="J309" s="25" t="n">
        <x:v>23</x:v>
      </x:c>
      <x:c r="K309" s="25" t="str">
        <x:v>仅装备原始基础值决定主属性范围</x:v>
      </x:c>
    </x:row>
    <x:row r="310">
      <x:c r="A310" s="25" t="str">
        <x:v>C04-M</x:v>
      </x:c>
      <x:c r="B310" s="25" t="str">
        <x:v>利耶尼亚海域</x:v>
      </x:c>
      <x:c r="C310" s="25" t="str">
        <x:v>半急速中期</x:v>
      </x:c>
      <x:c r="D310" s="25" t="n">
        <x:v>1</x:v>
      </x:c>
      <x:c r="E310" s="25" t="n">
        <x:v>92</x:v>
      </x:c>
      <x:c r="F310" s="25" t="str">
        <x:v>刑官断刃</x:v>
      </x:c>
      <x:c r="G310" s="25" t="n">
        <x:v>1</x:v>
      </x:c>
      <x:c r="H310" s="25" t="str">
        <x:v>处决时间</x:v>
      </x:c>
      <x:c r="I310" s="25" t="n">
        <x:v>2</x:v>
      </x:c>
      <x:c r="J310" s="25" t="n">
        <x:v>9</x:v>
      </x:c>
      <x:c r="K310" s="25" t="str">
        <x:v>仅装备原始基础值决定主属性范围</x:v>
      </x:c>
    </x:row>
    <x:row r="311">
      <x:c r="A311" s="25" t="str">
        <x:v>C04-M</x:v>
      </x:c>
      <x:c r="B311" s="25" t="str">
        <x:v>利耶尼亚海域</x:v>
      </x:c>
      <x:c r="C311" s="25" t="str">
        <x:v>半急速中期</x:v>
      </x:c>
      <x:c r="D311" s="25" t="n">
        <x:v>1</x:v>
      </x:c>
      <x:c r="E311" s="25" t="n">
        <x:v>92</x:v>
      </x:c>
      <x:c r="F311" s="25" t="str">
        <x:v>刑官断刃</x:v>
      </x:c>
      <x:c r="G311" s="25" t="n">
        <x:v>2</x:v>
      </x:c>
      <x:c r="H311" s="25" t="str">
        <x:v>处决时间</x:v>
      </x:c>
      <x:c r="I311" s="25" t="n">
        <x:v>1</x:v>
      </x:c>
      <x:c r="J311" s="25" t="n">
        <x:v>8</x:v>
      </x:c>
      <x:c r="K311" s="25" t="str">
        <x:v>仅装备原始基础值决定主属性范围</x:v>
      </x:c>
    </x:row>
    <x:row r="312">
      <x:c r="A312" s="25" t="str">
        <x:v>C04-M</x:v>
      </x:c>
      <x:c r="B312" s="25" t="str">
        <x:v>利耶尼亚海域</x:v>
      </x:c>
      <x:c r="C312" s="25" t="str">
        <x:v>半急速中期</x:v>
      </x:c>
      <x:c r="D312" s="25" t="n">
        <x:v>1</x:v>
      </x:c>
      <x:c r="E312" s="25" t="n">
        <x:v>92</x:v>
      </x:c>
      <x:c r="F312" s="25" t="str">
        <x:v>刑官断刃</x:v>
      </x:c>
      <x:c r="G312" s="25" t="n">
        <x:v>3</x:v>
      </x:c>
      <x:c r="H312" s="25" t="str">
        <x:v>道术</x:v>
      </x:c>
      <x:c r="I312" s="25" t="n">
        <x:v>77</x:v>
      </x:c>
      <x:c r="J312" s="25" t="n">
        <x:v>3</x:v>
      </x:c>
      <x:c r="K312" s="25" t="str">
        <x:v>仅装备原始基础值决定主属性范围</x:v>
      </x:c>
    </x:row>
    <x:row r="313">
      <x:c r="A313" s="25" t="str">
        <x:v>C04-M</x:v>
      </x:c>
      <x:c r="B313" s="25" t="str">
        <x:v>利耶尼亚海域</x:v>
      </x:c>
      <x:c r="C313" s="25" t="str">
        <x:v>半急速中期</x:v>
      </x:c>
      <x:c r="D313" s="25" t="n">
        <x:v>1</x:v>
      </x:c>
      <x:c r="E313" s="25" t="n">
        <x:v>92</x:v>
      </x:c>
      <x:c r="F313" s="25" t="str">
        <x:v>刑官断刃</x:v>
      </x:c>
      <x:c r="G313" s="25" t="n">
        <x:v>4</x:v>
      </x:c>
      <x:c r="H313" s="25" t="str">
        <x:v>处决伤害</x:v>
      </x:c>
      <x:c r="I313" s="25" t="n">
        <x:v>2</x:v>
      </x:c>
      <x:c r="J313" s="25" t="n">
        <x:v>11</x:v>
      </x:c>
      <x:c r="K313" s="25" t="str">
        <x:v>仅装备原始基础值决定主属性范围</x:v>
      </x:c>
    </x:row>
    <x:row r="314">
      <x:c r="A314" s="25" t="str">
        <x:v>C04-M</x:v>
      </x:c>
      <x:c r="B314" s="25" t="str">
        <x:v>利耶尼亚海域</x:v>
      </x:c>
      <x:c r="C314" s="25" t="str">
        <x:v>半急速中期</x:v>
      </x:c>
      <x:c r="D314" s="25" t="n">
        <x:v>1</x:v>
      </x:c>
      <x:c r="E314" s="25" t="n">
        <x:v>92</x:v>
      </x:c>
      <x:c r="F314" s="25" t="str">
        <x:v>刑官断刃</x:v>
      </x:c>
      <x:c r="G314" s="25" t="n">
        <x:v>5</x:v>
      </x:c>
      <x:c r="H314" s="25" t="str">
        <x:v>魔法</x:v>
      </x:c>
      <x:c r="I314" s="25" t="n">
        <x:v>17</x:v>
      </x:c>
      <x:c r="J314" s="25" t="n">
        <x:v>2</x:v>
      </x:c>
      <x:c r="K314" s="25" t="str">
        <x:v>仅装备原始基础值决定主属性范围</x:v>
      </x:c>
    </x:row>
    <x:row r="315">
      <x:c r="A315" s="25" t="str">
        <x:v>C04-M</x:v>
      </x:c>
      <x:c r="B315" s="25" t="str">
        <x:v>利耶尼亚海域</x:v>
      </x:c>
      <x:c r="C315" s="25" t="str">
        <x:v>半急速中期</x:v>
      </x:c>
      <x:c r="D315" s="25" t="n">
        <x:v>1</x:v>
      </x:c>
      <x:c r="E315" s="25" t="n">
        <x:v>92</x:v>
      </x:c>
      <x:c r="F315" s="25" t="str">
        <x:v>刑官断刃</x:v>
      </x:c>
      <x:c r="G315" s="25" t="n">
        <x:v>6</x:v>
      </x:c>
      <x:c r="H315" s="25" t="str">
        <x:v>处决伤害</x:v>
      </x:c>
      <x:c r="I315" s="25" t="n">
        <x:v>1</x:v>
      </x:c>
      <x:c r="J315" s="25" t="n">
        <x:v>10</x:v>
      </x:c>
      <x:c r="K315" s="25" t="str">
        <x:v>仅装备原始基础值决定主属性范围</x:v>
      </x:c>
    </x:row>
    <x:row r="316">
      <x:c r="A316" s="25" t="str">
        <x:v>C04-M</x:v>
      </x:c>
      <x:c r="B316" s="25" t="str">
        <x:v>利耶尼亚海域</x:v>
      </x:c>
      <x:c r="C316" s="25" t="str">
        <x:v>半急速中期</x:v>
      </x:c>
      <x:c r="D316" s="25" t="n">
        <x:v>1</x:v>
      </x:c>
      <x:c r="E316" s="25" t="n">
        <x:v>92</x:v>
      </x:c>
      <x:c r="F316" s="25" t="str">
        <x:v>刑官断刃</x:v>
      </x:c>
      <x:c r="G316" s="25" t="n">
        <x:v>7</x:v>
      </x:c>
      <x:c r="H316" s="25" t="str">
        <x:v>暴击</x:v>
      </x:c>
      <x:c r="I316" s="25" t="n">
        <x:v>1</x:v>
      </x:c>
      <x:c r="J316" s="25" t="n">
        <x:v>14</x:v>
      </x:c>
      <x:c r="K316" s="25" t="str">
        <x:v>仅装备原始基础值决定主属性范围</x:v>
      </x:c>
    </x:row>
    <x:row r="317">
      <x:c r="A317" s="25" t="str">
        <x:v>C04-M</x:v>
      </x:c>
      <x:c r="B317" s="25" t="str">
        <x:v>利耶尼亚海域</x:v>
      </x:c>
      <x:c r="C317" s="25" t="str">
        <x:v>半急速中期</x:v>
      </x:c>
      <x:c r="D317" s="25" t="n">
        <x:v>1</x:v>
      </x:c>
      <x:c r="E317" s="25" t="n">
        <x:v>92</x:v>
      </x:c>
      <x:c r="F317" s="25" t="str">
        <x:v>刑官断刃</x:v>
      </x:c>
      <x:c r="G317" s="25" t="n">
        <x:v>8</x:v>
      </x:c>
      <x:c r="H317" s="25" t="str">
        <x:v>处决伤害</x:v>
      </x:c>
      <x:c r="I317" s="25" t="n">
        <x:v>1</x:v>
      </x:c>
      <x:c r="J317" s="25" t="n">
        <x:v>10</x:v>
      </x:c>
      <x:c r="K317" s="25" t="str">
        <x:v>仅装备原始基础值决定主属性范围</x:v>
      </x:c>
    </x:row>
    <x:row r="318">
      <x:c r="A318" s="25" t="str">
        <x:v>C04-M</x:v>
      </x:c>
      <x:c r="B318" s="25" t="str">
        <x:v>利耶尼亚海域</x:v>
      </x:c>
      <x:c r="C318" s="25" t="str">
        <x:v>半急速中期</x:v>
      </x:c>
      <x:c r="D318" s="25" t="n">
        <x:v>3</x:v>
      </x:c>
      <x:c r="E318" s="25" t="n">
        <x:v>30</x:v>
      </x:c>
      <x:c r="F318" s="25" t="str">
        <x:v>卢恩骑士项链</x:v>
      </x:c>
      <x:c r="G318" s="25" t="n">
        <x:v>1</x:v>
      </x:c>
      <x:c r="H318" s="25" t="str">
        <x:v>韧性</x:v>
      </x:c>
      <x:c r="I318" s="25" t="n">
        <x:v>10</x:v>
      </x:c>
      <x:c r="J318" s="25" t="n">
        <x:v>12</x:v>
      </x:c>
      <x:c r="K318" s="25" t="str">
        <x:v>仅装备原始基础值决定主属性范围</x:v>
      </x:c>
    </x:row>
    <x:row r="319">
      <x:c r="A319" s="25" t="str">
        <x:v>C04-M</x:v>
      </x:c>
      <x:c r="B319" s="25" t="str">
        <x:v>利耶尼亚海域</x:v>
      </x:c>
      <x:c r="C319" s="25" t="str">
        <x:v>半急速中期</x:v>
      </x:c>
      <x:c r="D319" s="25" t="n">
        <x:v>3</x:v>
      </x:c>
      <x:c r="E319" s="25" t="n">
        <x:v>30</x:v>
      </x:c>
      <x:c r="F319" s="25" t="str">
        <x:v>卢恩骑士项链</x:v>
      </x:c>
      <x:c r="G319" s="25" t="n">
        <x:v>2</x:v>
      </x:c>
      <x:c r="H319" s="25" t="str">
        <x:v>伤害系数</x:v>
      </x:c>
      <x:c r="I319" s="25" t="n">
        <x:v>2</x:v>
      </x:c>
      <x:c r="J319" s="25" t="n">
        <x:v>26</x:v>
      </x:c>
      <x:c r="K319" s="25" t="str">
        <x:v>仅装备原始基础值决定主属性范围</x:v>
      </x:c>
    </x:row>
    <x:row r="320">
      <x:c r="A320" s="25" t="str">
        <x:v>C04-M</x:v>
      </x:c>
      <x:c r="B320" s="25" t="str">
        <x:v>利耶尼亚海域</x:v>
      </x:c>
      <x:c r="C320" s="25" t="str">
        <x:v>半急速中期</x:v>
      </x:c>
      <x:c r="D320" s="25" t="n">
        <x:v>3</x:v>
      </x:c>
      <x:c r="E320" s="25" t="n">
        <x:v>30</x:v>
      </x:c>
      <x:c r="F320" s="25" t="str">
        <x:v>卢恩骑士项链</x:v>
      </x:c>
      <x:c r="G320" s="25" t="n">
        <x:v>3</x:v>
      </x:c>
      <x:c r="H320" s="25" t="str">
        <x:v>攻击加成</x:v>
      </x:c>
      <x:c r="I320" s="25" t="n">
        <x:v>39</x:v>
      </x:c>
      <x:c r="J320" s="25" t="n">
        <x:v>19</x:v>
      </x:c>
      <x:c r="K320" s="25" t="str">
        <x:v>仅装备原始基础值决定主属性范围</x:v>
      </x:c>
    </x:row>
    <x:row r="321">
      <x:c r="A321" s="25" t="str">
        <x:v>C04-M</x:v>
      </x:c>
      <x:c r="B321" s="25" t="str">
        <x:v>利耶尼亚海域</x:v>
      </x:c>
      <x:c r="C321" s="25" t="str">
        <x:v>半急速中期</x:v>
      </x:c>
      <x:c r="D321" s="25" t="n">
        <x:v>3</x:v>
      </x:c>
      <x:c r="E321" s="25" t="n">
        <x:v>30</x:v>
      </x:c>
      <x:c r="F321" s="25" t="str">
        <x:v>卢恩骑士项链</x:v>
      </x:c>
      <x:c r="G321" s="25" t="n">
        <x:v>4</x:v>
      </x:c>
      <x:c r="H321" s="25" t="str">
        <x:v>处决伤害</x:v>
      </x:c>
      <x:c r="I321" s="25" t="n">
        <x:v>1</x:v>
      </x:c>
      <x:c r="J321" s="25" t="n">
        <x:v>10</x:v>
      </x:c>
      <x:c r="K321" s="25" t="str">
        <x:v>仅装备原始基础值决定主属性范围</x:v>
      </x:c>
    </x:row>
    <x:row r="322">
      <x:c r="A322" s="25" t="str">
        <x:v>C04-M</x:v>
      </x:c>
      <x:c r="B322" s="25" t="str">
        <x:v>利耶尼亚海域</x:v>
      </x:c>
      <x:c r="C322" s="25" t="str">
        <x:v>半急速中期</x:v>
      </x:c>
      <x:c r="D322" s="25" t="n">
        <x:v>4</x:v>
      </x:c>
      <x:c r="E322" s="25" t="n">
        <x:v>35</x:v>
      </x:c>
      <x:c r="F322" s="25" t="str">
        <x:v>圣树先锋战盔</x:v>
      </x:c>
      <x:c r="G322" s="25" t="n">
        <x:v>1</x:v>
      </x:c>
      <x:c r="H322" s="25" t="str">
        <x:v>攻击速度</x:v>
      </x:c>
      <x:c r="I322" s="25" t="n">
        <x:v>2</x:v>
      </x:c>
      <x:c r="J322" s="25" t="n">
        <x:v>5</x:v>
      </x:c>
      <x:c r="K322" s="25" t="str">
        <x:v>仅装备原始基础值决定主属性范围</x:v>
      </x:c>
    </x:row>
    <x:row r="323">
      <x:c r="A323" s="25" t="str">
        <x:v>C04-M</x:v>
      </x:c>
      <x:c r="B323" s="25" t="str">
        <x:v>利耶尼亚海域</x:v>
      </x:c>
      <x:c r="C323" s="25" t="str">
        <x:v>半急速中期</x:v>
      </x:c>
      <x:c r="D323" s="25" t="n">
        <x:v>4</x:v>
      </x:c>
      <x:c r="E323" s="25" t="n">
        <x:v>35</x:v>
      </x:c>
      <x:c r="F323" s="25" t="str">
        <x:v>圣树先锋战盔</x:v>
      </x:c>
      <x:c r="G323" s="25" t="n">
        <x:v>2</x:v>
      </x:c>
      <x:c r="H323" s="25" t="str">
        <x:v>攻击加成</x:v>
      </x:c>
      <x:c r="I323" s="25" t="n">
        <x:v>49</x:v>
      </x:c>
      <x:c r="J323" s="25" t="n">
        <x:v>19</x:v>
      </x:c>
      <x:c r="K323" s="25" t="str">
        <x:v>仅装备原始基础值决定主属性范围</x:v>
      </x:c>
    </x:row>
    <x:row r="324">
      <x:c r="A324" s="25" t="str">
        <x:v>C04-M</x:v>
      </x:c>
      <x:c r="B324" s="25" t="str">
        <x:v>利耶尼亚海域</x:v>
      </x:c>
      <x:c r="C324" s="25" t="str">
        <x:v>半急速中期</x:v>
      </x:c>
      <x:c r="D324" s="25" t="n">
        <x:v>4</x:v>
      </x:c>
      <x:c r="E324" s="25" t="n">
        <x:v>35</x:v>
      </x:c>
      <x:c r="F324" s="25" t="str">
        <x:v>圣树先锋战盔</x:v>
      </x:c>
      <x:c r="G324" s="25" t="n">
        <x:v>3</x:v>
      </x:c>
      <x:c r="H324" s="25" t="str">
        <x:v>攻击速度</x:v>
      </x:c>
      <x:c r="I324" s="25" t="n">
        <x:v>1</x:v>
      </x:c>
      <x:c r="J324" s="25" t="n">
        <x:v>4</x:v>
      </x:c>
      <x:c r="K324" s="25" t="str">
        <x:v>仅装备原始基础值决定主属性范围</x:v>
      </x:c>
    </x:row>
    <x:row r="325">
      <x:c r="A325" s="25" t="str">
        <x:v>C04-M</x:v>
      </x:c>
      <x:c r="B325" s="25" t="str">
        <x:v>利耶尼亚海域</x:v>
      </x:c>
      <x:c r="C325" s="25" t="str">
        <x:v>半急速中期</x:v>
      </x:c>
      <x:c r="D325" s="25" t="n">
        <x:v>4</x:v>
      </x:c>
      <x:c r="E325" s="25" t="n">
        <x:v>35</x:v>
      </x:c>
      <x:c r="F325" s="25" t="str">
        <x:v>圣树先锋战盔</x:v>
      </x:c>
      <x:c r="G325" s="25" t="n">
        <x:v>4</x:v>
      </x:c>
      <x:c r="H325" s="25" t="str">
        <x:v>处决伤害</x:v>
      </x:c>
      <x:c r="I325" s="25" t="n">
        <x:v>1</x:v>
      </x:c>
      <x:c r="J325" s="25" t="n">
        <x:v>10</x:v>
      </x:c>
      <x:c r="K325" s="25" t="str">
        <x:v>仅装备原始基础值决定主属性范围</x:v>
      </x:c>
    </x:row>
    <x:row r="326">
      <x:c r="A326" s="25" t="str">
        <x:v>C04-M</x:v>
      </x:c>
      <x:c r="B326" s="25" t="str">
        <x:v>利耶尼亚海域</x:v>
      </x:c>
      <x:c r="C326" s="25" t="str">
        <x:v>半急速中期</x:v>
      </x:c>
      <x:c r="D326" s="25" t="n">
        <x:v>5</x:v>
      </x:c>
      <x:c r="E326" s="25" t="n">
        <x:v>59</x:v>
      </x:c>
      <x:c r="F326" s="25" t="str">
        <x:v>古龙近卫腕甲</x:v>
      </x:c>
      <x:c r="G326" s="25" t="n">
        <x:v>1</x:v>
      </x:c>
      <x:c r="H326" s="25" t="str">
        <x:v>暴击</x:v>
      </x:c>
      <x:c r="I326" s="25" t="n">
        <x:v>2</x:v>
      </x:c>
      <x:c r="J326" s="25" t="n">
        <x:v>15</x:v>
      </x:c>
      <x:c r="K326" s="25" t="str">
        <x:v>仅装备原始基础值决定主属性范围</x:v>
      </x:c>
    </x:row>
    <x:row r="327">
      <x:c r="A327" s="25" t="str">
        <x:v>C04-M</x:v>
      </x:c>
      <x:c r="B327" s="25" t="str">
        <x:v>利耶尼亚海域</x:v>
      </x:c>
      <x:c r="C327" s="25" t="str">
        <x:v>半急速中期</x:v>
      </x:c>
      <x:c r="D327" s="25" t="n">
        <x:v>5</x:v>
      </x:c>
      <x:c r="E327" s="25" t="n">
        <x:v>59</x:v>
      </x:c>
      <x:c r="F327" s="25" t="str">
        <x:v>古龙近卫腕甲</x:v>
      </x:c>
      <x:c r="G327" s="25" t="n">
        <x:v>2</x:v>
      </x:c>
      <x:c r="H327" s="25" t="str">
        <x:v>处决伤害</x:v>
      </x:c>
      <x:c r="I327" s="25" t="n">
        <x:v>2</x:v>
      </x:c>
      <x:c r="J327" s="25" t="n">
        <x:v>11</x:v>
      </x:c>
      <x:c r="K327" s="25" t="str">
        <x:v>仅装备原始基础值决定主属性范围</x:v>
      </x:c>
    </x:row>
    <x:row r="328">
      <x:c r="A328" s="25" t="str">
        <x:v>C04-M</x:v>
      </x:c>
      <x:c r="B328" s="25" t="str">
        <x:v>利耶尼亚海域</x:v>
      </x:c>
      <x:c r="C328" s="25" t="str">
        <x:v>半急速中期</x:v>
      </x:c>
      <x:c r="D328" s="25" t="n">
        <x:v>5</x:v>
      </x:c>
      <x:c r="E328" s="25" t="n">
        <x:v>59</x:v>
      </x:c>
      <x:c r="F328" s="25" t="str">
        <x:v>古龙近卫腕甲</x:v>
      </x:c>
      <x:c r="G328" s="25" t="n">
        <x:v>3</x:v>
      </x:c>
      <x:c r="H328" s="25" t="str">
        <x:v>处决概率</x:v>
      </x:c>
      <x:c r="I328" s="25" t="n">
        <x:v>1</x:v>
      </x:c>
      <x:c r="J328" s="25" t="n">
        <x:v>6</x:v>
      </x:c>
      <x:c r="K328" s="25" t="str">
        <x:v>仅装备原始基础值决定主属性范围</x:v>
      </x:c>
    </x:row>
    <x:row r="329">
      <x:c r="A329" s="25" t="str">
        <x:v>C04-M</x:v>
      </x:c>
      <x:c r="B329" s="25" t="str">
        <x:v>利耶尼亚海域</x:v>
      </x:c>
      <x:c r="C329" s="25" t="str">
        <x:v>半急速中期</x:v>
      </x:c>
      <x:c r="D329" s="25" t="n">
        <x:v>5</x:v>
      </x:c>
      <x:c r="E329" s="25" t="n">
        <x:v>59</x:v>
      </x:c>
      <x:c r="F329" s="25" t="str">
        <x:v>古龙近卫腕甲</x:v>
      </x:c>
      <x:c r="G329" s="25" t="n">
        <x:v>4</x:v>
      </x:c>
      <x:c r="H329" s="25" t="str">
        <x:v>伤害吸收上限</x:v>
      </x:c>
      <x:c r="I329" s="25" t="n">
        <x:v>1</x:v>
      </x:c>
      <x:c r="J329" s="25" t="n">
        <x:v>28</x:v>
      </x:c>
      <x:c r="K329" s="25" t="str">
        <x:v>仅装备原始基础值决定主属性范围</x:v>
      </x:c>
    </x:row>
    <x:row r="330">
      <x:c r="A330" s="25" t="str">
        <x:v>C04-M</x:v>
      </x:c>
      <x:c r="B330" s="25" t="str">
        <x:v>利耶尼亚海域</x:v>
      </x:c>
      <x:c r="C330" s="25" t="str">
        <x:v>半急速中期</x:v>
      </x:c>
      <x:c r="D330" s="25" t="n">
        <x:v>5</x:v>
      </x:c>
      <x:c r="E330" s="25" t="n">
        <x:v>59</x:v>
      </x:c>
      <x:c r="F330" s="25" t="str">
        <x:v>古龙近卫腕甲</x:v>
      </x:c>
      <x:c r="G330" s="25" t="n">
        <x:v>5</x:v>
      </x:c>
      <x:c r="H330" s="25" t="str">
        <x:v>攻击</x:v>
      </x:c>
      <x:c r="I330" s="25" t="n">
        <x:v>27</x:v>
      </x:c>
      <x:c r="J330" s="25" t="n">
        <x:v>1</x:v>
      </x:c>
      <x:c r="K330" s="25" t="str">
        <x:v>仅装备原始基础值决定主属性范围</x:v>
      </x:c>
    </x:row>
    <x:row r="331">
      <x:c r="A331" s="25" t="str">
        <x:v>C04-M</x:v>
      </x:c>
      <x:c r="B331" s="25" t="str">
        <x:v>利耶尼亚海域</x:v>
      </x:c>
      <x:c r="C331" s="25" t="str">
        <x:v>半急速中期</x:v>
      </x:c>
      <x:c r="D331" s="25" t="n">
        <x:v>5</x:v>
      </x:c>
      <x:c r="E331" s="25" t="n">
        <x:v>59</x:v>
      </x:c>
      <x:c r="F331" s="25" t="str">
        <x:v>古龙近卫腕甲</x:v>
      </x:c>
      <x:c r="G331" s="25" t="n">
        <x:v>6</x:v>
      </x:c>
      <x:c r="H331" s="25" t="str">
        <x:v>攻击</x:v>
      </x:c>
      <x:c r="I331" s="25" t="n">
        <x:v>38</x:v>
      </x:c>
      <x:c r="J331" s="25" t="n">
        <x:v>1</x:v>
      </x:c>
      <x:c r="K331" s="25" t="str">
        <x:v>仅装备原始基础值决定主属性范围</x:v>
      </x:c>
    </x:row>
    <x:row r="332">
      <x:c r="A332" s="25" t="str">
        <x:v>C04-M</x:v>
      </x:c>
      <x:c r="B332" s="25" t="str">
        <x:v>利耶尼亚海域</x:v>
      </x:c>
      <x:c r="C332" s="25" t="str">
        <x:v>半急速中期</x:v>
      </x:c>
      <x:c r="D332" s="25" t="n">
        <x:v>6</x:v>
      </x:c>
      <x:c r="E332" s="25" t="n">
        <x:v>68</x:v>
      </x:c>
      <x:c r="F332" s="25" t="str">
        <x:v>百指接肢腕</x:v>
      </x:c>
      <x:c r="G332" s="25" t="n">
        <x:v>1</x:v>
      </x:c>
      <x:c r="H332" s="25" t="str">
        <x:v>处决伤害</x:v>
      </x:c>
      <x:c r="I332" s="25" t="n">
        <x:v>1</x:v>
      </x:c>
      <x:c r="J332" s="25" t="n">
        <x:v>10</x:v>
      </x:c>
      <x:c r="K332" s="25" t="str">
        <x:v>仅装备原始基础值决定主属性范围</x:v>
      </x:c>
    </x:row>
    <x:row r="333">
      <x:c r="A333" s="25" t="str">
        <x:v>C04-M</x:v>
      </x:c>
      <x:c r="B333" s="25" t="str">
        <x:v>利耶尼亚海域</x:v>
      </x:c>
      <x:c r="C333" s="25" t="str">
        <x:v>半急速中期</x:v>
      </x:c>
      <x:c r="D333" s="25" t="n">
        <x:v>6</x:v>
      </x:c>
      <x:c r="E333" s="25" t="n">
        <x:v>68</x:v>
      </x:c>
      <x:c r="F333" s="25" t="str">
        <x:v>百指接肢腕</x:v>
      </x:c>
      <x:c r="G333" s="25" t="n">
        <x:v>2</x:v>
      </x:c>
      <x:c r="H333" s="25" t="str">
        <x:v>攻击加成</x:v>
      </x:c>
      <x:c r="I333" s="25" t="n">
        <x:v>28</x:v>
      </x:c>
      <x:c r="J333" s="25" t="n">
        <x:v>18</x:v>
      </x:c>
      <x:c r="K333" s="25" t="str">
        <x:v>仅装备原始基础值决定主属性范围</x:v>
      </x:c>
    </x:row>
    <x:row r="334">
      <x:c r="A334" s="25" t="str">
        <x:v>C04-M</x:v>
      </x:c>
      <x:c r="B334" s="25" t="str">
        <x:v>利耶尼亚海域</x:v>
      </x:c>
      <x:c r="C334" s="25" t="str">
        <x:v>半急速中期</x:v>
      </x:c>
      <x:c r="D334" s="25" t="n">
        <x:v>6</x:v>
      </x:c>
      <x:c r="E334" s="25" t="n">
        <x:v>68</x:v>
      </x:c>
      <x:c r="F334" s="25" t="str">
        <x:v>百指接肢腕</x:v>
      </x:c>
      <x:c r="G334" s="25" t="n">
        <x:v>3</x:v>
      </x:c>
      <x:c r="H334" s="25" t="str">
        <x:v>攻击加成</x:v>
      </x:c>
      <x:c r="I334" s="25" t="n">
        <x:v>45</x:v>
      </x:c>
      <x:c r="J334" s="25" t="n">
        <x:v>19</x:v>
      </x:c>
      <x:c r="K334" s="25" t="str">
        <x:v>仅装备原始基础值决定主属性范围</x:v>
      </x:c>
    </x:row>
    <x:row r="335">
      <x:c r="A335" s="25" t="str">
        <x:v>C04-M</x:v>
      </x:c>
      <x:c r="B335" s="25" t="str">
        <x:v>利耶尼亚海域</x:v>
      </x:c>
      <x:c r="C335" s="25" t="str">
        <x:v>半急速中期</x:v>
      </x:c>
      <x:c r="D335" s="25" t="n">
        <x:v>6</x:v>
      </x:c>
      <x:c r="E335" s="25" t="n">
        <x:v>68</x:v>
      </x:c>
      <x:c r="F335" s="25" t="str">
        <x:v>百指接肢腕</x:v>
      </x:c>
      <x:c r="G335" s="25" t="n">
        <x:v>4</x:v>
      </x:c>
      <x:c r="H335" s="25" t="str">
        <x:v>处决伤害</x:v>
      </x:c>
      <x:c r="I335" s="25" t="n">
        <x:v>2</x:v>
      </x:c>
      <x:c r="J335" s="25" t="n">
        <x:v>11</x:v>
      </x:c>
      <x:c r="K335" s="25" t="str">
        <x:v>仅装备原始基础值决定主属性范围</x:v>
      </x:c>
    </x:row>
    <x:row r="336">
      <x:c r="A336" s="25" t="str">
        <x:v>C04-M</x:v>
      </x:c>
      <x:c r="B336" s="25" t="str">
        <x:v>利耶尼亚海域</x:v>
      </x:c>
      <x:c r="C336" s="25" t="str">
        <x:v>半急速中期</x:v>
      </x:c>
      <x:c r="D336" s="25" t="n">
        <x:v>6</x:v>
      </x:c>
      <x:c r="E336" s="25" t="n">
        <x:v>68</x:v>
      </x:c>
      <x:c r="F336" s="25" t="str">
        <x:v>百指接肢腕</x:v>
      </x:c>
      <x:c r="G336" s="25" t="n">
        <x:v>5</x:v>
      </x:c>
      <x:c r="H336" s="25" t="str">
        <x:v>暴击</x:v>
      </x:c>
      <x:c r="I336" s="25" t="n">
        <x:v>1</x:v>
      </x:c>
      <x:c r="J336" s="25" t="n">
        <x:v>14</x:v>
      </x:c>
      <x:c r="K336" s="25" t="str">
        <x:v>仅装备原始基础值决定主属性范围</x:v>
      </x:c>
    </x:row>
    <x:row r="337">
      <x:c r="A337" s="25" t="str">
        <x:v>C04-M</x:v>
      </x:c>
      <x:c r="B337" s="25" t="str">
        <x:v>利耶尼亚海域</x:v>
      </x:c>
      <x:c r="C337" s="25" t="str">
        <x:v>半急速中期</x:v>
      </x:c>
      <x:c r="D337" s="25" t="n">
        <x:v>7</x:v>
      </x:c>
      <x:c r="E337" s="25" t="n">
        <x:v>75</x:v>
      </x:c>
      <x:c r="F337" s="25" t="str">
        <x:v>归乡弩戒</x:v>
      </x:c>
      <x:c r="G337" s="25" t="n">
        <x:v>1</x:v>
      </x:c>
      <x:c r="H337" s="25" t="str">
        <x:v>攻击加成</x:v>
      </x:c>
      <x:c r="I337" s="25" t="n">
        <x:v>25</x:v>
      </x:c>
      <x:c r="J337" s="25" t="n">
        <x:v>18</x:v>
      </x:c>
      <x:c r="K337" s="25" t="str">
        <x:v>仅装备原始基础值决定主属性范围</x:v>
      </x:c>
    </x:row>
    <x:row r="338">
      <x:c r="A338" s="25" t="str">
        <x:v>C04-M</x:v>
      </x:c>
      <x:c r="B338" s="25" t="str">
        <x:v>利耶尼亚海域</x:v>
      </x:c>
      <x:c r="C338" s="25" t="str">
        <x:v>半急速中期</x:v>
      </x:c>
      <x:c r="D338" s="25" t="n">
        <x:v>7</x:v>
      </x:c>
      <x:c r="E338" s="25" t="n">
        <x:v>75</x:v>
      </x:c>
      <x:c r="F338" s="25" t="str">
        <x:v>归乡弩戒</x:v>
      </x:c>
      <x:c r="G338" s="25" t="n">
        <x:v>2</x:v>
      </x:c>
      <x:c r="H338" s="25" t="str">
        <x:v>攻击</x:v>
      </x:c>
      <x:c r="I338" s="25" t="n">
        <x:v>23</x:v>
      </x:c>
      <x:c r="J338" s="25" t="n">
        <x:v>1</x:v>
      </x:c>
      <x:c r="K338" s="25" t="str">
        <x:v>仅装备原始基础值决定主属性范围</x:v>
      </x:c>
    </x:row>
    <x:row r="339">
      <x:c r="A339" s="25" t="str">
        <x:v>C04-M</x:v>
      </x:c>
      <x:c r="B339" s="25" t="str">
        <x:v>利耶尼亚海域</x:v>
      </x:c>
      <x:c r="C339" s="25" t="str">
        <x:v>半急速中期</x:v>
      </x:c>
      <x:c r="D339" s="25" t="n">
        <x:v>7</x:v>
      </x:c>
      <x:c r="E339" s="25" t="n">
        <x:v>75</x:v>
      </x:c>
      <x:c r="F339" s="25" t="str">
        <x:v>归乡弩戒</x:v>
      </x:c>
      <x:c r="G339" s="25" t="n">
        <x:v>3</x:v>
      </x:c>
      <x:c r="H339" s="25" t="str">
        <x:v>攻击加成</x:v>
      </x:c>
      <x:c r="I339" s="25" t="n">
        <x:v>20</x:v>
      </x:c>
      <x:c r="J339" s="25" t="n">
        <x:v>18</x:v>
      </x:c>
      <x:c r="K339" s="25" t="str">
        <x:v>仅装备原始基础值决定主属性范围</x:v>
      </x:c>
    </x:row>
    <x:row r="340">
      <x:c r="A340" s="25" t="str">
        <x:v>C04-M</x:v>
      </x:c>
      <x:c r="B340" s="25" t="str">
        <x:v>利耶尼亚海域</x:v>
      </x:c>
      <x:c r="C340" s="25" t="str">
        <x:v>半急速中期</x:v>
      </x:c>
      <x:c r="D340" s="25" t="n">
        <x:v>8</x:v>
      </x:c>
      <x:c r="E340" s="25" t="n">
        <x:v>98</x:v>
      </x:c>
      <x:c r="F340" s="25" t="str">
        <x:v>圣律戒印</x:v>
      </x:c>
      <x:c r="G340" s="25" t="n">
        <x:v>1</x:v>
      </x:c>
      <x:c r="H340" s="25" t="str">
        <x:v>攻击</x:v>
      </x:c>
      <x:c r="I340" s="25" t="n">
        <x:v>93</x:v>
      </x:c>
      <x:c r="J340" s="25" t="n">
        <x:v>1</x:v>
      </x:c>
      <x:c r="K340" s="25" t="str">
        <x:v>仅装备原始基础值决定主属性范围</x:v>
      </x:c>
    </x:row>
    <x:row r="341">
      <x:c r="A341" s="25" t="str">
        <x:v>C04-M</x:v>
      </x:c>
      <x:c r="B341" s="25" t="str">
        <x:v>利耶尼亚海域</x:v>
      </x:c>
      <x:c r="C341" s="25" t="str">
        <x:v>半急速中期</x:v>
      </x:c>
      <x:c r="D341" s="25" t="n">
        <x:v>10</x:v>
      </x:c>
      <x:c r="E341" s="25" t="n">
        <x:v>99</x:v>
      </x:c>
      <x:c r="F341" s="25" t="str">
        <x:v>流寇束带</x:v>
      </x:c>
      <x:c r="G341" s="25" t="n">
        <x:v>1</x:v>
      </x:c>
      <x:c r="H341" s="25" t="str">
        <x:v>韧性</x:v>
      </x:c>
      <x:c r="I341" s="25" t="n">
        <x:v>10</x:v>
      </x:c>
      <x:c r="J341" s="25" t="n">
        <x:v>12</x:v>
      </x:c>
      <x:c r="K341" s="25" t="str">
        <x:v>仅装备原始基础值决定主属性范围</x:v>
      </x:c>
    </x:row>
    <x:row r="342">
      <x:c r="A342" s="25" t="str">
        <x:v>C04-M</x:v>
      </x:c>
      <x:c r="B342" s="25" t="str">
        <x:v>利耶尼亚海域</x:v>
      </x:c>
      <x:c r="C342" s="25" t="str">
        <x:v>半急速中期</x:v>
      </x:c>
      <x:c r="D342" s="25" t="n">
        <x:v>10</x:v>
      </x:c>
      <x:c r="E342" s="25" t="n">
        <x:v>99</x:v>
      </x:c>
      <x:c r="F342" s="25" t="str">
        <x:v>流寇束带</x:v>
      </x:c>
      <x:c r="G342" s="25" t="n">
        <x:v>2</x:v>
      </x:c>
      <x:c r="H342" s="25" t="str">
        <x:v>处决伤害</x:v>
      </x:c>
      <x:c r="I342" s="25" t="n">
        <x:v>1</x:v>
      </x:c>
      <x:c r="J342" s="25" t="n">
        <x:v>10</x:v>
      </x:c>
      <x:c r="K342" s="25" t="str">
        <x:v>仅装备原始基础值决定主属性范围</x:v>
      </x:c>
    </x:row>
    <x:row r="343">
      <x:c r="A343" s="25" t="str">
        <x:v>C04-M</x:v>
      </x:c>
      <x:c r="B343" s="25" t="str">
        <x:v>利耶尼亚海域</x:v>
      </x:c>
      <x:c r="C343" s="25" t="str">
        <x:v>半急速中期</x:v>
      </x:c>
      <x:c r="D343" s="25" t="n">
        <x:v>10</x:v>
      </x:c>
      <x:c r="E343" s="25" t="n">
        <x:v>99</x:v>
      </x:c>
      <x:c r="F343" s="25" t="str">
        <x:v>流寇束带</x:v>
      </x:c>
      <x:c r="G343" s="25" t="n">
        <x:v>3</x:v>
      </x:c>
      <x:c r="H343" s="25" t="str">
        <x:v>攻击加成</x:v>
      </x:c>
      <x:c r="I343" s="25" t="n">
        <x:v>16</x:v>
      </x:c>
      <x:c r="J343" s="25" t="n">
        <x:v>18</x:v>
      </x:c>
      <x:c r="K343" s="25" t="str">
        <x:v>仅装备原始基础值决定主属性范围</x:v>
      </x:c>
    </x:row>
    <x:row r="344">
      <x:c r="A344" s="25" t="str">
        <x:v>C04-M</x:v>
      </x:c>
      <x:c r="B344" s="25" t="str">
        <x:v>利耶尼亚海域</x:v>
      </x:c>
      <x:c r="C344" s="25" t="str">
        <x:v>半急速中期</x:v>
      </x:c>
      <x:c r="D344" s="25" t="n">
        <x:v>11</x:v>
      </x:c>
      <x:c r="E344" s="25" t="n">
        <x:v>90</x:v>
      </x:c>
      <x:c r="F344" s="25" t="str">
        <x:v>逐风征靴</x:v>
      </x:c>
      <x:c r="G344" s="25" t="n">
        <x:v>1</x:v>
      </x:c>
      <x:c r="H344" s="25" t="str">
        <x:v>处决概率</x:v>
      </x:c>
      <x:c r="I344" s="25" t="n">
        <x:v>1</x:v>
      </x:c>
      <x:c r="J344" s="25" t="n">
        <x:v>6</x:v>
      </x:c>
      <x:c r="K344" s="25" t="str">
        <x:v>仅装备原始基础值决定主属性范围</x:v>
      </x:c>
    </x:row>
    <x:row r="345">
      <x:c r="A345" s="25" t="str">
        <x:v>C04-M</x:v>
      </x:c>
      <x:c r="B345" s="25" t="str">
        <x:v>利耶尼亚海域</x:v>
      </x:c>
      <x:c r="C345" s="25" t="str">
        <x:v>半急速中期</x:v>
      </x:c>
      <x:c r="D345" s="25" t="n">
        <x:v>11</x:v>
      </x:c>
      <x:c r="E345" s="25" t="n">
        <x:v>90</x:v>
      </x:c>
      <x:c r="F345" s="25" t="str">
        <x:v>逐风征靴</x:v>
      </x:c>
      <x:c r="G345" s="25" t="n">
        <x:v>2</x:v>
      </x:c>
      <x:c r="H345" s="25" t="str">
        <x:v>攻击速度</x:v>
      </x:c>
      <x:c r="I345" s="25" t="n">
        <x:v>2</x:v>
      </x:c>
      <x:c r="J345" s="25" t="n">
        <x:v>5</x:v>
      </x:c>
      <x:c r="K345" s="25" t="str">
        <x:v>仅装备原始基础值决定主属性范围</x:v>
      </x:c>
    </x:row>
    <x:row r="346">
      <x:c r="A346" s="25" t="str">
        <x:v>C04-M</x:v>
      </x:c>
      <x:c r="B346" s="25" t="str">
        <x:v>利耶尼亚海域</x:v>
      </x:c>
      <x:c r="C346" s="25" t="str">
        <x:v>半急速中期</x:v>
      </x:c>
      <x:c r="D346" s="25" t="n">
        <x:v>11</x:v>
      </x:c>
      <x:c r="E346" s="25" t="n">
        <x:v>90</x:v>
      </x:c>
      <x:c r="F346" s="25" t="str">
        <x:v>逐风征靴</x:v>
      </x:c>
      <x:c r="G346" s="25" t="n">
        <x:v>3</x:v>
      </x:c>
      <x:c r="H346" s="25" t="str">
        <x:v>攻击加成</x:v>
      </x:c>
      <x:c r="I346" s="25" t="n">
        <x:v>30</x:v>
      </x:c>
      <x:c r="J346" s="25" t="n">
        <x:v>18</x:v>
      </x:c>
      <x:c r="K346" s="25" t="str">
        <x:v>仅装备原始基础值决定主属性范围</x:v>
      </x:c>
    </x:row>
    <x:row r="347">
      <x:c r="A347" s="25" t="str">
        <x:v>C04-M</x:v>
      </x:c>
      <x:c r="B347" s="25" t="str">
        <x:v>利耶尼亚海域</x:v>
      </x:c>
      <x:c r="C347" s="25" t="str">
        <x:v>半急速中期</x:v>
      </x:c>
      <x:c r="D347" s="25" t="n">
        <x:v>11</x:v>
      </x:c>
      <x:c r="E347" s="25" t="n">
        <x:v>90</x:v>
      </x:c>
      <x:c r="F347" s="25" t="str">
        <x:v>逐风征靴</x:v>
      </x:c>
      <x:c r="G347" s="25" t="n">
        <x:v>4</x:v>
      </x:c>
      <x:c r="H347" s="25" t="str">
        <x:v>处决概率</x:v>
      </x:c>
      <x:c r="I347" s="25" t="n">
        <x:v>1</x:v>
      </x:c>
      <x:c r="J347" s="25" t="n">
        <x:v>6</x:v>
      </x:c>
      <x:c r="K347" s="25" t="str">
        <x:v>仅装备原始基础值决定主属性范围</x:v>
      </x:c>
    </x:row>
    <x:row r="348">
      <x:c r="A348" s="25" t="str">
        <x:v>C04-G</x:v>
      </x:c>
      <x:c r="B348" s="25" t="str">
        <x:v>利耶尼亚海域</x:v>
      </x:c>
      <x:c r="C348" s="25" t="str">
        <x:v>半急速毕业</x:v>
      </x:c>
      <x:c r="D348" s="25" t="n">
        <x:v>0</x:v>
      </x:c>
      <x:c r="E348" s="25" t="n">
        <x:v>87</x:v>
      </x:c>
      <x:c r="F348" s="25" t="str">
        <x:v>巨犀荒铠</x:v>
      </x:c>
      <x:c r="G348" s="25" t="n">
        <x:v>1</x:v>
      </x:c>
      <x:c r="H348" s="25" t="str">
        <x:v>攻击加成</x:v>
      </x:c>
      <x:c r="I348" s="25" t="n">
        <x:v>48</x:v>
      </x:c>
      <x:c r="J348" s="25" t="n">
        <x:v>19</x:v>
      </x:c>
      <x:c r="K348" s="25" t="str">
        <x:v>仅装备原始基础值决定主属性范围</x:v>
      </x:c>
    </x:row>
    <x:row r="349">
      <x:c r="A349" s="25" t="str">
        <x:v>C04-G</x:v>
      </x:c>
      <x:c r="B349" s="25" t="str">
        <x:v>利耶尼亚海域</x:v>
      </x:c>
      <x:c r="C349" s="25" t="str">
        <x:v>半急速毕业</x:v>
      </x:c>
      <x:c r="D349" s="25" t="n">
        <x:v>0</x:v>
      </x:c>
      <x:c r="E349" s="25" t="n">
        <x:v>87</x:v>
      </x:c>
      <x:c r="F349" s="25" t="str">
        <x:v>巨犀荒铠</x:v>
      </x:c>
      <x:c r="G349" s="25" t="n">
        <x:v>2</x:v>
      </x:c>
      <x:c r="H349" s="25" t="str">
        <x:v>处决伤害</x:v>
      </x:c>
      <x:c r="I349" s="25" t="n">
        <x:v>1</x:v>
      </x:c>
      <x:c r="J349" s="25" t="n">
        <x:v>10</x:v>
      </x:c>
      <x:c r="K349" s="25" t="str">
        <x:v>仅装备原始基础值决定主属性范围</x:v>
      </x:c>
    </x:row>
    <x:row r="350">
      <x:c r="A350" s="25" t="str">
        <x:v>C04-G</x:v>
      </x:c>
      <x:c r="B350" s="25" t="str">
        <x:v>利耶尼亚海域</x:v>
      </x:c>
      <x:c r="C350" s="25" t="str">
        <x:v>半急速毕业</x:v>
      </x:c>
      <x:c r="D350" s="25" t="n">
        <x:v>0</x:v>
      </x:c>
      <x:c r="E350" s="25" t="n">
        <x:v>87</x:v>
      </x:c>
      <x:c r="F350" s="25" t="str">
        <x:v>巨犀荒铠</x:v>
      </x:c>
      <x:c r="G350" s="25" t="n">
        <x:v>3</x:v>
      </x:c>
      <x:c r="H350" s="25" t="str">
        <x:v>处决伤害</x:v>
      </x:c>
      <x:c r="I350" s="25" t="n">
        <x:v>1</x:v>
      </x:c>
      <x:c r="J350" s="25" t="n">
        <x:v>10</x:v>
      </x:c>
      <x:c r="K350" s="25" t="str">
        <x:v>仅装备原始基础值决定主属性范围</x:v>
      </x:c>
    </x:row>
    <x:row r="351">
      <x:c r="A351" s="25" t="str">
        <x:v>C04-G</x:v>
      </x:c>
      <x:c r="B351" s="25" t="str">
        <x:v>利耶尼亚海域</x:v>
      </x:c>
      <x:c r="C351" s="25" t="str">
        <x:v>半急速毕业</x:v>
      </x:c>
      <x:c r="D351" s="25" t="n">
        <x:v>0</x:v>
      </x:c>
      <x:c r="E351" s="25" t="n">
        <x:v>87</x:v>
      </x:c>
      <x:c r="F351" s="25" t="str">
        <x:v>巨犀荒铠</x:v>
      </x:c>
      <x:c r="G351" s="25" t="n">
        <x:v>4</x:v>
      </x:c>
      <x:c r="H351" s="25" t="str">
        <x:v>攻击加成</x:v>
      </x:c>
      <x:c r="I351" s="25" t="n">
        <x:v>37</x:v>
      </x:c>
      <x:c r="J351" s="25" t="n">
        <x:v>19</x:v>
      </x:c>
      <x:c r="K351" s="25" t="str">
        <x:v>仅装备原始基础值决定主属性范围</x:v>
      </x:c>
    </x:row>
    <x:row r="352">
      <x:c r="A352" s="25" t="str">
        <x:v>C04-G</x:v>
      </x:c>
      <x:c r="B352" s="25" t="str">
        <x:v>利耶尼亚海域</x:v>
      </x:c>
      <x:c r="C352" s="25" t="str">
        <x:v>半急速毕业</x:v>
      </x:c>
      <x:c r="D352" s="25" t="n">
        <x:v>0</x:v>
      </x:c>
      <x:c r="E352" s="25" t="n">
        <x:v>87</x:v>
      </x:c>
      <x:c r="F352" s="25" t="str">
        <x:v>巨犀荒铠</x:v>
      </x:c>
      <x:c r="G352" s="25" t="n">
        <x:v>5</x:v>
      </x:c>
      <x:c r="H352" s="25" t="str">
        <x:v>伤害系数</x:v>
      </x:c>
      <x:c r="I352" s="25" t="n">
        <x:v>1</x:v>
      </x:c>
      <x:c r="J352" s="25" t="n">
        <x:v>25</x:v>
      </x:c>
      <x:c r="K352" s="25" t="str">
        <x:v>仅装备原始基础值决定主属性范围</x:v>
      </x:c>
    </x:row>
    <x:row r="353">
      <x:c r="A353" s="25" t="str">
        <x:v>C04-G</x:v>
      </x:c>
      <x:c r="B353" s="25" t="str">
        <x:v>利耶尼亚海域</x:v>
      </x:c>
      <x:c r="C353" s="25" t="str">
        <x:v>半急速毕业</x:v>
      </x:c>
      <x:c r="D353" s="25" t="n">
        <x:v>0</x:v>
      </x:c>
      <x:c r="E353" s="25" t="n">
        <x:v>87</x:v>
      </x:c>
      <x:c r="F353" s="25" t="str">
        <x:v>巨犀荒铠</x:v>
      </x:c>
      <x:c r="G353" s="25" t="n">
        <x:v>6</x:v>
      </x:c>
      <x:c r="H353" s="25" t="str">
        <x:v>暴击</x:v>
      </x:c>
      <x:c r="I353" s="25" t="n">
        <x:v>1</x:v>
      </x:c>
      <x:c r="J353" s="25" t="n">
        <x:v>14</x:v>
      </x:c>
      <x:c r="K353" s="25" t="str">
        <x:v>仅装备原始基础值决定主属性范围</x:v>
      </x:c>
    </x:row>
    <x:row r="354">
      <x:c r="A354" s="25" t="str">
        <x:v>C04-G</x:v>
      </x:c>
      <x:c r="B354" s="25" t="str">
        <x:v>利耶尼亚海域</x:v>
      </x:c>
      <x:c r="C354" s="25" t="str">
        <x:v>半急速毕业</x:v>
      </x:c>
      <x:c r="D354" s="25" t="n">
        <x:v>1</x:v>
      </x:c>
      <x:c r="E354" s="25" t="n">
        <x:v>100</x:v>
      </x:c>
      <x:c r="F354" s="25" t="str">
        <x:v>雷戈古戟</x:v>
      </x:c>
      <x:c r="G354" s="25" t="n">
        <x:v>1</x:v>
      </x:c>
      <x:c r="H354" s="25" t="str">
        <x:v>攻击</x:v>
      </x:c>
      <x:c r="I354" s="25" t="n">
        <x:v>599</x:v>
      </x:c>
      <x:c r="J354" s="25" t="n">
        <x:v>1</x:v>
      </x:c>
      <x:c r="K354" s="25" t="str">
        <x:v>仅装备原始基础值决定主属性范围</x:v>
      </x:c>
    </x:row>
    <x:row r="355">
      <x:c r="A355" s="25" t="str">
        <x:v>C04-G</x:v>
      </x:c>
      <x:c r="B355" s="25" t="str">
        <x:v>利耶尼亚海域</x:v>
      </x:c>
      <x:c r="C355" s="25" t="str">
        <x:v>半急速毕业</x:v>
      </x:c>
      <x:c r="D355" s="25" t="n">
        <x:v>1</x:v>
      </x:c>
      <x:c r="E355" s="25" t="n">
        <x:v>100</x:v>
      </x:c>
      <x:c r="F355" s="25" t="str">
        <x:v>雷戈古戟</x:v>
      </x:c>
      <x:c r="G355" s="25" t="n">
        <x:v>2</x:v>
      </x:c>
      <x:c r="H355" s="25" t="str">
        <x:v>致命一击</x:v>
      </x:c>
      <x:c r="I355" s="25" t="n">
        <x:v>1</x:v>
      </x:c>
      <x:c r="J355" s="25" t="n">
        <x:v>16</x:v>
      </x:c>
      <x:c r="K355" s="25" t="str">
        <x:v>仅装备原始基础值决定主属性范围</x:v>
      </x:c>
    </x:row>
    <x:row r="356">
      <x:c r="A356" s="25" t="str">
        <x:v>C04-G</x:v>
      </x:c>
      <x:c r="B356" s="25" t="str">
        <x:v>利耶尼亚海域</x:v>
      </x:c>
      <x:c r="C356" s="25" t="str">
        <x:v>半急速毕业</x:v>
      </x:c>
      <x:c r="D356" s="25" t="n">
        <x:v>1</x:v>
      </x:c>
      <x:c r="E356" s="25" t="n">
        <x:v>100</x:v>
      </x:c>
      <x:c r="F356" s="25" t="str">
        <x:v>雷戈古戟</x:v>
      </x:c>
      <x:c r="G356" s="25" t="n">
        <x:v>3</x:v>
      </x:c>
      <x:c r="H356" s="25" t="str">
        <x:v>处决时间</x:v>
      </x:c>
      <x:c r="I356" s="25" t="n">
        <x:v>2</x:v>
      </x:c>
      <x:c r="J356" s="25" t="n">
        <x:v>9</x:v>
      </x:c>
      <x:c r="K356" s="25" t="str">
        <x:v>仅装备原始基础值决定主属性范围</x:v>
      </x:c>
    </x:row>
    <x:row r="357">
      <x:c r="A357" s="25" t="str">
        <x:v>C04-G</x:v>
      </x:c>
      <x:c r="B357" s="25" t="str">
        <x:v>利耶尼亚海域</x:v>
      </x:c>
      <x:c r="C357" s="25" t="str">
        <x:v>半急速毕业</x:v>
      </x:c>
      <x:c r="D357" s="25" t="n">
        <x:v>1</x:v>
      </x:c>
      <x:c r="E357" s="25" t="n">
        <x:v>100</x:v>
      </x:c>
      <x:c r="F357" s="25" t="str">
        <x:v>雷戈古戟</x:v>
      </x:c>
      <x:c r="G357" s="25" t="n">
        <x:v>4</x:v>
      </x:c>
      <x:c r="H357" s="25" t="str">
        <x:v>攻击加成</x:v>
      </x:c>
      <x:c r="I357" s="25" t="n">
        <x:v>41</x:v>
      </x:c>
      <x:c r="J357" s="25" t="n">
        <x:v>19</x:v>
      </x:c>
      <x:c r="K357" s="25" t="str">
        <x:v>仅装备原始基础值决定主属性范围</x:v>
      </x:c>
    </x:row>
    <x:row r="358">
      <x:c r="A358" s="25" t="str">
        <x:v>C04-G</x:v>
      </x:c>
      <x:c r="B358" s="25" t="str">
        <x:v>利耶尼亚海域</x:v>
      </x:c>
      <x:c r="C358" s="25" t="str">
        <x:v>半急速毕业</x:v>
      </x:c>
      <x:c r="D358" s="25" t="n">
        <x:v>3</x:v>
      </x:c>
      <x:c r="E358" s="25" t="n">
        <x:v>101</x:v>
      </x:c>
      <x:c r="F358" s="25" t="str">
        <x:v>引魂铜铃链</x:v>
      </x:c>
      <x:c r="G358" s="25" t="n">
        <x:v>1</x:v>
      </x:c>
      <x:c r="H358" s="25" t="str">
        <x:v>攻击加成</x:v>
      </x:c>
      <x:c r="I358" s="25" t="n">
        <x:v>41</x:v>
      </x:c>
      <x:c r="J358" s="25" t="n">
        <x:v>19</x:v>
      </x:c>
      <x:c r="K358" s="25" t="str">
        <x:v>仅装备原始基础值决定主属性范围</x:v>
      </x:c>
    </x:row>
    <x:row r="359">
      <x:c r="A359" s="25" t="str">
        <x:v>C04-G</x:v>
      </x:c>
      <x:c r="B359" s="25" t="str">
        <x:v>利耶尼亚海域</x:v>
      </x:c>
      <x:c r="C359" s="25" t="str">
        <x:v>半急速毕业</x:v>
      </x:c>
      <x:c r="D359" s="25" t="n">
        <x:v>4</x:v>
      </x:c>
      <x:c r="E359" s="25" t="n">
        <x:v>35</x:v>
      </x:c>
      <x:c r="F359" s="25" t="str">
        <x:v>圣树先锋战盔</x:v>
      </x:c>
      <x:c r="G359" s="25" t="n">
        <x:v>1</x:v>
      </x:c>
      <x:c r="H359" s="25" t="str">
        <x:v>攻击速度</x:v>
      </x:c>
      <x:c r="I359" s="25" t="n">
        <x:v>2</x:v>
      </x:c>
      <x:c r="J359" s="25" t="n">
        <x:v>5</x:v>
      </x:c>
      <x:c r="K359" s="25" t="str">
        <x:v>仅装备原始基础值决定主属性范围</x:v>
      </x:c>
    </x:row>
    <x:row r="360">
      <x:c r="A360" s="25" t="str">
        <x:v>C04-G</x:v>
      </x:c>
      <x:c r="B360" s="25" t="str">
        <x:v>利耶尼亚海域</x:v>
      </x:c>
      <x:c r="C360" s="25" t="str">
        <x:v>半急速毕业</x:v>
      </x:c>
      <x:c r="D360" s="25" t="n">
        <x:v>4</x:v>
      </x:c>
      <x:c r="E360" s="25" t="n">
        <x:v>35</x:v>
      </x:c>
      <x:c r="F360" s="25" t="str">
        <x:v>圣树先锋战盔</x:v>
      </x:c>
      <x:c r="G360" s="25" t="n">
        <x:v>2</x:v>
      </x:c>
      <x:c r="H360" s="25" t="str">
        <x:v>攻击加成</x:v>
      </x:c>
      <x:c r="I360" s="25" t="n">
        <x:v>49</x:v>
      </x:c>
      <x:c r="J360" s="25" t="n">
        <x:v>19</x:v>
      </x:c>
      <x:c r="K360" s="25" t="str">
        <x:v>仅装备原始基础值决定主属性范围</x:v>
      </x:c>
    </x:row>
    <x:row r="361">
      <x:c r="A361" s="25" t="str">
        <x:v>C04-G</x:v>
      </x:c>
      <x:c r="B361" s="25" t="str">
        <x:v>利耶尼亚海域</x:v>
      </x:c>
      <x:c r="C361" s="25" t="str">
        <x:v>半急速毕业</x:v>
      </x:c>
      <x:c r="D361" s="25" t="n">
        <x:v>4</x:v>
      </x:c>
      <x:c r="E361" s="25" t="n">
        <x:v>35</x:v>
      </x:c>
      <x:c r="F361" s="25" t="str">
        <x:v>圣树先锋战盔</x:v>
      </x:c>
      <x:c r="G361" s="25" t="n">
        <x:v>3</x:v>
      </x:c>
      <x:c r="H361" s="25" t="str">
        <x:v>攻击速度</x:v>
      </x:c>
      <x:c r="I361" s="25" t="n">
        <x:v>1</x:v>
      </x:c>
      <x:c r="J361" s="25" t="n">
        <x:v>4</x:v>
      </x:c>
      <x:c r="K361" s="25" t="str">
        <x:v>仅装备原始基础值决定主属性范围</x:v>
      </x:c>
    </x:row>
    <x:row r="362">
      <x:c r="A362" s="25" t="str">
        <x:v>C04-G</x:v>
      </x:c>
      <x:c r="B362" s="25" t="str">
        <x:v>利耶尼亚海域</x:v>
      </x:c>
      <x:c r="C362" s="25" t="str">
        <x:v>半急速毕业</x:v>
      </x:c>
      <x:c r="D362" s="25" t="n">
        <x:v>4</x:v>
      </x:c>
      <x:c r="E362" s="25" t="n">
        <x:v>35</x:v>
      </x:c>
      <x:c r="F362" s="25" t="str">
        <x:v>圣树先锋战盔</x:v>
      </x:c>
      <x:c r="G362" s="25" t="n">
        <x:v>4</x:v>
      </x:c>
      <x:c r="H362" s="25" t="str">
        <x:v>处决伤害</x:v>
      </x:c>
      <x:c r="I362" s="25" t="n">
        <x:v>1</x:v>
      </x:c>
      <x:c r="J362" s="25" t="n">
        <x:v>10</x:v>
      </x:c>
      <x:c r="K362" s="25" t="str">
        <x:v>仅装备原始基础值决定主属性范围</x:v>
      </x:c>
    </x:row>
    <x:row r="363">
      <x:c r="A363" s="25" t="str">
        <x:v>C04-G</x:v>
      </x:c>
      <x:c r="B363" s="25" t="str">
        <x:v>利耶尼亚海域</x:v>
      </x:c>
      <x:c r="C363" s="25" t="str">
        <x:v>半急速毕业</x:v>
      </x:c>
      <x:c r="D363" s="25" t="n">
        <x:v>5</x:v>
      </x:c>
      <x:c r="E363" s="25" t="n">
        <x:v>102</x:v>
      </x:c>
      <x:c r="F363" s="25" t="str">
        <x:v>赐光祷誓镯</x:v>
      </x:c>
      <x:c r="G363" s="25" t="n">
        <x:v>1</x:v>
      </x:c>
      <x:c r="H363" s="25" t="str">
        <x:v>攻击加成</x:v>
      </x:c>
      <x:c r="I363" s="25" t="n">
        <x:v>5</x:v>
      </x:c>
      <x:c r="J363" s="25" t="n">
        <x:v>18</x:v>
      </x:c>
      <x:c r="K363" s="25" t="str">
        <x:v>仅装备原始基础值决定主属性范围</x:v>
      </x:c>
    </x:row>
    <x:row r="364">
      <x:c r="A364" s="25" t="str">
        <x:v>C04-G</x:v>
      </x:c>
      <x:c r="B364" s="25" t="str">
        <x:v>利耶尼亚海域</x:v>
      </x:c>
      <x:c r="C364" s="25" t="str">
        <x:v>半急速毕业</x:v>
      </x:c>
      <x:c r="D364" s="25" t="n">
        <x:v>6</x:v>
      </x:c>
      <x:c r="E364" s="25" t="n">
        <x:v>68</x:v>
      </x:c>
      <x:c r="F364" s="25" t="str">
        <x:v>百指接肢腕</x:v>
      </x:c>
      <x:c r="G364" s="25" t="n">
        <x:v>1</x:v>
      </x:c>
      <x:c r="H364" s="25" t="str">
        <x:v>处决伤害</x:v>
      </x:c>
      <x:c r="I364" s="25" t="n">
        <x:v>1</x:v>
      </x:c>
      <x:c r="J364" s="25" t="n">
        <x:v>10</x:v>
      </x:c>
      <x:c r="K364" s="25" t="str">
        <x:v>仅装备原始基础值决定主属性范围</x:v>
      </x:c>
    </x:row>
    <x:row r="365">
      <x:c r="A365" s="25" t="str">
        <x:v>C04-G</x:v>
      </x:c>
      <x:c r="B365" s="25" t="str">
        <x:v>利耶尼亚海域</x:v>
      </x:c>
      <x:c r="C365" s="25" t="str">
        <x:v>半急速毕业</x:v>
      </x:c>
      <x:c r="D365" s="25" t="n">
        <x:v>6</x:v>
      </x:c>
      <x:c r="E365" s="25" t="n">
        <x:v>68</x:v>
      </x:c>
      <x:c r="F365" s="25" t="str">
        <x:v>百指接肢腕</x:v>
      </x:c>
      <x:c r="G365" s="25" t="n">
        <x:v>2</x:v>
      </x:c>
      <x:c r="H365" s="25" t="str">
        <x:v>攻击加成</x:v>
      </x:c>
      <x:c r="I365" s="25" t="n">
        <x:v>28</x:v>
      </x:c>
      <x:c r="J365" s="25" t="n">
        <x:v>18</x:v>
      </x:c>
      <x:c r="K365" s="25" t="str">
        <x:v>仅装备原始基础值决定主属性范围</x:v>
      </x:c>
    </x:row>
    <x:row r="366">
      <x:c r="A366" s="25" t="str">
        <x:v>C04-G</x:v>
      </x:c>
      <x:c r="B366" s="25" t="str">
        <x:v>利耶尼亚海域</x:v>
      </x:c>
      <x:c r="C366" s="25" t="str">
        <x:v>半急速毕业</x:v>
      </x:c>
      <x:c r="D366" s="25" t="n">
        <x:v>6</x:v>
      </x:c>
      <x:c r="E366" s="25" t="n">
        <x:v>68</x:v>
      </x:c>
      <x:c r="F366" s="25" t="str">
        <x:v>百指接肢腕</x:v>
      </x:c>
      <x:c r="G366" s="25" t="n">
        <x:v>3</x:v>
      </x:c>
      <x:c r="H366" s="25" t="str">
        <x:v>攻击加成</x:v>
      </x:c>
      <x:c r="I366" s="25" t="n">
        <x:v>45</x:v>
      </x:c>
      <x:c r="J366" s="25" t="n">
        <x:v>19</x:v>
      </x:c>
      <x:c r="K366" s="25" t="str">
        <x:v>仅装备原始基础值决定主属性范围</x:v>
      </x:c>
    </x:row>
    <x:row r="367">
      <x:c r="A367" s="25" t="str">
        <x:v>C04-G</x:v>
      </x:c>
      <x:c r="B367" s="25" t="str">
        <x:v>利耶尼亚海域</x:v>
      </x:c>
      <x:c r="C367" s="25" t="str">
        <x:v>半急速毕业</x:v>
      </x:c>
      <x:c r="D367" s="25" t="n">
        <x:v>6</x:v>
      </x:c>
      <x:c r="E367" s="25" t="n">
        <x:v>68</x:v>
      </x:c>
      <x:c r="F367" s="25" t="str">
        <x:v>百指接肢腕</x:v>
      </x:c>
      <x:c r="G367" s="25" t="n">
        <x:v>4</x:v>
      </x:c>
      <x:c r="H367" s="25" t="str">
        <x:v>处决伤害</x:v>
      </x:c>
      <x:c r="I367" s="25" t="n">
        <x:v>2</x:v>
      </x:c>
      <x:c r="J367" s="25" t="n">
        <x:v>11</x:v>
      </x:c>
      <x:c r="K367" s="25" t="str">
        <x:v>仅装备原始基础值决定主属性范围</x:v>
      </x:c>
    </x:row>
    <x:row r="368">
      <x:c r="A368" s="25" t="str">
        <x:v>C04-G</x:v>
      </x:c>
      <x:c r="B368" s="25" t="str">
        <x:v>利耶尼亚海域</x:v>
      </x:c>
      <x:c r="C368" s="25" t="str">
        <x:v>半急速毕业</x:v>
      </x:c>
      <x:c r="D368" s="25" t="n">
        <x:v>6</x:v>
      </x:c>
      <x:c r="E368" s="25" t="n">
        <x:v>68</x:v>
      </x:c>
      <x:c r="F368" s="25" t="str">
        <x:v>百指接肢腕</x:v>
      </x:c>
      <x:c r="G368" s="25" t="n">
        <x:v>5</x:v>
      </x:c>
      <x:c r="H368" s="25" t="str">
        <x:v>暴击</x:v>
      </x:c>
      <x:c r="I368" s="25" t="n">
        <x:v>1</x:v>
      </x:c>
      <x:c r="J368" s="25" t="n">
        <x:v>14</x:v>
      </x:c>
      <x:c r="K368" s="25" t="str">
        <x:v>仅装备原始基础值决定主属性范围</x:v>
      </x:c>
    </x:row>
    <x:row r="369">
      <x:c r="A369" s="25" t="str">
        <x:v>C04-G</x:v>
      </x:c>
      <x:c r="B369" s="25" t="str">
        <x:v>利耶尼亚海域</x:v>
      </x:c>
      <x:c r="C369" s="25" t="str">
        <x:v>半急速毕业</x:v>
      </x:c>
      <x:c r="D369" s="25" t="n">
        <x:v>7</x:v>
      </x:c>
      <x:c r="E369" s="25" t="n">
        <x:v>111</x:v>
      </x:c>
      <x:c r="F369" s="25" t="str">
        <x:v>蓝焰祷戒</x:v>
      </x:c>
      <x:c r="G369" s="25" t="n">
        <x:v>1</x:v>
      </x:c>
      <x:c r="H369" s="25" t="str">
        <x:v>处决伤害</x:v>
      </x:c>
      <x:c r="I369" s="25" t="n">
        <x:v>1</x:v>
      </x:c>
      <x:c r="J369" s="25" t="n">
        <x:v>10</x:v>
      </x:c>
      <x:c r="K369" s="25" t="str">
        <x:v>仅装备原始基础值决定主属性范围</x:v>
      </x:c>
    </x:row>
    <x:row r="370">
      <x:c r="A370" s="25" t="str">
        <x:v>C04-G</x:v>
      </x:c>
      <x:c r="B370" s="25" t="str">
        <x:v>利耶尼亚海域</x:v>
      </x:c>
      <x:c r="C370" s="25" t="str">
        <x:v>半急速毕业</x:v>
      </x:c>
      <x:c r="D370" s="25" t="n">
        <x:v>7</x:v>
      </x:c>
      <x:c r="E370" s="25" t="n">
        <x:v>111</x:v>
      </x:c>
      <x:c r="F370" s="25" t="str">
        <x:v>蓝焰祷戒</x:v>
      </x:c>
      <x:c r="G370" s="25" t="n">
        <x:v>2</x:v>
      </x:c>
      <x:c r="H370" s="25" t="str">
        <x:v>攻击加成</x:v>
      </x:c>
      <x:c r="I370" s="25" t="n">
        <x:v>7</x:v>
      </x:c>
      <x:c r="J370" s="25" t="n">
        <x:v>18</x:v>
      </x:c>
      <x:c r="K370" s="25" t="str">
        <x:v>仅装备原始基础值决定主属性范围</x:v>
      </x:c>
    </x:row>
    <x:row r="371">
      <x:c r="A371" s="25" t="str">
        <x:v>C04-G</x:v>
      </x:c>
      <x:c r="B371" s="25" t="str">
        <x:v>利耶尼亚海域</x:v>
      </x:c>
      <x:c r="C371" s="25" t="str">
        <x:v>半急速毕业</x:v>
      </x:c>
      <x:c r="D371" s="25" t="n">
        <x:v>7</x:v>
      </x:c>
      <x:c r="E371" s="25" t="n">
        <x:v>111</x:v>
      </x:c>
      <x:c r="F371" s="25" t="str">
        <x:v>蓝焰祷戒</x:v>
      </x:c>
      <x:c r="G371" s="25" t="n">
        <x:v>3</x:v>
      </x:c>
      <x:c r="H371" s="25" t="str">
        <x:v>攻击</x:v>
      </x:c>
      <x:c r="I371" s="25" t="n">
        <x:v>49</x:v>
      </x:c>
      <x:c r="J371" s="25" t="n">
        <x:v>1</x:v>
      </x:c>
      <x:c r="K371" s="25" t="str">
        <x:v>仅装备原始基础值决定主属性范围</x:v>
      </x:c>
    </x:row>
    <x:row r="372">
      <x:c r="A372" s="25" t="str">
        <x:v>C04-G</x:v>
      </x:c>
      <x:c r="B372" s="25" t="str">
        <x:v>利耶尼亚海域</x:v>
      </x:c>
      <x:c r="C372" s="25" t="str">
        <x:v>半急速毕业</x:v>
      </x:c>
      <x:c r="D372" s="25" t="n">
        <x:v>7</x:v>
      </x:c>
      <x:c r="E372" s="25" t="n">
        <x:v>111</x:v>
      </x:c>
      <x:c r="F372" s="25" t="str">
        <x:v>蓝焰祷戒</x:v>
      </x:c>
      <x:c r="G372" s="25" t="n">
        <x:v>4</x:v>
      </x:c>
      <x:c r="H372" s="25" t="str">
        <x:v>吸血</x:v>
      </x:c>
      <x:c r="I372" s="25" t="n">
        <x:v>1</x:v>
      </x:c>
      <x:c r="J372" s="25" t="n">
        <x:v>20</x:v>
      </x:c>
      <x:c r="K372" s="25" t="str">
        <x:v>仅装备原始基础值决定主属性范围</x:v>
      </x:c>
    </x:row>
    <x:row r="373">
      <x:c r="A373" s="25" t="str">
        <x:v>C04-G</x:v>
      </x:c>
      <x:c r="B373" s="25" t="str">
        <x:v>利耶尼亚海域</x:v>
      </x:c>
      <x:c r="C373" s="25" t="str">
        <x:v>半急速毕业</x:v>
      </x:c>
      <x:c r="D373" s="25" t="n">
        <x:v>8</x:v>
      </x:c>
      <x:c r="E373" s="25" t="n">
        <x:v>112</x:v>
      </x:c>
      <x:c r="F373" s="25" t="str">
        <x:v>月渊秘戒</x:v>
      </x:c>
      <x:c r="G373" s="25" t="n">
        <x:v>1</x:v>
      </x:c>
      <x:c r="H373" s="25" t="str">
        <x:v>处决伤害</x:v>
      </x:c>
      <x:c r="I373" s="25" t="n">
        <x:v>1</x:v>
      </x:c>
      <x:c r="J373" s="25" t="n">
        <x:v>10</x:v>
      </x:c>
      <x:c r="K373" s="25" t="str">
        <x:v>仅装备原始基础值决定主属性范围</x:v>
      </x:c>
    </x:row>
    <x:row r="374">
      <x:c r="A374" s="25" t="str">
        <x:v>C04-G</x:v>
      </x:c>
      <x:c r="B374" s="25" t="str">
        <x:v>利耶尼亚海域</x:v>
      </x:c>
      <x:c r="C374" s="25" t="str">
        <x:v>半急速毕业</x:v>
      </x:c>
      <x:c r="D374" s="25" t="n">
        <x:v>8</x:v>
      </x:c>
      <x:c r="E374" s="25" t="n">
        <x:v>112</x:v>
      </x:c>
      <x:c r="F374" s="25" t="str">
        <x:v>月渊秘戒</x:v>
      </x:c>
      <x:c r="G374" s="25" t="n">
        <x:v>2</x:v>
      </x:c>
      <x:c r="H374" s="25" t="str">
        <x:v>暴击</x:v>
      </x:c>
      <x:c r="I374" s="25" t="n">
        <x:v>2</x:v>
      </x:c>
      <x:c r="J374" s="25" t="n">
        <x:v>15</x:v>
      </x:c>
      <x:c r="K374" s="25" t="str">
        <x:v>仅装备原始基础值决定主属性范围</x:v>
      </x:c>
    </x:row>
    <x:row r="375">
      <x:c r="A375" s="25" t="str">
        <x:v>C04-G</x:v>
      </x:c>
      <x:c r="B375" s="25" t="str">
        <x:v>利耶尼亚海域</x:v>
      </x:c>
      <x:c r="C375" s="25" t="str">
        <x:v>半急速毕业</x:v>
      </x:c>
      <x:c r="D375" s="25" t="n">
        <x:v>8</x:v>
      </x:c>
      <x:c r="E375" s="25" t="n">
        <x:v>112</x:v>
      </x:c>
      <x:c r="F375" s="25" t="str">
        <x:v>月渊秘戒</x:v>
      </x:c>
      <x:c r="G375" s="25" t="n">
        <x:v>3</x:v>
      </x:c>
      <x:c r="H375" s="25" t="str">
        <x:v>处决时间</x:v>
      </x:c>
      <x:c r="I375" s="25" t="n">
        <x:v>1</x:v>
      </x:c>
      <x:c r="J375" s="25" t="n">
        <x:v>8</x:v>
      </x:c>
      <x:c r="K375" s="25" t="str">
        <x:v>仅装备原始基础值决定主属性范围</x:v>
      </x:c>
    </x:row>
    <x:row r="376">
      <x:c r="A376" s="25" t="str">
        <x:v>C04-G</x:v>
      </x:c>
      <x:c r="B376" s="25" t="str">
        <x:v>利耶尼亚海域</x:v>
      </x:c>
      <x:c r="C376" s="25" t="str">
        <x:v>半急速毕业</x:v>
      </x:c>
      <x:c r="D376" s="25" t="n">
        <x:v>8</x:v>
      </x:c>
      <x:c r="E376" s="25" t="n">
        <x:v>112</x:v>
      </x:c>
      <x:c r="F376" s="25" t="str">
        <x:v>月渊秘戒</x:v>
      </x:c>
      <x:c r="G376" s="25" t="n">
        <x:v>4</x:v>
      </x:c>
      <x:c r="H376" s="25" t="str">
        <x:v>处决伤害</x:v>
      </x:c>
      <x:c r="I376" s="25" t="n">
        <x:v>1</x:v>
      </x:c>
      <x:c r="J376" s="25" t="n">
        <x:v>10</x:v>
      </x:c>
      <x:c r="K376" s="25" t="str">
        <x:v>仅装备原始基础值决定主属性范围</x:v>
      </x:c>
    </x:row>
    <x:row r="377">
      <x:c r="A377" s="25" t="str">
        <x:v>C04-G</x:v>
      </x:c>
      <x:c r="B377" s="25" t="str">
        <x:v>利耶尼亚海域</x:v>
      </x:c>
      <x:c r="C377" s="25" t="str">
        <x:v>半急速毕业</x:v>
      </x:c>
      <x:c r="D377" s="25" t="n">
        <x:v>8</x:v>
      </x:c>
      <x:c r="E377" s="25" t="n">
        <x:v>112</x:v>
      </x:c>
      <x:c r="F377" s="25" t="str">
        <x:v>月渊秘戒</x:v>
      </x:c>
      <x:c r="G377" s="25" t="n">
        <x:v>5</x:v>
      </x:c>
      <x:c r="H377" s="25" t="str">
        <x:v>攻击加成</x:v>
      </x:c>
      <x:c r="I377" s="25" t="n">
        <x:v>2</x:v>
      </x:c>
      <x:c r="J377" s="25" t="n">
        <x:v>18</x:v>
      </x:c>
      <x:c r="K377" s="25" t="str">
        <x:v>仅装备原始基础值决定主属性范围</x:v>
      </x:c>
    </x:row>
    <x:row r="378">
      <x:c r="A378" s="25" t="str">
        <x:v>C04-G</x:v>
      </x:c>
      <x:c r="B378" s="25" t="str">
        <x:v>利耶尼亚海域</x:v>
      </x:c>
      <x:c r="C378" s="25" t="str">
        <x:v>半急速毕业</x:v>
      </x:c>
      <x:c r="D378" s="25" t="n">
        <x:v>8</x:v>
      </x:c>
      <x:c r="E378" s="25" t="n">
        <x:v>112</x:v>
      </x:c>
      <x:c r="F378" s="25" t="str">
        <x:v>月渊秘戒</x:v>
      </x:c>
      <x:c r="G378" s="25" t="n">
        <x:v>6</x:v>
      </x:c>
      <x:c r="H378" s="25" t="str">
        <x:v>韧性</x:v>
      </x:c>
      <x:c r="I378" s="25" t="n">
        <x:v>10</x:v>
      </x:c>
      <x:c r="J378" s="25" t="n">
        <x:v>12</x:v>
      </x:c>
      <x:c r="K378" s="25" t="str">
        <x:v>仅装备原始基础值决定主属性范围</x:v>
      </x:c>
    </x:row>
    <x:row r="379">
      <x:c r="A379" s="25" t="str">
        <x:v>C04-G</x:v>
      </x:c>
      <x:c r="B379" s="25" t="str">
        <x:v>利耶尼亚海域</x:v>
      </x:c>
      <x:c r="C379" s="25" t="str">
        <x:v>半急速毕业</x:v>
      </x:c>
      <x:c r="D379" s="25" t="n">
        <x:v>8</x:v>
      </x:c>
      <x:c r="E379" s="25" t="n">
        <x:v>112</x:v>
      </x:c>
      <x:c r="F379" s="25" t="str">
        <x:v>月渊秘戒</x:v>
      </x:c>
      <x:c r="G379" s="25" t="n">
        <x:v>7</x:v>
      </x:c>
      <x:c r="H379" s="25" t="str">
        <x:v>处决概率</x:v>
      </x:c>
      <x:c r="I379" s="25" t="n">
        <x:v>2</x:v>
      </x:c>
      <x:c r="J379" s="25" t="n">
        <x:v>7</x:v>
      </x:c>
      <x:c r="K379" s="25" t="str">
        <x:v>仅装备原始基础值决定主属性范围</x:v>
      </x:c>
    </x:row>
    <x:row r="380">
      <x:c r="A380" s="25" t="str">
        <x:v>C04-G</x:v>
      </x:c>
      <x:c r="B380" s="25" t="str">
        <x:v>利耶尼亚海域</x:v>
      </x:c>
      <x:c r="C380" s="25" t="str">
        <x:v>半急速毕业</x:v>
      </x:c>
      <x:c r="D380" s="25" t="n">
        <x:v>8</x:v>
      </x:c>
      <x:c r="E380" s="25" t="n">
        <x:v>112</x:v>
      </x:c>
      <x:c r="F380" s="25" t="str">
        <x:v>月渊秘戒</x:v>
      </x:c>
      <x:c r="G380" s="25" t="n">
        <x:v>8</x:v>
      </x:c>
      <x:c r="H380" s="25" t="str">
        <x:v>伤害吸收上限</x:v>
      </x:c>
      <x:c r="I380" s="25" t="n">
        <x:v>1</x:v>
      </x:c>
      <x:c r="J380" s="25" t="n">
        <x:v>28</x:v>
      </x:c>
      <x:c r="K380" s="25" t="str">
        <x:v>仅装备原始基础值决定主属性范围</x:v>
      </x:c>
    </x:row>
    <x:row r="381">
      <x:c r="A381" s="25" t="str">
        <x:v>C04-G</x:v>
      </x:c>
      <x:c r="B381" s="25" t="str">
        <x:v>利耶尼亚海域</x:v>
      </x:c>
      <x:c r="C381" s="25" t="str">
        <x:v>半急速毕业</x:v>
      </x:c>
      <x:c r="D381" s="25" t="n">
        <x:v>10</x:v>
      </x:c>
      <x:c r="E381" s="25" t="n">
        <x:v>99</x:v>
      </x:c>
      <x:c r="F381" s="25" t="str">
        <x:v>流寇束带</x:v>
      </x:c>
      <x:c r="G381" s="25" t="n">
        <x:v>1</x:v>
      </x:c>
      <x:c r="H381" s="25" t="str">
        <x:v>攻击加成</x:v>
      </x:c>
      <x:c r="I381" s="25" t="n">
        <x:v>44</x:v>
      </x:c>
      <x:c r="J381" s="25" t="n">
        <x:v>19</x:v>
      </x:c>
      <x:c r="K381" s="25" t="str">
        <x:v>仅装备原始基础值决定主属性范围</x:v>
      </x:c>
    </x:row>
    <x:row r="382">
      <x:c r="A382" s="25" t="str">
        <x:v>C04-G</x:v>
      </x:c>
      <x:c r="B382" s="25" t="str">
        <x:v>利耶尼亚海域</x:v>
      </x:c>
      <x:c r="C382" s="25" t="str">
        <x:v>半急速毕业</x:v>
      </x:c>
      <x:c r="D382" s="25" t="n">
        <x:v>10</x:v>
      </x:c>
      <x:c r="E382" s="25" t="n">
        <x:v>99</x:v>
      </x:c>
      <x:c r="F382" s="25" t="str">
        <x:v>流寇束带</x:v>
      </x:c>
      <x:c r="G382" s="25" t="n">
        <x:v>2</x:v>
      </x:c>
      <x:c r="H382" s="25" t="str">
        <x:v>处决概率</x:v>
      </x:c>
      <x:c r="I382" s="25" t="n">
        <x:v>1</x:v>
      </x:c>
      <x:c r="J382" s="25" t="n">
        <x:v>6</x:v>
      </x:c>
      <x:c r="K382" s="25" t="str">
        <x:v>仅装备原始基础值决定主属性范围</x:v>
      </x:c>
    </x:row>
    <x:row r="383">
      <x:c r="A383" s="25" t="str">
        <x:v>C04-G</x:v>
      </x:c>
      <x:c r="B383" s="25" t="str">
        <x:v>利耶尼亚海域</x:v>
      </x:c>
      <x:c r="C383" s="25" t="str">
        <x:v>半急速毕业</x:v>
      </x:c>
      <x:c r="D383" s="25" t="n">
        <x:v>10</x:v>
      </x:c>
      <x:c r="E383" s="25" t="n">
        <x:v>99</x:v>
      </x:c>
      <x:c r="F383" s="25" t="str">
        <x:v>流寇束带</x:v>
      </x:c>
      <x:c r="G383" s="25" t="n">
        <x:v>3</x:v>
      </x:c>
      <x:c r="H383" s="25" t="str">
        <x:v>最大爆率</x:v>
      </x:c>
      <x:c r="I383" s="25" t="n">
        <x:v>1</x:v>
      </x:c>
      <x:c r="J383" s="25" t="n">
        <x:v>22</x:v>
      </x:c>
      <x:c r="K383" s="25" t="str">
        <x:v>仅装备原始基础值决定主属性范围</x:v>
      </x:c>
    </x:row>
    <x:row r="384">
      <x:c r="A384" s="25" t="str">
        <x:v>C04-G</x:v>
      </x:c>
      <x:c r="B384" s="25" t="str">
        <x:v>利耶尼亚海域</x:v>
      </x:c>
      <x:c r="C384" s="25" t="str">
        <x:v>半急速毕业</x:v>
      </x:c>
      <x:c r="D384" s="25" t="n">
        <x:v>10</x:v>
      </x:c>
      <x:c r="E384" s="25" t="n">
        <x:v>99</x:v>
      </x:c>
      <x:c r="F384" s="25" t="str">
        <x:v>流寇束带</x:v>
      </x:c>
      <x:c r="G384" s="25" t="n">
        <x:v>4</x:v>
      </x:c>
      <x:c r="H384" s="25" t="str">
        <x:v>道术</x:v>
      </x:c>
      <x:c r="I384" s="25" t="n">
        <x:v>32</x:v>
      </x:c>
      <x:c r="J384" s="25" t="n">
        <x:v>3</x:v>
      </x:c>
      <x:c r="K384" s="25" t="str">
        <x:v>仅装备原始基础值决定主属性范围</x:v>
      </x:c>
    </x:row>
    <x:row r="385">
      <x:c r="A385" s="25" t="str">
        <x:v>C04-G</x:v>
      </x:c>
      <x:c r="B385" s="25" t="str">
        <x:v>利耶尼亚海域</x:v>
      </x:c>
      <x:c r="C385" s="25" t="str">
        <x:v>半急速毕业</x:v>
      </x:c>
      <x:c r="D385" s="25" t="n">
        <x:v>10</x:v>
      </x:c>
      <x:c r="E385" s="25" t="n">
        <x:v>99</x:v>
      </x:c>
      <x:c r="F385" s="25" t="str">
        <x:v>流寇束带</x:v>
      </x:c>
      <x:c r="G385" s="25" t="n">
        <x:v>5</x:v>
      </x:c>
      <x:c r="H385" s="25" t="str">
        <x:v>攻击</x:v>
      </x:c>
      <x:c r="I385" s="25" t="n">
        <x:v>20</x:v>
      </x:c>
      <x:c r="J385" s="25" t="n">
        <x:v>1</x:v>
      </x:c>
      <x:c r="K385" s="25" t="str">
        <x:v>仅装备原始基础值决定主属性范围</x:v>
      </x:c>
    </x:row>
    <x:row r="386">
      <x:c r="A386" s="25" t="str">
        <x:v>C04-G</x:v>
      </x:c>
      <x:c r="B386" s="25" t="str">
        <x:v>利耶尼亚海域</x:v>
      </x:c>
      <x:c r="C386" s="25" t="str">
        <x:v>半急速毕业</x:v>
      </x:c>
      <x:c r="D386" s="25" t="n">
        <x:v>11</x:v>
      </x:c>
      <x:c r="E386" s="25" t="n">
        <x:v>94</x:v>
      </x:c>
      <x:c r="F386" s="25" t="str">
        <x:v>逐风征靴</x:v>
      </x:c>
      <x:c r="G386" s="25" t="n">
        <x:v>1</x:v>
      </x:c>
      <x:c r="H386" s="25" t="str">
        <x:v>魔法</x:v>
      </x:c>
      <x:c r="I386" s="25" t="n">
        <x:v>46</x:v>
      </x:c>
      <x:c r="J386" s="25" t="n">
        <x:v>2</x:v>
      </x:c>
      <x:c r="K386" s="25" t="str">
        <x:v>仅装备原始基础值决定主属性范围</x:v>
      </x:c>
    </x:row>
    <x:row r="387">
      <x:c r="A387" s="25" t="str">
        <x:v>C04-G</x:v>
      </x:c>
      <x:c r="B387" s="25" t="str">
        <x:v>利耶尼亚海域</x:v>
      </x:c>
      <x:c r="C387" s="25" t="str">
        <x:v>半急速毕业</x:v>
      </x:c>
      <x:c r="D387" s="25" t="n">
        <x:v>11</x:v>
      </x:c>
      <x:c r="E387" s="25" t="n">
        <x:v>94</x:v>
      </x:c>
      <x:c r="F387" s="25" t="str">
        <x:v>逐风征靴</x:v>
      </x:c>
      <x:c r="G387" s="25" t="n">
        <x:v>2</x:v>
      </x:c>
      <x:c r="H387" s="25" t="str">
        <x:v>攻击加成</x:v>
      </x:c>
      <x:c r="I387" s="25" t="n">
        <x:v>30</x:v>
      </x:c>
      <x:c r="J387" s="25" t="n">
        <x:v>18</x:v>
      </x:c>
      <x:c r="K387" s="25" t="str">
        <x:v>仅装备原始基础值决定主属性范围</x:v>
      </x:c>
    </x:row>
    <x:row r="388">
      <x:c r="A388" s="25" t="str">
        <x:v>C04-G</x:v>
      </x:c>
      <x:c r="B388" s="25" t="str">
        <x:v>利耶尼亚海域</x:v>
      </x:c>
      <x:c r="C388" s="25" t="str">
        <x:v>半急速毕业</x:v>
      </x:c>
      <x:c r="D388" s="25" t="n">
        <x:v>11</x:v>
      </x:c>
      <x:c r="E388" s="25" t="n">
        <x:v>94</x:v>
      </x:c>
      <x:c r="F388" s="25" t="str">
        <x:v>逐风征靴</x:v>
      </x:c>
      <x:c r="G388" s="25" t="n">
        <x:v>3</x:v>
      </x:c>
      <x:c r="H388" s="25" t="str">
        <x:v>攻击</x:v>
      </x:c>
      <x:c r="I388" s="25" t="n">
        <x:v>68</x:v>
      </x:c>
      <x:c r="J388" s="25" t="n">
        <x:v>1</x:v>
      </x:c>
      <x:c r="K388" s="25" t="str">
        <x:v>仅装备原始基础值决定主属性范围</x:v>
      </x:c>
    </x:row>
    <x:row r="389">
      <x:c r="A389" s="25" t="str">
        <x:v>C04-X</x:v>
      </x:c>
      <x:c r="B389" s="25" t="str">
        <x:v>利耶尼亚海域</x:v>
      </x:c>
      <x:c r="C389" s="25" t="str">
        <x:v>极端压力</x:v>
      </x:c>
      <x:c r="D389" s="25" t="n">
        <x:v>0</x:v>
      </x:c>
      <x:c r="E389" s="25" t="n">
        <x:v>87</x:v>
      </x:c>
      <x:c r="F389" s="25" t="str">
        <x:v>巨犀荒铠</x:v>
      </x:c>
      <x:c r="G389" s="25" t="n">
        <x:v>1</x:v>
      </x:c>
      <x:c r="H389" s="25" t="str">
        <x:v>攻击加成</x:v>
      </x:c>
      <x:c r="I389" s="25" t="n">
        <x:v>48</x:v>
      </x:c>
      <x:c r="J389" s="25" t="n">
        <x:v>19</x:v>
      </x:c>
      <x:c r="K389" s="25" t="str">
        <x:v>仅装备原始基础值决定主属性范围</x:v>
      </x:c>
    </x:row>
    <x:row r="390">
      <x:c r="A390" s="25" t="str">
        <x:v>C04-X</x:v>
      </x:c>
      <x:c r="B390" s="25" t="str">
        <x:v>利耶尼亚海域</x:v>
      </x:c>
      <x:c r="C390" s="25" t="str">
        <x:v>极端压力</x:v>
      </x:c>
      <x:c r="D390" s="25" t="n">
        <x:v>0</x:v>
      </x:c>
      <x:c r="E390" s="25" t="n">
        <x:v>87</x:v>
      </x:c>
      <x:c r="F390" s="25" t="str">
        <x:v>巨犀荒铠</x:v>
      </x:c>
      <x:c r="G390" s="25" t="n">
        <x:v>2</x:v>
      </x:c>
      <x:c r="H390" s="25" t="str">
        <x:v>处决伤害</x:v>
      </x:c>
      <x:c r="I390" s="25" t="n">
        <x:v>1</x:v>
      </x:c>
      <x:c r="J390" s="25" t="n">
        <x:v>10</x:v>
      </x:c>
      <x:c r="K390" s="25" t="str">
        <x:v>仅装备原始基础值决定主属性范围</x:v>
      </x:c>
    </x:row>
    <x:row r="391">
      <x:c r="A391" s="25" t="str">
        <x:v>C04-X</x:v>
      </x:c>
      <x:c r="B391" s="25" t="str">
        <x:v>利耶尼亚海域</x:v>
      </x:c>
      <x:c r="C391" s="25" t="str">
        <x:v>极端压力</x:v>
      </x:c>
      <x:c r="D391" s="25" t="n">
        <x:v>0</x:v>
      </x:c>
      <x:c r="E391" s="25" t="n">
        <x:v>87</x:v>
      </x:c>
      <x:c r="F391" s="25" t="str">
        <x:v>巨犀荒铠</x:v>
      </x:c>
      <x:c r="G391" s="25" t="n">
        <x:v>3</x:v>
      </x:c>
      <x:c r="H391" s="25" t="str">
        <x:v>处决伤害</x:v>
      </x:c>
      <x:c r="I391" s="25" t="n">
        <x:v>1</x:v>
      </x:c>
      <x:c r="J391" s="25" t="n">
        <x:v>10</x:v>
      </x:c>
      <x:c r="K391" s="25" t="str">
        <x:v>仅装备原始基础值决定主属性范围</x:v>
      </x:c>
    </x:row>
    <x:row r="392">
      <x:c r="A392" s="25" t="str">
        <x:v>C04-X</x:v>
      </x:c>
      <x:c r="B392" s="25" t="str">
        <x:v>利耶尼亚海域</x:v>
      </x:c>
      <x:c r="C392" s="25" t="str">
        <x:v>极端压力</x:v>
      </x:c>
      <x:c r="D392" s="25" t="n">
        <x:v>0</x:v>
      </x:c>
      <x:c r="E392" s="25" t="n">
        <x:v>87</x:v>
      </x:c>
      <x:c r="F392" s="25" t="str">
        <x:v>巨犀荒铠</x:v>
      </x:c>
      <x:c r="G392" s="25" t="n">
        <x:v>4</x:v>
      </x:c>
      <x:c r="H392" s="25" t="str">
        <x:v>攻击加成</x:v>
      </x:c>
      <x:c r="I392" s="25" t="n">
        <x:v>37</x:v>
      </x:c>
      <x:c r="J392" s="25" t="n">
        <x:v>19</x:v>
      </x:c>
      <x:c r="K392" s="25" t="str">
        <x:v>仅装备原始基础值决定主属性范围</x:v>
      </x:c>
    </x:row>
    <x:row r="393">
      <x:c r="A393" s="25" t="str">
        <x:v>C04-X</x:v>
      </x:c>
      <x:c r="B393" s="25" t="str">
        <x:v>利耶尼亚海域</x:v>
      </x:c>
      <x:c r="C393" s="25" t="str">
        <x:v>极端压力</x:v>
      </x:c>
      <x:c r="D393" s="25" t="n">
        <x:v>0</x:v>
      </x:c>
      <x:c r="E393" s="25" t="n">
        <x:v>87</x:v>
      </x:c>
      <x:c r="F393" s="25" t="str">
        <x:v>巨犀荒铠</x:v>
      </x:c>
      <x:c r="G393" s="25" t="n">
        <x:v>5</x:v>
      </x:c>
      <x:c r="H393" s="25" t="str">
        <x:v>伤害系数</x:v>
      </x:c>
      <x:c r="I393" s="25" t="n">
        <x:v>1</x:v>
      </x:c>
      <x:c r="J393" s="25" t="n">
        <x:v>25</x:v>
      </x:c>
      <x:c r="K393" s="25" t="str">
        <x:v>仅装备原始基础值决定主属性范围</x:v>
      </x:c>
    </x:row>
    <x:row r="394">
      <x:c r="A394" s="25" t="str">
        <x:v>C04-X</x:v>
      </x:c>
      <x:c r="B394" s="25" t="str">
        <x:v>利耶尼亚海域</x:v>
      </x:c>
      <x:c r="C394" s="25" t="str">
        <x:v>极端压力</x:v>
      </x:c>
      <x:c r="D394" s="25" t="n">
        <x:v>0</x:v>
      </x:c>
      <x:c r="E394" s="25" t="n">
        <x:v>87</x:v>
      </x:c>
      <x:c r="F394" s="25" t="str">
        <x:v>巨犀荒铠</x:v>
      </x:c>
      <x:c r="G394" s="25" t="n">
        <x:v>6</x:v>
      </x:c>
      <x:c r="H394" s="25" t="str">
        <x:v>暴击</x:v>
      </x:c>
      <x:c r="I394" s="25" t="n">
        <x:v>1</x:v>
      </x:c>
      <x:c r="J394" s="25" t="n">
        <x:v>14</x:v>
      </x:c>
      <x:c r="K394" s="25" t="str">
        <x:v>仅装备原始基础值决定主属性范围</x:v>
      </x:c>
    </x:row>
    <x:row r="395">
      <x:c r="A395" s="25" t="str">
        <x:v>C04-X</x:v>
      </x:c>
      <x:c r="B395" s="25" t="str">
        <x:v>利耶尼亚海域</x:v>
      </x:c>
      <x:c r="C395" s="25" t="str">
        <x:v>极端压力</x:v>
      </x:c>
      <x:c r="D395" s="25" t="n">
        <x:v>1</x:v>
      </x:c>
      <x:c r="E395" s="25" t="n">
        <x:v>113</x:v>
      </x:c>
      <x:c r="F395" s="25" t="str">
        <x:v>莱弥恩的封湖巨剑</x:v>
      </x:c>
      <x:c r="G395" s="25" t="n">
        <x:v>1</x:v>
      </x:c>
      <x:c r="H395" s="25" t="str">
        <x:v>攻击加成</x:v>
      </x:c>
      <x:c r="I395" s="25" t="n">
        <x:v>21</x:v>
      </x:c>
      <x:c r="J395" s="25" t="n">
        <x:v>18</x:v>
      </x:c>
      <x:c r="K395" s="25" t="str">
        <x:v>仅装备原始基础值决定主属性范围</x:v>
      </x:c>
    </x:row>
    <x:row r="396">
      <x:c r="A396" s="25" t="str">
        <x:v>C04-X</x:v>
      </x:c>
      <x:c r="B396" s="25" t="str">
        <x:v>利耶尼亚海域</x:v>
      </x:c>
      <x:c r="C396" s="25" t="str">
        <x:v>极端压力</x:v>
      </x:c>
      <x:c r="D396" s="25" t="n">
        <x:v>1</x:v>
      </x:c>
      <x:c r="E396" s="25" t="n">
        <x:v>113</x:v>
      </x:c>
      <x:c r="F396" s="25" t="str">
        <x:v>莱弥恩的封湖巨剑</x:v>
      </x:c>
      <x:c r="G396" s="25" t="n">
        <x:v>2</x:v>
      </x:c>
      <x:c r="H396" s="25" t="str">
        <x:v>攻击</x:v>
      </x:c>
      <x:c r="I396" s="25" t="n">
        <x:v>587</x:v>
      </x:c>
      <x:c r="J396" s="25" t="n">
        <x:v>1</x:v>
      </x:c>
      <x:c r="K396" s="25" t="str">
        <x:v>仅装备原始基础值决定主属性范围</x:v>
      </x:c>
    </x:row>
    <x:row r="397">
      <x:c r="A397" s="25" t="str">
        <x:v>C04-X</x:v>
      </x:c>
      <x:c r="B397" s="25" t="str">
        <x:v>利耶尼亚海域</x:v>
      </x:c>
      <x:c r="C397" s="25" t="str">
        <x:v>极端压力</x:v>
      </x:c>
      <x:c r="D397" s="25" t="n">
        <x:v>1</x:v>
      </x:c>
      <x:c r="E397" s="25" t="n">
        <x:v>113</x:v>
      </x:c>
      <x:c r="F397" s="25" t="str">
        <x:v>莱弥恩的封湖巨剑</x:v>
      </x:c>
      <x:c r="G397" s="25" t="n">
        <x:v>3</x:v>
      </x:c>
      <x:c r="H397" s="25" t="str">
        <x:v>攻击</x:v>
      </x:c>
      <x:c r="I397" s="25" t="n">
        <x:v>1228</x:v>
      </x:c>
      <x:c r="J397" s="25" t="n">
        <x:v>1</x:v>
      </x:c>
      <x:c r="K397" s="25" t="str">
        <x:v>仅装备原始基础值决定主属性范围</x:v>
      </x:c>
    </x:row>
    <x:row r="398">
      <x:c r="A398" s="25" t="str">
        <x:v>C04-X</x:v>
      </x:c>
      <x:c r="B398" s="25" t="str">
        <x:v>利耶尼亚海域</x:v>
      </x:c>
      <x:c r="C398" s="25" t="str">
        <x:v>极端压力</x:v>
      </x:c>
      <x:c r="D398" s="25" t="n">
        <x:v>3</x:v>
      </x:c>
      <x:c r="E398" s="25" t="n">
        <x:v>130</x:v>
      </x:c>
      <x:c r="F398" s="25" t="str">
        <x:v>诱猎声坠</x:v>
      </x:c>
      <x:c r="G398" s="25" t="n">
        <x:v>1</x:v>
      </x:c>
      <x:c r="H398" s="25" t="str">
        <x:v>攻击加成</x:v>
      </x:c>
      <x:c r="I398" s="25" t="n">
        <x:v>43</x:v>
      </x:c>
      <x:c r="J398" s="25" t="n">
        <x:v>19</x:v>
      </x:c>
      <x:c r="K398" s="25" t="str">
        <x:v>仅装备原始基础值决定主属性范围</x:v>
      </x:c>
    </x:row>
    <x:row r="399">
      <x:c r="A399" s="25" t="str">
        <x:v>C04-X</x:v>
      </x:c>
      <x:c r="B399" s="25" t="str">
        <x:v>利耶尼亚海域</x:v>
      </x:c>
      <x:c r="C399" s="25" t="str">
        <x:v>极端压力</x:v>
      </x:c>
      <x:c r="D399" s="25" t="n">
        <x:v>3</x:v>
      </x:c>
      <x:c r="E399" s="25" t="n">
        <x:v>130</x:v>
      </x:c>
      <x:c r="F399" s="25" t="str">
        <x:v>诱猎声坠</x:v>
      </x:c>
      <x:c r="G399" s="25" t="n">
        <x:v>2</x:v>
      </x:c>
      <x:c r="H399" s="25" t="str">
        <x:v>处决时间</x:v>
      </x:c>
      <x:c r="I399" s="25" t="n">
        <x:v>1</x:v>
      </x:c>
      <x:c r="J399" s="25" t="n">
        <x:v>8</x:v>
      </x:c>
      <x:c r="K399" s="25" t="str">
        <x:v>仅装备原始基础值决定主属性范围</x:v>
      </x:c>
    </x:row>
    <x:row r="400">
      <x:c r="A400" s="25" t="str">
        <x:v>C04-X</x:v>
      </x:c>
      <x:c r="B400" s="25" t="str">
        <x:v>利耶尼亚海域</x:v>
      </x:c>
      <x:c r="C400" s="25" t="str">
        <x:v>极端压力</x:v>
      </x:c>
      <x:c r="D400" s="25" t="n">
        <x:v>3</x:v>
      </x:c>
      <x:c r="E400" s="25" t="n">
        <x:v>130</x:v>
      </x:c>
      <x:c r="F400" s="25" t="str">
        <x:v>诱猎声坠</x:v>
      </x:c>
      <x:c r="G400" s="25" t="n">
        <x:v>3</x:v>
      </x:c>
      <x:c r="H400" s="25" t="str">
        <x:v>暴击</x:v>
      </x:c>
      <x:c r="I400" s="25" t="n">
        <x:v>1</x:v>
      </x:c>
      <x:c r="J400" s="25" t="n">
        <x:v>14</x:v>
      </x:c>
      <x:c r="K400" s="25" t="str">
        <x:v>仅装备原始基础值决定主属性范围</x:v>
      </x:c>
    </x:row>
    <x:row r="401">
      <x:c r="A401" s="25" t="str">
        <x:v>C04-X</x:v>
      </x:c>
      <x:c r="B401" s="25" t="str">
        <x:v>利耶尼亚海域</x:v>
      </x:c>
      <x:c r="C401" s="25" t="str">
        <x:v>极端压力</x:v>
      </x:c>
      <x:c r="D401" s="25" t="n">
        <x:v>3</x:v>
      </x:c>
      <x:c r="E401" s="25" t="n">
        <x:v>130</x:v>
      </x:c>
      <x:c r="F401" s="25" t="str">
        <x:v>诱猎声坠</x:v>
      </x:c>
      <x:c r="G401" s="25" t="n">
        <x:v>4</x:v>
      </x:c>
      <x:c r="H401" s="25" t="str">
        <x:v>处决时间</x:v>
      </x:c>
      <x:c r="I401" s="25" t="n">
        <x:v>1</x:v>
      </x:c>
      <x:c r="J401" s="25" t="n">
        <x:v>8</x:v>
      </x:c>
      <x:c r="K401" s="25" t="str">
        <x:v>仅装备原始基础值决定主属性范围</x:v>
      </x:c>
    </x:row>
    <x:row r="402">
      <x:c r="A402" s="25" t="str">
        <x:v>C04-X</x:v>
      </x:c>
      <x:c r="B402" s="25" t="str">
        <x:v>利耶尼亚海域</x:v>
      </x:c>
      <x:c r="C402" s="25" t="str">
        <x:v>极端压力</x:v>
      </x:c>
      <x:c r="D402" s="25" t="n">
        <x:v>3</x:v>
      </x:c>
      <x:c r="E402" s="25" t="n">
        <x:v>130</x:v>
      </x:c>
      <x:c r="F402" s="25" t="str">
        <x:v>诱猎声坠</x:v>
      </x:c>
      <x:c r="G402" s="25" t="n">
        <x:v>5</x:v>
      </x:c>
      <x:c r="H402" s="25" t="str">
        <x:v>暴击</x:v>
      </x:c>
      <x:c r="I402" s="25" t="n">
        <x:v>1</x:v>
      </x:c>
      <x:c r="J402" s="25" t="n">
        <x:v>14</x:v>
      </x:c>
      <x:c r="K402" s="25" t="str">
        <x:v>仅装备原始基础值决定主属性范围</x:v>
      </x:c>
    </x:row>
    <x:row r="403">
      <x:c r="A403" s="25" t="str">
        <x:v>C04-X</x:v>
      </x:c>
      <x:c r="B403" s="25" t="str">
        <x:v>利耶尼亚海域</x:v>
      </x:c>
      <x:c r="C403" s="25" t="str">
        <x:v>极端压力</x:v>
      </x:c>
      <x:c r="D403" s="25" t="n">
        <x:v>3</x:v>
      </x:c>
      <x:c r="E403" s="25" t="n">
        <x:v>130</x:v>
      </x:c>
      <x:c r="F403" s="25" t="str">
        <x:v>诱猎声坠</x:v>
      </x:c>
      <x:c r="G403" s="25" t="n">
        <x:v>6</x:v>
      </x:c>
      <x:c r="H403" s="25" t="str">
        <x:v>伤害吸收上限</x:v>
      </x:c>
      <x:c r="I403" s="25" t="n">
        <x:v>1</x:v>
      </x:c>
      <x:c r="J403" s="25" t="n">
        <x:v>28</x:v>
      </x:c>
      <x:c r="K403" s="25" t="str">
        <x:v>仅装备原始基础值决定主属性范围</x:v>
      </x:c>
    </x:row>
    <x:row r="404">
      <x:c r="A404" s="25" t="str">
        <x:v>C04-X</x:v>
      </x:c>
      <x:c r="B404" s="25" t="str">
        <x:v>利耶尼亚海域</x:v>
      </x:c>
      <x:c r="C404" s="25" t="str">
        <x:v>极端压力</x:v>
      </x:c>
      <x:c r="D404" s="25" t="n">
        <x:v>4</x:v>
      </x:c>
      <x:c r="E404" s="25" t="n">
        <x:v>127</x:v>
      </x:c>
      <x:c r="F404" s="25" t="str">
        <x:v>断途战冠</x:v>
      </x:c>
      <x:c r="G404" s="25" t="n">
        <x:v>1</x:v>
      </x:c>
      <x:c r="H404" s="25" t="str">
        <x:v>处决伤害</x:v>
      </x:c>
      <x:c r="I404" s="25" t="n">
        <x:v>1</x:v>
      </x:c>
      <x:c r="J404" s="25" t="n">
        <x:v>10</x:v>
      </x:c>
      <x:c r="K404" s="25" t="str">
        <x:v>仅装备原始基础值决定主属性范围</x:v>
      </x:c>
    </x:row>
    <x:row r="405">
      <x:c r="A405" s="25" t="str">
        <x:v>C04-X</x:v>
      </x:c>
      <x:c r="B405" s="25" t="str">
        <x:v>利耶尼亚海域</x:v>
      </x:c>
      <x:c r="C405" s="25" t="str">
        <x:v>极端压力</x:v>
      </x:c>
      <x:c r="D405" s="25" t="n">
        <x:v>4</x:v>
      </x:c>
      <x:c r="E405" s="25" t="n">
        <x:v>127</x:v>
      </x:c>
      <x:c r="F405" s="25" t="str">
        <x:v>断途战冠</x:v>
      </x:c>
      <x:c r="G405" s="25" t="n">
        <x:v>2</x:v>
      </x:c>
      <x:c r="H405" s="25" t="str">
        <x:v>攻击</x:v>
      </x:c>
      <x:c r="I405" s="25" t="n">
        <x:v>85</x:v>
      </x:c>
      <x:c r="J405" s="25" t="n">
        <x:v>1</x:v>
      </x:c>
      <x:c r="K405" s="25" t="str">
        <x:v>仅装备原始基础值决定主属性范围</x:v>
      </x:c>
    </x:row>
    <x:row r="406">
      <x:c r="A406" s="25" t="str">
        <x:v>C04-X</x:v>
      </x:c>
      <x:c r="B406" s="25" t="str">
        <x:v>利耶尼亚海域</x:v>
      </x:c>
      <x:c r="C406" s="25" t="str">
        <x:v>极端压力</x:v>
      </x:c>
      <x:c r="D406" s="25" t="n">
        <x:v>4</x:v>
      </x:c>
      <x:c r="E406" s="25" t="n">
        <x:v>127</x:v>
      </x:c>
      <x:c r="F406" s="25" t="str">
        <x:v>断途战冠</x:v>
      </x:c>
      <x:c r="G406" s="25" t="n">
        <x:v>3</x:v>
      </x:c>
      <x:c r="H406" s="25" t="str">
        <x:v>攻击加成</x:v>
      </x:c>
      <x:c r="I406" s="25" t="n">
        <x:v>19</x:v>
      </x:c>
      <x:c r="J406" s="25" t="n">
        <x:v>18</x:v>
      </x:c>
      <x:c r="K406" s="25" t="str">
        <x:v>仅装备原始基础值决定主属性范围</x:v>
      </x:c>
    </x:row>
    <x:row r="407">
      <x:c r="A407" s="25" t="str">
        <x:v>C04-X</x:v>
      </x:c>
      <x:c r="B407" s="25" t="str">
        <x:v>利耶尼亚海域</x:v>
      </x:c>
      <x:c r="C407" s="25" t="str">
        <x:v>极端压力</x:v>
      </x:c>
      <x:c r="D407" s="25" t="n">
        <x:v>4</x:v>
      </x:c>
      <x:c r="E407" s="25" t="n">
        <x:v>127</x:v>
      </x:c>
      <x:c r="F407" s="25" t="str">
        <x:v>断途战冠</x:v>
      </x:c>
      <x:c r="G407" s="25" t="n">
        <x:v>4</x:v>
      </x:c>
      <x:c r="H407" s="25" t="str">
        <x:v>道术</x:v>
      </x:c>
      <x:c r="I407" s="25" t="n">
        <x:v>29</x:v>
      </x:c>
      <x:c r="J407" s="25" t="n">
        <x:v>3</x:v>
      </x:c>
      <x:c r="K407" s="25" t="str">
        <x:v>仅装备原始基础值决定主属性范围</x:v>
      </x:c>
    </x:row>
    <x:row r="408">
      <x:c r="A408" s="25" t="str">
        <x:v>C04-X</x:v>
      </x:c>
      <x:c r="B408" s="25" t="str">
        <x:v>利耶尼亚海域</x:v>
      </x:c>
      <x:c r="C408" s="25" t="str">
        <x:v>极端压力</x:v>
      </x:c>
      <x:c r="D408" s="25" t="n">
        <x:v>4</x:v>
      </x:c>
      <x:c r="E408" s="25" t="n">
        <x:v>127</x:v>
      </x:c>
      <x:c r="F408" s="25" t="str">
        <x:v>断途战冠</x:v>
      </x:c>
      <x:c r="G408" s="25" t="n">
        <x:v>5</x:v>
      </x:c>
      <x:c r="H408" s="25" t="str">
        <x:v>攻击</x:v>
      </x:c>
      <x:c r="I408" s="25" t="n">
        <x:v>71</x:v>
      </x:c>
      <x:c r="J408" s="25" t="n">
        <x:v>1</x:v>
      </x:c>
      <x:c r="K408" s="25" t="str">
        <x:v>仅装备原始基础值决定主属性范围</x:v>
      </x:c>
    </x:row>
    <x:row r="409">
      <x:c r="A409" s="25" t="str">
        <x:v>C04-X</x:v>
      </x:c>
      <x:c r="B409" s="25" t="str">
        <x:v>利耶尼亚海域</x:v>
      </x:c>
      <x:c r="C409" s="25" t="str">
        <x:v>极端压力</x:v>
      </x:c>
      <x:c r="D409" s="25" t="n">
        <x:v>5</x:v>
      </x:c>
      <x:c r="E409" s="25" t="n">
        <x:v>115</x:v>
      </x:c>
      <x:c r="F409" s="25" t="str">
        <x:v>缚链僧镯</x:v>
      </x:c>
      <x:c r="G409" s="25" t="n">
        <x:v>1</x:v>
      </x:c>
      <x:c r="H409" s="25" t="str">
        <x:v>处决概率</x:v>
      </x:c>
      <x:c r="I409" s="25" t="n">
        <x:v>1</x:v>
      </x:c>
      <x:c r="J409" s="25" t="n">
        <x:v>6</x:v>
      </x:c>
      <x:c r="K409" s="25" t="str">
        <x:v>仅装备原始基础值决定主属性范围</x:v>
      </x:c>
    </x:row>
    <x:row r="410">
      <x:c r="A410" s="25" t="str">
        <x:v>C04-X</x:v>
      </x:c>
      <x:c r="B410" s="25" t="str">
        <x:v>利耶尼亚海域</x:v>
      </x:c>
      <x:c r="C410" s="25" t="str">
        <x:v>极端压力</x:v>
      </x:c>
      <x:c r="D410" s="25" t="n">
        <x:v>5</x:v>
      </x:c>
      <x:c r="E410" s="25" t="n">
        <x:v>115</x:v>
      </x:c>
      <x:c r="F410" s="25" t="str">
        <x:v>缚链僧镯</x:v>
      </x:c>
      <x:c r="G410" s="25" t="n">
        <x:v>2</x:v>
      </x:c>
      <x:c r="H410" s="25" t="str">
        <x:v>处决概率</x:v>
      </x:c>
      <x:c r="I410" s="25" t="n">
        <x:v>1</x:v>
      </x:c>
      <x:c r="J410" s="25" t="n">
        <x:v>6</x:v>
      </x:c>
      <x:c r="K410" s="25" t="str">
        <x:v>仅装备原始基础值决定主属性范围</x:v>
      </x:c>
    </x:row>
    <x:row r="411">
      <x:c r="A411" s="25" t="str">
        <x:v>C04-X</x:v>
      </x:c>
      <x:c r="B411" s="25" t="str">
        <x:v>利耶尼亚海域</x:v>
      </x:c>
      <x:c r="C411" s="25" t="str">
        <x:v>极端压力</x:v>
      </x:c>
      <x:c r="D411" s="25" t="n">
        <x:v>5</x:v>
      </x:c>
      <x:c r="E411" s="25" t="n">
        <x:v>115</x:v>
      </x:c>
      <x:c r="F411" s="25" t="str">
        <x:v>缚链僧镯</x:v>
      </x:c>
      <x:c r="G411" s="25" t="n">
        <x:v>3</x:v>
      </x:c>
      <x:c r="H411" s="25" t="str">
        <x:v>道术</x:v>
      </x:c>
      <x:c r="I411" s="25" t="n">
        <x:v>89</x:v>
      </x:c>
      <x:c r="J411" s="25" t="n">
        <x:v>3</x:v>
      </x:c>
      <x:c r="K411" s="25" t="str">
        <x:v>仅装备原始基础值决定主属性范围</x:v>
      </x:c>
    </x:row>
    <x:row r="412">
      <x:c r="A412" s="25" t="str">
        <x:v>C04-X</x:v>
      </x:c>
      <x:c r="B412" s="25" t="str">
        <x:v>利耶尼亚海域</x:v>
      </x:c>
      <x:c r="C412" s="25" t="str">
        <x:v>极端压力</x:v>
      </x:c>
      <x:c r="D412" s="25" t="n">
        <x:v>5</x:v>
      </x:c>
      <x:c r="E412" s="25" t="n">
        <x:v>115</x:v>
      </x:c>
      <x:c r="F412" s="25" t="str">
        <x:v>缚链僧镯</x:v>
      </x:c>
      <x:c r="G412" s="25" t="n">
        <x:v>4</x:v>
      </x:c>
      <x:c r="H412" s="25" t="str">
        <x:v>暴击</x:v>
      </x:c>
      <x:c r="I412" s="25" t="n">
        <x:v>1</x:v>
      </x:c>
      <x:c r="J412" s="25" t="n">
        <x:v>14</x:v>
      </x:c>
      <x:c r="K412" s="25" t="str">
        <x:v>仅装备原始基础值决定主属性范围</x:v>
      </x:c>
    </x:row>
    <x:row r="413">
      <x:c r="A413" s="25" t="str">
        <x:v>C04-X</x:v>
      </x:c>
      <x:c r="B413" s="25" t="str">
        <x:v>利耶尼亚海域</x:v>
      </x:c>
      <x:c r="C413" s="25" t="str">
        <x:v>极端压力</x:v>
      </x:c>
      <x:c r="D413" s="25" t="n">
        <x:v>5</x:v>
      </x:c>
      <x:c r="E413" s="25" t="n">
        <x:v>115</x:v>
      </x:c>
      <x:c r="F413" s="25" t="str">
        <x:v>缚链僧镯</x:v>
      </x:c>
      <x:c r="G413" s="25" t="n">
        <x:v>5</x:v>
      </x:c>
      <x:c r="H413" s="25" t="str">
        <x:v>韧性</x:v>
      </x:c>
      <x:c r="I413" s="25" t="n">
        <x:v>10</x:v>
      </x:c>
      <x:c r="J413" s="25" t="n">
        <x:v>12</x:v>
      </x:c>
      <x:c r="K413" s="25" t="str">
        <x:v>仅装备原始基础值决定主属性范围</x:v>
      </x:c>
    </x:row>
    <x:row r="414">
      <x:c r="A414" s="25" t="str">
        <x:v>C04-X</x:v>
      </x:c>
      <x:c r="B414" s="25" t="str">
        <x:v>利耶尼亚海域</x:v>
      </x:c>
      <x:c r="C414" s="25" t="str">
        <x:v>极端压力</x:v>
      </x:c>
      <x:c r="D414" s="25" t="n">
        <x:v>5</x:v>
      </x:c>
      <x:c r="E414" s="25" t="n">
        <x:v>115</x:v>
      </x:c>
      <x:c r="F414" s="25" t="str">
        <x:v>缚链僧镯</x:v>
      </x:c>
      <x:c r="G414" s="25" t="n">
        <x:v>6</x:v>
      </x:c>
      <x:c r="H414" s="25" t="str">
        <x:v>处决概率</x:v>
      </x:c>
      <x:c r="I414" s="25" t="n">
        <x:v>2</x:v>
      </x:c>
      <x:c r="J414" s="25" t="n">
        <x:v>7</x:v>
      </x:c>
      <x:c r="K414" s="25" t="str">
        <x:v>仅装备原始基础值决定主属性范围</x:v>
      </x:c>
    </x:row>
    <x:row r="415">
      <x:c r="A415" s="25" t="str">
        <x:v>C04-X</x:v>
      </x:c>
      <x:c r="B415" s="25" t="str">
        <x:v>利耶尼亚海域</x:v>
      </x:c>
      <x:c r="C415" s="25" t="str">
        <x:v>极端压力</x:v>
      </x:c>
      <x:c r="D415" s="25" t="n">
        <x:v>5</x:v>
      </x:c>
      <x:c r="E415" s="25" t="n">
        <x:v>115</x:v>
      </x:c>
      <x:c r="F415" s="25" t="str">
        <x:v>缚链僧镯</x:v>
      </x:c>
      <x:c r="G415" s="25" t="n">
        <x:v>7</x:v>
      </x:c>
      <x:c r="H415" s="25" t="str">
        <x:v>攻击速度</x:v>
      </x:c>
      <x:c r="I415" s="25" t="n">
        <x:v>1</x:v>
      </x:c>
      <x:c r="J415" s="25" t="n">
        <x:v>4</x:v>
      </x:c>
      <x:c r="K415" s="25" t="str">
        <x:v>仅装备原始基础值决定主属性范围</x:v>
      </x:c>
    </x:row>
    <x:row r="416">
      <x:c r="A416" s="25" t="str">
        <x:v>C04-X</x:v>
      </x:c>
      <x:c r="B416" s="25" t="str">
        <x:v>利耶尼亚海域</x:v>
      </x:c>
      <x:c r="C416" s="25" t="str">
        <x:v>极端压力</x:v>
      </x:c>
      <x:c r="D416" s="25" t="n">
        <x:v>6</x:v>
      </x:c>
      <x:c r="E416" s="25" t="n">
        <x:v>68</x:v>
      </x:c>
      <x:c r="F416" s="25" t="str">
        <x:v>百指接肢腕</x:v>
      </x:c>
      <x:c r="G416" s="25" t="n">
        <x:v>1</x:v>
      </x:c>
      <x:c r="H416" s="25" t="str">
        <x:v>处决伤害</x:v>
      </x:c>
      <x:c r="I416" s="25" t="n">
        <x:v>1</x:v>
      </x:c>
      <x:c r="J416" s="25" t="n">
        <x:v>10</x:v>
      </x:c>
      <x:c r="K416" s="25" t="str">
        <x:v>仅装备原始基础值决定主属性范围</x:v>
      </x:c>
    </x:row>
    <x:row r="417">
      <x:c r="A417" s="25" t="str">
        <x:v>C04-X</x:v>
      </x:c>
      <x:c r="B417" s="25" t="str">
        <x:v>利耶尼亚海域</x:v>
      </x:c>
      <x:c r="C417" s="25" t="str">
        <x:v>极端压力</x:v>
      </x:c>
      <x:c r="D417" s="25" t="n">
        <x:v>6</x:v>
      </x:c>
      <x:c r="E417" s="25" t="n">
        <x:v>68</x:v>
      </x:c>
      <x:c r="F417" s="25" t="str">
        <x:v>百指接肢腕</x:v>
      </x:c>
      <x:c r="G417" s="25" t="n">
        <x:v>2</x:v>
      </x:c>
      <x:c r="H417" s="25" t="str">
        <x:v>攻击加成</x:v>
      </x:c>
      <x:c r="I417" s="25" t="n">
        <x:v>28</x:v>
      </x:c>
      <x:c r="J417" s="25" t="n">
        <x:v>18</x:v>
      </x:c>
      <x:c r="K417" s="25" t="str">
        <x:v>仅装备原始基础值决定主属性范围</x:v>
      </x:c>
    </x:row>
    <x:row r="418">
      <x:c r="A418" s="25" t="str">
        <x:v>C04-X</x:v>
      </x:c>
      <x:c r="B418" s="25" t="str">
        <x:v>利耶尼亚海域</x:v>
      </x:c>
      <x:c r="C418" s="25" t="str">
        <x:v>极端压力</x:v>
      </x:c>
      <x:c r="D418" s="25" t="n">
        <x:v>6</x:v>
      </x:c>
      <x:c r="E418" s="25" t="n">
        <x:v>68</x:v>
      </x:c>
      <x:c r="F418" s="25" t="str">
        <x:v>百指接肢腕</x:v>
      </x:c>
      <x:c r="G418" s="25" t="n">
        <x:v>3</x:v>
      </x:c>
      <x:c r="H418" s="25" t="str">
        <x:v>攻击加成</x:v>
      </x:c>
      <x:c r="I418" s="25" t="n">
        <x:v>45</x:v>
      </x:c>
      <x:c r="J418" s="25" t="n">
        <x:v>19</x:v>
      </x:c>
      <x:c r="K418" s="25" t="str">
        <x:v>仅装备原始基础值决定主属性范围</x:v>
      </x:c>
    </x:row>
    <x:row r="419">
      <x:c r="A419" s="25" t="str">
        <x:v>C04-X</x:v>
      </x:c>
      <x:c r="B419" s="25" t="str">
        <x:v>利耶尼亚海域</x:v>
      </x:c>
      <x:c r="C419" s="25" t="str">
        <x:v>极端压力</x:v>
      </x:c>
      <x:c r="D419" s="25" t="n">
        <x:v>6</x:v>
      </x:c>
      <x:c r="E419" s="25" t="n">
        <x:v>68</x:v>
      </x:c>
      <x:c r="F419" s="25" t="str">
        <x:v>百指接肢腕</x:v>
      </x:c>
      <x:c r="G419" s="25" t="n">
        <x:v>4</x:v>
      </x:c>
      <x:c r="H419" s="25" t="str">
        <x:v>处决伤害</x:v>
      </x:c>
      <x:c r="I419" s="25" t="n">
        <x:v>2</x:v>
      </x:c>
      <x:c r="J419" s="25" t="n">
        <x:v>11</x:v>
      </x:c>
      <x:c r="K419" s="25" t="str">
        <x:v>仅装备原始基础值决定主属性范围</x:v>
      </x:c>
    </x:row>
    <x:row r="420">
      <x:c r="A420" s="25" t="str">
        <x:v>C04-X</x:v>
      </x:c>
      <x:c r="B420" s="25" t="str">
        <x:v>利耶尼亚海域</x:v>
      </x:c>
      <x:c r="C420" s="25" t="str">
        <x:v>极端压力</x:v>
      </x:c>
      <x:c r="D420" s="25" t="n">
        <x:v>6</x:v>
      </x:c>
      <x:c r="E420" s="25" t="n">
        <x:v>68</x:v>
      </x:c>
      <x:c r="F420" s="25" t="str">
        <x:v>百指接肢腕</x:v>
      </x:c>
      <x:c r="G420" s="25" t="n">
        <x:v>5</x:v>
      </x:c>
      <x:c r="H420" s="25" t="str">
        <x:v>暴击</x:v>
      </x:c>
      <x:c r="I420" s="25" t="n">
        <x:v>1</x:v>
      </x:c>
      <x:c r="J420" s="25" t="n">
        <x:v>14</x:v>
      </x:c>
      <x:c r="K420" s="25" t="str">
        <x:v>仅装备原始基础值决定主属性范围</x:v>
      </x:c>
    </x:row>
    <x:row r="421">
      <x:c r="A421" s="25" t="str">
        <x:v>C04-X</x:v>
      </x:c>
      <x:c r="B421" s="25" t="str">
        <x:v>利耶尼亚海域</x:v>
      </x:c>
      <x:c r="C421" s="25" t="str">
        <x:v>极端压力</x:v>
      </x:c>
      <x:c r="D421" s="25" t="n">
        <x:v>7</x:v>
      </x:c>
      <x:c r="E421" s="25" t="n">
        <x:v>132</x:v>
      </x:c>
      <x:c r="F421" s="25" t="str">
        <x:v>月渊秘戒</x:v>
      </x:c>
      <x:c r="G421" s="25" t="n">
        <x:v>1</x:v>
      </x:c>
      <x:c r="H421" s="25" t="str">
        <x:v>处决概率</x:v>
      </x:c>
      <x:c r="I421" s="25" t="n">
        <x:v>1</x:v>
      </x:c>
      <x:c r="J421" s="25" t="n">
        <x:v>6</x:v>
      </x:c>
      <x:c r="K421" s="25" t="str">
        <x:v>仅装备原始基础值决定主属性范围</x:v>
      </x:c>
    </x:row>
    <x:row r="422">
      <x:c r="A422" s="25" t="str">
        <x:v>C04-X</x:v>
      </x:c>
      <x:c r="B422" s="25" t="str">
        <x:v>利耶尼亚海域</x:v>
      </x:c>
      <x:c r="C422" s="25" t="str">
        <x:v>极端压力</x:v>
      </x:c>
      <x:c r="D422" s="25" t="n">
        <x:v>7</x:v>
      </x:c>
      <x:c r="E422" s="25" t="n">
        <x:v>132</x:v>
      </x:c>
      <x:c r="F422" s="25" t="str">
        <x:v>月渊秘戒</x:v>
      </x:c>
      <x:c r="G422" s="25" t="n">
        <x:v>2</x:v>
      </x:c>
      <x:c r="H422" s="25" t="str">
        <x:v>攻击加成</x:v>
      </x:c>
      <x:c r="I422" s="25" t="n">
        <x:v>50</x:v>
      </x:c>
      <x:c r="J422" s="25" t="n">
        <x:v>19</x:v>
      </x:c>
      <x:c r="K422" s="25" t="str">
        <x:v>仅装备原始基础值决定主属性范围</x:v>
      </x:c>
    </x:row>
    <x:row r="423">
      <x:c r="A423" s="25" t="str">
        <x:v>C04-X</x:v>
      </x:c>
      <x:c r="B423" s="25" t="str">
        <x:v>利耶尼亚海域</x:v>
      </x:c>
      <x:c r="C423" s="25" t="str">
        <x:v>极端压力</x:v>
      </x:c>
      <x:c r="D423" s="25" t="n">
        <x:v>7</x:v>
      </x:c>
      <x:c r="E423" s="25" t="n">
        <x:v>132</x:v>
      </x:c>
      <x:c r="F423" s="25" t="str">
        <x:v>月渊秘戒</x:v>
      </x:c>
      <x:c r="G423" s="25" t="n">
        <x:v>3</x:v>
      </x:c>
      <x:c r="H423" s="25" t="str">
        <x:v>攻击</x:v>
      </x:c>
      <x:c r="I423" s="25" t="n">
        <x:v>180</x:v>
      </x:c>
      <x:c r="J423" s="25" t="n">
        <x:v>1</x:v>
      </x:c>
      <x:c r="K423" s="25" t="str">
        <x:v>仅装备原始基础值决定主属性范围</x:v>
      </x:c>
    </x:row>
    <x:row r="424">
      <x:c r="A424" s="25" t="str">
        <x:v>C04-X</x:v>
      </x:c>
      <x:c r="B424" s="25" t="str">
        <x:v>利耶尼亚海域</x:v>
      </x:c>
      <x:c r="C424" s="25" t="str">
        <x:v>极端压力</x:v>
      </x:c>
      <x:c r="D424" s="25" t="n">
        <x:v>8</x:v>
      </x:c>
      <x:c r="E424" s="25" t="n">
        <x:v>134</x:v>
      </x:c>
      <x:c r="F424" s="25" t="str">
        <x:v>月渊秘戒</x:v>
      </x:c>
      <x:c r="G424" s="25" t="n">
        <x:v>1</x:v>
      </x:c>
      <x:c r="H424" s="25" t="str">
        <x:v>韧性</x:v>
      </x:c>
      <x:c r="I424" s="25" t="n">
        <x:v>10</x:v>
      </x:c>
      <x:c r="J424" s="25" t="n">
        <x:v>12</x:v>
      </x:c>
      <x:c r="K424" s="25" t="str">
        <x:v>仅装备原始基础值决定主属性范围</x:v>
      </x:c>
    </x:row>
    <x:row r="425">
      <x:c r="A425" s="25" t="str">
        <x:v>C04-X</x:v>
      </x:c>
      <x:c r="B425" s="25" t="str">
        <x:v>利耶尼亚海域</x:v>
      </x:c>
      <x:c r="C425" s="25" t="str">
        <x:v>极端压力</x:v>
      </x:c>
      <x:c r="D425" s="25" t="n">
        <x:v>8</x:v>
      </x:c>
      <x:c r="E425" s="25" t="n">
        <x:v>134</x:v>
      </x:c>
      <x:c r="F425" s="25" t="str">
        <x:v>月渊秘戒</x:v>
      </x:c>
      <x:c r="G425" s="25" t="n">
        <x:v>2</x:v>
      </x:c>
      <x:c r="H425" s="25" t="str">
        <x:v>攻击加成</x:v>
      </x:c>
      <x:c r="I425" s="25" t="n">
        <x:v>48</x:v>
      </x:c>
      <x:c r="J425" s="25" t="n">
        <x:v>19</x:v>
      </x:c>
      <x:c r="K425" s="25" t="str">
        <x:v>仅装备原始基础值决定主属性范围</x:v>
      </x:c>
    </x:row>
    <x:row r="426">
      <x:c r="A426" s="25" t="str">
        <x:v>C04-X</x:v>
      </x:c>
      <x:c r="B426" s="25" t="str">
        <x:v>利耶尼亚海域</x:v>
      </x:c>
      <x:c r="C426" s="25" t="str">
        <x:v>极端压力</x:v>
      </x:c>
      <x:c r="D426" s="25" t="n">
        <x:v>10</x:v>
      </x:c>
      <x:c r="E426" s="25" t="n">
        <x:v>133</x:v>
      </x:c>
      <x:c r="F426" s="25" t="str">
        <x:v>闭潮王带</x:v>
      </x:c>
      <x:c r="G426" s="25" t="n">
        <x:v>1</x:v>
      </x:c>
      <x:c r="H426" s="25" t="str">
        <x:v>攻击加成</x:v>
      </x:c>
      <x:c r="I426" s="25" t="n">
        <x:v>42</x:v>
      </x:c>
      <x:c r="J426" s="25" t="n">
        <x:v>19</x:v>
      </x:c>
      <x:c r="K426" s="25" t="str">
        <x:v>仅装备原始基础值决定主属性范围</x:v>
      </x:c>
    </x:row>
    <x:row r="427">
      <x:c r="A427" s="25" t="str">
        <x:v>C04-X</x:v>
      </x:c>
      <x:c r="B427" s="25" t="str">
        <x:v>利耶尼亚海域</x:v>
      </x:c>
      <x:c r="C427" s="25" t="str">
        <x:v>极端压力</x:v>
      </x:c>
      <x:c r="D427" s="25" t="n">
        <x:v>10</x:v>
      </x:c>
      <x:c r="E427" s="25" t="n">
        <x:v>133</x:v>
      </x:c>
      <x:c r="F427" s="25" t="str">
        <x:v>闭潮王带</x:v>
      </x:c>
      <x:c r="G427" s="25" t="n">
        <x:v>2</x:v>
      </x:c>
      <x:c r="H427" s="25" t="str">
        <x:v>攻击加成</x:v>
      </x:c>
      <x:c r="I427" s="25" t="n">
        <x:v>21</x:v>
      </x:c>
      <x:c r="J427" s="25" t="n">
        <x:v>18</x:v>
      </x:c>
      <x:c r="K427" s="25" t="str">
        <x:v>仅装备原始基础值决定主属性范围</x:v>
      </x:c>
    </x:row>
    <x:row r="428">
      <x:c r="A428" s="25" t="str">
        <x:v>C04-X</x:v>
      </x:c>
      <x:c r="B428" s="25" t="str">
        <x:v>利耶尼亚海域</x:v>
      </x:c>
      <x:c r="C428" s="25" t="str">
        <x:v>极端压力</x:v>
      </x:c>
      <x:c r="D428" s="25" t="n">
        <x:v>11</x:v>
      </x:c>
      <x:c r="E428" s="25" t="n">
        <x:v>90</x:v>
      </x:c>
      <x:c r="F428" s="25" t="str">
        <x:v>逐风征靴</x:v>
      </x:c>
      <x:c r="G428" s="25" t="n">
        <x:v>1</x:v>
      </x:c>
      <x:c r="H428" s="25" t="str">
        <x:v>攻击速度</x:v>
      </x:c>
      <x:c r="I428" s="25" t="n">
        <x:v>1</x:v>
      </x:c>
      <x:c r="J428" s="25" t="n">
        <x:v>4</x:v>
      </x:c>
      <x:c r="K428" s="25" t="str">
        <x:v>仅装备原始基础值决定主属性范围</x:v>
      </x:c>
    </x:row>
    <x:row r="429">
      <x:c r="A429" s="25" t="str">
        <x:v>C04-X</x:v>
      </x:c>
      <x:c r="B429" s="25" t="str">
        <x:v>利耶尼亚海域</x:v>
      </x:c>
      <x:c r="C429" s="25" t="str">
        <x:v>极端压力</x:v>
      </x:c>
      <x:c r="D429" s="25" t="n">
        <x:v>11</x:v>
      </x:c>
      <x:c r="E429" s="25" t="n">
        <x:v>90</x:v>
      </x:c>
      <x:c r="F429" s="25" t="str">
        <x:v>逐风征靴</x:v>
      </x:c>
      <x:c r="G429" s="25" t="n">
        <x:v>2</x:v>
      </x:c>
      <x:c r="H429" s="25" t="str">
        <x:v>攻击加成</x:v>
      </x:c>
      <x:c r="I429" s="25" t="n">
        <x:v>48</x:v>
      </x:c>
      <x:c r="J429" s="25" t="n">
        <x:v>19</x:v>
      </x:c>
      <x:c r="K429" s="25" t="str">
        <x:v>仅装备原始基础值决定主属性范围</x:v>
      </x:c>
    </x:row>
    <x:row r="430">
      <x:c r="A430" s="25" t="str">
        <x:v>C04-X</x:v>
      </x:c>
      <x:c r="B430" s="25" t="str">
        <x:v>利耶尼亚海域</x:v>
      </x:c>
      <x:c r="C430" s="25" t="str">
        <x:v>极端压力</x:v>
      </x:c>
      <x:c r="D430" s="25" t="n">
        <x:v>11</x:v>
      </x:c>
      <x:c r="E430" s="25" t="n">
        <x:v>90</x:v>
      </x:c>
      <x:c r="F430" s="25" t="str">
        <x:v>逐风征靴</x:v>
      </x:c>
      <x:c r="G430" s="25" t="n">
        <x:v>3</x:v>
      </x:c>
      <x:c r="H430" s="25" t="str">
        <x:v>攻击加成</x:v>
      </x:c>
      <x:c r="I430" s="25" t="n">
        <x:v>24</x:v>
      </x:c>
      <x:c r="J430" s="25" t="n">
        <x:v>18</x:v>
      </x:c>
      <x:c r="K430" s="25" t="str">
        <x:v>仅装备原始基础值决定主属性范围</x:v>
      </x:c>
    </x:row>
    <x:row r="431">
      <x:c r="A431" s="25" t="str">
        <x:v>C04-X</x:v>
      </x:c>
      <x:c r="B431" s="25" t="str">
        <x:v>利耶尼亚海域</x:v>
      </x:c>
      <x:c r="C431" s="25" t="str">
        <x:v>极端压力</x:v>
      </x:c>
      <x:c r="D431" s="25" t="n">
        <x:v>11</x:v>
      </x:c>
      <x:c r="E431" s="25" t="n">
        <x:v>90</x:v>
      </x:c>
      <x:c r="F431" s="25" t="str">
        <x:v>逐风征靴</x:v>
      </x:c>
      <x:c r="G431" s="25" t="n">
        <x:v>4</x:v>
      </x:c>
      <x:c r="H431" s="25" t="str">
        <x:v>处决概率</x:v>
      </x:c>
      <x:c r="I431" s="25" t="n">
        <x:v>1</x:v>
      </x:c>
      <x:c r="J431" s="25" t="n">
        <x:v>6</x:v>
      </x:c>
      <x:c r="K431" s="25" t="str">
        <x:v>仅装备原始基础值决定主属性范围</x:v>
      </x:c>
    </x:row>
    <x:row r="432">
      <x:c r="A432" s="25" t="str">
        <x:v>C04-X</x:v>
      </x:c>
      <x:c r="B432" s="25" t="str">
        <x:v>利耶尼亚海域</x:v>
      </x:c>
      <x:c r="C432" s="25" t="str">
        <x:v>极端压力</x:v>
      </x:c>
      <x:c r="D432" s="25" t="n">
        <x:v>11</x:v>
      </x:c>
      <x:c r="E432" s="25" t="n">
        <x:v>90</x:v>
      </x:c>
      <x:c r="F432" s="25" t="str">
        <x:v>逐风征靴</x:v>
      </x:c>
      <x:c r="G432" s="25" t="n">
        <x:v>5</x:v>
      </x:c>
      <x:c r="H432" s="25" t="str">
        <x:v>攻击加成</x:v>
      </x:c>
      <x:c r="I432" s="25" t="n">
        <x:v>29</x:v>
      </x:c>
      <x:c r="J432" s="25" t="n">
        <x:v>18</x:v>
      </x:c>
      <x:c r="K432" s="25" t="str">
        <x:v>仅装备原始基础值决定主属性范围</x:v>
      </x:c>
    </x:row>
    <x:row r="433">
      <x:c r="A433" s="25" t="str">
        <x:v>C04-X</x:v>
      </x:c>
      <x:c r="B433" s="25" t="str">
        <x:v>利耶尼亚海域</x:v>
      </x:c>
      <x:c r="C433" s="25" t="str">
        <x:v>极端压力</x:v>
      </x:c>
      <x:c r="D433" s="25" t="n">
        <x:v>11</x:v>
      </x:c>
      <x:c r="E433" s="25" t="n">
        <x:v>90</x:v>
      </x:c>
      <x:c r="F433" s="25" t="str">
        <x:v>逐风征靴</x:v>
      </x:c>
      <x:c r="G433" s="25" t="n">
        <x:v>6</x:v>
      </x:c>
      <x:c r="H433" s="25" t="str">
        <x:v>最大爆率</x:v>
      </x:c>
      <x:c r="I433" s="25" t="n">
        <x:v>1</x:v>
      </x:c>
      <x:c r="J433" s="25" t="n">
        <x:v>22</x:v>
      </x:c>
      <x:c r="K433" s="25" t="str">
        <x:v>仅装备原始基础值决定主属性范围</x:v>
      </x:c>
    </x:row>
    <x:row r="434">
      <x:c r="A434" s="25" t="str">
        <x:v>C05-E</x:v>
      </x:c>
      <x:c r="B434" s="25" t="str">
        <x:v>湖之利耶尼亚</x:v>
      </x:c>
      <x:c r="C434" s="25" t="str">
        <x:v>半急速入场</x:v>
      </x:c>
      <x:c r="D434" s="25" t="n">
        <x:v>0</x:v>
      </x:c>
      <x:c r="E434" s="25" t="n">
        <x:v>87</x:v>
      </x:c>
      <x:c r="F434" s="25" t="str">
        <x:v>巨犀荒铠</x:v>
      </x:c>
      <x:c r="G434" s="25" t="n">
        <x:v>1</x:v>
      </x:c>
      <x:c r="H434" s="25" t="str">
        <x:v>攻击加成</x:v>
      </x:c>
      <x:c r="I434" s="25" t="n">
        <x:v>48</x:v>
      </x:c>
      <x:c r="J434" s="25" t="n">
        <x:v>19</x:v>
      </x:c>
      <x:c r="K434" s="25" t="str">
        <x:v>仅装备原始基础值决定主属性范围</x:v>
      </x:c>
    </x:row>
    <x:row r="435">
      <x:c r="A435" s="25" t="str">
        <x:v>C05-E</x:v>
      </x:c>
      <x:c r="B435" s="25" t="str">
        <x:v>湖之利耶尼亚</x:v>
      </x:c>
      <x:c r="C435" s="25" t="str">
        <x:v>半急速入场</x:v>
      </x:c>
      <x:c r="D435" s="25" t="n">
        <x:v>0</x:v>
      </x:c>
      <x:c r="E435" s="25" t="n">
        <x:v>87</x:v>
      </x:c>
      <x:c r="F435" s="25" t="str">
        <x:v>巨犀荒铠</x:v>
      </x:c>
      <x:c r="G435" s="25" t="n">
        <x:v>2</x:v>
      </x:c>
      <x:c r="H435" s="25" t="str">
        <x:v>处决伤害</x:v>
      </x:c>
      <x:c r="I435" s="25" t="n">
        <x:v>1</x:v>
      </x:c>
      <x:c r="J435" s="25" t="n">
        <x:v>10</x:v>
      </x:c>
      <x:c r="K435" s="25" t="str">
        <x:v>仅装备原始基础值决定主属性范围</x:v>
      </x:c>
    </x:row>
    <x:row r="436">
      <x:c r="A436" s="25" t="str">
        <x:v>C05-E</x:v>
      </x:c>
      <x:c r="B436" s="25" t="str">
        <x:v>湖之利耶尼亚</x:v>
      </x:c>
      <x:c r="C436" s="25" t="str">
        <x:v>半急速入场</x:v>
      </x:c>
      <x:c r="D436" s="25" t="n">
        <x:v>0</x:v>
      </x:c>
      <x:c r="E436" s="25" t="n">
        <x:v>87</x:v>
      </x:c>
      <x:c r="F436" s="25" t="str">
        <x:v>巨犀荒铠</x:v>
      </x:c>
      <x:c r="G436" s="25" t="n">
        <x:v>3</x:v>
      </x:c>
      <x:c r="H436" s="25" t="str">
        <x:v>处决伤害</x:v>
      </x:c>
      <x:c r="I436" s="25" t="n">
        <x:v>1</x:v>
      </x:c>
      <x:c r="J436" s="25" t="n">
        <x:v>10</x:v>
      </x:c>
      <x:c r="K436" s="25" t="str">
        <x:v>仅装备原始基础值决定主属性范围</x:v>
      </x:c>
    </x:row>
    <x:row r="437">
      <x:c r="A437" s="25" t="str">
        <x:v>C05-E</x:v>
      </x:c>
      <x:c r="B437" s="25" t="str">
        <x:v>湖之利耶尼亚</x:v>
      </x:c>
      <x:c r="C437" s="25" t="str">
        <x:v>半急速入场</x:v>
      </x:c>
      <x:c r="D437" s="25" t="n">
        <x:v>0</x:v>
      </x:c>
      <x:c r="E437" s="25" t="n">
        <x:v>87</x:v>
      </x:c>
      <x:c r="F437" s="25" t="str">
        <x:v>巨犀荒铠</x:v>
      </x:c>
      <x:c r="G437" s="25" t="n">
        <x:v>4</x:v>
      </x:c>
      <x:c r="H437" s="25" t="str">
        <x:v>攻击加成</x:v>
      </x:c>
      <x:c r="I437" s="25" t="n">
        <x:v>37</x:v>
      </x:c>
      <x:c r="J437" s="25" t="n">
        <x:v>19</x:v>
      </x:c>
      <x:c r="K437" s="25" t="str">
        <x:v>仅装备原始基础值决定主属性范围</x:v>
      </x:c>
    </x:row>
    <x:row r="438">
      <x:c r="A438" s="25" t="str">
        <x:v>C05-E</x:v>
      </x:c>
      <x:c r="B438" s="25" t="str">
        <x:v>湖之利耶尼亚</x:v>
      </x:c>
      <x:c r="C438" s="25" t="str">
        <x:v>半急速入场</x:v>
      </x:c>
      <x:c r="D438" s="25" t="n">
        <x:v>0</x:v>
      </x:c>
      <x:c r="E438" s="25" t="n">
        <x:v>87</x:v>
      </x:c>
      <x:c r="F438" s="25" t="str">
        <x:v>巨犀荒铠</x:v>
      </x:c>
      <x:c r="G438" s="25" t="n">
        <x:v>5</x:v>
      </x:c>
      <x:c r="H438" s="25" t="str">
        <x:v>伤害系数</x:v>
      </x:c>
      <x:c r="I438" s="25" t="n">
        <x:v>1</x:v>
      </x:c>
      <x:c r="J438" s="25" t="n">
        <x:v>25</x:v>
      </x:c>
      <x:c r="K438" s="25" t="str">
        <x:v>仅装备原始基础值决定主属性范围</x:v>
      </x:c>
    </x:row>
    <x:row r="439">
      <x:c r="A439" s="25" t="str">
        <x:v>C05-E</x:v>
      </x:c>
      <x:c r="B439" s="25" t="str">
        <x:v>湖之利耶尼亚</x:v>
      </x:c>
      <x:c r="C439" s="25" t="str">
        <x:v>半急速入场</x:v>
      </x:c>
      <x:c r="D439" s="25" t="n">
        <x:v>0</x:v>
      </x:c>
      <x:c r="E439" s="25" t="n">
        <x:v>87</x:v>
      </x:c>
      <x:c r="F439" s="25" t="str">
        <x:v>巨犀荒铠</x:v>
      </x:c>
      <x:c r="G439" s="25" t="n">
        <x:v>6</x:v>
      </x:c>
      <x:c r="H439" s="25" t="str">
        <x:v>暴击</x:v>
      </x:c>
      <x:c r="I439" s="25" t="n">
        <x:v>1</x:v>
      </x:c>
      <x:c r="J439" s="25" t="n">
        <x:v>14</x:v>
      </x:c>
      <x:c r="K439" s="25" t="str">
        <x:v>仅装备原始基础值决定主属性范围</x:v>
      </x:c>
    </x:row>
    <x:row r="440">
      <x:c r="A440" s="25" t="str">
        <x:v>C05-E</x:v>
      </x:c>
      <x:c r="B440" s="25" t="str">
        <x:v>湖之利耶尼亚</x:v>
      </x:c>
      <x:c r="C440" s="25" t="str">
        <x:v>半急速入场</x:v>
      </x:c>
      <x:c r="D440" s="25" t="n">
        <x:v>1</x:v>
      </x:c>
      <x:c r="E440" s="25" t="n">
        <x:v>100</x:v>
      </x:c>
      <x:c r="F440" s="25" t="str">
        <x:v>雷戈古戟</x:v>
      </x:c>
      <x:c r="G440" s="25" t="n">
        <x:v>1</x:v>
      </x:c>
      <x:c r="H440" s="25" t="str">
        <x:v>攻击</x:v>
      </x:c>
      <x:c r="I440" s="25" t="n">
        <x:v>599</x:v>
      </x:c>
      <x:c r="J440" s="25" t="n">
        <x:v>1</x:v>
      </x:c>
      <x:c r="K440" s="25" t="str">
        <x:v>仅装备原始基础值决定主属性范围</x:v>
      </x:c>
    </x:row>
    <x:row r="441">
      <x:c r="A441" s="25" t="str">
        <x:v>C05-E</x:v>
      </x:c>
      <x:c r="B441" s="25" t="str">
        <x:v>湖之利耶尼亚</x:v>
      </x:c>
      <x:c r="C441" s="25" t="str">
        <x:v>半急速入场</x:v>
      </x:c>
      <x:c r="D441" s="25" t="n">
        <x:v>1</x:v>
      </x:c>
      <x:c r="E441" s="25" t="n">
        <x:v>100</x:v>
      </x:c>
      <x:c r="F441" s="25" t="str">
        <x:v>雷戈古戟</x:v>
      </x:c>
      <x:c r="G441" s="25" t="n">
        <x:v>2</x:v>
      </x:c>
      <x:c r="H441" s="25" t="str">
        <x:v>致命一击</x:v>
      </x:c>
      <x:c r="I441" s="25" t="n">
        <x:v>1</x:v>
      </x:c>
      <x:c r="J441" s="25" t="n">
        <x:v>16</x:v>
      </x:c>
      <x:c r="K441" s="25" t="str">
        <x:v>仅装备原始基础值决定主属性范围</x:v>
      </x:c>
    </x:row>
    <x:row r="442">
      <x:c r="A442" s="25" t="str">
        <x:v>C05-E</x:v>
      </x:c>
      <x:c r="B442" s="25" t="str">
        <x:v>湖之利耶尼亚</x:v>
      </x:c>
      <x:c r="C442" s="25" t="str">
        <x:v>半急速入场</x:v>
      </x:c>
      <x:c r="D442" s="25" t="n">
        <x:v>1</x:v>
      </x:c>
      <x:c r="E442" s="25" t="n">
        <x:v>100</x:v>
      </x:c>
      <x:c r="F442" s="25" t="str">
        <x:v>雷戈古戟</x:v>
      </x:c>
      <x:c r="G442" s="25" t="n">
        <x:v>3</x:v>
      </x:c>
      <x:c r="H442" s="25" t="str">
        <x:v>处决时间</x:v>
      </x:c>
      <x:c r="I442" s="25" t="n">
        <x:v>2</x:v>
      </x:c>
      <x:c r="J442" s="25" t="n">
        <x:v>9</x:v>
      </x:c>
      <x:c r="K442" s="25" t="str">
        <x:v>仅装备原始基础值决定主属性范围</x:v>
      </x:c>
    </x:row>
    <x:row r="443">
      <x:c r="A443" s="25" t="str">
        <x:v>C05-E</x:v>
      </x:c>
      <x:c r="B443" s="25" t="str">
        <x:v>湖之利耶尼亚</x:v>
      </x:c>
      <x:c r="C443" s="25" t="str">
        <x:v>半急速入场</x:v>
      </x:c>
      <x:c r="D443" s="25" t="n">
        <x:v>1</x:v>
      </x:c>
      <x:c r="E443" s="25" t="n">
        <x:v>100</x:v>
      </x:c>
      <x:c r="F443" s="25" t="str">
        <x:v>雷戈古戟</x:v>
      </x:c>
      <x:c r="G443" s="25" t="n">
        <x:v>4</x:v>
      </x:c>
      <x:c r="H443" s="25" t="str">
        <x:v>攻击加成</x:v>
      </x:c>
      <x:c r="I443" s="25" t="n">
        <x:v>41</x:v>
      </x:c>
      <x:c r="J443" s="25" t="n">
        <x:v>19</x:v>
      </x:c>
      <x:c r="K443" s="25" t="str">
        <x:v>仅装备原始基础值决定主属性范围</x:v>
      </x:c>
    </x:row>
    <x:row r="444">
      <x:c r="A444" s="25" t="str">
        <x:v>C05-E</x:v>
      </x:c>
      <x:c r="B444" s="25" t="str">
        <x:v>湖之利耶尼亚</x:v>
      </x:c>
      <x:c r="C444" s="25" t="str">
        <x:v>半急速入场</x:v>
      </x:c>
      <x:c r="D444" s="25" t="n">
        <x:v>3</x:v>
      </x:c>
      <x:c r="E444" s="25" t="n">
        <x:v>101</x:v>
      </x:c>
      <x:c r="F444" s="25" t="str">
        <x:v>引魂铜铃链</x:v>
      </x:c>
      <x:c r="G444" s="25" t="n">
        <x:v>1</x:v>
      </x:c>
      <x:c r="H444" s="25" t="str">
        <x:v>攻击加成</x:v>
      </x:c>
      <x:c r="I444" s="25" t="n">
        <x:v>41</x:v>
      </x:c>
      <x:c r="J444" s="25" t="n">
        <x:v>19</x:v>
      </x:c>
      <x:c r="K444" s="25" t="str">
        <x:v>仅装备原始基础值决定主属性范围</x:v>
      </x:c>
    </x:row>
    <x:row r="445">
      <x:c r="A445" s="25" t="str">
        <x:v>C05-E</x:v>
      </x:c>
      <x:c r="B445" s="25" t="str">
        <x:v>湖之利耶尼亚</x:v>
      </x:c>
      <x:c r="C445" s="25" t="str">
        <x:v>半急速入场</x:v>
      </x:c>
      <x:c r="D445" s="25" t="n">
        <x:v>4</x:v>
      </x:c>
      <x:c r="E445" s="25" t="n">
        <x:v>35</x:v>
      </x:c>
      <x:c r="F445" s="25" t="str">
        <x:v>圣树先锋战盔</x:v>
      </x:c>
      <x:c r="G445" s="25" t="n">
        <x:v>1</x:v>
      </x:c>
      <x:c r="H445" s="25" t="str">
        <x:v>攻击速度</x:v>
      </x:c>
      <x:c r="I445" s="25" t="n">
        <x:v>2</x:v>
      </x:c>
      <x:c r="J445" s="25" t="n">
        <x:v>5</x:v>
      </x:c>
      <x:c r="K445" s="25" t="str">
        <x:v>仅装备原始基础值决定主属性范围</x:v>
      </x:c>
    </x:row>
    <x:row r="446">
      <x:c r="A446" s="25" t="str">
        <x:v>C05-E</x:v>
      </x:c>
      <x:c r="B446" s="25" t="str">
        <x:v>湖之利耶尼亚</x:v>
      </x:c>
      <x:c r="C446" s="25" t="str">
        <x:v>半急速入场</x:v>
      </x:c>
      <x:c r="D446" s="25" t="n">
        <x:v>4</x:v>
      </x:c>
      <x:c r="E446" s="25" t="n">
        <x:v>35</x:v>
      </x:c>
      <x:c r="F446" s="25" t="str">
        <x:v>圣树先锋战盔</x:v>
      </x:c>
      <x:c r="G446" s="25" t="n">
        <x:v>2</x:v>
      </x:c>
      <x:c r="H446" s="25" t="str">
        <x:v>攻击加成</x:v>
      </x:c>
      <x:c r="I446" s="25" t="n">
        <x:v>49</x:v>
      </x:c>
      <x:c r="J446" s="25" t="n">
        <x:v>19</x:v>
      </x:c>
      <x:c r="K446" s="25" t="str">
        <x:v>仅装备原始基础值决定主属性范围</x:v>
      </x:c>
    </x:row>
    <x:row r="447">
      <x:c r="A447" s="25" t="str">
        <x:v>C05-E</x:v>
      </x:c>
      <x:c r="B447" s="25" t="str">
        <x:v>湖之利耶尼亚</x:v>
      </x:c>
      <x:c r="C447" s="25" t="str">
        <x:v>半急速入场</x:v>
      </x:c>
      <x:c r="D447" s="25" t="n">
        <x:v>4</x:v>
      </x:c>
      <x:c r="E447" s="25" t="n">
        <x:v>35</x:v>
      </x:c>
      <x:c r="F447" s="25" t="str">
        <x:v>圣树先锋战盔</x:v>
      </x:c>
      <x:c r="G447" s="25" t="n">
        <x:v>3</x:v>
      </x:c>
      <x:c r="H447" s="25" t="str">
        <x:v>攻击速度</x:v>
      </x:c>
      <x:c r="I447" s="25" t="n">
        <x:v>1</x:v>
      </x:c>
      <x:c r="J447" s="25" t="n">
        <x:v>4</x:v>
      </x:c>
      <x:c r="K447" s="25" t="str">
        <x:v>仅装备原始基础值决定主属性范围</x:v>
      </x:c>
    </x:row>
    <x:row r="448">
      <x:c r="A448" s="25" t="str">
        <x:v>C05-E</x:v>
      </x:c>
      <x:c r="B448" s="25" t="str">
        <x:v>湖之利耶尼亚</x:v>
      </x:c>
      <x:c r="C448" s="25" t="str">
        <x:v>半急速入场</x:v>
      </x:c>
      <x:c r="D448" s="25" t="n">
        <x:v>4</x:v>
      </x:c>
      <x:c r="E448" s="25" t="n">
        <x:v>35</x:v>
      </x:c>
      <x:c r="F448" s="25" t="str">
        <x:v>圣树先锋战盔</x:v>
      </x:c>
      <x:c r="G448" s="25" t="n">
        <x:v>4</x:v>
      </x:c>
      <x:c r="H448" s="25" t="str">
        <x:v>处决伤害</x:v>
      </x:c>
      <x:c r="I448" s="25" t="n">
        <x:v>1</x:v>
      </x:c>
      <x:c r="J448" s="25" t="n">
        <x:v>10</x:v>
      </x:c>
      <x:c r="K448" s="25" t="str">
        <x:v>仅装备原始基础值决定主属性范围</x:v>
      </x:c>
    </x:row>
    <x:row r="449">
      <x:c r="A449" s="25" t="str">
        <x:v>C05-E</x:v>
      </x:c>
      <x:c r="B449" s="25" t="str">
        <x:v>湖之利耶尼亚</x:v>
      </x:c>
      <x:c r="C449" s="25" t="str">
        <x:v>半急速入场</x:v>
      </x:c>
      <x:c r="D449" s="25" t="n">
        <x:v>5</x:v>
      </x:c>
      <x:c r="E449" s="25" t="n">
        <x:v>102</x:v>
      </x:c>
      <x:c r="F449" s="25" t="str">
        <x:v>赐光祷誓镯</x:v>
      </x:c>
      <x:c r="G449" s="25" t="n">
        <x:v>1</x:v>
      </x:c>
      <x:c r="H449" s="25" t="str">
        <x:v>攻击加成</x:v>
      </x:c>
      <x:c r="I449" s="25" t="n">
        <x:v>5</x:v>
      </x:c>
      <x:c r="J449" s="25" t="n">
        <x:v>18</x:v>
      </x:c>
      <x:c r="K449" s="25" t="str">
        <x:v>仅装备原始基础值决定主属性范围</x:v>
      </x:c>
    </x:row>
    <x:row r="450">
      <x:c r="A450" s="25" t="str">
        <x:v>C05-E</x:v>
      </x:c>
      <x:c r="B450" s="25" t="str">
        <x:v>湖之利耶尼亚</x:v>
      </x:c>
      <x:c r="C450" s="25" t="str">
        <x:v>半急速入场</x:v>
      </x:c>
      <x:c r="D450" s="25" t="n">
        <x:v>6</x:v>
      </x:c>
      <x:c r="E450" s="25" t="n">
        <x:v>68</x:v>
      </x:c>
      <x:c r="F450" s="25" t="str">
        <x:v>百指接肢腕</x:v>
      </x:c>
      <x:c r="G450" s="25" t="n">
        <x:v>1</x:v>
      </x:c>
      <x:c r="H450" s="25" t="str">
        <x:v>处决伤害</x:v>
      </x:c>
      <x:c r="I450" s="25" t="n">
        <x:v>1</x:v>
      </x:c>
      <x:c r="J450" s="25" t="n">
        <x:v>10</x:v>
      </x:c>
      <x:c r="K450" s="25" t="str">
        <x:v>仅装备原始基础值决定主属性范围</x:v>
      </x:c>
    </x:row>
    <x:row r="451">
      <x:c r="A451" s="25" t="str">
        <x:v>C05-E</x:v>
      </x:c>
      <x:c r="B451" s="25" t="str">
        <x:v>湖之利耶尼亚</x:v>
      </x:c>
      <x:c r="C451" s="25" t="str">
        <x:v>半急速入场</x:v>
      </x:c>
      <x:c r="D451" s="25" t="n">
        <x:v>6</x:v>
      </x:c>
      <x:c r="E451" s="25" t="n">
        <x:v>68</x:v>
      </x:c>
      <x:c r="F451" s="25" t="str">
        <x:v>百指接肢腕</x:v>
      </x:c>
      <x:c r="G451" s="25" t="n">
        <x:v>2</x:v>
      </x:c>
      <x:c r="H451" s="25" t="str">
        <x:v>攻击加成</x:v>
      </x:c>
      <x:c r="I451" s="25" t="n">
        <x:v>28</x:v>
      </x:c>
      <x:c r="J451" s="25" t="n">
        <x:v>18</x:v>
      </x:c>
      <x:c r="K451" s="25" t="str">
        <x:v>仅装备原始基础值决定主属性范围</x:v>
      </x:c>
    </x:row>
    <x:row r="452">
      <x:c r="A452" s="25" t="str">
        <x:v>C05-E</x:v>
      </x:c>
      <x:c r="B452" s="25" t="str">
        <x:v>湖之利耶尼亚</x:v>
      </x:c>
      <x:c r="C452" s="25" t="str">
        <x:v>半急速入场</x:v>
      </x:c>
      <x:c r="D452" s="25" t="n">
        <x:v>6</x:v>
      </x:c>
      <x:c r="E452" s="25" t="n">
        <x:v>68</x:v>
      </x:c>
      <x:c r="F452" s="25" t="str">
        <x:v>百指接肢腕</x:v>
      </x:c>
      <x:c r="G452" s="25" t="n">
        <x:v>3</x:v>
      </x:c>
      <x:c r="H452" s="25" t="str">
        <x:v>攻击加成</x:v>
      </x:c>
      <x:c r="I452" s="25" t="n">
        <x:v>45</x:v>
      </x:c>
      <x:c r="J452" s="25" t="n">
        <x:v>19</x:v>
      </x:c>
      <x:c r="K452" s="25" t="str">
        <x:v>仅装备原始基础值决定主属性范围</x:v>
      </x:c>
    </x:row>
    <x:row r="453">
      <x:c r="A453" s="25" t="str">
        <x:v>C05-E</x:v>
      </x:c>
      <x:c r="B453" s="25" t="str">
        <x:v>湖之利耶尼亚</x:v>
      </x:c>
      <x:c r="C453" s="25" t="str">
        <x:v>半急速入场</x:v>
      </x:c>
      <x:c r="D453" s="25" t="n">
        <x:v>6</x:v>
      </x:c>
      <x:c r="E453" s="25" t="n">
        <x:v>68</x:v>
      </x:c>
      <x:c r="F453" s="25" t="str">
        <x:v>百指接肢腕</x:v>
      </x:c>
      <x:c r="G453" s="25" t="n">
        <x:v>4</x:v>
      </x:c>
      <x:c r="H453" s="25" t="str">
        <x:v>处决伤害</x:v>
      </x:c>
      <x:c r="I453" s="25" t="n">
        <x:v>2</x:v>
      </x:c>
      <x:c r="J453" s="25" t="n">
        <x:v>11</x:v>
      </x:c>
      <x:c r="K453" s="25" t="str">
        <x:v>仅装备原始基础值决定主属性范围</x:v>
      </x:c>
    </x:row>
    <x:row r="454">
      <x:c r="A454" s="25" t="str">
        <x:v>C05-E</x:v>
      </x:c>
      <x:c r="B454" s="25" t="str">
        <x:v>湖之利耶尼亚</x:v>
      </x:c>
      <x:c r="C454" s="25" t="str">
        <x:v>半急速入场</x:v>
      </x:c>
      <x:c r="D454" s="25" t="n">
        <x:v>6</x:v>
      </x:c>
      <x:c r="E454" s="25" t="n">
        <x:v>68</x:v>
      </x:c>
      <x:c r="F454" s="25" t="str">
        <x:v>百指接肢腕</x:v>
      </x:c>
      <x:c r="G454" s="25" t="n">
        <x:v>5</x:v>
      </x:c>
      <x:c r="H454" s="25" t="str">
        <x:v>暴击</x:v>
      </x:c>
      <x:c r="I454" s="25" t="n">
        <x:v>1</x:v>
      </x:c>
      <x:c r="J454" s="25" t="n">
        <x:v>14</x:v>
      </x:c>
      <x:c r="K454" s="25" t="str">
        <x:v>仅装备原始基础值决定主属性范围</x:v>
      </x:c>
    </x:row>
    <x:row r="455">
      <x:c r="A455" s="25" t="str">
        <x:v>C05-E</x:v>
      </x:c>
      <x:c r="B455" s="25" t="str">
        <x:v>湖之利耶尼亚</x:v>
      </x:c>
      <x:c r="C455" s="25" t="str">
        <x:v>半急速入场</x:v>
      </x:c>
      <x:c r="D455" s="25" t="n">
        <x:v>7</x:v>
      </x:c>
      <x:c r="E455" s="25" t="n">
        <x:v>111</x:v>
      </x:c>
      <x:c r="F455" s="25" t="str">
        <x:v>蓝焰祷戒</x:v>
      </x:c>
      <x:c r="G455" s="25" t="n">
        <x:v>1</x:v>
      </x:c>
      <x:c r="H455" s="25" t="str">
        <x:v>处决伤害</x:v>
      </x:c>
      <x:c r="I455" s="25" t="n">
        <x:v>1</x:v>
      </x:c>
      <x:c r="J455" s="25" t="n">
        <x:v>10</x:v>
      </x:c>
      <x:c r="K455" s="25" t="str">
        <x:v>仅装备原始基础值决定主属性范围</x:v>
      </x:c>
    </x:row>
    <x:row r="456">
      <x:c r="A456" s="25" t="str">
        <x:v>C05-E</x:v>
      </x:c>
      <x:c r="B456" s="25" t="str">
        <x:v>湖之利耶尼亚</x:v>
      </x:c>
      <x:c r="C456" s="25" t="str">
        <x:v>半急速入场</x:v>
      </x:c>
      <x:c r="D456" s="25" t="n">
        <x:v>7</x:v>
      </x:c>
      <x:c r="E456" s="25" t="n">
        <x:v>111</x:v>
      </x:c>
      <x:c r="F456" s="25" t="str">
        <x:v>蓝焰祷戒</x:v>
      </x:c>
      <x:c r="G456" s="25" t="n">
        <x:v>2</x:v>
      </x:c>
      <x:c r="H456" s="25" t="str">
        <x:v>攻击加成</x:v>
      </x:c>
      <x:c r="I456" s="25" t="n">
        <x:v>7</x:v>
      </x:c>
      <x:c r="J456" s="25" t="n">
        <x:v>18</x:v>
      </x:c>
      <x:c r="K456" s="25" t="str">
        <x:v>仅装备原始基础值决定主属性范围</x:v>
      </x:c>
    </x:row>
    <x:row r="457">
      <x:c r="A457" s="25" t="str">
        <x:v>C05-E</x:v>
      </x:c>
      <x:c r="B457" s="25" t="str">
        <x:v>湖之利耶尼亚</x:v>
      </x:c>
      <x:c r="C457" s="25" t="str">
        <x:v>半急速入场</x:v>
      </x:c>
      <x:c r="D457" s="25" t="n">
        <x:v>7</x:v>
      </x:c>
      <x:c r="E457" s="25" t="n">
        <x:v>111</x:v>
      </x:c>
      <x:c r="F457" s="25" t="str">
        <x:v>蓝焰祷戒</x:v>
      </x:c>
      <x:c r="G457" s="25" t="n">
        <x:v>3</x:v>
      </x:c>
      <x:c r="H457" s="25" t="str">
        <x:v>攻击</x:v>
      </x:c>
      <x:c r="I457" s="25" t="n">
        <x:v>49</x:v>
      </x:c>
      <x:c r="J457" s="25" t="n">
        <x:v>1</x:v>
      </x:c>
      <x:c r="K457" s="25" t="str">
        <x:v>仅装备原始基础值决定主属性范围</x:v>
      </x:c>
    </x:row>
    <x:row r="458">
      <x:c r="A458" s="25" t="str">
        <x:v>C05-E</x:v>
      </x:c>
      <x:c r="B458" s="25" t="str">
        <x:v>湖之利耶尼亚</x:v>
      </x:c>
      <x:c r="C458" s="25" t="str">
        <x:v>半急速入场</x:v>
      </x:c>
      <x:c r="D458" s="25" t="n">
        <x:v>7</x:v>
      </x:c>
      <x:c r="E458" s="25" t="n">
        <x:v>111</x:v>
      </x:c>
      <x:c r="F458" s="25" t="str">
        <x:v>蓝焰祷戒</x:v>
      </x:c>
      <x:c r="G458" s="25" t="n">
        <x:v>4</x:v>
      </x:c>
      <x:c r="H458" s="25" t="str">
        <x:v>吸血</x:v>
      </x:c>
      <x:c r="I458" s="25" t="n">
        <x:v>1</x:v>
      </x:c>
      <x:c r="J458" s="25" t="n">
        <x:v>20</x:v>
      </x:c>
      <x:c r="K458" s="25" t="str">
        <x:v>仅装备原始基础值决定主属性范围</x:v>
      </x:c>
    </x:row>
    <x:row r="459">
      <x:c r="A459" s="25" t="str">
        <x:v>C05-E</x:v>
      </x:c>
      <x:c r="B459" s="25" t="str">
        <x:v>湖之利耶尼亚</x:v>
      </x:c>
      <x:c r="C459" s="25" t="str">
        <x:v>半急速入场</x:v>
      </x:c>
      <x:c r="D459" s="25" t="n">
        <x:v>8</x:v>
      </x:c>
      <x:c r="E459" s="25" t="n">
        <x:v>112</x:v>
      </x:c>
      <x:c r="F459" s="25" t="str">
        <x:v>月渊秘戒</x:v>
      </x:c>
      <x:c r="G459" s="25" t="n">
        <x:v>1</x:v>
      </x:c>
      <x:c r="H459" s="25" t="str">
        <x:v>处决伤害</x:v>
      </x:c>
      <x:c r="I459" s="25" t="n">
        <x:v>1</x:v>
      </x:c>
      <x:c r="J459" s="25" t="n">
        <x:v>10</x:v>
      </x:c>
      <x:c r="K459" s="25" t="str">
        <x:v>仅装备原始基础值决定主属性范围</x:v>
      </x:c>
    </x:row>
    <x:row r="460">
      <x:c r="A460" s="25" t="str">
        <x:v>C05-E</x:v>
      </x:c>
      <x:c r="B460" s="25" t="str">
        <x:v>湖之利耶尼亚</x:v>
      </x:c>
      <x:c r="C460" s="25" t="str">
        <x:v>半急速入场</x:v>
      </x:c>
      <x:c r="D460" s="25" t="n">
        <x:v>8</x:v>
      </x:c>
      <x:c r="E460" s="25" t="n">
        <x:v>112</x:v>
      </x:c>
      <x:c r="F460" s="25" t="str">
        <x:v>月渊秘戒</x:v>
      </x:c>
      <x:c r="G460" s="25" t="n">
        <x:v>2</x:v>
      </x:c>
      <x:c r="H460" s="25" t="str">
        <x:v>暴击</x:v>
      </x:c>
      <x:c r="I460" s="25" t="n">
        <x:v>2</x:v>
      </x:c>
      <x:c r="J460" s="25" t="n">
        <x:v>15</x:v>
      </x:c>
      <x:c r="K460" s="25" t="str">
        <x:v>仅装备原始基础值决定主属性范围</x:v>
      </x:c>
    </x:row>
    <x:row r="461">
      <x:c r="A461" s="25" t="str">
        <x:v>C05-E</x:v>
      </x:c>
      <x:c r="B461" s="25" t="str">
        <x:v>湖之利耶尼亚</x:v>
      </x:c>
      <x:c r="C461" s="25" t="str">
        <x:v>半急速入场</x:v>
      </x:c>
      <x:c r="D461" s="25" t="n">
        <x:v>8</x:v>
      </x:c>
      <x:c r="E461" s="25" t="n">
        <x:v>112</x:v>
      </x:c>
      <x:c r="F461" s="25" t="str">
        <x:v>月渊秘戒</x:v>
      </x:c>
      <x:c r="G461" s="25" t="n">
        <x:v>3</x:v>
      </x:c>
      <x:c r="H461" s="25" t="str">
        <x:v>处决时间</x:v>
      </x:c>
      <x:c r="I461" s="25" t="n">
        <x:v>1</x:v>
      </x:c>
      <x:c r="J461" s="25" t="n">
        <x:v>8</x:v>
      </x:c>
      <x:c r="K461" s="25" t="str">
        <x:v>仅装备原始基础值决定主属性范围</x:v>
      </x:c>
    </x:row>
    <x:row r="462">
      <x:c r="A462" s="25" t="str">
        <x:v>C05-E</x:v>
      </x:c>
      <x:c r="B462" s="25" t="str">
        <x:v>湖之利耶尼亚</x:v>
      </x:c>
      <x:c r="C462" s="25" t="str">
        <x:v>半急速入场</x:v>
      </x:c>
      <x:c r="D462" s="25" t="n">
        <x:v>8</x:v>
      </x:c>
      <x:c r="E462" s="25" t="n">
        <x:v>112</x:v>
      </x:c>
      <x:c r="F462" s="25" t="str">
        <x:v>月渊秘戒</x:v>
      </x:c>
      <x:c r="G462" s="25" t="n">
        <x:v>4</x:v>
      </x:c>
      <x:c r="H462" s="25" t="str">
        <x:v>处决伤害</x:v>
      </x:c>
      <x:c r="I462" s="25" t="n">
        <x:v>1</x:v>
      </x:c>
      <x:c r="J462" s="25" t="n">
        <x:v>10</x:v>
      </x:c>
      <x:c r="K462" s="25" t="str">
        <x:v>仅装备原始基础值决定主属性范围</x:v>
      </x:c>
    </x:row>
    <x:row r="463">
      <x:c r="A463" s="25" t="str">
        <x:v>C05-E</x:v>
      </x:c>
      <x:c r="B463" s="25" t="str">
        <x:v>湖之利耶尼亚</x:v>
      </x:c>
      <x:c r="C463" s="25" t="str">
        <x:v>半急速入场</x:v>
      </x:c>
      <x:c r="D463" s="25" t="n">
        <x:v>8</x:v>
      </x:c>
      <x:c r="E463" s="25" t="n">
        <x:v>112</x:v>
      </x:c>
      <x:c r="F463" s="25" t="str">
        <x:v>月渊秘戒</x:v>
      </x:c>
      <x:c r="G463" s="25" t="n">
        <x:v>5</x:v>
      </x:c>
      <x:c r="H463" s="25" t="str">
        <x:v>攻击加成</x:v>
      </x:c>
      <x:c r="I463" s="25" t="n">
        <x:v>2</x:v>
      </x:c>
      <x:c r="J463" s="25" t="n">
        <x:v>18</x:v>
      </x:c>
      <x:c r="K463" s="25" t="str">
        <x:v>仅装备原始基础值决定主属性范围</x:v>
      </x:c>
    </x:row>
    <x:row r="464">
      <x:c r="A464" s="25" t="str">
        <x:v>C05-E</x:v>
      </x:c>
      <x:c r="B464" s="25" t="str">
        <x:v>湖之利耶尼亚</x:v>
      </x:c>
      <x:c r="C464" s="25" t="str">
        <x:v>半急速入场</x:v>
      </x:c>
      <x:c r="D464" s="25" t="n">
        <x:v>8</x:v>
      </x:c>
      <x:c r="E464" s="25" t="n">
        <x:v>112</x:v>
      </x:c>
      <x:c r="F464" s="25" t="str">
        <x:v>月渊秘戒</x:v>
      </x:c>
      <x:c r="G464" s="25" t="n">
        <x:v>6</x:v>
      </x:c>
      <x:c r="H464" s="25" t="str">
        <x:v>韧性</x:v>
      </x:c>
      <x:c r="I464" s="25" t="n">
        <x:v>10</x:v>
      </x:c>
      <x:c r="J464" s="25" t="n">
        <x:v>12</x:v>
      </x:c>
      <x:c r="K464" s="25" t="str">
        <x:v>仅装备原始基础值决定主属性范围</x:v>
      </x:c>
    </x:row>
    <x:row r="465">
      <x:c r="A465" s="25" t="str">
        <x:v>C05-E</x:v>
      </x:c>
      <x:c r="B465" s="25" t="str">
        <x:v>湖之利耶尼亚</x:v>
      </x:c>
      <x:c r="C465" s="25" t="str">
        <x:v>半急速入场</x:v>
      </x:c>
      <x:c r="D465" s="25" t="n">
        <x:v>8</x:v>
      </x:c>
      <x:c r="E465" s="25" t="n">
        <x:v>112</x:v>
      </x:c>
      <x:c r="F465" s="25" t="str">
        <x:v>月渊秘戒</x:v>
      </x:c>
      <x:c r="G465" s="25" t="n">
        <x:v>7</x:v>
      </x:c>
      <x:c r="H465" s="25" t="str">
        <x:v>处决概率</x:v>
      </x:c>
      <x:c r="I465" s="25" t="n">
        <x:v>2</x:v>
      </x:c>
      <x:c r="J465" s="25" t="n">
        <x:v>7</x:v>
      </x:c>
      <x:c r="K465" s="25" t="str">
        <x:v>仅装备原始基础值决定主属性范围</x:v>
      </x:c>
    </x:row>
    <x:row r="466">
      <x:c r="A466" s="25" t="str">
        <x:v>C05-E</x:v>
      </x:c>
      <x:c r="B466" s="25" t="str">
        <x:v>湖之利耶尼亚</x:v>
      </x:c>
      <x:c r="C466" s="25" t="str">
        <x:v>半急速入场</x:v>
      </x:c>
      <x:c r="D466" s="25" t="n">
        <x:v>8</x:v>
      </x:c>
      <x:c r="E466" s="25" t="n">
        <x:v>112</x:v>
      </x:c>
      <x:c r="F466" s="25" t="str">
        <x:v>月渊秘戒</x:v>
      </x:c>
      <x:c r="G466" s="25" t="n">
        <x:v>8</x:v>
      </x:c>
      <x:c r="H466" s="25" t="str">
        <x:v>伤害吸收上限</x:v>
      </x:c>
      <x:c r="I466" s="25" t="n">
        <x:v>1</x:v>
      </x:c>
      <x:c r="J466" s="25" t="n">
        <x:v>28</x:v>
      </x:c>
      <x:c r="K466" s="25" t="str">
        <x:v>仅装备原始基础值决定主属性范围</x:v>
      </x:c>
    </x:row>
    <x:row r="467">
      <x:c r="A467" s="25" t="str">
        <x:v>C05-E</x:v>
      </x:c>
      <x:c r="B467" s="25" t="str">
        <x:v>湖之利耶尼亚</x:v>
      </x:c>
      <x:c r="C467" s="25" t="str">
        <x:v>半急速入场</x:v>
      </x:c>
      <x:c r="D467" s="25" t="n">
        <x:v>10</x:v>
      </x:c>
      <x:c r="E467" s="25" t="n">
        <x:v>99</x:v>
      </x:c>
      <x:c r="F467" s="25" t="str">
        <x:v>流寇束带</x:v>
      </x:c>
      <x:c r="G467" s="25" t="n">
        <x:v>1</x:v>
      </x:c>
      <x:c r="H467" s="25" t="str">
        <x:v>攻击加成</x:v>
      </x:c>
      <x:c r="I467" s="25" t="n">
        <x:v>44</x:v>
      </x:c>
      <x:c r="J467" s="25" t="n">
        <x:v>19</x:v>
      </x:c>
      <x:c r="K467" s="25" t="str">
        <x:v>仅装备原始基础值决定主属性范围</x:v>
      </x:c>
    </x:row>
    <x:row r="468">
      <x:c r="A468" s="25" t="str">
        <x:v>C05-E</x:v>
      </x:c>
      <x:c r="B468" s="25" t="str">
        <x:v>湖之利耶尼亚</x:v>
      </x:c>
      <x:c r="C468" s="25" t="str">
        <x:v>半急速入场</x:v>
      </x:c>
      <x:c r="D468" s="25" t="n">
        <x:v>10</x:v>
      </x:c>
      <x:c r="E468" s="25" t="n">
        <x:v>99</x:v>
      </x:c>
      <x:c r="F468" s="25" t="str">
        <x:v>流寇束带</x:v>
      </x:c>
      <x:c r="G468" s="25" t="n">
        <x:v>2</x:v>
      </x:c>
      <x:c r="H468" s="25" t="str">
        <x:v>处决概率</x:v>
      </x:c>
      <x:c r="I468" s="25" t="n">
        <x:v>1</x:v>
      </x:c>
      <x:c r="J468" s="25" t="n">
        <x:v>6</x:v>
      </x:c>
      <x:c r="K468" s="25" t="str">
        <x:v>仅装备原始基础值决定主属性范围</x:v>
      </x:c>
    </x:row>
    <x:row r="469">
      <x:c r="A469" s="25" t="str">
        <x:v>C05-E</x:v>
      </x:c>
      <x:c r="B469" s="25" t="str">
        <x:v>湖之利耶尼亚</x:v>
      </x:c>
      <x:c r="C469" s="25" t="str">
        <x:v>半急速入场</x:v>
      </x:c>
      <x:c r="D469" s="25" t="n">
        <x:v>10</x:v>
      </x:c>
      <x:c r="E469" s="25" t="n">
        <x:v>99</x:v>
      </x:c>
      <x:c r="F469" s="25" t="str">
        <x:v>流寇束带</x:v>
      </x:c>
      <x:c r="G469" s="25" t="n">
        <x:v>3</x:v>
      </x:c>
      <x:c r="H469" s="25" t="str">
        <x:v>最大爆率</x:v>
      </x:c>
      <x:c r="I469" s="25" t="n">
        <x:v>1</x:v>
      </x:c>
      <x:c r="J469" s="25" t="n">
        <x:v>22</x:v>
      </x:c>
      <x:c r="K469" s="25" t="str">
        <x:v>仅装备原始基础值决定主属性范围</x:v>
      </x:c>
    </x:row>
    <x:row r="470">
      <x:c r="A470" s="25" t="str">
        <x:v>C05-E</x:v>
      </x:c>
      <x:c r="B470" s="25" t="str">
        <x:v>湖之利耶尼亚</x:v>
      </x:c>
      <x:c r="C470" s="25" t="str">
        <x:v>半急速入场</x:v>
      </x:c>
      <x:c r="D470" s="25" t="n">
        <x:v>10</x:v>
      </x:c>
      <x:c r="E470" s="25" t="n">
        <x:v>99</x:v>
      </x:c>
      <x:c r="F470" s="25" t="str">
        <x:v>流寇束带</x:v>
      </x:c>
      <x:c r="G470" s="25" t="n">
        <x:v>4</x:v>
      </x:c>
      <x:c r="H470" s="25" t="str">
        <x:v>道术</x:v>
      </x:c>
      <x:c r="I470" s="25" t="n">
        <x:v>32</x:v>
      </x:c>
      <x:c r="J470" s="25" t="n">
        <x:v>3</x:v>
      </x:c>
      <x:c r="K470" s="25" t="str">
        <x:v>仅装备原始基础值决定主属性范围</x:v>
      </x:c>
    </x:row>
    <x:row r="471">
      <x:c r="A471" s="25" t="str">
        <x:v>C05-E</x:v>
      </x:c>
      <x:c r="B471" s="25" t="str">
        <x:v>湖之利耶尼亚</x:v>
      </x:c>
      <x:c r="C471" s="25" t="str">
        <x:v>半急速入场</x:v>
      </x:c>
      <x:c r="D471" s="25" t="n">
        <x:v>10</x:v>
      </x:c>
      <x:c r="E471" s="25" t="n">
        <x:v>99</x:v>
      </x:c>
      <x:c r="F471" s="25" t="str">
        <x:v>流寇束带</x:v>
      </x:c>
      <x:c r="G471" s="25" t="n">
        <x:v>5</x:v>
      </x:c>
      <x:c r="H471" s="25" t="str">
        <x:v>攻击</x:v>
      </x:c>
      <x:c r="I471" s="25" t="n">
        <x:v>20</x:v>
      </x:c>
      <x:c r="J471" s="25" t="n">
        <x:v>1</x:v>
      </x:c>
      <x:c r="K471" s="25" t="str">
        <x:v>仅装备原始基础值决定主属性范围</x:v>
      </x:c>
    </x:row>
    <x:row r="472">
      <x:c r="A472" s="25" t="str">
        <x:v>C05-E</x:v>
      </x:c>
      <x:c r="B472" s="25" t="str">
        <x:v>湖之利耶尼亚</x:v>
      </x:c>
      <x:c r="C472" s="25" t="str">
        <x:v>半急速入场</x:v>
      </x:c>
      <x:c r="D472" s="25" t="n">
        <x:v>11</x:v>
      </x:c>
      <x:c r="E472" s="25" t="n">
        <x:v>94</x:v>
      </x:c>
      <x:c r="F472" s="25" t="str">
        <x:v>逐风征靴</x:v>
      </x:c>
      <x:c r="G472" s="25" t="n">
        <x:v>1</x:v>
      </x:c>
      <x:c r="H472" s="25" t="str">
        <x:v>魔法</x:v>
      </x:c>
      <x:c r="I472" s="25" t="n">
        <x:v>46</x:v>
      </x:c>
      <x:c r="J472" s="25" t="n">
        <x:v>2</x:v>
      </x:c>
      <x:c r="K472" s="25" t="str">
        <x:v>仅装备原始基础值决定主属性范围</x:v>
      </x:c>
    </x:row>
    <x:row r="473">
      <x:c r="A473" s="25" t="str">
        <x:v>C05-E</x:v>
      </x:c>
      <x:c r="B473" s="25" t="str">
        <x:v>湖之利耶尼亚</x:v>
      </x:c>
      <x:c r="C473" s="25" t="str">
        <x:v>半急速入场</x:v>
      </x:c>
      <x:c r="D473" s="25" t="n">
        <x:v>11</x:v>
      </x:c>
      <x:c r="E473" s="25" t="n">
        <x:v>94</x:v>
      </x:c>
      <x:c r="F473" s="25" t="str">
        <x:v>逐风征靴</x:v>
      </x:c>
      <x:c r="G473" s="25" t="n">
        <x:v>2</x:v>
      </x:c>
      <x:c r="H473" s="25" t="str">
        <x:v>攻击加成</x:v>
      </x:c>
      <x:c r="I473" s="25" t="n">
        <x:v>30</x:v>
      </x:c>
      <x:c r="J473" s="25" t="n">
        <x:v>18</x:v>
      </x:c>
      <x:c r="K473" s="25" t="str">
        <x:v>仅装备原始基础值决定主属性范围</x:v>
      </x:c>
    </x:row>
    <x:row r="474">
      <x:c r="A474" s="25" t="str">
        <x:v>C05-E</x:v>
      </x:c>
      <x:c r="B474" s="25" t="str">
        <x:v>湖之利耶尼亚</x:v>
      </x:c>
      <x:c r="C474" s="25" t="str">
        <x:v>半急速入场</x:v>
      </x:c>
      <x:c r="D474" s="25" t="n">
        <x:v>11</x:v>
      </x:c>
      <x:c r="E474" s="25" t="n">
        <x:v>94</x:v>
      </x:c>
      <x:c r="F474" s="25" t="str">
        <x:v>逐风征靴</x:v>
      </x:c>
      <x:c r="G474" s="25" t="n">
        <x:v>3</x:v>
      </x:c>
      <x:c r="H474" s="25" t="str">
        <x:v>攻击</x:v>
      </x:c>
      <x:c r="I474" s="25" t="n">
        <x:v>68</x:v>
      </x:c>
      <x:c r="J474" s="25" t="n">
        <x:v>1</x:v>
      </x:c>
      <x:c r="K474" s="25" t="str">
        <x:v>仅装备原始基础值决定主属性范围</x:v>
      </x:c>
    </x:row>
    <x:row r="475">
      <x:c r="A475" s="25" t="str">
        <x:v>C05-M</x:v>
      </x:c>
      <x:c r="B475" s="25" t="str">
        <x:v>湖之利耶尼亚</x:v>
      </x:c>
      <x:c r="C475" s="25" t="str">
        <x:v>半急速中期</x:v>
      </x:c>
      <x:c r="D475" s="25" t="n">
        <x:v>0</x:v>
      </x:c>
      <x:c r="E475" s="25" t="n">
        <x:v>93</x:v>
      </x:c>
      <x:c r="F475" s="25" t="str">
        <x:v>巨犀荒铠</x:v>
      </x:c>
      <x:c r="G475" s="25" t="n">
        <x:v>1</x:v>
      </x:c>
      <x:c r="H475" s="25" t="str">
        <x:v>暴击</x:v>
      </x:c>
      <x:c r="I475" s="25" t="n">
        <x:v>1</x:v>
      </x:c>
      <x:c r="J475" s="25" t="n">
        <x:v>14</x:v>
      </x:c>
      <x:c r="K475" s="25" t="str">
        <x:v>仅装备原始基础值决定主属性范围</x:v>
      </x:c>
    </x:row>
    <x:row r="476">
      <x:c r="A476" s="25" t="str">
        <x:v>C05-M</x:v>
      </x:c>
      <x:c r="B476" s="25" t="str">
        <x:v>湖之利耶尼亚</x:v>
      </x:c>
      <x:c r="C476" s="25" t="str">
        <x:v>半急速中期</x:v>
      </x:c>
      <x:c r="D476" s="25" t="n">
        <x:v>0</x:v>
      </x:c>
      <x:c r="E476" s="25" t="n">
        <x:v>93</x:v>
      </x:c>
      <x:c r="F476" s="25" t="str">
        <x:v>巨犀荒铠</x:v>
      </x:c>
      <x:c r="G476" s="25" t="n">
        <x:v>2</x:v>
      </x:c>
      <x:c r="H476" s="25" t="str">
        <x:v>攻击速度</x:v>
      </x:c>
      <x:c r="I476" s="25" t="n">
        <x:v>2</x:v>
      </x:c>
      <x:c r="J476" s="25" t="n">
        <x:v>5</x:v>
      </x:c>
      <x:c r="K476" s="25" t="str">
        <x:v>仅装备原始基础值决定主属性范围</x:v>
      </x:c>
    </x:row>
    <x:row r="477">
      <x:c r="A477" s="25" t="str">
        <x:v>C05-M</x:v>
      </x:c>
      <x:c r="B477" s="25" t="str">
        <x:v>湖之利耶尼亚</x:v>
      </x:c>
      <x:c r="C477" s="25" t="str">
        <x:v>半急速中期</x:v>
      </x:c>
      <x:c r="D477" s="25" t="n">
        <x:v>0</x:v>
      </x:c>
      <x:c r="E477" s="25" t="n">
        <x:v>93</x:v>
      </x:c>
      <x:c r="F477" s="25" t="str">
        <x:v>巨犀荒铠</x:v>
      </x:c>
      <x:c r="G477" s="25" t="n">
        <x:v>3</x:v>
      </x:c>
      <x:c r="H477" s="25" t="str">
        <x:v>攻击加成</x:v>
      </x:c>
      <x:c r="I477" s="25" t="n">
        <x:v>13</x:v>
      </x:c>
      <x:c r="J477" s="25" t="n">
        <x:v>18</x:v>
      </x:c>
      <x:c r="K477" s="25" t="str">
        <x:v>仅装备原始基础值决定主属性范围</x:v>
      </x:c>
    </x:row>
    <x:row r="478">
      <x:c r="A478" s="25" t="str">
        <x:v>C05-M</x:v>
      </x:c>
      <x:c r="B478" s="25" t="str">
        <x:v>湖之利耶尼亚</x:v>
      </x:c>
      <x:c r="C478" s="25" t="str">
        <x:v>半急速中期</x:v>
      </x:c>
      <x:c r="D478" s="25" t="n">
        <x:v>0</x:v>
      </x:c>
      <x:c r="E478" s="25" t="n">
        <x:v>93</x:v>
      </x:c>
      <x:c r="F478" s="25" t="str">
        <x:v>巨犀荒铠</x:v>
      </x:c>
      <x:c r="G478" s="25" t="n">
        <x:v>4</x:v>
      </x:c>
      <x:c r="H478" s="25" t="str">
        <x:v>韧性</x:v>
      </x:c>
      <x:c r="I478" s="25" t="n">
        <x:v>10</x:v>
      </x:c>
      <x:c r="J478" s="25" t="n">
        <x:v>12</x:v>
      </x:c>
      <x:c r="K478" s="25" t="str">
        <x:v>仅装备原始基础值决定主属性范围</x:v>
      </x:c>
    </x:row>
    <x:row r="479">
      <x:c r="A479" s="25" t="str">
        <x:v>C05-M</x:v>
      </x:c>
      <x:c r="B479" s="25" t="str">
        <x:v>湖之利耶尼亚</x:v>
      </x:c>
      <x:c r="C479" s="25" t="str">
        <x:v>半急速中期</x:v>
      </x:c>
      <x:c r="D479" s="25" t="n">
        <x:v>0</x:v>
      </x:c>
      <x:c r="E479" s="25" t="n">
        <x:v>93</x:v>
      </x:c>
      <x:c r="F479" s="25" t="str">
        <x:v>巨犀荒铠</x:v>
      </x:c>
      <x:c r="G479" s="25" t="n">
        <x:v>5</x:v>
      </x:c>
      <x:c r="H479" s="25" t="str">
        <x:v>攻击</x:v>
      </x:c>
      <x:c r="I479" s="25" t="n">
        <x:v>13</x:v>
      </x:c>
      <x:c r="J479" s="25" t="n">
        <x:v>1</x:v>
      </x:c>
      <x:c r="K479" s="25" t="str">
        <x:v>仅装备原始基础值决定主属性范围</x:v>
      </x:c>
    </x:row>
    <x:row r="480">
      <x:c r="A480" s="25" t="str">
        <x:v>C05-M</x:v>
      </x:c>
      <x:c r="B480" s="25" t="str">
        <x:v>湖之利耶尼亚</x:v>
      </x:c>
      <x:c r="C480" s="25" t="str">
        <x:v>半急速中期</x:v>
      </x:c>
      <x:c r="D480" s="25" t="n">
        <x:v>0</x:v>
      </x:c>
      <x:c r="E480" s="25" t="n">
        <x:v>93</x:v>
      </x:c>
      <x:c r="F480" s="25" t="str">
        <x:v>巨犀荒铠</x:v>
      </x:c>
      <x:c r="G480" s="25" t="n">
        <x:v>6</x:v>
      </x:c>
      <x:c r="H480" s="25" t="str">
        <x:v>处决伤害</x:v>
      </x:c>
      <x:c r="I480" s="25" t="n">
        <x:v>1</x:v>
      </x:c>
      <x:c r="J480" s="25" t="n">
        <x:v>10</x:v>
      </x:c>
      <x:c r="K480" s="25" t="str">
        <x:v>仅装备原始基础值决定主属性范围</x:v>
      </x:c>
    </x:row>
    <x:row r="481">
      <x:c r="A481" s="25" t="str">
        <x:v>C05-M</x:v>
      </x:c>
      <x:c r="B481" s="25" t="str">
        <x:v>湖之利耶尼亚</x:v>
      </x:c>
      <x:c r="C481" s="25" t="str">
        <x:v>半急速中期</x:v>
      </x:c>
      <x:c r="D481" s="25" t="n">
        <x:v>0</x:v>
      </x:c>
      <x:c r="E481" s="25" t="n">
        <x:v>93</x:v>
      </x:c>
      <x:c r="F481" s="25" t="str">
        <x:v>巨犀荒铠</x:v>
      </x:c>
      <x:c r="G481" s="25" t="n">
        <x:v>7</x:v>
      </x:c>
      <x:c r="H481" s="25" t="str">
        <x:v>致命一击</x:v>
      </x:c>
      <x:c r="I481" s="25" t="n">
        <x:v>2</x:v>
      </x:c>
      <x:c r="J481" s="25" t="n">
        <x:v>17</x:v>
      </x:c>
      <x:c r="K481" s="25" t="str">
        <x:v>仅装备原始基础值决定主属性范围</x:v>
      </x:c>
    </x:row>
    <x:row r="482">
      <x:c r="A482" s="25" t="str">
        <x:v>C05-M</x:v>
      </x:c>
      <x:c r="B482" s="25" t="str">
        <x:v>湖之利耶尼亚</x:v>
      </x:c>
      <x:c r="C482" s="25" t="str">
        <x:v>半急速中期</x:v>
      </x:c>
      <x:c r="D482" s="25" t="n">
        <x:v>1</x:v>
      </x:c>
      <x:c r="E482" s="25" t="n">
        <x:v>100</x:v>
      </x:c>
      <x:c r="F482" s="25" t="str">
        <x:v>雷戈古戟</x:v>
      </x:c>
      <x:c r="G482" s="25" t="n">
        <x:v>1</x:v>
      </x:c>
      <x:c r="H482" s="25" t="str">
        <x:v>攻击</x:v>
      </x:c>
      <x:c r="I482" s="25" t="n">
        <x:v>599</x:v>
      </x:c>
      <x:c r="J482" s="25" t="n">
        <x:v>1</x:v>
      </x:c>
      <x:c r="K482" s="25" t="str">
        <x:v>仅装备原始基础值决定主属性范围</x:v>
      </x:c>
    </x:row>
    <x:row r="483">
      <x:c r="A483" s="25" t="str">
        <x:v>C05-M</x:v>
      </x:c>
      <x:c r="B483" s="25" t="str">
        <x:v>湖之利耶尼亚</x:v>
      </x:c>
      <x:c r="C483" s="25" t="str">
        <x:v>半急速中期</x:v>
      </x:c>
      <x:c r="D483" s="25" t="n">
        <x:v>1</x:v>
      </x:c>
      <x:c r="E483" s="25" t="n">
        <x:v>100</x:v>
      </x:c>
      <x:c r="F483" s="25" t="str">
        <x:v>雷戈古戟</x:v>
      </x:c>
      <x:c r="G483" s="25" t="n">
        <x:v>2</x:v>
      </x:c>
      <x:c r="H483" s="25" t="str">
        <x:v>致命一击</x:v>
      </x:c>
      <x:c r="I483" s="25" t="n">
        <x:v>1</x:v>
      </x:c>
      <x:c r="J483" s="25" t="n">
        <x:v>16</x:v>
      </x:c>
      <x:c r="K483" s="25" t="str">
        <x:v>仅装备原始基础值决定主属性范围</x:v>
      </x:c>
    </x:row>
    <x:row r="484">
      <x:c r="A484" s="25" t="str">
        <x:v>C05-M</x:v>
      </x:c>
      <x:c r="B484" s="25" t="str">
        <x:v>湖之利耶尼亚</x:v>
      </x:c>
      <x:c r="C484" s="25" t="str">
        <x:v>半急速中期</x:v>
      </x:c>
      <x:c r="D484" s="25" t="n">
        <x:v>1</x:v>
      </x:c>
      <x:c r="E484" s="25" t="n">
        <x:v>100</x:v>
      </x:c>
      <x:c r="F484" s="25" t="str">
        <x:v>雷戈古戟</x:v>
      </x:c>
      <x:c r="G484" s="25" t="n">
        <x:v>3</x:v>
      </x:c>
      <x:c r="H484" s="25" t="str">
        <x:v>处决时间</x:v>
      </x:c>
      <x:c r="I484" s="25" t="n">
        <x:v>2</x:v>
      </x:c>
      <x:c r="J484" s="25" t="n">
        <x:v>9</x:v>
      </x:c>
      <x:c r="K484" s="25" t="str">
        <x:v>仅装备原始基础值决定主属性范围</x:v>
      </x:c>
    </x:row>
    <x:row r="485">
      <x:c r="A485" s="25" t="str">
        <x:v>C05-M</x:v>
      </x:c>
      <x:c r="B485" s="25" t="str">
        <x:v>湖之利耶尼亚</x:v>
      </x:c>
      <x:c r="C485" s="25" t="str">
        <x:v>半急速中期</x:v>
      </x:c>
      <x:c r="D485" s="25" t="n">
        <x:v>1</x:v>
      </x:c>
      <x:c r="E485" s="25" t="n">
        <x:v>100</x:v>
      </x:c>
      <x:c r="F485" s="25" t="str">
        <x:v>雷戈古戟</x:v>
      </x:c>
      <x:c r="G485" s="25" t="n">
        <x:v>4</x:v>
      </x:c>
      <x:c r="H485" s="25" t="str">
        <x:v>攻击加成</x:v>
      </x:c>
      <x:c r="I485" s="25" t="n">
        <x:v>41</x:v>
      </x:c>
      <x:c r="J485" s="25" t="n">
        <x:v>19</x:v>
      </x:c>
      <x:c r="K485" s="25" t="str">
        <x:v>仅装备原始基础值决定主属性范围</x:v>
      </x:c>
    </x:row>
    <x:row r="486">
      <x:c r="A486" s="25" t="str">
        <x:v>C05-M</x:v>
      </x:c>
      <x:c r="B486" s="25" t="str">
        <x:v>湖之利耶尼亚</x:v>
      </x:c>
      <x:c r="C486" s="25" t="str">
        <x:v>半急速中期</x:v>
      </x:c>
      <x:c r="D486" s="25" t="n">
        <x:v>3</x:v>
      </x:c>
      <x:c r="E486" s="25" t="n">
        <x:v>109</x:v>
      </x:c>
      <x:c r="F486" s="25" t="str">
        <x:v>引魂铜铃链</x:v>
      </x:c>
      <x:c r="G486" s="25" t="n">
        <x:v>1</x:v>
      </x:c>
      <x:c r="H486" s="25" t="str">
        <x:v>道术</x:v>
      </x:c>
      <x:c r="I486" s="25" t="n">
        <x:v>66</x:v>
      </x:c>
      <x:c r="J486" s="25" t="n">
        <x:v>3</x:v>
      </x:c>
      <x:c r="K486" s="25" t="str">
        <x:v>仅装备原始基础值决定主属性范围</x:v>
      </x:c>
    </x:row>
    <x:row r="487">
      <x:c r="A487" s="25" t="str">
        <x:v>C05-M</x:v>
      </x:c>
      <x:c r="B487" s="25" t="str">
        <x:v>湖之利耶尼亚</x:v>
      </x:c>
      <x:c r="C487" s="25" t="str">
        <x:v>半急速中期</x:v>
      </x:c>
      <x:c r="D487" s="25" t="n">
        <x:v>3</x:v>
      </x:c>
      <x:c r="E487" s="25" t="n">
        <x:v>109</x:v>
      </x:c>
      <x:c r="F487" s="25" t="str">
        <x:v>引魂铜铃链</x:v>
      </x:c>
      <x:c r="G487" s="25" t="n">
        <x:v>2</x:v>
      </x:c>
      <x:c r="H487" s="25" t="str">
        <x:v>攻击加成</x:v>
      </x:c>
      <x:c r="I487" s="25" t="n">
        <x:v>47</x:v>
      </x:c>
      <x:c r="J487" s="25" t="n">
        <x:v>19</x:v>
      </x:c>
      <x:c r="K487" s="25" t="str">
        <x:v>仅装备原始基础值决定主属性范围</x:v>
      </x:c>
    </x:row>
    <x:row r="488">
      <x:c r="A488" s="25" t="str">
        <x:v>C05-M</x:v>
      </x:c>
      <x:c r="B488" s="25" t="str">
        <x:v>湖之利耶尼亚</x:v>
      </x:c>
      <x:c r="C488" s="25" t="str">
        <x:v>半急速中期</x:v>
      </x:c>
      <x:c r="D488" s="25" t="n">
        <x:v>3</x:v>
      </x:c>
      <x:c r="E488" s="25" t="n">
        <x:v>109</x:v>
      </x:c>
      <x:c r="F488" s="25" t="str">
        <x:v>引魂铜铃链</x:v>
      </x:c>
      <x:c r="G488" s="25" t="n">
        <x:v>3</x:v>
      </x:c>
      <x:c r="H488" s="25" t="str">
        <x:v>韧性</x:v>
      </x:c>
      <x:c r="I488" s="25" t="n">
        <x:v>10</x:v>
      </x:c>
      <x:c r="J488" s="25" t="n">
        <x:v>12</x:v>
      </x:c>
      <x:c r="K488" s="25" t="str">
        <x:v>仅装备原始基础值决定主属性范围</x:v>
      </x:c>
    </x:row>
    <x:row r="489">
      <x:c r="A489" s="25" t="str">
        <x:v>C05-M</x:v>
      </x:c>
      <x:c r="B489" s="25" t="str">
        <x:v>湖之利耶尼亚</x:v>
      </x:c>
      <x:c r="C489" s="25" t="str">
        <x:v>半急速中期</x:v>
      </x:c>
      <x:c r="D489" s="25" t="n">
        <x:v>3</x:v>
      </x:c>
      <x:c r="E489" s="25" t="n">
        <x:v>109</x:v>
      </x:c>
      <x:c r="F489" s="25" t="str">
        <x:v>引魂铜铃链</x:v>
      </x:c>
      <x:c r="G489" s="25" t="n">
        <x:v>4</x:v>
      </x:c>
      <x:c r="H489" s="25" t="str">
        <x:v>攻击加成</x:v>
      </x:c>
      <x:c r="I489" s="25" t="n">
        <x:v>19</x:v>
      </x:c>
      <x:c r="J489" s="25" t="n">
        <x:v>18</x:v>
      </x:c>
      <x:c r="K489" s="25" t="str">
        <x:v>仅装备原始基础值决定主属性范围</x:v>
      </x:c>
    </x:row>
    <x:row r="490">
      <x:c r="A490" s="25" t="str">
        <x:v>C05-M</x:v>
      </x:c>
      <x:c r="B490" s="25" t="str">
        <x:v>湖之利耶尼亚</x:v>
      </x:c>
      <x:c r="C490" s="25" t="str">
        <x:v>半急速中期</x:v>
      </x:c>
      <x:c r="D490" s="25" t="n">
        <x:v>4</x:v>
      </x:c>
      <x:c r="E490" s="25" t="n">
        <x:v>35</x:v>
      </x:c>
      <x:c r="F490" s="25" t="str">
        <x:v>圣树先锋战盔</x:v>
      </x:c>
      <x:c r="G490" s="25" t="n">
        <x:v>1</x:v>
      </x:c>
      <x:c r="H490" s="25" t="str">
        <x:v>攻击速度</x:v>
      </x:c>
      <x:c r="I490" s="25" t="n">
        <x:v>2</x:v>
      </x:c>
      <x:c r="J490" s="25" t="n">
        <x:v>5</x:v>
      </x:c>
      <x:c r="K490" s="25" t="str">
        <x:v>仅装备原始基础值决定主属性范围</x:v>
      </x:c>
    </x:row>
    <x:row r="491">
      <x:c r="A491" s="25" t="str">
        <x:v>C05-M</x:v>
      </x:c>
      <x:c r="B491" s="25" t="str">
        <x:v>湖之利耶尼亚</x:v>
      </x:c>
      <x:c r="C491" s="25" t="str">
        <x:v>半急速中期</x:v>
      </x:c>
      <x:c r="D491" s="25" t="n">
        <x:v>4</x:v>
      </x:c>
      <x:c r="E491" s="25" t="n">
        <x:v>35</x:v>
      </x:c>
      <x:c r="F491" s="25" t="str">
        <x:v>圣树先锋战盔</x:v>
      </x:c>
      <x:c r="G491" s="25" t="n">
        <x:v>2</x:v>
      </x:c>
      <x:c r="H491" s="25" t="str">
        <x:v>攻击加成</x:v>
      </x:c>
      <x:c r="I491" s="25" t="n">
        <x:v>49</x:v>
      </x:c>
      <x:c r="J491" s="25" t="n">
        <x:v>19</x:v>
      </x:c>
      <x:c r="K491" s="25" t="str">
        <x:v>仅装备原始基础值决定主属性范围</x:v>
      </x:c>
    </x:row>
    <x:row r="492">
      <x:c r="A492" s="25" t="str">
        <x:v>C05-M</x:v>
      </x:c>
      <x:c r="B492" s="25" t="str">
        <x:v>湖之利耶尼亚</x:v>
      </x:c>
      <x:c r="C492" s="25" t="str">
        <x:v>半急速中期</x:v>
      </x:c>
      <x:c r="D492" s="25" t="n">
        <x:v>4</x:v>
      </x:c>
      <x:c r="E492" s="25" t="n">
        <x:v>35</x:v>
      </x:c>
      <x:c r="F492" s="25" t="str">
        <x:v>圣树先锋战盔</x:v>
      </x:c>
      <x:c r="G492" s="25" t="n">
        <x:v>3</x:v>
      </x:c>
      <x:c r="H492" s="25" t="str">
        <x:v>攻击速度</x:v>
      </x:c>
      <x:c r="I492" s="25" t="n">
        <x:v>1</x:v>
      </x:c>
      <x:c r="J492" s="25" t="n">
        <x:v>4</x:v>
      </x:c>
      <x:c r="K492" s="25" t="str">
        <x:v>仅装备原始基础值决定主属性范围</x:v>
      </x:c>
    </x:row>
    <x:row r="493">
      <x:c r="A493" s="25" t="str">
        <x:v>C05-M</x:v>
      </x:c>
      <x:c r="B493" s="25" t="str">
        <x:v>湖之利耶尼亚</x:v>
      </x:c>
      <x:c r="C493" s="25" t="str">
        <x:v>半急速中期</x:v>
      </x:c>
      <x:c r="D493" s="25" t="n">
        <x:v>4</x:v>
      </x:c>
      <x:c r="E493" s="25" t="n">
        <x:v>35</x:v>
      </x:c>
      <x:c r="F493" s="25" t="str">
        <x:v>圣树先锋战盔</x:v>
      </x:c>
      <x:c r="G493" s="25" t="n">
        <x:v>4</x:v>
      </x:c>
      <x:c r="H493" s="25" t="str">
        <x:v>处决伤害</x:v>
      </x:c>
      <x:c r="I493" s="25" t="n">
        <x:v>1</x:v>
      </x:c>
      <x:c r="J493" s="25" t="n">
        <x:v>10</x:v>
      </x:c>
      <x:c r="K493" s="25" t="str">
        <x:v>仅装备原始基础值决定主属性范围</x:v>
      </x:c>
    </x:row>
    <x:row r="494">
      <x:c r="A494" s="25" t="str">
        <x:v>C05-M</x:v>
      </x:c>
      <x:c r="B494" s="25" t="str">
        <x:v>湖之利耶尼亚</x:v>
      </x:c>
      <x:c r="C494" s="25" t="str">
        <x:v>半急速中期</x:v>
      </x:c>
      <x:c r="D494" s="25" t="n">
        <x:v>5</x:v>
      </x:c>
      <x:c r="E494" s="25" t="n">
        <x:v>113</x:v>
      </x:c>
      <x:c r="F494" s="25" t="str">
        <x:v>百指腕甲</x:v>
      </x:c>
      <x:c r="G494" s="25" t="n">
        <x:v>1</x:v>
      </x:c>
      <x:c r="H494" s="25" t="str">
        <x:v>攻击加成</x:v>
      </x:c>
      <x:c r="I494" s="25" t="n">
        <x:v>40</x:v>
      </x:c>
      <x:c r="J494" s="25" t="n">
        <x:v>19</x:v>
      </x:c>
      <x:c r="K494" s="25" t="str">
        <x:v>仅装备原始基础值决定主属性范围</x:v>
      </x:c>
    </x:row>
    <x:row r="495">
      <x:c r="A495" s="25" t="str">
        <x:v>C05-M</x:v>
      </x:c>
      <x:c r="B495" s="25" t="str">
        <x:v>湖之利耶尼亚</x:v>
      </x:c>
      <x:c r="C495" s="25" t="str">
        <x:v>半急速中期</x:v>
      </x:c>
      <x:c r="D495" s="25" t="n">
        <x:v>6</x:v>
      </x:c>
      <x:c r="E495" s="25" t="n">
        <x:v>68</x:v>
      </x:c>
      <x:c r="F495" s="25" t="str">
        <x:v>百指接肢腕</x:v>
      </x:c>
      <x:c r="G495" s="25" t="n">
        <x:v>1</x:v>
      </x:c>
      <x:c r="H495" s="25" t="str">
        <x:v>处决伤害</x:v>
      </x:c>
      <x:c r="I495" s="25" t="n">
        <x:v>1</x:v>
      </x:c>
      <x:c r="J495" s="25" t="n">
        <x:v>10</x:v>
      </x:c>
      <x:c r="K495" s="25" t="str">
        <x:v>仅装备原始基础值决定主属性范围</x:v>
      </x:c>
    </x:row>
    <x:row r="496">
      <x:c r="A496" s="25" t="str">
        <x:v>C05-M</x:v>
      </x:c>
      <x:c r="B496" s="25" t="str">
        <x:v>湖之利耶尼亚</x:v>
      </x:c>
      <x:c r="C496" s="25" t="str">
        <x:v>半急速中期</x:v>
      </x:c>
      <x:c r="D496" s="25" t="n">
        <x:v>6</x:v>
      </x:c>
      <x:c r="E496" s="25" t="n">
        <x:v>68</x:v>
      </x:c>
      <x:c r="F496" s="25" t="str">
        <x:v>百指接肢腕</x:v>
      </x:c>
      <x:c r="G496" s="25" t="n">
        <x:v>2</x:v>
      </x:c>
      <x:c r="H496" s="25" t="str">
        <x:v>攻击加成</x:v>
      </x:c>
      <x:c r="I496" s="25" t="n">
        <x:v>28</x:v>
      </x:c>
      <x:c r="J496" s="25" t="n">
        <x:v>18</x:v>
      </x:c>
      <x:c r="K496" s="25" t="str">
        <x:v>仅装备原始基础值决定主属性范围</x:v>
      </x:c>
    </x:row>
    <x:row r="497">
      <x:c r="A497" s="25" t="str">
        <x:v>C05-M</x:v>
      </x:c>
      <x:c r="B497" s="25" t="str">
        <x:v>湖之利耶尼亚</x:v>
      </x:c>
      <x:c r="C497" s="25" t="str">
        <x:v>半急速中期</x:v>
      </x:c>
      <x:c r="D497" s="25" t="n">
        <x:v>6</x:v>
      </x:c>
      <x:c r="E497" s="25" t="n">
        <x:v>68</x:v>
      </x:c>
      <x:c r="F497" s="25" t="str">
        <x:v>百指接肢腕</x:v>
      </x:c>
      <x:c r="G497" s="25" t="n">
        <x:v>3</x:v>
      </x:c>
      <x:c r="H497" s="25" t="str">
        <x:v>攻击加成</x:v>
      </x:c>
      <x:c r="I497" s="25" t="n">
        <x:v>45</x:v>
      </x:c>
      <x:c r="J497" s="25" t="n">
        <x:v>19</x:v>
      </x:c>
      <x:c r="K497" s="25" t="str">
        <x:v>仅装备原始基础值决定主属性范围</x:v>
      </x:c>
    </x:row>
    <x:row r="498">
      <x:c r="A498" s="25" t="str">
        <x:v>C05-M</x:v>
      </x:c>
      <x:c r="B498" s="25" t="str">
        <x:v>湖之利耶尼亚</x:v>
      </x:c>
      <x:c r="C498" s="25" t="str">
        <x:v>半急速中期</x:v>
      </x:c>
      <x:c r="D498" s="25" t="n">
        <x:v>6</x:v>
      </x:c>
      <x:c r="E498" s="25" t="n">
        <x:v>68</x:v>
      </x:c>
      <x:c r="F498" s="25" t="str">
        <x:v>百指接肢腕</x:v>
      </x:c>
      <x:c r="G498" s="25" t="n">
        <x:v>4</x:v>
      </x:c>
      <x:c r="H498" s="25" t="str">
        <x:v>处决伤害</x:v>
      </x:c>
      <x:c r="I498" s="25" t="n">
        <x:v>2</x:v>
      </x:c>
      <x:c r="J498" s="25" t="n">
        <x:v>11</x:v>
      </x:c>
      <x:c r="K498" s="25" t="str">
        <x:v>仅装备原始基础值决定主属性范围</x:v>
      </x:c>
    </x:row>
    <x:row r="499">
      <x:c r="A499" s="25" t="str">
        <x:v>C05-M</x:v>
      </x:c>
      <x:c r="B499" s="25" t="str">
        <x:v>湖之利耶尼亚</x:v>
      </x:c>
      <x:c r="C499" s="25" t="str">
        <x:v>半急速中期</x:v>
      </x:c>
      <x:c r="D499" s="25" t="n">
        <x:v>6</x:v>
      </x:c>
      <x:c r="E499" s="25" t="n">
        <x:v>68</x:v>
      </x:c>
      <x:c r="F499" s="25" t="str">
        <x:v>百指接肢腕</x:v>
      </x:c>
      <x:c r="G499" s="25" t="n">
        <x:v>5</x:v>
      </x:c>
      <x:c r="H499" s="25" t="str">
        <x:v>暴击</x:v>
      </x:c>
      <x:c r="I499" s="25" t="n">
        <x:v>1</x:v>
      </x:c>
      <x:c r="J499" s="25" t="n">
        <x:v>14</x:v>
      </x:c>
      <x:c r="K499" s="25" t="str">
        <x:v>仅装备原始基础值决定主属性范围</x:v>
      </x:c>
    </x:row>
    <x:row r="500">
      <x:c r="A500" s="25" t="str">
        <x:v>C05-M</x:v>
      </x:c>
      <x:c r="B500" s="25" t="str">
        <x:v>湖之利耶尼亚</x:v>
      </x:c>
      <x:c r="C500" s="25" t="str">
        <x:v>半急速中期</x:v>
      </x:c>
      <x:c r="D500" s="25" t="n">
        <x:v>7</x:v>
      </x:c>
      <x:c r="E500" s="25" t="n">
        <x:v>103</x:v>
      </x:c>
      <x:c r="F500" s="25" t="str">
        <x:v>蓝焰祷戒</x:v>
      </x:c>
      <x:c r="G500" s="25" t="n">
        <x:v>1</x:v>
      </x:c>
      <x:c r="H500" s="25" t="str">
        <x:v>道术</x:v>
      </x:c>
      <x:c r="I500" s="25" t="n">
        <x:v>47</x:v>
      </x:c>
      <x:c r="J500" s="25" t="n">
        <x:v>3</x:v>
      </x:c>
      <x:c r="K500" s="25" t="str">
        <x:v>仅装备原始基础值决定主属性范围</x:v>
      </x:c>
    </x:row>
    <x:row r="501">
      <x:c r="A501" s="25" t="str">
        <x:v>C05-M</x:v>
      </x:c>
      <x:c r="B501" s="25" t="str">
        <x:v>湖之利耶尼亚</x:v>
      </x:c>
      <x:c r="C501" s="25" t="str">
        <x:v>半急速中期</x:v>
      </x:c>
      <x:c r="D501" s="25" t="n">
        <x:v>7</x:v>
      </x:c>
      <x:c r="E501" s="25" t="n">
        <x:v>103</x:v>
      </x:c>
      <x:c r="F501" s="25" t="str">
        <x:v>蓝焰祷戒</x:v>
      </x:c>
      <x:c r="G501" s="25" t="n">
        <x:v>2</x:v>
      </x:c>
      <x:c r="H501" s="25" t="str">
        <x:v>攻击加成</x:v>
      </x:c>
      <x:c r="I501" s="25" t="n">
        <x:v>16</x:v>
      </x:c>
      <x:c r="J501" s="25" t="n">
        <x:v>18</x:v>
      </x:c>
      <x:c r="K501" s="25" t="str">
        <x:v>仅装备原始基础值决定主属性范围</x:v>
      </x:c>
    </x:row>
    <x:row r="502">
      <x:c r="A502" s="25" t="str">
        <x:v>C05-M</x:v>
      </x:c>
      <x:c r="B502" s="25" t="str">
        <x:v>湖之利耶尼亚</x:v>
      </x:c>
      <x:c r="C502" s="25" t="str">
        <x:v>半急速中期</x:v>
      </x:c>
      <x:c r="D502" s="25" t="n">
        <x:v>7</x:v>
      </x:c>
      <x:c r="E502" s="25" t="n">
        <x:v>103</x:v>
      </x:c>
      <x:c r="F502" s="25" t="str">
        <x:v>蓝焰祷戒</x:v>
      </x:c>
      <x:c r="G502" s="25" t="n">
        <x:v>3</x:v>
      </x:c>
      <x:c r="H502" s="25" t="str">
        <x:v>韧性</x:v>
      </x:c>
      <x:c r="I502" s="25" t="n">
        <x:v>10</x:v>
      </x:c>
      <x:c r="J502" s="25" t="n">
        <x:v>12</x:v>
      </x:c>
      <x:c r="K502" s="25" t="str">
        <x:v>仅装备原始基础值决定主属性范围</x:v>
      </x:c>
    </x:row>
    <x:row r="503">
      <x:c r="A503" s="25" t="str">
        <x:v>C05-M</x:v>
      </x:c>
      <x:c r="B503" s="25" t="str">
        <x:v>湖之利耶尼亚</x:v>
      </x:c>
      <x:c r="C503" s="25" t="str">
        <x:v>半急速中期</x:v>
      </x:c>
      <x:c r="D503" s="25" t="n">
        <x:v>7</x:v>
      </x:c>
      <x:c r="E503" s="25" t="n">
        <x:v>103</x:v>
      </x:c>
      <x:c r="F503" s="25" t="str">
        <x:v>蓝焰祷戒</x:v>
      </x:c>
      <x:c r="G503" s="25" t="n">
        <x:v>4</x:v>
      </x:c>
      <x:c r="H503" s="25" t="str">
        <x:v>攻击加成</x:v>
      </x:c>
      <x:c r="I503" s="25" t="n">
        <x:v>14</x:v>
      </x:c>
      <x:c r="J503" s="25" t="n">
        <x:v>18</x:v>
      </x:c>
      <x:c r="K503" s="25" t="str">
        <x:v>仅装备原始基础值决定主属性范围</x:v>
      </x:c>
    </x:row>
    <x:row r="504">
      <x:c r="A504" s="25" t="str">
        <x:v>C05-M</x:v>
      </x:c>
      <x:c r="B504" s="25" t="str">
        <x:v>湖之利耶尼亚</x:v>
      </x:c>
      <x:c r="C504" s="25" t="str">
        <x:v>半急速中期</x:v>
      </x:c>
      <x:c r="D504" s="25" t="n">
        <x:v>7</x:v>
      </x:c>
      <x:c r="E504" s="25" t="n">
        <x:v>103</x:v>
      </x:c>
      <x:c r="F504" s="25" t="str">
        <x:v>蓝焰祷戒</x:v>
      </x:c>
      <x:c r="G504" s="25" t="n">
        <x:v>5</x:v>
      </x:c>
      <x:c r="H504" s="25" t="str">
        <x:v>致命一击</x:v>
      </x:c>
      <x:c r="I504" s="25" t="n">
        <x:v>1</x:v>
      </x:c>
      <x:c r="J504" s="25" t="n">
        <x:v>16</x:v>
      </x:c>
      <x:c r="K504" s="25" t="str">
        <x:v>仅装备原始基础值决定主属性范围</x:v>
      </x:c>
    </x:row>
    <x:row r="505">
      <x:c r="A505" s="25" t="str">
        <x:v>C05-M</x:v>
      </x:c>
      <x:c r="B505" s="25" t="str">
        <x:v>湖之利耶尼亚</x:v>
      </x:c>
      <x:c r="C505" s="25" t="str">
        <x:v>半急速中期</x:v>
      </x:c>
      <x:c r="D505" s="25" t="n">
        <x:v>7</x:v>
      </x:c>
      <x:c r="E505" s="25" t="n">
        <x:v>103</x:v>
      </x:c>
      <x:c r="F505" s="25" t="str">
        <x:v>蓝焰祷戒</x:v>
      </x:c>
      <x:c r="G505" s="25" t="n">
        <x:v>6</x:v>
      </x:c>
      <x:c r="H505" s="25" t="str">
        <x:v>吸血</x:v>
      </x:c>
      <x:c r="I505" s="25" t="n">
        <x:v>1</x:v>
      </x:c>
      <x:c r="J505" s="25" t="n">
        <x:v>20</x:v>
      </x:c>
      <x:c r="K505" s="25" t="str">
        <x:v>仅装备原始基础值决定主属性范围</x:v>
      </x:c>
    </x:row>
    <x:row r="506">
      <x:c r="A506" s="25" t="str">
        <x:v>C05-M</x:v>
      </x:c>
      <x:c r="B506" s="25" t="str">
        <x:v>湖之利耶尼亚</x:v>
      </x:c>
      <x:c r="C506" s="25" t="str">
        <x:v>半急速中期</x:v>
      </x:c>
      <x:c r="D506" s="25" t="n">
        <x:v>7</x:v>
      </x:c>
      <x:c r="E506" s="25" t="n">
        <x:v>103</x:v>
      </x:c>
      <x:c r="F506" s="25" t="str">
        <x:v>蓝焰祷戒</x:v>
      </x:c>
      <x:c r="G506" s="25" t="n">
        <x:v>7</x:v>
      </x:c>
      <x:c r="H506" s="25" t="str">
        <x:v>攻击速度</x:v>
      </x:c>
      <x:c r="I506" s="25" t="n">
        <x:v>1</x:v>
      </x:c>
      <x:c r="J506" s="25" t="n">
        <x:v>4</x:v>
      </x:c>
      <x:c r="K506" s="25" t="str">
        <x:v>仅装备原始基础值决定主属性范围</x:v>
      </x:c>
    </x:row>
    <x:row r="507">
      <x:c r="A507" s="25" t="str">
        <x:v>C05-M</x:v>
      </x:c>
      <x:c r="B507" s="25" t="str">
        <x:v>湖之利耶尼亚</x:v>
      </x:c>
      <x:c r="C507" s="25" t="str">
        <x:v>半急速中期</x:v>
      </x:c>
      <x:c r="D507" s="25" t="n">
        <x:v>8</x:v>
      </x:c>
      <x:c r="E507" s="25" t="n">
        <x:v>106</x:v>
      </x:c>
      <x:c r="F507" s="25" t="str">
        <x:v>月渊秘戒</x:v>
      </x:c>
      <x:c r="G507" s="25" t="n">
        <x:v>1</x:v>
      </x:c>
      <x:c r="H507" s="25" t="str">
        <x:v>攻击</x:v>
      </x:c>
      <x:c r="I507" s="25" t="n">
        <x:v>313</x:v>
      </x:c>
      <x:c r="J507" s="25" t="n">
        <x:v>1</x:v>
      </x:c>
      <x:c r="K507" s="25" t="str">
        <x:v>仅装备原始基础值决定主属性范围</x:v>
      </x:c>
    </x:row>
    <x:row r="508">
      <x:c r="A508" s="25" t="str">
        <x:v>C05-M</x:v>
      </x:c>
      <x:c r="B508" s="25" t="str">
        <x:v>湖之利耶尼亚</x:v>
      </x:c>
      <x:c r="C508" s="25" t="str">
        <x:v>半急速中期</x:v>
      </x:c>
      <x:c r="D508" s="25" t="n">
        <x:v>10</x:v>
      </x:c>
      <x:c r="E508" s="25" t="n">
        <x:v>99</x:v>
      </x:c>
      <x:c r="F508" s="25" t="str">
        <x:v>流寇束带</x:v>
      </x:c>
      <x:c r="G508" s="25" t="n">
        <x:v>1</x:v>
      </x:c>
      <x:c r="H508" s="25" t="str">
        <x:v>攻击加成</x:v>
      </x:c>
      <x:c r="I508" s="25" t="n">
        <x:v>44</x:v>
      </x:c>
      <x:c r="J508" s="25" t="n">
        <x:v>19</x:v>
      </x:c>
      <x:c r="K508" s="25" t="str">
        <x:v>仅装备原始基础值决定主属性范围</x:v>
      </x:c>
    </x:row>
    <x:row r="509">
      <x:c r="A509" s="25" t="str">
        <x:v>C05-M</x:v>
      </x:c>
      <x:c r="B509" s="25" t="str">
        <x:v>湖之利耶尼亚</x:v>
      </x:c>
      <x:c r="C509" s="25" t="str">
        <x:v>半急速中期</x:v>
      </x:c>
      <x:c r="D509" s="25" t="n">
        <x:v>10</x:v>
      </x:c>
      <x:c r="E509" s="25" t="n">
        <x:v>99</x:v>
      </x:c>
      <x:c r="F509" s="25" t="str">
        <x:v>流寇束带</x:v>
      </x:c>
      <x:c r="G509" s="25" t="n">
        <x:v>2</x:v>
      </x:c>
      <x:c r="H509" s="25" t="str">
        <x:v>处决概率</x:v>
      </x:c>
      <x:c r="I509" s="25" t="n">
        <x:v>1</x:v>
      </x:c>
      <x:c r="J509" s="25" t="n">
        <x:v>6</x:v>
      </x:c>
      <x:c r="K509" s="25" t="str">
        <x:v>仅装备原始基础值决定主属性范围</x:v>
      </x:c>
    </x:row>
    <x:row r="510">
      <x:c r="A510" s="25" t="str">
        <x:v>C05-M</x:v>
      </x:c>
      <x:c r="B510" s="25" t="str">
        <x:v>湖之利耶尼亚</x:v>
      </x:c>
      <x:c r="C510" s="25" t="str">
        <x:v>半急速中期</x:v>
      </x:c>
      <x:c r="D510" s="25" t="n">
        <x:v>10</x:v>
      </x:c>
      <x:c r="E510" s="25" t="n">
        <x:v>99</x:v>
      </x:c>
      <x:c r="F510" s="25" t="str">
        <x:v>流寇束带</x:v>
      </x:c>
      <x:c r="G510" s="25" t="n">
        <x:v>3</x:v>
      </x:c>
      <x:c r="H510" s="25" t="str">
        <x:v>最大爆率</x:v>
      </x:c>
      <x:c r="I510" s="25" t="n">
        <x:v>1</x:v>
      </x:c>
      <x:c r="J510" s="25" t="n">
        <x:v>22</x:v>
      </x:c>
      <x:c r="K510" s="25" t="str">
        <x:v>仅装备原始基础值决定主属性范围</x:v>
      </x:c>
    </x:row>
    <x:row r="511">
      <x:c r="A511" s="25" t="str">
        <x:v>C05-M</x:v>
      </x:c>
      <x:c r="B511" s="25" t="str">
        <x:v>湖之利耶尼亚</x:v>
      </x:c>
      <x:c r="C511" s="25" t="str">
        <x:v>半急速中期</x:v>
      </x:c>
      <x:c r="D511" s="25" t="n">
        <x:v>10</x:v>
      </x:c>
      <x:c r="E511" s="25" t="n">
        <x:v>99</x:v>
      </x:c>
      <x:c r="F511" s="25" t="str">
        <x:v>流寇束带</x:v>
      </x:c>
      <x:c r="G511" s="25" t="n">
        <x:v>4</x:v>
      </x:c>
      <x:c r="H511" s="25" t="str">
        <x:v>道术</x:v>
      </x:c>
      <x:c r="I511" s="25" t="n">
        <x:v>32</x:v>
      </x:c>
      <x:c r="J511" s="25" t="n">
        <x:v>3</x:v>
      </x:c>
      <x:c r="K511" s="25" t="str">
        <x:v>仅装备原始基础值决定主属性范围</x:v>
      </x:c>
    </x:row>
    <x:row r="512">
      <x:c r="A512" s="25" t="str">
        <x:v>C05-M</x:v>
      </x:c>
      <x:c r="B512" s="25" t="str">
        <x:v>湖之利耶尼亚</x:v>
      </x:c>
      <x:c r="C512" s="25" t="str">
        <x:v>半急速中期</x:v>
      </x:c>
      <x:c r="D512" s="25" t="n">
        <x:v>10</x:v>
      </x:c>
      <x:c r="E512" s="25" t="n">
        <x:v>99</x:v>
      </x:c>
      <x:c r="F512" s="25" t="str">
        <x:v>流寇束带</x:v>
      </x:c>
      <x:c r="G512" s="25" t="n">
        <x:v>5</x:v>
      </x:c>
      <x:c r="H512" s="25" t="str">
        <x:v>攻击</x:v>
      </x:c>
      <x:c r="I512" s="25" t="n">
        <x:v>20</x:v>
      </x:c>
      <x:c r="J512" s="25" t="n">
        <x:v>1</x:v>
      </x:c>
      <x:c r="K512" s="25" t="str">
        <x:v>仅装备原始基础值决定主属性范围</x:v>
      </x:c>
    </x:row>
    <x:row r="513">
      <x:c r="A513" s="25" t="str">
        <x:v>C05-M</x:v>
      </x:c>
      <x:c r="B513" s="25" t="str">
        <x:v>湖之利耶尼亚</x:v>
      </x:c>
      <x:c r="C513" s="25" t="str">
        <x:v>半急速中期</x:v>
      </x:c>
      <x:c r="D513" s="25" t="n">
        <x:v>11</x:v>
      </x:c>
      <x:c r="E513" s="25" t="n">
        <x:v>94</x:v>
      </x:c>
      <x:c r="F513" s="25" t="str">
        <x:v>逐风征靴</x:v>
      </x:c>
      <x:c r="G513" s="25" t="n">
        <x:v>1</x:v>
      </x:c>
      <x:c r="H513" s="25" t="str">
        <x:v>魔法</x:v>
      </x:c>
      <x:c r="I513" s="25" t="n">
        <x:v>46</x:v>
      </x:c>
      <x:c r="J513" s="25" t="n">
        <x:v>2</x:v>
      </x:c>
      <x:c r="K513" s="25" t="str">
        <x:v>仅装备原始基础值决定主属性范围</x:v>
      </x:c>
    </x:row>
    <x:row r="514">
      <x:c r="A514" s="25" t="str">
        <x:v>C05-M</x:v>
      </x:c>
      <x:c r="B514" s="25" t="str">
        <x:v>湖之利耶尼亚</x:v>
      </x:c>
      <x:c r="C514" s="25" t="str">
        <x:v>半急速中期</x:v>
      </x:c>
      <x:c r="D514" s="25" t="n">
        <x:v>11</x:v>
      </x:c>
      <x:c r="E514" s="25" t="n">
        <x:v>94</x:v>
      </x:c>
      <x:c r="F514" s="25" t="str">
        <x:v>逐风征靴</x:v>
      </x:c>
      <x:c r="G514" s="25" t="n">
        <x:v>2</x:v>
      </x:c>
      <x:c r="H514" s="25" t="str">
        <x:v>攻击加成</x:v>
      </x:c>
      <x:c r="I514" s="25" t="n">
        <x:v>30</x:v>
      </x:c>
      <x:c r="J514" s="25" t="n">
        <x:v>18</x:v>
      </x:c>
      <x:c r="K514" s="25" t="str">
        <x:v>仅装备原始基础值决定主属性范围</x:v>
      </x:c>
    </x:row>
    <x:row r="515">
      <x:c r="A515" s="25" t="str">
        <x:v>C05-M</x:v>
      </x:c>
      <x:c r="B515" s="25" t="str">
        <x:v>湖之利耶尼亚</x:v>
      </x:c>
      <x:c r="C515" s="25" t="str">
        <x:v>半急速中期</x:v>
      </x:c>
      <x:c r="D515" s="25" t="n">
        <x:v>11</x:v>
      </x:c>
      <x:c r="E515" s="25" t="n">
        <x:v>94</x:v>
      </x:c>
      <x:c r="F515" s="25" t="str">
        <x:v>逐风征靴</x:v>
      </x:c>
      <x:c r="G515" s="25" t="n">
        <x:v>3</x:v>
      </x:c>
      <x:c r="H515" s="25" t="str">
        <x:v>攻击</x:v>
      </x:c>
      <x:c r="I515" s="25" t="n">
        <x:v>68</x:v>
      </x:c>
      <x:c r="J515" s="25" t="n">
        <x:v>1</x:v>
      </x:c>
      <x:c r="K515" s="25" t="str">
        <x:v>仅装备原始基础值决定主属性范围</x:v>
      </x:c>
    </x:row>
    <x:row r="516">
      <x:c r="A516" s="25" t="str">
        <x:v>C05-G</x:v>
      </x:c>
      <x:c r="B516" s="25" t="str">
        <x:v>湖之利耶尼亚</x:v>
      </x:c>
      <x:c r="C516" s="25" t="str">
        <x:v>半急速毕业</x:v>
      </x:c>
      <x:c r="D516" s="25" t="n">
        <x:v>0</x:v>
      </x:c>
      <x:c r="E516" s="25" t="n">
        <x:v>129</x:v>
      </x:c>
      <x:c r="F516" s="25" t="str">
        <x:v>静潮祷仪袍</x:v>
      </x:c>
      <x:c r="G516" s="25" t="n">
        <x:v>1</x:v>
      </x:c>
      <x:c r="H516" s="25" t="str">
        <x:v>魔法</x:v>
      </x:c>
      <x:c r="I516" s="25" t="n">
        <x:v>108</x:v>
      </x:c>
      <x:c r="J516" s="25" t="n">
        <x:v>2</x:v>
      </x:c>
      <x:c r="K516" s="25" t="str">
        <x:v>仅装备原始基础值决定主属性范围</x:v>
      </x:c>
    </x:row>
    <x:row r="517">
      <x:c r="A517" s="25" t="str">
        <x:v>C05-G</x:v>
      </x:c>
      <x:c r="B517" s="25" t="str">
        <x:v>湖之利耶尼亚</x:v>
      </x:c>
      <x:c r="C517" s="25" t="str">
        <x:v>半急速毕业</x:v>
      </x:c>
      <x:c r="D517" s="25" t="n">
        <x:v>0</x:v>
      </x:c>
      <x:c r="E517" s="25" t="n">
        <x:v>129</x:v>
      </x:c>
      <x:c r="F517" s="25" t="str">
        <x:v>静潮祷仪袍</x:v>
      </x:c>
      <x:c r="G517" s="25" t="n">
        <x:v>2</x:v>
      </x:c>
      <x:c r="H517" s="25" t="str">
        <x:v>攻击加成</x:v>
      </x:c>
      <x:c r="I517" s="25" t="n">
        <x:v>31</x:v>
      </x:c>
      <x:c r="J517" s="25" t="n">
        <x:v>19</x:v>
      </x:c>
      <x:c r="K517" s="25" t="str">
        <x:v>仅装备原始基础值决定主属性范围</x:v>
      </x:c>
    </x:row>
    <x:row r="518">
      <x:c r="A518" s="25" t="str">
        <x:v>C05-G</x:v>
      </x:c>
      <x:c r="B518" s="25" t="str">
        <x:v>湖之利耶尼亚</x:v>
      </x:c>
      <x:c r="C518" s="25" t="str">
        <x:v>半急速毕业</x:v>
      </x:c>
      <x:c r="D518" s="25" t="n">
        <x:v>0</x:v>
      </x:c>
      <x:c r="E518" s="25" t="n">
        <x:v>129</x:v>
      </x:c>
      <x:c r="F518" s="25" t="str">
        <x:v>静潮祷仪袍</x:v>
      </x:c>
      <x:c r="G518" s="25" t="n">
        <x:v>3</x:v>
      </x:c>
      <x:c r="H518" s="25" t="str">
        <x:v>攻击加成</x:v>
      </x:c>
      <x:c r="I518" s="25" t="n">
        <x:v>34</x:v>
      </x:c>
      <x:c r="J518" s="25" t="n">
        <x:v>19</x:v>
      </x:c>
      <x:c r="K518" s="25" t="str">
        <x:v>仅装备原始基础值决定主属性范围</x:v>
      </x:c>
    </x:row>
    <x:row r="519">
      <x:c r="A519" s="25" t="str">
        <x:v>C05-G</x:v>
      </x:c>
      <x:c r="B519" s="25" t="str">
        <x:v>湖之利耶尼亚</x:v>
      </x:c>
      <x:c r="C519" s="25" t="str">
        <x:v>半急速毕业</x:v>
      </x:c>
      <x:c r="D519" s="25" t="n">
        <x:v>0</x:v>
      </x:c>
      <x:c r="E519" s="25" t="n">
        <x:v>129</x:v>
      </x:c>
      <x:c r="F519" s="25" t="str">
        <x:v>静潮祷仪袍</x:v>
      </x:c>
      <x:c r="G519" s="25" t="n">
        <x:v>4</x:v>
      </x:c>
      <x:c r="H519" s="25" t="str">
        <x:v>魔法</x:v>
      </x:c>
      <x:c r="I519" s="25" t="n">
        <x:v>175</x:v>
      </x:c>
      <x:c r="J519" s="25" t="n">
        <x:v>2</x:v>
      </x:c>
      <x:c r="K519" s="25" t="str">
        <x:v>仅装备原始基础值决定主属性范围</x:v>
      </x:c>
    </x:row>
    <x:row r="520">
      <x:c r="A520" s="25" t="str">
        <x:v>C05-G</x:v>
      </x:c>
      <x:c r="B520" s="25" t="str">
        <x:v>湖之利耶尼亚</x:v>
      </x:c>
      <x:c r="C520" s="25" t="str">
        <x:v>半急速毕业</x:v>
      </x:c>
      <x:c r="D520" s="25" t="n">
        <x:v>0</x:v>
      </x:c>
      <x:c r="E520" s="25" t="n">
        <x:v>129</x:v>
      </x:c>
      <x:c r="F520" s="25" t="str">
        <x:v>静潮祷仪袍</x:v>
      </x:c>
      <x:c r="G520" s="25" t="n">
        <x:v>5</x:v>
      </x:c>
      <x:c r="H520" s="25" t="str">
        <x:v>攻击加成</x:v>
      </x:c>
      <x:c r="I520" s="25" t="n">
        <x:v>4</x:v>
      </x:c>
      <x:c r="J520" s="25" t="n">
        <x:v>18</x:v>
      </x:c>
      <x:c r="K520" s="25" t="str">
        <x:v>仅装备原始基础值决定主属性范围</x:v>
      </x:c>
    </x:row>
    <x:row r="521">
      <x:c r="A521" s="25" t="str">
        <x:v>C05-G</x:v>
      </x:c>
      <x:c r="B521" s="25" t="str">
        <x:v>湖之利耶尼亚</x:v>
      </x:c>
      <x:c r="C521" s="25" t="str">
        <x:v>半急速毕业</x:v>
      </x:c>
      <x:c r="D521" s="25" t="n">
        <x:v>1</x:v>
      </x:c>
      <x:c r="E521" s="25" t="n">
        <x:v>126</x:v>
      </x:c>
      <x:c r="F521" s="25" t="str">
        <x:v>卡利亚月裁长刃</x:v>
      </x:c>
      <x:c r="G521" s="25" t="n">
        <x:v>1</x:v>
      </x:c>
      <x:c r="H521" s="25" t="str">
        <x:v>攻击</x:v>
      </x:c>
      <x:c r="I521" s="25" t="n">
        <x:v>3726</x:v>
      </x:c>
      <x:c r="J521" s="25" t="n">
        <x:v>1</x:v>
      </x:c>
      <x:c r="K521" s="25" t="str">
        <x:v>仅装备原始基础值决定主属性范围</x:v>
      </x:c>
    </x:row>
    <x:row r="522">
      <x:c r="A522" s="25" t="str">
        <x:v>C05-G</x:v>
      </x:c>
      <x:c r="B522" s="25" t="str">
        <x:v>湖之利耶尼亚</x:v>
      </x:c>
      <x:c r="C522" s="25" t="str">
        <x:v>半急速毕业</x:v>
      </x:c>
      <x:c r="D522" s="25" t="n">
        <x:v>1</x:v>
      </x:c>
      <x:c r="E522" s="25" t="n">
        <x:v>126</x:v>
      </x:c>
      <x:c r="F522" s="25" t="str">
        <x:v>卡利亚月裁长刃</x:v>
      </x:c>
      <x:c r="G522" s="25" t="n">
        <x:v>2</x:v>
      </x:c>
      <x:c r="H522" s="25" t="str">
        <x:v>攻击</x:v>
      </x:c>
      <x:c r="I522" s="25" t="n">
        <x:v>951</x:v>
      </x:c>
      <x:c r="J522" s="25" t="n">
        <x:v>1</x:v>
      </x:c>
      <x:c r="K522" s="25" t="str">
        <x:v>仅装备原始基础值决定主属性范围</x:v>
      </x:c>
    </x:row>
    <x:row r="523">
      <x:c r="A523" s="25" t="str">
        <x:v>C05-G</x:v>
      </x:c>
      <x:c r="B523" s="25" t="str">
        <x:v>湖之利耶尼亚</x:v>
      </x:c>
      <x:c r="C523" s="25" t="str">
        <x:v>半急速毕业</x:v>
      </x:c>
      <x:c r="D523" s="25" t="n">
        <x:v>3</x:v>
      </x:c>
      <x:c r="E523" s="25" t="n">
        <x:v>101</x:v>
      </x:c>
      <x:c r="F523" s="25" t="str">
        <x:v>引魂铜铃链</x:v>
      </x:c>
      <x:c r="G523" s="25" t="n">
        <x:v>1</x:v>
      </x:c>
      <x:c r="H523" s="25" t="str">
        <x:v>魔法</x:v>
      </x:c>
      <x:c r="I523" s="25" t="n">
        <x:v>85</x:v>
      </x:c>
      <x:c r="J523" s="25" t="n">
        <x:v>2</x:v>
      </x:c>
      <x:c r="K523" s="25" t="str">
        <x:v>仅装备原始基础值决定主属性范围</x:v>
      </x:c>
    </x:row>
    <x:row r="524">
      <x:c r="A524" s="25" t="str">
        <x:v>C05-G</x:v>
      </x:c>
      <x:c r="B524" s="25" t="str">
        <x:v>湖之利耶尼亚</x:v>
      </x:c>
      <x:c r="C524" s="25" t="str">
        <x:v>半急速毕业</x:v>
      </x:c>
      <x:c r="D524" s="25" t="n">
        <x:v>3</x:v>
      </x:c>
      <x:c r="E524" s="25" t="n">
        <x:v>101</x:v>
      </x:c>
      <x:c r="F524" s="25" t="str">
        <x:v>引魂铜铃链</x:v>
      </x:c>
      <x:c r="G524" s="25" t="n">
        <x:v>2</x:v>
      </x:c>
      <x:c r="H524" s="25" t="str">
        <x:v>攻击加成</x:v>
      </x:c>
      <x:c r="I524" s="25" t="n">
        <x:v>31</x:v>
      </x:c>
      <x:c r="J524" s="25" t="n">
        <x:v>19</x:v>
      </x:c>
      <x:c r="K524" s="25" t="str">
        <x:v>仅装备原始基础值决定主属性范围</x:v>
      </x:c>
    </x:row>
    <x:row r="525">
      <x:c r="A525" s="25" t="str">
        <x:v>C05-G</x:v>
      </x:c>
      <x:c r="B525" s="25" t="str">
        <x:v>湖之利耶尼亚</x:v>
      </x:c>
      <x:c r="C525" s="25" t="str">
        <x:v>半急速毕业</x:v>
      </x:c>
      <x:c r="D525" s="25" t="n">
        <x:v>3</x:v>
      </x:c>
      <x:c r="E525" s="25" t="n">
        <x:v>101</x:v>
      </x:c>
      <x:c r="F525" s="25" t="str">
        <x:v>引魂铜铃链</x:v>
      </x:c>
      <x:c r="G525" s="25" t="n">
        <x:v>3</x:v>
      </x:c>
      <x:c r="H525" s="25" t="str">
        <x:v>伤害系数</x:v>
      </x:c>
      <x:c r="I525" s="25" t="n">
        <x:v>1</x:v>
      </x:c>
      <x:c r="J525" s="25" t="n">
        <x:v>25</x:v>
      </x:c>
      <x:c r="K525" s="25" t="str">
        <x:v>仅装备原始基础值决定主属性范围</x:v>
      </x:c>
    </x:row>
    <x:row r="526">
      <x:c r="A526" s="25" t="str">
        <x:v>C05-G</x:v>
      </x:c>
      <x:c r="B526" s="25" t="str">
        <x:v>湖之利耶尼亚</x:v>
      </x:c>
      <x:c r="C526" s="25" t="str">
        <x:v>半急速毕业</x:v>
      </x:c>
      <x:c r="D526" s="25" t="n">
        <x:v>3</x:v>
      </x:c>
      <x:c r="E526" s="25" t="n">
        <x:v>101</x:v>
      </x:c>
      <x:c r="F526" s="25" t="str">
        <x:v>引魂铜铃链</x:v>
      </x:c>
      <x:c r="G526" s="25" t="n">
        <x:v>4</x:v>
      </x:c>
      <x:c r="H526" s="25" t="str">
        <x:v>伤害系数</x:v>
      </x:c>
      <x:c r="I526" s="25" t="n">
        <x:v>1</x:v>
      </x:c>
      <x:c r="J526" s="25" t="n">
        <x:v>25</x:v>
      </x:c>
      <x:c r="K526" s="25" t="str">
        <x:v>仅装备原始基础值决定主属性范围</x:v>
      </x:c>
    </x:row>
    <x:row r="527">
      <x:c r="A527" s="25" t="str">
        <x:v>C05-G</x:v>
      </x:c>
      <x:c r="B527" s="25" t="str">
        <x:v>湖之利耶尼亚</x:v>
      </x:c>
      <x:c r="C527" s="25" t="str">
        <x:v>半急速毕业</x:v>
      </x:c>
      <x:c r="D527" s="25" t="n">
        <x:v>3</x:v>
      </x:c>
      <x:c r="E527" s="25" t="n">
        <x:v>101</x:v>
      </x:c>
      <x:c r="F527" s="25" t="str">
        <x:v>引魂铜铃链</x:v>
      </x:c>
      <x:c r="G527" s="25" t="n">
        <x:v>5</x:v>
      </x:c>
      <x:c r="H527" s="25" t="str">
        <x:v>攻击速度</x:v>
      </x:c>
      <x:c r="I527" s="25" t="n">
        <x:v>1</x:v>
      </x:c>
      <x:c r="J527" s="25" t="n">
        <x:v>4</x:v>
      </x:c>
      <x:c r="K527" s="25" t="str">
        <x:v>仅装备原始基础值决定主属性范围</x:v>
      </x:c>
    </x:row>
    <x:row r="528">
      <x:c r="A528" s="25" t="str">
        <x:v>C05-G</x:v>
      </x:c>
      <x:c r="B528" s="25" t="str">
        <x:v>湖之利耶尼亚</x:v>
      </x:c>
      <x:c r="C528" s="25" t="str">
        <x:v>半急速毕业</x:v>
      </x:c>
      <x:c r="D528" s="25" t="n">
        <x:v>3</x:v>
      </x:c>
      <x:c r="E528" s="25" t="n">
        <x:v>101</x:v>
      </x:c>
      <x:c r="F528" s="25" t="str">
        <x:v>引魂铜铃链</x:v>
      </x:c>
      <x:c r="G528" s="25" t="n">
        <x:v>6</x:v>
      </x:c>
      <x:c r="H528" s="25" t="str">
        <x:v>处决概率</x:v>
      </x:c>
      <x:c r="I528" s="25" t="n">
        <x:v>2</x:v>
      </x:c>
      <x:c r="J528" s="25" t="n">
        <x:v>7</x:v>
      </x:c>
      <x:c r="K528" s="25" t="str">
        <x:v>仅装备原始基础值决定主属性范围</x:v>
      </x:c>
    </x:row>
    <x:row r="529">
      <x:c r="A529" s="25" t="str">
        <x:v>C05-G</x:v>
      </x:c>
      <x:c r="B529" s="25" t="str">
        <x:v>湖之利耶尼亚</x:v>
      </x:c>
      <x:c r="C529" s="25" t="str">
        <x:v>半急速毕业</x:v>
      </x:c>
      <x:c r="D529" s="25" t="n">
        <x:v>3</x:v>
      </x:c>
      <x:c r="E529" s="25" t="n">
        <x:v>101</x:v>
      </x:c>
      <x:c r="F529" s="25" t="str">
        <x:v>引魂铜铃链</x:v>
      </x:c>
      <x:c r="G529" s="25" t="n">
        <x:v>7</x:v>
      </x:c>
      <x:c r="H529" s="25" t="str">
        <x:v>攻击加成</x:v>
      </x:c>
      <x:c r="I529" s="25" t="n">
        <x:v>28</x:v>
      </x:c>
      <x:c r="J529" s="25" t="n">
        <x:v>18</x:v>
      </x:c>
      <x:c r="K529" s="25" t="str">
        <x:v>仅装备原始基础值决定主属性范围</x:v>
      </x:c>
    </x:row>
    <x:row r="530">
      <x:c r="A530" s="25" t="str">
        <x:v>C05-G</x:v>
      </x:c>
      <x:c r="B530" s="25" t="str">
        <x:v>湖之利耶尼亚</x:v>
      </x:c>
      <x:c r="C530" s="25" t="str">
        <x:v>半急速毕业</x:v>
      </x:c>
      <x:c r="D530" s="25" t="n">
        <x:v>3</x:v>
      </x:c>
      <x:c r="E530" s="25" t="n">
        <x:v>101</x:v>
      </x:c>
      <x:c r="F530" s="25" t="str">
        <x:v>引魂铜铃链</x:v>
      </x:c>
      <x:c r="G530" s="25" t="n">
        <x:v>8</x:v>
      </x:c>
      <x:c r="H530" s="25" t="str">
        <x:v>魔法</x:v>
      </x:c>
      <x:c r="I530" s="25" t="n">
        <x:v>48</x:v>
      </x:c>
      <x:c r="J530" s="25" t="n">
        <x:v>2</x:v>
      </x:c>
      <x:c r="K530" s="25" t="str">
        <x:v>仅装备原始基础值决定主属性范围</x:v>
      </x:c>
    </x:row>
    <x:row r="531">
      <x:c r="A531" s="25" t="str">
        <x:v>C05-G</x:v>
      </x:c>
      <x:c r="B531" s="25" t="str">
        <x:v>湖之利耶尼亚</x:v>
      </x:c>
      <x:c r="C531" s="25" t="str">
        <x:v>半急速毕业</x:v>
      </x:c>
      <x:c r="D531" s="25" t="n">
        <x:v>4</x:v>
      </x:c>
      <x:c r="E531" s="25" t="n">
        <x:v>130</x:v>
      </x:c>
      <x:c r="F531" s="25" t="str">
        <x:v>镜荷眠梦冠</x:v>
      </x:c>
      <x:c r="G531" s="25" t="n">
        <x:v>1</x:v>
      </x:c>
      <x:c r="H531" s="25" t="str">
        <x:v>攻击加成</x:v>
      </x:c>
      <x:c r="I531" s="25" t="n">
        <x:v>22</x:v>
      </x:c>
      <x:c r="J531" s="25" t="n">
        <x:v>18</x:v>
      </x:c>
      <x:c r="K531" s="25" t="str">
        <x:v>仅装备原始基础值决定主属性范围</x:v>
      </x:c>
    </x:row>
    <x:row r="532">
      <x:c r="A532" s="25" t="str">
        <x:v>C05-G</x:v>
      </x:c>
      <x:c r="B532" s="25" t="str">
        <x:v>湖之利耶尼亚</x:v>
      </x:c>
      <x:c r="C532" s="25" t="str">
        <x:v>半急速毕业</x:v>
      </x:c>
      <x:c r="D532" s="25" t="n">
        <x:v>4</x:v>
      </x:c>
      <x:c r="E532" s="25" t="n">
        <x:v>130</x:v>
      </x:c>
      <x:c r="F532" s="25" t="str">
        <x:v>镜荷眠梦冠</x:v>
      </x:c>
      <x:c r="G532" s="25" t="n">
        <x:v>2</x:v>
      </x:c>
      <x:c r="H532" s="25" t="str">
        <x:v>攻击加成</x:v>
      </x:c>
      <x:c r="I532" s="25" t="n">
        <x:v>35</x:v>
      </x:c>
      <x:c r="J532" s="25" t="n">
        <x:v>19</x:v>
      </x:c>
      <x:c r="K532" s="25" t="str">
        <x:v>仅装备原始基础值决定主属性范围</x:v>
      </x:c>
    </x:row>
    <x:row r="533">
      <x:c r="A533" s="25" t="str">
        <x:v>C05-G</x:v>
      </x:c>
      <x:c r="B533" s="25" t="str">
        <x:v>湖之利耶尼亚</x:v>
      </x:c>
      <x:c r="C533" s="25" t="str">
        <x:v>半急速毕业</x:v>
      </x:c>
      <x:c r="D533" s="25" t="n">
        <x:v>4</x:v>
      </x:c>
      <x:c r="E533" s="25" t="n">
        <x:v>130</x:v>
      </x:c>
      <x:c r="F533" s="25" t="str">
        <x:v>镜荷眠梦冠</x:v>
      </x:c>
      <x:c r="G533" s="25" t="n">
        <x:v>3</x:v>
      </x:c>
      <x:c r="H533" s="25" t="str">
        <x:v>伤害系数</x:v>
      </x:c>
      <x:c r="I533" s="25" t="n">
        <x:v>1</x:v>
      </x:c>
      <x:c r="J533" s="25" t="n">
        <x:v>25</x:v>
      </x:c>
      <x:c r="K533" s="25" t="str">
        <x:v>仅装备原始基础值决定主属性范围</x:v>
      </x:c>
    </x:row>
    <x:row r="534">
      <x:c r="A534" s="25" t="str">
        <x:v>C05-G</x:v>
      </x:c>
      <x:c r="B534" s="25" t="str">
        <x:v>湖之利耶尼亚</x:v>
      </x:c>
      <x:c r="C534" s="25" t="str">
        <x:v>半急速毕业</x:v>
      </x:c>
      <x:c r="D534" s="25" t="n">
        <x:v>4</x:v>
      </x:c>
      <x:c r="E534" s="25" t="n">
        <x:v>130</x:v>
      </x:c>
      <x:c r="F534" s="25" t="str">
        <x:v>镜荷眠梦冠</x:v>
      </x:c>
      <x:c r="G534" s="25" t="n">
        <x:v>4</x:v>
      </x:c>
      <x:c r="H534" s="25" t="str">
        <x:v>攻击速度</x:v>
      </x:c>
      <x:c r="I534" s="25" t="n">
        <x:v>2</x:v>
      </x:c>
      <x:c r="J534" s="25" t="n">
        <x:v>5</x:v>
      </x:c>
      <x:c r="K534" s="25" t="str">
        <x:v>仅装备原始基础值决定主属性范围</x:v>
      </x:c>
    </x:row>
    <x:row r="535">
      <x:c r="A535" s="25" t="str">
        <x:v>C05-G</x:v>
      </x:c>
      <x:c r="B535" s="25" t="str">
        <x:v>湖之利耶尼亚</x:v>
      </x:c>
      <x:c r="C535" s="25" t="str">
        <x:v>半急速毕业</x:v>
      </x:c>
      <x:c r="D535" s="25" t="n">
        <x:v>5</x:v>
      </x:c>
      <x:c r="E535" s="25" t="n">
        <x:v>113</x:v>
      </x:c>
      <x:c r="F535" s="25" t="str">
        <x:v>百指腕甲</x:v>
      </x:c>
      <x:c r="G535" s="25" t="n">
        <x:v>1</x:v>
      </x:c>
      <x:c r="H535" s="25" t="str">
        <x:v>攻击加成</x:v>
      </x:c>
      <x:c r="I535" s="25" t="n">
        <x:v>19</x:v>
      </x:c>
      <x:c r="J535" s="25" t="n">
        <x:v>18</x:v>
      </x:c>
      <x:c r="K535" s="25" t="str">
        <x:v>仅装备原始基础值决定主属性范围</x:v>
      </x:c>
    </x:row>
    <x:row r="536">
      <x:c r="A536" s="25" t="str">
        <x:v>C05-G</x:v>
      </x:c>
      <x:c r="B536" s="25" t="str">
        <x:v>湖之利耶尼亚</x:v>
      </x:c>
      <x:c r="C536" s="25" t="str">
        <x:v>半急速毕业</x:v>
      </x:c>
      <x:c r="D536" s="25" t="n">
        <x:v>5</x:v>
      </x:c>
      <x:c r="E536" s="25" t="n">
        <x:v>113</x:v>
      </x:c>
      <x:c r="F536" s="25" t="str">
        <x:v>百指腕甲</x:v>
      </x:c>
      <x:c r="G536" s="25" t="n">
        <x:v>2</x:v>
      </x:c>
      <x:c r="H536" s="25" t="str">
        <x:v>攻击加成</x:v>
      </x:c>
      <x:c r="I536" s="25" t="n">
        <x:v>44</x:v>
      </x:c>
      <x:c r="J536" s="25" t="n">
        <x:v>19</x:v>
      </x:c>
      <x:c r="K536" s="25" t="str">
        <x:v>仅装备原始基础值决定主属性范围</x:v>
      </x:c>
    </x:row>
    <x:row r="537">
      <x:c r="A537" s="25" t="str">
        <x:v>C05-G</x:v>
      </x:c>
      <x:c r="B537" s="25" t="str">
        <x:v>湖之利耶尼亚</x:v>
      </x:c>
      <x:c r="C537" s="25" t="str">
        <x:v>半急速毕业</x:v>
      </x:c>
      <x:c r="D537" s="25" t="n">
        <x:v>6</x:v>
      </x:c>
      <x:c r="E537" s="25" t="n">
        <x:v>68</x:v>
      </x:c>
      <x:c r="F537" s="25" t="str">
        <x:v>百指接肢腕</x:v>
      </x:c>
      <x:c r="G537" s="25" t="n">
        <x:v>1</x:v>
      </x:c>
      <x:c r="H537" s="25" t="str">
        <x:v>处决伤害</x:v>
      </x:c>
      <x:c r="I537" s="25" t="n">
        <x:v>1</x:v>
      </x:c>
      <x:c r="J537" s="25" t="n">
        <x:v>10</x:v>
      </x:c>
      <x:c r="K537" s="25" t="str">
        <x:v>仅装备原始基础值决定主属性范围</x:v>
      </x:c>
    </x:row>
    <x:row r="538">
      <x:c r="A538" s="25" t="str">
        <x:v>C05-G</x:v>
      </x:c>
      <x:c r="B538" s="25" t="str">
        <x:v>湖之利耶尼亚</x:v>
      </x:c>
      <x:c r="C538" s="25" t="str">
        <x:v>半急速毕业</x:v>
      </x:c>
      <x:c r="D538" s="25" t="n">
        <x:v>6</x:v>
      </x:c>
      <x:c r="E538" s="25" t="n">
        <x:v>68</x:v>
      </x:c>
      <x:c r="F538" s="25" t="str">
        <x:v>百指接肢腕</x:v>
      </x:c>
      <x:c r="G538" s="25" t="n">
        <x:v>2</x:v>
      </x:c>
      <x:c r="H538" s="25" t="str">
        <x:v>攻击加成</x:v>
      </x:c>
      <x:c r="I538" s="25" t="n">
        <x:v>28</x:v>
      </x:c>
      <x:c r="J538" s="25" t="n">
        <x:v>18</x:v>
      </x:c>
      <x:c r="K538" s="25" t="str">
        <x:v>仅装备原始基础值决定主属性范围</x:v>
      </x:c>
    </x:row>
    <x:row r="539">
      <x:c r="A539" s="25" t="str">
        <x:v>C05-G</x:v>
      </x:c>
      <x:c r="B539" s="25" t="str">
        <x:v>湖之利耶尼亚</x:v>
      </x:c>
      <x:c r="C539" s="25" t="str">
        <x:v>半急速毕业</x:v>
      </x:c>
      <x:c r="D539" s="25" t="n">
        <x:v>6</x:v>
      </x:c>
      <x:c r="E539" s="25" t="n">
        <x:v>68</x:v>
      </x:c>
      <x:c r="F539" s="25" t="str">
        <x:v>百指接肢腕</x:v>
      </x:c>
      <x:c r="G539" s="25" t="n">
        <x:v>3</x:v>
      </x:c>
      <x:c r="H539" s="25" t="str">
        <x:v>攻击加成</x:v>
      </x:c>
      <x:c r="I539" s="25" t="n">
        <x:v>45</x:v>
      </x:c>
      <x:c r="J539" s="25" t="n">
        <x:v>19</x:v>
      </x:c>
      <x:c r="K539" s="25" t="str">
        <x:v>仅装备原始基础值决定主属性范围</x:v>
      </x:c>
    </x:row>
    <x:row r="540">
      <x:c r="A540" s="25" t="str">
        <x:v>C05-G</x:v>
      </x:c>
      <x:c r="B540" s="25" t="str">
        <x:v>湖之利耶尼亚</x:v>
      </x:c>
      <x:c r="C540" s="25" t="str">
        <x:v>半急速毕业</x:v>
      </x:c>
      <x:c r="D540" s="25" t="n">
        <x:v>6</x:v>
      </x:c>
      <x:c r="E540" s="25" t="n">
        <x:v>68</x:v>
      </x:c>
      <x:c r="F540" s="25" t="str">
        <x:v>百指接肢腕</x:v>
      </x:c>
      <x:c r="G540" s="25" t="n">
        <x:v>4</x:v>
      </x:c>
      <x:c r="H540" s="25" t="str">
        <x:v>处决伤害</x:v>
      </x:c>
      <x:c r="I540" s="25" t="n">
        <x:v>2</x:v>
      </x:c>
      <x:c r="J540" s="25" t="n">
        <x:v>11</x:v>
      </x:c>
      <x:c r="K540" s="25" t="str">
        <x:v>仅装备原始基础值决定主属性范围</x:v>
      </x:c>
    </x:row>
    <x:row r="541">
      <x:c r="A541" s="25" t="str">
        <x:v>C05-G</x:v>
      </x:c>
      <x:c r="B541" s="25" t="str">
        <x:v>湖之利耶尼亚</x:v>
      </x:c>
      <x:c r="C541" s="25" t="str">
        <x:v>半急速毕业</x:v>
      </x:c>
      <x:c r="D541" s="25" t="n">
        <x:v>6</x:v>
      </x:c>
      <x:c r="E541" s="25" t="n">
        <x:v>68</x:v>
      </x:c>
      <x:c r="F541" s="25" t="str">
        <x:v>百指接肢腕</x:v>
      </x:c>
      <x:c r="G541" s="25" t="n">
        <x:v>5</x:v>
      </x:c>
      <x:c r="H541" s="25" t="str">
        <x:v>暴击</x:v>
      </x:c>
      <x:c r="I541" s="25" t="n">
        <x:v>1</x:v>
      </x:c>
      <x:c r="J541" s="25" t="n">
        <x:v>14</x:v>
      </x:c>
      <x:c r="K541" s="25" t="str">
        <x:v>仅装备原始基础值决定主属性范围</x:v>
      </x:c>
    </x:row>
    <x:row r="542">
      <x:c r="A542" s="25" t="str">
        <x:v>C05-G</x:v>
      </x:c>
      <x:c r="B542" s="25" t="str">
        <x:v>湖之利耶尼亚</x:v>
      </x:c>
      <x:c r="C542" s="25" t="str">
        <x:v>半急速毕业</x:v>
      </x:c>
      <x:c r="D542" s="25" t="n">
        <x:v>7</x:v>
      </x:c>
      <x:c r="E542" s="25" t="n">
        <x:v>103</x:v>
      </x:c>
      <x:c r="F542" s="25" t="str">
        <x:v>蓝焰祷戒</x:v>
      </x:c>
      <x:c r="G542" s="25" t="n">
        <x:v>1</x:v>
      </x:c>
      <x:c r="H542" s="25" t="str">
        <x:v>攻击</x:v>
      </x:c>
      <x:c r="I542" s="25" t="n">
        <x:v>51</x:v>
      </x:c>
      <x:c r="J542" s="25" t="n">
        <x:v>1</x:v>
      </x:c>
      <x:c r="K542" s="25" t="str">
        <x:v>仅装备原始基础值决定主属性范围</x:v>
      </x:c>
    </x:row>
    <x:row r="543">
      <x:c r="A543" s="25" t="str">
        <x:v>C05-G</x:v>
      </x:c>
      <x:c r="B543" s="25" t="str">
        <x:v>湖之利耶尼亚</x:v>
      </x:c>
      <x:c r="C543" s="25" t="str">
        <x:v>半急速毕业</x:v>
      </x:c>
      <x:c r="D543" s="25" t="n">
        <x:v>7</x:v>
      </x:c>
      <x:c r="E543" s="25" t="n">
        <x:v>103</x:v>
      </x:c>
      <x:c r="F543" s="25" t="str">
        <x:v>蓝焰祷戒</x:v>
      </x:c>
      <x:c r="G543" s="25" t="n">
        <x:v>2</x:v>
      </x:c>
      <x:c r="H543" s="25" t="str">
        <x:v>道术</x:v>
      </x:c>
      <x:c r="I543" s="25" t="n">
        <x:v>39</x:v>
      </x:c>
      <x:c r="J543" s="25" t="n">
        <x:v>3</x:v>
      </x:c>
      <x:c r="K543" s="25" t="str">
        <x:v>仅装备原始基础值决定主属性范围</x:v>
      </x:c>
    </x:row>
    <x:row r="544">
      <x:c r="A544" s="25" t="str">
        <x:v>C05-G</x:v>
      </x:c>
      <x:c r="B544" s="25" t="str">
        <x:v>湖之利耶尼亚</x:v>
      </x:c>
      <x:c r="C544" s="25" t="str">
        <x:v>半急速毕业</x:v>
      </x:c>
      <x:c r="D544" s="25" t="n">
        <x:v>7</x:v>
      </x:c>
      <x:c r="E544" s="25" t="n">
        <x:v>103</x:v>
      </x:c>
      <x:c r="F544" s="25" t="str">
        <x:v>蓝焰祷戒</x:v>
      </x:c>
      <x:c r="G544" s="25" t="n">
        <x:v>3</x:v>
      </x:c>
      <x:c r="H544" s="25" t="str">
        <x:v>处决时间</x:v>
      </x:c>
      <x:c r="I544" s="25" t="n">
        <x:v>1</x:v>
      </x:c>
      <x:c r="J544" s="25" t="n">
        <x:v>8</x:v>
      </x:c>
      <x:c r="K544" s="25" t="str">
        <x:v>仅装备原始基础值决定主属性范围</x:v>
      </x:c>
    </x:row>
    <x:row r="545">
      <x:c r="A545" s="25" t="str">
        <x:v>C05-G</x:v>
      </x:c>
      <x:c r="B545" s="25" t="str">
        <x:v>湖之利耶尼亚</x:v>
      </x:c>
      <x:c r="C545" s="25" t="str">
        <x:v>半急速毕业</x:v>
      </x:c>
      <x:c r="D545" s="25" t="n">
        <x:v>7</x:v>
      </x:c>
      <x:c r="E545" s="25" t="n">
        <x:v>103</x:v>
      </x:c>
      <x:c r="F545" s="25" t="str">
        <x:v>蓝焰祷戒</x:v>
      </x:c>
      <x:c r="G545" s="25" t="n">
        <x:v>4</x:v>
      </x:c>
      <x:c r="H545" s="25" t="str">
        <x:v>吸血</x:v>
      </x:c>
      <x:c r="I545" s="25" t="n">
        <x:v>1</x:v>
      </x:c>
      <x:c r="J545" s="25" t="n">
        <x:v>20</x:v>
      </x:c>
      <x:c r="K545" s="25" t="str">
        <x:v>仅装备原始基础值决定主属性范围</x:v>
      </x:c>
    </x:row>
    <x:row r="546">
      <x:c r="A546" s="25" t="str">
        <x:v>C05-G</x:v>
      </x:c>
      <x:c r="B546" s="25" t="str">
        <x:v>湖之利耶尼亚</x:v>
      </x:c>
      <x:c r="C546" s="25" t="str">
        <x:v>半急速毕业</x:v>
      </x:c>
      <x:c r="D546" s="25" t="n">
        <x:v>7</x:v>
      </x:c>
      <x:c r="E546" s="25" t="n">
        <x:v>103</x:v>
      </x:c>
      <x:c r="F546" s="25" t="str">
        <x:v>蓝焰祷戒</x:v>
      </x:c>
      <x:c r="G546" s="25" t="n">
        <x:v>5</x:v>
      </x:c>
      <x:c r="H546" s="25" t="str">
        <x:v>处决时间</x:v>
      </x:c>
      <x:c r="I546" s="25" t="n">
        <x:v>2</x:v>
      </x:c>
      <x:c r="J546" s="25" t="n">
        <x:v>9</x:v>
      </x:c>
      <x:c r="K546" s="25" t="str">
        <x:v>仅装备原始基础值决定主属性范围</x:v>
      </x:c>
    </x:row>
    <x:row r="547">
      <x:c r="A547" s="25" t="str">
        <x:v>C05-G</x:v>
      </x:c>
      <x:c r="B547" s="25" t="str">
        <x:v>湖之利耶尼亚</x:v>
      </x:c>
      <x:c r="C547" s="25" t="str">
        <x:v>半急速毕业</x:v>
      </x:c>
      <x:c r="D547" s="25" t="n">
        <x:v>7</x:v>
      </x:c>
      <x:c r="E547" s="25" t="n">
        <x:v>103</x:v>
      </x:c>
      <x:c r="F547" s="25" t="str">
        <x:v>蓝焰祷戒</x:v>
      </x:c>
      <x:c r="G547" s="25" t="n">
        <x:v>6</x:v>
      </x:c>
      <x:c r="H547" s="25" t="str">
        <x:v>攻击速度</x:v>
      </x:c>
      <x:c r="I547" s="25" t="n">
        <x:v>1</x:v>
      </x:c>
      <x:c r="J547" s="25" t="n">
        <x:v>4</x:v>
      </x:c>
      <x:c r="K547" s="25" t="str">
        <x:v>仅装备原始基础值决定主属性范围</x:v>
      </x:c>
    </x:row>
    <x:row r="548">
      <x:c r="A548" s="25" t="str">
        <x:v>C05-G</x:v>
      </x:c>
      <x:c r="B548" s="25" t="str">
        <x:v>湖之利耶尼亚</x:v>
      </x:c>
      <x:c r="C548" s="25" t="str">
        <x:v>半急速毕业</x:v>
      </x:c>
      <x:c r="D548" s="25" t="n">
        <x:v>7</x:v>
      </x:c>
      <x:c r="E548" s="25" t="n">
        <x:v>103</x:v>
      </x:c>
      <x:c r="F548" s="25" t="str">
        <x:v>蓝焰祷戒</x:v>
      </x:c>
      <x:c r="G548" s="25" t="n">
        <x:v>7</x:v>
      </x:c>
      <x:c r="H548" s="25" t="str">
        <x:v>道术</x:v>
      </x:c>
      <x:c r="I548" s="25" t="n">
        <x:v>20</x:v>
      </x:c>
      <x:c r="J548" s="25" t="n">
        <x:v>3</x:v>
      </x:c>
      <x:c r="K548" s="25" t="str">
        <x:v>仅装备原始基础值决定主属性范围</x:v>
      </x:c>
    </x:row>
    <x:row r="549">
      <x:c r="A549" s="25" t="str">
        <x:v>C05-G</x:v>
      </x:c>
      <x:c r="B549" s="25" t="str">
        <x:v>湖之利耶尼亚</x:v>
      </x:c>
      <x:c r="C549" s="25" t="str">
        <x:v>半急速毕业</x:v>
      </x:c>
      <x:c r="D549" s="25" t="n">
        <x:v>8</x:v>
      </x:c>
      <x:c r="E549" s="25" t="n">
        <x:v>118</x:v>
      </x:c>
      <x:c r="F549" s="25" t="str">
        <x:v>月渊秘戒</x:v>
      </x:c>
      <x:c r="G549" s="25" t="n">
        <x:v>1</x:v>
      </x:c>
      <x:c r="H549" s="25" t="str">
        <x:v>攻击</x:v>
      </x:c>
      <x:c r="I549" s="25" t="n">
        <x:v>231</x:v>
      </x:c>
      <x:c r="J549" s="25" t="n">
        <x:v>1</x:v>
      </x:c>
      <x:c r="K549" s="25" t="str">
        <x:v>仅装备原始基础值决定主属性范围</x:v>
      </x:c>
    </x:row>
    <x:row r="550">
      <x:c r="A550" s="25" t="str">
        <x:v>C05-G</x:v>
      </x:c>
      <x:c r="B550" s="25" t="str">
        <x:v>湖之利耶尼亚</x:v>
      </x:c>
      <x:c r="C550" s="25" t="str">
        <x:v>半急速毕业</x:v>
      </x:c>
      <x:c r="D550" s="25" t="n">
        <x:v>8</x:v>
      </x:c>
      <x:c r="E550" s="25" t="n">
        <x:v>118</x:v>
      </x:c>
      <x:c r="F550" s="25" t="str">
        <x:v>月渊秘戒</x:v>
      </x:c>
      <x:c r="G550" s="25" t="n">
        <x:v>2</x:v>
      </x:c>
      <x:c r="H550" s="25" t="str">
        <x:v>攻击加成</x:v>
      </x:c>
      <x:c r="I550" s="25" t="n">
        <x:v>23</x:v>
      </x:c>
      <x:c r="J550" s="25" t="n">
        <x:v>18</x:v>
      </x:c>
      <x:c r="K550" s="25" t="str">
        <x:v>仅装备原始基础值决定主属性范围</x:v>
      </x:c>
    </x:row>
    <x:row r="551">
      <x:c r="A551" s="25" t="str">
        <x:v>C05-G</x:v>
      </x:c>
      <x:c r="B551" s="25" t="str">
        <x:v>湖之利耶尼亚</x:v>
      </x:c>
      <x:c r="C551" s="25" t="str">
        <x:v>半急速毕业</x:v>
      </x:c>
      <x:c r="D551" s="25" t="n">
        <x:v>10</x:v>
      </x:c>
      <x:c r="E551" s="25" t="n">
        <x:v>131</x:v>
      </x:c>
      <x:c r="F551" s="25" t="str">
        <x:v>汲月雾绦</x:v>
      </x:c>
      <x:c r="G551" s="25" t="n">
        <x:v>1</x:v>
      </x:c>
      <x:c r="H551" s="25" t="str">
        <x:v>最大爆率</x:v>
      </x:c>
      <x:c r="I551" s="25" t="n">
        <x:v>1</x:v>
      </x:c>
      <x:c r="J551" s="25" t="n">
        <x:v>22</x:v>
      </x:c>
      <x:c r="K551" s="25" t="str">
        <x:v>仅装备原始基础值决定主属性范围</x:v>
      </x:c>
    </x:row>
    <x:row r="552">
      <x:c r="A552" s="25" t="str">
        <x:v>C05-G</x:v>
      </x:c>
      <x:c r="B552" s="25" t="str">
        <x:v>湖之利耶尼亚</x:v>
      </x:c>
      <x:c r="C552" s="25" t="str">
        <x:v>半急速毕业</x:v>
      </x:c>
      <x:c r="D552" s="25" t="n">
        <x:v>10</x:v>
      </x:c>
      <x:c r="E552" s="25" t="n">
        <x:v>131</x:v>
      </x:c>
      <x:c r="F552" s="25" t="str">
        <x:v>汲月雾绦</x:v>
      </x:c>
      <x:c r="G552" s="25" t="n">
        <x:v>2</x:v>
      </x:c>
      <x:c r="H552" s="25" t="str">
        <x:v>攻击</x:v>
      </x:c>
      <x:c r="I552" s="25" t="n">
        <x:v>45</x:v>
      </x:c>
      <x:c r="J552" s="25" t="n">
        <x:v>1</x:v>
      </x:c>
      <x:c r="K552" s="25" t="str">
        <x:v>仅装备原始基础值决定主属性范围</x:v>
      </x:c>
    </x:row>
    <x:row r="553">
      <x:c r="A553" s="25" t="str">
        <x:v>C05-G</x:v>
      </x:c>
      <x:c r="B553" s="25" t="str">
        <x:v>湖之利耶尼亚</x:v>
      </x:c>
      <x:c r="C553" s="25" t="str">
        <x:v>半急速毕业</x:v>
      </x:c>
      <x:c r="D553" s="25" t="n">
        <x:v>10</x:v>
      </x:c>
      <x:c r="E553" s="25" t="n">
        <x:v>131</x:v>
      </x:c>
      <x:c r="F553" s="25" t="str">
        <x:v>汲月雾绦</x:v>
      </x:c>
      <x:c r="G553" s="25" t="n">
        <x:v>3</x:v>
      </x:c>
      <x:c r="H553" s="25" t="str">
        <x:v>魔法</x:v>
      </x:c>
      <x:c r="I553" s="25" t="n">
        <x:v>49</x:v>
      </x:c>
      <x:c r="J553" s="25" t="n">
        <x:v>2</x:v>
      </x:c>
      <x:c r="K553" s="25" t="str">
        <x:v>仅装备原始基础值决定主属性范围</x:v>
      </x:c>
    </x:row>
    <x:row r="554">
      <x:c r="A554" s="25" t="str">
        <x:v>C05-G</x:v>
      </x:c>
      <x:c r="B554" s="25" t="str">
        <x:v>湖之利耶尼亚</x:v>
      </x:c>
      <x:c r="C554" s="25" t="str">
        <x:v>半急速毕业</x:v>
      </x:c>
      <x:c r="D554" s="25" t="n">
        <x:v>10</x:v>
      </x:c>
      <x:c r="E554" s="25" t="n">
        <x:v>131</x:v>
      </x:c>
      <x:c r="F554" s="25" t="str">
        <x:v>汲月雾绦</x:v>
      </x:c>
      <x:c r="G554" s="25" t="n">
        <x:v>4</x:v>
      </x:c>
      <x:c r="H554" s="25" t="str">
        <x:v>攻击加成</x:v>
      </x:c>
      <x:c r="I554" s="25" t="n">
        <x:v>11</x:v>
      </x:c>
      <x:c r="J554" s="25" t="n">
        <x:v>18</x:v>
      </x:c>
      <x:c r="K554" s="25" t="str">
        <x:v>仅装备原始基础值决定主属性范围</x:v>
      </x:c>
    </x:row>
    <x:row r="555">
      <x:c r="A555" s="25" t="str">
        <x:v>C05-G</x:v>
      </x:c>
      <x:c r="B555" s="25" t="str">
        <x:v>湖之利耶尼亚</x:v>
      </x:c>
      <x:c r="C555" s="25" t="str">
        <x:v>半急速毕业</x:v>
      </x:c>
      <x:c r="D555" s="25" t="n">
        <x:v>10</x:v>
      </x:c>
      <x:c r="E555" s="25" t="n">
        <x:v>131</x:v>
      </x:c>
      <x:c r="F555" s="25" t="str">
        <x:v>汲月雾绦</x:v>
      </x:c>
      <x:c r="G555" s="25" t="n">
        <x:v>5</x:v>
      </x:c>
      <x:c r="H555" s="25" t="str">
        <x:v>处决概率</x:v>
      </x:c>
      <x:c r="I555" s="25" t="n">
        <x:v>1</x:v>
      </x:c>
      <x:c r="J555" s="25" t="n">
        <x:v>6</x:v>
      </x:c>
      <x:c r="K555" s="25" t="str">
        <x:v>仅装备原始基础值决定主属性范围</x:v>
      </x:c>
    </x:row>
    <x:row r="556">
      <x:c r="A556" s="25" t="str">
        <x:v>C05-G</x:v>
      </x:c>
      <x:c r="B556" s="25" t="str">
        <x:v>湖之利耶尼亚</x:v>
      </x:c>
      <x:c r="C556" s="25" t="str">
        <x:v>半急速毕业</x:v>
      </x:c>
      <x:c r="D556" s="25" t="n">
        <x:v>10</x:v>
      </x:c>
      <x:c r="E556" s="25" t="n">
        <x:v>131</x:v>
      </x:c>
      <x:c r="F556" s="25" t="str">
        <x:v>汲月雾绦</x:v>
      </x:c>
      <x:c r="G556" s="25" t="n">
        <x:v>6</x:v>
      </x:c>
      <x:c r="H556" s="25" t="str">
        <x:v>攻击加成</x:v>
      </x:c>
      <x:c r="I556" s="25" t="n">
        <x:v>5</x:v>
      </x:c>
      <x:c r="J556" s="25" t="n">
        <x:v>18</x:v>
      </x:c>
      <x:c r="K556" s="25" t="str">
        <x:v>仅装备原始基础值决定主属性范围</x:v>
      </x:c>
    </x:row>
    <x:row r="557">
      <x:c r="A557" s="25" t="str">
        <x:v>C05-G</x:v>
      </x:c>
      <x:c r="B557" s="25" t="str">
        <x:v>湖之利耶尼亚</x:v>
      </x:c>
      <x:c r="C557" s="25" t="str">
        <x:v>半急速毕业</x:v>
      </x:c>
      <x:c r="D557" s="25" t="n">
        <x:v>10</x:v>
      </x:c>
      <x:c r="E557" s="25" t="n">
        <x:v>131</x:v>
      </x:c>
      <x:c r="F557" s="25" t="str">
        <x:v>汲月雾绦</x:v>
      </x:c>
      <x:c r="G557" s="25" t="n">
        <x:v>7</x:v>
      </x:c>
      <x:c r="H557" s="25" t="str">
        <x:v>攻击加成</x:v>
      </x:c>
      <x:c r="I557" s="25" t="n">
        <x:v>14</x:v>
      </x:c>
      <x:c r="J557" s="25" t="n">
        <x:v>18</x:v>
      </x:c>
      <x:c r="K557" s="25" t="str">
        <x:v>仅装备原始基础值决定主属性范围</x:v>
      </x:c>
    </x:row>
    <x:row r="558">
      <x:c r="A558" s="25" t="str">
        <x:v>C05-G</x:v>
      </x:c>
      <x:c r="B558" s="25" t="str">
        <x:v>湖之利耶尼亚</x:v>
      </x:c>
      <x:c r="C558" s="25" t="str">
        <x:v>半急速毕业</x:v>
      </x:c>
      <x:c r="D558" s="25" t="n">
        <x:v>11</x:v>
      </x:c>
      <x:c r="E558" s="25" t="n">
        <x:v>94</x:v>
      </x:c>
      <x:c r="F558" s="25" t="str">
        <x:v>逐风征靴</x:v>
      </x:c>
      <x:c r="G558" s="25" t="n">
        <x:v>1</x:v>
      </x:c>
      <x:c r="H558" s="25" t="str">
        <x:v>魔法</x:v>
      </x:c>
      <x:c r="I558" s="25" t="n">
        <x:v>46</x:v>
      </x:c>
      <x:c r="J558" s="25" t="n">
        <x:v>2</x:v>
      </x:c>
      <x:c r="K558" s="25" t="str">
        <x:v>仅装备原始基础值决定主属性范围</x:v>
      </x:c>
    </x:row>
    <x:row r="559">
      <x:c r="A559" s="25" t="str">
        <x:v>C05-G</x:v>
      </x:c>
      <x:c r="B559" s="25" t="str">
        <x:v>湖之利耶尼亚</x:v>
      </x:c>
      <x:c r="C559" s="25" t="str">
        <x:v>半急速毕业</x:v>
      </x:c>
      <x:c r="D559" s="25" t="n">
        <x:v>11</x:v>
      </x:c>
      <x:c r="E559" s="25" t="n">
        <x:v>94</x:v>
      </x:c>
      <x:c r="F559" s="25" t="str">
        <x:v>逐风征靴</x:v>
      </x:c>
      <x:c r="G559" s="25" t="n">
        <x:v>2</x:v>
      </x:c>
      <x:c r="H559" s="25" t="str">
        <x:v>攻击加成</x:v>
      </x:c>
      <x:c r="I559" s="25" t="n">
        <x:v>30</x:v>
      </x:c>
      <x:c r="J559" s="25" t="n">
        <x:v>18</x:v>
      </x:c>
      <x:c r="K559" s="25" t="str">
        <x:v>仅装备原始基础值决定主属性范围</x:v>
      </x:c>
    </x:row>
    <x:row r="560">
      <x:c r="A560" s="25" t="str">
        <x:v>C05-G</x:v>
      </x:c>
      <x:c r="B560" s="25" t="str">
        <x:v>湖之利耶尼亚</x:v>
      </x:c>
      <x:c r="C560" s="25" t="str">
        <x:v>半急速毕业</x:v>
      </x:c>
      <x:c r="D560" s="25" t="n">
        <x:v>11</x:v>
      </x:c>
      <x:c r="E560" s="25" t="n">
        <x:v>94</x:v>
      </x:c>
      <x:c r="F560" s="25" t="str">
        <x:v>逐风征靴</x:v>
      </x:c>
      <x:c r="G560" s="25" t="n">
        <x:v>3</x:v>
      </x:c>
      <x:c r="H560" s="25" t="str">
        <x:v>攻击</x:v>
      </x:c>
      <x:c r="I560" s="25" t="n">
        <x:v>68</x:v>
      </x:c>
      <x:c r="J560" s="25" t="n">
        <x:v>1</x:v>
      </x:c>
      <x:c r="K560" s="25" t="str">
        <x:v>仅装备原始基础值决定主属性范围</x:v>
      </x:c>
    </x:row>
    <x:row r="561">
      <x:c r="A561" s="25" t="str">
        <x:v>C05-X</x:v>
      </x:c>
      <x:c r="B561" s="25" t="str">
        <x:v>湖之利耶尼亚</x:v>
      </x:c>
      <x:c r="C561" s="25" t="str">
        <x:v>极端压力</x:v>
      </x:c>
      <x:c r="D561" s="25" t="n">
        <x:v>0</x:v>
      </x:c>
      <x:c r="E561" s="25" t="n">
        <x:v>146</x:v>
      </x:c>
      <x:c r="F561" s="25" t="str">
        <x:v>司冕月蚀礼衣</x:v>
      </x:c>
      <x:c r="G561" s="25" t="n">
        <x:v>1</x:v>
      </x:c>
      <x:c r="H561" s="25" t="str">
        <x:v>攻击</x:v>
      </x:c>
      <x:c r="I561" s="25" t="n">
        <x:v>253</x:v>
      </x:c>
      <x:c r="J561" s="25" t="n">
        <x:v>1</x:v>
      </x:c>
      <x:c r="K561" s="25" t="str">
        <x:v>仅装备原始基础值决定主属性范围</x:v>
      </x:c>
    </x:row>
    <x:row r="562">
      <x:c r="A562" s="25" t="str">
        <x:v>C05-X</x:v>
      </x:c>
      <x:c r="B562" s="25" t="str">
        <x:v>湖之利耶尼亚</x:v>
      </x:c>
      <x:c r="C562" s="25" t="str">
        <x:v>极端压力</x:v>
      </x:c>
      <x:c r="D562" s="25" t="n">
        <x:v>0</x:v>
      </x:c>
      <x:c r="E562" s="25" t="n">
        <x:v>146</x:v>
      </x:c>
      <x:c r="F562" s="25" t="str">
        <x:v>司冕月蚀礼衣</x:v>
      </x:c>
      <x:c r="G562" s="25" t="n">
        <x:v>2</x:v>
      </x:c>
      <x:c r="H562" s="25" t="str">
        <x:v>暴击</x:v>
      </x:c>
      <x:c r="I562" s="25" t="n">
        <x:v>2</x:v>
      </x:c>
      <x:c r="J562" s="25" t="n">
        <x:v>15</x:v>
      </x:c>
      <x:c r="K562" s="25" t="str">
        <x:v>仅装备原始基础值决定主属性范围</x:v>
      </x:c>
    </x:row>
    <x:row r="563">
      <x:c r="A563" s="25" t="str">
        <x:v>C05-X</x:v>
      </x:c>
      <x:c r="B563" s="25" t="str">
        <x:v>湖之利耶尼亚</x:v>
      </x:c>
      <x:c r="C563" s="25" t="str">
        <x:v>极端压力</x:v>
      </x:c>
      <x:c r="D563" s="25" t="n">
        <x:v>0</x:v>
      </x:c>
      <x:c r="E563" s="25" t="n">
        <x:v>146</x:v>
      </x:c>
      <x:c r="F563" s="25" t="str">
        <x:v>司冕月蚀礼衣</x:v>
      </x:c>
      <x:c r="G563" s="25" t="n">
        <x:v>3</x:v>
      </x:c>
      <x:c r="H563" s="25" t="str">
        <x:v>处决时间</x:v>
      </x:c>
      <x:c r="I563" s="25" t="n">
        <x:v>1</x:v>
      </x:c>
      <x:c r="J563" s="25" t="n">
        <x:v>8</x:v>
      </x:c>
      <x:c r="K563" s="25" t="str">
        <x:v>仅装备原始基础值决定主属性范围</x:v>
      </x:c>
    </x:row>
    <x:row r="564">
      <x:c r="A564" s="25" t="str">
        <x:v>C05-X</x:v>
      </x:c>
      <x:c r="B564" s="25" t="str">
        <x:v>湖之利耶尼亚</x:v>
      </x:c>
      <x:c r="C564" s="25" t="str">
        <x:v>极端压力</x:v>
      </x:c>
      <x:c r="D564" s="25" t="n">
        <x:v>0</x:v>
      </x:c>
      <x:c r="E564" s="25" t="n">
        <x:v>146</x:v>
      </x:c>
      <x:c r="F564" s="25" t="str">
        <x:v>司冕月蚀礼衣</x:v>
      </x:c>
      <x:c r="G564" s="25" t="n">
        <x:v>4</x:v>
      </x:c>
      <x:c r="H564" s="25" t="str">
        <x:v>暴击</x:v>
      </x:c>
      <x:c r="I564" s="25" t="n">
        <x:v>2</x:v>
      </x:c>
      <x:c r="J564" s="25" t="n">
        <x:v>15</x:v>
      </x:c>
      <x:c r="K564" s="25" t="str">
        <x:v>仅装备原始基础值决定主属性范围</x:v>
      </x:c>
    </x:row>
    <x:row r="565">
      <x:c r="A565" s="25" t="str">
        <x:v>C05-X</x:v>
      </x:c>
      <x:c r="B565" s="25" t="str">
        <x:v>湖之利耶尼亚</x:v>
      </x:c>
      <x:c r="C565" s="25" t="str">
        <x:v>极端压力</x:v>
      </x:c>
      <x:c r="D565" s="25" t="n">
        <x:v>0</x:v>
      </x:c>
      <x:c r="E565" s="25" t="n">
        <x:v>146</x:v>
      </x:c>
      <x:c r="F565" s="25" t="str">
        <x:v>司冕月蚀礼衣</x:v>
      </x:c>
      <x:c r="G565" s="25" t="n">
        <x:v>5</x:v>
      </x:c>
      <x:c r="H565" s="25" t="str">
        <x:v>伤害系数</x:v>
      </x:c>
      <x:c r="I565" s="25" t="n">
        <x:v>3</x:v>
      </x:c>
      <x:c r="J565" s="25" t="n">
        <x:v>27</x:v>
      </x:c>
      <x:c r="K565" s="25" t="str">
        <x:v>仅装备原始基础值决定主属性范围</x:v>
      </x:c>
    </x:row>
    <x:row r="566">
      <x:c r="A566" s="25" t="str">
        <x:v>C05-X</x:v>
      </x:c>
      <x:c r="B566" s="25" t="str">
        <x:v>湖之利耶尼亚</x:v>
      </x:c>
      <x:c r="C566" s="25" t="str">
        <x:v>极端压力</x:v>
      </x:c>
      <x:c r="D566" s="25" t="n">
        <x:v>1</x:v>
      </x:c>
      <x:c r="E566" s="25" t="n">
        <x:v>126</x:v>
      </x:c>
      <x:c r="F566" s="25" t="str">
        <x:v>卡利亚月裁长刃</x:v>
      </x:c>
      <x:c r="G566" s="25" t="n">
        <x:v>1</x:v>
      </x:c>
      <x:c r="H566" s="25" t="str">
        <x:v>攻击</x:v>
      </x:c>
      <x:c r="I566" s="25" t="n">
        <x:v>3726</x:v>
      </x:c>
      <x:c r="J566" s="25" t="n">
        <x:v>1</x:v>
      </x:c>
      <x:c r="K566" s="25" t="str">
        <x:v>仅装备原始基础值决定主属性范围</x:v>
      </x:c>
    </x:row>
    <x:row r="567">
      <x:c r="A567" s="25" t="str">
        <x:v>C05-X</x:v>
      </x:c>
      <x:c r="B567" s="25" t="str">
        <x:v>湖之利耶尼亚</x:v>
      </x:c>
      <x:c r="C567" s="25" t="str">
        <x:v>极端压力</x:v>
      </x:c>
      <x:c r="D567" s="25" t="n">
        <x:v>1</x:v>
      </x:c>
      <x:c r="E567" s="25" t="n">
        <x:v>126</x:v>
      </x:c>
      <x:c r="F567" s="25" t="str">
        <x:v>卡利亚月裁长刃</x:v>
      </x:c>
      <x:c r="G567" s="25" t="n">
        <x:v>2</x:v>
      </x:c>
      <x:c r="H567" s="25" t="str">
        <x:v>攻击</x:v>
      </x:c>
      <x:c r="I567" s="25" t="n">
        <x:v>951</x:v>
      </x:c>
      <x:c r="J567" s="25" t="n">
        <x:v>1</x:v>
      </x:c>
      <x:c r="K567" s="25" t="str">
        <x:v>仅装备原始基础值决定主属性范围</x:v>
      </x:c>
    </x:row>
    <x:row r="568">
      <x:c r="A568" s="25" t="str">
        <x:v>C05-X</x:v>
      </x:c>
      <x:c r="B568" s="25" t="str">
        <x:v>湖之利耶尼亚</x:v>
      </x:c>
      <x:c r="C568" s="25" t="str">
        <x:v>极端压力</x:v>
      </x:c>
      <x:c r="D568" s="25" t="n">
        <x:v>3</x:v>
      </x:c>
      <x:c r="E568" s="25" t="n">
        <x:v>147</x:v>
      </x:c>
      <x:c r="F568" s="25" t="str">
        <x:v>镜刃王室链</x:v>
      </x:c>
      <x:c r="G568" s="25" t="n">
        <x:v>1</x:v>
      </x:c>
      <x:c r="H568" s="25" t="str">
        <x:v>攻击速度</x:v>
      </x:c>
      <x:c r="I568" s="25" t="n">
        <x:v>2</x:v>
      </x:c>
      <x:c r="J568" s="25" t="n">
        <x:v>5</x:v>
      </x:c>
      <x:c r="K568" s="25" t="str">
        <x:v>仅装备原始基础值决定主属性范围</x:v>
      </x:c>
    </x:row>
    <x:row r="569">
      <x:c r="A569" s="25" t="str">
        <x:v>C05-X</x:v>
      </x:c>
      <x:c r="B569" s="25" t="str">
        <x:v>湖之利耶尼亚</x:v>
      </x:c>
      <x:c r="C569" s="25" t="str">
        <x:v>极端压力</x:v>
      </x:c>
      <x:c r="D569" s="25" t="n">
        <x:v>3</x:v>
      </x:c>
      <x:c r="E569" s="25" t="n">
        <x:v>147</x:v>
      </x:c>
      <x:c r="F569" s="25" t="str">
        <x:v>镜刃王室链</x:v>
      </x:c>
      <x:c r="G569" s="25" t="n">
        <x:v>2</x:v>
      </x:c>
      <x:c r="H569" s="25" t="str">
        <x:v>攻击加成</x:v>
      </x:c>
      <x:c r="I569" s="25" t="n">
        <x:v>35</x:v>
      </x:c>
      <x:c r="J569" s="25" t="n">
        <x:v>19</x:v>
      </x:c>
      <x:c r="K569" s="25" t="str">
        <x:v>仅装备原始基础值决定主属性范围</x:v>
      </x:c>
    </x:row>
    <x:row r="570">
      <x:c r="A570" s="25" t="str">
        <x:v>C05-X</x:v>
      </x:c>
      <x:c r="B570" s="25" t="str">
        <x:v>湖之利耶尼亚</x:v>
      </x:c>
      <x:c r="C570" s="25" t="str">
        <x:v>极端压力</x:v>
      </x:c>
      <x:c r="D570" s="25" t="n">
        <x:v>3</x:v>
      </x:c>
      <x:c r="E570" s="25" t="n">
        <x:v>147</x:v>
      </x:c>
      <x:c r="F570" s="25" t="str">
        <x:v>镜刃王室链</x:v>
      </x:c>
      <x:c r="G570" s="25" t="n">
        <x:v>3</x:v>
      </x:c>
      <x:c r="H570" s="25" t="str">
        <x:v>攻击加成</x:v>
      </x:c>
      <x:c r="I570" s="25" t="n">
        <x:v>42</x:v>
      </x:c>
      <x:c r="J570" s="25" t="n">
        <x:v>19</x:v>
      </x:c>
      <x:c r="K570" s="25" t="str">
        <x:v>仅装备原始基础值决定主属性范围</x:v>
      </x:c>
    </x:row>
    <x:row r="571">
      <x:c r="A571" s="25" t="str">
        <x:v>C05-X</x:v>
      </x:c>
      <x:c r="B571" s="25" t="str">
        <x:v>湖之利耶尼亚</x:v>
      </x:c>
      <x:c r="C571" s="25" t="str">
        <x:v>极端压力</x:v>
      </x:c>
      <x:c r="D571" s="25" t="n">
        <x:v>4</x:v>
      </x:c>
      <x:c r="E571" s="25" t="n">
        <x:v>122</x:v>
      </x:c>
      <x:c r="F571" s="25" t="str">
        <x:v>镜荷眠梦冠</x:v>
      </x:c>
      <x:c r="G571" s="25" t="n">
        <x:v>1</x:v>
      </x:c>
      <x:c r="H571" s="25" t="str">
        <x:v>处决概率</x:v>
      </x:c>
      <x:c r="I571" s="25" t="n">
        <x:v>1</x:v>
      </x:c>
      <x:c r="J571" s="25" t="n">
        <x:v>6</x:v>
      </x:c>
      <x:c r="K571" s="25" t="str">
        <x:v>仅装备原始基础值决定主属性范围</x:v>
      </x:c>
    </x:row>
    <x:row r="572">
      <x:c r="A572" s="25" t="str">
        <x:v>C05-X</x:v>
      </x:c>
      <x:c r="B572" s="25" t="str">
        <x:v>湖之利耶尼亚</x:v>
      </x:c>
      <x:c r="C572" s="25" t="str">
        <x:v>极端压力</x:v>
      </x:c>
      <x:c r="D572" s="25" t="n">
        <x:v>4</x:v>
      </x:c>
      <x:c r="E572" s="25" t="n">
        <x:v>122</x:v>
      </x:c>
      <x:c r="F572" s="25" t="str">
        <x:v>镜荷眠梦冠</x:v>
      </x:c>
      <x:c r="G572" s="25" t="n">
        <x:v>2</x:v>
      </x:c>
      <x:c r="H572" s="25" t="str">
        <x:v>攻击加成</x:v>
      </x:c>
      <x:c r="I572" s="25" t="n">
        <x:v>19</x:v>
      </x:c>
      <x:c r="J572" s="25" t="n">
        <x:v>18</x:v>
      </x:c>
      <x:c r="K572" s="25" t="str">
        <x:v>仅装备原始基础值决定主属性范围</x:v>
      </x:c>
    </x:row>
    <x:row r="573">
      <x:c r="A573" s="25" t="str">
        <x:v>C05-X</x:v>
      </x:c>
      <x:c r="B573" s="25" t="str">
        <x:v>湖之利耶尼亚</x:v>
      </x:c>
      <x:c r="C573" s="25" t="str">
        <x:v>极端压力</x:v>
      </x:c>
      <x:c r="D573" s="25" t="n">
        <x:v>4</x:v>
      </x:c>
      <x:c r="E573" s="25" t="n">
        <x:v>122</x:v>
      </x:c>
      <x:c r="F573" s="25" t="str">
        <x:v>镜荷眠梦冠</x:v>
      </x:c>
      <x:c r="G573" s="25" t="n">
        <x:v>3</x:v>
      </x:c>
      <x:c r="H573" s="25" t="str">
        <x:v>攻击加成</x:v>
      </x:c>
      <x:c r="I573" s="25" t="n">
        <x:v>49</x:v>
      </x:c>
      <x:c r="J573" s="25" t="n">
        <x:v>19</x:v>
      </x:c>
      <x:c r="K573" s="25" t="str">
        <x:v>仅装备原始基础值决定主属性范围</x:v>
      </x:c>
    </x:row>
    <x:row r="574">
      <x:c r="A574" s="25" t="str">
        <x:v>C05-X</x:v>
      </x:c>
      <x:c r="B574" s="25" t="str">
        <x:v>湖之利耶尼亚</x:v>
      </x:c>
      <x:c r="C574" s="25" t="str">
        <x:v>极端压力</x:v>
      </x:c>
      <x:c r="D574" s="25" t="n">
        <x:v>4</x:v>
      </x:c>
      <x:c r="E574" s="25" t="n">
        <x:v>122</x:v>
      </x:c>
      <x:c r="F574" s="25" t="str">
        <x:v>镜荷眠梦冠</x:v>
      </x:c>
      <x:c r="G574" s="25" t="n">
        <x:v>4</x:v>
      </x:c>
      <x:c r="H574" s="25" t="str">
        <x:v>处决时间</x:v>
      </x:c>
      <x:c r="I574" s="25" t="n">
        <x:v>1</x:v>
      </x:c>
      <x:c r="J574" s="25" t="n">
        <x:v>8</x:v>
      </x:c>
      <x:c r="K574" s="25" t="str">
        <x:v>仅装备原始基础值决定主属性范围</x:v>
      </x:c>
    </x:row>
    <x:row r="575">
      <x:c r="A575" s="25" t="str">
        <x:v>C05-X</x:v>
      </x:c>
      <x:c r="B575" s="25" t="str">
        <x:v>湖之利耶尼亚</x:v>
      </x:c>
      <x:c r="C575" s="25" t="str">
        <x:v>极端压力</x:v>
      </x:c>
      <x:c r="D575" s="25" t="n">
        <x:v>5</x:v>
      </x:c>
      <x:c r="E575" s="25" t="n">
        <x:v>113</x:v>
      </x:c>
      <x:c r="F575" s="25" t="str">
        <x:v>百指腕甲</x:v>
      </x:c>
      <x:c r="G575" s="25" t="n">
        <x:v>1</x:v>
      </x:c>
      <x:c r="H575" s="25" t="str">
        <x:v>攻击加成</x:v>
      </x:c>
      <x:c r="I575" s="25" t="n">
        <x:v>19</x:v>
      </x:c>
      <x:c r="J575" s="25" t="n">
        <x:v>18</x:v>
      </x:c>
      <x:c r="K575" s="25" t="str">
        <x:v>仅装备原始基础值决定主属性范围</x:v>
      </x:c>
    </x:row>
    <x:row r="576">
      <x:c r="A576" s="25" t="str">
        <x:v>C05-X</x:v>
      </x:c>
      <x:c r="B576" s="25" t="str">
        <x:v>湖之利耶尼亚</x:v>
      </x:c>
      <x:c r="C576" s="25" t="str">
        <x:v>极端压力</x:v>
      </x:c>
      <x:c r="D576" s="25" t="n">
        <x:v>5</x:v>
      </x:c>
      <x:c r="E576" s="25" t="n">
        <x:v>113</x:v>
      </x:c>
      <x:c r="F576" s="25" t="str">
        <x:v>百指腕甲</x:v>
      </x:c>
      <x:c r="G576" s="25" t="n">
        <x:v>2</x:v>
      </x:c>
      <x:c r="H576" s="25" t="str">
        <x:v>攻击加成</x:v>
      </x:c>
      <x:c r="I576" s="25" t="n">
        <x:v>44</x:v>
      </x:c>
      <x:c r="J576" s="25" t="n">
        <x:v>19</x:v>
      </x:c>
      <x:c r="K576" s="25" t="str">
        <x:v>仅装备原始基础值决定主属性范围</x:v>
      </x:c>
    </x:row>
    <x:row r="577">
      <x:c r="A577" s="25" t="str">
        <x:v>C05-X</x:v>
      </x:c>
      <x:c r="B577" s="25" t="str">
        <x:v>湖之利耶尼亚</x:v>
      </x:c>
      <x:c r="C577" s="25" t="str">
        <x:v>极端压力</x:v>
      </x:c>
      <x:c r="D577" s="25" t="n">
        <x:v>6</x:v>
      </x:c>
      <x:c r="E577" s="25" t="n">
        <x:v>68</x:v>
      </x:c>
      <x:c r="F577" s="25" t="str">
        <x:v>百指接肢腕</x:v>
      </x:c>
      <x:c r="G577" s="25" t="n">
        <x:v>1</x:v>
      </x:c>
      <x:c r="H577" s="25" t="str">
        <x:v>处决伤害</x:v>
      </x:c>
      <x:c r="I577" s="25" t="n">
        <x:v>1</x:v>
      </x:c>
      <x:c r="J577" s="25" t="n">
        <x:v>10</x:v>
      </x:c>
      <x:c r="K577" s="25" t="str">
        <x:v>仅装备原始基础值决定主属性范围</x:v>
      </x:c>
    </x:row>
    <x:row r="578">
      <x:c r="A578" s="25" t="str">
        <x:v>C05-X</x:v>
      </x:c>
      <x:c r="B578" s="25" t="str">
        <x:v>湖之利耶尼亚</x:v>
      </x:c>
      <x:c r="C578" s="25" t="str">
        <x:v>极端压力</x:v>
      </x:c>
      <x:c r="D578" s="25" t="n">
        <x:v>6</x:v>
      </x:c>
      <x:c r="E578" s="25" t="n">
        <x:v>68</x:v>
      </x:c>
      <x:c r="F578" s="25" t="str">
        <x:v>百指接肢腕</x:v>
      </x:c>
      <x:c r="G578" s="25" t="n">
        <x:v>2</x:v>
      </x:c>
      <x:c r="H578" s="25" t="str">
        <x:v>攻击加成</x:v>
      </x:c>
      <x:c r="I578" s="25" t="n">
        <x:v>28</x:v>
      </x:c>
      <x:c r="J578" s="25" t="n">
        <x:v>18</x:v>
      </x:c>
      <x:c r="K578" s="25" t="str">
        <x:v>仅装备原始基础值决定主属性范围</x:v>
      </x:c>
    </x:row>
    <x:row r="579">
      <x:c r="A579" s="25" t="str">
        <x:v>C05-X</x:v>
      </x:c>
      <x:c r="B579" s="25" t="str">
        <x:v>湖之利耶尼亚</x:v>
      </x:c>
      <x:c r="C579" s="25" t="str">
        <x:v>极端压力</x:v>
      </x:c>
      <x:c r="D579" s="25" t="n">
        <x:v>6</x:v>
      </x:c>
      <x:c r="E579" s="25" t="n">
        <x:v>68</x:v>
      </x:c>
      <x:c r="F579" s="25" t="str">
        <x:v>百指接肢腕</x:v>
      </x:c>
      <x:c r="G579" s="25" t="n">
        <x:v>3</x:v>
      </x:c>
      <x:c r="H579" s="25" t="str">
        <x:v>攻击加成</x:v>
      </x:c>
      <x:c r="I579" s="25" t="n">
        <x:v>45</x:v>
      </x:c>
      <x:c r="J579" s="25" t="n">
        <x:v>19</x:v>
      </x:c>
      <x:c r="K579" s="25" t="str">
        <x:v>仅装备原始基础值决定主属性范围</x:v>
      </x:c>
    </x:row>
    <x:row r="580">
      <x:c r="A580" s="25" t="str">
        <x:v>C05-X</x:v>
      </x:c>
      <x:c r="B580" s="25" t="str">
        <x:v>湖之利耶尼亚</x:v>
      </x:c>
      <x:c r="C580" s="25" t="str">
        <x:v>极端压力</x:v>
      </x:c>
      <x:c r="D580" s="25" t="n">
        <x:v>6</x:v>
      </x:c>
      <x:c r="E580" s="25" t="n">
        <x:v>68</x:v>
      </x:c>
      <x:c r="F580" s="25" t="str">
        <x:v>百指接肢腕</x:v>
      </x:c>
      <x:c r="G580" s="25" t="n">
        <x:v>4</x:v>
      </x:c>
      <x:c r="H580" s="25" t="str">
        <x:v>处决伤害</x:v>
      </x:c>
      <x:c r="I580" s="25" t="n">
        <x:v>2</x:v>
      </x:c>
      <x:c r="J580" s="25" t="n">
        <x:v>11</x:v>
      </x:c>
      <x:c r="K580" s="25" t="str">
        <x:v>仅装备原始基础值决定主属性范围</x:v>
      </x:c>
    </x:row>
    <x:row r="581">
      <x:c r="A581" s="25" t="str">
        <x:v>C05-X</x:v>
      </x:c>
      <x:c r="B581" s="25" t="str">
        <x:v>湖之利耶尼亚</x:v>
      </x:c>
      <x:c r="C581" s="25" t="str">
        <x:v>极端压力</x:v>
      </x:c>
      <x:c r="D581" s="25" t="n">
        <x:v>6</x:v>
      </x:c>
      <x:c r="E581" s="25" t="n">
        <x:v>68</x:v>
      </x:c>
      <x:c r="F581" s="25" t="str">
        <x:v>百指接肢腕</x:v>
      </x:c>
      <x:c r="G581" s="25" t="n">
        <x:v>5</x:v>
      </x:c>
      <x:c r="H581" s="25" t="str">
        <x:v>暴击</x:v>
      </x:c>
      <x:c r="I581" s="25" t="n">
        <x:v>1</x:v>
      </x:c>
      <x:c r="J581" s="25" t="n">
        <x:v>14</x:v>
      </x:c>
      <x:c r="K581" s="25" t="str">
        <x:v>仅装备原始基础值决定主属性范围</x:v>
      </x:c>
    </x:row>
    <x:row r="582">
      <x:c r="A582" s="25" t="str">
        <x:v>C05-X</x:v>
      </x:c>
      <x:c r="B582" s="25" t="str">
        <x:v>湖之利耶尼亚</x:v>
      </x:c>
      <x:c r="C582" s="25" t="str">
        <x:v>极端压力</x:v>
      </x:c>
      <x:c r="D582" s="25" t="n">
        <x:v>7</x:v>
      </x:c>
      <x:c r="E582" s="25" t="n">
        <x:v>148</x:v>
      </x:c>
      <x:c r="F582" s="25" t="str">
        <x:v>月渊秘戒</x:v>
      </x:c>
      <x:c r="G582" s="25" t="n">
        <x:v>1</x:v>
      </x:c>
      <x:c r="H582" s="25" t="str">
        <x:v>攻击</x:v>
      </x:c>
      <x:c r="I582" s="25" t="n">
        <x:v>303</x:v>
      </x:c>
      <x:c r="J582" s="25" t="n">
        <x:v>1</x:v>
      </x:c>
      <x:c r="K582" s="25" t="str">
        <x:v>仅装备原始基础值决定主属性范围</x:v>
      </x:c>
    </x:row>
    <x:row r="583">
      <x:c r="A583" s="25" t="str">
        <x:v>C05-X</x:v>
      </x:c>
      <x:c r="B583" s="25" t="str">
        <x:v>湖之利耶尼亚</x:v>
      </x:c>
      <x:c r="C583" s="25" t="str">
        <x:v>极端压力</x:v>
      </x:c>
      <x:c r="D583" s="25" t="n">
        <x:v>7</x:v>
      </x:c>
      <x:c r="E583" s="25" t="n">
        <x:v>148</x:v>
      </x:c>
      <x:c r="F583" s="25" t="str">
        <x:v>月渊秘戒</x:v>
      </x:c>
      <x:c r="G583" s="25" t="n">
        <x:v>2</x:v>
      </x:c>
      <x:c r="H583" s="25" t="str">
        <x:v>攻击速度</x:v>
      </x:c>
      <x:c r="I583" s="25" t="n">
        <x:v>1</x:v>
      </x:c>
      <x:c r="J583" s="25" t="n">
        <x:v>4</x:v>
      </x:c>
      <x:c r="K583" s="25" t="str">
        <x:v>仅装备原始基础值决定主属性范围</x:v>
      </x:c>
    </x:row>
    <x:row r="584">
      <x:c r="A584" s="25" t="str">
        <x:v>C05-X</x:v>
      </x:c>
      <x:c r="B584" s="25" t="str">
        <x:v>湖之利耶尼亚</x:v>
      </x:c>
      <x:c r="C584" s="25" t="str">
        <x:v>极端压力</x:v>
      </x:c>
      <x:c r="D584" s="25" t="n">
        <x:v>7</x:v>
      </x:c>
      <x:c r="E584" s="25" t="n">
        <x:v>148</x:v>
      </x:c>
      <x:c r="F584" s="25" t="str">
        <x:v>月渊秘戒</x:v>
      </x:c>
      <x:c r="G584" s="25" t="n">
        <x:v>3</x:v>
      </x:c>
      <x:c r="H584" s="25" t="str">
        <x:v>魔法</x:v>
      </x:c>
      <x:c r="I584" s="25" t="n">
        <x:v>37</x:v>
      </x:c>
      <x:c r="J584" s="25" t="n">
        <x:v>2</x:v>
      </x:c>
      <x:c r="K584" s="25" t="str">
        <x:v>仅装备原始基础值决定主属性范围</x:v>
      </x:c>
    </x:row>
    <x:row r="585">
      <x:c r="A585" s="25" t="str">
        <x:v>C05-X</x:v>
      </x:c>
      <x:c r="B585" s="25" t="str">
        <x:v>湖之利耶尼亚</x:v>
      </x:c>
      <x:c r="C585" s="25" t="str">
        <x:v>极端压力</x:v>
      </x:c>
      <x:c r="D585" s="25" t="n">
        <x:v>7</x:v>
      </x:c>
      <x:c r="E585" s="25" t="n">
        <x:v>148</x:v>
      </x:c>
      <x:c r="F585" s="25" t="str">
        <x:v>月渊秘戒</x:v>
      </x:c>
      <x:c r="G585" s="25" t="n">
        <x:v>4</x:v>
      </x:c>
      <x:c r="H585" s="25" t="str">
        <x:v>魔法</x:v>
      </x:c>
      <x:c r="I585" s="25" t="n">
        <x:v>268</x:v>
      </x:c>
      <x:c r="J585" s="25" t="n">
        <x:v>2</x:v>
      </x:c>
      <x:c r="K585" s="25" t="str">
        <x:v>仅装备原始基础值决定主属性范围</x:v>
      </x:c>
    </x:row>
    <x:row r="586">
      <x:c r="A586" s="25" t="str">
        <x:v>C05-X</x:v>
      </x:c>
      <x:c r="B586" s="25" t="str">
        <x:v>湖之利耶尼亚</x:v>
      </x:c>
      <x:c r="C586" s="25" t="str">
        <x:v>极端压力</x:v>
      </x:c>
      <x:c r="D586" s="25" t="n">
        <x:v>7</x:v>
      </x:c>
      <x:c r="E586" s="25" t="n">
        <x:v>148</x:v>
      </x:c>
      <x:c r="F586" s="25" t="str">
        <x:v>月渊秘戒</x:v>
      </x:c>
      <x:c r="G586" s="25" t="n">
        <x:v>5</x:v>
      </x:c>
      <x:c r="H586" s="25" t="str">
        <x:v>攻击</x:v>
      </x:c>
      <x:c r="I586" s="25" t="n">
        <x:v>169</x:v>
      </x:c>
      <x:c r="J586" s="25" t="n">
        <x:v>1</x:v>
      </x:c>
      <x:c r="K586" s="25" t="str">
        <x:v>仅装备原始基础值决定主属性范围</x:v>
      </x:c>
    </x:row>
    <x:row r="587">
      <x:c r="A587" s="25" t="str">
        <x:v>C05-X</x:v>
      </x:c>
      <x:c r="B587" s="25" t="str">
        <x:v>湖之利耶尼亚</x:v>
      </x:c>
      <x:c r="C587" s="25" t="str">
        <x:v>极端压力</x:v>
      </x:c>
      <x:c r="D587" s="25" t="n">
        <x:v>7</x:v>
      </x:c>
      <x:c r="E587" s="25" t="n">
        <x:v>148</x:v>
      </x:c>
      <x:c r="F587" s="25" t="str">
        <x:v>月渊秘戒</x:v>
      </x:c>
      <x:c r="G587" s="25" t="n">
        <x:v>6</x:v>
      </x:c>
      <x:c r="H587" s="25" t="str">
        <x:v>韧性</x:v>
      </x:c>
      <x:c r="I587" s="25" t="n">
        <x:v>10</x:v>
      </x:c>
      <x:c r="J587" s="25" t="n">
        <x:v>12</x:v>
      </x:c>
      <x:c r="K587" s="25" t="str">
        <x:v>仅装备原始基础值决定主属性范围</x:v>
      </x:c>
    </x:row>
    <x:row r="588">
      <x:c r="A588" s="25" t="str">
        <x:v>C05-X</x:v>
      </x:c>
      <x:c r="B588" s="25" t="str">
        <x:v>湖之利耶尼亚</x:v>
      </x:c>
      <x:c r="C588" s="25" t="str">
        <x:v>极端压力</x:v>
      </x:c>
      <x:c r="D588" s="25" t="n">
        <x:v>8</x:v>
      </x:c>
      <x:c r="E588" s="25" t="n">
        <x:v>118</x:v>
      </x:c>
      <x:c r="F588" s="25" t="str">
        <x:v>月渊秘戒</x:v>
      </x:c>
      <x:c r="G588" s="25" t="n">
        <x:v>1</x:v>
      </x:c>
      <x:c r="H588" s="25" t="str">
        <x:v>攻击加成</x:v>
      </x:c>
      <x:c r="I588" s="25" t="n">
        <x:v>39</x:v>
      </x:c>
      <x:c r="J588" s="25" t="n">
        <x:v>19</x:v>
      </x:c>
      <x:c r="K588" s="25" t="str">
        <x:v>仅装备原始基础值决定主属性范围</x:v>
      </x:c>
    </x:row>
    <x:row r="589">
      <x:c r="A589" s="25" t="str">
        <x:v>C05-X</x:v>
      </x:c>
      <x:c r="B589" s="25" t="str">
        <x:v>湖之利耶尼亚</x:v>
      </x:c>
      <x:c r="C589" s="25" t="str">
        <x:v>极端压力</x:v>
      </x:c>
      <x:c r="D589" s="25" t="n">
        <x:v>8</x:v>
      </x:c>
      <x:c r="E589" s="25" t="n">
        <x:v>118</x:v>
      </x:c>
      <x:c r="F589" s="25" t="str">
        <x:v>月渊秘戒</x:v>
      </x:c>
      <x:c r="G589" s="25" t="n">
        <x:v>2</x:v>
      </x:c>
      <x:c r="H589" s="25" t="str">
        <x:v>攻击加成</x:v>
      </x:c>
      <x:c r="I589" s="25" t="n">
        <x:v>29</x:v>
      </x:c>
      <x:c r="J589" s="25" t="n">
        <x:v>18</x:v>
      </x:c>
      <x:c r="K589" s="25" t="str">
        <x:v>仅装备原始基础值决定主属性范围</x:v>
      </x:c>
    </x:row>
    <x:row r="590">
      <x:c r="A590" s="25" t="str">
        <x:v>C05-X</x:v>
      </x:c>
      <x:c r="B590" s="25" t="str">
        <x:v>湖之利耶尼亚</x:v>
      </x:c>
      <x:c r="C590" s="25" t="str">
        <x:v>极端压力</x:v>
      </x:c>
      <x:c r="D590" s="25" t="n">
        <x:v>10</x:v>
      </x:c>
      <x:c r="E590" s="25" t="n">
        <x:v>144</x:v>
      </x:c>
      <x:c r="F590" s="25" t="str">
        <x:v>闭潮王带</x:v>
      </x:c>
      <x:c r="G590" s="25" t="n">
        <x:v>1</x:v>
      </x:c>
      <x:c r="H590" s="25" t="str">
        <x:v>吸血</x:v>
      </x:c>
      <x:c r="I590" s="25" t="n">
        <x:v>1</x:v>
      </x:c>
      <x:c r="J590" s="25" t="n">
        <x:v>20</x:v>
      </x:c>
      <x:c r="K590" s="25" t="str">
        <x:v>仅装备原始基础值决定主属性范围</x:v>
      </x:c>
    </x:row>
    <x:row r="591">
      <x:c r="A591" s="25" t="str">
        <x:v>C05-X</x:v>
      </x:c>
      <x:c r="B591" s="25" t="str">
        <x:v>湖之利耶尼亚</x:v>
      </x:c>
      <x:c r="C591" s="25" t="str">
        <x:v>极端压力</x:v>
      </x:c>
      <x:c r="D591" s="25" t="n">
        <x:v>10</x:v>
      </x:c>
      <x:c r="E591" s="25" t="n">
        <x:v>144</x:v>
      </x:c>
      <x:c r="F591" s="25" t="str">
        <x:v>闭潮王带</x:v>
      </x:c>
      <x:c r="G591" s="25" t="n">
        <x:v>2</x:v>
      </x:c>
      <x:c r="H591" s="25" t="str">
        <x:v>攻击</x:v>
      </x:c>
      <x:c r="I591" s="25" t="n">
        <x:v>192</x:v>
      </x:c>
      <x:c r="J591" s="25" t="n">
        <x:v>1</x:v>
      </x:c>
      <x:c r="K591" s="25" t="str">
        <x:v>仅装备原始基础值决定主属性范围</x:v>
      </x:c>
    </x:row>
    <x:row r="592">
      <x:c r="A592" s="25" t="str">
        <x:v>C05-X</x:v>
      </x:c>
      <x:c r="B592" s="25" t="str">
        <x:v>湖之利耶尼亚</x:v>
      </x:c>
      <x:c r="C592" s="25" t="str">
        <x:v>极端压力</x:v>
      </x:c>
      <x:c r="D592" s="25" t="n">
        <x:v>10</x:v>
      </x:c>
      <x:c r="E592" s="25" t="n">
        <x:v>144</x:v>
      </x:c>
      <x:c r="F592" s="25" t="str">
        <x:v>闭潮王带</x:v>
      </x:c>
      <x:c r="G592" s="25" t="n">
        <x:v>3</x:v>
      </x:c>
      <x:c r="H592" s="25" t="str">
        <x:v>道术</x:v>
      </x:c>
      <x:c r="I592" s="25" t="n">
        <x:v>59</x:v>
      </x:c>
      <x:c r="J592" s="25" t="n">
        <x:v>3</x:v>
      </x:c>
      <x:c r="K592" s="25" t="str">
        <x:v>仅装备原始基础值决定主属性范围</x:v>
      </x:c>
    </x:row>
    <x:row r="593">
      <x:c r="A593" s="25" t="str">
        <x:v>C05-X</x:v>
      </x:c>
      <x:c r="B593" s="25" t="str">
        <x:v>湖之利耶尼亚</x:v>
      </x:c>
      <x:c r="C593" s="25" t="str">
        <x:v>极端压力</x:v>
      </x:c>
      <x:c r="D593" s="25" t="n">
        <x:v>10</x:v>
      </x:c>
      <x:c r="E593" s="25" t="n">
        <x:v>144</x:v>
      </x:c>
      <x:c r="F593" s="25" t="str">
        <x:v>闭潮王带</x:v>
      </x:c>
      <x:c r="G593" s="25" t="n">
        <x:v>4</x:v>
      </x:c>
      <x:c r="H593" s="25" t="str">
        <x:v>处决概率</x:v>
      </x:c>
      <x:c r="I593" s="25" t="n">
        <x:v>1</x:v>
      </x:c>
      <x:c r="J593" s="25" t="n">
        <x:v>6</x:v>
      </x:c>
      <x:c r="K593" s="25" t="str">
        <x:v>仅装备原始基础值决定主属性范围</x:v>
      </x:c>
    </x:row>
    <x:row r="594">
      <x:c r="A594" s="25" t="str">
        <x:v>C05-X</x:v>
      </x:c>
      <x:c r="B594" s="25" t="str">
        <x:v>湖之利耶尼亚</x:v>
      </x:c>
      <x:c r="C594" s="25" t="str">
        <x:v>极端压力</x:v>
      </x:c>
      <x:c r="D594" s="25" t="n">
        <x:v>10</x:v>
      </x:c>
      <x:c r="E594" s="25" t="n">
        <x:v>144</x:v>
      </x:c>
      <x:c r="F594" s="25" t="str">
        <x:v>闭潮王带</x:v>
      </x:c>
      <x:c r="G594" s="25" t="n">
        <x:v>5</x:v>
      </x:c>
      <x:c r="H594" s="25" t="str">
        <x:v>攻击</x:v>
      </x:c>
      <x:c r="I594" s="25" t="n">
        <x:v>199</x:v>
      </x:c>
      <x:c r="J594" s="25" t="n">
        <x:v>1</x:v>
      </x:c>
      <x:c r="K594" s="25" t="str">
        <x:v>仅装备原始基础值决定主属性范围</x:v>
      </x:c>
    </x:row>
    <x:row r="595">
      <x:c r="A595" s="25" t="str">
        <x:v>C05-X</x:v>
      </x:c>
      <x:c r="B595" s="25" t="str">
        <x:v>湖之利耶尼亚</x:v>
      </x:c>
      <x:c r="C595" s="25" t="str">
        <x:v>极端压力</x:v>
      </x:c>
      <x:c r="D595" s="25" t="n">
        <x:v>11</x:v>
      </x:c>
      <x:c r="E595" s="25" t="n">
        <x:v>90</x:v>
      </x:c>
      <x:c r="F595" s="25" t="str">
        <x:v>逐风征靴</x:v>
      </x:c>
      <x:c r="G595" s="25" t="n">
        <x:v>1</x:v>
      </x:c>
      <x:c r="H595" s="25" t="str">
        <x:v>攻击</x:v>
      </x:c>
      <x:c r="I595" s="25" t="n">
        <x:v>70</x:v>
      </x:c>
      <x:c r="J595" s="25" t="n">
        <x:v>1</x:v>
      </x:c>
      <x:c r="K595" s="25" t="str">
        <x:v>仅装备原始基础值决定主属性范围</x:v>
      </x:c>
    </x:row>
    <x:row r="596">
      <x:c r="A596" s="25" t="str">
        <x:v>C05-X</x:v>
      </x:c>
      <x:c r="B596" s="25" t="str">
        <x:v>湖之利耶尼亚</x:v>
      </x:c>
      <x:c r="C596" s="25" t="str">
        <x:v>极端压力</x:v>
      </x:c>
      <x:c r="D596" s="25" t="n">
        <x:v>11</x:v>
      </x:c>
      <x:c r="E596" s="25" t="n">
        <x:v>90</x:v>
      </x:c>
      <x:c r="F596" s="25" t="str">
        <x:v>逐风征靴</x:v>
      </x:c>
      <x:c r="G596" s="25" t="n">
        <x:v>2</x:v>
      </x:c>
      <x:c r="H596" s="25" t="str">
        <x:v>魔法</x:v>
      </x:c>
      <x:c r="I596" s="25" t="n">
        <x:v>61</x:v>
      </x:c>
      <x:c r="J596" s="25" t="n">
        <x:v>2</x:v>
      </x:c>
      <x:c r="K596" s="25" t="str">
        <x:v>仅装备原始基础值决定主属性范围</x:v>
      </x:c>
    </x:row>
    <x:row r="597">
      <x:c r="A597" s="25" t="str">
        <x:v>C05-X</x:v>
      </x:c>
      <x:c r="B597" s="25" t="str">
        <x:v>湖之利耶尼亚</x:v>
      </x:c>
      <x:c r="C597" s="25" t="str">
        <x:v>极端压力</x:v>
      </x:c>
      <x:c r="D597" s="25" t="n">
        <x:v>11</x:v>
      </x:c>
      <x:c r="E597" s="25" t="n">
        <x:v>90</x:v>
      </x:c>
      <x:c r="F597" s="25" t="str">
        <x:v>逐风征靴</x:v>
      </x:c>
      <x:c r="G597" s="25" t="n">
        <x:v>3</x:v>
      </x:c>
      <x:c r="H597" s="25" t="str">
        <x:v>处决概率</x:v>
      </x:c>
      <x:c r="I597" s="25" t="n">
        <x:v>1</x:v>
      </x:c>
      <x:c r="J597" s="25" t="n">
        <x:v>6</x:v>
      </x:c>
      <x:c r="K597" s="25" t="str">
        <x:v>仅装备原始基础值决定主属性范围</x:v>
      </x:c>
    </x:row>
    <x:row r="598">
      <x:c r="A598" s="25" t="str">
        <x:v>C05-X</x:v>
      </x:c>
      <x:c r="B598" s="25" t="str">
        <x:v>湖之利耶尼亚</x:v>
      </x:c>
      <x:c r="C598" s="25" t="str">
        <x:v>极端压力</x:v>
      </x:c>
      <x:c r="D598" s="25" t="n">
        <x:v>11</x:v>
      </x:c>
      <x:c r="E598" s="25" t="n">
        <x:v>90</x:v>
      </x:c>
      <x:c r="F598" s="25" t="str">
        <x:v>逐风征靴</x:v>
      </x:c>
      <x:c r="G598" s="25" t="n">
        <x:v>4</x:v>
      </x:c>
      <x:c r="H598" s="25" t="str">
        <x:v>攻击加成</x:v>
      </x:c>
      <x:c r="I598" s="25" t="n">
        <x:v>23</x:v>
      </x:c>
      <x:c r="J598" s="25" t="n">
        <x:v>18</x:v>
      </x:c>
      <x:c r="K598" s="25" t="str">
        <x:v>仅装备原始基础值决定主属性范围</x:v>
      </x:c>
    </x:row>
    <x:row r="599">
      <x:c r="A599" s="25" t="str">
        <x:v>C05-X</x:v>
      </x:c>
      <x:c r="B599" s="25" t="str">
        <x:v>湖之利耶尼亚</x:v>
      </x:c>
      <x:c r="C599" s="25" t="str">
        <x:v>极端压力</x:v>
      </x:c>
      <x:c r="D599" s="25" t="n">
        <x:v>11</x:v>
      </x:c>
      <x:c r="E599" s="25" t="n">
        <x:v>90</x:v>
      </x:c>
      <x:c r="F599" s="25" t="str">
        <x:v>逐风征靴</x:v>
      </x:c>
      <x:c r="G599" s="25" t="n">
        <x:v>5</x:v>
      </x:c>
      <x:c r="H599" s="25" t="str">
        <x:v>攻击加成</x:v>
      </x:c>
      <x:c r="I599" s="25" t="n">
        <x:v>22</x:v>
      </x:c>
      <x:c r="J599" s="25" t="n">
        <x:v>18</x:v>
      </x:c>
      <x:c r="K599" s="25" t="str">
        <x:v>仅装备原始基础值决定主属性范围</x:v>
      </x:c>
    </x:row>
    <x:row r="600">
      <x:c r="A600" s="25" t="str">
        <x:v>C05-X</x:v>
      </x:c>
      <x:c r="B600" s="25" t="str">
        <x:v>湖之利耶尼亚</x:v>
      </x:c>
      <x:c r="C600" s="25" t="str">
        <x:v>极端压力</x:v>
      </x:c>
      <x:c r="D600" s="25" t="n">
        <x:v>11</x:v>
      </x:c>
      <x:c r="E600" s="25" t="n">
        <x:v>90</x:v>
      </x:c>
      <x:c r="F600" s="25" t="str">
        <x:v>逐风征靴</x:v>
      </x:c>
      <x:c r="G600" s="25" t="n">
        <x:v>6</x:v>
      </x:c>
      <x:c r="H600" s="25" t="str">
        <x:v>处决概率</x:v>
      </x:c>
      <x:c r="I600" s="25" t="n">
        <x:v>1</x:v>
      </x:c>
      <x:c r="J600" s="25" t="n">
        <x:v>6</x:v>
      </x:c>
      <x:c r="K600" s="25" t="str">
        <x:v>仅装备原始基础值决定主属性范围</x:v>
      </x:c>
    </x:row>
    <x:row r="601">
      <x:c r="A601" s="25" t="str">
        <x:v>C06-E</x:v>
      </x:c>
      <x:c r="B601" s="25" t="str">
        <x:v>盖利德</x:v>
      </x:c>
      <x:c r="C601" s="25" t="str">
        <x:v>半急速入场</x:v>
      </x:c>
      <x:c r="D601" s="25" t="n">
        <x:v>0</x:v>
      </x:c>
      <x:c r="E601" s="25" t="n">
        <x:v>129</x:v>
      </x:c>
      <x:c r="F601" s="25" t="str">
        <x:v>静潮祷仪袍</x:v>
      </x:c>
      <x:c r="G601" s="25" t="n">
        <x:v>1</x:v>
      </x:c>
      <x:c r="H601" s="25" t="str">
        <x:v>魔法</x:v>
      </x:c>
      <x:c r="I601" s="25" t="n">
        <x:v>108</x:v>
      </x:c>
      <x:c r="J601" s="25" t="n">
        <x:v>2</x:v>
      </x:c>
      <x:c r="K601" s="25" t="str">
        <x:v>仅装备原始基础值决定主属性范围</x:v>
      </x:c>
    </x:row>
    <x:row r="602">
      <x:c r="A602" s="25" t="str">
        <x:v>C06-E</x:v>
      </x:c>
      <x:c r="B602" s="25" t="str">
        <x:v>盖利德</x:v>
      </x:c>
      <x:c r="C602" s="25" t="str">
        <x:v>半急速入场</x:v>
      </x:c>
      <x:c r="D602" s="25" t="n">
        <x:v>0</x:v>
      </x:c>
      <x:c r="E602" s="25" t="n">
        <x:v>129</x:v>
      </x:c>
      <x:c r="F602" s="25" t="str">
        <x:v>静潮祷仪袍</x:v>
      </x:c>
      <x:c r="G602" s="25" t="n">
        <x:v>2</x:v>
      </x:c>
      <x:c r="H602" s="25" t="str">
        <x:v>攻击加成</x:v>
      </x:c>
      <x:c r="I602" s="25" t="n">
        <x:v>31</x:v>
      </x:c>
      <x:c r="J602" s="25" t="n">
        <x:v>19</x:v>
      </x:c>
      <x:c r="K602" s="25" t="str">
        <x:v>仅装备原始基础值决定主属性范围</x:v>
      </x:c>
    </x:row>
    <x:row r="603">
      <x:c r="A603" s="25" t="str">
        <x:v>C06-E</x:v>
      </x:c>
      <x:c r="B603" s="25" t="str">
        <x:v>盖利德</x:v>
      </x:c>
      <x:c r="C603" s="25" t="str">
        <x:v>半急速入场</x:v>
      </x:c>
      <x:c r="D603" s="25" t="n">
        <x:v>0</x:v>
      </x:c>
      <x:c r="E603" s="25" t="n">
        <x:v>129</x:v>
      </x:c>
      <x:c r="F603" s="25" t="str">
        <x:v>静潮祷仪袍</x:v>
      </x:c>
      <x:c r="G603" s="25" t="n">
        <x:v>3</x:v>
      </x:c>
      <x:c r="H603" s="25" t="str">
        <x:v>攻击加成</x:v>
      </x:c>
      <x:c r="I603" s="25" t="n">
        <x:v>34</x:v>
      </x:c>
      <x:c r="J603" s="25" t="n">
        <x:v>19</x:v>
      </x:c>
      <x:c r="K603" s="25" t="str">
        <x:v>仅装备原始基础值决定主属性范围</x:v>
      </x:c>
    </x:row>
    <x:row r="604">
      <x:c r="A604" s="25" t="str">
        <x:v>C06-E</x:v>
      </x:c>
      <x:c r="B604" s="25" t="str">
        <x:v>盖利德</x:v>
      </x:c>
      <x:c r="C604" s="25" t="str">
        <x:v>半急速入场</x:v>
      </x:c>
      <x:c r="D604" s="25" t="n">
        <x:v>0</x:v>
      </x:c>
      <x:c r="E604" s="25" t="n">
        <x:v>129</x:v>
      </x:c>
      <x:c r="F604" s="25" t="str">
        <x:v>静潮祷仪袍</x:v>
      </x:c>
      <x:c r="G604" s="25" t="n">
        <x:v>4</x:v>
      </x:c>
      <x:c r="H604" s="25" t="str">
        <x:v>魔法</x:v>
      </x:c>
      <x:c r="I604" s="25" t="n">
        <x:v>175</x:v>
      </x:c>
      <x:c r="J604" s="25" t="n">
        <x:v>2</x:v>
      </x:c>
      <x:c r="K604" s="25" t="str">
        <x:v>仅装备原始基础值决定主属性范围</x:v>
      </x:c>
    </x:row>
    <x:row r="605">
      <x:c r="A605" s="25" t="str">
        <x:v>C06-E</x:v>
      </x:c>
      <x:c r="B605" s="25" t="str">
        <x:v>盖利德</x:v>
      </x:c>
      <x:c r="C605" s="25" t="str">
        <x:v>半急速入场</x:v>
      </x:c>
      <x:c r="D605" s="25" t="n">
        <x:v>0</x:v>
      </x:c>
      <x:c r="E605" s="25" t="n">
        <x:v>129</x:v>
      </x:c>
      <x:c r="F605" s="25" t="str">
        <x:v>静潮祷仪袍</x:v>
      </x:c>
      <x:c r="G605" s="25" t="n">
        <x:v>5</x:v>
      </x:c>
      <x:c r="H605" s="25" t="str">
        <x:v>攻击加成</x:v>
      </x:c>
      <x:c r="I605" s="25" t="n">
        <x:v>4</x:v>
      </x:c>
      <x:c r="J605" s="25" t="n">
        <x:v>18</x:v>
      </x:c>
      <x:c r="K605" s="25" t="str">
        <x:v>仅装备原始基础值决定主属性范围</x:v>
      </x:c>
    </x:row>
    <x:row r="606">
      <x:c r="A606" s="25" t="str">
        <x:v>C06-E</x:v>
      </x:c>
      <x:c r="B606" s="25" t="str">
        <x:v>盖利德</x:v>
      </x:c>
      <x:c r="C606" s="25" t="str">
        <x:v>半急速入场</x:v>
      </x:c>
      <x:c r="D606" s="25" t="n">
        <x:v>1</x:v>
      </x:c>
      <x:c r="E606" s="25" t="n">
        <x:v>126</x:v>
      </x:c>
      <x:c r="F606" s="25" t="str">
        <x:v>卡利亚月裁长刃</x:v>
      </x:c>
      <x:c r="G606" s="25" t="n">
        <x:v>1</x:v>
      </x:c>
      <x:c r="H606" s="25" t="str">
        <x:v>攻击</x:v>
      </x:c>
      <x:c r="I606" s="25" t="n">
        <x:v>3726</x:v>
      </x:c>
      <x:c r="J606" s="25" t="n">
        <x:v>1</x:v>
      </x:c>
      <x:c r="K606" s="25" t="str">
        <x:v>仅装备原始基础值决定主属性范围</x:v>
      </x:c>
    </x:row>
    <x:row r="607">
      <x:c r="A607" s="25" t="str">
        <x:v>C06-E</x:v>
      </x:c>
      <x:c r="B607" s="25" t="str">
        <x:v>盖利德</x:v>
      </x:c>
      <x:c r="C607" s="25" t="str">
        <x:v>半急速入场</x:v>
      </x:c>
      <x:c r="D607" s="25" t="n">
        <x:v>1</x:v>
      </x:c>
      <x:c r="E607" s="25" t="n">
        <x:v>126</x:v>
      </x:c>
      <x:c r="F607" s="25" t="str">
        <x:v>卡利亚月裁长刃</x:v>
      </x:c>
      <x:c r="G607" s="25" t="n">
        <x:v>2</x:v>
      </x:c>
      <x:c r="H607" s="25" t="str">
        <x:v>攻击</x:v>
      </x:c>
      <x:c r="I607" s="25" t="n">
        <x:v>951</x:v>
      </x:c>
      <x:c r="J607" s="25" t="n">
        <x:v>1</x:v>
      </x:c>
      <x:c r="K607" s="25" t="str">
        <x:v>仅装备原始基础值决定主属性范围</x:v>
      </x:c>
    </x:row>
    <x:row r="608">
      <x:c r="A608" s="25" t="str">
        <x:v>C06-E</x:v>
      </x:c>
      <x:c r="B608" s="25" t="str">
        <x:v>盖利德</x:v>
      </x:c>
      <x:c r="C608" s="25" t="str">
        <x:v>半急速入场</x:v>
      </x:c>
      <x:c r="D608" s="25" t="n">
        <x:v>3</x:v>
      </x:c>
      <x:c r="E608" s="25" t="n">
        <x:v>101</x:v>
      </x:c>
      <x:c r="F608" s="25" t="str">
        <x:v>引魂铜铃链</x:v>
      </x:c>
      <x:c r="G608" s="25" t="n">
        <x:v>1</x:v>
      </x:c>
      <x:c r="H608" s="25" t="str">
        <x:v>魔法</x:v>
      </x:c>
      <x:c r="I608" s="25" t="n">
        <x:v>85</x:v>
      </x:c>
      <x:c r="J608" s="25" t="n">
        <x:v>2</x:v>
      </x:c>
      <x:c r="K608" s="25" t="str">
        <x:v>仅装备原始基础值决定主属性范围</x:v>
      </x:c>
    </x:row>
    <x:row r="609">
      <x:c r="A609" s="25" t="str">
        <x:v>C06-E</x:v>
      </x:c>
      <x:c r="B609" s="25" t="str">
        <x:v>盖利德</x:v>
      </x:c>
      <x:c r="C609" s="25" t="str">
        <x:v>半急速入场</x:v>
      </x:c>
      <x:c r="D609" s="25" t="n">
        <x:v>3</x:v>
      </x:c>
      <x:c r="E609" s="25" t="n">
        <x:v>101</x:v>
      </x:c>
      <x:c r="F609" s="25" t="str">
        <x:v>引魂铜铃链</x:v>
      </x:c>
      <x:c r="G609" s="25" t="n">
        <x:v>2</x:v>
      </x:c>
      <x:c r="H609" s="25" t="str">
        <x:v>攻击加成</x:v>
      </x:c>
      <x:c r="I609" s="25" t="n">
        <x:v>31</x:v>
      </x:c>
      <x:c r="J609" s="25" t="n">
        <x:v>19</x:v>
      </x:c>
      <x:c r="K609" s="25" t="str">
        <x:v>仅装备原始基础值决定主属性范围</x:v>
      </x:c>
    </x:row>
    <x:row r="610">
      <x:c r="A610" s="25" t="str">
        <x:v>C06-E</x:v>
      </x:c>
      <x:c r="B610" s="25" t="str">
        <x:v>盖利德</x:v>
      </x:c>
      <x:c r="C610" s="25" t="str">
        <x:v>半急速入场</x:v>
      </x:c>
      <x:c r="D610" s="25" t="n">
        <x:v>3</x:v>
      </x:c>
      <x:c r="E610" s="25" t="n">
        <x:v>101</x:v>
      </x:c>
      <x:c r="F610" s="25" t="str">
        <x:v>引魂铜铃链</x:v>
      </x:c>
      <x:c r="G610" s="25" t="n">
        <x:v>3</x:v>
      </x:c>
      <x:c r="H610" s="25" t="str">
        <x:v>伤害系数</x:v>
      </x:c>
      <x:c r="I610" s="25" t="n">
        <x:v>1</x:v>
      </x:c>
      <x:c r="J610" s="25" t="n">
        <x:v>25</x:v>
      </x:c>
      <x:c r="K610" s="25" t="str">
        <x:v>仅装备原始基础值决定主属性范围</x:v>
      </x:c>
    </x:row>
    <x:row r="611">
      <x:c r="A611" s="25" t="str">
        <x:v>C06-E</x:v>
      </x:c>
      <x:c r="B611" s="25" t="str">
        <x:v>盖利德</x:v>
      </x:c>
      <x:c r="C611" s="25" t="str">
        <x:v>半急速入场</x:v>
      </x:c>
      <x:c r="D611" s="25" t="n">
        <x:v>3</x:v>
      </x:c>
      <x:c r="E611" s="25" t="n">
        <x:v>101</x:v>
      </x:c>
      <x:c r="F611" s="25" t="str">
        <x:v>引魂铜铃链</x:v>
      </x:c>
      <x:c r="G611" s="25" t="n">
        <x:v>4</x:v>
      </x:c>
      <x:c r="H611" s="25" t="str">
        <x:v>伤害系数</x:v>
      </x:c>
      <x:c r="I611" s="25" t="n">
        <x:v>1</x:v>
      </x:c>
      <x:c r="J611" s="25" t="n">
        <x:v>25</x:v>
      </x:c>
      <x:c r="K611" s="25" t="str">
        <x:v>仅装备原始基础值决定主属性范围</x:v>
      </x:c>
    </x:row>
    <x:row r="612">
      <x:c r="A612" s="25" t="str">
        <x:v>C06-E</x:v>
      </x:c>
      <x:c r="B612" s="25" t="str">
        <x:v>盖利德</x:v>
      </x:c>
      <x:c r="C612" s="25" t="str">
        <x:v>半急速入场</x:v>
      </x:c>
      <x:c r="D612" s="25" t="n">
        <x:v>3</x:v>
      </x:c>
      <x:c r="E612" s="25" t="n">
        <x:v>101</x:v>
      </x:c>
      <x:c r="F612" s="25" t="str">
        <x:v>引魂铜铃链</x:v>
      </x:c>
      <x:c r="G612" s="25" t="n">
        <x:v>5</x:v>
      </x:c>
      <x:c r="H612" s="25" t="str">
        <x:v>攻击速度</x:v>
      </x:c>
      <x:c r="I612" s="25" t="n">
        <x:v>1</x:v>
      </x:c>
      <x:c r="J612" s="25" t="n">
        <x:v>4</x:v>
      </x:c>
      <x:c r="K612" s="25" t="str">
        <x:v>仅装备原始基础值决定主属性范围</x:v>
      </x:c>
    </x:row>
    <x:row r="613">
      <x:c r="A613" s="25" t="str">
        <x:v>C06-E</x:v>
      </x:c>
      <x:c r="B613" s="25" t="str">
        <x:v>盖利德</x:v>
      </x:c>
      <x:c r="C613" s="25" t="str">
        <x:v>半急速入场</x:v>
      </x:c>
      <x:c r="D613" s="25" t="n">
        <x:v>3</x:v>
      </x:c>
      <x:c r="E613" s="25" t="n">
        <x:v>101</x:v>
      </x:c>
      <x:c r="F613" s="25" t="str">
        <x:v>引魂铜铃链</x:v>
      </x:c>
      <x:c r="G613" s="25" t="n">
        <x:v>6</x:v>
      </x:c>
      <x:c r="H613" s="25" t="str">
        <x:v>处决概率</x:v>
      </x:c>
      <x:c r="I613" s="25" t="n">
        <x:v>2</x:v>
      </x:c>
      <x:c r="J613" s="25" t="n">
        <x:v>7</x:v>
      </x:c>
      <x:c r="K613" s="25" t="str">
        <x:v>仅装备原始基础值决定主属性范围</x:v>
      </x:c>
    </x:row>
    <x:row r="614">
      <x:c r="A614" s="25" t="str">
        <x:v>C06-E</x:v>
      </x:c>
      <x:c r="B614" s="25" t="str">
        <x:v>盖利德</x:v>
      </x:c>
      <x:c r="C614" s="25" t="str">
        <x:v>半急速入场</x:v>
      </x:c>
      <x:c r="D614" s="25" t="n">
        <x:v>3</x:v>
      </x:c>
      <x:c r="E614" s="25" t="n">
        <x:v>101</x:v>
      </x:c>
      <x:c r="F614" s="25" t="str">
        <x:v>引魂铜铃链</x:v>
      </x:c>
      <x:c r="G614" s="25" t="n">
        <x:v>7</x:v>
      </x:c>
      <x:c r="H614" s="25" t="str">
        <x:v>攻击加成</x:v>
      </x:c>
      <x:c r="I614" s="25" t="n">
        <x:v>28</x:v>
      </x:c>
      <x:c r="J614" s="25" t="n">
        <x:v>18</x:v>
      </x:c>
      <x:c r="K614" s="25" t="str">
        <x:v>仅装备原始基础值决定主属性范围</x:v>
      </x:c>
    </x:row>
    <x:row r="615">
      <x:c r="A615" s="25" t="str">
        <x:v>C06-E</x:v>
      </x:c>
      <x:c r="B615" s="25" t="str">
        <x:v>盖利德</x:v>
      </x:c>
      <x:c r="C615" s="25" t="str">
        <x:v>半急速入场</x:v>
      </x:c>
      <x:c r="D615" s="25" t="n">
        <x:v>3</x:v>
      </x:c>
      <x:c r="E615" s="25" t="n">
        <x:v>101</x:v>
      </x:c>
      <x:c r="F615" s="25" t="str">
        <x:v>引魂铜铃链</x:v>
      </x:c>
      <x:c r="G615" s="25" t="n">
        <x:v>8</x:v>
      </x:c>
      <x:c r="H615" s="25" t="str">
        <x:v>魔法</x:v>
      </x:c>
      <x:c r="I615" s="25" t="n">
        <x:v>48</x:v>
      </x:c>
      <x:c r="J615" s="25" t="n">
        <x:v>2</x:v>
      </x:c>
      <x:c r="K615" s="25" t="str">
        <x:v>仅装备原始基础值决定主属性范围</x:v>
      </x:c>
    </x:row>
    <x:row r="616">
      <x:c r="A616" s="25" t="str">
        <x:v>C06-E</x:v>
      </x:c>
      <x:c r="B616" s="25" t="str">
        <x:v>盖利德</x:v>
      </x:c>
      <x:c r="C616" s="25" t="str">
        <x:v>半急速入场</x:v>
      </x:c>
      <x:c r="D616" s="25" t="n">
        <x:v>4</x:v>
      </x:c>
      <x:c r="E616" s="25" t="n">
        <x:v>130</x:v>
      </x:c>
      <x:c r="F616" s="25" t="str">
        <x:v>镜荷眠梦冠</x:v>
      </x:c>
      <x:c r="G616" s="25" t="n">
        <x:v>1</x:v>
      </x:c>
      <x:c r="H616" s="25" t="str">
        <x:v>攻击加成</x:v>
      </x:c>
      <x:c r="I616" s="25" t="n">
        <x:v>22</x:v>
      </x:c>
      <x:c r="J616" s="25" t="n">
        <x:v>18</x:v>
      </x:c>
      <x:c r="K616" s="25" t="str">
        <x:v>仅装备原始基础值决定主属性范围</x:v>
      </x:c>
    </x:row>
    <x:row r="617">
      <x:c r="A617" s="25" t="str">
        <x:v>C06-E</x:v>
      </x:c>
      <x:c r="B617" s="25" t="str">
        <x:v>盖利德</x:v>
      </x:c>
      <x:c r="C617" s="25" t="str">
        <x:v>半急速入场</x:v>
      </x:c>
      <x:c r="D617" s="25" t="n">
        <x:v>4</x:v>
      </x:c>
      <x:c r="E617" s="25" t="n">
        <x:v>130</x:v>
      </x:c>
      <x:c r="F617" s="25" t="str">
        <x:v>镜荷眠梦冠</x:v>
      </x:c>
      <x:c r="G617" s="25" t="n">
        <x:v>2</x:v>
      </x:c>
      <x:c r="H617" s="25" t="str">
        <x:v>攻击加成</x:v>
      </x:c>
      <x:c r="I617" s="25" t="n">
        <x:v>35</x:v>
      </x:c>
      <x:c r="J617" s="25" t="n">
        <x:v>19</x:v>
      </x:c>
      <x:c r="K617" s="25" t="str">
        <x:v>仅装备原始基础值决定主属性范围</x:v>
      </x:c>
    </x:row>
    <x:row r="618">
      <x:c r="A618" s="25" t="str">
        <x:v>C06-E</x:v>
      </x:c>
      <x:c r="B618" s="25" t="str">
        <x:v>盖利德</x:v>
      </x:c>
      <x:c r="C618" s="25" t="str">
        <x:v>半急速入场</x:v>
      </x:c>
      <x:c r="D618" s="25" t="n">
        <x:v>4</x:v>
      </x:c>
      <x:c r="E618" s="25" t="n">
        <x:v>130</x:v>
      </x:c>
      <x:c r="F618" s="25" t="str">
        <x:v>镜荷眠梦冠</x:v>
      </x:c>
      <x:c r="G618" s="25" t="n">
        <x:v>3</x:v>
      </x:c>
      <x:c r="H618" s="25" t="str">
        <x:v>伤害系数</x:v>
      </x:c>
      <x:c r="I618" s="25" t="n">
        <x:v>1</x:v>
      </x:c>
      <x:c r="J618" s="25" t="n">
        <x:v>25</x:v>
      </x:c>
      <x:c r="K618" s="25" t="str">
        <x:v>仅装备原始基础值决定主属性范围</x:v>
      </x:c>
    </x:row>
    <x:row r="619">
      <x:c r="A619" s="25" t="str">
        <x:v>C06-E</x:v>
      </x:c>
      <x:c r="B619" s="25" t="str">
        <x:v>盖利德</x:v>
      </x:c>
      <x:c r="C619" s="25" t="str">
        <x:v>半急速入场</x:v>
      </x:c>
      <x:c r="D619" s="25" t="n">
        <x:v>4</x:v>
      </x:c>
      <x:c r="E619" s="25" t="n">
        <x:v>130</x:v>
      </x:c>
      <x:c r="F619" s="25" t="str">
        <x:v>镜荷眠梦冠</x:v>
      </x:c>
      <x:c r="G619" s="25" t="n">
        <x:v>4</x:v>
      </x:c>
      <x:c r="H619" s="25" t="str">
        <x:v>攻击速度</x:v>
      </x:c>
      <x:c r="I619" s="25" t="n">
        <x:v>2</x:v>
      </x:c>
      <x:c r="J619" s="25" t="n">
        <x:v>5</x:v>
      </x:c>
      <x:c r="K619" s="25" t="str">
        <x:v>仅装备原始基础值决定主属性范围</x:v>
      </x:c>
    </x:row>
    <x:row r="620">
      <x:c r="A620" s="25" t="str">
        <x:v>C06-E</x:v>
      </x:c>
      <x:c r="B620" s="25" t="str">
        <x:v>盖利德</x:v>
      </x:c>
      <x:c r="C620" s="25" t="str">
        <x:v>半急速入场</x:v>
      </x:c>
      <x:c r="D620" s="25" t="n">
        <x:v>5</x:v>
      </x:c>
      <x:c r="E620" s="25" t="n">
        <x:v>113</x:v>
      </x:c>
      <x:c r="F620" s="25" t="str">
        <x:v>百指腕甲</x:v>
      </x:c>
      <x:c r="G620" s="25" t="n">
        <x:v>1</x:v>
      </x:c>
      <x:c r="H620" s="25" t="str">
        <x:v>攻击加成</x:v>
      </x:c>
      <x:c r="I620" s="25" t="n">
        <x:v>19</x:v>
      </x:c>
      <x:c r="J620" s="25" t="n">
        <x:v>18</x:v>
      </x:c>
      <x:c r="K620" s="25" t="str">
        <x:v>仅装备原始基础值决定主属性范围</x:v>
      </x:c>
    </x:row>
    <x:row r="621">
      <x:c r="A621" s="25" t="str">
        <x:v>C06-E</x:v>
      </x:c>
      <x:c r="B621" s="25" t="str">
        <x:v>盖利德</x:v>
      </x:c>
      <x:c r="C621" s="25" t="str">
        <x:v>半急速入场</x:v>
      </x:c>
      <x:c r="D621" s="25" t="n">
        <x:v>5</x:v>
      </x:c>
      <x:c r="E621" s="25" t="n">
        <x:v>113</x:v>
      </x:c>
      <x:c r="F621" s="25" t="str">
        <x:v>百指腕甲</x:v>
      </x:c>
      <x:c r="G621" s="25" t="n">
        <x:v>2</x:v>
      </x:c>
      <x:c r="H621" s="25" t="str">
        <x:v>攻击加成</x:v>
      </x:c>
      <x:c r="I621" s="25" t="n">
        <x:v>44</x:v>
      </x:c>
      <x:c r="J621" s="25" t="n">
        <x:v>19</x:v>
      </x:c>
      <x:c r="K621" s="25" t="str">
        <x:v>仅装备原始基础值决定主属性范围</x:v>
      </x:c>
    </x:row>
    <x:row r="622">
      <x:c r="A622" s="25" t="str">
        <x:v>C06-E</x:v>
      </x:c>
      <x:c r="B622" s="25" t="str">
        <x:v>盖利德</x:v>
      </x:c>
      <x:c r="C622" s="25" t="str">
        <x:v>半急速入场</x:v>
      </x:c>
      <x:c r="D622" s="25" t="n">
        <x:v>6</x:v>
      </x:c>
      <x:c r="E622" s="25" t="n">
        <x:v>68</x:v>
      </x:c>
      <x:c r="F622" s="25" t="str">
        <x:v>百指接肢腕</x:v>
      </x:c>
      <x:c r="G622" s="25" t="n">
        <x:v>1</x:v>
      </x:c>
      <x:c r="H622" s="25" t="str">
        <x:v>处决伤害</x:v>
      </x:c>
      <x:c r="I622" s="25" t="n">
        <x:v>1</x:v>
      </x:c>
      <x:c r="J622" s="25" t="n">
        <x:v>10</x:v>
      </x:c>
      <x:c r="K622" s="25" t="str">
        <x:v>仅装备原始基础值决定主属性范围</x:v>
      </x:c>
    </x:row>
    <x:row r="623">
      <x:c r="A623" s="25" t="str">
        <x:v>C06-E</x:v>
      </x:c>
      <x:c r="B623" s="25" t="str">
        <x:v>盖利德</x:v>
      </x:c>
      <x:c r="C623" s="25" t="str">
        <x:v>半急速入场</x:v>
      </x:c>
      <x:c r="D623" s="25" t="n">
        <x:v>6</x:v>
      </x:c>
      <x:c r="E623" s="25" t="n">
        <x:v>68</x:v>
      </x:c>
      <x:c r="F623" s="25" t="str">
        <x:v>百指接肢腕</x:v>
      </x:c>
      <x:c r="G623" s="25" t="n">
        <x:v>2</x:v>
      </x:c>
      <x:c r="H623" s="25" t="str">
        <x:v>攻击加成</x:v>
      </x:c>
      <x:c r="I623" s="25" t="n">
        <x:v>28</x:v>
      </x:c>
      <x:c r="J623" s="25" t="n">
        <x:v>18</x:v>
      </x:c>
      <x:c r="K623" s="25" t="str">
        <x:v>仅装备原始基础值决定主属性范围</x:v>
      </x:c>
    </x:row>
    <x:row r="624">
      <x:c r="A624" s="25" t="str">
        <x:v>C06-E</x:v>
      </x:c>
      <x:c r="B624" s="25" t="str">
        <x:v>盖利德</x:v>
      </x:c>
      <x:c r="C624" s="25" t="str">
        <x:v>半急速入场</x:v>
      </x:c>
      <x:c r="D624" s="25" t="n">
        <x:v>6</x:v>
      </x:c>
      <x:c r="E624" s="25" t="n">
        <x:v>68</x:v>
      </x:c>
      <x:c r="F624" s="25" t="str">
        <x:v>百指接肢腕</x:v>
      </x:c>
      <x:c r="G624" s="25" t="n">
        <x:v>3</x:v>
      </x:c>
      <x:c r="H624" s="25" t="str">
        <x:v>攻击加成</x:v>
      </x:c>
      <x:c r="I624" s="25" t="n">
        <x:v>45</x:v>
      </x:c>
      <x:c r="J624" s="25" t="n">
        <x:v>19</x:v>
      </x:c>
      <x:c r="K624" s="25" t="str">
        <x:v>仅装备原始基础值决定主属性范围</x:v>
      </x:c>
    </x:row>
    <x:row r="625">
      <x:c r="A625" s="25" t="str">
        <x:v>C06-E</x:v>
      </x:c>
      <x:c r="B625" s="25" t="str">
        <x:v>盖利德</x:v>
      </x:c>
      <x:c r="C625" s="25" t="str">
        <x:v>半急速入场</x:v>
      </x:c>
      <x:c r="D625" s="25" t="n">
        <x:v>6</x:v>
      </x:c>
      <x:c r="E625" s="25" t="n">
        <x:v>68</x:v>
      </x:c>
      <x:c r="F625" s="25" t="str">
        <x:v>百指接肢腕</x:v>
      </x:c>
      <x:c r="G625" s="25" t="n">
        <x:v>4</x:v>
      </x:c>
      <x:c r="H625" s="25" t="str">
        <x:v>处决伤害</x:v>
      </x:c>
      <x:c r="I625" s="25" t="n">
        <x:v>2</x:v>
      </x:c>
      <x:c r="J625" s="25" t="n">
        <x:v>11</x:v>
      </x:c>
      <x:c r="K625" s="25" t="str">
        <x:v>仅装备原始基础值决定主属性范围</x:v>
      </x:c>
    </x:row>
    <x:row r="626">
      <x:c r="A626" s="25" t="str">
        <x:v>C06-E</x:v>
      </x:c>
      <x:c r="B626" s="25" t="str">
        <x:v>盖利德</x:v>
      </x:c>
      <x:c r="C626" s="25" t="str">
        <x:v>半急速入场</x:v>
      </x:c>
      <x:c r="D626" s="25" t="n">
        <x:v>6</x:v>
      </x:c>
      <x:c r="E626" s="25" t="n">
        <x:v>68</x:v>
      </x:c>
      <x:c r="F626" s="25" t="str">
        <x:v>百指接肢腕</x:v>
      </x:c>
      <x:c r="G626" s="25" t="n">
        <x:v>5</x:v>
      </x:c>
      <x:c r="H626" s="25" t="str">
        <x:v>暴击</x:v>
      </x:c>
      <x:c r="I626" s="25" t="n">
        <x:v>1</x:v>
      </x:c>
      <x:c r="J626" s="25" t="n">
        <x:v>14</x:v>
      </x:c>
      <x:c r="K626" s="25" t="str">
        <x:v>仅装备原始基础值决定主属性范围</x:v>
      </x:c>
    </x:row>
    <x:row r="627">
      <x:c r="A627" s="25" t="str">
        <x:v>C06-E</x:v>
      </x:c>
      <x:c r="B627" s="25" t="str">
        <x:v>盖利德</x:v>
      </x:c>
      <x:c r="C627" s="25" t="str">
        <x:v>半急速入场</x:v>
      </x:c>
      <x:c r="D627" s="25" t="n">
        <x:v>7</x:v>
      </x:c>
      <x:c r="E627" s="25" t="n">
        <x:v>103</x:v>
      </x:c>
      <x:c r="F627" s="25" t="str">
        <x:v>蓝焰祷戒</x:v>
      </x:c>
      <x:c r="G627" s="25" t="n">
        <x:v>1</x:v>
      </x:c>
      <x:c r="H627" s="25" t="str">
        <x:v>攻击</x:v>
      </x:c>
      <x:c r="I627" s="25" t="n">
        <x:v>51</x:v>
      </x:c>
      <x:c r="J627" s="25" t="n">
        <x:v>1</x:v>
      </x:c>
      <x:c r="K627" s="25" t="str">
        <x:v>仅装备原始基础值决定主属性范围</x:v>
      </x:c>
    </x:row>
    <x:row r="628">
      <x:c r="A628" s="25" t="str">
        <x:v>C06-E</x:v>
      </x:c>
      <x:c r="B628" s="25" t="str">
        <x:v>盖利德</x:v>
      </x:c>
      <x:c r="C628" s="25" t="str">
        <x:v>半急速入场</x:v>
      </x:c>
      <x:c r="D628" s="25" t="n">
        <x:v>7</x:v>
      </x:c>
      <x:c r="E628" s="25" t="n">
        <x:v>103</x:v>
      </x:c>
      <x:c r="F628" s="25" t="str">
        <x:v>蓝焰祷戒</x:v>
      </x:c>
      <x:c r="G628" s="25" t="n">
        <x:v>2</x:v>
      </x:c>
      <x:c r="H628" s="25" t="str">
        <x:v>道术</x:v>
      </x:c>
      <x:c r="I628" s="25" t="n">
        <x:v>39</x:v>
      </x:c>
      <x:c r="J628" s="25" t="n">
        <x:v>3</x:v>
      </x:c>
      <x:c r="K628" s="25" t="str">
        <x:v>仅装备原始基础值决定主属性范围</x:v>
      </x:c>
    </x:row>
    <x:row r="629">
      <x:c r="A629" s="25" t="str">
        <x:v>C06-E</x:v>
      </x:c>
      <x:c r="B629" s="25" t="str">
        <x:v>盖利德</x:v>
      </x:c>
      <x:c r="C629" s="25" t="str">
        <x:v>半急速入场</x:v>
      </x:c>
      <x:c r="D629" s="25" t="n">
        <x:v>7</x:v>
      </x:c>
      <x:c r="E629" s="25" t="n">
        <x:v>103</x:v>
      </x:c>
      <x:c r="F629" s="25" t="str">
        <x:v>蓝焰祷戒</x:v>
      </x:c>
      <x:c r="G629" s="25" t="n">
        <x:v>3</x:v>
      </x:c>
      <x:c r="H629" s="25" t="str">
        <x:v>处决时间</x:v>
      </x:c>
      <x:c r="I629" s="25" t="n">
        <x:v>1</x:v>
      </x:c>
      <x:c r="J629" s="25" t="n">
        <x:v>8</x:v>
      </x:c>
      <x:c r="K629" s="25" t="str">
        <x:v>仅装备原始基础值决定主属性范围</x:v>
      </x:c>
    </x:row>
    <x:row r="630">
      <x:c r="A630" s="25" t="str">
        <x:v>C06-E</x:v>
      </x:c>
      <x:c r="B630" s="25" t="str">
        <x:v>盖利德</x:v>
      </x:c>
      <x:c r="C630" s="25" t="str">
        <x:v>半急速入场</x:v>
      </x:c>
      <x:c r="D630" s="25" t="n">
        <x:v>7</x:v>
      </x:c>
      <x:c r="E630" s="25" t="n">
        <x:v>103</x:v>
      </x:c>
      <x:c r="F630" s="25" t="str">
        <x:v>蓝焰祷戒</x:v>
      </x:c>
      <x:c r="G630" s="25" t="n">
        <x:v>4</x:v>
      </x:c>
      <x:c r="H630" s="25" t="str">
        <x:v>吸血</x:v>
      </x:c>
      <x:c r="I630" s="25" t="n">
        <x:v>1</x:v>
      </x:c>
      <x:c r="J630" s="25" t="n">
        <x:v>20</x:v>
      </x:c>
      <x:c r="K630" s="25" t="str">
        <x:v>仅装备原始基础值决定主属性范围</x:v>
      </x:c>
    </x:row>
    <x:row r="631">
      <x:c r="A631" s="25" t="str">
        <x:v>C06-E</x:v>
      </x:c>
      <x:c r="B631" s="25" t="str">
        <x:v>盖利德</x:v>
      </x:c>
      <x:c r="C631" s="25" t="str">
        <x:v>半急速入场</x:v>
      </x:c>
      <x:c r="D631" s="25" t="n">
        <x:v>7</x:v>
      </x:c>
      <x:c r="E631" s="25" t="n">
        <x:v>103</x:v>
      </x:c>
      <x:c r="F631" s="25" t="str">
        <x:v>蓝焰祷戒</x:v>
      </x:c>
      <x:c r="G631" s="25" t="n">
        <x:v>5</x:v>
      </x:c>
      <x:c r="H631" s="25" t="str">
        <x:v>处决时间</x:v>
      </x:c>
      <x:c r="I631" s="25" t="n">
        <x:v>2</x:v>
      </x:c>
      <x:c r="J631" s="25" t="n">
        <x:v>9</x:v>
      </x:c>
      <x:c r="K631" s="25" t="str">
        <x:v>仅装备原始基础值决定主属性范围</x:v>
      </x:c>
    </x:row>
    <x:row r="632">
      <x:c r="A632" s="25" t="str">
        <x:v>C06-E</x:v>
      </x:c>
      <x:c r="B632" s="25" t="str">
        <x:v>盖利德</x:v>
      </x:c>
      <x:c r="C632" s="25" t="str">
        <x:v>半急速入场</x:v>
      </x:c>
      <x:c r="D632" s="25" t="n">
        <x:v>7</x:v>
      </x:c>
      <x:c r="E632" s="25" t="n">
        <x:v>103</x:v>
      </x:c>
      <x:c r="F632" s="25" t="str">
        <x:v>蓝焰祷戒</x:v>
      </x:c>
      <x:c r="G632" s="25" t="n">
        <x:v>6</x:v>
      </x:c>
      <x:c r="H632" s="25" t="str">
        <x:v>攻击速度</x:v>
      </x:c>
      <x:c r="I632" s="25" t="n">
        <x:v>1</x:v>
      </x:c>
      <x:c r="J632" s="25" t="n">
        <x:v>4</x:v>
      </x:c>
      <x:c r="K632" s="25" t="str">
        <x:v>仅装备原始基础值决定主属性范围</x:v>
      </x:c>
    </x:row>
    <x:row r="633">
      <x:c r="A633" s="25" t="str">
        <x:v>C06-E</x:v>
      </x:c>
      <x:c r="B633" s="25" t="str">
        <x:v>盖利德</x:v>
      </x:c>
      <x:c r="C633" s="25" t="str">
        <x:v>半急速入场</x:v>
      </x:c>
      <x:c r="D633" s="25" t="n">
        <x:v>7</x:v>
      </x:c>
      <x:c r="E633" s="25" t="n">
        <x:v>103</x:v>
      </x:c>
      <x:c r="F633" s="25" t="str">
        <x:v>蓝焰祷戒</x:v>
      </x:c>
      <x:c r="G633" s="25" t="n">
        <x:v>7</x:v>
      </x:c>
      <x:c r="H633" s="25" t="str">
        <x:v>道术</x:v>
      </x:c>
      <x:c r="I633" s="25" t="n">
        <x:v>20</x:v>
      </x:c>
      <x:c r="J633" s="25" t="n">
        <x:v>3</x:v>
      </x:c>
      <x:c r="K633" s="25" t="str">
        <x:v>仅装备原始基础值决定主属性范围</x:v>
      </x:c>
    </x:row>
    <x:row r="634">
      <x:c r="A634" s="25" t="str">
        <x:v>C06-E</x:v>
      </x:c>
      <x:c r="B634" s="25" t="str">
        <x:v>盖利德</x:v>
      </x:c>
      <x:c r="C634" s="25" t="str">
        <x:v>半急速入场</x:v>
      </x:c>
      <x:c r="D634" s="25" t="n">
        <x:v>8</x:v>
      </x:c>
      <x:c r="E634" s="25" t="n">
        <x:v>118</x:v>
      </x:c>
      <x:c r="F634" s="25" t="str">
        <x:v>月渊秘戒</x:v>
      </x:c>
      <x:c r="G634" s="25" t="n">
        <x:v>1</x:v>
      </x:c>
      <x:c r="H634" s="25" t="str">
        <x:v>攻击</x:v>
      </x:c>
      <x:c r="I634" s="25" t="n">
        <x:v>231</x:v>
      </x:c>
      <x:c r="J634" s="25" t="n">
        <x:v>1</x:v>
      </x:c>
      <x:c r="K634" s="25" t="str">
        <x:v>仅装备原始基础值决定主属性范围</x:v>
      </x:c>
    </x:row>
    <x:row r="635">
      <x:c r="A635" s="25" t="str">
        <x:v>C06-E</x:v>
      </x:c>
      <x:c r="B635" s="25" t="str">
        <x:v>盖利德</x:v>
      </x:c>
      <x:c r="C635" s="25" t="str">
        <x:v>半急速入场</x:v>
      </x:c>
      <x:c r="D635" s="25" t="n">
        <x:v>8</x:v>
      </x:c>
      <x:c r="E635" s="25" t="n">
        <x:v>118</x:v>
      </x:c>
      <x:c r="F635" s="25" t="str">
        <x:v>月渊秘戒</x:v>
      </x:c>
      <x:c r="G635" s="25" t="n">
        <x:v>2</x:v>
      </x:c>
      <x:c r="H635" s="25" t="str">
        <x:v>攻击加成</x:v>
      </x:c>
      <x:c r="I635" s="25" t="n">
        <x:v>23</x:v>
      </x:c>
      <x:c r="J635" s="25" t="n">
        <x:v>18</x:v>
      </x:c>
      <x:c r="K635" s="25" t="str">
        <x:v>仅装备原始基础值决定主属性范围</x:v>
      </x:c>
    </x:row>
    <x:row r="636">
      <x:c r="A636" s="25" t="str">
        <x:v>C06-E</x:v>
      </x:c>
      <x:c r="B636" s="25" t="str">
        <x:v>盖利德</x:v>
      </x:c>
      <x:c r="C636" s="25" t="str">
        <x:v>半急速入场</x:v>
      </x:c>
      <x:c r="D636" s="25" t="n">
        <x:v>10</x:v>
      </x:c>
      <x:c r="E636" s="25" t="n">
        <x:v>131</x:v>
      </x:c>
      <x:c r="F636" s="25" t="str">
        <x:v>汲月雾绦</x:v>
      </x:c>
      <x:c r="G636" s="25" t="n">
        <x:v>1</x:v>
      </x:c>
      <x:c r="H636" s="25" t="str">
        <x:v>最大爆率</x:v>
      </x:c>
      <x:c r="I636" s="25" t="n">
        <x:v>1</x:v>
      </x:c>
      <x:c r="J636" s="25" t="n">
        <x:v>22</x:v>
      </x:c>
      <x:c r="K636" s="25" t="str">
        <x:v>仅装备原始基础值决定主属性范围</x:v>
      </x:c>
    </x:row>
    <x:row r="637">
      <x:c r="A637" s="25" t="str">
        <x:v>C06-E</x:v>
      </x:c>
      <x:c r="B637" s="25" t="str">
        <x:v>盖利德</x:v>
      </x:c>
      <x:c r="C637" s="25" t="str">
        <x:v>半急速入场</x:v>
      </x:c>
      <x:c r="D637" s="25" t="n">
        <x:v>10</x:v>
      </x:c>
      <x:c r="E637" s="25" t="n">
        <x:v>131</x:v>
      </x:c>
      <x:c r="F637" s="25" t="str">
        <x:v>汲月雾绦</x:v>
      </x:c>
      <x:c r="G637" s="25" t="n">
        <x:v>2</x:v>
      </x:c>
      <x:c r="H637" s="25" t="str">
        <x:v>攻击</x:v>
      </x:c>
      <x:c r="I637" s="25" t="n">
        <x:v>45</x:v>
      </x:c>
      <x:c r="J637" s="25" t="n">
        <x:v>1</x:v>
      </x:c>
      <x:c r="K637" s="25" t="str">
        <x:v>仅装备原始基础值决定主属性范围</x:v>
      </x:c>
    </x:row>
    <x:row r="638">
      <x:c r="A638" s="25" t="str">
        <x:v>C06-E</x:v>
      </x:c>
      <x:c r="B638" s="25" t="str">
        <x:v>盖利德</x:v>
      </x:c>
      <x:c r="C638" s="25" t="str">
        <x:v>半急速入场</x:v>
      </x:c>
      <x:c r="D638" s="25" t="n">
        <x:v>10</x:v>
      </x:c>
      <x:c r="E638" s="25" t="n">
        <x:v>131</x:v>
      </x:c>
      <x:c r="F638" s="25" t="str">
        <x:v>汲月雾绦</x:v>
      </x:c>
      <x:c r="G638" s="25" t="n">
        <x:v>3</x:v>
      </x:c>
      <x:c r="H638" s="25" t="str">
        <x:v>魔法</x:v>
      </x:c>
      <x:c r="I638" s="25" t="n">
        <x:v>49</x:v>
      </x:c>
      <x:c r="J638" s="25" t="n">
        <x:v>2</x:v>
      </x:c>
      <x:c r="K638" s="25" t="str">
        <x:v>仅装备原始基础值决定主属性范围</x:v>
      </x:c>
    </x:row>
    <x:row r="639">
      <x:c r="A639" s="25" t="str">
        <x:v>C06-E</x:v>
      </x:c>
      <x:c r="B639" s="25" t="str">
        <x:v>盖利德</x:v>
      </x:c>
      <x:c r="C639" s="25" t="str">
        <x:v>半急速入场</x:v>
      </x:c>
      <x:c r="D639" s="25" t="n">
        <x:v>10</x:v>
      </x:c>
      <x:c r="E639" s="25" t="n">
        <x:v>131</x:v>
      </x:c>
      <x:c r="F639" s="25" t="str">
        <x:v>汲月雾绦</x:v>
      </x:c>
      <x:c r="G639" s="25" t="n">
        <x:v>4</x:v>
      </x:c>
      <x:c r="H639" s="25" t="str">
        <x:v>攻击加成</x:v>
      </x:c>
      <x:c r="I639" s="25" t="n">
        <x:v>11</x:v>
      </x:c>
      <x:c r="J639" s="25" t="n">
        <x:v>18</x:v>
      </x:c>
      <x:c r="K639" s="25" t="str">
        <x:v>仅装备原始基础值决定主属性范围</x:v>
      </x:c>
    </x:row>
    <x:row r="640">
      <x:c r="A640" s="25" t="str">
        <x:v>C06-E</x:v>
      </x:c>
      <x:c r="B640" s="25" t="str">
        <x:v>盖利德</x:v>
      </x:c>
      <x:c r="C640" s="25" t="str">
        <x:v>半急速入场</x:v>
      </x:c>
      <x:c r="D640" s="25" t="n">
        <x:v>10</x:v>
      </x:c>
      <x:c r="E640" s="25" t="n">
        <x:v>131</x:v>
      </x:c>
      <x:c r="F640" s="25" t="str">
        <x:v>汲月雾绦</x:v>
      </x:c>
      <x:c r="G640" s="25" t="n">
        <x:v>5</x:v>
      </x:c>
      <x:c r="H640" s="25" t="str">
        <x:v>处决概率</x:v>
      </x:c>
      <x:c r="I640" s="25" t="n">
        <x:v>1</x:v>
      </x:c>
      <x:c r="J640" s="25" t="n">
        <x:v>6</x:v>
      </x:c>
      <x:c r="K640" s="25" t="str">
        <x:v>仅装备原始基础值决定主属性范围</x:v>
      </x:c>
    </x:row>
    <x:row r="641">
      <x:c r="A641" s="25" t="str">
        <x:v>C06-E</x:v>
      </x:c>
      <x:c r="B641" s="25" t="str">
        <x:v>盖利德</x:v>
      </x:c>
      <x:c r="C641" s="25" t="str">
        <x:v>半急速入场</x:v>
      </x:c>
      <x:c r="D641" s="25" t="n">
        <x:v>10</x:v>
      </x:c>
      <x:c r="E641" s="25" t="n">
        <x:v>131</x:v>
      </x:c>
      <x:c r="F641" s="25" t="str">
        <x:v>汲月雾绦</x:v>
      </x:c>
      <x:c r="G641" s="25" t="n">
        <x:v>6</x:v>
      </x:c>
      <x:c r="H641" s="25" t="str">
        <x:v>攻击加成</x:v>
      </x:c>
      <x:c r="I641" s="25" t="n">
        <x:v>5</x:v>
      </x:c>
      <x:c r="J641" s="25" t="n">
        <x:v>18</x:v>
      </x:c>
      <x:c r="K641" s="25" t="str">
        <x:v>仅装备原始基础值决定主属性范围</x:v>
      </x:c>
    </x:row>
    <x:row r="642">
      <x:c r="A642" s="25" t="str">
        <x:v>C06-E</x:v>
      </x:c>
      <x:c r="B642" s="25" t="str">
        <x:v>盖利德</x:v>
      </x:c>
      <x:c r="C642" s="25" t="str">
        <x:v>半急速入场</x:v>
      </x:c>
      <x:c r="D642" s="25" t="n">
        <x:v>10</x:v>
      </x:c>
      <x:c r="E642" s="25" t="n">
        <x:v>131</x:v>
      </x:c>
      <x:c r="F642" s="25" t="str">
        <x:v>汲月雾绦</x:v>
      </x:c>
      <x:c r="G642" s="25" t="n">
        <x:v>7</x:v>
      </x:c>
      <x:c r="H642" s="25" t="str">
        <x:v>攻击加成</x:v>
      </x:c>
      <x:c r="I642" s="25" t="n">
        <x:v>14</x:v>
      </x:c>
      <x:c r="J642" s="25" t="n">
        <x:v>18</x:v>
      </x:c>
      <x:c r="K642" s="25" t="str">
        <x:v>仅装备原始基础值决定主属性范围</x:v>
      </x:c>
    </x:row>
    <x:row r="643">
      <x:c r="A643" s="25" t="str">
        <x:v>C06-E</x:v>
      </x:c>
      <x:c r="B643" s="25" t="str">
        <x:v>盖利德</x:v>
      </x:c>
      <x:c r="C643" s="25" t="str">
        <x:v>半急速入场</x:v>
      </x:c>
      <x:c r="D643" s="25" t="n">
        <x:v>11</x:v>
      </x:c>
      <x:c r="E643" s="25" t="n">
        <x:v>94</x:v>
      </x:c>
      <x:c r="F643" s="25" t="str">
        <x:v>逐风征靴</x:v>
      </x:c>
      <x:c r="G643" s="25" t="n">
        <x:v>1</x:v>
      </x:c>
      <x:c r="H643" s="25" t="str">
        <x:v>魔法</x:v>
      </x:c>
      <x:c r="I643" s="25" t="n">
        <x:v>46</x:v>
      </x:c>
      <x:c r="J643" s="25" t="n">
        <x:v>2</x:v>
      </x:c>
      <x:c r="K643" s="25" t="str">
        <x:v>仅装备原始基础值决定主属性范围</x:v>
      </x:c>
    </x:row>
    <x:row r="644">
      <x:c r="A644" s="25" t="str">
        <x:v>C06-E</x:v>
      </x:c>
      <x:c r="B644" s="25" t="str">
        <x:v>盖利德</x:v>
      </x:c>
      <x:c r="C644" s="25" t="str">
        <x:v>半急速入场</x:v>
      </x:c>
      <x:c r="D644" s="25" t="n">
        <x:v>11</x:v>
      </x:c>
      <x:c r="E644" s="25" t="n">
        <x:v>94</x:v>
      </x:c>
      <x:c r="F644" s="25" t="str">
        <x:v>逐风征靴</x:v>
      </x:c>
      <x:c r="G644" s="25" t="n">
        <x:v>2</x:v>
      </x:c>
      <x:c r="H644" s="25" t="str">
        <x:v>攻击加成</x:v>
      </x:c>
      <x:c r="I644" s="25" t="n">
        <x:v>30</x:v>
      </x:c>
      <x:c r="J644" s="25" t="n">
        <x:v>18</x:v>
      </x:c>
      <x:c r="K644" s="25" t="str">
        <x:v>仅装备原始基础值决定主属性范围</x:v>
      </x:c>
    </x:row>
    <x:row r="645">
      <x:c r="A645" s="25" t="str">
        <x:v>C06-E</x:v>
      </x:c>
      <x:c r="B645" s="25" t="str">
        <x:v>盖利德</x:v>
      </x:c>
      <x:c r="C645" s="25" t="str">
        <x:v>半急速入场</x:v>
      </x:c>
      <x:c r="D645" s="25" t="n">
        <x:v>11</x:v>
      </x:c>
      <x:c r="E645" s="25" t="n">
        <x:v>94</x:v>
      </x:c>
      <x:c r="F645" s="25" t="str">
        <x:v>逐风征靴</x:v>
      </x:c>
      <x:c r="G645" s="25" t="n">
        <x:v>3</x:v>
      </x:c>
      <x:c r="H645" s="25" t="str">
        <x:v>攻击</x:v>
      </x:c>
      <x:c r="I645" s="25" t="n">
        <x:v>68</x:v>
      </x:c>
      <x:c r="J645" s="25" t="n">
        <x:v>1</x:v>
      </x:c>
      <x:c r="K645" s="25" t="str">
        <x:v>仅装备原始基础值决定主属性范围</x:v>
      </x:c>
    </x:row>
    <x:row r="646">
      <x:c r="A646" s="25" t="str">
        <x:v>C06-M</x:v>
      </x:c>
      <x:c r="B646" s="25" t="str">
        <x:v>盖利德</x:v>
      </x:c>
      <x:c r="C646" s="25" t="str">
        <x:v>半急速中期</x:v>
      </x:c>
      <x:c r="D646" s="25" t="n">
        <x:v>0</x:v>
      </x:c>
      <x:c r="E646" s="25" t="n">
        <x:v>129</x:v>
      </x:c>
      <x:c r="F646" s="25" t="str">
        <x:v>静潮祷仪袍</x:v>
      </x:c>
      <x:c r="G646" s="25" t="n">
        <x:v>1</x:v>
      </x:c>
      <x:c r="H646" s="25" t="str">
        <x:v>魔法</x:v>
      </x:c>
      <x:c r="I646" s="25" t="n">
        <x:v>108</x:v>
      </x:c>
      <x:c r="J646" s="25" t="n">
        <x:v>2</x:v>
      </x:c>
      <x:c r="K646" s="25" t="str">
        <x:v>仅装备原始基础值决定主属性范围</x:v>
      </x:c>
    </x:row>
    <x:row r="647">
      <x:c r="A647" s="25" t="str">
        <x:v>C06-M</x:v>
      </x:c>
      <x:c r="B647" s="25" t="str">
        <x:v>盖利德</x:v>
      </x:c>
      <x:c r="C647" s="25" t="str">
        <x:v>半急速中期</x:v>
      </x:c>
      <x:c r="D647" s="25" t="n">
        <x:v>0</x:v>
      </x:c>
      <x:c r="E647" s="25" t="n">
        <x:v>129</x:v>
      </x:c>
      <x:c r="F647" s="25" t="str">
        <x:v>静潮祷仪袍</x:v>
      </x:c>
      <x:c r="G647" s="25" t="n">
        <x:v>2</x:v>
      </x:c>
      <x:c r="H647" s="25" t="str">
        <x:v>攻击加成</x:v>
      </x:c>
      <x:c r="I647" s="25" t="n">
        <x:v>31</x:v>
      </x:c>
      <x:c r="J647" s="25" t="n">
        <x:v>19</x:v>
      </x:c>
      <x:c r="K647" s="25" t="str">
        <x:v>仅装备原始基础值决定主属性范围</x:v>
      </x:c>
    </x:row>
    <x:row r="648">
      <x:c r="A648" s="25" t="str">
        <x:v>C06-M</x:v>
      </x:c>
      <x:c r="B648" s="25" t="str">
        <x:v>盖利德</x:v>
      </x:c>
      <x:c r="C648" s="25" t="str">
        <x:v>半急速中期</x:v>
      </x:c>
      <x:c r="D648" s="25" t="n">
        <x:v>0</x:v>
      </x:c>
      <x:c r="E648" s="25" t="n">
        <x:v>129</x:v>
      </x:c>
      <x:c r="F648" s="25" t="str">
        <x:v>静潮祷仪袍</x:v>
      </x:c>
      <x:c r="G648" s="25" t="n">
        <x:v>3</x:v>
      </x:c>
      <x:c r="H648" s="25" t="str">
        <x:v>攻击加成</x:v>
      </x:c>
      <x:c r="I648" s="25" t="n">
        <x:v>34</x:v>
      </x:c>
      <x:c r="J648" s="25" t="n">
        <x:v>19</x:v>
      </x:c>
      <x:c r="K648" s="25" t="str">
        <x:v>仅装备原始基础值决定主属性范围</x:v>
      </x:c>
    </x:row>
    <x:row r="649">
      <x:c r="A649" s="25" t="str">
        <x:v>C06-M</x:v>
      </x:c>
      <x:c r="B649" s="25" t="str">
        <x:v>盖利德</x:v>
      </x:c>
      <x:c r="C649" s="25" t="str">
        <x:v>半急速中期</x:v>
      </x:c>
      <x:c r="D649" s="25" t="n">
        <x:v>0</x:v>
      </x:c>
      <x:c r="E649" s="25" t="n">
        <x:v>129</x:v>
      </x:c>
      <x:c r="F649" s="25" t="str">
        <x:v>静潮祷仪袍</x:v>
      </x:c>
      <x:c r="G649" s="25" t="n">
        <x:v>4</x:v>
      </x:c>
      <x:c r="H649" s="25" t="str">
        <x:v>魔法</x:v>
      </x:c>
      <x:c r="I649" s="25" t="n">
        <x:v>175</x:v>
      </x:c>
      <x:c r="J649" s="25" t="n">
        <x:v>2</x:v>
      </x:c>
      <x:c r="K649" s="25" t="str">
        <x:v>仅装备原始基础值决定主属性范围</x:v>
      </x:c>
    </x:row>
    <x:row r="650">
      <x:c r="A650" s="25" t="str">
        <x:v>C06-M</x:v>
      </x:c>
      <x:c r="B650" s="25" t="str">
        <x:v>盖利德</x:v>
      </x:c>
      <x:c r="C650" s="25" t="str">
        <x:v>半急速中期</x:v>
      </x:c>
      <x:c r="D650" s="25" t="n">
        <x:v>0</x:v>
      </x:c>
      <x:c r="E650" s="25" t="n">
        <x:v>129</x:v>
      </x:c>
      <x:c r="F650" s="25" t="str">
        <x:v>静潮祷仪袍</x:v>
      </x:c>
      <x:c r="G650" s="25" t="n">
        <x:v>5</x:v>
      </x:c>
      <x:c r="H650" s="25" t="str">
        <x:v>攻击加成</x:v>
      </x:c>
      <x:c r="I650" s="25" t="n">
        <x:v>4</x:v>
      </x:c>
      <x:c r="J650" s="25" t="n">
        <x:v>18</x:v>
      </x:c>
      <x:c r="K650" s="25" t="str">
        <x:v>仅装备原始基础值决定主属性范围</x:v>
      </x:c>
    </x:row>
    <x:row r="651">
      <x:c r="A651" s="25" t="str">
        <x:v>C06-M</x:v>
      </x:c>
      <x:c r="B651" s="25" t="str">
        <x:v>盖利德</x:v>
      </x:c>
      <x:c r="C651" s="25" t="str">
        <x:v>半急速中期</x:v>
      </x:c>
      <x:c r="D651" s="25" t="n">
        <x:v>1</x:v>
      </x:c>
      <x:c r="E651" s="25" t="n">
        <x:v>128</x:v>
      </x:c>
      <x:c r="F651" s="25" t="str">
        <x:v>卡利亚月裁长刃</x:v>
      </x:c>
      <x:c r="G651" s="25" t="n">
        <x:v>1</x:v>
      </x:c>
      <x:c r="H651" s="25" t="str">
        <x:v>道术</x:v>
      </x:c>
      <x:c r="I651" s="25" t="n">
        <x:v>1559</x:v>
      </x:c>
      <x:c r="J651" s="25" t="n">
        <x:v>3</x:v>
      </x:c>
      <x:c r="K651" s="25" t="str">
        <x:v>仅装备原始基础值决定主属性范围</x:v>
      </x:c>
    </x:row>
    <x:row r="652">
      <x:c r="A652" s="25" t="str">
        <x:v>C06-M</x:v>
      </x:c>
      <x:c r="B652" s="25" t="str">
        <x:v>盖利德</x:v>
      </x:c>
      <x:c r="C652" s="25" t="str">
        <x:v>半急速中期</x:v>
      </x:c>
      <x:c r="D652" s="25" t="n">
        <x:v>1</x:v>
      </x:c>
      <x:c r="E652" s="25" t="n">
        <x:v>128</x:v>
      </x:c>
      <x:c r="F652" s="25" t="str">
        <x:v>卡利亚月裁长刃</x:v>
      </x:c>
      <x:c r="G652" s="25" t="n">
        <x:v>2</x:v>
      </x:c>
      <x:c r="H652" s="25" t="str">
        <x:v>攻击加成</x:v>
      </x:c>
      <x:c r="I652" s="25" t="n">
        <x:v>20</x:v>
      </x:c>
      <x:c r="J652" s="25" t="n">
        <x:v>18</x:v>
      </x:c>
      <x:c r="K652" s="25" t="str">
        <x:v>仅装备原始基础值决定主属性范围</x:v>
      </x:c>
    </x:row>
    <x:row r="653">
      <x:c r="A653" s="25" t="str">
        <x:v>C06-M</x:v>
      </x:c>
      <x:c r="B653" s="25" t="str">
        <x:v>盖利德</x:v>
      </x:c>
      <x:c r="C653" s="25" t="str">
        <x:v>半急速中期</x:v>
      </x:c>
      <x:c r="D653" s="25" t="n">
        <x:v>1</x:v>
      </x:c>
      <x:c r="E653" s="25" t="n">
        <x:v>128</x:v>
      </x:c>
      <x:c r="F653" s="25" t="str">
        <x:v>卡利亚月裁长刃</x:v>
      </x:c>
      <x:c r="G653" s="25" t="n">
        <x:v>3</x:v>
      </x:c>
      <x:c r="H653" s="25" t="str">
        <x:v>攻击加成</x:v>
      </x:c>
      <x:c r="I653" s="25" t="n">
        <x:v>44</x:v>
      </x:c>
      <x:c r="J653" s="25" t="n">
        <x:v>19</x:v>
      </x:c>
      <x:c r="K653" s="25" t="str">
        <x:v>仅装备原始基础值决定主属性范围</x:v>
      </x:c>
    </x:row>
    <x:row r="654">
      <x:c r="A654" s="25" t="str">
        <x:v>C06-M</x:v>
      </x:c>
      <x:c r="B654" s="25" t="str">
        <x:v>盖利德</x:v>
      </x:c>
      <x:c r="C654" s="25" t="str">
        <x:v>半急速中期</x:v>
      </x:c>
      <x:c r="D654" s="25" t="n">
        <x:v>1</x:v>
      </x:c>
      <x:c r="E654" s="25" t="n">
        <x:v>128</x:v>
      </x:c>
      <x:c r="F654" s="25" t="str">
        <x:v>卡利亚月裁长刃</x:v>
      </x:c>
      <x:c r="G654" s="25" t="n">
        <x:v>4</x:v>
      </x:c>
      <x:c r="H654" s="25" t="str">
        <x:v>伤害系数</x:v>
      </x:c>
      <x:c r="I654" s="25" t="n">
        <x:v>1</x:v>
      </x:c>
      <x:c r="J654" s="25" t="n">
        <x:v>25</x:v>
      </x:c>
      <x:c r="K654" s="25" t="str">
        <x:v>仅装备原始基础值决定主属性范围</x:v>
      </x:c>
    </x:row>
    <x:row r="655">
      <x:c r="A655" s="25" t="str">
        <x:v>C06-M</x:v>
      </x:c>
      <x:c r="B655" s="25" t="str">
        <x:v>盖利德</x:v>
      </x:c>
      <x:c r="C655" s="25" t="str">
        <x:v>半急速中期</x:v>
      </x:c>
      <x:c r="D655" s="25" t="n">
        <x:v>1</x:v>
      </x:c>
      <x:c r="E655" s="25" t="n">
        <x:v>128</x:v>
      </x:c>
      <x:c r="F655" s="25" t="str">
        <x:v>卡利亚月裁长刃</x:v>
      </x:c>
      <x:c r="G655" s="25" t="n">
        <x:v>5</x:v>
      </x:c>
      <x:c r="H655" s="25" t="str">
        <x:v>韧性</x:v>
      </x:c>
      <x:c r="I655" s="25" t="n">
        <x:v>10</x:v>
      </x:c>
      <x:c r="J655" s="25" t="n">
        <x:v>12</x:v>
      </x:c>
      <x:c r="K655" s="25" t="str">
        <x:v>仅装备原始基础值决定主属性范围</x:v>
      </x:c>
    </x:row>
    <x:row r="656">
      <x:c r="A656" s="25" t="str">
        <x:v>C06-M</x:v>
      </x:c>
      <x:c r="B656" s="25" t="str">
        <x:v>盖利德</x:v>
      </x:c>
      <x:c r="C656" s="25" t="str">
        <x:v>半急速中期</x:v>
      </x:c>
      <x:c r="D656" s="25" t="n">
        <x:v>1</x:v>
      </x:c>
      <x:c r="E656" s="25" t="n">
        <x:v>128</x:v>
      </x:c>
      <x:c r="F656" s="25" t="str">
        <x:v>卡利亚月裁长刃</x:v>
      </x:c>
      <x:c r="G656" s="25" t="n">
        <x:v>6</x:v>
      </x:c>
      <x:c r="H656" s="25" t="str">
        <x:v>道术</x:v>
      </x:c>
      <x:c r="I656" s="25" t="n">
        <x:v>1595</x:v>
      </x:c>
      <x:c r="J656" s="25" t="n">
        <x:v>3</x:v>
      </x:c>
      <x:c r="K656" s="25" t="str">
        <x:v>仅装备原始基础值决定主属性范围</x:v>
      </x:c>
    </x:row>
    <x:row r="657">
      <x:c r="A657" s="25" t="str">
        <x:v>C06-M</x:v>
      </x:c>
      <x:c r="B657" s="25" t="str">
        <x:v>盖利德</x:v>
      </x:c>
      <x:c r="C657" s="25" t="str">
        <x:v>半急速中期</x:v>
      </x:c>
      <x:c r="D657" s="25" t="n">
        <x:v>3</x:v>
      </x:c>
      <x:c r="E657" s="25" t="n">
        <x:v>101</x:v>
      </x:c>
      <x:c r="F657" s="25" t="str">
        <x:v>引魂铜铃链</x:v>
      </x:c>
      <x:c r="G657" s="25" t="n">
        <x:v>1</x:v>
      </x:c>
      <x:c r="H657" s="25" t="str">
        <x:v>攻击速度</x:v>
      </x:c>
      <x:c r="I657" s="25" t="n">
        <x:v>2</x:v>
      </x:c>
      <x:c r="J657" s="25" t="n">
        <x:v>5</x:v>
      </x:c>
      <x:c r="K657" s="25" t="str">
        <x:v>仅装备原始基础值决定主属性范围</x:v>
      </x:c>
    </x:row>
    <x:row r="658">
      <x:c r="A658" s="25" t="str">
        <x:v>C06-M</x:v>
      </x:c>
      <x:c r="B658" s="25" t="str">
        <x:v>盖利德</x:v>
      </x:c>
      <x:c r="C658" s="25" t="str">
        <x:v>半急速中期</x:v>
      </x:c>
      <x:c r="D658" s="25" t="n">
        <x:v>3</x:v>
      </x:c>
      <x:c r="E658" s="25" t="n">
        <x:v>101</x:v>
      </x:c>
      <x:c r="F658" s="25" t="str">
        <x:v>引魂铜铃链</x:v>
      </x:c>
      <x:c r="G658" s="25" t="n">
        <x:v>2</x:v>
      </x:c>
      <x:c r="H658" s="25" t="str">
        <x:v>处决时间</x:v>
      </x:c>
      <x:c r="I658" s="25" t="n">
        <x:v>1</x:v>
      </x:c>
      <x:c r="J658" s="25" t="n">
        <x:v>8</x:v>
      </x:c>
      <x:c r="K658" s="25" t="str">
        <x:v>仅装备原始基础值决定主属性范围</x:v>
      </x:c>
    </x:row>
    <x:row r="659">
      <x:c r="A659" s="25" t="str">
        <x:v>C06-M</x:v>
      </x:c>
      <x:c r="B659" s="25" t="str">
        <x:v>盖利德</x:v>
      </x:c>
      <x:c r="C659" s="25" t="str">
        <x:v>半急速中期</x:v>
      </x:c>
      <x:c r="D659" s="25" t="n">
        <x:v>3</x:v>
      </x:c>
      <x:c r="E659" s="25" t="n">
        <x:v>101</x:v>
      </x:c>
      <x:c r="F659" s="25" t="str">
        <x:v>引魂铜铃链</x:v>
      </x:c>
      <x:c r="G659" s="25" t="n">
        <x:v>3</x:v>
      </x:c>
      <x:c r="H659" s="25" t="str">
        <x:v>暴击</x:v>
      </x:c>
      <x:c r="I659" s="25" t="n">
        <x:v>1</x:v>
      </x:c>
      <x:c r="J659" s="25" t="n">
        <x:v>14</x:v>
      </x:c>
      <x:c r="K659" s="25" t="str">
        <x:v>仅装备原始基础值决定主属性范围</x:v>
      </x:c>
    </x:row>
    <x:row r="660">
      <x:c r="A660" s="25" t="str">
        <x:v>C06-M</x:v>
      </x:c>
      <x:c r="B660" s="25" t="str">
        <x:v>盖利德</x:v>
      </x:c>
      <x:c r="C660" s="25" t="str">
        <x:v>半急速中期</x:v>
      </x:c>
      <x:c r="D660" s="25" t="n">
        <x:v>3</x:v>
      </x:c>
      <x:c r="E660" s="25" t="n">
        <x:v>101</x:v>
      </x:c>
      <x:c r="F660" s="25" t="str">
        <x:v>引魂铜铃链</x:v>
      </x:c>
      <x:c r="G660" s="25" t="n">
        <x:v>4</x:v>
      </x:c>
      <x:c r="H660" s="25" t="str">
        <x:v>攻击加成</x:v>
      </x:c>
      <x:c r="I660" s="25" t="n">
        <x:v>14</x:v>
      </x:c>
      <x:c r="J660" s="25" t="n">
        <x:v>18</x:v>
      </x:c>
      <x:c r="K660" s="25" t="str">
        <x:v>仅装备原始基础值决定主属性范围</x:v>
      </x:c>
    </x:row>
    <x:row r="661">
      <x:c r="A661" s="25" t="str">
        <x:v>C06-M</x:v>
      </x:c>
      <x:c r="B661" s="25" t="str">
        <x:v>盖利德</x:v>
      </x:c>
      <x:c r="C661" s="25" t="str">
        <x:v>半急速中期</x:v>
      </x:c>
      <x:c r="D661" s="25" t="n">
        <x:v>3</x:v>
      </x:c>
      <x:c r="E661" s="25" t="n">
        <x:v>101</x:v>
      </x:c>
      <x:c r="F661" s="25" t="str">
        <x:v>引魂铜铃链</x:v>
      </x:c>
      <x:c r="G661" s="25" t="n">
        <x:v>5</x:v>
      </x:c>
      <x:c r="H661" s="25" t="str">
        <x:v>处决时间</x:v>
      </x:c>
      <x:c r="I661" s="25" t="n">
        <x:v>1</x:v>
      </x:c>
      <x:c r="J661" s="25" t="n">
        <x:v>8</x:v>
      </x:c>
      <x:c r="K661" s="25" t="str">
        <x:v>仅装备原始基础值决定主属性范围</x:v>
      </x:c>
    </x:row>
    <x:row r="662">
      <x:c r="A662" s="25" t="str">
        <x:v>C06-M</x:v>
      </x:c>
      <x:c r="B662" s="25" t="str">
        <x:v>盖利德</x:v>
      </x:c>
      <x:c r="C662" s="25" t="str">
        <x:v>半急速中期</x:v>
      </x:c>
      <x:c r="D662" s="25" t="n">
        <x:v>3</x:v>
      </x:c>
      <x:c r="E662" s="25" t="n">
        <x:v>101</x:v>
      </x:c>
      <x:c r="F662" s="25" t="str">
        <x:v>引魂铜铃链</x:v>
      </x:c>
      <x:c r="G662" s="25" t="n">
        <x:v>6</x:v>
      </x:c>
      <x:c r="H662" s="25" t="str">
        <x:v>攻击速度</x:v>
      </x:c>
      <x:c r="I662" s="25" t="n">
        <x:v>1</x:v>
      </x:c>
      <x:c r="J662" s="25" t="n">
        <x:v>4</x:v>
      </x:c>
      <x:c r="K662" s="25" t="str">
        <x:v>仅装备原始基础值决定主属性范围</x:v>
      </x:c>
    </x:row>
    <x:row r="663">
      <x:c r="A663" s="25" t="str">
        <x:v>C06-M</x:v>
      </x:c>
      <x:c r="B663" s="25" t="str">
        <x:v>盖利德</x:v>
      </x:c>
      <x:c r="C663" s="25" t="str">
        <x:v>半急速中期</x:v>
      </x:c>
      <x:c r="D663" s="25" t="n">
        <x:v>3</x:v>
      </x:c>
      <x:c r="E663" s="25" t="n">
        <x:v>101</x:v>
      </x:c>
      <x:c r="F663" s="25" t="str">
        <x:v>引魂铜铃链</x:v>
      </x:c>
      <x:c r="G663" s="25" t="n">
        <x:v>7</x:v>
      </x:c>
      <x:c r="H663" s="25" t="str">
        <x:v>攻击速度</x:v>
      </x:c>
      <x:c r="I663" s="25" t="n">
        <x:v>1</x:v>
      </x:c>
      <x:c r="J663" s="25" t="n">
        <x:v>4</x:v>
      </x:c>
      <x:c r="K663" s="25" t="str">
        <x:v>仅装备原始基础值决定主属性范围</x:v>
      </x:c>
    </x:row>
    <x:row r="664">
      <x:c r="A664" s="25" t="str">
        <x:v>C06-M</x:v>
      </x:c>
      <x:c r="B664" s="25" t="str">
        <x:v>盖利德</x:v>
      </x:c>
      <x:c r="C664" s="25" t="str">
        <x:v>半急速中期</x:v>
      </x:c>
      <x:c r="D664" s="25" t="n">
        <x:v>3</x:v>
      </x:c>
      <x:c r="E664" s="25" t="n">
        <x:v>101</x:v>
      </x:c>
      <x:c r="F664" s="25" t="str">
        <x:v>引魂铜铃链</x:v>
      </x:c>
      <x:c r="G664" s="25" t="n">
        <x:v>8</x:v>
      </x:c>
      <x:c r="H664" s="25" t="str">
        <x:v>处决伤害</x:v>
      </x:c>
      <x:c r="I664" s="25" t="n">
        <x:v>1</x:v>
      </x:c>
      <x:c r="J664" s="25" t="n">
        <x:v>10</x:v>
      </x:c>
      <x:c r="K664" s="25" t="str">
        <x:v>仅装备原始基础值决定主属性范围</x:v>
      </x:c>
    </x:row>
    <x:row r="665">
      <x:c r="A665" s="25" t="str">
        <x:v>C06-M</x:v>
      </x:c>
      <x:c r="B665" s="25" t="str">
        <x:v>盖利德</x:v>
      </x:c>
      <x:c r="C665" s="25" t="str">
        <x:v>半急速中期</x:v>
      </x:c>
      <x:c r="D665" s="25" t="n">
        <x:v>4</x:v>
      </x:c>
      <x:c r="E665" s="25" t="n">
        <x:v>130</x:v>
      </x:c>
      <x:c r="F665" s="25" t="str">
        <x:v>镜荷眠梦冠</x:v>
      </x:c>
      <x:c r="G665" s="25" t="n">
        <x:v>1</x:v>
      </x:c>
      <x:c r="H665" s="25" t="str">
        <x:v>攻击加成</x:v>
      </x:c>
      <x:c r="I665" s="25" t="n">
        <x:v>22</x:v>
      </x:c>
      <x:c r="J665" s="25" t="n">
        <x:v>18</x:v>
      </x:c>
      <x:c r="K665" s="25" t="str">
        <x:v>仅装备原始基础值决定主属性范围</x:v>
      </x:c>
    </x:row>
    <x:row r="666">
      <x:c r="A666" s="25" t="str">
        <x:v>C06-M</x:v>
      </x:c>
      <x:c r="B666" s="25" t="str">
        <x:v>盖利德</x:v>
      </x:c>
      <x:c r="C666" s="25" t="str">
        <x:v>半急速中期</x:v>
      </x:c>
      <x:c r="D666" s="25" t="n">
        <x:v>4</x:v>
      </x:c>
      <x:c r="E666" s="25" t="n">
        <x:v>130</x:v>
      </x:c>
      <x:c r="F666" s="25" t="str">
        <x:v>镜荷眠梦冠</x:v>
      </x:c>
      <x:c r="G666" s="25" t="n">
        <x:v>2</x:v>
      </x:c>
      <x:c r="H666" s="25" t="str">
        <x:v>攻击加成</x:v>
      </x:c>
      <x:c r="I666" s="25" t="n">
        <x:v>35</x:v>
      </x:c>
      <x:c r="J666" s="25" t="n">
        <x:v>19</x:v>
      </x:c>
      <x:c r="K666" s="25" t="str">
        <x:v>仅装备原始基础值决定主属性范围</x:v>
      </x:c>
    </x:row>
    <x:row r="667">
      <x:c r="A667" s="25" t="str">
        <x:v>C06-M</x:v>
      </x:c>
      <x:c r="B667" s="25" t="str">
        <x:v>盖利德</x:v>
      </x:c>
      <x:c r="C667" s="25" t="str">
        <x:v>半急速中期</x:v>
      </x:c>
      <x:c r="D667" s="25" t="n">
        <x:v>4</x:v>
      </x:c>
      <x:c r="E667" s="25" t="n">
        <x:v>130</x:v>
      </x:c>
      <x:c r="F667" s="25" t="str">
        <x:v>镜荷眠梦冠</x:v>
      </x:c>
      <x:c r="G667" s="25" t="n">
        <x:v>3</x:v>
      </x:c>
      <x:c r="H667" s="25" t="str">
        <x:v>伤害系数</x:v>
      </x:c>
      <x:c r="I667" s="25" t="n">
        <x:v>1</x:v>
      </x:c>
      <x:c r="J667" s="25" t="n">
        <x:v>25</x:v>
      </x:c>
      <x:c r="K667" s="25" t="str">
        <x:v>仅装备原始基础值决定主属性范围</x:v>
      </x:c>
    </x:row>
    <x:row r="668">
      <x:c r="A668" s="25" t="str">
        <x:v>C06-M</x:v>
      </x:c>
      <x:c r="B668" s="25" t="str">
        <x:v>盖利德</x:v>
      </x:c>
      <x:c r="C668" s="25" t="str">
        <x:v>半急速中期</x:v>
      </x:c>
      <x:c r="D668" s="25" t="n">
        <x:v>4</x:v>
      </x:c>
      <x:c r="E668" s="25" t="n">
        <x:v>130</x:v>
      </x:c>
      <x:c r="F668" s="25" t="str">
        <x:v>镜荷眠梦冠</x:v>
      </x:c>
      <x:c r="G668" s="25" t="n">
        <x:v>4</x:v>
      </x:c>
      <x:c r="H668" s="25" t="str">
        <x:v>攻击速度</x:v>
      </x:c>
      <x:c r="I668" s="25" t="n">
        <x:v>2</x:v>
      </x:c>
      <x:c r="J668" s="25" t="n">
        <x:v>5</x:v>
      </x:c>
      <x:c r="K668" s="25" t="str">
        <x:v>仅装备原始基础值决定主属性范围</x:v>
      </x:c>
    </x:row>
    <x:row r="669">
      <x:c r="A669" s="25" t="str">
        <x:v>C06-M</x:v>
      </x:c>
      <x:c r="B669" s="25" t="str">
        <x:v>盖利德</x:v>
      </x:c>
      <x:c r="C669" s="25" t="str">
        <x:v>半急速中期</x:v>
      </x:c>
      <x:c r="D669" s="25" t="n">
        <x:v>5</x:v>
      </x:c>
      <x:c r="E669" s="25" t="n">
        <x:v>113</x:v>
      </x:c>
      <x:c r="F669" s="25" t="str">
        <x:v>百指腕甲</x:v>
      </x:c>
      <x:c r="G669" s="25" t="n">
        <x:v>1</x:v>
      </x:c>
      <x:c r="H669" s="25" t="str">
        <x:v>攻击加成</x:v>
      </x:c>
      <x:c r="I669" s="25" t="n">
        <x:v>19</x:v>
      </x:c>
      <x:c r="J669" s="25" t="n">
        <x:v>18</x:v>
      </x:c>
      <x:c r="K669" s="25" t="str">
        <x:v>仅装备原始基础值决定主属性范围</x:v>
      </x:c>
    </x:row>
    <x:row r="670">
      <x:c r="A670" s="25" t="str">
        <x:v>C06-M</x:v>
      </x:c>
      <x:c r="B670" s="25" t="str">
        <x:v>盖利德</x:v>
      </x:c>
      <x:c r="C670" s="25" t="str">
        <x:v>半急速中期</x:v>
      </x:c>
      <x:c r="D670" s="25" t="n">
        <x:v>5</x:v>
      </x:c>
      <x:c r="E670" s="25" t="n">
        <x:v>113</x:v>
      </x:c>
      <x:c r="F670" s="25" t="str">
        <x:v>百指腕甲</x:v>
      </x:c>
      <x:c r="G670" s="25" t="n">
        <x:v>2</x:v>
      </x:c>
      <x:c r="H670" s="25" t="str">
        <x:v>攻击加成</x:v>
      </x:c>
      <x:c r="I670" s="25" t="n">
        <x:v>44</x:v>
      </x:c>
      <x:c r="J670" s="25" t="n">
        <x:v>19</x:v>
      </x:c>
      <x:c r="K670" s="25" t="str">
        <x:v>仅装备原始基础值决定主属性范围</x:v>
      </x:c>
    </x:row>
    <x:row r="671">
      <x:c r="A671" s="25" t="str">
        <x:v>C06-M</x:v>
      </x:c>
      <x:c r="B671" s="25" t="str">
        <x:v>盖利德</x:v>
      </x:c>
      <x:c r="C671" s="25" t="str">
        <x:v>半急速中期</x:v>
      </x:c>
      <x:c r="D671" s="25" t="n">
        <x:v>6</x:v>
      </x:c>
      <x:c r="E671" s="25" t="n">
        <x:v>68</x:v>
      </x:c>
      <x:c r="F671" s="25" t="str">
        <x:v>百指接肢腕</x:v>
      </x:c>
      <x:c r="G671" s="25" t="n">
        <x:v>1</x:v>
      </x:c>
      <x:c r="H671" s="25" t="str">
        <x:v>处决伤害</x:v>
      </x:c>
      <x:c r="I671" s="25" t="n">
        <x:v>1</x:v>
      </x:c>
      <x:c r="J671" s="25" t="n">
        <x:v>10</x:v>
      </x:c>
      <x:c r="K671" s="25" t="str">
        <x:v>仅装备原始基础值决定主属性范围</x:v>
      </x:c>
    </x:row>
    <x:row r="672">
      <x:c r="A672" s="25" t="str">
        <x:v>C06-M</x:v>
      </x:c>
      <x:c r="B672" s="25" t="str">
        <x:v>盖利德</x:v>
      </x:c>
      <x:c r="C672" s="25" t="str">
        <x:v>半急速中期</x:v>
      </x:c>
      <x:c r="D672" s="25" t="n">
        <x:v>6</x:v>
      </x:c>
      <x:c r="E672" s="25" t="n">
        <x:v>68</x:v>
      </x:c>
      <x:c r="F672" s="25" t="str">
        <x:v>百指接肢腕</x:v>
      </x:c>
      <x:c r="G672" s="25" t="n">
        <x:v>2</x:v>
      </x:c>
      <x:c r="H672" s="25" t="str">
        <x:v>攻击加成</x:v>
      </x:c>
      <x:c r="I672" s="25" t="n">
        <x:v>28</x:v>
      </x:c>
      <x:c r="J672" s="25" t="n">
        <x:v>18</x:v>
      </x:c>
      <x:c r="K672" s="25" t="str">
        <x:v>仅装备原始基础值决定主属性范围</x:v>
      </x:c>
    </x:row>
    <x:row r="673">
      <x:c r="A673" s="25" t="str">
        <x:v>C06-M</x:v>
      </x:c>
      <x:c r="B673" s="25" t="str">
        <x:v>盖利德</x:v>
      </x:c>
      <x:c r="C673" s="25" t="str">
        <x:v>半急速中期</x:v>
      </x:c>
      <x:c r="D673" s="25" t="n">
        <x:v>6</x:v>
      </x:c>
      <x:c r="E673" s="25" t="n">
        <x:v>68</x:v>
      </x:c>
      <x:c r="F673" s="25" t="str">
        <x:v>百指接肢腕</x:v>
      </x:c>
      <x:c r="G673" s="25" t="n">
        <x:v>3</x:v>
      </x:c>
      <x:c r="H673" s="25" t="str">
        <x:v>攻击加成</x:v>
      </x:c>
      <x:c r="I673" s="25" t="n">
        <x:v>45</x:v>
      </x:c>
      <x:c r="J673" s="25" t="n">
        <x:v>19</x:v>
      </x:c>
      <x:c r="K673" s="25" t="str">
        <x:v>仅装备原始基础值决定主属性范围</x:v>
      </x:c>
    </x:row>
    <x:row r="674">
      <x:c r="A674" s="25" t="str">
        <x:v>C06-M</x:v>
      </x:c>
      <x:c r="B674" s="25" t="str">
        <x:v>盖利德</x:v>
      </x:c>
      <x:c r="C674" s="25" t="str">
        <x:v>半急速中期</x:v>
      </x:c>
      <x:c r="D674" s="25" t="n">
        <x:v>6</x:v>
      </x:c>
      <x:c r="E674" s="25" t="n">
        <x:v>68</x:v>
      </x:c>
      <x:c r="F674" s="25" t="str">
        <x:v>百指接肢腕</x:v>
      </x:c>
      <x:c r="G674" s="25" t="n">
        <x:v>4</x:v>
      </x:c>
      <x:c r="H674" s="25" t="str">
        <x:v>处决伤害</x:v>
      </x:c>
      <x:c r="I674" s="25" t="n">
        <x:v>2</x:v>
      </x:c>
      <x:c r="J674" s="25" t="n">
        <x:v>11</x:v>
      </x:c>
      <x:c r="K674" s="25" t="str">
        <x:v>仅装备原始基础值决定主属性范围</x:v>
      </x:c>
    </x:row>
    <x:row r="675">
      <x:c r="A675" s="25" t="str">
        <x:v>C06-M</x:v>
      </x:c>
      <x:c r="B675" s="25" t="str">
        <x:v>盖利德</x:v>
      </x:c>
      <x:c r="C675" s="25" t="str">
        <x:v>半急速中期</x:v>
      </x:c>
      <x:c r="D675" s="25" t="n">
        <x:v>6</x:v>
      </x:c>
      <x:c r="E675" s="25" t="n">
        <x:v>68</x:v>
      </x:c>
      <x:c r="F675" s="25" t="str">
        <x:v>百指接肢腕</x:v>
      </x:c>
      <x:c r="G675" s="25" t="n">
        <x:v>5</x:v>
      </x:c>
      <x:c r="H675" s="25" t="str">
        <x:v>暴击</x:v>
      </x:c>
      <x:c r="I675" s="25" t="n">
        <x:v>1</x:v>
      </x:c>
      <x:c r="J675" s="25" t="n">
        <x:v>14</x:v>
      </x:c>
      <x:c r="K675" s="25" t="str">
        <x:v>仅装备原始基础值决定主属性范围</x:v>
      </x:c>
    </x:row>
    <x:row r="676">
      <x:c r="A676" s="25" t="str">
        <x:v>C06-M</x:v>
      </x:c>
      <x:c r="B676" s="25" t="str">
        <x:v>盖利德</x:v>
      </x:c>
      <x:c r="C676" s="25" t="str">
        <x:v>半急速中期</x:v>
      </x:c>
      <x:c r="D676" s="25" t="n">
        <x:v>7</x:v>
      </x:c>
      <x:c r="E676" s="25" t="n">
        <x:v>132</x:v>
      </x:c>
      <x:c r="F676" s="25" t="str">
        <x:v>蓝焰祷戒</x:v>
      </x:c>
      <x:c r="G676" s="25" t="n">
        <x:v>1</x:v>
      </x:c>
      <x:c r="H676" s="25" t="str">
        <x:v>魔法</x:v>
      </x:c>
      <x:c r="I676" s="25" t="n">
        <x:v>22</x:v>
      </x:c>
      <x:c r="J676" s="25" t="n">
        <x:v>2</x:v>
      </x:c>
      <x:c r="K676" s="25" t="str">
        <x:v>仅装备原始基础值决定主属性范围</x:v>
      </x:c>
    </x:row>
    <x:row r="677">
      <x:c r="A677" s="25" t="str">
        <x:v>C06-M</x:v>
      </x:c>
      <x:c r="B677" s="25" t="str">
        <x:v>盖利德</x:v>
      </x:c>
      <x:c r="C677" s="25" t="str">
        <x:v>半急速中期</x:v>
      </x:c>
      <x:c r="D677" s="25" t="n">
        <x:v>7</x:v>
      </x:c>
      <x:c r="E677" s="25" t="n">
        <x:v>132</x:v>
      </x:c>
      <x:c r="F677" s="25" t="str">
        <x:v>蓝焰祷戒</x:v>
      </x:c>
      <x:c r="G677" s="25" t="n">
        <x:v>2</x:v>
      </x:c>
      <x:c r="H677" s="25" t="str">
        <x:v>处决概率</x:v>
      </x:c>
      <x:c r="I677" s="25" t="n">
        <x:v>2</x:v>
      </x:c>
      <x:c r="J677" s="25" t="n">
        <x:v>7</x:v>
      </x:c>
      <x:c r="K677" s="25" t="str">
        <x:v>仅装备原始基础值决定主属性范围</x:v>
      </x:c>
    </x:row>
    <x:row r="678">
      <x:c r="A678" s="25" t="str">
        <x:v>C06-M</x:v>
      </x:c>
      <x:c r="B678" s="25" t="str">
        <x:v>盖利德</x:v>
      </x:c>
      <x:c r="C678" s="25" t="str">
        <x:v>半急速中期</x:v>
      </x:c>
      <x:c r="D678" s="25" t="n">
        <x:v>7</x:v>
      </x:c>
      <x:c r="E678" s="25" t="n">
        <x:v>132</x:v>
      </x:c>
      <x:c r="F678" s="25" t="str">
        <x:v>蓝焰祷戒</x:v>
      </x:c>
      <x:c r="G678" s="25" t="n">
        <x:v>3</x:v>
      </x:c>
      <x:c r="H678" s="25" t="str">
        <x:v>攻击加成</x:v>
      </x:c>
      <x:c r="I678" s="25" t="n">
        <x:v>30</x:v>
      </x:c>
      <x:c r="J678" s="25" t="n">
        <x:v>18</x:v>
      </x:c>
      <x:c r="K678" s="25" t="str">
        <x:v>仅装备原始基础值决定主属性范围</x:v>
      </x:c>
    </x:row>
    <x:row r="679">
      <x:c r="A679" s="25" t="str">
        <x:v>C06-M</x:v>
      </x:c>
      <x:c r="B679" s="25" t="str">
        <x:v>盖利德</x:v>
      </x:c>
      <x:c r="C679" s="25" t="str">
        <x:v>半急速中期</x:v>
      </x:c>
      <x:c r="D679" s="25" t="n">
        <x:v>8</x:v>
      </x:c>
      <x:c r="E679" s="25" t="n">
        <x:v>106</x:v>
      </x:c>
      <x:c r="F679" s="25" t="str">
        <x:v>月渊秘戒</x:v>
      </x:c>
      <x:c r="G679" s="25" t="n">
        <x:v>1</x:v>
      </x:c>
      <x:c r="H679" s="25" t="str">
        <x:v>攻击速度</x:v>
      </x:c>
      <x:c r="I679" s="25" t="n">
        <x:v>1</x:v>
      </x:c>
      <x:c r="J679" s="25" t="n">
        <x:v>4</x:v>
      </x:c>
      <x:c r="K679" s="25" t="str">
        <x:v>仅装备原始基础值决定主属性范围</x:v>
      </x:c>
    </x:row>
    <x:row r="680">
      <x:c r="A680" s="25" t="str">
        <x:v>C06-M</x:v>
      </x:c>
      <x:c r="B680" s="25" t="str">
        <x:v>盖利德</x:v>
      </x:c>
      <x:c r="C680" s="25" t="str">
        <x:v>半急速中期</x:v>
      </x:c>
      <x:c r="D680" s="25" t="n">
        <x:v>8</x:v>
      </x:c>
      <x:c r="E680" s="25" t="n">
        <x:v>106</x:v>
      </x:c>
      <x:c r="F680" s="25" t="str">
        <x:v>月渊秘戒</x:v>
      </x:c>
      <x:c r="G680" s="25" t="n">
        <x:v>2</x:v>
      </x:c>
      <x:c r="H680" s="25" t="str">
        <x:v>道术</x:v>
      </x:c>
      <x:c r="I680" s="25" t="n">
        <x:v>209</x:v>
      </x:c>
      <x:c r="J680" s="25" t="n">
        <x:v>3</x:v>
      </x:c>
      <x:c r="K680" s="25" t="str">
        <x:v>仅装备原始基础值决定主属性范围</x:v>
      </x:c>
    </x:row>
    <x:row r="681">
      <x:c r="A681" s="25" t="str">
        <x:v>C06-M</x:v>
      </x:c>
      <x:c r="B681" s="25" t="str">
        <x:v>盖利德</x:v>
      </x:c>
      <x:c r="C681" s="25" t="str">
        <x:v>半急速中期</x:v>
      </x:c>
      <x:c r="D681" s="25" t="n">
        <x:v>8</x:v>
      </x:c>
      <x:c r="E681" s="25" t="n">
        <x:v>106</x:v>
      </x:c>
      <x:c r="F681" s="25" t="str">
        <x:v>月渊秘戒</x:v>
      </x:c>
      <x:c r="G681" s="25" t="n">
        <x:v>3</x:v>
      </x:c>
      <x:c r="H681" s="25" t="str">
        <x:v>暴击</x:v>
      </x:c>
      <x:c r="I681" s="25" t="n">
        <x:v>2</x:v>
      </x:c>
      <x:c r="J681" s="25" t="n">
        <x:v>15</x:v>
      </x:c>
      <x:c r="K681" s="25" t="str">
        <x:v>仅装备原始基础值决定主属性范围</x:v>
      </x:c>
    </x:row>
    <x:row r="682">
      <x:c r="A682" s="25" t="str">
        <x:v>C06-M</x:v>
      </x:c>
      <x:c r="B682" s="25" t="str">
        <x:v>盖利德</x:v>
      </x:c>
      <x:c r="C682" s="25" t="str">
        <x:v>半急速中期</x:v>
      </x:c>
      <x:c r="D682" s="25" t="n">
        <x:v>8</x:v>
      </x:c>
      <x:c r="E682" s="25" t="n">
        <x:v>106</x:v>
      </x:c>
      <x:c r="F682" s="25" t="str">
        <x:v>月渊秘戒</x:v>
      </x:c>
      <x:c r="G682" s="25" t="n">
        <x:v>4</x:v>
      </x:c>
      <x:c r="H682" s="25" t="str">
        <x:v>暴击</x:v>
      </x:c>
      <x:c r="I682" s="25" t="n">
        <x:v>1</x:v>
      </x:c>
      <x:c r="J682" s="25" t="n">
        <x:v>14</x:v>
      </x:c>
      <x:c r="K682" s="25" t="str">
        <x:v>仅装备原始基础值决定主属性范围</x:v>
      </x:c>
    </x:row>
    <x:row r="683">
      <x:c r="A683" s="25" t="str">
        <x:v>C06-M</x:v>
      </x:c>
      <x:c r="B683" s="25" t="str">
        <x:v>盖利德</x:v>
      </x:c>
      <x:c r="C683" s="25" t="str">
        <x:v>半急速中期</x:v>
      </x:c>
      <x:c r="D683" s="25" t="n">
        <x:v>8</x:v>
      </x:c>
      <x:c r="E683" s="25" t="n">
        <x:v>106</x:v>
      </x:c>
      <x:c r="F683" s="25" t="str">
        <x:v>月渊秘戒</x:v>
      </x:c>
      <x:c r="G683" s="25" t="n">
        <x:v>5</x:v>
      </x:c>
      <x:c r="H683" s="25" t="str">
        <x:v>魔法</x:v>
      </x:c>
      <x:c r="I683" s="25" t="n">
        <x:v>136</x:v>
      </x:c>
      <x:c r="J683" s="25" t="n">
        <x:v>2</x:v>
      </x:c>
      <x:c r="K683" s="25" t="str">
        <x:v>仅装备原始基础值决定主属性范围</x:v>
      </x:c>
    </x:row>
    <x:row r="684">
      <x:c r="A684" s="25" t="str">
        <x:v>C06-M</x:v>
      </x:c>
      <x:c r="B684" s="25" t="str">
        <x:v>盖利德</x:v>
      </x:c>
      <x:c r="C684" s="25" t="str">
        <x:v>半急速中期</x:v>
      </x:c>
      <x:c r="D684" s="25" t="n">
        <x:v>8</x:v>
      </x:c>
      <x:c r="E684" s="25" t="n">
        <x:v>106</x:v>
      </x:c>
      <x:c r="F684" s="25" t="str">
        <x:v>月渊秘戒</x:v>
      </x:c>
      <x:c r="G684" s="25" t="n">
        <x:v>6</x:v>
      </x:c>
      <x:c r="H684" s="25" t="str">
        <x:v>处决时间</x:v>
      </x:c>
      <x:c r="I684" s="25" t="n">
        <x:v>2</x:v>
      </x:c>
      <x:c r="J684" s="25" t="n">
        <x:v>9</x:v>
      </x:c>
      <x:c r="K684" s="25" t="str">
        <x:v>仅装备原始基础值决定主属性范围</x:v>
      </x:c>
    </x:row>
    <x:row r="685">
      <x:c r="A685" s="25" t="str">
        <x:v>C06-M</x:v>
      </x:c>
      <x:c r="B685" s="25" t="str">
        <x:v>盖利德</x:v>
      </x:c>
      <x:c r="C685" s="25" t="str">
        <x:v>半急速中期</x:v>
      </x:c>
      <x:c r="D685" s="25" t="n">
        <x:v>8</x:v>
      </x:c>
      <x:c r="E685" s="25" t="n">
        <x:v>106</x:v>
      </x:c>
      <x:c r="F685" s="25" t="str">
        <x:v>月渊秘戒</x:v>
      </x:c>
      <x:c r="G685" s="25" t="n">
        <x:v>7</x:v>
      </x:c>
      <x:c r="H685" s="25" t="str">
        <x:v>处决伤害</x:v>
      </x:c>
      <x:c r="I685" s="25" t="n">
        <x:v>1</x:v>
      </x:c>
      <x:c r="J685" s="25" t="n">
        <x:v>10</x:v>
      </x:c>
      <x:c r="K685" s="25" t="str">
        <x:v>仅装备原始基础值决定主属性范围</x:v>
      </x:c>
    </x:row>
    <x:row r="686">
      <x:c r="A686" s="25" t="str">
        <x:v>C06-M</x:v>
      </x:c>
      <x:c r="B686" s="25" t="str">
        <x:v>盖利德</x:v>
      </x:c>
      <x:c r="C686" s="25" t="str">
        <x:v>半急速中期</x:v>
      </x:c>
      <x:c r="D686" s="25" t="n">
        <x:v>10</x:v>
      </x:c>
      <x:c r="E686" s="25" t="n">
        <x:v>131</x:v>
      </x:c>
      <x:c r="F686" s="25" t="str">
        <x:v>汲月雾绦</x:v>
      </x:c>
      <x:c r="G686" s="25" t="n">
        <x:v>1</x:v>
      </x:c>
      <x:c r="H686" s="25" t="str">
        <x:v>韧性</x:v>
      </x:c>
      <x:c r="I686" s="25" t="n">
        <x:v>10</x:v>
      </x:c>
      <x:c r="J686" s="25" t="n">
        <x:v>12</x:v>
      </x:c>
      <x:c r="K686" s="25" t="str">
        <x:v>仅装备原始基础值决定主属性范围</x:v>
      </x:c>
    </x:row>
    <x:row r="687">
      <x:c r="A687" s="25" t="str">
        <x:v>C06-M</x:v>
      </x:c>
      <x:c r="B687" s="25" t="str">
        <x:v>盖利德</x:v>
      </x:c>
      <x:c r="C687" s="25" t="str">
        <x:v>半急速中期</x:v>
      </x:c>
      <x:c r="D687" s="25" t="n">
        <x:v>10</x:v>
      </x:c>
      <x:c r="E687" s="25" t="n">
        <x:v>131</x:v>
      </x:c>
      <x:c r="F687" s="25" t="str">
        <x:v>汲月雾绦</x:v>
      </x:c>
      <x:c r="G687" s="25" t="n">
        <x:v>2</x:v>
      </x:c>
      <x:c r="H687" s="25" t="str">
        <x:v>道术</x:v>
      </x:c>
      <x:c r="I687" s="25" t="n">
        <x:v>105</x:v>
      </x:c>
      <x:c r="J687" s="25" t="n">
        <x:v>3</x:v>
      </x:c>
      <x:c r="K687" s="25" t="str">
        <x:v>仅装备原始基础值决定主属性范围</x:v>
      </x:c>
    </x:row>
    <x:row r="688">
      <x:c r="A688" s="25" t="str">
        <x:v>C06-M</x:v>
      </x:c>
      <x:c r="B688" s="25" t="str">
        <x:v>盖利德</x:v>
      </x:c>
      <x:c r="C688" s="25" t="str">
        <x:v>半急速中期</x:v>
      </x:c>
      <x:c r="D688" s="25" t="n">
        <x:v>10</x:v>
      </x:c>
      <x:c r="E688" s="25" t="n">
        <x:v>131</x:v>
      </x:c>
      <x:c r="F688" s="25" t="str">
        <x:v>汲月雾绦</x:v>
      </x:c>
      <x:c r="G688" s="25" t="n">
        <x:v>3</x:v>
      </x:c>
      <x:c r="H688" s="25" t="str">
        <x:v>伤害系数</x:v>
      </x:c>
      <x:c r="I688" s="25" t="n">
        <x:v>1</x:v>
      </x:c>
      <x:c r="J688" s="25" t="n">
        <x:v>25</x:v>
      </x:c>
      <x:c r="K688" s="25" t="str">
        <x:v>仅装备原始基础值决定主属性范围</x:v>
      </x:c>
    </x:row>
    <x:row r="689">
      <x:c r="A689" s="25" t="str">
        <x:v>C06-M</x:v>
      </x:c>
      <x:c r="B689" s="25" t="str">
        <x:v>盖利德</x:v>
      </x:c>
      <x:c r="C689" s="25" t="str">
        <x:v>半急速中期</x:v>
      </x:c>
      <x:c r="D689" s="25" t="n">
        <x:v>10</x:v>
      </x:c>
      <x:c r="E689" s="25" t="n">
        <x:v>131</x:v>
      </x:c>
      <x:c r="F689" s="25" t="str">
        <x:v>汲月雾绦</x:v>
      </x:c>
      <x:c r="G689" s="25" t="n">
        <x:v>4</x:v>
      </x:c>
      <x:c r="H689" s="25" t="str">
        <x:v>最大爆率</x:v>
      </x:c>
      <x:c r="I689" s="25" t="n">
        <x:v>1</x:v>
      </x:c>
      <x:c r="J689" s="25" t="n">
        <x:v>22</x:v>
      </x:c>
      <x:c r="K689" s="25" t="str">
        <x:v>仅装备原始基础值决定主属性范围</x:v>
      </x:c>
    </x:row>
    <x:row r="690">
      <x:c r="A690" s="25" t="str">
        <x:v>C06-M</x:v>
      </x:c>
      <x:c r="B690" s="25" t="str">
        <x:v>盖利德</x:v>
      </x:c>
      <x:c r="C690" s="25" t="str">
        <x:v>半急速中期</x:v>
      </x:c>
      <x:c r="D690" s="25" t="n">
        <x:v>10</x:v>
      </x:c>
      <x:c r="E690" s="25" t="n">
        <x:v>131</x:v>
      </x:c>
      <x:c r="F690" s="25" t="str">
        <x:v>汲月雾绦</x:v>
      </x:c>
      <x:c r="G690" s="25" t="n">
        <x:v>5</x:v>
      </x:c>
      <x:c r="H690" s="25" t="str">
        <x:v>攻击加成</x:v>
      </x:c>
      <x:c r="I690" s="25" t="n">
        <x:v>38</x:v>
      </x:c>
      <x:c r="J690" s="25" t="n">
        <x:v>19</x:v>
      </x:c>
      <x:c r="K690" s="25" t="str">
        <x:v>仅装备原始基础值决定主属性范围</x:v>
      </x:c>
    </x:row>
    <x:row r="691">
      <x:c r="A691" s="25" t="str">
        <x:v>C06-M</x:v>
      </x:c>
      <x:c r="B691" s="25" t="str">
        <x:v>盖利德</x:v>
      </x:c>
      <x:c r="C691" s="25" t="str">
        <x:v>半急速中期</x:v>
      </x:c>
      <x:c r="D691" s="25" t="n">
        <x:v>10</x:v>
      </x:c>
      <x:c r="E691" s="25" t="n">
        <x:v>131</x:v>
      </x:c>
      <x:c r="F691" s="25" t="str">
        <x:v>汲月雾绦</x:v>
      </x:c>
      <x:c r="G691" s="25" t="n">
        <x:v>6</x:v>
      </x:c>
      <x:c r="H691" s="25" t="str">
        <x:v>伤害系数</x:v>
      </x:c>
      <x:c r="I691" s="25" t="n">
        <x:v>2</x:v>
      </x:c>
      <x:c r="J691" s="25" t="n">
        <x:v>26</x:v>
      </x:c>
      <x:c r="K691" s="25" t="str">
        <x:v>仅装备原始基础值决定主属性范围</x:v>
      </x:c>
    </x:row>
    <x:row r="692">
      <x:c r="A692" s="25" t="str">
        <x:v>C06-M</x:v>
      </x:c>
      <x:c r="B692" s="25" t="str">
        <x:v>盖利德</x:v>
      </x:c>
      <x:c r="C692" s="25" t="str">
        <x:v>半急速中期</x:v>
      </x:c>
      <x:c r="D692" s="25" t="n">
        <x:v>10</x:v>
      </x:c>
      <x:c r="E692" s="25" t="n">
        <x:v>131</x:v>
      </x:c>
      <x:c r="F692" s="25" t="str">
        <x:v>汲月雾绦</x:v>
      </x:c>
      <x:c r="G692" s="25" t="n">
        <x:v>7</x:v>
      </x:c>
      <x:c r="H692" s="25" t="str">
        <x:v>处决概率</x:v>
      </x:c>
      <x:c r="I692" s="25" t="n">
        <x:v>2</x:v>
      </x:c>
      <x:c r="J692" s="25" t="n">
        <x:v>7</x:v>
      </x:c>
      <x:c r="K692" s="25" t="str">
        <x:v>仅装备原始基础值决定主属性范围</x:v>
      </x:c>
    </x:row>
    <x:row r="693">
      <x:c r="A693" s="25" t="str">
        <x:v>C06-M</x:v>
      </x:c>
      <x:c r="B693" s="25" t="str">
        <x:v>盖利德</x:v>
      </x:c>
      <x:c r="C693" s="25" t="str">
        <x:v>半急速中期</x:v>
      </x:c>
      <x:c r="D693" s="25" t="n">
        <x:v>11</x:v>
      </x:c>
      <x:c r="E693" s="25" t="n">
        <x:v>94</x:v>
      </x:c>
      <x:c r="F693" s="25" t="str">
        <x:v>逐风征靴</x:v>
      </x:c>
      <x:c r="G693" s="25" t="n">
        <x:v>1</x:v>
      </x:c>
      <x:c r="H693" s="25" t="str">
        <x:v>魔法</x:v>
      </x:c>
      <x:c r="I693" s="25" t="n">
        <x:v>46</x:v>
      </x:c>
      <x:c r="J693" s="25" t="n">
        <x:v>2</x:v>
      </x:c>
      <x:c r="K693" s="25" t="str">
        <x:v>仅装备原始基础值决定主属性范围</x:v>
      </x:c>
    </x:row>
    <x:row r="694">
      <x:c r="A694" s="25" t="str">
        <x:v>C06-M</x:v>
      </x:c>
      <x:c r="B694" s="25" t="str">
        <x:v>盖利德</x:v>
      </x:c>
      <x:c r="C694" s="25" t="str">
        <x:v>半急速中期</x:v>
      </x:c>
      <x:c r="D694" s="25" t="n">
        <x:v>11</x:v>
      </x:c>
      <x:c r="E694" s="25" t="n">
        <x:v>94</x:v>
      </x:c>
      <x:c r="F694" s="25" t="str">
        <x:v>逐风征靴</x:v>
      </x:c>
      <x:c r="G694" s="25" t="n">
        <x:v>2</x:v>
      </x:c>
      <x:c r="H694" s="25" t="str">
        <x:v>攻击加成</x:v>
      </x:c>
      <x:c r="I694" s="25" t="n">
        <x:v>30</x:v>
      </x:c>
      <x:c r="J694" s="25" t="n">
        <x:v>18</x:v>
      </x:c>
      <x:c r="K694" s="25" t="str">
        <x:v>仅装备原始基础值决定主属性范围</x:v>
      </x:c>
    </x:row>
    <x:row r="695">
      <x:c r="A695" s="25" t="str">
        <x:v>C06-M</x:v>
      </x:c>
      <x:c r="B695" s="25" t="str">
        <x:v>盖利德</x:v>
      </x:c>
      <x:c r="C695" s="25" t="str">
        <x:v>半急速中期</x:v>
      </x:c>
      <x:c r="D695" s="25" t="n">
        <x:v>11</x:v>
      </x:c>
      <x:c r="E695" s="25" t="n">
        <x:v>94</x:v>
      </x:c>
      <x:c r="F695" s="25" t="str">
        <x:v>逐风征靴</x:v>
      </x:c>
      <x:c r="G695" s="25" t="n">
        <x:v>3</x:v>
      </x:c>
      <x:c r="H695" s="25" t="str">
        <x:v>攻击</x:v>
      </x:c>
      <x:c r="I695" s="25" t="n">
        <x:v>68</x:v>
      </x:c>
      <x:c r="J695" s="25" t="n">
        <x:v>1</x:v>
      </x:c>
      <x:c r="K695" s="25" t="str">
        <x:v>仅装备原始基础值决定主属性范围</x:v>
      </x:c>
    </x:row>
    <x:row r="696">
      <x:c r="A696" s="25" t="str">
        <x:v>C06-G</x:v>
      </x:c>
      <x:c r="B696" s="25" t="str">
        <x:v>盖利德</x:v>
      </x:c>
      <x:c r="C696" s="25" t="str">
        <x:v>半急速毕业</x:v>
      </x:c>
      <x:c r="D696" s="25" t="n">
        <x:v>0</x:v>
      </x:c>
      <x:c r="E696" s="25" t="n">
        <x:v>129</x:v>
      </x:c>
      <x:c r="F696" s="25" t="str">
        <x:v>静潮祷仪袍</x:v>
      </x:c>
      <x:c r="G696" s="25" t="n">
        <x:v>1</x:v>
      </x:c>
      <x:c r="H696" s="25" t="str">
        <x:v>魔法</x:v>
      </x:c>
      <x:c r="I696" s="25" t="n">
        <x:v>108</x:v>
      </x:c>
      <x:c r="J696" s="25" t="n">
        <x:v>2</x:v>
      </x:c>
      <x:c r="K696" s="25" t="str">
        <x:v>仅装备原始基础值决定主属性范围</x:v>
      </x:c>
    </x:row>
    <x:row r="697">
      <x:c r="A697" s="25" t="str">
        <x:v>C06-G</x:v>
      </x:c>
      <x:c r="B697" s="25" t="str">
        <x:v>盖利德</x:v>
      </x:c>
      <x:c r="C697" s="25" t="str">
        <x:v>半急速毕业</x:v>
      </x:c>
      <x:c r="D697" s="25" t="n">
        <x:v>0</x:v>
      </x:c>
      <x:c r="E697" s="25" t="n">
        <x:v>129</x:v>
      </x:c>
      <x:c r="F697" s="25" t="str">
        <x:v>静潮祷仪袍</x:v>
      </x:c>
      <x:c r="G697" s="25" t="n">
        <x:v>2</x:v>
      </x:c>
      <x:c r="H697" s="25" t="str">
        <x:v>攻击加成</x:v>
      </x:c>
      <x:c r="I697" s="25" t="n">
        <x:v>31</x:v>
      </x:c>
      <x:c r="J697" s="25" t="n">
        <x:v>19</x:v>
      </x:c>
      <x:c r="K697" s="25" t="str">
        <x:v>仅装备原始基础值决定主属性范围</x:v>
      </x:c>
    </x:row>
    <x:row r="698">
      <x:c r="A698" s="25" t="str">
        <x:v>C06-G</x:v>
      </x:c>
      <x:c r="B698" s="25" t="str">
        <x:v>盖利德</x:v>
      </x:c>
      <x:c r="C698" s="25" t="str">
        <x:v>半急速毕业</x:v>
      </x:c>
      <x:c r="D698" s="25" t="n">
        <x:v>0</x:v>
      </x:c>
      <x:c r="E698" s="25" t="n">
        <x:v>129</x:v>
      </x:c>
      <x:c r="F698" s="25" t="str">
        <x:v>静潮祷仪袍</x:v>
      </x:c>
      <x:c r="G698" s="25" t="n">
        <x:v>3</x:v>
      </x:c>
      <x:c r="H698" s="25" t="str">
        <x:v>攻击加成</x:v>
      </x:c>
      <x:c r="I698" s="25" t="n">
        <x:v>34</x:v>
      </x:c>
      <x:c r="J698" s="25" t="n">
        <x:v>19</x:v>
      </x:c>
      <x:c r="K698" s="25" t="str">
        <x:v>仅装备原始基础值决定主属性范围</x:v>
      </x:c>
    </x:row>
    <x:row r="699">
      <x:c r="A699" s="25" t="str">
        <x:v>C06-G</x:v>
      </x:c>
      <x:c r="B699" s="25" t="str">
        <x:v>盖利德</x:v>
      </x:c>
      <x:c r="C699" s="25" t="str">
        <x:v>半急速毕业</x:v>
      </x:c>
      <x:c r="D699" s="25" t="n">
        <x:v>0</x:v>
      </x:c>
      <x:c r="E699" s="25" t="n">
        <x:v>129</x:v>
      </x:c>
      <x:c r="F699" s="25" t="str">
        <x:v>静潮祷仪袍</x:v>
      </x:c>
      <x:c r="G699" s="25" t="n">
        <x:v>4</x:v>
      </x:c>
      <x:c r="H699" s="25" t="str">
        <x:v>魔法</x:v>
      </x:c>
      <x:c r="I699" s="25" t="n">
        <x:v>175</x:v>
      </x:c>
      <x:c r="J699" s="25" t="n">
        <x:v>2</x:v>
      </x:c>
      <x:c r="K699" s="25" t="str">
        <x:v>仅装备原始基础值决定主属性范围</x:v>
      </x:c>
    </x:row>
    <x:row r="700">
      <x:c r="A700" s="25" t="str">
        <x:v>C06-G</x:v>
      </x:c>
      <x:c r="B700" s="25" t="str">
        <x:v>盖利德</x:v>
      </x:c>
      <x:c r="C700" s="25" t="str">
        <x:v>半急速毕业</x:v>
      </x:c>
      <x:c r="D700" s="25" t="n">
        <x:v>0</x:v>
      </x:c>
      <x:c r="E700" s="25" t="n">
        <x:v>129</x:v>
      </x:c>
      <x:c r="F700" s="25" t="str">
        <x:v>静潮祷仪袍</x:v>
      </x:c>
      <x:c r="G700" s="25" t="n">
        <x:v>5</x:v>
      </x:c>
      <x:c r="H700" s="25" t="str">
        <x:v>攻击加成</x:v>
      </x:c>
      <x:c r="I700" s="25" t="n">
        <x:v>4</x:v>
      </x:c>
      <x:c r="J700" s="25" t="n">
        <x:v>18</x:v>
      </x:c>
      <x:c r="K700" s="25" t="str">
        <x:v>仅装备原始基础值决定主属性范围</x:v>
      </x:c>
    </x:row>
    <x:row r="701">
      <x:c r="A701" s="25" t="str">
        <x:v>C06-G</x:v>
      </x:c>
      <x:c r="B701" s="25" t="str">
        <x:v>盖利德</x:v>
      </x:c>
      <x:c r="C701" s="25" t="str">
        <x:v>半急速毕业</x:v>
      </x:c>
      <x:c r="D701" s="25" t="n">
        <x:v>1</x:v>
      </x:c>
      <x:c r="E701" s="25" t="n">
        <x:v>126</x:v>
      </x:c>
      <x:c r="F701" s="25" t="str">
        <x:v>卡利亚月裁长刃</x:v>
      </x:c>
      <x:c r="G701" s="25" t="n">
        <x:v>1</x:v>
      </x:c>
      <x:c r="H701" s="25" t="str">
        <x:v>攻击速度</x:v>
      </x:c>
      <x:c r="I701" s="25" t="n">
        <x:v>1</x:v>
      </x:c>
      <x:c r="J701" s="25" t="n">
        <x:v>4</x:v>
      </x:c>
      <x:c r="K701" s="25" t="str">
        <x:v>仅装备原始基础值决定主属性范围</x:v>
      </x:c>
    </x:row>
    <x:row r="702">
      <x:c r="A702" s="25" t="str">
        <x:v>C06-G</x:v>
      </x:c>
      <x:c r="B702" s="25" t="str">
        <x:v>盖利德</x:v>
      </x:c>
      <x:c r="C702" s="25" t="str">
        <x:v>半急速毕业</x:v>
      </x:c>
      <x:c r="D702" s="25" t="n">
        <x:v>1</x:v>
      </x:c>
      <x:c r="E702" s="25" t="n">
        <x:v>126</x:v>
      </x:c>
      <x:c r="F702" s="25" t="str">
        <x:v>卡利亚月裁长刃</x:v>
      </x:c>
      <x:c r="G702" s="25" t="n">
        <x:v>2</x:v>
      </x:c>
      <x:c r="H702" s="25" t="str">
        <x:v>伤害系数</x:v>
      </x:c>
      <x:c r="I702" s="25" t="n">
        <x:v>1</x:v>
      </x:c>
      <x:c r="J702" s="25" t="n">
        <x:v>25</x:v>
      </x:c>
      <x:c r="K702" s="25" t="str">
        <x:v>仅装备原始基础值决定主属性范围</x:v>
      </x:c>
    </x:row>
    <x:row r="703">
      <x:c r="A703" s="25" t="str">
        <x:v>C06-G</x:v>
      </x:c>
      <x:c r="B703" s="25" t="str">
        <x:v>盖利德</x:v>
      </x:c>
      <x:c r="C703" s="25" t="str">
        <x:v>半急速毕业</x:v>
      </x:c>
      <x:c r="D703" s="25" t="n">
        <x:v>1</x:v>
      </x:c>
      <x:c r="E703" s="25" t="n">
        <x:v>126</x:v>
      </x:c>
      <x:c r="F703" s="25" t="str">
        <x:v>卡利亚月裁长刃</x:v>
      </x:c>
      <x:c r="G703" s="25" t="n">
        <x:v>3</x:v>
      </x:c>
      <x:c r="H703" s="25" t="str">
        <x:v>攻击加成</x:v>
      </x:c>
      <x:c r="I703" s="25" t="n">
        <x:v>7</x:v>
      </x:c>
      <x:c r="J703" s="25" t="n">
        <x:v>18</x:v>
      </x:c>
      <x:c r="K703" s="25" t="str">
        <x:v>仅装备原始基础值决定主属性范围</x:v>
      </x:c>
    </x:row>
    <x:row r="704">
      <x:c r="A704" s="25" t="str">
        <x:v>C06-G</x:v>
      </x:c>
      <x:c r="B704" s="25" t="str">
        <x:v>盖利德</x:v>
      </x:c>
      <x:c r="C704" s="25" t="str">
        <x:v>半急速毕业</x:v>
      </x:c>
      <x:c r="D704" s="25" t="n">
        <x:v>1</x:v>
      </x:c>
      <x:c r="E704" s="25" t="n">
        <x:v>126</x:v>
      </x:c>
      <x:c r="F704" s="25" t="str">
        <x:v>卡利亚月裁长刃</x:v>
      </x:c>
      <x:c r="G704" s="25" t="n">
        <x:v>4</x:v>
      </x:c>
      <x:c r="H704" s="25" t="str">
        <x:v>韧性</x:v>
      </x:c>
      <x:c r="I704" s="25" t="n">
        <x:v>10</x:v>
      </x:c>
      <x:c r="J704" s="25" t="n">
        <x:v>12</x:v>
      </x:c>
      <x:c r="K704" s="25" t="str">
        <x:v>仅装备原始基础值决定主属性范围</x:v>
      </x:c>
    </x:row>
    <x:row r="705">
      <x:c r="A705" s="25" t="str">
        <x:v>C06-G</x:v>
      </x:c>
      <x:c r="B705" s="25" t="str">
        <x:v>盖利德</x:v>
      </x:c>
      <x:c r="C705" s="25" t="str">
        <x:v>半急速毕业</x:v>
      </x:c>
      <x:c r="D705" s="25" t="n">
        <x:v>1</x:v>
      </x:c>
      <x:c r="E705" s="25" t="n">
        <x:v>126</x:v>
      </x:c>
      <x:c r="F705" s="25" t="str">
        <x:v>卡利亚月裁长刃</x:v>
      </x:c>
      <x:c r="G705" s="25" t="n">
        <x:v>5</x:v>
      </x:c>
      <x:c r="H705" s="25" t="str">
        <x:v>攻击加成</x:v>
      </x:c>
      <x:c r="I705" s="25" t="n">
        <x:v>17</x:v>
      </x:c>
      <x:c r="J705" s="25" t="n">
        <x:v>18</x:v>
      </x:c>
      <x:c r="K705" s="25" t="str">
        <x:v>仅装备原始基础值决定主属性范围</x:v>
      </x:c>
    </x:row>
    <x:row r="706">
      <x:c r="A706" s="25" t="str">
        <x:v>C06-G</x:v>
      </x:c>
      <x:c r="B706" s="25" t="str">
        <x:v>盖利德</x:v>
      </x:c>
      <x:c r="C706" s="25" t="str">
        <x:v>半急速毕业</x:v>
      </x:c>
      <x:c r="D706" s="25" t="n">
        <x:v>1</x:v>
      </x:c>
      <x:c r="E706" s="25" t="n">
        <x:v>126</x:v>
      </x:c>
      <x:c r="F706" s="25" t="str">
        <x:v>卡利亚月裁长刃</x:v>
      </x:c>
      <x:c r="G706" s="25" t="n">
        <x:v>6</x:v>
      </x:c>
      <x:c r="H706" s="25" t="str">
        <x:v>处决概率</x:v>
      </x:c>
      <x:c r="I706" s="25" t="n">
        <x:v>1</x:v>
      </x:c>
      <x:c r="J706" s="25" t="n">
        <x:v>6</x:v>
      </x:c>
      <x:c r="K706" s="25" t="str">
        <x:v>仅装备原始基础值决定主属性范围</x:v>
      </x:c>
    </x:row>
    <x:row r="707">
      <x:c r="A707" s="25" t="str">
        <x:v>C06-G</x:v>
      </x:c>
      <x:c r="B707" s="25" t="str">
        <x:v>盖利德</x:v>
      </x:c>
      <x:c r="C707" s="25" t="str">
        <x:v>半急速毕业</x:v>
      </x:c>
      <x:c r="D707" s="25" t="n">
        <x:v>1</x:v>
      </x:c>
      <x:c r="E707" s="25" t="n">
        <x:v>126</x:v>
      </x:c>
      <x:c r="F707" s="25" t="str">
        <x:v>卡利亚月裁长刃</x:v>
      </x:c>
      <x:c r="G707" s="25" t="n">
        <x:v>7</x:v>
      </x:c>
      <x:c r="H707" s="25" t="str">
        <x:v>最大爆率</x:v>
      </x:c>
      <x:c r="I707" s="25" t="n">
        <x:v>1</x:v>
      </x:c>
      <x:c r="J707" s="25" t="n">
        <x:v>22</x:v>
      </x:c>
      <x:c r="K707" s="25" t="str">
        <x:v>仅装备原始基础值决定主属性范围</x:v>
      </x:c>
    </x:row>
    <x:row r="708">
      <x:c r="A708" s="25" t="str">
        <x:v>C06-G</x:v>
      </x:c>
      <x:c r="B708" s="25" t="str">
        <x:v>盖利德</x:v>
      </x:c>
      <x:c r="C708" s="25" t="str">
        <x:v>半急速毕业</x:v>
      </x:c>
      <x:c r="D708" s="25" t="n">
        <x:v>1</x:v>
      </x:c>
      <x:c r="E708" s="25" t="n">
        <x:v>126</x:v>
      </x:c>
      <x:c r="F708" s="25" t="str">
        <x:v>卡利亚月裁长刃</x:v>
      </x:c>
      <x:c r="G708" s="25" t="n">
        <x:v>8</x:v>
      </x:c>
      <x:c r="H708" s="25" t="str">
        <x:v>处决概率</x:v>
      </x:c>
      <x:c r="I708" s="25" t="n">
        <x:v>1</x:v>
      </x:c>
      <x:c r="J708" s="25" t="n">
        <x:v>6</x:v>
      </x:c>
      <x:c r="K708" s="25" t="str">
        <x:v>仅装备原始基础值决定主属性范围</x:v>
      </x:c>
    </x:row>
    <x:row r="709">
      <x:c r="A709" s="25" t="str">
        <x:v>C06-G</x:v>
      </x:c>
      <x:c r="B709" s="25" t="str">
        <x:v>盖利德</x:v>
      </x:c>
      <x:c r="C709" s="25" t="str">
        <x:v>半急速毕业</x:v>
      </x:c>
      <x:c r="D709" s="25" t="n">
        <x:v>3</x:v>
      </x:c>
      <x:c r="E709" s="25" t="n">
        <x:v>139</x:v>
      </x:c>
      <x:c r="F709" s="25" t="str">
        <x:v>诱猎声坠</x:v>
      </x:c>
      <x:c r="G709" s="25" t="n">
        <x:v>1</x:v>
      </x:c>
      <x:c r="H709" s="25" t="str">
        <x:v>处决概率</x:v>
      </x:c>
      <x:c r="I709" s="25" t="n">
        <x:v>1</x:v>
      </x:c>
      <x:c r="J709" s="25" t="n">
        <x:v>6</x:v>
      </x:c>
      <x:c r="K709" s="25" t="str">
        <x:v>仅装备原始基础值决定主属性范围</x:v>
      </x:c>
    </x:row>
    <x:row r="710">
      <x:c r="A710" s="25" t="str">
        <x:v>C06-G</x:v>
      </x:c>
      <x:c r="B710" s="25" t="str">
        <x:v>盖利德</x:v>
      </x:c>
      <x:c r="C710" s="25" t="str">
        <x:v>半急速毕业</x:v>
      </x:c>
      <x:c r="D710" s="25" t="n">
        <x:v>3</x:v>
      </x:c>
      <x:c r="E710" s="25" t="n">
        <x:v>139</x:v>
      </x:c>
      <x:c r="F710" s="25" t="str">
        <x:v>诱猎声坠</x:v>
      </x:c>
      <x:c r="G710" s="25" t="n">
        <x:v>2</x:v>
      </x:c>
      <x:c r="H710" s="25" t="str">
        <x:v>攻击加成</x:v>
      </x:c>
      <x:c r="I710" s="25" t="n">
        <x:v>50</x:v>
      </x:c>
      <x:c r="J710" s="25" t="n">
        <x:v>19</x:v>
      </x:c>
      <x:c r="K710" s="25" t="str">
        <x:v>仅装备原始基础值决定主属性范围</x:v>
      </x:c>
    </x:row>
    <x:row r="711">
      <x:c r="A711" s="25" t="str">
        <x:v>C06-G</x:v>
      </x:c>
      <x:c r="B711" s="25" t="str">
        <x:v>盖利德</x:v>
      </x:c>
      <x:c r="C711" s="25" t="str">
        <x:v>半急速毕业</x:v>
      </x:c>
      <x:c r="D711" s="25" t="n">
        <x:v>3</x:v>
      </x:c>
      <x:c r="E711" s="25" t="n">
        <x:v>139</x:v>
      </x:c>
      <x:c r="F711" s="25" t="str">
        <x:v>诱猎声坠</x:v>
      </x:c>
      <x:c r="G711" s="25" t="n">
        <x:v>3</x:v>
      </x:c>
      <x:c r="H711" s="25" t="str">
        <x:v>韧性</x:v>
      </x:c>
      <x:c r="I711" s="25" t="n">
        <x:v>10</x:v>
      </x:c>
      <x:c r="J711" s="25" t="n">
        <x:v>12</x:v>
      </x:c>
      <x:c r="K711" s="25" t="str">
        <x:v>仅装备原始基础值决定主属性范围</x:v>
      </x:c>
    </x:row>
    <x:row r="712">
      <x:c r="A712" s="25" t="str">
        <x:v>C06-G</x:v>
      </x:c>
      <x:c r="B712" s="25" t="str">
        <x:v>盖利德</x:v>
      </x:c>
      <x:c r="C712" s="25" t="str">
        <x:v>半急速毕业</x:v>
      </x:c>
      <x:c r="D712" s="25" t="n">
        <x:v>4</x:v>
      </x:c>
      <x:c r="E712" s="25" t="n">
        <x:v>130</x:v>
      </x:c>
      <x:c r="F712" s="25" t="str">
        <x:v>镜荷眠梦冠</x:v>
      </x:c>
      <x:c r="G712" s="25" t="n">
        <x:v>1</x:v>
      </x:c>
      <x:c r="H712" s="25" t="str">
        <x:v>攻击加成</x:v>
      </x:c>
      <x:c r="I712" s="25" t="n">
        <x:v>22</x:v>
      </x:c>
      <x:c r="J712" s="25" t="n">
        <x:v>18</x:v>
      </x:c>
      <x:c r="K712" s="25" t="str">
        <x:v>仅装备原始基础值决定主属性范围</x:v>
      </x:c>
    </x:row>
    <x:row r="713">
      <x:c r="A713" s="25" t="str">
        <x:v>C06-G</x:v>
      </x:c>
      <x:c r="B713" s="25" t="str">
        <x:v>盖利德</x:v>
      </x:c>
      <x:c r="C713" s="25" t="str">
        <x:v>半急速毕业</x:v>
      </x:c>
      <x:c r="D713" s="25" t="n">
        <x:v>4</x:v>
      </x:c>
      <x:c r="E713" s="25" t="n">
        <x:v>130</x:v>
      </x:c>
      <x:c r="F713" s="25" t="str">
        <x:v>镜荷眠梦冠</x:v>
      </x:c>
      <x:c r="G713" s="25" t="n">
        <x:v>2</x:v>
      </x:c>
      <x:c r="H713" s="25" t="str">
        <x:v>攻击加成</x:v>
      </x:c>
      <x:c r="I713" s="25" t="n">
        <x:v>35</x:v>
      </x:c>
      <x:c r="J713" s="25" t="n">
        <x:v>19</x:v>
      </x:c>
      <x:c r="K713" s="25" t="str">
        <x:v>仅装备原始基础值决定主属性范围</x:v>
      </x:c>
    </x:row>
    <x:row r="714">
      <x:c r="A714" s="25" t="str">
        <x:v>C06-G</x:v>
      </x:c>
      <x:c r="B714" s="25" t="str">
        <x:v>盖利德</x:v>
      </x:c>
      <x:c r="C714" s="25" t="str">
        <x:v>半急速毕业</x:v>
      </x:c>
      <x:c r="D714" s="25" t="n">
        <x:v>4</x:v>
      </x:c>
      <x:c r="E714" s="25" t="n">
        <x:v>130</x:v>
      </x:c>
      <x:c r="F714" s="25" t="str">
        <x:v>镜荷眠梦冠</x:v>
      </x:c>
      <x:c r="G714" s="25" t="n">
        <x:v>3</x:v>
      </x:c>
      <x:c r="H714" s="25" t="str">
        <x:v>伤害系数</x:v>
      </x:c>
      <x:c r="I714" s="25" t="n">
        <x:v>1</x:v>
      </x:c>
      <x:c r="J714" s="25" t="n">
        <x:v>25</x:v>
      </x:c>
      <x:c r="K714" s="25" t="str">
        <x:v>仅装备原始基础值决定主属性范围</x:v>
      </x:c>
    </x:row>
    <x:row r="715">
      <x:c r="A715" s="25" t="str">
        <x:v>C06-G</x:v>
      </x:c>
      <x:c r="B715" s="25" t="str">
        <x:v>盖利德</x:v>
      </x:c>
      <x:c r="C715" s="25" t="str">
        <x:v>半急速毕业</x:v>
      </x:c>
      <x:c r="D715" s="25" t="n">
        <x:v>4</x:v>
      </x:c>
      <x:c r="E715" s="25" t="n">
        <x:v>130</x:v>
      </x:c>
      <x:c r="F715" s="25" t="str">
        <x:v>镜荷眠梦冠</x:v>
      </x:c>
      <x:c r="G715" s="25" t="n">
        <x:v>4</x:v>
      </x:c>
      <x:c r="H715" s="25" t="str">
        <x:v>攻击速度</x:v>
      </x:c>
      <x:c r="I715" s="25" t="n">
        <x:v>2</x:v>
      </x:c>
      <x:c r="J715" s="25" t="n">
        <x:v>5</x:v>
      </x:c>
      <x:c r="K715" s="25" t="str">
        <x:v>仅装备原始基础值决定主属性范围</x:v>
      </x:c>
    </x:row>
    <x:row r="716">
      <x:c r="A716" s="25" t="str">
        <x:v>C06-G</x:v>
      </x:c>
      <x:c r="B716" s="25" t="str">
        <x:v>盖利德</x:v>
      </x:c>
      <x:c r="C716" s="25" t="str">
        <x:v>半急速毕业</x:v>
      </x:c>
      <x:c r="D716" s="25" t="n">
        <x:v>5</x:v>
      </x:c>
      <x:c r="E716" s="25" t="n">
        <x:v>113</x:v>
      </x:c>
      <x:c r="F716" s="25" t="str">
        <x:v>百指腕甲</x:v>
      </x:c>
      <x:c r="G716" s="25" t="n">
        <x:v>1</x:v>
      </x:c>
      <x:c r="H716" s="25" t="str">
        <x:v>攻击加成</x:v>
      </x:c>
      <x:c r="I716" s="25" t="n">
        <x:v>19</x:v>
      </x:c>
      <x:c r="J716" s="25" t="n">
        <x:v>18</x:v>
      </x:c>
      <x:c r="K716" s="25" t="str">
        <x:v>仅装备原始基础值决定主属性范围</x:v>
      </x:c>
    </x:row>
    <x:row r="717">
      <x:c r="A717" s="25" t="str">
        <x:v>C06-G</x:v>
      </x:c>
      <x:c r="B717" s="25" t="str">
        <x:v>盖利德</x:v>
      </x:c>
      <x:c r="C717" s="25" t="str">
        <x:v>半急速毕业</x:v>
      </x:c>
      <x:c r="D717" s="25" t="n">
        <x:v>5</x:v>
      </x:c>
      <x:c r="E717" s="25" t="n">
        <x:v>113</x:v>
      </x:c>
      <x:c r="F717" s="25" t="str">
        <x:v>百指腕甲</x:v>
      </x:c>
      <x:c r="G717" s="25" t="n">
        <x:v>2</x:v>
      </x:c>
      <x:c r="H717" s="25" t="str">
        <x:v>攻击加成</x:v>
      </x:c>
      <x:c r="I717" s="25" t="n">
        <x:v>44</x:v>
      </x:c>
      <x:c r="J717" s="25" t="n">
        <x:v>19</x:v>
      </x:c>
      <x:c r="K717" s="25" t="str">
        <x:v>仅装备原始基础值决定主属性范围</x:v>
      </x:c>
    </x:row>
    <x:row r="718">
      <x:c r="A718" s="25" t="str">
        <x:v>C06-G</x:v>
      </x:c>
      <x:c r="B718" s="25" t="str">
        <x:v>盖利德</x:v>
      </x:c>
      <x:c r="C718" s="25" t="str">
        <x:v>半急速毕业</x:v>
      </x:c>
      <x:c r="D718" s="25" t="n">
        <x:v>6</x:v>
      </x:c>
      <x:c r="E718" s="25" t="n">
        <x:v>68</x:v>
      </x:c>
      <x:c r="F718" s="25" t="str">
        <x:v>百指接肢腕</x:v>
      </x:c>
      <x:c r="G718" s="25" t="n">
        <x:v>1</x:v>
      </x:c>
      <x:c r="H718" s="25" t="str">
        <x:v>处决伤害</x:v>
      </x:c>
      <x:c r="I718" s="25" t="n">
        <x:v>1</x:v>
      </x:c>
      <x:c r="J718" s="25" t="n">
        <x:v>10</x:v>
      </x:c>
      <x:c r="K718" s="25" t="str">
        <x:v>仅装备原始基础值决定主属性范围</x:v>
      </x:c>
    </x:row>
    <x:row r="719">
      <x:c r="A719" s="25" t="str">
        <x:v>C06-G</x:v>
      </x:c>
      <x:c r="B719" s="25" t="str">
        <x:v>盖利德</x:v>
      </x:c>
      <x:c r="C719" s="25" t="str">
        <x:v>半急速毕业</x:v>
      </x:c>
      <x:c r="D719" s="25" t="n">
        <x:v>6</x:v>
      </x:c>
      <x:c r="E719" s="25" t="n">
        <x:v>68</x:v>
      </x:c>
      <x:c r="F719" s="25" t="str">
        <x:v>百指接肢腕</x:v>
      </x:c>
      <x:c r="G719" s="25" t="n">
        <x:v>2</x:v>
      </x:c>
      <x:c r="H719" s="25" t="str">
        <x:v>攻击加成</x:v>
      </x:c>
      <x:c r="I719" s="25" t="n">
        <x:v>28</x:v>
      </x:c>
      <x:c r="J719" s="25" t="n">
        <x:v>18</x:v>
      </x:c>
      <x:c r="K719" s="25" t="str">
        <x:v>仅装备原始基础值决定主属性范围</x:v>
      </x:c>
    </x:row>
    <x:row r="720">
      <x:c r="A720" s="25" t="str">
        <x:v>C06-G</x:v>
      </x:c>
      <x:c r="B720" s="25" t="str">
        <x:v>盖利德</x:v>
      </x:c>
      <x:c r="C720" s="25" t="str">
        <x:v>半急速毕业</x:v>
      </x:c>
      <x:c r="D720" s="25" t="n">
        <x:v>6</x:v>
      </x:c>
      <x:c r="E720" s="25" t="n">
        <x:v>68</x:v>
      </x:c>
      <x:c r="F720" s="25" t="str">
        <x:v>百指接肢腕</x:v>
      </x:c>
      <x:c r="G720" s="25" t="n">
        <x:v>3</x:v>
      </x:c>
      <x:c r="H720" s="25" t="str">
        <x:v>攻击加成</x:v>
      </x:c>
      <x:c r="I720" s="25" t="n">
        <x:v>45</x:v>
      </x:c>
      <x:c r="J720" s="25" t="n">
        <x:v>19</x:v>
      </x:c>
      <x:c r="K720" s="25" t="str">
        <x:v>仅装备原始基础值决定主属性范围</x:v>
      </x:c>
    </x:row>
    <x:row r="721">
      <x:c r="A721" s="25" t="str">
        <x:v>C06-G</x:v>
      </x:c>
      <x:c r="B721" s="25" t="str">
        <x:v>盖利德</x:v>
      </x:c>
      <x:c r="C721" s="25" t="str">
        <x:v>半急速毕业</x:v>
      </x:c>
      <x:c r="D721" s="25" t="n">
        <x:v>6</x:v>
      </x:c>
      <x:c r="E721" s="25" t="n">
        <x:v>68</x:v>
      </x:c>
      <x:c r="F721" s="25" t="str">
        <x:v>百指接肢腕</x:v>
      </x:c>
      <x:c r="G721" s="25" t="n">
        <x:v>4</x:v>
      </x:c>
      <x:c r="H721" s="25" t="str">
        <x:v>处决伤害</x:v>
      </x:c>
      <x:c r="I721" s="25" t="n">
        <x:v>2</x:v>
      </x:c>
      <x:c r="J721" s="25" t="n">
        <x:v>11</x:v>
      </x:c>
      <x:c r="K721" s="25" t="str">
        <x:v>仅装备原始基础值决定主属性范围</x:v>
      </x:c>
    </x:row>
    <x:row r="722">
      <x:c r="A722" s="25" t="str">
        <x:v>C06-G</x:v>
      </x:c>
      <x:c r="B722" s="25" t="str">
        <x:v>盖利德</x:v>
      </x:c>
      <x:c r="C722" s="25" t="str">
        <x:v>半急速毕业</x:v>
      </x:c>
      <x:c r="D722" s="25" t="n">
        <x:v>6</x:v>
      </x:c>
      <x:c r="E722" s="25" t="n">
        <x:v>68</x:v>
      </x:c>
      <x:c r="F722" s="25" t="str">
        <x:v>百指接肢腕</x:v>
      </x:c>
      <x:c r="G722" s="25" t="n">
        <x:v>5</x:v>
      </x:c>
      <x:c r="H722" s="25" t="str">
        <x:v>暴击</x:v>
      </x:c>
      <x:c r="I722" s="25" t="n">
        <x:v>1</x:v>
      </x:c>
      <x:c r="J722" s="25" t="n">
        <x:v>14</x:v>
      </x:c>
      <x:c r="K722" s="25" t="str">
        <x:v>仅装备原始基础值决定主属性范围</x:v>
      </x:c>
    </x:row>
    <x:row r="723">
      <x:c r="A723" s="25" t="str">
        <x:v>C06-G</x:v>
      </x:c>
      <x:c r="B723" s="25" t="str">
        <x:v>盖利德</x:v>
      </x:c>
      <x:c r="C723" s="25" t="str">
        <x:v>半急速毕业</x:v>
      </x:c>
      <x:c r="D723" s="25" t="n">
        <x:v>7</x:v>
      </x:c>
      <x:c r="E723" s="25" t="n">
        <x:v>132</x:v>
      </x:c>
      <x:c r="F723" s="25" t="str">
        <x:v>蓝焰祷戒</x:v>
      </x:c>
      <x:c r="G723" s="25" t="n">
        <x:v>1</x:v>
      </x:c>
      <x:c r="H723" s="25" t="str">
        <x:v>攻击加成</x:v>
      </x:c>
      <x:c r="I723" s="25" t="n">
        <x:v>39</x:v>
      </x:c>
      <x:c r="J723" s="25" t="n">
        <x:v>19</x:v>
      </x:c>
      <x:c r="K723" s="25" t="str">
        <x:v>仅装备原始基础值决定主属性范围</x:v>
      </x:c>
    </x:row>
    <x:row r="724">
      <x:c r="A724" s="25" t="str">
        <x:v>C06-G</x:v>
      </x:c>
      <x:c r="B724" s="25" t="str">
        <x:v>盖利德</x:v>
      </x:c>
      <x:c r="C724" s="25" t="str">
        <x:v>半急速毕业</x:v>
      </x:c>
      <x:c r="D724" s="25" t="n">
        <x:v>7</x:v>
      </x:c>
      <x:c r="E724" s="25" t="n">
        <x:v>132</x:v>
      </x:c>
      <x:c r="F724" s="25" t="str">
        <x:v>蓝焰祷戒</x:v>
      </x:c>
      <x:c r="G724" s="25" t="n">
        <x:v>2</x:v>
      </x:c>
      <x:c r="H724" s="25" t="str">
        <x:v>攻击加成</x:v>
      </x:c>
      <x:c r="I724" s="25" t="n">
        <x:v>20</x:v>
      </x:c>
      <x:c r="J724" s="25" t="n">
        <x:v>18</x:v>
      </x:c>
      <x:c r="K724" s="25" t="str">
        <x:v>仅装备原始基础值决定主属性范围</x:v>
      </x:c>
    </x:row>
    <x:row r="725">
      <x:c r="A725" s="25" t="str">
        <x:v>C06-G</x:v>
      </x:c>
      <x:c r="B725" s="25" t="str">
        <x:v>盖利德</x:v>
      </x:c>
      <x:c r="C725" s="25" t="str">
        <x:v>半急速毕业</x:v>
      </x:c>
      <x:c r="D725" s="25" t="n">
        <x:v>7</x:v>
      </x:c>
      <x:c r="E725" s="25" t="n">
        <x:v>132</x:v>
      </x:c>
      <x:c r="F725" s="25" t="str">
        <x:v>蓝焰祷戒</x:v>
      </x:c>
      <x:c r="G725" s="25" t="n">
        <x:v>3</x:v>
      </x:c>
      <x:c r="H725" s="25" t="str">
        <x:v>魔法</x:v>
      </x:c>
      <x:c r="I725" s="25" t="n">
        <x:v>98</x:v>
      </x:c>
      <x:c r="J725" s="25" t="n">
        <x:v>2</x:v>
      </x:c>
      <x:c r="K725" s="25" t="str">
        <x:v>仅装备原始基础值决定主属性范围</x:v>
      </x:c>
    </x:row>
    <x:row r="726">
      <x:c r="A726" s="25" t="str">
        <x:v>C06-G</x:v>
      </x:c>
      <x:c r="B726" s="25" t="str">
        <x:v>盖利德</x:v>
      </x:c>
      <x:c r="C726" s="25" t="str">
        <x:v>半急速毕业</x:v>
      </x:c>
      <x:c r="D726" s="25" t="n">
        <x:v>7</x:v>
      </x:c>
      <x:c r="E726" s="25" t="n">
        <x:v>132</x:v>
      </x:c>
      <x:c r="F726" s="25" t="str">
        <x:v>蓝焰祷戒</x:v>
      </x:c>
      <x:c r="G726" s="25" t="n">
        <x:v>4</x:v>
      </x:c>
      <x:c r="H726" s="25" t="str">
        <x:v>道术</x:v>
      </x:c>
      <x:c r="I726" s="25" t="n">
        <x:v>79</x:v>
      </x:c>
      <x:c r="J726" s="25" t="n">
        <x:v>3</x:v>
      </x:c>
      <x:c r="K726" s="25" t="str">
        <x:v>仅装备原始基础值决定主属性范围</x:v>
      </x:c>
    </x:row>
    <x:row r="727">
      <x:c r="A727" s="25" t="str">
        <x:v>C06-G</x:v>
      </x:c>
      <x:c r="B727" s="25" t="str">
        <x:v>盖利德</x:v>
      </x:c>
      <x:c r="C727" s="25" t="str">
        <x:v>半急速毕业</x:v>
      </x:c>
      <x:c r="D727" s="25" t="n">
        <x:v>7</x:v>
      </x:c>
      <x:c r="E727" s="25" t="n">
        <x:v>132</x:v>
      </x:c>
      <x:c r="F727" s="25" t="str">
        <x:v>蓝焰祷戒</x:v>
      </x:c>
      <x:c r="G727" s="25" t="n">
        <x:v>5</x:v>
      </x:c>
      <x:c r="H727" s="25" t="str">
        <x:v>致命一击</x:v>
      </x:c>
      <x:c r="I727" s="25" t="n">
        <x:v>1</x:v>
      </x:c>
      <x:c r="J727" s="25" t="n">
        <x:v>16</x:v>
      </x:c>
      <x:c r="K727" s="25" t="str">
        <x:v>仅装备原始基础值决定主属性范围</x:v>
      </x:c>
    </x:row>
    <x:row r="728">
      <x:c r="A728" s="25" t="str">
        <x:v>C06-G</x:v>
      </x:c>
      <x:c r="B728" s="25" t="str">
        <x:v>盖利德</x:v>
      </x:c>
      <x:c r="C728" s="25" t="str">
        <x:v>半急速毕业</x:v>
      </x:c>
      <x:c r="D728" s="25" t="n">
        <x:v>8</x:v>
      </x:c>
      <x:c r="E728" s="25" t="n">
        <x:v>118</x:v>
      </x:c>
      <x:c r="F728" s="25" t="str">
        <x:v>月渊秘戒</x:v>
      </x:c>
      <x:c r="G728" s="25" t="n">
        <x:v>1</x:v>
      </x:c>
      <x:c r="H728" s="25" t="str">
        <x:v>攻击加成</x:v>
      </x:c>
      <x:c r="I728" s="25" t="n">
        <x:v>47</x:v>
      </x:c>
      <x:c r="J728" s="25" t="n">
        <x:v>19</x:v>
      </x:c>
      <x:c r="K728" s="25" t="str">
        <x:v>仅装备原始基础值决定主属性范围</x:v>
      </x:c>
    </x:row>
    <x:row r="729">
      <x:c r="A729" s="25" t="str">
        <x:v>C06-G</x:v>
      </x:c>
      <x:c r="B729" s="25" t="str">
        <x:v>盖利德</x:v>
      </x:c>
      <x:c r="C729" s="25" t="str">
        <x:v>半急速毕业</x:v>
      </x:c>
      <x:c r="D729" s="25" t="n">
        <x:v>8</x:v>
      </x:c>
      <x:c r="E729" s="25" t="n">
        <x:v>118</x:v>
      </x:c>
      <x:c r="F729" s="25" t="str">
        <x:v>月渊秘戒</x:v>
      </x:c>
      <x:c r="G729" s="25" t="n">
        <x:v>2</x:v>
      </x:c>
      <x:c r="H729" s="25" t="str">
        <x:v>伤害系数</x:v>
      </x:c>
      <x:c r="I729" s="25" t="n">
        <x:v>1</x:v>
      </x:c>
      <x:c r="J729" s="25" t="n">
        <x:v>25</x:v>
      </x:c>
      <x:c r="K729" s="25" t="str">
        <x:v>仅装备原始基础值决定主属性范围</x:v>
      </x:c>
    </x:row>
    <x:row r="730">
      <x:c r="A730" s="25" t="str">
        <x:v>C06-G</x:v>
      </x:c>
      <x:c r="B730" s="25" t="str">
        <x:v>盖利德</x:v>
      </x:c>
      <x:c r="C730" s="25" t="str">
        <x:v>半急速毕业</x:v>
      </x:c>
      <x:c r="D730" s="25" t="n">
        <x:v>8</x:v>
      </x:c>
      <x:c r="E730" s="25" t="n">
        <x:v>118</x:v>
      </x:c>
      <x:c r="F730" s="25" t="str">
        <x:v>月渊秘戒</x:v>
      </x:c>
      <x:c r="G730" s="25" t="n">
        <x:v>3</x:v>
      </x:c>
      <x:c r="H730" s="25" t="str">
        <x:v>最大爆率</x:v>
      </x:c>
      <x:c r="I730" s="25" t="n">
        <x:v>1</x:v>
      </x:c>
      <x:c r="J730" s="25" t="n">
        <x:v>22</x:v>
      </x:c>
      <x:c r="K730" s="25" t="str">
        <x:v>仅装备原始基础值决定主属性范围</x:v>
      </x:c>
    </x:row>
    <x:row r="731">
      <x:c r="A731" s="25" t="str">
        <x:v>C06-G</x:v>
      </x:c>
      <x:c r="B731" s="25" t="str">
        <x:v>盖利德</x:v>
      </x:c>
      <x:c r="C731" s="25" t="str">
        <x:v>半急速毕业</x:v>
      </x:c>
      <x:c r="D731" s="25" t="n">
        <x:v>8</x:v>
      </x:c>
      <x:c r="E731" s="25" t="n">
        <x:v>118</x:v>
      </x:c>
      <x:c r="F731" s="25" t="str">
        <x:v>月渊秘戒</x:v>
      </x:c>
      <x:c r="G731" s="25" t="n">
        <x:v>4</x:v>
      </x:c>
      <x:c r="H731" s="25" t="str">
        <x:v>魔法</x:v>
      </x:c>
      <x:c r="I731" s="25" t="n">
        <x:v>312</x:v>
      </x:c>
      <x:c r="J731" s="25" t="n">
        <x:v>2</x:v>
      </x:c>
      <x:c r="K731" s="25" t="str">
        <x:v>仅装备原始基础值决定主属性范围</x:v>
      </x:c>
    </x:row>
    <x:row r="732">
      <x:c r="A732" s="25" t="str">
        <x:v>C06-G</x:v>
      </x:c>
      <x:c r="B732" s="25" t="str">
        <x:v>盖利德</x:v>
      </x:c>
      <x:c r="C732" s="25" t="str">
        <x:v>半急速毕业</x:v>
      </x:c>
      <x:c r="D732" s="25" t="n">
        <x:v>10</x:v>
      </x:c>
      <x:c r="E732" s="25" t="n">
        <x:v>123</x:v>
      </x:c>
      <x:c r="F732" s="25" t="str">
        <x:v>汲月雾绦</x:v>
      </x:c>
      <x:c r="G732" s="25" t="n">
        <x:v>1</x:v>
      </x:c>
      <x:c r="H732" s="25" t="str">
        <x:v>处决伤害</x:v>
      </x:c>
      <x:c r="I732" s="25" t="n">
        <x:v>1</x:v>
      </x:c>
      <x:c r="J732" s="25" t="n">
        <x:v>10</x:v>
      </x:c>
      <x:c r="K732" s="25" t="str">
        <x:v>仅装备原始基础值决定主属性范围</x:v>
      </x:c>
    </x:row>
    <x:row r="733">
      <x:c r="A733" s="25" t="str">
        <x:v>C06-G</x:v>
      </x:c>
      <x:c r="B733" s="25" t="str">
        <x:v>盖利德</x:v>
      </x:c>
      <x:c r="C733" s="25" t="str">
        <x:v>半急速毕业</x:v>
      </x:c>
      <x:c r="D733" s="25" t="n">
        <x:v>10</x:v>
      </x:c>
      <x:c r="E733" s="25" t="n">
        <x:v>123</x:v>
      </x:c>
      <x:c r="F733" s="25" t="str">
        <x:v>汲月雾绦</x:v>
      </x:c>
      <x:c r="G733" s="25" t="n">
        <x:v>2</x:v>
      </x:c>
      <x:c r="H733" s="25" t="str">
        <x:v>处决伤害</x:v>
      </x:c>
      <x:c r="I733" s="25" t="n">
        <x:v>1</x:v>
      </x:c>
      <x:c r="J733" s="25" t="n">
        <x:v>10</x:v>
      </x:c>
      <x:c r="K733" s="25" t="str">
        <x:v>仅装备原始基础值决定主属性范围</x:v>
      </x:c>
    </x:row>
    <x:row r="734">
      <x:c r="A734" s="25" t="str">
        <x:v>C06-G</x:v>
      </x:c>
      <x:c r="B734" s="25" t="str">
        <x:v>盖利德</x:v>
      </x:c>
      <x:c r="C734" s="25" t="str">
        <x:v>半急速毕业</x:v>
      </x:c>
      <x:c r="D734" s="25" t="n">
        <x:v>10</x:v>
      </x:c>
      <x:c r="E734" s="25" t="n">
        <x:v>123</x:v>
      </x:c>
      <x:c r="F734" s="25" t="str">
        <x:v>汲月雾绦</x:v>
      </x:c>
      <x:c r="G734" s="25" t="n">
        <x:v>3</x:v>
      </x:c>
      <x:c r="H734" s="25" t="str">
        <x:v>攻击加成</x:v>
      </x:c>
      <x:c r="I734" s="25" t="n">
        <x:v>28</x:v>
      </x:c>
      <x:c r="J734" s="25" t="n">
        <x:v>18</x:v>
      </x:c>
      <x:c r="K734" s="25" t="str">
        <x:v>仅装备原始基础值决定主属性范围</x:v>
      </x:c>
    </x:row>
    <x:row r="735">
      <x:c r="A735" s="25" t="str">
        <x:v>C06-G</x:v>
      </x:c>
      <x:c r="B735" s="25" t="str">
        <x:v>盖利德</x:v>
      </x:c>
      <x:c r="C735" s="25" t="str">
        <x:v>半急速毕业</x:v>
      </x:c>
      <x:c r="D735" s="25" t="n">
        <x:v>10</x:v>
      </x:c>
      <x:c r="E735" s="25" t="n">
        <x:v>123</x:v>
      </x:c>
      <x:c r="F735" s="25" t="str">
        <x:v>汲月雾绦</x:v>
      </x:c>
      <x:c r="G735" s="25" t="n">
        <x:v>4</x:v>
      </x:c>
      <x:c r="H735" s="25" t="str">
        <x:v>攻击</x:v>
      </x:c>
      <x:c r="I735" s="25" t="n">
        <x:v>101</x:v>
      </x:c>
      <x:c r="J735" s="25" t="n">
        <x:v>1</x:v>
      </x:c>
      <x:c r="K735" s="25" t="str">
        <x:v>仅装备原始基础值决定主属性范围</x:v>
      </x:c>
    </x:row>
    <x:row r="736">
      <x:c r="A736" s="25" t="str">
        <x:v>C06-G</x:v>
      </x:c>
      <x:c r="B736" s="25" t="str">
        <x:v>盖利德</x:v>
      </x:c>
      <x:c r="C736" s="25" t="str">
        <x:v>半急速毕业</x:v>
      </x:c>
      <x:c r="D736" s="25" t="n">
        <x:v>10</x:v>
      </x:c>
      <x:c r="E736" s="25" t="n">
        <x:v>123</x:v>
      </x:c>
      <x:c r="F736" s="25" t="str">
        <x:v>汲月雾绦</x:v>
      </x:c>
      <x:c r="G736" s="25" t="n">
        <x:v>5</x:v>
      </x:c>
      <x:c r="H736" s="25" t="str">
        <x:v>攻击加成</x:v>
      </x:c>
      <x:c r="I736" s="25" t="n">
        <x:v>8</x:v>
      </x:c>
      <x:c r="J736" s="25" t="n">
        <x:v>18</x:v>
      </x:c>
      <x:c r="K736" s="25" t="str">
        <x:v>仅装备原始基础值决定主属性范围</x:v>
      </x:c>
    </x:row>
    <x:row r="737">
      <x:c r="A737" s="25" t="str">
        <x:v>C06-G</x:v>
      </x:c>
      <x:c r="B737" s="25" t="str">
        <x:v>盖利德</x:v>
      </x:c>
      <x:c r="C737" s="25" t="str">
        <x:v>半急速毕业</x:v>
      </x:c>
      <x:c r="D737" s="25" t="n">
        <x:v>11</x:v>
      </x:c>
      <x:c r="E737" s="25" t="n">
        <x:v>94</x:v>
      </x:c>
      <x:c r="F737" s="25" t="str">
        <x:v>逐风征靴</x:v>
      </x:c>
      <x:c r="G737" s="25" t="n">
        <x:v>1</x:v>
      </x:c>
      <x:c r="H737" s="25" t="str">
        <x:v>魔法</x:v>
      </x:c>
      <x:c r="I737" s="25" t="n">
        <x:v>46</x:v>
      </x:c>
      <x:c r="J737" s="25" t="n">
        <x:v>2</x:v>
      </x:c>
      <x:c r="K737" s="25" t="str">
        <x:v>仅装备原始基础值决定主属性范围</x:v>
      </x:c>
    </x:row>
    <x:row r="738">
      <x:c r="A738" s="25" t="str">
        <x:v>C06-G</x:v>
      </x:c>
      <x:c r="B738" s="25" t="str">
        <x:v>盖利德</x:v>
      </x:c>
      <x:c r="C738" s="25" t="str">
        <x:v>半急速毕业</x:v>
      </x:c>
      <x:c r="D738" s="25" t="n">
        <x:v>11</x:v>
      </x:c>
      <x:c r="E738" s="25" t="n">
        <x:v>94</x:v>
      </x:c>
      <x:c r="F738" s="25" t="str">
        <x:v>逐风征靴</x:v>
      </x:c>
      <x:c r="G738" s="25" t="n">
        <x:v>2</x:v>
      </x:c>
      <x:c r="H738" s="25" t="str">
        <x:v>攻击加成</x:v>
      </x:c>
      <x:c r="I738" s="25" t="n">
        <x:v>30</x:v>
      </x:c>
      <x:c r="J738" s="25" t="n">
        <x:v>18</x:v>
      </x:c>
      <x:c r="K738" s="25" t="str">
        <x:v>仅装备原始基础值决定主属性范围</x:v>
      </x:c>
    </x:row>
    <x:row r="739">
      <x:c r="A739" s="25" t="str">
        <x:v>C06-G</x:v>
      </x:c>
      <x:c r="B739" s="25" t="str">
        <x:v>盖利德</x:v>
      </x:c>
      <x:c r="C739" s="25" t="str">
        <x:v>半急速毕业</x:v>
      </x:c>
      <x:c r="D739" s="25" t="n">
        <x:v>11</x:v>
      </x:c>
      <x:c r="E739" s="25" t="n">
        <x:v>94</x:v>
      </x:c>
      <x:c r="F739" s="25" t="str">
        <x:v>逐风征靴</x:v>
      </x:c>
      <x:c r="G739" s="25" t="n">
        <x:v>3</x:v>
      </x:c>
      <x:c r="H739" s="25" t="str">
        <x:v>攻击</x:v>
      </x:c>
      <x:c r="I739" s="25" t="n">
        <x:v>68</x:v>
      </x:c>
      <x:c r="J739" s="25" t="n">
        <x:v>1</x:v>
      </x:c>
      <x:c r="K739" s="25" t="str">
        <x:v>仅装备原始基础值决定主属性范围</x:v>
      </x:c>
    </x:row>
    <x:row r="740">
      <x:c r="A740" s="25" t="str">
        <x:v>C06-X</x:v>
      </x:c>
      <x:c r="B740" s="25" t="str">
        <x:v>盖利德</x:v>
      </x:c>
      <x:c r="C740" s="25" t="str">
        <x:v>极端压力</x:v>
      </x:c>
      <x:c r="D740" s="25" t="n">
        <x:v>0</x:v>
      </x:c>
      <x:c r="E740" s="25" t="n">
        <x:v>163</x:v>
      </x:c>
      <x:c r="F740" s="25" t="str">
        <x:v>碎星红狮战甲</x:v>
      </x:c>
      <x:c r="G740" s="25" t="n">
        <x:v>1</x:v>
      </x:c>
      <x:c r="H740" s="25" t="str">
        <x:v>攻击加成</x:v>
      </x:c>
      <x:c r="I740" s="25" t="n">
        <x:v>20</x:v>
      </x:c>
      <x:c r="J740" s="25" t="n">
        <x:v>18</x:v>
      </x:c>
      <x:c r="K740" s="25" t="str">
        <x:v>仅装备原始基础值决定主属性范围</x:v>
      </x:c>
    </x:row>
    <x:row r="741">
      <x:c r="A741" s="25" t="str">
        <x:v>C06-X</x:v>
      </x:c>
      <x:c r="B741" s="25" t="str">
        <x:v>盖利德</x:v>
      </x:c>
      <x:c r="C741" s="25" t="str">
        <x:v>极端压力</x:v>
      </x:c>
      <x:c r="D741" s="25" t="n">
        <x:v>0</x:v>
      </x:c>
      <x:c r="E741" s="25" t="n">
        <x:v>163</x:v>
      </x:c>
      <x:c r="F741" s="25" t="str">
        <x:v>碎星红狮战甲</x:v>
      </x:c>
      <x:c r="G741" s="25" t="n">
        <x:v>2</x:v>
      </x:c>
      <x:c r="H741" s="25" t="str">
        <x:v>攻击加成</x:v>
      </x:c>
      <x:c r="I741" s="25" t="n">
        <x:v>49</x:v>
      </x:c>
      <x:c r="J741" s="25" t="n">
        <x:v>19</x:v>
      </x:c>
      <x:c r="K741" s="25" t="str">
        <x:v>仅装备原始基础值决定主属性范围</x:v>
      </x:c>
    </x:row>
    <x:row r="742">
      <x:c r="A742" s="25" t="str">
        <x:v>C06-X</x:v>
      </x:c>
      <x:c r="B742" s="25" t="str">
        <x:v>盖利德</x:v>
      </x:c>
      <x:c r="C742" s="25" t="str">
        <x:v>极端压力</x:v>
      </x:c>
      <x:c r="D742" s="25" t="n">
        <x:v>0</x:v>
      </x:c>
      <x:c r="E742" s="25" t="n">
        <x:v>163</x:v>
      </x:c>
      <x:c r="F742" s="25" t="str">
        <x:v>碎星红狮战甲</x:v>
      </x:c>
      <x:c r="G742" s="25" t="n">
        <x:v>3</x:v>
      </x:c>
      <x:c r="H742" s="25" t="str">
        <x:v>处决时间</x:v>
      </x:c>
      <x:c r="I742" s="25" t="n">
        <x:v>1</x:v>
      </x:c>
      <x:c r="J742" s="25" t="n">
        <x:v>8</x:v>
      </x:c>
      <x:c r="K742" s="25" t="str">
        <x:v>仅装备原始基础值决定主属性范围</x:v>
      </x:c>
    </x:row>
    <x:row r="743">
      <x:c r="A743" s="25" t="str">
        <x:v>C06-X</x:v>
      </x:c>
      <x:c r="B743" s="25" t="str">
        <x:v>盖利德</x:v>
      </x:c>
      <x:c r="C743" s="25" t="str">
        <x:v>极端压力</x:v>
      </x:c>
      <x:c r="D743" s="25" t="n">
        <x:v>0</x:v>
      </x:c>
      <x:c r="E743" s="25" t="n">
        <x:v>163</x:v>
      </x:c>
      <x:c r="F743" s="25" t="str">
        <x:v>碎星红狮战甲</x:v>
      </x:c>
      <x:c r="G743" s="25" t="n">
        <x:v>4</x:v>
      </x:c>
      <x:c r="H743" s="25" t="str">
        <x:v>攻击加成</x:v>
      </x:c>
      <x:c r="I743" s="25" t="n">
        <x:v>20</x:v>
      </x:c>
      <x:c r="J743" s="25" t="n">
        <x:v>18</x:v>
      </x:c>
      <x:c r="K743" s="25" t="str">
        <x:v>仅装备原始基础值决定主属性范围</x:v>
      </x:c>
    </x:row>
    <x:row r="744">
      <x:c r="A744" s="25" t="str">
        <x:v>C06-X</x:v>
      </x:c>
      <x:c r="B744" s="25" t="str">
        <x:v>盖利德</x:v>
      </x:c>
      <x:c r="C744" s="25" t="str">
        <x:v>极端压力</x:v>
      </x:c>
      <x:c r="D744" s="25" t="n">
        <x:v>0</x:v>
      </x:c>
      <x:c r="E744" s="25" t="n">
        <x:v>163</x:v>
      </x:c>
      <x:c r="F744" s="25" t="str">
        <x:v>碎星红狮战甲</x:v>
      </x:c>
      <x:c r="G744" s="25" t="n">
        <x:v>5</x:v>
      </x:c>
      <x:c r="H744" s="25" t="str">
        <x:v>攻击</x:v>
      </x:c>
      <x:c r="I744" s="25" t="n">
        <x:v>174</x:v>
      </x:c>
      <x:c r="J744" s="25" t="n">
        <x:v>1</x:v>
      </x:c>
      <x:c r="K744" s="25" t="str">
        <x:v>仅装备原始基础值决定主属性范围</x:v>
      </x:c>
    </x:row>
    <x:row r="745">
      <x:c r="A745" s="25" t="str">
        <x:v>C06-X</x:v>
      </x:c>
      <x:c r="B745" s="25" t="str">
        <x:v>盖利德</x:v>
      </x:c>
      <x:c r="C745" s="25" t="str">
        <x:v>极端压力</x:v>
      </x:c>
      <x:c r="D745" s="25" t="n">
        <x:v>0</x:v>
      </x:c>
      <x:c r="E745" s="25" t="n">
        <x:v>163</x:v>
      </x:c>
      <x:c r="F745" s="25" t="str">
        <x:v>碎星红狮战甲</x:v>
      </x:c>
      <x:c r="G745" s="25" t="n">
        <x:v>6</x:v>
      </x:c>
      <x:c r="H745" s="25" t="str">
        <x:v>韧性</x:v>
      </x:c>
      <x:c r="I745" s="25" t="n">
        <x:v>10</x:v>
      </x:c>
      <x:c r="J745" s="25" t="n">
        <x:v>12</x:v>
      </x:c>
      <x:c r="K745" s="25" t="str">
        <x:v>仅装备原始基础值决定主属性范围</x:v>
      </x:c>
    </x:row>
    <x:row r="746">
      <x:c r="A746" s="25" t="str">
        <x:v>C06-X</x:v>
      </x:c>
      <x:c r="B746" s="25" t="str">
        <x:v>盖利德</x:v>
      </x:c>
      <x:c r="C746" s="25" t="str">
        <x:v>极端压力</x:v>
      </x:c>
      <x:c r="D746" s="25" t="n">
        <x:v>1</x:v>
      </x:c>
      <x:c r="E746" s="25" t="n">
        <x:v>142</x:v>
      </x:c>
      <x:c r="F746" s="25" t="str">
        <x:v>拉塔恩碎星巨刃</x:v>
      </x:c>
      <x:c r="G746" s="25" t="n">
        <x:v>1</x:v>
      </x:c>
      <x:c r="H746" s="25" t="str">
        <x:v>暴击</x:v>
      </x:c>
      <x:c r="I746" s="25" t="n">
        <x:v>1</x:v>
      </x:c>
      <x:c r="J746" s="25" t="n">
        <x:v>14</x:v>
      </x:c>
      <x:c r="K746" s="25" t="str">
        <x:v>仅装备原始基础值决定主属性范围</x:v>
      </x:c>
    </x:row>
    <x:row r="747">
      <x:c r="A747" s="25" t="str">
        <x:v>C06-X</x:v>
      </x:c>
      <x:c r="B747" s="25" t="str">
        <x:v>盖利德</x:v>
      </x:c>
      <x:c r="C747" s="25" t="str">
        <x:v>极端压力</x:v>
      </x:c>
      <x:c r="D747" s="25" t="n">
        <x:v>1</x:v>
      </x:c>
      <x:c r="E747" s="25" t="n">
        <x:v>142</x:v>
      </x:c>
      <x:c r="F747" s="25" t="str">
        <x:v>拉塔恩碎星巨刃</x:v>
      </x:c>
      <x:c r="G747" s="25" t="n">
        <x:v>2</x:v>
      </x:c>
      <x:c r="H747" s="25" t="str">
        <x:v>处决伤害</x:v>
      </x:c>
      <x:c r="I747" s="25" t="n">
        <x:v>2</x:v>
      </x:c>
      <x:c r="J747" s="25" t="n">
        <x:v>11</x:v>
      </x:c>
      <x:c r="K747" s="25" t="str">
        <x:v>仅装备原始基础值决定主属性范围</x:v>
      </x:c>
    </x:row>
    <x:row r="748">
      <x:c r="A748" s="25" t="str">
        <x:v>C06-X</x:v>
      </x:c>
      <x:c r="B748" s="25" t="str">
        <x:v>盖利德</x:v>
      </x:c>
      <x:c r="C748" s="25" t="str">
        <x:v>极端压力</x:v>
      </x:c>
      <x:c r="D748" s="25" t="n">
        <x:v>1</x:v>
      </x:c>
      <x:c r="E748" s="25" t="n">
        <x:v>142</x:v>
      </x:c>
      <x:c r="F748" s="25" t="str">
        <x:v>拉塔恩碎星巨刃</x:v>
      </x:c>
      <x:c r="G748" s="25" t="n">
        <x:v>3</x:v>
      </x:c>
      <x:c r="H748" s="25" t="str">
        <x:v>伤害系数</x:v>
      </x:c>
      <x:c r="I748" s="25" t="n">
        <x:v>1</x:v>
      </x:c>
      <x:c r="J748" s="25" t="n">
        <x:v>25</x:v>
      </x:c>
      <x:c r="K748" s="25" t="str">
        <x:v>仅装备原始基础值决定主属性范围</x:v>
      </x:c>
    </x:row>
    <x:row r="749">
      <x:c r="A749" s="25" t="str">
        <x:v>C06-X</x:v>
      </x:c>
      <x:c r="B749" s="25" t="str">
        <x:v>盖利德</x:v>
      </x:c>
      <x:c r="C749" s="25" t="str">
        <x:v>极端压力</x:v>
      </x:c>
      <x:c r="D749" s="25" t="n">
        <x:v>1</x:v>
      </x:c>
      <x:c r="E749" s="25" t="n">
        <x:v>142</x:v>
      </x:c>
      <x:c r="F749" s="25" t="str">
        <x:v>拉塔恩碎星巨刃</x:v>
      </x:c>
      <x:c r="G749" s="25" t="n">
        <x:v>4</x:v>
      </x:c>
      <x:c r="H749" s="25" t="str">
        <x:v>攻击速度</x:v>
      </x:c>
      <x:c r="I749" s="25" t="n">
        <x:v>2</x:v>
      </x:c>
      <x:c r="J749" s="25" t="n">
        <x:v>5</x:v>
      </x:c>
      <x:c r="K749" s="25" t="str">
        <x:v>仅装备原始基础值决定主属性范围</x:v>
      </x:c>
    </x:row>
    <x:row r="750">
      <x:c r="A750" s="25" t="str">
        <x:v>C06-X</x:v>
      </x:c>
      <x:c r="B750" s="25" t="str">
        <x:v>盖利德</x:v>
      </x:c>
      <x:c r="C750" s="25" t="str">
        <x:v>极端压力</x:v>
      </x:c>
      <x:c r="D750" s="25" t="n">
        <x:v>1</x:v>
      </x:c>
      <x:c r="E750" s="25" t="n">
        <x:v>142</x:v>
      </x:c>
      <x:c r="F750" s="25" t="str">
        <x:v>拉塔恩碎星巨刃</x:v>
      </x:c>
      <x:c r="G750" s="25" t="n">
        <x:v>5</x:v>
      </x:c>
      <x:c r="H750" s="25" t="str">
        <x:v>攻击加成</x:v>
      </x:c>
      <x:c r="I750" s="25" t="n">
        <x:v>3</x:v>
      </x:c>
      <x:c r="J750" s="25" t="n">
        <x:v>18</x:v>
      </x:c>
      <x:c r="K750" s="25" t="str">
        <x:v>仅装备原始基础值决定主属性范围</x:v>
      </x:c>
    </x:row>
    <x:row r="751">
      <x:c r="A751" s="25" t="str">
        <x:v>C06-X</x:v>
      </x:c>
      <x:c r="B751" s="25" t="str">
        <x:v>盖利德</x:v>
      </x:c>
      <x:c r="C751" s="25" t="str">
        <x:v>极端压力</x:v>
      </x:c>
      <x:c r="D751" s="25" t="n">
        <x:v>1</x:v>
      </x:c>
      <x:c r="E751" s="25" t="n">
        <x:v>142</x:v>
      </x:c>
      <x:c r="F751" s="25" t="str">
        <x:v>拉塔恩碎星巨刃</x:v>
      </x:c>
      <x:c r="G751" s="25" t="n">
        <x:v>6</x:v>
      </x:c>
      <x:c r="H751" s="25" t="str">
        <x:v>攻击</x:v>
      </x:c>
      <x:c r="I751" s="25" t="n">
        <x:v>801</x:v>
      </x:c>
      <x:c r="J751" s="25" t="n">
        <x:v>1</x:v>
      </x:c>
      <x:c r="K751" s="25" t="str">
        <x:v>仅装备原始基础值决定主属性范围</x:v>
      </x:c>
    </x:row>
    <x:row r="752">
      <x:c r="A752" s="25" t="str">
        <x:v>C06-X</x:v>
      </x:c>
      <x:c r="B752" s="25" t="str">
        <x:v>盖利德</x:v>
      </x:c>
      <x:c r="C752" s="25" t="str">
        <x:v>极端压力</x:v>
      </x:c>
      <x:c r="D752" s="25" t="n">
        <x:v>1</x:v>
      </x:c>
      <x:c r="E752" s="25" t="n">
        <x:v>142</x:v>
      </x:c>
      <x:c r="F752" s="25" t="str">
        <x:v>拉塔恩碎星巨刃</x:v>
      </x:c>
      <x:c r="G752" s="25" t="n">
        <x:v>7</x:v>
      </x:c>
      <x:c r="H752" s="25" t="str">
        <x:v>攻击</x:v>
      </x:c>
      <x:c r="I752" s="25" t="n">
        <x:v>1666</x:v>
      </x:c>
      <x:c r="J752" s="25" t="n">
        <x:v>1</x:v>
      </x:c>
      <x:c r="K752" s="25" t="str">
        <x:v>仅装备原始基础值决定主属性范围</x:v>
      </x:c>
    </x:row>
    <x:row r="753">
      <x:c r="A753" s="25" t="str">
        <x:v>C06-X</x:v>
      </x:c>
      <x:c r="B753" s="25" t="str">
        <x:v>盖利德</x:v>
      </x:c>
      <x:c r="C753" s="25" t="str">
        <x:v>极端压力</x:v>
      </x:c>
      <x:c r="D753" s="25" t="n">
        <x:v>3</x:v>
      </x:c>
      <x:c r="E753" s="25" t="n">
        <x:v>165</x:v>
      </x:c>
      <x:c r="F753" s="25" t="str">
        <x:v>驯火锁链</x:v>
      </x:c>
      <x:c r="G753" s="25" t="n">
        <x:v>1</x:v>
      </x:c>
      <x:c r="H753" s="25" t="str">
        <x:v>攻击</x:v>
      </x:c>
      <x:c r="I753" s="25" t="n">
        <x:v>431</x:v>
      </x:c>
      <x:c r="J753" s="25" t="n">
        <x:v>1</x:v>
      </x:c>
      <x:c r="K753" s="25" t="str">
        <x:v>仅装备原始基础值决定主属性范围</x:v>
      </x:c>
    </x:row>
    <x:row r="754">
      <x:c r="A754" s="25" t="str">
        <x:v>C06-X</x:v>
      </x:c>
      <x:c r="B754" s="25" t="str">
        <x:v>盖利德</x:v>
      </x:c>
      <x:c r="C754" s="25" t="str">
        <x:v>极端压力</x:v>
      </x:c>
      <x:c r="D754" s="25" t="n">
        <x:v>3</x:v>
      </x:c>
      <x:c r="E754" s="25" t="n">
        <x:v>165</x:v>
      </x:c>
      <x:c r="F754" s="25" t="str">
        <x:v>驯火锁链</x:v>
      </x:c>
      <x:c r="G754" s="25" t="n">
        <x:v>2</x:v>
      </x:c>
      <x:c r="H754" s="25" t="str">
        <x:v>攻击加成</x:v>
      </x:c>
      <x:c r="I754" s="25" t="n">
        <x:v>21</x:v>
      </x:c>
      <x:c r="J754" s="25" t="n">
        <x:v>18</x:v>
      </x:c>
      <x:c r="K754" s="25" t="str">
        <x:v>仅装备原始基础值决定主属性范围</x:v>
      </x:c>
    </x:row>
    <x:row r="755">
      <x:c r="A755" s="25" t="str">
        <x:v>C06-X</x:v>
      </x:c>
      <x:c r="B755" s="25" t="str">
        <x:v>盖利德</x:v>
      </x:c>
      <x:c r="C755" s="25" t="str">
        <x:v>极端压力</x:v>
      </x:c>
      <x:c r="D755" s="25" t="n">
        <x:v>3</x:v>
      </x:c>
      <x:c r="E755" s="25" t="n">
        <x:v>165</x:v>
      </x:c>
      <x:c r="F755" s="25" t="str">
        <x:v>驯火锁链</x:v>
      </x:c>
      <x:c r="G755" s="25" t="n">
        <x:v>3</x:v>
      </x:c>
      <x:c r="H755" s="25" t="str">
        <x:v>攻击加成</x:v>
      </x:c>
      <x:c r="I755" s="25" t="n">
        <x:v>48</x:v>
      </x:c>
      <x:c r="J755" s="25" t="n">
        <x:v>19</x:v>
      </x:c>
      <x:c r="K755" s="25" t="str">
        <x:v>仅装备原始基础值决定主属性范围</x:v>
      </x:c>
    </x:row>
    <x:row r="756">
      <x:c r="A756" s="25" t="str">
        <x:v>C06-X</x:v>
      </x:c>
      <x:c r="B756" s="25" t="str">
        <x:v>盖利德</x:v>
      </x:c>
      <x:c r="C756" s="25" t="str">
        <x:v>极端压力</x:v>
      </x:c>
      <x:c r="D756" s="25" t="n">
        <x:v>4</x:v>
      </x:c>
      <x:c r="E756" s="25" t="n">
        <x:v>150</x:v>
      </x:c>
      <x:c r="F756" s="25" t="str">
        <x:v>伊弗腐冠</x:v>
      </x:c>
      <x:c r="G756" s="25" t="n">
        <x:v>1</x:v>
      </x:c>
      <x:c r="H756" s="25" t="str">
        <x:v>处决时间</x:v>
      </x:c>
      <x:c r="I756" s="25" t="n">
        <x:v>1</x:v>
      </x:c>
      <x:c r="J756" s="25" t="n">
        <x:v>8</x:v>
      </x:c>
      <x:c r="K756" s="25" t="str">
        <x:v>仅装备原始基础值决定主属性范围</x:v>
      </x:c>
    </x:row>
    <x:row r="757">
      <x:c r="A757" s="25" t="str">
        <x:v>C06-X</x:v>
      </x:c>
      <x:c r="B757" s="25" t="str">
        <x:v>盖利德</x:v>
      </x:c>
      <x:c r="C757" s="25" t="str">
        <x:v>极端压力</x:v>
      </x:c>
      <x:c r="D757" s="25" t="n">
        <x:v>4</x:v>
      </x:c>
      <x:c r="E757" s="25" t="n">
        <x:v>150</x:v>
      </x:c>
      <x:c r="F757" s="25" t="str">
        <x:v>伊弗腐冠</x:v>
      </x:c>
      <x:c r="G757" s="25" t="n">
        <x:v>2</x:v>
      </x:c>
      <x:c r="H757" s="25" t="str">
        <x:v>攻击加成</x:v>
      </x:c>
      <x:c r="I757" s="25" t="n">
        <x:v>13</x:v>
      </x:c>
      <x:c r="J757" s="25" t="n">
        <x:v>18</x:v>
      </x:c>
      <x:c r="K757" s="25" t="str">
        <x:v>仅装备原始基础值决定主属性范围</x:v>
      </x:c>
    </x:row>
    <x:row r="758">
      <x:c r="A758" s="25" t="str">
        <x:v>C06-X</x:v>
      </x:c>
      <x:c r="B758" s="25" t="str">
        <x:v>盖利德</x:v>
      </x:c>
      <x:c r="C758" s="25" t="str">
        <x:v>极端压力</x:v>
      </x:c>
      <x:c r="D758" s="25" t="n">
        <x:v>4</x:v>
      </x:c>
      <x:c r="E758" s="25" t="n">
        <x:v>150</x:v>
      </x:c>
      <x:c r="F758" s="25" t="str">
        <x:v>伊弗腐冠</x:v>
      </x:c>
      <x:c r="G758" s="25" t="n">
        <x:v>3</x:v>
      </x:c>
      <x:c r="H758" s="25" t="str">
        <x:v>攻击加成</x:v>
      </x:c>
      <x:c r="I758" s="25" t="n">
        <x:v>44</x:v>
      </x:c>
      <x:c r="J758" s="25" t="n">
        <x:v>19</x:v>
      </x:c>
      <x:c r="K758" s="25" t="str">
        <x:v>仅装备原始基础值决定主属性范围</x:v>
      </x:c>
    </x:row>
    <x:row r="759">
      <x:c r="A759" s="25" t="str">
        <x:v>C06-X</x:v>
      </x:c>
      <x:c r="B759" s="25" t="str">
        <x:v>盖利德</x:v>
      </x:c>
      <x:c r="C759" s="25" t="str">
        <x:v>极端压力</x:v>
      </x:c>
      <x:c r="D759" s="25" t="n">
        <x:v>4</x:v>
      </x:c>
      <x:c r="E759" s="25" t="n">
        <x:v>150</x:v>
      </x:c>
      <x:c r="F759" s="25" t="str">
        <x:v>伊弗腐冠</x:v>
      </x:c>
      <x:c r="G759" s="25" t="n">
        <x:v>4</x:v>
      </x:c>
      <x:c r="H759" s="25" t="str">
        <x:v>致命一击</x:v>
      </x:c>
      <x:c r="I759" s="25" t="n">
        <x:v>1</x:v>
      </x:c>
      <x:c r="J759" s="25" t="n">
        <x:v>16</x:v>
      </x:c>
      <x:c r="K759" s="25" t="str">
        <x:v>仅装备原始基础值决定主属性范围</x:v>
      </x:c>
    </x:row>
    <x:row r="760">
      <x:c r="A760" s="25" t="str">
        <x:v>C06-X</x:v>
      </x:c>
      <x:c r="B760" s="25" t="str">
        <x:v>盖利德</x:v>
      </x:c>
      <x:c r="C760" s="25" t="str">
        <x:v>极端压力</x:v>
      </x:c>
      <x:c r="D760" s="25" t="n">
        <x:v>4</x:v>
      </x:c>
      <x:c r="E760" s="25" t="n">
        <x:v>150</x:v>
      </x:c>
      <x:c r="F760" s="25" t="str">
        <x:v>伊弗腐冠</x:v>
      </x:c>
      <x:c r="G760" s="25" t="n">
        <x:v>5</x:v>
      </x:c>
      <x:c r="H760" s="25" t="str">
        <x:v>吸血</x:v>
      </x:c>
      <x:c r="I760" s="25" t="n">
        <x:v>2</x:v>
      </x:c>
      <x:c r="J760" s="25" t="n">
        <x:v>21</x:v>
      </x:c>
      <x:c r="K760" s="25" t="str">
        <x:v>仅装备原始基础值决定主属性范围</x:v>
      </x:c>
    </x:row>
    <x:row r="761">
      <x:c r="A761" s="25" t="str">
        <x:v>C06-X</x:v>
      </x:c>
      <x:c r="B761" s="25" t="str">
        <x:v>盖利德</x:v>
      </x:c>
      <x:c r="C761" s="25" t="str">
        <x:v>极端压力</x:v>
      </x:c>
      <x:c r="D761" s="25" t="n">
        <x:v>5</x:v>
      </x:c>
      <x:c r="E761" s="25" t="n">
        <x:v>166</x:v>
      </x:c>
      <x:c r="F761" s="25" t="str">
        <x:v>龙火刑腕</x:v>
      </x:c>
      <x:c r="G761" s="25" t="n">
        <x:v>1</x:v>
      </x:c>
      <x:c r="H761" s="25" t="str">
        <x:v>攻击加成</x:v>
      </x:c>
      <x:c r="I761" s="25" t="n">
        <x:v>1</x:v>
      </x:c>
      <x:c r="J761" s="25" t="n">
        <x:v>18</x:v>
      </x:c>
      <x:c r="K761" s="25" t="str">
        <x:v>仅装备原始基础值决定主属性范围</x:v>
      </x:c>
    </x:row>
    <x:row r="762">
      <x:c r="A762" s="25" t="str">
        <x:v>C06-X</x:v>
      </x:c>
      <x:c r="B762" s="25" t="str">
        <x:v>盖利德</x:v>
      </x:c>
      <x:c r="C762" s="25" t="str">
        <x:v>极端压力</x:v>
      </x:c>
      <x:c r="D762" s="25" t="n">
        <x:v>5</x:v>
      </x:c>
      <x:c r="E762" s="25" t="n">
        <x:v>166</x:v>
      </x:c>
      <x:c r="F762" s="25" t="str">
        <x:v>龙火刑腕</x:v>
      </x:c>
      <x:c r="G762" s="25" t="n">
        <x:v>2</x:v>
      </x:c>
      <x:c r="H762" s="25" t="str">
        <x:v>暴击</x:v>
      </x:c>
      <x:c r="I762" s="25" t="n">
        <x:v>1</x:v>
      </x:c>
      <x:c r="J762" s="25" t="n">
        <x:v>14</x:v>
      </x:c>
      <x:c r="K762" s="25" t="str">
        <x:v>仅装备原始基础值决定主属性范围</x:v>
      </x:c>
    </x:row>
    <x:row r="763">
      <x:c r="A763" s="25" t="str">
        <x:v>C06-X</x:v>
      </x:c>
      <x:c r="B763" s="25" t="str">
        <x:v>盖利德</x:v>
      </x:c>
      <x:c r="C763" s="25" t="str">
        <x:v>极端压力</x:v>
      </x:c>
      <x:c r="D763" s="25" t="n">
        <x:v>5</x:v>
      </x:c>
      <x:c r="E763" s="25" t="n">
        <x:v>166</x:v>
      </x:c>
      <x:c r="F763" s="25" t="str">
        <x:v>龙火刑腕</x:v>
      </x:c>
      <x:c r="G763" s="25" t="n">
        <x:v>3</x:v>
      </x:c>
      <x:c r="H763" s="25" t="str">
        <x:v>攻击加成</x:v>
      </x:c>
      <x:c r="I763" s="25" t="n">
        <x:v>41</x:v>
      </x:c>
      <x:c r="J763" s="25" t="n">
        <x:v>19</x:v>
      </x:c>
      <x:c r="K763" s="25" t="str">
        <x:v>仅装备原始基础值决定主属性范围</x:v>
      </x:c>
    </x:row>
    <x:row r="764">
      <x:c r="A764" s="25" t="str">
        <x:v>C06-X</x:v>
      </x:c>
      <x:c r="B764" s="25" t="str">
        <x:v>盖利德</x:v>
      </x:c>
      <x:c r="C764" s="25" t="str">
        <x:v>极端压力</x:v>
      </x:c>
      <x:c r="D764" s="25" t="n">
        <x:v>5</x:v>
      </x:c>
      <x:c r="E764" s="25" t="n">
        <x:v>166</x:v>
      </x:c>
      <x:c r="F764" s="25" t="str">
        <x:v>龙火刑腕</x:v>
      </x:c>
      <x:c r="G764" s="25" t="n">
        <x:v>4</x:v>
      </x:c>
      <x:c r="H764" s="25" t="str">
        <x:v>攻击</x:v>
      </x:c>
      <x:c r="I764" s="25" t="n">
        <x:v>912</x:v>
      </x:c>
      <x:c r="J764" s="25" t="n">
        <x:v>1</x:v>
      </x:c>
      <x:c r="K764" s="25" t="str">
        <x:v>仅装备原始基础值决定主属性范围</x:v>
      </x:c>
    </x:row>
    <x:row r="765">
      <x:c r="A765" s="25" t="str">
        <x:v>C06-X</x:v>
      </x:c>
      <x:c r="B765" s="25" t="str">
        <x:v>盖利德</x:v>
      </x:c>
      <x:c r="C765" s="25" t="str">
        <x:v>极端压力</x:v>
      </x:c>
      <x:c r="D765" s="25" t="n">
        <x:v>6</x:v>
      </x:c>
      <x:c r="E765" s="25" t="n">
        <x:v>146</x:v>
      </x:c>
      <x:c r="F765" s="25" t="str">
        <x:v>烬鳞护腕</x:v>
      </x:c>
      <x:c r="G765" s="25" t="n">
        <x:v>1</x:v>
      </x:c>
      <x:c r="H765" s="25" t="str">
        <x:v>攻击加成</x:v>
      </x:c>
      <x:c r="I765" s="25" t="n">
        <x:v>43</x:v>
      </x:c>
      <x:c r="J765" s="25" t="n">
        <x:v>19</x:v>
      </x:c>
      <x:c r="K765" s="25" t="str">
        <x:v>仅装备原始基础值决定主属性范围</x:v>
      </x:c>
    </x:row>
    <x:row r="766">
      <x:c r="A766" s="25" t="str">
        <x:v>C06-X</x:v>
      </x:c>
      <x:c r="B766" s="25" t="str">
        <x:v>盖利德</x:v>
      </x:c>
      <x:c r="C766" s="25" t="str">
        <x:v>极端压力</x:v>
      </x:c>
      <x:c r="D766" s="25" t="n">
        <x:v>6</x:v>
      </x:c>
      <x:c r="E766" s="25" t="n">
        <x:v>146</x:v>
      </x:c>
      <x:c r="F766" s="25" t="str">
        <x:v>烬鳞护腕</x:v>
      </x:c>
      <x:c r="G766" s="25" t="n">
        <x:v>2</x:v>
      </x:c>
      <x:c r="H766" s="25" t="str">
        <x:v>韧性</x:v>
      </x:c>
      <x:c r="I766" s="25" t="n">
        <x:v>20</x:v>
      </x:c>
      <x:c r="J766" s="25" t="n">
        <x:v>13</x:v>
      </x:c>
      <x:c r="K766" s="25" t="str">
        <x:v>仅装备原始基础值决定主属性范围</x:v>
      </x:c>
    </x:row>
    <x:row r="767">
      <x:c r="A767" s="25" t="str">
        <x:v>C06-X</x:v>
      </x:c>
      <x:c r="B767" s="25" t="str">
        <x:v>盖利德</x:v>
      </x:c>
      <x:c r="C767" s="25" t="str">
        <x:v>极端压力</x:v>
      </x:c>
      <x:c r="D767" s="25" t="n">
        <x:v>6</x:v>
      </x:c>
      <x:c r="E767" s="25" t="n">
        <x:v>146</x:v>
      </x:c>
      <x:c r="F767" s="25" t="str">
        <x:v>烬鳞护腕</x:v>
      </x:c>
      <x:c r="G767" s="25" t="n">
        <x:v>3</x:v>
      </x:c>
      <x:c r="H767" s="25" t="str">
        <x:v>韧性</x:v>
      </x:c>
      <x:c r="I767" s="25" t="n">
        <x:v>20</x:v>
      </x:c>
      <x:c r="J767" s="25" t="n">
        <x:v>13</x:v>
      </x:c>
      <x:c r="K767" s="25" t="str">
        <x:v>仅装备原始基础值决定主属性范围</x:v>
      </x:c>
    </x:row>
    <x:row r="768">
      <x:c r="A768" s="25" t="str">
        <x:v>C06-X</x:v>
      </x:c>
      <x:c r="B768" s="25" t="str">
        <x:v>盖利德</x:v>
      </x:c>
      <x:c r="C768" s="25" t="str">
        <x:v>极端压力</x:v>
      </x:c>
      <x:c r="D768" s="25" t="n">
        <x:v>6</x:v>
      </x:c>
      <x:c r="E768" s="25" t="n">
        <x:v>146</x:v>
      </x:c>
      <x:c r="F768" s="25" t="str">
        <x:v>烬鳞护腕</x:v>
      </x:c>
      <x:c r="G768" s="25" t="n">
        <x:v>4</x:v>
      </x:c>
      <x:c r="H768" s="25" t="str">
        <x:v>攻击加成</x:v>
      </x:c>
      <x:c r="I768" s="25" t="n">
        <x:v>21</x:v>
      </x:c>
      <x:c r="J768" s="25" t="n">
        <x:v>18</x:v>
      </x:c>
      <x:c r="K768" s="25" t="str">
        <x:v>仅装备原始基础值决定主属性范围</x:v>
      </x:c>
    </x:row>
    <x:row r="769">
      <x:c r="A769" s="25" t="str">
        <x:v>C06-X</x:v>
      </x:c>
      <x:c r="B769" s="25" t="str">
        <x:v>盖利德</x:v>
      </x:c>
      <x:c r="C769" s="25" t="str">
        <x:v>极端压力</x:v>
      </x:c>
      <x:c r="D769" s="25" t="n">
        <x:v>6</x:v>
      </x:c>
      <x:c r="E769" s="25" t="n">
        <x:v>146</x:v>
      </x:c>
      <x:c r="F769" s="25" t="str">
        <x:v>烬鳞护腕</x:v>
      </x:c>
      <x:c r="G769" s="25" t="n">
        <x:v>5</x:v>
      </x:c>
      <x:c r="H769" s="25" t="str">
        <x:v>攻击加成</x:v>
      </x:c>
      <x:c r="I769" s="25" t="n">
        <x:v>42</x:v>
      </x:c>
      <x:c r="J769" s="25" t="n">
        <x:v>19</x:v>
      </x:c>
      <x:c r="K769" s="25" t="str">
        <x:v>仅装备原始基础值决定主属性范围</x:v>
      </x:c>
    </x:row>
    <x:row r="770">
      <x:c r="A770" s="25" t="str">
        <x:v>C06-X</x:v>
      </x:c>
      <x:c r="B770" s="25" t="str">
        <x:v>盖利德</x:v>
      </x:c>
      <x:c r="C770" s="25" t="str">
        <x:v>极端压力</x:v>
      </x:c>
      <x:c r="D770" s="25" t="n">
        <x:v>7</x:v>
      </x:c>
      <x:c r="E770" s="25" t="n">
        <x:v>147</x:v>
      </x:c>
      <x:c r="F770" s="25" t="str">
        <x:v>熔喉牙戒</x:v>
      </x:c>
      <x:c r="G770" s="25" t="n">
        <x:v>1</x:v>
      </x:c>
      <x:c r="H770" s="25" t="str">
        <x:v>处决概率</x:v>
      </x:c>
      <x:c r="I770" s="25" t="n">
        <x:v>1</x:v>
      </x:c>
      <x:c r="J770" s="25" t="n">
        <x:v>6</x:v>
      </x:c>
      <x:c r="K770" s="25" t="str">
        <x:v>仅装备原始基础值决定主属性范围</x:v>
      </x:c>
    </x:row>
    <x:row r="771">
      <x:c r="A771" s="25" t="str">
        <x:v>C06-X</x:v>
      </x:c>
      <x:c r="B771" s="25" t="str">
        <x:v>盖利德</x:v>
      </x:c>
      <x:c r="C771" s="25" t="str">
        <x:v>极端压力</x:v>
      </x:c>
      <x:c r="D771" s="25" t="n">
        <x:v>7</x:v>
      </x:c>
      <x:c r="E771" s="25" t="n">
        <x:v>147</x:v>
      </x:c>
      <x:c r="F771" s="25" t="str">
        <x:v>熔喉牙戒</x:v>
      </x:c>
      <x:c r="G771" s="25" t="n">
        <x:v>2</x:v>
      </x:c>
      <x:c r="H771" s="25" t="str">
        <x:v>攻击加成</x:v>
      </x:c>
      <x:c r="I771" s="25" t="n">
        <x:v>49</x:v>
      </x:c>
      <x:c r="J771" s="25" t="n">
        <x:v>19</x:v>
      </x:c>
      <x:c r="K771" s="25" t="str">
        <x:v>仅装备原始基础值决定主属性范围</x:v>
      </x:c>
    </x:row>
    <x:row r="772">
      <x:c r="A772" s="25" t="str">
        <x:v>C06-X</x:v>
      </x:c>
      <x:c r="B772" s="25" t="str">
        <x:v>盖利德</x:v>
      </x:c>
      <x:c r="C772" s="25" t="str">
        <x:v>极端压力</x:v>
      </x:c>
      <x:c r="D772" s="25" t="n">
        <x:v>7</x:v>
      </x:c>
      <x:c r="E772" s="25" t="n">
        <x:v>147</x:v>
      </x:c>
      <x:c r="F772" s="25" t="str">
        <x:v>熔喉牙戒</x:v>
      </x:c>
      <x:c r="G772" s="25" t="n">
        <x:v>3</x:v>
      </x:c>
      <x:c r="H772" s="25" t="str">
        <x:v>暴击</x:v>
      </x:c>
      <x:c r="I772" s="25" t="n">
        <x:v>1</x:v>
      </x:c>
      <x:c r="J772" s="25" t="n">
        <x:v>14</x:v>
      </x:c>
      <x:c r="K772" s="25" t="str">
        <x:v>仅装备原始基础值决定主属性范围</x:v>
      </x:c>
    </x:row>
    <x:row r="773">
      <x:c r="A773" s="25" t="str">
        <x:v>C06-X</x:v>
      </x:c>
      <x:c r="B773" s="25" t="str">
        <x:v>盖利德</x:v>
      </x:c>
      <x:c r="C773" s="25" t="str">
        <x:v>极端压力</x:v>
      </x:c>
      <x:c r="D773" s="25" t="n">
        <x:v>7</x:v>
      </x:c>
      <x:c r="E773" s="25" t="n">
        <x:v>147</x:v>
      </x:c>
      <x:c r="F773" s="25" t="str">
        <x:v>熔喉牙戒</x:v>
      </x:c>
      <x:c r="G773" s="25" t="n">
        <x:v>4</x:v>
      </x:c>
      <x:c r="H773" s="25" t="str">
        <x:v>攻击加成</x:v>
      </x:c>
      <x:c r="I773" s="25" t="n">
        <x:v>38</x:v>
      </x:c>
      <x:c r="J773" s="25" t="n">
        <x:v>19</x:v>
      </x:c>
      <x:c r="K773" s="25" t="str">
        <x:v>仅装备原始基础值决定主属性范围</x:v>
      </x:c>
    </x:row>
    <x:row r="774">
      <x:c r="A774" s="25" t="str">
        <x:v>C06-X</x:v>
      </x:c>
      <x:c r="B774" s="25" t="str">
        <x:v>盖利德</x:v>
      </x:c>
      <x:c r="C774" s="25" t="str">
        <x:v>极端压力</x:v>
      </x:c>
      <x:c r="D774" s="25" t="n">
        <x:v>7</x:v>
      </x:c>
      <x:c r="E774" s="25" t="n">
        <x:v>147</x:v>
      </x:c>
      <x:c r="F774" s="25" t="str">
        <x:v>熔喉牙戒</x:v>
      </x:c>
      <x:c r="G774" s="25" t="n">
        <x:v>5</x:v>
      </x:c>
      <x:c r="H774" s="25" t="str">
        <x:v>处决伤害</x:v>
      </x:c>
      <x:c r="I774" s="25" t="n">
        <x:v>2</x:v>
      </x:c>
      <x:c r="J774" s="25" t="n">
        <x:v>11</x:v>
      </x:c>
      <x:c r="K774" s="25" t="str">
        <x:v>仅装备原始基础值决定主属性范围</x:v>
      </x:c>
    </x:row>
    <x:row r="775">
      <x:c r="A775" s="25" t="str">
        <x:v>C06-X</x:v>
      </x:c>
      <x:c r="B775" s="25" t="str">
        <x:v>盖利德</x:v>
      </x:c>
      <x:c r="C775" s="25" t="str">
        <x:v>极端压力</x:v>
      </x:c>
      <x:c r="D775" s="25" t="n">
        <x:v>8</x:v>
      </x:c>
      <x:c r="E775" s="25" t="n">
        <x:v>148</x:v>
      </x:c>
      <x:c r="F775" s="25" t="str">
        <x:v>熔喉牙戒</x:v>
      </x:c>
      <x:c r="G775" s="25" t="n">
        <x:v>1</x:v>
      </x:c>
      <x:c r="H775" s="25" t="str">
        <x:v>致命一击</x:v>
      </x:c>
      <x:c r="I775" s="25" t="n">
        <x:v>1</x:v>
      </x:c>
      <x:c r="J775" s="25" t="n">
        <x:v>16</x:v>
      </x:c>
      <x:c r="K775" s="25" t="str">
        <x:v>仅装备原始基础值决定主属性范围</x:v>
      </x:c>
    </x:row>
    <x:row r="776">
      <x:c r="A776" s="25" t="str">
        <x:v>C06-X</x:v>
      </x:c>
      <x:c r="B776" s="25" t="str">
        <x:v>盖利德</x:v>
      </x:c>
      <x:c r="C776" s="25" t="str">
        <x:v>极端压力</x:v>
      </x:c>
      <x:c r="D776" s="25" t="n">
        <x:v>8</x:v>
      </x:c>
      <x:c r="E776" s="25" t="n">
        <x:v>148</x:v>
      </x:c>
      <x:c r="F776" s="25" t="str">
        <x:v>熔喉牙戒</x:v>
      </x:c>
      <x:c r="G776" s="25" t="n">
        <x:v>2</x:v>
      </x:c>
      <x:c r="H776" s="25" t="str">
        <x:v>攻击加成</x:v>
      </x:c>
      <x:c r="I776" s="25" t="n">
        <x:v>44</x:v>
      </x:c>
      <x:c r="J776" s="25" t="n">
        <x:v>19</x:v>
      </x:c>
      <x:c r="K776" s="25" t="str">
        <x:v>仅装备原始基础值决定主属性范围</x:v>
      </x:c>
    </x:row>
    <x:row r="777">
      <x:c r="A777" s="25" t="str">
        <x:v>C06-X</x:v>
      </x:c>
      <x:c r="B777" s="25" t="str">
        <x:v>盖利德</x:v>
      </x:c>
      <x:c r="C777" s="25" t="str">
        <x:v>极端压力</x:v>
      </x:c>
      <x:c r="D777" s="25" t="n">
        <x:v>8</x:v>
      </x:c>
      <x:c r="E777" s="25" t="n">
        <x:v>148</x:v>
      </x:c>
      <x:c r="F777" s="25" t="str">
        <x:v>熔喉牙戒</x:v>
      </x:c>
      <x:c r="G777" s="25" t="n">
        <x:v>3</x:v>
      </x:c>
      <x:c r="H777" s="25" t="str">
        <x:v>伤害吸收上限</x:v>
      </x:c>
      <x:c r="I777" s="25" t="n">
        <x:v>1</x:v>
      </x:c>
      <x:c r="J777" s="25" t="n">
        <x:v>28</x:v>
      </x:c>
      <x:c r="K777" s="25" t="str">
        <x:v>仅装备原始基础值决定主属性范围</x:v>
      </x:c>
    </x:row>
    <x:row r="778">
      <x:c r="A778" s="25" t="str">
        <x:v>C06-X</x:v>
      </x:c>
      <x:c r="B778" s="25" t="str">
        <x:v>盖利德</x:v>
      </x:c>
      <x:c r="C778" s="25" t="str">
        <x:v>极端压力</x:v>
      </x:c>
      <x:c r="D778" s="25" t="n">
        <x:v>8</x:v>
      </x:c>
      <x:c r="E778" s="25" t="n">
        <x:v>148</x:v>
      </x:c>
      <x:c r="F778" s="25" t="str">
        <x:v>熔喉牙戒</x:v>
      </x:c>
      <x:c r="G778" s="25" t="n">
        <x:v>4</x:v>
      </x:c>
      <x:c r="H778" s="25" t="str">
        <x:v>攻击</x:v>
      </x:c>
      <x:c r="I778" s="25" t="n">
        <x:v>197</x:v>
      </x:c>
      <x:c r="J778" s="25" t="n">
        <x:v>1</x:v>
      </x:c>
      <x:c r="K778" s="25" t="str">
        <x:v>仅装备原始基础值决定主属性范围</x:v>
      </x:c>
    </x:row>
    <x:row r="779">
      <x:c r="A779" s="25" t="str">
        <x:v>C06-X</x:v>
      </x:c>
      <x:c r="B779" s="25" t="str">
        <x:v>盖利德</x:v>
      </x:c>
      <x:c r="C779" s="25" t="str">
        <x:v>极端压力</x:v>
      </x:c>
      <x:c r="D779" s="25" t="n">
        <x:v>8</x:v>
      </x:c>
      <x:c r="E779" s="25" t="n">
        <x:v>148</x:v>
      </x:c>
      <x:c r="F779" s="25" t="str">
        <x:v>熔喉牙戒</x:v>
      </x:c>
      <x:c r="G779" s="25" t="n">
        <x:v>5</x:v>
      </x:c>
      <x:c r="H779" s="25" t="str">
        <x:v>最大爆率</x:v>
      </x:c>
      <x:c r="I779" s="25" t="n">
        <x:v>1</x:v>
      </x:c>
      <x:c r="J779" s="25" t="n">
        <x:v>22</x:v>
      </x:c>
      <x:c r="K779" s="25" t="str">
        <x:v>仅装备原始基础值决定主属性范围</x:v>
      </x:c>
    </x:row>
    <x:row r="780">
      <x:c r="A780" s="25" t="str">
        <x:v>C06-X</x:v>
      </x:c>
      <x:c r="B780" s="25" t="str">
        <x:v>盖利德</x:v>
      </x:c>
      <x:c r="C780" s="25" t="str">
        <x:v>极端压力</x:v>
      </x:c>
      <x:c r="D780" s="25" t="n">
        <x:v>10</x:v>
      </x:c>
      <x:c r="E780" s="25" t="n">
        <x:v>151</x:v>
      </x:c>
      <x:c r="F780" s="25" t="str">
        <x:v>斩翼腰封</x:v>
      </x:c>
      <x:c r="G780" s="25" t="n">
        <x:v>1</x:v>
      </x:c>
      <x:c r="H780" s="25" t="str">
        <x:v>攻击加成</x:v>
      </x:c>
      <x:c r="I780" s="25" t="n">
        <x:v>30</x:v>
      </x:c>
      <x:c r="J780" s="25" t="n">
        <x:v>18</x:v>
      </x:c>
      <x:c r="K780" s="25" t="str">
        <x:v>仅装备原始基础值决定主属性范围</x:v>
      </x:c>
    </x:row>
    <x:row r="781">
      <x:c r="A781" s="25" t="str">
        <x:v>C06-X</x:v>
      </x:c>
      <x:c r="B781" s="25" t="str">
        <x:v>盖利德</x:v>
      </x:c>
      <x:c r="C781" s="25" t="str">
        <x:v>极端压力</x:v>
      </x:c>
      <x:c r="D781" s="25" t="n">
        <x:v>10</x:v>
      </x:c>
      <x:c r="E781" s="25" t="n">
        <x:v>151</x:v>
      </x:c>
      <x:c r="F781" s="25" t="str">
        <x:v>斩翼腰封</x:v>
      </x:c>
      <x:c r="G781" s="25" t="n">
        <x:v>2</x:v>
      </x:c>
      <x:c r="H781" s="25" t="str">
        <x:v>攻击加成</x:v>
      </x:c>
      <x:c r="I781" s="25" t="n">
        <x:v>48</x:v>
      </x:c>
      <x:c r="J781" s="25" t="n">
        <x:v>19</x:v>
      </x:c>
      <x:c r="K781" s="25" t="str">
        <x:v>仅装备原始基础值决定主属性范围</x:v>
      </x:c>
    </x:row>
    <x:row r="782">
      <x:c r="A782" s="25" t="str">
        <x:v>C06-X</x:v>
      </x:c>
      <x:c r="B782" s="25" t="str">
        <x:v>盖利德</x:v>
      </x:c>
      <x:c r="C782" s="25" t="str">
        <x:v>极端压力</x:v>
      </x:c>
      <x:c r="D782" s="25" t="n">
        <x:v>10</x:v>
      </x:c>
      <x:c r="E782" s="25" t="n">
        <x:v>151</x:v>
      </x:c>
      <x:c r="F782" s="25" t="str">
        <x:v>斩翼腰封</x:v>
      </x:c>
      <x:c r="G782" s="25" t="n">
        <x:v>3</x:v>
      </x:c>
      <x:c r="H782" s="25" t="str">
        <x:v>魔法</x:v>
      </x:c>
      <x:c r="I782" s="25" t="n">
        <x:v>195</x:v>
      </x:c>
      <x:c r="J782" s="25" t="n">
        <x:v>2</x:v>
      </x:c>
      <x:c r="K782" s="25" t="str">
        <x:v>仅装备原始基础值决定主属性范围</x:v>
      </x:c>
    </x:row>
    <x:row r="783">
      <x:c r="A783" s="25" t="str">
        <x:v>C06-X</x:v>
      </x:c>
      <x:c r="B783" s="25" t="str">
        <x:v>盖利德</x:v>
      </x:c>
      <x:c r="C783" s="25" t="str">
        <x:v>极端压力</x:v>
      </x:c>
      <x:c r="D783" s="25" t="n">
        <x:v>10</x:v>
      </x:c>
      <x:c r="E783" s="25" t="n">
        <x:v>151</x:v>
      </x:c>
      <x:c r="F783" s="25" t="str">
        <x:v>斩翼腰封</x:v>
      </x:c>
      <x:c r="G783" s="25" t="n">
        <x:v>4</x:v>
      </x:c>
      <x:c r="H783" s="25" t="str">
        <x:v>处决概率</x:v>
      </x:c>
      <x:c r="I783" s="25" t="n">
        <x:v>1</x:v>
      </x:c>
      <x:c r="J783" s="25" t="n">
        <x:v>6</x:v>
      </x:c>
      <x:c r="K783" s="25" t="str">
        <x:v>仅装备原始基础值决定主属性范围</x:v>
      </x:c>
    </x:row>
    <x:row r="784">
      <x:c r="A784" s="25" t="str">
        <x:v>C06-X</x:v>
      </x:c>
      <x:c r="B784" s="25" t="str">
        <x:v>盖利德</x:v>
      </x:c>
      <x:c r="C784" s="25" t="str">
        <x:v>极端压力</x:v>
      </x:c>
      <x:c r="D784" s="25" t="n">
        <x:v>10</x:v>
      </x:c>
      <x:c r="E784" s="25" t="n">
        <x:v>151</x:v>
      </x:c>
      <x:c r="F784" s="25" t="str">
        <x:v>斩翼腰封</x:v>
      </x:c>
      <x:c r="G784" s="25" t="n">
        <x:v>5</x:v>
      </x:c>
      <x:c r="H784" s="25" t="str">
        <x:v>处决概率</x:v>
      </x:c>
      <x:c r="I784" s="25" t="n">
        <x:v>1</x:v>
      </x:c>
      <x:c r="J784" s="25" t="n">
        <x:v>6</x:v>
      </x:c>
      <x:c r="K784" s="25" t="str">
        <x:v>仅装备原始基础值决定主属性范围</x:v>
      </x:c>
    </x:row>
    <x:row r="785">
      <x:c r="A785" s="25" t="str">
        <x:v>C06-X</x:v>
      </x:c>
      <x:c r="B785" s="25" t="str">
        <x:v>盖利德</x:v>
      </x:c>
      <x:c r="C785" s="25" t="str">
        <x:v>极端压力</x:v>
      </x:c>
      <x:c r="D785" s="25" t="n">
        <x:v>11</x:v>
      </x:c>
      <x:c r="E785" s="25" t="n">
        <x:v>90</x:v>
      </x:c>
      <x:c r="F785" s="25" t="str">
        <x:v>逐风征靴</x:v>
      </x:c>
      <x:c r="G785" s="25" t="n">
        <x:v>1</x:v>
      </x:c>
      <x:c r="H785" s="25" t="str">
        <x:v>致命一击</x:v>
      </x:c>
      <x:c r="I785" s="25" t="n">
        <x:v>1</x:v>
      </x:c>
      <x:c r="J785" s="25" t="n">
        <x:v>16</x:v>
      </x:c>
      <x:c r="K785" s="25" t="str">
        <x:v>仅装备原始基础值决定主属性范围</x:v>
      </x:c>
    </x:row>
    <x:row r="786">
      <x:c r="A786" s="25" t="str">
        <x:v>C06-X</x:v>
      </x:c>
      <x:c r="B786" s="25" t="str">
        <x:v>盖利德</x:v>
      </x:c>
      <x:c r="C786" s="25" t="str">
        <x:v>极端压力</x:v>
      </x:c>
      <x:c r="D786" s="25" t="n">
        <x:v>11</x:v>
      </x:c>
      <x:c r="E786" s="25" t="n">
        <x:v>90</x:v>
      </x:c>
      <x:c r="F786" s="25" t="str">
        <x:v>逐风征靴</x:v>
      </x:c>
      <x:c r="G786" s="25" t="n">
        <x:v>2</x:v>
      </x:c>
      <x:c r="H786" s="25" t="str">
        <x:v>攻击加成</x:v>
      </x:c>
      <x:c r="I786" s="25" t="n">
        <x:v>41</x:v>
      </x:c>
      <x:c r="J786" s="25" t="n">
        <x:v>19</x:v>
      </x:c>
      <x:c r="K786" s="25" t="str">
        <x:v>仅装备原始基础值决定主属性范围</x:v>
      </x:c>
    </x:row>
    <x:row r="787">
      <x:c r="A787" s="25" t="str">
        <x:v>C06-X</x:v>
      </x:c>
      <x:c r="B787" s="25" t="str">
        <x:v>盖利德</x:v>
      </x:c>
      <x:c r="C787" s="25" t="str">
        <x:v>极端压力</x:v>
      </x:c>
      <x:c r="D787" s="25" t="n">
        <x:v>11</x:v>
      </x:c>
      <x:c r="E787" s="25" t="n">
        <x:v>90</x:v>
      </x:c>
      <x:c r="F787" s="25" t="str">
        <x:v>逐风征靴</x:v>
      </x:c>
      <x:c r="G787" s="25" t="n">
        <x:v>3</x:v>
      </x:c>
      <x:c r="H787" s="25" t="str">
        <x:v>处决概率</x:v>
      </x:c>
      <x:c r="I787" s="25" t="n">
        <x:v>1</x:v>
      </x:c>
      <x:c r="J787" s="25" t="n">
        <x:v>6</x:v>
      </x:c>
      <x:c r="K787" s="25" t="str">
        <x:v>仅装备原始基础值决定主属性范围</x:v>
      </x:c>
    </x:row>
    <x:row r="788">
      <x:c r="A788" s="25" t="str">
        <x:v>C06-X</x:v>
      </x:c>
      <x:c r="B788" s="25" t="str">
        <x:v>盖利德</x:v>
      </x:c>
      <x:c r="C788" s="25" t="str">
        <x:v>极端压力</x:v>
      </x:c>
      <x:c r="D788" s="25" t="n">
        <x:v>11</x:v>
      </x:c>
      <x:c r="E788" s="25" t="n">
        <x:v>90</x:v>
      </x:c>
      <x:c r="F788" s="25" t="str">
        <x:v>逐风征靴</x:v>
      </x:c>
      <x:c r="G788" s="25" t="n">
        <x:v>4</x:v>
      </x:c>
      <x:c r="H788" s="25" t="str">
        <x:v>攻击加成</x:v>
      </x:c>
      <x:c r="I788" s="25" t="n">
        <x:v>20</x:v>
      </x:c>
      <x:c r="J788" s="25" t="n">
        <x:v>18</x:v>
      </x:c>
      <x:c r="K788" s="25" t="str">
        <x:v>仅装备原始基础值决定主属性范围</x:v>
      </x:c>
    </x:row>
    <x:row r="789">
      <x:c r="A789" s="25" t="str">
        <x:v>C06-X</x:v>
      </x:c>
      <x:c r="B789" s="25" t="str">
        <x:v>盖利德</x:v>
      </x:c>
      <x:c r="C789" s="25" t="str">
        <x:v>极端压力</x:v>
      </x:c>
      <x:c r="D789" s="25" t="n">
        <x:v>11</x:v>
      </x:c>
      <x:c r="E789" s="25" t="n">
        <x:v>90</x:v>
      </x:c>
      <x:c r="F789" s="25" t="str">
        <x:v>逐风征靴</x:v>
      </x:c>
      <x:c r="G789" s="25" t="n">
        <x:v>5</x:v>
      </x:c>
      <x:c r="H789" s="25" t="str">
        <x:v>吸血</x:v>
      </x:c>
      <x:c r="I789" s="25" t="n">
        <x:v>1</x:v>
      </x:c>
      <x:c r="J789" s="25" t="n">
        <x:v>20</x:v>
      </x:c>
      <x:c r="K789" s="25" t="str">
        <x:v>仅装备原始基础值决定主属性范围</x:v>
      </x:c>
    </x:row>
    <x:row r="790">
      <x:c r="A790" s="25" t="str">
        <x:v>C06-X</x:v>
      </x:c>
      <x:c r="B790" s="25" t="str">
        <x:v>盖利德</x:v>
      </x:c>
      <x:c r="C790" s="25" t="str">
        <x:v>极端压力</x:v>
      </x:c>
      <x:c r="D790" s="25" t="n">
        <x:v>11</x:v>
      </x:c>
      <x:c r="E790" s="25" t="n">
        <x:v>90</x:v>
      </x:c>
      <x:c r="F790" s="25" t="str">
        <x:v>逐风征靴</x:v>
      </x:c>
      <x:c r="G790" s="25" t="n">
        <x:v>6</x:v>
      </x:c>
      <x:c r="H790" s="25" t="str">
        <x:v>攻击加成</x:v>
      </x:c>
      <x:c r="I790" s="25" t="n">
        <x:v>11</x:v>
      </x:c>
      <x:c r="J790" s="25" t="n">
        <x:v>18</x:v>
      </x:c>
      <x:c r="K790" s="25" t="str">
        <x:v>仅装备原始基础值决定主属性范围</x:v>
      </x:c>
    </x:row>
    <x:row r="791">
      <x:c r="A791" s="25" t="str">
        <x:v>C07-E</x:v>
      </x:c>
      <x:c r="B791" s="25" t="str">
        <x:v>化圣雪原</x:v>
      </x:c>
      <x:c r="C791" s="25" t="str">
        <x:v>半急速入场</x:v>
      </x:c>
      <x:c r="D791" s="25" t="n">
        <x:v>0</x:v>
      </x:c>
      <x:c r="E791" s="25" t="n">
        <x:v>129</x:v>
      </x:c>
      <x:c r="F791" s="25" t="str">
        <x:v>静潮祷仪袍</x:v>
      </x:c>
      <x:c r="G791" s="25" t="n">
        <x:v>1</x:v>
      </x:c>
      <x:c r="H791" s="25" t="str">
        <x:v>魔法</x:v>
      </x:c>
      <x:c r="I791" s="25" t="n">
        <x:v>108</x:v>
      </x:c>
      <x:c r="J791" s="25" t="n">
        <x:v>2</x:v>
      </x:c>
      <x:c r="K791" s="25" t="str">
        <x:v>仅装备原始基础值决定主属性范围</x:v>
      </x:c>
    </x:row>
    <x:row r="792">
      <x:c r="A792" s="25" t="str">
        <x:v>C07-E</x:v>
      </x:c>
      <x:c r="B792" s="25" t="str">
        <x:v>化圣雪原</x:v>
      </x:c>
      <x:c r="C792" s="25" t="str">
        <x:v>半急速入场</x:v>
      </x:c>
      <x:c r="D792" s="25" t="n">
        <x:v>0</x:v>
      </x:c>
      <x:c r="E792" s="25" t="n">
        <x:v>129</x:v>
      </x:c>
      <x:c r="F792" s="25" t="str">
        <x:v>静潮祷仪袍</x:v>
      </x:c>
      <x:c r="G792" s="25" t="n">
        <x:v>2</x:v>
      </x:c>
      <x:c r="H792" s="25" t="str">
        <x:v>攻击加成</x:v>
      </x:c>
      <x:c r="I792" s="25" t="n">
        <x:v>31</x:v>
      </x:c>
      <x:c r="J792" s="25" t="n">
        <x:v>19</x:v>
      </x:c>
      <x:c r="K792" s="25" t="str">
        <x:v>仅装备原始基础值决定主属性范围</x:v>
      </x:c>
    </x:row>
    <x:row r="793">
      <x:c r="A793" s="25" t="str">
        <x:v>C07-E</x:v>
      </x:c>
      <x:c r="B793" s="25" t="str">
        <x:v>化圣雪原</x:v>
      </x:c>
      <x:c r="C793" s="25" t="str">
        <x:v>半急速入场</x:v>
      </x:c>
      <x:c r="D793" s="25" t="n">
        <x:v>0</x:v>
      </x:c>
      <x:c r="E793" s="25" t="n">
        <x:v>129</x:v>
      </x:c>
      <x:c r="F793" s="25" t="str">
        <x:v>静潮祷仪袍</x:v>
      </x:c>
      <x:c r="G793" s="25" t="n">
        <x:v>3</x:v>
      </x:c>
      <x:c r="H793" s="25" t="str">
        <x:v>攻击加成</x:v>
      </x:c>
      <x:c r="I793" s="25" t="n">
        <x:v>34</x:v>
      </x:c>
      <x:c r="J793" s="25" t="n">
        <x:v>19</x:v>
      </x:c>
      <x:c r="K793" s="25" t="str">
        <x:v>仅装备原始基础值决定主属性范围</x:v>
      </x:c>
    </x:row>
    <x:row r="794">
      <x:c r="A794" s="25" t="str">
        <x:v>C07-E</x:v>
      </x:c>
      <x:c r="B794" s="25" t="str">
        <x:v>化圣雪原</x:v>
      </x:c>
      <x:c r="C794" s="25" t="str">
        <x:v>半急速入场</x:v>
      </x:c>
      <x:c r="D794" s="25" t="n">
        <x:v>0</x:v>
      </x:c>
      <x:c r="E794" s="25" t="n">
        <x:v>129</x:v>
      </x:c>
      <x:c r="F794" s="25" t="str">
        <x:v>静潮祷仪袍</x:v>
      </x:c>
      <x:c r="G794" s="25" t="n">
        <x:v>4</x:v>
      </x:c>
      <x:c r="H794" s="25" t="str">
        <x:v>魔法</x:v>
      </x:c>
      <x:c r="I794" s="25" t="n">
        <x:v>175</x:v>
      </x:c>
      <x:c r="J794" s="25" t="n">
        <x:v>2</x:v>
      </x:c>
      <x:c r="K794" s="25" t="str">
        <x:v>仅装备原始基础值决定主属性范围</x:v>
      </x:c>
    </x:row>
    <x:row r="795">
      <x:c r="A795" s="25" t="str">
        <x:v>C07-E</x:v>
      </x:c>
      <x:c r="B795" s="25" t="str">
        <x:v>化圣雪原</x:v>
      </x:c>
      <x:c r="C795" s="25" t="str">
        <x:v>半急速入场</x:v>
      </x:c>
      <x:c r="D795" s="25" t="n">
        <x:v>0</x:v>
      </x:c>
      <x:c r="E795" s="25" t="n">
        <x:v>129</x:v>
      </x:c>
      <x:c r="F795" s="25" t="str">
        <x:v>静潮祷仪袍</x:v>
      </x:c>
      <x:c r="G795" s="25" t="n">
        <x:v>5</x:v>
      </x:c>
      <x:c r="H795" s="25" t="str">
        <x:v>攻击加成</x:v>
      </x:c>
      <x:c r="I795" s="25" t="n">
        <x:v>4</x:v>
      </x:c>
      <x:c r="J795" s="25" t="n">
        <x:v>18</x:v>
      </x:c>
      <x:c r="K795" s="25" t="str">
        <x:v>仅装备原始基础值决定主属性范围</x:v>
      </x:c>
    </x:row>
    <x:row r="796">
      <x:c r="A796" s="25" t="str">
        <x:v>C07-E</x:v>
      </x:c>
      <x:c r="B796" s="25" t="str">
        <x:v>化圣雪原</x:v>
      </x:c>
      <x:c r="C796" s="25" t="str">
        <x:v>半急速入场</x:v>
      </x:c>
      <x:c r="D796" s="25" t="n">
        <x:v>1</x:v>
      </x:c>
      <x:c r="E796" s="25" t="n">
        <x:v>126</x:v>
      </x:c>
      <x:c r="F796" s="25" t="str">
        <x:v>卡利亚月裁长刃</x:v>
      </x:c>
      <x:c r="G796" s="25" t="n">
        <x:v>1</x:v>
      </x:c>
      <x:c r="H796" s="25" t="str">
        <x:v>攻击速度</x:v>
      </x:c>
      <x:c r="I796" s="25" t="n">
        <x:v>1</x:v>
      </x:c>
      <x:c r="J796" s="25" t="n">
        <x:v>4</x:v>
      </x:c>
      <x:c r="K796" s="25" t="str">
        <x:v>仅装备原始基础值决定主属性范围</x:v>
      </x:c>
    </x:row>
    <x:row r="797">
      <x:c r="A797" s="25" t="str">
        <x:v>C07-E</x:v>
      </x:c>
      <x:c r="B797" s="25" t="str">
        <x:v>化圣雪原</x:v>
      </x:c>
      <x:c r="C797" s="25" t="str">
        <x:v>半急速入场</x:v>
      </x:c>
      <x:c r="D797" s="25" t="n">
        <x:v>1</x:v>
      </x:c>
      <x:c r="E797" s="25" t="n">
        <x:v>126</x:v>
      </x:c>
      <x:c r="F797" s="25" t="str">
        <x:v>卡利亚月裁长刃</x:v>
      </x:c>
      <x:c r="G797" s="25" t="n">
        <x:v>2</x:v>
      </x:c>
      <x:c r="H797" s="25" t="str">
        <x:v>伤害系数</x:v>
      </x:c>
      <x:c r="I797" s="25" t="n">
        <x:v>1</x:v>
      </x:c>
      <x:c r="J797" s="25" t="n">
        <x:v>25</x:v>
      </x:c>
      <x:c r="K797" s="25" t="str">
        <x:v>仅装备原始基础值决定主属性范围</x:v>
      </x:c>
    </x:row>
    <x:row r="798">
      <x:c r="A798" s="25" t="str">
        <x:v>C07-E</x:v>
      </x:c>
      <x:c r="B798" s="25" t="str">
        <x:v>化圣雪原</x:v>
      </x:c>
      <x:c r="C798" s="25" t="str">
        <x:v>半急速入场</x:v>
      </x:c>
      <x:c r="D798" s="25" t="n">
        <x:v>1</x:v>
      </x:c>
      <x:c r="E798" s="25" t="n">
        <x:v>126</x:v>
      </x:c>
      <x:c r="F798" s="25" t="str">
        <x:v>卡利亚月裁长刃</x:v>
      </x:c>
      <x:c r="G798" s="25" t="n">
        <x:v>3</x:v>
      </x:c>
      <x:c r="H798" s="25" t="str">
        <x:v>攻击加成</x:v>
      </x:c>
      <x:c r="I798" s="25" t="n">
        <x:v>7</x:v>
      </x:c>
      <x:c r="J798" s="25" t="n">
        <x:v>18</x:v>
      </x:c>
      <x:c r="K798" s="25" t="str">
        <x:v>仅装备原始基础值决定主属性范围</x:v>
      </x:c>
    </x:row>
    <x:row r="799">
      <x:c r="A799" s="25" t="str">
        <x:v>C07-E</x:v>
      </x:c>
      <x:c r="B799" s="25" t="str">
        <x:v>化圣雪原</x:v>
      </x:c>
      <x:c r="C799" s="25" t="str">
        <x:v>半急速入场</x:v>
      </x:c>
      <x:c r="D799" s="25" t="n">
        <x:v>1</x:v>
      </x:c>
      <x:c r="E799" s="25" t="n">
        <x:v>126</x:v>
      </x:c>
      <x:c r="F799" s="25" t="str">
        <x:v>卡利亚月裁长刃</x:v>
      </x:c>
      <x:c r="G799" s="25" t="n">
        <x:v>4</x:v>
      </x:c>
      <x:c r="H799" s="25" t="str">
        <x:v>韧性</x:v>
      </x:c>
      <x:c r="I799" s="25" t="n">
        <x:v>10</x:v>
      </x:c>
      <x:c r="J799" s="25" t="n">
        <x:v>12</x:v>
      </x:c>
      <x:c r="K799" s="25" t="str">
        <x:v>仅装备原始基础值决定主属性范围</x:v>
      </x:c>
    </x:row>
    <x:row r="800">
      <x:c r="A800" s="25" t="str">
        <x:v>C07-E</x:v>
      </x:c>
      <x:c r="B800" s="25" t="str">
        <x:v>化圣雪原</x:v>
      </x:c>
      <x:c r="C800" s="25" t="str">
        <x:v>半急速入场</x:v>
      </x:c>
      <x:c r="D800" s="25" t="n">
        <x:v>1</x:v>
      </x:c>
      <x:c r="E800" s="25" t="n">
        <x:v>126</x:v>
      </x:c>
      <x:c r="F800" s="25" t="str">
        <x:v>卡利亚月裁长刃</x:v>
      </x:c>
      <x:c r="G800" s="25" t="n">
        <x:v>5</x:v>
      </x:c>
      <x:c r="H800" s="25" t="str">
        <x:v>攻击加成</x:v>
      </x:c>
      <x:c r="I800" s="25" t="n">
        <x:v>17</x:v>
      </x:c>
      <x:c r="J800" s="25" t="n">
        <x:v>18</x:v>
      </x:c>
      <x:c r="K800" s="25" t="str">
        <x:v>仅装备原始基础值决定主属性范围</x:v>
      </x:c>
    </x:row>
    <x:row r="801">
      <x:c r="A801" s="25" t="str">
        <x:v>C07-E</x:v>
      </x:c>
      <x:c r="B801" s="25" t="str">
        <x:v>化圣雪原</x:v>
      </x:c>
      <x:c r="C801" s="25" t="str">
        <x:v>半急速入场</x:v>
      </x:c>
      <x:c r="D801" s="25" t="n">
        <x:v>1</x:v>
      </x:c>
      <x:c r="E801" s="25" t="n">
        <x:v>126</x:v>
      </x:c>
      <x:c r="F801" s="25" t="str">
        <x:v>卡利亚月裁长刃</x:v>
      </x:c>
      <x:c r="G801" s="25" t="n">
        <x:v>6</x:v>
      </x:c>
      <x:c r="H801" s="25" t="str">
        <x:v>处决概率</x:v>
      </x:c>
      <x:c r="I801" s="25" t="n">
        <x:v>1</x:v>
      </x:c>
      <x:c r="J801" s="25" t="n">
        <x:v>6</x:v>
      </x:c>
      <x:c r="K801" s="25" t="str">
        <x:v>仅装备原始基础值决定主属性范围</x:v>
      </x:c>
    </x:row>
    <x:row r="802">
      <x:c r="A802" s="25" t="str">
        <x:v>C07-E</x:v>
      </x:c>
      <x:c r="B802" s="25" t="str">
        <x:v>化圣雪原</x:v>
      </x:c>
      <x:c r="C802" s="25" t="str">
        <x:v>半急速入场</x:v>
      </x:c>
      <x:c r="D802" s="25" t="n">
        <x:v>1</x:v>
      </x:c>
      <x:c r="E802" s="25" t="n">
        <x:v>126</x:v>
      </x:c>
      <x:c r="F802" s="25" t="str">
        <x:v>卡利亚月裁长刃</x:v>
      </x:c>
      <x:c r="G802" s="25" t="n">
        <x:v>7</x:v>
      </x:c>
      <x:c r="H802" s="25" t="str">
        <x:v>最大爆率</x:v>
      </x:c>
      <x:c r="I802" s="25" t="n">
        <x:v>1</x:v>
      </x:c>
      <x:c r="J802" s="25" t="n">
        <x:v>22</x:v>
      </x:c>
      <x:c r="K802" s="25" t="str">
        <x:v>仅装备原始基础值决定主属性范围</x:v>
      </x:c>
    </x:row>
    <x:row r="803">
      <x:c r="A803" s="25" t="str">
        <x:v>C07-E</x:v>
      </x:c>
      <x:c r="B803" s="25" t="str">
        <x:v>化圣雪原</x:v>
      </x:c>
      <x:c r="C803" s="25" t="str">
        <x:v>半急速入场</x:v>
      </x:c>
      <x:c r="D803" s="25" t="n">
        <x:v>1</x:v>
      </x:c>
      <x:c r="E803" s="25" t="n">
        <x:v>126</x:v>
      </x:c>
      <x:c r="F803" s="25" t="str">
        <x:v>卡利亚月裁长刃</x:v>
      </x:c>
      <x:c r="G803" s="25" t="n">
        <x:v>8</x:v>
      </x:c>
      <x:c r="H803" s="25" t="str">
        <x:v>处决概率</x:v>
      </x:c>
      <x:c r="I803" s="25" t="n">
        <x:v>1</x:v>
      </x:c>
      <x:c r="J803" s="25" t="n">
        <x:v>6</x:v>
      </x:c>
      <x:c r="K803" s="25" t="str">
        <x:v>仅装备原始基础值决定主属性范围</x:v>
      </x:c>
    </x:row>
    <x:row r="804">
      <x:c r="A804" s="25" t="str">
        <x:v>C07-E</x:v>
      </x:c>
      <x:c r="B804" s="25" t="str">
        <x:v>化圣雪原</x:v>
      </x:c>
      <x:c r="C804" s="25" t="str">
        <x:v>半急速入场</x:v>
      </x:c>
      <x:c r="D804" s="25" t="n">
        <x:v>3</x:v>
      </x:c>
      <x:c r="E804" s="25" t="n">
        <x:v>139</x:v>
      </x:c>
      <x:c r="F804" s="25" t="str">
        <x:v>诱猎声坠</x:v>
      </x:c>
      <x:c r="G804" s="25" t="n">
        <x:v>1</x:v>
      </x:c>
      <x:c r="H804" s="25" t="str">
        <x:v>处决概率</x:v>
      </x:c>
      <x:c r="I804" s="25" t="n">
        <x:v>1</x:v>
      </x:c>
      <x:c r="J804" s="25" t="n">
        <x:v>6</x:v>
      </x:c>
      <x:c r="K804" s="25" t="str">
        <x:v>仅装备原始基础值决定主属性范围</x:v>
      </x:c>
    </x:row>
    <x:row r="805">
      <x:c r="A805" s="25" t="str">
        <x:v>C07-E</x:v>
      </x:c>
      <x:c r="B805" s="25" t="str">
        <x:v>化圣雪原</x:v>
      </x:c>
      <x:c r="C805" s="25" t="str">
        <x:v>半急速入场</x:v>
      </x:c>
      <x:c r="D805" s="25" t="n">
        <x:v>3</x:v>
      </x:c>
      <x:c r="E805" s="25" t="n">
        <x:v>139</x:v>
      </x:c>
      <x:c r="F805" s="25" t="str">
        <x:v>诱猎声坠</x:v>
      </x:c>
      <x:c r="G805" s="25" t="n">
        <x:v>2</x:v>
      </x:c>
      <x:c r="H805" s="25" t="str">
        <x:v>攻击加成</x:v>
      </x:c>
      <x:c r="I805" s="25" t="n">
        <x:v>50</x:v>
      </x:c>
      <x:c r="J805" s="25" t="n">
        <x:v>19</x:v>
      </x:c>
      <x:c r="K805" s="25" t="str">
        <x:v>仅装备原始基础值决定主属性范围</x:v>
      </x:c>
    </x:row>
    <x:row r="806">
      <x:c r="A806" s="25" t="str">
        <x:v>C07-E</x:v>
      </x:c>
      <x:c r="B806" s="25" t="str">
        <x:v>化圣雪原</x:v>
      </x:c>
      <x:c r="C806" s="25" t="str">
        <x:v>半急速入场</x:v>
      </x:c>
      <x:c r="D806" s="25" t="n">
        <x:v>3</x:v>
      </x:c>
      <x:c r="E806" s="25" t="n">
        <x:v>139</x:v>
      </x:c>
      <x:c r="F806" s="25" t="str">
        <x:v>诱猎声坠</x:v>
      </x:c>
      <x:c r="G806" s="25" t="n">
        <x:v>3</x:v>
      </x:c>
      <x:c r="H806" s="25" t="str">
        <x:v>韧性</x:v>
      </x:c>
      <x:c r="I806" s="25" t="n">
        <x:v>10</x:v>
      </x:c>
      <x:c r="J806" s="25" t="n">
        <x:v>12</x:v>
      </x:c>
      <x:c r="K806" s="25" t="str">
        <x:v>仅装备原始基础值决定主属性范围</x:v>
      </x:c>
    </x:row>
    <x:row r="807">
      <x:c r="A807" s="25" t="str">
        <x:v>C07-E</x:v>
      </x:c>
      <x:c r="B807" s="25" t="str">
        <x:v>化圣雪原</x:v>
      </x:c>
      <x:c r="C807" s="25" t="str">
        <x:v>半急速入场</x:v>
      </x:c>
      <x:c r="D807" s="25" t="n">
        <x:v>4</x:v>
      </x:c>
      <x:c r="E807" s="25" t="n">
        <x:v>130</x:v>
      </x:c>
      <x:c r="F807" s="25" t="str">
        <x:v>镜荷眠梦冠</x:v>
      </x:c>
      <x:c r="G807" s="25" t="n">
        <x:v>1</x:v>
      </x:c>
      <x:c r="H807" s="25" t="str">
        <x:v>攻击加成</x:v>
      </x:c>
      <x:c r="I807" s="25" t="n">
        <x:v>22</x:v>
      </x:c>
      <x:c r="J807" s="25" t="n">
        <x:v>18</x:v>
      </x:c>
      <x:c r="K807" s="25" t="str">
        <x:v>仅装备原始基础值决定主属性范围</x:v>
      </x:c>
    </x:row>
    <x:row r="808">
      <x:c r="A808" s="25" t="str">
        <x:v>C07-E</x:v>
      </x:c>
      <x:c r="B808" s="25" t="str">
        <x:v>化圣雪原</x:v>
      </x:c>
      <x:c r="C808" s="25" t="str">
        <x:v>半急速入场</x:v>
      </x:c>
      <x:c r="D808" s="25" t="n">
        <x:v>4</x:v>
      </x:c>
      <x:c r="E808" s="25" t="n">
        <x:v>130</x:v>
      </x:c>
      <x:c r="F808" s="25" t="str">
        <x:v>镜荷眠梦冠</x:v>
      </x:c>
      <x:c r="G808" s="25" t="n">
        <x:v>2</x:v>
      </x:c>
      <x:c r="H808" s="25" t="str">
        <x:v>攻击加成</x:v>
      </x:c>
      <x:c r="I808" s="25" t="n">
        <x:v>35</x:v>
      </x:c>
      <x:c r="J808" s="25" t="n">
        <x:v>19</x:v>
      </x:c>
      <x:c r="K808" s="25" t="str">
        <x:v>仅装备原始基础值决定主属性范围</x:v>
      </x:c>
    </x:row>
    <x:row r="809">
      <x:c r="A809" s="25" t="str">
        <x:v>C07-E</x:v>
      </x:c>
      <x:c r="B809" s="25" t="str">
        <x:v>化圣雪原</x:v>
      </x:c>
      <x:c r="C809" s="25" t="str">
        <x:v>半急速入场</x:v>
      </x:c>
      <x:c r="D809" s="25" t="n">
        <x:v>4</x:v>
      </x:c>
      <x:c r="E809" s="25" t="n">
        <x:v>130</x:v>
      </x:c>
      <x:c r="F809" s="25" t="str">
        <x:v>镜荷眠梦冠</x:v>
      </x:c>
      <x:c r="G809" s="25" t="n">
        <x:v>3</x:v>
      </x:c>
      <x:c r="H809" s="25" t="str">
        <x:v>伤害系数</x:v>
      </x:c>
      <x:c r="I809" s="25" t="n">
        <x:v>1</x:v>
      </x:c>
      <x:c r="J809" s="25" t="n">
        <x:v>25</x:v>
      </x:c>
      <x:c r="K809" s="25" t="str">
        <x:v>仅装备原始基础值决定主属性范围</x:v>
      </x:c>
    </x:row>
    <x:row r="810">
      <x:c r="A810" s="25" t="str">
        <x:v>C07-E</x:v>
      </x:c>
      <x:c r="B810" s="25" t="str">
        <x:v>化圣雪原</x:v>
      </x:c>
      <x:c r="C810" s="25" t="str">
        <x:v>半急速入场</x:v>
      </x:c>
      <x:c r="D810" s="25" t="n">
        <x:v>4</x:v>
      </x:c>
      <x:c r="E810" s="25" t="n">
        <x:v>130</x:v>
      </x:c>
      <x:c r="F810" s="25" t="str">
        <x:v>镜荷眠梦冠</x:v>
      </x:c>
      <x:c r="G810" s="25" t="n">
        <x:v>4</x:v>
      </x:c>
      <x:c r="H810" s="25" t="str">
        <x:v>攻击速度</x:v>
      </x:c>
      <x:c r="I810" s="25" t="n">
        <x:v>2</x:v>
      </x:c>
      <x:c r="J810" s="25" t="n">
        <x:v>5</x:v>
      </x:c>
      <x:c r="K810" s="25" t="str">
        <x:v>仅装备原始基础值决定主属性范围</x:v>
      </x:c>
    </x:row>
    <x:row r="811">
      <x:c r="A811" s="25" t="str">
        <x:v>C07-E</x:v>
      </x:c>
      <x:c r="B811" s="25" t="str">
        <x:v>化圣雪原</x:v>
      </x:c>
      <x:c r="C811" s="25" t="str">
        <x:v>半急速入场</x:v>
      </x:c>
      <x:c r="D811" s="25" t="n">
        <x:v>5</x:v>
      </x:c>
      <x:c r="E811" s="25" t="n">
        <x:v>113</x:v>
      </x:c>
      <x:c r="F811" s="25" t="str">
        <x:v>百指腕甲</x:v>
      </x:c>
      <x:c r="G811" s="25" t="n">
        <x:v>1</x:v>
      </x:c>
      <x:c r="H811" s="25" t="str">
        <x:v>攻击加成</x:v>
      </x:c>
      <x:c r="I811" s="25" t="n">
        <x:v>19</x:v>
      </x:c>
      <x:c r="J811" s="25" t="n">
        <x:v>18</x:v>
      </x:c>
      <x:c r="K811" s="25" t="str">
        <x:v>仅装备原始基础值决定主属性范围</x:v>
      </x:c>
    </x:row>
    <x:row r="812">
      <x:c r="A812" s="25" t="str">
        <x:v>C07-E</x:v>
      </x:c>
      <x:c r="B812" s="25" t="str">
        <x:v>化圣雪原</x:v>
      </x:c>
      <x:c r="C812" s="25" t="str">
        <x:v>半急速入场</x:v>
      </x:c>
      <x:c r="D812" s="25" t="n">
        <x:v>5</x:v>
      </x:c>
      <x:c r="E812" s="25" t="n">
        <x:v>113</x:v>
      </x:c>
      <x:c r="F812" s="25" t="str">
        <x:v>百指腕甲</x:v>
      </x:c>
      <x:c r="G812" s="25" t="n">
        <x:v>2</x:v>
      </x:c>
      <x:c r="H812" s="25" t="str">
        <x:v>攻击加成</x:v>
      </x:c>
      <x:c r="I812" s="25" t="n">
        <x:v>44</x:v>
      </x:c>
      <x:c r="J812" s="25" t="n">
        <x:v>19</x:v>
      </x:c>
      <x:c r="K812" s="25" t="str">
        <x:v>仅装备原始基础值决定主属性范围</x:v>
      </x:c>
    </x:row>
    <x:row r="813">
      <x:c r="A813" s="25" t="str">
        <x:v>C07-E</x:v>
      </x:c>
      <x:c r="B813" s="25" t="str">
        <x:v>化圣雪原</x:v>
      </x:c>
      <x:c r="C813" s="25" t="str">
        <x:v>半急速入场</x:v>
      </x:c>
      <x:c r="D813" s="25" t="n">
        <x:v>6</x:v>
      </x:c>
      <x:c r="E813" s="25" t="n">
        <x:v>68</x:v>
      </x:c>
      <x:c r="F813" s="25" t="str">
        <x:v>百指接肢腕</x:v>
      </x:c>
      <x:c r="G813" s="25" t="n">
        <x:v>1</x:v>
      </x:c>
      <x:c r="H813" s="25" t="str">
        <x:v>处决伤害</x:v>
      </x:c>
      <x:c r="I813" s="25" t="n">
        <x:v>1</x:v>
      </x:c>
      <x:c r="J813" s="25" t="n">
        <x:v>10</x:v>
      </x:c>
      <x:c r="K813" s="25" t="str">
        <x:v>仅装备原始基础值决定主属性范围</x:v>
      </x:c>
    </x:row>
    <x:row r="814">
      <x:c r="A814" s="25" t="str">
        <x:v>C07-E</x:v>
      </x:c>
      <x:c r="B814" s="25" t="str">
        <x:v>化圣雪原</x:v>
      </x:c>
      <x:c r="C814" s="25" t="str">
        <x:v>半急速入场</x:v>
      </x:c>
      <x:c r="D814" s="25" t="n">
        <x:v>6</x:v>
      </x:c>
      <x:c r="E814" s="25" t="n">
        <x:v>68</x:v>
      </x:c>
      <x:c r="F814" s="25" t="str">
        <x:v>百指接肢腕</x:v>
      </x:c>
      <x:c r="G814" s="25" t="n">
        <x:v>2</x:v>
      </x:c>
      <x:c r="H814" s="25" t="str">
        <x:v>攻击加成</x:v>
      </x:c>
      <x:c r="I814" s="25" t="n">
        <x:v>28</x:v>
      </x:c>
      <x:c r="J814" s="25" t="n">
        <x:v>18</x:v>
      </x:c>
      <x:c r="K814" s="25" t="str">
        <x:v>仅装备原始基础值决定主属性范围</x:v>
      </x:c>
    </x:row>
    <x:row r="815">
      <x:c r="A815" s="25" t="str">
        <x:v>C07-E</x:v>
      </x:c>
      <x:c r="B815" s="25" t="str">
        <x:v>化圣雪原</x:v>
      </x:c>
      <x:c r="C815" s="25" t="str">
        <x:v>半急速入场</x:v>
      </x:c>
      <x:c r="D815" s="25" t="n">
        <x:v>6</x:v>
      </x:c>
      <x:c r="E815" s="25" t="n">
        <x:v>68</x:v>
      </x:c>
      <x:c r="F815" s="25" t="str">
        <x:v>百指接肢腕</x:v>
      </x:c>
      <x:c r="G815" s="25" t="n">
        <x:v>3</x:v>
      </x:c>
      <x:c r="H815" s="25" t="str">
        <x:v>攻击加成</x:v>
      </x:c>
      <x:c r="I815" s="25" t="n">
        <x:v>45</x:v>
      </x:c>
      <x:c r="J815" s="25" t="n">
        <x:v>19</x:v>
      </x:c>
      <x:c r="K815" s="25" t="str">
        <x:v>仅装备原始基础值决定主属性范围</x:v>
      </x:c>
    </x:row>
    <x:row r="816">
      <x:c r="A816" s="25" t="str">
        <x:v>C07-E</x:v>
      </x:c>
      <x:c r="B816" s="25" t="str">
        <x:v>化圣雪原</x:v>
      </x:c>
      <x:c r="C816" s="25" t="str">
        <x:v>半急速入场</x:v>
      </x:c>
      <x:c r="D816" s="25" t="n">
        <x:v>6</x:v>
      </x:c>
      <x:c r="E816" s="25" t="n">
        <x:v>68</x:v>
      </x:c>
      <x:c r="F816" s="25" t="str">
        <x:v>百指接肢腕</x:v>
      </x:c>
      <x:c r="G816" s="25" t="n">
        <x:v>4</x:v>
      </x:c>
      <x:c r="H816" s="25" t="str">
        <x:v>处决伤害</x:v>
      </x:c>
      <x:c r="I816" s="25" t="n">
        <x:v>2</x:v>
      </x:c>
      <x:c r="J816" s="25" t="n">
        <x:v>11</x:v>
      </x:c>
      <x:c r="K816" s="25" t="str">
        <x:v>仅装备原始基础值决定主属性范围</x:v>
      </x:c>
    </x:row>
    <x:row r="817">
      <x:c r="A817" s="25" t="str">
        <x:v>C07-E</x:v>
      </x:c>
      <x:c r="B817" s="25" t="str">
        <x:v>化圣雪原</x:v>
      </x:c>
      <x:c r="C817" s="25" t="str">
        <x:v>半急速入场</x:v>
      </x:c>
      <x:c r="D817" s="25" t="n">
        <x:v>6</x:v>
      </x:c>
      <x:c r="E817" s="25" t="n">
        <x:v>68</x:v>
      </x:c>
      <x:c r="F817" s="25" t="str">
        <x:v>百指接肢腕</x:v>
      </x:c>
      <x:c r="G817" s="25" t="n">
        <x:v>5</x:v>
      </x:c>
      <x:c r="H817" s="25" t="str">
        <x:v>暴击</x:v>
      </x:c>
      <x:c r="I817" s="25" t="n">
        <x:v>1</x:v>
      </x:c>
      <x:c r="J817" s="25" t="n">
        <x:v>14</x:v>
      </x:c>
      <x:c r="K817" s="25" t="str">
        <x:v>仅装备原始基础值决定主属性范围</x:v>
      </x:c>
    </x:row>
    <x:row r="818">
      <x:c r="A818" s="25" t="str">
        <x:v>C07-E</x:v>
      </x:c>
      <x:c r="B818" s="25" t="str">
        <x:v>化圣雪原</x:v>
      </x:c>
      <x:c r="C818" s="25" t="str">
        <x:v>半急速入场</x:v>
      </x:c>
      <x:c r="D818" s="25" t="n">
        <x:v>7</x:v>
      </x:c>
      <x:c r="E818" s="25" t="n">
        <x:v>132</x:v>
      </x:c>
      <x:c r="F818" s="25" t="str">
        <x:v>蓝焰祷戒</x:v>
      </x:c>
      <x:c r="G818" s="25" t="n">
        <x:v>1</x:v>
      </x:c>
      <x:c r="H818" s="25" t="str">
        <x:v>攻击加成</x:v>
      </x:c>
      <x:c r="I818" s="25" t="n">
        <x:v>39</x:v>
      </x:c>
      <x:c r="J818" s="25" t="n">
        <x:v>19</x:v>
      </x:c>
      <x:c r="K818" s="25" t="str">
        <x:v>仅装备原始基础值决定主属性范围</x:v>
      </x:c>
    </x:row>
    <x:row r="819">
      <x:c r="A819" s="25" t="str">
        <x:v>C07-E</x:v>
      </x:c>
      <x:c r="B819" s="25" t="str">
        <x:v>化圣雪原</x:v>
      </x:c>
      <x:c r="C819" s="25" t="str">
        <x:v>半急速入场</x:v>
      </x:c>
      <x:c r="D819" s="25" t="n">
        <x:v>7</x:v>
      </x:c>
      <x:c r="E819" s="25" t="n">
        <x:v>132</x:v>
      </x:c>
      <x:c r="F819" s="25" t="str">
        <x:v>蓝焰祷戒</x:v>
      </x:c>
      <x:c r="G819" s="25" t="n">
        <x:v>2</x:v>
      </x:c>
      <x:c r="H819" s="25" t="str">
        <x:v>攻击加成</x:v>
      </x:c>
      <x:c r="I819" s="25" t="n">
        <x:v>20</x:v>
      </x:c>
      <x:c r="J819" s="25" t="n">
        <x:v>18</x:v>
      </x:c>
      <x:c r="K819" s="25" t="str">
        <x:v>仅装备原始基础值决定主属性范围</x:v>
      </x:c>
    </x:row>
    <x:row r="820">
      <x:c r="A820" s="25" t="str">
        <x:v>C07-E</x:v>
      </x:c>
      <x:c r="B820" s="25" t="str">
        <x:v>化圣雪原</x:v>
      </x:c>
      <x:c r="C820" s="25" t="str">
        <x:v>半急速入场</x:v>
      </x:c>
      <x:c r="D820" s="25" t="n">
        <x:v>7</x:v>
      </x:c>
      <x:c r="E820" s="25" t="n">
        <x:v>132</x:v>
      </x:c>
      <x:c r="F820" s="25" t="str">
        <x:v>蓝焰祷戒</x:v>
      </x:c>
      <x:c r="G820" s="25" t="n">
        <x:v>3</x:v>
      </x:c>
      <x:c r="H820" s="25" t="str">
        <x:v>魔法</x:v>
      </x:c>
      <x:c r="I820" s="25" t="n">
        <x:v>98</x:v>
      </x:c>
      <x:c r="J820" s="25" t="n">
        <x:v>2</x:v>
      </x:c>
      <x:c r="K820" s="25" t="str">
        <x:v>仅装备原始基础值决定主属性范围</x:v>
      </x:c>
    </x:row>
    <x:row r="821">
      <x:c r="A821" s="25" t="str">
        <x:v>C07-E</x:v>
      </x:c>
      <x:c r="B821" s="25" t="str">
        <x:v>化圣雪原</x:v>
      </x:c>
      <x:c r="C821" s="25" t="str">
        <x:v>半急速入场</x:v>
      </x:c>
      <x:c r="D821" s="25" t="n">
        <x:v>7</x:v>
      </x:c>
      <x:c r="E821" s="25" t="n">
        <x:v>132</x:v>
      </x:c>
      <x:c r="F821" s="25" t="str">
        <x:v>蓝焰祷戒</x:v>
      </x:c>
      <x:c r="G821" s="25" t="n">
        <x:v>4</x:v>
      </x:c>
      <x:c r="H821" s="25" t="str">
        <x:v>道术</x:v>
      </x:c>
      <x:c r="I821" s="25" t="n">
        <x:v>79</x:v>
      </x:c>
      <x:c r="J821" s="25" t="n">
        <x:v>3</x:v>
      </x:c>
      <x:c r="K821" s="25" t="str">
        <x:v>仅装备原始基础值决定主属性范围</x:v>
      </x:c>
    </x:row>
    <x:row r="822">
      <x:c r="A822" s="25" t="str">
        <x:v>C07-E</x:v>
      </x:c>
      <x:c r="B822" s="25" t="str">
        <x:v>化圣雪原</x:v>
      </x:c>
      <x:c r="C822" s="25" t="str">
        <x:v>半急速入场</x:v>
      </x:c>
      <x:c r="D822" s="25" t="n">
        <x:v>7</x:v>
      </x:c>
      <x:c r="E822" s="25" t="n">
        <x:v>132</x:v>
      </x:c>
      <x:c r="F822" s="25" t="str">
        <x:v>蓝焰祷戒</x:v>
      </x:c>
      <x:c r="G822" s="25" t="n">
        <x:v>5</x:v>
      </x:c>
      <x:c r="H822" s="25" t="str">
        <x:v>致命一击</x:v>
      </x:c>
      <x:c r="I822" s="25" t="n">
        <x:v>1</x:v>
      </x:c>
      <x:c r="J822" s="25" t="n">
        <x:v>16</x:v>
      </x:c>
      <x:c r="K822" s="25" t="str">
        <x:v>仅装备原始基础值决定主属性范围</x:v>
      </x:c>
    </x:row>
    <x:row r="823">
      <x:c r="A823" s="25" t="str">
        <x:v>C07-E</x:v>
      </x:c>
      <x:c r="B823" s="25" t="str">
        <x:v>化圣雪原</x:v>
      </x:c>
      <x:c r="C823" s="25" t="str">
        <x:v>半急速入场</x:v>
      </x:c>
      <x:c r="D823" s="25" t="n">
        <x:v>8</x:v>
      </x:c>
      <x:c r="E823" s="25" t="n">
        <x:v>118</x:v>
      </x:c>
      <x:c r="F823" s="25" t="str">
        <x:v>月渊秘戒</x:v>
      </x:c>
      <x:c r="G823" s="25" t="n">
        <x:v>1</x:v>
      </x:c>
      <x:c r="H823" s="25" t="str">
        <x:v>攻击加成</x:v>
      </x:c>
      <x:c r="I823" s="25" t="n">
        <x:v>47</x:v>
      </x:c>
      <x:c r="J823" s="25" t="n">
        <x:v>19</x:v>
      </x:c>
      <x:c r="K823" s="25" t="str">
        <x:v>仅装备原始基础值决定主属性范围</x:v>
      </x:c>
    </x:row>
    <x:row r="824">
      <x:c r="A824" s="25" t="str">
        <x:v>C07-E</x:v>
      </x:c>
      <x:c r="B824" s="25" t="str">
        <x:v>化圣雪原</x:v>
      </x:c>
      <x:c r="C824" s="25" t="str">
        <x:v>半急速入场</x:v>
      </x:c>
      <x:c r="D824" s="25" t="n">
        <x:v>8</x:v>
      </x:c>
      <x:c r="E824" s="25" t="n">
        <x:v>118</x:v>
      </x:c>
      <x:c r="F824" s="25" t="str">
        <x:v>月渊秘戒</x:v>
      </x:c>
      <x:c r="G824" s="25" t="n">
        <x:v>2</x:v>
      </x:c>
      <x:c r="H824" s="25" t="str">
        <x:v>伤害系数</x:v>
      </x:c>
      <x:c r="I824" s="25" t="n">
        <x:v>1</x:v>
      </x:c>
      <x:c r="J824" s="25" t="n">
        <x:v>25</x:v>
      </x:c>
      <x:c r="K824" s="25" t="str">
        <x:v>仅装备原始基础值决定主属性范围</x:v>
      </x:c>
    </x:row>
    <x:row r="825">
      <x:c r="A825" s="25" t="str">
        <x:v>C07-E</x:v>
      </x:c>
      <x:c r="B825" s="25" t="str">
        <x:v>化圣雪原</x:v>
      </x:c>
      <x:c r="C825" s="25" t="str">
        <x:v>半急速入场</x:v>
      </x:c>
      <x:c r="D825" s="25" t="n">
        <x:v>8</x:v>
      </x:c>
      <x:c r="E825" s="25" t="n">
        <x:v>118</x:v>
      </x:c>
      <x:c r="F825" s="25" t="str">
        <x:v>月渊秘戒</x:v>
      </x:c>
      <x:c r="G825" s="25" t="n">
        <x:v>3</x:v>
      </x:c>
      <x:c r="H825" s="25" t="str">
        <x:v>最大爆率</x:v>
      </x:c>
      <x:c r="I825" s="25" t="n">
        <x:v>1</x:v>
      </x:c>
      <x:c r="J825" s="25" t="n">
        <x:v>22</x:v>
      </x:c>
      <x:c r="K825" s="25" t="str">
        <x:v>仅装备原始基础值决定主属性范围</x:v>
      </x:c>
    </x:row>
    <x:row r="826">
      <x:c r="A826" s="25" t="str">
        <x:v>C07-E</x:v>
      </x:c>
      <x:c r="B826" s="25" t="str">
        <x:v>化圣雪原</x:v>
      </x:c>
      <x:c r="C826" s="25" t="str">
        <x:v>半急速入场</x:v>
      </x:c>
      <x:c r="D826" s="25" t="n">
        <x:v>8</x:v>
      </x:c>
      <x:c r="E826" s="25" t="n">
        <x:v>118</x:v>
      </x:c>
      <x:c r="F826" s="25" t="str">
        <x:v>月渊秘戒</x:v>
      </x:c>
      <x:c r="G826" s="25" t="n">
        <x:v>4</x:v>
      </x:c>
      <x:c r="H826" s="25" t="str">
        <x:v>魔法</x:v>
      </x:c>
      <x:c r="I826" s="25" t="n">
        <x:v>312</x:v>
      </x:c>
      <x:c r="J826" s="25" t="n">
        <x:v>2</x:v>
      </x:c>
      <x:c r="K826" s="25" t="str">
        <x:v>仅装备原始基础值决定主属性范围</x:v>
      </x:c>
    </x:row>
    <x:row r="827">
      <x:c r="A827" s="25" t="str">
        <x:v>C07-E</x:v>
      </x:c>
      <x:c r="B827" s="25" t="str">
        <x:v>化圣雪原</x:v>
      </x:c>
      <x:c r="C827" s="25" t="str">
        <x:v>半急速入场</x:v>
      </x:c>
      <x:c r="D827" s="25" t="n">
        <x:v>10</x:v>
      </x:c>
      <x:c r="E827" s="25" t="n">
        <x:v>123</x:v>
      </x:c>
      <x:c r="F827" s="25" t="str">
        <x:v>汲月雾绦</x:v>
      </x:c>
      <x:c r="G827" s="25" t="n">
        <x:v>1</x:v>
      </x:c>
      <x:c r="H827" s="25" t="str">
        <x:v>处决伤害</x:v>
      </x:c>
      <x:c r="I827" s="25" t="n">
        <x:v>1</x:v>
      </x:c>
      <x:c r="J827" s="25" t="n">
        <x:v>10</x:v>
      </x:c>
      <x:c r="K827" s="25" t="str">
        <x:v>仅装备原始基础值决定主属性范围</x:v>
      </x:c>
    </x:row>
    <x:row r="828">
      <x:c r="A828" s="25" t="str">
        <x:v>C07-E</x:v>
      </x:c>
      <x:c r="B828" s="25" t="str">
        <x:v>化圣雪原</x:v>
      </x:c>
      <x:c r="C828" s="25" t="str">
        <x:v>半急速入场</x:v>
      </x:c>
      <x:c r="D828" s="25" t="n">
        <x:v>10</x:v>
      </x:c>
      <x:c r="E828" s="25" t="n">
        <x:v>123</x:v>
      </x:c>
      <x:c r="F828" s="25" t="str">
        <x:v>汲月雾绦</x:v>
      </x:c>
      <x:c r="G828" s="25" t="n">
        <x:v>2</x:v>
      </x:c>
      <x:c r="H828" s="25" t="str">
        <x:v>处决伤害</x:v>
      </x:c>
      <x:c r="I828" s="25" t="n">
        <x:v>1</x:v>
      </x:c>
      <x:c r="J828" s="25" t="n">
        <x:v>10</x:v>
      </x:c>
      <x:c r="K828" s="25" t="str">
        <x:v>仅装备原始基础值决定主属性范围</x:v>
      </x:c>
    </x:row>
    <x:row r="829">
      <x:c r="A829" s="25" t="str">
        <x:v>C07-E</x:v>
      </x:c>
      <x:c r="B829" s="25" t="str">
        <x:v>化圣雪原</x:v>
      </x:c>
      <x:c r="C829" s="25" t="str">
        <x:v>半急速入场</x:v>
      </x:c>
      <x:c r="D829" s="25" t="n">
        <x:v>10</x:v>
      </x:c>
      <x:c r="E829" s="25" t="n">
        <x:v>123</x:v>
      </x:c>
      <x:c r="F829" s="25" t="str">
        <x:v>汲月雾绦</x:v>
      </x:c>
      <x:c r="G829" s="25" t="n">
        <x:v>3</x:v>
      </x:c>
      <x:c r="H829" s="25" t="str">
        <x:v>攻击加成</x:v>
      </x:c>
      <x:c r="I829" s="25" t="n">
        <x:v>28</x:v>
      </x:c>
      <x:c r="J829" s="25" t="n">
        <x:v>18</x:v>
      </x:c>
      <x:c r="K829" s="25" t="str">
        <x:v>仅装备原始基础值决定主属性范围</x:v>
      </x:c>
    </x:row>
    <x:row r="830">
      <x:c r="A830" s="25" t="str">
        <x:v>C07-E</x:v>
      </x:c>
      <x:c r="B830" s="25" t="str">
        <x:v>化圣雪原</x:v>
      </x:c>
      <x:c r="C830" s="25" t="str">
        <x:v>半急速入场</x:v>
      </x:c>
      <x:c r="D830" s="25" t="n">
        <x:v>10</x:v>
      </x:c>
      <x:c r="E830" s="25" t="n">
        <x:v>123</x:v>
      </x:c>
      <x:c r="F830" s="25" t="str">
        <x:v>汲月雾绦</x:v>
      </x:c>
      <x:c r="G830" s="25" t="n">
        <x:v>4</x:v>
      </x:c>
      <x:c r="H830" s="25" t="str">
        <x:v>攻击</x:v>
      </x:c>
      <x:c r="I830" s="25" t="n">
        <x:v>101</x:v>
      </x:c>
      <x:c r="J830" s="25" t="n">
        <x:v>1</x:v>
      </x:c>
      <x:c r="K830" s="25" t="str">
        <x:v>仅装备原始基础值决定主属性范围</x:v>
      </x:c>
    </x:row>
    <x:row r="831">
      <x:c r="A831" s="25" t="str">
        <x:v>C07-E</x:v>
      </x:c>
      <x:c r="B831" s="25" t="str">
        <x:v>化圣雪原</x:v>
      </x:c>
      <x:c r="C831" s="25" t="str">
        <x:v>半急速入场</x:v>
      </x:c>
      <x:c r="D831" s="25" t="n">
        <x:v>10</x:v>
      </x:c>
      <x:c r="E831" s="25" t="n">
        <x:v>123</x:v>
      </x:c>
      <x:c r="F831" s="25" t="str">
        <x:v>汲月雾绦</x:v>
      </x:c>
      <x:c r="G831" s="25" t="n">
        <x:v>5</x:v>
      </x:c>
      <x:c r="H831" s="25" t="str">
        <x:v>攻击加成</x:v>
      </x:c>
      <x:c r="I831" s="25" t="n">
        <x:v>8</x:v>
      </x:c>
      <x:c r="J831" s="25" t="n">
        <x:v>18</x:v>
      </x:c>
      <x:c r="K831" s="25" t="str">
        <x:v>仅装备原始基础值决定主属性范围</x:v>
      </x:c>
    </x:row>
    <x:row r="832">
      <x:c r="A832" s="25" t="str">
        <x:v>C07-E</x:v>
      </x:c>
      <x:c r="B832" s="25" t="str">
        <x:v>化圣雪原</x:v>
      </x:c>
      <x:c r="C832" s="25" t="str">
        <x:v>半急速入场</x:v>
      </x:c>
      <x:c r="D832" s="25" t="n">
        <x:v>11</x:v>
      </x:c>
      <x:c r="E832" s="25" t="n">
        <x:v>94</x:v>
      </x:c>
      <x:c r="F832" s="25" t="str">
        <x:v>逐风征靴</x:v>
      </x:c>
      <x:c r="G832" s="25" t="n">
        <x:v>1</x:v>
      </x:c>
      <x:c r="H832" s="25" t="str">
        <x:v>魔法</x:v>
      </x:c>
      <x:c r="I832" s="25" t="n">
        <x:v>46</x:v>
      </x:c>
      <x:c r="J832" s="25" t="n">
        <x:v>2</x:v>
      </x:c>
      <x:c r="K832" s="25" t="str">
        <x:v>仅装备原始基础值决定主属性范围</x:v>
      </x:c>
    </x:row>
    <x:row r="833">
      <x:c r="A833" s="25" t="str">
        <x:v>C07-E</x:v>
      </x:c>
      <x:c r="B833" s="25" t="str">
        <x:v>化圣雪原</x:v>
      </x:c>
      <x:c r="C833" s="25" t="str">
        <x:v>半急速入场</x:v>
      </x:c>
      <x:c r="D833" s="25" t="n">
        <x:v>11</x:v>
      </x:c>
      <x:c r="E833" s="25" t="n">
        <x:v>94</x:v>
      </x:c>
      <x:c r="F833" s="25" t="str">
        <x:v>逐风征靴</x:v>
      </x:c>
      <x:c r="G833" s="25" t="n">
        <x:v>2</x:v>
      </x:c>
      <x:c r="H833" s="25" t="str">
        <x:v>攻击加成</x:v>
      </x:c>
      <x:c r="I833" s="25" t="n">
        <x:v>30</x:v>
      </x:c>
      <x:c r="J833" s="25" t="n">
        <x:v>18</x:v>
      </x:c>
      <x:c r="K833" s="25" t="str">
        <x:v>仅装备原始基础值决定主属性范围</x:v>
      </x:c>
    </x:row>
    <x:row r="834">
      <x:c r="A834" s="25" t="str">
        <x:v>C07-E</x:v>
      </x:c>
      <x:c r="B834" s="25" t="str">
        <x:v>化圣雪原</x:v>
      </x:c>
      <x:c r="C834" s="25" t="str">
        <x:v>半急速入场</x:v>
      </x:c>
      <x:c r="D834" s="25" t="n">
        <x:v>11</x:v>
      </x:c>
      <x:c r="E834" s="25" t="n">
        <x:v>94</x:v>
      </x:c>
      <x:c r="F834" s="25" t="str">
        <x:v>逐风征靴</x:v>
      </x:c>
      <x:c r="G834" s="25" t="n">
        <x:v>3</x:v>
      </x:c>
      <x:c r="H834" s="25" t="str">
        <x:v>攻击</x:v>
      </x:c>
      <x:c r="I834" s="25" t="n">
        <x:v>68</x:v>
      </x:c>
      <x:c r="J834" s="25" t="n">
        <x:v>1</x:v>
      </x:c>
      <x:c r="K834" s="25" t="str">
        <x:v>仅装备原始基础值决定主属性范围</x:v>
      </x:c>
    </x:row>
    <x:row r="835">
      <x:c r="A835" s="25" t="str">
        <x:v>C07-M</x:v>
      </x:c>
      <x:c r="B835" s="25" t="str">
        <x:v>化圣雪原</x:v>
      </x:c>
      <x:c r="C835" s="25" t="str">
        <x:v>半急速中期</x:v>
      </x:c>
      <x:c r="D835" s="25" t="n">
        <x:v>0</x:v>
      </x:c>
      <x:c r="E835" s="25" t="n">
        <x:v>129</x:v>
      </x:c>
      <x:c r="F835" s="25" t="str">
        <x:v>静潮祷仪袍</x:v>
      </x:c>
      <x:c r="G835" s="25" t="n">
        <x:v>1</x:v>
      </x:c>
      <x:c r="H835" s="25" t="str">
        <x:v>魔法</x:v>
      </x:c>
      <x:c r="I835" s="25" t="n">
        <x:v>108</x:v>
      </x:c>
      <x:c r="J835" s="25" t="n">
        <x:v>2</x:v>
      </x:c>
      <x:c r="K835" s="25" t="str">
        <x:v>仅装备原始基础值决定主属性范围</x:v>
      </x:c>
    </x:row>
    <x:row r="836">
      <x:c r="A836" s="25" t="str">
        <x:v>C07-M</x:v>
      </x:c>
      <x:c r="B836" s="25" t="str">
        <x:v>化圣雪原</x:v>
      </x:c>
      <x:c r="C836" s="25" t="str">
        <x:v>半急速中期</x:v>
      </x:c>
      <x:c r="D836" s="25" t="n">
        <x:v>0</x:v>
      </x:c>
      <x:c r="E836" s="25" t="n">
        <x:v>129</x:v>
      </x:c>
      <x:c r="F836" s="25" t="str">
        <x:v>静潮祷仪袍</x:v>
      </x:c>
      <x:c r="G836" s="25" t="n">
        <x:v>2</x:v>
      </x:c>
      <x:c r="H836" s="25" t="str">
        <x:v>攻击加成</x:v>
      </x:c>
      <x:c r="I836" s="25" t="n">
        <x:v>31</x:v>
      </x:c>
      <x:c r="J836" s="25" t="n">
        <x:v>19</x:v>
      </x:c>
      <x:c r="K836" s="25" t="str">
        <x:v>仅装备原始基础值决定主属性范围</x:v>
      </x:c>
    </x:row>
    <x:row r="837">
      <x:c r="A837" s="25" t="str">
        <x:v>C07-M</x:v>
      </x:c>
      <x:c r="B837" s="25" t="str">
        <x:v>化圣雪原</x:v>
      </x:c>
      <x:c r="C837" s="25" t="str">
        <x:v>半急速中期</x:v>
      </x:c>
      <x:c r="D837" s="25" t="n">
        <x:v>0</x:v>
      </x:c>
      <x:c r="E837" s="25" t="n">
        <x:v>129</x:v>
      </x:c>
      <x:c r="F837" s="25" t="str">
        <x:v>静潮祷仪袍</x:v>
      </x:c>
      <x:c r="G837" s="25" t="n">
        <x:v>3</x:v>
      </x:c>
      <x:c r="H837" s="25" t="str">
        <x:v>攻击加成</x:v>
      </x:c>
      <x:c r="I837" s="25" t="n">
        <x:v>34</x:v>
      </x:c>
      <x:c r="J837" s="25" t="n">
        <x:v>19</x:v>
      </x:c>
      <x:c r="K837" s="25" t="str">
        <x:v>仅装备原始基础值决定主属性范围</x:v>
      </x:c>
    </x:row>
    <x:row r="838">
      <x:c r="A838" s="25" t="str">
        <x:v>C07-M</x:v>
      </x:c>
      <x:c r="B838" s="25" t="str">
        <x:v>化圣雪原</x:v>
      </x:c>
      <x:c r="C838" s="25" t="str">
        <x:v>半急速中期</x:v>
      </x:c>
      <x:c r="D838" s="25" t="n">
        <x:v>0</x:v>
      </x:c>
      <x:c r="E838" s="25" t="n">
        <x:v>129</x:v>
      </x:c>
      <x:c r="F838" s="25" t="str">
        <x:v>静潮祷仪袍</x:v>
      </x:c>
      <x:c r="G838" s="25" t="n">
        <x:v>4</x:v>
      </x:c>
      <x:c r="H838" s="25" t="str">
        <x:v>魔法</x:v>
      </x:c>
      <x:c r="I838" s="25" t="n">
        <x:v>175</x:v>
      </x:c>
      <x:c r="J838" s="25" t="n">
        <x:v>2</x:v>
      </x:c>
      <x:c r="K838" s="25" t="str">
        <x:v>仅装备原始基础值决定主属性范围</x:v>
      </x:c>
    </x:row>
    <x:row r="839">
      <x:c r="A839" s="25" t="str">
        <x:v>C07-M</x:v>
      </x:c>
      <x:c r="B839" s="25" t="str">
        <x:v>化圣雪原</x:v>
      </x:c>
      <x:c r="C839" s="25" t="str">
        <x:v>半急速中期</x:v>
      </x:c>
      <x:c r="D839" s="25" t="n">
        <x:v>0</x:v>
      </x:c>
      <x:c r="E839" s="25" t="n">
        <x:v>129</x:v>
      </x:c>
      <x:c r="F839" s="25" t="str">
        <x:v>静潮祷仪袍</x:v>
      </x:c>
      <x:c r="G839" s="25" t="n">
        <x:v>5</x:v>
      </x:c>
      <x:c r="H839" s="25" t="str">
        <x:v>攻击加成</x:v>
      </x:c>
      <x:c r="I839" s="25" t="n">
        <x:v>4</x:v>
      </x:c>
      <x:c r="J839" s="25" t="n">
        <x:v>18</x:v>
      </x:c>
      <x:c r="K839" s="25" t="str">
        <x:v>仅装备原始基础值决定主属性范围</x:v>
      </x:c>
    </x:row>
    <x:row r="840">
      <x:c r="A840" s="25" t="str">
        <x:v>C07-M</x:v>
      </x:c>
      <x:c r="B840" s="25" t="str">
        <x:v>化圣雪原</x:v>
      </x:c>
      <x:c r="C840" s="25" t="str">
        <x:v>半急速中期</x:v>
      </x:c>
      <x:c r="D840" s="25" t="n">
        <x:v>1</x:v>
      </x:c>
      <x:c r="E840" s="25" t="n">
        <x:v>126</x:v>
      </x:c>
      <x:c r="F840" s="25" t="str">
        <x:v>卡利亚月裁长刃</x:v>
      </x:c>
      <x:c r="G840" s="25" t="n">
        <x:v>1</x:v>
      </x:c>
      <x:c r="H840" s="25" t="str">
        <x:v>道术</x:v>
      </x:c>
      <x:c r="I840" s="25" t="n">
        <x:v>3544</x:v>
      </x:c>
      <x:c r="J840" s="25" t="n">
        <x:v>3</x:v>
      </x:c>
      <x:c r="K840" s="25" t="str">
        <x:v>仅装备原始基础值决定主属性范围</x:v>
      </x:c>
    </x:row>
    <x:row r="841">
      <x:c r="A841" s="25" t="str">
        <x:v>C07-M</x:v>
      </x:c>
      <x:c r="B841" s="25" t="str">
        <x:v>化圣雪原</x:v>
      </x:c>
      <x:c r="C841" s="25" t="str">
        <x:v>半急速中期</x:v>
      </x:c>
      <x:c r="D841" s="25" t="n">
        <x:v>1</x:v>
      </x:c>
      <x:c r="E841" s="25" t="n">
        <x:v>126</x:v>
      </x:c>
      <x:c r="F841" s="25" t="str">
        <x:v>卡利亚月裁长刃</x:v>
      </x:c>
      <x:c r="G841" s="25" t="n">
        <x:v>2</x:v>
      </x:c>
      <x:c r="H841" s="25" t="str">
        <x:v>韧性</x:v>
      </x:c>
      <x:c r="I841" s="25" t="n">
        <x:v>10</x:v>
      </x:c>
      <x:c r="J841" s="25" t="n">
        <x:v>12</x:v>
      </x:c>
      <x:c r="K841" s="25" t="str">
        <x:v>仅装备原始基础值决定主属性范围</x:v>
      </x:c>
    </x:row>
    <x:row r="842">
      <x:c r="A842" s="25" t="str">
        <x:v>C07-M</x:v>
      </x:c>
      <x:c r="B842" s="25" t="str">
        <x:v>化圣雪原</x:v>
      </x:c>
      <x:c r="C842" s="25" t="str">
        <x:v>半急速中期</x:v>
      </x:c>
      <x:c r="D842" s="25" t="n">
        <x:v>1</x:v>
      </x:c>
      <x:c r="E842" s="25" t="n">
        <x:v>126</x:v>
      </x:c>
      <x:c r="F842" s="25" t="str">
        <x:v>卡利亚月裁长刃</x:v>
      </x:c>
      <x:c r="G842" s="25" t="n">
        <x:v>3</x:v>
      </x:c>
      <x:c r="H842" s="25" t="str">
        <x:v>攻击</x:v>
      </x:c>
      <x:c r="I842" s="25" t="n">
        <x:v>3554</x:v>
      </x:c>
      <x:c r="J842" s="25" t="n">
        <x:v>1</x:v>
      </x:c>
      <x:c r="K842" s="25" t="str">
        <x:v>仅装备原始基础值决定主属性范围</x:v>
      </x:c>
    </x:row>
    <x:row r="843">
      <x:c r="A843" s="25" t="str">
        <x:v>C07-M</x:v>
      </x:c>
      <x:c r="B843" s="25" t="str">
        <x:v>化圣雪原</x:v>
      </x:c>
      <x:c r="C843" s="25" t="str">
        <x:v>半急速中期</x:v>
      </x:c>
      <x:c r="D843" s="25" t="n">
        <x:v>1</x:v>
      </x:c>
      <x:c r="E843" s="25" t="n">
        <x:v>126</x:v>
      </x:c>
      <x:c r="F843" s="25" t="str">
        <x:v>卡利亚月裁长刃</x:v>
      </x:c>
      <x:c r="G843" s="25" t="n">
        <x:v>4</x:v>
      </x:c>
      <x:c r="H843" s="25" t="str">
        <x:v>韧性</x:v>
      </x:c>
      <x:c r="I843" s="25" t="n">
        <x:v>20</x:v>
      </x:c>
      <x:c r="J843" s="25" t="n">
        <x:v>13</x:v>
      </x:c>
      <x:c r="K843" s="25" t="str">
        <x:v>仅装备原始基础值决定主属性范围</x:v>
      </x:c>
    </x:row>
    <x:row r="844">
      <x:c r="A844" s="25" t="str">
        <x:v>C07-M</x:v>
      </x:c>
      <x:c r="B844" s="25" t="str">
        <x:v>化圣雪原</x:v>
      </x:c>
      <x:c r="C844" s="25" t="str">
        <x:v>半急速中期</x:v>
      </x:c>
      <x:c r="D844" s="25" t="n">
        <x:v>1</x:v>
      </x:c>
      <x:c r="E844" s="25" t="n">
        <x:v>126</x:v>
      </x:c>
      <x:c r="F844" s="25" t="str">
        <x:v>卡利亚月裁长刃</x:v>
      </x:c>
      <x:c r="G844" s="25" t="n">
        <x:v>5</x:v>
      </x:c>
      <x:c r="H844" s="25" t="str">
        <x:v>伤害系数</x:v>
      </x:c>
      <x:c r="I844" s="25" t="n">
        <x:v>1</x:v>
      </x:c>
      <x:c r="J844" s="25" t="n">
        <x:v>25</x:v>
      </x:c>
      <x:c r="K844" s="25" t="str">
        <x:v>仅装备原始基础值决定主属性范围</x:v>
      </x:c>
    </x:row>
    <x:row r="845">
      <x:c r="A845" s="25" t="str">
        <x:v>C07-M</x:v>
      </x:c>
      <x:c r="B845" s="25" t="str">
        <x:v>化圣雪原</x:v>
      </x:c>
      <x:c r="C845" s="25" t="str">
        <x:v>半急速中期</x:v>
      </x:c>
      <x:c r="D845" s="25" t="n">
        <x:v>1</x:v>
      </x:c>
      <x:c r="E845" s="25" t="n">
        <x:v>126</x:v>
      </x:c>
      <x:c r="F845" s="25" t="str">
        <x:v>卡利亚月裁长刃</x:v>
      </x:c>
      <x:c r="G845" s="25" t="n">
        <x:v>6</x:v>
      </x:c>
      <x:c r="H845" s="25" t="str">
        <x:v>处决时间</x:v>
      </x:c>
      <x:c r="I845" s="25" t="n">
        <x:v>1</x:v>
      </x:c>
      <x:c r="J845" s="25" t="n">
        <x:v>8</x:v>
      </x:c>
      <x:c r="K845" s="25" t="str">
        <x:v>仅装备原始基础值决定主属性范围</x:v>
      </x:c>
    </x:row>
    <x:row r="846">
      <x:c r="A846" s="25" t="str">
        <x:v>C07-M</x:v>
      </x:c>
      <x:c r="B846" s="25" t="str">
        <x:v>化圣雪原</x:v>
      </x:c>
      <x:c r="C846" s="25" t="str">
        <x:v>半急速中期</x:v>
      </x:c>
      <x:c r="D846" s="25" t="n">
        <x:v>1</x:v>
      </x:c>
      <x:c r="E846" s="25" t="n">
        <x:v>126</x:v>
      </x:c>
      <x:c r="F846" s="25" t="str">
        <x:v>卡利亚月裁长刃</x:v>
      </x:c>
      <x:c r="G846" s="25" t="n">
        <x:v>7</x:v>
      </x:c>
      <x:c r="H846" s="25" t="str">
        <x:v>伤害系数</x:v>
      </x:c>
      <x:c r="I846" s="25" t="n">
        <x:v>1</x:v>
      </x:c>
      <x:c r="J846" s="25" t="n">
        <x:v>25</x:v>
      </x:c>
      <x:c r="K846" s="25" t="str">
        <x:v>仅装备原始基础值决定主属性范围</x:v>
      </x:c>
    </x:row>
    <x:row r="847">
      <x:c r="A847" s="25" t="str">
        <x:v>C07-M</x:v>
      </x:c>
      <x:c r="B847" s="25" t="str">
        <x:v>化圣雪原</x:v>
      </x:c>
      <x:c r="C847" s="25" t="str">
        <x:v>半急速中期</x:v>
      </x:c>
      <x:c r="D847" s="25" t="n">
        <x:v>1</x:v>
      </x:c>
      <x:c r="E847" s="25" t="n">
        <x:v>126</x:v>
      </x:c>
      <x:c r="F847" s="25" t="str">
        <x:v>卡利亚月裁长刃</x:v>
      </x:c>
      <x:c r="G847" s="25" t="n">
        <x:v>8</x:v>
      </x:c>
      <x:c r="H847" s="25" t="str">
        <x:v>处决概率</x:v>
      </x:c>
      <x:c r="I847" s="25" t="n">
        <x:v>1</x:v>
      </x:c>
      <x:c r="J847" s="25" t="n">
        <x:v>6</x:v>
      </x:c>
      <x:c r="K847" s="25" t="str">
        <x:v>仅装备原始基础值决定主属性范围</x:v>
      </x:c>
    </x:row>
    <x:row r="848">
      <x:c r="A848" s="25" t="str">
        <x:v>C07-M</x:v>
      </x:c>
      <x:c r="B848" s="25" t="str">
        <x:v>化圣雪原</x:v>
      </x:c>
      <x:c r="C848" s="25" t="str">
        <x:v>半急速中期</x:v>
      </x:c>
      <x:c r="D848" s="25" t="n">
        <x:v>3</x:v>
      </x:c>
      <x:c r="E848" s="25" t="n">
        <x:v>139</x:v>
      </x:c>
      <x:c r="F848" s="25" t="str">
        <x:v>诱猎声坠</x:v>
      </x:c>
      <x:c r="G848" s="25" t="n">
        <x:v>1</x:v>
      </x:c>
      <x:c r="H848" s="25" t="str">
        <x:v>处决概率</x:v>
      </x:c>
      <x:c r="I848" s="25" t="n">
        <x:v>1</x:v>
      </x:c>
      <x:c r="J848" s="25" t="n">
        <x:v>6</x:v>
      </x:c>
      <x:c r="K848" s="25" t="str">
        <x:v>仅装备原始基础值决定主属性范围</x:v>
      </x:c>
    </x:row>
    <x:row r="849">
      <x:c r="A849" s="25" t="str">
        <x:v>C07-M</x:v>
      </x:c>
      <x:c r="B849" s="25" t="str">
        <x:v>化圣雪原</x:v>
      </x:c>
      <x:c r="C849" s="25" t="str">
        <x:v>半急速中期</x:v>
      </x:c>
      <x:c r="D849" s="25" t="n">
        <x:v>3</x:v>
      </x:c>
      <x:c r="E849" s="25" t="n">
        <x:v>139</x:v>
      </x:c>
      <x:c r="F849" s="25" t="str">
        <x:v>诱猎声坠</x:v>
      </x:c>
      <x:c r="G849" s="25" t="n">
        <x:v>2</x:v>
      </x:c>
      <x:c r="H849" s="25" t="str">
        <x:v>攻击加成</x:v>
      </x:c>
      <x:c r="I849" s="25" t="n">
        <x:v>50</x:v>
      </x:c>
      <x:c r="J849" s="25" t="n">
        <x:v>19</x:v>
      </x:c>
      <x:c r="K849" s="25" t="str">
        <x:v>仅装备原始基础值决定主属性范围</x:v>
      </x:c>
    </x:row>
    <x:row r="850">
      <x:c r="A850" s="25" t="str">
        <x:v>C07-M</x:v>
      </x:c>
      <x:c r="B850" s="25" t="str">
        <x:v>化圣雪原</x:v>
      </x:c>
      <x:c r="C850" s="25" t="str">
        <x:v>半急速中期</x:v>
      </x:c>
      <x:c r="D850" s="25" t="n">
        <x:v>3</x:v>
      </x:c>
      <x:c r="E850" s="25" t="n">
        <x:v>139</x:v>
      </x:c>
      <x:c r="F850" s="25" t="str">
        <x:v>诱猎声坠</x:v>
      </x:c>
      <x:c r="G850" s="25" t="n">
        <x:v>3</x:v>
      </x:c>
      <x:c r="H850" s="25" t="str">
        <x:v>韧性</x:v>
      </x:c>
      <x:c r="I850" s="25" t="n">
        <x:v>10</x:v>
      </x:c>
      <x:c r="J850" s="25" t="n">
        <x:v>12</x:v>
      </x:c>
      <x:c r="K850" s="25" t="str">
        <x:v>仅装备原始基础值决定主属性范围</x:v>
      </x:c>
    </x:row>
    <x:row r="851">
      <x:c r="A851" s="25" t="str">
        <x:v>C07-M</x:v>
      </x:c>
      <x:c r="B851" s="25" t="str">
        <x:v>化圣雪原</x:v>
      </x:c>
      <x:c r="C851" s="25" t="str">
        <x:v>半急速中期</x:v>
      </x:c>
      <x:c r="D851" s="25" t="n">
        <x:v>4</x:v>
      </x:c>
      <x:c r="E851" s="25" t="n">
        <x:v>122</x:v>
      </x:c>
      <x:c r="F851" s="25" t="str">
        <x:v>镜荷眠梦冠</x:v>
      </x:c>
      <x:c r="G851" s="25" t="n">
        <x:v>1</x:v>
      </x:c>
      <x:c r="H851" s="25" t="str">
        <x:v>吸血</x:v>
      </x:c>
      <x:c r="I851" s="25" t="n">
        <x:v>1</x:v>
      </x:c>
      <x:c r="J851" s="25" t="n">
        <x:v>20</x:v>
      </x:c>
      <x:c r="K851" s="25" t="str">
        <x:v>仅装备原始基础值决定主属性范围</x:v>
      </x:c>
    </x:row>
    <x:row r="852">
      <x:c r="A852" s="25" t="str">
        <x:v>C07-M</x:v>
      </x:c>
      <x:c r="B852" s="25" t="str">
        <x:v>化圣雪原</x:v>
      </x:c>
      <x:c r="C852" s="25" t="str">
        <x:v>半急速中期</x:v>
      </x:c>
      <x:c r="D852" s="25" t="n">
        <x:v>4</x:v>
      </x:c>
      <x:c r="E852" s="25" t="n">
        <x:v>122</x:v>
      </x:c>
      <x:c r="F852" s="25" t="str">
        <x:v>镜荷眠梦冠</x:v>
      </x:c>
      <x:c r="G852" s="25" t="n">
        <x:v>2</x:v>
      </x:c>
      <x:c r="H852" s="25" t="str">
        <x:v>处决概率</x:v>
      </x:c>
      <x:c r="I852" s="25" t="n">
        <x:v>1</x:v>
      </x:c>
      <x:c r="J852" s="25" t="n">
        <x:v>6</x:v>
      </x:c>
      <x:c r="K852" s="25" t="str">
        <x:v>仅装备原始基础值决定主属性范围</x:v>
      </x:c>
    </x:row>
    <x:row r="853">
      <x:c r="A853" s="25" t="str">
        <x:v>C07-M</x:v>
      </x:c>
      <x:c r="B853" s="25" t="str">
        <x:v>化圣雪原</x:v>
      </x:c>
      <x:c r="C853" s="25" t="str">
        <x:v>半急速中期</x:v>
      </x:c>
      <x:c r="D853" s="25" t="n">
        <x:v>4</x:v>
      </x:c>
      <x:c r="E853" s="25" t="n">
        <x:v>122</x:v>
      </x:c>
      <x:c r="F853" s="25" t="str">
        <x:v>镜荷眠梦冠</x:v>
      </x:c>
      <x:c r="G853" s="25" t="n">
        <x:v>3</x:v>
      </x:c>
      <x:c r="H853" s="25" t="str">
        <x:v>攻击加成</x:v>
      </x:c>
      <x:c r="I853" s="25" t="n">
        <x:v>16</x:v>
      </x:c>
      <x:c r="J853" s="25" t="n">
        <x:v>18</x:v>
      </x:c>
      <x:c r="K853" s="25" t="str">
        <x:v>仅装备原始基础值决定主属性范围</x:v>
      </x:c>
    </x:row>
    <x:row r="854">
      <x:c r="A854" s="25" t="str">
        <x:v>C07-M</x:v>
      </x:c>
      <x:c r="B854" s="25" t="str">
        <x:v>化圣雪原</x:v>
      </x:c>
      <x:c r="C854" s="25" t="str">
        <x:v>半急速中期</x:v>
      </x:c>
      <x:c r="D854" s="25" t="n">
        <x:v>4</x:v>
      </x:c>
      <x:c r="E854" s="25" t="n">
        <x:v>122</x:v>
      </x:c>
      <x:c r="F854" s="25" t="str">
        <x:v>镜荷眠梦冠</x:v>
      </x:c>
      <x:c r="G854" s="25" t="n">
        <x:v>4</x:v>
      </x:c>
      <x:c r="H854" s="25" t="str">
        <x:v>魔法</x:v>
      </x:c>
      <x:c r="I854" s="25" t="n">
        <x:v>110</x:v>
      </x:c>
      <x:c r="J854" s="25" t="n">
        <x:v>2</x:v>
      </x:c>
      <x:c r="K854" s="25" t="str">
        <x:v>仅装备原始基础值决定主属性范围</x:v>
      </x:c>
    </x:row>
    <x:row r="855">
      <x:c r="A855" s="25" t="str">
        <x:v>C07-M</x:v>
      </x:c>
      <x:c r="B855" s="25" t="str">
        <x:v>化圣雪原</x:v>
      </x:c>
      <x:c r="C855" s="25" t="str">
        <x:v>半急速中期</x:v>
      </x:c>
      <x:c r="D855" s="25" t="n">
        <x:v>4</x:v>
      </x:c>
      <x:c r="E855" s="25" t="n">
        <x:v>122</x:v>
      </x:c>
      <x:c r="F855" s="25" t="str">
        <x:v>镜荷眠梦冠</x:v>
      </x:c>
      <x:c r="G855" s="25" t="n">
        <x:v>5</x:v>
      </x:c>
      <x:c r="H855" s="25" t="str">
        <x:v>最大爆率</x:v>
      </x:c>
      <x:c r="I855" s="25" t="n">
        <x:v>1</x:v>
      </x:c>
      <x:c r="J855" s="25" t="n">
        <x:v>22</x:v>
      </x:c>
      <x:c r="K855" s="25" t="str">
        <x:v>仅装备原始基础值决定主属性范围</x:v>
      </x:c>
    </x:row>
    <x:row r="856">
      <x:c r="A856" s="25" t="str">
        <x:v>C07-M</x:v>
      </x:c>
      <x:c r="B856" s="25" t="str">
        <x:v>化圣雪原</x:v>
      </x:c>
      <x:c r="C856" s="25" t="str">
        <x:v>半急速中期</x:v>
      </x:c>
      <x:c r="D856" s="25" t="n">
        <x:v>4</x:v>
      </x:c>
      <x:c r="E856" s="25" t="n">
        <x:v>122</x:v>
      </x:c>
      <x:c r="F856" s="25" t="str">
        <x:v>镜荷眠梦冠</x:v>
      </x:c>
      <x:c r="G856" s="25" t="n">
        <x:v>6</x:v>
      </x:c>
      <x:c r="H856" s="25" t="str">
        <x:v>道术</x:v>
      </x:c>
      <x:c r="I856" s="25" t="n">
        <x:v>142</x:v>
      </x:c>
      <x:c r="J856" s="25" t="n">
        <x:v>3</x:v>
      </x:c>
      <x:c r="K856" s="25" t="str">
        <x:v>仅装备原始基础值决定主属性范围</x:v>
      </x:c>
    </x:row>
    <x:row r="857">
      <x:c r="A857" s="25" t="str">
        <x:v>C07-M</x:v>
      </x:c>
      <x:c r="B857" s="25" t="str">
        <x:v>化圣雪原</x:v>
      </x:c>
      <x:c r="C857" s="25" t="str">
        <x:v>半急速中期</x:v>
      </x:c>
      <x:c r="D857" s="25" t="n">
        <x:v>4</x:v>
      </x:c>
      <x:c r="E857" s="25" t="n">
        <x:v>122</x:v>
      </x:c>
      <x:c r="F857" s="25" t="str">
        <x:v>镜荷眠梦冠</x:v>
      </x:c>
      <x:c r="G857" s="25" t="n">
        <x:v>7</x:v>
      </x:c>
      <x:c r="H857" s="25" t="str">
        <x:v>伤害吸收上限</x:v>
      </x:c>
      <x:c r="I857" s="25" t="n">
        <x:v>1</x:v>
      </x:c>
      <x:c r="J857" s="25" t="n">
        <x:v>28</x:v>
      </x:c>
      <x:c r="K857" s="25" t="str">
        <x:v>仅装备原始基础值决定主属性范围</x:v>
      </x:c>
    </x:row>
    <x:row r="858">
      <x:c r="A858" s="25" t="str">
        <x:v>C07-M</x:v>
      </x:c>
      <x:c r="B858" s="25" t="str">
        <x:v>化圣雪原</x:v>
      </x:c>
      <x:c r="C858" s="25" t="str">
        <x:v>半急速中期</x:v>
      </x:c>
      <x:c r="D858" s="25" t="n">
        <x:v>5</x:v>
      </x:c>
      <x:c r="E858" s="25" t="n">
        <x:v>113</x:v>
      </x:c>
      <x:c r="F858" s="25" t="str">
        <x:v>百指腕甲</x:v>
      </x:c>
      <x:c r="G858" s="25" t="n">
        <x:v>1</x:v>
      </x:c>
      <x:c r="H858" s="25" t="str">
        <x:v>攻击加成</x:v>
      </x:c>
      <x:c r="I858" s="25" t="n">
        <x:v>19</x:v>
      </x:c>
      <x:c r="J858" s="25" t="n">
        <x:v>18</x:v>
      </x:c>
      <x:c r="K858" s="25" t="str">
        <x:v>仅装备原始基础值决定主属性范围</x:v>
      </x:c>
    </x:row>
    <x:row r="859">
      <x:c r="A859" s="25" t="str">
        <x:v>C07-M</x:v>
      </x:c>
      <x:c r="B859" s="25" t="str">
        <x:v>化圣雪原</x:v>
      </x:c>
      <x:c r="C859" s="25" t="str">
        <x:v>半急速中期</x:v>
      </x:c>
      <x:c r="D859" s="25" t="n">
        <x:v>5</x:v>
      </x:c>
      <x:c r="E859" s="25" t="n">
        <x:v>113</x:v>
      </x:c>
      <x:c r="F859" s="25" t="str">
        <x:v>百指腕甲</x:v>
      </x:c>
      <x:c r="G859" s="25" t="n">
        <x:v>2</x:v>
      </x:c>
      <x:c r="H859" s="25" t="str">
        <x:v>攻击加成</x:v>
      </x:c>
      <x:c r="I859" s="25" t="n">
        <x:v>44</x:v>
      </x:c>
      <x:c r="J859" s="25" t="n">
        <x:v>19</x:v>
      </x:c>
      <x:c r="K859" s="25" t="str">
        <x:v>仅装备原始基础值决定主属性范围</x:v>
      </x:c>
    </x:row>
    <x:row r="860">
      <x:c r="A860" s="25" t="str">
        <x:v>C07-M</x:v>
      </x:c>
      <x:c r="B860" s="25" t="str">
        <x:v>化圣雪原</x:v>
      </x:c>
      <x:c r="C860" s="25" t="str">
        <x:v>半急速中期</x:v>
      </x:c>
      <x:c r="D860" s="25" t="n">
        <x:v>6</x:v>
      </x:c>
      <x:c r="E860" s="25" t="n">
        <x:v>68</x:v>
      </x:c>
      <x:c r="F860" s="25" t="str">
        <x:v>百指接肢腕</x:v>
      </x:c>
      <x:c r="G860" s="25" t="n">
        <x:v>1</x:v>
      </x:c>
      <x:c r="H860" s="25" t="str">
        <x:v>处决伤害</x:v>
      </x:c>
      <x:c r="I860" s="25" t="n">
        <x:v>1</x:v>
      </x:c>
      <x:c r="J860" s="25" t="n">
        <x:v>10</x:v>
      </x:c>
      <x:c r="K860" s="25" t="str">
        <x:v>仅装备原始基础值决定主属性范围</x:v>
      </x:c>
    </x:row>
    <x:row r="861">
      <x:c r="A861" s="25" t="str">
        <x:v>C07-M</x:v>
      </x:c>
      <x:c r="B861" s="25" t="str">
        <x:v>化圣雪原</x:v>
      </x:c>
      <x:c r="C861" s="25" t="str">
        <x:v>半急速中期</x:v>
      </x:c>
      <x:c r="D861" s="25" t="n">
        <x:v>6</x:v>
      </x:c>
      <x:c r="E861" s="25" t="n">
        <x:v>68</x:v>
      </x:c>
      <x:c r="F861" s="25" t="str">
        <x:v>百指接肢腕</x:v>
      </x:c>
      <x:c r="G861" s="25" t="n">
        <x:v>2</x:v>
      </x:c>
      <x:c r="H861" s="25" t="str">
        <x:v>攻击加成</x:v>
      </x:c>
      <x:c r="I861" s="25" t="n">
        <x:v>28</x:v>
      </x:c>
      <x:c r="J861" s="25" t="n">
        <x:v>18</x:v>
      </x:c>
      <x:c r="K861" s="25" t="str">
        <x:v>仅装备原始基础值决定主属性范围</x:v>
      </x:c>
    </x:row>
    <x:row r="862">
      <x:c r="A862" s="25" t="str">
        <x:v>C07-M</x:v>
      </x:c>
      <x:c r="B862" s="25" t="str">
        <x:v>化圣雪原</x:v>
      </x:c>
      <x:c r="C862" s="25" t="str">
        <x:v>半急速中期</x:v>
      </x:c>
      <x:c r="D862" s="25" t="n">
        <x:v>6</x:v>
      </x:c>
      <x:c r="E862" s="25" t="n">
        <x:v>68</x:v>
      </x:c>
      <x:c r="F862" s="25" t="str">
        <x:v>百指接肢腕</x:v>
      </x:c>
      <x:c r="G862" s="25" t="n">
        <x:v>3</x:v>
      </x:c>
      <x:c r="H862" s="25" t="str">
        <x:v>攻击加成</x:v>
      </x:c>
      <x:c r="I862" s="25" t="n">
        <x:v>45</x:v>
      </x:c>
      <x:c r="J862" s="25" t="n">
        <x:v>19</x:v>
      </x:c>
      <x:c r="K862" s="25" t="str">
        <x:v>仅装备原始基础值决定主属性范围</x:v>
      </x:c>
    </x:row>
    <x:row r="863">
      <x:c r="A863" s="25" t="str">
        <x:v>C07-M</x:v>
      </x:c>
      <x:c r="B863" s="25" t="str">
        <x:v>化圣雪原</x:v>
      </x:c>
      <x:c r="C863" s="25" t="str">
        <x:v>半急速中期</x:v>
      </x:c>
      <x:c r="D863" s="25" t="n">
        <x:v>6</x:v>
      </x:c>
      <x:c r="E863" s="25" t="n">
        <x:v>68</x:v>
      </x:c>
      <x:c r="F863" s="25" t="str">
        <x:v>百指接肢腕</x:v>
      </x:c>
      <x:c r="G863" s="25" t="n">
        <x:v>4</x:v>
      </x:c>
      <x:c r="H863" s="25" t="str">
        <x:v>处决伤害</x:v>
      </x:c>
      <x:c r="I863" s="25" t="n">
        <x:v>2</x:v>
      </x:c>
      <x:c r="J863" s="25" t="n">
        <x:v>11</x:v>
      </x:c>
      <x:c r="K863" s="25" t="str">
        <x:v>仅装备原始基础值决定主属性范围</x:v>
      </x:c>
    </x:row>
    <x:row r="864">
      <x:c r="A864" s="25" t="str">
        <x:v>C07-M</x:v>
      </x:c>
      <x:c r="B864" s="25" t="str">
        <x:v>化圣雪原</x:v>
      </x:c>
      <x:c r="C864" s="25" t="str">
        <x:v>半急速中期</x:v>
      </x:c>
      <x:c r="D864" s="25" t="n">
        <x:v>6</x:v>
      </x:c>
      <x:c r="E864" s="25" t="n">
        <x:v>68</x:v>
      </x:c>
      <x:c r="F864" s="25" t="str">
        <x:v>百指接肢腕</x:v>
      </x:c>
      <x:c r="G864" s="25" t="n">
        <x:v>5</x:v>
      </x:c>
      <x:c r="H864" s="25" t="str">
        <x:v>暴击</x:v>
      </x:c>
      <x:c r="I864" s="25" t="n">
        <x:v>1</x:v>
      </x:c>
      <x:c r="J864" s="25" t="n">
        <x:v>14</x:v>
      </x:c>
      <x:c r="K864" s="25" t="str">
        <x:v>仅装备原始基础值决定主属性范围</x:v>
      </x:c>
    </x:row>
    <x:row r="865">
      <x:c r="A865" s="25" t="str">
        <x:v>C07-M</x:v>
      </x:c>
      <x:c r="B865" s="25" t="str">
        <x:v>化圣雪原</x:v>
      </x:c>
      <x:c r="C865" s="25" t="str">
        <x:v>半急速中期</x:v>
      </x:c>
      <x:c r="D865" s="25" t="n">
        <x:v>7</x:v>
      </x:c>
      <x:c r="E865" s="25" t="n">
        <x:v>132</x:v>
      </x:c>
      <x:c r="F865" s="25" t="str">
        <x:v>蓝焰祷戒</x:v>
      </x:c>
      <x:c r="G865" s="25" t="n">
        <x:v>1</x:v>
      </x:c>
      <x:c r="H865" s="25" t="str">
        <x:v>攻击加成</x:v>
      </x:c>
      <x:c r="I865" s="25" t="n">
        <x:v>39</x:v>
      </x:c>
      <x:c r="J865" s="25" t="n">
        <x:v>19</x:v>
      </x:c>
      <x:c r="K865" s="25" t="str">
        <x:v>仅装备原始基础值决定主属性范围</x:v>
      </x:c>
    </x:row>
    <x:row r="866">
      <x:c r="A866" s="25" t="str">
        <x:v>C07-M</x:v>
      </x:c>
      <x:c r="B866" s="25" t="str">
        <x:v>化圣雪原</x:v>
      </x:c>
      <x:c r="C866" s="25" t="str">
        <x:v>半急速中期</x:v>
      </x:c>
      <x:c r="D866" s="25" t="n">
        <x:v>7</x:v>
      </x:c>
      <x:c r="E866" s="25" t="n">
        <x:v>132</x:v>
      </x:c>
      <x:c r="F866" s="25" t="str">
        <x:v>蓝焰祷戒</x:v>
      </x:c>
      <x:c r="G866" s="25" t="n">
        <x:v>2</x:v>
      </x:c>
      <x:c r="H866" s="25" t="str">
        <x:v>攻击加成</x:v>
      </x:c>
      <x:c r="I866" s="25" t="n">
        <x:v>20</x:v>
      </x:c>
      <x:c r="J866" s="25" t="n">
        <x:v>18</x:v>
      </x:c>
      <x:c r="K866" s="25" t="str">
        <x:v>仅装备原始基础值决定主属性范围</x:v>
      </x:c>
    </x:row>
    <x:row r="867">
      <x:c r="A867" s="25" t="str">
        <x:v>C07-M</x:v>
      </x:c>
      <x:c r="B867" s="25" t="str">
        <x:v>化圣雪原</x:v>
      </x:c>
      <x:c r="C867" s="25" t="str">
        <x:v>半急速中期</x:v>
      </x:c>
      <x:c r="D867" s="25" t="n">
        <x:v>7</x:v>
      </x:c>
      <x:c r="E867" s="25" t="n">
        <x:v>132</x:v>
      </x:c>
      <x:c r="F867" s="25" t="str">
        <x:v>蓝焰祷戒</x:v>
      </x:c>
      <x:c r="G867" s="25" t="n">
        <x:v>3</x:v>
      </x:c>
      <x:c r="H867" s="25" t="str">
        <x:v>魔法</x:v>
      </x:c>
      <x:c r="I867" s="25" t="n">
        <x:v>98</x:v>
      </x:c>
      <x:c r="J867" s="25" t="n">
        <x:v>2</x:v>
      </x:c>
      <x:c r="K867" s="25" t="str">
        <x:v>仅装备原始基础值决定主属性范围</x:v>
      </x:c>
    </x:row>
    <x:row r="868">
      <x:c r="A868" s="25" t="str">
        <x:v>C07-M</x:v>
      </x:c>
      <x:c r="B868" s="25" t="str">
        <x:v>化圣雪原</x:v>
      </x:c>
      <x:c r="C868" s="25" t="str">
        <x:v>半急速中期</x:v>
      </x:c>
      <x:c r="D868" s="25" t="n">
        <x:v>7</x:v>
      </x:c>
      <x:c r="E868" s="25" t="n">
        <x:v>132</x:v>
      </x:c>
      <x:c r="F868" s="25" t="str">
        <x:v>蓝焰祷戒</x:v>
      </x:c>
      <x:c r="G868" s="25" t="n">
        <x:v>4</x:v>
      </x:c>
      <x:c r="H868" s="25" t="str">
        <x:v>道术</x:v>
      </x:c>
      <x:c r="I868" s="25" t="n">
        <x:v>79</x:v>
      </x:c>
      <x:c r="J868" s="25" t="n">
        <x:v>3</x:v>
      </x:c>
      <x:c r="K868" s="25" t="str">
        <x:v>仅装备原始基础值决定主属性范围</x:v>
      </x:c>
    </x:row>
    <x:row r="869">
      <x:c r="A869" s="25" t="str">
        <x:v>C07-M</x:v>
      </x:c>
      <x:c r="B869" s="25" t="str">
        <x:v>化圣雪原</x:v>
      </x:c>
      <x:c r="C869" s="25" t="str">
        <x:v>半急速中期</x:v>
      </x:c>
      <x:c r="D869" s="25" t="n">
        <x:v>7</x:v>
      </x:c>
      <x:c r="E869" s="25" t="n">
        <x:v>132</x:v>
      </x:c>
      <x:c r="F869" s="25" t="str">
        <x:v>蓝焰祷戒</x:v>
      </x:c>
      <x:c r="G869" s="25" t="n">
        <x:v>5</x:v>
      </x:c>
      <x:c r="H869" s="25" t="str">
        <x:v>致命一击</x:v>
      </x:c>
      <x:c r="I869" s="25" t="n">
        <x:v>1</x:v>
      </x:c>
      <x:c r="J869" s="25" t="n">
        <x:v>16</x:v>
      </x:c>
      <x:c r="K869" s="25" t="str">
        <x:v>仅装备原始基础值决定主属性范围</x:v>
      </x:c>
    </x:row>
    <x:row r="870">
      <x:c r="A870" s="25" t="str">
        <x:v>C07-M</x:v>
      </x:c>
      <x:c r="B870" s="25" t="str">
        <x:v>化圣雪原</x:v>
      </x:c>
      <x:c r="C870" s="25" t="str">
        <x:v>半急速中期</x:v>
      </x:c>
      <x:c r="D870" s="25" t="n">
        <x:v>8</x:v>
      </x:c>
      <x:c r="E870" s="25" t="n">
        <x:v>118</x:v>
      </x:c>
      <x:c r="F870" s="25" t="str">
        <x:v>月渊秘戒</x:v>
      </x:c>
      <x:c r="G870" s="25" t="n">
        <x:v>1</x:v>
      </x:c>
      <x:c r="H870" s="25" t="str">
        <x:v>攻击加成</x:v>
      </x:c>
      <x:c r="I870" s="25" t="n">
        <x:v>47</x:v>
      </x:c>
      <x:c r="J870" s="25" t="n">
        <x:v>19</x:v>
      </x:c>
      <x:c r="K870" s="25" t="str">
        <x:v>仅装备原始基础值决定主属性范围</x:v>
      </x:c>
    </x:row>
    <x:row r="871">
      <x:c r="A871" s="25" t="str">
        <x:v>C07-M</x:v>
      </x:c>
      <x:c r="B871" s="25" t="str">
        <x:v>化圣雪原</x:v>
      </x:c>
      <x:c r="C871" s="25" t="str">
        <x:v>半急速中期</x:v>
      </x:c>
      <x:c r="D871" s="25" t="n">
        <x:v>8</x:v>
      </x:c>
      <x:c r="E871" s="25" t="n">
        <x:v>118</x:v>
      </x:c>
      <x:c r="F871" s="25" t="str">
        <x:v>月渊秘戒</x:v>
      </x:c>
      <x:c r="G871" s="25" t="n">
        <x:v>2</x:v>
      </x:c>
      <x:c r="H871" s="25" t="str">
        <x:v>伤害系数</x:v>
      </x:c>
      <x:c r="I871" s="25" t="n">
        <x:v>1</x:v>
      </x:c>
      <x:c r="J871" s="25" t="n">
        <x:v>25</x:v>
      </x:c>
      <x:c r="K871" s="25" t="str">
        <x:v>仅装备原始基础值决定主属性范围</x:v>
      </x:c>
    </x:row>
    <x:row r="872">
      <x:c r="A872" s="25" t="str">
        <x:v>C07-M</x:v>
      </x:c>
      <x:c r="B872" s="25" t="str">
        <x:v>化圣雪原</x:v>
      </x:c>
      <x:c r="C872" s="25" t="str">
        <x:v>半急速中期</x:v>
      </x:c>
      <x:c r="D872" s="25" t="n">
        <x:v>8</x:v>
      </x:c>
      <x:c r="E872" s="25" t="n">
        <x:v>118</x:v>
      </x:c>
      <x:c r="F872" s="25" t="str">
        <x:v>月渊秘戒</x:v>
      </x:c>
      <x:c r="G872" s="25" t="n">
        <x:v>3</x:v>
      </x:c>
      <x:c r="H872" s="25" t="str">
        <x:v>最大爆率</x:v>
      </x:c>
      <x:c r="I872" s="25" t="n">
        <x:v>1</x:v>
      </x:c>
      <x:c r="J872" s="25" t="n">
        <x:v>22</x:v>
      </x:c>
      <x:c r="K872" s="25" t="str">
        <x:v>仅装备原始基础值决定主属性范围</x:v>
      </x:c>
    </x:row>
    <x:row r="873">
      <x:c r="A873" s="25" t="str">
        <x:v>C07-M</x:v>
      </x:c>
      <x:c r="B873" s="25" t="str">
        <x:v>化圣雪原</x:v>
      </x:c>
      <x:c r="C873" s="25" t="str">
        <x:v>半急速中期</x:v>
      </x:c>
      <x:c r="D873" s="25" t="n">
        <x:v>8</x:v>
      </x:c>
      <x:c r="E873" s="25" t="n">
        <x:v>118</x:v>
      </x:c>
      <x:c r="F873" s="25" t="str">
        <x:v>月渊秘戒</x:v>
      </x:c>
      <x:c r="G873" s="25" t="n">
        <x:v>4</x:v>
      </x:c>
      <x:c r="H873" s="25" t="str">
        <x:v>魔法</x:v>
      </x:c>
      <x:c r="I873" s="25" t="n">
        <x:v>312</x:v>
      </x:c>
      <x:c r="J873" s="25" t="n">
        <x:v>2</x:v>
      </x:c>
      <x:c r="K873" s="25" t="str">
        <x:v>仅装备原始基础值决定主属性范围</x:v>
      </x:c>
    </x:row>
    <x:row r="874">
      <x:c r="A874" s="25" t="str">
        <x:v>C07-M</x:v>
      </x:c>
      <x:c r="B874" s="25" t="str">
        <x:v>化圣雪原</x:v>
      </x:c>
      <x:c r="C874" s="25" t="str">
        <x:v>半急速中期</x:v>
      </x:c>
      <x:c r="D874" s="25" t="n">
        <x:v>10</x:v>
      </x:c>
      <x:c r="E874" s="25" t="n">
        <x:v>123</x:v>
      </x:c>
      <x:c r="F874" s="25" t="str">
        <x:v>汲月雾绦</x:v>
      </x:c>
      <x:c r="G874" s="25" t="n">
        <x:v>1</x:v>
      </x:c>
      <x:c r="H874" s="25" t="str">
        <x:v>处决伤害</x:v>
      </x:c>
      <x:c r="I874" s="25" t="n">
        <x:v>1</x:v>
      </x:c>
      <x:c r="J874" s="25" t="n">
        <x:v>10</x:v>
      </x:c>
      <x:c r="K874" s="25" t="str">
        <x:v>仅装备原始基础值决定主属性范围</x:v>
      </x:c>
    </x:row>
    <x:row r="875">
      <x:c r="A875" s="25" t="str">
        <x:v>C07-M</x:v>
      </x:c>
      <x:c r="B875" s="25" t="str">
        <x:v>化圣雪原</x:v>
      </x:c>
      <x:c r="C875" s="25" t="str">
        <x:v>半急速中期</x:v>
      </x:c>
      <x:c r="D875" s="25" t="n">
        <x:v>10</x:v>
      </x:c>
      <x:c r="E875" s="25" t="n">
        <x:v>123</x:v>
      </x:c>
      <x:c r="F875" s="25" t="str">
        <x:v>汲月雾绦</x:v>
      </x:c>
      <x:c r="G875" s="25" t="n">
        <x:v>2</x:v>
      </x:c>
      <x:c r="H875" s="25" t="str">
        <x:v>处决伤害</x:v>
      </x:c>
      <x:c r="I875" s="25" t="n">
        <x:v>1</x:v>
      </x:c>
      <x:c r="J875" s="25" t="n">
        <x:v>10</x:v>
      </x:c>
      <x:c r="K875" s="25" t="str">
        <x:v>仅装备原始基础值决定主属性范围</x:v>
      </x:c>
    </x:row>
    <x:row r="876">
      <x:c r="A876" s="25" t="str">
        <x:v>C07-M</x:v>
      </x:c>
      <x:c r="B876" s="25" t="str">
        <x:v>化圣雪原</x:v>
      </x:c>
      <x:c r="C876" s="25" t="str">
        <x:v>半急速中期</x:v>
      </x:c>
      <x:c r="D876" s="25" t="n">
        <x:v>10</x:v>
      </x:c>
      <x:c r="E876" s="25" t="n">
        <x:v>123</x:v>
      </x:c>
      <x:c r="F876" s="25" t="str">
        <x:v>汲月雾绦</x:v>
      </x:c>
      <x:c r="G876" s="25" t="n">
        <x:v>3</x:v>
      </x:c>
      <x:c r="H876" s="25" t="str">
        <x:v>攻击加成</x:v>
      </x:c>
      <x:c r="I876" s="25" t="n">
        <x:v>28</x:v>
      </x:c>
      <x:c r="J876" s="25" t="n">
        <x:v>18</x:v>
      </x:c>
      <x:c r="K876" s="25" t="str">
        <x:v>仅装备原始基础值决定主属性范围</x:v>
      </x:c>
    </x:row>
    <x:row r="877">
      <x:c r="A877" s="25" t="str">
        <x:v>C07-M</x:v>
      </x:c>
      <x:c r="B877" s="25" t="str">
        <x:v>化圣雪原</x:v>
      </x:c>
      <x:c r="C877" s="25" t="str">
        <x:v>半急速中期</x:v>
      </x:c>
      <x:c r="D877" s="25" t="n">
        <x:v>10</x:v>
      </x:c>
      <x:c r="E877" s="25" t="n">
        <x:v>123</x:v>
      </x:c>
      <x:c r="F877" s="25" t="str">
        <x:v>汲月雾绦</x:v>
      </x:c>
      <x:c r="G877" s="25" t="n">
        <x:v>4</x:v>
      </x:c>
      <x:c r="H877" s="25" t="str">
        <x:v>攻击</x:v>
      </x:c>
      <x:c r="I877" s="25" t="n">
        <x:v>101</x:v>
      </x:c>
      <x:c r="J877" s="25" t="n">
        <x:v>1</x:v>
      </x:c>
      <x:c r="K877" s="25" t="str">
        <x:v>仅装备原始基础值决定主属性范围</x:v>
      </x:c>
    </x:row>
    <x:row r="878">
      <x:c r="A878" s="25" t="str">
        <x:v>C07-M</x:v>
      </x:c>
      <x:c r="B878" s="25" t="str">
        <x:v>化圣雪原</x:v>
      </x:c>
      <x:c r="C878" s="25" t="str">
        <x:v>半急速中期</x:v>
      </x:c>
      <x:c r="D878" s="25" t="n">
        <x:v>10</x:v>
      </x:c>
      <x:c r="E878" s="25" t="n">
        <x:v>123</x:v>
      </x:c>
      <x:c r="F878" s="25" t="str">
        <x:v>汲月雾绦</x:v>
      </x:c>
      <x:c r="G878" s="25" t="n">
        <x:v>5</x:v>
      </x:c>
      <x:c r="H878" s="25" t="str">
        <x:v>攻击加成</x:v>
      </x:c>
      <x:c r="I878" s="25" t="n">
        <x:v>8</x:v>
      </x:c>
      <x:c r="J878" s="25" t="n">
        <x:v>18</x:v>
      </x:c>
      <x:c r="K878" s="25" t="str">
        <x:v>仅装备原始基础值决定主属性范围</x:v>
      </x:c>
    </x:row>
    <x:row r="879">
      <x:c r="A879" s="25" t="str">
        <x:v>C07-M</x:v>
      </x:c>
      <x:c r="B879" s="25" t="str">
        <x:v>化圣雪原</x:v>
      </x:c>
      <x:c r="C879" s="25" t="str">
        <x:v>半急速中期</x:v>
      </x:c>
      <x:c r="D879" s="25" t="n">
        <x:v>11</x:v>
      </x:c>
      <x:c r="E879" s="25" t="n">
        <x:v>94</x:v>
      </x:c>
      <x:c r="F879" s="25" t="str">
        <x:v>逐风征靴</x:v>
      </x:c>
      <x:c r="G879" s="25" t="n">
        <x:v>1</x:v>
      </x:c>
      <x:c r="H879" s="25" t="str">
        <x:v>魔法</x:v>
      </x:c>
      <x:c r="I879" s="25" t="n">
        <x:v>46</x:v>
      </x:c>
      <x:c r="J879" s="25" t="n">
        <x:v>2</x:v>
      </x:c>
      <x:c r="K879" s="25" t="str">
        <x:v>仅装备原始基础值决定主属性范围</x:v>
      </x:c>
    </x:row>
    <x:row r="880">
      <x:c r="A880" s="25" t="str">
        <x:v>C07-M</x:v>
      </x:c>
      <x:c r="B880" s="25" t="str">
        <x:v>化圣雪原</x:v>
      </x:c>
      <x:c r="C880" s="25" t="str">
        <x:v>半急速中期</x:v>
      </x:c>
      <x:c r="D880" s="25" t="n">
        <x:v>11</x:v>
      </x:c>
      <x:c r="E880" s="25" t="n">
        <x:v>94</x:v>
      </x:c>
      <x:c r="F880" s="25" t="str">
        <x:v>逐风征靴</x:v>
      </x:c>
      <x:c r="G880" s="25" t="n">
        <x:v>2</x:v>
      </x:c>
      <x:c r="H880" s="25" t="str">
        <x:v>攻击加成</x:v>
      </x:c>
      <x:c r="I880" s="25" t="n">
        <x:v>30</x:v>
      </x:c>
      <x:c r="J880" s="25" t="n">
        <x:v>18</x:v>
      </x:c>
      <x:c r="K880" s="25" t="str">
        <x:v>仅装备原始基础值决定主属性范围</x:v>
      </x:c>
    </x:row>
    <x:row r="881">
      <x:c r="A881" s="25" t="str">
        <x:v>C07-M</x:v>
      </x:c>
      <x:c r="B881" s="25" t="str">
        <x:v>化圣雪原</x:v>
      </x:c>
      <x:c r="C881" s="25" t="str">
        <x:v>半急速中期</x:v>
      </x:c>
      <x:c r="D881" s="25" t="n">
        <x:v>11</x:v>
      </x:c>
      <x:c r="E881" s="25" t="n">
        <x:v>94</x:v>
      </x:c>
      <x:c r="F881" s="25" t="str">
        <x:v>逐风征靴</x:v>
      </x:c>
      <x:c r="G881" s="25" t="n">
        <x:v>3</x:v>
      </x:c>
      <x:c r="H881" s="25" t="str">
        <x:v>攻击</x:v>
      </x:c>
      <x:c r="I881" s="25" t="n">
        <x:v>68</x:v>
      </x:c>
      <x:c r="J881" s="25" t="n">
        <x:v>1</x:v>
      </x:c>
      <x:c r="K881" s="25" t="str">
        <x:v>仅装备原始基础值决定主属性范围</x:v>
      </x:c>
    </x:row>
    <x:row r="882">
      <x:c r="A882" s="25" t="str">
        <x:v>C07-G</x:v>
      </x:c>
      <x:c r="B882" s="25" t="str">
        <x:v>化圣雪原</x:v>
      </x:c>
      <x:c r="C882" s="25" t="str">
        <x:v>半急速毕业</x:v>
      </x:c>
      <x:c r="D882" s="25" t="n">
        <x:v>0</x:v>
      </x:c>
      <x:c r="E882" s="25" t="n">
        <x:v>142</x:v>
      </x:c>
      <x:c r="F882" s="25" t="str">
        <x:v>逆页导师长衣</x:v>
      </x:c>
      <x:c r="G882" s="25" t="n">
        <x:v>1</x:v>
      </x:c>
      <x:c r="H882" s="25" t="str">
        <x:v>攻击速度</x:v>
      </x:c>
      <x:c r="I882" s="25" t="n">
        <x:v>2</x:v>
      </x:c>
      <x:c r="J882" s="25" t="n">
        <x:v>5</x:v>
      </x:c>
      <x:c r="K882" s="25" t="str">
        <x:v>仅装备原始基础值决定主属性范围</x:v>
      </x:c>
    </x:row>
    <x:row r="883">
      <x:c r="A883" s="25" t="str">
        <x:v>C07-G</x:v>
      </x:c>
      <x:c r="B883" s="25" t="str">
        <x:v>化圣雪原</x:v>
      </x:c>
      <x:c r="C883" s="25" t="str">
        <x:v>半急速毕业</x:v>
      </x:c>
      <x:c r="D883" s="25" t="n">
        <x:v>0</x:v>
      </x:c>
      <x:c r="E883" s="25" t="n">
        <x:v>142</x:v>
      </x:c>
      <x:c r="F883" s="25" t="str">
        <x:v>逆页导师长衣</x:v>
      </x:c>
      <x:c r="G883" s="25" t="n">
        <x:v>2</x:v>
      </x:c>
      <x:c r="H883" s="25" t="str">
        <x:v>攻击加成</x:v>
      </x:c>
      <x:c r="I883" s="25" t="n">
        <x:v>37</x:v>
      </x:c>
      <x:c r="J883" s="25" t="n">
        <x:v>19</x:v>
      </x:c>
      <x:c r="K883" s="25" t="str">
        <x:v>仅装备原始基础值决定主属性范围</x:v>
      </x:c>
    </x:row>
    <x:row r="884">
      <x:c r="A884" s="25" t="str">
        <x:v>C07-G</x:v>
      </x:c>
      <x:c r="B884" s="25" t="str">
        <x:v>化圣雪原</x:v>
      </x:c>
      <x:c r="C884" s="25" t="str">
        <x:v>半急速毕业</x:v>
      </x:c>
      <x:c r="D884" s="25" t="n">
        <x:v>0</x:v>
      </x:c>
      <x:c r="E884" s="25" t="n">
        <x:v>142</x:v>
      </x:c>
      <x:c r="F884" s="25" t="str">
        <x:v>逆页导师长衣</x:v>
      </x:c>
      <x:c r="G884" s="25" t="n">
        <x:v>3</x:v>
      </x:c>
      <x:c r="H884" s="25" t="str">
        <x:v>攻击</x:v>
      </x:c>
      <x:c r="I884" s="25" t="n">
        <x:v>223</x:v>
      </x:c>
      <x:c r="J884" s="25" t="n">
        <x:v>1</x:v>
      </x:c>
      <x:c r="K884" s="25" t="str">
        <x:v>仅装备原始基础值决定主属性范围</x:v>
      </x:c>
    </x:row>
    <x:row r="885">
      <x:c r="A885" s="25" t="str">
        <x:v>C07-G</x:v>
      </x:c>
      <x:c r="B885" s="25" t="str">
        <x:v>化圣雪原</x:v>
      </x:c>
      <x:c r="C885" s="25" t="str">
        <x:v>半急速毕业</x:v>
      </x:c>
      <x:c r="D885" s="25" t="n">
        <x:v>0</x:v>
      </x:c>
      <x:c r="E885" s="25" t="n">
        <x:v>142</x:v>
      </x:c>
      <x:c r="F885" s="25" t="str">
        <x:v>逆页导师长衣</x:v>
      </x:c>
      <x:c r="G885" s="25" t="n">
        <x:v>4</x:v>
      </x:c>
      <x:c r="H885" s="25" t="str">
        <x:v>最大爆率</x:v>
      </x:c>
      <x:c r="I885" s="25" t="n">
        <x:v>1</x:v>
      </x:c>
      <x:c r="J885" s="25" t="n">
        <x:v>22</x:v>
      </x:c>
      <x:c r="K885" s="25" t="str">
        <x:v>仅装备原始基础值决定主属性范围</x:v>
      </x:c>
    </x:row>
    <x:row r="886">
      <x:c r="A886" s="25" t="str">
        <x:v>C07-G</x:v>
      </x:c>
      <x:c r="B886" s="25" t="str">
        <x:v>化圣雪原</x:v>
      </x:c>
      <x:c r="C886" s="25" t="str">
        <x:v>半急速毕业</x:v>
      </x:c>
      <x:c r="D886" s="25" t="n">
        <x:v>1</x:v>
      </x:c>
      <x:c r="E886" s="25" t="n">
        <x:v>128</x:v>
      </x:c>
      <x:c r="F886" s="25" t="str">
        <x:v>卡利亚月裁长刃</x:v>
      </x:c>
      <x:c r="G886" s="25" t="n">
        <x:v>1</x:v>
      </x:c>
      <x:c r="H886" s="25" t="str">
        <x:v>吸血</x:v>
      </x:c>
      <x:c r="I886" s="25" t="n">
        <x:v>1</x:v>
      </x:c>
      <x:c r="J886" s="25" t="n">
        <x:v>20</x:v>
      </x:c>
      <x:c r="K886" s="25" t="str">
        <x:v>仅装备原始基础值决定主属性范围</x:v>
      </x:c>
    </x:row>
    <x:row r="887">
      <x:c r="A887" s="25" t="str">
        <x:v>C07-G</x:v>
      </x:c>
      <x:c r="B887" s="25" t="str">
        <x:v>化圣雪原</x:v>
      </x:c>
      <x:c r="C887" s="25" t="str">
        <x:v>半急速毕业</x:v>
      </x:c>
      <x:c r="D887" s="25" t="n">
        <x:v>1</x:v>
      </x:c>
      <x:c r="E887" s="25" t="n">
        <x:v>128</x:v>
      </x:c>
      <x:c r="F887" s="25" t="str">
        <x:v>卡利亚月裁长刃</x:v>
      </x:c>
      <x:c r="G887" s="25" t="n">
        <x:v>2</x:v>
      </x:c>
      <x:c r="H887" s="25" t="str">
        <x:v>攻击加成</x:v>
      </x:c>
      <x:c r="I887" s="25" t="n">
        <x:v>48</x:v>
      </x:c>
      <x:c r="J887" s="25" t="n">
        <x:v>19</x:v>
      </x:c>
      <x:c r="K887" s="25" t="str">
        <x:v>仅装备原始基础值决定主属性范围</x:v>
      </x:c>
    </x:row>
    <x:row r="888">
      <x:c r="A888" s="25" t="str">
        <x:v>C07-G</x:v>
      </x:c>
      <x:c r="B888" s="25" t="str">
        <x:v>化圣雪原</x:v>
      </x:c>
      <x:c r="C888" s="25" t="str">
        <x:v>半急速毕业</x:v>
      </x:c>
      <x:c r="D888" s="25" t="n">
        <x:v>3</x:v>
      </x:c>
      <x:c r="E888" s="25" t="n">
        <x:v>143</x:v>
      </x:c>
      <x:c r="F888" s="25" t="str">
        <x:v>腐狱铁链</x:v>
      </x:c>
      <x:c r="G888" s="25" t="n">
        <x:v>1</x:v>
      </x:c>
      <x:c r="H888" s="25" t="str">
        <x:v>处决概率</x:v>
      </x:c>
      <x:c r="I888" s="25" t="n">
        <x:v>1</x:v>
      </x:c>
      <x:c r="J888" s="25" t="n">
        <x:v>6</x:v>
      </x:c>
      <x:c r="K888" s="25" t="str">
        <x:v>仅装备原始基础值决定主属性范围</x:v>
      </x:c>
    </x:row>
    <x:row r="889">
      <x:c r="A889" s="25" t="str">
        <x:v>C07-G</x:v>
      </x:c>
      <x:c r="B889" s="25" t="str">
        <x:v>化圣雪原</x:v>
      </x:c>
      <x:c r="C889" s="25" t="str">
        <x:v>半急速毕业</x:v>
      </x:c>
      <x:c r="D889" s="25" t="n">
        <x:v>3</x:v>
      </x:c>
      <x:c r="E889" s="25" t="n">
        <x:v>143</x:v>
      </x:c>
      <x:c r="F889" s="25" t="str">
        <x:v>腐狱铁链</x:v>
      </x:c>
      <x:c r="G889" s="25" t="n">
        <x:v>2</x:v>
      </x:c>
      <x:c r="H889" s="25" t="str">
        <x:v>攻击加成</x:v>
      </x:c>
      <x:c r="I889" s="25" t="n">
        <x:v>34</x:v>
      </x:c>
      <x:c r="J889" s="25" t="n">
        <x:v>19</x:v>
      </x:c>
      <x:c r="K889" s="25" t="str">
        <x:v>仅装备原始基础值决定主属性范围</x:v>
      </x:c>
    </x:row>
    <x:row r="890">
      <x:c r="A890" s="25" t="str">
        <x:v>C07-G</x:v>
      </x:c>
      <x:c r="B890" s="25" t="str">
        <x:v>化圣雪原</x:v>
      </x:c>
      <x:c r="C890" s="25" t="str">
        <x:v>半急速毕业</x:v>
      </x:c>
      <x:c r="D890" s="25" t="n">
        <x:v>3</x:v>
      </x:c>
      <x:c r="E890" s="25" t="n">
        <x:v>143</x:v>
      </x:c>
      <x:c r="F890" s="25" t="str">
        <x:v>腐狱铁链</x:v>
      </x:c>
      <x:c r="G890" s="25" t="n">
        <x:v>3</x:v>
      </x:c>
      <x:c r="H890" s="25" t="str">
        <x:v>吸血</x:v>
      </x:c>
      <x:c r="I890" s="25" t="n">
        <x:v>1</x:v>
      </x:c>
      <x:c r="J890" s="25" t="n">
        <x:v>20</x:v>
      </x:c>
      <x:c r="K890" s="25" t="str">
        <x:v>仅装备原始基础值决定主属性范围</x:v>
      </x:c>
    </x:row>
    <x:row r="891">
      <x:c r="A891" s="25" t="str">
        <x:v>C07-G</x:v>
      </x:c>
      <x:c r="B891" s="25" t="str">
        <x:v>化圣雪原</x:v>
      </x:c>
      <x:c r="C891" s="25" t="str">
        <x:v>半急速毕业</x:v>
      </x:c>
      <x:c r="D891" s="25" t="n">
        <x:v>3</x:v>
      </x:c>
      <x:c r="E891" s="25" t="n">
        <x:v>143</x:v>
      </x:c>
      <x:c r="F891" s="25" t="str">
        <x:v>腐狱铁链</x:v>
      </x:c>
      <x:c r="G891" s="25" t="n">
        <x:v>4</x:v>
      </x:c>
      <x:c r="H891" s="25" t="str">
        <x:v>暴击</x:v>
      </x:c>
      <x:c r="I891" s="25" t="n">
        <x:v>2</x:v>
      </x:c>
      <x:c r="J891" s="25" t="n">
        <x:v>15</x:v>
      </x:c>
      <x:c r="K891" s="25" t="str">
        <x:v>仅装备原始基础值决定主属性范围</x:v>
      </x:c>
    </x:row>
    <x:row r="892">
      <x:c r="A892" s="25" t="str">
        <x:v>C07-G</x:v>
      </x:c>
      <x:c r="B892" s="25" t="str">
        <x:v>化圣雪原</x:v>
      </x:c>
      <x:c r="C892" s="25" t="str">
        <x:v>半急速毕业</x:v>
      </x:c>
      <x:c r="D892" s="25" t="n">
        <x:v>4</x:v>
      </x:c>
      <x:c r="E892" s="25" t="n">
        <x:v>145</x:v>
      </x:c>
      <x:c r="F892" s="25" t="str">
        <x:v>凝霜乐师冠</x:v>
      </x:c>
      <x:c r="G892" s="25" t="n">
        <x:v>1</x:v>
      </x:c>
      <x:c r="H892" s="25" t="str">
        <x:v>攻击</x:v>
      </x:c>
      <x:c r="I892" s="25" t="n">
        <x:v>106</x:v>
      </x:c>
      <x:c r="J892" s="25" t="n">
        <x:v>1</x:v>
      </x:c>
      <x:c r="K892" s="25" t="str">
        <x:v>仅装备原始基础值决定主属性范围</x:v>
      </x:c>
    </x:row>
    <x:row r="893">
      <x:c r="A893" s="25" t="str">
        <x:v>C07-G</x:v>
      </x:c>
      <x:c r="B893" s="25" t="str">
        <x:v>化圣雪原</x:v>
      </x:c>
      <x:c r="C893" s="25" t="str">
        <x:v>半急速毕业</x:v>
      </x:c>
      <x:c r="D893" s="25" t="n">
        <x:v>4</x:v>
      </x:c>
      <x:c r="E893" s="25" t="n">
        <x:v>145</x:v>
      </x:c>
      <x:c r="F893" s="25" t="str">
        <x:v>凝霜乐师冠</x:v>
      </x:c>
      <x:c r="G893" s="25" t="n">
        <x:v>2</x:v>
      </x:c>
      <x:c r="H893" s="25" t="str">
        <x:v>处决时间</x:v>
      </x:c>
      <x:c r="I893" s="25" t="n">
        <x:v>1</x:v>
      </x:c>
      <x:c r="J893" s="25" t="n">
        <x:v>8</x:v>
      </x:c>
      <x:c r="K893" s="25" t="str">
        <x:v>仅装备原始基础值决定主属性范围</x:v>
      </x:c>
    </x:row>
    <x:row r="894">
      <x:c r="A894" s="25" t="str">
        <x:v>C07-G</x:v>
      </x:c>
      <x:c r="B894" s="25" t="str">
        <x:v>化圣雪原</x:v>
      </x:c>
      <x:c r="C894" s="25" t="str">
        <x:v>半急速毕业</x:v>
      </x:c>
      <x:c r="D894" s="25" t="n">
        <x:v>4</x:v>
      </x:c>
      <x:c r="E894" s="25" t="n">
        <x:v>145</x:v>
      </x:c>
      <x:c r="F894" s="25" t="str">
        <x:v>凝霜乐师冠</x:v>
      </x:c>
      <x:c r="G894" s="25" t="n">
        <x:v>3</x:v>
      </x:c>
      <x:c r="H894" s="25" t="str">
        <x:v>攻击加成</x:v>
      </x:c>
      <x:c r="I894" s="25" t="n">
        <x:v>14</x:v>
      </x:c>
      <x:c r="J894" s="25" t="n">
        <x:v>18</x:v>
      </x:c>
      <x:c r="K894" s="25" t="str">
        <x:v>仅装备原始基础值决定主属性范围</x:v>
      </x:c>
    </x:row>
    <x:row r="895">
      <x:c r="A895" s="25" t="str">
        <x:v>C07-G</x:v>
      </x:c>
      <x:c r="B895" s="25" t="str">
        <x:v>化圣雪原</x:v>
      </x:c>
      <x:c r="C895" s="25" t="str">
        <x:v>半急速毕业</x:v>
      </x:c>
      <x:c r="D895" s="25" t="n">
        <x:v>5</x:v>
      </x:c>
      <x:c r="E895" s="25" t="n">
        <x:v>113</x:v>
      </x:c>
      <x:c r="F895" s="25" t="str">
        <x:v>百指腕甲</x:v>
      </x:c>
      <x:c r="G895" s="25" t="n">
        <x:v>1</x:v>
      </x:c>
      <x:c r="H895" s="25" t="str">
        <x:v>攻击加成</x:v>
      </x:c>
      <x:c r="I895" s="25" t="n">
        <x:v>19</x:v>
      </x:c>
      <x:c r="J895" s="25" t="n">
        <x:v>18</x:v>
      </x:c>
      <x:c r="K895" s="25" t="str">
        <x:v>仅装备原始基础值决定主属性范围</x:v>
      </x:c>
    </x:row>
    <x:row r="896">
      <x:c r="A896" s="25" t="str">
        <x:v>C07-G</x:v>
      </x:c>
      <x:c r="B896" s="25" t="str">
        <x:v>化圣雪原</x:v>
      </x:c>
      <x:c r="C896" s="25" t="str">
        <x:v>半急速毕业</x:v>
      </x:c>
      <x:c r="D896" s="25" t="n">
        <x:v>5</x:v>
      </x:c>
      <x:c r="E896" s="25" t="n">
        <x:v>113</x:v>
      </x:c>
      <x:c r="F896" s="25" t="str">
        <x:v>百指腕甲</x:v>
      </x:c>
      <x:c r="G896" s="25" t="n">
        <x:v>2</x:v>
      </x:c>
      <x:c r="H896" s="25" t="str">
        <x:v>攻击加成</x:v>
      </x:c>
      <x:c r="I896" s="25" t="n">
        <x:v>44</x:v>
      </x:c>
      <x:c r="J896" s="25" t="n">
        <x:v>19</x:v>
      </x:c>
      <x:c r="K896" s="25" t="str">
        <x:v>仅装备原始基础值决定主属性范围</x:v>
      </x:c>
    </x:row>
    <x:row r="897">
      <x:c r="A897" s="25" t="str">
        <x:v>C07-G</x:v>
      </x:c>
      <x:c r="B897" s="25" t="str">
        <x:v>化圣雪原</x:v>
      </x:c>
      <x:c r="C897" s="25" t="str">
        <x:v>半急速毕业</x:v>
      </x:c>
      <x:c r="D897" s="25" t="n">
        <x:v>6</x:v>
      </x:c>
      <x:c r="E897" s="25" t="n">
        <x:v>68</x:v>
      </x:c>
      <x:c r="F897" s="25" t="str">
        <x:v>百指接肢腕</x:v>
      </x:c>
      <x:c r="G897" s="25" t="n">
        <x:v>1</x:v>
      </x:c>
      <x:c r="H897" s="25" t="str">
        <x:v>处决伤害</x:v>
      </x:c>
      <x:c r="I897" s="25" t="n">
        <x:v>1</x:v>
      </x:c>
      <x:c r="J897" s="25" t="n">
        <x:v>10</x:v>
      </x:c>
      <x:c r="K897" s="25" t="str">
        <x:v>仅装备原始基础值决定主属性范围</x:v>
      </x:c>
    </x:row>
    <x:row r="898">
      <x:c r="A898" s="25" t="str">
        <x:v>C07-G</x:v>
      </x:c>
      <x:c r="B898" s="25" t="str">
        <x:v>化圣雪原</x:v>
      </x:c>
      <x:c r="C898" s="25" t="str">
        <x:v>半急速毕业</x:v>
      </x:c>
      <x:c r="D898" s="25" t="n">
        <x:v>6</x:v>
      </x:c>
      <x:c r="E898" s="25" t="n">
        <x:v>68</x:v>
      </x:c>
      <x:c r="F898" s="25" t="str">
        <x:v>百指接肢腕</x:v>
      </x:c>
      <x:c r="G898" s="25" t="n">
        <x:v>2</x:v>
      </x:c>
      <x:c r="H898" s="25" t="str">
        <x:v>攻击加成</x:v>
      </x:c>
      <x:c r="I898" s="25" t="n">
        <x:v>28</x:v>
      </x:c>
      <x:c r="J898" s="25" t="n">
        <x:v>18</x:v>
      </x:c>
      <x:c r="K898" s="25" t="str">
        <x:v>仅装备原始基础值决定主属性范围</x:v>
      </x:c>
    </x:row>
    <x:row r="899">
      <x:c r="A899" s="25" t="str">
        <x:v>C07-G</x:v>
      </x:c>
      <x:c r="B899" s="25" t="str">
        <x:v>化圣雪原</x:v>
      </x:c>
      <x:c r="C899" s="25" t="str">
        <x:v>半急速毕业</x:v>
      </x:c>
      <x:c r="D899" s="25" t="n">
        <x:v>6</x:v>
      </x:c>
      <x:c r="E899" s="25" t="n">
        <x:v>68</x:v>
      </x:c>
      <x:c r="F899" s="25" t="str">
        <x:v>百指接肢腕</x:v>
      </x:c>
      <x:c r="G899" s="25" t="n">
        <x:v>3</x:v>
      </x:c>
      <x:c r="H899" s="25" t="str">
        <x:v>攻击加成</x:v>
      </x:c>
      <x:c r="I899" s="25" t="n">
        <x:v>45</x:v>
      </x:c>
      <x:c r="J899" s="25" t="n">
        <x:v>19</x:v>
      </x:c>
      <x:c r="K899" s="25" t="str">
        <x:v>仅装备原始基础值决定主属性范围</x:v>
      </x:c>
    </x:row>
    <x:row r="900">
      <x:c r="A900" s="25" t="str">
        <x:v>C07-G</x:v>
      </x:c>
      <x:c r="B900" s="25" t="str">
        <x:v>化圣雪原</x:v>
      </x:c>
      <x:c r="C900" s="25" t="str">
        <x:v>半急速毕业</x:v>
      </x:c>
      <x:c r="D900" s="25" t="n">
        <x:v>6</x:v>
      </x:c>
      <x:c r="E900" s="25" t="n">
        <x:v>68</x:v>
      </x:c>
      <x:c r="F900" s="25" t="str">
        <x:v>百指接肢腕</x:v>
      </x:c>
      <x:c r="G900" s="25" t="n">
        <x:v>4</x:v>
      </x:c>
      <x:c r="H900" s="25" t="str">
        <x:v>处决伤害</x:v>
      </x:c>
      <x:c r="I900" s="25" t="n">
        <x:v>2</x:v>
      </x:c>
      <x:c r="J900" s="25" t="n">
        <x:v>11</x:v>
      </x:c>
      <x:c r="K900" s="25" t="str">
        <x:v>仅装备原始基础值决定主属性范围</x:v>
      </x:c>
    </x:row>
    <x:row r="901">
      <x:c r="A901" s="25" t="str">
        <x:v>C07-G</x:v>
      </x:c>
      <x:c r="B901" s="25" t="str">
        <x:v>化圣雪原</x:v>
      </x:c>
      <x:c r="C901" s="25" t="str">
        <x:v>半急速毕业</x:v>
      </x:c>
      <x:c r="D901" s="25" t="n">
        <x:v>6</x:v>
      </x:c>
      <x:c r="E901" s="25" t="n">
        <x:v>68</x:v>
      </x:c>
      <x:c r="F901" s="25" t="str">
        <x:v>百指接肢腕</x:v>
      </x:c>
      <x:c r="G901" s="25" t="n">
        <x:v>5</x:v>
      </x:c>
      <x:c r="H901" s="25" t="str">
        <x:v>暴击</x:v>
      </x:c>
      <x:c r="I901" s="25" t="n">
        <x:v>1</x:v>
      </x:c>
      <x:c r="J901" s="25" t="n">
        <x:v>14</x:v>
      </x:c>
      <x:c r="K901" s="25" t="str">
        <x:v>仅装备原始基础值决定主属性范围</x:v>
      </x:c>
    </x:row>
    <x:row r="902">
      <x:c r="A902" s="25" t="str">
        <x:v>C07-G</x:v>
      </x:c>
      <x:c r="B902" s="25" t="str">
        <x:v>化圣雪原</x:v>
      </x:c>
      <x:c r="C902" s="25" t="str">
        <x:v>半急速毕业</x:v>
      </x:c>
      <x:c r="D902" s="25" t="n">
        <x:v>7</x:v>
      </x:c>
      <x:c r="E902" s="25" t="n">
        <x:v>111</x:v>
      </x:c>
      <x:c r="F902" s="25" t="str">
        <x:v>蓝焰祷戒</x:v>
      </x:c>
      <x:c r="G902" s="25" t="n">
        <x:v>1</x:v>
      </x:c>
      <x:c r="H902" s="25" t="str">
        <x:v>伤害吸收上限</x:v>
      </x:c>
      <x:c r="I902" s="25" t="n">
        <x:v>2</x:v>
      </x:c>
      <x:c r="J902" s="25" t="n">
        <x:v>29</x:v>
      </x:c>
      <x:c r="K902" s="25" t="str">
        <x:v>仅装备原始基础值决定主属性范围</x:v>
      </x:c>
    </x:row>
    <x:row r="903">
      <x:c r="A903" s="25" t="str">
        <x:v>C07-G</x:v>
      </x:c>
      <x:c r="B903" s="25" t="str">
        <x:v>化圣雪原</x:v>
      </x:c>
      <x:c r="C903" s="25" t="str">
        <x:v>半急速毕业</x:v>
      </x:c>
      <x:c r="D903" s="25" t="n">
        <x:v>7</x:v>
      </x:c>
      <x:c r="E903" s="25" t="n">
        <x:v>111</x:v>
      </x:c>
      <x:c r="F903" s="25" t="str">
        <x:v>蓝焰祷戒</x:v>
      </x:c>
      <x:c r="G903" s="25" t="n">
        <x:v>2</x:v>
      </x:c>
      <x:c r="H903" s="25" t="str">
        <x:v>攻击加成</x:v>
      </x:c>
      <x:c r="I903" s="25" t="n">
        <x:v>19</x:v>
      </x:c>
      <x:c r="J903" s="25" t="n">
        <x:v>18</x:v>
      </x:c>
      <x:c r="K903" s="25" t="str">
        <x:v>仅装备原始基础值决定主属性范围</x:v>
      </x:c>
    </x:row>
    <x:row r="904">
      <x:c r="A904" s="25" t="str">
        <x:v>C07-G</x:v>
      </x:c>
      <x:c r="B904" s="25" t="str">
        <x:v>化圣雪原</x:v>
      </x:c>
      <x:c r="C904" s="25" t="str">
        <x:v>半急速毕业</x:v>
      </x:c>
      <x:c r="D904" s="25" t="n">
        <x:v>7</x:v>
      </x:c>
      <x:c r="E904" s="25" t="n">
        <x:v>111</x:v>
      </x:c>
      <x:c r="F904" s="25" t="str">
        <x:v>蓝焰祷戒</x:v>
      </x:c>
      <x:c r="G904" s="25" t="n">
        <x:v>3</x:v>
      </x:c>
      <x:c r="H904" s="25" t="str">
        <x:v>攻击加成</x:v>
      </x:c>
      <x:c r="I904" s="25" t="n">
        <x:v>45</x:v>
      </x:c>
      <x:c r="J904" s="25" t="n">
        <x:v>19</x:v>
      </x:c>
      <x:c r="K904" s="25" t="str">
        <x:v>仅装备原始基础值决定主属性范围</x:v>
      </x:c>
    </x:row>
    <x:row r="905">
      <x:c r="A905" s="25" t="str">
        <x:v>C07-G</x:v>
      </x:c>
      <x:c r="B905" s="25" t="str">
        <x:v>化圣雪原</x:v>
      </x:c>
      <x:c r="C905" s="25" t="str">
        <x:v>半急速毕业</x:v>
      </x:c>
      <x:c r="D905" s="25" t="n">
        <x:v>7</x:v>
      </x:c>
      <x:c r="E905" s="25" t="n">
        <x:v>111</x:v>
      </x:c>
      <x:c r="F905" s="25" t="str">
        <x:v>蓝焰祷戒</x:v>
      </x:c>
      <x:c r="G905" s="25" t="n">
        <x:v>4</x:v>
      </x:c>
      <x:c r="H905" s="25" t="str">
        <x:v>魔法</x:v>
      </x:c>
      <x:c r="I905" s="25" t="n">
        <x:v>101</x:v>
      </x:c>
      <x:c r="J905" s="25" t="n">
        <x:v>2</x:v>
      </x:c>
      <x:c r="K905" s="25" t="str">
        <x:v>仅装备原始基础值决定主属性范围</x:v>
      </x:c>
    </x:row>
    <x:row r="906">
      <x:c r="A906" s="25" t="str">
        <x:v>C07-G</x:v>
      </x:c>
      <x:c r="B906" s="25" t="str">
        <x:v>化圣雪原</x:v>
      </x:c>
      <x:c r="C906" s="25" t="str">
        <x:v>半急速毕业</x:v>
      </x:c>
      <x:c r="D906" s="25" t="n">
        <x:v>7</x:v>
      </x:c>
      <x:c r="E906" s="25" t="n">
        <x:v>111</x:v>
      </x:c>
      <x:c r="F906" s="25" t="str">
        <x:v>蓝焰祷戒</x:v>
      </x:c>
      <x:c r="G906" s="25" t="n">
        <x:v>5</x:v>
      </x:c>
      <x:c r="H906" s="25" t="str">
        <x:v>暴击</x:v>
      </x:c>
      <x:c r="I906" s="25" t="n">
        <x:v>1</x:v>
      </x:c>
      <x:c r="J906" s="25" t="n">
        <x:v>14</x:v>
      </x:c>
      <x:c r="K906" s="25" t="str">
        <x:v>仅装备原始基础值决定主属性范围</x:v>
      </x:c>
    </x:row>
    <x:row r="907">
      <x:c r="A907" s="25" t="str">
        <x:v>C07-G</x:v>
      </x:c>
      <x:c r="B907" s="25" t="str">
        <x:v>化圣雪原</x:v>
      </x:c>
      <x:c r="C907" s="25" t="str">
        <x:v>半急速毕业</x:v>
      </x:c>
      <x:c r="D907" s="25" t="n">
        <x:v>8</x:v>
      </x:c>
      <x:c r="E907" s="25" t="n">
        <x:v>118</x:v>
      </x:c>
      <x:c r="F907" s="25" t="str">
        <x:v>月渊秘戒</x:v>
      </x:c>
      <x:c r="G907" s="25" t="n">
        <x:v>1</x:v>
      </x:c>
      <x:c r="H907" s="25" t="str">
        <x:v>处决伤害</x:v>
      </x:c>
      <x:c r="I907" s="25" t="n">
        <x:v>2</x:v>
      </x:c>
      <x:c r="J907" s="25" t="n">
        <x:v>11</x:v>
      </x:c>
      <x:c r="K907" s="25" t="str">
        <x:v>仅装备原始基础值决定主属性范围</x:v>
      </x:c>
    </x:row>
    <x:row r="908">
      <x:c r="A908" s="25" t="str">
        <x:v>C07-G</x:v>
      </x:c>
      <x:c r="B908" s="25" t="str">
        <x:v>化圣雪原</x:v>
      </x:c>
      <x:c r="C908" s="25" t="str">
        <x:v>半急速毕业</x:v>
      </x:c>
      <x:c r="D908" s="25" t="n">
        <x:v>8</x:v>
      </x:c>
      <x:c r="E908" s="25" t="n">
        <x:v>118</x:v>
      </x:c>
      <x:c r="F908" s="25" t="str">
        <x:v>月渊秘戒</x:v>
      </x:c>
      <x:c r="G908" s="25" t="n">
        <x:v>2</x:v>
      </x:c>
      <x:c r="H908" s="25" t="str">
        <x:v>攻击加成</x:v>
      </x:c>
      <x:c r="I908" s="25" t="n">
        <x:v>28</x:v>
      </x:c>
      <x:c r="J908" s="25" t="n">
        <x:v>18</x:v>
      </x:c>
      <x:c r="K908" s="25" t="str">
        <x:v>仅装备原始基础值决定主属性范围</x:v>
      </x:c>
    </x:row>
    <x:row r="909">
      <x:c r="A909" s="25" t="str">
        <x:v>C07-G</x:v>
      </x:c>
      <x:c r="B909" s="25" t="str">
        <x:v>化圣雪原</x:v>
      </x:c>
      <x:c r="C909" s="25" t="str">
        <x:v>半急速毕业</x:v>
      </x:c>
      <x:c r="D909" s="25" t="n">
        <x:v>8</x:v>
      </x:c>
      <x:c r="E909" s="25" t="n">
        <x:v>118</x:v>
      </x:c>
      <x:c r="F909" s="25" t="str">
        <x:v>月渊秘戒</x:v>
      </x:c>
      <x:c r="G909" s="25" t="n">
        <x:v>3</x:v>
      </x:c>
      <x:c r="H909" s="25" t="str">
        <x:v>攻击加成</x:v>
      </x:c>
      <x:c r="I909" s="25" t="n">
        <x:v>41</x:v>
      </x:c>
      <x:c r="J909" s="25" t="n">
        <x:v>19</x:v>
      </x:c>
      <x:c r="K909" s="25" t="str">
        <x:v>仅装备原始基础值决定主属性范围</x:v>
      </x:c>
    </x:row>
    <x:row r="910">
      <x:c r="A910" s="25" t="str">
        <x:v>C07-G</x:v>
      </x:c>
      <x:c r="B910" s="25" t="str">
        <x:v>化圣雪原</x:v>
      </x:c>
      <x:c r="C910" s="25" t="str">
        <x:v>半急速毕业</x:v>
      </x:c>
      <x:c r="D910" s="25" t="n">
        <x:v>8</x:v>
      </x:c>
      <x:c r="E910" s="25" t="n">
        <x:v>118</x:v>
      </x:c>
      <x:c r="F910" s="25" t="str">
        <x:v>月渊秘戒</x:v>
      </x:c>
      <x:c r="G910" s="25" t="n">
        <x:v>4</x:v>
      </x:c>
      <x:c r="H910" s="25" t="str">
        <x:v>道术</x:v>
      </x:c>
      <x:c r="I910" s="25" t="n">
        <x:v>75</x:v>
      </x:c>
      <x:c r="J910" s="25" t="n">
        <x:v>3</x:v>
      </x:c>
      <x:c r="K910" s="25" t="str">
        <x:v>仅装备原始基础值决定主属性范围</x:v>
      </x:c>
    </x:row>
    <x:row r="911">
      <x:c r="A911" s="25" t="str">
        <x:v>C07-G</x:v>
      </x:c>
      <x:c r="B911" s="25" t="str">
        <x:v>化圣雪原</x:v>
      </x:c>
      <x:c r="C911" s="25" t="str">
        <x:v>半急速毕业</x:v>
      </x:c>
      <x:c r="D911" s="25" t="n">
        <x:v>8</x:v>
      </x:c>
      <x:c r="E911" s="25" t="n">
        <x:v>118</x:v>
      </x:c>
      <x:c r="F911" s="25" t="str">
        <x:v>月渊秘戒</x:v>
      </x:c>
      <x:c r="G911" s="25" t="n">
        <x:v>5</x:v>
      </x:c>
      <x:c r="H911" s="25" t="str">
        <x:v>道术</x:v>
      </x:c>
      <x:c r="I911" s="25" t="n">
        <x:v>23</x:v>
      </x:c>
      <x:c r="J911" s="25" t="n">
        <x:v>3</x:v>
      </x:c>
      <x:c r="K911" s="25" t="str">
        <x:v>仅装备原始基础值决定主属性范围</x:v>
      </x:c>
    </x:row>
    <x:row r="912">
      <x:c r="A912" s="25" t="str">
        <x:v>C07-G</x:v>
      </x:c>
      <x:c r="B912" s="25" t="str">
        <x:v>化圣雪原</x:v>
      </x:c>
      <x:c r="C912" s="25" t="str">
        <x:v>半急速毕业</x:v>
      </x:c>
      <x:c r="D912" s="25" t="n">
        <x:v>8</x:v>
      </x:c>
      <x:c r="E912" s="25" t="n">
        <x:v>118</x:v>
      </x:c>
      <x:c r="F912" s="25" t="str">
        <x:v>月渊秘戒</x:v>
      </x:c>
      <x:c r="G912" s="25" t="n">
        <x:v>6</x:v>
      </x:c>
      <x:c r="H912" s="25" t="str">
        <x:v>最大爆率</x:v>
      </x:c>
      <x:c r="I912" s="25" t="n">
        <x:v>3</x:v>
      </x:c>
      <x:c r="J912" s="25" t="n">
        <x:v>24</x:v>
      </x:c>
      <x:c r="K912" s="25" t="str">
        <x:v>仅装备原始基础值决定主属性范围</x:v>
      </x:c>
    </x:row>
    <x:row r="913">
      <x:c r="A913" s="25" t="str">
        <x:v>C07-G</x:v>
      </x:c>
      <x:c r="B913" s="25" t="str">
        <x:v>化圣雪原</x:v>
      </x:c>
      <x:c r="C913" s="25" t="str">
        <x:v>半急速毕业</x:v>
      </x:c>
      <x:c r="D913" s="25" t="n">
        <x:v>10</x:v>
      </x:c>
      <x:c r="E913" s="25" t="n">
        <x:v>123</x:v>
      </x:c>
      <x:c r="F913" s="25" t="str">
        <x:v>汲月雾绦</x:v>
      </x:c>
      <x:c r="G913" s="25" t="n">
        <x:v>1</x:v>
      </x:c>
      <x:c r="H913" s="25" t="str">
        <x:v>处决伤害</x:v>
      </x:c>
      <x:c r="I913" s="25" t="n">
        <x:v>1</x:v>
      </x:c>
      <x:c r="J913" s="25" t="n">
        <x:v>10</x:v>
      </x:c>
      <x:c r="K913" s="25" t="str">
        <x:v>仅装备原始基础值决定主属性范围</x:v>
      </x:c>
    </x:row>
    <x:row r="914">
      <x:c r="A914" s="25" t="str">
        <x:v>C07-G</x:v>
      </x:c>
      <x:c r="B914" s="25" t="str">
        <x:v>化圣雪原</x:v>
      </x:c>
      <x:c r="C914" s="25" t="str">
        <x:v>半急速毕业</x:v>
      </x:c>
      <x:c r="D914" s="25" t="n">
        <x:v>10</x:v>
      </x:c>
      <x:c r="E914" s="25" t="n">
        <x:v>123</x:v>
      </x:c>
      <x:c r="F914" s="25" t="str">
        <x:v>汲月雾绦</x:v>
      </x:c>
      <x:c r="G914" s="25" t="n">
        <x:v>2</x:v>
      </x:c>
      <x:c r="H914" s="25" t="str">
        <x:v>处决伤害</x:v>
      </x:c>
      <x:c r="I914" s="25" t="n">
        <x:v>1</x:v>
      </x:c>
      <x:c r="J914" s="25" t="n">
        <x:v>10</x:v>
      </x:c>
      <x:c r="K914" s="25" t="str">
        <x:v>仅装备原始基础值决定主属性范围</x:v>
      </x:c>
    </x:row>
    <x:row r="915">
      <x:c r="A915" s="25" t="str">
        <x:v>C07-G</x:v>
      </x:c>
      <x:c r="B915" s="25" t="str">
        <x:v>化圣雪原</x:v>
      </x:c>
      <x:c r="C915" s="25" t="str">
        <x:v>半急速毕业</x:v>
      </x:c>
      <x:c r="D915" s="25" t="n">
        <x:v>10</x:v>
      </x:c>
      <x:c r="E915" s="25" t="n">
        <x:v>123</x:v>
      </x:c>
      <x:c r="F915" s="25" t="str">
        <x:v>汲月雾绦</x:v>
      </x:c>
      <x:c r="G915" s="25" t="n">
        <x:v>3</x:v>
      </x:c>
      <x:c r="H915" s="25" t="str">
        <x:v>攻击加成</x:v>
      </x:c>
      <x:c r="I915" s="25" t="n">
        <x:v>28</x:v>
      </x:c>
      <x:c r="J915" s="25" t="n">
        <x:v>18</x:v>
      </x:c>
      <x:c r="K915" s="25" t="str">
        <x:v>仅装备原始基础值决定主属性范围</x:v>
      </x:c>
    </x:row>
    <x:row r="916">
      <x:c r="A916" s="25" t="str">
        <x:v>C07-G</x:v>
      </x:c>
      <x:c r="B916" s="25" t="str">
        <x:v>化圣雪原</x:v>
      </x:c>
      <x:c r="C916" s="25" t="str">
        <x:v>半急速毕业</x:v>
      </x:c>
      <x:c r="D916" s="25" t="n">
        <x:v>10</x:v>
      </x:c>
      <x:c r="E916" s="25" t="n">
        <x:v>123</x:v>
      </x:c>
      <x:c r="F916" s="25" t="str">
        <x:v>汲月雾绦</x:v>
      </x:c>
      <x:c r="G916" s="25" t="n">
        <x:v>4</x:v>
      </x:c>
      <x:c r="H916" s="25" t="str">
        <x:v>攻击</x:v>
      </x:c>
      <x:c r="I916" s="25" t="n">
        <x:v>101</x:v>
      </x:c>
      <x:c r="J916" s="25" t="n">
        <x:v>1</x:v>
      </x:c>
      <x:c r="K916" s="25" t="str">
        <x:v>仅装备原始基础值决定主属性范围</x:v>
      </x:c>
    </x:row>
    <x:row r="917">
      <x:c r="A917" s="25" t="str">
        <x:v>C07-G</x:v>
      </x:c>
      <x:c r="B917" s="25" t="str">
        <x:v>化圣雪原</x:v>
      </x:c>
      <x:c r="C917" s="25" t="str">
        <x:v>半急速毕业</x:v>
      </x:c>
      <x:c r="D917" s="25" t="n">
        <x:v>10</x:v>
      </x:c>
      <x:c r="E917" s="25" t="n">
        <x:v>123</x:v>
      </x:c>
      <x:c r="F917" s="25" t="str">
        <x:v>汲月雾绦</x:v>
      </x:c>
      <x:c r="G917" s="25" t="n">
        <x:v>5</x:v>
      </x:c>
      <x:c r="H917" s="25" t="str">
        <x:v>攻击加成</x:v>
      </x:c>
      <x:c r="I917" s="25" t="n">
        <x:v>8</x:v>
      </x:c>
      <x:c r="J917" s="25" t="n">
        <x:v>18</x:v>
      </x:c>
      <x:c r="K917" s="25" t="str">
        <x:v>仅装备原始基础值决定主属性范围</x:v>
      </x:c>
    </x:row>
    <x:row r="918">
      <x:c r="A918" s="25" t="str">
        <x:v>C07-G</x:v>
      </x:c>
      <x:c r="B918" s="25" t="str">
        <x:v>化圣雪原</x:v>
      </x:c>
      <x:c r="C918" s="25" t="str">
        <x:v>半急速毕业</x:v>
      </x:c>
      <x:c r="D918" s="25" t="n">
        <x:v>11</x:v>
      </x:c>
      <x:c r="E918" s="25" t="n">
        <x:v>94</x:v>
      </x:c>
      <x:c r="F918" s="25" t="str">
        <x:v>逐风征靴</x:v>
      </x:c>
      <x:c r="G918" s="25" t="n">
        <x:v>1</x:v>
      </x:c>
      <x:c r="H918" s="25" t="str">
        <x:v>魔法</x:v>
      </x:c>
      <x:c r="I918" s="25" t="n">
        <x:v>46</x:v>
      </x:c>
      <x:c r="J918" s="25" t="n">
        <x:v>2</x:v>
      </x:c>
      <x:c r="K918" s="25" t="str">
        <x:v>仅装备原始基础值决定主属性范围</x:v>
      </x:c>
    </x:row>
    <x:row r="919">
      <x:c r="A919" s="25" t="str">
        <x:v>C07-G</x:v>
      </x:c>
      <x:c r="B919" s="25" t="str">
        <x:v>化圣雪原</x:v>
      </x:c>
      <x:c r="C919" s="25" t="str">
        <x:v>半急速毕业</x:v>
      </x:c>
      <x:c r="D919" s="25" t="n">
        <x:v>11</x:v>
      </x:c>
      <x:c r="E919" s="25" t="n">
        <x:v>94</x:v>
      </x:c>
      <x:c r="F919" s="25" t="str">
        <x:v>逐风征靴</x:v>
      </x:c>
      <x:c r="G919" s="25" t="n">
        <x:v>2</x:v>
      </x:c>
      <x:c r="H919" s="25" t="str">
        <x:v>攻击加成</x:v>
      </x:c>
      <x:c r="I919" s="25" t="n">
        <x:v>30</x:v>
      </x:c>
      <x:c r="J919" s="25" t="n">
        <x:v>18</x:v>
      </x:c>
      <x:c r="K919" s="25" t="str">
        <x:v>仅装备原始基础值决定主属性范围</x:v>
      </x:c>
    </x:row>
    <x:row r="920">
      <x:c r="A920" s="25" t="str">
        <x:v>C07-G</x:v>
      </x:c>
      <x:c r="B920" s="25" t="str">
        <x:v>化圣雪原</x:v>
      </x:c>
      <x:c r="C920" s="25" t="str">
        <x:v>半急速毕业</x:v>
      </x:c>
      <x:c r="D920" s="25" t="n">
        <x:v>11</x:v>
      </x:c>
      <x:c r="E920" s="25" t="n">
        <x:v>94</x:v>
      </x:c>
      <x:c r="F920" s="25" t="str">
        <x:v>逐风征靴</x:v>
      </x:c>
      <x:c r="G920" s="25" t="n">
        <x:v>3</x:v>
      </x:c>
      <x:c r="H920" s="25" t="str">
        <x:v>攻击</x:v>
      </x:c>
      <x:c r="I920" s="25" t="n">
        <x:v>68</x:v>
      </x:c>
      <x:c r="J920" s="25" t="n">
        <x:v>1</x:v>
      </x:c>
      <x:c r="K920" s="25" t="str">
        <x:v>仅装备原始基础值决定主属性范围</x:v>
      </x:c>
    </x:row>
    <x:row r="921">
      <x:c r="A921" s="25" t="str">
        <x:v>C07-X</x:v>
      </x:c>
      <x:c r="B921" s="25" t="str">
        <x:v>化圣雪原</x:v>
      </x:c>
      <x:c r="C921" s="25" t="str">
        <x:v>极端压力</x:v>
      </x:c>
      <x:c r="D921" s="25" t="n">
        <x:v>0</x:v>
      </x:c>
      <x:c r="E921" s="25" t="n">
        <x:v>154</x:v>
      </x:c>
      <x:c r="F921" s="25" t="str">
        <x:v>埃琉斯永霜铠</x:v>
      </x:c>
      <x:c r="G921" s="25" t="n">
        <x:v>1</x:v>
      </x:c>
      <x:c r="H921" s="25" t="str">
        <x:v>处决概率</x:v>
      </x:c>
      <x:c r="I921" s="25" t="n">
        <x:v>2</x:v>
      </x:c>
      <x:c r="J921" s="25" t="n">
        <x:v>7</x:v>
      </x:c>
      <x:c r="K921" s="25" t="str">
        <x:v>仅装备原始基础值决定主属性范围</x:v>
      </x:c>
    </x:row>
    <x:row r="922">
      <x:c r="A922" s="25" t="str">
        <x:v>C07-X</x:v>
      </x:c>
      <x:c r="B922" s="25" t="str">
        <x:v>化圣雪原</x:v>
      </x:c>
      <x:c r="C922" s="25" t="str">
        <x:v>极端压力</x:v>
      </x:c>
      <x:c r="D922" s="25" t="n">
        <x:v>0</x:v>
      </x:c>
      <x:c r="E922" s="25" t="n">
        <x:v>154</x:v>
      </x:c>
      <x:c r="F922" s="25" t="str">
        <x:v>埃琉斯永霜铠</x:v>
      </x:c>
      <x:c r="G922" s="25" t="n">
        <x:v>2</x:v>
      </x:c>
      <x:c r="H922" s="25" t="str">
        <x:v>攻击加成</x:v>
      </x:c>
      <x:c r="I922" s="25" t="n">
        <x:v>26</x:v>
      </x:c>
      <x:c r="J922" s="25" t="n">
        <x:v>18</x:v>
      </x:c>
      <x:c r="K922" s="25" t="str">
        <x:v>仅装备原始基础值决定主属性范围</x:v>
      </x:c>
    </x:row>
    <x:row r="923">
      <x:c r="A923" s="25" t="str">
        <x:v>C07-X</x:v>
      </x:c>
      <x:c r="B923" s="25" t="str">
        <x:v>化圣雪原</x:v>
      </x:c>
      <x:c r="C923" s="25" t="str">
        <x:v>极端压力</x:v>
      </x:c>
      <x:c r="D923" s="25" t="n">
        <x:v>0</x:v>
      </x:c>
      <x:c r="E923" s="25" t="n">
        <x:v>154</x:v>
      </x:c>
      <x:c r="F923" s="25" t="str">
        <x:v>埃琉斯永霜铠</x:v>
      </x:c>
      <x:c r="G923" s="25" t="n">
        <x:v>3</x:v>
      </x:c>
      <x:c r="H923" s="25" t="str">
        <x:v>处决概率</x:v>
      </x:c>
      <x:c r="I923" s="25" t="n">
        <x:v>1</x:v>
      </x:c>
      <x:c r="J923" s="25" t="n">
        <x:v>6</x:v>
      </x:c>
      <x:c r="K923" s="25" t="str">
        <x:v>仅装备原始基础值决定主属性范围</x:v>
      </x:c>
    </x:row>
    <x:row r="924">
      <x:c r="A924" s="25" t="str">
        <x:v>C07-X</x:v>
      </x:c>
      <x:c r="B924" s="25" t="str">
        <x:v>化圣雪原</x:v>
      </x:c>
      <x:c r="C924" s="25" t="str">
        <x:v>极端压力</x:v>
      </x:c>
      <x:c r="D924" s="25" t="n">
        <x:v>0</x:v>
      </x:c>
      <x:c r="E924" s="25" t="n">
        <x:v>154</x:v>
      </x:c>
      <x:c r="F924" s="25" t="str">
        <x:v>埃琉斯永霜铠</x:v>
      </x:c>
      <x:c r="G924" s="25" t="n">
        <x:v>4</x:v>
      </x:c>
      <x:c r="H924" s="25" t="str">
        <x:v>致命一击</x:v>
      </x:c>
      <x:c r="I924" s="25" t="n">
        <x:v>1</x:v>
      </x:c>
      <x:c r="J924" s="25" t="n">
        <x:v>16</x:v>
      </x:c>
      <x:c r="K924" s="25" t="str">
        <x:v>仅装备原始基础值决定主属性范围</x:v>
      </x:c>
    </x:row>
    <x:row r="925">
      <x:c r="A925" s="25" t="str">
        <x:v>C07-X</x:v>
      </x:c>
      <x:c r="B925" s="25" t="str">
        <x:v>化圣雪原</x:v>
      </x:c>
      <x:c r="C925" s="25" t="str">
        <x:v>极端压力</x:v>
      </x:c>
      <x:c r="D925" s="25" t="n">
        <x:v>0</x:v>
      </x:c>
      <x:c r="E925" s="25" t="n">
        <x:v>154</x:v>
      </x:c>
      <x:c r="F925" s="25" t="str">
        <x:v>埃琉斯永霜铠</x:v>
      </x:c>
      <x:c r="G925" s="25" t="n">
        <x:v>5</x:v>
      </x:c>
      <x:c r="H925" s="25" t="str">
        <x:v>最大爆率</x:v>
      </x:c>
      <x:c r="I925" s="25" t="n">
        <x:v>1</x:v>
      </x:c>
      <x:c r="J925" s="25" t="n">
        <x:v>22</x:v>
      </x:c>
      <x:c r="K925" s="25" t="str">
        <x:v>仅装备原始基础值决定主属性范围</x:v>
      </x:c>
    </x:row>
    <x:row r="926">
      <x:c r="A926" s="25" t="str">
        <x:v>C07-X</x:v>
      </x:c>
      <x:c r="B926" s="25" t="str">
        <x:v>化圣雪原</x:v>
      </x:c>
      <x:c r="C926" s="25" t="str">
        <x:v>极端压力</x:v>
      </x:c>
      <x:c r="D926" s="25" t="n">
        <x:v>1</x:v>
      </x:c>
      <x:c r="E926" s="25" t="n">
        <x:v>153</x:v>
      </x:c>
      <x:c r="F926" s="25" t="str">
        <x:v>诺薇霜镰</x:v>
      </x:c>
      <x:c r="G926" s="25" t="n">
        <x:v>1</x:v>
      </x:c>
      <x:c r="H926" s="25" t="str">
        <x:v>攻击加成</x:v>
      </x:c>
      <x:c r="I926" s="25" t="n">
        <x:v>50</x:v>
      </x:c>
      <x:c r="J926" s="25" t="n">
        <x:v>19</x:v>
      </x:c>
      <x:c r="K926" s="25" t="str">
        <x:v>仅装备原始基础值决定主属性范围</x:v>
      </x:c>
    </x:row>
    <x:row r="927">
      <x:c r="A927" s="25" t="str">
        <x:v>C07-X</x:v>
      </x:c>
      <x:c r="B927" s="25" t="str">
        <x:v>化圣雪原</x:v>
      </x:c>
      <x:c r="C927" s="25" t="str">
        <x:v>极端压力</x:v>
      </x:c>
      <x:c r="D927" s="25" t="n">
        <x:v>1</x:v>
      </x:c>
      <x:c r="E927" s="25" t="n">
        <x:v>153</x:v>
      </x:c>
      <x:c r="F927" s="25" t="str">
        <x:v>诺薇霜镰</x:v>
      </x:c>
      <x:c r="G927" s="25" t="n">
        <x:v>2</x:v>
      </x:c>
      <x:c r="H927" s="25" t="str">
        <x:v>处决伤害</x:v>
      </x:c>
      <x:c r="I927" s="25" t="n">
        <x:v>1</x:v>
      </x:c>
      <x:c r="J927" s="25" t="n">
        <x:v>10</x:v>
      </x:c>
      <x:c r="K927" s="25" t="str">
        <x:v>仅装备原始基础值决定主属性范围</x:v>
      </x:c>
    </x:row>
    <x:row r="928">
      <x:c r="A928" s="25" t="str">
        <x:v>C07-X</x:v>
      </x:c>
      <x:c r="B928" s="25" t="str">
        <x:v>化圣雪原</x:v>
      </x:c>
      <x:c r="C928" s="25" t="str">
        <x:v>极端压力</x:v>
      </x:c>
      <x:c r="D928" s="25" t="n">
        <x:v>3</x:v>
      </x:c>
      <x:c r="E928" s="25" t="n">
        <x:v>155</x:v>
      </x:c>
      <x:c r="F928" s="25" t="str">
        <x:v>白翼颈链</x:v>
      </x:c>
      <x:c r="G928" s="25" t="n">
        <x:v>1</x:v>
      </x:c>
      <x:c r="H928" s="25" t="str">
        <x:v>韧性</x:v>
      </x:c>
      <x:c r="I928" s="25" t="n">
        <x:v>10</x:v>
      </x:c>
      <x:c r="J928" s="25" t="n">
        <x:v>12</x:v>
      </x:c>
      <x:c r="K928" s="25" t="str">
        <x:v>仅装备原始基础值决定主属性范围</x:v>
      </x:c>
    </x:row>
    <x:row r="929">
      <x:c r="A929" s="25" t="str">
        <x:v>C07-X</x:v>
      </x:c>
      <x:c r="B929" s="25" t="str">
        <x:v>化圣雪原</x:v>
      </x:c>
      <x:c r="C929" s="25" t="str">
        <x:v>极端压力</x:v>
      </x:c>
      <x:c r="D929" s="25" t="n">
        <x:v>3</x:v>
      </x:c>
      <x:c r="E929" s="25" t="n">
        <x:v>155</x:v>
      </x:c>
      <x:c r="F929" s="25" t="str">
        <x:v>白翼颈链</x:v>
      </x:c>
      <x:c r="G929" s="25" t="n">
        <x:v>2</x:v>
      </x:c>
      <x:c r="H929" s="25" t="str">
        <x:v>处决时间</x:v>
      </x:c>
      <x:c r="I929" s="25" t="n">
        <x:v>2</x:v>
      </x:c>
      <x:c r="J929" s="25" t="n">
        <x:v>9</x:v>
      </x:c>
      <x:c r="K929" s="25" t="str">
        <x:v>仅装备原始基础值决定主属性范围</x:v>
      </x:c>
    </x:row>
    <x:row r="930">
      <x:c r="A930" s="25" t="str">
        <x:v>C07-X</x:v>
      </x:c>
      <x:c r="B930" s="25" t="str">
        <x:v>化圣雪原</x:v>
      </x:c>
      <x:c r="C930" s="25" t="str">
        <x:v>极端压力</x:v>
      </x:c>
      <x:c r="D930" s="25" t="n">
        <x:v>3</x:v>
      </x:c>
      <x:c r="E930" s="25" t="n">
        <x:v>155</x:v>
      </x:c>
      <x:c r="F930" s="25" t="str">
        <x:v>白翼颈链</x:v>
      </x:c>
      <x:c r="G930" s="25" t="n">
        <x:v>3</x:v>
      </x:c>
      <x:c r="H930" s="25" t="str">
        <x:v>攻击加成</x:v>
      </x:c>
      <x:c r="I930" s="25" t="n">
        <x:v>45</x:v>
      </x:c>
      <x:c r="J930" s="25" t="n">
        <x:v>19</x:v>
      </x:c>
      <x:c r="K930" s="25" t="str">
        <x:v>仅装备原始基础值决定主属性范围</x:v>
      </x:c>
    </x:row>
    <x:row r="931">
      <x:c r="A931" s="25" t="str">
        <x:v>C07-X</x:v>
      </x:c>
      <x:c r="B931" s="25" t="str">
        <x:v>化圣雪原</x:v>
      </x:c>
      <x:c r="C931" s="25" t="str">
        <x:v>极端压力</x:v>
      </x:c>
      <x:c r="D931" s="25" t="n">
        <x:v>3</x:v>
      </x:c>
      <x:c r="E931" s="25" t="n">
        <x:v>155</x:v>
      </x:c>
      <x:c r="F931" s="25" t="str">
        <x:v>白翼颈链</x:v>
      </x:c>
      <x:c r="G931" s="25" t="n">
        <x:v>4</x:v>
      </x:c>
      <x:c r="H931" s="25" t="str">
        <x:v>攻击</x:v>
      </x:c>
      <x:c r="I931" s="25" t="n">
        <x:v>648</x:v>
      </x:c>
      <x:c r="J931" s="25" t="n">
        <x:v>1</x:v>
      </x:c>
      <x:c r="K931" s="25" t="str">
        <x:v>仅装备原始基础值决定主属性范围</x:v>
      </x:c>
    </x:row>
    <x:row r="932">
      <x:c r="A932" s="25" t="str">
        <x:v>C07-X</x:v>
      </x:c>
      <x:c r="B932" s="25" t="str">
        <x:v>化圣雪原</x:v>
      </x:c>
      <x:c r="C932" s="25" t="str">
        <x:v>极端压力</x:v>
      </x:c>
      <x:c r="D932" s="25" t="n">
        <x:v>3</x:v>
      </x:c>
      <x:c r="E932" s="25" t="n">
        <x:v>155</x:v>
      </x:c>
      <x:c r="F932" s="25" t="str">
        <x:v>白翼颈链</x:v>
      </x:c>
      <x:c r="G932" s="25" t="n">
        <x:v>5</x:v>
      </x:c>
      <x:c r="H932" s="25" t="str">
        <x:v>韧性</x:v>
      </x:c>
      <x:c r="I932" s="25" t="n">
        <x:v>20</x:v>
      </x:c>
      <x:c r="J932" s="25" t="n">
        <x:v>13</x:v>
      </x:c>
      <x:c r="K932" s="25" t="str">
        <x:v>仅装备原始基础值决定主属性范围</x:v>
      </x:c>
    </x:row>
    <x:row r="933">
      <x:c r="A933" s="25" t="str">
        <x:v>C07-X</x:v>
      </x:c>
      <x:c r="B933" s="25" t="str">
        <x:v>化圣雪原</x:v>
      </x:c>
      <x:c r="C933" s="25" t="str">
        <x:v>极端压力</x:v>
      </x:c>
      <x:c r="D933" s="25" t="n">
        <x:v>4</x:v>
      </x:c>
      <x:c r="E933" s="25" t="n">
        <x:v>161</x:v>
      </x:c>
      <x:c r="F933" s="25" t="str">
        <x:v>希尔达圣冠</x:v>
      </x:c>
      <x:c r="G933" s="25" t="n">
        <x:v>1</x:v>
      </x:c>
      <x:c r="H933" s="25" t="str">
        <x:v>韧性</x:v>
      </x:c>
      <x:c r="I933" s="25" t="n">
        <x:v>10</x:v>
      </x:c>
      <x:c r="J933" s="25" t="n">
        <x:v>12</x:v>
      </x:c>
      <x:c r="K933" s="25" t="str">
        <x:v>仅装备原始基础值决定主属性范围</x:v>
      </x:c>
    </x:row>
    <x:row r="934">
      <x:c r="A934" s="25" t="str">
        <x:v>C07-X</x:v>
      </x:c>
      <x:c r="B934" s="25" t="str">
        <x:v>化圣雪原</x:v>
      </x:c>
      <x:c r="C934" s="25" t="str">
        <x:v>极端压力</x:v>
      </x:c>
      <x:c r="D934" s="25" t="n">
        <x:v>4</x:v>
      </x:c>
      <x:c r="E934" s="25" t="n">
        <x:v>161</x:v>
      </x:c>
      <x:c r="F934" s="25" t="str">
        <x:v>希尔达圣冠</x:v>
      </x:c>
      <x:c r="G934" s="25" t="n">
        <x:v>2</x:v>
      </x:c>
      <x:c r="H934" s="25" t="str">
        <x:v>攻击加成</x:v>
      </x:c>
      <x:c r="I934" s="25" t="n">
        <x:v>39</x:v>
      </x:c>
      <x:c r="J934" s="25" t="n">
        <x:v>19</x:v>
      </x:c>
      <x:c r="K934" s="25" t="str">
        <x:v>仅装备原始基础值决定主属性范围</x:v>
      </x:c>
    </x:row>
    <x:row r="935">
      <x:c r="A935" s="25" t="str">
        <x:v>C07-X</x:v>
      </x:c>
      <x:c r="B935" s="25" t="str">
        <x:v>化圣雪原</x:v>
      </x:c>
      <x:c r="C935" s="25" t="str">
        <x:v>极端压力</x:v>
      </x:c>
      <x:c r="D935" s="25" t="n">
        <x:v>4</x:v>
      </x:c>
      <x:c r="E935" s="25" t="n">
        <x:v>161</x:v>
      </x:c>
      <x:c r="F935" s="25" t="str">
        <x:v>希尔达圣冠</x:v>
      </x:c>
      <x:c r="G935" s="25" t="n">
        <x:v>3</x:v>
      </x:c>
      <x:c r="H935" s="25" t="str">
        <x:v>处决伤害</x:v>
      </x:c>
      <x:c r="I935" s="25" t="n">
        <x:v>1</x:v>
      </x:c>
      <x:c r="J935" s="25" t="n">
        <x:v>10</x:v>
      </x:c>
      <x:c r="K935" s="25" t="str">
        <x:v>仅装备原始基础值决定主属性范围</x:v>
      </x:c>
    </x:row>
    <x:row r="936">
      <x:c r="A936" s="25" t="str">
        <x:v>C07-X</x:v>
      </x:c>
      <x:c r="B936" s="25" t="str">
        <x:v>化圣雪原</x:v>
      </x:c>
      <x:c r="C936" s="25" t="str">
        <x:v>极端压力</x:v>
      </x:c>
      <x:c r="D936" s="25" t="n">
        <x:v>4</x:v>
      </x:c>
      <x:c r="E936" s="25" t="n">
        <x:v>161</x:v>
      </x:c>
      <x:c r="F936" s="25" t="str">
        <x:v>希尔达圣冠</x:v>
      </x:c>
      <x:c r="G936" s="25" t="n">
        <x:v>4</x:v>
      </x:c>
      <x:c r="H936" s="25" t="str">
        <x:v>最大爆率</x:v>
      </x:c>
      <x:c r="I936" s="25" t="n">
        <x:v>1</x:v>
      </x:c>
      <x:c r="J936" s="25" t="n">
        <x:v>22</x:v>
      </x:c>
      <x:c r="K936" s="25" t="str">
        <x:v>仅装备原始基础值决定主属性范围</x:v>
      </x:c>
    </x:row>
    <x:row r="937">
      <x:c r="A937" s="25" t="str">
        <x:v>C07-X</x:v>
      </x:c>
      <x:c r="B937" s="25" t="str">
        <x:v>化圣雪原</x:v>
      </x:c>
      <x:c r="C937" s="25" t="str">
        <x:v>极端压力</x:v>
      </x:c>
      <x:c r="D937" s="25" t="n">
        <x:v>4</x:v>
      </x:c>
      <x:c r="E937" s="25" t="n">
        <x:v>161</x:v>
      </x:c>
      <x:c r="F937" s="25" t="str">
        <x:v>希尔达圣冠</x:v>
      </x:c>
      <x:c r="G937" s="25" t="n">
        <x:v>5</x:v>
      </x:c>
      <x:c r="H937" s="25" t="str">
        <x:v>攻击加成</x:v>
      </x:c>
      <x:c r="I937" s="25" t="n">
        <x:v>25</x:v>
      </x:c>
      <x:c r="J937" s="25" t="n">
        <x:v>18</x:v>
      </x:c>
      <x:c r="K937" s="25" t="str">
        <x:v>仅装备原始基础值决定主属性范围</x:v>
      </x:c>
    </x:row>
    <x:row r="938">
      <x:c r="A938" s="25" t="str">
        <x:v>C07-X</x:v>
      </x:c>
      <x:c r="B938" s="25" t="str">
        <x:v>化圣雪原</x:v>
      </x:c>
      <x:c r="C938" s="25" t="str">
        <x:v>极端压力</x:v>
      </x:c>
      <x:c r="D938" s="25" t="n">
        <x:v>4</x:v>
      </x:c>
      <x:c r="E938" s="25" t="n">
        <x:v>161</x:v>
      </x:c>
      <x:c r="F938" s="25" t="str">
        <x:v>希尔达圣冠</x:v>
      </x:c>
      <x:c r="G938" s="25" t="n">
        <x:v>6</x:v>
      </x:c>
      <x:c r="H938" s="25" t="str">
        <x:v>吸血</x:v>
      </x:c>
      <x:c r="I938" s="25" t="n">
        <x:v>1</x:v>
      </x:c>
      <x:c r="J938" s="25" t="n">
        <x:v>20</x:v>
      </x:c>
      <x:c r="K938" s="25" t="str">
        <x:v>仅装备原始基础值决定主属性范围</x:v>
      </x:c>
    </x:row>
    <x:row r="939">
      <x:c r="A939" s="25" t="str">
        <x:v>C07-X</x:v>
      </x:c>
      <x:c r="B939" s="25" t="str">
        <x:v>化圣雪原</x:v>
      </x:c>
      <x:c r="C939" s="25" t="str">
        <x:v>极端压力</x:v>
      </x:c>
      <x:c r="D939" s="25" t="n">
        <x:v>5</x:v>
      </x:c>
      <x:c r="E939" s="25" t="n">
        <x:v>177</x:v>
      </x:c>
      <x:c r="F939" s="25" t="str">
        <x:v>龙火刑腕</x:v>
      </x:c>
      <x:c r="G939" s="25" t="n">
        <x:v>1</x:v>
      </x:c>
      <x:c r="H939" s="25" t="str">
        <x:v>道术</x:v>
      </x:c>
      <x:c r="I939" s="25" t="n">
        <x:v>374</x:v>
      </x:c>
      <x:c r="J939" s="25" t="n">
        <x:v>3</x:v>
      </x:c>
      <x:c r="K939" s="25" t="str">
        <x:v>仅装备原始基础值决定主属性范围</x:v>
      </x:c>
    </x:row>
    <x:row r="940">
      <x:c r="A940" s="25" t="str">
        <x:v>C07-X</x:v>
      </x:c>
      <x:c r="B940" s="25" t="str">
        <x:v>化圣雪原</x:v>
      </x:c>
      <x:c r="C940" s="25" t="str">
        <x:v>极端压力</x:v>
      </x:c>
      <x:c r="D940" s="25" t="n">
        <x:v>5</x:v>
      </x:c>
      <x:c r="E940" s="25" t="n">
        <x:v>177</x:v>
      </x:c>
      <x:c r="F940" s="25" t="str">
        <x:v>龙火刑腕</x:v>
      </x:c>
      <x:c r="G940" s="25" t="n">
        <x:v>2</x:v>
      </x:c>
      <x:c r="H940" s="25" t="str">
        <x:v>魔法</x:v>
      </x:c>
      <x:c r="I940" s="25" t="n">
        <x:v>57</x:v>
      </x:c>
      <x:c r="J940" s="25" t="n">
        <x:v>2</x:v>
      </x:c>
      <x:c r="K940" s="25" t="str">
        <x:v>仅装备原始基础值决定主属性范围</x:v>
      </x:c>
    </x:row>
    <x:row r="941">
      <x:c r="A941" s="25" t="str">
        <x:v>C07-X</x:v>
      </x:c>
      <x:c r="B941" s="25" t="str">
        <x:v>化圣雪原</x:v>
      </x:c>
      <x:c r="C941" s="25" t="str">
        <x:v>极端压力</x:v>
      </x:c>
      <x:c r="D941" s="25" t="n">
        <x:v>5</x:v>
      </x:c>
      <x:c r="E941" s="25" t="n">
        <x:v>177</x:v>
      </x:c>
      <x:c r="F941" s="25" t="str">
        <x:v>龙火刑腕</x:v>
      </x:c>
      <x:c r="G941" s="25" t="n">
        <x:v>3</x:v>
      </x:c>
      <x:c r="H941" s="25" t="str">
        <x:v>暴击</x:v>
      </x:c>
      <x:c r="I941" s="25" t="n">
        <x:v>1</x:v>
      </x:c>
      <x:c r="J941" s="25" t="n">
        <x:v>14</x:v>
      </x:c>
      <x:c r="K941" s="25" t="str">
        <x:v>仅装备原始基础值决定主属性范围</x:v>
      </x:c>
    </x:row>
    <x:row r="942">
      <x:c r="A942" s="25" t="str">
        <x:v>C07-X</x:v>
      </x:c>
      <x:c r="B942" s="25" t="str">
        <x:v>化圣雪原</x:v>
      </x:c>
      <x:c r="C942" s="25" t="str">
        <x:v>极端压力</x:v>
      </x:c>
      <x:c r="D942" s="25" t="n">
        <x:v>5</x:v>
      </x:c>
      <x:c r="E942" s="25" t="n">
        <x:v>177</x:v>
      </x:c>
      <x:c r="F942" s="25" t="str">
        <x:v>龙火刑腕</x:v>
      </x:c>
      <x:c r="G942" s="25" t="n">
        <x:v>4</x:v>
      </x:c>
      <x:c r="H942" s="25" t="str">
        <x:v>攻击</x:v>
      </x:c>
      <x:c r="I942" s="25" t="n">
        <x:v>650</x:v>
      </x:c>
      <x:c r="J942" s="25" t="n">
        <x:v>1</x:v>
      </x:c>
      <x:c r="K942" s="25" t="str">
        <x:v>仅装备原始基础值决定主属性范围</x:v>
      </x:c>
    </x:row>
    <x:row r="943">
      <x:c r="A943" s="25" t="str">
        <x:v>C07-X</x:v>
      </x:c>
      <x:c r="B943" s="25" t="str">
        <x:v>化圣雪原</x:v>
      </x:c>
      <x:c r="C943" s="25" t="str">
        <x:v>极端压力</x:v>
      </x:c>
      <x:c r="D943" s="25" t="n">
        <x:v>5</x:v>
      </x:c>
      <x:c r="E943" s="25" t="n">
        <x:v>177</x:v>
      </x:c>
      <x:c r="F943" s="25" t="str">
        <x:v>龙火刑腕</x:v>
      </x:c>
      <x:c r="G943" s="25" t="n">
        <x:v>5</x:v>
      </x:c>
      <x:c r="H943" s="25" t="str">
        <x:v>攻击</x:v>
      </x:c>
      <x:c r="I943" s="25" t="n">
        <x:v>66</x:v>
      </x:c>
      <x:c r="J943" s="25" t="n">
        <x:v>1</x:v>
      </x:c>
      <x:c r="K943" s="25" t="str">
        <x:v>仅装备原始基础值决定主属性范围</x:v>
      </x:c>
    </x:row>
    <x:row r="944">
      <x:c r="A944" s="25" t="str">
        <x:v>C07-X</x:v>
      </x:c>
      <x:c r="B944" s="25" t="str">
        <x:v>化圣雪原</x:v>
      </x:c>
      <x:c r="C944" s="25" t="str">
        <x:v>极端压力</x:v>
      </x:c>
      <x:c r="D944" s="25" t="n">
        <x:v>5</x:v>
      </x:c>
      <x:c r="E944" s="25" t="n">
        <x:v>177</x:v>
      </x:c>
      <x:c r="F944" s="25" t="str">
        <x:v>龙火刑腕</x:v>
      </x:c>
      <x:c r="G944" s="25" t="n">
        <x:v>6</x:v>
      </x:c>
      <x:c r="H944" s="25" t="str">
        <x:v>攻击加成</x:v>
      </x:c>
      <x:c r="I944" s="25" t="n">
        <x:v>43</x:v>
      </x:c>
      <x:c r="J944" s="25" t="n">
        <x:v>19</x:v>
      </x:c>
      <x:c r="K944" s="25" t="str">
        <x:v>仅装备原始基础值决定主属性范围</x:v>
      </x:c>
    </x:row>
    <x:row r="945">
      <x:c r="A945" s="25" t="str">
        <x:v>C07-X</x:v>
      </x:c>
      <x:c r="B945" s="25" t="str">
        <x:v>化圣雪原</x:v>
      </x:c>
      <x:c r="C945" s="25" t="str">
        <x:v>极端压力</x:v>
      </x:c>
      <x:c r="D945" s="25" t="n">
        <x:v>6</x:v>
      </x:c>
      <x:c r="E945" s="25" t="n">
        <x:v>157</x:v>
      </x:c>
      <x:c r="F945" s="25" t="str">
        <x:v>寒狱铁镯</x:v>
      </x:c>
      <x:c r="G945" s="25" t="n">
        <x:v>1</x:v>
      </x:c>
      <x:c r="H945" s="25" t="str">
        <x:v>攻击</x:v>
      </x:c>
      <x:c r="I945" s="25" t="n">
        <x:v>359</x:v>
      </x:c>
      <x:c r="J945" s="25" t="n">
        <x:v>1</x:v>
      </x:c>
      <x:c r="K945" s="25" t="str">
        <x:v>仅装备原始基础值决定主属性范围</x:v>
      </x:c>
    </x:row>
    <x:row r="946">
      <x:c r="A946" s="25" t="str">
        <x:v>C07-X</x:v>
      </x:c>
      <x:c r="B946" s="25" t="str">
        <x:v>化圣雪原</x:v>
      </x:c>
      <x:c r="C946" s="25" t="str">
        <x:v>极端压力</x:v>
      </x:c>
      <x:c r="D946" s="25" t="n">
        <x:v>6</x:v>
      </x:c>
      <x:c r="E946" s="25" t="n">
        <x:v>157</x:v>
      </x:c>
      <x:c r="F946" s="25" t="str">
        <x:v>寒狱铁镯</x:v>
      </x:c>
      <x:c r="G946" s="25" t="n">
        <x:v>2</x:v>
      </x:c>
      <x:c r="H946" s="25" t="str">
        <x:v>吸血</x:v>
      </x:c>
      <x:c r="I946" s="25" t="n">
        <x:v>1</x:v>
      </x:c>
      <x:c r="J946" s="25" t="n">
        <x:v>20</x:v>
      </x:c>
      <x:c r="K946" s="25" t="str">
        <x:v>仅装备原始基础值决定主属性范围</x:v>
      </x:c>
    </x:row>
    <x:row r="947">
      <x:c r="A947" s="25" t="str">
        <x:v>C07-X</x:v>
      </x:c>
      <x:c r="B947" s="25" t="str">
        <x:v>化圣雪原</x:v>
      </x:c>
      <x:c r="C947" s="25" t="str">
        <x:v>极端压力</x:v>
      </x:c>
      <x:c r="D947" s="25" t="n">
        <x:v>6</x:v>
      </x:c>
      <x:c r="E947" s="25" t="n">
        <x:v>157</x:v>
      </x:c>
      <x:c r="F947" s="25" t="str">
        <x:v>寒狱铁镯</x:v>
      </x:c>
      <x:c r="G947" s="25" t="n">
        <x:v>3</x:v>
      </x:c>
      <x:c r="H947" s="25" t="str">
        <x:v>攻击加成</x:v>
      </x:c>
      <x:c r="I947" s="25" t="n">
        <x:v>29</x:v>
      </x:c>
      <x:c r="J947" s="25" t="n">
        <x:v>18</x:v>
      </x:c>
      <x:c r="K947" s="25" t="str">
        <x:v>仅装备原始基础值决定主属性范围</x:v>
      </x:c>
    </x:row>
    <x:row r="948">
      <x:c r="A948" s="25" t="str">
        <x:v>C07-X</x:v>
      </x:c>
      <x:c r="B948" s="25" t="str">
        <x:v>化圣雪原</x:v>
      </x:c>
      <x:c r="C948" s="25" t="str">
        <x:v>极端压力</x:v>
      </x:c>
      <x:c r="D948" s="25" t="n">
        <x:v>6</x:v>
      </x:c>
      <x:c r="E948" s="25" t="n">
        <x:v>157</x:v>
      </x:c>
      <x:c r="F948" s="25" t="str">
        <x:v>寒狱铁镯</x:v>
      </x:c>
      <x:c r="G948" s="25" t="n">
        <x:v>4</x:v>
      </x:c>
      <x:c r="H948" s="25" t="str">
        <x:v>攻击</x:v>
      </x:c>
      <x:c r="I948" s="25" t="n">
        <x:v>490</x:v>
      </x:c>
      <x:c r="J948" s="25" t="n">
        <x:v>1</x:v>
      </x:c>
      <x:c r="K948" s="25" t="str">
        <x:v>仅装备原始基础值决定主属性范围</x:v>
      </x:c>
    </x:row>
    <x:row r="949">
      <x:c r="A949" s="25" t="str">
        <x:v>C07-X</x:v>
      </x:c>
      <x:c r="B949" s="25" t="str">
        <x:v>化圣雪原</x:v>
      </x:c>
      <x:c r="C949" s="25" t="str">
        <x:v>极端压力</x:v>
      </x:c>
      <x:c r="D949" s="25" t="n">
        <x:v>7</x:v>
      </x:c>
      <x:c r="E949" s="25" t="n">
        <x:v>159</x:v>
      </x:c>
      <x:c r="F949" s="25" t="str">
        <x:v>巡界牙戒</x:v>
      </x:c>
      <x:c r="G949" s="25" t="n">
        <x:v>1</x:v>
      </x:c>
      <x:c r="H949" s="25" t="str">
        <x:v>攻击</x:v>
      </x:c>
      <x:c r="I949" s="25" t="n">
        <x:v>209</x:v>
      </x:c>
      <x:c r="J949" s="25" t="n">
        <x:v>1</x:v>
      </x:c>
      <x:c r="K949" s="25" t="str">
        <x:v>仅装备原始基础值决定主属性范围</x:v>
      </x:c>
    </x:row>
    <x:row r="950">
      <x:c r="A950" s="25" t="str">
        <x:v>C07-X</x:v>
      </x:c>
      <x:c r="B950" s="25" t="str">
        <x:v>化圣雪原</x:v>
      </x:c>
      <x:c r="C950" s="25" t="str">
        <x:v>极端压力</x:v>
      </x:c>
      <x:c r="D950" s="25" t="n">
        <x:v>7</x:v>
      </x:c>
      <x:c r="E950" s="25" t="n">
        <x:v>159</x:v>
      </x:c>
      <x:c r="F950" s="25" t="str">
        <x:v>巡界牙戒</x:v>
      </x:c>
      <x:c r="G950" s="25" t="n">
        <x:v>2</x:v>
      </x:c>
      <x:c r="H950" s="25" t="str">
        <x:v>攻击速度</x:v>
      </x:c>
      <x:c r="I950" s="25" t="n">
        <x:v>2</x:v>
      </x:c>
      <x:c r="J950" s="25" t="n">
        <x:v>5</x:v>
      </x:c>
      <x:c r="K950" s="25" t="str">
        <x:v>仅装备原始基础值决定主属性范围</x:v>
      </x:c>
    </x:row>
    <x:row r="951">
      <x:c r="A951" s="25" t="str">
        <x:v>C07-X</x:v>
      </x:c>
      <x:c r="B951" s="25" t="str">
        <x:v>化圣雪原</x:v>
      </x:c>
      <x:c r="C951" s="25" t="str">
        <x:v>极端压力</x:v>
      </x:c>
      <x:c r="D951" s="25" t="n">
        <x:v>7</x:v>
      </x:c>
      <x:c r="E951" s="25" t="n">
        <x:v>159</x:v>
      </x:c>
      <x:c r="F951" s="25" t="str">
        <x:v>巡界牙戒</x:v>
      </x:c>
      <x:c r="G951" s="25" t="n">
        <x:v>3</x:v>
      </x:c>
      <x:c r="H951" s="25" t="str">
        <x:v>攻击</x:v>
      </x:c>
      <x:c r="I951" s="25" t="n">
        <x:v>578</x:v>
      </x:c>
      <x:c r="J951" s="25" t="n">
        <x:v>1</x:v>
      </x:c>
      <x:c r="K951" s="25" t="str">
        <x:v>仅装备原始基础值决定主属性范围</x:v>
      </x:c>
    </x:row>
    <x:row r="952">
      <x:c r="A952" s="25" t="str">
        <x:v>C07-X</x:v>
      </x:c>
      <x:c r="B952" s="25" t="str">
        <x:v>化圣雪原</x:v>
      </x:c>
      <x:c r="C952" s="25" t="str">
        <x:v>极端压力</x:v>
      </x:c>
      <x:c r="D952" s="25" t="n">
        <x:v>8</x:v>
      </x:c>
      <x:c r="E952" s="25" t="n">
        <x:v>178</x:v>
      </x:c>
      <x:c r="F952" s="25" t="str">
        <x:v>巡界牙戒</x:v>
      </x:c>
      <x:c r="G952" s="25" t="n">
        <x:v>1</x:v>
      </x:c>
      <x:c r="H952" s="25" t="str">
        <x:v>韧性</x:v>
      </x:c>
      <x:c r="I952" s="25" t="n">
        <x:v>20</x:v>
      </x:c>
      <x:c r="J952" s="25" t="n">
        <x:v>13</x:v>
      </x:c>
      <x:c r="K952" s="25" t="str">
        <x:v>仅装备原始基础值决定主属性范围</x:v>
      </x:c>
    </x:row>
    <x:row r="953">
      <x:c r="A953" s="25" t="str">
        <x:v>C07-X</x:v>
      </x:c>
      <x:c r="B953" s="25" t="str">
        <x:v>化圣雪原</x:v>
      </x:c>
      <x:c r="C953" s="25" t="str">
        <x:v>极端压力</x:v>
      </x:c>
      <x:c r="D953" s="25" t="n">
        <x:v>8</x:v>
      </x:c>
      <x:c r="E953" s="25" t="n">
        <x:v>178</x:v>
      </x:c>
      <x:c r="F953" s="25" t="str">
        <x:v>巡界牙戒</x:v>
      </x:c>
      <x:c r="G953" s="25" t="n">
        <x:v>2</x:v>
      </x:c>
      <x:c r="H953" s="25" t="str">
        <x:v>攻击</x:v>
      </x:c>
      <x:c r="I953" s="25" t="n">
        <x:v>117</x:v>
      </x:c>
      <x:c r="J953" s="25" t="n">
        <x:v>1</x:v>
      </x:c>
      <x:c r="K953" s="25" t="str">
        <x:v>仅装备原始基础值决定主属性范围</x:v>
      </x:c>
    </x:row>
    <x:row r="954">
      <x:c r="A954" s="25" t="str">
        <x:v>C07-X</x:v>
      </x:c>
      <x:c r="B954" s="25" t="str">
        <x:v>化圣雪原</x:v>
      </x:c>
      <x:c r="C954" s="25" t="str">
        <x:v>极端压力</x:v>
      </x:c>
      <x:c r="D954" s="25" t="n">
        <x:v>8</x:v>
      </x:c>
      <x:c r="E954" s="25" t="n">
        <x:v>178</x:v>
      </x:c>
      <x:c r="F954" s="25" t="str">
        <x:v>巡界牙戒</x:v>
      </x:c>
      <x:c r="G954" s="25" t="n">
        <x:v>3</x:v>
      </x:c>
      <x:c r="H954" s="25" t="str">
        <x:v>处决概率</x:v>
      </x:c>
      <x:c r="I954" s="25" t="n">
        <x:v>1</x:v>
      </x:c>
      <x:c r="J954" s="25" t="n">
        <x:v>6</x:v>
      </x:c>
      <x:c r="K954" s="25" t="str">
        <x:v>仅装备原始基础值决定主属性范围</x:v>
      </x:c>
    </x:row>
    <x:row r="955">
      <x:c r="A955" s="25" t="str">
        <x:v>C07-X</x:v>
      </x:c>
      <x:c r="B955" s="25" t="str">
        <x:v>化圣雪原</x:v>
      </x:c>
      <x:c r="C955" s="25" t="str">
        <x:v>极端压力</x:v>
      </x:c>
      <x:c r="D955" s="25" t="n">
        <x:v>8</x:v>
      </x:c>
      <x:c r="E955" s="25" t="n">
        <x:v>178</x:v>
      </x:c>
      <x:c r="F955" s="25" t="str">
        <x:v>巡界牙戒</x:v>
      </x:c>
      <x:c r="G955" s="25" t="n">
        <x:v>4</x:v>
      </x:c>
      <x:c r="H955" s="25" t="str">
        <x:v>韧性</x:v>
      </x:c>
      <x:c r="I955" s="25" t="n">
        <x:v>20</x:v>
      </x:c>
      <x:c r="J955" s="25" t="n">
        <x:v>13</x:v>
      </x:c>
      <x:c r="K955" s="25" t="str">
        <x:v>仅装备原始基础值决定主属性范围</x:v>
      </x:c>
    </x:row>
    <x:row r="956">
      <x:c r="A956" s="25" t="str">
        <x:v>C07-X</x:v>
      </x:c>
      <x:c r="B956" s="25" t="str">
        <x:v>化圣雪原</x:v>
      </x:c>
      <x:c r="C956" s="25" t="str">
        <x:v>极端压力</x:v>
      </x:c>
      <x:c r="D956" s="25" t="n">
        <x:v>8</x:v>
      </x:c>
      <x:c r="E956" s="25" t="n">
        <x:v>178</x:v>
      </x:c>
      <x:c r="F956" s="25" t="str">
        <x:v>巡界牙戒</x:v>
      </x:c>
      <x:c r="G956" s="25" t="n">
        <x:v>5</x:v>
      </x:c>
      <x:c r="H956" s="25" t="str">
        <x:v>攻击加成</x:v>
      </x:c>
      <x:c r="I956" s="25" t="n">
        <x:v>37</x:v>
      </x:c>
      <x:c r="J956" s="25" t="n">
        <x:v>19</x:v>
      </x:c>
      <x:c r="K956" s="25" t="str">
        <x:v>仅装备原始基础值决定主属性范围</x:v>
      </x:c>
    </x:row>
    <x:row r="957">
      <x:c r="A957" s="25" t="str">
        <x:v>C07-X</x:v>
      </x:c>
      <x:c r="B957" s="25" t="str">
        <x:v>化圣雪原</x:v>
      </x:c>
      <x:c r="C957" s="25" t="str">
        <x:v>极端压力</x:v>
      </x:c>
      <x:c r="D957" s="25" t="n">
        <x:v>8</x:v>
      </x:c>
      <x:c r="E957" s="25" t="n">
        <x:v>178</x:v>
      </x:c>
      <x:c r="F957" s="25" t="str">
        <x:v>巡界牙戒</x:v>
      </x:c>
      <x:c r="G957" s="25" t="n">
        <x:v>6</x:v>
      </x:c>
      <x:c r="H957" s="25" t="str">
        <x:v>伤害系数</x:v>
      </x:c>
      <x:c r="I957" s="25" t="n">
        <x:v>1</x:v>
      </x:c>
      <x:c r="J957" s="25" t="n">
        <x:v>25</x:v>
      </x:c>
      <x:c r="K957" s="25" t="str">
        <x:v>仅装备原始基础值决定主属性范围</x:v>
      </x:c>
    </x:row>
    <x:row r="958">
      <x:c r="A958" s="25" t="str">
        <x:v>C07-X</x:v>
      </x:c>
      <x:c r="B958" s="25" t="str">
        <x:v>化圣雪原</x:v>
      </x:c>
      <x:c r="C958" s="25" t="str">
        <x:v>极端压力</x:v>
      </x:c>
      <x:c r="D958" s="25" t="n">
        <x:v>10</x:v>
      </x:c>
      <x:c r="E958" s="25" t="n">
        <x:v>162</x:v>
      </x:c>
      <x:c r="F958" s="25" t="str">
        <x:v>幻刃腰封</x:v>
      </x:c>
      <x:c r="G958" s="25" t="n">
        <x:v>1</x:v>
      </x:c>
      <x:c r="H958" s="25" t="str">
        <x:v>攻击加成</x:v>
      </x:c>
      <x:c r="I958" s="25" t="n">
        <x:v>9</x:v>
      </x:c>
      <x:c r="J958" s="25" t="n">
        <x:v>18</x:v>
      </x:c>
      <x:c r="K958" s="25" t="str">
        <x:v>仅装备原始基础值决定主属性范围</x:v>
      </x:c>
    </x:row>
    <x:row r="959">
      <x:c r="A959" s="25" t="str">
        <x:v>C07-X</x:v>
      </x:c>
      <x:c r="B959" s="25" t="str">
        <x:v>化圣雪原</x:v>
      </x:c>
      <x:c r="C959" s="25" t="str">
        <x:v>极端压力</x:v>
      </x:c>
      <x:c r="D959" s="25" t="n">
        <x:v>10</x:v>
      </x:c>
      <x:c r="E959" s="25" t="n">
        <x:v>162</x:v>
      </x:c>
      <x:c r="F959" s="25" t="str">
        <x:v>幻刃腰封</x:v>
      </x:c>
      <x:c r="G959" s="25" t="n">
        <x:v>2</x:v>
      </x:c>
      <x:c r="H959" s="25" t="str">
        <x:v>攻击加成</x:v>
      </x:c>
      <x:c r="I959" s="25" t="n">
        <x:v>37</x:v>
      </x:c>
      <x:c r="J959" s="25" t="n">
        <x:v>19</x:v>
      </x:c>
      <x:c r="K959" s="25" t="str">
        <x:v>仅装备原始基础值决定主属性范围</x:v>
      </x:c>
    </x:row>
    <x:row r="960">
      <x:c r="A960" s="25" t="str">
        <x:v>C07-X</x:v>
      </x:c>
      <x:c r="B960" s="25" t="str">
        <x:v>化圣雪原</x:v>
      </x:c>
      <x:c r="C960" s="25" t="str">
        <x:v>极端压力</x:v>
      </x:c>
      <x:c r="D960" s="25" t="n">
        <x:v>10</x:v>
      </x:c>
      <x:c r="E960" s="25" t="n">
        <x:v>162</x:v>
      </x:c>
      <x:c r="F960" s="25" t="str">
        <x:v>幻刃腰封</x:v>
      </x:c>
      <x:c r="G960" s="25" t="n">
        <x:v>3</x:v>
      </x:c>
      <x:c r="H960" s="25" t="str">
        <x:v>攻击加成</x:v>
      </x:c>
      <x:c r="I960" s="25" t="n">
        <x:v>43</x:v>
      </x:c>
      <x:c r="J960" s="25" t="n">
        <x:v>19</x:v>
      </x:c>
      <x:c r="K960" s="25" t="str">
        <x:v>仅装备原始基础值决定主属性范围</x:v>
      </x:c>
    </x:row>
    <x:row r="961">
      <x:c r="A961" s="25" t="str">
        <x:v>C07-X</x:v>
      </x:c>
      <x:c r="B961" s="25" t="str">
        <x:v>化圣雪原</x:v>
      </x:c>
      <x:c r="C961" s="25" t="str">
        <x:v>极端压力</x:v>
      </x:c>
      <x:c r="D961" s="25" t="n">
        <x:v>10</x:v>
      </x:c>
      <x:c r="E961" s="25" t="n">
        <x:v>162</x:v>
      </x:c>
      <x:c r="F961" s="25" t="str">
        <x:v>幻刃腰封</x:v>
      </x:c>
      <x:c r="G961" s="25" t="n">
        <x:v>4</x:v>
      </x:c>
      <x:c r="H961" s="25" t="str">
        <x:v>最大爆率</x:v>
      </x:c>
      <x:c r="I961" s="25" t="n">
        <x:v>1</x:v>
      </x:c>
      <x:c r="J961" s="25" t="n">
        <x:v>22</x:v>
      </x:c>
      <x:c r="K961" s="25" t="str">
        <x:v>仅装备原始基础值决定主属性范围</x:v>
      </x:c>
    </x:row>
    <x:row r="962">
      <x:c r="A962" s="25" t="str">
        <x:v>C07-X</x:v>
      </x:c>
      <x:c r="B962" s="25" t="str">
        <x:v>化圣雪原</x:v>
      </x:c>
      <x:c r="C962" s="25" t="str">
        <x:v>极端压力</x:v>
      </x:c>
      <x:c r="D962" s="25" t="n">
        <x:v>10</x:v>
      </x:c>
      <x:c r="E962" s="25" t="n">
        <x:v>162</x:v>
      </x:c>
      <x:c r="F962" s="25" t="str">
        <x:v>幻刃腰封</x:v>
      </x:c>
      <x:c r="G962" s="25" t="n">
        <x:v>5</x:v>
      </x:c>
      <x:c r="H962" s="25" t="str">
        <x:v>攻击加成</x:v>
      </x:c>
      <x:c r="I962" s="25" t="n">
        <x:v>3</x:v>
      </x:c>
      <x:c r="J962" s="25" t="n">
        <x:v>18</x:v>
      </x:c>
      <x:c r="K962" s="25" t="str">
        <x:v>仅装备原始基础值决定主属性范围</x:v>
      </x:c>
    </x:row>
    <x:row r="963">
      <x:c r="A963" s="25" t="str">
        <x:v>C07-X</x:v>
      </x:c>
      <x:c r="B963" s="25" t="str">
        <x:v>化圣雪原</x:v>
      </x:c>
      <x:c r="C963" s="25" t="str">
        <x:v>极端压力</x:v>
      </x:c>
      <x:c r="D963" s="25" t="n">
        <x:v>11</x:v>
      </x:c>
      <x:c r="E963" s="25" t="n">
        <x:v>180</x:v>
      </x:c>
      <x:c r="F963" s="25" t="str">
        <x:v>冰骨战靴</x:v>
      </x:c>
      <x:c r="G963" s="25" t="n">
        <x:v>1</x:v>
      </x:c>
      <x:c r="H963" s="25" t="str">
        <x:v>暴击</x:v>
      </x:c>
      <x:c r="I963" s="25" t="n">
        <x:v>2</x:v>
      </x:c>
      <x:c r="J963" s="25" t="n">
        <x:v>15</x:v>
      </x:c>
      <x:c r="K963" s="25" t="str">
        <x:v>仅装备原始基础值决定主属性范围</x:v>
      </x:c>
    </x:row>
    <x:row r="964">
      <x:c r="A964" s="25" t="str">
        <x:v>C07-X</x:v>
      </x:c>
      <x:c r="B964" s="25" t="str">
        <x:v>化圣雪原</x:v>
      </x:c>
      <x:c r="C964" s="25" t="str">
        <x:v>极端压力</x:v>
      </x:c>
      <x:c r="D964" s="25" t="n">
        <x:v>11</x:v>
      </x:c>
      <x:c r="E964" s="25" t="n">
        <x:v>180</x:v>
      </x:c>
      <x:c r="F964" s="25" t="str">
        <x:v>冰骨战靴</x:v>
      </x:c>
      <x:c r="G964" s="25" t="n">
        <x:v>2</x:v>
      </x:c>
      <x:c r="H964" s="25" t="str">
        <x:v>处决伤害</x:v>
      </x:c>
      <x:c r="I964" s="25" t="n">
        <x:v>1</x:v>
      </x:c>
      <x:c r="J964" s="25" t="n">
        <x:v>10</x:v>
      </x:c>
      <x:c r="K964" s="25" t="str">
        <x:v>仅装备原始基础值决定主属性范围</x:v>
      </x:c>
    </x:row>
    <x:row r="965">
      <x:c r="A965" s="25" t="str">
        <x:v>C07-X</x:v>
      </x:c>
      <x:c r="B965" s="25" t="str">
        <x:v>化圣雪原</x:v>
      </x:c>
      <x:c r="C965" s="25" t="str">
        <x:v>极端压力</x:v>
      </x:c>
      <x:c r="D965" s="25" t="n">
        <x:v>11</x:v>
      </x:c>
      <x:c r="E965" s="25" t="n">
        <x:v>180</x:v>
      </x:c>
      <x:c r="F965" s="25" t="str">
        <x:v>冰骨战靴</x:v>
      </x:c>
      <x:c r="G965" s="25" t="n">
        <x:v>3</x:v>
      </x:c>
      <x:c r="H965" s="25" t="str">
        <x:v>处决概率</x:v>
      </x:c>
      <x:c r="I965" s="25" t="n">
        <x:v>1</x:v>
      </x:c>
      <x:c r="J965" s="25" t="n">
        <x:v>6</x:v>
      </x:c>
      <x:c r="K965" s="25" t="str">
        <x:v>仅装备原始基础值决定主属性范围</x:v>
      </x:c>
    </x:row>
    <x:row r="966">
      <x:c r="A966" s="25" t="str">
        <x:v>C07-X</x:v>
      </x:c>
      <x:c r="B966" s="25" t="str">
        <x:v>化圣雪原</x:v>
      </x:c>
      <x:c r="C966" s="25" t="str">
        <x:v>极端压力</x:v>
      </x:c>
      <x:c r="D966" s="25" t="n">
        <x:v>11</x:v>
      </x:c>
      <x:c r="E966" s="25" t="n">
        <x:v>180</x:v>
      </x:c>
      <x:c r="F966" s="25" t="str">
        <x:v>冰骨战靴</x:v>
      </x:c>
      <x:c r="G966" s="25" t="n">
        <x:v>4</x:v>
      </x:c>
      <x:c r="H966" s="25" t="str">
        <x:v>攻击加成</x:v>
      </x:c>
      <x:c r="I966" s="25" t="n">
        <x:v>41</x:v>
      </x:c>
      <x:c r="J966" s="25" t="n">
        <x:v>19</x:v>
      </x:c>
      <x:c r="K966" s="25" t="str">
        <x:v>仅装备原始基础值决定主属性范围</x:v>
      </x:c>
    </x:row>
    <x:row r="967">
      <x:c r="A967" s="25" t="str">
        <x:v>C08-E</x:v>
      </x:c>
      <x:c r="B967" s="25" t="str">
        <x:v>巨人山顶</x:v>
      </x:c>
      <x:c r="C967" s="25" t="str">
        <x:v>半急速入场</x:v>
      </x:c>
      <x:c r="D967" s="25" t="n">
        <x:v>0</x:v>
      </x:c>
      <x:c r="E967" s="25" t="n">
        <x:v>142</x:v>
      </x:c>
      <x:c r="F967" s="25" t="str">
        <x:v>逆页导师长衣</x:v>
      </x:c>
      <x:c r="G967" s="25" t="n">
        <x:v>1</x:v>
      </x:c>
      <x:c r="H967" s="25" t="str">
        <x:v>攻击速度</x:v>
      </x:c>
      <x:c r="I967" s="25" t="n">
        <x:v>2</x:v>
      </x:c>
      <x:c r="J967" s="25" t="n">
        <x:v>5</x:v>
      </x:c>
      <x:c r="K967" s="25" t="str">
        <x:v>仅装备原始基础值决定主属性范围</x:v>
      </x:c>
    </x:row>
    <x:row r="968">
      <x:c r="A968" s="25" t="str">
        <x:v>C08-E</x:v>
      </x:c>
      <x:c r="B968" s="25" t="str">
        <x:v>巨人山顶</x:v>
      </x:c>
      <x:c r="C968" s="25" t="str">
        <x:v>半急速入场</x:v>
      </x:c>
      <x:c r="D968" s="25" t="n">
        <x:v>0</x:v>
      </x:c>
      <x:c r="E968" s="25" t="n">
        <x:v>142</x:v>
      </x:c>
      <x:c r="F968" s="25" t="str">
        <x:v>逆页导师长衣</x:v>
      </x:c>
      <x:c r="G968" s="25" t="n">
        <x:v>2</x:v>
      </x:c>
      <x:c r="H968" s="25" t="str">
        <x:v>攻击加成</x:v>
      </x:c>
      <x:c r="I968" s="25" t="n">
        <x:v>37</x:v>
      </x:c>
      <x:c r="J968" s="25" t="n">
        <x:v>19</x:v>
      </x:c>
      <x:c r="K968" s="25" t="str">
        <x:v>仅装备原始基础值决定主属性范围</x:v>
      </x:c>
    </x:row>
    <x:row r="969">
      <x:c r="A969" s="25" t="str">
        <x:v>C08-E</x:v>
      </x:c>
      <x:c r="B969" s="25" t="str">
        <x:v>巨人山顶</x:v>
      </x:c>
      <x:c r="C969" s="25" t="str">
        <x:v>半急速入场</x:v>
      </x:c>
      <x:c r="D969" s="25" t="n">
        <x:v>0</x:v>
      </x:c>
      <x:c r="E969" s="25" t="n">
        <x:v>142</x:v>
      </x:c>
      <x:c r="F969" s="25" t="str">
        <x:v>逆页导师长衣</x:v>
      </x:c>
      <x:c r="G969" s="25" t="n">
        <x:v>3</x:v>
      </x:c>
      <x:c r="H969" s="25" t="str">
        <x:v>攻击</x:v>
      </x:c>
      <x:c r="I969" s="25" t="n">
        <x:v>223</x:v>
      </x:c>
      <x:c r="J969" s="25" t="n">
        <x:v>1</x:v>
      </x:c>
      <x:c r="K969" s="25" t="str">
        <x:v>仅装备原始基础值决定主属性范围</x:v>
      </x:c>
    </x:row>
    <x:row r="970">
      <x:c r="A970" s="25" t="str">
        <x:v>C08-E</x:v>
      </x:c>
      <x:c r="B970" s="25" t="str">
        <x:v>巨人山顶</x:v>
      </x:c>
      <x:c r="C970" s="25" t="str">
        <x:v>半急速入场</x:v>
      </x:c>
      <x:c r="D970" s="25" t="n">
        <x:v>0</x:v>
      </x:c>
      <x:c r="E970" s="25" t="n">
        <x:v>142</x:v>
      </x:c>
      <x:c r="F970" s="25" t="str">
        <x:v>逆页导师长衣</x:v>
      </x:c>
      <x:c r="G970" s="25" t="n">
        <x:v>4</x:v>
      </x:c>
      <x:c r="H970" s="25" t="str">
        <x:v>最大爆率</x:v>
      </x:c>
      <x:c r="I970" s="25" t="n">
        <x:v>1</x:v>
      </x:c>
      <x:c r="J970" s="25" t="n">
        <x:v>22</x:v>
      </x:c>
      <x:c r="K970" s="25" t="str">
        <x:v>仅装备原始基础值决定主属性范围</x:v>
      </x:c>
    </x:row>
    <x:row r="971">
      <x:c r="A971" s="25" t="str">
        <x:v>C08-E</x:v>
      </x:c>
      <x:c r="B971" s="25" t="str">
        <x:v>巨人山顶</x:v>
      </x:c>
      <x:c r="C971" s="25" t="str">
        <x:v>半急速入场</x:v>
      </x:c>
      <x:c r="D971" s="25" t="n">
        <x:v>1</x:v>
      </x:c>
      <x:c r="E971" s="25" t="n">
        <x:v>128</x:v>
      </x:c>
      <x:c r="F971" s="25" t="str">
        <x:v>卡利亚月裁长刃</x:v>
      </x:c>
      <x:c r="G971" s="25" t="n">
        <x:v>1</x:v>
      </x:c>
      <x:c r="H971" s="25" t="str">
        <x:v>吸血</x:v>
      </x:c>
      <x:c r="I971" s="25" t="n">
        <x:v>1</x:v>
      </x:c>
      <x:c r="J971" s="25" t="n">
        <x:v>20</x:v>
      </x:c>
      <x:c r="K971" s="25" t="str">
        <x:v>仅装备原始基础值决定主属性范围</x:v>
      </x:c>
    </x:row>
    <x:row r="972">
      <x:c r="A972" s="25" t="str">
        <x:v>C08-E</x:v>
      </x:c>
      <x:c r="B972" s="25" t="str">
        <x:v>巨人山顶</x:v>
      </x:c>
      <x:c r="C972" s="25" t="str">
        <x:v>半急速入场</x:v>
      </x:c>
      <x:c r="D972" s="25" t="n">
        <x:v>1</x:v>
      </x:c>
      <x:c r="E972" s="25" t="n">
        <x:v>128</x:v>
      </x:c>
      <x:c r="F972" s="25" t="str">
        <x:v>卡利亚月裁长刃</x:v>
      </x:c>
      <x:c r="G972" s="25" t="n">
        <x:v>2</x:v>
      </x:c>
      <x:c r="H972" s="25" t="str">
        <x:v>攻击加成</x:v>
      </x:c>
      <x:c r="I972" s="25" t="n">
        <x:v>48</x:v>
      </x:c>
      <x:c r="J972" s="25" t="n">
        <x:v>19</x:v>
      </x:c>
      <x:c r="K972" s="25" t="str">
        <x:v>仅装备原始基础值决定主属性范围</x:v>
      </x:c>
    </x:row>
    <x:row r="973">
      <x:c r="A973" s="25" t="str">
        <x:v>C08-E</x:v>
      </x:c>
      <x:c r="B973" s="25" t="str">
        <x:v>巨人山顶</x:v>
      </x:c>
      <x:c r="C973" s="25" t="str">
        <x:v>半急速入场</x:v>
      </x:c>
      <x:c r="D973" s="25" t="n">
        <x:v>3</x:v>
      </x:c>
      <x:c r="E973" s="25" t="n">
        <x:v>143</x:v>
      </x:c>
      <x:c r="F973" s="25" t="str">
        <x:v>腐狱铁链</x:v>
      </x:c>
      <x:c r="G973" s="25" t="n">
        <x:v>1</x:v>
      </x:c>
      <x:c r="H973" s="25" t="str">
        <x:v>处决概率</x:v>
      </x:c>
      <x:c r="I973" s="25" t="n">
        <x:v>1</x:v>
      </x:c>
      <x:c r="J973" s="25" t="n">
        <x:v>6</x:v>
      </x:c>
      <x:c r="K973" s="25" t="str">
        <x:v>仅装备原始基础值决定主属性范围</x:v>
      </x:c>
    </x:row>
    <x:row r="974">
      <x:c r="A974" s="25" t="str">
        <x:v>C08-E</x:v>
      </x:c>
      <x:c r="B974" s="25" t="str">
        <x:v>巨人山顶</x:v>
      </x:c>
      <x:c r="C974" s="25" t="str">
        <x:v>半急速入场</x:v>
      </x:c>
      <x:c r="D974" s="25" t="n">
        <x:v>3</x:v>
      </x:c>
      <x:c r="E974" s="25" t="n">
        <x:v>143</x:v>
      </x:c>
      <x:c r="F974" s="25" t="str">
        <x:v>腐狱铁链</x:v>
      </x:c>
      <x:c r="G974" s="25" t="n">
        <x:v>2</x:v>
      </x:c>
      <x:c r="H974" s="25" t="str">
        <x:v>攻击加成</x:v>
      </x:c>
      <x:c r="I974" s="25" t="n">
        <x:v>34</x:v>
      </x:c>
      <x:c r="J974" s="25" t="n">
        <x:v>19</x:v>
      </x:c>
      <x:c r="K974" s="25" t="str">
        <x:v>仅装备原始基础值决定主属性范围</x:v>
      </x:c>
    </x:row>
    <x:row r="975">
      <x:c r="A975" s="25" t="str">
        <x:v>C08-E</x:v>
      </x:c>
      <x:c r="B975" s="25" t="str">
        <x:v>巨人山顶</x:v>
      </x:c>
      <x:c r="C975" s="25" t="str">
        <x:v>半急速入场</x:v>
      </x:c>
      <x:c r="D975" s="25" t="n">
        <x:v>3</x:v>
      </x:c>
      <x:c r="E975" s="25" t="n">
        <x:v>143</x:v>
      </x:c>
      <x:c r="F975" s="25" t="str">
        <x:v>腐狱铁链</x:v>
      </x:c>
      <x:c r="G975" s="25" t="n">
        <x:v>3</x:v>
      </x:c>
      <x:c r="H975" s="25" t="str">
        <x:v>吸血</x:v>
      </x:c>
      <x:c r="I975" s="25" t="n">
        <x:v>1</x:v>
      </x:c>
      <x:c r="J975" s="25" t="n">
        <x:v>20</x:v>
      </x:c>
      <x:c r="K975" s="25" t="str">
        <x:v>仅装备原始基础值决定主属性范围</x:v>
      </x:c>
    </x:row>
    <x:row r="976">
      <x:c r="A976" s="25" t="str">
        <x:v>C08-E</x:v>
      </x:c>
      <x:c r="B976" s="25" t="str">
        <x:v>巨人山顶</x:v>
      </x:c>
      <x:c r="C976" s="25" t="str">
        <x:v>半急速入场</x:v>
      </x:c>
      <x:c r="D976" s="25" t="n">
        <x:v>3</x:v>
      </x:c>
      <x:c r="E976" s="25" t="n">
        <x:v>143</x:v>
      </x:c>
      <x:c r="F976" s="25" t="str">
        <x:v>腐狱铁链</x:v>
      </x:c>
      <x:c r="G976" s="25" t="n">
        <x:v>4</x:v>
      </x:c>
      <x:c r="H976" s="25" t="str">
        <x:v>暴击</x:v>
      </x:c>
      <x:c r="I976" s="25" t="n">
        <x:v>2</x:v>
      </x:c>
      <x:c r="J976" s="25" t="n">
        <x:v>15</x:v>
      </x:c>
      <x:c r="K976" s="25" t="str">
        <x:v>仅装备原始基础值决定主属性范围</x:v>
      </x:c>
    </x:row>
    <x:row r="977">
      <x:c r="A977" s="25" t="str">
        <x:v>C08-E</x:v>
      </x:c>
      <x:c r="B977" s="25" t="str">
        <x:v>巨人山顶</x:v>
      </x:c>
      <x:c r="C977" s="25" t="str">
        <x:v>半急速入场</x:v>
      </x:c>
      <x:c r="D977" s="25" t="n">
        <x:v>4</x:v>
      </x:c>
      <x:c r="E977" s="25" t="n">
        <x:v>145</x:v>
      </x:c>
      <x:c r="F977" s="25" t="str">
        <x:v>凝霜乐师冠</x:v>
      </x:c>
      <x:c r="G977" s="25" t="n">
        <x:v>1</x:v>
      </x:c>
      <x:c r="H977" s="25" t="str">
        <x:v>攻击</x:v>
      </x:c>
      <x:c r="I977" s="25" t="n">
        <x:v>106</x:v>
      </x:c>
      <x:c r="J977" s="25" t="n">
        <x:v>1</x:v>
      </x:c>
      <x:c r="K977" s="25" t="str">
        <x:v>仅装备原始基础值决定主属性范围</x:v>
      </x:c>
    </x:row>
    <x:row r="978">
      <x:c r="A978" s="25" t="str">
        <x:v>C08-E</x:v>
      </x:c>
      <x:c r="B978" s="25" t="str">
        <x:v>巨人山顶</x:v>
      </x:c>
      <x:c r="C978" s="25" t="str">
        <x:v>半急速入场</x:v>
      </x:c>
      <x:c r="D978" s="25" t="n">
        <x:v>4</x:v>
      </x:c>
      <x:c r="E978" s="25" t="n">
        <x:v>145</x:v>
      </x:c>
      <x:c r="F978" s="25" t="str">
        <x:v>凝霜乐师冠</x:v>
      </x:c>
      <x:c r="G978" s="25" t="n">
        <x:v>2</x:v>
      </x:c>
      <x:c r="H978" s="25" t="str">
        <x:v>处决时间</x:v>
      </x:c>
      <x:c r="I978" s="25" t="n">
        <x:v>1</x:v>
      </x:c>
      <x:c r="J978" s="25" t="n">
        <x:v>8</x:v>
      </x:c>
      <x:c r="K978" s="25" t="str">
        <x:v>仅装备原始基础值决定主属性范围</x:v>
      </x:c>
    </x:row>
    <x:row r="979">
      <x:c r="A979" s="25" t="str">
        <x:v>C08-E</x:v>
      </x:c>
      <x:c r="B979" s="25" t="str">
        <x:v>巨人山顶</x:v>
      </x:c>
      <x:c r="C979" s="25" t="str">
        <x:v>半急速入场</x:v>
      </x:c>
      <x:c r="D979" s="25" t="n">
        <x:v>4</x:v>
      </x:c>
      <x:c r="E979" s="25" t="n">
        <x:v>145</x:v>
      </x:c>
      <x:c r="F979" s="25" t="str">
        <x:v>凝霜乐师冠</x:v>
      </x:c>
      <x:c r="G979" s="25" t="n">
        <x:v>3</x:v>
      </x:c>
      <x:c r="H979" s="25" t="str">
        <x:v>攻击加成</x:v>
      </x:c>
      <x:c r="I979" s="25" t="n">
        <x:v>14</x:v>
      </x:c>
      <x:c r="J979" s="25" t="n">
        <x:v>18</x:v>
      </x:c>
      <x:c r="K979" s="25" t="str">
        <x:v>仅装备原始基础值决定主属性范围</x:v>
      </x:c>
    </x:row>
    <x:row r="980">
      <x:c r="A980" s="25" t="str">
        <x:v>C08-E</x:v>
      </x:c>
      <x:c r="B980" s="25" t="str">
        <x:v>巨人山顶</x:v>
      </x:c>
      <x:c r="C980" s="25" t="str">
        <x:v>半急速入场</x:v>
      </x:c>
      <x:c r="D980" s="25" t="n">
        <x:v>5</x:v>
      </x:c>
      <x:c r="E980" s="25" t="n">
        <x:v>113</x:v>
      </x:c>
      <x:c r="F980" s="25" t="str">
        <x:v>百指腕甲</x:v>
      </x:c>
      <x:c r="G980" s="25" t="n">
        <x:v>1</x:v>
      </x:c>
      <x:c r="H980" s="25" t="str">
        <x:v>攻击加成</x:v>
      </x:c>
      <x:c r="I980" s="25" t="n">
        <x:v>19</x:v>
      </x:c>
      <x:c r="J980" s="25" t="n">
        <x:v>18</x:v>
      </x:c>
      <x:c r="K980" s="25" t="str">
        <x:v>仅装备原始基础值决定主属性范围</x:v>
      </x:c>
    </x:row>
    <x:row r="981">
      <x:c r="A981" s="25" t="str">
        <x:v>C08-E</x:v>
      </x:c>
      <x:c r="B981" s="25" t="str">
        <x:v>巨人山顶</x:v>
      </x:c>
      <x:c r="C981" s="25" t="str">
        <x:v>半急速入场</x:v>
      </x:c>
      <x:c r="D981" s="25" t="n">
        <x:v>5</x:v>
      </x:c>
      <x:c r="E981" s="25" t="n">
        <x:v>113</x:v>
      </x:c>
      <x:c r="F981" s="25" t="str">
        <x:v>百指腕甲</x:v>
      </x:c>
      <x:c r="G981" s="25" t="n">
        <x:v>2</x:v>
      </x:c>
      <x:c r="H981" s="25" t="str">
        <x:v>攻击加成</x:v>
      </x:c>
      <x:c r="I981" s="25" t="n">
        <x:v>44</x:v>
      </x:c>
      <x:c r="J981" s="25" t="n">
        <x:v>19</x:v>
      </x:c>
      <x:c r="K981" s="25" t="str">
        <x:v>仅装备原始基础值决定主属性范围</x:v>
      </x:c>
    </x:row>
    <x:row r="982">
      <x:c r="A982" s="25" t="str">
        <x:v>C08-E</x:v>
      </x:c>
      <x:c r="B982" s="25" t="str">
        <x:v>巨人山顶</x:v>
      </x:c>
      <x:c r="C982" s="25" t="str">
        <x:v>半急速入场</x:v>
      </x:c>
      <x:c r="D982" s="25" t="n">
        <x:v>6</x:v>
      </x:c>
      <x:c r="E982" s="25" t="n">
        <x:v>68</x:v>
      </x:c>
      <x:c r="F982" s="25" t="str">
        <x:v>百指接肢腕</x:v>
      </x:c>
      <x:c r="G982" s="25" t="n">
        <x:v>1</x:v>
      </x:c>
      <x:c r="H982" s="25" t="str">
        <x:v>处决伤害</x:v>
      </x:c>
      <x:c r="I982" s="25" t="n">
        <x:v>1</x:v>
      </x:c>
      <x:c r="J982" s="25" t="n">
        <x:v>10</x:v>
      </x:c>
      <x:c r="K982" s="25" t="str">
        <x:v>仅装备原始基础值决定主属性范围</x:v>
      </x:c>
    </x:row>
    <x:row r="983">
      <x:c r="A983" s="25" t="str">
        <x:v>C08-E</x:v>
      </x:c>
      <x:c r="B983" s="25" t="str">
        <x:v>巨人山顶</x:v>
      </x:c>
      <x:c r="C983" s="25" t="str">
        <x:v>半急速入场</x:v>
      </x:c>
      <x:c r="D983" s="25" t="n">
        <x:v>6</x:v>
      </x:c>
      <x:c r="E983" s="25" t="n">
        <x:v>68</x:v>
      </x:c>
      <x:c r="F983" s="25" t="str">
        <x:v>百指接肢腕</x:v>
      </x:c>
      <x:c r="G983" s="25" t="n">
        <x:v>2</x:v>
      </x:c>
      <x:c r="H983" s="25" t="str">
        <x:v>攻击加成</x:v>
      </x:c>
      <x:c r="I983" s="25" t="n">
        <x:v>28</x:v>
      </x:c>
      <x:c r="J983" s="25" t="n">
        <x:v>18</x:v>
      </x:c>
      <x:c r="K983" s="25" t="str">
        <x:v>仅装备原始基础值决定主属性范围</x:v>
      </x:c>
    </x:row>
    <x:row r="984">
      <x:c r="A984" s="25" t="str">
        <x:v>C08-E</x:v>
      </x:c>
      <x:c r="B984" s="25" t="str">
        <x:v>巨人山顶</x:v>
      </x:c>
      <x:c r="C984" s="25" t="str">
        <x:v>半急速入场</x:v>
      </x:c>
      <x:c r="D984" s="25" t="n">
        <x:v>6</x:v>
      </x:c>
      <x:c r="E984" s="25" t="n">
        <x:v>68</x:v>
      </x:c>
      <x:c r="F984" s="25" t="str">
        <x:v>百指接肢腕</x:v>
      </x:c>
      <x:c r="G984" s="25" t="n">
        <x:v>3</x:v>
      </x:c>
      <x:c r="H984" s="25" t="str">
        <x:v>攻击加成</x:v>
      </x:c>
      <x:c r="I984" s="25" t="n">
        <x:v>45</x:v>
      </x:c>
      <x:c r="J984" s="25" t="n">
        <x:v>19</x:v>
      </x:c>
      <x:c r="K984" s="25" t="str">
        <x:v>仅装备原始基础值决定主属性范围</x:v>
      </x:c>
    </x:row>
    <x:row r="985">
      <x:c r="A985" s="25" t="str">
        <x:v>C08-E</x:v>
      </x:c>
      <x:c r="B985" s="25" t="str">
        <x:v>巨人山顶</x:v>
      </x:c>
      <x:c r="C985" s="25" t="str">
        <x:v>半急速入场</x:v>
      </x:c>
      <x:c r="D985" s="25" t="n">
        <x:v>6</x:v>
      </x:c>
      <x:c r="E985" s="25" t="n">
        <x:v>68</x:v>
      </x:c>
      <x:c r="F985" s="25" t="str">
        <x:v>百指接肢腕</x:v>
      </x:c>
      <x:c r="G985" s="25" t="n">
        <x:v>4</x:v>
      </x:c>
      <x:c r="H985" s="25" t="str">
        <x:v>处决伤害</x:v>
      </x:c>
      <x:c r="I985" s="25" t="n">
        <x:v>2</x:v>
      </x:c>
      <x:c r="J985" s="25" t="n">
        <x:v>11</x:v>
      </x:c>
      <x:c r="K985" s="25" t="str">
        <x:v>仅装备原始基础值决定主属性范围</x:v>
      </x:c>
    </x:row>
    <x:row r="986">
      <x:c r="A986" s="25" t="str">
        <x:v>C08-E</x:v>
      </x:c>
      <x:c r="B986" s="25" t="str">
        <x:v>巨人山顶</x:v>
      </x:c>
      <x:c r="C986" s="25" t="str">
        <x:v>半急速入场</x:v>
      </x:c>
      <x:c r="D986" s="25" t="n">
        <x:v>6</x:v>
      </x:c>
      <x:c r="E986" s="25" t="n">
        <x:v>68</x:v>
      </x:c>
      <x:c r="F986" s="25" t="str">
        <x:v>百指接肢腕</x:v>
      </x:c>
      <x:c r="G986" s="25" t="n">
        <x:v>5</x:v>
      </x:c>
      <x:c r="H986" s="25" t="str">
        <x:v>暴击</x:v>
      </x:c>
      <x:c r="I986" s="25" t="n">
        <x:v>1</x:v>
      </x:c>
      <x:c r="J986" s="25" t="n">
        <x:v>14</x:v>
      </x:c>
      <x:c r="K986" s="25" t="str">
        <x:v>仅装备原始基础值决定主属性范围</x:v>
      </x:c>
    </x:row>
    <x:row r="987">
      <x:c r="A987" s="25" t="str">
        <x:v>C08-E</x:v>
      </x:c>
      <x:c r="B987" s="25" t="str">
        <x:v>巨人山顶</x:v>
      </x:c>
      <x:c r="C987" s="25" t="str">
        <x:v>半急速入场</x:v>
      </x:c>
      <x:c r="D987" s="25" t="n">
        <x:v>7</x:v>
      </x:c>
      <x:c r="E987" s="25" t="n">
        <x:v>111</x:v>
      </x:c>
      <x:c r="F987" s="25" t="str">
        <x:v>蓝焰祷戒</x:v>
      </x:c>
      <x:c r="G987" s="25" t="n">
        <x:v>1</x:v>
      </x:c>
      <x:c r="H987" s="25" t="str">
        <x:v>伤害吸收上限</x:v>
      </x:c>
      <x:c r="I987" s="25" t="n">
        <x:v>2</x:v>
      </x:c>
      <x:c r="J987" s="25" t="n">
        <x:v>29</x:v>
      </x:c>
      <x:c r="K987" s="25" t="str">
        <x:v>仅装备原始基础值决定主属性范围</x:v>
      </x:c>
    </x:row>
    <x:row r="988">
      <x:c r="A988" s="25" t="str">
        <x:v>C08-E</x:v>
      </x:c>
      <x:c r="B988" s="25" t="str">
        <x:v>巨人山顶</x:v>
      </x:c>
      <x:c r="C988" s="25" t="str">
        <x:v>半急速入场</x:v>
      </x:c>
      <x:c r="D988" s="25" t="n">
        <x:v>7</x:v>
      </x:c>
      <x:c r="E988" s="25" t="n">
        <x:v>111</x:v>
      </x:c>
      <x:c r="F988" s="25" t="str">
        <x:v>蓝焰祷戒</x:v>
      </x:c>
      <x:c r="G988" s="25" t="n">
        <x:v>2</x:v>
      </x:c>
      <x:c r="H988" s="25" t="str">
        <x:v>攻击加成</x:v>
      </x:c>
      <x:c r="I988" s="25" t="n">
        <x:v>19</x:v>
      </x:c>
      <x:c r="J988" s="25" t="n">
        <x:v>18</x:v>
      </x:c>
      <x:c r="K988" s="25" t="str">
        <x:v>仅装备原始基础值决定主属性范围</x:v>
      </x:c>
    </x:row>
    <x:row r="989">
      <x:c r="A989" s="25" t="str">
        <x:v>C08-E</x:v>
      </x:c>
      <x:c r="B989" s="25" t="str">
        <x:v>巨人山顶</x:v>
      </x:c>
      <x:c r="C989" s="25" t="str">
        <x:v>半急速入场</x:v>
      </x:c>
      <x:c r="D989" s="25" t="n">
        <x:v>7</x:v>
      </x:c>
      <x:c r="E989" s="25" t="n">
        <x:v>111</x:v>
      </x:c>
      <x:c r="F989" s="25" t="str">
        <x:v>蓝焰祷戒</x:v>
      </x:c>
      <x:c r="G989" s="25" t="n">
        <x:v>3</x:v>
      </x:c>
      <x:c r="H989" s="25" t="str">
        <x:v>攻击加成</x:v>
      </x:c>
      <x:c r="I989" s="25" t="n">
        <x:v>45</x:v>
      </x:c>
      <x:c r="J989" s="25" t="n">
        <x:v>19</x:v>
      </x:c>
      <x:c r="K989" s="25" t="str">
        <x:v>仅装备原始基础值决定主属性范围</x:v>
      </x:c>
    </x:row>
    <x:row r="990">
      <x:c r="A990" s="25" t="str">
        <x:v>C08-E</x:v>
      </x:c>
      <x:c r="B990" s="25" t="str">
        <x:v>巨人山顶</x:v>
      </x:c>
      <x:c r="C990" s="25" t="str">
        <x:v>半急速入场</x:v>
      </x:c>
      <x:c r="D990" s="25" t="n">
        <x:v>7</x:v>
      </x:c>
      <x:c r="E990" s="25" t="n">
        <x:v>111</x:v>
      </x:c>
      <x:c r="F990" s="25" t="str">
        <x:v>蓝焰祷戒</x:v>
      </x:c>
      <x:c r="G990" s="25" t="n">
        <x:v>4</x:v>
      </x:c>
      <x:c r="H990" s="25" t="str">
        <x:v>魔法</x:v>
      </x:c>
      <x:c r="I990" s="25" t="n">
        <x:v>101</x:v>
      </x:c>
      <x:c r="J990" s="25" t="n">
        <x:v>2</x:v>
      </x:c>
      <x:c r="K990" s="25" t="str">
        <x:v>仅装备原始基础值决定主属性范围</x:v>
      </x:c>
    </x:row>
    <x:row r="991">
      <x:c r="A991" s="25" t="str">
        <x:v>C08-E</x:v>
      </x:c>
      <x:c r="B991" s="25" t="str">
        <x:v>巨人山顶</x:v>
      </x:c>
      <x:c r="C991" s="25" t="str">
        <x:v>半急速入场</x:v>
      </x:c>
      <x:c r="D991" s="25" t="n">
        <x:v>7</x:v>
      </x:c>
      <x:c r="E991" s="25" t="n">
        <x:v>111</x:v>
      </x:c>
      <x:c r="F991" s="25" t="str">
        <x:v>蓝焰祷戒</x:v>
      </x:c>
      <x:c r="G991" s="25" t="n">
        <x:v>5</x:v>
      </x:c>
      <x:c r="H991" s="25" t="str">
        <x:v>暴击</x:v>
      </x:c>
      <x:c r="I991" s="25" t="n">
        <x:v>1</x:v>
      </x:c>
      <x:c r="J991" s="25" t="n">
        <x:v>14</x:v>
      </x:c>
      <x:c r="K991" s="25" t="str">
        <x:v>仅装备原始基础值决定主属性范围</x:v>
      </x:c>
    </x:row>
    <x:row r="992">
      <x:c r="A992" s="25" t="str">
        <x:v>C08-E</x:v>
      </x:c>
      <x:c r="B992" s="25" t="str">
        <x:v>巨人山顶</x:v>
      </x:c>
      <x:c r="C992" s="25" t="str">
        <x:v>半急速入场</x:v>
      </x:c>
      <x:c r="D992" s="25" t="n">
        <x:v>8</x:v>
      </x:c>
      <x:c r="E992" s="25" t="n">
        <x:v>118</x:v>
      </x:c>
      <x:c r="F992" s="25" t="str">
        <x:v>月渊秘戒</x:v>
      </x:c>
      <x:c r="G992" s="25" t="n">
        <x:v>1</x:v>
      </x:c>
      <x:c r="H992" s="25" t="str">
        <x:v>处决伤害</x:v>
      </x:c>
      <x:c r="I992" s="25" t="n">
        <x:v>2</x:v>
      </x:c>
      <x:c r="J992" s="25" t="n">
        <x:v>11</x:v>
      </x:c>
      <x:c r="K992" s="25" t="str">
        <x:v>仅装备原始基础值决定主属性范围</x:v>
      </x:c>
    </x:row>
    <x:row r="993">
      <x:c r="A993" s="25" t="str">
        <x:v>C08-E</x:v>
      </x:c>
      <x:c r="B993" s="25" t="str">
        <x:v>巨人山顶</x:v>
      </x:c>
      <x:c r="C993" s="25" t="str">
        <x:v>半急速入场</x:v>
      </x:c>
      <x:c r="D993" s="25" t="n">
        <x:v>8</x:v>
      </x:c>
      <x:c r="E993" s="25" t="n">
        <x:v>118</x:v>
      </x:c>
      <x:c r="F993" s="25" t="str">
        <x:v>月渊秘戒</x:v>
      </x:c>
      <x:c r="G993" s="25" t="n">
        <x:v>2</x:v>
      </x:c>
      <x:c r="H993" s="25" t="str">
        <x:v>攻击加成</x:v>
      </x:c>
      <x:c r="I993" s="25" t="n">
        <x:v>28</x:v>
      </x:c>
      <x:c r="J993" s="25" t="n">
        <x:v>18</x:v>
      </x:c>
      <x:c r="K993" s="25" t="str">
        <x:v>仅装备原始基础值决定主属性范围</x:v>
      </x:c>
    </x:row>
    <x:row r="994">
      <x:c r="A994" s="25" t="str">
        <x:v>C08-E</x:v>
      </x:c>
      <x:c r="B994" s="25" t="str">
        <x:v>巨人山顶</x:v>
      </x:c>
      <x:c r="C994" s="25" t="str">
        <x:v>半急速入场</x:v>
      </x:c>
      <x:c r="D994" s="25" t="n">
        <x:v>8</x:v>
      </x:c>
      <x:c r="E994" s="25" t="n">
        <x:v>118</x:v>
      </x:c>
      <x:c r="F994" s="25" t="str">
        <x:v>月渊秘戒</x:v>
      </x:c>
      <x:c r="G994" s="25" t="n">
        <x:v>3</x:v>
      </x:c>
      <x:c r="H994" s="25" t="str">
        <x:v>攻击加成</x:v>
      </x:c>
      <x:c r="I994" s="25" t="n">
        <x:v>41</x:v>
      </x:c>
      <x:c r="J994" s="25" t="n">
        <x:v>19</x:v>
      </x:c>
      <x:c r="K994" s="25" t="str">
        <x:v>仅装备原始基础值决定主属性范围</x:v>
      </x:c>
    </x:row>
    <x:row r="995">
      <x:c r="A995" s="25" t="str">
        <x:v>C08-E</x:v>
      </x:c>
      <x:c r="B995" s="25" t="str">
        <x:v>巨人山顶</x:v>
      </x:c>
      <x:c r="C995" s="25" t="str">
        <x:v>半急速入场</x:v>
      </x:c>
      <x:c r="D995" s="25" t="n">
        <x:v>8</x:v>
      </x:c>
      <x:c r="E995" s="25" t="n">
        <x:v>118</x:v>
      </x:c>
      <x:c r="F995" s="25" t="str">
        <x:v>月渊秘戒</x:v>
      </x:c>
      <x:c r="G995" s="25" t="n">
        <x:v>4</x:v>
      </x:c>
      <x:c r="H995" s="25" t="str">
        <x:v>道术</x:v>
      </x:c>
      <x:c r="I995" s="25" t="n">
        <x:v>75</x:v>
      </x:c>
      <x:c r="J995" s="25" t="n">
        <x:v>3</x:v>
      </x:c>
      <x:c r="K995" s="25" t="str">
        <x:v>仅装备原始基础值决定主属性范围</x:v>
      </x:c>
    </x:row>
    <x:row r="996">
      <x:c r="A996" s="25" t="str">
        <x:v>C08-E</x:v>
      </x:c>
      <x:c r="B996" s="25" t="str">
        <x:v>巨人山顶</x:v>
      </x:c>
      <x:c r="C996" s="25" t="str">
        <x:v>半急速入场</x:v>
      </x:c>
      <x:c r="D996" s="25" t="n">
        <x:v>8</x:v>
      </x:c>
      <x:c r="E996" s="25" t="n">
        <x:v>118</x:v>
      </x:c>
      <x:c r="F996" s="25" t="str">
        <x:v>月渊秘戒</x:v>
      </x:c>
      <x:c r="G996" s="25" t="n">
        <x:v>5</x:v>
      </x:c>
      <x:c r="H996" s="25" t="str">
        <x:v>道术</x:v>
      </x:c>
      <x:c r="I996" s="25" t="n">
        <x:v>23</x:v>
      </x:c>
      <x:c r="J996" s="25" t="n">
        <x:v>3</x:v>
      </x:c>
      <x:c r="K996" s="25" t="str">
        <x:v>仅装备原始基础值决定主属性范围</x:v>
      </x:c>
    </x:row>
    <x:row r="997">
      <x:c r="A997" s="25" t="str">
        <x:v>C08-E</x:v>
      </x:c>
      <x:c r="B997" s="25" t="str">
        <x:v>巨人山顶</x:v>
      </x:c>
      <x:c r="C997" s="25" t="str">
        <x:v>半急速入场</x:v>
      </x:c>
      <x:c r="D997" s="25" t="n">
        <x:v>8</x:v>
      </x:c>
      <x:c r="E997" s="25" t="n">
        <x:v>118</x:v>
      </x:c>
      <x:c r="F997" s="25" t="str">
        <x:v>月渊秘戒</x:v>
      </x:c>
      <x:c r="G997" s="25" t="n">
        <x:v>6</x:v>
      </x:c>
      <x:c r="H997" s="25" t="str">
        <x:v>最大爆率</x:v>
      </x:c>
      <x:c r="I997" s="25" t="n">
        <x:v>3</x:v>
      </x:c>
      <x:c r="J997" s="25" t="n">
        <x:v>24</x:v>
      </x:c>
      <x:c r="K997" s="25" t="str">
        <x:v>仅装备原始基础值决定主属性范围</x:v>
      </x:c>
    </x:row>
    <x:row r="998">
      <x:c r="A998" s="25" t="str">
        <x:v>C08-E</x:v>
      </x:c>
      <x:c r="B998" s="25" t="str">
        <x:v>巨人山顶</x:v>
      </x:c>
      <x:c r="C998" s="25" t="str">
        <x:v>半急速入场</x:v>
      </x:c>
      <x:c r="D998" s="25" t="n">
        <x:v>10</x:v>
      </x:c>
      <x:c r="E998" s="25" t="n">
        <x:v>123</x:v>
      </x:c>
      <x:c r="F998" s="25" t="str">
        <x:v>汲月雾绦</x:v>
      </x:c>
      <x:c r="G998" s="25" t="n">
        <x:v>1</x:v>
      </x:c>
      <x:c r="H998" s="25" t="str">
        <x:v>处决伤害</x:v>
      </x:c>
      <x:c r="I998" s="25" t="n">
        <x:v>1</x:v>
      </x:c>
      <x:c r="J998" s="25" t="n">
        <x:v>10</x:v>
      </x:c>
      <x:c r="K998" s="25" t="str">
        <x:v>仅装备原始基础值决定主属性范围</x:v>
      </x:c>
    </x:row>
    <x:row r="999">
      <x:c r="A999" s="25" t="str">
        <x:v>C08-E</x:v>
      </x:c>
      <x:c r="B999" s="25" t="str">
        <x:v>巨人山顶</x:v>
      </x:c>
      <x:c r="C999" s="25" t="str">
        <x:v>半急速入场</x:v>
      </x:c>
      <x:c r="D999" s="25" t="n">
        <x:v>10</x:v>
      </x:c>
      <x:c r="E999" s="25" t="n">
        <x:v>123</x:v>
      </x:c>
      <x:c r="F999" s="25" t="str">
        <x:v>汲月雾绦</x:v>
      </x:c>
      <x:c r="G999" s="25" t="n">
        <x:v>2</x:v>
      </x:c>
      <x:c r="H999" s="25" t="str">
        <x:v>处决伤害</x:v>
      </x:c>
      <x:c r="I999" s="25" t="n">
        <x:v>1</x:v>
      </x:c>
      <x:c r="J999" s="25" t="n">
        <x:v>10</x:v>
      </x:c>
      <x:c r="K999" s="25" t="str">
        <x:v>仅装备原始基础值决定主属性范围</x:v>
      </x:c>
    </x:row>
    <x:row r="1000">
      <x:c r="A1000" s="25" t="str">
        <x:v>C08-E</x:v>
      </x:c>
      <x:c r="B1000" s="25" t="str">
        <x:v>巨人山顶</x:v>
      </x:c>
      <x:c r="C1000" s="25" t="str">
        <x:v>半急速入场</x:v>
      </x:c>
      <x:c r="D1000" s="25" t="n">
        <x:v>10</x:v>
      </x:c>
      <x:c r="E1000" s="25" t="n">
        <x:v>123</x:v>
      </x:c>
      <x:c r="F1000" s="25" t="str">
        <x:v>汲月雾绦</x:v>
      </x:c>
      <x:c r="G1000" s="25" t="n">
        <x:v>3</x:v>
      </x:c>
      <x:c r="H1000" s="25" t="str">
        <x:v>攻击加成</x:v>
      </x:c>
      <x:c r="I1000" s="25" t="n">
        <x:v>28</x:v>
      </x:c>
      <x:c r="J1000" s="25" t="n">
        <x:v>18</x:v>
      </x:c>
      <x:c r="K1000" s="25" t="str">
        <x:v>仅装备原始基础值决定主属性范围</x:v>
      </x:c>
    </x:row>
    <x:row r="1001">
      <x:c r="A1001" s="25" t="str">
        <x:v>C08-E</x:v>
      </x:c>
      <x:c r="B1001" s="25" t="str">
        <x:v>巨人山顶</x:v>
      </x:c>
      <x:c r="C1001" s="25" t="str">
        <x:v>半急速入场</x:v>
      </x:c>
      <x:c r="D1001" s="25" t="n">
        <x:v>10</x:v>
      </x:c>
      <x:c r="E1001" s="25" t="n">
        <x:v>123</x:v>
      </x:c>
      <x:c r="F1001" s="25" t="str">
        <x:v>汲月雾绦</x:v>
      </x:c>
      <x:c r="G1001" s="25" t="n">
        <x:v>4</x:v>
      </x:c>
      <x:c r="H1001" s="25" t="str">
        <x:v>攻击</x:v>
      </x:c>
      <x:c r="I1001" s="25" t="n">
        <x:v>101</x:v>
      </x:c>
      <x:c r="J1001" s="25" t="n">
        <x:v>1</x:v>
      </x:c>
      <x:c r="K1001" s="25" t="str">
        <x:v>仅装备原始基础值决定主属性范围</x:v>
      </x:c>
    </x:row>
    <x:row r="1002">
      <x:c r="A1002" s="25" t="str">
        <x:v>C08-E</x:v>
      </x:c>
      <x:c r="B1002" s="25" t="str">
        <x:v>巨人山顶</x:v>
      </x:c>
      <x:c r="C1002" s="25" t="str">
        <x:v>半急速入场</x:v>
      </x:c>
      <x:c r="D1002" s="25" t="n">
        <x:v>10</x:v>
      </x:c>
      <x:c r="E1002" s="25" t="n">
        <x:v>123</x:v>
      </x:c>
      <x:c r="F1002" s="25" t="str">
        <x:v>汲月雾绦</x:v>
      </x:c>
      <x:c r="G1002" s="25" t="n">
        <x:v>5</x:v>
      </x:c>
      <x:c r="H1002" s="25" t="str">
        <x:v>攻击加成</x:v>
      </x:c>
      <x:c r="I1002" s="25" t="n">
        <x:v>8</x:v>
      </x:c>
      <x:c r="J1002" s="25" t="n">
        <x:v>18</x:v>
      </x:c>
      <x:c r="K1002" s="25" t="str">
        <x:v>仅装备原始基础值决定主属性范围</x:v>
      </x:c>
    </x:row>
    <x:row r="1003">
      <x:c r="A1003" s="25" t="str">
        <x:v>C08-E</x:v>
      </x:c>
      <x:c r="B1003" s="25" t="str">
        <x:v>巨人山顶</x:v>
      </x:c>
      <x:c r="C1003" s="25" t="str">
        <x:v>半急速入场</x:v>
      </x:c>
      <x:c r="D1003" s="25" t="n">
        <x:v>11</x:v>
      </x:c>
      <x:c r="E1003" s="25" t="n">
        <x:v>94</x:v>
      </x:c>
      <x:c r="F1003" s="25" t="str">
        <x:v>逐风征靴</x:v>
      </x:c>
      <x:c r="G1003" s="25" t="n">
        <x:v>1</x:v>
      </x:c>
      <x:c r="H1003" s="25" t="str">
        <x:v>魔法</x:v>
      </x:c>
      <x:c r="I1003" s="25" t="n">
        <x:v>46</x:v>
      </x:c>
      <x:c r="J1003" s="25" t="n">
        <x:v>2</x:v>
      </x:c>
      <x:c r="K1003" s="25" t="str">
        <x:v>仅装备原始基础值决定主属性范围</x:v>
      </x:c>
    </x:row>
    <x:row r="1004">
      <x:c r="A1004" s="25" t="str">
        <x:v>C08-E</x:v>
      </x:c>
      <x:c r="B1004" s="25" t="str">
        <x:v>巨人山顶</x:v>
      </x:c>
      <x:c r="C1004" s="25" t="str">
        <x:v>半急速入场</x:v>
      </x:c>
      <x:c r="D1004" s="25" t="n">
        <x:v>11</x:v>
      </x:c>
      <x:c r="E1004" s="25" t="n">
        <x:v>94</x:v>
      </x:c>
      <x:c r="F1004" s="25" t="str">
        <x:v>逐风征靴</x:v>
      </x:c>
      <x:c r="G1004" s="25" t="n">
        <x:v>2</x:v>
      </x:c>
      <x:c r="H1004" s="25" t="str">
        <x:v>攻击加成</x:v>
      </x:c>
      <x:c r="I1004" s="25" t="n">
        <x:v>30</x:v>
      </x:c>
      <x:c r="J1004" s="25" t="n">
        <x:v>18</x:v>
      </x:c>
      <x:c r="K1004" s="25" t="str">
        <x:v>仅装备原始基础值决定主属性范围</x:v>
      </x:c>
    </x:row>
    <x:row r="1005">
      <x:c r="A1005" s="25" t="str">
        <x:v>C08-E</x:v>
      </x:c>
      <x:c r="B1005" s="25" t="str">
        <x:v>巨人山顶</x:v>
      </x:c>
      <x:c r="C1005" s="25" t="str">
        <x:v>半急速入场</x:v>
      </x:c>
      <x:c r="D1005" s="25" t="n">
        <x:v>11</x:v>
      </x:c>
      <x:c r="E1005" s="25" t="n">
        <x:v>94</x:v>
      </x:c>
      <x:c r="F1005" s="25" t="str">
        <x:v>逐风征靴</x:v>
      </x:c>
      <x:c r="G1005" s="25" t="n">
        <x:v>3</x:v>
      </x:c>
      <x:c r="H1005" s="25" t="str">
        <x:v>攻击</x:v>
      </x:c>
      <x:c r="I1005" s="25" t="n">
        <x:v>68</x:v>
      </x:c>
      <x:c r="J1005" s="25" t="n">
        <x:v>1</x:v>
      </x:c>
      <x:c r="K1005" s="25" t="str">
        <x:v>仅装备原始基础值决定主属性范围</x:v>
      </x:c>
    </x:row>
    <x:row r="1006">
      <x:c r="A1006" s="25" t="str">
        <x:v>C08-M</x:v>
      </x:c>
      <x:c r="B1006" s="25" t="str">
        <x:v>巨人山顶</x:v>
      </x:c>
      <x:c r="C1006" s="25" t="str">
        <x:v>半急速中期</x:v>
      </x:c>
      <x:c r="D1006" s="25" t="n">
        <x:v>0</x:v>
      </x:c>
      <x:c r="E1006" s="25" t="n">
        <x:v>142</x:v>
      </x:c>
      <x:c r="F1006" s="25" t="str">
        <x:v>逆页导师长衣</x:v>
      </x:c>
      <x:c r="G1006" s="25" t="n">
        <x:v>1</x:v>
      </x:c>
      <x:c r="H1006" s="25" t="str">
        <x:v>攻击速度</x:v>
      </x:c>
      <x:c r="I1006" s="25" t="n">
        <x:v>2</x:v>
      </x:c>
      <x:c r="J1006" s="25" t="n">
        <x:v>5</x:v>
      </x:c>
      <x:c r="K1006" s="25" t="str">
        <x:v>仅装备原始基础值决定主属性范围</x:v>
      </x:c>
    </x:row>
    <x:row r="1007">
      <x:c r="A1007" s="25" t="str">
        <x:v>C08-M</x:v>
      </x:c>
      <x:c r="B1007" s="25" t="str">
        <x:v>巨人山顶</x:v>
      </x:c>
      <x:c r="C1007" s="25" t="str">
        <x:v>半急速中期</x:v>
      </x:c>
      <x:c r="D1007" s="25" t="n">
        <x:v>0</x:v>
      </x:c>
      <x:c r="E1007" s="25" t="n">
        <x:v>142</x:v>
      </x:c>
      <x:c r="F1007" s="25" t="str">
        <x:v>逆页导师长衣</x:v>
      </x:c>
      <x:c r="G1007" s="25" t="n">
        <x:v>2</x:v>
      </x:c>
      <x:c r="H1007" s="25" t="str">
        <x:v>攻击加成</x:v>
      </x:c>
      <x:c r="I1007" s="25" t="n">
        <x:v>37</x:v>
      </x:c>
      <x:c r="J1007" s="25" t="n">
        <x:v>19</x:v>
      </x:c>
      <x:c r="K1007" s="25" t="str">
        <x:v>仅装备原始基础值决定主属性范围</x:v>
      </x:c>
    </x:row>
    <x:row r="1008">
      <x:c r="A1008" s="25" t="str">
        <x:v>C08-M</x:v>
      </x:c>
      <x:c r="B1008" s="25" t="str">
        <x:v>巨人山顶</x:v>
      </x:c>
      <x:c r="C1008" s="25" t="str">
        <x:v>半急速中期</x:v>
      </x:c>
      <x:c r="D1008" s="25" t="n">
        <x:v>0</x:v>
      </x:c>
      <x:c r="E1008" s="25" t="n">
        <x:v>142</x:v>
      </x:c>
      <x:c r="F1008" s="25" t="str">
        <x:v>逆页导师长衣</x:v>
      </x:c>
      <x:c r="G1008" s="25" t="n">
        <x:v>3</x:v>
      </x:c>
      <x:c r="H1008" s="25" t="str">
        <x:v>攻击</x:v>
      </x:c>
      <x:c r="I1008" s="25" t="n">
        <x:v>223</x:v>
      </x:c>
      <x:c r="J1008" s="25" t="n">
        <x:v>1</x:v>
      </x:c>
      <x:c r="K1008" s="25" t="str">
        <x:v>仅装备原始基础值决定主属性范围</x:v>
      </x:c>
    </x:row>
    <x:row r="1009">
      <x:c r="A1009" s="25" t="str">
        <x:v>C08-M</x:v>
      </x:c>
      <x:c r="B1009" s="25" t="str">
        <x:v>巨人山顶</x:v>
      </x:c>
      <x:c r="C1009" s="25" t="str">
        <x:v>半急速中期</x:v>
      </x:c>
      <x:c r="D1009" s="25" t="n">
        <x:v>0</x:v>
      </x:c>
      <x:c r="E1009" s="25" t="n">
        <x:v>142</x:v>
      </x:c>
      <x:c r="F1009" s="25" t="str">
        <x:v>逆页导师长衣</x:v>
      </x:c>
      <x:c r="G1009" s="25" t="n">
        <x:v>4</x:v>
      </x:c>
      <x:c r="H1009" s="25" t="str">
        <x:v>最大爆率</x:v>
      </x:c>
      <x:c r="I1009" s="25" t="n">
        <x:v>1</x:v>
      </x:c>
      <x:c r="J1009" s="25" t="n">
        <x:v>22</x:v>
      </x:c>
      <x:c r="K1009" s="25" t="str">
        <x:v>仅装备原始基础值决定主属性范围</x:v>
      </x:c>
    </x:row>
    <x:row r="1010">
      <x:c r="A1010" s="25" t="str">
        <x:v>C08-M</x:v>
      </x:c>
      <x:c r="B1010" s="25" t="str">
        <x:v>巨人山顶</x:v>
      </x:c>
      <x:c r="C1010" s="25" t="str">
        <x:v>半急速中期</x:v>
      </x:c>
      <x:c r="D1010" s="25" t="n">
        <x:v>1</x:v>
      </x:c>
      <x:c r="E1010" s="25" t="n">
        <x:v>128</x:v>
      </x:c>
      <x:c r="F1010" s="25" t="str">
        <x:v>卡利亚月裁长刃</x:v>
      </x:c>
      <x:c r="G1010" s="25" t="n">
        <x:v>1</x:v>
      </x:c>
      <x:c r="H1010" s="25" t="str">
        <x:v>吸血</x:v>
      </x:c>
      <x:c r="I1010" s="25" t="n">
        <x:v>1</x:v>
      </x:c>
      <x:c r="J1010" s="25" t="n">
        <x:v>20</x:v>
      </x:c>
      <x:c r="K1010" s="25" t="str">
        <x:v>仅装备原始基础值决定主属性范围</x:v>
      </x:c>
    </x:row>
    <x:row r="1011">
      <x:c r="A1011" s="25" t="str">
        <x:v>C08-M</x:v>
      </x:c>
      <x:c r="B1011" s="25" t="str">
        <x:v>巨人山顶</x:v>
      </x:c>
      <x:c r="C1011" s="25" t="str">
        <x:v>半急速中期</x:v>
      </x:c>
      <x:c r="D1011" s="25" t="n">
        <x:v>1</x:v>
      </x:c>
      <x:c r="E1011" s="25" t="n">
        <x:v>128</x:v>
      </x:c>
      <x:c r="F1011" s="25" t="str">
        <x:v>卡利亚月裁长刃</x:v>
      </x:c>
      <x:c r="G1011" s="25" t="n">
        <x:v>2</x:v>
      </x:c>
      <x:c r="H1011" s="25" t="str">
        <x:v>攻击加成</x:v>
      </x:c>
      <x:c r="I1011" s="25" t="n">
        <x:v>48</x:v>
      </x:c>
      <x:c r="J1011" s="25" t="n">
        <x:v>19</x:v>
      </x:c>
      <x:c r="K1011" s="25" t="str">
        <x:v>仅装备原始基础值决定主属性范围</x:v>
      </x:c>
    </x:row>
    <x:row r="1012">
      <x:c r="A1012" s="25" t="str">
        <x:v>C08-M</x:v>
      </x:c>
      <x:c r="B1012" s="25" t="str">
        <x:v>巨人山顶</x:v>
      </x:c>
      <x:c r="C1012" s="25" t="str">
        <x:v>半急速中期</x:v>
      </x:c>
      <x:c r="D1012" s="25" t="n">
        <x:v>3</x:v>
      </x:c>
      <x:c r="E1012" s="25" t="n">
        <x:v>151</x:v>
      </x:c>
      <x:c r="F1012" s="25" t="str">
        <x:v>腐狱铁链</x:v>
      </x:c>
      <x:c r="G1012" s="25" t="n">
        <x:v>1</x:v>
      </x:c>
      <x:c r="H1012" s="25" t="str">
        <x:v>攻击加成</x:v>
      </x:c>
      <x:c r="I1012" s="25" t="n">
        <x:v>42</x:v>
      </x:c>
      <x:c r="J1012" s="25" t="n">
        <x:v>19</x:v>
      </x:c>
      <x:c r="K1012" s="25" t="str">
        <x:v>仅装备原始基础值决定主属性范围</x:v>
      </x:c>
    </x:row>
    <x:row r="1013">
      <x:c r="A1013" s="25" t="str">
        <x:v>C08-M</x:v>
      </x:c>
      <x:c r="B1013" s="25" t="str">
        <x:v>巨人山顶</x:v>
      </x:c>
      <x:c r="C1013" s="25" t="str">
        <x:v>半急速中期</x:v>
      </x:c>
      <x:c r="D1013" s="25" t="n">
        <x:v>3</x:v>
      </x:c>
      <x:c r="E1013" s="25" t="n">
        <x:v>151</x:v>
      </x:c>
      <x:c r="F1013" s="25" t="str">
        <x:v>腐狱铁链</x:v>
      </x:c>
      <x:c r="G1013" s="25" t="n">
        <x:v>2</x:v>
      </x:c>
      <x:c r="H1013" s="25" t="str">
        <x:v>致命一击</x:v>
      </x:c>
      <x:c r="I1013" s="25" t="n">
        <x:v>1</x:v>
      </x:c>
      <x:c r="J1013" s="25" t="n">
        <x:v>16</x:v>
      </x:c>
      <x:c r="K1013" s="25" t="str">
        <x:v>仅装备原始基础值决定主属性范围</x:v>
      </x:c>
    </x:row>
    <x:row r="1014">
      <x:c r="A1014" s="25" t="str">
        <x:v>C08-M</x:v>
      </x:c>
      <x:c r="B1014" s="25" t="str">
        <x:v>巨人山顶</x:v>
      </x:c>
      <x:c r="C1014" s="25" t="str">
        <x:v>半急速中期</x:v>
      </x:c>
      <x:c r="D1014" s="25" t="n">
        <x:v>3</x:v>
      </x:c>
      <x:c r="E1014" s="25" t="n">
        <x:v>151</x:v>
      </x:c>
      <x:c r="F1014" s="25" t="str">
        <x:v>腐狱铁链</x:v>
      </x:c>
      <x:c r="G1014" s="25" t="n">
        <x:v>3</x:v>
      </x:c>
      <x:c r="H1014" s="25" t="str">
        <x:v>处决时间</x:v>
      </x:c>
      <x:c r="I1014" s="25" t="n">
        <x:v>1</x:v>
      </x:c>
      <x:c r="J1014" s="25" t="n">
        <x:v>8</x:v>
      </x:c>
      <x:c r="K1014" s="25" t="str">
        <x:v>仅装备原始基础值决定主属性范围</x:v>
      </x:c>
    </x:row>
    <x:row r="1015">
      <x:c r="A1015" s="25" t="str">
        <x:v>C08-M</x:v>
      </x:c>
      <x:c r="B1015" s="25" t="str">
        <x:v>巨人山顶</x:v>
      </x:c>
      <x:c r="C1015" s="25" t="str">
        <x:v>半急速中期</x:v>
      </x:c>
      <x:c r="D1015" s="25" t="n">
        <x:v>4</x:v>
      </x:c>
      <x:c r="E1015" s="25" t="n">
        <x:v>145</x:v>
      </x:c>
      <x:c r="F1015" s="25" t="str">
        <x:v>凝霜乐师冠</x:v>
      </x:c>
      <x:c r="G1015" s="25" t="n">
        <x:v>1</x:v>
      </x:c>
      <x:c r="H1015" s="25" t="str">
        <x:v>攻击</x:v>
      </x:c>
      <x:c r="I1015" s="25" t="n">
        <x:v>188</x:v>
      </x:c>
      <x:c r="J1015" s="25" t="n">
        <x:v>1</x:v>
      </x:c>
      <x:c r="K1015" s="25" t="str">
        <x:v>仅装备原始基础值决定主属性范围</x:v>
      </x:c>
    </x:row>
    <x:row r="1016">
      <x:c r="A1016" s="25" t="str">
        <x:v>C08-M</x:v>
      </x:c>
      <x:c r="B1016" s="25" t="str">
        <x:v>巨人山顶</x:v>
      </x:c>
      <x:c r="C1016" s="25" t="str">
        <x:v>半急速中期</x:v>
      </x:c>
      <x:c r="D1016" s="25" t="n">
        <x:v>4</x:v>
      </x:c>
      <x:c r="E1016" s="25" t="n">
        <x:v>145</x:v>
      </x:c>
      <x:c r="F1016" s="25" t="str">
        <x:v>凝霜乐师冠</x:v>
      </x:c>
      <x:c r="G1016" s="25" t="n">
        <x:v>2</x:v>
      </x:c>
      <x:c r="H1016" s="25" t="str">
        <x:v>致命一击</x:v>
      </x:c>
      <x:c r="I1016" s="25" t="n">
        <x:v>1</x:v>
      </x:c>
      <x:c r="J1016" s="25" t="n">
        <x:v>16</x:v>
      </x:c>
      <x:c r="K1016" s="25" t="str">
        <x:v>仅装备原始基础值决定主属性范围</x:v>
      </x:c>
    </x:row>
    <x:row r="1017">
      <x:c r="A1017" s="25" t="str">
        <x:v>C08-M</x:v>
      </x:c>
      <x:c r="B1017" s="25" t="str">
        <x:v>巨人山顶</x:v>
      </x:c>
      <x:c r="C1017" s="25" t="str">
        <x:v>半急速中期</x:v>
      </x:c>
      <x:c r="D1017" s="25" t="n">
        <x:v>4</x:v>
      </x:c>
      <x:c r="E1017" s="25" t="n">
        <x:v>145</x:v>
      </x:c>
      <x:c r="F1017" s="25" t="str">
        <x:v>凝霜乐师冠</x:v>
      </x:c>
      <x:c r="G1017" s="25" t="n">
        <x:v>3</x:v>
      </x:c>
      <x:c r="H1017" s="25" t="str">
        <x:v>暴击</x:v>
      </x:c>
      <x:c r="I1017" s="25" t="n">
        <x:v>2</x:v>
      </x:c>
      <x:c r="J1017" s="25" t="n">
        <x:v>15</x:v>
      </x:c>
      <x:c r="K1017" s="25" t="str">
        <x:v>仅装备原始基础值决定主属性范围</x:v>
      </x:c>
    </x:row>
    <x:row r="1018">
      <x:c r="A1018" s="25" t="str">
        <x:v>C08-M</x:v>
      </x:c>
      <x:c r="B1018" s="25" t="str">
        <x:v>巨人山顶</x:v>
      </x:c>
      <x:c r="C1018" s="25" t="str">
        <x:v>半急速中期</x:v>
      </x:c>
      <x:c r="D1018" s="25" t="n">
        <x:v>5</x:v>
      </x:c>
      <x:c r="E1018" s="25" t="n">
        <x:v>117</x:v>
      </x:c>
      <x:c r="F1018" s="25" t="str">
        <x:v>百指腕甲</x:v>
      </x:c>
      <x:c r="G1018" s="25" t="n">
        <x:v>1</x:v>
      </x:c>
      <x:c r="H1018" s="25" t="str">
        <x:v>攻击速度</x:v>
      </x:c>
      <x:c r="I1018" s="25" t="n">
        <x:v>1</x:v>
      </x:c>
      <x:c r="J1018" s="25" t="n">
        <x:v>4</x:v>
      </x:c>
      <x:c r="K1018" s="25" t="str">
        <x:v>仅装备原始基础值决定主属性范围</x:v>
      </x:c>
    </x:row>
    <x:row r="1019">
      <x:c r="A1019" s="25" t="str">
        <x:v>C08-M</x:v>
      </x:c>
      <x:c r="B1019" s="25" t="str">
        <x:v>巨人山顶</x:v>
      </x:c>
      <x:c r="C1019" s="25" t="str">
        <x:v>半急速中期</x:v>
      </x:c>
      <x:c r="D1019" s="25" t="n">
        <x:v>5</x:v>
      </x:c>
      <x:c r="E1019" s="25" t="n">
        <x:v>117</x:v>
      </x:c>
      <x:c r="F1019" s="25" t="str">
        <x:v>百指腕甲</x:v>
      </x:c>
      <x:c r="G1019" s="25" t="n">
        <x:v>2</x:v>
      </x:c>
      <x:c r="H1019" s="25" t="str">
        <x:v>攻击</x:v>
      </x:c>
      <x:c r="I1019" s="25" t="n">
        <x:v>60</x:v>
      </x:c>
      <x:c r="J1019" s="25" t="n">
        <x:v>1</x:v>
      </x:c>
      <x:c r="K1019" s="25" t="str">
        <x:v>仅装备原始基础值决定主属性范围</x:v>
      </x:c>
    </x:row>
    <x:row r="1020">
      <x:c r="A1020" s="25" t="str">
        <x:v>C08-M</x:v>
      </x:c>
      <x:c r="B1020" s="25" t="str">
        <x:v>巨人山顶</x:v>
      </x:c>
      <x:c r="C1020" s="25" t="str">
        <x:v>半急速中期</x:v>
      </x:c>
      <x:c r="D1020" s="25" t="n">
        <x:v>5</x:v>
      </x:c>
      <x:c r="E1020" s="25" t="n">
        <x:v>117</x:v>
      </x:c>
      <x:c r="F1020" s="25" t="str">
        <x:v>百指腕甲</x:v>
      </x:c>
      <x:c r="G1020" s="25" t="n">
        <x:v>3</x:v>
      </x:c>
      <x:c r="H1020" s="25" t="str">
        <x:v>攻击加成</x:v>
      </x:c>
      <x:c r="I1020" s="25" t="n">
        <x:v>25</x:v>
      </x:c>
      <x:c r="J1020" s="25" t="n">
        <x:v>18</x:v>
      </x:c>
      <x:c r="K1020" s="25" t="str">
        <x:v>仅装备原始基础值决定主属性范围</x:v>
      </x:c>
    </x:row>
    <x:row r="1021">
      <x:c r="A1021" s="25" t="str">
        <x:v>C08-M</x:v>
      </x:c>
      <x:c r="B1021" s="25" t="str">
        <x:v>巨人山顶</x:v>
      </x:c>
      <x:c r="C1021" s="25" t="str">
        <x:v>半急速中期</x:v>
      </x:c>
      <x:c r="D1021" s="25" t="n">
        <x:v>5</x:v>
      </x:c>
      <x:c r="E1021" s="25" t="n">
        <x:v>117</x:v>
      </x:c>
      <x:c r="F1021" s="25" t="str">
        <x:v>百指腕甲</x:v>
      </x:c>
      <x:c r="G1021" s="25" t="n">
        <x:v>4</x:v>
      </x:c>
      <x:c r="H1021" s="25" t="str">
        <x:v>攻击加成</x:v>
      </x:c>
      <x:c r="I1021" s="25" t="n">
        <x:v>48</x:v>
      </x:c>
      <x:c r="J1021" s="25" t="n">
        <x:v>19</x:v>
      </x:c>
      <x:c r="K1021" s="25" t="str">
        <x:v>仅装备原始基础值决定主属性范围</x:v>
      </x:c>
    </x:row>
    <x:row r="1022">
      <x:c r="A1022" s="25" t="str">
        <x:v>C08-M</x:v>
      </x:c>
      <x:c r="B1022" s="25" t="str">
        <x:v>巨人山顶</x:v>
      </x:c>
      <x:c r="C1022" s="25" t="str">
        <x:v>半急速中期</x:v>
      </x:c>
      <x:c r="D1022" s="25" t="n">
        <x:v>6</x:v>
      </x:c>
      <x:c r="E1022" s="25" t="n">
        <x:v>68</x:v>
      </x:c>
      <x:c r="F1022" s="25" t="str">
        <x:v>百指接肢腕</x:v>
      </x:c>
      <x:c r="G1022" s="25" t="n">
        <x:v>1</x:v>
      </x:c>
      <x:c r="H1022" s="25" t="str">
        <x:v>处决伤害</x:v>
      </x:c>
      <x:c r="I1022" s="25" t="n">
        <x:v>1</x:v>
      </x:c>
      <x:c r="J1022" s="25" t="n">
        <x:v>10</x:v>
      </x:c>
      <x:c r="K1022" s="25" t="str">
        <x:v>仅装备原始基础值决定主属性范围</x:v>
      </x:c>
    </x:row>
    <x:row r="1023">
      <x:c r="A1023" s="25" t="str">
        <x:v>C08-M</x:v>
      </x:c>
      <x:c r="B1023" s="25" t="str">
        <x:v>巨人山顶</x:v>
      </x:c>
      <x:c r="C1023" s="25" t="str">
        <x:v>半急速中期</x:v>
      </x:c>
      <x:c r="D1023" s="25" t="n">
        <x:v>6</x:v>
      </x:c>
      <x:c r="E1023" s="25" t="n">
        <x:v>68</x:v>
      </x:c>
      <x:c r="F1023" s="25" t="str">
        <x:v>百指接肢腕</x:v>
      </x:c>
      <x:c r="G1023" s="25" t="n">
        <x:v>2</x:v>
      </x:c>
      <x:c r="H1023" s="25" t="str">
        <x:v>攻击加成</x:v>
      </x:c>
      <x:c r="I1023" s="25" t="n">
        <x:v>28</x:v>
      </x:c>
      <x:c r="J1023" s="25" t="n">
        <x:v>18</x:v>
      </x:c>
      <x:c r="K1023" s="25" t="str">
        <x:v>仅装备原始基础值决定主属性范围</x:v>
      </x:c>
    </x:row>
    <x:row r="1024">
      <x:c r="A1024" s="25" t="str">
        <x:v>C08-M</x:v>
      </x:c>
      <x:c r="B1024" s="25" t="str">
        <x:v>巨人山顶</x:v>
      </x:c>
      <x:c r="C1024" s="25" t="str">
        <x:v>半急速中期</x:v>
      </x:c>
      <x:c r="D1024" s="25" t="n">
        <x:v>6</x:v>
      </x:c>
      <x:c r="E1024" s="25" t="n">
        <x:v>68</x:v>
      </x:c>
      <x:c r="F1024" s="25" t="str">
        <x:v>百指接肢腕</x:v>
      </x:c>
      <x:c r="G1024" s="25" t="n">
        <x:v>3</x:v>
      </x:c>
      <x:c r="H1024" s="25" t="str">
        <x:v>攻击加成</x:v>
      </x:c>
      <x:c r="I1024" s="25" t="n">
        <x:v>45</x:v>
      </x:c>
      <x:c r="J1024" s="25" t="n">
        <x:v>19</x:v>
      </x:c>
      <x:c r="K1024" s="25" t="str">
        <x:v>仅装备原始基础值决定主属性范围</x:v>
      </x:c>
    </x:row>
    <x:row r="1025">
      <x:c r="A1025" s="25" t="str">
        <x:v>C08-M</x:v>
      </x:c>
      <x:c r="B1025" s="25" t="str">
        <x:v>巨人山顶</x:v>
      </x:c>
      <x:c r="C1025" s="25" t="str">
        <x:v>半急速中期</x:v>
      </x:c>
      <x:c r="D1025" s="25" t="n">
        <x:v>6</x:v>
      </x:c>
      <x:c r="E1025" s="25" t="n">
        <x:v>68</x:v>
      </x:c>
      <x:c r="F1025" s="25" t="str">
        <x:v>百指接肢腕</x:v>
      </x:c>
      <x:c r="G1025" s="25" t="n">
        <x:v>4</x:v>
      </x:c>
      <x:c r="H1025" s="25" t="str">
        <x:v>处决伤害</x:v>
      </x:c>
      <x:c r="I1025" s="25" t="n">
        <x:v>2</x:v>
      </x:c>
      <x:c r="J1025" s="25" t="n">
        <x:v>11</x:v>
      </x:c>
      <x:c r="K1025" s="25" t="str">
        <x:v>仅装备原始基础值决定主属性范围</x:v>
      </x:c>
    </x:row>
    <x:row r="1026">
      <x:c r="A1026" s="25" t="str">
        <x:v>C08-M</x:v>
      </x:c>
      <x:c r="B1026" s="25" t="str">
        <x:v>巨人山顶</x:v>
      </x:c>
      <x:c r="C1026" s="25" t="str">
        <x:v>半急速中期</x:v>
      </x:c>
      <x:c r="D1026" s="25" t="n">
        <x:v>6</x:v>
      </x:c>
      <x:c r="E1026" s="25" t="n">
        <x:v>68</x:v>
      </x:c>
      <x:c r="F1026" s="25" t="str">
        <x:v>百指接肢腕</x:v>
      </x:c>
      <x:c r="G1026" s="25" t="n">
        <x:v>5</x:v>
      </x:c>
      <x:c r="H1026" s="25" t="str">
        <x:v>暴击</x:v>
      </x:c>
      <x:c r="I1026" s="25" t="n">
        <x:v>1</x:v>
      </x:c>
      <x:c r="J1026" s="25" t="n">
        <x:v>14</x:v>
      </x:c>
      <x:c r="K1026" s="25" t="str">
        <x:v>仅装备原始基础值决定主属性范围</x:v>
      </x:c>
    </x:row>
    <x:row r="1027">
      <x:c r="A1027" s="25" t="str">
        <x:v>C08-M</x:v>
      </x:c>
      <x:c r="B1027" s="25" t="str">
        <x:v>巨人山顶</x:v>
      </x:c>
      <x:c r="C1027" s="25" t="str">
        <x:v>半急速中期</x:v>
      </x:c>
      <x:c r="D1027" s="25" t="n">
        <x:v>7</x:v>
      </x:c>
      <x:c r="E1027" s="25" t="n">
        <x:v>111</x:v>
      </x:c>
      <x:c r="F1027" s="25" t="str">
        <x:v>蓝焰祷戒</x:v>
      </x:c>
      <x:c r="G1027" s="25" t="n">
        <x:v>1</x:v>
      </x:c>
      <x:c r="H1027" s="25" t="str">
        <x:v>伤害吸收上限</x:v>
      </x:c>
      <x:c r="I1027" s="25" t="n">
        <x:v>2</x:v>
      </x:c>
      <x:c r="J1027" s="25" t="n">
        <x:v>29</x:v>
      </x:c>
      <x:c r="K1027" s="25" t="str">
        <x:v>仅装备原始基础值决定主属性范围</x:v>
      </x:c>
    </x:row>
    <x:row r="1028">
      <x:c r="A1028" s="25" t="str">
        <x:v>C08-M</x:v>
      </x:c>
      <x:c r="B1028" s="25" t="str">
        <x:v>巨人山顶</x:v>
      </x:c>
      <x:c r="C1028" s="25" t="str">
        <x:v>半急速中期</x:v>
      </x:c>
      <x:c r="D1028" s="25" t="n">
        <x:v>7</x:v>
      </x:c>
      <x:c r="E1028" s="25" t="n">
        <x:v>111</x:v>
      </x:c>
      <x:c r="F1028" s="25" t="str">
        <x:v>蓝焰祷戒</x:v>
      </x:c>
      <x:c r="G1028" s="25" t="n">
        <x:v>2</x:v>
      </x:c>
      <x:c r="H1028" s="25" t="str">
        <x:v>攻击加成</x:v>
      </x:c>
      <x:c r="I1028" s="25" t="n">
        <x:v>19</x:v>
      </x:c>
      <x:c r="J1028" s="25" t="n">
        <x:v>18</x:v>
      </x:c>
      <x:c r="K1028" s="25" t="str">
        <x:v>仅装备原始基础值决定主属性范围</x:v>
      </x:c>
    </x:row>
    <x:row r="1029">
      <x:c r="A1029" s="25" t="str">
        <x:v>C08-M</x:v>
      </x:c>
      <x:c r="B1029" s="25" t="str">
        <x:v>巨人山顶</x:v>
      </x:c>
      <x:c r="C1029" s="25" t="str">
        <x:v>半急速中期</x:v>
      </x:c>
      <x:c r="D1029" s="25" t="n">
        <x:v>7</x:v>
      </x:c>
      <x:c r="E1029" s="25" t="n">
        <x:v>111</x:v>
      </x:c>
      <x:c r="F1029" s="25" t="str">
        <x:v>蓝焰祷戒</x:v>
      </x:c>
      <x:c r="G1029" s="25" t="n">
        <x:v>3</x:v>
      </x:c>
      <x:c r="H1029" s="25" t="str">
        <x:v>攻击加成</x:v>
      </x:c>
      <x:c r="I1029" s="25" t="n">
        <x:v>45</x:v>
      </x:c>
      <x:c r="J1029" s="25" t="n">
        <x:v>19</x:v>
      </x:c>
      <x:c r="K1029" s="25" t="str">
        <x:v>仅装备原始基础值决定主属性范围</x:v>
      </x:c>
    </x:row>
    <x:row r="1030">
      <x:c r="A1030" s="25" t="str">
        <x:v>C08-M</x:v>
      </x:c>
      <x:c r="B1030" s="25" t="str">
        <x:v>巨人山顶</x:v>
      </x:c>
      <x:c r="C1030" s="25" t="str">
        <x:v>半急速中期</x:v>
      </x:c>
      <x:c r="D1030" s="25" t="n">
        <x:v>7</x:v>
      </x:c>
      <x:c r="E1030" s="25" t="n">
        <x:v>111</x:v>
      </x:c>
      <x:c r="F1030" s="25" t="str">
        <x:v>蓝焰祷戒</x:v>
      </x:c>
      <x:c r="G1030" s="25" t="n">
        <x:v>4</x:v>
      </x:c>
      <x:c r="H1030" s="25" t="str">
        <x:v>魔法</x:v>
      </x:c>
      <x:c r="I1030" s="25" t="n">
        <x:v>101</x:v>
      </x:c>
      <x:c r="J1030" s="25" t="n">
        <x:v>2</x:v>
      </x:c>
      <x:c r="K1030" s="25" t="str">
        <x:v>仅装备原始基础值决定主属性范围</x:v>
      </x:c>
    </x:row>
    <x:row r="1031">
      <x:c r="A1031" s="25" t="str">
        <x:v>C08-M</x:v>
      </x:c>
      <x:c r="B1031" s="25" t="str">
        <x:v>巨人山顶</x:v>
      </x:c>
      <x:c r="C1031" s="25" t="str">
        <x:v>半急速中期</x:v>
      </x:c>
      <x:c r="D1031" s="25" t="n">
        <x:v>7</x:v>
      </x:c>
      <x:c r="E1031" s="25" t="n">
        <x:v>111</x:v>
      </x:c>
      <x:c r="F1031" s="25" t="str">
        <x:v>蓝焰祷戒</x:v>
      </x:c>
      <x:c r="G1031" s="25" t="n">
        <x:v>5</x:v>
      </x:c>
      <x:c r="H1031" s="25" t="str">
        <x:v>暴击</x:v>
      </x:c>
      <x:c r="I1031" s="25" t="n">
        <x:v>1</x:v>
      </x:c>
      <x:c r="J1031" s="25" t="n">
        <x:v>14</x:v>
      </x:c>
      <x:c r="K1031" s="25" t="str">
        <x:v>仅装备原始基础值决定主属性范围</x:v>
      </x:c>
    </x:row>
    <x:row r="1032">
      <x:c r="A1032" s="25" t="str">
        <x:v>C08-M</x:v>
      </x:c>
      <x:c r="B1032" s="25" t="str">
        <x:v>巨人山顶</x:v>
      </x:c>
      <x:c r="C1032" s="25" t="str">
        <x:v>半急速中期</x:v>
      </x:c>
      <x:c r="D1032" s="25" t="n">
        <x:v>8</x:v>
      </x:c>
      <x:c r="E1032" s="25" t="n">
        <x:v>118</x:v>
      </x:c>
      <x:c r="F1032" s="25" t="str">
        <x:v>月渊秘戒</x:v>
      </x:c>
      <x:c r="G1032" s="25" t="n">
        <x:v>1</x:v>
      </x:c>
      <x:c r="H1032" s="25" t="str">
        <x:v>处决伤害</x:v>
      </x:c>
      <x:c r="I1032" s="25" t="n">
        <x:v>2</x:v>
      </x:c>
      <x:c r="J1032" s="25" t="n">
        <x:v>11</x:v>
      </x:c>
      <x:c r="K1032" s="25" t="str">
        <x:v>仅装备原始基础值决定主属性范围</x:v>
      </x:c>
    </x:row>
    <x:row r="1033">
      <x:c r="A1033" s="25" t="str">
        <x:v>C08-M</x:v>
      </x:c>
      <x:c r="B1033" s="25" t="str">
        <x:v>巨人山顶</x:v>
      </x:c>
      <x:c r="C1033" s="25" t="str">
        <x:v>半急速中期</x:v>
      </x:c>
      <x:c r="D1033" s="25" t="n">
        <x:v>8</x:v>
      </x:c>
      <x:c r="E1033" s="25" t="n">
        <x:v>118</x:v>
      </x:c>
      <x:c r="F1033" s="25" t="str">
        <x:v>月渊秘戒</x:v>
      </x:c>
      <x:c r="G1033" s="25" t="n">
        <x:v>2</x:v>
      </x:c>
      <x:c r="H1033" s="25" t="str">
        <x:v>攻击加成</x:v>
      </x:c>
      <x:c r="I1033" s="25" t="n">
        <x:v>28</x:v>
      </x:c>
      <x:c r="J1033" s="25" t="n">
        <x:v>18</x:v>
      </x:c>
      <x:c r="K1033" s="25" t="str">
        <x:v>仅装备原始基础值决定主属性范围</x:v>
      </x:c>
    </x:row>
    <x:row r="1034">
      <x:c r="A1034" s="25" t="str">
        <x:v>C08-M</x:v>
      </x:c>
      <x:c r="B1034" s="25" t="str">
        <x:v>巨人山顶</x:v>
      </x:c>
      <x:c r="C1034" s="25" t="str">
        <x:v>半急速中期</x:v>
      </x:c>
      <x:c r="D1034" s="25" t="n">
        <x:v>8</x:v>
      </x:c>
      <x:c r="E1034" s="25" t="n">
        <x:v>118</x:v>
      </x:c>
      <x:c r="F1034" s="25" t="str">
        <x:v>月渊秘戒</x:v>
      </x:c>
      <x:c r="G1034" s="25" t="n">
        <x:v>3</x:v>
      </x:c>
      <x:c r="H1034" s="25" t="str">
        <x:v>攻击加成</x:v>
      </x:c>
      <x:c r="I1034" s="25" t="n">
        <x:v>41</x:v>
      </x:c>
      <x:c r="J1034" s="25" t="n">
        <x:v>19</x:v>
      </x:c>
      <x:c r="K1034" s="25" t="str">
        <x:v>仅装备原始基础值决定主属性范围</x:v>
      </x:c>
    </x:row>
    <x:row r="1035">
      <x:c r="A1035" s="25" t="str">
        <x:v>C08-M</x:v>
      </x:c>
      <x:c r="B1035" s="25" t="str">
        <x:v>巨人山顶</x:v>
      </x:c>
      <x:c r="C1035" s="25" t="str">
        <x:v>半急速中期</x:v>
      </x:c>
      <x:c r="D1035" s="25" t="n">
        <x:v>8</x:v>
      </x:c>
      <x:c r="E1035" s="25" t="n">
        <x:v>118</x:v>
      </x:c>
      <x:c r="F1035" s="25" t="str">
        <x:v>月渊秘戒</x:v>
      </x:c>
      <x:c r="G1035" s="25" t="n">
        <x:v>4</x:v>
      </x:c>
      <x:c r="H1035" s="25" t="str">
        <x:v>道术</x:v>
      </x:c>
      <x:c r="I1035" s="25" t="n">
        <x:v>75</x:v>
      </x:c>
      <x:c r="J1035" s="25" t="n">
        <x:v>3</x:v>
      </x:c>
      <x:c r="K1035" s="25" t="str">
        <x:v>仅装备原始基础值决定主属性范围</x:v>
      </x:c>
    </x:row>
    <x:row r="1036">
      <x:c r="A1036" s="25" t="str">
        <x:v>C08-M</x:v>
      </x:c>
      <x:c r="B1036" s="25" t="str">
        <x:v>巨人山顶</x:v>
      </x:c>
      <x:c r="C1036" s="25" t="str">
        <x:v>半急速中期</x:v>
      </x:c>
      <x:c r="D1036" s="25" t="n">
        <x:v>8</x:v>
      </x:c>
      <x:c r="E1036" s="25" t="n">
        <x:v>118</x:v>
      </x:c>
      <x:c r="F1036" s="25" t="str">
        <x:v>月渊秘戒</x:v>
      </x:c>
      <x:c r="G1036" s="25" t="n">
        <x:v>5</x:v>
      </x:c>
      <x:c r="H1036" s="25" t="str">
        <x:v>道术</x:v>
      </x:c>
      <x:c r="I1036" s="25" t="n">
        <x:v>23</x:v>
      </x:c>
      <x:c r="J1036" s="25" t="n">
        <x:v>3</x:v>
      </x:c>
      <x:c r="K1036" s="25" t="str">
        <x:v>仅装备原始基础值决定主属性范围</x:v>
      </x:c>
    </x:row>
    <x:row r="1037">
      <x:c r="A1037" s="25" t="str">
        <x:v>C08-M</x:v>
      </x:c>
      <x:c r="B1037" s="25" t="str">
        <x:v>巨人山顶</x:v>
      </x:c>
      <x:c r="C1037" s="25" t="str">
        <x:v>半急速中期</x:v>
      </x:c>
      <x:c r="D1037" s="25" t="n">
        <x:v>8</x:v>
      </x:c>
      <x:c r="E1037" s="25" t="n">
        <x:v>118</x:v>
      </x:c>
      <x:c r="F1037" s="25" t="str">
        <x:v>月渊秘戒</x:v>
      </x:c>
      <x:c r="G1037" s="25" t="n">
        <x:v>6</x:v>
      </x:c>
      <x:c r="H1037" s="25" t="str">
        <x:v>最大爆率</x:v>
      </x:c>
      <x:c r="I1037" s="25" t="n">
        <x:v>3</x:v>
      </x:c>
      <x:c r="J1037" s="25" t="n">
        <x:v>24</x:v>
      </x:c>
      <x:c r="K1037" s="25" t="str">
        <x:v>仅装备原始基础值决定主属性范围</x:v>
      </x:c>
    </x:row>
    <x:row r="1038">
      <x:c r="A1038" s="25" t="str">
        <x:v>C08-M</x:v>
      </x:c>
      <x:c r="B1038" s="25" t="str">
        <x:v>巨人山顶</x:v>
      </x:c>
      <x:c r="C1038" s="25" t="str">
        <x:v>半急速中期</x:v>
      </x:c>
      <x:c r="D1038" s="25" t="n">
        <x:v>10</x:v>
      </x:c>
      <x:c r="E1038" s="25" t="n">
        <x:v>123</x:v>
      </x:c>
      <x:c r="F1038" s="25" t="str">
        <x:v>汲月雾绦</x:v>
      </x:c>
      <x:c r="G1038" s="25" t="n">
        <x:v>1</x:v>
      </x:c>
      <x:c r="H1038" s="25" t="str">
        <x:v>处决伤害</x:v>
      </x:c>
      <x:c r="I1038" s="25" t="n">
        <x:v>1</x:v>
      </x:c>
      <x:c r="J1038" s="25" t="n">
        <x:v>10</x:v>
      </x:c>
      <x:c r="K1038" s="25" t="str">
        <x:v>仅装备原始基础值决定主属性范围</x:v>
      </x:c>
    </x:row>
    <x:row r="1039">
      <x:c r="A1039" s="25" t="str">
        <x:v>C08-M</x:v>
      </x:c>
      <x:c r="B1039" s="25" t="str">
        <x:v>巨人山顶</x:v>
      </x:c>
      <x:c r="C1039" s="25" t="str">
        <x:v>半急速中期</x:v>
      </x:c>
      <x:c r="D1039" s="25" t="n">
        <x:v>10</x:v>
      </x:c>
      <x:c r="E1039" s="25" t="n">
        <x:v>123</x:v>
      </x:c>
      <x:c r="F1039" s="25" t="str">
        <x:v>汲月雾绦</x:v>
      </x:c>
      <x:c r="G1039" s="25" t="n">
        <x:v>2</x:v>
      </x:c>
      <x:c r="H1039" s="25" t="str">
        <x:v>处决伤害</x:v>
      </x:c>
      <x:c r="I1039" s="25" t="n">
        <x:v>1</x:v>
      </x:c>
      <x:c r="J1039" s="25" t="n">
        <x:v>10</x:v>
      </x:c>
      <x:c r="K1039" s="25" t="str">
        <x:v>仅装备原始基础值决定主属性范围</x:v>
      </x:c>
    </x:row>
    <x:row r="1040">
      <x:c r="A1040" s="25" t="str">
        <x:v>C08-M</x:v>
      </x:c>
      <x:c r="B1040" s="25" t="str">
        <x:v>巨人山顶</x:v>
      </x:c>
      <x:c r="C1040" s="25" t="str">
        <x:v>半急速中期</x:v>
      </x:c>
      <x:c r="D1040" s="25" t="n">
        <x:v>10</x:v>
      </x:c>
      <x:c r="E1040" s="25" t="n">
        <x:v>123</x:v>
      </x:c>
      <x:c r="F1040" s="25" t="str">
        <x:v>汲月雾绦</x:v>
      </x:c>
      <x:c r="G1040" s="25" t="n">
        <x:v>3</x:v>
      </x:c>
      <x:c r="H1040" s="25" t="str">
        <x:v>攻击加成</x:v>
      </x:c>
      <x:c r="I1040" s="25" t="n">
        <x:v>28</x:v>
      </x:c>
      <x:c r="J1040" s="25" t="n">
        <x:v>18</x:v>
      </x:c>
      <x:c r="K1040" s="25" t="str">
        <x:v>仅装备原始基础值决定主属性范围</x:v>
      </x:c>
    </x:row>
    <x:row r="1041">
      <x:c r="A1041" s="25" t="str">
        <x:v>C08-M</x:v>
      </x:c>
      <x:c r="B1041" s="25" t="str">
        <x:v>巨人山顶</x:v>
      </x:c>
      <x:c r="C1041" s="25" t="str">
        <x:v>半急速中期</x:v>
      </x:c>
      <x:c r="D1041" s="25" t="n">
        <x:v>10</x:v>
      </x:c>
      <x:c r="E1041" s="25" t="n">
        <x:v>123</x:v>
      </x:c>
      <x:c r="F1041" s="25" t="str">
        <x:v>汲月雾绦</x:v>
      </x:c>
      <x:c r="G1041" s="25" t="n">
        <x:v>4</x:v>
      </x:c>
      <x:c r="H1041" s="25" t="str">
        <x:v>攻击</x:v>
      </x:c>
      <x:c r="I1041" s="25" t="n">
        <x:v>101</x:v>
      </x:c>
      <x:c r="J1041" s="25" t="n">
        <x:v>1</x:v>
      </x:c>
      <x:c r="K1041" s="25" t="str">
        <x:v>仅装备原始基础值决定主属性范围</x:v>
      </x:c>
    </x:row>
    <x:row r="1042">
      <x:c r="A1042" s="25" t="str">
        <x:v>C08-M</x:v>
      </x:c>
      <x:c r="B1042" s="25" t="str">
        <x:v>巨人山顶</x:v>
      </x:c>
      <x:c r="C1042" s="25" t="str">
        <x:v>半急速中期</x:v>
      </x:c>
      <x:c r="D1042" s="25" t="n">
        <x:v>10</x:v>
      </x:c>
      <x:c r="E1042" s="25" t="n">
        <x:v>123</x:v>
      </x:c>
      <x:c r="F1042" s="25" t="str">
        <x:v>汲月雾绦</x:v>
      </x:c>
      <x:c r="G1042" s="25" t="n">
        <x:v>5</x:v>
      </x:c>
      <x:c r="H1042" s="25" t="str">
        <x:v>攻击加成</x:v>
      </x:c>
      <x:c r="I1042" s="25" t="n">
        <x:v>8</x:v>
      </x:c>
      <x:c r="J1042" s="25" t="n">
        <x:v>18</x:v>
      </x:c>
      <x:c r="K1042" s="25" t="str">
        <x:v>仅装备原始基础值决定主属性范围</x:v>
      </x:c>
    </x:row>
    <x:row r="1043">
      <x:c r="A1043" s="25" t="str">
        <x:v>C08-M</x:v>
      </x:c>
      <x:c r="B1043" s="25" t="str">
        <x:v>巨人山顶</x:v>
      </x:c>
      <x:c r="C1043" s="25" t="str">
        <x:v>半急速中期</x:v>
      </x:c>
      <x:c r="D1043" s="25" t="n">
        <x:v>11</x:v>
      </x:c>
      <x:c r="E1043" s="25" t="n">
        <x:v>94</x:v>
      </x:c>
      <x:c r="F1043" s="25" t="str">
        <x:v>逐风征靴</x:v>
      </x:c>
      <x:c r="G1043" s="25" t="n">
        <x:v>1</x:v>
      </x:c>
      <x:c r="H1043" s="25" t="str">
        <x:v>魔法</x:v>
      </x:c>
      <x:c r="I1043" s="25" t="n">
        <x:v>46</x:v>
      </x:c>
      <x:c r="J1043" s="25" t="n">
        <x:v>2</x:v>
      </x:c>
      <x:c r="K1043" s="25" t="str">
        <x:v>仅装备原始基础值决定主属性范围</x:v>
      </x:c>
    </x:row>
    <x:row r="1044">
      <x:c r="A1044" s="25" t="str">
        <x:v>C08-M</x:v>
      </x:c>
      <x:c r="B1044" s="25" t="str">
        <x:v>巨人山顶</x:v>
      </x:c>
      <x:c r="C1044" s="25" t="str">
        <x:v>半急速中期</x:v>
      </x:c>
      <x:c r="D1044" s="25" t="n">
        <x:v>11</x:v>
      </x:c>
      <x:c r="E1044" s="25" t="n">
        <x:v>94</x:v>
      </x:c>
      <x:c r="F1044" s="25" t="str">
        <x:v>逐风征靴</x:v>
      </x:c>
      <x:c r="G1044" s="25" t="n">
        <x:v>2</x:v>
      </x:c>
      <x:c r="H1044" s="25" t="str">
        <x:v>攻击加成</x:v>
      </x:c>
      <x:c r="I1044" s="25" t="n">
        <x:v>30</x:v>
      </x:c>
      <x:c r="J1044" s="25" t="n">
        <x:v>18</x:v>
      </x:c>
      <x:c r="K1044" s="25" t="str">
        <x:v>仅装备原始基础值决定主属性范围</x:v>
      </x:c>
    </x:row>
    <x:row r="1045">
      <x:c r="A1045" s="25" t="str">
        <x:v>C08-M</x:v>
      </x:c>
      <x:c r="B1045" s="25" t="str">
        <x:v>巨人山顶</x:v>
      </x:c>
      <x:c r="C1045" s="25" t="str">
        <x:v>半急速中期</x:v>
      </x:c>
      <x:c r="D1045" s="25" t="n">
        <x:v>11</x:v>
      </x:c>
      <x:c r="E1045" s="25" t="n">
        <x:v>94</x:v>
      </x:c>
      <x:c r="F1045" s="25" t="str">
        <x:v>逐风征靴</x:v>
      </x:c>
      <x:c r="G1045" s="25" t="n">
        <x:v>3</x:v>
      </x:c>
      <x:c r="H1045" s="25" t="str">
        <x:v>攻击</x:v>
      </x:c>
      <x:c r="I1045" s="25" t="n">
        <x:v>68</x:v>
      </x:c>
      <x:c r="J1045" s="25" t="n">
        <x:v>1</x:v>
      </x:c>
      <x:c r="K1045" s="25" t="str">
        <x:v>仅装备原始基础值决定主属性范围</x:v>
      </x:c>
    </x:row>
    <x:row r="1046">
      <x:c r="A1046" s="25" t="str">
        <x:v>C08-G</x:v>
      </x:c>
      <x:c r="B1046" s="25" t="str">
        <x:v>巨人山顶</x:v>
      </x:c>
      <x:c r="C1046" s="25" t="str">
        <x:v>半急速毕业</x:v>
      </x:c>
      <x:c r="D1046" s="25" t="n">
        <x:v>0</x:v>
      </x:c>
      <x:c r="E1046" s="25" t="n">
        <x:v>154</x:v>
      </x:c>
      <x:c r="F1046" s="25" t="str">
        <x:v>塞维拉狱衣</x:v>
      </x:c>
      <x:c r="G1046" s="25" t="n">
        <x:v>1</x:v>
      </x:c>
      <x:c r="H1046" s="25" t="str">
        <x:v>攻击加成</x:v>
      </x:c>
      <x:c r="I1046" s="25" t="n">
        <x:v>9</x:v>
      </x:c>
      <x:c r="J1046" s="25" t="n">
        <x:v>18</x:v>
      </x:c>
      <x:c r="K1046" s="25" t="str">
        <x:v>仅装备原始基础值决定主属性范围</x:v>
      </x:c>
    </x:row>
    <x:row r="1047">
      <x:c r="A1047" s="25" t="str">
        <x:v>C08-G</x:v>
      </x:c>
      <x:c r="B1047" s="25" t="str">
        <x:v>巨人山顶</x:v>
      </x:c>
      <x:c r="C1047" s="25" t="str">
        <x:v>半急速毕业</x:v>
      </x:c>
      <x:c r="D1047" s="25" t="n">
        <x:v>0</x:v>
      </x:c>
      <x:c r="E1047" s="25" t="n">
        <x:v>154</x:v>
      </x:c>
      <x:c r="F1047" s="25" t="str">
        <x:v>塞维拉狱衣</x:v>
      </x:c>
      <x:c r="G1047" s="25" t="n">
        <x:v>2</x:v>
      </x:c>
      <x:c r="H1047" s="25" t="str">
        <x:v>最大爆率</x:v>
      </x:c>
      <x:c r="I1047" s="25" t="n">
        <x:v>2</x:v>
      </x:c>
      <x:c r="J1047" s="25" t="n">
        <x:v>23</x:v>
      </x:c>
      <x:c r="K1047" s="25" t="str">
        <x:v>仅装备原始基础值决定主属性范围</x:v>
      </x:c>
    </x:row>
    <x:row r="1048">
      <x:c r="A1048" s="25" t="str">
        <x:v>C08-G</x:v>
      </x:c>
      <x:c r="B1048" s="25" t="str">
        <x:v>巨人山顶</x:v>
      </x:c>
      <x:c r="C1048" s="25" t="str">
        <x:v>半急速毕业</x:v>
      </x:c>
      <x:c r="D1048" s="25" t="n">
        <x:v>0</x:v>
      </x:c>
      <x:c r="E1048" s="25" t="n">
        <x:v>154</x:v>
      </x:c>
      <x:c r="F1048" s="25" t="str">
        <x:v>塞维拉狱衣</x:v>
      </x:c>
      <x:c r="G1048" s="25" t="n">
        <x:v>3</x:v>
      </x:c>
      <x:c r="H1048" s="25" t="str">
        <x:v>处决概率</x:v>
      </x:c>
      <x:c r="I1048" s="25" t="n">
        <x:v>1</x:v>
      </x:c>
      <x:c r="J1048" s="25" t="n">
        <x:v>6</x:v>
      </x:c>
      <x:c r="K1048" s="25" t="str">
        <x:v>仅装备原始基础值决定主属性范围</x:v>
      </x:c>
    </x:row>
    <x:row r="1049">
      <x:c r="A1049" s="25" t="str">
        <x:v>C08-G</x:v>
      </x:c>
      <x:c r="B1049" s="25" t="str">
        <x:v>巨人山顶</x:v>
      </x:c>
      <x:c r="C1049" s="25" t="str">
        <x:v>半急速毕业</x:v>
      </x:c>
      <x:c r="D1049" s="25" t="n">
        <x:v>0</x:v>
      </x:c>
      <x:c r="E1049" s="25" t="n">
        <x:v>154</x:v>
      </x:c>
      <x:c r="F1049" s="25" t="str">
        <x:v>塞维拉狱衣</x:v>
      </x:c>
      <x:c r="G1049" s="25" t="n">
        <x:v>4</x:v>
      </x:c>
      <x:c r="H1049" s="25" t="str">
        <x:v>攻击加成</x:v>
      </x:c>
      <x:c r="I1049" s="25" t="n">
        <x:v>31</x:v>
      </x:c>
      <x:c r="J1049" s="25" t="n">
        <x:v>19</x:v>
      </x:c>
      <x:c r="K1049" s="25" t="str">
        <x:v>仅装备原始基础值决定主属性范围</x:v>
      </x:c>
    </x:row>
    <x:row r="1050">
      <x:c r="A1050" s="25" t="str">
        <x:v>C08-G</x:v>
      </x:c>
      <x:c r="B1050" s="25" t="str">
        <x:v>巨人山顶</x:v>
      </x:c>
      <x:c r="C1050" s="25" t="str">
        <x:v>半急速毕业</x:v>
      </x:c>
      <x:c r="D1050" s="25" t="n">
        <x:v>0</x:v>
      </x:c>
      <x:c r="E1050" s="25" t="n">
        <x:v>154</x:v>
      </x:c>
      <x:c r="F1050" s="25" t="str">
        <x:v>塞维拉狱衣</x:v>
      </x:c>
      <x:c r="G1050" s="25" t="n">
        <x:v>5</x:v>
      </x:c>
      <x:c r="H1050" s="25" t="str">
        <x:v>处决概率</x:v>
      </x:c>
      <x:c r="I1050" s="25" t="n">
        <x:v>1</x:v>
      </x:c>
      <x:c r="J1050" s="25" t="n">
        <x:v>6</x:v>
      </x:c>
      <x:c r="K1050" s="25" t="str">
        <x:v>仅装备原始基础值决定主属性范围</x:v>
      </x:c>
    </x:row>
    <x:row r="1051">
      <x:c r="A1051" s="25" t="str">
        <x:v>C08-G</x:v>
      </x:c>
      <x:c r="B1051" s="25" t="str">
        <x:v>巨人山顶</x:v>
      </x:c>
      <x:c r="C1051" s="25" t="str">
        <x:v>半急速毕业</x:v>
      </x:c>
      <x:c r="D1051" s="25" t="n">
        <x:v>1</x:v>
      </x:c>
      <x:c r="E1051" s="25" t="n">
        <x:v>152</x:v>
      </x:c>
      <x:c r="F1051" s="25" t="str">
        <x:v>卡利亚月裁长刃</x:v>
      </x:c>
      <x:c r="G1051" s="25" t="n">
        <x:v>1</x:v>
      </x:c>
      <x:c r="H1051" s="25" t="str">
        <x:v>魔法</x:v>
      </x:c>
      <x:c r="I1051" s="25" t="n">
        <x:v>176</x:v>
      </x:c>
      <x:c r="J1051" s="25" t="n">
        <x:v>2</x:v>
      </x:c>
      <x:c r="K1051" s="25" t="str">
        <x:v>仅装备原始基础值决定主属性范围</x:v>
      </x:c>
    </x:row>
    <x:row r="1052">
      <x:c r="A1052" s="25" t="str">
        <x:v>C08-G</x:v>
      </x:c>
      <x:c r="B1052" s="25" t="str">
        <x:v>巨人山顶</x:v>
      </x:c>
      <x:c r="C1052" s="25" t="str">
        <x:v>半急速毕业</x:v>
      </x:c>
      <x:c r="D1052" s="25" t="n">
        <x:v>1</x:v>
      </x:c>
      <x:c r="E1052" s="25" t="n">
        <x:v>152</x:v>
      </x:c>
      <x:c r="F1052" s="25" t="str">
        <x:v>卡利亚月裁长刃</x:v>
      </x:c>
      <x:c r="G1052" s="25" t="n">
        <x:v>2</x:v>
      </x:c>
      <x:c r="H1052" s="25" t="str">
        <x:v>攻击加成</x:v>
      </x:c>
      <x:c r="I1052" s="25" t="n">
        <x:v>24</x:v>
      </x:c>
      <x:c r="J1052" s="25" t="n">
        <x:v>18</x:v>
      </x:c>
      <x:c r="K1052" s="25" t="str">
        <x:v>仅装备原始基础值决定主属性范围</x:v>
      </x:c>
    </x:row>
    <x:row r="1053">
      <x:c r="A1053" s="25" t="str">
        <x:v>C08-G</x:v>
      </x:c>
      <x:c r="B1053" s="25" t="str">
        <x:v>巨人山顶</x:v>
      </x:c>
      <x:c r="C1053" s="25" t="str">
        <x:v>半急速毕业</x:v>
      </x:c>
      <x:c r="D1053" s="25" t="n">
        <x:v>1</x:v>
      </x:c>
      <x:c r="E1053" s="25" t="n">
        <x:v>152</x:v>
      </x:c>
      <x:c r="F1053" s="25" t="str">
        <x:v>卡利亚月裁长刃</x:v>
      </x:c>
      <x:c r="G1053" s="25" t="n">
        <x:v>3</x:v>
      </x:c>
      <x:c r="H1053" s="25" t="str">
        <x:v>韧性</x:v>
      </x:c>
      <x:c r="I1053" s="25" t="n">
        <x:v>10</x:v>
      </x:c>
      <x:c r="J1053" s="25" t="n">
        <x:v>12</x:v>
      </x:c>
      <x:c r="K1053" s="25" t="str">
        <x:v>仅装备原始基础值决定主属性范围</x:v>
      </x:c>
    </x:row>
    <x:row r="1054">
      <x:c r="A1054" s="25" t="str">
        <x:v>C08-G</x:v>
      </x:c>
      <x:c r="B1054" s="25" t="str">
        <x:v>巨人山顶</x:v>
      </x:c>
      <x:c r="C1054" s="25" t="str">
        <x:v>半急速毕业</x:v>
      </x:c>
      <x:c r="D1054" s="25" t="n">
        <x:v>1</x:v>
      </x:c>
      <x:c r="E1054" s="25" t="n">
        <x:v>152</x:v>
      </x:c>
      <x:c r="F1054" s="25" t="str">
        <x:v>卡利亚月裁长刃</x:v>
      </x:c>
      <x:c r="G1054" s="25" t="n">
        <x:v>4</x:v>
      </x:c>
      <x:c r="H1054" s="25" t="str">
        <x:v>攻击加成</x:v>
      </x:c>
      <x:c r="I1054" s="25" t="n">
        <x:v>34</x:v>
      </x:c>
      <x:c r="J1054" s="25" t="n">
        <x:v>19</x:v>
      </x:c>
      <x:c r="K1054" s="25" t="str">
        <x:v>仅装备原始基础值决定主属性范围</x:v>
      </x:c>
    </x:row>
    <x:row r="1055">
      <x:c r="A1055" s="25" t="str">
        <x:v>C08-G</x:v>
      </x:c>
      <x:c r="B1055" s="25" t="str">
        <x:v>巨人山顶</x:v>
      </x:c>
      <x:c r="C1055" s="25" t="str">
        <x:v>半急速毕业</x:v>
      </x:c>
      <x:c r="D1055" s="25" t="n">
        <x:v>1</x:v>
      </x:c>
      <x:c r="E1055" s="25" t="n">
        <x:v>152</x:v>
      </x:c>
      <x:c r="F1055" s="25" t="str">
        <x:v>卡利亚月裁长刃</x:v>
      </x:c>
      <x:c r="G1055" s="25" t="n">
        <x:v>5</x:v>
      </x:c>
      <x:c r="H1055" s="25" t="str">
        <x:v>韧性</x:v>
      </x:c>
      <x:c r="I1055" s="25" t="n">
        <x:v>10</x:v>
      </x:c>
      <x:c r="J1055" s="25" t="n">
        <x:v>12</x:v>
      </x:c>
      <x:c r="K1055" s="25" t="str">
        <x:v>仅装备原始基础值决定主属性范围</x:v>
      </x:c>
    </x:row>
    <x:row r="1056">
      <x:c r="A1056" s="25" t="str">
        <x:v>C08-G</x:v>
      </x:c>
      <x:c r="B1056" s="25" t="str">
        <x:v>巨人山顶</x:v>
      </x:c>
      <x:c r="C1056" s="25" t="str">
        <x:v>半急速毕业</x:v>
      </x:c>
      <x:c r="D1056" s="25" t="n">
        <x:v>1</x:v>
      </x:c>
      <x:c r="E1056" s="25" t="n">
        <x:v>152</x:v>
      </x:c>
      <x:c r="F1056" s="25" t="str">
        <x:v>卡利亚月裁长刃</x:v>
      </x:c>
      <x:c r="G1056" s="25" t="n">
        <x:v>6</x:v>
      </x:c>
      <x:c r="H1056" s="25" t="str">
        <x:v>魔法</x:v>
      </x:c>
      <x:c r="I1056" s="25" t="n">
        <x:v>1343</x:v>
      </x:c>
      <x:c r="J1056" s="25" t="n">
        <x:v>2</x:v>
      </x:c>
      <x:c r="K1056" s="25" t="str">
        <x:v>仅装备原始基础值决定主属性范围</x:v>
      </x:c>
    </x:row>
    <x:row r="1057">
      <x:c r="A1057" s="25" t="str">
        <x:v>C08-G</x:v>
      </x:c>
      <x:c r="B1057" s="25" t="str">
        <x:v>巨人山顶</x:v>
      </x:c>
      <x:c r="C1057" s="25" t="str">
        <x:v>半急速毕业</x:v>
      </x:c>
      <x:c r="D1057" s="25" t="n">
        <x:v>3</x:v>
      </x:c>
      <x:c r="E1057" s="25" t="n">
        <x:v>168</x:v>
      </x:c>
      <x:c r="F1057" s="25" t="str">
        <x:v>寒羽猎链</x:v>
      </x:c>
      <x:c r="G1057" s="25" t="n">
        <x:v>1</x:v>
      </x:c>
      <x:c r="H1057" s="25" t="str">
        <x:v>韧性</x:v>
      </x:c>
      <x:c r="I1057" s="25" t="n">
        <x:v>10</x:v>
      </x:c>
      <x:c r="J1057" s="25" t="n">
        <x:v>12</x:v>
      </x:c>
      <x:c r="K1057" s="25" t="str">
        <x:v>仅装备原始基础值决定主属性范围</x:v>
      </x:c>
    </x:row>
    <x:row r="1058">
      <x:c r="A1058" s="25" t="str">
        <x:v>C08-G</x:v>
      </x:c>
      <x:c r="B1058" s="25" t="str">
        <x:v>巨人山顶</x:v>
      </x:c>
      <x:c r="C1058" s="25" t="str">
        <x:v>半急速毕业</x:v>
      </x:c>
      <x:c r="D1058" s="25" t="n">
        <x:v>3</x:v>
      </x:c>
      <x:c r="E1058" s="25" t="n">
        <x:v>168</x:v>
      </x:c>
      <x:c r="F1058" s="25" t="str">
        <x:v>寒羽猎链</x:v>
      </x:c>
      <x:c r="G1058" s="25" t="n">
        <x:v>2</x:v>
      </x:c>
      <x:c r="H1058" s="25" t="str">
        <x:v>攻击加成</x:v>
      </x:c>
      <x:c r="I1058" s="25" t="n">
        <x:v>45</x:v>
      </x:c>
      <x:c r="J1058" s="25" t="n">
        <x:v>19</x:v>
      </x:c>
      <x:c r="K1058" s="25" t="str">
        <x:v>仅装备原始基础值决定主属性范围</x:v>
      </x:c>
    </x:row>
    <x:row r="1059">
      <x:c r="A1059" s="25" t="str">
        <x:v>C08-G</x:v>
      </x:c>
      <x:c r="B1059" s="25" t="str">
        <x:v>巨人山顶</x:v>
      </x:c>
      <x:c r="C1059" s="25" t="str">
        <x:v>半急速毕业</x:v>
      </x:c>
      <x:c r="D1059" s="25" t="n">
        <x:v>3</x:v>
      </x:c>
      <x:c r="E1059" s="25" t="n">
        <x:v>168</x:v>
      </x:c>
      <x:c r="F1059" s="25" t="str">
        <x:v>寒羽猎链</x:v>
      </x:c>
      <x:c r="G1059" s="25" t="n">
        <x:v>3</x:v>
      </x:c>
      <x:c r="H1059" s="25" t="str">
        <x:v>攻击速度</x:v>
      </x:c>
      <x:c r="I1059" s="25" t="n">
        <x:v>2</x:v>
      </x:c>
      <x:c r="J1059" s="25" t="n">
        <x:v>5</x:v>
      </x:c>
      <x:c r="K1059" s="25" t="str">
        <x:v>仅装备原始基础值决定主属性范围</x:v>
      </x:c>
    </x:row>
    <x:row r="1060">
      <x:c r="A1060" s="25" t="str">
        <x:v>C08-G</x:v>
      </x:c>
      <x:c r="B1060" s="25" t="str">
        <x:v>巨人山顶</x:v>
      </x:c>
      <x:c r="C1060" s="25" t="str">
        <x:v>半急速毕业</x:v>
      </x:c>
      <x:c r="D1060" s="25" t="n">
        <x:v>3</x:v>
      </x:c>
      <x:c r="E1060" s="25" t="n">
        <x:v>168</x:v>
      </x:c>
      <x:c r="F1060" s="25" t="str">
        <x:v>寒羽猎链</x:v>
      </x:c>
      <x:c r="G1060" s="25" t="n">
        <x:v>4</x:v>
      </x:c>
      <x:c r="H1060" s="25" t="str">
        <x:v>攻击加成</x:v>
      </x:c>
      <x:c r="I1060" s="25" t="n">
        <x:v>15</x:v>
      </x:c>
      <x:c r="J1060" s="25" t="n">
        <x:v>18</x:v>
      </x:c>
      <x:c r="K1060" s="25" t="str">
        <x:v>仅装备原始基础值决定主属性范围</x:v>
      </x:c>
    </x:row>
    <x:row r="1061">
      <x:c r="A1061" s="25" t="str">
        <x:v>C08-G</x:v>
      </x:c>
      <x:c r="B1061" s="25" t="str">
        <x:v>巨人山顶</x:v>
      </x:c>
      <x:c r="C1061" s="25" t="str">
        <x:v>半急速毕业</x:v>
      </x:c>
      <x:c r="D1061" s="25" t="n">
        <x:v>4</x:v>
      </x:c>
      <x:c r="E1061" s="25" t="n">
        <x:v>159</x:v>
      </x:c>
      <x:c r="F1061" s="25" t="str">
        <x:v>白烛礼冠</x:v>
      </x:c>
      <x:c r="G1061" s="25" t="n">
        <x:v>1</x:v>
      </x:c>
      <x:c r="H1061" s="25" t="str">
        <x:v>攻击速度</x:v>
      </x:c>
      <x:c r="I1061" s="25" t="n">
        <x:v>1</x:v>
      </x:c>
      <x:c r="J1061" s="25" t="n">
        <x:v>4</x:v>
      </x:c>
      <x:c r="K1061" s="25" t="str">
        <x:v>仅装备原始基础值决定主属性范围</x:v>
      </x:c>
    </x:row>
    <x:row r="1062">
      <x:c r="A1062" s="25" t="str">
        <x:v>C08-G</x:v>
      </x:c>
      <x:c r="B1062" s="25" t="str">
        <x:v>巨人山顶</x:v>
      </x:c>
      <x:c r="C1062" s="25" t="str">
        <x:v>半急速毕业</x:v>
      </x:c>
      <x:c r="D1062" s="25" t="n">
        <x:v>4</x:v>
      </x:c>
      <x:c r="E1062" s="25" t="n">
        <x:v>159</x:v>
      </x:c>
      <x:c r="F1062" s="25" t="str">
        <x:v>白烛礼冠</x:v>
      </x:c>
      <x:c r="G1062" s="25" t="n">
        <x:v>2</x:v>
      </x:c>
      <x:c r="H1062" s="25" t="str">
        <x:v>处决伤害</x:v>
      </x:c>
      <x:c r="I1062" s="25" t="n">
        <x:v>1</x:v>
      </x:c>
      <x:c r="J1062" s="25" t="n">
        <x:v>10</x:v>
      </x:c>
      <x:c r="K1062" s="25" t="str">
        <x:v>仅装备原始基础值决定主属性范围</x:v>
      </x:c>
    </x:row>
    <x:row r="1063">
      <x:c r="A1063" s="25" t="str">
        <x:v>C08-G</x:v>
      </x:c>
      <x:c r="B1063" s="25" t="str">
        <x:v>巨人山顶</x:v>
      </x:c>
      <x:c r="C1063" s="25" t="str">
        <x:v>半急速毕业</x:v>
      </x:c>
      <x:c r="D1063" s="25" t="n">
        <x:v>4</x:v>
      </x:c>
      <x:c r="E1063" s="25" t="n">
        <x:v>159</x:v>
      </x:c>
      <x:c r="F1063" s="25" t="str">
        <x:v>白烛礼冠</x:v>
      </x:c>
      <x:c r="G1063" s="25" t="n">
        <x:v>3</x:v>
      </x:c>
      <x:c r="H1063" s="25" t="str">
        <x:v>攻击速度</x:v>
      </x:c>
      <x:c r="I1063" s="25" t="n">
        <x:v>2</x:v>
      </x:c>
      <x:c r="J1063" s="25" t="n">
        <x:v>5</x:v>
      </x:c>
      <x:c r="K1063" s="25" t="str">
        <x:v>仅装备原始基础值决定主属性范围</x:v>
      </x:c>
    </x:row>
    <x:row r="1064">
      <x:c r="A1064" s="25" t="str">
        <x:v>C08-G</x:v>
      </x:c>
      <x:c r="B1064" s="25" t="str">
        <x:v>巨人山顶</x:v>
      </x:c>
      <x:c r="C1064" s="25" t="str">
        <x:v>半急速毕业</x:v>
      </x:c>
      <x:c r="D1064" s="25" t="n">
        <x:v>4</x:v>
      </x:c>
      <x:c r="E1064" s="25" t="n">
        <x:v>159</x:v>
      </x:c>
      <x:c r="F1064" s="25" t="str">
        <x:v>白烛礼冠</x:v>
      </x:c>
      <x:c r="G1064" s="25" t="n">
        <x:v>4</x:v>
      </x:c>
      <x:c r="H1064" s="25" t="str">
        <x:v>攻击加成</x:v>
      </x:c>
      <x:c r="I1064" s="25" t="n">
        <x:v>27</x:v>
      </x:c>
      <x:c r="J1064" s="25" t="n">
        <x:v>18</x:v>
      </x:c>
      <x:c r="K1064" s="25" t="str">
        <x:v>仅装备原始基础值决定主属性范围</x:v>
      </x:c>
    </x:row>
    <x:row r="1065">
      <x:c r="A1065" s="25" t="str">
        <x:v>C08-G</x:v>
      </x:c>
      <x:c r="B1065" s="25" t="str">
        <x:v>巨人山顶</x:v>
      </x:c>
      <x:c r="C1065" s="25" t="str">
        <x:v>半急速毕业</x:v>
      </x:c>
      <x:c r="D1065" s="25" t="n">
        <x:v>4</x:v>
      </x:c>
      <x:c r="E1065" s="25" t="n">
        <x:v>159</x:v>
      </x:c>
      <x:c r="F1065" s="25" t="str">
        <x:v>白烛礼冠</x:v>
      </x:c>
      <x:c r="G1065" s="25" t="n">
        <x:v>5</x:v>
      </x:c>
      <x:c r="H1065" s="25" t="str">
        <x:v>处决时间</x:v>
      </x:c>
      <x:c r="I1065" s="25" t="n">
        <x:v>2</x:v>
      </x:c>
      <x:c r="J1065" s="25" t="n">
        <x:v>9</x:v>
      </x:c>
      <x:c r="K1065" s="25" t="str">
        <x:v>仅装备原始基础值决定主属性范围</x:v>
      </x:c>
    </x:row>
    <x:row r="1066">
      <x:c r="A1066" s="25" t="str">
        <x:v>C08-G</x:v>
      </x:c>
      <x:c r="B1066" s="25" t="str">
        <x:v>巨人山顶</x:v>
      </x:c>
      <x:c r="C1066" s="25" t="str">
        <x:v>半急速毕业</x:v>
      </x:c>
      <x:c r="D1066" s="25" t="n">
        <x:v>4</x:v>
      </x:c>
      <x:c r="E1066" s="25" t="n">
        <x:v>159</x:v>
      </x:c>
      <x:c r="F1066" s="25" t="str">
        <x:v>白烛礼冠</x:v>
      </x:c>
      <x:c r="G1066" s="25" t="n">
        <x:v>6</x:v>
      </x:c>
      <x:c r="H1066" s="25" t="str">
        <x:v>处决概率</x:v>
      </x:c>
      <x:c r="I1066" s="25" t="n">
        <x:v>2</x:v>
      </x:c>
      <x:c r="J1066" s="25" t="n">
        <x:v>7</x:v>
      </x:c>
      <x:c r="K1066" s="25" t="str">
        <x:v>仅装备原始基础值决定主属性范围</x:v>
      </x:c>
    </x:row>
    <x:row r="1067">
      <x:c r="A1067" s="25" t="str">
        <x:v>C08-G</x:v>
      </x:c>
      <x:c r="B1067" s="25" t="str">
        <x:v>巨人山顶</x:v>
      </x:c>
      <x:c r="C1067" s="25" t="str">
        <x:v>半急速毕业</x:v>
      </x:c>
      <x:c r="D1067" s="25" t="n">
        <x:v>4</x:v>
      </x:c>
      <x:c r="E1067" s="25" t="n">
        <x:v>159</x:v>
      </x:c>
      <x:c r="F1067" s="25" t="str">
        <x:v>白烛礼冠</x:v>
      </x:c>
      <x:c r="G1067" s="25" t="n">
        <x:v>7</x:v>
      </x:c>
      <x:c r="H1067" s="25" t="str">
        <x:v>处决概率</x:v>
      </x:c>
      <x:c r="I1067" s="25" t="n">
        <x:v>1</x:v>
      </x:c>
      <x:c r="J1067" s="25" t="n">
        <x:v>6</x:v>
      </x:c>
      <x:c r="K1067" s="25" t="str">
        <x:v>仅装备原始基础值决定主属性范围</x:v>
      </x:c>
    </x:row>
    <x:row r="1068">
      <x:c r="A1068" s="25" t="str">
        <x:v>C08-G</x:v>
      </x:c>
      <x:c r="B1068" s="25" t="str">
        <x:v>巨人山顶</x:v>
      </x:c>
      <x:c r="C1068" s="25" t="str">
        <x:v>半急速毕业</x:v>
      </x:c>
      <x:c r="D1068" s="25" t="n">
        <x:v>5</x:v>
      </x:c>
      <x:c r="E1068" s="25" t="n">
        <x:v>156</x:v>
      </x:c>
      <x:c r="F1068" s="25" t="str">
        <x:v>烬鳞护腕</x:v>
      </x:c>
      <x:c r="G1068" s="25" t="n">
        <x:v>1</x:v>
      </x:c>
      <x:c r="H1068" s="25" t="str">
        <x:v>处决时间</x:v>
      </x:c>
      <x:c r="I1068" s="25" t="n">
        <x:v>1</x:v>
      </x:c>
      <x:c r="J1068" s="25" t="n">
        <x:v>8</x:v>
      </x:c>
      <x:c r="K1068" s="25" t="str">
        <x:v>仅装备原始基础值决定主属性范围</x:v>
      </x:c>
    </x:row>
    <x:row r="1069">
      <x:c r="A1069" s="25" t="str">
        <x:v>C08-G</x:v>
      </x:c>
      <x:c r="B1069" s="25" t="str">
        <x:v>巨人山顶</x:v>
      </x:c>
      <x:c r="C1069" s="25" t="str">
        <x:v>半急速毕业</x:v>
      </x:c>
      <x:c r="D1069" s="25" t="n">
        <x:v>5</x:v>
      </x:c>
      <x:c r="E1069" s="25" t="n">
        <x:v>156</x:v>
      </x:c>
      <x:c r="F1069" s="25" t="str">
        <x:v>烬鳞护腕</x:v>
      </x:c>
      <x:c r="G1069" s="25" t="n">
        <x:v>2</x:v>
      </x:c>
      <x:c r="H1069" s="25" t="str">
        <x:v>攻击加成</x:v>
      </x:c>
      <x:c r="I1069" s="25" t="n">
        <x:v>36</x:v>
      </x:c>
      <x:c r="J1069" s="25" t="n">
        <x:v>19</x:v>
      </x:c>
      <x:c r="K1069" s="25" t="str">
        <x:v>仅装备原始基础值决定主属性范围</x:v>
      </x:c>
    </x:row>
    <x:row r="1070">
      <x:c r="A1070" s="25" t="str">
        <x:v>C08-G</x:v>
      </x:c>
      <x:c r="B1070" s="25" t="str">
        <x:v>巨人山顶</x:v>
      </x:c>
      <x:c r="C1070" s="25" t="str">
        <x:v>半急速毕业</x:v>
      </x:c>
      <x:c r="D1070" s="25" t="n">
        <x:v>5</x:v>
      </x:c>
      <x:c r="E1070" s="25" t="n">
        <x:v>156</x:v>
      </x:c>
      <x:c r="F1070" s="25" t="str">
        <x:v>烬鳞护腕</x:v>
      </x:c>
      <x:c r="G1070" s="25" t="n">
        <x:v>3</x:v>
      </x:c>
      <x:c r="H1070" s="25" t="str">
        <x:v>攻击</x:v>
      </x:c>
      <x:c r="I1070" s="25" t="n">
        <x:v>272</x:v>
      </x:c>
      <x:c r="J1070" s="25" t="n">
        <x:v>1</x:v>
      </x:c>
      <x:c r="K1070" s="25" t="str">
        <x:v>仅装备原始基础值决定主属性范围</x:v>
      </x:c>
    </x:row>
    <x:row r="1071">
      <x:c r="A1071" s="25" t="str">
        <x:v>C08-G</x:v>
      </x:c>
      <x:c r="B1071" s="25" t="str">
        <x:v>巨人山顶</x:v>
      </x:c>
      <x:c r="C1071" s="25" t="str">
        <x:v>半急速毕业</x:v>
      </x:c>
      <x:c r="D1071" s="25" t="n">
        <x:v>6</x:v>
      </x:c>
      <x:c r="E1071" s="25" t="n">
        <x:v>170</x:v>
      </x:c>
      <x:c r="F1071" s="25" t="str">
        <x:v>血菌腕轮</x:v>
      </x:c>
      <x:c r="G1071" s="25" t="n">
        <x:v>1</x:v>
      </x:c>
      <x:c r="H1071" s="25" t="str">
        <x:v>处决时间</x:v>
      </x:c>
      <x:c r="I1071" s="25" t="n">
        <x:v>1</x:v>
      </x:c>
      <x:c r="J1071" s="25" t="n">
        <x:v>8</x:v>
      </x:c>
      <x:c r="K1071" s="25" t="str">
        <x:v>仅装备原始基础值决定主属性范围</x:v>
      </x:c>
    </x:row>
    <x:row r="1072">
      <x:c r="A1072" s="25" t="str">
        <x:v>C08-G</x:v>
      </x:c>
      <x:c r="B1072" s="25" t="str">
        <x:v>巨人山顶</x:v>
      </x:c>
      <x:c r="C1072" s="25" t="str">
        <x:v>半急速毕业</x:v>
      </x:c>
      <x:c r="D1072" s="25" t="n">
        <x:v>6</x:v>
      </x:c>
      <x:c r="E1072" s="25" t="n">
        <x:v>170</x:v>
      </x:c>
      <x:c r="F1072" s="25" t="str">
        <x:v>血菌腕轮</x:v>
      </x:c>
      <x:c r="G1072" s="25" t="n">
        <x:v>2</x:v>
      </x:c>
      <x:c r="H1072" s="25" t="str">
        <x:v>道术</x:v>
      </x:c>
      <x:c r="I1072" s="25" t="n">
        <x:v>168</x:v>
      </x:c>
      <x:c r="J1072" s="25" t="n">
        <x:v>3</x:v>
      </x:c>
      <x:c r="K1072" s="25" t="str">
        <x:v>仅装备原始基础值决定主属性范围</x:v>
      </x:c>
    </x:row>
    <x:row r="1073">
      <x:c r="A1073" s="25" t="str">
        <x:v>C08-G</x:v>
      </x:c>
      <x:c r="B1073" s="25" t="str">
        <x:v>巨人山顶</x:v>
      </x:c>
      <x:c r="C1073" s="25" t="str">
        <x:v>半急速毕业</x:v>
      </x:c>
      <x:c r="D1073" s="25" t="n">
        <x:v>6</x:v>
      </x:c>
      <x:c r="E1073" s="25" t="n">
        <x:v>170</x:v>
      </x:c>
      <x:c r="F1073" s="25" t="str">
        <x:v>血菌腕轮</x:v>
      </x:c>
      <x:c r="G1073" s="25" t="n">
        <x:v>3</x:v>
      </x:c>
      <x:c r="H1073" s="25" t="str">
        <x:v>攻击加成</x:v>
      </x:c>
      <x:c r="I1073" s="25" t="n">
        <x:v>18</x:v>
      </x:c>
      <x:c r="J1073" s="25" t="n">
        <x:v>18</x:v>
      </x:c>
      <x:c r="K1073" s="25" t="str">
        <x:v>仅装备原始基础值决定主属性范围</x:v>
      </x:c>
    </x:row>
    <x:row r="1074">
      <x:c r="A1074" s="25" t="str">
        <x:v>C08-G</x:v>
      </x:c>
      <x:c r="B1074" s="25" t="str">
        <x:v>巨人山顶</x:v>
      </x:c>
      <x:c r="C1074" s="25" t="str">
        <x:v>半急速毕业</x:v>
      </x:c>
      <x:c r="D1074" s="25" t="n">
        <x:v>6</x:v>
      </x:c>
      <x:c r="E1074" s="25" t="n">
        <x:v>170</x:v>
      </x:c>
      <x:c r="F1074" s="25" t="str">
        <x:v>血菌腕轮</x:v>
      </x:c>
      <x:c r="G1074" s="25" t="n">
        <x:v>4</x:v>
      </x:c>
      <x:c r="H1074" s="25" t="str">
        <x:v>魔法</x:v>
      </x:c>
      <x:c r="I1074" s="25" t="n">
        <x:v>245</x:v>
      </x:c>
      <x:c r="J1074" s="25" t="n">
        <x:v>2</x:v>
      </x:c>
      <x:c r="K1074" s="25" t="str">
        <x:v>仅装备原始基础值决定主属性范围</x:v>
      </x:c>
    </x:row>
    <x:row r="1075">
      <x:c r="A1075" s="25" t="str">
        <x:v>C08-G</x:v>
      </x:c>
      <x:c r="B1075" s="25" t="str">
        <x:v>巨人山顶</x:v>
      </x:c>
      <x:c r="C1075" s="25" t="str">
        <x:v>半急速毕业</x:v>
      </x:c>
      <x:c r="D1075" s="25" t="n">
        <x:v>6</x:v>
      </x:c>
      <x:c r="E1075" s="25" t="n">
        <x:v>170</x:v>
      </x:c>
      <x:c r="F1075" s="25" t="str">
        <x:v>血菌腕轮</x:v>
      </x:c>
      <x:c r="G1075" s="25" t="n">
        <x:v>5</x:v>
      </x:c>
      <x:c r="H1075" s="25" t="str">
        <x:v>处决概率</x:v>
      </x:c>
      <x:c r="I1075" s="25" t="n">
        <x:v>1</x:v>
      </x:c>
      <x:c r="J1075" s="25" t="n">
        <x:v>6</x:v>
      </x:c>
      <x:c r="K1075" s="25" t="str">
        <x:v>仅装备原始基础值决定主属性范围</x:v>
      </x:c>
    </x:row>
    <x:row r="1076">
      <x:c r="A1076" s="25" t="str">
        <x:v>C08-G</x:v>
      </x:c>
      <x:c r="B1076" s="25" t="str">
        <x:v>巨人山顶</x:v>
      </x:c>
      <x:c r="C1076" s="25" t="str">
        <x:v>半急速毕业</x:v>
      </x:c>
      <x:c r="D1076" s="25" t="n">
        <x:v>6</x:v>
      </x:c>
      <x:c r="E1076" s="25" t="n">
        <x:v>170</x:v>
      </x:c>
      <x:c r="F1076" s="25" t="str">
        <x:v>血菌腕轮</x:v>
      </x:c>
      <x:c r="G1076" s="25" t="n">
        <x:v>6</x:v>
      </x:c>
      <x:c r="H1076" s="25" t="str">
        <x:v>吸血</x:v>
      </x:c>
      <x:c r="I1076" s="25" t="n">
        <x:v>1</x:v>
      </x:c>
      <x:c r="J1076" s="25" t="n">
        <x:v>20</x:v>
      </x:c>
      <x:c r="K1076" s="25" t="str">
        <x:v>仅装备原始基础值决定主属性范围</x:v>
      </x:c>
    </x:row>
    <x:row r="1077">
      <x:c r="A1077" s="25" t="str">
        <x:v>C08-G</x:v>
      </x:c>
      <x:c r="B1077" s="25" t="str">
        <x:v>巨人山顶</x:v>
      </x:c>
      <x:c r="C1077" s="25" t="str">
        <x:v>半急速毕业</x:v>
      </x:c>
      <x:c r="D1077" s="25" t="n">
        <x:v>7</x:v>
      </x:c>
      <x:c r="E1077" s="25" t="n">
        <x:v>171</x:v>
      </x:c>
      <x:c r="F1077" s="25" t="str">
        <x:v>苍鬃牙戒</x:v>
      </x:c>
      <x:c r="G1077" s="25" t="n">
        <x:v>1</x:v>
      </x:c>
      <x:c r="H1077" s="25" t="str">
        <x:v>魔法</x:v>
      </x:c>
      <x:c r="I1077" s="25" t="n">
        <x:v>134</x:v>
      </x:c>
      <x:c r="J1077" s="25" t="n">
        <x:v>2</x:v>
      </x:c>
      <x:c r="K1077" s="25" t="str">
        <x:v>仅装备原始基础值决定主属性范围</x:v>
      </x:c>
    </x:row>
    <x:row r="1078">
      <x:c r="A1078" s="25" t="str">
        <x:v>C08-G</x:v>
      </x:c>
      <x:c r="B1078" s="25" t="str">
        <x:v>巨人山顶</x:v>
      </x:c>
      <x:c r="C1078" s="25" t="str">
        <x:v>半急速毕业</x:v>
      </x:c>
      <x:c r="D1078" s="25" t="n">
        <x:v>7</x:v>
      </x:c>
      <x:c r="E1078" s="25" t="n">
        <x:v>171</x:v>
      </x:c>
      <x:c r="F1078" s="25" t="str">
        <x:v>苍鬃牙戒</x:v>
      </x:c>
      <x:c r="G1078" s="25" t="n">
        <x:v>2</x:v>
      </x:c>
      <x:c r="H1078" s="25" t="str">
        <x:v>伤害吸收上限</x:v>
      </x:c>
      <x:c r="I1078" s="25" t="n">
        <x:v>1</x:v>
      </x:c>
      <x:c r="J1078" s="25" t="n">
        <x:v>28</x:v>
      </x:c>
      <x:c r="K1078" s="25" t="str">
        <x:v>仅装备原始基础值决定主属性范围</x:v>
      </x:c>
    </x:row>
    <x:row r="1079">
      <x:c r="A1079" s="25" t="str">
        <x:v>C08-G</x:v>
      </x:c>
      <x:c r="B1079" s="25" t="str">
        <x:v>巨人山顶</x:v>
      </x:c>
      <x:c r="C1079" s="25" t="str">
        <x:v>半急速毕业</x:v>
      </x:c>
      <x:c r="D1079" s="25" t="n">
        <x:v>7</x:v>
      </x:c>
      <x:c r="E1079" s="25" t="n">
        <x:v>171</x:v>
      </x:c>
      <x:c r="F1079" s="25" t="str">
        <x:v>苍鬃牙戒</x:v>
      </x:c>
      <x:c r="G1079" s="25" t="n">
        <x:v>3</x:v>
      </x:c>
      <x:c r="H1079" s="25" t="str">
        <x:v>攻击加成</x:v>
      </x:c>
      <x:c r="I1079" s="25" t="n">
        <x:v>38</x:v>
      </x:c>
      <x:c r="J1079" s="25" t="n">
        <x:v>19</x:v>
      </x:c>
      <x:c r="K1079" s="25" t="str">
        <x:v>仅装备原始基础值决定主属性范围</x:v>
      </x:c>
    </x:row>
    <x:row r="1080">
      <x:c r="A1080" s="25" t="str">
        <x:v>C08-G</x:v>
      </x:c>
      <x:c r="B1080" s="25" t="str">
        <x:v>巨人山顶</x:v>
      </x:c>
      <x:c r="C1080" s="25" t="str">
        <x:v>半急速毕业</x:v>
      </x:c>
      <x:c r="D1080" s="25" t="n">
        <x:v>7</x:v>
      </x:c>
      <x:c r="E1080" s="25" t="n">
        <x:v>171</x:v>
      </x:c>
      <x:c r="F1080" s="25" t="str">
        <x:v>苍鬃牙戒</x:v>
      </x:c>
      <x:c r="G1080" s="25" t="n">
        <x:v>4</x:v>
      </x:c>
      <x:c r="H1080" s="25" t="str">
        <x:v>攻击加成</x:v>
      </x:c>
      <x:c r="I1080" s="25" t="n">
        <x:v>10</x:v>
      </x:c>
      <x:c r="J1080" s="25" t="n">
        <x:v>18</x:v>
      </x:c>
      <x:c r="K1080" s="25" t="str">
        <x:v>仅装备原始基础值决定主属性范围</x:v>
      </x:c>
    </x:row>
    <x:row r="1081">
      <x:c r="A1081" s="25" t="str">
        <x:v>C08-G</x:v>
      </x:c>
      <x:c r="B1081" s="25" t="str">
        <x:v>巨人山顶</x:v>
      </x:c>
      <x:c r="C1081" s="25" t="str">
        <x:v>半急速毕业</x:v>
      </x:c>
      <x:c r="D1081" s="25" t="n">
        <x:v>8</x:v>
      </x:c>
      <x:c r="E1081" s="25" t="n">
        <x:v>118</x:v>
      </x:c>
      <x:c r="F1081" s="25" t="str">
        <x:v>月渊秘戒</x:v>
      </x:c>
      <x:c r="G1081" s="25" t="n">
        <x:v>1</x:v>
      </x:c>
      <x:c r="H1081" s="25" t="str">
        <x:v>处决伤害</x:v>
      </x:c>
      <x:c r="I1081" s="25" t="n">
        <x:v>2</x:v>
      </x:c>
      <x:c r="J1081" s="25" t="n">
        <x:v>11</x:v>
      </x:c>
      <x:c r="K1081" s="25" t="str">
        <x:v>仅装备原始基础值决定主属性范围</x:v>
      </x:c>
    </x:row>
    <x:row r="1082">
      <x:c r="A1082" s="25" t="str">
        <x:v>C08-G</x:v>
      </x:c>
      <x:c r="B1082" s="25" t="str">
        <x:v>巨人山顶</x:v>
      </x:c>
      <x:c r="C1082" s="25" t="str">
        <x:v>半急速毕业</x:v>
      </x:c>
      <x:c r="D1082" s="25" t="n">
        <x:v>8</x:v>
      </x:c>
      <x:c r="E1082" s="25" t="n">
        <x:v>118</x:v>
      </x:c>
      <x:c r="F1082" s="25" t="str">
        <x:v>月渊秘戒</x:v>
      </x:c>
      <x:c r="G1082" s="25" t="n">
        <x:v>2</x:v>
      </x:c>
      <x:c r="H1082" s="25" t="str">
        <x:v>攻击加成</x:v>
      </x:c>
      <x:c r="I1082" s="25" t="n">
        <x:v>28</x:v>
      </x:c>
      <x:c r="J1082" s="25" t="n">
        <x:v>18</x:v>
      </x:c>
      <x:c r="K1082" s="25" t="str">
        <x:v>仅装备原始基础值决定主属性范围</x:v>
      </x:c>
    </x:row>
    <x:row r="1083">
      <x:c r="A1083" s="25" t="str">
        <x:v>C08-G</x:v>
      </x:c>
      <x:c r="B1083" s="25" t="str">
        <x:v>巨人山顶</x:v>
      </x:c>
      <x:c r="C1083" s="25" t="str">
        <x:v>半急速毕业</x:v>
      </x:c>
      <x:c r="D1083" s="25" t="n">
        <x:v>8</x:v>
      </x:c>
      <x:c r="E1083" s="25" t="n">
        <x:v>118</x:v>
      </x:c>
      <x:c r="F1083" s="25" t="str">
        <x:v>月渊秘戒</x:v>
      </x:c>
      <x:c r="G1083" s="25" t="n">
        <x:v>3</x:v>
      </x:c>
      <x:c r="H1083" s="25" t="str">
        <x:v>攻击加成</x:v>
      </x:c>
      <x:c r="I1083" s="25" t="n">
        <x:v>41</x:v>
      </x:c>
      <x:c r="J1083" s="25" t="n">
        <x:v>19</x:v>
      </x:c>
      <x:c r="K1083" s="25" t="str">
        <x:v>仅装备原始基础值决定主属性范围</x:v>
      </x:c>
    </x:row>
    <x:row r="1084">
      <x:c r="A1084" s="25" t="str">
        <x:v>C08-G</x:v>
      </x:c>
      <x:c r="B1084" s="25" t="str">
        <x:v>巨人山顶</x:v>
      </x:c>
      <x:c r="C1084" s="25" t="str">
        <x:v>半急速毕业</x:v>
      </x:c>
      <x:c r="D1084" s="25" t="n">
        <x:v>8</x:v>
      </x:c>
      <x:c r="E1084" s="25" t="n">
        <x:v>118</x:v>
      </x:c>
      <x:c r="F1084" s="25" t="str">
        <x:v>月渊秘戒</x:v>
      </x:c>
      <x:c r="G1084" s="25" t="n">
        <x:v>4</x:v>
      </x:c>
      <x:c r="H1084" s="25" t="str">
        <x:v>道术</x:v>
      </x:c>
      <x:c r="I1084" s="25" t="n">
        <x:v>75</x:v>
      </x:c>
      <x:c r="J1084" s="25" t="n">
        <x:v>3</x:v>
      </x:c>
      <x:c r="K1084" s="25" t="str">
        <x:v>仅装备原始基础值决定主属性范围</x:v>
      </x:c>
    </x:row>
    <x:row r="1085">
      <x:c r="A1085" s="25" t="str">
        <x:v>C08-G</x:v>
      </x:c>
      <x:c r="B1085" s="25" t="str">
        <x:v>巨人山顶</x:v>
      </x:c>
      <x:c r="C1085" s="25" t="str">
        <x:v>半急速毕业</x:v>
      </x:c>
      <x:c r="D1085" s="25" t="n">
        <x:v>8</x:v>
      </x:c>
      <x:c r="E1085" s="25" t="n">
        <x:v>118</x:v>
      </x:c>
      <x:c r="F1085" s="25" t="str">
        <x:v>月渊秘戒</x:v>
      </x:c>
      <x:c r="G1085" s="25" t="n">
        <x:v>5</x:v>
      </x:c>
      <x:c r="H1085" s="25" t="str">
        <x:v>道术</x:v>
      </x:c>
      <x:c r="I1085" s="25" t="n">
        <x:v>23</x:v>
      </x:c>
      <x:c r="J1085" s="25" t="n">
        <x:v>3</x:v>
      </x:c>
      <x:c r="K1085" s="25" t="str">
        <x:v>仅装备原始基础值决定主属性范围</x:v>
      </x:c>
    </x:row>
    <x:row r="1086">
      <x:c r="A1086" s="25" t="str">
        <x:v>C08-G</x:v>
      </x:c>
      <x:c r="B1086" s="25" t="str">
        <x:v>巨人山顶</x:v>
      </x:c>
      <x:c r="C1086" s="25" t="str">
        <x:v>半急速毕业</x:v>
      </x:c>
      <x:c r="D1086" s="25" t="n">
        <x:v>8</x:v>
      </x:c>
      <x:c r="E1086" s="25" t="n">
        <x:v>118</x:v>
      </x:c>
      <x:c r="F1086" s="25" t="str">
        <x:v>月渊秘戒</x:v>
      </x:c>
      <x:c r="G1086" s="25" t="n">
        <x:v>6</x:v>
      </x:c>
      <x:c r="H1086" s="25" t="str">
        <x:v>最大爆率</x:v>
      </x:c>
      <x:c r="I1086" s="25" t="n">
        <x:v>3</x:v>
      </x:c>
      <x:c r="J1086" s="25" t="n">
        <x:v>24</x:v>
      </x:c>
      <x:c r="K1086" s="25" t="str">
        <x:v>仅装备原始基础值决定主属性范围</x:v>
      </x:c>
    </x:row>
    <x:row r="1087">
      <x:c r="A1087" s="25" t="str">
        <x:v>C08-G</x:v>
      </x:c>
      <x:c r="B1087" s="25" t="str">
        <x:v>巨人山顶</x:v>
      </x:c>
      <x:c r="C1087" s="25" t="str">
        <x:v>半急速毕业</x:v>
      </x:c>
      <x:c r="D1087" s="25" t="n">
        <x:v>10</x:v>
      </x:c>
      <x:c r="E1087" s="25" t="n">
        <x:v>160</x:v>
      </x:c>
      <x:c r="F1087" s="25" t="str">
        <x:v>寒弓束带</x:v>
      </x:c>
      <x:c r="G1087" s="25" t="n">
        <x:v>1</x:v>
      </x:c>
      <x:c r="H1087" s="25" t="str">
        <x:v>最大爆率</x:v>
      </x:c>
      <x:c r="I1087" s="25" t="n">
        <x:v>1</x:v>
      </x:c>
      <x:c r="J1087" s="25" t="n">
        <x:v>22</x:v>
      </x:c>
      <x:c r="K1087" s="25" t="str">
        <x:v>仅装备原始基础值决定主属性范围</x:v>
      </x:c>
    </x:row>
    <x:row r="1088">
      <x:c r="A1088" s="25" t="str">
        <x:v>C08-G</x:v>
      </x:c>
      <x:c r="B1088" s="25" t="str">
        <x:v>巨人山顶</x:v>
      </x:c>
      <x:c r="C1088" s="25" t="str">
        <x:v>半急速毕业</x:v>
      </x:c>
      <x:c r="D1088" s="25" t="n">
        <x:v>10</x:v>
      </x:c>
      <x:c r="E1088" s="25" t="n">
        <x:v>160</x:v>
      </x:c>
      <x:c r="F1088" s="25" t="str">
        <x:v>寒弓束带</x:v>
      </x:c>
      <x:c r="G1088" s="25" t="n">
        <x:v>2</x:v>
      </x:c>
      <x:c r="H1088" s="25" t="str">
        <x:v>攻击</x:v>
      </x:c>
      <x:c r="I1088" s="25" t="n">
        <x:v>55</x:v>
      </x:c>
      <x:c r="J1088" s="25" t="n">
        <x:v>1</x:v>
      </x:c>
      <x:c r="K1088" s="25" t="str">
        <x:v>仅装备原始基础值决定主属性范围</x:v>
      </x:c>
    </x:row>
    <x:row r="1089">
      <x:c r="A1089" s="25" t="str">
        <x:v>C08-G</x:v>
      </x:c>
      <x:c r="B1089" s="25" t="str">
        <x:v>巨人山顶</x:v>
      </x:c>
      <x:c r="C1089" s="25" t="str">
        <x:v>半急速毕业</x:v>
      </x:c>
      <x:c r="D1089" s="25" t="n">
        <x:v>10</x:v>
      </x:c>
      <x:c r="E1089" s="25" t="n">
        <x:v>160</x:v>
      </x:c>
      <x:c r="F1089" s="25" t="str">
        <x:v>寒弓束带</x:v>
      </x:c>
      <x:c r="G1089" s="25" t="n">
        <x:v>3</x:v>
      </x:c>
      <x:c r="H1089" s="25" t="str">
        <x:v>攻击加成</x:v>
      </x:c>
      <x:c r="I1089" s="25" t="n">
        <x:v>24</x:v>
      </x:c>
      <x:c r="J1089" s="25" t="n">
        <x:v>18</x:v>
      </x:c>
      <x:c r="K1089" s="25" t="str">
        <x:v>仅装备原始基础值决定主属性范围</x:v>
      </x:c>
    </x:row>
    <x:row r="1090">
      <x:c r="A1090" s="25" t="str">
        <x:v>C08-G</x:v>
      </x:c>
      <x:c r="B1090" s="25" t="str">
        <x:v>巨人山顶</x:v>
      </x:c>
      <x:c r="C1090" s="25" t="str">
        <x:v>半急速毕业</x:v>
      </x:c>
      <x:c r="D1090" s="25" t="n">
        <x:v>10</x:v>
      </x:c>
      <x:c r="E1090" s="25" t="n">
        <x:v>160</x:v>
      </x:c>
      <x:c r="F1090" s="25" t="str">
        <x:v>寒弓束带</x:v>
      </x:c>
      <x:c r="G1090" s="25" t="n">
        <x:v>4</x:v>
      </x:c>
      <x:c r="H1090" s="25" t="str">
        <x:v>吸血</x:v>
      </x:c>
      <x:c r="I1090" s="25" t="n">
        <x:v>1</x:v>
      </x:c>
      <x:c r="J1090" s="25" t="n">
        <x:v>20</x:v>
      </x:c>
      <x:c r="K1090" s="25" t="str">
        <x:v>仅装备原始基础值决定主属性范围</x:v>
      </x:c>
    </x:row>
    <x:row r="1091">
      <x:c r="A1091" s="25" t="str">
        <x:v>C08-G</x:v>
      </x:c>
      <x:c r="B1091" s="25" t="str">
        <x:v>巨人山顶</x:v>
      </x:c>
      <x:c r="C1091" s="25" t="str">
        <x:v>半急速毕业</x:v>
      </x:c>
      <x:c r="D1091" s="25" t="n">
        <x:v>10</x:v>
      </x:c>
      <x:c r="E1091" s="25" t="n">
        <x:v>160</x:v>
      </x:c>
      <x:c r="F1091" s="25" t="str">
        <x:v>寒弓束带</x:v>
      </x:c>
      <x:c r="G1091" s="25" t="n">
        <x:v>5</x:v>
      </x:c>
      <x:c r="H1091" s="25" t="str">
        <x:v>攻击</x:v>
      </x:c>
      <x:c r="I1091" s="25" t="n">
        <x:v>54</x:v>
      </x:c>
      <x:c r="J1091" s="25" t="n">
        <x:v>1</x:v>
      </x:c>
      <x:c r="K1091" s="25" t="str">
        <x:v>仅装备原始基础值决定主属性范围</x:v>
      </x:c>
    </x:row>
    <x:row r="1092">
      <x:c r="A1092" s="25" t="str">
        <x:v>C08-G</x:v>
      </x:c>
      <x:c r="B1092" s="25" t="str">
        <x:v>巨人山顶</x:v>
      </x:c>
      <x:c r="C1092" s="25" t="str">
        <x:v>半急速毕业</x:v>
      </x:c>
      <x:c r="D1092" s="25" t="n">
        <x:v>10</x:v>
      </x:c>
      <x:c r="E1092" s="25" t="n">
        <x:v>160</x:v>
      </x:c>
      <x:c r="F1092" s="25" t="str">
        <x:v>寒弓束带</x:v>
      </x:c>
      <x:c r="G1092" s="25" t="n">
        <x:v>6</x:v>
      </x:c>
      <x:c r="H1092" s="25" t="str">
        <x:v>韧性</x:v>
      </x:c>
      <x:c r="I1092" s="25" t="n">
        <x:v>20</x:v>
      </x:c>
      <x:c r="J1092" s="25" t="n">
        <x:v>13</x:v>
      </x:c>
      <x:c r="K1092" s="25" t="str">
        <x:v>仅装备原始基础值决定主属性范围</x:v>
      </x:c>
    </x:row>
    <x:row r="1093">
      <x:c r="A1093" s="25" t="str">
        <x:v>C08-G</x:v>
      </x:c>
      <x:c r="B1093" s="25" t="str">
        <x:v>巨人山顶</x:v>
      </x:c>
      <x:c r="C1093" s="25" t="str">
        <x:v>半急速毕业</x:v>
      </x:c>
      <x:c r="D1093" s="25" t="n">
        <x:v>11</x:v>
      </x:c>
      <x:c r="E1093" s="25" t="n">
        <x:v>161</x:v>
      </x:c>
      <x:c r="F1093" s="25" t="str">
        <x:v>霜风战靴</x:v>
      </x:c>
      <x:c r="G1093" s="25" t="n">
        <x:v>1</x:v>
      </x:c>
      <x:c r="H1093" s="25" t="str">
        <x:v>攻击</x:v>
      </x:c>
      <x:c r="I1093" s="25" t="n">
        <x:v>390</x:v>
      </x:c>
      <x:c r="J1093" s="25" t="n">
        <x:v>1</x:v>
      </x:c>
      <x:c r="K1093" s="25" t="str">
        <x:v>仅装备原始基础值决定主属性范围</x:v>
      </x:c>
    </x:row>
    <x:row r="1094">
      <x:c r="A1094" s="25" t="str">
        <x:v>C08-G</x:v>
      </x:c>
      <x:c r="B1094" s="25" t="str">
        <x:v>巨人山顶</x:v>
      </x:c>
      <x:c r="C1094" s="25" t="str">
        <x:v>半急速毕业</x:v>
      </x:c>
      <x:c r="D1094" s="25" t="n">
        <x:v>11</x:v>
      </x:c>
      <x:c r="E1094" s="25" t="n">
        <x:v>161</x:v>
      </x:c>
      <x:c r="F1094" s="25" t="str">
        <x:v>霜风战靴</x:v>
      </x:c>
      <x:c r="G1094" s="25" t="n">
        <x:v>2</x:v>
      </x:c>
      <x:c r="H1094" s="25" t="str">
        <x:v>攻击</x:v>
      </x:c>
      <x:c r="I1094" s="25" t="n">
        <x:v>163</x:v>
      </x:c>
      <x:c r="J1094" s="25" t="n">
        <x:v>1</x:v>
      </x:c>
      <x:c r="K1094" s="25" t="str">
        <x:v>仅装备原始基础值决定主属性范围</x:v>
      </x:c>
    </x:row>
    <x:row r="1095">
      <x:c r="A1095" s="25" t="str">
        <x:v>C08-G</x:v>
      </x:c>
      <x:c r="B1095" s="25" t="str">
        <x:v>巨人山顶</x:v>
      </x:c>
      <x:c r="C1095" s="25" t="str">
        <x:v>半急速毕业</x:v>
      </x:c>
      <x:c r="D1095" s="25" t="n">
        <x:v>11</x:v>
      </x:c>
      <x:c r="E1095" s="25" t="n">
        <x:v>161</x:v>
      </x:c>
      <x:c r="F1095" s="25" t="str">
        <x:v>霜风战靴</x:v>
      </x:c>
      <x:c r="G1095" s="25" t="n">
        <x:v>3</x:v>
      </x:c>
      <x:c r="H1095" s="25" t="str">
        <x:v>攻击速度</x:v>
      </x:c>
      <x:c r="I1095" s="25" t="n">
        <x:v>1</x:v>
      </x:c>
      <x:c r="J1095" s="25" t="n">
        <x:v>4</x:v>
      </x:c>
      <x:c r="K1095" s="25" t="str">
        <x:v>仅装备原始基础值决定主属性范围</x:v>
      </x:c>
    </x:row>
    <x:row r="1096">
      <x:c r="A1096" s="25" t="str">
        <x:v>C08-X</x:v>
      </x:c>
      <x:c r="B1096" s="25" t="str">
        <x:v>巨人山顶</x:v>
      </x:c>
      <x:c r="C1096" s="25" t="str">
        <x:v>极端压力</x:v>
      </x:c>
      <x:c r="D1096" s="25" t="n">
        <x:v>0</x:v>
      </x:c>
      <x:c r="E1096" s="25" t="n">
        <x:v>175</x:v>
      </x:c>
      <x:c r="F1096" s="25" t="str">
        <x:v>赫芮迦穹霜王衣</x:v>
      </x:c>
      <x:c r="G1096" s="25" t="n">
        <x:v>1</x:v>
      </x:c>
      <x:c r="H1096" s="25" t="str">
        <x:v>攻击加成</x:v>
      </x:c>
      <x:c r="I1096" s="25" t="n">
        <x:v>44</x:v>
      </x:c>
      <x:c r="J1096" s="25" t="n">
        <x:v>19</x:v>
      </x:c>
      <x:c r="K1096" s="25" t="str">
        <x:v>仅装备原始基础值决定主属性范围</x:v>
      </x:c>
    </x:row>
    <x:row r="1097">
      <x:c r="A1097" s="25" t="str">
        <x:v>C08-X</x:v>
      </x:c>
      <x:c r="B1097" s="25" t="str">
        <x:v>巨人山顶</x:v>
      </x:c>
      <x:c r="C1097" s="25" t="str">
        <x:v>极端压力</x:v>
      </x:c>
      <x:c r="D1097" s="25" t="n">
        <x:v>1</x:v>
      </x:c>
      <x:c r="E1097" s="25" t="n">
        <x:v>194</x:v>
      </x:c>
      <x:c r="F1097" s="25" t="str">
        <x:v>乌尔迈吞日巨剑</x:v>
      </x:c>
      <x:c r="G1097" s="25" t="n">
        <x:v>1</x:v>
      </x:c>
      <x:c r="H1097" s="25" t="str">
        <x:v>道术</x:v>
      </x:c>
      <x:c r="I1097" s="25" t="n">
        <x:v>1317</x:v>
      </x:c>
      <x:c r="J1097" s="25" t="n">
        <x:v>3</x:v>
      </x:c>
      <x:c r="K1097" s="25" t="str">
        <x:v>仅装备原始基础值决定主属性范围</x:v>
      </x:c>
    </x:row>
    <x:row r="1098">
      <x:c r="A1098" s="25" t="str">
        <x:v>C08-X</x:v>
      </x:c>
      <x:c r="B1098" s="25" t="str">
        <x:v>巨人山顶</x:v>
      </x:c>
      <x:c r="C1098" s="25" t="str">
        <x:v>极端压力</x:v>
      </x:c>
      <x:c r="D1098" s="25" t="n">
        <x:v>1</x:v>
      </x:c>
      <x:c r="E1098" s="25" t="n">
        <x:v>194</x:v>
      </x:c>
      <x:c r="F1098" s="25" t="str">
        <x:v>乌尔迈吞日巨剑</x:v>
      </x:c>
      <x:c r="G1098" s="25" t="n">
        <x:v>2</x:v>
      </x:c>
      <x:c r="H1098" s="25" t="str">
        <x:v>处决伤害</x:v>
      </x:c>
      <x:c r="I1098" s="25" t="n">
        <x:v>1</x:v>
      </x:c>
      <x:c r="J1098" s="25" t="n">
        <x:v>10</x:v>
      </x:c>
      <x:c r="K1098" s="25" t="str">
        <x:v>仅装备原始基础值决定主属性范围</x:v>
      </x:c>
    </x:row>
    <x:row r="1099">
      <x:c r="A1099" s="25" t="str">
        <x:v>C08-X</x:v>
      </x:c>
      <x:c r="B1099" s="25" t="str">
        <x:v>巨人山顶</x:v>
      </x:c>
      <x:c r="C1099" s="25" t="str">
        <x:v>极端压力</x:v>
      </x:c>
      <x:c r="D1099" s="25" t="n">
        <x:v>1</x:v>
      </x:c>
      <x:c r="E1099" s="25" t="n">
        <x:v>194</x:v>
      </x:c>
      <x:c r="F1099" s="25" t="str">
        <x:v>乌尔迈吞日巨剑</x:v>
      </x:c>
      <x:c r="G1099" s="25" t="n">
        <x:v>3</x:v>
      </x:c>
      <x:c r="H1099" s="25" t="str">
        <x:v>攻击加成</x:v>
      </x:c>
      <x:c r="I1099" s="25" t="n">
        <x:v>40</x:v>
      </x:c>
      <x:c r="J1099" s="25" t="n">
        <x:v>19</x:v>
      </x:c>
      <x:c r="K1099" s="25" t="str">
        <x:v>仅装备原始基础值决定主属性范围</x:v>
      </x:c>
    </x:row>
    <x:row r="1100">
      <x:c r="A1100" s="25" t="str">
        <x:v>C08-X</x:v>
      </x:c>
      <x:c r="B1100" s="25" t="str">
        <x:v>巨人山顶</x:v>
      </x:c>
      <x:c r="C1100" s="25" t="str">
        <x:v>极端压力</x:v>
      </x:c>
      <x:c r="D1100" s="25" t="n">
        <x:v>1</x:v>
      </x:c>
      <x:c r="E1100" s="25" t="n">
        <x:v>194</x:v>
      </x:c>
      <x:c r="F1100" s="25" t="str">
        <x:v>乌尔迈吞日巨剑</x:v>
      </x:c>
      <x:c r="G1100" s="25" t="n">
        <x:v>4</x:v>
      </x:c>
      <x:c r="H1100" s="25" t="str">
        <x:v>攻击加成</x:v>
      </x:c>
      <x:c r="I1100" s="25" t="n">
        <x:v>49</x:v>
      </x:c>
      <x:c r="J1100" s="25" t="n">
        <x:v>19</x:v>
      </x:c>
      <x:c r="K1100" s="25" t="str">
        <x:v>仅装备原始基础值决定主属性范围</x:v>
      </x:c>
    </x:row>
    <x:row r="1101">
      <x:c r="A1101" s="25" t="str">
        <x:v>C08-X</x:v>
      </x:c>
      <x:c r="B1101" s="25" t="str">
        <x:v>巨人山顶</x:v>
      </x:c>
      <x:c r="C1101" s="25" t="str">
        <x:v>极端压力</x:v>
      </x:c>
      <x:c r="D1101" s="25" t="n">
        <x:v>1</x:v>
      </x:c>
      <x:c r="E1101" s="25" t="n">
        <x:v>194</x:v>
      </x:c>
      <x:c r="F1101" s="25" t="str">
        <x:v>乌尔迈吞日巨剑</x:v>
      </x:c>
      <x:c r="G1101" s="25" t="n">
        <x:v>5</x:v>
      </x:c>
      <x:c r="H1101" s="25" t="str">
        <x:v>攻击加成</x:v>
      </x:c>
      <x:c r="I1101" s="25" t="n">
        <x:v>15</x:v>
      </x:c>
      <x:c r="J1101" s="25" t="n">
        <x:v>18</x:v>
      </x:c>
      <x:c r="K1101" s="25" t="str">
        <x:v>仅装备原始基础值决定主属性范围</x:v>
      </x:c>
    </x:row>
    <x:row r="1102">
      <x:c r="A1102" s="25" t="str">
        <x:v>C08-X</x:v>
      </x:c>
      <x:c r="B1102" s="25" t="str">
        <x:v>巨人山顶</x:v>
      </x:c>
      <x:c r="C1102" s="25" t="str">
        <x:v>极端压力</x:v>
      </x:c>
      <x:c r="D1102" s="25" t="n">
        <x:v>3</x:v>
      </x:c>
      <x:c r="E1102" s="25" t="n">
        <x:v>197</x:v>
      </x:c>
      <x:c r="F1102" s="25" t="str">
        <x:v>巨人炉心颈环</x:v>
      </x:c>
      <x:c r="G1102" s="25" t="n">
        <x:v>1</x:v>
      </x:c>
      <x:c r="H1102" s="25" t="str">
        <x:v>攻击</x:v>
      </x:c>
      <x:c r="I1102" s="25" t="n">
        <x:v>1414</x:v>
      </x:c>
      <x:c r="J1102" s="25" t="n">
        <x:v>1</x:v>
      </x:c>
      <x:c r="K1102" s="25" t="str">
        <x:v>仅装备原始基础值决定主属性范围</x:v>
      </x:c>
    </x:row>
    <x:row r="1103">
      <x:c r="A1103" s="25" t="str">
        <x:v>C08-X</x:v>
      </x:c>
      <x:c r="B1103" s="25" t="str">
        <x:v>巨人山顶</x:v>
      </x:c>
      <x:c r="C1103" s="25" t="str">
        <x:v>极端压力</x:v>
      </x:c>
      <x:c r="D1103" s="25" t="n">
        <x:v>3</x:v>
      </x:c>
      <x:c r="E1103" s="25" t="n">
        <x:v>197</x:v>
      </x:c>
      <x:c r="F1103" s="25" t="str">
        <x:v>巨人炉心颈环</x:v>
      </x:c>
      <x:c r="G1103" s="25" t="n">
        <x:v>2</x:v>
      </x:c>
      <x:c r="H1103" s="25" t="str">
        <x:v>攻击速度</x:v>
      </x:c>
      <x:c r="I1103" s="25" t="n">
        <x:v>1</x:v>
      </x:c>
      <x:c r="J1103" s="25" t="n">
        <x:v>4</x:v>
      </x:c>
      <x:c r="K1103" s="25" t="str">
        <x:v>仅装备原始基础值决定主属性范围</x:v>
      </x:c>
    </x:row>
    <x:row r="1104">
      <x:c r="A1104" s="25" t="str">
        <x:v>C08-X</x:v>
      </x:c>
      <x:c r="B1104" s="25" t="str">
        <x:v>巨人山顶</x:v>
      </x:c>
      <x:c r="C1104" s="25" t="str">
        <x:v>极端压力</x:v>
      </x:c>
      <x:c r="D1104" s="25" t="n">
        <x:v>3</x:v>
      </x:c>
      <x:c r="E1104" s="25" t="n">
        <x:v>197</x:v>
      </x:c>
      <x:c r="F1104" s="25" t="str">
        <x:v>巨人炉心颈环</x:v>
      </x:c>
      <x:c r="G1104" s="25" t="n">
        <x:v>3</x:v>
      </x:c>
      <x:c r="H1104" s="25" t="str">
        <x:v>攻击加成</x:v>
      </x:c>
      <x:c r="I1104" s="25" t="n">
        <x:v>36</x:v>
      </x:c>
      <x:c r="J1104" s="25" t="n">
        <x:v>19</x:v>
      </x:c>
      <x:c r="K1104" s="25" t="str">
        <x:v>仅装备原始基础值决定主属性范围</x:v>
      </x:c>
    </x:row>
    <x:row r="1105">
      <x:c r="A1105" s="25" t="str">
        <x:v>C08-X</x:v>
      </x:c>
      <x:c r="B1105" s="25" t="str">
        <x:v>巨人山顶</x:v>
      </x:c>
      <x:c r="C1105" s="25" t="str">
        <x:v>极端压力</x:v>
      </x:c>
      <x:c r="D1105" s="25" t="n">
        <x:v>3</x:v>
      </x:c>
      <x:c r="E1105" s="25" t="n">
        <x:v>197</x:v>
      </x:c>
      <x:c r="F1105" s="25" t="str">
        <x:v>巨人炉心颈环</x:v>
      </x:c>
      <x:c r="G1105" s="25" t="n">
        <x:v>4</x:v>
      </x:c>
      <x:c r="H1105" s="25" t="str">
        <x:v>韧性</x:v>
      </x:c>
      <x:c r="I1105" s="25" t="n">
        <x:v>10</x:v>
      </x:c>
      <x:c r="J1105" s="25" t="n">
        <x:v>12</x:v>
      </x:c>
      <x:c r="K1105" s="25" t="str">
        <x:v>仅装备原始基础值决定主属性范围</x:v>
      </x:c>
    </x:row>
    <x:row r="1106">
      <x:c r="A1106" s="25" t="str">
        <x:v>C08-X</x:v>
      </x:c>
      <x:c r="B1106" s="25" t="str">
        <x:v>巨人山顶</x:v>
      </x:c>
      <x:c r="C1106" s="25" t="str">
        <x:v>极端压力</x:v>
      </x:c>
      <x:c r="D1106" s="25" t="n">
        <x:v>3</x:v>
      </x:c>
      <x:c r="E1106" s="25" t="n">
        <x:v>197</x:v>
      </x:c>
      <x:c r="F1106" s="25" t="str">
        <x:v>巨人炉心颈环</x:v>
      </x:c>
      <x:c r="G1106" s="25" t="n">
        <x:v>5</x:v>
      </x:c>
      <x:c r="H1106" s="25" t="str">
        <x:v>攻击加成</x:v>
      </x:c>
      <x:c r="I1106" s="25" t="n">
        <x:v>49</x:v>
      </x:c>
      <x:c r="J1106" s="25" t="n">
        <x:v>19</x:v>
      </x:c>
      <x:c r="K1106" s="25" t="str">
        <x:v>仅装备原始基础值决定主属性范围</x:v>
      </x:c>
    </x:row>
    <x:row r="1107">
      <x:c r="A1107" s="25" t="str">
        <x:v>C08-X</x:v>
      </x:c>
      <x:c r="B1107" s="25" t="str">
        <x:v>巨人山顶</x:v>
      </x:c>
      <x:c r="C1107" s="25" t="str">
        <x:v>极端压力</x:v>
      </x:c>
      <x:c r="D1107" s="25" t="n">
        <x:v>4</x:v>
      </x:c>
      <x:c r="E1107" s="25" t="n">
        <x:v>182</x:v>
      </x:c>
      <x:c r="F1107" s="25" t="str">
        <x:v>觐庭裂纹盔</x:v>
      </x:c>
      <x:c r="G1107" s="25" t="n">
        <x:v>1</x:v>
      </x:c>
      <x:c r="H1107" s="25" t="str">
        <x:v>攻击加成</x:v>
      </x:c>
      <x:c r="I1107" s="25" t="n">
        <x:v>26</x:v>
      </x:c>
      <x:c r="J1107" s="25" t="n">
        <x:v>18</x:v>
      </x:c>
      <x:c r="K1107" s="25" t="str">
        <x:v>仅装备原始基础值决定主属性范围</x:v>
      </x:c>
    </x:row>
    <x:row r="1108">
      <x:c r="A1108" s="25" t="str">
        <x:v>C08-X</x:v>
      </x:c>
      <x:c r="B1108" s="25" t="str">
        <x:v>巨人山顶</x:v>
      </x:c>
      <x:c r="C1108" s="25" t="str">
        <x:v>极端压力</x:v>
      </x:c>
      <x:c r="D1108" s="25" t="n">
        <x:v>4</x:v>
      </x:c>
      <x:c r="E1108" s="25" t="n">
        <x:v>182</x:v>
      </x:c>
      <x:c r="F1108" s="25" t="str">
        <x:v>觐庭裂纹盔</x:v>
      </x:c>
      <x:c r="G1108" s="25" t="n">
        <x:v>2</x:v>
      </x:c>
      <x:c r="H1108" s="25" t="str">
        <x:v>攻击加成</x:v>
      </x:c>
      <x:c r="I1108" s="25" t="n">
        <x:v>16</x:v>
      </x:c>
      <x:c r="J1108" s="25" t="n">
        <x:v>18</x:v>
      </x:c>
      <x:c r="K1108" s="25" t="str">
        <x:v>仅装备原始基础值决定主属性范围</x:v>
      </x:c>
    </x:row>
    <x:row r="1109">
      <x:c r="A1109" s="25" t="str">
        <x:v>C08-X</x:v>
      </x:c>
      <x:c r="B1109" s="25" t="str">
        <x:v>巨人山顶</x:v>
      </x:c>
      <x:c r="C1109" s="25" t="str">
        <x:v>极端压力</x:v>
      </x:c>
      <x:c r="D1109" s="25" t="n">
        <x:v>4</x:v>
      </x:c>
      <x:c r="E1109" s="25" t="n">
        <x:v>182</x:v>
      </x:c>
      <x:c r="F1109" s="25" t="str">
        <x:v>觐庭裂纹盔</x:v>
      </x:c>
      <x:c r="G1109" s="25" t="n">
        <x:v>3</x:v>
      </x:c>
      <x:c r="H1109" s="25" t="str">
        <x:v>攻击速度</x:v>
      </x:c>
      <x:c r="I1109" s="25" t="n">
        <x:v>1</x:v>
      </x:c>
      <x:c r="J1109" s="25" t="n">
        <x:v>4</x:v>
      </x:c>
      <x:c r="K1109" s="25" t="str">
        <x:v>仅装备原始基础值决定主属性范围</x:v>
      </x:c>
    </x:row>
    <x:row r="1110">
      <x:c r="A1110" s="25" t="str">
        <x:v>C08-X</x:v>
      </x:c>
      <x:c r="B1110" s="25" t="str">
        <x:v>巨人山顶</x:v>
      </x:c>
      <x:c r="C1110" s="25" t="str">
        <x:v>极端压力</x:v>
      </x:c>
      <x:c r="D1110" s="25" t="n">
        <x:v>4</x:v>
      </x:c>
      <x:c r="E1110" s="25" t="n">
        <x:v>182</x:v>
      </x:c>
      <x:c r="F1110" s="25" t="str">
        <x:v>觐庭裂纹盔</x:v>
      </x:c>
      <x:c r="G1110" s="25" t="n">
        <x:v>4</x:v>
      </x:c>
      <x:c r="H1110" s="25" t="str">
        <x:v>攻击</x:v>
      </x:c>
      <x:c r="I1110" s="25" t="n">
        <x:v>343</x:v>
      </x:c>
      <x:c r="J1110" s="25" t="n">
        <x:v>1</x:v>
      </x:c>
      <x:c r="K1110" s="25" t="str">
        <x:v>仅装备原始基础值决定主属性范围</x:v>
      </x:c>
    </x:row>
    <x:row r="1111">
      <x:c r="A1111" s="25" t="str">
        <x:v>C08-X</x:v>
      </x:c>
      <x:c r="B1111" s="25" t="str">
        <x:v>巨人山顶</x:v>
      </x:c>
      <x:c r="C1111" s="25" t="str">
        <x:v>极端压力</x:v>
      </x:c>
      <x:c r="D1111" s="25" t="n">
        <x:v>4</x:v>
      </x:c>
      <x:c r="E1111" s="25" t="n">
        <x:v>182</x:v>
      </x:c>
      <x:c r="F1111" s="25" t="str">
        <x:v>觐庭裂纹盔</x:v>
      </x:c>
      <x:c r="G1111" s="25" t="n">
        <x:v>5</x:v>
      </x:c>
      <x:c r="H1111" s="25" t="str">
        <x:v>处决时间</x:v>
      </x:c>
      <x:c r="I1111" s="25" t="n">
        <x:v>1</x:v>
      </x:c>
      <x:c r="J1111" s="25" t="n">
        <x:v>8</x:v>
      </x:c>
      <x:c r="K1111" s="25" t="str">
        <x:v>仅装备原始基础值决定主属性范围</x:v>
      </x:c>
    </x:row>
    <x:row r="1112">
      <x:c r="A1112" s="25" t="str">
        <x:v>C08-X</x:v>
      </x:c>
      <x:c r="B1112" s="25" t="str">
        <x:v>巨人山顶</x:v>
      </x:c>
      <x:c r="C1112" s="25" t="str">
        <x:v>极端压力</x:v>
      </x:c>
      <x:c r="D1112" s="25" t="n">
        <x:v>4</x:v>
      </x:c>
      <x:c r="E1112" s="25" t="n">
        <x:v>182</x:v>
      </x:c>
      <x:c r="F1112" s="25" t="str">
        <x:v>觐庭裂纹盔</x:v>
      </x:c>
      <x:c r="G1112" s="25" t="n">
        <x:v>6</x:v>
      </x:c>
      <x:c r="H1112" s="25" t="str">
        <x:v>攻击</x:v>
      </x:c>
      <x:c r="I1112" s="25" t="n">
        <x:v>220</x:v>
      </x:c>
      <x:c r="J1112" s="25" t="n">
        <x:v>1</x:v>
      </x:c>
      <x:c r="K1112" s="25" t="str">
        <x:v>仅装备原始基础值决定主属性范围</x:v>
      </x:c>
    </x:row>
    <x:row r="1113">
      <x:c r="A1113" s="25" t="str">
        <x:v>C08-X</x:v>
      </x:c>
      <x:c r="B1113" s="25" t="str">
        <x:v>巨人山顶</x:v>
      </x:c>
      <x:c r="C1113" s="25" t="str">
        <x:v>极端压力</x:v>
      </x:c>
      <x:c r="D1113" s="25" t="n">
        <x:v>5</x:v>
      </x:c>
      <x:c r="E1113" s="25" t="n">
        <x:v>198</x:v>
      </x:c>
      <x:c r="F1113" s="25" t="str">
        <x:v>白魈啸风镯</x:v>
      </x:c>
      <x:c r="G1113" s="25" t="n">
        <x:v>1</x:v>
      </x:c>
      <x:c r="H1113" s="25" t="str">
        <x:v>攻击加成</x:v>
      </x:c>
      <x:c r="I1113" s="25" t="n">
        <x:v>16</x:v>
      </x:c>
      <x:c r="J1113" s="25" t="n">
        <x:v>18</x:v>
      </x:c>
      <x:c r="K1113" s="25" t="str">
        <x:v>仅装备原始基础值决定主属性范围</x:v>
      </x:c>
    </x:row>
    <x:row r="1114">
      <x:c r="A1114" s="25" t="str">
        <x:v>C08-X</x:v>
      </x:c>
      <x:c r="B1114" s="25" t="str">
        <x:v>巨人山顶</x:v>
      </x:c>
      <x:c r="C1114" s="25" t="str">
        <x:v>极端压力</x:v>
      </x:c>
      <x:c r="D1114" s="25" t="n">
        <x:v>5</x:v>
      </x:c>
      <x:c r="E1114" s="25" t="n">
        <x:v>198</x:v>
      </x:c>
      <x:c r="F1114" s="25" t="str">
        <x:v>白魈啸风镯</x:v>
      </x:c>
      <x:c r="G1114" s="25" t="n">
        <x:v>2</x:v>
      </x:c>
      <x:c r="H1114" s="25" t="str">
        <x:v>攻击</x:v>
      </x:c>
      <x:c r="I1114" s="25" t="n">
        <x:v>329</x:v>
      </x:c>
      <x:c r="J1114" s="25" t="n">
        <x:v>1</x:v>
      </x:c>
      <x:c r="K1114" s="25" t="str">
        <x:v>仅装备原始基础值决定主属性范围</x:v>
      </x:c>
    </x:row>
    <x:row r="1115">
      <x:c r="A1115" s="25" t="str">
        <x:v>C08-X</x:v>
      </x:c>
      <x:c r="B1115" s="25" t="str">
        <x:v>巨人山顶</x:v>
      </x:c>
      <x:c r="C1115" s="25" t="str">
        <x:v>极端压力</x:v>
      </x:c>
      <x:c r="D1115" s="25" t="n">
        <x:v>5</x:v>
      </x:c>
      <x:c r="E1115" s="25" t="n">
        <x:v>198</x:v>
      </x:c>
      <x:c r="F1115" s="25" t="str">
        <x:v>白魈啸风镯</x:v>
      </x:c>
      <x:c r="G1115" s="25" t="n">
        <x:v>3</x:v>
      </x:c>
      <x:c r="H1115" s="25" t="str">
        <x:v>最大爆率</x:v>
      </x:c>
      <x:c r="I1115" s="25" t="n">
        <x:v>1</x:v>
      </x:c>
      <x:c r="J1115" s="25" t="n">
        <x:v>22</x:v>
      </x:c>
      <x:c r="K1115" s="25" t="str">
        <x:v>仅装备原始基础值决定主属性范围</x:v>
      </x:c>
    </x:row>
    <x:row r="1116">
      <x:c r="A1116" s="25" t="str">
        <x:v>C08-X</x:v>
      </x:c>
      <x:c r="B1116" s="25" t="str">
        <x:v>巨人山顶</x:v>
      </x:c>
      <x:c r="C1116" s="25" t="str">
        <x:v>极端压力</x:v>
      </x:c>
      <x:c r="D1116" s="25" t="n">
        <x:v>5</x:v>
      </x:c>
      <x:c r="E1116" s="25" t="n">
        <x:v>198</x:v>
      </x:c>
      <x:c r="F1116" s="25" t="str">
        <x:v>白魈啸风镯</x:v>
      </x:c>
      <x:c r="G1116" s="25" t="n">
        <x:v>4</x:v>
      </x:c>
      <x:c r="H1116" s="25" t="str">
        <x:v>魔法</x:v>
      </x:c>
      <x:c r="I1116" s="25" t="n">
        <x:v>1245</x:v>
      </x:c>
      <x:c r="J1116" s="25" t="n">
        <x:v>2</x:v>
      </x:c>
      <x:c r="K1116" s="25" t="str">
        <x:v>仅装备原始基础值决定主属性范围</x:v>
      </x:c>
    </x:row>
    <x:row r="1117">
      <x:c r="A1117" s="25" t="str">
        <x:v>C08-X</x:v>
      </x:c>
      <x:c r="B1117" s="25" t="str">
        <x:v>巨人山顶</x:v>
      </x:c>
      <x:c r="C1117" s="25" t="str">
        <x:v>极端压力</x:v>
      </x:c>
      <x:c r="D1117" s="25" t="n">
        <x:v>5</x:v>
      </x:c>
      <x:c r="E1117" s="25" t="n">
        <x:v>198</x:v>
      </x:c>
      <x:c r="F1117" s="25" t="str">
        <x:v>白魈啸风镯</x:v>
      </x:c>
      <x:c r="G1117" s="25" t="n">
        <x:v>5</x:v>
      </x:c>
      <x:c r="H1117" s="25" t="str">
        <x:v>处决伤害</x:v>
      </x:c>
      <x:c r="I1117" s="25" t="n">
        <x:v>2</x:v>
      </x:c>
      <x:c r="J1117" s="25" t="n">
        <x:v>11</x:v>
      </x:c>
      <x:c r="K1117" s="25" t="str">
        <x:v>仅装备原始基础值决定主属性范围</x:v>
      </x:c>
    </x:row>
    <x:row r="1118">
      <x:c r="A1118" s="25" t="str">
        <x:v>C08-X</x:v>
      </x:c>
      <x:c r="B1118" s="25" t="str">
        <x:v>巨人山顶</x:v>
      </x:c>
      <x:c r="C1118" s="25" t="str">
        <x:v>极端压力</x:v>
      </x:c>
      <x:c r="D1118" s="25" t="n">
        <x:v>5</x:v>
      </x:c>
      <x:c r="E1118" s="25" t="n">
        <x:v>198</x:v>
      </x:c>
      <x:c r="F1118" s="25" t="str">
        <x:v>白魈啸风镯</x:v>
      </x:c>
      <x:c r="G1118" s="25" t="n">
        <x:v>6</x:v>
      </x:c>
      <x:c r="H1118" s="25" t="str">
        <x:v>伤害吸收上限</x:v>
      </x:c>
      <x:c r="I1118" s="25" t="n">
        <x:v>1</x:v>
      </x:c>
      <x:c r="J1118" s="25" t="n">
        <x:v>28</x:v>
      </x:c>
      <x:c r="K1118" s="25" t="str">
        <x:v>仅装备原始基础值决定主属性范围</x:v>
      </x:c>
    </x:row>
    <x:row r="1119">
      <x:c r="A1119" s="25" t="str">
        <x:v>C08-X</x:v>
      </x:c>
      <x:c r="B1119" s="25" t="str">
        <x:v>巨人山顶</x:v>
      </x:c>
      <x:c r="C1119" s="25" t="str">
        <x:v>极端压力</x:v>
      </x:c>
      <x:c r="D1119" s="25" t="n">
        <x:v>5</x:v>
      </x:c>
      <x:c r="E1119" s="25" t="n">
        <x:v>198</x:v>
      </x:c>
      <x:c r="F1119" s="25" t="str">
        <x:v>白魈啸风镯</x:v>
      </x:c>
      <x:c r="G1119" s="25" t="n">
        <x:v>7</x:v>
      </x:c>
      <x:c r="H1119" s="25" t="str">
        <x:v>道术</x:v>
      </x:c>
      <x:c r="I1119" s="25" t="n">
        <x:v>348</x:v>
      </x:c>
      <x:c r="J1119" s="25" t="n">
        <x:v>3</x:v>
      </x:c>
      <x:c r="K1119" s="25" t="str">
        <x:v>仅装备原始基础值决定主属性范围</x:v>
      </x:c>
    </x:row>
    <x:row r="1120">
      <x:c r="A1120" s="25" t="str">
        <x:v>C08-X</x:v>
      </x:c>
      <x:c r="B1120" s="25" t="str">
        <x:v>巨人山顶</x:v>
      </x:c>
      <x:c r="C1120" s="25" t="str">
        <x:v>极端压力</x:v>
      </x:c>
      <x:c r="D1120" s="25" t="n">
        <x:v>6</x:v>
      </x:c>
      <x:c r="E1120" s="25" t="n">
        <x:v>178</x:v>
      </x:c>
      <x:c r="F1120" s="25" t="str">
        <x:v>白魈啸风镯</x:v>
      </x:c>
      <x:c r="G1120" s="25" t="n">
        <x:v>1</x:v>
      </x:c>
      <x:c r="H1120" s="25" t="str">
        <x:v>攻击加成</x:v>
      </x:c>
      <x:c r="I1120" s="25" t="n">
        <x:v>23</x:v>
      </x:c>
      <x:c r="J1120" s="25" t="n">
        <x:v>18</x:v>
      </x:c>
      <x:c r="K1120" s="25" t="str">
        <x:v>仅装备原始基础值决定主属性范围</x:v>
      </x:c>
    </x:row>
    <x:row r="1121">
      <x:c r="A1121" s="25" t="str">
        <x:v>C08-X</x:v>
      </x:c>
      <x:c r="B1121" s="25" t="str">
        <x:v>巨人山顶</x:v>
      </x:c>
      <x:c r="C1121" s="25" t="str">
        <x:v>极端压力</x:v>
      </x:c>
      <x:c r="D1121" s="25" t="n">
        <x:v>6</x:v>
      </x:c>
      <x:c r="E1121" s="25" t="n">
        <x:v>178</x:v>
      </x:c>
      <x:c r="F1121" s="25" t="str">
        <x:v>白魈啸风镯</x:v>
      </x:c>
      <x:c r="G1121" s="25" t="n">
        <x:v>2</x:v>
      </x:c>
      <x:c r="H1121" s="25" t="str">
        <x:v>攻击</x:v>
      </x:c>
      <x:c r="I1121" s="25" t="n">
        <x:v>1214</x:v>
      </x:c>
      <x:c r="J1121" s="25" t="n">
        <x:v>1</x:v>
      </x:c>
      <x:c r="K1121" s="25" t="str">
        <x:v>仅装备原始基础值决定主属性范围</x:v>
      </x:c>
    </x:row>
    <x:row r="1122">
      <x:c r="A1122" s="25" t="str">
        <x:v>C08-X</x:v>
      </x:c>
      <x:c r="B1122" s="25" t="str">
        <x:v>巨人山顶</x:v>
      </x:c>
      <x:c r="C1122" s="25" t="str">
        <x:v>极端压力</x:v>
      </x:c>
      <x:c r="D1122" s="25" t="n">
        <x:v>6</x:v>
      </x:c>
      <x:c r="E1122" s="25" t="n">
        <x:v>178</x:v>
      </x:c>
      <x:c r="F1122" s="25" t="str">
        <x:v>白魈啸风镯</x:v>
      </x:c>
      <x:c r="G1122" s="25" t="n">
        <x:v>3</x:v>
      </x:c>
      <x:c r="H1122" s="25" t="str">
        <x:v>攻击</x:v>
      </x:c>
      <x:c r="I1122" s="25" t="n">
        <x:v>504</x:v>
      </x:c>
      <x:c r="J1122" s="25" t="n">
        <x:v>1</x:v>
      </x:c>
      <x:c r="K1122" s="25" t="str">
        <x:v>仅装备原始基础值决定主属性范围</x:v>
      </x:c>
    </x:row>
    <x:row r="1123">
      <x:c r="A1123" s="25" t="str">
        <x:v>C08-X</x:v>
      </x:c>
      <x:c r="B1123" s="25" t="str">
        <x:v>巨人山顶</x:v>
      </x:c>
      <x:c r="C1123" s="25" t="str">
        <x:v>极端压力</x:v>
      </x:c>
      <x:c r="D1123" s="25" t="n">
        <x:v>6</x:v>
      </x:c>
      <x:c r="E1123" s="25" t="n">
        <x:v>178</x:v>
      </x:c>
      <x:c r="F1123" s="25" t="str">
        <x:v>白魈啸风镯</x:v>
      </x:c>
      <x:c r="G1123" s="25" t="n">
        <x:v>4</x:v>
      </x:c>
      <x:c r="H1123" s="25" t="str">
        <x:v>攻击加成</x:v>
      </x:c>
      <x:c r="I1123" s="25" t="n">
        <x:v>40</x:v>
      </x:c>
      <x:c r="J1123" s="25" t="n">
        <x:v>19</x:v>
      </x:c>
      <x:c r="K1123" s="25" t="str">
        <x:v>仅装备原始基础值决定主属性范围</x:v>
      </x:c>
    </x:row>
    <x:row r="1124">
      <x:c r="A1124" s="25" t="str">
        <x:v>C08-X</x:v>
      </x:c>
      <x:c r="B1124" s="25" t="str">
        <x:v>巨人山顶</x:v>
      </x:c>
      <x:c r="C1124" s="25" t="str">
        <x:v>极端压力</x:v>
      </x:c>
      <x:c r="D1124" s="25" t="n">
        <x:v>7</x:v>
      </x:c>
      <x:c r="E1124" s="25" t="n">
        <x:v>199</x:v>
      </x:c>
      <x:c r="F1124" s="25" t="str">
        <x:v>守梦霜瞳戒</x:v>
      </x:c>
      <x:c r="G1124" s="25" t="n">
        <x:v>1</x:v>
      </x:c>
      <x:c r="H1124" s="25" t="str">
        <x:v>攻击</x:v>
      </x:c>
      <x:c r="I1124" s="25" t="n">
        <x:v>1024</x:v>
      </x:c>
      <x:c r="J1124" s="25" t="n">
        <x:v>1</x:v>
      </x:c>
      <x:c r="K1124" s="25" t="str">
        <x:v>仅装备原始基础值决定主属性范围</x:v>
      </x:c>
    </x:row>
    <x:row r="1125">
      <x:c r="A1125" s="25" t="str">
        <x:v>C08-X</x:v>
      </x:c>
      <x:c r="B1125" s="25" t="str">
        <x:v>巨人山顶</x:v>
      </x:c>
      <x:c r="C1125" s="25" t="str">
        <x:v>极端压力</x:v>
      </x:c>
      <x:c r="D1125" s="25" t="n">
        <x:v>7</x:v>
      </x:c>
      <x:c r="E1125" s="25" t="n">
        <x:v>199</x:v>
      </x:c>
      <x:c r="F1125" s="25" t="str">
        <x:v>守梦霜瞳戒</x:v>
      </x:c>
      <x:c r="G1125" s="25" t="n">
        <x:v>2</x:v>
      </x:c>
      <x:c r="H1125" s="25" t="str">
        <x:v>韧性</x:v>
      </x:c>
      <x:c r="I1125" s="25" t="n">
        <x:v>10</x:v>
      </x:c>
      <x:c r="J1125" s="25" t="n">
        <x:v>12</x:v>
      </x:c>
      <x:c r="K1125" s="25" t="str">
        <x:v>仅装备原始基础值决定主属性范围</x:v>
      </x:c>
    </x:row>
    <x:row r="1126">
      <x:c r="A1126" s="25" t="str">
        <x:v>C08-X</x:v>
      </x:c>
      <x:c r="B1126" s="25" t="str">
        <x:v>巨人山顶</x:v>
      </x:c>
      <x:c r="C1126" s="25" t="str">
        <x:v>极端压力</x:v>
      </x:c>
      <x:c r="D1126" s="25" t="n">
        <x:v>7</x:v>
      </x:c>
      <x:c r="E1126" s="25" t="n">
        <x:v>199</x:v>
      </x:c>
      <x:c r="F1126" s="25" t="str">
        <x:v>守梦霜瞳戒</x:v>
      </x:c>
      <x:c r="G1126" s="25" t="n">
        <x:v>3</x:v>
      </x:c>
      <x:c r="H1126" s="25" t="str">
        <x:v>攻击加成</x:v>
      </x:c>
      <x:c r="I1126" s="25" t="n">
        <x:v>32</x:v>
      </x:c>
      <x:c r="J1126" s="25" t="n">
        <x:v>19</x:v>
      </x:c>
      <x:c r="K1126" s="25" t="str">
        <x:v>仅装备原始基础值决定主属性范围</x:v>
      </x:c>
    </x:row>
    <x:row r="1127">
      <x:c r="A1127" s="25" t="str">
        <x:v>C08-X</x:v>
      </x:c>
      <x:c r="B1127" s="25" t="str">
        <x:v>巨人山顶</x:v>
      </x:c>
      <x:c r="C1127" s="25" t="str">
        <x:v>极端压力</x:v>
      </x:c>
      <x:c r="D1127" s="25" t="n">
        <x:v>8</x:v>
      </x:c>
      <x:c r="E1127" s="25" t="n">
        <x:v>179</x:v>
      </x:c>
      <x:c r="F1127" s="25" t="str">
        <x:v>守梦霜瞳戒</x:v>
      </x:c>
      <x:c r="G1127" s="25" t="n">
        <x:v>1</x:v>
      </x:c>
      <x:c r="H1127" s="25" t="str">
        <x:v>攻击加成</x:v>
      </x:c>
      <x:c r="I1127" s="25" t="n">
        <x:v>34</x:v>
      </x:c>
      <x:c r="J1127" s="25" t="n">
        <x:v>19</x:v>
      </x:c>
      <x:c r="K1127" s="25" t="str">
        <x:v>仅装备原始基础值决定主属性范围</x:v>
      </x:c>
    </x:row>
    <x:row r="1128">
      <x:c r="A1128" s="25" t="str">
        <x:v>C08-X</x:v>
      </x:c>
      <x:c r="B1128" s="25" t="str">
        <x:v>巨人山顶</x:v>
      </x:c>
      <x:c r="C1128" s="25" t="str">
        <x:v>极端压力</x:v>
      </x:c>
      <x:c r="D1128" s="25" t="n">
        <x:v>8</x:v>
      </x:c>
      <x:c r="E1128" s="25" t="n">
        <x:v>179</x:v>
      </x:c>
      <x:c r="F1128" s="25" t="str">
        <x:v>守梦霜瞳戒</x:v>
      </x:c>
      <x:c r="G1128" s="25" t="n">
        <x:v>2</x:v>
      </x:c>
      <x:c r="H1128" s="25" t="str">
        <x:v>伤害系数</x:v>
      </x:c>
      <x:c r="I1128" s="25" t="n">
        <x:v>3</x:v>
      </x:c>
      <x:c r="J1128" s="25" t="n">
        <x:v>27</x:v>
      </x:c>
      <x:c r="K1128" s="25" t="str">
        <x:v>仅装备原始基础值决定主属性范围</x:v>
      </x:c>
    </x:row>
    <x:row r="1129">
      <x:c r="A1129" s="25" t="str">
        <x:v>C08-X</x:v>
      </x:c>
      <x:c r="B1129" s="25" t="str">
        <x:v>巨人山顶</x:v>
      </x:c>
      <x:c r="C1129" s="25" t="str">
        <x:v>极端压力</x:v>
      </x:c>
      <x:c r="D1129" s="25" t="n">
        <x:v>10</x:v>
      </x:c>
      <x:c r="E1129" s="25" t="n">
        <x:v>183</x:v>
      </x:c>
      <x:c r="F1129" s="25" t="str">
        <x:v>封门玄冰带</x:v>
      </x:c>
      <x:c r="G1129" s="25" t="n">
        <x:v>1</x:v>
      </x:c>
      <x:c r="H1129" s="25" t="str">
        <x:v>攻击加成</x:v>
      </x:c>
      <x:c r="I1129" s="25" t="n">
        <x:v>49</x:v>
      </x:c>
      <x:c r="J1129" s="25" t="n">
        <x:v>19</x:v>
      </x:c>
      <x:c r="K1129" s="25" t="str">
        <x:v>仅装备原始基础值决定主属性范围</x:v>
      </x:c>
    </x:row>
    <x:row r="1130">
      <x:c r="A1130" s="25" t="str">
        <x:v>C08-X</x:v>
      </x:c>
      <x:c r="B1130" s="25" t="str">
        <x:v>巨人山顶</x:v>
      </x:c>
      <x:c r="C1130" s="25" t="str">
        <x:v>极端压力</x:v>
      </x:c>
      <x:c r="D1130" s="25" t="n">
        <x:v>10</x:v>
      </x:c>
      <x:c r="E1130" s="25" t="n">
        <x:v>183</x:v>
      </x:c>
      <x:c r="F1130" s="25" t="str">
        <x:v>封门玄冰带</x:v>
      </x:c>
      <x:c r="G1130" s="25" t="n">
        <x:v>2</x:v>
      </x:c>
      <x:c r="H1130" s="25" t="str">
        <x:v>处决概率</x:v>
      </x:c>
      <x:c r="I1130" s="25" t="n">
        <x:v>2</x:v>
      </x:c>
      <x:c r="J1130" s="25" t="n">
        <x:v>7</x:v>
      </x:c>
      <x:c r="K1130" s="25" t="str">
        <x:v>仅装备原始基础值决定主属性范围</x:v>
      </x:c>
    </x:row>
    <x:row r="1131">
      <x:c r="A1131" s="25" t="str">
        <x:v>C08-X</x:v>
      </x:c>
      <x:c r="B1131" s="25" t="str">
        <x:v>巨人山顶</x:v>
      </x:c>
      <x:c r="C1131" s="25" t="str">
        <x:v>极端压力</x:v>
      </x:c>
      <x:c r="D1131" s="25" t="n">
        <x:v>10</x:v>
      </x:c>
      <x:c r="E1131" s="25" t="n">
        <x:v>183</x:v>
      </x:c>
      <x:c r="F1131" s="25" t="str">
        <x:v>封门玄冰带</x:v>
      </x:c>
      <x:c r="G1131" s="25" t="n">
        <x:v>3</x:v>
      </x:c>
      <x:c r="H1131" s="25" t="str">
        <x:v>攻击</x:v>
      </x:c>
      <x:c r="I1131" s="25" t="n">
        <x:v>205</x:v>
      </x:c>
      <x:c r="J1131" s="25" t="n">
        <x:v>1</x:v>
      </x:c>
      <x:c r="K1131" s="25" t="str">
        <x:v>仅装备原始基础值决定主属性范围</x:v>
      </x:c>
    </x:row>
    <x:row r="1132">
      <x:c r="A1132" s="25" t="str">
        <x:v>C08-X</x:v>
      </x:c>
      <x:c r="B1132" s="25" t="str">
        <x:v>巨人山顶</x:v>
      </x:c>
      <x:c r="C1132" s="25" t="str">
        <x:v>极端压力</x:v>
      </x:c>
      <x:c r="D1132" s="25" t="n">
        <x:v>11</x:v>
      </x:c>
      <x:c r="E1132" s="25" t="n">
        <x:v>201</x:v>
      </x:c>
      <x:c r="F1132" s="25" t="str">
        <x:v>雪鬃獒踏靴</x:v>
      </x:c>
      <x:c r="G1132" s="25" t="n">
        <x:v>1</x:v>
      </x:c>
      <x:c r="H1132" s="25" t="str">
        <x:v>攻击加成</x:v>
      </x:c>
      <x:c r="I1132" s="25" t="n">
        <x:v>28</x:v>
      </x:c>
      <x:c r="J1132" s="25" t="n">
        <x:v>18</x:v>
      </x:c>
      <x:c r="K1132" s="25" t="str">
        <x:v>仅装备原始基础值决定主属性范围</x:v>
      </x:c>
    </x:row>
    <x:row r="1133">
      <x:c r="A1133" s="25" t="str">
        <x:v>C08-X</x:v>
      </x:c>
      <x:c r="B1133" s="25" t="str">
        <x:v>巨人山顶</x:v>
      </x:c>
      <x:c r="C1133" s="25" t="str">
        <x:v>极端压力</x:v>
      </x:c>
      <x:c r="D1133" s="25" t="n">
        <x:v>11</x:v>
      </x:c>
      <x:c r="E1133" s="25" t="n">
        <x:v>201</x:v>
      </x:c>
      <x:c r="F1133" s="25" t="str">
        <x:v>雪鬃獒踏靴</x:v>
      </x:c>
      <x:c r="G1133" s="25" t="n">
        <x:v>2</x:v>
      </x:c>
      <x:c r="H1133" s="25" t="str">
        <x:v>攻击加成</x:v>
      </x:c>
      <x:c r="I1133" s="25" t="n">
        <x:v>29</x:v>
      </x:c>
      <x:c r="J1133" s="25" t="n">
        <x:v>18</x:v>
      </x:c>
      <x:c r="K1133" s="25" t="str">
        <x:v>仅装备原始基础值决定主属性范围</x:v>
      </x:c>
    </x:row>
    <x:row r="1134">
      <x:c r="A1134" s="25" t="str">
        <x:v>C08-X</x:v>
      </x:c>
      <x:c r="B1134" s="25" t="str">
        <x:v>巨人山顶</x:v>
      </x:c>
      <x:c r="C1134" s="25" t="str">
        <x:v>极端压力</x:v>
      </x:c>
      <x:c r="D1134" s="25" t="n">
        <x:v>11</x:v>
      </x:c>
      <x:c r="E1134" s="25" t="n">
        <x:v>201</x:v>
      </x:c>
      <x:c r="F1134" s="25" t="str">
        <x:v>雪鬃獒踏靴</x:v>
      </x:c>
      <x:c r="G1134" s="25" t="n">
        <x:v>3</x:v>
      </x:c>
      <x:c r="H1134" s="25" t="str">
        <x:v>吸血</x:v>
      </x:c>
      <x:c r="I1134" s="25" t="n">
        <x:v>1</x:v>
      </x:c>
      <x:c r="J1134" s="25" t="n">
        <x:v>20</x:v>
      </x:c>
      <x:c r="K1134" s="25" t="str">
        <x:v>仅装备原始基础值决定主属性范围</x:v>
      </x:c>
    </x:row>
    <x:row r="1135">
      <x:c r="A1135" s="25" t="str">
        <x:v>C09-E</x:v>
      </x:c>
      <x:c r="B1135" s="25" t="str">
        <x:v>亚坛高原</x:v>
      </x:c>
      <x:c r="C1135" s="25" t="str">
        <x:v>半急速入场</x:v>
      </x:c>
      <x:c r="D1135" s="25" t="n">
        <x:v>0</x:v>
      </x:c>
      <x:c r="E1135" s="25" t="n">
        <x:v>154</x:v>
      </x:c>
      <x:c r="F1135" s="25" t="str">
        <x:v>塞维拉狱衣</x:v>
      </x:c>
      <x:c r="G1135" s="25" t="n">
        <x:v>1</x:v>
      </x:c>
      <x:c r="H1135" s="25" t="str">
        <x:v>攻击加成</x:v>
      </x:c>
      <x:c r="I1135" s="25" t="n">
        <x:v>9</x:v>
      </x:c>
      <x:c r="J1135" s="25" t="n">
        <x:v>18</x:v>
      </x:c>
      <x:c r="K1135" s="25" t="str">
        <x:v>仅装备原始基础值决定主属性范围</x:v>
      </x:c>
    </x:row>
    <x:row r="1136">
      <x:c r="A1136" s="25" t="str">
        <x:v>C09-E</x:v>
      </x:c>
      <x:c r="B1136" s="25" t="str">
        <x:v>亚坛高原</x:v>
      </x:c>
      <x:c r="C1136" s="25" t="str">
        <x:v>半急速入场</x:v>
      </x:c>
      <x:c r="D1136" s="25" t="n">
        <x:v>0</x:v>
      </x:c>
      <x:c r="E1136" s="25" t="n">
        <x:v>154</x:v>
      </x:c>
      <x:c r="F1136" s="25" t="str">
        <x:v>塞维拉狱衣</x:v>
      </x:c>
      <x:c r="G1136" s="25" t="n">
        <x:v>2</x:v>
      </x:c>
      <x:c r="H1136" s="25" t="str">
        <x:v>最大爆率</x:v>
      </x:c>
      <x:c r="I1136" s="25" t="n">
        <x:v>2</x:v>
      </x:c>
      <x:c r="J1136" s="25" t="n">
        <x:v>23</x:v>
      </x:c>
      <x:c r="K1136" s="25" t="str">
        <x:v>仅装备原始基础值决定主属性范围</x:v>
      </x:c>
    </x:row>
    <x:row r="1137">
      <x:c r="A1137" s="25" t="str">
        <x:v>C09-E</x:v>
      </x:c>
      <x:c r="B1137" s="25" t="str">
        <x:v>亚坛高原</x:v>
      </x:c>
      <x:c r="C1137" s="25" t="str">
        <x:v>半急速入场</x:v>
      </x:c>
      <x:c r="D1137" s="25" t="n">
        <x:v>0</x:v>
      </x:c>
      <x:c r="E1137" s="25" t="n">
        <x:v>154</x:v>
      </x:c>
      <x:c r="F1137" s="25" t="str">
        <x:v>塞维拉狱衣</x:v>
      </x:c>
      <x:c r="G1137" s="25" t="n">
        <x:v>3</x:v>
      </x:c>
      <x:c r="H1137" s="25" t="str">
        <x:v>处决概率</x:v>
      </x:c>
      <x:c r="I1137" s="25" t="n">
        <x:v>1</x:v>
      </x:c>
      <x:c r="J1137" s="25" t="n">
        <x:v>6</x:v>
      </x:c>
      <x:c r="K1137" s="25" t="str">
        <x:v>仅装备原始基础值决定主属性范围</x:v>
      </x:c>
    </x:row>
    <x:row r="1138">
      <x:c r="A1138" s="25" t="str">
        <x:v>C09-E</x:v>
      </x:c>
      <x:c r="B1138" s="25" t="str">
        <x:v>亚坛高原</x:v>
      </x:c>
      <x:c r="C1138" s="25" t="str">
        <x:v>半急速入场</x:v>
      </x:c>
      <x:c r="D1138" s="25" t="n">
        <x:v>0</x:v>
      </x:c>
      <x:c r="E1138" s="25" t="n">
        <x:v>154</x:v>
      </x:c>
      <x:c r="F1138" s="25" t="str">
        <x:v>塞维拉狱衣</x:v>
      </x:c>
      <x:c r="G1138" s="25" t="n">
        <x:v>4</x:v>
      </x:c>
      <x:c r="H1138" s="25" t="str">
        <x:v>攻击加成</x:v>
      </x:c>
      <x:c r="I1138" s="25" t="n">
        <x:v>31</x:v>
      </x:c>
      <x:c r="J1138" s="25" t="n">
        <x:v>19</x:v>
      </x:c>
      <x:c r="K1138" s="25" t="str">
        <x:v>仅装备原始基础值决定主属性范围</x:v>
      </x:c>
    </x:row>
    <x:row r="1139">
      <x:c r="A1139" s="25" t="str">
        <x:v>C09-E</x:v>
      </x:c>
      <x:c r="B1139" s="25" t="str">
        <x:v>亚坛高原</x:v>
      </x:c>
      <x:c r="C1139" s="25" t="str">
        <x:v>半急速入场</x:v>
      </x:c>
      <x:c r="D1139" s="25" t="n">
        <x:v>0</x:v>
      </x:c>
      <x:c r="E1139" s="25" t="n">
        <x:v>154</x:v>
      </x:c>
      <x:c r="F1139" s="25" t="str">
        <x:v>塞维拉狱衣</x:v>
      </x:c>
      <x:c r="G1139" s="25" t="n">
        <x:v>5</x:v>
      </x:c>
      <x:c r="H1139" s="25" t="str">
        <x:v>处决概率</x:v>
      </x:c>
      <x:c r="I1139" s="25" t="n">
        <x:v>1</x:v>
      </x:c>
      <x:c r="J1139" s="25" t="n">
        <x:v>6</x:v>
      </x:c>
      <x:c r="K1139" s="25" t="str">
        <x:v>仅装备原始基础值决定主属性范围</x:v>
      </x:c>
    </x:row>
    <x:row r="1140">
      <x:c r="A1140" s="25" t="str">
        <x:v>C09-E</x:v>
      </x:c>
      <x:c r="B1140" s="25" t="str">
        <x:v>亚坛高原</x:v>
      </x:c>
      <x:c r="C1140" s="25" t="str">
        <x:v>半急速入场</x:v>
      </x:c>
      <x:c r="D1140" s="25" t="n">
        <x:v>1</x:v>
      </x:c>
      <x:c r="E1140" s="25" t="n">
        <x:v>152</x:v>
      </x:c>
      <x:c r="F1140" s="25" t="str">
        <x:v>卡利亚月裁长刃</x:v>
      </x:c>
      <x:c r="G1140" s="25" t="n">
        <x:v>1</x:v>
      </x:c>
      <x:c r="H1140" s="25" t="str">
        <x:v>魔法</x:v>
      </x:c>
      <x:c r="I1140" s="25" t="n">
        <x:v>176</x:v>
      </x:c>
      <x:c r="J1140" s="25" t="n">
        <x:v>2</x:v>
      </x:c>
      <x:c r="K1140" s="25" t="str">
        <x:v>仅装备原始基础值决定主属性范围</x:v>
      </x:c>
    </x:row>
    <x:row r="1141">
      <x:c r="A1141" s="25" t="str">
        <x:v>C09-E</x:v>
      </x:c>
      <x:c r="B1141" s="25" t="str">
        <x:v>亚坛高原</x:v>
      </x:c>
      <x:c r="C1141" s="25" t="str">
        <x:v>半急速入场</x:v>
      </x:c>
      <x:c r="D1141" s="25" t="n">
        <x:v>1</x:v>
      </x:c>
      <x:c r="E1141" s="25" t="n">
        <x:v>152</x:v>
      </x:c>
      <x:c r="F1141" s="25" t="str">
        <x:v>卡利亚月裁长刃</x:v>
      </x:c>
      <x:c r="G1141" s="25" t="n">
        <x:v>2</x:v>
      </x:c>
      <x:c r="H1141" s="25" t="str">
        <x:v>攻击加成</x:v>
      </x:c>
      <x:c r="I1141" s="25" t="n">
        <x:v>24</x:v>
      </x:c>
      <x:c r="J1141" s="25" t="n">
        <x:v>18</x:v>
      </x:c>
      <x:c r="K1141" s="25" t="str">
        <x:v>仅装备原始基础值决定主属性范围</x:v>
      </x:c>
    </x:row>
    <x:row r="1142">
      <x:c r="A1142" s="25" t="str">
        <x:v>C09-E</x:v>
      </x:c>
      <x:c r="B1142" s="25" t="str">
        <x:v>亚坛高原</x:v>
      </x:c>
      <x:c r="C1142" s="25" t="str">
        <x:v>半急速入场</x:v>
      </x:c>
      <x:c r="D1142" s="25" t="n">
        <x:v>1</x:v>
      </x:c>
      <x:c r="E1142" s="25" t="n">
        <x:v>152</x:v>
      </x:c>
      <x:c r="F1142" s="25" t="str">
        <x:v>卡利亚月裁长刃</x:v>
      </x:c>
      <x:c r="G1142" s="25" t="n">
        <x:v>3</x:v>
      </x:c>
      <x:c r="H1142" s="25" t="str">
        <x:v>韧性</x:v>
      </x:c>
      <x:c r="I1142" s="25" t="n">
        <x:v>10</x:v>
      </x:c>
      <x:c r="J1142" s="25" t="n">
        <x:v>12</x:v>
      </x:c>
      <x:c r="K1142" s="25" t="str">
        <x:v>仅装备原始基础值决定主属性范围</x:v>
      </x:c>
    </x:row>
    <x:row r="1143">
      <x:c r="A1143" s="25" t="str">
        <x:v>C09-E</x:v>
      </x:c>
      <x:c r="B1143" s="25" t="str">
        <x:v>亚坛高原</x:v>
      </x:c>
      <x:c r="C1143" s="25" t="str">
        <x:v>半急速入场</x:v>
      </x:c>
      <x:c r="D1143" s="25" t="n">
        <x:v>1</x:v>
      </x:c>
      <x:c r="E1143" s="25" t="n">
        <x:v>152</x:v>
      </x:c>
      <x:c r="F1143" s="25" t="str">
        <x:v>卡利亚月裁长刃</x:v>
      </x:c>
      <x:c r="G1143" s="25" t="n">
        <x:v>4</x:v>
      </x:c>
      <x:c r="H1143" s="25" t="str">
        <x:v>攻击加成</x:v>
      </x:c>
      <x:c r="I1143" s="25" t="n">
        <x:v>34</x:v>
      </x:c>
      <x:c r="J1143" s="25" t="n">
        <x:v>19</x:v>
      </x:c>
      <x:c r="K1143" s="25" t="str">
        <x:v>仅装备原始基础值决定主属性范围</x:v>
      </x:c>
    </x:row>
    <x:row r="1144">
      <x:c r="A1144" s="25" t="str">
        <x:v>C09-E</x:v>
      </x:c>
      <x:c r="B1144" s="25" t="str">
        <x:v>亚坛高原</x:v>
      </x:c>
      <x:c r="C1144" s="25" t="str">
        <x:v>半急速入场</x:v>
      </x:c>
      <x:c r="D1144" s="25" t="n">
        <x:v>1</x:v>
      </x:c>
      <x:c r="E1144" s="25" t="n">
        <x:v>152</x:v>
      </x:c>
      <x:c r="F1144" s="25" t="str">
        <x:v>卡利亚月裁长刃</x:v>
      </x:c>
      <x:c r="G1144" s="25" t="n">
        <x:v>5</x:v>
      </x:c>
      <x:c r="H1144" s="25" t="str">
        <x:v>韧性</x:v>
      </x:c>
      <x:c r="I1144" s="25" t="n">
        <x:v>10</x:v>
      </x:c>
      <x:c r="J1144" s="25" t="n">
        <x:v>12</x:v>
      </x:c>
      <x:c r="K1144" s="25" t="str">
        <x:v>仅装备原始基础值决定主属性范围</x:v>
      </x:c>
    </x:row>
    <x:row r="1145">
      <x:c r="A1145" s="25" t="str">
        <x:v>C09-E</x:v>
      </x:c>
      <x:c r="B1145" s="25" t="str">
        <x:v>亚坛高原</x:v>
      </x:c>
      <x:c r="C1145" s="25" t="str">
        <x:v>半急速入场</x:v>
      </x:c>
      <x:c r="D1145" s="25" t="n">
        <x:v>1</x:v>
      </x:c>
      <x:c r="E1145" s="25" t="n">
        <x:v>152</x:v>
      </x:c>
      <x:c r="F1145" s="25" t="str">
        <x:v>卡利亚月裁长刃</x:v>
      </x:c>
      <x:c r="G1145" s="25" t="n">
        <x:v>6</x:v>
      </x:c>
      <x:c r="H1145" s="25" t="str">
        <x:v>魔法</x:v>
      </x:c>
      <x:c r="I1145" s="25" t="n">
        <x:v>1343</x:v>
      </x:c>
      <x:c r="J1145" s="25" t="n">
        <x:v>2</x:v>
      </x:c>
      <x:c r="K1145" s="25" t="str">
        <x:v>仅装备原始基础值决定主属性范围</x:v>
      </x:c>
    </x:row>
    <x:row r="1146">
      <x:c r="A1146" s="25" t="str">
        <x:v>C09-E</x:v>
      </x:c>
      <x:c r="B1146" s="25" t="str">
        <x:v>亚坛高原</x:v>
      </x:c>
      <x:c r="C1146" s="25" t="str">
        <x:v>半急速入场</x:v>
      </x:c>
      <x:c r="D1146" s="25" t="n">
        <x:v>3</x:v>
      </x:c>
      <x:c r="E1146" s="25" t="n">
        <x:v>168</x:v>
      </x:c>
      <x:c r="F1146" s="25" t="str">
        <x:v>寒羽猎链</x:v>
      </x:c>
      <x:c r="G1146" s="25" t="n">
        <x:v>1</x:v>
      </x:c>
      <x:c r="H1146" s="25" t="str">
        <x:v>韧性</x:v>
      </x:c>
      <x:c r="I1146" s="25" t="n">
        <x:v>10</x:v>
      </x:c>
      <x:c r="J1146" s="25" t="n">
        <x:v>12</x:v>
      </x:c>
      <x:c r="K1146" s="25" t="str">
        <x:v>仅装备原始基础值决定主属性范围</x:v>
      </x:c>
    </x:row>
    <x:row r="1147">
      <x:c r="A1147" s="25" t="str">
        <x:v>C09-E</x:v>
      </x:c>
      <x:c r="B1147" s="25" t="str">
        <x:v>亚坛高原</x:v>
      </x:c>
      <x:c r="C1147" s="25" t="str">
        <x:v>半急速入场</x:v>
      </x:c>
      <x:c r="D1147" s="25" t="n">
        <x:v>3</x:v>
      </x:c>
      <x:c r="E1147" s="25" t="n">
        <x:v>168</x:v>
      </x:c>
      <x:c r="F1147" s="25" t="str">
        <x:v>寒羽猎链</x:v>
      </x:c>
      <x:c r="G1147" s="25" t="n">
        <x:v>2</x:v>
      </x:c>
      <x:c r="H1147" s="25" t="str">
        <x:v>攻击加成</x:v>
      </x:c>
      <x:c r="I1147" s="25" t="n">
        <x:v>45</x:v>
      </x:c>
      <x:c r="J1147" s="25" t="n">
        <x:v>19</x:v>
      </x:c>
      <x:c r="K1147" s="25" t="str">
        <x:v>仅装备原始基础值决定主属性范围</x:v>
      </x:c>
    </x:row>
    <x:row r="1148">
      <x:c r="A1148" s="25" t="str">
        <x:v>C09-E</x:v>
      </x:c>
      <x:c r="B1148" s="25" t="str">
        <x:v>亚坛高原</x:v>
      </x:c>
      <x:c r="C1148" s="25" t="str">
        <x:v>半急速入场</x:v>
      </x:c>
      <x:c r="D1148" s="25" t="n">
        <x:v>3</x:v>
      </x:c>
      <x:c r="E1148" s="25" t="n">
        <x:v>168</x:v>
      </x:c>
      <x:c r="F1148" s="25" t="str">
        <x:v>寒羽猎链</x:v>
      </x:c>
      <x:c r="G1148" s="25" t="n">
        <x:v>3</x:v>
      </x:c>
      <x:c r="H1148" s="25" t="str">
        <x:v>攻击速度</x:v>
      </x:c>
      <x:c r="I1148" s="25" t="n">
        <x:v>2</x:v>
      </x:c>
      <x:c r="J1148" s="25" t="n">
        <x:v>5</x:v>
      </x:c>
      <x:c r="K1148" s="25" t="str">
        <x:v>仅装备原始基础值决定主属性范围</x:v>
      </x:c>
    </x:row>
    <x:row r="1149">
      <x:c r="A1149" s="25" t="str">
        <x:v>C09-E</x:v>
      </x:c>
      <x:c r="B1149" s="25" t="str">
        <x:v>亚坛高原</x:v>
      </x:c>
      <x:c r="C1149" s="25" t="str">
        <x:v>半急速入场</x:v>
      </x:c>
      <x:c r="D1149" s="25" t="n">
        <x:v>3</x:v>
      </x:c>
      <x:c r="E1149" s="25" t="n">
        <x:v>168</x:v>
      </x:c>
      <x:c r="F1149" s="25" t="str">
        <x:v>寒羽猎链</x:v>
      </x:c>
      <x:c r="G1149" s="25" t="n">
        <x:v>4</x:v>
      </x:c>
      <x:c r="H1149" s="25" t="str">
        <x:v>攻击加成</x:v>
      </x:c>
      <x:c r="I1149" s="25" t="n">
        <x:v>15</x:v>
      </x:c>
      <x:c r="J1149" s="25" t="n">
        <x:v>18</x:v>
      </x:c>
      <x:c r="K1149" s="25" t="str">
        <x:v>仅装备原始基础值决定主属性范围</x:v>
      </x:c>
    </x:row>
    <x:row r="1150">
      <x:c r="A1150" s="25" t="str">
        <x:v>C09-E</x:v>
      </x:c>
      <x:c r="B1150" s="25" t="str">
        <x:v>亚坛高原</x:v>
      </x:c>
      <x:c r="C1150" s="25" t="str">
        <x:v>半急速入场</x:v>
      </x:c>
      <x:c r="D1150" s="25" t="n">
        <x:v>4</x:v>
      </x:c>
      <x:c r="E1150" s="25" t="n">
        <x:v>159</x:v>
      </x:c>
      <x:c r="F1150" s="25" t="str">
        <x:v>白烛礼冠</x:v>
      </x:c>
      <x:c r="G1150" s="25" t="n">
        <x:v>1</x:v>
      </x:c>
      <x:c r="H1150" s="25" t="str">
        <x:v>攻击速度</x:v>
      </x:c>
      <x:c r="I1150" s="25" t="n">
        <x:v>1</x:v>
      </x:c>
      <x:c r="J1150" s="25" t="n">
        <x:v>4</x:v>
      </x:c>
      <x:c r="K1150" s="25" t="str">
        <x:v>仅装备原始基础值决定主属性范围</x:v>
      </x:c>
    </x:row>
    <x:row r="1151">
      <x:c r="A1151" s="25" t="str">
        <x:v>C09-E</x:v>
      </x:c>
      <x:c r="B1151" s="25" t="str">
        <x:v>亚坛高原</x:v>
      </x:c>
      <x:c r="C1151" s="25" t="str">
        <x:v>半急速入场</x:v>
      </x:c>
      <x:c r="D1151" s="25" t="n">
        <x:v>4</x:v>
      </x:c>
      <x:c r="E1151" s="25" t="n">
        <x:v>159</x:v>
      </x:c>
      <x:c r="F1151" s="25" t="str">
        <x:v>白烛礼冠</x:v>
      </x:c>
      <x:c r="G1151" s="25" t="n">
        <x:v>2</x:v>
      </x:c>
      <x:c r="H1151" s="25" t="str">
        <x:v>处决伤害</x:v>
      </x:c>
      <x:c r="I1151" s="25" t="n">
        <x:v>1</x:v>
      </x:c>
      <x:c r="J1151" s="25" t="n">
        <x:v>10</x:v>
      </x:c>
      <x:c r="K1151" s="25" t="str">
        <x:v>仅装备原始基础值决定主属性范围</x:v>
      </x:c>
    </x:row>
    <x:row r="1152">
      <x:c r="A1152" s="25" t="str">
        <x:v>C09-E</x:v>
      </x:c>
      <x:c r="B1152" s="25" t="str">
        <x:v>亚坛高原</x:v>
      </x:c>
      <x:c r="C1152" s="25" t="str">
        <x:v>半急速入场</x:v>
      </x:c>
      <x:c r="D1152" s="25" t="n">
        <x:v>4</x:v>
      </x:c>
      <x:c r="E1152" s="25" t="n">
        <x:v>159</x:v>
      </x:c>
      <x:c r="F1152" s="25" t="str">
        <x:v>白烛礼冠</x:v>
      </x:c>
      <x:c r="G1152" s="25" t="n">
        <x:v>3</x:v>
      </x:c>
      <x:c r="H1152" s="25" t="str">
        <x:v>攻击速度</x:v>
      </x:c>
      <x:c r="I1152" s="25" t="n">
        <x:v>2</x:v>
      </x:c>
      <x:c r="J1152" s="25" t="n">
        <x:v>5</x:v>
      </x:c>
      <x:c r="K1152" s="25" t="str">
        <x:v>仅装备原始基础值决定主属性范围</x:v>
      </x:c>
    </x:row>
    <x:row r="1153">
      <x:c r="A1153" s="25" t="str">
        <x:v>C09-E</x:v>
      </x:c>
      <x:c r="B1153" s="25" t="str">
        <x:v>亚坛高原</x:v>
      </x:c>
      <x:c r="C1153" s="25" t="str">
        <x:v>半急速入场</x:v>
      </x:c>
      <x:c r="D1153" s="25" t="n">
        <x:v>4</x:v>
      </x:c>
      <x:c r="E1153" s="25" t="n">
        <x:v>159</x:v>
      </x:c>
      <x:c r="F1153" s="25" t="str">
        <x:v>白烛礼冠</x:v>
      </x:c>
      <x:c r="G1153" s="25" t="n">
        <x:v>4</x:v>
      </x:c>
      <x:c r="H1153" s="25" t="str">
        <x:v>攻击加成</x:v>
      </x:c>
      <x:c r="I1153" s="25" t="n">
        <x:v>27</x:v>
      </x:c>
      <x:c r="J1153" s="25" t="n">
        <x:v>18</x:v>
      </x:c>
      <x:c r="K1153" s="25" t="str">
        <x:v>仅装备原始基础值决定主属性范围</x:v>
      </x:c>
    </x:row>
    <x:row r="1154">
      <x:c r="A1154" s="25" t="str">
        <x:v>C09-E</x:v>
      </x:c>
      <x:c r="B1154" s="25" t="str">
        <x:v>亚坛高原</x:v>
      </x:c>
      <x:c r="C1154" s="25" t="str">
        <x:v>半急速入场</x:v>
      </x:c>
      <x:c r="D1154" s="25" t="n">
        <x:v>4</x:v>
      </x:c>
      <x:c r="E1154" s="25" t="n">
        <x:v>159</x:v>
      </x:c>
      <x:c r="F1154" s="25" t="str">
        <x:v>白烛礼冠</x:v>
      </x:c>
      <x:c r="G1154" s="25" t="n">
        <x:v>5</x:v>
      </x:c>
      <x:c r="H1154" s="25" t="str">
        <x:v>处决时间</x:v>
      </x:c>
      <x:c r="I1154" s="25" t="n">
        <x:v>2</x:v>
      </x:c>
      <x:c r="J1154" s="25" t="n">
        <x:v>9</x:v>
      </x:c>
      <x:c r="K1154" s="25" t="str">
        <x:v>仅装备原始基础值决定主属性范围</x:v>
      </x:c>
    </x:row>
    <x:row r="1155">
      <x:c r="A1155" s="25" t="str">
        <x:v>C09-E</x:v>
      </x:c>
      <x:c r="B1155" s="25" t="str">
        <x:v>亚坛高原</x:v>
      </x:c>
      <x:c r="C1155" s="25" t="str">
        <x:v>半急速入场</x:v>
      </x:c>
      <x:c r="D1155" s="25" t="n">
        <x:v>4</x:v>
      </x:c>
      <x:c r="E1155" s="25" t="n">
        <x:v>159</x:v>
      </x:c>
      <x:c r="F1155" s="25" t="str">
        <x:v>白烛礼冠</x:v>
      </x:c>
      <x:c r="G1155" s="25" t="n">
        <x:v>6</x:v>
      </x:c>
      <x:c r="H1155" s="25" t="str">
        <x:v>处决概率</x:v>
      </x:c>
      <x:c r="I1155" s="25" t="n">
        <x:v>2</x:v>
      </x:c>
      <x:c r="J1155" s="25" t="n">
        <x:v>7</x:v>
      </x:c>
      <x:c r="K1155" s="25" t="str">
        <x:v>仅装备原始基础值决定主属性范围</x:v>
      </x:c>
    </x:row>
    <x:row r="1156">
      <x:c r="A1156" s="25" t="str">
        <x:v>C09-E</x:v>
      </x:c>
      <x:c r="B1156" s="25" t="str">
        <x:v>亚坛高原</x:v>
      </x:c>
      <x:c r="C1156" s="25" t="str">
        <x:v>半急速入场</x:v>
      </x:c>
      <x:c r="D1156" s="25" t="n">
        <x:v>4</x:v>
      </x:c>
      <x:c r="E1156" s="25" t="n">
        <x:v>159</x:v>
      </x:c>
      <x:c r="F1156" s="25" t="str">
        <x:v>白烛礼冠</x:v>
      </x:c>
      <x:c r="G1156" s="25" t="n">
        <x:v>7</x:v>
      </x:c>
      <x:c r="H1156" s="25" t="str">
        <x:v>处决概率</x:v>
      </x:c>
      <x:c r="I1156" s="25" t="n">
        <x:v>1</x:v>
      </x:c>
      <x:c r="J1156" s="25" t="n">
        <x:v>6</x:v>
      </x:c>
      <x:c r="K1156" s="25" t="str">
        <x:v>仅装备原始基础值决定主属性范围</x:v>
      </x:c>
    </x:row>
    <x:row r="1157">
      <x:c r="A1157" s="25" t="str">
        <x:v>C09-E</x:v>
      </x:c>
      <x:c r="B1157" s="25" t="str">
        <x:v>亚坛高原</x:v>
      </x:c>
      <x:c r="C1157" s="25" t="str">
        <x:v>半急速入场</x:v>
      </x:c>
      <x:c r="D1157" s="25" t="n">
        <x:v>5</x:v>
      </x:c>
      <x:c r="E1157" s="25" t="n">
        <x:v>156</x:v>
      </x:c>
      <x:c r="F1157" s="25" t="str">
        <x:v>烬鳞护腕</x:v>
      </x:c>
      <x:c r="G1157" s="25" t="n">
        <x:v>1</x:v>
      </x:c>
      <x:c r="H1157" s="25" t="str">
        <x:v>处决时间</x:v>
      </x:c>
      <x:c r="I1157" s="25" t="n">
        <x:v>1</x:v>
      </x:c>
      <x:c r="J1157" s="25" t="n">
        <x:v>8</x:v>
      </x:c>
      <x:c r="K1157" s="25" t="str">
        <x:v>仅装备原始基础值决定主属性范围</x:v>
      </x:c>
    </x:row>
    <x:row r="1158">
      <x:c r="A1158" s="25" t="str">
        <x:v>C09-E</x:v>
      </x:c>
      <x:c r="B1158" s="25" t="str">
        <x:v>亚坛高原</x:v>
      </x:c>
      <x:c r="C1158" s="25" t="str">
        <x:v>半急速入场</x:v>
      </x:c>
      <x:c r="D1158" s="25" t="n">
        <x:v>5</x:v>
      </x:c>
      <x:c r="E1158" s="25" t="n">
        <x:v>156</x:v>
      </x:c>
      <x:c r="F1158" s="25" t="str">
        <x:v>烬鳞护腕</x:v>
      </x:c>
      <x:c r="G1158" s="25" t="n">
        <x:v>2</x:v>
      </x:c>
      <x:c r="H1158" s="25" t="str">
        <x:v>攻击加成</x:v>
      </x:c>
      <x:c r="I1158" s="25" t="n">
        <x:v>36</x:v>
      </x:c>
      <x:c r="J1158" s="25" t="n">
        <x:v>19</x:v>
      </x:c>
      <x:c r="K1158" s="25" t="str">
        <x:v>仅装备原始基础值决定主属性范围</x:v>
      </x:c>
    </x:row>
    <x:row r="1159">
      <x:c r="A1159" s="25" t="str">
        <x:v>C09-E</x:v>
      </x:c>
      <x:c r="B1159" s="25" t="str">
        <x:v>亚坛高原</x:v>
      </x:c>
      <x:c r="C1159" s="25" t="str">
        <x:v>半急速入场</x:v>
      </x:c>
      <x:c r="D1159" s="25" t="n">
        <x:v>5</x:v>
      </x:c>
      <x:c r="E1159" s="25" t="n">
        <x:v>156</x:v>
      </x:c>
      <x:c r="F1159" s="25" t="str">
        <x:v>烬鳞护腕</x:v>
      </x:c>
      <x:c r="G1159" s="25" t="n">
        <x:v>3</x:v>
      </x:c>
      <x:c r="H1159" s="25" t="str">
        <x:v>攻击</x:v>
      </x:c>
      <x:c r="I1159" s="25" t="n">
        <x:v>272</x:v>
      </x:c>
      <x:c r="J1159" s="25" t="n">
        <x:v>1</x:v>
      </x:c>
      <x:c r="K1159" s="25" t="str">
        <x:v>仅装备原始基础值决定主属性范围</x:v>
      </x:c>
    </x:row>
    <x:row r="1160">
      <x:c r="A1160" s="25" t="str">
        <x:v>C09-E</x:v>
      </x:c>
      <x:c r="B1160" s="25" t="str">
        <x:v>亚坛高原</x:v>
      </x:c>
      <x:c r="C1160" s="25" t="str">
        <x:v>半急速入场</x:v>
      </x:c>
      <x:c r="D1160" s="25" t="n">
        <x:v>6</x:v>
      </x:c>
      <x:c r="E1160" s="25" t="n">
        <x:v>170</x:v>
      </x:c>
      <x:c r="F1160" s="25" t="str">
        <x:v>血菌腕轮</x:v>
      </x:c>
      <x:c r="G1160" s="25" t="n">
        <x:v>1</x:v>
      </x:c>
      <x:c r="H1160" s="25" t="str">
        <x:v>处决时间</x:v>
      </x:c>
      <x:c r="I1160" s="25" t="n">
        <x:v>1</x:v>
      </x:c>
      <x:c r="J1160" s="25" t="n">
        <x:v>8</x:v>
      </x:c>
      <x:c r="K1160" s="25" t="str">
        <x:v>仅装备原始基础值决定主属性范围</x:v>
      </x:c>
    </x:row>
    <x:row r="1161">
      <x:c r="A1161" s="25" t="str">
        <x:v>C09-E</x:v>
      </x:c>
      <x:c r="B1161" s="25" t="str">
        <x:v>亚坛高原</x:v>
      </x:c>
      <x:c r="C1161" s="25" t="str">
        <x:v>半急速入场</x:v>
      </x:c>
      <x:c r="D1161" s="25" t="n">
        <x:v>6</x:v>
      </x:c>
      <x:c r="E1161" s="25" t="n">
        <x:v>170</x:v>
      </x:c>
      <x:c r="F1161" s="25" t="str">
        <x:v>血菌腕轮</x:v>
      </x:c>
      <x:c r="G1161" s="25" t="n">
        <x:v>2</x:v>
      </x:c>
      <x:c r="H1161" s="25" t="str">
        <x:v>道术</x:v>
      </x:c>
      <x:c r="I1161" s="25" t="n">
        <x:v>168</x:v>
      </x:c>
      <x:c r="J1161" s="25" t="n">
        <x:v>3</x:v>
      </x:c>
      <x:c r="K1161" s="25" t="str">
        <x:v>仅装备原始基础值决定主属性范围</x:v>
      </x:c>
    </x:row>
    <x:row r="1162">
      <x:c r="A1162" s="25" t="str">
        <x:v>C09-E</x:v>
      </x:c>
      <x:c r="B1162" s="25" t="str">
        <x:v>亚坛高原</x:v>
      </x:c>
      <x:c r="C1162" s="25" t="str">
        <x:v>半急速入场</x:v>
      </x:c>
      <x:c r="D1162" s="25" t="n">
        <x:v>6</x:v>
      </x:c>
      <x:c r="E1162" s="25" t="n">
        <x:v>170</x:v>
      </x:c>
      <x:c r="F1162" s="25" t="str">
        <x:v>血菌腕轮</x:v>
      </x:c>
      <x:c r="G1162" s="25" t="n">
        <x:v>3</x:v>
      </x:c>
      <x:c r="H1162" s="25" t="str">
        <x:v>攻击加成</x:v>
      </x:c>
      <x:c r="I1162" s="25" t="n">
        <x:v>18</x:v>
      </x:c>
      <x:c r="J1162" s="25" t="n">
        <x:v>18</x:v>
      </x:c>
      <x:c r="K1162" s="25" t="str">
        <x:v>仅装备原始基础值决定主属性范围</x:v>
      </x:c>
    </x:row>
    <x:row r="1163">
      <x:c r="A1163" s="25" t="str">
        <x:v>C09-E</x:v>
      </x:c>
      <x:c r="B1163" s="25" t="str">
        <x:v>亚坛高原</x:v>
      </x:c>
      <x:c r="C1163" s="25" t="str">
        <x:v>半急速入场</x:v>
      </x:c>
      <x:c r="D1163" s="25" t="n">
        <x:v>6</x:v>
      </x:c>
      <x:c r="E1163" s="25" t="n">
        <x:v>170</x:v>
      </x:c>
      <x:c r="F1163" s="25" t="str">
        <x:v>血菌腕轮</x:v>
      </x:c>
      <x:c r="G1163" s="25" t="n">
        <x:v>4</x:v>
      </x:c>
      <x:c r="H1163" s="25" t="str">
        <x:v>魔法</x:v>
      </x:c>
      <x:c r="I1163" s="25" t="n">
        <x:v>245</x:v>
      </x:c>
      <x:c r="J1163" s="25" t="n">
        <x:v>2</x:v>
      </x:c>
      <x:c r="K1163" s="25" t="str">
        <x:v>仅装备原始基础值决定主属性范围</x:v>
      </x:c>
    </x:row>
    <x:row r="1164">
      <x:c r="A1164" s="25" t="str">
        <x:v>C09-E</x:v>
      </x:c>
      <x:c r="B1164" s="25" t="str">
        <x:v>亚坛高原</x:v>
      </x:c>
      <x:c r="C1164" s="25" t="str">
        <x:v>半急速入场</x:v>
      </x:c>
      <x:c r="D1164" s="25" t="n">
        <x:v>6</x:v>
      </x:c>
      <x:c r="E1164" s="25" t="n">
        <x:v>170</x:v>
      </x:c>
      <x:c r="F1164" s="25" t="str">
        <x:v>血菌腕轮</x:v>
      </x:c>
      <x:c r="G1164" s="25" t="n">
        <x:v>5</x:v>
      </x:c>
      <x:c r="H1164" s="25" t="str">
        <x:v>处决概率</x:v>
      </x:c>
      <x:c r="I1164" s="25" t="n">
        <x:v>1</x:v>
      </x:c>
      <x:c r="J1164" s="25" t="n">
        <x:v>6</x:v>
      </x:c>
      <x:c r="K1164" s="25" t="str">
        <x:v>仅装备原始基础值决定主属性范围</x:v>
      </x:c>
    </x:row>
    <x:row r="1165">
      <x:c r="A1165" s="25" t="str">
        <x:v>C09-E</x:v>
      </x:c>
      <x:c r="B1165" s="25" t="str">
        <x:v>亚坛高原</x:v>
      </x:c>
      <x:c r="C1165" s="25" t="str">
        <x:v>半急速入场</x:v>
      </x:c>
      <x:c r="D1165" s="25" t="n">
        <x:v>6</x:v>
      </x:c>
      <x:c r="E1165" s="25" t="n">
        <x:v>170</x:v>
      </x:c>
      <x:c r="F1165" s="25" t="str">
        <x:v>血菌腕轮</x:v>
      </x:c>
      <x:c r="G1165" s="25" t="n">
        <x:v>6</x:v>
      </x:c>
      <x:c r="H1165" s="25" t="str">
        <x:v>吸血</x:v>
      </x:c>
      <x:c r="I1165" s="25" t="n">
        <x:v>1</x:v>
      </x:c>
      <x:c r="J1165" s="25" t="n">
        <x:v>20</x:v>
      </x:c>
      <x:c r="K1165" s="25" t="str">
        <x:v>仅装备原始基础值决定主属性范围</x:v>
      </x:c>
    </x:row>
    <x:row r="1166">
      <x:c r="A1166" s="25" t="str">
        <x:v>C09-E</x:v>
      </x:c>
      <x:c r="B1166" s="25" t="str">
        <x:v>亚坛高原</x:v>
      </x:c>
      <x:c r="C1166" s="25" t="str">
        <x:v>半急速入场</x:v>
      </x:c>
      <x:c r="D1166" s="25" t="n">
        <x:v>7</x:v>
      </x:c>
      <x:c r="E1166" s="25" t="n">
        <x:v>171</x:v>
      </x:c>
      <x:c r="F1166" s="25" t="str">
        <x:v>苍鬃牙戒</x:v>
      </x:c>
      <x:c r="G1166" s="25" t="n">
        <x:v>1</x:v>
      </x:c>
      <x:c r="H1166" s="25" t="str">
        <x:v>魔法</x:v>
      </x:c>
      <x:c r="I1166" s="25" t="n">
        <x:v>134</x:v>
      </x:c>
      <x:c r="J1166" s="25" t="n">
        <x:v>2</x:v>
      </x:c>
      <x:c r="K1166" s="25" t="str">
        <x:v>仅装备原始基础值决定主属性范围</x:v>
      </x:c>
    </x:row>
    <x:row r="1167">
      <x:c r="A1167" s="25" t="str">
        <x:v>C09-E</x:v>
      </x:c>
      <x:c r="B1167" s="25" t="str">
        <x:v>亚坛高原</x:v>
      </x:c>
      <x:c r="C1167" s="25" t="str">
        <x:v>半急速入场</x:v>
      </x:c>
      <x:c r="D1167" s="25" t="n">
        <x:v>7</x:v>
      </x:c>
      <x:c r="E1167" s="25" t="n">
        <x:v>171</x:v>
      </x:c>
      <x:c r="F1167" s="25" t="str">
        <x:v>苍鬃牙戒</x:v>
      </x:c>
      <x:c r="G1167" s="25" t="n">
        <x:v>2</x:v>
      </x:c>
      <x:c r="H1167" s="25" t="str">
        <x:v>伤害吸收上限</x:v>
      </x:c>
      <x:c r="I1167" s="25" t="n">
        <x:v>1</x:v>
      </x:c>
      <x:c r="J1167" s="25" t="n">
        <x:v>28</x:v>
      </x:c>
      <x:c r="K1167" s="25" t="str">
        <x:v>仅装备原始基础值决定主属性范围</x:v>
      </x:c>
    </x:row>
    <x:row r="1168">
      <x:c r="A1168" s="25" t="str">
        <x:v>C09-E</x:v>
      </x:c>
      <x:c r="B1168" s="25" t="str">
        <x:v>亚坛高原</x:v>
      </x:c>
      <x:c r="C1168" s="25" t="str">
        <x:v>半急速入场</x:v>
      </x:c>
      <x:c r="D1168" s="25" t="n">
        <x:v>7</x:v>
      </x:c>
      <x:c r="E1168" s="25" t="n">
        <x:v>171</x:v>
      </x:c>
      <x:c r="F1168" s="25" t="str">
        <x:v>苍鬃牙戒</x:v>
      </x:c>
      <x:c r="G1168" s="25" t="n">
        <x:v>3</x:v>
      </x:c>
      <x:c r="H1168" s="25" t="str">
        <x:v>攻击加成</x:v>
      </x:c>
      <x:c r="I1168" s="25" t="n">
        <x:v>38</x:v>
      </x:c>
      <x:c r="J1168" s="25" t="n">
        <x:v>19</x:v>
      </x:c>
      <x:c r="K1168" s="25" t="str">
        <x:v>仅装备原始基础值决定主属性范围</x:v>
      </x:c>
    </x:row>
    <x:row r="1169">
      <x:c r="A1169" s="25" t="str">
        <x:v>C09-E</x:v>
      </x:c>
      <x:c r="B1169" s="25" t="str">
        <x:v>亚坛高原</x:v>
      </x:c>
      <x:c r="C1169" s="25" t="str">
        <x:v>半急速入场</x:v>
      </x:c>
      <x:c r="D1169" s="25" t="n">
        <x:v>7</x:v>
      </x:c>
      <x:c r="E1169" s="25" t="n">
        <x:v>171</x:v>
      </x:c>
      <x:c r="F1169" s="25" t="str">
        <x:v>苍鬃牙戒</x:v>
      </x:c>
      <x:c r="G1169" s="25" t="n">
        <x:v>4</x:v>
      </x:c>
      <x:c r="H1169" s="25" t="str">
        <x:v>攻击加成</x:v>
      </x:c>
      <x:c r="I1169" s="25" t="n">
        <x:v>10</x:v>
      </x:c>
      <x:c r="J1169" s="25" t="n">
        <x:v>18</x:v>
      </x:c>
      <x:c r="K1169" s="25" t="str">
        <x:v>仅装备原始基础值决定主属性范围</x:v>
      </x:c>
    </x:row>
    <x:row r="1170">
      <x:c r="A1170" s="25" t="str">
        <x:v>C09-E</x:v>
      </x:c>
      <x:c r="B1170" s="25" t="str">
        <x:v>亚坛高原</x:v>
      </x:c>
      <x:c r="C1170" s="25" t="str">
        <x:v>半急速入场</x:v>
      </x:c>
      <x:c r="D1170" s="25" t="n">
        <x:v>8</x:v>
      </x:c>
      <x:c r="E1170" s="25" t="n">
        <x:v>118</x:v>
      </x:c>
      <x:c r="F1170" s="25" t="str">
        <x:v>月渊秘戒</x:v>
      </x:c>
      <x:c r="G1170" s="25" t="n">
        <x:v>1</x:v>
      </x:c>
      <x:c r="H1170" s="25" t="str">
        <x:v>处决伤害</x:v>
      </x:c>
      <x:c r="I1170" s="25" t="n">
        <x:v>2</x:v>
      </x:c>
      <x:c r="J1170" s="25" t="n">
        <x:v>11</x:v>
      </x:c>
      <x:c r="K1170" s="25" t="str">
        <x:v>仅装备原始基础值决定主属性范围</x:v>
      </x:c>
    </x:row>
    <x:row r="1171">
      <x:c r="A1171" s="25" t="str">
        <x:v>C09-E</x:v>
      </x:c>
      <x:c r="B1171" s="25" t="str">
        <x:v>亚坛高原</x:v>
      </x:c>
      <x:c r="C1171" s="25" t="str">
        <x:v>半急速入场</x:v>
      </x:c>
      <x:c r="D1171" s="25" t="n">
        <x:v>8</x:v>
      </x:c>
      <x:c r="E1171" s="25" t="n">
        <x:v>118</x:v>
      </x:c>
      <x:c r="F1171" s="25" t="str">
        <x:v>月渊秘戒</x:v>
      </x:c>
      <x:c r="G1171" s="25" t="n">
        <x:v>2</x:v>
      </x:c>
      <x:c r="H1171" s="25" t="str">
        <x:v>攻击加成</x:v>
      </x:c>
      <x:c r="I1171" s="25" t="n">
        <x:v>28</x:v>
      </x:c>
      <x:c r="J1171" s="25" t="n">
        <x:v>18</x:v>
      </x:c>
      <x:c r="K1171" s="25" t="str">
        <x:v>仅装备原始基础值决定主属性范围</x:v>
      </x:c>
    </x:row>
    <x:row r="1172">
      <x:c r="A1172" s="25" t="str">
        <x:v>C09-E</x:v>
      </x:c>
      <x:c r="B1172" s="25" t="str">
        <x:v>亚坛高原</x:v>
      </x:c>
      <x:c r="C1172" s="25" t="str">
        <x:v>半急速入场</x:v>
      </x:c>
      <x:c r="D1172" s="25" t="n">
        <x:v>8</x:v>
      </x:c>
      <x:c r="E1172" s="25" t="n">
        <x:v>118</x:v>
      </x:c>
      <x:c r="F1172" s="25" t="str">
        <x:v>月渊秘戒</x:v>
      </x:c>
      <x:c r="G1172" s="25" t="n">
        <x:v>3</x:v>
      </x:c>
      <x:c r="H1172" s="25" t="str">
        <x:v>攻击加成</x:v>
      </x:c>
      <x:c r="I1172" s="25" t="n">
        <x:v>41</x:v>
      </x:c>
      <x:c r="J1172" s="25" t="n">
        <x:v>19</x:v>
      </x:c>
      <x:c r="K1172" s="25" t="str">
        <x:v>仅装备原始基础值决定主属性范围</x:v>
      </x:c>
    </x:row>
    <x:row r="1173">
      <x:c r="A1173" s="25" t="str">
        <x:v>C09-E</x:v>
      </x:c>
      <x:c r="B1173" s="25" t="str">
        <x:v>亚坛高原</x:v>
      </x:c>
      <x:c r="C1173" s="25" t="str">
        <x:v>半急速入场</x:v>
      </x:c>
      <x:c r="D1173" s="25" t="n">
        <x:v>8</x:v>
      </x:c>
      <x:c r="E1173" s="25" t="n">
        <x:v>118</x:v>
      </x:c>
      <x:c r="F1173" s="25" t="str">
        <x:v>月渊秘戒</x:v>
      </x:c>
      <x:c r="G1173" s="25" t="n">
        <x:v>4</x:v>
      </x:c>
      <x:c r="H1173" s="25" t="str">
        <x:v>道术</x:v>
      </x:c>
      <x:c r="I1173" s="25" t="n">
        <x:v>75</x:v>
      </x:c>
      <x:c r="J1173" s="25" t="n">
        <x:v>3</x:v>
      </x:c>
      <x:c r="K1173" s="25" t="str">
        <x:v>仅装备原始基础值决定主属性范围</x:v>
      </x:c>
    </x:row>
    <x:row r="1174">
      <x:c r="A1174" s="25" t="str">
        <x:v>C09-E</x:v>
      </x:c>
      <x:c r="B1174" s="25" t="str">
        <x:v>亚坛高原</x:v>
      </x:c>
      <x:c r="C1174" s="25" t="str">
        <x:v>半急速入场</x:v>
      </x:c>
      <x:c r="D1174" s="25" t="n">
        <x:v>8</x:v>
      </x:c>
      <x:c r="E1174" s="25" t="n">
        <x:v>118</x:v>
      </x:c>
      <x:c r="F1174" s="25" t="str">
        <x:v>月渊秘戒</x:v>
      </x:c>
      <x:c r="G1174" s="25" t="n">
        <x:v>5</x:v>
      </x:c>
      <x:c r="H1174" s="25" t="str">
        <x:v>道术</x:v>
      </x:c>
      <x:c r="I1174" s="25" t="n">
        <x:v>23</x:v>
      </x:c>
      <x:c r="J1174" s="25" t="n">
        <x:v>3</x:v>
      </x:c>
      <x:c r="K1174" s="25" t="str">
        <x:v>仅装备原始基础值决定主属性范围</x:v>
      </x:c>
    </x:row>
    <x:row r="1175">
      <x:c r="A1175" s="25" t="str">
        <x:v>C09-E</x:v>
      </x:c>
      <x:c r="B1175" s="25" t="str">
        <x:v>亚坛高原</x:v>
      </x:c>
      <x:c r="C1175" s="25" t="str">
        <x:v>半急速入场</x:v>
      </x:c>
      <x:c r="D1175" s="25" t="n">
        <x:v>8</x:v>
      </x:c>
      <x:c r="E1175" s="25" t="n">
        <x:v>118</x:v>
      </x:c>
      <x:c r="F1175" s="25" t="str">
        <x:v>月渊秘戒</x:v>
      </x:c>
      <x:c r="G1175" s="25" t="n">
        <x:v>6</x:v>
      </x:c>
      <x:c r="H1175" s="25" t="str">
        <x:v>最大爆率</x:v>
      </x:c>
      <x:c r="I1175" s="25" t="n">
        <x:v>3</x:v>
      </x:c>
      <x:c r="J1175" s="25" t="n">
        <x:v>24</x:v>
      </x:c>
      <x:c r="K1175" s="25" t="str">
        <x:v>仅装备原始基础值决定主属性范围</x:v>
      </x:c>
    </x:row>
    <x:row r="1176">
      <x:c r="A1176" s="25" t="str">
        <x:v>C09-E</x:v>
      </x:c>
      <x:c r="B1176" s="25" t="str">
        <x:v>亚坛高原</x:v>
      </x:c>
      <x:c r="C1176" s="25" t="str">
        <x:v>半急速入场</x:v>
      </x:c>
      <x:c r="D1176" s="25" t="n">
        <x:v>10</x:v>
      </x:c>
      <x:c r="E1176" s="25" t="n">
        <x:v>160</x:v>
      </x:c>
      <x:c r="F1176" s="25" t="str">
        <x:v>寒弓束带</x:v>
      </x:c>
      <x:c r="G1176" s="25" t="n">
        <x:v>1</x:v>
      </x:c>
      <x:c r="H1176" s="25" t="str">
        <x:v>最大爆率</x:v>
      </x:c>
      <x:c r="I1176" s="25" t="n">
        <x:v>1</x:v>
      </x:c>
      <x:c r="J1176" s="25" t="n">
        <x:v>22</x:v>
      </x:c>
      <x:c r="K1176" s="25" t="str">
        <x:v>仅装备原始基础值决定主属性范围</x:v>
      </x:c>
    </x:row>
    <x:row r="1177">
      <x:c r="A1177" s="25" t="str">
        <x:v>C09-E</x:v>
      </x:c>
      <x:c r="B1177" s="25" t="str">
        <x:v>亚坛高原</x:v>
      </x:c>
      <x:c r="C1177" s="25" t="str">
        <x:v>半急速入场</x:v>
      </x:c>
      <x:c r="D1177" s="25" t="n">
        <x:v>10</x:v>
      </x:c>
      <x:c r="E1177" s="25" t="n">
        <x:v>160</x:v>
      </x:c>
      <x:c r="F1177" s="25" t="str">
        <x:v>寒弓束带</x:v>
      </x:c>
      <x:c r="G1177" s="25" t="n">
        <x:v>2</x:v>
      </x:c>
      <x:c r="H1177" s="25" t="str">
        <x:v>攻击</x:v>
      </x:c>
      <x:c r="I1177" s="25" t="n">
        <x:v>55</x:v>
      </x:c>
      <x:c r="J1177" s="25" t="n">
        <x:v>1</x:v>
      </x:c>
      <x:c r="K1177" s="25" t="str">
        <x:v>仅装备原始基础值决定主属性范围</x:v>
      </x:c>
    </x:row>
    <x:row r="1178">
      <x:c r="A1178" s="25" t="str">
        <x:v>C09-E</x:v>
      </x:c>
      <x:c r="B1178" s="25" t="str">
        <x:v>亚坛高原</x:v>
      </x:c>
      <x:c r="C1178" s="25" t="str">
        <x:v>半急速入场</x:v>
      </x:c>
      <x:c r="D1178" s="25" t="n">
        <x:v>10</x:v>
      </x:c>
      <x:c r="E1178" s="25" t="n">
        <x:v>160</x:v>
      </x:c>
      <x:c r="F1178" s="25" t="str">
        <x:v>寒弓束带</x:v>
      </x:c>
      <x:c r="G1178" s="25" t="n">
        <x:v>3</x:v>
      </x:c>
      <x:c r="H1178" s="25" t="str">
        <x:v>攻击加成</x:v>
      </x:c>
      <x:c r="I1178" s="25" t="n">
        <x:v>24</x:v>
      </x:c>
      <x:c r="J1178" s="25" t="n">
        <x:v>18</x:v>
      </x:c>
      <x:c r="K1178" s="25" t="str">
        <x:v>仅装备原始基础值决定主属性范围</x:v>
      </x:c>
    </x:row>
    <x:row r="1179">
      <x:c r="A1179" s="25" t="str">
        <x:v>C09-E</x:v>
      </x:c>
      <x:c r="B1179" s="25" t="str">
        <x:v>亚坛高原</x:v>
      </x:c>
      <x:c r="C1179" s="25" t="str">
        <x:v>半急速入场</x:v>
      </x:c>
      <x:c r="D1179" s="25" t="n">
        <x:v>10</x:v>
      </x:c>
      <x:c r="E1179" s="25" t="n">
        <x:v>160</x:v>
      </x:c>
      <x:c r="F1179" s="25" t="str">
        <x:v>寒弓束带</x:v>
      </x:c>
      <x:c r="G1179" s="25" t="n">
        <x:v>4</x:v>
      </x:c>
      <x:c r="H1179" s="25" t="str">
        <x:v>吸血</x:v>
      </x:c>
      <x:c r="I1179" s="25" t="n">
        <x:v>1</x:v>
      </x:c>
      <x:c r="J1179" s="25" t="n">
        <x:v>20</x:v>
      </x:c>
      <x:c r="K1179" s="25" t="str">
        <x:v>仅装备原始基础值决定主属性范围</x:v>
      </x:c>
    </x:row>
    <x:row r="1180">
      <x:c r="A1180" s="25" t="str">
        <x:v>C09-E</x:v>
      </x:c>
      <x:c r="B1180" s="25" t="str">
        <x:v>亚坛高原</x:v>
      </x:c>
      <x:c r="C1180" s="25" t="str">
        <x:v>半急速入场</x:v>
      </x:c>
      <x:c r="D1180" s="25" t="n">
        <x:v>10</x:v>
      </x:c>
      <x:c r="E1180" s="25" t="n">
        <x:v>160</x:v>
      </x:c>
      <x:c r="F1180" s="25" t="str">
        <x:v>寒弓束带</x:v>
      </x:c>
      <x:c r="G1180" s="25" t="n">
        <x:v>5</x:v>
      </x:c>
      <x:c r="H1180" s="25" t="str">
        <x:v>攻击</x:v>
      </x:c>
      <x:c r="I1180" s="25" t="n">
        <x:v>54</x:v>
      </x:c>
      <x:c r="J1180" s="25" t="n">
        <x:v>1</x:v>
      </x:c>
      <x:c r="K1180" s="25" t="str">
        <x:v>仅装备原始基础值决定主属性范围</x:v>
      </x:c>
    </x:row>
    <x:row r="1181">
      <x:c r="A1181" s="25" t="str">
        <x:v>C09-E</x:v>
      </x:c>
      <x:c r="B1181" s="25" t="str">
        <x:v>亚坛高原</x:v>
      </x:c>
      <x:c r="C1181" s="25" t="str">
        <x:v>半急速入场</x:v>
      </x:c>
      <x:c r="D1181" s="25" t="n">
        <x:v>10</x:v>
      </x:c>
      <x:c r="E1181" s="25" t="n">
        <x:v>160</x:v>
      </x:c>
      <x:c r="F1181" s="25" t="str">
        <x:v>寒弓束带</x:v>
      </x:c>
      <x:c r="G1181" s="25" t="n">
        <x:v>6</x:v>
      </x:c>
      <x:c r="H1181" s="25" t="str">
        <x:v>韧性</x:v>
      </x:c>
      <x:c r="I1181" s="25" t="n">
        <x:v>20</x:v>
      </x:c>
      <x:c r="J1181" s="25" t="n">
        <x:v>13</x:v>
      </x:c>
      <x:c r="K1181" s="25" t="str">
        <x:v>仅装备原始基础值决定主属性范围</x:v>
      </x:c>
    </x:row>
    <x:row r="1182">
      <x:c r="A1182" s="25" t="str">
        <x:v>C09-E</x:v>
      </x:c>
      <x:c r="B1182" s="25" t="str">
        <x:v>亚坛高原</x:v>
      </x:c>
      <x:c r="C1182" s="25" t="str">
        <x:v>半急速入场</x:v>
      </x:c>
      <x:c r="D1182" s="25" t="n">
        <x:v>11</x:v>
      </x:c>
      <x:c r="E1182" s="25" t="n">
        <x:v>161</x:v>
      </x:c>
      <x:c r="F1182" s="25" t="str">
        <x:v>霜风战靴</x:v>
      </x:c>
      <x:c r="G1182" s="25" t="n">
        <x:v>1</x:v>
      </x:c>
      <x:c r="H1182" s="25" t="str">
        <x:v>攻击</x:v>
      </x:c>
      <x:c r="I1182" s="25" t="n">
        <x:v>390</x:v>
      </x:c>
      <x:c r="J1182" s="25" t="n">
        <x:v>1</x:v>
      </x:c>
      <x:c r="K1182" s="25" t="str">
        <x:v>仅装备原始基础值决定主属性范围</x:v>
      </x:c>
    </x:row>
    <x:row r="1183">
      <x:c r="A1183" s="25" t="str">
        <x:v>C09-E</x:v>
      </x:c>
      <x:c r="B1183" s="25" t="str">
        <x:v>亚坛高原</x:v>
      </x:c>
      <x:c r="C1183" s="25" t="str">
        <x:v>半急速入场</x:v>
      </x:c>
      <x:c r="D1183" s="25" t="n">
        <x:v>11</x:v>
      </x:c>
      <x:c r="E1183" s="25" t="n">
        <x:v>161</x:v>
      </x:c>
      <x:c r="F1183" s="25" t="str">
        <x:v>霜风战靴</x:v>
      </x:c>
      <x:c r="G1183" s="25" t="n">
        <x:v>2</x:v>
      </x:c>
      <x:c r="H1183" s="25" t="str">
        <x:v>攻击</x:v>
      </x:c>
      <x:c r="I1183" s="25" t="n">
        <x:v>163</x:v>
      </x:c>
      <x:c r="J1183" s="25" t="n">
        <x:v>1</x:v>
      </x:c>
      <x:c r="K1183" s="25" t="str">
        <x:v>仅装备原始基础值决定主属性范围</x:v>
      </x:c>
    </x:row>
    <x:row r="1184">
      <x:c r="A1184" s="25" t="str">
        <x:v>C09-E</x:v>
      </x:c>
      <x:c r="B1184" s="25" t="str">
        <x:v>亚坛高原</x:v>
      </x:c>
      <x:c r="C1184" s="25" t="str">
        <x:v>半急速入场</x:v>
      </x:c>
      <x:c r="D1184" s="25" t="n">
        <x:v>11</x:v>
      </x:c>
      <x:c r="E1184" s="25" t="n">
        <x:v>161</x:v>
      </x:c>
      <x:c r="F1184" s="25" t="str">
        <x:v>霜风战靴</x:v>
      </x:c>
      <x:c r="G1184" s="25" t="n">
        <x:v>3</x:v>
      </x:c>
      <x:c r="H1184" s="25" t="str">
        <x:v>攻击速度</x:v>
      </x:c>
      <x:c r="I1184" s="25" t="n">
        <x:v>1</x:v>
      </x:c>
      <x:c r="J1184" s="25" t="n">
        <x:v>4</x:v>
      </x:c>
      <x:c r="K1184" s="25" t="str">
        <x:v>仅装备原始基础值决定主属性范围</x:v>
      </x:c>
    </x:row>
    <x:row r="1185">
      <x:c r="A1185" s="25" t="str">
        <x:v>C09-M</x:v>
      </x:c>
      <x:c r="B1185" s="25" t="str">
        <x:v>亚坛高原</x:v>
      </x:c>
      <x:c r="C1185" s="25" t="str">
        <x:v>半急速中期</x:v>
      </x:c>
      <x:c r="D1185" s="25" t="n">
        <x:v>0</x:v>
      </x:c>
      <x:c r="E1185" s="25" t="n">
        <x:v>154</x:v>
      </x:c>
      <x:c r="F1185" s="25" t="str">
        <x:v>塞维拉狱衣</x:v>
      </x:c>
      <x:c r="G1185" s="25" t="n">
        <x:v>1</x:v>
      </x:c>
      <x:c r="H1185" s="25" t="str">
        <x:v>攻击加成</x:v>
      </x:c>
      <x:c r="I1185" s="25" t="n">
        <x:v>9</x:v>
      </x:c>
      <x:c r="J1185" s="25" t="n">
        <x:v>18</x:v>
      </x:c>
      <x:c r="K1185" s="25" t="str">
        <x:v>仅装备原始基础值决定主属性范围</x:v>
      </x:c>
    </x:row>
    <x:row r="1186">
      <x:c r="A1186" s="25" t="str">
        <x:v>C09-M</x:v>
      </x:c>
      <x:c r="B1186" s="25" t="str">
        <x:v>亚坛高原</x:v>
      </x:c>
      <x:c r="C1186" s="25" t="str">
        <x:v>半急速中期</x:v>
      </x:c>
      <x:c r="D1186" s="25" t="n">
        <x:v>0</x:v>
      </x:c>
      <x:c r="E1186" s="25" t="n">
        <x:v>154</x:v>
      </x:c>
      <x:c r="F1186" s="25" t="str">
        <x:v>塞维拉狱衣</x:v>
      </x:c>
      <x:c r="G1186" s="25" t="n">
        <x:v>2</x:v>
      </x:c>
      <x:c r="H1186" s="25" t="str">
        <x:v>最大爆率</x:v>
      </x:c>
      <x:c r="I1186" s="25" t="n">
        <x:v>2</x:v>
      </x:c>
      <x:c r="J1186" s="25" t="n">
        <x:v>23</x:v>
      </x:c>
      <x:c r="K1186" s="25" t="str">
        <x:v>仅装备原始基础值决定主属性范围</x:v>
      </x:c>
    </x:row>
    <x:row r="1187">
      <x:c r="A1187" s="25" t="str">
        <x:v>C09-M</x:v>
      </x:c>
      <x:c r="B1187" s="25" t="str">
        <x:v>亚坛高原</x:v>
      </x:c>
      <x:c r="C1187" s="25" t="str">
        <x:v>半急速中期</x:v>
      </x:c>
      <x:c r="D1187" s="25" t="n">
        <x:v>0</x:v>
      </x:c>
      <x:c r="E1187" s="25" t="n">
        <x:v>154</x:v>
      </x:c>
      <x:c r="F1187" s="25" t="str">
        <x:v>塞维拉狱衣</x:v>
      </x:c>
      <x:c r="G1187" s="25" t="n">
        <x:v>3</x:v>
      </x:c>
      <x:c r="H1187" s="25" t="str">
        <x:v>处决概率</x:v>
      </x:c>
      <x:c r="I1187" s="25" t="n">
        <x:v>1</x:v>
      </x:c>
      <x:c r="J1187" s="25" t="n">
        <x:v>6</x:v>
      </x:c>
      <x:c r="K1187" s="25" t="str">
        <x:v>仅装备原始基础值决定主属性范围</x:v>
      </x:c>
    </x:row>
    <x:row r="1188">
      <x:c r="A1188" s="25" t="str">
        <x:v>C09-M</x:v>
      </x:c>
      <x:c r="B1188" s="25" t="str">
        <x:v>亚坛高原</x:v>
      </x:c>
      <x:c r="C1188" s="25" t="str">
        <x:v>半急速中期</x:v>
      </x:c>
      <x:c r="D1188" s="25" t="n">
        <x:v>0</x:v>
      </x:c>
      <x:c r="E1188" s="25" t="n">
        <x:v>154</x:v>
      </x:c>
      <x:c r="F1188" s="25" t="str">
        <x:v>塞维拉狱衣</x:v>
      </x:c>
      <x:c r="G1188" s="25" t="n">
        <x:v>4</x:v>
      </x:c>
      <x:c r="H1188" s="25" t="str">
        <x:v>攻击加成</x:v>
      </x:c>
      <x:c r="I1188" s="25" t="n">
        <x:v>31</x:v>
      </x:c>
      <x:c r="J1188" s="25" t="n">
        <x:v>19</x:v>
      </x:c>
      <x:c r="K1188" s="25" t="str">
        <x:v>仅装备原始基础值决定主属性范围</x:v>
      </x:c>
    </x:row>
    <x:row r="1189">
      <x:c r="A1189" s="25" t="str">
        <x:v>C09-M</x:v>
      </x:c>
      <x:c r="B1189" s="25" t="str">
        <x:v>亚坛高原</x:v>
      </x:c>
      <x:c r="C1189" s="25" t="str">
        <x:v>半急速中期</x:v>
      </x:c>
      <x:c r="D1189" s="25" t="n">
        <x:v>0</x:v>
      </x:c>
      <x:c r="E1189" s="25" t="n">
        <x:v>154</x:v>
      </x:c>
      <x:c r="F1189" s="25" t="str">
        <x:v>塞维拉狱衣</x:v>
      </x:c>
      <x:c r="G1189" s="25" t="n">
        <x:v>5</x:v>
      </x:c>
      <x:c r="H1189" s="25" t="str">
        <x:v>处决概率</x:v>
      </x:c>
      <x:c r="I1189" s="25" t="n">
        <x:v>1</x:v>
      </x:c>
      <x:c r="J1189" s="25" t="n">
        <x:v>6</x:v>
      </x:c>
      <x:c r="K1189" s="25" t="str">
        <x:v>仅装备原始基础值决定主属性范围</x:v>
      </x:c>
    </x:row>
    <x:row r="1190">
      <x:c r="A1190" s="25" t="str">
        <x:v>C09-M</x:v>
      </x:c>
      <x:c r="B1190" s="25" t="str">
        <x:v>亚坛高原</x:v>
      </x:c>
      <x:c r="C1190" s="25" t="str">
        <x:v>半急速中期</x:v>
      </x:c>
      <x:c r="D1190" s="25" t="n">
        <x:v>1</x:v>
      </x:c>
      <x:c r="E1190" s="25" t="n">
        <x:v>152</x:v>
      </x:c>
      <x:c r="F1190" s="25" t="str">
        <x:v>卡利亚月裁长刃</x:v>
      </x:c>
      <x:c r="G1190" s="25" t="n">
        <x:v>1</x:v>
      </x:c>
      <x:c r="H1190" s="25" t="str">
        <x:v>魔法</x:v>
      </x:c>
      <x:c r="I1190" s="25" t="n">
        <x:v>176</x:v>
      </x:c>
      <x:c r="J1190" s="25" t="n">
        <x:v>2</x:v>
      </x:c>
      <x:c r="K1190" s="25" t="str">
        <x:v>仅装备原始基础值决定主属性范围</x:v>
      </x:c>
    </x:row>
    <x:row r="1191">
      <x:c r="A1191" s="25" t="str">
        <x:v>C09-M</x:v>
      </x:c>
      <x:c r="B1191" s="25" t="str">
        <x:v>亚坛高原</x:v>
      </x:c>
      <x:c r="C1191" s="25" t="str">
        <x:v>半急速中期</x:v>
      </x:c>
      <x:c r="D1191" s="25" t="n">
        <x:v>1</x:v>
      </x:c>
      <x:c r="E1191" s="25" t="n">
        <x:v>152</x:v>
      </x:c>
      <x:c r="F1191" s="25" t="str">
        <x:v>卡利亚月裁长刃</x:v>
      </x:c>
      <x:c r="G1191" s="25" t="n">
        <x:v>2</x:v>
      </x:c>
      <x:c r="H1191" s="25" t="str">
        <x:v>攻击加成</x:v>
      </x:c>
      <x:c r="I1191" s="25" t="n">
        <x:v>24</x:v>
      </x:c>
      <x:c r="J1191" s="25" t="n">
        <x:v>18</x:v>
      </x:c>
      <x:c r="K1191" s="25" t="str">
        <x:v>仅装备原始基础值决定主属性范围</x:v>
      </x:c>
    </x:row>
    <x:row r="1192">
      <x:c r="A1192" s="25" t="str">
        <x:v>C09-M</x:v>
      </x:c>
      <x:c r="B1192" s="25" t="str">
        <x:v>亚坛高原</x:v>
      </x:c>
      <x:c r="C1192" s="25" t="str">
        <x:v>半急速中期</x:v>
      </x:c>
      <x:c r="D1192" s="25" t="n">
        <x:v>1</x:v>
      </x:c>
      <x:c r="E1192" s="25" t="n">
        <x:v>152</x:v>
      </x:c>
      <x:c r="F1192" s="25" t="str">
        <x:v>卡利亚月裁长刃</x:v>
      </x:c>
      <x:c r="G1192" s="25" t="n">
        <x:v>3</x:v>
      </x:c>
      <x:c r="H1192" s="25" t="str">
        <x:v>韧性</x:v>
      </x:c>
      <x:c r="I1192" s="25" t="n">
        <x:v>10</x:v>
      </x:c>
      <x:c r="J1192" s="25" t="n">
        <x:v>12</x:v>
      </x:c>
      <x:c r="K1192" s="25" t="str">
        <x:v>仅装备原始基础值决定主属性范围</x:v>
      </x:c>
    </x:row>
    <x:row r="1193">
      <x:c r="A1193" s="25" t="str">
        <x:v>C09-M</x:v>
      </x:c>
      <x:c r="B1193" s="25" t="str">
        <x:v>亚坛高原</x:v>
      </x:c>
      <x:c r="C1193" s="25" t="str">
        <x:v>半急速中期</x:v>
      </x:c>
      <x:c r="D1193" s="25" t="n">
        <x:v>1</x:v>
      </x:c>
      <x:c r="E1193" s="25" t="n">
        <x:v>152</x:v>
      </x:c>
      <x:c r="F1193" s="25" t="str">
        <x:v>卡利亚月裁长刃</x:v>
      </x:c>
      <x:c r="G1193" s="25" t="n">
        <x:v>4</x:v>
      </x:c>
      <x:c r="H1193" s="25" t="str">
        <x:v>攻击加成</x:v>
      </x:c>
      <x:c r="I1193" s="25" t="n">
        <x:v>34</x:v>
      </x:c>
      <x:c r="J1193" s="25" t="n">
        <x:v>19</x:v>
      </x:c>
      <x:c r="K1193" s="25" t="str">
        <x:v>仅装备原始基础值决定主属性范围</x:v>
      </x:c>
    </x:row>
    <x:row r="1194">
      <x:c r="A1194" s="25" t="str">
        <x:v>C09-M</x:v>
      </x:c>
      <x:c r="B1194" s="25" t="str">
        <x:v>亚坛高原</x:v>
      </x:c>
      <x:c r="C1194" s="25" t="str">
        <x:v>半急速中期</x:v>
      </x:c>
      <x:c r="D1194" s="25" t="n">
        <x:v>1</x:v>
      </x:c>
      <x:c r="E1194" s="25" t="n">
        <x:v>152</x:v>
      </x:c>
      <x:c r="F1194" s="25" t="str">
        <x:v>卡利亚月裁长刃</x:v>
      </x:c>
      <x:c r="G1194" s="25" t="n">
        <x:v>5</x:v>
      </x:c>
      <x:c r="H1194" s="25" t="str">
        <x:v>韧性</x:v>
      </x:c>
      <x:c r="I1194" s="25" t="n">
        <x:v>10</x:v>
      </x:c>
      <x:c r="J1194" s="25" t="n">
        <x:v>12</x:v>
      </x:c>
      <x:c r="K1194" s="25" t="str">
        <x:v>仅装备原始基础值决定主属性范围</x:v>
      </x:c>
    </x:row>
    <x:row r="1195">
      <x:c r="A1195" s="25" t="str">
        <x:v>C09-M</x:v>
      </x:c>
      <x:c r="B1195" s="25" t="str">
        <x:v>亚坛高原</x:v>
      </x:c>
      <x:c r="C1195" s="25" t="str">
        <x:v>半急速中期</x:v>
      </x:c>
      <x:c r="D1195" s="25" t="n">
        <x:v>1</x:v>
      </x:c>
      <x:c r="E1195" s="25" t="n">
        <x:v>152</x:v>
      </x:c>
      <x:c r="F1195" s="25" t="str">
        <x:v>卡利亚月裁长刃</x:v>
      </x:c>
      <x:c r="G1195" s="25" t="n">
        <x:v>6</x:v>
      </x:c>
      <x:c r="H1195" s="25" t="str">
        <x:v>魔法</x:v>
      </x:c>
      <x:c r="I1195" s="25" t="n">
        <x:v>1343</x:v>
      </x:c>
      <x:c r="J1195" s="25" t="n">
        <x:v>2</x:v>
      </x:c>
      <x:c r="K1195" s="25" t="str">
        <x:v>仅装备原始基础值决定主属性范围</x:v>
      </x:c>
    </x:row>
    <x:row r="1196">
      <x:c r="A1196" s="25" t="str">
        <x:v>C09-M</x:v>
      </x:c>
      <x:c r="B1196" s="25" t="str">
        <x:v>亚坛高原</x:v>
      </x:c>
      <x:c r="C1196" s="25" t="str">
        <x:v>半急速中期</x:v>
      </x:c>
      <x:c r="D1196" s="25" t="n">
        <x:v>3</x:v>
      </x:c>
      <x:c r="E1196" s="25" t="n">
        <x:v>168</x:v>
      </x:c>
      <x:c r="F1196" s="25" t="str">
        <x:v>寒羽猎链</x:v>
      </x:c>
      <x:c r="G1196" s="25" t="n">
        <x:v>1</x:v>
      </x:c>
      <x:c r="H1196" s="25" t="str">
        <x:v>韧性</x:v>
      </x:c>
      <x:c r="I1196" s="25" t="n">
        <x:v>10</x:v>
      </x:c>
      <x:c r="J1196" s="25" t="n">
        <x:v>12</x:v>
      </x:c>
      <x:c r="K1196" s="25" t="str">
        <x:v>仅装备原始基础值决定主属性范围</x:v>
      </x:c>
    </x:row>
    <x:row r="1197">
      <x:c r="A1197" s="25" t="str">
        <x:v>C09-M</x:v>
      </x:c>
      <x:c r="B1197" s="25" t="str">
        <x:v>亚坛高原</x:v>
      </x:c>
      <x:c r="C1197" s="25" t="str">
        <x:v>半急速中期</x:v>
      </x:c>
      <x:c r="D1197" s="25" t="n">
        <x:v>3</x:v>
      </x:c>
      <x:c r="E1197" s="25" t="n">
        <x:v>168</x:v>
      </x:c>
      <x:c r="F1197" s="25" t="str">
        <x:v>寒羽猎链</x:v>
      </x:c>
      <x:c r="G1197" s="25" t="n">
        <x:v>2</x:v>
      </x:c>
      <x:c r="H1197" s="25" t="str">
        <x:v>攻击加成</x:v>
      </x:c>
      <x:c r="I1197" s="25" t="n">
        <x:v>45</x:v>
      </x:c>
      <x:c r="J1197" s="25" t="n">
        <x:v>19</x:v>
      </x:c>
      <x:c r="K1197" s="25" t="str">
        <x:v>仅装备原始基础值决定主属性范围</x:v>
      </x:c>
    </x:row>
    <x:row r="1198">
      <x:c r="A1198" s="25" t="str">
        <x:v>C09-M</x:v>
      </x:c>
      <x:c r="B1198" s="25" t="str">
        <x:v>亚坛高原</x:v>
      </x:c>
      <x:c r="C1198" s="25" t="str">
        <x:v>半急速中期</x:v>
      </x:c>
      <x:c r="D1198" s="25" t="n">
        <x:v>3</x:v>
      </x:c>
      <x:c r="E1198" s="25" t="n">
        <x:v>168</x:v>
      </x:c>
      <x:c r="F1198" s="25" t="str">
        <x:v>寒羽猎链</x:v>
      </x:c>
      <x:c r="G1198" s="25" t="n">
        <x:v>3</x:v>
      </x:c>
      <x:c r="H1198" s="25" t="str">
        <x:v>攻击速度</x:v>
      </x:c>
      <x:c r="I1198" s="25" t="n">
        <x:v>2</x:v>
      </x:c>
      <x:c r="J1198" s="25" t="n">
        <x:v>5</x:v>
      </x:c>
      <x:c r="K1198" s="25" t="str">
        <x:v>仅装备原始基础值决定主属性范围</x:v>
      </x:c>
    </x:row>
    <x:row r="1199">
      <x:c r="A1199" s="25" t="str">
        <x:v>C09-M</x:v>
      </x:c>
      <x:c r="B1199" s="25" t="str">
        <x:v>亚坛高原</x:v>
      </x:c>
      <x:c r="C1199" s="25" t="str">
        <x:v>半急速中期</x:v>
      </x:c>
      <x:c r="D1199" s="25" t="n">
        <x:v>3</x:v>
      </x:c>
      <x:c r="E1199" s="25" t="n">
        <x:v>168</x:v>
      </x:c>
      <x:c r="F1199" s="25" t="str">
        <x:v>寒羽猎链</x:v>
      </x:c>
      <x:c r="G1199" s="25" t="n">
        <x:v>4</x:v>
      </x:c>
      <x:c r="H1199" s="25" t="str">
        <x:v>攻击加成</x:v>
      </x:c>
      <x:c r="I1199" s="25" t="n">
        <x:v>15</x:v>
      </x:c>
      <x:c r="J1199" s="25" t="n">
        <x:v>18</x:v>
      </x:c>
      <x:c r="K1199" s="25" t="str">
        <x:v>仅装备原始基础值决定主属性范围</x:v>
      </x:c>
    </x:row>
    <x:row r="1200">
      <x:c r="A1200" s="25" t="str">
        <x:v>C09-M</x:v>
      </x:c>
      <x:c r="B1200" s="25" t="str">
        <x:v>亚坛高原</x:v>
      </x:c>
      <x:c r="C1200" s="25" t="str">
        <x:v>半急速中期</x:v>
      </x:c>
      <x:c r="D1200" s="25" t="n">
        <x:v>4</x:v>
      </x:c>
      <x:c r="E1200" s="25" t="n">
        <x:v>174</x:v>
      </x:c>
      <x:c r="F1200" s="25" t="str">
        <x:v>白烛礼冠</x:v>
      </x:c>
      <x:c r="G1200" s="25" t="n">
        <x:v>1</x:v>
      </x:c>
      <x:c r="H1200" s="25" t="str">
        <x:v>道术</x:v>
      </x:c>
      <x:c r="I1200" s="25" t="n">
        <x:v>52</x:v>
      </x:c>
      <x:c r="J1200" s="25" t="n">
        <x:v>3</x:v>
      </x:c>
      <x:c r="K1200" s="25" t="str">
        <x:v>仅装备原始基础值决定主属性范围</x:v>
      </x:c>
    </x:row>
    <x:row r="1201">
      <x:c r="A1201" s="25" t="str">
        <x:v>C09-M</x:v>
      </x:c>
      <x:c r="B1201" s="25" t="str">
        <x:v>亚坛高原</x:v>
      </x:c>
      <x:c r="C1201" s="25" t="str">
        <x:v>半急速中期</x:v>
      </x:c>
      <x:c r="D1201" s="25" t="n">
        <x:v>4</x:v>
      </x:c>
      <x:c r="E1201" s="25" t="n">
        <x:v>174</x:v>
      </x:c>
      <x:c r="F1201" s="25" t="str">
        <x:v>白烛礼冠</x:v>
      </x:c>
      <x:c r="G1201" s="25" t="n">
        <x:v>2</x:v>
      </x:c>
      <x:c r="H1201" s="25" t="str">
        <x:v>魔法</x:v>
      </x:c>
      <x:c r="I1201" s="25" t="n">
        <x:v>289</x:v>
      </x:c>
      <x:c r="J1201" s="25" t="n">
        <x:v>2</x:v>
      </x:c>
      <x:c r="K1201" s="25" t="str">
        <x:v>仅装备原始基础值决定主属性范围</x:v>
      </x:c>
    </x:row>
    <x:row r="1202">
      <x:c r="A1202" s="25" t="str">
        <x:v>C09-M</x:v>
      </x:c>
      <x:c r="B1202" s="25" t="str">
        <x:v>亚坛高原</x:v>
      </x:c>
      <x:c r="C1202" s="25" t="str">
        <x:v>半急速中期</x:v>
      </x:c>
      <x:c r="D1202" s="25" t="n">
        <x:v>4</x:v>
      </x:c>
      <x:c r="E1202" s="25" t="n">
        <x:v>174</x:v>
      </x:c>
      <x:c r="F1202" s="25" t="str">
        <x:v>白烛礼冠</x:v>
      </x:c>
      <x:c r="G1202" s="25" t="n">
        <x:v>3</x:v>
      </x:c>
      <x:c r="H1202" s="25" t="str">
        <x:v>攻击</x:v>
      </x:c>
      <x:c r="I1202" s="25" t="n">
        <x:v>273</x:v>
      </x:c>
      <x:c r="J1202" s="25" t="n">
        <x:v>1</x:v>
      </x:c>
      <x:c r="K1202" s="25" t="str">
        <x:v>仅装备原始基础值决定主属性范围</x:v>
      </x:c>
    </x:row>
    <x:row r="1203">
      <x:c r="A1203" s="25" t="str">
        <x:v>C09-M</x:v>
      </x:c>
      <x:c r="B1203" s="25" t="str">
        <x:v>亚坛高原</x:v>
      </x:c>
      <x:c r="C1203" s="25" t="str">
        <x:v>半急速中期</x:v>
      </x:c>
      <x:c r="D1203" s="25" t="n">
        <x:v>4</x:v>
      </x:c>
      <x:c r="E1203" s="25" t="n">
        <x:v>174</x:v>
      </x:c>
      <x:c r="F1203" s="25" t="str">
        <x:v>白烛礼冠</x:v>
      </x:c>
      <x:c r="G1203" s="25" t="n">
        <x:v>4</x:v>
      </x:c>
      <x:c r="H1203" s="25" t="str">
        <x:v>攻击加成</x:v>
      </x:c>
      <x:c r="I1203" s="25" t="n">
        <x:v>18</x:v>
      </x:c>
      <x:c r="J1203" s="25" t="n">
        <x:v>18</x:v>
      </x:c>
      <x:c r="K1203" s="25" t="str">
        <x:v>仅装备原始基础值决定主属性范围</x:v>
      </x:c>
    </x:row>
    <x:row r="1204">
      <x:c r="A1204" s="25" t="str">
        <x:v>C09-M</x:v>
      </x:c>
      <x:c r="B1204" s="25" t="str">
        <x:v>亚坛高原</x:v>
      </x:c>
      <x:c r="C1204" s="25" t="str">
        <x:v>半急速中期</x:v>
      </x:c>
      <x:c r="D1204" s="25" t="n">
        <x:v>5</x:v>
      </x:c>
      <x:c r="E1204" s="25" t="n">
        <x:v>156</x:v>
      </x:c>
      <x:c r="F1204" s="25" t="str">
        <x:v>烬鳞护腕</x:v>
      </x:c>
      <x:c r="G1204" s="25" t="n">
        <x:v>1</x:v>
      </x:c>
      <x:c r="H1204" s="25" t="str">
        <x:v>处决时间</x:v>
      </x:c>
      <x:c r="I1204" s="25" t="n">
        <x:v>1</x:v>
      </x:c>
      <x:c r="J1204" s="25" t="n">
        <x:v>8</x:v>
      </x:c>
      <x:c r="K1204" s="25" t="str">
        <x:v>仅装备原始基础值决定主属性范围</x:v>
      </x:c>
    </x:row>
    <x:row r="1205">
      <x:c r="A1205" s="25" t="str">
        <x:v>C09-M</x:v>
      </x:c>
      <x:c r="B1205" s="25" t="str">
        <x:v>亚坛高原</x:v>
      </x:c>
      <x:c r="C1205" s="25" t="str">
        <x:v>半急速中期</x:v>
      </x:c>
      <x:c r="D1205" s="25" t="n">
        <x:v>5</x:v>
      </x:c>
      <x:c r="E1205" s="25" t="n">
        <x:v>156</x:v>
      </x:c>
      <x:c r="F1205" s="25" t="str">
        <x:v>烬鳞护腕</x:v>
      </x:c>
      <x:c r="G1205" s="25" t="n">
        <x:v>2</x:v>
      </x:c>
      <x:c r="H1205" s="25" t="str">
        <x:v>攻击加成</x:v>
      </x:c>
      <x:c r="I1205" s="25" t="n">
        <x:v>36</x:v>
      </x:c>
      <x:c r="J1205" s="25" t="n">
        <x:v>19</x:v>
      </x:c>
      <x:c r="K1205" s="25" t="str">
        <x:v>仅装备原始基础值决定主属性范围</x:v>
      </x:c>
    </x:row>
    <x:row r="1206">
      <x:c r="A1206" s="25" t="str">
        <x:v>C09-M</x:v>
      </x:c>
      <x:c r="B1206" s="25" t="str">
        <x:v>亚坛高原</x:v>
      </x:c>
      <x:c r="C1206" s="25" t="str">
        <x:v>半急速中期</x:v>
      </x:c>
      <x:c r="D1206" s="25" t="n">
        <x:v>5</x:v>
      </x:c>
      <x:c r="E1206" s="25" t="n">
        <x:v>156</x:v>
      </x:c>
      <x:c r="F1206" s="25" t="str">
        <x:v>烬鳞护腕</x:v>
      </x:c>
      <x:c r="G1206" s="25" t="n">
        <x:v>3</x:v>
      </x:c>
      <x:c r="H1206" s="25" t="str">
        <x:v>攻击</x:v>
      </x:c>
      <x:c r="I1206" s="25" t="n">
        <x:v>272</x:v>
      </x:c>
      <x:c r="J1206" s="25" t="n">
        <x:v>1</x:v>
      </x:c>
      <x:c r="K1206" s="25" t="str">
        <x:v>仅装备原始基础值决定主属性范围</x:v>
      </x:c>
    </x:row>
    <x:row r="1207">
      <x:c r="A1207" s="25" t="str">
        <x:v>C09-M</x:v>
      </x:c>
      <x:c r="B1207" s="25" t="str">
        <x:v>亚坛高原</x:v>
      </x:c>
      <x:c r="C1207" s="25" t="str">
        <x:v>半急速中期</x:v>
      </x:c>
      <x:c r="D1207" s="25" t="n">
        <x:v>6</x:v>
      </x:c>
      <x:c r="E1207" s="25" t="n">
        <x:v>157</x:v>
      </x:c>
      <x:c r="F1207" s="25" t="str">
        <x:v>血菌腕轮</x:v>
      </x:c>
      <x:c r="G1207" s="25" t="n">
        <x:v>1</x:v>
      </x:c>
      <x:c r="H1207" s="25" t="str">
        <x:v>攻击加成</x:v>
      </x:c>
      <x:c r="I1207" s="25" t="n">
        <x:v>22</x:v>
      </x:c>
      <x:c r="J1207" s="25" t="n">
        <x:v>18</x:v>
      </x:c>
      <x:c r="K1207" s="25" t="str">
        <x:v>仅装备原始基础值决定主属性范围</x:v>
      </x:c>
    </x:row>
    <x:row r="1208">
      <x:c r="A1208" s="25" t="str">
        <x:v>C09-M</x:v>
      </x:c>
      <x:c r="B1208" s="25" t="str">
        <x:v>亚坛高原</x:v>
      </x:c>
      <x:c r="C1208" s="25" t="str">
        <x:v>半急速中期</x:v>
      </x:c>
      <x:c r="D1208" s="25" t="n">
        <x:v>7</x:v>
      </x:c>
      <x:c r="E1208" s="25" t="n">
        <x:v>158</x:v>
      </x:c>
      <x:c r="F1208" s="25" t="str">
        <x:v>苍鬃牙戒</x:v>
      </x:c>
      <x:c r="G1208" s="25" t="n">
        <x:v>1</x:v>
      </x:c>
      <x:c r="H1208" s="25" t="str">
        <x:v>致命一击</x:v>
      </x:c>
      <x:c r="I1208" s="25" t="n">
        <x:v>1</x:v>
      </x:c>
      <x:c r="J1208" s="25" t="n">
        <x:v>16</x:v>
      </x:c>
      <x:c r="K1208" s="25" t="str">
        <x:v>仅装备原始基础值决定主属性范围</x:v>
      </x:c>
    </x:row>
    <x:row r="1209">
      <x:c r="A1209" s="25" t="str">
        <x:v>C09-M</x:v>
      </x:c>
      <x:c r="B1209" s="25" t="str">
        <x:v>亚坛高原</x:v>
      </x:c>
      <x:c r="C1209" s="25" t="str">
        <x:v>半急速中期</x:v>
      </x:c>
      <x:c r="D1209" s="25" t="n">
        <x:v>7</x:v>
      </x:c>
      <x:c r="E1209" s="25" t="n">
        <x:v>158</x:v>
      </x:c>
      <x:c r="F1209" s="25" t="str">
        <x:v>苍鬃牙戒</x:v>
      </x:c>
      <x:c r="G1209" s="25" t="n">
        <x:v>2</x:v>
      </x:c>
      <x:c r="H1209" s="25" t="str">
        <x:v>攻击加成</x:v>
      </x:c>
      <x:c r="I1209" s="25" t="n">
        <x:v>42</x:v>
      </x:c>
      <x:c r="J1209" s="25" t="n">
        <x:v>19</x:v>
      </x:c>
      <x:c r="K1209" s="25" t="str">
        <x:v>仅装备原始基础值决定主属性范围</x:v>
      </x:c>
    </x:row>
    <x:row r="1210">
      <x:c r="A1210" s="25" t="str">
        <x:v>C09-M</x:v>
      </x:c>
      <x:c r="B1210" s="25" t="str">
        <x:v>亚坛高原</x:v>
      </x:c>
      <x:c r="C1210" s="25" t="str">
        <x:v>半急速中期</x:v>
      </x:c>
      <x:c r="D1210" s="25" t="n">
        <x:v>7</x:v>
      </x:c>
      <x:c r="E1210" s="25" t="n">
        <x:v>158</x:v>
      </x:c>
      <x:c r="F1210" s="25" t="str">
        <x:v>苍鬃牙戒</x:v>
      </x:c>
      <x:c r="G1210" s="25" t="n">
        <x:v>3</x:v>
      </x:c>
      <x:c r="H1210" s="25" t="str">
        <x:v>攻击加成</x:v>
      </x:c>
      <x:c r="I1210" s="25" t="n">
        <x:v>9</x:v>
      </x:c>
      <x:c r="J1210" s="25" t="n">
        <x:v>18</x:v>
      </x:c>
      <x:c r="K1210" s="25" t="str">
        <x:v>仅装备原始基础值决定主属性范围</x:v>
      </x:c>
    </x:row>
    <x:row r="1211">
      <x:c r="A1211" s="25" t="str">
        <x:v>C09-M</x:v>
      </x:c>
      <x:c r="B1211" s="25" t="str">
        <x:v>亚坛高原</x:v>
      </x:c>
      <x:c r="C1211" s="25" t="str">
        <x:v>半急速中期</x:v>
      </x:c>
      <x:c r="D1211" s="25" t="n">
        <x:v>8</x:v>
      </x:c>
      <x:c r="E1211" s="25" t="n">
        <x:v>118</x:v>
      </x:c>
      <x:c r="F1211" s="25" t="str">
        <x:v>月渊秘戒</x:v>
      </x:c>
      <x:c r="G1211" s="25" t="n">
        <x:v>1</x:v>
      </x:c>
      <x:c r="H1211" s="25" t="str">
        <x:v>处决伤害</x:v>
      </x:c>
      <x:c r="I1211" s="25" t="n">
        <x:v>2</x:v>
      </x:c>
      <x:c r="J1211" s="25" t="n">
        <x:v>11</x:v>
      </x:c>
      <x:c r="K1211" s="25" t="str">
        <x:v>仅装备原始基础值决定主属性范围</x:v>
      </x:c>
    </x:row>
    <x:row r="1212">
      <x:c r="A1212" s="25" t="str">
        <x:v>C09-M</x:v>
      </x:c>
      <x:c r="B1212" s="25" t="str">
        <x:v>亚坛高原</x:v>
      </x:c>
      <x:c r="C1212" s="25" t="str">
        <x:v>半急速中期</x:v>
      </x:c>
      <x:c r="D1212" s="25" t="n">
        <x:v>8</x:v>
      </x:c>
      <x:c r="E1212" s="25" t="n">
        <x:v>118</x:v>
      </x:c>
      <x:c r="F1212" s="25" t="str">
        <x:v>月渊秘戒</x:v>
      </x:c>
      <x:c r="G1212" s="25" t="n">
        <x:v>2</x:v>
      </x:c>
      <x:c r="H1212" s="25" t="str">
        <x:v>攻击加成</x:v>
      </x:c>
      <x:c r="I1212" s="25" t="n">
        <x:v>28</x:v>
      </x:c>
      <x:c r="J1212" s="25" t="n">
        <x:v>18</x:v>
      </x:c>
      <x:c r="K1212" s="25" t="str">
        <x:v>仅装备原始基础值决定主属性范围</x:v>
      </x:c>
    </x:row>
    <x:row r="1213">
      <x:c r="A1213" s="25" t="str">
        <x:v>C09-M</x:v>
      </x:c>
      <x:c r="B1213" s="25" t="str">
        <x:v>亚坛高原</x:v>
      </x:c>
      <x:c r="C1213" s="25" t="str">
        <x:v>半急速中期</x:v>
      </x:c>
      <x:c r="D1213" s="25" t="n">
        <x:v>8</x:v>
      </x:c>
      <x:c r="E1213" s="25" t="n">
        <x:v>118</x:v>
      </x:c>
      <x:c r="F1213" s="25" t="str">
        <x:v>月渊秘戒</x:v>
      </x:c>
      <x:c r="G1213" s="25" t="n">
        <x:v>3</x:v>
      </x:c>
      <x:c r="H1213" s="25" t="str">
        <x:v>攻击加成</x:v>
      </x:c>
      <x:c r="I1213" s="25" t="n">
        <x:v>41</x:v>
      </x:c>
      <x:c r="J1213" s="25" t="n">
        <x:v>19</x:v>
      </x:c>
      <x:c r="K1213" s="25" t="str">
        <x:v>仅装备原始基础值决定主属性范围</x:v>
      </x:c>
    </x:row>
    <x:row r="1214">
      <x:c r="A1214" s="25" t="str">
        <x:v>C09-M</x:v>
      </x:c>
      <x:c r="B1214" s="25" t="str">
        <x:v>亚坛高原</x:v>
      </x:c>
      <x:c r="C1214" s="25" t="str">
        <x:v>半急速中期</x:v>
      </x:c>
      <x:c r="D1214" s="25" t="n">
        <x:v>8</x:v>
      </x:c>
      <x:c r="E1214" s="25" t="n">
        <x:v>118</x:v>
      </x:c>
      <x:c r="F1214" s="25" t="str">
        <x:v>月渊秘戒</x:v>
      </x:c>
      <x:c r="G1214" s="25" t="n">
        <x:v>4</x:v>
      </x:c>
      <x:c r="H1214" s="25" t="str">
        <x:v>道术</x:v>
      </x:c>
      <x:c r="I1214" s="25" t="n">
        <x:v>75</x:v>
      </x:c>
      <x:c r="J1214" s="25" t="n">
        <x:v>3</x:v>
      </x:c>
      <x:c r="K1214" s="25" t="str">
        <x:v>仅装备原始基础值决定主属性范围</x:v>
      </x:c>
    </x:row>
    <x:row r="1215">
      <x:c r="A1215" s="25" t="str">
        <x:v>C09-M</x:v>
      </x:c>
      <x:c r="B1215" s="25" t="str">
        <x:v>亚坛高原</x:v>
      </x:c>
      <x:c r="C1215" s="25" t="str">
        <x:v>半急速中期</x:v>
      </x:c>
      <x:c r="D1215" s="25" t="n">
        <x:v>8</x:v>
      </x:c>
      <x:c r="E1215" s="25" t="n">
        <x:v>118</x:v>
      </x:c>
      <x:c r="F1215" s="25" t="str">
        <x:v>月渊秘戒</x:v>
      </x:c>
      <x:c r="G1215" s="25" t="n">
        <x:v>5</x:v>
      </x:c>
      <x:c r="H1215" s="25" t="str">
        <x:v>道术</x:v>
      </x:c>
      <x:c r="I1215" s="25" t="n">
        <x:v>23</x:v>
      </x:c>
      <x:c r="J1215" s="25" t="n">
        <x:v>3</x:v>
      </x:c>
      <x:c r="K1215" s="25" t="str">
        <x:v>仅装备原始基础值决定主属性范围</x:v>
      </x:c>
    </x:row>
    <x:row r="1216">
      <x:c r="A1216" s="25" t="str">
        <x:v>C09-M</x:v>
      </x:c>
      <x:c r="B1216" s="25" t="str">
        <x:v>亚坛高原</x:v>
      </x:c>
      <x:c r="C1216" s="25" t="str">
        <x:v>半急速中期</x:v>
      </x:c>
      <x:c r="D1216" s="25" t="n">
        <x:v>8</x:v>
      </x:c>
      <x:c r="E1216" s="25" t="n">
        <x:v>118</x:v>
      </x:c>
      <x:c r="F1216" s="25" t="str">
        <x:v>月渊秘戒</x:v>
      </x:c>
      <x:c r="G1216" s="25" t="n">
        <x:v>6</x:v>
      </x:c>
      <x:c r="H1216" s="25" t="str">
        <x:v>最大爆率</x:v>
      </x:c>
      <x:c r="I1216" s="25" t="n">
        <x:v>3</x:v>
      </x:c>
      <x:c r="J1216" s="25" t="n">
        <x:v>24</x:v>
      </x:c>
      <x:c r="K1216" s="25" t="str">
        <x:v>仅装备原始基础值决定主属性范围</x:v>
      </x:c>
    </x:row>
    <x:row r="1217">
      <x:c r="A1217" s="25" t="str">
        <x:v>C09-M</x:v>
      </x:c>
      <x:c r="B1217" s="25" t="str">
        <x:v>亚坛高原</x:v>
      </x:c>
      <x:c r="C1217" s="25" t="str">
        <x:v>半急速中期</x:v>
      </x:c>
      <x:c r="D1217" s="25" t="n">
        <x:v>10</x:v>
      </x:c>
      <x:c r="E1217" s="25" t="n">
        <x:v>160</x:v>
      </x:c>
      <x:c r="F1217" s="25" t="str">
        <x:v>寒弓束带</x:v>
      </x:c>
      <x:c r="G1217" s="25" t="n">
        <x:v>1</x:v>
      </x:c>
      <x:c r="H1217" s="25" t="str">
        <x:v>最大爆率</x:v>
      </x:c>
      <x:c r="I1217" s="25" t="n">
        <x:v>1</x:v>
      </x:c>
      <x:c r="J1217" s="25" t="n">
        <x:v>22</x:v>
      </x:c>
      <x:c r="K1217" s="25" t="str">
        <x:v>仅装备原始基础值决定主属性范围</x:v>
      </x:c>
    </x:row>
    <x:row r="1218">
      <x:c r="A1218" s="25" t="str">
        <x:v>C09-M</x:v>
      </x:c>
      <x:c r="B1218" s="25" t="str">
        <x:v>亚坛高原</x:v>
      </x:c>
      <x:c r="C1218" s="25" t="str">
        <x:v>半急速中期</x:v>
      </x:c>
      <x:c r="D1218" s="25" t="n">
        <x:v>10</x:v>
      </x:c>
      <x:c r="E1218" s="25" t="n">
        <x:v>160</x:v>
      </x:c>
      <x:c r="F1218" s="25" t="str">
        <x:v>寒弓束带</x:v>
      </x:c>
      <x:c r="G1218" s="25" t="n">
        <x:v>2</x:v>
      </x:c>
      <x:c r="H1218" s="25" t="str">
        <x:v>攻击</x:v>
      </x:c>
      <x:c r="I1218" s="25" t="n">
        <x:v>55</x:v>
      </x:c>
      <x:c r="J1218" s="25" t="n">
        <x:v>1</x:v>
      </x:c>
      <x:c r="K1218" s="25" t="str">
        <x:v>仅装备原始基础值决定主属性范围</x:v>
      </x:c>
    </x:row>
    <x:row r="1219">
      <x:c r="A1219" s="25" t="str">
        <x:v>C09-M</x:v>
      </x:c>
      <x:c r="B1219" s="25" t="str">
        <x:v>亚坛高原</x:v>
      </x:c>
      <x:c r="C1219" s="25" t="str">
        <x:v>半急速中期</x:v>
      </x:c>
      <x:c r="D1219" s="25" t="n">
        <x:v>10</x:v>
      </x:c>
      <x:c r="E1219" s="25" t="n">
        <x:v>160</x:v>
      </x:c>
      <x:c r="F1219" s="25" t="str">
        <x:v>寒弓束带</x:v>
      </x:c>
      <x:c r="G1219" s="25" t="n">
        <x:v>3</x:v>
      </x:c>
      <x:c r="H1219" s="25" t="str">
        <x:v>攻击加成</x:v>
      </x:c>
      <x:c r="I1219" s="25" t="n">
        <x:v>24</x:v>
      </x:c>
      <x:c r="J1219" s="25" t="n">
        <x:v>18</x:v>
      </x:c>
      <x:c r="K1219" s="25" t="str">
        <x:v>仅装备原始基础值决定主属性范围</x:v>
      </x:c>
    </x:row>
    <x:row r="1220">
      <x:c r="A1220" s="25" t="str">
        <x:v>C09-M</x:v>
      </x:c>
      <x:c r="B1220" s="25" t="str">
        <x:v>亚坛高原</x:v>
      </x:c>
      <x:c r="C1220" s="25" t="str">
        <x:v>半急速中期</x:v>
      </x:c>
      <x:c r="D1220" s="25" t="n">
        <x:v>10</x:v>
      </x:c>
      <x:c r="E1220" s="25" t="n">
        <x:v>160</x:v>
      </x:c>
      <x:c r="F1220" s="25" t="str">
        <x:v>寒弓束带</x:v>
      </x:c>
      <x:c r="G1220" s="25" t="n">
        <x:v>4</x:v>
      </x:c>
      <x:c r="H1220" s="25" t="str">
        <x:v>吸血</x:v>
      </x:c>
      <x:c r="I1220" s="25" t="n">
        <x:v>1</x:v>
      </x:c>
      <x:c r="J1220" s="25" t="n">
        <x:v>20</x:v>
      </x:c>
      <x:c r="K1220" s="25" t="str">
        <x:v>仅装备原始基础值决定主属性范围</x:v>
      </x:c>
    </x:row>
    <x:row r="1221">
      <x:c r="A1221" s="25" t="str">
        <x:v>C09-M</x:v>
      </x:c>
      <x:c r="B1221" s="25" t="str">
        <x:v>亚坛高原</x:v>
      </x:c>
      <x:c r="C1221" s="25" t="str">
        <x:v>半急速中期</x:v>
      </x:c>
      <x:c r="D1221" s="25" t="n">
        <x:v>10</x:v>
      </x:c>
      <x:c r="E1221" s="25" t="n">
        <x:v>160</x:v>
      </x:c>
      <x:c r="F1221" s="25" t="str">
        <x:v>寒弓束带</x:v>
      </x:c>
      <x:c r="G1221" s="25" t="n">
        <x:v>5</x:v>
      </x:c>
      <x:c r="H1221" s="25" t="str">
        <x:v>攻击</x:v>
      </x:c>
      <x:c r="I1221" s="25" t="n">
        <x:v>54</x:v>
      </x:c>
      <x:c r="J1221" s="25" t="n">
        <x:v>1</x:v>
      </x:c>
      <x:c r="K1221" s="25" t="str">
        <x:v>仅装备原始基础值决定主属性范围</x:v>
      </x:c>
    </x:row>
    <x:row r="1222">
      <x:c r="A1222" s="25" t="str">
        <x:v>C09-M</x:v>
      </x:c>
      <x:c r="B1222" s="25" t="str">
        <x:v>亚坛高原</x:v>
      </x:c>
      <x:c r="C1222" s="25" t="str">
        <x:v>半急速中期</x:v>
      </x:c>
      <x:c r="D1222" s="25" t="n">
        <x:v>10</x:v>
      </x:c>
      <x:c r="E1222" s="25" t="n">
        <x:v>160</x:v>
      </x:c>
      <x:c r="F1222" s="25" t="str">
        <x:v>寒弓束带</x:v>
      </x:c>
      <x:c r="G1222" s="25" t="n">
        <x:v>6</x:v>
      </x:c>
      <x:c r="H1222" s="25" t="str">
        <x:v>韧性</x:v>
      </x:c>
      <x:c r="I1222" s="25" t="n">
        <x:v>20</x:v>
      </x:c>
      <x:c r="J1222" s="25" t="n">
        <x:v>13</x:v>
      </x:c>
      <x:c r="K1222" s="25" t="str">
        <x:v>仅装备原始基础值决定主属性范围</x:v>
      </x:c>
    </x:row>
    <x:row r="1223">
      <x:c r="A1223" s="25" t="str">
        <x:v>C09-M</x:v>
      </x:c>
      <x:c r="B1223" s="25" t="str">
        <x:v>亚坛高原</x:v>
      </x:c>
      <x:c r="C1223" s="25" t="str">
        <x:v>半急速中期</x:v>
      </x:c>
      <x:c r="D1223" s="25" t="n">
        <x:v>11</x:v>
      </x:c>
      <x:c r="E1223" s="25" t="n">
        <x:v>173</x:v>
      </x:c>
      <x:c r="F1223" s="25" t="str">
        <x:v>霜风战靴</x:v>
      </x:c>
      <x:c r="G1223" s="25" t="n">
        <x:v>1</x:v>
      </x:c>
      <x:c r="H1223" s="25" t="str">
        <x:v>致命一击</x:v>
      </x:c>
      <x:c r="I1223" s="25" t="n">
        <x:v>1</x:v>
      </x:c>
      <x:c r="J1223" s="25" t="n">
        <x:v>16</x:v>
      </x:c>
      <x:c r="K1223" s="25" t="str">
        <x:v>仅装备原始基础值决定主属性范围</x:v>
      </x:c>
    </x:row>
    <x:row r="1224">
      <x:c r="A1224" s="25" t="str">
        <x:v>C09-M</x:v>
      </x:c>
      <x:c r="B1224" s="25" t="str">
        <x:v>亚坛高原</x:v>
      </x:c>
      <x:c r="C1224" s="25" t="str">
        <x:v>半急速中期</x:v>
      </x:c>
      <x:c r="D1224" s="25" t="n">
        <x:v>11</x:v>
      </x:c>
      <x:c r="E1224" s="25" t="n">
        <x:v>173</x:v>
      </x:c>
      <x:c r="F1224" s="25" t="str">
        <x:v>霜风战靴</x:v>
      </x:c>
      <x:c r="G1224" s="25" t="n">
        <x:v>2</x:v>
      </x:c>
      <x:c r="H1224" s="25" t="str">
        <x:v>攻击加成</x:v>
      </x:c>
      <x:c r="I1224" s="25" t="n">
        <x:v>20</x:v>
      </x:c>
      <x:c r="J1224" s="25" t="n">
        <x:v>18</x:v>
      </x:c>
      <x:c r="K1224" s="25" t="str">
        <x:v>仅装备原始基础值决定主属性范围</x:v>
      </x:c>
    </x:row>
    <x:row r="1225">
      <x:c r="A1225" s="25" t="str">
        <x:v>C09-M</x:v>
      </x:c>
      <x:c r="B1225" s="25" t="str">
        <x:v>亚坛高原</x:v>
      </x:c>
      <x:c r="C1225" s="25" t="str">
        <x:v>半急速中期</x:v>
      </x:c>
      <x:c r="D1225" s="25" t="n">
        <x:v>11</x:v>
      </x:c>
      <x:c r="E1225" s="25" t="n">
        <x:v>173</x:v>
      </x:c>
      <x:c r="F1225" s="25" t="str">
        <x:v>霜风战靴</x:v>
      </x:c>
      <x:c r="G1225" s="25" t="n">
        <x:v>3</x:v>
      </x:c>
      <x:c r="H1225" s="25" t="str">
        <x:v>最大爆率</x:v>
      </x:c>
      <x:c r="I1225" s="25" t="n">
        <x:v>2</x:v>
      </x:c>
      <x:c r="J1225" s="25" t="n">
        <x:v>23</x:v>
      </x:c>
      <x:c r="K1225" s="25" t="str">
        <x:v>仅装备原始基础值决定主属性范围</x:v>
      </x:c>
    </x:row>
    <x:row r="1226">
      <x:c r="A1226" s="25" t="str">
        <x:v>C09-M</x:v>
      </x:c>
      <x:c r="B1226" s="25" t="str">
        <x:v>亚坛高原</x:v>
      </x:c>
      <x:c r="C1226" s="25" t="str">
        <x:v>半急速中期</x:v>
      </x:c>
      <x:c r="D1226" s="25" t="n">
        <x:v>11</x:v>
      </x:c>
      <x:c r="E1226" s="25" t="n">
        <x:v>173</x:v>
      </x:c>
      <x:c r="F1226" s="25" t="str">
        <x:v>霜风战靴</x:v>
      </x:c>
      <x:c r="G1226" s="25" t="n">
        <x:v>4</x:v>
      </x:c>
      <x:c r="H1226" s="25" t="str">
        <x:v>道术</x:v>
      </x:c>
      <x:c r="I1226" s="25" t="n">
        <x:v>17</x:v>
      </x:c>
      <x:c r="J1226" s="25" t="n">
        <x:v>3</x:v>
      </x:c>
      <x:c r="K1226" s="25" t="str">
        <x:v>仅装备原始基础值决定主属性范围</x:v>
      </x:c>
    </x:row>
    <x:row r="1227">
      <x:c r="A1227" s="25" t="str">
        <x:v>C09-M</x:v>
      </x:c>
      <x:c r="B1227" s="25" t="str">
        <x:v>亚坛高原</x:v>
      </x:c>
      <x:c r="C1227" s="25" t="str">
        <x:v>半急速中期</x:v>
      </x:c>
      <x:c r="D1227" s="25" t="n">
        <x:v>11</x:v>
      </x:c>
      <x:c r="E1227" s="25" t="n">
        <x:v>173</x:v>
      </x:c>
      <x:c r="F1227" s="25" t="str">
        <x:v>霜风战靴</x:v>
      </x:c>
      <x:c r="G1227" s="25" t="n">
        <x:v>5</x:v>
      </x:c>
      <x:c r="H1227" s="25" t="str">
        <x:v>暴击</x:v>
      </x:c>
      <x:c r="I1227" s="25" t="n">
        <x:v>1</x:v>
      </x:c>
      <x:c r="J1227" s="25" t="n">
        <x:v>14</x:v>
      </x:c>
      <x:c r="K1227" s="25" t="str">
        <x:v>仅装备原始基础值决定主属性范围</x:v>
      </x:c>
    </x:row>
    <x:row r="1228">
      <x:c r="A1228" s="25" t="str">
        <x:v>C09-M</x:v>
      </x:c>
      <x:c r="B1228" s="25" t="str">
        <x:v>亚坛高原</x:v>
      </x:c>
      <x:c r="C1228" s="25" t="str">
        <x:v>半急速中期</x:v>
      </x:c>
      <x:c r="D1228" s="25" t="n">
        <x:v>11</x:v>
      </x:c>
      <x:c r="E1228" s="25" t="n">
        <x:v>173</x:v>
      </x:c>
      <x:c r="F1228" s="25" t="str">
        <x:v>霜风战靴</x:v>
      </x:c>
      <x:c r="G1228" s="25" t="n">
        <x:v>6</x:v>
      </x:c>
      <x:c r="H1228" s="25" t="str">
        <x:v>伤害吸收上限</x:v>
      </x:c>
      <x:c r="I1228" s="25" t="n">
        <x:v>1</x:v>
      </x:c>
      <x:c r="J1228" s="25" t="n">
        <x:v>28</x:v>
      </x:c>
      <x:c r="K1228" s="25" t="str">
        <x:v>仅装备原始基础值决定主属性范围</x:v>
      </x:c>
    </x:row>
    <x:row r="1229">
      <x:c r="A1229" s="25" t="str">
        <x:v>C09-M</x:v>
      </x:c>
      <x:c r="B1229" s="25" t="str">
        <x:v>亚坛高原</x:v>
      </x:c>
      <x:c r="C1229" s="25" t="str">
        <x:v>半急速中期</x:v>
      </x:c>
      <x:c r="D1229" s="25" t="n">
        <x:v>11</x:v>
      </x:c>
      <x:c r="E1229" s="25" t="n">
        <x:v>173</x:v>
      </x:c>
      <x:c r="F1229" s="25" t="str">
        <x:v>霜风战靴</x:v>
      </x:c>
      <x:c r="G1229" s="25" t="n">
        <x:v>7</x:v>
      </x:c>
      <x:c r="H1229" s="25" t="str">
        <x:v>处决伤害</x:v>
      </x:c>
      <x:c r="I1229" s="25" t="n">
        <x:v>2</x:v>
      </x:c>
      <x:c r="J1229" s="25" t="n">
        <x:v>11</x:v>
      </x:c>
      <x:c r="K1229" s="25" t="str">
        <x:v>仅装备原始基础值决定主属性范围</x:v>
      </x:c>
    </x:row>
    <x:row r="1230">
      <x:c r="A1230" s="25" t="str">
        <x:v>C09-G</x:v>
      </x:c>
      <x:c r="B1230" s="25" t="str">
        <x:v>亚坛高原</x:v>
      </x:c>
      <x:c r="C1230" s="25" t="str">
        <x:v>半急速毕业</x:v>
      </x:c>
      <x:c r="D1230" s="25" t="n">
        <x:v>0</x:v>
      </x:c>
      <x:c r="E1230" s="25" t="n">
        <x:v>189</x:v>
      </x:c>
      <x:c r="F1230" s="25" t="str">
        <x:v>鎏苔守陵衣</x:v>
      </x:c>
      <x:c r="G1230" s="25" t="n">
        <x:v>1</x:v>
      </x:c>
      <x:c r="H1230" s="25" t="str">
        <x:v>道术</x:v>
      </x:c>
      <x:c r="I1230" s="25" t="n">
        <x:v>606</x:v>
      </x:c>
      <x:c r="J1230" s="25" t="n">
        <x:v>3</x:v>
      </x:c>
      <x:c r="K1230" s="25" t="str">
        <x:v>仅装备原始基础值决定主属性范围</x:v>
      </x:c>
    </x:row>
    <x:row r="1231">
      <x:c r="A1231" s="25" t="str">
        <x:v>C09-G</x:v>
      </x:c>
      <x:c r="B1231" s="25" t="str">
        <x:v>亚坛高原</x:v>
      </x:c>
      <x:c r="C1231" s="25" t="str">
        <x:v>半急速毕业</x:v>
      </x:c>
      <x:c r="D1231" s="25" t="n">
        <x:v>0</x:v>
      </x:c>
      <x:c r="E1231" s="25" t="n">
        <x:v>189</x:v>
      </x:c>
      <x:c r="F1231" s="25" t="str">
        <x:v>鎏苔守陵衣</x:v>
      </x:c>
      <x:c r="G1231" s="25" t="n">
        <x:v>2</x:v>
      </x:c>
      <x:c r="H1231" s="25" t="str">
        <x:v>伤害吸收上限</x:v>
      </x:c>
      <x:c r="I1231" s="25" t="n">
        <x:v>3</x:v>
      </x:c>
      <x:c r="J1231" s="25" t="n">
        <x:v>30</x:v>
      </x:c>
      <x:c r="K1231" s="25" t="str">
        <x:v>仅装备原始基础值决定主属性范围</x:v>
      </x:c>
    </x:row>
    <x:row r="1232">
      <x:c r="A1232" s="25" t="str">
        <x:v>C09-G</x:v>
      </x:c>
      <x:c r="B1232" s="25" t="str">
        <x:v>亚坛高原</x:v>
      </x:c>
      <x:c r="C1232" s="25" t="str">
        <x:v>半急速毕业</x:v>
      </x:c>
      <x:c r="D1232" s="25" t="n">
        <x:v>0</x:v>
      </x:c>
      <x:c r="E1232" s="25" t="n">
        <x:v>189</x:v>
      </x:c>
      <x:c r="F1232" s="25" t="str">
        <x:v>鎏苔守陵衣</x:v>
      </x:c>
      <x:c r="G1232" s="25" t="n">
        <x:v>3</x:v>
      </x:c>
      <x:c r="H1232" s="25" t="str">
        <x:v>攻击速度</x:v>
      </x:c>
      <x:c r="I1232" s="25" t="n">
        <x:v>2</x:v>
      </x:c>
      <x:c r="J1232" s="25" t="n">
        <x:v>5</x:v>
      </x:c>
      <x:c r="K1232" s="25" t="str">
        <x:v>仅装备原始基础值决定主属性范围</x:v>
      </x:c>
    </x:row>
    <x:row r="1233">
      <x:c r="A1233" s="25" t="str">
        <x:v>C09-G</x:v>
      </x:c>
      <x:c r="B1233" s="25" t="str">
        <x:v>亚坛高原</x:v>
      </x:c>
      <x:c r="C1233" s="25" t="str">
        <x:v>半急速毕业</x:v>
      </x:c>
      <x:c r="D1233" s="25" t="n">
        <x:v>0</x:v>
      </x:c>
      <x:c r="E1233" s="25" t="n">
        <x:v>189</x:v>
      </x:c>
      <x:c r="F1233" s="25" t="str">
        <x:v>鎏苔守陵衣</x:v>
      </x:c>
      <x:c r="G1233" s="25" t="n">
        <x:v>4</x:v>
      </x:c>
      <x:c r="H1233" s="25" t="str">
        <x:v>暴击</x:v>
      </x:c>
      <x:c r="I1233" s="25" t="n">
        <x:v>2</x:v>
      </x:c>
      <x:c r="J1233" s="25" t="n">
        <x:v>15</x:v>
      </x:c>
      <x:c r="K1233" s="25" t="str">
        <x:v>仅装备原始基础值决定主属性范围</x:v>
      </x:c>
    </x:row>
    <x:row r="1234">
      <x:c r="A1234" s="25" t="str">
        <x:v>C09-G</x:v>
      </x:c>
      <x:c r="B1234" s="25" t="str">
        <x:v>亚坛高原</x:v>
      </x:c>
      <x:c r="C1234" s="25" t="str">
        <x:v>半急速毕业</x:v>
      </x:c>
      <x:c r="D1234" s="25" t="n">
        <x:v>0</x:v>
      </x:c>
      <x:c r="E1234" s="25" t="n">
        <x:v>189</x:v>
      </x:c>
      <x:c r="F1234" s="25" t="str">
        <x:v>鎏苔守陵衣</x:v>
      </x:c>
      <x:c r="G1234" s="25" t="n">
        <x:v>5</x:v>
      </x:c>
      <x:c r="H1234" s="25" t="str">
        <x:v>攻击速度</x:v>
      </x:c>
      <x:c r="I1234" s="25" t="n">
        <x:v>1</x:v>
      </x:c>
      <x:c r="J1234" s="25" t="n">
        <x:v>4</x:v>
      </x:c>
      <x:c r="K1234" s="25" t="str">
        <x:v>仅装备原始基础值决定主属性范围</x:v>
      </x:c>
    </x:row>
    <x:row r="1235">
      <x:c r="A1235" s="25" t="str">
        <x:v>C09-G</x:v>
      </x:c>
      <x:c r="B1235" s="25" t="str">
        <x:v>亚坛高原</x:v>
      </x:c>
      <x:c r="C1235" s="25" t="str">
        <x:v>半急速毕业</x:v>
      </x:c>
      <x:c r="D1235" s="25" t="n">
        <x:v>0</x:v>
      </x:c>
      <x:c r="E1235" s="25" t="n">
        <x:v>189</x:v>
      </x:c>
      <x:c r="F1235" s="25" t="str">
        <x:v>鎏苔守陵衣</x:v>
      </x:c>
      <x:c r="G1235" s="25" t="n">
        <x:v>6</x:v>
      </x:c>
      <x:c r="H1235" s="25" t="str">
        <x:v>魔法</x:v>
      </x:c>
      <x:c r="I1235" s="25" t="n">
        <x:v>474</x:v>
      </x:c>
      <x:c r="J1235" s="25" t="n">
        <x:v>2</x:v>
      </x:c>
      <x:c r="K1235" s="25" t="str">
        <x:v>仅装备原始基础值决定主属性范围</x:v>
      </x:c>
    </x:row>
    <x:row r="1236">
      <x:c r="A1236" s="25" t="str">
        <x:v>C09-G</x:v>
      </x:c>
      <x:c r="B1236" s="25" t="str">
        <x:v>亚坛高原</x:v>
      </x:c>
      <x:c r="C1236" s="25" t="str">
        <x:v>半急速毕业</x:v>
      </x:c>
      <x:c r="D1236" s="25" t="n">
        <x:v>0</x:v>
      </x:c>
      <x:c r="E1236" s="25" t="n">
        <x:v>189</x:v>
      </x:c>
      <x:c r="F1236" s="25" t="str">
        <x:v>鎏苔守陵衣</x:v>
      </x:c>
      <x:c r="G1236" s="25" t="n">
        <x:v>7</x:v>
      </x:c>
      <x:c r="H1236" s="25" t="str">
        <x:v>道术</x:v>
      </x:c>
      <x:c r="I1236" s="25" t="n">
        <x:v>590</x:v>
      </x:c>
      <x:c r="J1236" s="25" t="n">
        <x:v>3</x:v>
      </x:c>
      <x:c r="K1236" s="25" t="str">
        <x:v>仅装备原始基础值决定主属性范围</x:v>
      </x:c>
    </x:row>
    <x:row r="1237">
      <x:c r="A1237" s="25" t="str">
        <x:v>C09-G</x:v>
      </x:c>
      <x:c r="B1237" s="25" t="str">
        <x:v>亚坛高原</x:v>
      </x:c>
      <x:c r="C1237" s="25" t="str">
        <x:v>半急速毕业</x:v>
      </x:c>
      <x:c r="D1237" s="25" t="n">
        <x:v>1</x:v>
      </x:c>
      <x:c r="E1237" s="25" t="n">
        <x:v>188</x:v>
      </x:c>
      <x:c r="F1237" s="25" t="str">
        <x:v>黄金律裁阳刃</x:v>
      </x:c>
      <x:c r="G1237" s="25" t="n">
        <x:v>1</x:v>
      </x:c>
      <x:c r="H1237" s="25" t="str">
        <x:v>致命一击</x:v>
      </x:c>
      <x:c r="I1237" s="25" t="n">
        <x:v>1</x:v>
      </x:c>
      <x:c r="J1237" s="25" t="n">
        <x:v>16</x:v>
      </x:c>
      <x:c r="K1237" s="25" t="str">
        <x:v>仅装备原始基础值决定主属性范围</x:v>
      </x:c>
    </x:row>
    <x:row r="1238">
      <x:c r="A1238" s="25" t="str">
        <x:v>C09-G</x:v>
      </x:c>
      <x:c r="B1238" s="25" t="str">
        <x:v>亚坛高原</x:v>
      </x:c>
      <x:c r="C1238" s="25" t="str">
        <x:v>半急速毕业</x:v>
      </x:c>
      <x:c r="D1238" s="25" t="n">
        <x:v>1</x:v>
      </x:c>
      <x:c r="E1238" s="25" t="n">
        <x:v>188</x:v>
      </x:c>
      <x:c r="F1238" s="25" t="str">
        <x:v>黄金律裁阳刃</x:v>
      </x:c>
      <x:c r="G1238" s="25" t="n">
        <x:v>2</x:v>
      </x:c>
      <x:c r="H1238" s="25" t="str">
        <x:v>致命一击</x:v>
      </x:c>
      <x:c r="I1238" s="25" t="n">
        <x:v>1</x:v>
      </x:c>
      <x:c r="J1238" s="25" t="n">
        <x:v>16</x:v>
      </x:c>
      <x:c r="K1238" s="25" t="str">
        <x:v>仅装备原始基础值决定主属性范围</x:v>
      </x:c>
    </x:row>
    <x:row r="1239">
      <x:c r="A1239" s="25" t="str">
        <x:v>C09-G</x:v>
      </x:c>
      <x:c r="B1239" s="25" t="str">
        <x:v>亚坛高原</x:v>
      </x:c>
      <x:c r="C1239" s="25" t="str">
        <x:v>半急速毕业</x:v>
      </x:c>
      <x:c r="D1239" s="25" t="n">
        <x:v>1</x:v>
      </x:c>
      <x:c r="E1239" s="25" t="n">
        <x:v>188</x:v>
      </x:c>
      <x:c r="F1239" s="25" t="str">
        <x:v>黄金律裁阳刃</x:v>
      </x:c>
      <x:c r="G1239" s="25" t="n">
        <x:v>3</x:v>
      </x:c>
      <x:c r="H1239" s="25" t="str">
        <x:v>攻击</x:v>
      </x:c>
      <x:c r="I1239" s="25" t="n">
        <x:v>5195</x:v>
      </x:c>
      <x:c r="J1239" s="25" t="n">
        <x:v>1</x:v>
      </x:c>
      <x:c r="K1239" s="25" t="str">
        <x:v>仅装备原始基础值决定主属性范围</x:v>
      </x:c>
    </x:row>
    <x:row r="1240">
      <x:c r="A1240" s="25" t="str">
        <x:v>C09-G</x:v>
      </x:c>
      <x:c r="B1240" s="25" t="str">
        <x:v>亚坛高原</x:v>
      </x:c>
      <x:c r="C1240" s="25" t="str">
        <x:v>半急速毕业</x:v>
      </x:c>
      <x:c r="D1240" s="25" t="n">
        <x:v>1</x:v>
      </x:c>
      <x:c r="E1240" s="25" t="n">
        <x:v>188</x:v>
      </x:c>
      <x:c r="F1240" s="25" t="str">
        <x:v>黄金律裁阳刃</x:v>
      </x:c>
      <x:c r="G1240" s="25" t="n">
        <x:v>4</x:v>
      </x:c>
      <x:c r="H1240" s="25" t="str">
        <x:v>吸血</x:v>
      </x:c>
      <x:c r="I1240" s="25" t="n">
        <x:v>1</x:v>
      </x:c>
      <x:c r="J1240" s="25" t="n">
        <x:v>20</x:v>
      </x:c>
      <x:c r="K1240" s="25" t="str">
        <x:v>仅装备原始基础值决定主属性范围</x:v>
      </x:c>
    </x:row>
    <x:row r="1241">
      <x:c r="A1241" s="25" t="str">
        <x:v>C09-G</x:v>
      </x:c>
      <x:c r="B1241" s="25" t="str">
        <x:v>亚坛高原</x:v>
      </x:c>
      <x:c r="C1241" s="25" t="str">
        <x:v>半急速毕业</x:v>
      </x:c>
      <x:c r="D1241" s="25" t="n">
        <x:v>1</x:v>
      </x:c>
      <x:c r="E1241" s="25" t="n">
        <x:v>188</x:v>
      </x:c>
      <x:c r="F1241" s="25" t="str">
        <x:v>黄金律裁阳刃</x:v>
      </x:c>
      <x:c r="G1241" s="25" t="n">
        <x:v>5</x:v>
      </x:c>
      <x:c r="H1241" s="25" t="str">
        <x:v>吸血</x:v>
      </x:c>
      <x:c r="I1241" s="25" t="n">
        <x:v>1</x:v>
      </x:c>
      <x:c r="J1241" s="25" t="n">
        <x:v>20</x:v>
      </x:c>
      <x:c r="K1241" s="25" t="str">
        <x:v>仅装备原始基础值决定主属性范围</x:v>
      </x:c>
    </x:row>
    <x:row r="1242">
      <x:c r="A1242" s="25" t="str">
        <x:v>C09-G</x:v>
      </x:c>
      <x:c r="B1242" s="25" t="str">
        <x:v>亚坛高原</x:v>
      </x:c>
      <x:c r="C1242" s="25" t="str">
        <x:v>半急速毕业</x:v>
      </x:c>
      <x:c r="D1242" s="25" t="n">
        <x:v>1</x:v>
      </x:c>
      <x:c r="E1242" s="25" t="n">
        <x:v>188</x:v>
      </x:c>
      <x:c r="F1242" s="25" t="str">
        <x:v>黄金律裁阳刃</x:v>
      </x:c>
      <x:c r="G1242" s="25" t="n">
        <x:v>6</x:v>
      </x:c>
      <x:c r="H1242" s="25" t="str">
        <x:v>韧性</x:v>
      </x:c>
      <x:c r="I1242" s="25" t="n">
        <x:v>10</x:v>
      </x:c>
      <x:c r="J1242" s="25" t="n">
        <x:v>12</x:v>
      </x:c>
      <x:c r="K1242" s="25" t="str">
        <x:v>仅装备原始基础值决定主属性范围</x:v>
      </x:c>
    </x:row>
    <x:row r="1243">
      <x:c r="A1243" s="25" t="str">
        <x:v>C09-G</x:v>
      </x:c>
      <x:c r="B1243" s="25" t="str">
        <x:v>亚坛高原</x:v>
      </x:c>
      <x:c r="C1243" s="25" t="str">
        <x:v>半急速毕业</x:v>
      </x:c>
      <x:c r="D1243" s="25" t="n">
        <x:v>1</x:v>
      </x:c>
      <x:c r="E1243" s="25" t="n">
        <x:v>188</x:v>
      </x:c>
      <x:c r="F1243" s="25" t="str">
        <x:v>黄金律裁阳刃</x:v>
      </x:c>
      <x:c r="G1243" s="25" t="n">
        <x:v>7</x:v>
      </x:c>
      <x:c r="H1243" s="25" t="str">
        <x:v>攻击加成</x:v>
      </x:c>
      <x:c r="I1243" s="25" t="n">
        <x:v>44</x:v>
      </x:c>
      <x:c r="J1243" s="25" t="n">
        <x:v>19</x:v>
      </x:c>
      <x:c r="K1243" s="25" t="str">
        <x:v>仅装备原始基础值决定主属性范围</x:v>
      </x:c>
    </x:row>
    <x:row r="1244">
      <x:c r="A1244" s="25" t="str">
        <x:v>C09-G</x:v>
      </x:c>
      <x:c r="B1244" s="25" t="str">
        <x:v>亚坛高原</x:v>
      </x:c>
      <x:c r="C1244" s="25" t="str">
        <x:v>半急速毕业</x:v>
      </x:c>
      <x:c r="D1244" s="25" t="n">
        <x:v>3</x:v>
      </x:c>
      <x:c r="E1244" s="25" t="n">
        <x:v>177</x:v>
      </x:c>
      <x:c r="F1244" s="25" t="str">
        <x:v>白翼颈链</x:v>
      </x:c>
      <x:c r="G1244" s="25" t="n">
        <x:v>1</x:v>
      </x:c>
      <x:c r="H1244" s="25" t="str">
        <x:v>处决伤害</x:v>
      </x:c>
      <x:c r="I1244" s="25" t="n">
        <x:v>1</x:v>
      </x:c>
      <x:c r="J1244" s="25" t="n">
        <x:v>10</x:v>
      </x:c>
      <x:c r="K1244" s="25" t="str">
        <x:v>仅装备原始基础值决定主属性范围</x:v>
      </x:c>
    </x:row>
    <x:row r="1245">
      <x:c r="A1245" s="25" t="str">
        <x:v>C09-G</x:v>
      </x:c>
      <x:c r="B1245" s="25" t="str">
        <x:v>亚坛高原</x:v>
      </x:c>
      <x:c r="C1245" s="25" t="str">
        <x:v>半急速毕业</x:v>
      </x:c>
      <x:c r="D1245" s="25" t="n">
        <x:v>3</x:v>
      </x:c>
      <x:c r="E1245" s="25" t="n">
        <x:v>177</x:v>
      </x:c>
      <x:c r="F1245" s="25" t="str">
        <x:v>白翼颈链</x:v>
      </x:c>
      <x:c r="G1245" s="25" t="n">
        <x:v>2</x:v>
      </x:c>
      <x:c r="H1245" s="25" t="str">
        <x:v>攻击</x:v>
      </x:c>
      <x:c r="I1245" s="25" t="n">
        <x:v>650</x:v>
      </x:c>
      <x:c r="J1245" s="25" t="n">
        <x:v>1</x:v>
      </x:c>
      <x:c r="K1245" s="25" t="str">
        <x:v>仅装备原始基础值决定主属性范围</x:v>
      </x:c>
    </x:row>
    <x:row r="1246">
      <x:c r="A1246" s="25" t="str">
        <x:v>C09-G</x:v>
      </x:c>
      <x:c r="B1246" s="25" t="str">
        <x:v>亚坛高原</x:v>
      </x:c>
      <x:c r="C1246" s="25" t="str">
        <x:v>半急速毕业</x:v>
      </x:c>
      <x:c r="D1246" s="25" t="n">
        <x:v>3</x:v>
      </x:c>
      <x:c r="E1246" s="25" t="n">
        <x:v>177</x:v>
      </x:c>
      <x:c r="F1246" s="25" t="str">
        <x:v>白翼颈链</x:v>
      </x:c>
      <x:c r="G1246" s="25" t="n">
        <x:v>3</x:v>
      </x:c>
      <x:c r="H1246" s="25" t="str">
        <x:v>处决伤害</x:v>
      </x:c>
      <x:c r="I1246" s="25" t="n">
        <x:v>1</x:v>
      </x:c>
      <x:c r="J1246" s="25" t="n">
        <x:v>10</x:v>
      </x:c>
      <x:c r="K1246" s="25" t="str">
        <x:v>仅装备原始基础值决定主属性范围</x:v>
      </x:c>
    </x:row>
    <x:row r="1247">
      <x:c r="A1247" s="25" t="str">
        <x:v>C09-G</x:v>
      </x:c>
      <x:c r="B1247" s="25" t="str">
        <x:v>亚坛高原</x:v>
      </x:c>
      <x:c r="C1247" s="25" t="str">
        <x:v>半急速毕业</x:v>
      </x:c>
      <x:c r="D1247" s="25" t="n">
        <x:v>3</x:v>
      </x:c>
      <x:c r="E1247" s="25" t="n">
        <x:v>177</x:v>
      </x:c>
      <x:c r="F1247" s="25" t="str">
        <x:v>白翼颈链</x:v>
      </x:c>
      <x:c r="G1247" s="25" t="n">
        <x:v>4</x:v>
      </x:c>
      <x:c r="H1247" s="25" t="str">
        <x:v>处决概率</x:v>
      </x:c>
      <x:c r="I1247" s="25" t="n">
        <x:v>2</x:v>
      </x:c>
      <x:c r="J1247" s="25" t="n">
        <x:v>7</x:v>
      </x:c>
      <x:c r="K1247" s="25" t="str">
        <x:v>仅装备原始基础值决定主属性范围</x:v>
      </x:c>
    </x:row>
    <x:row r="1248">
      <x:c r="A1248" s="25" t="str">
        <x:v>C09-G</x:v>
      </x:c>
      <x:c r="B1248" s="25" t="str">
        <x:v>亚坛高原</x:v>
      </x:c>
      <x:c r="C1248" s="25" t="str">
        <x:v>半急速毕业</x:v>
      </x:c>
      <x:c r="D1248" s="25" t="n">
        <x:v>3</x:v>
      </x:c>
      <x:c r="E1248" s="25" t="n">
        <x:v>177</x:v>
      </x:c>
      <x:c r="F1248" s="25" t="str">
        <x:v>白翼颈链</x:v>
      </x:c>
      <x:c r="G1248" s="25" t="n">
        <x:v>5</x:v>
      </x:c>
      <x:c r="H1248" s="25" t="str">
        <x:v>攻击</x:v>
      </x:c>
      <x:c r="I1248" s="25" t="n">
        <x:v>430</x:v>
      </x:c>
      <x:c r="J1248" s="25" t="n">
        <x:v>1</x:v>
      </x:c>
      <x:c r="K1248" s="25" t="str">
        <x:v>仅装备原始基础值决定主属性范围</x:v>
      </x:c>
    </x:row>
    <x:row r="1249">
      <x:c r="A1249" s="25" t="str">
        <x:v>C09-G</x:v>
      </x:c>
      <x:c r="B1249" s="25" t="str">
        <x:v>亚坛高原</x:v>
      </x:c>
      <x:c r="C1249" s="25" t="str">
        <x:v>半急速毕业</x:v>
      </x:c>
      <x:c r="D1249" s="25" t="n">
        <x:v>4</x:v>
      </x:c>
      <x:c r="E1249" s="25" t="n">
        <x:v>190</x:v>
      </x:c>
      <x:c r="F1249" s="25" t="str">
        <x:v>芙蕾冰冠</x:v>
      </x:c>
      <x:c r="G1249" s="25" t="n">
        <x:v>1</x:v>
      </x:c>
      <x:c r="H1249" s="25" t="str">
        <x:v>攻击速度</x:v>
      </x:c>
      <x:c r="I1249" s="25" t="n">
        <x:v>1</x:v>
      </x:c>
      <x:c r="J1249" s="25" t="n">
        <x:v>4</x:v>
      </x:c>
      <x:c r="K1249" s="25" t="str">
        <x:v>仅装备原始基础值决定主属性范围</x:v>
      </x:c>
    </x:row>
    <x:row r="1250">
      <x:c r="A1250" s="25" t="str">
        <x:v>C09-G</x:v>
      </x:c>
      <x:c r="B1250" s="25" t="str">
        <x:v>亚坛高原</x:v>
      </x:c>
      <x:c r="C1250" s="25" t="str">
        <x:v>半急速毕业</x:v>
      </x:c>
      <x:c r="D1250" s="25" t="n">
        <x:v>4</x:v>
      </x:c>
      <x:c r="E1250" s="25" t="n">
        <x:v>190</x:v>
      </x:c>
      <x:c r="F1250" s="25" t="str">
        <x:v>芙蕾冰冠</x:v>
      </x:c>
      <x:c r="G1250" s="25" t="n">
        <x:v>2</x:v>
      </x:c>
      <x:c r="H1250" s="25" t="str">
        <x:v>攻击</x:v>
      </x:c>
      <x:c r="I1250" s="25" t="n">
        <x:v>537</x:v>
      </x:c>
      <x:c r="J1250" s="25" t="n">
        <x:v>1</x:v>
      </x:c>
      <x:c r="K1250" s="25" t="str">
        <x:v>仅装备原始基础值决定主属性范围</x:v>
      </x:c>
    </x:row>
    <x:row r="1251">
      <x:c r="A1251" s="25" t="str">
        <x:v>C09-G</x:v>
      </x:c>
      <x:c r="B1251" s="25" t="str">
        <x:v>亚坛高原</x:v>
      </x:c>
      <x:c r="C1251" s="25" t="str">
        <x:v>半急速毕业</x:v>
      </x:c>
      <x:c r="D1251" s="25" t="n">
        <x:v>4</x:v>
      </x:c>
      <x:c r="E1251" s="25" t="n">
        <x:v>190</x:v>
      </x:c>
      <x:c r="F1251" s="25" t="str">
        <x:v>芙蕾冰冠</x:v>
      </x:c>
      <x:c r="G1251" s="25" t="n">
        <x:v>3</x:v>
      </x:c>
      <x:c r="H1251" s="25" t="str">
        <x:v>伤害系数</x:v>
      </x:c>
      <x:c r="I1251" s="25" t="n">
        <x:v>1</x:v>
      </x:c>
      <x:c r="J1251" s="25" t="n">
        <x:v>25</x:v>
      </x:c>
      <x:c r="K1251" s="25" t="str">
        <x:v>仅装备原始基础值决定主属性范围</x:v>
      </x:c>
    </x:row>
    <x:row r="1252">
      <x:c r="A1252" s="25" t="str">
        <x:v>C09-G</x:v>
      </x:c>
      <x:c r="B1252" s="25" t="str">
        <x:v>亚坛高原</x:v>
      </x:c>
      <x:c r="C1252" s="25" t="str">
        <x:v>半急速毕业</x:v>
      </x:c>
      <x:c r="D1252" s="25" t="n">
        <x:v>4</x:v>
      </x:c>
      <x:c r="E1252" s="25" t="n">
        <x:v>190</x:v>
      </x:c>
      <x:c r="F1252" s="25" t="str">
        <x:v>芙蕾冰冠</x:v>
      </x:c>
      <x:c r="G1252" s="25" t="n">
        <x:v>4</x:v>
      </x:c>
      <x:c r="H1252" s="25" t="str">
        <x:v>吸血</x:v>
      </x:c>
      <x:c r="I1252" s="25" t="n">
        <x:v>1</x:v>
      </x:c>
      <x:c r="J1252" s="25" t="n">
        <x:v>20</x:v>
      </x:c>
      <x:c r="K1252" s="25" t="str">
        <x:v>仅装备原始基础值决定主属性范围</x:v>
      </x:c>
    </x:row>
    <x:row r="1253">
      <x:c r="A1253" s="25" t="str">
        <x:v>C09-G</x:v>
      </x:c>
      <x:c r="B1253" s="25" t="str">
        <x:v>亚坛高原</x:v>
      </x:c>
      <x:c r="C1253" s="25" t="str">
        <x:v>半急速毕业</x:v>
      </x:c>
      <x:c r="D1253" s="25" t="n">
        <x:v>4</x:v>
      </x:c>
      <x:c r="E1253" s="25" t="n">
        <x:v>190</x:v>
      </x:c>
      <x:c r="F1253" s="25" t="str">
        <x:v>芙蕾冰冠</x:v>
      </x:c>
      <x:c r="G1253" s="25" t="n">
        <x:v>5</x:v>
      </x:c>
      <x:c r="H1253" s="25" t="str">
        <x:v>魔法</x:v>
      </x:c>
      <x:c r="I1253" s="25" t="n">
        <x:v>335</x:v>
      </x:c>
      <x:c r="J1253" s="25" t="n">
        <x:v>2</x:v>
      </x:c>
      <x:c r="K1253" s="25" t="str">
        <x:v>仅装备原始基础值决定主属性范围</x:v>
      </x:c>
    </x:row>
    <x:row r="1254">
      <x:c r="A1254" s="25" t="str">
        <x:v>C09-G</x:v>
      </x:c>
      <x:c r="B1254" s="25" t="str">
        <x:v>亚坛高原</x:v>
      </x:c>
      <x:c r="C1254" s="25" t="str">
        <x:v>半急速毕业</x:v>
      </x:c>
      <x:c r="D1254" s="25" t="n">
        <x:v>5</x:v>
      </x:c>
      <x:c r="E1254" s="25" t="n">
        <x:v>192</x:v>
      </x:c>
      <x:c r="F1254" s="25" t="str">
        <x:v>残斧魂腕环</x:v>
      </x:c>
      <x:c r="G1254" s="25" t="n">
        <x:v>1</x:v>
      </x:c>
      <x:c r="H1254" s="25" t="str">
        <x:v>魔法</x:v>
      </x:c>
      <x:c r="I1254" s="25" t="n">
        <x:v>218</x:v>
      </x:c>
      <x:c r="J1254" s="25" t="n">
        <x:v>2</x:v>
      </x:c>
      <x:c r="K1254" s="25" t="str">
        <x:v>仅装备原始基础值决定主属性范围</x:v>
      </x:c>
    </x:row>
    <x:row r="1255">
      <x:c r="A1255" s="25" t="str">
        <x:v>C09-G</x:v>
      </x:c>
      <x:c r="B1255" s="25" t="str">
        <x:v>亚坛高原</x:v>
      </x:c>
      <x:c r="C1255" s="25" t="str">
        <x:v>半急速毕业</x:v>
      </x:c>
      <x:c r="D1255" s="25" t="n">
        <x:v>5</x:v>
      </x:c>
      <x:c r="E1255" s="25" t="n">
        <x:v>192</x:v>
      </x:c>
      <x:c r="F1255" s="25" t="str">
        <x:v>残斧魂腕环</x:v>
      </x:c>
      <x:c r="G1255" s="25" t="n">
        <x:v>2</x:v>
      </x:c>
      <x:c r="H1255" s="25" t="str">
        <x:v>攻击</x:v>
      </x:c>
      <x:c r="I1255" s="25" t="n">
        <x:v>843</x:v>
      </x:c>
      <x:c r="J1255" s="25" t="n">
        <x:v>1</x:v>
      </x:c>
      <x:c r="K1255" s="25" t="str">
        <x:v>仅装备原始基础值决定主属性范围</x:v>
      </x:c>
    </x:row>
    <x:row r="1256">
      <x:c r="A1256" s="25" t="str">
        <x:v>C09-G</x:v>
      </x:c>
      <x:c r="B1256" s="25" t="str">
        <x:v>亚坛高原</x:v>
      </x:c>
      <x:c r="C1256" s="25" t="str">
        <x:v>半急速毕业</x:v>
      </x:c>
      <x:c r="D1256" s="25" t="n">
        <x:v>5</x:v>
      </x:c>
      <x:c r="E1256" s="25" t="n">
        <x:v>192</x:v>
      </x:c>
      <x:c r="F1256" s="25" t="str">
        <x:v>残斧魂腕环</x:v>
      </x:c>
      <x:c r="G1256" s="25" t="n">
        <x:v>3</x:v>
      </x:c>
      <x:c r="H1256" s="25" t="str">
        <x:v>攻击</x:v>
      </x:c>
      <x:c r="I1256" s="25" t="n">
        <x:v>23</x:v>
      </x:c>
      <x:c r="J1256" s="25" t="n">
        <x:v>1</x:v>
      </x:c>
      <x:c r="K1256" s="25" t="str">
        <x:v>仅装备原始基础值决定主属性范围</x:v>
      </x:c>
    </x:row>
    <x:row r="1257">
      <x:c r="A1257" s="25" t="str">
        <x:v>C09-G</x:v>
      </x:c>
      <x:c r="B1257" s="25" t="str">
        <x:v>亚坛高原</x:v>
      </x:c>
      <x:c r="C1257" s="25" t="str">
        <x:v>半急速毕业</x:v>
      </x:c>
      <x:c r="D1257" s="25" t="n">
        <x:v>5</x:v>
      </x:c>
      <x:c r="E1257" s="25" t="n">
        <x:v>192</x:v>
      </x:c>
      <x:c r="F1257" s="25" t="str">
        <x:v>残斧魂腕环</x:v>
      </x:c>
      <x:c r="G1257" s="25" t="n">
        <x:v>4</x:v>
      </x:c>
      <x:c r="H1257" s="25" t="str">
        <x:v>韧性</x:v>
      </x:c>
      <x:c r="I1257" s="25" t="n">
        <x:v>10</x:v>
      </x:c>
      <x:c r="J1257" s="25" t="n">
        <x:v>12</x:v>
      </x:c>
      <x:c r="K1257" s="25" t="str">
        <x:v>仅装备原始基础值决定主属性范围</x:v>
      </x:c>
    </x:row>
    <x:row r="1258">
      <x:c r="A1258" s="25" t="str">
        <x:v>C09-G</x:v>
      </x:c>
      <x:c r="B1258" s="25" t="str">
        <x:v>亚坛高原</x:v>
      </x:c>
      <x:c r="C1258" s="25" t="str">
        <x:v>半急速毕业</x:v>
      </x:c>
      <x:c r="D1258" s="25" t="n">
        <x:v>5</x:v>
      </x:c>
      <x:c r="E1258" s="25" t="n">
        <x:v>192</x:v>
      </x:c>
      <x:c r="F1258" s="25" t="str">
        <x:v>残斧魂腕环</x:v>
      </x:c>
      <x:c r="G1258" s="25" t="n">
        <x:v>5</x:v>
      </x:c>
      <x:c r="H1258" s="25" t="str">
        <x:v>魔法</x:v>
      </x:c>
      <x:c r="I1258" s="25" t="n">
        <x:v>634</x:v>
      </x:c>
      <x:c r="J1258" s="25" t="n">
        <x:v>2</x:v>
      </x:c>
      <x:c r="K1258" s="25" t="str">
        <x:v>仅装备原始基础值决定主属性范围</x:v>
      </x:c>
    </x:row>
    <x:row r="1259">
      <x:c r="A1259" s="25" t="str">
        <x:v>C09-G</x:v>
      </x:c>
      <x:c r="B1259" s="25" t="str">
        <x:v>亚坛高原</x:v>
      </x:c>
      <x:c r="C1259" s="25" t="str">
        <x:v>半急速毕业</x:v>
      </x:c>
      <x:c r="D1259" s="25" t="n">
        <x:v>6</x:v>
      </x:c>
      <x:c r="E1259" s="25" t="n">
        <x:v>193</x:v>
      </x:c>
      <x:c r="F1259" s="25" t="str">
        <x:v>寒狱铁镯</x:v>
      </x:c>
      <x:c r="G1259" s="25" t="n">
        <x:v>1</x:v>
      </x:c>
      <x:c r="H1259" s="25" t="str">
        <x:v>魔法</x:v>
      </x:c>
      <x:c r="I1259" s="25" t="n">
        <x:v>20</x:v>
      </x:c>
      <x:c r="J1259" s="25" t="n">
        <x:v>2</x:v>
      </x:c>
      <x:c r="K1259" s="25" t="str">
        <x:v>仅装备原始基础值决定主属性范围</x:v>
      </x:c>
    </x:row>
    <x:row r="1260">
      <x:c r="A1260" s="25" t="str">
        <x:v>C09-G</x:v>
      </x:c>
      <x:c r="B1260" s="25" t="str">
        <x:v>亚坛高原</x:v>
      </x:c>
      <x:c r="C1260" s="25" t="str">
        <x:v>半急速毕业</x:v>
      </x:c>
      <x:c r="D1260" s="25" t="n">
        <x:v>6</x:v>
      </x:c>
      <x:c r="E1260" s="25" t="n">
        <x:v>193</x:v>
      </x:c>
      <x:c r="F1260" s="25" t="str">
        <x:v>寒狱铁镯</x:v>
      </x:c>
      <x:c r="G1260" s="25" t="n">
        <x:v>2</x:v>
      </x:c>
      <x:c r="H1260" s="25" t="str">
        <x:v>伤害系数</x:v>
      </x:c>
      <x:c r="I1260" s="25" t="n">
        <x:v>2</x:v>
      </x:c>
      <x:c r="J1260" s="25" t="n">
        <x:v>26</x:v>
      </x:c>
      <x:c r="K1260" s="25" t="str">
        <x:v>仅装备原始基础值决定主属性范围</x:v>
      </x:c>
    </x:row>
    <x:row r="1261">
      <x:c r="A1261" s="25" t="str">
        <x:v>C09-G</x:v>
      </x:c>
      <x:c r="B1261" s="25" t="str">
        <x:v>亚坛高原</x:v>
      </x:c>
      <x:c r="C1261" s="25" t="str">
        <x:v>半急速毕业</x:v>
      </x:c>
      <x:c r="D1261" s="25" t="n">
        <x:v>6</x:v>
      </x:c>
      <x:c r="E1261" s="25" t="n">
        <x:v>193</x:v>
      </x:c>
      <x:c r="F1261" s="25" t="str">
        <x:v>寒狱铁镯</x:v>
      </x:c>
      <x:c r="G1261" s="25" t="n">
        <x:v>3</x:v>
      </x:c>
      <x:c r="H1261" s="25" t="str">
        <x:v>攻击</x:v>
      </x:c>
      <x:c r="I1261" s="25" t="n">
        <x:v>45</x:v>
      </x:c>
      <x:c r="J1261" s="25" t="n">
        <x:v>1</x:v>
      </x:c>
      <x:c r="K1261" s="25" t="str">
        <x:v>仅装备原始基础值决定主属性范围</x:v>
      </x:c>
    </x:row>
    <x:row r="1262">
      <x:c r="A1262" s="25" t="str">
        <x:v>C09-G</x:v>
      </x:c>
      <x:c r="B1262" s="25" t="str">
        <x:v>亚坛高原</x:v>
      </x:c>
      <x:c r="C1262" s="25" t="str">
        <x:v>半急速毕业</x:v>
      </x:c>
      <x:c r="D1262" s="25" t="n">
        <x:v>6</x:v>
      </x:c>
      <x:c r="E1262" s="25" t="n">
        <x:v>193</x:v>
      </x:c>
      <x:c r="F1262" s="25" t="str">
        <x:v>寒狱铁镯</x:v>
      </x:c>
      <x:c r="G1262" s="25" t="n">
        <x:v>4</x:v>
      </x:c>
      <x:c r="H1262" s="25" t="str">
        <x:v>攻击速度</x:v>
      </x:c>
      <x:c r="I1262" s="25" t="n">
        <x:v>1</x:v>
      </x:c>
      <x:c r="J1262" s="25" t="n">
        <x:v>4</x:v>
      </x:c>
      <x:c r="K1262" s="25" t="str">
        <x:v>仅装备原始基础值决定主属性范围</x:v>
      </x:c>
    </x:row>
    <x:row r="1263">
      <x:c r="A1263" s="25" t="str">
        <x:v>C09-G</x:v>
      </x:c>
      <x:c r="B1263" s="25" t="str">
        <x:v>亚坛高原</x:v>
      </x:c>
      <x:c r="C1263" s="25" t="str">
        <x:v>半急速毕业</x:v>
      </x:c>
      <x:c r="D1263" s="25" t="n">
        <x:v>6</x:v>
      </x:c>
      <x:c r="E1263" s="25" t="n">
        <x:v>193</x:v>
      </x:c>
      <x:c r="F1263" s="25" t="str">
        <x:v>寒狱铁镯</x:v>
      </x:c>
      <x:c r="G1263" s="25" t="n">
        <x:v>5</x:v>
      </x:c>
      <x:c r="H1263" s="25" t="str">
        <x:v>处决伤害</x:v>
      </x:c>
      <x:c r="I1263" s="25" t="n">
        <x:v>2</x:v>
      </x:c>
      <x:c r="J1263" s="25" t="n">
        <x:v>11</x:v>
      </x:c>
      <x:c r="K1263" s="25" t="str">
        <x:v>仅装备原始基础值决定主属性范围</x:v>
      </x:c>
    </x:row>
    <x:row r="1264">
      <x:c r="A1264" s="25" t="str">
        <x:v>C09-G</x:v>
      </x:c>
      <x:c r="B1264" s="25" t="str">
        <x:v>亚坛高原</x:v>
      </x:c>
      <x:c r="C1264" s="25" t="str">
        <x:v>半急速毕业</x:v>
      </x:c>
      <x:c r="D1264" s="25" t="n">
        <x:v>6</x:v>
      </x:c>
      <x:c r="E1264" s="25" t="n">
        <x:v>193</x:v>
      </x:c>
      <x:c r="F1264" s="25" t="str">
        <x:v>寒狱铁镯</x:v>
      </x:c>
      <x:c r="G1264" s="25" t="n">
        <x:v>6</x:v>
      </x:c>
      <x:c r="H1264" s="25" t="str">
        <x:v>最大爆率</x:v>
      </x:c>
      <x:c r="I1264" s="25" t="n">
        <x:v>2</x:v>
      </x:c>
      <x:c r="J1264" s="25" t="n">
        <x:v>23</x:v>
      </x:c>
      <x:c r="K1264" s="25" t="str">
        <x:v>仅装备原始基础值决定主属性范围</x:v>
      </x:c>
    </x:row>
    <x:row r="1265">
      <x:c r="A1265" s="25" t="str">
        <x:v>C09-G</x:v>
      </x:c>
      <x:c r="B1265" s="25" t="str">
        <x:v>亚坛高原</x:v>
      </x:c>
      <x:c r="C1265" s="25" t="str">
        <x:v>半急速毕业</x:v>
      </x:c>
      <x:c r="D1265" s="25" t="n">
        <x:v>6</x:v>
      </x:c>
      <x:c r="E1265" s="25" t="n">
        <x:v>193</x:v>
      </x:c>
      <x:c r="F1265" s="25" t="str">
        <x:v>寒狱铁镯</x:v>
      </x:c>
      <x:c r="G1265" s="25" t="n">
        <x:v>7</x:v>
      </x:c>
      <x:c r="H1265" s="25" t="str">
        <x:v>处决概率</x:v>
      </x:c>
      <x:c r="I1265" s="25" t="n">
        <x:v>2</x:v>
      </x:c>
      <x:c r="J1265" s="25" t="n">
        <x:v>7</x:v>
      </x:c>
      <x:c r="K1265" s="25" t="str">
        <x:v>仅装备原始基础值决定主属性范围</x:v>
      </x:c>
    </x:row>
    <x:row r="1266">
      <x:c r="A1266" s="25" t="str">
        <x:v>C09-G</x:v>
      </x:c>
      <x:c r="B1266" s="25" t="str">
        <x:v>亚坛高原</x:v>
      </x:c>
      <x:c r="C1266" s="25" t="str">
        <x:v>半急速毕业</x:v>
      </x:c>
      <x:c r="D1266" s="25" t="n">
        <x:v>7</x:v>
      </x:c>
      <x:c r="E1266" s="25" t="n">
        <x:v>194</x:v>
      </x:c>
      <x:c r="F1266" s="25" t="str">
        <x:v>封誓霜纹戒</x:v>
      </x:c>
      <x:c r="G1266" s="25" t="n">
        <x:v>1</x:v>
      </x:c>
      <x:c r="H1266" s="25" t="str">
        <x:v>道术</x:v>
      </x:c>
      <x:c r="I1266" s="25" t="n">
        <x:v>554</x:v>
      </x:c>
      <x:c r="J1266" s="25" t="n">
        <x:v>3</x:v>
      </x:c>
      <x:c r="K1266" s="25" t="str">
        <x:v>仅装备原始基础值决定主属性范围</x:v>
      </x:c>
    </x:row>
    <x:row r="1267">
      <x:c r="A1267" s="25" t="str">
        <x:v>C09-G</x:v>
      </x:c>
      <x:c r="B1267" s="25" t="str">
        <x:v>亚坛高原</x:v>
      </x:c>
      <x:c r="C1267" s="25" t="str">
        <x:v>半急速毕业</x:v>
      </x:c>
      <x:c r="D1267" s="25" t="n">
        <x:v>7</x:v>
      </x:c>
      <x:c r="E1267" s="25" t="n">
        <x:v>194</x:v>
      </x:c>
      <x:c r="F1267" s="25" t="str">
        <x:v>封誓霜纹戒</x:v>
      </x:c>
      <x:c r="G1267" s="25" t="n">
        <x:v>2</x:v>
      </x:c>
      <x:c r="H1267" s="25" t="str">
        <x:v>处决概率</x:v>
      </x:c>
      <x:c r="I1267" s="25" t="n">
        <x:v>1</x:v>
      </x:c>
      <x:c r="J1267" s="25" t="n">
        <x:v>6</x:v>
      </x:c>
      <x:c r="K1267" s="25" t="str">
        <x:v>仅装备原始基础值决定主属性范围</x:v>
      </x:c>
    </x:row>
    <x:row r="1268">
      <x:c r="A1268" s="25" t="str">
        <x:v>C09-G</x:v>
      </x:c>
      <x:c r="B1268" s="25" t="str">
        <x:v>亚坛高原</x:v>
      </x:c>
      <x:c r="C1268" s="25" t="str">
        <x:v>半急速毕业</x:v>
      </x:c>
      <x:c r="D1268" s="25" t="n">
        <x:v>7</x:v>
      </x:c>
      <x:c r="E1268" s="25" t="n">
        <x:v>194</x:v>
      </x:c>
      <x:c r="F1268" s="25" t="str">
        <x:v>封誓霜纹戒</x:v>
      </x:c>
      <x:c r="G1268" s="25" t="n">
        <x:v>3</x:v>
      </x:c>
      <x:c r="H1268" s="25" t="str">
        <x:v>攻击速度</x:v>
      </x:c>
      <x:c r="I1268" s="25" t="n">
        <x:v>2</x:v>
      </x:c>
      <x:c r="J1268" s="25" t="n">
        <x:v>5</x:v>
      </x:c>
      <x:c r="K1268" s="25" t="str">
        <x:v>仅装备原始基础值决定主属性范围</x:v>
      </x:c>
    </x:row>
    <x:row r="1269">
      <x:c r="A1269" s="25" t="str">
        <x:v>C09-G</x:v>
      </x:c>
      <x:c r="B1269" s="25" t="str">
        <x:v>亚坛高原</x:v>
      </x:c>
      <x:c r="C1269" s="25" t="str">
        <x:v>半急速毕业</x:v>
      </x:c>
      <x:c r="D1269" s="25" t="n">
        <x:v>7</x:v>
      </x:c>
      <x:c r="E1269" s="25" t="n">
        <x:v>194</x:v>
      </x:c>
      <x:c r="F1269" s="25" t="str">
        <x:v>封誓霜纹戒</x:v>
      </x:c>
      <x:c r="G1269" s="25" t="n">
        <x:v>4</x:v>
      </x:c>
      <x:c r="H1269" s="25" t="str">
        <x:v>攻击加成</x:v>
      </x:c>
      <x:c r="I1269" s="25" t="n">
        <x:v>13</x:v>
      </x:c>
      <x:c r="J1269" s="25" t="n">
        <x:v>18</x:v>
      </x:c>
      <x:c r="K1269" s="25" t="str">
        <x:v>仅装备原始基础值决定主属性范围</x:v>
      </x:c>
    </x:row>
    <x:row r="1270">
      <x:c r="A1270" s="25" t="str">
        <x:v>C09-G</x:v>
      </x:c>
      <x:c r="B1270" s="25" t="str">
        <x:v>亚坛高原</x:v>
      </x:c>
      <x:c r="C1270" s="25" t="str">
        <x:v>半急速毕业</x:v>
      </x:c>
      <x:c r="D1270" s="25" t="n">
        <x:v>7</x:v>
      </x:c>
      <x:c r="E1270" s="25" t="n">
        <x:v>194</x:v>
      </x:c>
      <x:c r="F1270" s="25" t="str">
        <x:v>封誓霜纹戒</x:v>
      </x:c>
      <x:c r="G1270" s="25" t="n">
        <x:v>5</x:v>
      </x:c>
      <x:c r="H1270" s="25" t="str">
        <x:v>吸血</x:v>
      </x:c>
      <x:c r="I1270" s="25" t="n">
        <x:v>1</x:v>
      </x:c>
      <x:c r="J1270" s="25" t="n">
        <x:v>20</x:v>
      </x:c>
      <x:c r="K1270" s="25" t="str">
        <x:v>仅装备原始基础值决定主属性范围</x:v>
      </x:c>
    </x:row>
    <x:row r="1271">
      <x:c r="A1271" s="25" t="str">
        <x:v>C09-G</x:v>
      </x:c>
      <x:c r="B1271" s="25" t="str">
        <x:v>亚坛高原</x:v>
      </x:c>
      <x:c r="C1271" s="25" t="str">
        <x:v>半急速毕业</x:v>
      </x:c>
      <x:c r="D1271" s="25" t="n">
        <x:v>7</x:v>
      </x:c>
      <x:c r="E1271" s="25" t="n">
        <x:v>194</x:v>
      </x:c>
      <x:c r="F1271" s="25" t="str">
        <x:v>封誓霜纹戒</x:v>
      </x:c>
      <x:c r="G1271" s="25" t="n">
        <x:v>6</x:v>
      </x:c>
      <x:c r="H1271" s="25" t="str">
        <x:v>致命一击</x:v>
      </x:c>
      <x:c r="I1271" s="25" t="n">
        <x:v>1</x:v>
      </x:c>
      <x:c r="J1271" s="25" t="n">
        <x:v>16</x:v>
      </x:c>
      <x:c r="K1271" s="25" t="str">
        <x:v>仅装备原始基础值决定主属性范围</x:v>
      </x:c>
    </x:row>
    <x:row r="1272">
      <x:c r="A1272" s="25" t="str">
        <x:v>C09-G</x:v>
      </x:c>
      <x:c r="B1272" s="25" t="str">
        <x:v>亚坛高原</x:v>
      </x:c>
      <x:c r="C1272" s="25" t="str">
        <x:v>半急速毕业</x:v>
      </x:c>
      <x:c r="D1272" s="25" t="n">
        <x:v>7</x:v>
      </x:c>
      <x:c r="E1272" s="25" t="n">
        <x:v>194</x:v>
      </x:c>
      <x:c r="F1272" s="25" t="str">
        <x:v>封誓霜纹戒</x:v>
      </x:c>
      <x:c r="G1272" s="25" t="n">
        <x:v>7</x:v>
      </x:c>
      <x:c r="H1272" s="25" t="str">
        <x:v>道术</x:v>
      </x:c>
      <x:c r="I1272" s="25" t="n">
        <x:v>731</x:v>
      </x:c>
      <x:c r="J1272" s="25" t="n">
        <x:v>3</x:v>
      </x:c>
      <x:c r="K1272" s="25" t="str">
        <x:v>仅装备原始基础值决定主属性范围</x:v>
      </x:c>
    </x:row>
    <x:row r="1273">
      <x:c r="A1273" s="25" t="str">
        <x:v>C09-G</x:v>
      </x:c>
      <x:c r="B1273" s="25" t="str">
        <x:v>亚坛高原</x:v>
      </x:c>
      <x:c r="C1273" s="25" t="str">
        <x:v>半急速毕业</x:v>
      </x:c>
      <x:c r="D1273" s="25" t="n">
        <x:v>7</x:v>
      </x:c>
      <x:c r="E1273" s="25" t="n">
        <x:v>194</x:v>
      </x:c>
      <x:c r="F1273" s="25" t="str">
        <x:v>封誓霜纹戒</x:v>
      </x:c>
      <x:c r="G1273" s="25" t="n">
        <x:v>8</x:v>
      </x:c>
      <x:c r="H1273" s="25" t="str">
        <x:v>道术</x:v>
      </x:c>
      <x:c r="I1273" s="25" t="n">
        <x:v>82</x:v>
      </x:c>
      <x:c r="J1273" s="25" t="n">
        <x:v>3</x:v>
      </x:c>
      <x:c r="K1273" s="25" t="str">
        <x:v>仅装备原始基础值决定主属性范围</x:v>
      </x:c>
    </x:row>
    <x:row r="1274">
      <x:c r="A1274" s="25" t="str">
        <x:v>C09-G</x:v>
      </x:c>
      <x:c r="B1274" s="25" t="str">
        <x:v>亚坛高原</x:v>
      </x:c>
      <x:c r="C1274" s="25" t="str">
        <x:v>半急速毕业</x:v>
      </x:c>
      <x:c r="D1274" s="25" t="n">
        <x:v>8</x:v>
      </x:c>
      <x:c r="E1274" s="25" t="n">
        <x:v>195</x:v>
      </x:c>
      <x:c r="F1274" s="25" t="str">
        <x:v>巡界牙戒</x:v>
      </x:c>
      <x:c r="G1274" s="25" t="n">
        <x:v>1</x:v>
      </x:c>
      <x:c r="H1274" s="25" t="str">
        <x:v>魔法</x:v>
      </x:c>
      <x:c r="I1274" s="25" t="n">
        <x:v>180</x:v>
      </x:c>
      <x:c r="J1274" s="25" t="n">
        <x:v>2</x:v>
      </x:c>
      <x:c r="K1274" s="25" t="str">
        <x:v>仅装备原始基础值决定主属性范围</x:v>
      </x:c>
    </x:row>
    <x:row r="1275">
      <x:c r="A1275" s="25" t="str">
        <x:v>C09-G</x:v>
      </x:c>
      <x:c r="B1275" s="25" t="str">
        <x:v>亚坛高原</x:v>
      </x:c>
      <x:c r="C1275" s="25" t="str">
        <x:v>半急速毕业</x:v>
      </x:c>
      <x:c r="D1275" s="25" t="n">
        <x:v>8</x:v>
      </x:c>
      <x:c r="E1275" s="25" t="n">
        <x:v>195</x:v>
      </x:c>
      <x:c r="F1275" s="25" t="str">
        <x:v>巡界牙戒</x:v>
      </x:c>
      <x:c r="G1275" s="25" t="n">
        <x:v>2</x:v>
      </x:c>
      <x:c r="H1275" s="25" t="str">
        <x:v>暴击</x:v>
      </x:c>
      <x:c r="I1275" s="25" t="n">
        <x:v>1</x:v>
      </x:c>
      <x:c r="J1275" s="25" t="n">
        <x:v>14</x:v>
      </x:c>
      <x:c r="K1275" s="25" t="str">
        <x:v>仅装备原始基础值决定主属性范围</x:v>
      </x:c>
    </x:row>
    <x:row r="1276">
      <x:c r="A1276" s="25" t="str">
        <x:v>C09-G</x:v>
      </x:c>
      <x:c r="B1276" s="25" t="str">
        <x:v>亚坛高原</x:v>
      </x:c>
      <x:c r="C1276" s="25" t="str">
        <x:v>半急速毕业</x:v>
      </x:c>
      <x:c r="D1276" s="25" t="n">
        <x:v>8</x:v>
      </x:c>
      <x:c r="E1276" s="25" t="n">
        <x:v>195</x:v>
      </x:c>
      <x:c r="F1276" s="25" t="str">
        <x:v>巡界牙戒</x:v>
      </x:c>
      <x:c r="G1276" s="25" t="n">
        <x:v>3</x:v>
      </x:c>
      <x:c r="H1276" s="25" t="str">
        <x:v>攻击加成</x:v>
      </x:c>
      <x:c r="I1276" s="25" t="n">
        <x:v>27</x:v>
      </x:c>
      <x:c r="J1276" s="25" t="n">
        <x:v>18</x:v>
      </x:c>
      <x:c r="K1276" s="25" t="str">
        <x:v>仅装备原始基础值决定主属性范围</x:v>
      </x:c>
    </x:row>
    <x:row r="1277">
      <x:c r="A1277" s="25" t="str">
        <x:v>C09-G</x:v>
      </x:c>
      <x:c r="B1277" s="25" t="str">
        <x:v>亚坛高原</x:v>
      </x:c>
      <x:c r="C1277" s="25" t="str">
        <x:v>半急速毕业</x:v>
      </x:c>
      <x:c r="D1277" s="25" t="n">
        <x:v>8</x:v>
      </x:c>
      <x:c r="E1277" s="25" t="n">
        <x:v>195</x:v>
      </x:c>
      <x:c r="F1277" s="25" t="str">
        <x:v>巡界牙戒</x:v>
      </x:c>
      <x:c r="G1277" s="25" t="n">
        <x:v>4</x:v>
      </x:c>
      <x:c r="H1277" s="25" t="str">
        <x:v>处决时间</x:v>
      </x:c>
      <x:c r="I1277" s="25" t="n">
        <x:v>1</x:v>
      </x:c>
      <x:c r="J1277" s="25" t="n">
        <x:v>8</x:v>
      </x:c>
      <x:c r="K1277" s="25" t="str">
        <x:v>仅装备原始基础值决定主属性范围</x:v>
      </x:c>
    </x:row>
    <x:row r="1278">
      <x:c r="A1278" s="25" t="str">
        <x:v>C09-G</x:v>
      </x:c>
      <x:c r="B1278" s="25" t="str">
        <x:v>亚坛高原</x:v>
      </x:c>
      <x:c r="C1278" s="25" t="str">
        <x:v>半急速毕业</x:v>
      </x:c>
      <x:c r="D1278" s="25" t="n">
        <x:v>8</x:v>
      </x:c>
      <x:c r="E1278" s="25" t="n">
        <x:v>195</x:v>
      </x:c>
      <x:c r="F1278" s="25" t="str">
        <x:v>巡界牙戒</x:v>
      </x:c>
      <x:c r="G1278" s="25" t="n">
        <x:v>5</x:v>
      </x:c>
      <x:c r="H1278" s="25" t="str">
        <x:v>攻击加成</x:v>
      </x:c>
      <x:c r="I1278" s="25" t="n">
        <x:v>23</x:v>
      </x:c>
      <x:c r="J1278" s="25" t="n">
        <x:v>18</x:v>
      </x:c>
      <x:c r="K1278" s="25" t="str">
        <x:v>仅装备原始基础值决定主属性范围</x:v>
      </x:c>
    </x:row>
    <x:row r="1279">
      <x:c r="A1279" s="25" t="str">
        <x:v>C09-G</x:v>
      </x:c>
      <x:c r="B1279" s="25" t="str">
        <x:v>亚坛高原</x:v>
      </x:c>
      <x:c r="C1279" s="25" t="str">
        <x:v>半急速毕业</x:v>
      </x:c>
      <x:c r="D1279" s="25" t="n">
        <x:v>10</x:v>
      </x:c>
      <x:c r="E1279" s="25" t="n">
        <x:v>196</x:v>
      </x:c>
      <x:c r="F1279" s="25" t="str">
        <x:v>驮碑束腰</x:v>
      </x:c>
      <x:c r="G1279" s="25" t="n">
        <x:v>1</x:v>
      </x:c>
      <x:c r="H1279" s="25" t="str">
        <x:v>处决伤害</x:v>
      </x:c>
      <x:c r="I1279" s="25" t="n">
        <x:v>1</x:v>
      </x:c>
      <x:c r="J1279" s="25" t="n">
        <x:v>10</x:v>
      </x:c>
      <x:c r="K1279" s="25" t="str">
        <x:v>仅装备原始基础值决定主属性范围</x:v>
      </x:c>
    </x:row>
    <x:row r="1280">
      <x:c r="A1280" s="25" t="str">
        <x:v>C09-G</x:v>
      </x:c>
      <x:c r="B1280" s="25" t="str">
        <x:v>亚坛高原</x:v>
      </x:c>
      <x:c r="C1280" s="25" t="str">
        <x:v>半急速毕业</x:v>
      </x:c>
      <x:c r="D1280" s="25" t="n">
        <x:v>10</x:v>
      </x:c>
      <x:c r="E1280" s="25" t="n">
        <x:v>196</x:v>
      </x:c>
      <x:c r="F1280" s="25" t="str">
        <x:v>驮碑束腰</x:v>
      </x:c>
      <x:c r="G1280" s="25" t="n">
        <x:v>2</x:v>
      </x:c>
      <x:c r="H1280" s="25" t="str">
        <x:v>攻击</x:v>
      </x:c>
      <x:c r="I1280" s="25" t="n">
        <x:v>84</x:v>
      </x:c>
      <x:c r="J1280" s="25" t="n">
        <x:v>1</x:v>
      </x:c>
      <x:c r="K1280" s="25" t="str">
        <x:v>仅装备原始基础值决定主属性范围</x:v>
      </x:c>
    </x:row>
    <x:row r="1281">
      <x:c r="A1281" s="25" t="str">
        <x:v>C09-G</x:v>
      </x:c>
      <x:c r="B1281" s="25" t="str">
        <x:v>亚坛高原</x:v>
      </x:c>
      <x:c r="C1281" s="25" t="str">
        <x:v>半急速毕业</x:v>
      </x:c>
      <x:c r="D1281" s="25" t="n">
        <x:v>10</x:v>
      </x:c>
      <x:c r="E1281" s="25" t="n">
        <x:v>196</x:v>
      </x:c>
      <x:c r="F1281" s="25" t="str">
        <x:v>驮碑束腰</x:v>
      </x:c>
      <x:c r="G1281" s="25" t="n">
        <x:v>3</x:v>
      </x:c>
      <x:c r="H1281" s="25" t="str">
        <x:v>攻击加成</x:v>
      </x:c>
      <x:c r="I1281" s="25" t="n">
        <x:v>40</x:v>
      </x:c>
      <x:c r="J1281" s="25" t="n">
        <x:v>19</x:v>
      </x:c>
      <x:c r="K1281" s="25" t="str">
        <x:v>仅装备原始基础值决定主属性范围</x:v>
      </x:c>
    </x:row>
    <x:row r="1282">
      <x:c r="A1282" s="25" t="str">
        <x:v>C09-G</x:v>
      </x:c>
      <x:c r="B1282" s="25" t="str">
        <x:v>亚坛高原</x:v>
      </x:c>
      <x:c r="C1282" s="25" t="str">
        <x:v>半急速毕业</x:v>
      </x:c>
      <x:c r="D1282" s="25" t="n">
        <x:v>11</x:v>
      </x:c>
      <x:c r="E1282" s="25" t="n">
        <x:v>197</x:v>
      </x:c>
      <x:c r="F1282" s="25" t="str">
        <x:v>寒灯侍履</x:v>
      </x:c>
      <x:c r="G1282" s="25" t="n">
        <x:v>1</x:v>
      </x:c>
      <x:c r="H1282" s="25" t="str">
        <x:v>吸血</x:v>
      </x:c>
      <x:c r="I1282" s="25" t="n">
        <x:v>1</x:v>
      </x:c>
      <x:c r="J1282" s="25" t="n">
        <x:v>20</x:v>
      </x:c>
      <x:c r="K1282" s="25" t="str">
        <x:v>仅装备原始基础值决定主属性范围</x:v>
      </x:c>
    </x:row>
    <x:row r="1283">
      <x:c r="A1283" s="25" t="str">
        <x:v>C09-G</x:v>
      </x:c>
      <x:c r="B1283" s="25" t="str">
        <x:v>亚坛高原</x:v>
      </x:c>
      <x:c r="C1283" s="25" t="str">
        <x:v>半急速毕业</x:v>
      </x:c>
      <x:c r="D1283" s="25" t="n">
        <x:v>11</x:v>
      </x:c>
      <x:c r="E1283" s="25" t="n">
        <x:v>197</x:v>
      </x:c>
      <x:c r="F1283" s="25" t="str">
        <x:v>寒灯侍履</x:v>
      </x:c>
      <x:c r="G1283" s="25" t="n">
        <x:v>2</x:v>
      </x:c>
      <x:c r="H1283" s="25" t="str">
        <x:v>处决时间</x:v>
      </x:c>
      <x:c r="I1283" s="25" t="n">
        <x:v>1</x:v>
      </x:c>
      <x:c r="J1283" s="25" t="n">
        <x:v>8</x:v>
      </x:c>
      <x:c r="K1283" s="25" t="str">
        <x:v>仅装备原始基础值决定主属性范围</x:v>
      </x:c>
    </x:row>
    <x:row r="1284">
      <x:c r="A1284" s="25" t="str">
        <x:v>C09-G</x:v>
      </x:c>
      <x:c r="B1284" s="25" t="str">
        <x:v>亚坛高原</x:v>
      </x:c>
      <x:c r="C1284" s="25" t="str">
        <x:v>半急速毕业</x:v>
      </x:c>
      <x:c r="D1284" s="25" t="n">
        <x:v>11</x:v>
      </x:c>
      <x:c r="E1284" s="25" t="n">
        <x:v>197</x:v>
      </x:c>
      <x:c r="F1284" s="25" t="str">
        <x:v>寒灯侍履</x:v>
      </x:c>
      <x:c r="G1284" s="25" t="n">
        <x:v>3</x:v>
      </x:c>
      <x:c r="H1284" s="25" t="str">
        <x:v>暴击</x:v>
      </x:c>
      <x:c r="I1284" s="25" t="n">
        <x:v>1</x:v>
      </x:c>
      <x:c r="J1284" s="25" t="n">
        <x:v>14</x:v>
      </x:c>
      <x:c r="K1284" s="25" t="str">
        <x:v>仅装备原始基础值决定主属性范围</x:v>
      </x:c>
    </x:row>
    <x:row r="1285">
      <x:c r="A1285" s="25" t="str">
        <x:v>C09-G</x:v>
      </x:c>
      <x:c r="B1285" s="25" t="str">
        <x:v>亚坛高原</x:v>
      </x:c>
      <x:c r="C1285" s="25" t="str">
        <x:v>半急速毕业</x:v>
      </x:c>
      <x:c r="D1285" s="25" t="n">
        <x:v>11</x:v>
      </x:c>
      <x:c r="E1285" s="25" t="n">
        <x:v>197</x:v>
      </x:c>
      <x:c r="F1285" s="25" t="str">
        <x:v>寒灯侍履</x:v>
      </x:c>
      <x:c r="G1285" s="25" t="n">
        <x:v>4</x:v>
      </x:c>
      <x:c r="H1285" s="25" t="str">
        <x:v>攻击速度</x:v>
      </x:c>
      <x:c r="I1285" s="25" t="n">
        <x:v>1</x:v>
      </x:c>
      <x:c r="J1285" s="25" t="n">
        <x:v>4</x:v>
      </x:c>
      <x:c r="K1285" s="25" t="str">
        <x:v>仅装备原始基础值决定主属性范围</x:v>
      </x:c>
    </x:row>
    <x:row r="1286">
      <x:c r="A1286" s="25" t="str">
        <x:v>C09-G</x:v>
      </x:c>
      <x:c r="B1286" s="25" t="str">
        <x:v>亚坛高原</x:v>
      </x:c>
      <x:c r="C1286" s="25" t="str">
        <x:v>半急速毕业</x:v>
      </x:c>
      <x:c r="D1286" s="25" t="n">
        <x:v>11</x:v>
      </x:c>
      <x:c r="E1286" s="25" t="n">
        <x:v>197</x:v>
      </x:c>
      <x:c r="F1286" s="25" t="str">
        <x:v>寒灯侍履</x:v>
      </x:c>
      <x:c r="G1286" s="25" t="n">
        <x:v>5</x:v>
      </x:c>
      <x:c r="H1286" s="25" t="str">
        <x:v>攻击速度</x:v>
      </x:c>
      <x:c r="I1286" s="25" t="n">
        <x:v>1</x:v>
      </x:c>
      <x:c r="J1286" s="25" t="n">
        <x:v>4</x:v>
      </x:c>
      <x:c r="K1286" s="25" t="str">
        <x:v>仅装备原始基础值决定主属性范围</x:v>
      </x:c>
    </x:row>
    <x:row r="1287">
      <x:c r="A1287" s="25" t="str">
        <x:v>C09-G</x:v>
      </x:c>
      <x:c r="B1287" s="25" t="str">
        <x:v>亚坛高原</x:v>
      </x:c>
      <x:c r="C1287" s="25" t="str">
        <x:v>半急速毕业</x:v>
      </x:c>
      <x:c r="D1287" s="25" t="n">
        <x:v>11</x:v>
      </x:c>
      <x:c r="E1287" s="25" t="n">
        <x:v>197</x:v>
      </x:c>
      <x:c r="F1287" s="25" t="str">
        <x:v>寒灯侍履</x:v>
      </x:c>
      <x:c r="G1287" s="25" t="n">
        <x:v>6</x:v>
      </x:c>
      <x:c r="H1287" s="25" t="str">
        <x:v>攻击速度</x:v>
      </x:c>
      <x:c r="I1287" s="25" t="n">
        <x:v>2</x:v>
      </x:c>
      <x:c r="J1287" s="25" t="n">
        <x:v>5</x:v>
      </x:c>
      <x:c r="K1287" s="25" t="str">
        <x:v>仅装备原始基础值决定主属性范围</x:v>
      </x:c>
    </x:row>
    <x:row r="1288">
      <x:c r="A1288" s="25" t="str">
        <x:v>C09-G</x:v>
      </x:c>
      <x:c r="B1288" s="25" t="str">
        <x:v>亚坛高原</x:v>
      </x:c>
      <x:c r="C1288" s="25" t="str">
        <x:v>半急速毕业</x:v>
      </x:c>
      <x:c r="D1288" s="25" t="n">
        <x:v>11</x:v>
      </x:c>
      <x:c r="E1288" s="25" t="n">
        <x:v>197</x:v>
      </x:c>
      <x:c r="F1288" s="25" t="str">
        <x:v>寒灯侍履</x:v>
      </x:c>
      <x:c r="G1288" s="25" t="n">
        <x:v>7</x:v>
      </x:c>
      <x:c r="H1288" s="25" t="str">
        <x:v>道术</x:v>
      </x:c>
      <x:c r="I1288" s="25" t="n">
        <x:v>156</x:v>
      </x:c>
      <x:c r="J1288" s="25" t="n">
        <x:v>3</x:v>
      </x:c>
      <x:c r="K1288" s="25" t="str">
        <x:v>仅装备原始基础值决定主属性范围</x:v>
      </x:c>
    </x:row>
    <x:row r="1289">
      <x:c r="A1289" s="25" t="str">
        <x:v>C09-X</x:v>
      </x:c>
      <x:c r="B1289" s="25" t="str">
        <x:v>亚坛高原</x:v>
      </x:c>
      <x:c r="C1289" s="25" t="str">
        <x:v>极端压力</x:v>
      </x:c>
      <x:c r="D1289" s="25" t="n">
        <x:v>0</x:v>
      </x:c>
      <x:c r="E1289" s="25" t="n">
        <x:v>198</x:v>
      </x:c>
      <x:c r="F1289" s="25" t="str">
        <x:v>赫桑达执宪战衣</x:v>
      </x:c>
      <x:c r="G1289" s="25" t="n">
        <x:v>1</x:v>
      </x:c>
      <x:c r="H1289" s="25" t="str">
        <x:v>攻击速度</x:v>
      </x:c>
      <x:c r="I1289" s="25" t="n">
        <x:v>1</x:v>
      </x:c>
      <x:c r="J1289" s="25" t="n">
        <x:v>4</x:v>
      </x:c>
      <x:c r="K1289" s="25" t="str">
        <x:v>仅装备原始基础值决定主属性范围</x:v>
      </x:c>
    </x:row>
    <x:row r="1290">
      <x:c r="A1290" s="25" t="str">
        <x:v>C09-X</x:v>
      </x:c>
      <x:c r="B1290" s="25" t="str">
        <x:v>亚坛高原</x:v>
      </x:c>
      <x:c r="C1290" s="25" t="str">
        <x:v>极端压力</x:v>
      </x:c>
      <x:c r="D1290" s="25" t="n">
        <x:v>0</x:v>
      </x:c>
      <x:c r="E1290" s="25" t="n">
        <x:v>198</x:v>
      </x:c>
      <x:c r="F1290" s="25" t="str">
        <x:v>赫桑达执宪战衣</x:v>
      </x:c>
      <x:c r="G1290" s="25" t="n">
        <x:v>2</x:v>
      </x:c>
      <x:c r="H1290" s="25" t="str">
        <x:v>攻击加成</x:v>
      </x:c>
      <x:c r="I1290" s="25" t="n">
        <x:v>41</x:v>
      </x:c>
      <x:c r="J1290" s="25" t="n">
        <x:v>19</x:v>
      </x:c>
      <x:c r="K1290" s="25" t="str">
        <x:v>仅装备原始基础值决定主属性范围</x:v>
      </x:c>
    </x:row>
    <x:row r="1291">
      <x:c r="A1291" s="25" t="str">
        <x:v>C09-X</x:v>
      </x:c>
      <x:c r="B1291" s="25" t="str">
        <x:v>亚坛高原</x:v>
      </x:c>
      <x:c r="C1291" s="25" t="str">
        <x:v>极端压力</x:v>
      </x:c>
      <x:c r="D1291" s="25" t="n">
        <x:v>0</x:v>
      </x:c>
      <x:c r="E1291" s="25" t="n">
        <x:v>198</x:v>
      </x:c>
      <x:c r="F1291" s="25" t="str">
        <x:v>赫桑达执宪战衣</x:v>
      </x:c>
      <x:c r="G1291" s="25" t="n">
        <x:v>3</x:v>
      </x:c>
      <x:c r="H1291" s="25" t="str">
        <x:v>攻击加成</x:v>
      </x:c>
      <x:c r="I1291" s="25" t="n">
        <x:v>28</x:v>
      </x:c>
      <x:c r="J1291" s="25" t="n">
        <x:v>18</x:v>
      </x:c>
      <x:c r="K1291" s="25" t="str">
        <x:v>仅装备原始基础值决定主属性范围</x:v>
      </x:c>
    </x:row>
    <x:row r="1292">
      <x:c r="A1292" s="25" t="str">
        <x:v>C09-X</x:v>
      </x:c>
      <x:c r="B1292" s="25" t="str">
        <x:v>亚坛高原</x:v>
      </x:c>
      <x:c r="C1292" s="25" t="str">
        <x:v>极端压力</x:v>
      </x:c>
      <x:c r="D1292" s="25" t="n">
        <x:v>0</x:v>
      </x:c>
      <x:c r="E1292" s="25" t="n">
        <x:v>198</x:v>
      </x:c>
      <x:c r="F1292" s="25" t="str">
        <x:v>赫桑达执宪战衣</x:v>
      </x:c>
      <x:c r="G1292" s="25" t="n">
        <x:v>4</x:v>
      </x:c>
      <x:c r="H1292" s="25" t="str">
        <x:v>致命一击</x:v>
      </x:c>
      <x:c r="I1292" s="25" t="n">
        <x:v>1</x:v>
      </x:c>
      <x:c r="J1292" s="25" t="n">
        <x:v>16</x:v>
      </x:c>
      <x:c r="K1292" s="25" t="str">
        <x:v>仅装备原始基础值决定主属性范围</x:v>
      </x:c>
    </x:row>
    <x:row r="1293">
      <x:c r="A1293" s="25" t="str">
        <x:v>C09-X</x:v>
      </x:c>
      <x:c r="B1293" s="25" t="str">
        <x:v>亚坛高原</x:v>
      </x:c>
      <x:c r="C1293" s="25" t="str">
        <x:v>极端压力</x:v>
      </x:c>
      <x:c r="D1293" s="25" t="n">
        <x:v>1</x:v>
      </x:c>
      <x:c r="E1293" s="25" t="n">
        <x:v>186</x:v>
      </x:c>
      <x:c r="F1293" s="25" t="str">
        <x:v>黄金律裁阳刃</x:v>
      </x:c>
      <x:c r="G1293" s="25" t="n">
        <x:v>1</x:v>
      </x:c>
      <x:c r="H1293" s="25" t="str">
        <x:v>攻击</x:v>
      </x:c>
      <x:c r="I1293" s="25" t="n">
        <x:v>6547</x:v>
      </x:c>
      <x:c r="J1293" s="25" t="n">
        <x:v>1</x:v>
      </x:c>
      <x:c r="K1293" s="25" t="str">
        <x:v>仅装备原始基础值决定主属性范围</x:v>
      </x:c>
    </x:row>
    <x:row r="1294">
      <x:c r="A1294" s="25" t="str">
        <x:v>C09-X</x:v>
      </x:c>
      <x:c r="B1294" s="25" t="str">
        <x:v>亚坛高原</x:v>
      </x:c>
      <x:c r="C1294" s="25" t="str">
        <x:v>极端压力</x:v>
      </x:c>
      <x:c r="D1294" s="25" t="n">
        <x:v>1</x:v>
      </x:c>
      <x:c r="E1294" s="25" t="n">
        <x:v>186</x:v>
      </x:c>
      <x:c r="F1294" s="25" t="str">
        <x:v>黄金律裁阳刃</x:v>
      </x:c>
      <x:c r="G1294" s="25" t="n">
        <x:v>2</x:v>
      </x:c>
      <x:c r="H1294" s="25" t="str">
        <x:v>攻击加成</x:v>
      </x:c>
      <x:c r="I1294" s="25" t="n">
        <x:v>40</x:v>
      </x:c>
      <x:c r="J1294" s="25" t="n">
        <x:v>19</x:v>
      </x:c>
      <x:c r="K1294" s="25" t="str">
        <x:v>仅装备原始基础值决定主属性范围</x:v>
      </x:c>
    </x:row>
    <x:row r="1295">
      <x:c r="A1295" s="25" t="str">
        <x:v>C09-X</x:v>
      </x:c>
      <x:c r="B1295" s="25" t="str">
        <x:v>亚坛高原</x:v>
      </x:c>
      <x:c r="C1295" s="25" t="str">
        <x:v>极端压力</x:v>
      </x:c>
      <x:c r="D1295" s="25" t="n">
        <x:v>1</x:v>
      </x:c>
      <x:c r="E1295" s="25" t="n">
        <x:v>186</x:v>
      </x:c>
      <x:c r="F1295" s="25" t="str">
        <x:v>黄金律裁阳刃</x:v>
      </x:c>
      <x:c r="G1295" s="25" t="n">
        <x:v>3</x:v>
      </x:c>
      <x:c r="H1295" s="25" t="str">
        <x:v>攻击加成</x:v>
      </x:c>
      <x:c r="I1295" s="25" t="n">
        <x:v>17</x:v>
      </x:c>
      <x:c r="J1295" s="25" t="n">
        <x:v>18</x:v>
      </x:c>
      <x:c r="K1295" s="25" t="str">
        <x:v>仅装备原始基础值决定主属性范围</x:v>
      </x:c>
    </x:row>
    <x:row r="1296">
      <x:c r="A1296" s="25" t="str">
        <x:v>C09-X</x:v>
      </x:c>
      <x:c r="B1296" s="25" t="str">
        <x:v>亚坛高原</x:v>
      </x:c>
      <x:c r="C1296" s="25" t="str">
        <x:v>极端压力</x:v>
      </x:c>
      <x:c r="D1296" s="25" t="n">
        <x:v>1</x:v>
      </x:c>
      <x:c r="E1296" s="25" t="n">
        <x:v>186</x:v>
      </x:c>
      <x:c r="F1296" s="25" t="str">
        <x:v>黄金律裁阳刃</x:v>
      </x:c>
      <x:c r="G1296" s="25" t="n">
        <x:v>4</x:v>
      </x:c>
      <x:c r="H1296" s="25" t="str">
        <x:v>道术</x:v>
      </x:c>
      <x:c r="I1296" s="25" t="n">
        <x:v>35138</x:v>
      </x:c>
      <x:c r="J1296" s="25" t="n">
        <x:v>3</x:v>
      </x:c>
      <x:c r="K1296" s="25" t="str">
        <x:v>仅装备原始基础值决定主属性范围</x:v>
      </x:c>
    </x:row>
    <x:row r="1297">
      <x:c r="A1297" s="25" t="str">
        <x:v>C09-X</x:v>
      </x:c>
      <x:c r="B1297" s="25" t="str">
        <x:v>亚坛高原</x:v>
      </x:c>
      <x:c r="C1297" s="25" t="str">
        <x:v>极端压力</x:v>
      </x:c>
      <x:c r="D1297" s="25" t="n">
        <x:v>1</x:v>
      </x:c>
      <x:c r="E1297" s="25" t="n">
        <x:v>186</x:v>
      </x:c>
      <x:c r="F1297" s="25" t="str">
        <x:v>黄金律裁阳刃</x:v>
      </x:c>
      <x:c r="G1297" s="25" t="n">
        <x:v>5</x:v>
      </x:c>
      <x:c r="H1297" s="25" t="str">
        <x:v>攻击加成</x:v>
      </x:c>
      <x:c r="I1297" s="25" t="n">
        <x:v>15</x:v>
      </x:c>
      <x:c r="J1297" s="25" t="n">
        <x:v>18</x:v>
      </x:c>
      <x:c r="K1297" s="25" t="str">
        <x:v>仅装备原始基础值决定主属性范围</x:v>
      </x:c>
    </x:row>
    <x:row r="1298">
      <x:c r="A1298" s="25" t="str">
        <x:v>C09-X</x:v>
      </x:c>
      <x:c r="B1298" s="25" t="str">
        <x:v>亚坛高原</x:v>
      </x:c>
      <x:c r="C1298" s="25" t="str">
        <x:v>极端压力</x:v>
      </x:c>
      <x:c r="D1298" s="25" t="n">
        <x:v>3</x:v>
      </x:c>
      <x:c r="E1298" s="25" t="n">
        <x:v>215</x:v>
      </x:c>
      <x:c r="F1298" s="25" t="str">
        <x:v>巨人炉心颈环</x:v>
      </x:c>
      <x:c r="G1298" s="25" t="n">
        <x:v>1</x:v>
      </x:c>
      <x:c r="H1298" s="25" t="str">
        <x:v>攻击加成</x:v>
      </x:c>
      <x:c r="I1298" s="25" t="n">
        <x:v>40</x:v>
      </x:c>
      <x:c r="J1298" s="25" t="n">
        <x:v>19</x:v>
      </x:c>
      <x:c r="K1298" s="25" t="str">
        <x:v>仅装备原始基础值决定主属性范围</x:v>
      </x:c>
    </x:row>
    <x:row r="1299">
      <x:c r="A1299" s="25" t="str">
        <x:v>C09-X</x:v>
      </x:c>
      <x:c r="B1299" s="25" t="str">
        <x:v>亚坛高原</x:v>
      </x:c>
      <x:c r="C1299" s="25" t="str">
        <x:v>极端压力</x:v>
      </x:c>
      <x:c r="D1299" s="25" t="n">
        <x:v>3</x:v>
      </x:c>
      <x:c r="E1299" s="25" t="n">
        <x:v>215</x:v>
      </x:c>
      <x:c r="F1299" s="25" t="str">
        <x:v>巨人炉心颈环</x:v>
      </x:c>
      <x:c r="G1299" s="25" t="n">
        <x:v>2</x:v>
      </x:c>
      <x:c r="H1299" s="25" t="str">
        <x:v>吸血</x:v>
      </x:c>
      <x:c r="I1299" s="25" t="n">
        <x:v>1</x:v>
      </x:c>
      <x:c r="J1299" s="25" t="n">
        <x:v>20</x:v>
      </x:c>
      <x:c r="K1299" s="25" t="str">
        <x:v>仅装备原始基础值决定主属性范围</x:v>
      </x:c>
    </x:row>
    <x:row r="1300">
      <x:c r="A1300" s="25" t="str">
        <x:v>C09-X</x:v>
      </x:c>
      <x:c r="B1300" s="25" t="str">
        <x:v>亚坛高原</x:v>
      </x:c>
      <x:c r="C1300" s="25" t="str">
        <x:v>极端压力</x:v>
      </x:c>
      <x:c r="D1300" s="25" t="n">
        <x:v>3</x:v>
      </x:c>
      <x:c r="E1300" s="25" t="n">
        <x:v>215</x:v>
      </x:c>
      <x:c r="F1300" s="25" t="str">
        <x:v>巨人炉心颈环</x:v>
      </x:c>
      <x:c r="G1300" s="25" t="n">
        <x:v>3</x:v>
      </x:c>
      <x:c r="H1300" s="25" t="str">
        <x:v>攻击加成</x:v>
      </x:c>
      <x:c r="I1300" s="25" t="n">
        <x:v>25</x:v>
      </x:c>
      <x:c r="J1300" s="25" t="n">
        <x:v>18</x:v>
      </x:c>
      <x:c r="K1300" s="25" t="str">
        <x:v>仅装备原始基础值决定主属性范围</x:v>
      </x:c>
    </x:row>
    <x:row r="1301">
      <x:c r="A1301" s="25" t="str">
        <x:v>C09-X</x:v>
      </x:c>
      <x:c r="B1301" s="25" t="str">
        <x:v>亚坛高原</x:v>
      </x:c>
      <x:c r="C1301" s="25" t="str">
        <x:v>极端压力</x:v>
      </x:c>
      <x:c r="D1301" s="25" t="n">
        <x:v>3</x:v>
      </x:c>
      <x:c r="E1301" s="25" t="n">
        <x:v>215</x:v>
      </x:c>
      <x:c r="F1301" s="25" t="str">
        <x:v>巨人炉心颈环</x:v>
      </x:c>
      <x:c r="G1301" s="25" t="n">
        <x:v>4</x:v>
      </x:c>
      <x:c r="H1301" s="25" t="str">
        <x:v>道术</x:v>
      </x:c>
      <x:c r="I1301" s="25" t="n">
        <x:v>2417</x:v>
      </x:c>
      <x:c r="J1301" s="25" t="n">
        <x:v>3</x:v>
      </x:c>
      <x:c r="K1301" s="25" t="str">
        <x:v>仅装备原始基础值决定主属性范围</x:v>
      </x:c>
    </x:row>
    <x:row r="1302">
      <x:c r="A1302" s="25" t="str">
        <x:v>C09-X</x:v>
      </x:c>
      <x:c r="B1302" s="25" t="str">
        <x:v>亚坛高原</x:v>
      </x:c>
      <x:c r="C1302" s="25" t="str">
        <x:v>极端压力</x:v>
      </x:c>
      <x:c r="D1302" s="25" t="n">
        <x:v>4</x:v>
      </x:c>
      <x:c r="E1302" s="25" t="n">
        <x:v>218</x:v>
      </x:c>
      <x:c r="F1302" s="25" t="str">
        <x:v>无面近卫盔</x:v>
      </x:c>
      <x:c r="G1302" s="25" t="n">
        <x:v>1</x:v>
      </x:c>
      <x:c r="H1302" s="25" t="str">
        <x:v>攻击</x:v>
      </x:c>
      <x:c r="I1302" s="25" t="n">
        <x:v>635</x:v>
      </x:c>
      <x:c r="J1302" s="25" t="n">
        <x:v>1</x:v>
      </x:c>
      <x:c r="K1302" s="25" t="str">
        <x:v>仅装备原始基础值决定主属性范围</x:v>
      </x:c>
    </x:row>
    <x:row r="1303">
      <x:c r="A1303" s="25" t="str">
        <x:v>C09-X</x:v>
      </x:c>
      <x:c r="B1303" s="25" t="str">
        <x:v>亚坛高原</x:v>
      </x:c>
      <x:c r="C1303" s="25" t="str">
        <x:v>极端压力</x:v>
      </x:c>
      <x:c r="D1303" s="25" t="n">
        <x:v>4</x:v>
      </x:c>
      <x:c r="E1303" s="25" t="n">
        <x:v>218</x:v>
      </x:c>
      <x:c r="F1303" s="25" t="str">
        <x:v>无面近卫盔</x:v>
      </x:c>
      <x:c r="G1303" s="25" t="n">
        <x:v>2</x:v>
      </x:c>
      <x:c r="H1303" s="25" t="str">
        <x:v>攻击加成</x:v>
      </x:c>
      <x:c r="I1303" s="25" t="n">
        <x:v>22</x:v>
      </x:c>
      <x:c r="J1303" s="25" t="n">
        <x:v>18</x:v>
      </x:c>
      <x:c r="K1303" s="25" t="str">
        <x:v>仅装备原始基础值决定主属性范围</x:v>
      </x:c>
    </x:row>
    <x:row r="1304">
      <x:c r="A1304" s="25" t="str">
        <x:v>C09-X</x:v>
      </x:c>
      <x:c r="B1304" s="25" t="str">
        <x:v>亚坛高原</x:v>
      </x:c>
      <x:c r="C1304" s="25" t="str">
        <x:v>极端压力</x:v>
      </x:c>
      <x:c r="D1304" s="25" t="n">
        <x:v>4</x:v>
      </x:c>
      <x:c r="E1304" s="25" t="n">
        <x:v>218</x:v>
      </x:c>
      <x:c r="F1304" s="25" t="str">
        <x:v>无面近卫盔</x:v>
      </x:c>
      <x:c r="G1304" s="25" t="n">
        <x:v>3</x:v>
      </x:c>
      <x:c r="H1304" s="25" t="str">
        <x:v>伤害系数</x:v>
      </x:c>
      <x:c r="I1304" s="25" t="n">
        <x:v>1</x:v>
      </x:c>
      <x:c r="J1304" s="25" t="n">
        <x:v>25</x:v>
      </x:c>
      <x:c r="K1304" s="25" t="str">
        <x:v>仅装备原始基础值决定主属性范围</x:v>
      </x:c>
    </x:row>
    <x:row r="1305">
      <x:c r="A1305" s="25" t="str">
        <x:v>C09-X</x:v>
      </x:c>
      <x:c r="B1305" s="25" t="str">
        <x:v>亚坛高原</x:v>
      </x:c>
      <x:c r="C1305" s="25" t="str">
        <x:v>极端压力</x:v>
      </x:c>
      <x:c r="D1305" s="25" t="n">
        <x:v>4</x:v>
      </x:c>
      <x:c r="E1305" s="25" t="n">
        <x:v>218</x:v>
      </x:c>
      <x:c r="F1305" s="25" t="str">
        <x:v>无面近卫盔</x:v>
      </x:c>
      <x:c r="G1305" s="25" t="n">
        <x:v>4</x:v>
      </x:c>
      <x:c r="H1305" s="25" t="str">
        <x:v>攻击加成</x:v>
      </x:c>
      <x:c r="I1305" s="25" t="n">
        <x:v>25</x:v>
      </x:c>
      <x:c r="J1305" s="25" t="n">
        <x:v>18</x:v>
      </x:c>
      <x:c r="K1305" s="25" t="str">
        <x:v>仅装备原始基础值决定主属性范围</x:v>
      </x:c>
    </x:row>
    <x:row r="1306">
      <x:c r="A1306" s="25" t="str">
        <x:v>C09-X</x:v>
      </x:c>
      <x:c r="B1306" s="25" t="str">
        <x:v>亚坛高原</x:v>
      </x:c>
      <x:c r="C1306" s="25" t="str">
        <x:v>极端压力</x:v>
      </x:c>
      <x:c r="D1306" s="25" t="n">
        <x:v>5</x:v>
      </x:c>
      <x:c r="E1306" s="25" t="n">
        <x:v>201</x:v>
      </x:c>
      <x:c r="F1306" s="25" t="str">
        <x:v>熔勺婆铜镯</x:v>
      </x:c>
      <x:c r="G1306" s="25" t="n">
        <x:v>1</x:v>
      </x:c>
      <x:c r="H1306" s="25" t="str">
        <x:v>韧性</x:v>
      </x:c>
      <x:c r="I1306" s="25" t="n">
        <x:v>20</x:v>
      </x:c>
      <x:c r="J1306" s="25" t="n">
        <x:v>13</x:v>
      </x:c>
      <x:c r="K1306" s="25" t="str">
        <x:v>仅装备原始基础值决定主属性范围</x:v>
      </x:c>
    </x:row>
    <x:row r="1307">
      <x:c r="A1307" s="25" t="str">
        <x:v>C09-X</x:v>
      </x:c>
      <x:c r="B1307" s="25" t="str">
        <x:v>亚坛高原</x:v>
      </x:c>
      <x:c r="C1307" s="25" t="str">
        <x:v>极端压力</x:v>
      </x:c>
      <x:c r="D1307" s="25" t="n">
        <x:v>5</x:v>
      </x:c>
      <x:c r="E1307" s="25" t="n">
        <x:v>201</x:v>
      </x:c>
      <x:c r="F1307" s="25" t="str">
        <x:v>熔勺婆铜镯</x:v>
      </x:c>
      <x:c r="G1307" s="25" t="n">
        <x:v>2</x:v>
      </x:c>
      <x:c r="H1307" s="25" t="str">
        <x:v>攻击</x:v>
      </x:c>
      <x:c r="I1307" s="25" t="n">
        <x:v>1039</x:v>
      </x:c>
      <x:c r="J1307" s="25" t="n">
        <x:v>1</x:v>
      </x:c>
      <x:c r="K1307" s="25" t="str">
        <x:v>仅装备原始基础值决定主属性范围</x:v>
      </x:c>
    </x:row>
    <x:row r="1308">
      <x:c r="A1308" s="25" t="str">
        <x:v>C09-X</x:v>
      </x:c>
      <x:c r="B1308" s="25" t="str">
        <x:v>亚坛高原</x:v>
      </x:c>
      <x:c r="C1308" s="25" t="str">
        <x:v>极端压力</x:v>
      </x:c>
      <x:c r="D1308" s="25" t="n">
        <x:v>5</x:v>
      </x:c>
      <x:c r="E1308" s="25" t="n">
        <x:v>201</x:v>
      </x:c>
      <x:c r="F1308" s="25" t="str">
        <x:v>熔勺婆铜镯</x:v>
      </x:c>
      <x:c r="G1308" s="25" t="n">
        <x:v>3</x:v>
      </x:c>
      <x:c r="H1308" s="25" t="str">
        <x:v>攻击加成</x:v>
      </x:c>
      <x:c r="I1308" s="25" t="n">
        <x:v>19</x:v>
      </x:c>
      <x:c r="J1308" s="25" t="n">
        <x:v>18</x:v>
      </x:c>
      <x:c r="K1308" s="25" t="str">
        <x:v>仅装备原始基础值决定主属性范围</x:v>
      </x:c>
    </x:row>
    <x:row r="1309">
      <x:c r="A1309" s="25" t="str">
        <x:v>C09-X</x:v>
      </x:c>
      <x:c r="B1309" s="25" t="str">
        <x:v>亚坛高原</x:v>
      </x:c>
      <x:c r="C1309" s="25" t="str">
        <x:v>极端压力</x:v>
      </x:c>
      <x:c r="D1309" s="25" t="n">
        <x:v>5</x:v>
      </x:c>
      <x:c r="E1309" s="25" t="n">
        <x:v>201</x:v>
      </x:c>
      <x:c r="F1309" s="25" t="str">
        <x:v>熔勺婆铜镯</x:v>
      </x:c>
      <x:c r="G1309" s="25" t="n">
        <x:v>4</x:v>
      </x:c>
      <x:c r="H1309" s="25" t="str">
        <x:v>攻击速度</x:v>
      </x:c>
      <x:c r="I1309" s="25" t="n">
        <x:v>2</x:v>
      </x:c>
      <x:c r="J1309" s="25" t="n">
        <x:v>5</x:v>
      </x:c>
      <x:c r="K1309" s="25" t="str">
        <x:v>仅装备原始基础值决定主属性范围</x:v>
      </x:c>
    </x:row>
    <x:row r="1310">
      <x:c r="A1310" s="25" t="str">
        <x:v>C09-X</x:v>
      </x:c>
      <x:c r="B1310" s="25" t="str">
        <x:v>亚坛高原</x:v>
      </x:c>
      <x:c r="C1310" s="25" t="str">
        <x:v>极端压力</x:v>
      </x:c>
      <x:c r="D1310" s="25" t="n">
        <x:v>5</x:v>
      </x:c>
      <x:c r="E1310" s="25" t="n">
        <x:v>201</x:v>
      </x:c>
      <x:c r="F1310" s="25" t="str">
        <x:v>熔勺婆铜镯</x:v>
      </x:c>
      <x:c r="G1310" s="25" t="n">
        <x:v>5</x:v>
      </x:c>
      <x:c r="H1310" s="25" t="str">
        <x:v>攻击加成</x:v>
      </x:c>
      <x:c r="I1310" s="25" t="n">
        <x:v>19</x:v>
      </x:c>
      <x:c r="J1310" s="25" t="n">
        <x:v>18</x:v>
      </x:c>
      <x:c r="K1310" s="25" t="str">
        <x:v>仅装备原始基础值决定主属性范围</x:v>
      </x:c>
    </x:row>
    <x:row r="1311">
      <x:c r="A1311" s="25" t="str">
        <x:v>C09-X</x:v>
      </x:c>
      <x:c r="B1311" s="25" t="str">
        <x:v>亚坛高原</x:v>
      </x:c>
      <x:c r="C1311" s="25" t="str">
        <x:v>极端压力</x:v>
      </x:c>
      <x:c r="D1311" s="25" t="n">
        <x:v>6</x:v>
      </x:c>
      <x:c r="E1311" s="25" t="n">
        <x:v>200</x:v>
      </x:c>
      <x:c r="F1311" s="25" t="str">
        <x:v>熔勺婆铜镯</x:v>
      </x:c>
      <x:c r="G1311" s="25" t="n">
        <x:v>1</x:v>
      </x:c>
      <x:c r="H1311" s="25" t="str">
        <x:v>攻击</x:v>
      </x:c>
      <x:c r="I1311" s="25" t="n">
        <x:v>1839</x:v>
      </x:c>
      <x:c r="J1311" s="25" t="n">
        <x:v>1</x:v>
      </x:c>
      <x:c r="K1311" s="25" t="str">
        <x:v>仅装备原始基础值决定主属性范围</x:v>
      </x:c>
    </x:row>
    <x:row r="1312">
      <x:c r="A1312" s="25" t="str">
        <x:v>C09-X</x:v>
      </x:c>
      <x:c r="B1312" s="25" t="str">
        <x:v>亚坛高原</x:v>
      </x:c>
      <x:c r="C1312" s="25" t="str">
        <x:v>极端压力</x:v>
      </x:c>
      <x:c r="D1312" s="25" t="n">
        <x:v>6</x:v>
      </x:c>
      <x:c r="E1312" s="25" t="n">
        <x:v>200</x:v>
      </x:c>
      <x:c r="F1312" s="25" t="str">
        <x:v>熔勺婆铜镯</x:v>
      </x:c>
      <x:c r="G1312" s="25" t="n">
        <x:v>2</x:v>
      </x:c>
      <x:c r="H1312" s="25" t="str">
        <x:v>处决概率</x:v>
      </x:c>
      <x:c r="I1312" s="25" t="n">
        <x:v>1</x:v>
      </x:c>
      <x:c r="J1312" s="25" t="n">
        <x:v>6</x:v>
      </x:c>
      <x:c r="K1312" s="25" t="str">
        <x:v>仅装备原始基础值决定主属性范围</x:v>
      </x:c>
    </x:row>
    <x:row r="1313">
      <x:c r="A1313" s="25" t="str">
        <x:v>C09-X</x:v>
      </x:c>
      <x:c r="B1313" s="25" t="str">
        <x:v>亚坛高原</x:v>
      </x:c>
      <x:c r="C1313" s="25" t="str">
        <x:v>极端压力</x:v>
      </x:c>
      <x:c r="D1313" s="25" t="n">
        <x:v>6</x:v>
      </x:c>
      <x:c r="E1313" s="25" t="n">
        <x:v>200</x:v>
      </x:c>
      <x:c r="F1313" s="25" t="str">
        <x:v>熔勺婆铜镯</x:v>
      </x:c>
      <x:c r="G1313" s="25" t="n">
        <x:v>3</x:v>
      </x:c>
      <x:c r="H1313" s="25" t="str">
        <x:v>攻击加成</x:v>
      </x:c>
      <x:c r="I1313" s="25" t="n">
        <x:v>46</x:v>
      </x:c>
      <x:c r="J1313" s="25" t="n">
        <x:v>19</x:v>
      </x:c>
      <x:c r="K1313" s="25" t="str">
        <x:v>仅装备原始基础值决定主属性范围</x:v>
      </x:c>
    </x:row>
    <x:row r="1314">
      <x:c r="A1314" s="25" t="str">
        <x:v>C09-X</x:v>
      </x:c>
      <x:c r="B1314" s="25" t="str">
        <x:v>亚坛高原</x:v>
      </x:c>
      <x:c r="C1314" s="25" t="str">
        <x:v>极端压力</x:v>
      </x:c>
      <x:c r="D1314" s="25" t="n">
        <x:v>7</x:v>
      </x:c>
      <x:c r="E1314" s="25" t="n">
        <x:v>202</x:v>
      </x:c>
      <x:c r="F1314" s="25" t="str">
        <x:v>守门卜者戒</x:v>
      </x:c>
      <x:c r="G1314" s="25" t="n">
        <x:v>1</x:v>
      </x:c>
      <x:c r="H1314" s="25" t="str">
        <x:v>道术</x:v>
      </x:c>
      <x:c r="I1314" s="25" t="n">
        <x:v>528</x:v>
      </x:c>
      <x:c r="J1314" s="25" t="n">
        <x:v>3</x:v>
      </x:c>
      <x:c r="K1314" s="25" t="str">
        <x:v>仅装备原始基础值决定主属性范围</x:v>
      </x:c>
    </x:row>
    <x:row r="1315">
      <x:c r="A1315" s="25" t="str">
        <x:v>C09-X</x:v>
      </x:c>
      <x:c r="B1315" s="25" t="str">
        <x:v>亚坛高原</x:v>
      </x:c>
      <x:c r="C1315" s="25" t="str">
        <x:v>极端压力</x:v>
      </x:c>
      <x:c r="D1315" s="25" t="n">
        <x:v>7</x:v>
      </x:c>
      <x:c r="E1315" s="25" t="n">
        <x:v>202</x:v>
      </x:c>
      <x:c r="F1315" s="25" t="str">
        <x:v>守门卜者戒</x:v>
      </x:c>
      <x:c r="G1315" s="25" t="n">
        <x:v>2</x:v>
      </x:c>
      <x:c r="H1315" s="25" t="str">
        <x:v>伤害系数</x:v>
      </x:c>
      <x:c r="I1315" s="25" t="n">
        <x:v>3</x:v>
      </x:c>
      <x:c r="J1315" s="25" t="n">
        <x:v>27</x:v>
      </x:c>
      <x:c r="K1315" s="25" t="str">
        <x:v>仅装备原始基础值决定主属性范围</x:v>
      </x:c>
    </x:row>
    <x:row r="1316">
      <x:c r="A1316" s="25" t="str">
        <x:v>C09-X</x:v>
      </x:c>
      <x:c r="B1316" s="25" t="str">
        <x:v>亚坛高原</x:v>
      </x:c>
      <x:c r="C1316" s="25" t="str">
        <x:v>极端压力</x:v>
      </x:c>
      <x:c r="D1316" s="25" t="n">
        <x:v>7</x:v>
      </x:c>
      <x:c r="E1316" s="25" t="n">
        <x:v>202</x:v>
      </x:c>
      <x:c r="F1316" s="25" t="str">
        <x:v>守门卜者戒</x:v>
      </x:c>
      <x:c r="G1316" s="25" t="n">
        <x:v>3</x:v>
      </x:c>
      <x:c r="H1316" s="25" t="str">
        <x:v>处决时间</x:v>
      </x:c>
      <x:c r="I1316" s="25" t="n">
        <x:v>1</x:v>
      </x:c>
      <x:c r="J1316" s="25" t="n">
        <x:v>8</x:v>
      </x:c>
      <x:c r="K1316" s="25" t="str">
        <x:v>仅装备原始基础值决定主属性范围</x:v>
      </x:c>
    </x:row>
    <x:row r="1317">
      <x:c r="A1317" s="25" t="str">
        <x:v>C09-X</x:v>
      </x:c>
      <x:c r="B1317" s="25" t="str">
        <x:v>亚坛高原</x:v>
      </x:c>
      <x:c r="C1317" s="25" t="str">
        <x:v>极端压力</x:v>
      </x:c>
      <x:c r="D1317" s="25" t="n">
        <x:v>7</x:v>
      </x:c>
      <x:c r="E1317" s="25" t="n">
        <x:v>202</x:v>
      </x:c>
      <x:c r="F1317" s="25" t="str">
        <x:v>守门卜者戒</x:v>
      </x:c>
      <x:c r="G1317" s="25" t="n">
        <x:v>4</x:v>
      </x:c>
      <x:c r="H1317" s="25" t="str">
        <x:v>攻击加成</x:v>
      </x:c>
      <x:c r="I1317" s="25" t="n">
        <x:v>22</x:v>
      </x:c>
      <x:c r="J1317" s="25" t="n">
        <x:v>18</x:v>
      </x:c>
      <x:c r="K1317" s="25" t="str">
        <x:v>仅装备原始基础值决定主属性范围</x:v>
      </x:c>
    </x:row>
    <x:row r="1318">
      <x:c r="A1318" s="25" t="str">
        <x:v>C09-X</x:v>
      </x:c>
      <x:c r="B1318" s="25" t="str">
        <x:v>亚坛高原</x:v>
      </x:c>
      <x:c r="C1318" s="25" t="str">
        <x:v>极端压力</x:v>
      </x:c>
      <x:c r="D1318" s="25" t="n">
        <x:v>7</x:v>
      </x:c>
      <x:c r="E1318" s="25" t="n">
        <x:v>202</x:v>
      </x:c>
      <x:c r="F1318" s="25" t="str">
        <x:v>守门卜者戒</x:v>
      </x:c>
      <x:c r="G1318" s="25" t="n">
        <x:v>5</x:v>
      </x:c>
      <x:c r="H1318" s="25" t="str">
        <x:v>处决伤害</x:v>
      </x:c>
      <x:c r="I1318" s="25" t="n">
        <x:v>1</x:v>
      </x:c>
      <x:c r="J1318" s="25" t="n">
        <x:v>10</x:v>
      </x:c>
      <x:c r="K1318" s="25" t="str">
        <x:v>仅装备原始基础值决定主属性范围</x:v>
      </x:c>
    </x:row>
    <x:row r="1319">
      <x:c r="A1319" s="25" t="str">
        <x:v>C09-X</x:v>
      </x:c>
      <x:c r="B1319" s="25" t="str">
        <x:v>亚坛高原</x:v>
      </x:c>
      <x:c r="C1319" s="25" t="str">
        <x:v>极端压力</x:v>
      </x:c>
      <x:c r="D1319" s="25" t="n">
        <x:v>7</x:v>
      </x:c>
      <x:c r="E1319" s="25" t="n">
        <x:v>202</x:v>
      </x:c>
      <x:c r="F1319" s="25" t="str">
        <x:v>守门卜者戒</x:v>
      </x:c>
      <x:c r="G1319" s="25" t="n">
        <x:v>6</x:v>
      </x:c>
      <x:c r="H1319" s="25" t="str">
        <x:v>道术</x:v>
      </x:c>
      <x:c r="I1319" s="25" t="n">
        <x:v>1347</x:v>
      </x:c>
      <x:c r="J1319" s="25" t="n">
        <x:v>3</x:v>
      </x:c>
      <x:c r="K1319" s="25" t="str">
        <x:v>仅装备原始基础值决定主属性范围</x:v>
      </x:c>
    </x:row>
    <x:row r="1320">
      <x:c r="A1320" s="25" t="str">
        <x:v>C09-X</x:v>
      </x:c>
      <x:c r="B1320" s="25" t="str">
        <x:v>亚坛高原</x:v>
      </x:c>
      <x:c r="C1320" s="25" t="str">
        <x:v>极端压力</x:v>
      </x:c>
      <x:c r="D1320" s="25" t="n">
        <x:v>7</x:v>
      </x:c>
      <x:c r="E1320" s="25" t="n">
        <x:v>202</x:v>
      </x:c>
      <x:c r="F1320" s="25" t="str">
        <x:v>守门卜者戒</x:v>
      </x:c>
      <x:c r="G1320" s="25" t="n">
        <x:v>7</x:v>
      </x:c>
      <x:c r="H1320" s="25" t="str">
        <x:v>魔法</x:v>
      </x:c>
      <x:c r="I1320" s="25" t="n">
        <x:v>2116</x:v>
      </x:c>
      <x:c r="J1320" s="25" t="n">
        <x:v>2</x:v>
      </x:c>
      <x:c r="K1320" s="25" t="str">
        <x:v>仅装备原始基础值决定主属性范围</x:v>
      </x:c>
    </x:row>
    <x:row r="1321">
      <x:c r="A1321" s="25" t="str">
        <x:v>C09-X</x:v>
      </x:c>
      <x:c r="B1321" s="25" t="str">
        <x:v>亚坛高原</x:v>
      </x:c>
      <x:c r="C1321" s="25" t="str">
        <x:v>极端压力</x:v>
      </x:c>
      <x:c r="D1321" s="25" t="n">
        <x:v>8</x:v>
      </x:c>
      <x:c r="E1321" s="25" t="n">
        <x:v>221</x:v>
      </x:c>
      <x:c r="F1321" s="25" t="str">
        <x:v>守门卜者戒</x:v>
      </x:c>
      <x:c r="G1321" s="25" t="n">
        <x:v>1</x:v>
      </x:c>
      <x:c r="H1321" s="25" t="str">
        <x:v>伤害吸收上限</x:v>
      </x:c>
      <x:c r="I1321" s="25" t="n">
        <x:v>2</x:v>
      </x:c>
      <x:c r="J1321" s="25" t="n">
        <x:v>29</x:v>
      </x:c>
      <x:c r="K1321" s="25" t="str">
        <x:v>仅装备原始基础值决定主属性范围</x:v>
      </x:c>
    </x:row>
    <x:row r="1322">
      <x:c r="A1322" s="25" t="str">
        <x:v>C09-X</x:v>
      </x:c>
      <x:c r="B1322" s="25" t="str">
        <x:v>亚坛高原</x:v>
      </x:c>
      <x:c r="C1322" s="25" t="str">
        <x:v>极端压力</x:v>
      </x:c>
      <x:c r="D1322" s="25" t="n">
        <x:v>8</x:v>
      </x:c>
      <x:c r="E1322" s="25" t="n">
        <x:v>221</x:v>
      </x:c>
      <x:c r="F1322" s="25" t="str">
        <x:v>守门卜者戒</x:v>
      </x:c>
      <x:c r="G1322" s="25" t="n">
        <x:v>2</x:v>
      </x:c>
      <x:c r="H1322" s="25" t="str">
        <x:v>致命一击</x:v>
      </x:c>
      <x:c r="I1322" s="25" t="n">
        <x:v>1</x:v>
      </x:c>
      <x:c r="J1322" s="25" t="n">
        <x:v>16</x:v>
      </x:c>
      <x:c r="K1322" s="25" t="str">
        <x:v>仅装备原始基础值决定主属性范围</x:v>
      </x:c>
    </x:row>
    <x:row r="1323">
      <x:c r="A1323" s="25" t="str">
        <x:v>C09-X</x:v>
      </x:c>
      <x:c r="B1323" s="25" t="str">
        <x:v>亚坛高原</x:v>
      </x:c>
      <x:c r="C1323" s="25" t="str">
        <x:v>极端压力</x:v>
      </x:c>
      <x:c r="D1323" s="25" t="n">
        <x:v>8</x:v>
      </x:c>
      <x:c r="E1323" s="25" t="n">
        <x:v>221</x:v>
      </x:c>
      <x:c r="F1323" s="25" t="str">
        <x:v>守门卜者戒</x:v>
      </x:c>
      <x:c r="G1323" s="25" t="n">
        <x:v>3</x:v>
      </x:c>
      <x:c r="H1323" s="25" t="str">
        <x:v>伤害吸收上限</x:v>
      </x:c>
      <x:c r="I1323" s="25" t="n">
        <x:v>1</x:v>
      </x:c>
      <x:c r="J1323" s="25" t="n">
        <x:v>28</x:v>
      </x:c>
      <x:c r="K1323" s="25" t="str">
        <x:v>仅装备原始基础值决定主属性范围</x:v>
      </x:c>
    </x:row>
    <x:row r="1324">
      <x:c r="A1324" s="25" t="str">
        <x:v>C09-X</x:v>
      </x:c>
      <x:c r="B1324" s="25" t="str">
        <x:v>亚坛高原</x:v>
      </x:c>
      <x:c r="C1324" s="25" t="str">
        <x:v>极端压力</x:v>
      </x:c>
      <x:c r="D1324" s="25" t="n">
        <x:v>8</x:v>
      </x:c>
      <x:c r="E1324" s="25" t="n">
        <x:v>221</x:v>
      </x:c>
      <x:c r="F1324" s="25" t="str">
        <x:v>守门卜者戒</x:v>
      </x:c>
      <x:c r="G1324" s="25" t="n">
        <x:v>4</x:v>
      </x:c>
      <x:c r="H1324" s="25" t="str">
        <x:v>攻击加成</x:v>
      </x:c>
      <x:c r="I1324" s="25" t="n">
        <x:v>41</x:v>
      </x:c>
      <x:c r="J1324" s="25" t="n">
        <x:v>19</x:v>
      </x:c>
      <x:c r="K1324" s="25" t="str">
        <x:v>仅装备原始基础值决定主属性范围</x:v>
      </x:c>
    </x:row>
    <x:row r="1325">
      <x:c r="A1325" s="25" t="str">
        <x:v>C09-X</x:v>
      </x:c>
      <x:c r="B1325" s="25" t="str">
        <x:v>亚坛高原</x:v>
      </x:c>
      <x:c r="C1325" s="25" t="str">
        <x:v>极端压力</x:v>
      </x:c>
      <x:c r="D1325" s="25" t="n">
        <x:v>8</x:v>
      </x:c>
      <x:c r="E1325" s="25" t="n">
        <x:v>221</x:v>
      </x:c>
      <x:c r="F1325" s="25" t="str">
        <x:v>守门卜者戒</x:v>
      </x:c>
      <x:c r="G1325" s="25" t="n">
        <x:v>5</x:v>
      </x:c>
      <x:c r="H1325" s="25" t="str">
        <x:v>攻击加成</x:v>
      </x:c>
      <x:c r="I1325" s="25" t="n">
        <x:v>12</x:v>
      </x:c>
      <x:c r="J1325" s="25" t="n">
        <x:v>18</x:v>
      </x:c>
      <x:c r="K1325" s="25" t="str">
        <x:v>仅装备原始基础值决定主属性范围</x:v>
      </x:c>
    </x:row>
    <x:row r="1326">
      <x:c r="A1326" s="25" t="str">
        <x:v>C09-X</x:v>
      </x:c>
      <x:c r="B1326" s="25" t="str">
        <x:v>亚坛高原</x:v>
      </x:c>
      <x:c r="C1326" s="25" t="str">
        <x:v>极端压力</x:v>
      </x:c>
      <x:c r="D1326" s="25" t="n">
        <x:v>10</x:v>
      </x:c>
      <x:c r="E1326" s="25" t="n">
        <x:v>206</x:v>
      </x:c>
      <x:c r="F1326" s="25" t="str">
        <x:v>百战旗官带</x:v>
      </x:c>
      <x:c r="G1326" s="25" t="n">
        <x:v>1</x:v>
      </x:c>
      <x:c r="H1326" s="25" t="str">
        <x:v>道术</x:v>
      </x:c>
      <x:c r="I1326" s="25" t="n">
        <x:v>178</x:v>
      </x:c>
      <x:c r="J1326" s="25" t="n">
        <x:v>3</x:v>
      </x:c>
      <x:c r="K1326" s="25" t="str">
        <x:v>仅装备原始基础值决定主属性范围</x:v>
      </x:c>
    </x:row>
    <x:row r="1327">
      <x:c r="A1327" s="25" t="str">
        <x:v>C09-X</x:v>
      </x:c>
      <x:c r="B1327" s="25" t="str">
        <x:v>亚坛高原</x:v>
      </x:c>
      <x:c r="C1327" s="25" t="str">
        <x:v>极端压力</x:v>
      </x:c>
      <x:c r="D1327" s="25" t="n">
        <x:v>10</x:v>
      </x:c>
      <x:c r="E1327" s="25" t="n">
        <x:v>206</x:v>
      </x:c>
      <x:c r="F1327" s="25" t="str">
        <x:v>百战旗官带</x:v>
      </x:c>
      <x:c r="G1327" s="25" t="n">
        <x:v>2</x:v>
      </x:c>
      <x:c r="H1327" s="25" t="str">
        <x:v>攻击速度</x:v>
      </x:c>
      <x:c r="I1327" s="25" t="n">
        <x:v>1</x:v>
      </x:c>
      <x:c r="J1327" s="25" t="n">
        <x:v>4</x:v>
      </x:c>
      <x:c r="K1327" s="25" t="str">
        <x:v>仅装备原始基础值决定主属性范围</x:v>
      </x:c>
    </x:row>
    <x:row r="1328">
      <x:c r="A1328" s="25" t="str">
        <x:v>C09-X</x:v>
      </x:c>
      <x:c r="B1328" s="25" t="str">
        <x:v>亚坛高原</x:v>
      </x:c>
      <x:c r="C1328" s="25" t="str">
        <x:v>极端压力</x:v>
      </x:c>
      <x:c r="D1328" s="25" t="n">
        <x:v>10</x:v>
      </x:c>
      <x:c r="E1328" s="25" t="n">
        <x:v>206</x:v>
      </x:c>
      <x:c r="F1328" s="25" t="str">
        <x:v>百战旗官带</x:v>
      </x:c>
      <x:c r="G1328" s="25" t="n">
        <x:v>3</x:v>
      </x:c>
      <x:c r="H1328" s="25" t="str">
        <x:v>攻击</x:v>
      </x:c>
      <x:c r="I1328" s="25" t="n">
        <x:v>932</x:v>
      </x:c>
      <x:c r="J1328" s="25" t="n">
        <x:v>1</x:v>
      </x:c>
      <x:c r="K1328" s="25" t="str">
        <x:v>仅装备原始基础值决定主属性范围</x:v>
      </x:c>
    </x:row>
    <x:row r="1329">
      <x:c r="A1329" s="25" t="str">
        <x:v>C09-X</x:v>
      </x:c>
      <x:c r="B1329" s="25" t="str">
        <x:v>亚坛高原</x:v>
      </x:c>
      <x:c r="C1329" s="25" t="str">
        <x:v>极端压力</x:v>
      </x:c>
      <x:c r="D1329" s="25" t="n">
        <x:v>10</x:v>
      </x:c>
      <x:c r="E1329" s="25" t="n">
        <x:v>206</x:v>
      </x:c>
      <x:c r="F1329" s="25" t="str">
        <x:v>百战旗官带</x:v>
      </x:c>
      <x:c r="G1329" s="25" t="n">
        <x:v>4</x:v>
      </x:c>
      <x:c r="H1329" s="25" t="str">
        <x:v>攻击</x:v>
      </x:c>
      <x:c r="I1329" s="25" t="n">
        <x:v>1434</x:v>
      </x:c>
      <x:c r="J1329" s="25" t="n">
        <x:v>1</x:v>
      </x:c>
      <x:c r="K1329" s="25" t="str">
        <x:v>仅装备原始基础值决定主属性范围</x:v>
      </x:c>
    </x:row>
    <x:row r="1330">
      <x:c r="A1330" s="25" t="str">
        <x:v>C09-X</x:v>
      </x:c>
      <x:c r="B1330" s="25" t="str">
        <x:v>亚坛高原</x:v>
      </x:c>
      <x:c r="C1330" s="25" t="str">
        <x:v>极端压力</x:v>
      </x:c>
      <x:c r="D1330" s="25" t="n">
        <x:v>10</x:v>
      </x:c>
      <x:c r="E1330" s="25" t="n">
        <x:v>206</x:v>
      </x:c>
      <x:c r="F1330" s="25" t="str">
        <x:v>百战旗官带</x:v>
      </x:c>
      <x:c r="G1330" s="25" t="n">
        <x:v>5</x:v>
      </x:c>
      <x:c r="H1330" s="25" t="str">
        <x:v>暴击</x:v>
      </x:c>
      <x:c r="I1330" s="25" t="n">
        <x:v>1</x:v>
      </x:c>
      <x:c r="J1330" s="25" t="n">
        <x:v>14</x:v>
      </x:c>
      <x:c r="K1330" s="25" t="str">
        <x:v>仅装备原始基础值决定主属性范围</x:v>
      </x:c>
    </x:row>
    <x:row r="1331">
      <x:c r="A1331" s="25" t="str">
        <x:v>C09-X</x:v>
      </x:c>
      <x:c r="B1331" s="25" t="str">
        <x:v>亚坛高原</x:v>
      </x:c>
      <x:c r="C1331" s="25" t="str">
        <x:v>极端压力</x:v>
      </x:c>
      <x:c r="D1331" s="25" t="n">
        <x:v>10</x:v>
      </x:c>
      <x:c r="E1331" s="25" t="n">
        <x:v>206</x:v>
      </x:c>
      <x:c r="F1331" s="25" t="str">
        <x:v>百战旗官带</x:v>
      </x:c>
      <x:c r="G1331" s="25" t="n">
        <x:v>6</x:v>
      </x:c>
      <x:c r="H1331" s="25" t="str">
        <x:v>攻击</x:v>
      </x:c>
      <x:c r="I1331" s="25" t="n">
        <x:v>417</x:v>
      </x:c>
      <x:c r="J1331" s="25" t="n">
        <x:v>1</x:v>
      </x:c>
      <x:c r="K1331" s="25" t="str">
        <x:v>仅装备原始基础值决定主属性范围</x:v>
      </x:c>
    </x:row>
    <x:row r="1332">
      <x:c r="A1332" s="25" t="str">
        <x:v>C09-X</x:v>
      </x:c>
      <x:c r="B1332" s="25" t="str">
        <x:v>亚坛高原</x:v>
      </x:c>
      <x:c r="C1332" s="25" t="str">
        <x:v>极端压力</x:v>
      </x:c>
      <x:c r="D1332" s="25" t="n">
        <x:v>11</x:v>
      </x:c>
      <x:c r="E1332" s="25" t="n">
        <x:v>223</x:v>
      </x:c>
      <x:c r="F1332" s="25" t="str">
        <x:v>拾箭童疾履</x:v>
      </x:c>
      <x:c r="G1332" s="25" t="n">
        <x:v>1</x:v>
      </x:c>
      <x:c r="H1332" s="25" t="str">
        <x:v>攻击加成</x:v>
      </x:c>
      <x:c r="I1332" s="25" t="n">
        <x:v>46</x:v>
      </x:c>
      <x:c r="J1332" s="25" t="n">
        <x:v>19</x:v>
      </x:c>
      <x:c r="K1332" s="25" t="str">
        <x:v>仅装备原始基础值决定主属性范围</x:v>
      </x:c>
    </x:row>
    <x:row r="1333">
      <x:c r="A1333" s="25" t="str">
        <x:v>C09-X</x:v>
      </x:c>
      <x:c r="B1333" s="25" t="str">
        <x:v>亚坛高原</x:v>
      </x:c>
      <x:c r="C1333" s="25" t="str">
        <x:v>极端压力</x:v>
      </x:c>
      <x:c r="D1333" s="25" t="n">
        <x:v>11</x:v>
      </x:c>
      <x:c r="E1333" s="25" t="n">
        <x:v>223</x:v>
      </x:c>
      <x:c r="F1333" s="25" t="str">
        <x:v>拾箭童疾履</x:v>
      </x:c>
      <x:c r="G1333" s="25" t="n">
        <x:v>2</x:v>
      </x:c>
      <x:c r="H1333" s="25" t="str">
        <x:v>攻击加成</x:v>
      </x:c>
      <x:c r="I1333" s="25" t="n">
        <x:v>44</x:v>
      </x:c>
      <x:c r="J1333" s="25" t="n">
        <x:v>19</x:v>
      </x:c>
      <x:c r="K1333" s="25" t="str">
        <x:v>仅装备原始基础值决定主属性范围</x:v>
      </x:c>
    </x:row>
    <x:row r="1334">
      <x:c r="A1334" s="25" t="str">
        <x:v>C09-X</x:v>
      </x:c>
      <x:c r="B1334" s="25" t="str">
        <x:v>亚坛高原</x:v>
      </x:c>
      <x:c r="C1334" s="25" t="str">
        <x:v>极端压力</x:v>
      </x:c>
      <x:c r="D1334" s="25" t="n">
        <x:v>11</x:v>
      </x:c>
      <x:c r="E1334" s="25" t="n">
        <x:v>223</x:v>
      </x:c>
      <x:c r="F1334" s="25" t="str">
        <x:v>拾箭童疾履</x:v>
      </x:c>
      <x:c r="G1334" s="25" t="n">
        <x:v>3</x:v>
      </x:c>
      <x:c r="H1334" s="25" t="str">
        <x:v>攻击加成</x:v>
      </x:c>
      <x:c r="I1334" s="25" t="n">
        <x:v>47</x:v>
      </x:c>
      <x:c r="J1334" s="25" t="n">
        <x:v>19</x:v>
      </x:c>
      <x:c r="K1334" s="25" t="str">
        <x:v>仅装备原始基础值决定主属性范围</x:v>
      </x:c>
    </x:row>
    <x:row r="1335">
      <x:c r="A1335" s="25" t="str">
        <x:v>C09-X</x:v>
      </x:c>
      <x:c r="B1335" s="25" t="str">
        <x:v>亚坛高原</x:v>
      </x:c>
      <x:c r="C1335" s="25" t="str">
        <x:v>极端压力</x:v>
      </x:c>
      <x:c r="D1335" s="25" t="n">
        <x:v>11</x:v>
      </x:c>
      <x:c r="E1335" s="25" t="n">
        <x:v>223</x:v>
      </x:c>
      <x:c r="F1335" s="25" t="str">
        <x:v>拾箭童疾履</x:v>
      </x:c>
      <x:c r="G1335" s="25" t="n">
        <x:v>4</x:v>
      </x:c>
      <x:c r="H1335" s="25" t="str">
        <x:v>暴击</x:v>
      </x:c>
      <x:c r="I1335" s="25" t="n">
        <x:v>1</x:v>
      </x:c>
      <x:c r="J1335" s="25" t="n">
        <x:v>14</x:v>
      </x:c>
      <x:c r="K1335" s="25" t="str">
        <x:v>仅装备原始基础值决定主属性范围</x:v>
      </x:c>
    </x:row>
    <x:row r="1336">
      <x:c r="A1336" s="25" t="str">
        <x:v>C10-E</x:v>
      </x:c>
      <x:c r="B1336" s="25" t="str">
        <x:v>王城罗德尔</x:v>
      </x:c>
      <x:c r="C1336" s="25" t="str">
        <x:v>半急速入场</x:v>
      </x:c>
      <x:c r="D1336" s="25" t="n">
        <x:v>0</x:v>
      </x:c>
      <x:c r="E1336" s="25" t="n">
        <x:v>189</x:v>
      </x:c>
      <x:c r="F1336" s="25" t="str">
        <x:v>鎏苔守陵衣</x:v>
      </x:c>
      <x:c r="G1336" s="25" t="n">
        <x:v>1</x:v>
      </x:c>
      <x:c r="H1336" s="25" t="str">
        <x:v>道术</x:v>
      </x:c>
      <x:c r="I1336" s="25" t="n">
        <x:v>606</x:v>
      </x:c>
      <x:c r="J1336" s="25" t="n">
        <x:v>3</x:v>
      </x:c>
      <x:c r="K1336" s="25" t="str">
        <x:v>仅装备原始基础值决定主属性范围</x:v>
      </x:c>
    </x:row>
    <x:row r="1337">
      <x:c r="A1337" s="25" t="str">
        <x:v>C10-E</x:v>
      </x:c>
      <x:c r="B1337" s="25" t="str">
        <x:v>王城罗德尔</x:v>
      </x:c>
      <x:c r="C1337" s="25" t="str">
        <x:v>半急速入场</x:v>
      </x:c>
      <x:c r="D1337" s="25" t="n">
        <x:v>0</x:v>
      </x:c>
      <x:c r="E1337" s="25" t="n">
        <x:v>189</x:v>
      </x:c>
      <x:c r="F1337" s="25" t="str">
        <x:v>鎏苔守陵衣</x:v>
      </x:c>
      <x:c r="G1337" s="25" t="n">
        <x:v>2</x:v>
      </x:c>
      <x:c r="H1337" s="25" t="str">
        <x:v>伤害吸收上限</x:v>
      </x:c>
      <x:c r="I1337" s="25" t="n">
        <x:v>3</x:v>
      </x:c>
      <x:c r="J1337" s="25" t="n">
        <x:v>30</x:v>
      </x:c>
      <x:c r="K1337" s="25" t="str">
        <x:v>仅装备原始基础值决定主属性范围</x:v>
      </x:c>
    </x:row>
    <x:row r="1338">
      <x:c r="A1338" s="25" t="str">
        <x:v>C10-E</x:v>
      </x:c>
      <x:c r="B1338" s="25" t="str">
        <x:v>王城罗德尔</x:v>
      </x:c>
      <x:c r="C1338" s="25" t="str">
        <x:v>半急速入场</x:v>
      </x:c>
      <x:c r="D1338" s="25" t="n">
        <x:v>0</x:v>
      </x:c>
      <x:c r="E1338" s="25" t="n">
        <x:v>189</x:v>
      </x:c>
      <x:c r="F1338" s="25" t="str">
        <x:v>鎏苔守陵衣</x:v>
      </x:c>
      <x:c r="G1338" s="25" t="n">
        <x:v>3</x:v>
      </x:c>
      <x:c r="H1338" s="25" t="str">
        <x:v>攻击速度</x:v>
      </x:c>
      <x:c r="I1338" s="25" t="n">
        <x:v>2</x:v>
      </x:c>
      <x:c r="J1338" s="25" t="n">
        <x:v>5</x:v>
      </x:c>
      <x:c r="K1338" s="25" t="str">
        <x:v>仅装备原始基础值决定主属性范围</x:v>
      </x:c>
    </x:row>
    <x:row r="1339">
      <x:c r="A1339" s="25" t="str">
        <x:v>C10-E</x:v>
      </x:c>
      <x:c r="B1339" s="25" t="str">
        <x:v>王城罗德尔</x:v>
      </x:c>
      <x:c r="C1339" s="25" t="str">
        <x:v>半急速入场</x:v>
      </x:c>
      <x:c r="D1339" s="25" t="n">
        <x:v>0</x:v>
      </x:c>
      <x:c r="E1339" s="25" t="n">
        <x:v>189</x:v>
      </x:c>
      <x:c r="F1339" s="25" t="str">
        <x:v>鎏苔守陵衣</x:v>
      </x:c>
      <x:c r="G1339" s="25" t="n">
        <x:v>4</x:v>
      </x:c>
      <x:c r="H1339" s="25" t="str">
        <x:v>暴击</x:v>
      </x:c>
      <x:c r="I1339" s="25" t="n">
        <x:v>2</x:v>
      </x:c>
      <x:c r="J1339" s="25" t="n">
        <x:v>15</x:v>
      </x:c>
      <x:c r="K1339" s="25" t="str">
        <x:v>仅装备原始基础值决定主属性范围</x:v>
      </x:c>
    </x:row>
    <x:row r="1340">
      <x:c r="A1340" s="25" t="str">
        <x:v>C10-E</x:v>
      </x:c>
      <x:c r="B1340" s="25" t="str">
        <x:v>王城罗德尔</x:v>
      </x:c>
      <x:c r="C1340" s="25" t="str">
        <x:v>半急速入场</x:v>
      </x:c>
      <x:c r="D1340" s="25" t="n">
        <x:v>0</x:v>
      </x:c>
      <x:c r="E1340" s="25" t="n">
        <x:v>189</x:v>
      </x:c>
      <x:c r="F1340" s="25" t="str">
        <x:v>鎏苔守陵衣</x:v>
      </x:c>
      <x:c r="G1340" s="25" t="n">
        <x:v>5</x:v>
      </x:c>
      <x:c r="H1340" s="25" t="str">
        <x:v>攻击速度</x:v>
      </x:c>
      <x:c r="I1340" s="25" t="n">
        <x:v>1</x:v>
      </x:c>
      <x:c r="J1340" s="25" t="n">
        <x:v>4</x:v>
      </x:c>
      <x:c r="K1340" s="25" t="str">
        <x:v>仅装备原始基础值决定主属性范围</x:v>
      </x:c>
    </x:row>
    <x:row r="1341">
      <x:c r="A1341" s="25" t="str">
        <x:v>C10-E</x:v>
      </x:c>
      <x:c r="B1341" s="25" t="str">
        <x:v>王城罗德尔</x:v>
      </x:c>
      <x:c r="C1341" s="25" t="str">
        <x:v>半急速入场</x:v>
      </x:c>
      <x:c r="D1341" s="25" t="n">
        <x:v>0</x:v>
      </x:c>
      <x:c r="E1341" s="25" t="n">
        <x:v>189</x:v>
      </x:c>
      <x:c r="F1341" s="25" t="str">
        <x:v>鎏苔守陵衣</x:v>
      </x:c>
      <x:c r="G1341" s="25" t="n">
        <x:v>6</x:v>
      </x:c>
      <x:c r="H1341" s="25" t="str">
        <x:v>魔法</x:v>
      </x:c>
      <x:c r="I1341" s="25" t="n">
        <x:v>474</x:v>
      </x:c>
      <x:c r="J1341" s="25" t="n">
        <x:v>2</x:v>
      </x:c>
      <x:c r="K1341" s="25" t="str">
        <x:v>仅装备原始基础值决定主属性范围</x:v>
      </x:c>
    </x:row>
    <x:row r="1342">
      <x:c r="A1342" s="25" t="str">
        <x:v>C10-E</x:v>
      </x:c>
      <x:c r="B1342" s="25" t="str">
        <x:v>王城罗德尔</x:v>
      </x:c>
      <x:c r="C1342" s="25" t="str">
        <x:v>半急速入场</x:v>
      </x:c>
      <x:c r="D1342" s="25" t="n">
        <x:v>0</x:v>
      </x:c>
      <x:c r="E1342" s="25" t="n">
        <x:v>189</x:v>
      </x:c>
      <x:c r="F1342" s="25" t="str">
        <x:v>鎏苔守陵衣</x:v>
      </x:c>
      <x:c r="G1342" s="25" t="n">
        <x:v>7</x:v>
      </x:c>
      <x:c r="H1342" s="25" t="str">
        <x:v>道术</x:v>
      </x:c>
      <x:c r="I1342" s="25" t="n">
        <x:v>590</x:v>
      </x:c>
      <x:c r="J1342" s="25" t="n">
        <x:v>3</x:v>
      </x:c>
      <x:c r="K1342" s="25" t="str">
        <x:v>仅装备原始基础值决定主属性范围</x:v>
      </x:c>
    </x:row>
    <x:row r="1343">
      <x:c r="A1343" s="25" t="str">
        <x:v>C10-E</x:v>
      </x:c>
      <x:c r="B1343" s="25" t="str">
        <x:v>王城罗德尔</x:v>
      </x:c>
      <x:c r="C1343" s="25" t="str">
        <x:v>半急速入场</x:v>
      </x:c>
      <x:c r="D1343" s="25" t="n">
        <x:v>1</x:v>
      </x:c>
      <x:c r="E1343" s="25" t="n">
        <x:v>188</x:v>
      </x:c>
      <x:c r="F1343" s="25" t="str">
        <x:v>黄金律裁阳刃</x:v>
      </x:c>
      <x:c r="G1343" s="25" t="n">
        <x:v>1</x:v>
      </x:c>
      <x:c r="H1343" s="25" t="str">
        <x:v>致命一击</x:v>
      </x:c>
      <x:c r="I1343" s="25" t="n">
        <x:v>1</x:v>
      </x:c>
      <x:c r="J1343" s="25" t="n">
        <x:v>16</x:v>
      </x:c>
      <x:c r="K1343" s="25" t="str">
        <x:v>仅装备原始基础值决定主属性范围</x:v>
      </x:c>
    </x:row>
    <x:row r="1344">
      <x:c r="A1344" s="25" t="str">
        <x:v>C10-E</x:v>
      </x:c>
      <x:c r="B1344" s="25" t="str">
        <x:v>王城罗德尔</x:v>
      </x:c>
      <x:c r="C1344" s="25" t="str">
        <x:v>半急速入场</x:v>
      </x:c>
      <x:c r="D1344" s="25" t="n">
        <x:v>1</x:v>
      </x:c>
      <x:c r="E1344" s="25" t="n">
        <x:v>188</x:v>
      </x:c>
      <x:c r="F1344" s="25" t="str">
        <x:v>黄金律裁阳刃</x:v>
      </x:c>
      <x:c r="G1344" s="25" t="n">
        <x:v>2</x:v>
      </x:c>
      <x:c r="H1344" s="25" t="str">
        <x:v>致命一击</x:v>
      </x:c>
      <x:c r="I1344" s="25" t="n">
        <x:v>1</x:v>
      </x:c>
      <x:c r="J1344" s="25" t="n">
        <x:v>16</x:v>
      </x:c>
      <x:c r="K1344" s="25" t="str">
        <x:v>仅装备原始基础值决定主属性范围</x:v>
      </x:c>
    </x:row>
    <x:row r="1345">
      <x:c r="A1345" s="25" t="str">
        <x:v>C10-E</x:v>
      </x:c>
      <x:c r="B1345" s="25" t="str">
        <x:v>王城罗德尔</x:v>
      </x:c>
      <x:c r="C1345" s="25" t="str">
        <x:v>半急速入场</x:v>
      </x:c>
      <x:c r="D1345" s="25" t="n">
        <x:v>1</x:v>
      </x:c>
      <x:c r="E1345" s="25" t="n">
        <x:v>188</x:v>
      </x:c>
      <x:c r="F1345" s="25" t="str">
        <x:v>黄金律裁阳刃</x:v>
      </x:c>
      <x:c r="G1345" s="25" t="n">
        <x:v>3</x:v>
      </x:c>
      <x:c r="H1345" s="25" t="str">
        <x:v>攻击</x:v>
      </x:c>
      <x:c r="I1345" s="25" t="n">
        <x:v>5195</x:v>
      </x:c>
      <x:c r="J1345" s="25" t="n">
        <x:v>1</x:v>
      </x:c>
      <x:c r="K1345" s="25" t="str">
        <x:v>仅装备原始基础值决定主属性范围</x:v>
      </x:c>
    </x:row>
    <x:row r="1346">
      <x:c r="A1346" s="25" t="str">
        <x:v>C10-E</x:v>
      </x:c>
      <x:c r="B1346" s="25" t="str">
        <x:v>王城罗德尔</x:v>
      </x:c>
      <x:c r="C1346" s="25" t="str">
        <x:v>半急速入场</x:v>
      </x:c>
      <x:c r="D1346" s="25" t="n">
        <x:v>1</x:v>
      </x:c>
      <x:c r="E1346" s="25" t="n">
        <x:v>188</x:v>
      </x:c>
      <x:c r="F1346" s="25" t="str">
        <x:v>黄金律裁阳刃</x:v>
      </x:c>
      <x:c r="G1346" s="25" t="n">
        <x:v>4</x:v>
      </x:c>
      <x:c r="H1346" s="25" t="str">
        <x:v>吸血</x:v>
      </x:c>
      <x:c r="I1346" s="25" t="n">
        <x:v>1</x:v>
      </x:c>
      <x:c r="J1346" s="25" t="n">
        <x:v>20</x:v>
      </x:c>
      <x:c r="K1346" s="25" t="str">
        <x:v>仅装备原始基础值决定主属性范围</x:v>
      </x:c>
    </x:row>
    <x:row r="1347">
      <x:c r="A1347" s="25" t="str">
        <x:v>C10-E</x:v>
      </x:c>
      <x:c r="B1347" s="25" t="str">
        <x:v>王城罗德尔</x:v>
      </x:c>
      <x:c r="C1347" s="25" t="str">
        <x:v>半急速入场</x:v>
      </x:c>
      <x:c r="D1347" s="25" t="n">
        <x:v>1</x:v>
      </x:c>
      <x:c r="E1347" s="25" t="n">
        <x:v>188</x:v>
      </x:c>
      <x:c r="F1347" s="25" t="str">
        <x:v>黄金律裁阳刃</x:v>
      </x:c>
      <x:c r="G1347" s="25" t="n">
        <x:v>5</x:v>
      </x:c>
      <x:c r="H1347" s="25" t="str">
        <x:v>吸血</x:v>
      </x:c>
      <x:c r="I1347" s="25" t="n">
        <x:v>1</x:v>
      </x:c>
      <x:c r="J1347" s="25" t="n">
        <x:v>20</x:v>
      </x:c>
      <x:c r="K1347" s="25" t="str">
        <x:v>仅装备原始基础值决定主属性范围</x:v>
      </x:c>
    </x:row>
    <x:row r="1348">
      <x:c r="A1348" s="25" t="str">
        <x:v>C10-E</x:v>
      </x:c>
      <x:c r="B1348" s="25" t="str">
        <x:v>王城罗德尔</x:v>
      </x:c>
      <x:c r="C1348" s="25" t="str">
        <x:v>半急速入场</x:v>
      </x:c>
      <x:c r="D1348" s="25" t="n">
        <x:v>1</x:v>
      </x:c>
      <x:c r="E1348" s="25" t="n">
        <x:v>188</x:v>
      </x:c>
      <x:c r="F1348" s="25" t="str">
        <x:v>黄金律裁阳刃</x:v>
      </x:c>
      <x:c r="G1348" s="25" t="n">
        <x:v>6</x:v>
      </x:c>
      <x:c r="H1348" s="25" t="str">
        <x:v>韧性</x:v>
      </x:c>
      <x:c r="I1348" s="25" t="n">
        <x:v>10</x:v>
      </x:c>
      <x:c r="J1348" s="25" t="n">
        <x:v>12</x:v>
      </x:c>
      <x:c r="K1348" s="25" t="str">
        <x:v>仅装备原始基础值决定主属性范围</x:v>
      </x:c>
    </x:row>
    <x:row r="1349">
      <x:c r="A1349" s="25" t="str">
        <x:v>C10-E</x:v>
      </x:c>
      <x:c r="B1349" s="25" t="str">
        <x:v>王城罗德尔</x:v>
      </x:c>
      <x:c r="C1349" s="25" t="str">
        <x:v>半急速入场</x:v>
      </x:c>
      <x:c r="D1349" s="25" t="n">
        <x:v>1</x:v>
      </x:c>
      <x:c r="E1349" s="25" t="n">
        <x:v>188</x:v>
      </x:c>
      <x:c r="F1349" s="25" t="str">
        <x:v>黄金律裁阳刃</x:v>
      </x:c>
      <x:c r="G1349" s="25" t="n">
        <x:v>7</x:v>
      </x:c>
      <x:c r="H1349" s="25" t="str">
        <x:v>攻击加成</x:v>
      </x:c>
      <x:c r="I1349" s="25" t="n">
        <x:v>44</x:v>
      </x:c>
      <x:c r="J1349" s="25" t="n">
        <x:v>19</x:v>
      </x:c>
      <x:c r="K1349" s="25" t="str">
        <x:v>仅装备原始基础值决定主属性范围</x:v>
      </x:c>
    </x:row>
    <x:row r="1350">
      <x:c r="A1350" s="25" t="str">
        <x:v>C10-E</x:v>
      </x:c>
      <x:c r="B1350" s="25" t="str">
        <x:v>王城罗德尔</x:v>
      </x:c>
      <x:c r="C1350" s="25" t="str">
        <x:v>半急速入场</x:v>
      </x:c>
      <x:c r="D1350" s="25" t="n">
        <x:v>3</x:v>
      </x:c>
      <x:c r="E1350" s="25" t="n">
        <x:v>177</x:v>
      </x:c>
      <x:c r="F1350" s="25" t="str">
        <x:v>白翼颈链</x:v>
      </x:c>
      <x:c r="G1350" s="25" t="n">
        <x:v>1</x:v>
      </x:c>
      <x:c r="H1350" s="25" t="str">
        <x:v>处决伤害</x:v>
      </x:c>
      <x:c r="I1350" s="25" t="n">
        <x:v>1</x:v>
      </x:c>
      <x:c r="J1350" s="25" t="n">
        <x:v>10</x:v>
      </x:c>
      <x:c r="K1350" s="25" t="str">
        <x:v>仅装备原始基础值决定主属性范围</x:v>
      </x:c>
    </x:row>
    <x:row r="1351">
      <x:c r="A1351" s="25" t="str">
        <x:v>C10-E</x:v>
      </x:c>
      <x:c r="B1351" s="25" t="str">
        <x:v>王城罗德尔</x:v>
      </x:c>
      <x:c r="C1351" s="25" t="str">
        <x:v>半急速入场</x:v>
      </x:c>
      <x:c r="D1351" s="25" t="n">
        <x:v>3</x:v>
      </x:c>
      <x:c r="E1351" s="25" t="n">
        <x:v>177</x:v>
      </x:c>
      <x:c r="F1351" s="25" t="str">
        <x:v>白翼颈链</x:v>
      </x:c>
      <x:c r="G1351" s="25" t="n">
        <x:v>2</x:v>
      </x:c>
      <x:c r="H1351" s="25" t="str">
        <x:v>攻击</x:v>
      </x:c>
      <x:c r="I1351" s="25" t="n">
        <x:v>650</x:v>
      </x:c>
      <x:c r="J1351" s="25" t="n">
        <x:v>1</x:v>
      </x:c>
      <x:c r="K1351" s="25" t="str">
        <x:v>仅装备原始基础值决定主属性范围</x:v>
      </x:c>
    </x:row>
    <x:row r="1352">
      <x:c r="A1352" s="25" t="str">
        <x:v>C10-E</x:v>
      </x:c>
      <x:c r="B1352" s="25" t="str">
        <x:v>王城罗德尔</x:v>
      </x:c>
      <x:c r="C1352" s="25" t="str">
        <x:v>半急速入场</x:v>
      </x:c>
      <x:c r="D1352" s="25" t="n">
        <x:v>3</x:v>
      </x:c>
      <x:c r="E1352" s="25" t="n">
        <x:v>177</x:v>
      </x:c>
      <x:c r="F1352" s="25" t="str">
        <x:v>白翼颈链</x:v>
      </x:c>
      <x:c r="G1352" s="25" t="n">
        <x:v>3</x:v>
      </x:c>
      <x:c r="H1352" s="25" t="str">
        <x:v>处决伤害</x:v>
      </x:c>
      <x:c r="I1352" s="25" t="n">
        <x:v>1</x:v>
      </x:c>
      <x:c r="J1352" s="25" t="n">
        <x:v>10</x:v>
      </x:c>
      <x:c r="K1352" s="25" t="str">
        <x:v>仅装备原始基础值决定主属性范围</x:v>
      </x:c>
    </x:row>
    <x:row r="1353">
      <x:c r="A1353" s="25" t="str">
        <x:v>C10-E</x:v>
      </x:c>
      <x:c r="B1353" s="25" t="str">
        <x:v>王城罗德尔</x:v>
      </x:c>
      <x:c r="C1353" s="25" t="str">
        <x:v>半急速入场</x:v>
      </x:c>
      <x:c r="D1353" s="25" t="n">
        <x:v>3</x:v>
      </x:c>
      <x:c r="E1353" s="25" t="n">
        <x:v>177</x:v>
      </x:c>
      <x:c r="F1353" s="25" t="str">
        <x:v>白翼颈链</x:v>
      </x:c>
      <x:c r="G1353" s="25" t="n">
        <x:v>4</x:v>
      </x:c>
      <x:c r="H1353" s="25" t="str">
        <x:v>处决概率</x:v>
      </x:c>
      <x:c r="I1353" s="25" t="n">
        <x:v>2</x:v>
      </x:c>
      <x:c r="J1353" s="25" t="n">
        <x:v>7</x:v>
      </x:c>
      <x:c r="K1353" s="25" t="str">
        <x:v>仅装备原始基础值决定主属性范围</x:v>
      </x:c>
    </x:row>
    <x:row r="1354">
      <x:c r="A1354" s="25" t="str">
        <x:v>C10-E</x:v>
      </x:c>
      <x:c r="B1354" s="25" t="str">
        <x:v>王城罗德尔</x:v>
      </x:c>
      <x:c r="C1354" s="25" t="str">
        <x:v>半急速入场</x:v>
      </x:c>
      <x:c r="D1354" s="25" t="n">
        <x:v>3</x:v>
      </x:c>
      <x:c r="E1354" s="25" t="n">
        <x:v>177</x:v>
      </x:c>
      <x:c r="F1354" s="25" t="str">
        <x:v>白翼颈链</x:v>
      </x:c>
      <x:c r="G1354" s="25" t="n">
        <x:v>5</x:v>
      </x:c>
      <x:c r="H1354" s="25" t="str">
        <x:v>攻击</x:v>
      </x:c>
      <x:c r="I1354" s="25" t="n">
        <x:v>430</x:v>
      </x:c>
      <x:c r="J1354" s="25" t="n">
        <x:v>1</x:v>
      </x:c>
      <x:c r="K1354" s="25" t="str">
        <x:v>仅装备原始基础值决定主属性范围</x:v>
      </x:c>
    </x:row>
    <x:row r="1355">
      <x:c r="A1355" s="25" t="str">
        <x:v>C10-E</x:v>
      </x:c>
      <x:c r="B1355" s="25" t="str">
        <x:v>王城罗德尔</x:v>
      </x:c>
      <x:c r="C1355" s="25" t="str">
        <x:v>半急速入场</x:v>
      </x:c>
      <x:c r="D1355" s="25" t="n">
        <x:v>4</x:v>
      </x:c>
      <x:c r="E1355" s="25" t="n">
        <x:v>190</x:v>
      </x:c>
      <x:c r="F1355" s="25" t="str">
        <x:v>芙蕾冰冠</x:v>
      </x:c>
      <x:c r="G1355" s="25" t="n">
        <x:v>1</x:v>
      </x:c>
      <x:c r="H1355" s="25" t="str">
        <x:v>攻击速度</x:v>
      </x:c>
      <x:c r="I1355" s="25" t="n">
        <x:v>1</x:v>
      </x:c>
      <x:c r="J1355" s="25" t="n">
        <x:v>4</x:v>
      </x:c>
      <x:c r="K1355" s="25" t="str">
        <x:v>仅装备原始基础值决定主属性范围</x:v>
      </x:c>
    </x:row>
    <x:row r="1356">
      <x:c r="A1356" s="25" t="str">
        <x:v>C10-E</x:v>
      </x:c>
      <x:c r="B1356" s="25" t="str">
        <x:v>王城罗德尔</x:v>
      </x:c>
      <x:c r="C1356" s="25" t="str">
        <x:v>半急速入场</x:v>
      </x:c>
      <x:c r="D1356" s="25" t="n">
        <x:v>4</x:v>
      </x:c>
      <x:c r="E1356" s="25" t="n">
        <x:v>190</x:v>
      </x:c>
      <x:c r="F1356" s="25" t="str">
        <x:v>芙蕾冰冠</x:v>
      </x:c>
      <x:c r="G1356" s="25" t="n">
        <x:v>2</x:v>
      </x:c>
      <x:c r="H1356" s="25" t="str">
        <x:v>攻击</x:v>
      </x:c>
      <x:c r="I1356" s="25" t="n">
        <x:v>537</x:v>
      </x:c>
      <x:c r="J1356" s="25" t="n">
        <x:v>1</x:v>
      </x:c>
      <x:c r="K1356" s="25" t="str">
        <x:v>仅装备原始基础值决定主属性范围</x:v>
      </x:c>
    </x:row>
    <x:row r="1357">
      <x:c r="A1357" s="25" t="str">
        <x:v>C10-E</x:v>
      </x:c>
      <x:c r="B1357" s="25" t="str">
        <x:v>王城罗德尔</x:v>
      </x:c>
      <x:c r="C1357" s="25" t="str">
        <x:v>半急速入场</x:v>
      </x:c>
      <x:c r="D1357" s="25" t="n">
        <x:v>4</x:v>
      </x:c>
      <x:c r="E1357" s="25" t="n">
        <x:v>190</x:v>
      </x:c>
      <x:c r="F1357" s="25" t="str">
        <x:v>芙蕾冰冠</x:v>
      </x:c>
      <x:c r="G1357" s="25" t="n">
        <x:v>3</x:v>
      </x:c>
      <x:c r="H1357" s="25" t="str">
        <x:v>伤害系数</x:v>
      </x:c>
      <x:c r="I1357" s="25" t="n">
        <x:v>1</x:v>
      </x:c>
      <x:c r="J1357" s="25" t="n">
        <x:v>25</x:v>
      </x:c>
      <x:c r="K1357" s="25" t="str">
        <x:v>仅装备原始基础值决定主属性范围</x:v>
      </x:c>
    </x:row>
    <x:row r="1358">
      <x:c r="A1358" s="25" t="str">
        <x:v>C10-E</x:v>
      </x:c>
      <x:c r="B1358" s="25" t="str">
        <x:v>王城罗德尔</x:v>
      </x:c>
      <x:c r="C1358" s="25" t="str">
        <x:v>半急速入场</x:v>
      </x:c>
      <x:c r="D1358" s="25" t="n">
        <x:v>4</x:v>
      </x:c>
      <x:c r="E1358" s="25" t="n">
        <x:v>190</x:v>
      </x:c>
      <x:c r="F1358" s="25" t="str">
        <x:v>芙蕾冰冠</x:v>
      </x:c>
      <x:c r="G1358" s="25" t="n">
        <x:v>4</x:v>
      </x:c>
      <x:c r="H1358" s="25" t="str">
        <x:v>吸血</x:v>
      </x:c>
      <x:c r="I1358" s="25" t="n">
        <x:v>1</x:v>
      </x:c>
      <x:c r="J1358" s="25" t="n">
        <x:v>20</x:v>
      </x:c>
      <x:c r="K1358" s="25" t="str">
        <x:v>仅装备原始基础值决定主属性范围</x:v>
      </x:c>
    </x:row>
    <x:row r="1359">
      <x:c r="A1359" s="25" t="str">
        <x:v>C10-E</x:v>
      </x:c>
      <x:c r="B1359" s="25" t="str">
        <x:v>王城罗德尔</x:v>
      </x:c>
      <x:c r="C1359" s="25" t="str">
        <x:v>半急速入场</x:v>
      </x:c>
      <x:c r="D1359" s="25" t="n">
        <x:v>4</x:v>
      </x:c>
      <x:c r="E1359" s="25" t="n">
        <x:v>190</x:v>
      </x:c>
      <x:c r="F1359" s="25" t="str">
        <x:v>芙蕾冰冠</x:v>
      </x:c>
      <x:c r="G1359" s="25" t="n">
        <x:v>5</x:v>
      </x:c>
      <x:c r="H1359" s="25" t="str">
        <x:v>魔法</x:v>
      </x:c>
      <x:c r="I1359" s="25" t="n">
        <x:v>335</x:v>
      </x:c>
      <x:c r="J1359" s="25" t="n">
        <x:v>2</x:v>
      </x:c>
      <x:c r="K1359" s="25" t="str">
        <x:v>仅装备原始基础值决定主属性范围</x:v>
      </x:c>
    </x:row>
    <x:row r="1360">
      <x:c r="A1360" s="25" t="str">
        <x:v>C10-E</x:v>
      </x:c>
      <x:c r="B1360" s="25" t="str">
        <x:v>王城罗德尔</x:v>
      </x:c>
      <x:c r="C1360" s="25" t="str">
        <x:v>半急速入场</x:v>
      </x:c>
      <x:c r="D1360" s="25" t="n">
        <x:v>5</x:v>
      </x:c>
      <x:c r="E1360" s="25" t="n">
        <x:v>192</x:v>
      </x:c>
      <x:c r="F1360" s="25" t="str">
        <x:v>残斧魂腕环</x:v>
      </x:c>
      <x:c r="G1360" s="25" t="n">
        <x:v>1</x:v>
      </x:c>
      <x:c r="H1360" s="25" t="str">
        <x:v>魔法</x:v>
      </x:c>
      <x:c r="I1360" s="25" t="n">
        <x:v>218</x:v>
      </x:c>
      <x:c r="J1360" s="25" t="n">
        <x:v>2</x:v>
      </x:c>
      <x:c r="K1360" s="25" t="str">
        <x:v>仅装备原始基础值决定主属性范围</x:v>
      </x:c>
    </x:row>
    <x:row r="1361">
      <x:c r="A1361" s="25" t="str">
        <x:v>C10-E</x:v>
      </x:c>
      <x:c r="B1361" s="25" t="str">
        <x:v>王城罗德尔</x:v>
      </x:c>
      <x:c r="C1361" s="25" t="str">
        <x:v>半急速入场</x:v>
      </x:c>
      <x:c r="D1361" s="25" t="n">
        <x:v>5</x:v>
      </x:c>
      <x:c r="E1361" s="25" t="n">
        <x:v>192</x:v>
      </x:c>
      <x:c r="F1361" s="25" t="str">
        <x:v>残斧魂腕环</x:v>
      </x:c>
      <x:c r="G1361" s="25" t="n">
        <x:v>2</x:v>
      </x:c>
      <x:c r="H1361" s="25" t="str">
        <x:v>攻击</x:v>
      </x:c>
      <x:c r="I1361" s="25" t="n">
        <x:v>843</x:v>
      </x:c>
      <x:c r="J1361" s="25" t="n">
        <x:v>1</x:v>
      </x:c>
      <x:c r="K1361" s="25" t="str">
        <x:v>仅装备原始基础值决定主属性范围</x:v>
      </x:c>
    </x:row>
    <x:row r="1362">
      <x:c r="A1362" s="25" t="str">
        <x:v>C10-E</x:v>
      </x:c>
      <x:c r="B1362" s="25" t="str">
        <x:v>王城罗德尔</x:v>
      </x:c>
      <x:c r="C1362" s="25" t="str">
        <x:v>半急速入场</x:v>
      </x:c>
      <x:c r="D1362" s="25" t="n">
        <x:v>5</x:v>
      </x:c>
      <x:c r="E1362" s="25" t="n">
        <x:v>192</x:v>
      </x:c>
      <x:c r="F1362" s="25" t="str">
        <x:v>残斧魂腕环</x:v>
      </x:c>
      <x:c r="G1362" s="25" t="n">
        <x:v>3</x:v>
      </x:c>
      <x:c r="H1362" s="25" t="str">
        <x:v>攻击</x:v>
      </x:c>
      <x:c r="I1362" s="25" t="n">
        <x:v>23</x:v>
      </x:c>
      <x:c r="J1362" s="25" t="n">
        <x:v>1</x:v>
      </x:c>
      <x:c r="K1362" s="25" t="str">
        <x:v>仅装备原始基础值决定主属性范围</x:v>
      </x:c>
    </x:row>
    <x:row r="1363">
      <x:c r="A1363" s="25" t="str">
        <x:v>C10-E</x:v>
      </x:c>
      <x:c r="B1363" s="25" t="str">
        <x:v>王城罗德尔</x:v>
      </x:c>
      <x:c r="C1363" s="25" t="str">
        <x:v>半急速入场</x:v>
      </x:c>
      <x:c r="D1363" s="25" t="n">
        <x:v>5</x:v>
      </x:c>
      <x:c r="E1363" s="25" t="n">
        <x:v>192</x:v>
      </x:c>
      <x:c r="F1363" s="25" t="str">
        <x:v>残斧魂腕环</x:v>
      </x:c>
      <x:c r="G1363" s="25" t="n">
        <x:v>4</x:v>
      </x:c>
      <x:c r="H1363" s="25" t="str">
        <x:v>韧性</x:v>
      </x:c>
      <x:c r="I1363" s="25" t="n">
        <x:v>10</x:v>
      </x:c>
      <x:c r="J1363" s="25" t="n">
        <x:v>12</x:v>
      </x:c>
      <x:c r="K1363" s="25" t="str">
        <x:v>仅装备原始基础值决定主属性范围</x:v>
      </x:c>
    </x:row>
    <x:row r="1364">
      <x:c r="A1364" s="25" t="str">
        <x:v>C10-E</x:v>
      </x:c>
      <x:c r="B1364" s="25" t="str">
        <x:v>王城罗德尔</x:v>
      </x:c>
      <x:c r="C1364" s="25" t="str">
        <x:v>半急速入场</x:v>
      </x:c>
      <x:c r="D1364" s="25" t="n">
        <x:v>5</x:v>
      </x:c>
      <x:c r="E1364" s="25" t="n">
        <x:v>192</x:v>
      </x:c>
      <x:c r="F1364" s="25" t="str">
        <x:v>残斧魂腕环</x:v>
      </x:c>
      <x:c r="G1364" s="25" t="n">
        <x:v>5</x:v>
      </x:c>
      <x:c r="H1364" s="25" t="str">
        <x:v>魔法</x:v>
      </x:c>
      <x:c r="I1364" s="25" t="n">
        <x:v>634</x:v>
      </x:c>
      <x:c r="J1364" s="25" t="n">
        <x:v>2</x:v>
      </x:c>
      <x:c r="K1364" s="25" t="str">
        <x:v>仅装备原始基础值决定主属性范围</x:v>
      </x:c>
    </x:row>
    <x:row r="1365">
      <x:c r="A1365" s="25" t="str">
        <x:v>C10-E</x:v>
      </x:c>
      <x:c r="B1365" s="25" t="str">
        <x:v>王城罗德尔</x:v>
      </x:c>
      <x:c r="C1365" s="25" t="str">
        <x:v>半急速入场</x:v>
      </x:c>
      <x:c r="D1365" s="25" t="n">
        <x:v>6</x:v>
      </x:c>
      <x:c r="E1365" s="25" t="n">
        <x:v>193</x:v>
      </x:c>
      <x:c r="F1365" s="25" t="str">
        <x:v>寒狱铁镯</x:v>
      </x:c>
      <x:c r="G1365" s="25" t="n">
        <x:v>1</x:v>
      </x:c>
      <x:c r="H1365" s="25" t="str">
        <x:v>魔法</x:v>
      </x:c>
      <x:c r="I1365" s="25" t="n">
        <x:v>20</x:v>
      </x:c>
      <x:c r="J1365" s="25" t="n">
        <x:v>2</x:v>
      </x:c>
      <x:c r="K1365" s="25" t="str">
        <x:v>仅装备原始基础值决定主属性范围</x:v>
      </x:c>
    </x:row>
    <x:row r="1366">
      <x:c r="A1366" s="25" t="str">
        <x:v>C10-E</x:v>
      </x:c>
      <x:c r="B1366" s="25" t="str">
        <x:v>王城罗德尔</x:v>
      </x:c>
      <x:c r="C1366" s="25" t="str">
        <x:v>半急速入场</x:v>
      </x:c>
      <x:c r="D1366" s="25" t="n">
        <x:v>6</x:v>
      </x:c>
      <x:c r="E1366" s="25" t="n">
        <x:v>193</x:v>
      </x:c>
      <x:c r="F1366" s="25" t="str">
        <x:v>寒狱铁镯</x:v>
      </x:c>
      <x:c r="G1366" s="25" t="n">
        <x:v>2</x:v>
      </x:c>
      <x:c r="H1366" s="25" t="str">
        <x:v>伤害系数</x:v>
      </x:c>
      <x:c r="I1366" s="25" t="n">
        <x:v>2</x:v>
      </x:c>
      <x:c r="J1366" s="25" t="n">
        <x:v>26</x:v>
      </x:c>
      <x:c r="K1366" s="25" t="str">
        <x:v>仅装备原始基础值决定主属性范围</x:v>
      </x:c>
    </x:row>
    <x:row r="1367">
      <x:c r="A1367" s="25" t="str">
        <x:v>C10-E</x:v>
      </x:c>
      <x:c r="B1367" s="25" t="str">
        <x:v>王城罗德尔</x:v>
      </x:c>
      <x:c r="C1367" s="25" t="str">
        <x:v>半急速入场</x:v>
      </x:c>
      <x:c r="D1367" s="25" t="n">
        <x:v>6</x:v>
      </x:c>
      <x:c r="E1367" s="25" t="n">
        <x:v>193</x:v>
      </x:c>
      <x:c r="F1367" s="25" t="str">
        <x:v>寒狱铁镯</x:v>
      </x:c>
      <x:c r="G1367" s="25" t="n">
        <x:v>3</x:v>
      </x:c>
      <x:c r="H1367" s="25" t="str">
        <x:v>攻击</x:v>
      </x:c>
      <x:c r="I1367" s="25" t="n">
        <x:v>45</x:v>
      </x:c>
      <x:c r="J1367" s="25" t="n">
        <x:v>1</x:v>
      </x:c>
      <x:c r="K1367" s="25" t="str">
        <x:v>仅装备原始基础值决定主属性范围</x:v>
      </x:c>
    </x:row>
    <x:row r="1368">
      <x:c r="A1368" s="25" t="str">
        <x:v>C10-E</x:v>
      </x:c>
      <x:c r="B1368" s="25" t="str">
        <x:v>王城罗德尔</x:v>
      </x:c>
      <x:c r="C1368" s="25" t="str">
        <x:v>半急速入场</x:v>
      </x:c>
      <x:c r="D1368" s="25" t="n">
        <x:v>6</x:v>
      </x:c>
      <x:c r="E1368" s="25" t="n">
        <x:v>193</x:v>
      </x:c>
      <x:c r="F1368" s="25" t="str">
        <x:v>寒狱铁镯</x:v>
      </x:c>
      <x:c r="G1368" s="25" t="n">
        <x:v>4</x:v>
      </x:c>
      <x:c r="H1368" s="25" t="str">
        <x:v>攻击速度</x:v>
      </x:c>
      <x:c r="I1368" s="25" t="n">
        <x:v>1</x:v>
      </x:c>
      <x:c r="J1368" s="25" t="n">
        <x:v>4</x:v>
      </x:c>
      <x:c r="K1368" s="25" t="str">
        <x:v>仅装备原始基础值决定主属性范围</x:v>
      </x:c>
    </x:row>
    <x:row r="1369">
      <x:c r="A1369" s="25" t="str">
        <x:v>C10-E</x:v>
      </x:c>
      <x:c r="B1369" s="25" t="str">
        <x:v>王城罗德尔</x:v>
      </x:c>
      <x:c r="C1369" s="25" t="str">
        <x:v>半急速入场</x:v>
      </x:c>
      <x:c r="D1369" s="25" t="n">
        <x:v>6</x:v>
      </x:c>
      <x:c r="E1369" s="25" t="n">
        <x:v>193</x:v>
      </x:c>
      <x:c r="F1369" s="25" t="str">
        <x:v>寒狱铁镯</x:v>
      </x:c>
      <x:c r="G1369" s="25" t="n">
        <x:v>5</x:v>
      </x:c>
      <x:c r="H1369" s="25" t="str">
        <x:v>处决伤害</x:v>
      </x:c>
      <x:c r="I1369" s="25" t="n">
        <x:v>2</x:v>
      </x:c>
      <x:c r="J1369" s="25" t="n">
        <x:v>11</x:v>
      </x:c>
      <x:c r="K1369" s="25" t="str">
        <x:v>仅装备原始基础值决定主属性范围</x:v>
      </x:c>
    </x:row>
    <x:row r="1370">
      <x:c r="A1370" s="25" t="str">
        <x:v>C10-E</x:v>
      </x:c>
      <x:c r="B1370" s="25" t="str">
        <x:v>王城罗德尔</x:v>
      </x:c>
      <x:c r="C1370" s="25" t="str">
        <x:v>半急速入场</x:v>
      </x:c>
      <x:c r="D1370" s="25" t="n">
        <x:v>6</x:v>
      </x:c>
      <x:c r="E1370" s="25" t="n">
        <x:v>193</x:v>
      </x:c>
      <x:c r="F1370" s="25" t="str">
        <x:v>寒狱铁镯</x:v>
      </x:c>
      <x:c r="G1370" s="25" t="n">
        <x:v>6</x:v>
      </x:c>
      <x:c r="H1370" s="25" t="str">
        <x:v>最大爆率</x:v>
      </x:c>
      <x:c r="I1370" s="25" t="n">
        <x:v>2</x:v>
      </x:c>
      <x:c r="J1370" s="25" t="n">
        <x:v>23</x:v>
      </x:c>
      <x:c r="K1370" s="25" t="str">
        <x:v>仅装备原始基础值决定主属性范围</x:v>
      </x:c>
    </x:row>
    <x:row r="1371">
      <x:c r="A1371" s="25" t="str">
        <x:v>C10-E</x:v>
      </x:c>
      <x:c r="B1371" s="25" t="str">
        <x:v>王城罗德尔</x:v>
      </x:c>
      <x:c r="C1371" s="25" t="str">
        <x:v>半急速入场</x:v>
      </x:c>
      <x:c r="D1371" s="25" t="n">
        <x:v>6</x:v>
      </x:c>
      <x:c r="E1371" s="25" t="n">
        <x:v>193</x:v>
      </x:c>
      <x:c r="F1371" s="25" t="str">
        <x:v>寒狱铁镯</x:v>
      </x:c>
      <x:c r="G1371" s="25" t="n">
        <x:v>7</x:v>
      </x:c>
      <x:c r="H1371" s="25" t="str">
        <x:v>处决概率</x:v>
      </x:c>
      <x:c r="I1371" s="25" t="n">
        <x:v>2</x:v>
      </x:c>
      <x:c r="J1371" s="25" t="n">
        <x:v>7</x:v>
      </x:c>
      <x:c r="K1371" s="25" t="str">
        <x:v>仅装备原始基础值决定主属性范围</x:v>
      </x:c>
    </x:row>
    <x:row r="1372">
      <x:c r="A1372" s="25" t="str">
        <x:v>C10-E</x:v>
      </x:c>
      <x:c r="B1372" s="25" t="str">
        <x:v>王城罗德尔</x:v>
      </x:c>
      <x:c r="C1372" s="25" t="str">
        <x:v>半急速入场</x:v>
      </x:c>
      <x:c r="D1372" s="25" t="n">
        <x:v>7</x:v>
      </x:c>
      <x:c r="E1372" s="25" t="n">
        <x:v>194</x:v>
      </x:c>
      <x:c r="F1372" s="25" t="str">
        <x:v>封誓霜纹戒</x:v>
      </x:c>
      <x:c r="G1372" s="25" t="n">
        <x:v>1</x:v>
      </x:c>
      <x:c r="H1372" s="25" t="str">
        <x:v>道术</x:v>
      </x:c>
      <x:c r="I1372" s="25" t="n">
        <x:v>554</x:v>
      </x:c>
      <x:c r="J1372" s="25" t="n">
        <x:v>3</x:v>
      </x:c>
      <x:c r="K1372" s="25" t="str">
        <x:v>仅装备原始基础值决定主属性范围</x:v>
      </x:c>
    </x:row>
    <x:row r="1373">
      <x:c r="A1373" s="25" t="str">
        <x:v>C10-E</x:v>
      </x:c>
      <x:c r="B1373" s="25" t="str">
        <x:v>王城罗德尔</x:v>
      </x:c>
      <x:c r="C1373" s="25" t="str">
        <x:v>半急速入场</x:v>
      </x:c>
      <x:c r="D1373" s="25" t="n">
        <x:v>7</x:v>
      </x:c>
      <x:c r="E1373" s="25" t="n">
        <x:v>194</x:v>
      </x:c>
      <x:c r="F1373" s="25" t="str">
        <x:v>封誓霜纹戒</x:v>
      </x:c>
      <x:c r="G1373" s="25" t="n">
        <x:v>2</x:v>
      </x:c>
      <x:c r="H1373" s="25" t="str">
        <x:v>处决概率</x:v>
      </x:c>
      <x:c r="I1373" s="25" t="n">
        <x:v>1</x:v>
      </x:c>
      <x:c r="J1373" s="25" t="n">
        <x:v>6</x:v>
      </x:c>
      <x:c r="K1373" s="25" t="str">
        <x:v>仅装备原始基础值决定主属性范围</x:v>
      </x:c>
    </x:row>
    <x:row r="1374">
      <x:c r="A1374" s="25" t="str">
        <x:v>C10-E</x:v>
      </x:c>
      <x:c r="B1374" s="25" t="str">
        <x:v>王城罗德尔</x:v>
      </x:c>
      <x:c r="C1374" s="25" t="str">
        <x:v>半急速入场</x:v>
      </x:c>
      <x:c r="D1374" s="25" t="n">
        <x:v>7</x:v>
      </x:c>
      <x:c r="E1374" s="25" t="n">
        <x:v>194</x:v>
      </x:c>
      <x:c r="F1374" s="25" t="str">
        <x:v>封誓霜纹戒</x:v>
      </x:c>
      <x:c r="G1374" s="25" t="n">
        <x:v>3</x:v>
      </x:c>
      <x:c r="H1374" s="25" t="str">
        <x:v>攻击速度</x:v>
      </x:c>
      <x:c r="I1374" s="25" t="n">
        <x:v>2</x:v>
      </x:c>
      <x:c r="J1374" s="25" t="n">
        <x:v>5</x:v>
      </x:c>
      <x:c r="K1374" s="25" t="str">
        <x:v>仅装备原始基础值决定主属性范围</x:v>
      </x:c>
    </x:row>
    <x:row r="1375">
      <x:c r="A1375" s="25" t="str">
        <x:v>C10-E</x:v>
      </x:c>
      <x:c r="B1375" s="25" t="str">
        <x:v>王城罗德尔</x:v>
      </x:c>
      <x:c r="C1375" s="25" t="str">
        <x:v>半急速入场</x:v>
      </x:c>
      <x:c r="D1375" s="25" t="n">
        <x:v>7</x:v>
      </x:c>
      <x:c r="E1375" s="25" t="n">
        <x:v>194</x:v>
      </x:c>
      <x:c r="F1375" s="25" t="str">
        <x:v>封誓霜纹戒</x:v>
      </x:c>
      <x:c r="G1375" s="25" t="n">
        <x:v>4</x:v>
      </x:c>
      <x:c r="H1375" s="25" t="str">
        <x:v>攻击加成</x:v>
      </x:c>
      <x:c r="I1375" s="25" t="n">
        <x:v>13</x:v>
      </x:c>
      <x:c r="J1375" s="25" t="n">
        <x:v>18</x:v>
      </x:c>
      <x:c r="K1375" s="25" t="str">
        <x:v>仅装备原始基础值决定主属性范围</x:v>
      </x:c>
    </x:row>
    <x:row r="1376">
      <x:c r="A1376" s="25" t="str">
        <x:v>C10-E</x:v>
      </x:c>
      <x:c r="B1376" s="25" t="str">
        <x:v>王城罗德尔</x:v>
      </x:c>
      <x:c r="C1376" s="25" t="str">
        <x:v>半急速入场</x:v>
      </x:c>
      <x:c r="D1376" s="25" t="n">
        <x:v>7</x:v>
      </x:c>
      <x:c r="E1376" s="25" t="n">
        <x:v>194</x:v>
      </x:c>
      <x:c r="F1376" s="25" t="str">
        <x:v>封誓霜纹戒</x:v>
      </x:c>
      <x:c r="G1376" s="25" t="n">
        <x:v>5</x:v>
      </x:c>
      <x:c r="H1376" s="25" t="str">
        <x:v>吸血</x:v>
      </x:c>
      <x:c r="I1376" s="25" t="n">
        <x:v>1</x:v>
      </x:c>
      <x:c r="J1376" s="25" t="n">
        <x:v>20</x:v>
      </x:c>
      <x:c r="K1376" s="25" t="str">
        <x:v>仅装备原始基础值决定主属性范围</x:v>
      </x:c>
    </x:row>
    <x:row r="1377">
      <x:c r="A1377" s="25" t="str">
        <x:v>C10-E</x:v>
      </x:c>
      <x:c r="B1377" s="25" t="str">
        <x:v>王城罗德尔</x:v>
      </x:c>
      <x:c r="C1377" s="25" t="str">
        <x:v>半急速入场</x:v>
      </x:c>
      <x:c r="D1377" s="25" t="n">
        <x:v>7</x:v>
      </x:c>
      <x:c r="E1377" s="25" t="n">
        <x:v>194</x:v>
      </x:c>
      <x:c r="F1377" s="25" t="str">
        <x:v>封誓霜纹戒</x:v>
      </x:c>
      <x:c r="G1377" s="25" t="n">
        <x:v>6</x:v>
      </x:c>
      <x:c r="H1377" s="25" t="str">
        <x:v>致命一击</x:v>
      </x:c>
      <x:c r="I1377" s="25" t="n">
        <x:v>1</x:v>
      </x:c>
      <x:c r="J1377" s="25" t="n">
        <x:v>16</x:v>
      </x:c>
      <x:c r="K1377" s="25" t="str">
        <x:v>仅装备原始基础值决定主属性范围</x:v>
      </x:c>
    </x:row>
    <x:row r="1378">
      <x:c r="A1378" s="25" t="str">
        <x:v>C10-E</x:v>
      </x:c>
      <x:c r="B1378" s="25" t="str">
        <x:v>王城罗德尔</x:v>
      </x:c>
      <x:c r="C1378" s="25" t="str">
        <x:v>半急速入场</x:v>
      </x:c>
      <x:c r="D1378" s="25" t="n">
        <x:v>7</x:v>
      </x:c>
      <x:c r="E1378" s="25" t="n">
        <x:v>194</x:v>
      </x:c>
      <x:c r="F1378" s="25" t="str">
        <x:v>封誓霜纹戒</x:v>
      </x:c>
      <x:c r="G1378" s="25" t="n">
        <x:v>7</x:v>
      </x:c>
      <x:c r="H1378" s="25" t="str">
        <x:v>道术</x:v>
      </x:c>
      <x:c r="I1378" s="25" t="n">
        <x:v>731</x:v>
      </x:c>
      <x:c r="J1378" s="25" t="n">
        <x:v>3</x:v>
      </x:c>
      <x:c r="K1378" s="25" t="str">
        <x:v>仅装备原始基础值决定主属性范围</x:v>
      </x:c>
    </x:row>
    <x:row r="1379">
      <x:c r="A1379" s="25" t="str">
        <x:v>C10-E</x:v>
      </x:c>
      <x:c r="B1379" s="25" t="str">
        <x:v>王城罗德尔</x:v>
      </x:c>
      <x:c r="C1379" s="25" t="str">
        <x:v>半急速入场</x:v>
      </x:c>
      <x:c r="D1379" s="25" t="n">
        <x:v>7</x:v>
      </x:c>
      <x:c r="E1379" s="25" t="n">
        <x:v>194</x:v>
      </x:c>
      <x:c r="F1379" s="25" t="str">
        <x:v>封誓霜纹戒</x:v>
      </x:c>
      <x:c r="G1379" s="25" t="n">
        <x:v>8</x:v>
      </x:c>
      <x:c r="H1379" s="25" t="str">
        <x:v>道术</x:v>
      </x:c>
      <x:c r="I1379" s="25" t="n">
        <x:v>82</x:v>
      </x:c>
      <x:c r="J1379" s="25" t="n">
        <x:v>3</x:v>
      </x:c>
      <x:c r="K1379" s="25" t="str">
        <x:v>仅装备原始基础值决定主属性范围</x:v>
      </x:c>
    </x:row>
    <x:row r="1380">
      <x:c r="A1380" s="25" t="str">
        <x:v>C10-E</x:v>
      </x:c>
      <x:c r="B1380" s="25" t="str">
        <x:v>王城罗德尔</x:v>
      </x:c>
      <x:c r="C1380" s="25" t="str">
        <x:v>半急速入场</x:v>
      </x:c>
      <x:c r="D1380" s="25" t="n">
        <x:v>8</x:v>
      </x:c>
      <x:c r="E1380" s="25" t="n">
        <x:v>195</x:v>
      </x:c>
      <x:c r="F1380" s="25" t="str">
        <x:v>巡界牙戒</x:v>
      </x:c>
      <x:c r="G1380" s="25" t="n">
        <x:v>1</x:v>
      </x:c>
      <x:c r="H1380" s="25" t="str">
        <x:v>魔法</x:v>
      </x:c>
      <x:c r="I1380" s="25" t="n">
        <x:v>180</x:v>
      </x:c>
      <x:c r="J1380" s="25" t="n">
        <x:v>2</x:v>
      </x:c>
      <x:c r="K1380" s="25" t="str">
        <x:v>仅装备原始基础值决定主属性范围</x:v>
      </x:c>
    </x:row>
    <x:row r="1381">
      <x:c r="A1381" s="25" t="str">
        <x:v>C10-E</x:v>
      </x:c>
      <x:c r="B1381" s="25" t="str">
        <x:v>王城罗德尔</x:v>
      </x:c>
      <x:c r="C1381" s="25" t="str">
        <x:v>半急速入场</x:v>
      </x:c>
      <x:c r="D1381" s="25" t="n">
        <x:v>8</x:v>
      </x:c>
      <x:c r="E1381" s="25" t="n">
        <x:v>195</x:v>
      </x:c>
      <x:c r="F1381" s="25" t="str">
        <x:v>巡界牙戒</x:v>
      </x:c>
      <x:c r="G1381" s="25" t="n">
        <x:v>2</x:v>
      </x:c>
      <x:c r="H1381" s="25" t="str">
        <x:v>暴击</x:v>
      </x:c>
      <x:c r="I1381" s="25" t="n">
        <x:v>1</x:v>
      </x:c>
      <x:c r="J1381" s="25" t="n">
        <x:v>14</x:v>
      </x:c>
      <x:c r="K1381" s="25" t="str">
        <x:v>仅装备原始基础值决定主属性范围</x:v>
      </x:c>
    </x:row>
    <x:row r="1382">
      <x:c r="A1382" s="25" t="str">
        <x:v>C10-E</x:v>
      </x:c>
      <x:c r="B1382" s="25" t="str">
        <x:v>王城罗德尔</x:v>
      </x:c>
      <x:c r="C1382" s="25" t="str">
        <x:v>半急速入场</x:v>
      </x:c>
      <x:c r="D1382" s="25" t="n">
        <x:v>8</x:v>
      </x:c>
      <x:c r="E1382" s="25" t="n">
        <x:v>195</x:v>
      </x:c>
      <x:c r="F1382" s="25" t="str">
        <x:v>巡界牙戒</x:v>
      </x:c>
      <x:c r="G1382" s="25" t="n">
        <x:v>3</x:v>
      </x:c>
      <x:c r="H1382" s="25" t="str">
        <x:v>攻击加成</x:v>
      </x:c>
      <x:c r="I1382" s="25" t="n">
        <x:v>27</x:v>
      </x:c>
      <x:c r="J1382" s="25" t="n">
        <x:v>18</x:v>
      </x:c>
      <x:c r="K1382" s="25" t="str">
        <x:v>仅装备原始基础值决定主属性范围</x:v>
      </x:c>
    </x:row>
    <x:row r="1383">
      <x:c r="A1383" s="25" t="str">
        <x:v>C10-E</x:v>
      </x:c>
      <x:c r="B1383" s="25" t="str">
        <x:v>王城罗德尔</x:v>
      </x:c>
      <x:c r="C1383" s="25" t="str">
        <x:v>半急速入场</x:v>
      </x:c>
      <x:c r="D1383" s="25" t="n">
        <x:v>8</x:v>
      </x:c>
      <x:c r="E1383" s="25" t="n">
        <x:v>195</x:v>
      </x:c>
      <x:c r="F1383" s="25" t="str">
        <x:v>巡界牙戒</x:v>
      </x:c>
      <x:c r="G1383" s="25" t="n">
        <x:v>4</x:v>
      </x:c>
      <x:c r="H1383" s="25" t="str">
        <x:v>处决时间</x:v>
      </x:c>
      <x:c r="I1383" s="25" t="n">
        <x:v>1</x:v>
      </x:c>
      <x:c r="J1383" s="25" t="n">
        <x:v>8</x:v>
      </x:c>
      <x:c r="K1383" s="25" t="str">
        <x:v>仅装备原始基础值决定主属性范围</x:v>
      </x:c>
    </x:row>
    <x:row r="1384">
      <x:c r="A1384" s="25" t="str">
        <x:v>C10-E</x:v>
      </x:c>
      <x:c r="B1384" s="25" t="str">
        <x:v>王城罗德尔</x:v>
      </x:c>
      <x:c r="C1384" s="25" t="str">
        <x:v>半急速入场</x:v>
      </x:c>
      <x:c r="D1384" s="25" t="n">
        <x:v>8</x:v>
      </x:c>
      <x:c r="E1384" s="25" t="n">
        <x:v>195</x:v>
      </x:c>
      <x:c r="F1384" s="25" t="str">
        <x:v>巡界牙戒</x:v>
      </x:c>
      <x:c r="G1384" s="25" t="n">
        <x:v>5</x:v>
      </x:c>
      <x:c r="H1384" s="25" t="str">
        <x:v>攻击加成</x:v>
      </x:c>
      <x:c r="I1384" s="25" t="n">
        <x:v>23</x:v>
      </x:c>
      <x:c r="J1384" s="25" t="n">
        <x:v>18</x:v>
      </x:c>
      <x:c r="K1384" s="25" t="str">
        <x:v>仅装备原始基础值决定主属性范围</x:v>
      </x:c>
    </x:row>
    <x:row r="1385">
      <x:c r="A1385" s="25" t="str">
        <x:v>C10-E</x:v>
      </x:c>
      <x:c r="B1385" s="25" t="str">
        <x:v>王城罗德尔</x:v>
      </x:c>
      <x:c r="C1385" s="25" t="str">
        <x:v>半急速入场</x:v>
      </x:c>
      <x:c r="D1385" s="25" t="n">
        <x:v>10</x:v>
      </x:c>
      <x:c r="E1385" s="25" t="n">
        <x:v>196</x:v>
      </x:c>
      <x:c r="F1385" s="25" t="str">
        <x:v>驮碑束腰</x:v>
      </x:c>
      <x:c r="G1385" s="25" t="n">
        <x:v>1</x:v>
      </x:c>
      <x:c r="H1385" s="25" t="str">
        <x:v>处决伤害</x:v>
      </x:c>
      <x:c r="I1385" s="25" t="n">
        <x:v>1</x:v>
      </x:c>
      <x:c r="J1385" s="25" t="n">
        <x:v>10</x:v>
      </x:c>
      <x:c r="K1385" s="25" t="str">
        <x:v>仅装备原始基础值决定主属性范围</x:v>
      </x:c>
    </x:row>
    <x:row r="1386">
      <x:c r="A1386" s="25" t="str">
        <x:v>C10-E</x:v>
      </x:c>
      <x:c r="B1386" s="25" t="str">
        <x:v>王城罗德尔</x:v>
      </x:c>
      <x:c r="C1386" s="25" t="str">
        <x:v>半急速入场</x:v>
      </x:c>
      <x:c r="D1386" s="25" t="n">
        <x:v>10</x:v>
      </x:c>
      <x:c r="E1386" s="25" t="n">
        <x:v>196</x:v>
      </x:c>
      <x:c r="F1386" s="25" t="str">
        <x:v>驮碑束腰</x:v>
      </x:c>
      <x:c r="G1386" s="25" t="n">
        <x:v>2</x:v>
      </x:c>
      <x:c r="H1386" s="25" t="str">
        <x:v>攻击</x:v>
      </x:c>
      <x:c r="I1386" s="25" t="n">
        <x:v>84</x:v>
      </x:c>
      <x:c r="J1386" s="25" t="n">
        <x:v>1</x:v>
      </x:c>
      <x:c r="K1386" s="25" t="str">
        <x:v>仅装备原始基础值决定主属性范围</x:v>
      </x:c>
    </x:row>
    <x:row r="1387">
      <x:c r="A1387" s="25" t="str">
        <x:v>C10-E</x:v>
      </x:c>
      <x:c r="B1387" s="25" t="str">
        <x:v>王城罗德尔</x:v>
      </x:c>
      <x:c r="C1387" s="25" t="str">
        <x:v>半急速入场</x:v>
      </x:c>
      <x:c r="D1387" s="25" t="n">
        <x:v>10</x:v>
      </x:c>
      <x:c r="E1387" s="25" t="n">
        <x:v>196</x:v>
      </x:c>
      <x:c r="F1387" s="25" t="str">
        <x:v>驮碑束腰</x:v>
      </x:c>
      <x:c r="G1387" s="25" t="n">
        <x:v>3</x:v>
      </x:c>
      <x:c r="H1387" s="25" t="str">
        <x:v>攻击加成</x:v>
      </x:c>
      <x:c r="I1387" s="25" t="n">
        <x:v>40</x:v>
      </x:c>
      <x:c r="J1387" s="25" t="n">
        <x:v>19</x:v>
      </x:c>
      <x:c r="K1387" s="25" t="str">
        <x:v>仅装备原始基础值决定主属性范围</x:v>
      </x:c>
    </x:row>
    <x:row r="1388">
      <x:c r="A1388" s="25" t="str">
        <x:v>C10-E</x:v>
      </x:c>
      <x:c r="B1388" s="25" t="str">
        <x:v>王城罗德尔</x:v>
      </x:c>
      <x:c r="C1388" s="25" t="str">
        <x:v>半急速入场</x:v>
      </x:c>
      <x:c r="D1388" s="25" t="n">
        <x:v>11</x:v>
      </x:c>
      <x:c r="E1388" s="25" t="n">
        <x:v>197</x:v>
      </x:c>
      <x:c r="F1388" s="25" t="str">
        <x:v>寒灯侍履</x:v>
      </x:c>
      <x:c r="G1388" s="25" t="n">
        <x:v>1</x:v>
      </x:c>
      <x:c r="H1388" s="25" t="str">
        <x:v>吸血</x:v>
      </x:c>
      <x:c r="I1388" s="25" t="n">
        <x:v>1</x:v>
      </x:c>
      <x:c r="J1388" s="25" t="n">
        <x:v>20</x:v>
      </x:c>
      <x:c r="K1388" s="25" t="str">
        <x:v>仅装备原始基础值决定主属性范围</x:v>
      </x:c>
    </x:row>
    <x:row r="1389">
      <x:c r="A1389" s="25" t="str">
        <x:v>C10-E</x:v>
      </x:c>
      <x:c r="B1389" s="25" t="str">
        <x:v>王城罗德尔</x:v>
      </x:c>
      <x:c r="C1389" s="25" t="str">
        <x:v>半急速入场</x:v>
      </x:c>
      <x:c r="D1389" s="25" t="n">
        <x:v>11</x:v>
      </x:c>
      <x:c r="E1389" s="25" t="n">
        <x:v>197</x:v>
      </x:c>
      <x:c r="F1389" s="25" t="str">
        <x:v>寒灯侍履</x:v>
      </x:c>
      <x:c r="G1389" s="25" t="n">
        <x:v>2</x:v>
      </x:c>
      <x:c r="H1389" s="25" t="str">
        <x:v>处决时间</x:v>
      </x:c>
      <x:c r="I1389" s="25" t="n">
        <x:v>1</x:v>
      </x:c>
      <x:c r="J1389" s="25" t="n">
        <x:v>8</x:v>
      </x:c>
      <x:c r="K1389" s="25" t="str">
        <x:v>仅装备原始基础值决定主属性范围</x:v>
      </x:c>
    </x:row>
    <x:row r="1390">
      <x:c r="A1390" s="25" t="str">
        <x:v>C10-E</x:v>
      </x:c>
      <x:c r="B1390" s="25" t="str">
        <x:v>王城罗德尔</x:v>
      </x:c>
      <x:c r="C1390" s="25" t="str">
        <x:v>半急速入场</x:v>
      </x:c>
      <x:c r="D1390" s="25" t="n">
        <x:v>11</x:v>
      </x:c>
      <x:c r="E1390" s="25" t="n">
        <x:v>197</x:v>
      </x:c>
      <x:c r="F1390" s="25" t="str">
        <x:v>寒灯侍履</x:v>
      </x:c>
      <x:c r="G1390" s="25" t="n">
        <x:v>3</x:v>
      </x:c>
      <x:c r="H1390" s="25" t="str">
        <x:v>暴击</x:v>
      </x:c>
      <x:c r="I1390" s="25" t="n">
        <x:v>1</x:v>
      </x:c>
      <x:c r="J1390" s="25" t="n">
        <x:v>14</x:v>
      </x:c>
      <x:c r="K1390" s="25" t="str">
        <x:v>仅装备原始基础值决定主属性范围</x:v>
      </x:c>
    </x:row>
    <x:row r="1391">
      <x:c r="A1391" s="25" t="str">
        <x:v>C10-E</x:v>
      </x:c>
      <x:c r="B1391" s="25" t="str">
        <x:v>王城罗德尔</x:v>
      </x:c>
      <x:c r="C1391" s="25" t="str">
        <x:v>半急速入场</x:v>
      </x:c>
      <x:c r="D1391" s="25" t="n">
        <x:v>11</x:v>
      </x:c>
      <x:c r="E1391" s="25" t="n">
        <x:v>197</x:v>
      </x:c>
      <x:c r="F1391" s="25" t="str">
        <x:v>寒灯侍履</x:v>
      </x:c>
      <x:c r="G1391" s="25" t="n">
        <x:v>4</x:v>
      </x:c>
      <x:c r="H1391" s="25" t="str">
        <x:v>攻击速度</x:v>
      </x:c>
      <x:c r="I1391" s="25" t="n">
        <x:v>1</x:v>
      </x:c>
      <x:c r="J1391" s="25" t="n">
        <x:v>4</x:v>
      </x:c>
      <x:c r="K1391" s="25" t="str">
        <x:v>仅装备原始基础值决定主属性范围</x:v>
      </x:c>
    </x:row>
    <x:row r="1392">
      <x:c r="A1392" s="25" t="str">
        <x:v>C10-E</x:v>
      </x:c>
      <x:c r="B1392" s="25" t="str">
        <x:v>王城罗德尔</x:v>
      </x:c>
      <x:c r="C1392" s="25" t="str">
        <x:v>半急速入场</x:v>
      </x:c>
      <x:c r="D1392" s="25" t="n">
        <x:v>11</x:v>
      </x:c>
      <x:c r="E1392" s="25" t="n">
        <x:v>197</x:v>
      </x:c>
      <x:c r="F1392" s="25" t="str">
        <x:v>寒灯侍履</x:v>
      </x:c>
      <x:c r="G1392" s="25" t="n">
        <x:v>5</x:v>
      </x:c>
      <x:c r="H1392" s="25" t="str">
        <x:v>攻击速度</x:v>
      </x:c>
      <x:c r="I1392" s="25" t="n">
        <x:v>1</x:v>
      </x:c>
      <x:c r="J1392" s="25" t="n">
        <x:v>4</x:v>
      </x:c>
      <x:c r="K1392" s="25" t="str">
        <x:v>仅装备原始基础值决定主属性范围</x:v>
      </x:c>
    </x:row>
    <x:row r="1393">
      <x:c r="A1393" s="25" t="str">
        <x:v>C10-E</x:v>
      </x:c>
      <x:c r="B1393" s="25" t="str">
        <x:v>王城罗德尔</x:v>
      </x:c>
      <x:c r="C1393" s="25" t="str">
        <x:v>半急速入场</x:v>
      </x:c>
      <x:c r="D1393" s="25" t="n">
        <x:v>11</x:v>
      </x:c>
      <x:c r="E1393" s="25" t="n">
        <x:v>197</x:v>
      </x:c>
      <x:c r="F1393" s="25" t="str">
        <x:v>寒灯侍履</x:v>
      </x:c>
      <x:c r="G1393" s="25" t="n">
        <x:v>6</x:v>
      </x:c>
      <x:c r="H1393" s="25" t="str">
        <x:v>攻击速度</x:v>
      </x:c>
      <x:c r="I1393" s="25" t="n">
        <x:v>2</x:v>
      </x:c>
      <x:c r="J1393" s="25" t="n">
        <x:v>5</x:v>
      </x:c>
      <x:c r="K1393" s="25" t="str">
        <x:v>仅装备原始基础值决定主属性范围</x:v>
      </x:c>
    </x:row>
    <x:row r="1394">
      <x:c r="A1394" s="25" t="str">
        <x:v>C10-E</x:v>
      </x:c>
      <x:c r="B1394" s="25" t="str">
        <x:v>王城罗德尔</x:v>
      </x:c>
      <x:c r="C1394" s="25" t="str">
        <x:v>半急速入场</x:v>
      </x:c>
      <x:c r="D1394" s="25" t="n">
        <x:v>11</x:v>
      </x:c>
      <x:c r="E1394" s="25" t="n">
        <x:v>197</x:v>
      </x:c>
      <x:c r="F1394" s="25" t="str">
        <x:v>寒灯侍履</x:v>
      </x:c>
      <x:c r="G1394" s="25" t="n">
        <x:v>7</x:v>
      </x:c>
      <x:c r="H1394" s="25" t="str">
        <x:v>道术</x:v>
      </x:c>
      <x:c r="I1394" s="25" t="n">
        <x:v>156</x:v>
      </x:c>
      <x:c r="J1394" s="25" t="n">
        <x:v>3</x:v>
      </x:c>
      <x:c r="K1394" s="25" t="str">
        <x:v>仅装备原始基础值决定主属性范围</x:v>
      </x:c>
    </x:row>
    <x:row r="1395">
      <x:c r="A1395" s="25" t="str">
        <x:v>C10-M</x:v>
      </x:c>
      <x:c r="B1395" s="25" t="str">
        <x:v>王城罗德尔</x:v>
      </x:c>
      <x:c r="C1395" s="25" t="str">
        <x:v>半急速中期</x:v>
      </x:c>
      <x:c r="D1395" s="25" t="n">
        <x:v>0</x:v>
      </x:c>
      <x:c r="E1395" s="25" t="n">
        <x:v>176</x:v>
      </x:c>
      <x:c r="F1395" s="25" t="str">
        <x:v>鎏苔守陵衣</x:v>
      </x:c>
      <x:c r="G1395" s="25" t="n">
        <x:v>1</x:v>
      </x:c>
      <x:c r="H1395" s="25" t="str">
        <x:v>处决伤害</x:v>
      </x:c>
      <x:c r="I1395" s="25" t="n">
        <x:v>1</x:v>
      </x:c>
      <x:c r="J1395" s="25" t="n">
        <x:v>10</x:v>
      </x:c>
      <x:c r="K1395" s="25" t="str">
        <x:v>仅装备原始基础值决定主属性范围</x:v>
      </x:c>
    </x:row>
    <x:row r="1396">
      <x:c r="A1396" s="25" t="str">
        <x:v>C10-M</x:v>
      </x:c>
      <x:c r="B1396" s="25" t="str">
        <x:v>王城罗德尔</x:v>
      </x:c>
      <x:c r="C1396" s="25" t="str">
        <x:v>半急速中期</x:v>
      </x:c>
      <x:c r="D1396" s="25" t="n">
        <x:v>0</x:v>
      </x:c>
      <x:c r="E1396" s="25" t="n">
        <x:v>176</x:v>
      </x:c>
      <x:c r="F1396" s="25" t="str">
        <x:v>鎏苔守陵衣</x:v>
      </x:c>
      <x:c r="G1396" s="25" t="n">
        <x:v>2</x:v>
      </x:c>
      <x:c r="H1396" s="25" t="str">
        <x:v>攻击加成</x:v>
      </x:c>
      <x:c r="I1396" s="25" t="n">
        <x:v>21</x:v>
      </x:c>
      <x:c r="J1396" s="25" t="n">
        <x:v>18</x:v>
      </x:c>
      <x:c r="K1396" s="25" t="str">
        <x:v>仅装备原始基础值决定主属性范围</x:v>
      </x:c>
    </x:row>
    <x:row r="1397">
      <x:c r="A1397" s="25" t="str">
        <x:v>C10-M</x:v>
      </x:c>
      <x:c r="B1397" s="25" t="str">
        <x:v>王城罗德尔</x:v>
      </x:c>
      <x:c r="C1397" s="25" t="str">
        <x:v>半急速中期</x:v>
      </x:c>
      <x:c r="D1397" s="25" t="n">
        <x:v>0</x:v>
      </x:c>
      <x:c r="E1397" s="25" t="n">
        <x:v>176</x:v>
      </x:c>
      <x:c r="F1397" s="25" t="str">
        <x:v>鎏苔守陵衣</x:v>
      </x:c>
      <x:c r="G1397" s="25" t="n">
        <x:v>3</x:v>
      </x:c>
      <x:c r="H1397" s="25" t="str">
        <x:v>处决时间</x:v>
      </x:c>
      <x:c r="I1397" s="25" t="n">
        <x:v>1</x:v>
      </x:c>
      <x:c r="J1397" s="25" t="n">
        <x:v>8</x:v>
      </x:c>
      <x:c r="K1397" s="25" t="str">
        <x:v>仅装备原始基础值决定主属性范围</x:v>
      </x:c>
    </x:row>
    <x:row r="1398">
      <x:c r="A1398" s="25" t="str">
        <x:v>C10-M</x:v>
      </x:c>
      <x:c r="B1398" s="25" t="str">
        <x:v>王城罗德尔</x:v>
      </x:c>
      <x:c r="C1398" s="25" t="str">
        <x:v>半急速中期</x:v>
      </x:c>
      <x:c r="D1398" s="25" t="n">
        <x:v>0</x:v>
      </x:c>
      <x:c r="E1398" s="25" t="n">
        <x:v>176</x:v>
      </x:c>
      <x:c r="F1398" s="25" t="str">
        <x:v>鎏苔守陵衣</x:v>
      </x:c>
      <x:c r="G1398" s="25" t="n">
        <x:v>4</x:v>
      </x:c>
      <x:c r="H1398" s="25" t="str">
        <x:v>攻击加成</x:v>
      </x:c>
      <x:c r="I1398" s="25" t="n">
        <x:v>23</x:v>
      </x:c>
      <x:c r="J1398" s="25" t="n">
        <x:v>18</x:v>
      </x:c>
      <x:c r="K1398" s="25" t="str">
        <x:v>仅装备原始基础值决定主属性范围</x:v>
      </x:c>
    </x:row>
    <x:row r="1399">
      <x:c r="A1399" s="25" t="str">
        <x:v>C10-M</x:v>
      </x:c>
      <x:c r="B1399" s="25" t="str">
        <x:v>王城罗德尔</x:v>
      </x:c>
      <x:c r="C1399" s="25" t="str">
        <x:v>半急速中期</x:v>
      </x:c>
      <x:c r="D1399" s="25" t="n">
        <x:v>1</x:v>
      </x:c>
      <x:c r="E1399" s="25" t="n">
        <x:v>186</x:v>
      </x:c>
      <x:c r="F1399" s="25" t="str">
        <x:v>黄金律裁阳刃</x:v>
      </x:c>
      <x:c r="G1399" s="25" t="n">
        <x:v>1</x:v>
      </x:c>
      <x:c r="H1399" s="25" t="str">
        <x:v>攻击加成</x:v>
      </x:c>
      <x:c r="I1399" s="25" t="n">
        <x:v>5</x:v>
      </x:c>
      <x:c r="J1399" s="25" t="n">
        <x:v>18</x:v>
      </x:c>
      <x:c r="K1399" s="25" t="str">
        <x:v>仅装备原始基础值决定主属性范围</x:v>
      </x:c>
    </x:row>
    <x:row r="1400">
      <x:c r="A1400" s="25" t="str">
        <x:v>C10-M</x:v>
      </x:c>
      <x:c r="B1400" s="25" t="str">
        <x:v>王城罗德尔</x:v>
      </x:c>
      <x:c r="C1400" s="25" t="str">
        <x:v>半急速中期</x:v>
      </x:c>
      <x:c r="D1400" s="25" t="n">
        <x:v>1</x:v>
      </x:c>
      <x:c r="E1400" s="25" t="n">
        <x:v>186</x:v>
      </x:c>
      <x:c r="F1400" s="25" t="str">
        <x:v>黄金律裁阳刃</x:v>
      </x:c>
      <x:c r="G1400" s="25" t="n">
        <x:v>2</x:v>
      </x:c>
      <x:c r="H1400" s="25" t="str">
        <x:v>魔法</x:v>
      </x:c>
      <x:c r="I1400" s="25" t="n">
        <x:v>27454</x:v>
      </x:c>
      <x:c r="J1400" s="25" t="n">
        <x:v>2</x:v>
      </x:c>
      <x:c r="K1400" s="25" t="str">
        <x:v>仅装备原始基础值决定主属性范围</x:v>
      </x:c>
    </x:row>
    <x:row r="1401">
      <x:c r="A1401" s="25" t="str">
        <x:v>C10-M</x:v>
      </x:c>
      <x:c r="B1401" s="25" t="str">
        <x:v>王城罗德尔</x:v>
      </x:c>
      <x:c r="C1401" s="25" t="str">
        <x:v>半急速中期</x:v>
      </x:c>
      <x:c r="D1401" s="25" t="n">
        <x:v>1</x:v>
      </x:c>
      <x:c r="E1401" s="25" t="n">
        <x:v>186</x:v>
      </x:c>
      <x:c r="F1401" s="25" t="str">
        <x:v>黄金律裁阳刃</x:v>
      </x:c>
      <x:c r="G1401" s="25" t="n">
        <x:v>3</x:v>
      </x:c>
      <x:c r="H1401" s="25" t="str">
        <x:v>攻击加成</x:v>
      </x:c>
      <x:c r="I1401" s="25" t="n">
        <x:v>41</x:v>
      </x:c>
      <x:c r="J1401" s="25" t="n">
        <x:v>19</x:v>
      </x:c>
      <x:c r="K1401" s="25" t="str">
        <x:v>仅装备原始基础值决定主属性范围</x:v>
      </x:c>
    </x:row>
    <x:row r="1402">
      <x:c r="A1402" s="25" t="str">
        <x:v>C10-M</x:v>
      </x:c>
      <x:c r="B1402" s="25" t="str">
        <x:v>王城罗德尔</x:v>
      </x:c>
      <x:c r="C1402" s="25" t="str">
        <x:v>半急速中期</x:v>
      </x:c>
      <x:c r="D1402" s="25" t="n">
        <x:v>1</x:v>
      </x:c>
      <x:c r="E1402" s="25" t="n">
        <x:v>186</x:v>
      </x:c>
      <x:c r="F1402" s="25" t="str">
        <x:v>黄金律裁阳刃</x:v>
      </x:c>
      <x:c r="G1402" s="25" t="n">
        <x:v>4</x:v>
      </x:c>
      <x:c r="H1402" s="25" t="str">
        <x:v>攻击加成</x:v>
      </x:c>
      <x:c r="I1402" s="25" t="n">
        <x:v>44</x:v>
      </x:c>
      <x:c r="J1402" s="25" t="n">
        <x:v>19</x:v>
      </x:c>
      <x:c r="K1402" s="25" t="str">
        <x:v>仅装备原始基础值决定主属性范围</x:v>
      </x:c>
    </x:row>
    <x:row r="1403">
      <x:c r="A1403" s="25" t="str">
        <x:v>C10-M</x:v>
      </x:c>
      <x:c r="B1403" s="25" t="str">
        <x:v>王城罗德尔</x:v>
      </x:c>
      <x:c r="C1403" s="25" t="str">
        <x:v>半急速中期</x:v>
      </x:c>
      <x:c r="D1403" s="25" t="n">
        <x:v>3</x:v>
      </x:c>
      <x:c r="E1403" s="25" t="n">
        <x:v>191</x:v>
      </x:c>
      <x:c r="F1403" s="25" t="str">
        <x:v>白翼颈链</x:v>
      </x:c>
      <x:c r="G1403" s="25" t="n">
        <x:v>1</x:v>
      </x:c>
      <x:c r="H1403" s="25" t="str">
        <x:v>攻击加成</x:v>
      </x:c>
      <x:c r="I1403" s="25" t="n">
        <x:v>19</x:v>
      </x:c>
      <x:c r="J1403" s="25" t="n">
        <x:v>18</x:v>
      </x:c>
      <x:c r="K1403" s="25" t="str">
        <x:v>仅装备原始基础值决定主属性范围</x:v>
      </x:c>
    </x:row>
    <x:row r="1404">
      <x:c r="A1404" s="25" t="str">
        <x:v>C10-M</x:v>
      </x:c>
      <x:c r="B1404" s="25" t="str">
        <x:v>王城罗德尔</x:v>
      </x:c>
      <x:c r="C1404" s="25" t="str">
        <x:v>半急速中期</x:v>
      </x:c>
      <x:c r="D1404" s="25" t="n">
        <x:v>3</x:v>
      </x:c>
      <x:c r="E1404" s="25" t="n">
        <x:v>191</x:v>
      </x:c>
      <x:c r="F1404" s="25" t="str">
        <x:v>白翼颈链</x:v>
      </x:c>
      <x:c r="G1404" s="25" t="n">
        <x:v>2</x:v>
      </x:c>
      <x:c r="H1404" s="25" t="str">
        <x:v>攻击加成</x:v>
      </x:c>
      <x:c r="I1404" s="25" t="n">
        <x:v>31</x:v>
      </x:c>
      <x:c r="J1404" s="25" t="n">
        <x:v>19</x:v>
      </x:c>
      <x:c r="K1404" s="25" t="str">
        <x:v>仅装备原始基础值决定主属性范围</x:v>
      </x:c>
    </x:row>
    <x:row r="1405">
      <x:c r="A1405" s="25" t="str">
        <x:v>C10-M</x:v>
      </x:c>
      <x:c r="B1405" s="25" t="str">
        <x:v>王城罗德尔</x:v>
      </x:c>
      <x:c r="C1405" s="25" t="str">
        <x:v>半急速中期</x:v>
      </x:c>
      <x:c r="D1405" s="25" t="n">
        <x:v>3</x:v>
      </x:c>
      <x:c r="E1405" s="25" t="n">
        <x:v>191</x:v>
      </x:c>
      <x:c r="F1405" s="25" t="str">
        <x:v>白翼颈链</x:v>
      </x:c>
      <x:c r="G1405" s="25" t="n">
        <x:v>3</x:v>
      </x:c>
      <x:c r="H1405" s="25" t="str">
        <x:v>道术</x:v>
      </x:c>
      <x:c r="I1405" s="25" t="n">
        <x:v>708</x:v>
      </x:c>
      <x:c r="J1405" s="25" t="n">
        <x:v>3</x:v>
      </x:c>
      <x:c r="K1405" s="25" t="str">
        <x:v>仅装备原始基础值决定主属性范围</x:v>
      </x:c>
    </x:row>
    <x:row r="1406">
      <x:c r="A1406" s="25" t="str">
        <x:v>C10-M</x:v>
      </x:c>
      <x:c r="B1406" s="25" t="str">
        <x:v>王城罗德尔</x:v>
      </x:c>
      <x:c r="C1406" s="25" t="str">
        <x:v>半急速中期</x:v>
      </x:c>
      <x:c r="D1406" s="25" t="n">
        <x:v>3</x:v>
      </x:c>
      <x:c r="E1406" s="25" t="n">
        <x:v>191</x:v>
      </x:c>
      <x:c r="F1406" s="25" t="str">
        <x:v>白翼颈链</x:v>
      </x:c>
      <x:c r="G1406" s="25" t="n">
        <x:v>4</x:v>
      </x:c>
      <x:c r="H1406" s="25" t="str">
        <x:v>伤害系数</x:v>
      </x:c>
      <x:c r="I1406" s="25" t="n">
        <x:v>2</x:v>
      </x:c>
      <x:c r="J1406" s="25" t="n">
        <x:v>26</x:v>
      </x:c>
      <x:c r="K1406" s="25" t="str">
        <x:v>仅装备原始基础值决定主属性范围</x:v>
      </x:c>
    </x:row>
    <x:row r="1407">
      <x:c r="A1407" s="25" t="str">
        <x:v>C10-M</x:v>
      </x:c>
      <x:c r="B1407" s="25" t="str">
        <x:v>王城罗德尔</x:v>
      </x:c>
      <x:c r="C1407" s="25" t="str">
        <x:v>半急速中期</x:v>
      </x:c>
      <x:c r="D1407" s="25" t="n">
        <x:v>4</x:v>
      </x:c>
      <x:c r="E1407" s="25" t="n">
        <x:v>182</x:v>
      </x:c>
      <x:c r="F1407" s="25" t="str">
        <x:v>芙蕾冰冠</x:v>
      </x:c>
      <x:c r="G1407" s="25" t="n">
        <x:v>1</x:v>
      </x:c>
      <x:c r="H1407" s="25" t="str">
        <x:v>攻击加成</x:v>
      </x:c>
      <x:c r="I1407" s="25" t="n">
        <x:v>45</x:v>
      </x:c>
      <x:c r="J1407" s="25" t="n">
        <x:v>19</x:v>
      </x:c>
      <x:c r="K1407" s="25" t="str">
        <x:v>仅装备原始基础值决定主属性范围</x:v>
      </x:c>
    </x:row>
    <x:row r="1408">
      <x:c r="A1408" s="25" t="str">
        <x:v>C10-M</x:v>
      </x:c>
      <x:c r="B1408" s="25" t="str">
        <x:v>王城罗德尔</x:v>
      </x:c>
      <x:c r="C1408" s="25" t="str">
        <x:v>半急速中期</x:v>
      </x:c>
      <x:c r="D1408" s="25" t="n">
        <x:v>4</x:v>
      </x:c>
      <x:c r="E1408" s="25" t="n">
        <x:v>182</x:v>
      </x:c>
      <x:c r="F1408" s="25" t="str">
        <x:v>芙蕾冰冠</x:v>
      </x:c>
      <x:c r="G1408" s="25" t="n">
        <x:v>2</x:v>
      </x:c>
      <x:c r="H1408" s="25" t="str">
        <x:v>伤害系数</x:v>
      </x:c>
      <x:c r="I1408" s="25" t="n">
        <x:v>1</x:v>
      </x:c>
      <x:c r="J1408" s="25" t="n">
        <x:v>25</x:v>
      </x:c>
      <x:c r="K1408" s="25" t="str">
        <x:v>仅装备原始基础值决定主属性范围</x:v>
      </x:c>
    </x:row>
    <x:row r="1409">
      <x:c r="A1409" s="25" t="str">
        <x:v>C10-M</x:v>
      </x:c>
      <x:c r="B1409" s="25" t="str">
        <x:v>王城罗德尔</x:v>
      </x:c>
      <x:c r="C1409" s="25" t="str">
        <x:v>半急速中期</x:v>
      </x:c>
      <x:c r="D1409" s="25" t="n">
        <x:v>5</x:v>
      </x:c>
      <x:c r="E1409" s="25" t="n">
        <x:v>192</x:v>
      </x:c>
      <x:c r="F1409" s="25" t="str">
        <x:v>残斧魂腕环</x:v>
      </x:c>
      <x:c r="G1409" s="25" t="n">
        <x:v>1</x:v>
      </x:c>
      <x:c r="H1409" s="25" t="str">
        <x:v>攻击加成</x:v>
      </x:c>
      <x:c r="I1409" s="25" t="n">
        <x:v>43</x:v>
      </x:c>
      <x:c r="J1409" s="25" t="n">
        <x:v>19</x:v>
      </x:c>
      <x:c r="K1409" s="25" t="str">
        <x:v>仅装备原始基础值决定主属性范围</x:v>
      </x:c>
    </x:row>
    <x:row r="1410">
      <x:c r="A1410" s="25" t="str">
        <x:v>C10-M</x:v>
      </x:c>
      <x:c r="B1410" s="25" t="str">
        <x:v>王城罗德尔</x:v>
      </x:c>
      <x:c r="C1410" s="25" t="str">
        <x:v>半急速中期</x:v>
      </x:c>
      <x:c r="D1410" s="25" t="n">
        <x:v>5</x:v>
      </x:c>
      <x:c r="E1410" s="25" t="n">
        <x:v>192</x:v>
      </x:c>
      <x:c r="F1410" s="25" t="str">
        <x:v>残斧魂腕环</x:v>
      </x:c>
      <x:c r="G1410" s="25" t="n">
        <x:v>2</x:v>
      </x:c>
      <x:c r="H1410" s="25" t="str">
        <x:v>伤害系数</x:v>
      </x:c>
      <x:c r="I1410" s="25" t="n">
        <x:v>2</x:v>
      </x:c>
      <x:c r="J1410" s="25" t="n">
        <x:v>26</x:v>
      </x:c>
      <x:c r="K1410" s="25" t="str">
        <x:v>仅装备原始基础值决定主属性范围</x:v>
      </x:c>
    </x:row>
    <x:row r="1411">
      <x:c r="A1411" s="25" t="str">
        <x:v>C10-M</x:v>
      </x:c>
      <x:c r="B1411" s="25" t="str">
        <x:v>王城罗德尔</x:v>
      </x:c>
      <x:c r="C1411" s="25" t="str">
        <x:v>半急速中期</x:v>
      </x:c>
      <x:c r="D1411" s="25" t="n">
        <x:v>6</x:v>
      </x:c>
      <x:c r="E1411" s="25" t="n">
        <x:v>201</x:v>
      </x:c>
      <x:c r="F1411" s="25" t="str">
        <x:v>寒狱铁镯</x:v>
      </x:c>
      <x:c r="G1411" s="25" t="n">
        <x:v>1</x:v>
      </x:c>
      <x:c r="H1411" s="25" t="str">
        <x:v>致命一击</x:v>
      </x:c>
      <x:c r="I1411" s="25" t="n">
        <x:v>1</x:v>
      </x:c>
      <x:c r="J1411" s="25" t="n">
        <x:v>16</x:v>
      </x:c>
      <x:c r="K1411" s="25" t="str">
        <x:v>仅装备原始基础值决定主属性范围</x:v>
      </x:c>
    </x:row>
    <x:row r="1412">
      <x:c r="A1412" s="25" t="str">
        <x:v>C10-M</x:v>
      </x:c>
      <x:c r="B1412" s="25" t="str">
        <x:v>王城罗德尔</x:v>
      </x:c>
      <x:c r="C1412" s="25" t="str">
        <x:v>半急速中期</x:v>
      </x:c>
      <x:c r="D1412" s="25" t="n">
        <x:v>6</x:v>
      </x:c>
      <x:c r="E1412" s="25" t="n">
        <x:v>201</x:v>
      </x:c>
      <x:c r="F1412" s="25" t="str">
        <x:v>寒狱铁镯</x:v>
      </x:c>
      <x:c r="G1412" s="25" t="n">
        <x:v>2</x:v>
      </x:c>
      <x:c r="H1412" s="25" t="str">
        <x:v>攻击加成</x:v>
      </x:c>
      <x:c r="I1412" s="25" t="n">
        <x:v>28</x:v>
      </x:c>
      <x:c r="J1412" s="25" t="n">
        <x:v>18</x:v>
      </x:c>
      <x:c r="K1412" s="25" t="str">
        <x:v>仅装备原始基础值决定主属性范围</x:v>
      </x:c>
    </x:row>
    <x:row r="1413">
      <x:c r="A1413" s="25" t="str">
        <x:v>C10-M</x:v>
      </x:c>
      <x:c r="B1413" s="25" t="str">
        <x:v>王城罗德尔</x:v>
      </x:c>
      <x:c r="C1413" s="25" t="str">
        <x:v>半急速中期</x:v>
      </x:c>
      <x:c r="D1413" s="25" t="n">
        <x:v>6</x:v>
      </x:c>
      <x:c r="E1413" s="25" t="n">
        <x:v>201</x:v>
      </x:c>
      <x:c r="F1413" s="25" t="str">
        <x:v>寒狱铁镯</x:v>
      </x:c>
      <x:c r="G1413" s="25" t="n">
        <x:v>3</x:v>
      </x:c>
      <x:c r="H1413" s="25" t="str">
        <x:v>最大爆率</x:v>
      </x:c>
      <x:c r="I1413" s="25" t="n">
        <x:v>1</x:v>
      </x:c>
      <x:c r="J1413" s="25" t="n">
        <x:v>22</x:v>
      </x:c>
      <x:c r="K1413" s="25" t="str">
        <x:v>仅装备原始基础值决定主属性范围</x:v>
      </x:c>
    </x:row>
    <x:row r="1414">
      <x:c r="A1414" s="25" t="str">
        <x:v>C10-M</x:v>
      </x:c>
      <x:c r="B1414" s="25" t="str">
        <x:v>王城罗德尔</x:v>
      </x:c>
      <x:c r="C1414" s="25" t="str">
        <x:v>半急速中期</x:v>
      </x:c>
      <x:c r="D1414" s="25" t="n">
        <x:v>6</x:v>
      </x:c>
      <x:c r="E1414" s="25" t="n">
        <x:v>201</x:v>
      </x:c>
      <x:c r="F1414" s="25" t="str">
        <x:v>寒狱铁镯</x:v>
      </x:c>
      <x:c r="G1414" s="25" t="n">
        <x:v>4</x:v>
      </x:c>
      <x:c r="H1414" s="25" t="str">
        <x:v>攻击加成</x:v>
      </x:c>
      <x:c r="I1414" s="25" t="n">
        <x:v>11</x:v>
      </x:c>
      <x:c r="J1414" s="25" t="n">
        <x:v>18</x:v>
      </x:c>
      <x:c r="K1414" s="25" t="str">
        <x:v>仅装备原始基础值决定主属性范围</x:v>
      </x:c>
    </x:row>
    <x:row r="1415">
      <x:c r="A1415" s="25" t="str">
        <x:v>C10-M</x:v>
      </x:c>
      <x:c r="B1415" s="25" t="str">
        <x:v>王城罗德尔</x:v>
      </x:c>
      <x:c r="C1415" s="25" t="str">
        <x:v>半急速中期</x:v>
      </x:c>
      <x:c r="D1415" s="25" t="n">
        <x:v>6</x:v>
      </x:c>
      <x:c r="E1415" s="25" t="n">
        <x:v>201</x:v>
      </x:c>
      <x:c r="F1415" s="25" t="str">
        <x:v>寒狱铁镯</x:v>
      </x:c>
      <x:c r="G1415" s="25" t="n">
        <x:v>5</x:v>
      </x:c>
      <x:c r="H1415" s="25" t="str">
        <x:v>攻击速度</x:v>
      </x:c>
      <x:c r="I1415" s="25" t="n">
        <x:v>2</x:v>
      </x:c>
      <x:c r="J1415" s="25" t="n">
        <x:v>5</x:v>
      </x:c>
      <x:c r="K1415" s="25" t="str">
        <x:v>仅装备原始基础值决定主属性范围</x:v>
      </x:c>
    </x:row>
    <x:row r="1416">
      <x:c r="A1416" s="25" t="str">
        <x:v>C10-M</x:v>
      </x:c>
      <x:c r="B1416" s="25" t="str">
        <x:v>王城罗德尔</x:v>
      </x:c>
      <x:c r="C1416" s="25" t="str">
        <x:v>半急速中期</x:v>
      </x:c>
      <x:c r="D1416" s="25" t="n">
        <x:v>7</x:v>
      </x:c>
      <x:c r="E1416" s="25" t="n">
        <x:v>198</x:v>
      </x:c>
      <x:c r="F1416" s="25" t="str">
        <x:v>封誓霜纹戒</x:v>
      </x:c>
      <x:c r="G1416" s="25" t="n">
        <x:v>1</x:v>
      </x:c>
      <x:c r="H1416" s="25" t="str">
        <x:v>魔法</x:v>
      </x:c>
      <x:c r="I1416" s="25" t="n">
        <x:v>11</x:v>
      </x:c>
      <x:c r="J1416" s="25" t="n">
        <x:v>2</x:v>
      </x:c>
      <x:c r="K1416" s="25" t="str">
        <x:v>仅装备原始基础值决定主属性范围</x:v>
      </x:c>
    </x:row>
    <x:row r="1417">
      <x:c r="A1417" s="25" t="str">
        <x:v>C10-M</x:v>
      </x:c>
      <x:c r="B1417" s="25" t="str">
        <x:v>王城罗德尔</x:v>
      </x:c>
      <x:c r="C1417" s="25" t="str">
        <x:v>半急速中期</x:v>
      </x:c>
      <x:c r="D1417" s="25" t="n">
        <x:v>7</x:v>
      </x:c>
      <x:c r="E1417" s="25" t="n">
        <x:v>198</x:v>
      </x:c>
      <x:c r="F1417" s="25" t="str">
        <x:v>封誓霜纹戒</x:v>
      </x:c>
      <x:c r="G1417" s="25" t="n">
        <x:v>2</x:v>
      </x:c>
      <x:c r="H1417" s="25" t="str">
        <x:v>攻击加成</x:v>
      </x:c>
      <x:c r="I1417" s="25" t="n">
        <x:v>19</x:v>
      </x:c>
      <x:c r="J1417" s="25" t="n">
        <x:v>18</x:v>
      </x:c>
      <x:c r="K1417" s="25" t="str">
        <x:v>仅装备原始基础值决定主属性范围</x:v>
      </x:c>
    </x:row>
    <x:row r="1418">
      <x:c r="A1418" s="25" t="str">
        <x:v>C10-M</x:v>
      </x:c>
      <x:c r="B1418" s="25" t="str">
        <x:v>王城罗德尔</x:v>
      </x:c>
      <x:c r="C1418" s="25" t="str">
        <x:v>半急速中期</x:v>
      </x:c>
      <x:c r="D1418" s="25" t="n">
        <x:v>7</x:v>
      </x:c>
      <x:c r="E1418" s="25" t="n">
        <x:v>198</x:v>
      </x:c>
      <x:c r="F1418" s="25" t="str">
        <x:v>封誓霜纹戒</x:v>
      </x:c>
      <x:c r="G1418" s="25" t="n">
        <x:v>3</x:v>
      </x:c>
      <x:c r="H1418" s="25" t="str">
        <x:v>攻击加成</x:v>
      </x:c>
      <x:c r="I1418" s="25" t="n">
        <x:v>27</x:v>
      </x:c>
      <x:c r="J1418" s="25" t="n">
        <x:v>18</x:v>
      </x:c>
      <x:c r="K1418" s="25" t="str">
        <x:v>仅装备原始基础值决定主属性范围</x:v>
      </x:c>
    </x:row>
    <x:row r="1419">
      <x:c r="A1419" s="25" t="str">
        <x:v>C10-M</x:v>
      </x:c>
      <x:c r="B1419" s="25" t="str">
        <x:v>王城罗德尔</x:v>
      </x:c>
      <x:c r="C1419" s="25" t="str">
        <x:v>半急速中期</x:v>
      </x:c>
      <x:c r="D1419" s="25" t="n">
        <x:v>7</x:v>
      </x:c>
      <x:c r="E1419" s="25" t="n">
        <x:v>198</x:v>
      </x:c>
      <x:c r="F1419" s="25" t="str">
        <x:v>封誓霜纹戒</x:v>
      </x:c>
      <x:c r="G1419" s="25" t="n">
        <x:v>4</x:v>
      </x:c>
      <x:c r="H1419" s="25" t="str">
        <x:v>攻击加成</x:v>
      </x:c>
      <x:c r="I1419" s="25" t="n">
        <x:v>18</x:v>
      </x:c>
      <x:c r="J1419" s="25" t="n">
        <x:v>18</x:v>
      </x:c>
      <x:c r="K1419" s="25" t="str">
        <x:v>仅装备原始基础值决定主属性范围</x:v>
      </x:c>
    </x:row>
    <x:row r="1420">
      <x:c r="A1420" s="25" t="str">
        <x:v>C10-M</x:v>
      </x:c>
      <x:c r="B1420" s="25" t="str">
        <x:v>王城罗德尔</x:v>
      </x:c>
      <x:c r="C1420" s="25" t="str">
        <x:v>半急速中期</x:v>
      </x:c>
      <x:c r="D1420" s="25" t="n">
        <x:v>7</x:v>
      </x:c>
      <x:c r="E1420" s="25" t="n">
        <x:v>198</x:v>
      </x:c>
      <x:c r="F1420" s="25" t="str">
        <x:v>封誓霜纹戒</x:v>
      </x:c>
      <x:c r="G1420" s="25" t="n">
        <x:v>5</x:v>
      </x:c>
      <x:c r="H1420" s="25" t="str">
        <x:v>道术</x:v>
      </x:c>
      <x:c r="I1420" s="25" t="n">
        <x:v>458</x:v>
      </x:c>
      <x:c r="J1420" s="25" t="n">
        <x:v>3</x:v>
      </x:c>
      <x:c r="K1420" s="25" t="str">
        <x:v>仅装备原始基础值决定主属性范围</x:v>
      </x:c>
    </x:row>
    <x:row r="1421">
      <x:c r="A1421" s="25" t="str">
        <x:v>C10-M</x:v>
      </x:c>
      <x:c r="B1421" s="25" t="str">
        <x:v>王城罗德尔</x:v>
      </x:c>
      <x:c r="C1421" s="25" t="str">
        <x:v>半急速中期</x:v>
      </x:c>
      <x:c r="D1421" s="25" t="n">
        <x:v>8</x:v>
      </x:c>
      <x:c r="E1421" s="25" t="n">
        <x:v>195</x:v>
      </x:c>
      <x:c r="F1421" s="25" t="str">
        <x:v>巡界牙戒</x:v>
      </x:c>
      <x:c r="G1421" s="25" t="n">
        <x:v>1</x:v>
      </x:c>
      <x:c r="H1421" s="25" t="str">
        <x:v>魔法</x:v>
      </x:c>
      <x:c r="I1421" s="25" t="n">
        <x:v>180</x:v>
      </x:c>
      <x:c r="J1421" s="25" t="n">
        <x:v>2</x:v>
      </x:c>
      <x:c r="K1421" s="25" t="str">
        <x:v>仅装备原始基础值决定主属性范围</x:v>
      </x:c>
    </x:row>
    <x:row r="1422">
      <x:c r="A1422" s="25" t="str">
        <x:v>C10-M</x:v>
      </x:c>
      <x:c r="B1422" s="25" t="str">
        <x:v>王城罗德尔</x:v>
      </x:c>
      <x:c r="C1422" s="25" t="str">
        <x:v>半急速中期</x:v>
      </x:c>
      <x:c r="D1422" s="25" t="n">
        <x:v>8</x:v>
      </x:c>
      <x:c r="E1422" s="25" t="n">
        <x:v>195</x:v>
      </x:c>
      <x:c r="F1422" s="25" t="str">
        <x:v>巡界牙戒</x:v>
      </x:c>
      <x:c r="G1422" s="25" t="n">
        <x:v>2</x:v>
      </x:c>
      <x:c r="H1422" s="25" t="str">
        <x:v>暴击</x:v>
      </x:c>
      <x:c r="I1422" s="25" t="n">
        <x:v>1</x:v>
      </x:c>
      <x:c r="J1422" s="25" t="n">
        <x:v>14</x:v>
      </x:c>
      <x:c r="K1422" s="25" t="str">
        <x:v>仅装备原始基础值决定主属性范围</x:v>
      </x:c>
    </x:row>
    <x:row r="1423">
      <x:c r="A1423" s="25" t="str">
        <x:v>C10-M</x:v>
      </x:c>
      <x:c r="B1423" s="25" t="str">
        <x:v>王城罗德尔</x:v>
      </x:c>
      <x:c r="C1423" s="25" t="str">
        <x:v>半急速中期</x:v>
      </x:c>
      <x:c r="D1423" s="25" t="n">
        <x:v>8</x:v>
      </x:c>
      <x:c r="E1423" s="25" t="n">
        <x:v>195</x:v>
      </x:c>
      <x:c r="F1423" s="25" t="str">
        <x:v>巡界牙戒</x:v>
      </x:c>
      <x:c r="G1423" s="25" t="n">
        <x:v>3</x:v>
      </x:c>
      <x:c r="H1423" s="25" t="str">
        <x:v>攻击加成</x:v>
      </x:c>
      <x:c r="I1423" s="25" t="n">
        <x:v>27</x:v>
      </x:c>
      <x:c r="J1423" s="25" t="n">
        <x:v>18</x:v>
      </x:c>
      <x:c r="K1423" s="25" t="str">
        <x:v>仅装备原始基础值决定主属性范围</x:v>
      </x:c>
    </x:row>
    <x:row r="1424">
      <x:c r="A1424" s="25" t="str">
        <x:v>C10-M</x:v>
      </x:c>
      <x:c r="B1424" s="25" t="str">
        <x:v>王城罗德尔</x:v>
      </x:c>
      <x:c r="C1424" s="25" t="str">
        <x:v>半急速中期</x:v>
      </x:c>
      <x:c r="D1424" s="25" t="n">
        <x:v>8</x:v>
      </x:c>
      <x:c r="E1424" s="25" t="n">
        <x:v>195</x:v>
      </x:c>
      <x:c r="F1424" s="25" t="str">
        <x:v>巡界牙戒</x:v>
      </x:c>
      <x:c r="G1424" s="25" t="n">
        <x:v>4</x:v>
      </x:c>
      <x:c r="H1424" s="25" t="str">
        <x:v>处决时间</x:v>
      </x:c>
      <x:c r="I1424" s="25" t="n">
        <x:v>1</x:v>
      </x:c>
      <x:c r="J1424" s="25" t="n">
        <x:v>8</x:v>
      </x:c>
      <x:c r="K1424" s="25" t="str">
        <x:v>仅装备原始基础值决定主属性范围</x:v>
      </x:c>
    </x:row>
    <x:row r="1425">
      <x:c r="A1425" s="25" t="str">
        <x:v>C10-M</x:v>
      </x:c>
      <x:c r="B1425" s="25" t="str">
        <x:v>王城罗德尔</x:v>
      </x:c>
      <x:c r="C1425" s="25" t="str">
        <x:v>半急速中期</x:v>
      </x:c>
      <x:c r="D1425" s="25" t="n">
        <x:v>8</x:v>
      </x:c>
      <x:c r="E1425" s="25" t="n">
        <x:v>195</x:v>
      </x:c>
      <x:c r="F1425" s="25" t="str">
        <x:v>巡界牙戒</x:v>
      </x:c>
      <x:c r="G1425" s="25" t="n">
        <x:v>5</x:v>
      </x:c>
      <x:c r="H1425" s="25" t="str">
        <x:v>攻击加成</x:v>
      </x:c>
      <x:c r="I1425" s="25" t="n">
        <x:v>23</x:v>
      </x:c>
      <x:c r="J1425" s="25" t="n">
        <x:v>18</x:v>
      </x:c>
      <x:c r="K1425" s="25" t="str">
        <x:v>仅装备原始基础值决定主属性范围</x:v>
      </x:c>
    </x:row>
    <x:row r="1426">
      <x:c r="A1426" s="25" t="str">
        <x:v>C10-M</x:v>
      </x:c>
      <x:c r="B1426" s="25" t="str">
        <x:v>王城罗德尔</x:v>
      </x:c>
      <x:c r="C1426" s="25" t="str">
        <x:v>半急速中期</x:v>
      </x:c>
      <x:c r="D1426" s="25" t="n">
        <x:v>10</x:v>
      </x:c>
      <x:c r="E1426" s="25" t="n">
        <x:v>183</x:v>
      </x:c>
      <x:c r="F1426" s="25" t="str">
        <x:v>驮碑束腰</x:v>
      </x:c>
      <x:c r="G1426" s="25" t="n">
        <x:v>1</x:v>
      </x:c>
      <x:c r="H1426" s="25" t="str">
        <x:v>攻击</x:v>
      </x:c>
      <x:c r="I1426" s="25" t="n">
        <x:v>346</x:v>
      </x:c>
      <x:c r="J1426" s="25" t="n">
        <x:v>1</x:v>
      </x:c>
      <x:c r="K1426" s="25" t="str">
        <x:v>仅装备原始基础值决定主属性范围</x:v>
      </x:c>
    </x:row>
    <x:row r="1427">
      <x:c r="A1427" s="25" t="str">
        <x:v>C10-M</x:v>
      </x:c>
      <x:c r="B1427" s="25" t="str">
        <x:v>王城罗德尔</x:v>
      </x:c>
      <x:c r="C1427" s="25" t="str">
        <x:v>半急速中期</x:v>
      </x:c>
      <x:c r="D1427" s="25" t="n">
        <x:v>10</x:v>
      </x:c>
      <x:c r="E1427" s="25" t="n">
        <x:v>183</x:v>
      </x:c>
      <x:c r="F1427" s="25" t="str">
        <x:v>驮碑束腰</x:v>
      </x:c>
      <x:c r="G1427" s="25" t="n">
        <x:v>2</x:v>
      </x:c>
      <x:c r="H1427" s="25" t="str">
        <x:v>处决概率</x:v>
      </x:c>
      <x:c r="I1427" s="25" t="n">
        <x:v>1</x:v>
      </x:c>
      <x:c r="J1427" s="25" t="n">
        <x:v>6</x:v>
      </x:c>
      <x:c r="K1427" s="25" t="str">
        <x:v>仅装备原始基础值决定主属性范围</x:v>
      </x:c>
    </x:row>
    <x:row r="1428">
      <x:c r="A1428" s="25" t="str">
        <x:v>C10-M</x:v>
      </x:c>
      <x:c r="B1428" s="25" t="str">
        <x:v>王城罗德尔</x:v>
      </x:c>
      <x:c r="C1428" s="25" t="str">
        <x:v>半急速中期</x:v>
      </x:c>
      <x:c r="D1428" s="25" t="n">
        <x:v>10</x:v>
      </x:c>
      <x:c r="E1428" s="25" t="n">
        <x:v>183</x:v>
      </x:c>
      <x:c r="F1428" s="25" t="str">
        <x:v>驮碑束腰</x:v>
      </x:c>
      <x:c r="G1428" s="25" t="n">
        <x:v>3</x:v>
      </x:c>
      <x:c r="H1428" s="25" t="str">
        <x:v>处决伤害</x:v>
      </x:c>
      <x:c r="I1428" s="25" t="n">
        <x:v>1</x:v>
      </x:c>
      <x:c r="J1428" s="25" t="n">
        <x:v>10</x:v>
      </x:c>
      <x:c r="K1428" s="25" t="str">
        <x:v>仅装备原始基础值决定主属性范围</x:v>
      </x:c>
    </x:row>
    <x:row r="1429">
      <x:c r="A1429" s="25" t="str">
        <x:v>C10-M</x:v>
      </x:c>
      <x:c r="B1429" s="25" t="str">
        <x:v>王城罗德尔</x:v>
      </x:c>
      <x:c r="C1429" s="25" t="str">
        <x:v>半急速中期</x:v>
      </x:c>
      <x:c r="D1429" s="25" t="n">
        <x:v>10</x:v>
      </x:c>
      <x:c r="E1429" s="25" t="n">
        <x:v>183</x:v>
      </x:c>
      <x:c r="F1429" s="25" t="str">
        <x:v>驮碑束腰</x:v>
      </x:c>
      <x:c r="G1429" s="25" t="n">
        <x:v>4</x:v>
      </x:c>
      <x:c r="H1429" s="25" t="str">
        <x:v>暴击</x:v>
      </x:c>
      <x:c r="I1429" s="25" t="n">
        <x:v>1</x:v>
      </x:c>
      <x:c r="J1429" s="25" t="n">
        <x:v>14</x:v>
      </x:c>
      <x:c r="K1429" s="25" t="str">
        <x:v>仅装备原始基础值决定主属性范围</x:v>
      </x:c>
    </x:row>
    <x:row r="1430">
      <x:c r="A1430" s="25" t="str">
        <x:v>C10-M</x:v>
      </x:c>
      <x:c r="B1430" s="25" t="str">
        <x:v>王城罗德尔</x:v>
      </x:c>
      <x:c r="C1430" s="25" t="str">
        <x:v>半急速中期</x:v>
      </x:c>
      <x:c r="D1430" s="25" t="n">
        <x:v>10</x:v>
      </x:c>
      <x:c r="E1430" s="25" t="n">
        <x:v>183</x:v>
      </x:c>
      <x:c r="F1430" s="25" t="str">
        <x:v>驮碑束腰</x:v>
      </x:c>
      <x:c r="G1430" s="25" t="n">
        <x:v>5</x:v>
      </x:c>
      <x:c r="H1430" s="25" t="str">
        <x:v>攻击加成</x:v>
      </x:c>
      <x:c r="I1430" s="25" t="n">
        <x:v>25</x:v>
      </x:c>
      <x:c r="J1430" s="25" t="n">
        <x:v>18</x:v>
      </x:c>
      <x:c r="K1430" s="25" t="str">
        <x:v>仅装备原始基础值决定主属性范围</x:v>
      </x:c>
    </x:row>
    <x:row r="1431">
      <x:c r="A1431" s="25" t="str">
        <x:v>C10-M</x:v>
      </x:c>
      <x:c r="B1431" s="25" t="str">
        <x:v>王城罗德尔</x:v>
      </x:c>
      <x:c r="C1431" s="25" t="str">
        <x:v>半急速中期</x:v>
      </x:c>
      <x:c r="D1431" s="25" t="n">
        <x:v>11</x:v>
      </x:c>
      <x:c r="E1431" s="25" t="n">
        <x:v>199</x:v>
      </x:c>
      <x:c r="F1431" s="25" t="str">
        <x:v>寒灯侍履</x:v>
      </x:c>
      <x:c r="G1431" s="25" t="n">
        <x:v>1</x:v>
      </x:c>
      <x:c r="H1431" s="25" t="str">
        <x:v>致命一击</x:v>
      </x:c>
      <x:c r="I1431" s="25" t="n">
        <x:v>1</x:v>
      </x:c>
      <x:c r="J1431" s="25" t="n">
        <x:v>16</x:v>
      </x:c>
      <x:c r="K1431" s="25" t="str">
        <x:v>仅装备原始基础值决定主属性范围</x:v>
      </x:c>
    </x:row>
    <x:row r="1432">
      <x:c r="A1432" s="25" t="str">
        <x:v>C10-M</x:v>
      </x:c>
      <x:c r="B1432" s="25" t="str">
        <x:v>王城罗德尔</x:v>
      </x:c>
      <x:c r="C1432" s="25" t="str">
        <x:v>半急速中期</x:v>
      </x:c>
      <x:c r="D1432" s="25" t="n">
        <x:v>11</x:v>
      </x:c>
      <x:c r="E1432" s="25" t="n">
        <x:v>199</x:v>
      </x:c>
      <x:c r="F1432" s="25" t="str">
        <x:v>寒灯侍履</x:v>
      </x:c>
      <x:c r="G1432" s="25" t="n">
        <x:v>2</x:v>
      </x:c>
      <x:c r="H1432" s="25" t="str">
        <x:v>攻击加成</x:v>
      </x:c>
      <x:c r="I1432" s="25" t="n">
        <x:v>22</x:v>
      </x:c>
      <x:c r="J1432" s="25" t="n">
        <x:v>18</x:v>
      </x:c>
      <x:c r="K1432" s="25" t="str">
        <x:v>仅装备原始基础值决定主属性范围</x:v>
      </x:c>
    </x:row>
    <x:row r="1433">
      <x:c r="A1433" s="25" t="str">
        <x:v>C10-G</x:v>
      </x:c>
      <x:c r="B1433" s="25" t="str">
        <x:v>王城罗德尔</x:v>
      </x:c>
      <x:c r="C1433" s="25" t="str">
        <x:v>半急速毕业</x:v>
      </x:c>
      <x:c r="D1433" s="25" t="n">
        <x:v>0</x:v>
      </x:c>
      <x:c r="E1433" s="25" t="n">
        <x:v>217</x:v>
      </x:c>
      <x:c r="F1433" s="25" t="str">
        <x:v>锁链关门甲</x:v>
      </x:c>
      <x:c r="G1433" s="25" t="n">
        <x:v>1</x:v>
      </x:c>
      <x:c r="H1433" s="25" t="str">
        <x:v>攻击速度</x:v>
      </x:c>
      <x:c r="I1433" s="25" t="n">
        <x:v>1</x:v>
      </x:c>
      <x:c r="J1433" s="25" t="n">
        <x:v>4</x:v>
      </x:c>
      <x:c r="K1433" s="25" t="str">
        <x:v>仅装备原始基础值决定主属性范围</x:v>
      </x:c>
    </x:row>
    <x:row r="1434">
      <x:c r="A1434" s="25" t="str">
        <x:v>C10-G</x:v>
      </x:c>
      <x:c r="B1434" s="25" t="str">
        <x:v>王城罗德尔</x:v>
      </x:c>
      <x:c r="C1434" s="25" t="str">
        <x:v>半急速毕业</x:v>
      </x:c>
      <x:c r="D1434" s="25" t="n">
        <x:v>0</x:v>
      </x:c>
      <x:c r="E1434" s="25" t="n">
        <x:v>217</x:v>
      </x:c>
      <x:c r="F1434" s="25" t="str">
        <x:v>锁链关门甲</x:v>
      </x:c>
      <x:c r="G1434" s="25" t="n">
        <x:v>2</x:v>
      </x:c>
      <x:c r="H1434" s="25" t="str">
        <x:v>道术</x:v>
      </x:c>
      <x:c r="I1434" s="25" t="n">
        <x:v>295</x:v>
      </x:c>
      <x:c r="J1434" s="25" t="n">
        <x:v>3</x:v>
      </x:c>
      <x:c r="K1434" s="25" t="str">
        <x:v>仅装备原始基础值决定主属性范围</x:v>
      </x:c>
    </x:row>
    <x:row r="1435">
      <x:c r="A1435" s="25" t="str">
        <x:v>C10-G</x:v>
      </x:c>
      <x:c r="B1435" s="25" t="str">
        <x:v>王城罗德尔</x:v>
      </x:c>
      <x:c r="C1435" s="25" t="str">
        <x:v>半急速毕业</x:v>
      </x:c>
      <x:c r="D1435" s="25" t="n">
        <x:v>0</x:v>
      </x:c>
      <x:c r="E1435" s="25" t="n">
        <x:v>217</x:v>
      </x:c>
      <x:c r="F1435" s="25" t="str">
        <x:v>锁链关门甲</x:v>
      </x:c>
      <x:c r="G1435" s="25" t="n">
        <x:v>3</x:v>
      </x:c>
      <x:c r="H1435" s="25" t="str">
        <x:v>致命一击</x:v>
      </x:c>
      <x:c r="I1435" s="25" t="n">
        <x:v>1</x:v>
      </x:c>
      <x:c r="J1435" s="25" t="n">
        <x:v>16</x:v>
      </x:c>
      <x:c r="K1435" s="25" t="str">
        <x:v>仅装备原始基础值决定主属性范围</x:v>
      </x:c>
    </x:row>
    <x:row r="1436">
      <x:c r="A1436" s="25" t="str">
        <x:v>C10-G</x:v>
      </x:c>
      <x:c r="B1436" s="25" t="str">
        <x:v>王城罗德尔</x:v>
      </x:c>
      <x:c r="C1436" s="25" t="str">
        <x:v>半急速毕业</x:v>
      </x:c>
      <x:c r="D1436" s="25" t="n">
        <x:v>0</x:v>
      </x:c>
      <x:c r="E1436" s="25" t="n">
        <x:v>217</x:v>
      </x:c>
      <x:c r="F1436" s="25" t="str">
        <x:v>锁链关门甲</x:v>
      </x:c>
      <x:c r="G1436" s="25" t="n">
        <x:v>4</x:v>
      </x:c>
      <x:c r="H1436" s="25" t="str">
        <x:v>道术</x:v>
      </x:c>
      <x:c r="I1436" s="25" t="n">
        <x:v>1255</x:v>
      </x:c>
      <x:c r="J1436" s="25" t="n">
        <x:v>3</x:v>
      </x:c>
      <x:c r="K1436" s="25" t="str">
        <x:v>仅装备原始基础值决定主属性范围</x:v>
      </x:c>
    </x:row>
    <x:row r="1437">
      <x:c r="A1437" s="25" t="str">
        <x:v>C10-G</x:v>
      </x:c>
      <x:c r="B1437" s="25" t="str">
        <x:v>王城罗德尔</x:v>
      </x:c>
      <x:c r="C1437" s="25" t="str">
        <x:v>半急速毕业</x:v>
      </x:c>
      <x:c r="D1437" s="25" t="n">
        <x:v>0</x:v>
      </x:c>
      <x:c r="E1437" s="25" t="n">
        <x:v>217</x:v>
      </x:c>
      <x:c r="F1437" s="25" t="str">
        <x:v>锁链关门甲</x:v>
      </x:c>
      <x:c r="G1437" s="25" t="n">
        <x:v>5</x:v>
      </x:c>
      <x:c r="H1437" s="25" t="str">
        <x:v>韧性</x:v>
      </x:c>
      <x:c r="I1437" s="25" t="n">
        <x:v>10</x:v>
      </x:c>
      <x:c r="J1437" s="25" t="n">
        <x:v>12</x:v>
      </x:c>
      <x:c r="K1437" s="25" t="str">
        <x:v>仅装备原始基础值决定主属性范围</x:v>
      </x:c>
    </x:row>
    <x:row r="1438">
      <x:c r="A1438" s="25" t="str">
        <x:v>C10-G</x:v>
      </x:c>
      <x:c r="B1438" s="25" t="str">
        <x:v>王城罗德尔</x:v>
      </x:c>
      <x:c r="C1438" s="25" t="str">
        <x:v>半急速毕业</x:v>
      </x:c>
      <x:c r="D1438" s="25" t="n">
        <x:v>0</x:v>
      </x:c>
      <x:c r="E1438" s="25" t="n">
        <x:v>217</x:v>
      </x:c>
      <x:c r="F1438" s="25" t="str">
        <x:v>锁链关门甲</x:v>
      </x:c>
      <x:c r="G1438" s="25" t="n">
        <x:v>6</x:v>
      </x:c>
      <x:c r="H1438" s="25" t="str">
        <x:v>伤害系数</x:v>
      </x:c>
      <x:c r="I1438" s="25" t="n">
        <x:v>3</x:v>
      </x:c>
      <x:c r="J1438" s="25" t="n">
        <x:v>27</x:v>
      </x:c>
      <x:c r="K1438" s="25" t="str">
        <x:v>仅装备原始基础值决定主属性范围</x:v>
      </x:c>
    </x:row>
    <x:row r="1439">
      <x:c r="A1439" s="25" t="str">
        <x:v>C10-G</x:v>
      </x:c>
      <x:c r="B1439" s="25" t="str">
        <x:v>王城罗德尔</x:v>
      </x:c>
      <x:c r="C1439" s="25" t="str">
        <x:v>半急速毕业</x:v>
      </x:c>
      <x:c r="D1439" s="25" t="n">
        <x:v>0</x:v>
      </x:c>
      <x:c r="E1439" s="25" t="n">
        <x:v>217</x:v>
      </x:c>
      <x:c r="F1439" s="25" t="str">
        <x:v>锁链关门甲</x:v>
      </x:c>
      <x:c r="G1439" s="25" t="n">
        <x:v>7</x:v>
      </x:c>
      <x:c r="H1439" s="25" t="str">
        <x:v>攻击</x:v>
      </x:c>
      <x:c r="I1439" s="25" t="n">
        <x:v>150</x:v>
      </x:c>
      <x:c r="J1439" s="25" t="n">
        <x:v>1</x:v>
      </x:c>
      <x:c r="K1439" s="25" t="str">
        <x:v>仅装备原始基础值决定主属性范围</x:v>
      </x:c>
    </x:row>
    <x:row r="1440">
      <x:c r="A1440" s="25" t="str">
        <x:v>C10-G</x:v>
      </x:c>
      <x:c r="B1440" s="25" t="str">
        <x:v>王城罗德尔</x:v>
      </x:c>
      <x:c r="C1440" s="25" t="str">
        <x:v>半急速毕业</x:v>
      </x:c>
      <x:c r="D1440" s="25" t="n">
        <x:v>1</x:v>
      </x:c>
      <x:c r="E1440" s="25" t="n">
        <x:v>214</x:v>
      </x:c>
      <x:c r="F1440" s="25" t="str">
        <x:v>王座终裁圣刃</x:v>
      </x:c>
      <x:c r="G1440" s="25" t="n">
        <x:v>1</x:v>
      </x:c>
      <x:c r="H1440" s="25" t="str">
        <x:v>魔法</x:v>
      </x:c>
      <x:c r="I1440" s="25" t="n">
        <x:v>1363</x:v>
      </x:c>
      <x:c r="J1440" s="25" t="n">
        <x:v>2</x:v>
      </x:c>
      <x:c r="K1440" s="25" t="str">
        <x:v>仅装备原始基础值决定主属性范围</x:v>
      </x:c>
    </x:row>
    <x:row r="1441">
      <x:c r="A1441" s="25" t="str">
        <x:v>C10-G</x:v>
      </x:c>
      <x:c r="B1441" s="25" t="str">
        <x:v>王城罗德尔</x:v>
      </x:c>
      <x:c r="C1441" s="25" t="str">
        <x:v>半急速毕业</x:v>
      </x:c>
      <x:c r="D1441" s="25" t="n">
        <x:v>1</x:v>
      </x:c>
      <x:c r="E1441" s="25" t="n">
        <x:v>214</x:v>
      </x:c>
      <x:c r="F1441" s="25" t="str">
        <x:v>王座终裁圣刃</x:v>
      </x:c>
      <x:c r="G1441" s="25" t="n">
        <x:v>2</x:v>
      </x:c>
      <x:c r="H1441" s="25" t="str">
        <x:v>处决伤害</x:v>
      </x:c>
      <x:c r="I1441" s="25" t="n">
        <x:v>1</x:v>
      </x:c>
      <x:c r="J1441" s="25" t="n">
        <x:v>10</x:v>
      </x:c>
      <x:c r="K1441" s="25" t="str">
        <x:v>仅装备原始基础值决定主属性范围</x:v>
      </x:c>
    </x:row>
    <x:row r="1442">
      <x:c r="A1442" s="25" t="str">
        <x:v>C10-G</x:v>
      </x:c>
      <x:c r="B1442" s="25" t="str">
        <x:v>王城罗德尔</x:v>
      </x:c>
      <x:c r="C1442" s="25" t="str">
        <x:v>半急速毕业</x:v>
      </x:c>
      <x:c r="D1442" s="25" t="n">
        <x:v>1</x:v>
      </x:c>
      <x:c r="E1442" s="25" t="n">
        <x:v>214</x:v>
      </x:c>
      <x:c r="F1442" s="25" t="str">
        <x:v>王座终裁圣刃</x:v>
      </x:c>
      <x:c r="G1442" s="25" t="n">
        <x:v>3</x:v>
      </x:c>
      <x:c r="H1442" s="25" t="str">
        <x:v>攻击</x:v>
      </x:c>
      <x:c r="I1442" s="25" t="n">
        <x:v>892</x:v>
      </x:c>
      <x:c r="J1442" s="25" t="n">
        <x:v>1</x:v>
      </x:c>
      <x:c r="K1442" s="25" t="str">
        <x:v>仅装备原始基础值决定主属性范围</x:v>
      </x:c>
    </x:row>
    <x:row r="1443">
      <x:c r="A1443" s="25" t="str">
        <x:v>C10-G</x:v>
      </x:c>
      <x:c r="B1443" s="25" t="str">
        <x:v>王城罗德尔</x:v>
      </x:c>
      <x:c r="C1443" s="25" t="str">
        <x:v>半急速毕业</x:v>
      </x:c>
      <x:c r="D1443" s="25" t="n">
        <x:v>1</x:v>
      </x:c>
      <x:c r="E1443" s="25" t="n">
        <x:v>214</x:v>
      </x:c>
      <x:c r="F1443" s="25" t="str">
        <x:v>王座终裁圣刃</x:v>
      </x:c>
      <x:c r="G1443" s="25" t="n">
        <x:v>4</x:v>
      </x:c>
      <x:c r="H1443" s="25" t="str">
        <x:v>最大爆率</x:v>
      </x:c>
      <x:c r="I1443" s="25" t="n">
        <x:v>1</x:v>
      </x:c>
      <x:c r="J1443" s="25" t="n">
        <x:v>22</x:v>
      </x:c>
      <x:c r="K1443" s="25" t="str">
        <x:v>仅装备原始基础值决定主属性范围</x:v>
      </x:c>
    </x:row>
    <x:row r="1444">
      <x:c r="A1444" s="25" t="str">
        <x:v>C10-G</x:v>
      </x:c>
      <x:c r="B1444" s="25" t="str">
        <x:v>王城罗德尔</x:v>
      </x:c>
      <x:c r="C1444" s="25" t="str">
        <x:v>半急速毕业</x:v>
      </x:c>
      <x:c r="D1444" s="25" t="n">
        <x:v>1</x:v>
      </x:c>
      <x:c r="E1444" s="25" t="n">
        <x:v>214</x:v>
      </x:c>
      <x:c r="F1444" s="25" t="str">
        <x:v>王座终裁圣刃</x:v>
      </x:c>
      <x:c r="G1444" s="25" t="n">
        <x:v>5</x:v>
      </x:c>
      <x:c r="H1444" s="25" t="str">
        <x:v>攻击加成</x:v>
      </x:c>
      <x:c r="I1444" s="25" t="n">
        <x:v>7</x:v>
      </x:c>
      <x:c r="J1444" s="25" t="n">
        <x:v>18</x:v>
      </x:c>
      <x:c r="K1444" s="25" t="str">
        <x:v>仅装备原始基础值决定主属性范围</x:v>
      </x:c>
    </x:row>
    <x:row r="1445">
      <x:c r="A1445" s="25" t="str">
        <x:v>C10-G</x:v>
      </x:c>
      <x:c r="B1445" s="25" t="str">
        <x:v>王城罗德尔</x:v>
      </x:c>
      <x:c r="C1445" s="25" t="str">
        <x:v>半急速毕业</x:v>
      </x:c>
      <x:c r="D1445" s="25" t="n">
        <x:v>1</x:v>
      </x:c>
      <x:c r="E1445" s="25" t="n">
        <x:v>214</x:v>
      </x:c>
      <x:c r="F1445" s="25" t="str">
        <x:v>王座终裁圣刃</x:v>
      </x:c>
      <x:c r="G1445" s="25" t="n">
        <x:v>6</x:v>
      </x:c>
      <x:c r="H1445" s="25" t="str">
        <x:v>攻击</x:v>
      </x:c>
      <x:c r="I1445" s="25" t="n">
        <x:v>5552</x:v>
      </x:c>
      <x:c r="J1445" s="25" t="n">
        <x:v>1</x:v>
      </x:c>
      <x:c r="K1445" s="25" t="str">
        <x:v>仅装备原始基础值决定主属性范围</x:v>
      </x:c>
    </x:row>
    <x:row r="1446">
      <x:c r="A1446" s="25" t="str">
        <x:v>C10-G</x:v>
      </x:c>
      <x:c r="B1446" s="25" t="str">
        <x:v>王城罗德尔</x:v>
      </x:c>
      <x:c r="C1446" s="25" t="str">
        <x:v>半急速毕业</x:v>
      </x:c>
      <x:c r="D1446" s="25" t="n">
        <x:v>1</x:v>
      </x:c>
      <x:c r="E1446" s="25" t="n">
        <x:v>214</x:v>
      </x:c>
      <x:c r="F1446" s="25" t="str">
        <x:v>王座终裁圣刃</x:v>
      </x:c>
      <x:c r="G1446" s="25" t="n">
        <x:v>7</x:v>
      </x:c>
      <x:c r="H1446" s="25" t="str">
        <x:v>处决概率</x:v>
      </x:c>
      <x:c r="I1446" s="25" t="n">
        <x:v>1</x:v>
      </x:c>
      <x:c r="J1446" s="25" t="n">
        <x:v>6</x:v>
      </x:c>
      <x:c r="K1446" s="25" t="str">
        <x:v>仅装备原始基础值决定主属性范围</x:v>
      </x:c>
    </x:row>
    <x:row r="1447">
      <x:c r="A1447" s="25" t="str">
        <x:v>C10-G</x:v>
      </x:c>
      <x:c r="B1447" s="25" t="str">
        <x:v>王城罗德尔</x:v>
      </x:c>
      <x:c r="C1447" s="25" t="str">
        <x:v>半急速毕业</x:v>
      </x:c>
      <x:c r="D1447" s="25" t="n">
        <x:v>1</x:v>
      </x:c>
      <x:c r="E1447" s="25" t="n">
        <x:v>214</x:v>
      </x:c>
      <x:c r="F1447" s="25" t="str">
        <x:v>王座终裁圣刃</x:v>
      </x:c>
      <x:c r="G1447" s="25" t="n">
        <x:v>8</x:v>
      </x:c>
      <x:c r="H1447" s="25" t="str">
        <x:v>魔法</x:v>
      </x:c>
      <x:c r="I1447" s="25" t="n">
        <x:v>14332</x:v>
      </x:c>
      <x:c r="J1447" s="25" t="n">
        <x:v>2</x:v>
      </x:c>
      <x:c r="K1447" s="25" t="str">
        <x:v>仅装备原始基础值决定主属性范围</x:v>
      </x:c>
    </x:row>
    <x:row r="1448">
      <x:c r="A1448" s="25" t="str">
        <x:v>C10-G</x:v>
      </x:c>
      <x:c r="B1448" s="25" t="str">
        <x:v>王城罗德尔</x:v>
      </x:c>
      <x:c r="C1448" s="25" t="str">
        <x:v>半急速毕业</x:v>
      </x:c>
      <x:c r="D1448" s="25" t="n">
        <x:v>3</x:v>
      </x:c>
      <x:c r="E1448" s="25" t="n">
        <x:v>204</x:v>
      </x:c>
      <x:c r="F1448" s="25" t="str">
        <x:v>衔烛鸦羽坠</x:v>
      </x:c>
      <x:c r="G1448" s="25" t="n">
        <x:v>1</x:v>
      </x:c>
      <x:c r="H1448" s="25" t="str">
        <x:v>攻击</x:v>
      </x:c>
      <x:c r="I1448" s="25" t="n">
        <x:v>229</x:v>
      </x:c>
      <x:c r="J1448" s="25" t="n">
        <x:v>1</x:v>
      </x:c>
      <x:c r="K1448" s="25" t="str">
        <x:v>仅装备原始基础值决定主属性范围</x:v>
      </x:c>
    </x:row>
    <x:row r="1449">
      <x:c r="A1449" s="25" t="str">
        <x:v>C10-G</x:v>
      </x:c>
      <x:c r="B1449" s="25" t="str">
        <x:v>王城罗德尔</x:v>
      </x:c>
      <x:c r="C1449" s="25" t="str">
        <x:v>半急速毕业</x:v>
      </x:c>
      <x:c r="D1449" s="25" t="n">
        <x:v>3</x:v>
      </x:c>
      <x:c r="E1449" s="25" t="n">
        <x:v>204</x:v>
      </x:c>
      <x:c r="F1449" s="25" t="str">
        <x:v>衔烛鸦羽坠</x:v>
      </x:c>
      <x:c r="G1449" s="25" t="n">
        <x:v>2</x:v>
      </x:c>
      <x:c r="H1449" s="25" t="str">
        <x:v>攻击加成</x:v>
      </x:c>
      <x:c r="I1449" s="25" t="n">
        <x:v>42</x:v>
      </x:c>
      <x:c r="J1449" s="25" t="n">
        <x:v>19</x:v>
      </x:c>
      <x:c r="K1449" s="25" t="str">
        <x:v>仅装备原始基础值决定主属性范围</x:v>
      </x:c>
    </x:row>
    <x:row r="1450">
      <x:c r="A1450" s="25" t="str">
        <x:v>C10-G</x:v>
      </x:c>
      <x:c r="B1450" s="25" t="str">
        <x:v>王城罗德尔</x:v>
      </x:c>
      <x:c r="C1450" s="25" t="str">
        <x:v>半急速毕业</x:v>
      </x:c>
      <x:c r="D1450" s="25" t="n">
        <x:v>4</x:v>
      </x:c>
      <x:c r="E1450" s="25" t="n">
        <x:v>210</x:v>
      </x:c>
      <x:c r="F1450" s="25" t="str">
        <x:v>镜甲将军盔</x:v>
      </x:c>
      <x:c r="G1450" s="25" t="n">
        <x:v>1</x:v>
      </x:c>
      <x:c r="H1450" s="25" t="str">
        <x:v>攻击加成</x:v>
      </x:c>
      <x:c r="I1450" s="25" t="n">
        <x:v>8</x:v>
      </x:c>
      <x:c r="J1450" s="25" t="n">
        <x:v>18</x:v>
      </x:c>
      <x:c r="K1450" s="25" t="str">
        <x:v>仅装备原始基础值决定主属性范围</x:v>
      </x:c>
    </x:row>
    <x:row r="1451">
      <x:c r="A1451" s="25" t="str">
        <x:v>C10-G</x:v>
      </x:c>
      <x:c r="B1451" s="25" t="str">
        <x:v>王城罗德尔</x:v>
      </x:c>
      <x:c r="C1451" s="25" t="str">
        <x:v>半急速毕业</x:v>
      </x:c>
      <x:c r="D1451" s="25" t="n">
        <x:v>4</x:v>
      </x:c>
      <x:c r="E1451" s="25" t="n">
        <x:v>210</x:v>
      </x:c>
      <x:c r="F1451" s="25" t="str">
        <x:v>镜甲将军盔</x:v>
      </x:c>
      <x:c r="G1451" s="25" t="n">
        <x:v>2</x:v>
      </x:c>
      <x:c r="H1451" s="25" t="str">
        <x:v>韧性</x:v>
      </x:c>
      <x:c r="I1451" s="25" t="n">
        <x:v>20</x:v>
      </x:c>
      <x:c r="J1451" s="25" t="n">
        <x:v>13</x:v>
      </x:c>
      <x:c r="K1451" s="25" t="str">
        <x:v>仅装备原始基础值决定主属性范围</x:v>
      </x:c>
    </x:row>
    <x:row r="1452">
      <x:c r="A1452" s="25" t="str">
        <x:v>C10-G</x:v>
      </x:c>
      <x:c r="B1452" s="25" t="str">
        <x:v>王城罗德尔</x:v>
      </x:c>
      <x:c r="C1452" s="25" t="str">
        <x:v>半急速毕业</x:v>
      </x:c>
      <x:c r="D1452" s="25" t="n">
        <x:v>4</x:v>
      </x:c>
      <x:c r="E1452" s="25" t="n">
        <x:v>210</x:v>
      </x:c>
      <x:c r="F1452" s="25" t="str">
        <x:v>镜甲将军盔</x:v>
      </x:c>
      <x:c r="G1452" s="25" t="n">
        <x:v>3</x:v>
      </x:c>
      <x:c r="H1452" s="25" t="str">
        <x:v>暴击</x:v>
      </x:c>
      <x:c r="I1452" s="25" t="n">
        <x:v>1</x:v>
      </x:c>
      <x:c r="J1452" s="25" t="n">
        <x:v>14</x:v>
      </x:c>
      <x:c r="K1452" s="25" t="str">
        <x:v>仅装备原始基础值决定主属性范围</x:v>
      </x:c>
    </x:row>
    <x:row r="1453">
      <x:c r="A1453" s="25" t="str">
        <x:v>C10-G</x:v>
      </x:c>
      <x:c r="B1453" s="25" t="str">
        <x:v>王城罗德尔</x:v>
      </x:c>
      <x:c r="C1453" s="25" t="str">
        <x:v>半急速毕业</x:v>
      </x:c>
      <x:c r="D1453" s="25" t="n">
        <x:v>4</x:v>
      </x:c>
      <x:c r="E1453" s="25" t="n">
        <x:v>210</x:v>
      </x:c>
      <x:c r="F1453" s="25" t="str">
        <x:v>镜甲将军盔</x:v>
      </x:c>
      <x:c r="G1453" s="25" t="n">
        <x:v>4</x:v>
      </x:c>
      <x:c r="H1453" s="25" t="str">
        <x:v>伤害吸收上限</x:v>
      </x:c>
      <x:c r="I1453" s="25" t="n">
        <x:v>2</x:v>
      </x:c>
      <x:c r="J1453" s="25" t="n">
        <x:v>29</x:v>
      </x:c>
      <x:c r="K1453" s="25" t="str">
        <x:v>仅装备原始基础值决定主属性范围</x:v>
      </x:c>
    </x:row>
    <x:row r="1454">
      <x:c r="A1454" s="25" t="str">
        <x:v>C10-G</x:v>
      </x:c>
      <x:c r="B1454" s="25" t="str">
        <x:v>王城罗德尔</x:v>
      </x:c>
      <x:c r="C1454" s="25" t="str">
        <x:v>半急速毕业</x:v>
      </x:c>
      <x:c r="D1454" s="25" t="n">
        <x:v>4</x:v>
      </x:c>
      <x:c r="E1454" s="25" t="n">
        <x:v>210</x:v>
      </x:c>
      <x:c r="F1454" s="25" t="str">
        <x:v>镜甲将军盔</x:v>
      </x:c>
      <x:c r="G1454" s="25" t="n">
        <x:v>5</x:v>
      </x:c>
      <x:c r="H1454" s="25" t="str">
        <x:v>攻击加成</x:v>
      </x:c>
      <x:c r="I1454" s="25" t="n">
        <x:v>40</x:v>
      </x:c>
      <x:c r="J1454" s="25" t="n">
        <x:v>19</x:v>
      </x:c>
      <x:c r="K1454" s="25" t="str">
        <x:v>仅装备原始基础值决定主属性范围</x:v>
      </x:c>
    </x:row>
    <x:row r="1455">
      <x:c r="A1455" s="25" t="str">
        <x:v>C10-G</x:v>
      </x:c>
      <x:c r="B1455" s="25" t="str">
        <x:v>王城罗德尔</x:v>
      </x:c>
      <x:c r="C1455" s="25" t="str">
        <x:v>半急速毕业</x:v>
      </x:c>
      <x:c r="D1455" s="25" t="n">
        <x:v>5</x:v>
      </x:c>
      <x:c r="E1455" s="25" t="n">
        <x:v>205</x:v>
      </x:c>
      <x:c r="F1455" s="25" t="str">
        <x:v>葬犬衔骨镯</x:v>
      </x:c>
      <x:c r="G1455" s="25" t="n">
        <x:v>1</x:v>
      </x:c>
      <x:c r="H1455" s="25" t="str">
        <x:v>攻击加成</x:v>
      </x:c>
      <x:c r="I1455" s="25" t="n">
        <x:v>12</x:v>
      </x:c>
      <x:c r="J1455" s="25" t="n">
        <x:v>18</x:v>
      </x:c>
      <x:c r="K1455" s="25" t="str">
        <x:v>仅装备原始基础值决定主属性范围</x:v>
      </x:c>
    </x:row>
    <x:row r="1456">
      <x:c r="A1456" s="25" t="str">
        <x:v>C10-G</x:v>
      </x:c>
      <x:c r="B1456" s="25" t="str">
        <x:v>王城罗德尔</x:v>
      </x:c>
      <x:c r="C1456" s="25" t="str">
        <x:v>半急速毕业</x:v>
      </x:c>
      <x:c r="D1456" s="25" t="n">
        <x:v>5</x:v>
      </x:c>
      <x:c r="E1456" s="25" t="n">
        <x:v>205</x:v>
      </x:c>
      <x:c r="F1456" s="25" t="str">
        <x:v>葬犬衔骨镯</x:v>
      </x:c>
      <x:c r="G1456" s="25" t="n">
        <x:v>2</x:v>
      </x:c>
      <x:c r="H1456" s="25" t="str">
        <x:v>攻击加成</x:v>
      </x:c>
      <x:c r="I1456" s="25" t="n">
        <x:v>29</x:v>
      </x:c>
      <x:c r="J1456" s="25" t="n">
        <x:v>18</x:v>
      </x:c>
      <x:c r="K1456" s="25" t="str">
        <x:v>仅装备原始基础值决定主属性范围</x:v>
      </x:c>
    </x:row>
    <x:row r="1457">
      <x:c r="A1457" s="25" t="str">
        <x:v>C10-G</x:v>
      </x:c>
      <x:c r="B1457" s="25" t="str">
        <x:v>王城罗德尔</x:v>
      </x:c>
      <x:c r="C1457" s="25" t="str">
        <x:v>半急速毕业</x:v>
      </x:c>
      <x:c r="D1457" s="25" t="n">
        <x:v>6</x:v>
      </x:c>
      <x:c r="E1457" s="25" t="n">
        <x:v>221</x:v>
      </x:c>
      <x:c r="F1457" s="25" t="str">
        <x:v>白魈啸风镯</x:v>
      </x:c>
      <x:c r="G1457" s="25" t="n">
        <x:v>1</x:v>
      </x:c>
      <x:c r="H1457" s="25" t="str">
        <x:v>魔法</x:v>
      </x:c>
      <x:c r="I1457" s="25" t="n">
        <x:v>1116</x:v>
      </x:c>
      <x:c r="J1457" s="25" t="n">
        <x:v>2</x:v>
      </x:c>
      <x:c r="K1457" s="25" t="str">
        <x:v>仅装备原始基础值决定主属性范围</x:v>
      </x:c>
    </x:row>
    <x:row r="1458">
      <x:c r="A1458" s="25" t="str">
        <x:v>C10-G</x:v>
      </x:c>
      <x:c r="B1458" s="25" t="str">
        <x:v>王城罗德尔</x:v>
      </x:c>
      <x:c r="C1458" s="25" t="str">
        <x:v>半急速毕业</x:v>
      </x:c>
      <x:c r="D1458" s="25" t="n">
        <x:v>6</x:v>
      </x:c>
      <x:c r="E1458" s="25" t="n">
        <x:v>221</x:v>
      </x:c>
      <x:c r="F1458" s="25" t="str">
        <x:v>白魈啸风镯</x:v>
      </x:c>
      <x:c r="G1458" s="25" t="n">
        <x:v>2</x:v>
      </x:c>
      <x:c r="H1458" s="25" t="str">
        <x:v>最大爆率</x:v>
      </x:c>
      <x:c r="I1458" s="25" t="n">
        <x:v>3</x:v>
      </x:c>
      <x:c r="J1458" s="25" t="n">
        <x:v>24</x:v>
      </x:c>
      <x:c r="K1458" s="25" t="str">
        <x:v>仅装备原始基础值决定主属性范围</x:v>
      </x:c>
    </x:row>
    <x:row r="1459">
      <x:c r="A1459" s="25" t="str">
        <x:v>C10-G</x:v>
      </x:c>
      <x:c r="B1459" s="25" t="str">
        <x:v>王城罗德尔</x:v>
      </x:c>
      <x:c r="C1459" s="25" t="str">
        <x:v>半急速毕业</x:v>
      </x:c>
      <x:c r="D1459" s="25" t="n">
        <x:v>6</x:v>
      </x:c>
      <x:c r="E1459" s="25" t="n">
        <x:v>221</x:v>
      </x:c>
      <x:c r="F1459" s="25" t="str">
        <x:v>白魈啸风镯</x:v>
      </x:c>
      <x:c r="G1459" s="25" t="n">
        <x:v>3</x:v>
      </x:c>
      <x:c r="H1459" s="25" t="str">
        <x:v>吸血</x:v>
      </x:c>
      <x:c r="I1459" s="25" t="n">
        <x:v>1</x:v>
      </x:c>
      <x:c r="J1459" s="25" t="n">
        <x:v>20</x:v>
      </x:c>
      <x:c r="K1459" s="25" t="str">
        <x:v>仅装备原始基础值决定主属性范围</x:v>
      </x:c>
    </x:row>
    <x:row r="1460">
      <x:c r="A1460" s="25" t="str">
        <x:v>C10-G</x:v>
      </x:c>
      <x:c r="B1460" s="25" t="str">
        <x:v>王城罗德尔</x:v>
      </x:c>
      <x:c r="C1460" s="25" t="str">
        <x:v>半急速毕业</x:v>
      </x:c>
      <x:c r="D1460" s="25" t="n">
        <x:v>6</x:v>
      </x:c>
      <x:c r="E1460" s="25" t="n">
        <x:v>221</x:v>
      </x:c>
      <x:c r="F1460" s="25" t="str">
        <x:v>白魈啸风镯</x:v>
      </x:c>
      <x:c r="G1460" s="25" t="n">
        <x:v>4</x:v>
      </x:c>
      <x:c r="H1460" s="25" t="str">
        <x:v>吸血</x:v>
      </x:c>
      <x:c r="I1460" s="25" t="n">
        <x:v>2</x:v>
      </x:c>
      <x:c r="J1460" s="25" t="n">
        <x:v>21</x:v>
      </x:c>
      <x:c r="K1460" s="25" t="str">
        <x:v>仅装备原始基础值决定主属性范围</x:v>
      </x:c>
    </x:row>
    <x:row r="1461">
      <x:c r="A1461" s="25" t="str">
        <x:v>C10-G</x:v>
      </x:c>
      <x:c r="B1461" s="25" t="str">
        <x:v>王城罗德尔</x:v>
      </x:c>
      <x:c r="C1461" s="25" t="str">
        <x:v>半急速毕业</x:v>
      </x:c>
      <x:c r="D1461" s="25" t="n">
        <x:v>6</x:v>
      </x:c>
      <x:c r="E1461" s="25" t="n">
        <x:v>221</x:v>
      </x:c>
      <x:c r="F1461" s="25" t="str">
        <x:v>白魈啸风镯</x:v>
      </x:c>
      <x:c r="G1461" s="25" t="n">
        <x:v>5</x:v>
      </x:c>
      <x:c r="H1461" s="25" t="str">
        <x:v>攻击加成</x:v>
      </x:c>
      <x:c r="I1461" s="25" t="n">
        <x:v>3</x:v>
      </x:c>
      <x:c r="J1461" s="25" t="n">
        <x:v>18</x:v>
      </x:c>
      <x:c r="K1461" s="25" t="str">
        <x:v>仅装备原始基础值决定主属性范围</x:v>
      </x:c>
    </x:row>
    <x:row r="1462">
      <x:c r="A1462" s="25" t="str">
        <x:v>C10-G</x:v>
      </x:c>
      <x:c r="B1462" s="25" t="str">
        <x:v>王城罗德尔</x:v>
      </x:c>
      <x:c r="C1462" s="25" t="str">
        <x:v>半急速毕业</x:v>
      </x:c>
      <x:c r="D1462" s="25" t="n">
        <x:v>6</x:v>
      </x:c>
      <x:c r="E1462" s="25" t="n">
        <x:v>221</x:v>
      </x:c>
      <x:c r="F1462" s="25" t="str">
        <x:v>白魈啸风镯</x:v>
      </x:c>
      <x:c r="G1462" s="25" t="n">
        <x:v>6</x:v>
      </x:c>
      <x:c r="H1462" s="25" t="str">
        <x:v>韧性</x:v>
      </x:c>
      <x:c r="I1462" s="25" t="n">
        <x:v>10</x:v>
      </x:c>
      <x:c r="J1462" s="25" t="n">
        <x:v>12</x:v>
      </x:c>
      <x:c r="K1462" s="25" t="str">
        <x:v>仅装备原始基础值决定主属性范围</x:v>
      </x:c>
    </x:row>
    <x:row r="1463">
      <x:c r="A1463" s="25" t="str">
        <x:v>C10-G</x:v>
      </x:c>
      <x:c r="B1463" s="25" t="str">
        <x:v>王城罗德尔</x:v>
      </x:c>
      <x:c r="C1463" s="25" t="str">
        <x:v>半急速毕业</x:v>
      </x:c>
      <x:c r="D1463" s="25" t="n">
        <x:v>6</x:v>
      </x:c>
      <x:c r="E1463" s="25" t="n">
        <x:v>221</x:v>
      </x:c>
      <x:c r="F1463" s="25" t="str">
        <x:v>白魈啸风镯</x:v>
      </x:c>
      <x:c r="G1463" s="25" t="n">
        <x:v>7</x:v>
      </x:c>
      <x:c r="H1463" s="25" t="str">
        <x:v>暴击</x:v>
      </x:c>
      <x:c r="I1463" s="25" t="n">
        <x:v>1</x:v>
      </x:c>
      <x:c r="J1463" s="25" t="n">
        <x:v>14</x:v>
      </x:c>
      <x:c r="K1463" s="25" t="str">
        <x:v>仅装备原始基础值决定主属性范围</x:v>
      </x:c>
    </x:row>
    <x:row r="1464">
      <x:c r="A1464" s="25" t="str">
        <x:v>C10-G</x:v>
      </x:c>
      <x:c r="B1464" s="25" t="str">
        <x:v>王城罗德尔</x:v>
      </x:c>
      <x:c r="C1464" s="25" t="str">
        <x:v>半急速毕业</x:v>
      </x:c>
      <x:c r="D1464" s="25" t="n">
        <x:v>6</x:v>
      </x:c>
      <x:c r="E1464" s="25" t="n">
        <x:v>221</x:v>
      </x:c>
      <x:c r="F1464" s="25" t="str">
        <x:v>白魈啸风镯</x:v>
      </x:c>
      <x:c r="G1464" s="25" t="n">
        <x:v>8</x:v>
      </x:c>
      <x:c r="H1464" s="25" t="str">
        <x:v>攻击速度</x:v>
      </x:c>
      <x:c r="I1464" s="25" t="n">
        <x:v>2</x:v>
      </x:c>
      <x:c r="J1464" s="25" t="n">
        <x:v>5</x:v>
      </x:c>
      <x:c r="K1464" s="25" t="str">
        <x:v>仅装备原始基础值决定主属性范围</x:v>
      </x:c>
    </x:row>
    <x:row r="1465">
      <x:c r="A1465" s="25" t="str">
        <x:v>C10-G</x:v>
      </x:c>
      <x:c r="B1465" s="25" t="str">
        <x:v>王城罗德尔</x:v>
      </x:c>
      <x:c r="C1465" s="25" t="str">
        <x:v>半急速毕业</x:v>
      </x:c>
      <x:c r="D1465" s="25" t="n">
        <x:v>7</x:v>
      </x:c>
      <x:c r="E1465" s="25" t="n">
        <x:v>207</x:v>
      </x:c>
      <x:c r="F1465" s="25" t="str">
        <x:v>献梦琥金戒</x:v>
      </x:c>
      <x:c r="G1465" s="25" t="n">
        <x:v>1</x:v>
      </x:c>
      <x:c r="H1465" s="25" t="str">
        <x:v>处决概率</x:v>
      </x:c>
      <x:c r="I1465" s="25" t="n">
        <x:v>1</x:v>
      </x:c>
      <x:c r="J1465" s="25" t="n">
        <x:v>6</x:v>
      </x:c>
      <x:c r="K1465" s="25" t="str">
        <x:v>仅装备原始基础值决定主属性范围</x:v>
      </x:c>
    </x:row>
    <x:row r="1466">
      <x:c r="A1466" s="25" t="str">
        <x:v>C10-G</x:v>
      </x:c>
      <x:c r="B1466" s="25" t="str">
        <x:v>王城罗德尔</x:v>
      </x:c>
      <x:c r="C1466" s="25" t="str">
        <x:v>半急速毕业</x:v>
      </x:c>
      <x:c r="D1466" s="25" t="n">
        <x:v>7</x:v>
      </x:c>
      <x:c r="E1466" s="25" t="n">
        <x:v>207</x:v>
      </x:c>
      <x:c r="F1466" s="25" t="str">
        <x:v>献梦琥金戒</x:v>
      </x:c>
      <x:c r="G1466" s="25" t="n">
        <x:v>2</x:v>
      </x:c>
      <x:c r="H1466" s="25" t="str">
        <x:v>攻击加成</x:v>
      </x:c>
      <x:c r="I1466" s="25" t="n">
        <x:v>2</x:v>
      </x:c>
      <x:c r="J1466" s="25" t="n">
        <x:v>18</x:v>
      </x:c>
      <x:c r="K1466" s="25" t="str">
        <x:v>仅装备原始基础值决定主属性范围</x:v>
      </x:c>
    </x:row>
    <x:row r="1467">
      <x:c r="A1467" s="25" t="str">
        <x:v>C10-G</x:v>
      </x:c>
      <x:c r="B1467" s="25" t="str">
        <x:v>王城罗德尔</x:v>
      </x:c>
      <x:c r="C1467" s="25" t="str">
        <x:v>半急速毕业</x:v>
      </x:c>
      <x:c r="D1467" s="25" t="n">
        <x:v>7</x:v>
      </x:c>
      <x:c r="E1467" s="25" t="n">
        <x:v>207</x:v>
      </x:c>
      <x:c r="F1467" s="25" t="str">
        <x:v>献梦琥金戒</x:v>
      </x:c>
      <x:c r="G1467" s="25" t="n">
        <x:v>3</x:v>
      </x:c>
      <x:c r="H1467" s="25" t="str">
        <x:v>处决概率</x:v>
      </x:c>
      <x:c r="I1467" s="25" t="n">
        <x:v>2</x:v>
      </x:c>
      <x:c r="J1467" s="25" t="n">
        <x:v>7</x:v>
      </x:c>
      <x:c r="K1467" s="25" t="str">
        <x:v>仅装备原始基础值决定主属性范围</x:v>
      </x:c>
    </x:row>
    <x:row r="1468">
      <x:c r="A1468" s="25" t="str">
        <x:v>C10-G</x:v>
      </x:c>
      <x:c r="B1468" s="25" t="str">
        <x:v>王城罗德尔</x:v>
      </x:c>
      <x:c r="C1468" s="25" t="str">
        <x:v>半急速毕业</x:v>
      </x:c>
      <x:c r="D1468" s="25" t="n">
        <x:v>7</x:v>
      </x:c>
      <x:c r="E1468" s="25" t="n">
        <x:v>207</x:v>
      </x:c>
      <x:c r="F1468" s="25" t="str">
        <x:v>献梦琥金戒</x:v>
      </x:c>
      <x:c r="G1468" s="25" t="n">
        <x:v>4</x:v>
      </x:c>
      <x:c r="H1468" s="25" t="str">
        <x:v>攻击速度</x:v>
      </x:c>
      <x:c r="I1468" s="25" t="n">
        <x:v>1</x:v>
      </x:c>
      <x:c r="J1468" s="25" t="n">
        <x:v>4</x:v>
      </x:c>
      <x:c r="K1468" s="25" t="str">
        <x:v>仅装备原始基础值决定主属性范围</x:v>
      </x:c>
    </x:row>
    <x:row r="1469">
      <x:c r="A1469" s="25" t="str">
        <x:v>C10-G</x:v>
      </x:c>
      <x:c r="B1469" s="25" t="str">
        <x:v>王城罗德尔</x:v>
      </x:c>
      <x:c r="C1469" s="25" t="str">
        <x:v>半急速毕业</x:v>
      </x:c>
      <x:c r="D1469" s="25" t="n">
        <x:v>7</x:v>
      </x:c>
      <x:c r="E1469" s="25" t="n">
        <x:v>207</x:v>
      </x:c>
      <x:c r="F1469" s="25" t="str">
        <x:v>献梦琥金戒</x:v>
      </x:c>
      <x:c r="G1469" s="25" t="n">
        <x:v>5</x:v>
      </x:c>
      <x:c r="H1469" s="25" t="str">
        <x:v>韧性</x:v>
      </x:c>
      <x:c r="I1469" s="25" t="n">
        <x:v>10</x:v>
      </x:c>
      <x:c r="J1469" s="25" t="n">
        <x:v>12</x:v>
      </x:c>
      <x:c r="K1469" s="25" t="str">
        <x:v>仅装备原始基础值决定主属性范围</x:v>
      </x:c>
    </x:row>
    <x:row r="1470">
      <x:c r="A1470" s="25" t="str">
        <x:v>C10-G</x:v>
      </x:c>
      <x:c r="B1470" s="25" t="str">
        <x:v>王城罗德尔</x:v>
      </x:c>
      <x:c r="C1470" s="25" t="str">
        <x:v>半急速毕业</x:v>
      </x:c>
      <x:c r="D1470" s="25" t="n">
        <x:v>7</x:v>
      </x:c>
      <x:c r="E1470" s="25" t="n">
        <x:v>207</x:v>
      </x:c>
      <x:c r="F1470" s="25" t="str">
        <x:v>献梦琥金戒</x:v>
      </x:c>
      <x:c r="G1470" s="25" t="n">
        <x:v>6</x:v>
      </x:c>
      <x:c r="H1470" s="25" t="str">
        <x:v>吸血</x:v>
      </x:c>
      <x:c r="I1470" s="25" t="n">
        <x:v>1</x:v>
      </x:c>
      <x:c r="J1470" s="25" t="n">
        <x:v>20</x:v>
      </x:c>
      <x:c r="K1470" s="25" t="str">
        <x:v>仅装备原始基础值决定主属性范围</x:v>
      </x:c>
    </x:row>
    <x:row r="1471">
      <x:c r="A1471" s="25" t="str">
        <x:v>C10-G</x:v>
      </x:c>
      <x:c r="B1471" s="25" t="str">
        <x:v>王城罗德尔</x:v>
      </x:c>
      <x:c r="C1471" s="25" t="str">
        <x:v>半急速毕业</x:v>
      </x:c>
      <x:c r="D1471" s="25" t="n">
        <x:v>7</x:v>
      </x:c>
      <x:c r="E1471" s="25" t="n">
        <x:v>207</x:v>
      </x:c>
      <x:c r="F1471" s="25" t="str">
        <x:v>献梦琥金戒</x:v>
      </x:c>
      <x:c r="G1471" s="25" t="n">
        <x:v>7</x:v>
      </x:c>
      <x:c r="H1471" s="25" t="str">
        <x:v>攻击加成</x:v>
      </x:c>
      <x:c r="I1471" s="25" t="n">
        <x:v>43</x:v>
      </x:c>
      <x:c r="J1471" s="25" t="n">
        <x:v>19</x:v>
      </x:c>
      <x:c r="K1471" s="25" t="str">
        <x:v>仅装备原始基础值决定主属性范围</x:v>
      </x:c>
    </x:row>
    <x:row r="1472">
      <x:c r="A1472" s="25" t="str">
        <x:v>C10-G</x:v>
      </x:c>
      <x:c r="B1472" s="25" t="str">
        <x:v>王城罗德尔</x:v>
      </x:c>
      <x:c r="C1472" s="25" t="str">
        <x:v>半急速毕业</x:v>
      </x:c>
      <x:c r="D1472" s="25" t="n">
        <x:v>7</x:v>
      </x:c>
      <x:c r="E1472" s="25" t="n">
        <x:v>207</x:v>
      </x:c>
      <x:c r="F1472" s="25" t="str">
        <x:v>献梦琥金戒</x:v>
      </x:c>
      <x:c r="G1472" s="25" t="n">
        <x:v>8</x:v>
      </x:c>
      <x:c r="H1472" s="25" t="str">
        <x:v>攻击加成</x:v>
      </x:c>
      <x:c r="I1472" s="25" t="n">
        <x:v>28</x:v>
      </x:c>
      <x:c r="J1472" s="25" t="n">
        <x:v>18</x:v>
      </x:c>
      <x:c r="K1472" s="25" t="str">
        <x:v>仅装备原始基础值决定主属性范围</x:v>
      </x:c>
    </x:row>
    <x:row r="1473">
      <x:c r="A1473" s="25" t="str">
        <x:v>C10-G</x:v>
      </x:c>
      <x:c r="B1473" s="25" t="str">
        <x:v>王城罗德尔</x:v>
      </x:c>
      <x:c r="C1473" s="25" t="str">
        <x:v>半急速毕业</x:v>
      </x:c>
      <x:c r="D1473" s="25" t="n">
        <x:v>8</x:v>
      </x:c>
      <x:c r="E1473" s="25" t="n">
        <x:v>208</x:v>
      </x:c>
      <x:c r="F1473" s="25" t="str">
        <x:v>守梦霜瞳戒</x:v>
      </x:c>
      <x:c r="G1473" s="25" t="n">
        <x:v>1</x:v>
      </x:c>
      <x:c r="H1473" s="25" t="str">
        <x:v>攻击加成</x:v>
      </x:c>
      <x:c r="I1473" s="25" t="n">
        <x:v>12</x:v>
      </x:c>
      <x:c r="J1473" s="25" t="n">
        <x:v>18</x:v>
      </x:c>
      <x:c r="K1473" s="25" t="str">
        <x:v>仅装备原始基础值决定主属性范围</x:v>
      </x:c>
    </x:row>
    <x:row r="1474">
      <x:c r="A1474" s="25" t="str">
        <x:v>C10-G</x:v>
      </x:c>
      <x:c r="B1474" s="25" t="str">
        <x:v>王城罗德尔</x:v>
      </x:c>
      <x:c r="C1474" s="25" t="str">
        <x:v>半急速毕业</x:v>
      </x:c>
      <x:c r="D1474" s="25" t="n">
        <x:v>8</x:v>
      </x:c>
      <x:c r="E1474" s="25" t="n">
        <x:v>208</x:v>
      </x:c>
      <x:c r="F1474" s="25" t="str">
        <x:v>守梦霜瞳戒</x:v>
      </x:c>
      <x:c r="G1474" s="25" t="n">
        <x:v>2</x:v>
      </x:c>
      <x:c r="H1474" s="25" t="str">
        <x:v>处决时间</x:v>
      </x:c>
      <x:c r="I1474" s="25" t="n">
        <x:v>2</x:v>
      </x:c>
      <x:c r="J1474" s="25" t="n">
        <x:v>9</x:v>
      </x:c>
      <x:c r="K1474" s="25" t="str">
        <x:v>仅装备原始基础值决定主属性范围</x:v>
      </x:c>
    </x:row>
    <x:row r="1475">
      <x:c r="A1475" s="25" t="str">
        <x:v>C10-G</x:v>
      </x:c>
      <x:c r="B1475" s="25" t="str">
        <x:v>王城罗德尔</x:v>
      </x:c>
      <x:c r="C1475" s="25" t="str">
        <x:v>半急速毕业</x:v>
      </x:c>
      <x:c r="D1475" s="25" t="n">
        <x:v>8</x:v>
      </x:c>
      <x:c r="E1475" s="25" t="n">
        <x:v>208</x:v>
      </x:c>
      <x:c r="F1475" s="25" t="str">
        <x:v>守梦霜瞳戒</x:v>
      </x:c>
      <x:c r="G1475" s="25" t="n">
        <x:v>3</x:v>
      </x:c>
      <x:c r="H1475" s="25" t="str">
        <x:v>攻击</x:v>
      </x:c>
      <x:c r="I1475" s="25" t="n">
        <x:v>1354</x:v>
      </x:c>
      <x:c r="J1475" s="25" t="n">
        <x:v>1</x:v>
      </x:c>
      <x:c r="K1475" s="25" t="str">
        <x:v>仅装备原始基础值决定主属性范围</x:v>
      </x:c>
    </x:row>
    <x:row r="1476">
      <x:c r="A1476" s="25" t="str">
        <x:v>C10-G</x:v>
      </x:c>
      <x:c r="B1476" s="25" t="str">
        <x:v>王城罗德尔</x:v>
      </x:c>
      <x:c r="C1476" s="25" t="str">
        <x:v>半急速毕业</x:v>
      </x:c>
      <x:c r="D1476" s="25" t="n">
        <x:v>10</x:v>
      </x:c>
      <x:c r="E1476" s="25" t="n">
        <x:v>211</x:v>
      </x:c>
      <x:c r="F1476" s="25" t="str">
        <x:v>链轮束腰</x:v>
      </x:c>
      <x:c r="G1476" s="25" t="n">
        <x:v>1</x:v>
      </x:c>
      <x:c r="H1476" s="25" t="str">
        <x:v>攻击速度</x:v>
      </x:c>
      <x:c r="I1476" s="25" t="n">
        <x:v>2</x:v>
      </x:c>
      <x:c r="J1476" s="25" t="n">
        <x:v>5</x:v>
      </x:c>
      <x:c r="K1476" s="25" t="str">
        <x:v>仅装备原始基础值决定主属性范围</x:v>
      </x:c>
    </x:row>
    <x:row r="1477">
      <x:c r="A1477" s="25" t="str">
        <x:v>C10-G</x:v>
      </x:c>
      <x:c r="B1477" s="25" t="str">
        <x:v>王城罗德尔</x:v>
      </x:c>
      <x:c r="C1477" s="25" t="str">
        <x:v>半急速毕业</x:v>
      </x:c>
      <x:c r="D1477" s="25" t="n">
        <x:v>10</x:v>
      </x:c>
      <x:c r="E1477" s="25" t="n">
        <x:v>211</x:v>
      </x:c>
      <x:c r="F1477" s="25" t="str">
        <x:v>链轮束腰</x:v>
      </x:c>
      <x:c r="G1477" s="25" t="n">
        <x:v>2</x:v>
      </x:c>
      <x:c r="H1477" s="25" t="str">
        <x:v>攻击加成</x:v>
      </x:c>
      <x:c r="I1477" s="25" t="n">
        <x:v>26</x:v>
      </x:c>
      <x:c r="J1477" s="25" t="n">
        <x:v>18</x:v>
      </x:c>
      <x:c r="K1477" s="25" t="str">
        <x:v>仅装备原始基础值决定主属性范围</x:v>
      </x:c>
    </x:row>
    <x:row r="1478">
      <x:c r="A1478" s="25" t="str">
        <x:v>C10-G</x:v>
      </x:c>
      <x:c r="B1478" s="25" t="str">
        <x:v>王城罗德尔</x:v>
      </x:c>
      <x:c r="C1478" s="25" t="str">
        <x:v>半急速毕业</x:v>
      </x:c>
      <x:c r="D1478" s="25" t="n">
        <x:v>10</x:v>
      </x:c>
      <x:c r="E1478" s="25" t="n">
        <x:v>211</x:v>
      </x:c>
      <x:c r="F1478" s="25" t="str">
        <x:v>链轮束腰</x:v>
      </x:c>
      <x:c r="G1478" s="25" t="n">
        <x:v>3</x:v>
      </x:c>
      <x:c r="H1478" s="25" t="str">
        <x:v>攻击加成</x:v>
      </x:c>
      <x:c r="I1478" s="25" t="n">
        <x:v>11</x:v>
      </x:c>
      <x:c r="J1478" s="25" t="n">
        <x:v>18</x:v>
      </x:c>
      <x:c r="K1478" s="25" t="str">
        <x:v>仅装备原始基础值决定主属性范围</x:v>
      </x:c>
    </x:row>
    <x:row r="1479">
      <x:c r="A1479" s="25" t="str">
        <x:v>C10-G</x:v>
      </x:c>
      <x:c r="B1479" s="25" t="str">
        <x:v>王城罗德尔</x:v>
      </x:c>
      <x:c r="C1479" s="25" t="str">
        <x:v>半急速毕业</x:v>
      </x:c>
      <x:c r="D1479" s="25" t="n">
        <x:v>11</x:v>
      </x:c>
      <x:c r="E1479" s="25" t="n">
        <x:v>225</x:v>
      </x:c>
      <x:c r="F1479" s="25" t="str">
        <x:v>啮岩鼠爪靴</x:v>
      </x:c>
      <x:c r="G1479" s="25" t="n">
        <x:v>1</x:v>
      </x:c>
      <x:c r="H1479" s="25" t="str">
        <x:v>攻击</x:v>
      </x:c>
      <x:c r="I1479" s="25" t="n">
        <x:v>749</x:v>
      </x:c>
      <x:c r="J1479" s="25" t="n">
        <x:v>1</x:v>
      </x:c>
      <x:c r="K1479" s="25" t="str">
        <x:v>仅装备原始基础值决定主属性范围</x:v>
      </x:c>
    </x:row>
    <x:row r="1480">
      <x:c r="A1480" s="25" t="str">
        <x:v>C10-G</x:v>
      </x:c>
      <x:c r="B1480" s="25" t="str">
        <x:v>王城罗德尔</x:v>
      </x:c>
      <x:c r="C1480" s="25" t="str">
        <x:v>半急速毕业</x:v>
      </x:c>
      <x:c r="D1480" s="25" t="n">
        <x:v>11</x:v>
      </x:c>
      <x:c r="E1480" s="25" t="n">
        <x:v>225</x:v>
      </x:c>
      <x:c r="F1480" s="25" t="str">
        <x:v>啮岩鼠爪靴</x:v>
      </x:c>
      <x:c r="G1480" s="25" t="n">
        <x:v>2</x:v>
      </x:c>
      <x:c r="H1480" s="25" t="str">
        <x:v>致命一击</x:v>
      </x:c>
      <x:c r="I1480" s="25" t="n">
        <x:v>1</x:v>
      </x:c>
      <x:c r="J1480" s="25" t="n">
        <x:v>16</x:v>
      </x:c>
      <x:c r="K1480" s="25" t="str">
        <x:v>仅装备原始基础值决定主属性范围</x:v>
      </x:c>
    </x:row>
    <x:row r="1481">
      <x:c r="A1481" s="25" t="str">
        <x:v>C10-X</x:v>
      </x:c>
      <x:c r="B1481" s="25" t="str">
        <x:v>王城罗德尔</x:v>
      </x:c>
      <x:c r="C1481" s="25" t="str">
        <x:v>极端压力</x:v>
      </x:c>
      <x:c r="D1481" s="25" t="n">
        <x:v>0</x:v>
      </x:c>
      <x:c r="E1481" s="25" t="n">
        <x:v>246</x:v>
      </x:c>
      <x:c r="F1481" s="25" t="str">
        <x:v>永辉空王礼服</x:v>
      </x:c>
      <x:c r="G1481" s="25" t="n">
        <x:v>1</x:v>
      </x:c>
      <x:c r="H1481" s="25" t="str">
        <x:v>攻击</x:v>
      </x:c>
      <x:c r="I1481" s="25" t="n">
        <x:v>1920</x:v>
      </x:c>
      <x:c r="J1481" s="25" t="n">
        <x:v>1</x:v>
      </x:c>
      <x:c r="K1481" s="25" t="str">
        <x:v>仅装备原始基础值决定主属性范围</x:v>
      </x:c>
    </x:row>
    <x:row r="1482">
      <x:c r="A1482" s="25" t="str">
        <x:v>C10-X</x:v>
      </x:c>
      <x:c r="B1482" s="25" t="str">
        <x:v>王城罗德尔</x:v>
      </x:c>
      <x:c r="C1482" s="25" t="str">
        <x:v>极端压力</x:v>
      </x:c>
      <x:c r="D1482" s="25" t="n">
        <x:v>0</x:v>
      </x:c>
      <x:c r="E1482" s="25" t="n">
        <x:v>246</x:v>
      </x:c>
      <x:c r="F1482" s="25" t="str">
        <x:v>永辉空王礼服</x:v>
      </x:c>
      <x:c r="G1482" s="25" t="n">
        <x:v>2</x:v>
      </x:c>
      <x:c r="H1482" s="25" t="str">
        <x:v>攻击加成</x:v>
      </x:c>
      <x:c r="I1482" s="25" t="n">
        <x:v>45</x:v>
      </x:c>
      <x:c r="J1482" s="25" t="n">
        <x:v>19</x:v>
      </x:c>
      <x:c r="K1482" s="25" t="str">
        <x:v>仅装备原始基础值决定主属性范围</x:v>
      </x:c>
    </x:row>
    <x:row r="1483">
      <x:c r="A1483" s="25" t="str">
        <x:v>C10-X</x:v>
      </x:c>
      <x:c r="B1483" s="25" t="str">
        <x:v>王城罗德尔</x:v>
      </x:c>
      <x:c r="C1483" s="25" t="str">
        <x:v>极端压力</x:v>
      </x:c>
      <x:c r="D1483" s="25" t="n">
        <x:v>0</x:v>
      </x:c>
      <x:c r="E1483" s="25" t="n">
        <x:v>246</x:v>
      </x:c>
      <x:c r="F1483" s="25" t="str">
        <x:v>永辉空王礼服</x:v>
      </x:c>
      <x:c r="G1483" s="25" t="n">
        <x:v>3</x:v>
      </x:c>
      <x:c r="H1483" s="25" t="str">
        <x:v>处决伤害</x:v>
      </x:c>
      <x:c r="I1483" s="25" t="n">
        <x:v>1</x:v>
      </x:c>
      <x:c r="J1483" s="25" t="n">
        <x:v>10</x:v>
      </x:c>
      <x:c r="K1483" s="25" t="str">
        <x:v>仅装备原始基础值决定主属性范围</x:v>
      </x:c>
    </x:row>
    <x:row r="1484">
      <x:c r="A1484" s="25" t="str">
        <x:v>C10-X</x:v>
      </x:c>
      <x:c r="B1484" s="25" t="str">
        <x:v>王城罗德尔</x:v>
      </x:c>
      <x:c r="C1484" s="25" t="str">
        <x:v>极端压力</x:v>
      </x:c>
      <x:c r="D1484" s="25" t="n">
        <x:v>0</x:v>
      </x:c>
      <x:c r="E1484" s="25" t="n">
        <x:v>246</x:v>
      </x:c>
      <x:c r="F1484" s="25" t="str">
        <x:v>永辉空王礼服</x:v>
      </x:c>
      <x:c r="G1484" s="25" t="n">
        <x:v>4</x:v>
      </x:c>
      <x:c r="H1484" s="25" t="str">
        <x:v>处决伤害</x:v>
      </x:c>
      <x:c r="I1484" s="25" t="n">
        <x:v>1</x:v>
      </x:c>
      <x:c r="J1484" s="25" t="n">
        <x:v>10</x:v>
      </x:c>
      <x:c r="K1484" s="25" t="str">
        <x:v>仅装备原始基础值决定主属性范围</x:v>
      </x:c>
    </x:row>
    <x:row r="1485">
      <x:c r="A1485" s="25" t="str">
        <x:v>C10-X</x:v>
      </x:c>
      <x:c r="B1485" s="25" t="str">
        <x:v>王城罗德尔</x:v>
      </x:c>
      <x:c r="C1485" s="25" t="str">
        <x:v>极端压力</x:v>
      </x:c>
      <x:c r="D1485" s="25" t="n">
        <x:v>0</x:v>
      </x:c>
      <x:c r="E1485" s="25" t="n">
        <x:v>246</x:v>
      </x:c>
      <x:c r="F1485" s="25" t="str">
        <x:v>永辉空王礼服</x:v>
      </x:c>
      <x:c r="G1485" s="25" t="n">
        <x:v>5</x:v>
      </x:c>
      <x:c r="H1485" s="25" t="str">
        <x:v>攻击加成</x:v>
      </x:c>
      <x:c r="I1485" s="25" t="n">
        <x:v>40</x:v>
      </x:c>
      <x:c r="J1485" s="25" t="n">
        <x:v>19</x:v>
      </x:c>
      <x:c r="K1485" s="25" t="str">
        <x:v>仅装备原始基础值决定主属性范围</x:v>
      </x:c>
    </x:row>
    <x:row r="1486">
      <x:c r="A1486" s="25" t="str">
        <x:v>C10-X</x:v>
      </x:c>
      <x:c r="B1486" s="25" t="str">
        <x:v>王城罗德尔</x:v>
      </x:c>
      <x:c r="C1486" s="25" t="str">
        <x:v>极端压力</x:v>
      </x:c>
      <x:c r="D1486" s="25" t="n">
        <x:v>0</x:v>
      </x:c>
      <x:c r="E1486" s="25" t="n">
        <x:v>246</x:v>
      </x:c>
      <x:c r="F1486" s="25" t="str">
        <x:v>永辉空王礼服</x:v>
      </x:c>
      <x:c r="G1486" s="25" t="n">
        <x:v>6</x:v>
      </x:c>
      <x:c r="H1486" s="25" t="str">
        <x:v>攻击速度</x:v>
      </x:c>
      <x:c r="I1486" s="25" t="n">
        <x:v>1</x:v>
      </x:c>
      <x:c r="J1486" s="25" t="n">
        <x:v>4</x:v>
      </x:c>
      <x:c r="K1486" s="25" t="str">
        <x:v>仅装备原始基础值决定主属性范围</x:v>
      </x:c>
    </x:row>
    <x:row r="1487">
      <x:c r="A1487" s="25" t="str">
        <x:v>C10-X</x:v>
      </x:c>
      <x:c r="B1487" s="25" t="str">
        <x:v>王城罗德尔</x:v>
      </x:c>
      <x:c r="C1487" s="25" t="str">
        <x:v>极端压力</x:v>
      </x:c>
      <x:c r="D1487" s="25" t="n">
        <x:v>1</x:v>
      </x:c>
      <x:c r="E1487" s="25" t="n">
        <x:v>216</x:v>
      </x:c>
      <x:c r="F1487" s="25" t="str">
        <x:v>王座终裁圣刃</x:v>
      </x:c>
      <x:c r="G1487" s="25" t="n">
        <x:v>1</x:v>
      </x:c>
      <x:c r="H1487" s="25" t="str">
        <x:v>致命一击</x:v>
      </x:c>
      <x:c r="I1487" s="25" t="n">
        <x:v>1</x:v>
      </x:c>
      <x:c r="J1487" s="25" t="n">
        <x:v>16</x:v>
      </x:c>
      <x:c r="K1487" s="25" t="str">
        <x:v>仅装备原始基础值决定主属性范围</x:v>
      </x:c>
    </x:row>
    <x:row r="1488">
      <x:c r="A1488" s="25" t="str">
        <x:v>C10-X</x:v>
      </x:c>
      <x:c r="B1488" s="25" t="str">
        <x:v>王城罗德尔</x:v>
      </x:c>
      <x:c r="C1488" s="25" t="str">
        <x:v>极端压力</x:v>
      </x:c>
      <x:c r="D1488" s="25" t="n">
        <x:v>1</x:v>
      </x:c>
      <x:c r="E1488" s="25" t="n">
        <x:v>216</x:v>
      </x:c>
      <x:c r="F1488" s="25" t="str">
        <x:v>王座终裁圣刃</x:v>
      </x:c>
      <x:c r="G1488" s="25" t="n">
        <x:v>2</x:v>
      </x:c>
      <x:c r="H1488" s="25" t="str">
        <x:v>魔法</x:v>
      </x:c>
      <x:c r="I1488" s="25" t="n">
        <x:v>406</x:v>
      </x:c>
      <x:c r="J1488" s="25" t="n">
        <x:v>2</x:v>
      </x:c>
      <x:c r="K1488" s="25" t="str">
        <x:v>仅装备原始基础值决定主属性范围</x:v>
      </x:c>
    </x:row>
    <x:row r="1489">
      <x:c r="A1489" s="25" t="str">
        <x:v>C10-X</x:v>
      </x:c>
      <x:c r="B1489" s="25" t="str">
        <x:v>王城罗德尔</x:v>
      </x:c>
      <x:c r="C1489" s="25" t="str">
        <x:v>极端压力</x:v>
      </x:c>
      <x:c r="D1489" s="25" t="n">
        <x:v>1</x:v>
      </x:c>
      <x:c r="E1489" s="25" t="n">
        <x:v>216</x:v>
      </x:c>
      <x:c r="F1489" s="25" t="str">
        <x:v>王座终裁圣刃</x:v>
      </x:c>
      <x:c r="G1489" s="25" t="n">
        <x:v>3</x:v>
      </x:c>
      <x:c r="H1489" s="25" t="str">
        <x:v>攻击加成</x:v>
      </x:c>
      <x:c r="I1489" s="25" t="n">
        <x:v>46</x:v>
      </x:c>
      <x:c r="J1489" s="25" t="n">
        <x:v>19</x:v>
      </x:c>
      <x:c r="K1489" s="25" t="str">
        <x:v>仅装备原始基础值决定主属性范围</x:v>
      </x:c>
    </x:row>
    <x:row r="1490">
      <x:c r="A1490" s="25" t="str">
        <x:v>C10-X</x:v>
      </x:c>
      <x:c r="B1490" s="25" t="str">
        <x:v>王城罗德尔</x:v>
      </x:c>
      <x:c r="C1490" s="25" t="str">
        <x:v>极端压力</x:v>
      </x:c>
      <x:c r="D1490" s="25" t="n">
        <x:v>1</x:v>
      </x:c>
      <x:c r="E1490" s="25" t="n">
        <x:v>216</x:v>
      </x:c>
      <x:c r="F1490" s="25" t="str">
        <x:v>王座终裁圣刃</x:v>
      </x:c>
      <x:c r="G1490" s="25" t="n">
        <x:v>4</x:v>
      </x:c>
      <x:c r="H1490" s="25" t="str">
        <x:v>韧性</x:v>
      </x:c>
      <x:c r="I1490" s="25" t="n">
        <x:v>10</x:v>
      </x:c>
      <x:c r="J1490" s="25" t="n">
        <x:v>12</x:v>
      </x:c>
      <x:c r="K1490" s="25" t="str">
        <x:v>仅装备原始基础值决定主属性范围</x:v>
      </x:c>
    </x:row>
    <x:row r="1491">
      <x:c r="A1491" s="25" t="str">
        <x:v>C10-X</x:v>
      </x:c>
      <x:c r="B1491" s="25" t="str">
        <x:v>王城罗德尔</x:v>
      </x:c>
      <x:c r="C1491" s="25" t="str">
        <x:v>极端压力</x:v>
      </x:c>
      <x:c r="D1491" s="25" t="n">
        <x:v>1</x:v>
      </x:c>
      <x:c r="E1491" s="25" t="n">
        <x:v>216</x:v>
      </x:c>
      <x:c r="F1491" s="25" t="str">
        <x:v>王座终裁圣刃</x:v>
      </x:c>
      <x:c r="G1491" s="25" t="n">
        <x:v>5</x:v>
      </x:c>
      <x:c r="H1491" s="25" t="str">
        <x:v>韧性</x:v>
      </x:c>
      <x:c r="I1491" s="25" t="n">
        <x:v>10</x:v>
      </x:c>
      <x:c r="J1491" s="25" t="n">
        <x:v>12</x:v>
      </x:c>
      <x:c r="K1491" s="25" t="str">
        <x:v>仅装备原始基础值决定主属性范围</x:v>
      </x:c>
    </x:row>
    <x:row r="1492">
      <x:c r="A1492" s="25" t="str">
        <x:v>C10-X</x:v>
      </x:c>
      <x:c r="B1492" s="25" t="str">
        <x:v>王城罗德尔</x:v>
      </x:c>
      <x:c r="C1492" s="25" t="str">
        <x:v>极端压力</x:v>
      </x:c>
      <x:c r="D1492" s="25" t="n">
        <x:v>1</x:v>
      </x:c>
      <x:c r="E1492" s="25" t="n">
        <x:v>216</x:v>
      </x:c>
      <x:c r="F1492" s="25" t="str">
        <x:v>王座终裁圣刃</x:v>
      </x:c>
      <x:c r="G1492" s="25" t="n">
        <x:v>6</x:v>
      </x:c>
      <x:c r="H1492" s="25" t="str">
        <x:v>处决概率</x:v>
      </x:c>
      <x:c r="I1492" s="25" t="n">
        <x:v>2</x:v>
      </x:c>
      <x:c r="J1492" s="25" t="n">
        <x:v>7</x:v>
      </x:c>
      <x:c r="K1492" s="25" t="str">
        <x:v>仅装备原始基础值决定主属性范围</x:v>
      </x:c>
    </x:row>
    <x:row r="1493">
      <x:c r="A1493" s="25" t="str">
        <x:v>C10-X</x:v>
      </x:c>
      <x:c r="B1493" s="25" t="str">
        <x:v>王城罗德尔</x:v>
      </x:c>
      <x:c r="C1493" s="25" t="str">
        <x:v>极端压力</x:v>
      </x:c>
      <x:c r="D1493" s="25" t="n">
        <x:v>1</x:v>
      </x:c>
      <x:c r="E1493" s="25" t="n">
        <x:v>216</x:v>
      </x:c>
      <x:c r="F1493" s="25" t="str">
        <x:v>王座终裁圣刃</x:v>
      </x:c>
      <x:c r="G1493" s="25" t="n">
        <x:v>7</x:v>
      </x:c>
      <x:c r="H1493" s="25" t="str">
        <x:v>攻击</x:v>
      </x:c>
      <x:c r="I1493" s="25" t="n">
        <x:v>48650</x:v>
      </x:c>
      <x:c r="J1493" s="25" t="n">
        <x:v>1</x:v>
      </x:c>
      <x:c r="K1493" s="25" t="str">
        <x:v>仅装备原始基础值决定主属性范围</x:v>
      </x:c>
    </x:row>
    <x:row r="1494">
      <x:c r="A1494" s="25" t="str">
        <x:v>C10-X</x:v>
      </x:c>
      <x:c r="B1494" s="25" t="str">
        <x:v>王城罗德尔</x:v>
      </x:c>
      <x:c r="C1494" s="25" t="str">
        <x:v>极端压力</x:v>
      </x:c>
      <x:c r="D1494" s="25" t="n">
        <x:v>1</x:v>
      </x:c>
      <x:c r="E1494" s="25" t="n">
        <x:v>216</x:v>
      </x:c>
      <x:c r="F1494" s="25" t="str">
        <x:v>王座终裁圣刃</x:v>
      </x:c>
      <x:c r="G1494" s="25" t="n">
        <x:v>8</x:v>
      </x:c>
      <x:c r="H1494" s="25" t="str">
        <x:v>韧性</x:v>
      </x:c>
      <x:c r="I1494" s="25" t="n">
        <x:v>10</x:v>
      </x:c>
      <x:c r="J1494" s="25" t="n">
        <x:v>12</x:v>
      </x:c>
      <x:c r="K1494" s="25" t="str">
        <x:v>仅装备原始基础值决定主属性范围</x:v>
      </x:c>
    </x:row>
    <x:row r="1495">
      <x:c r="A1495" s="25" t="str">
        <x:v>C10-X</x:v>
      </x:c>
      <x:c r="B1495" s="25" t="str">
        <x:v>王城罗德尔</x:v>
      </x:c>
      <x:c r="C1495" s="25" t="str">
        <x:v>极端压力</x:v>
      </x:c>
      <x:c r="D1495" s="25" t="n">
        <x:v>3</x:v>
      </x:c>
      <x:c r="E1495" s="25" t="n">
        <x:v>248</x:v>
      </x:c>
      <x:c r="F1495" s="25" t="str">
        <x:v>熔桂狮鬃坠</x:v>
      </x:c>
      <x:c r="G1495" s="25" t="n">
        <x:v>1</x:v>
      </x:c>
      <x:c r="H1495" s="25" t="str">
        <x:v>最大爆率</x:v>
      </x:c>
      <x:c r="I1495" s="25" t="n">
        <x:v>1</x:v>
      </x:c>
      <x:c r="J1495" s="25" t="n">
        <x:v>22</x:v>
      </x:c>
      <x:c r="K1495" s="25" t="str">
        <x:v>仅装备原始基础值决定主属性范围</x:v>
      </x:c>
    </x:row>
    <x:row r="1496">
      <x:c r="A1496" s="25" t="str">
        <x:v>C10-X</x:v>
      </x:c>
      <x:c r="B1496" s="25" t="str">
        <x:v>王城罗德尔</x:v>
      </x:c>
      <x:c r="C1496" s="25" t="str">
        <x:v>极端压力</x:v>
      </x:c>
      <x:c r="D1496" s="25" t="n">
        <x:v>3</x:v>
      </x:c>
      <x:c r="E1496" s="25" t="n">
        <x:v>248</x:v>
      </x:c>
      <x:c r="F1496" s="25" t="str">
        <x:v>熔桂狮鬃坠</x:v>
      </x:c>
      <x:c r="G1496" s="25" t="n">
        <x:v>2</x:v>
      </x:c>
      <x:c r="H1496" s="25" t="str">
        <x:v>攻击加成</x:v>
      </x:c>
      <x:c r="I1496" s="25" t="n">
        <x:v>45</x:v>
      </x:c>
      <x:c r="J1496" s="25" t="n">
        <x:v>19</x:v>
      </x:c>
      <x:c r="K1496" s="25" t="str">
        <x:v>仅装备原始基础值决定主属性范围</x:v>
      </x:c>
    </x:row>
    <x:row r="1497">
      <x:c r="A1497" s="25" t="str">
        <x:v>C10-X</x:v>
      </x:c>
      <x:c r="B1497" s="25" t="str">
        <x:v>王城罗德尔</x:v>
      </x:c>
      <x:c r="C1497" s="25" t="str">
        <x:v>极端压力</x:v>
      </x:c>
      <x:c r="D1497" s="25" t="n">
        <x:v>3</x:v>
      </x:c>
      <x:c r="E1497" s="25" t="n">
        <x:v>248</x:v>
      </x:c>
      <x:c r="F1497" s="25" t="str">
        <x:v>熔桂狮鬃坠</x:v>
      </x:c>
      <x:c r="G1497" s="25" t="n">
        <x:v>3</x:v>
      </x:c>
      <x:c r="H1497" s="25" t="str">
        <x:v>吸血</x:v>
      </x:c>
      <x:c r="I1497" s="25" t="n">
        <x:v>1</x:v>
      </x:c>
      <x:c r="J1497" s="25" t="n">
        <x:v>20</x:v>
      </x:c>
      <x:c r="K1497" s="25" t="str">
        <x:v>仅装备原始基础值决定主属性范围</x:v>
      </x:c>
    </x:row>
    <x:row r="1498">
      <x:c r="A1498" s="25" t="str">
        <x:v>C10-X</x:v>
      </x:c>
      <x:c r="B1498" s="25" t="str">
        <x:v>王城罗德尔</x:v>
      </x:c>
      <x:c r="C1498" s="25" t="str">
        <x:v>极端压力</x:v>
      </x:c>
      <x:c r="D1498" s="25" t="n">
        <x:v>3</x:v>
      </x:c>
      <x:c r="E1498" s="25" t="n">
        <x:v>248</x:v>
      </x:c>
      <x:c r="F1498" s="25" t="str">
        <x:v>熔桂狮鬃坠</x:v>
      </x:c>
      <x:c r="G1498" s="25" t="n">
        <x:v>4</x:v>
      </x:c>
      <x:c r="H1498" s="25" t="str">
        <x:v>道术</x:v>
      </x:c>
      <x:c r="I1498" s="25" t="n">
        <x:v>3238</x:v>
      </x:c>
      <x:c r="J1498" s="25" t="n">
        <x:v>3</x:v>
      </x:c>
      <x:c r="K1498" s="25" t="str">
        <x:v>仅装备原始基础值决定主属性范围</x:v>
      </x:c>
    </x:row>
    <x:row r="1499">
      <x:c r="A1499" s="25" t="str">
        <x:v>C10-X</x:v>
      </x:c>
      <x:c r="B1499" s="25" t="str">
        <x:v>王城罗德尔</x:v>
      </x:c>
      <x:c r="C1499" s="25" t="str">
        <x:v>极端压力</x:v>
      </x:c>
      <x:c r="D1499" s="25" t="n">
        <x:v>4</x:v>
      </x:c>
      <x:c r="E1499" s="25" t="n">
        <x:v>233</x:v>
      </x:c>
      <x:c r="F1499" s="25" t="str">
        <x:v>律烛诵壁冠</x:v>
      </x:c>
      <x:c r="G1499" s="25" t="n">
        <x:v>1</x:v>
      </x:c>
      <x:c r="H1499" s="25" t="str">
        <x:v>攻击</x:v>
      </x:c>
      <x:c r="I1499" s="25" t="n">
        <x:v>1676</x:v>
      </x:c>
      <x:c r="J1499" s="25" t="n">
        <x:v>1</x:v>
      </x:c>
      <x:c r="K1499" s="25" t="str">
        <x:v>仅装备原始基础值决定主属性范围</x:v>
      </x:c>
    </x:row>
    <x:row r="1500">
      <x:c r="A1500" s="25" t="str">
        <x:v>C10-X</x:v>
      </x:c>
      <x:c r="B1500" s="25" t="str">
        <x:v>王城罗德尔</x:v>
      </x:c>
      <x:c r="C1500" s="25" t="str">
        <x:v>极端压力</x:v>
      </x:c>
      <x:c r="D1500" s="25" t="n">
        <x:v>4</x:v>
      </x:c>
      <x:c r="E1500" s="25" t="n">
        <x:v>233</x:v>
      </x:c>
      <x:c r="F1500" s="25" t="str">
        <x:v>律烛诵壁冠</x:v>
      </x:c>
      <x:c r="G1500" s="25" t="n">
        <x:v>2</x:v>
      </x:c>
      <x:c r="H1500" s="25" t="str">
        <x:v>攻击加成</x:v>
      </x:c>
      <x:c r="I1500" s="25" t="n">
        <x:v>24</x:v>
      </x:c>
      <x:c r="J1500" s="25" t="n">
        <x:v>18</x:v>
      </x:c>
      <x:c r="K1500" s="25" t="str">
        <x:v>仅装备原始基础值决定主属性范围</x:v>
      </x:c>
    </x:row>
    <x:row r="1501">
      <x:c r="A1501" s="25" t="str">
        <x:v>C10-X</x:v>
      </x:c>
      <x:c r="B1501" s="25" t="str">
        <x:v>王城罗德尔</x:v>
      </x:c>
      <x:c r="C1501" s="25" t="str">
        <x:v>极端压力</x:v>
      </x:c>
      <x:c r="D1501" s="25" t="n">
        <x:v>4</x:v>
      </x:c>
      <x:c r="E1501" s="25" t="n">
        <x:v>233</x:v>
      </x:c>
      <x:c r="F1501" s="25" t="str">
        <x:v>律烛诵壁冠</x:v>
      </x:c>
      <x:c r="G1501" s="25" t="n">
        <x:v>3</x:v>
      </x:c>
      <x:c r="H1501" s="25" t="str">
        <x:v>攻击速度</x:v>
      </x:c>
      <x:c r="I1501" s="25" t="n">
        <x:v>1</x:v>
      </x:c>
      <x:c r="J1501" s="25" t="n">
        <x:v>4</x:v>
      </x:c>
      <x:c r="K1501" s="25" t="str">
        <x:v>仅装备原始基础值决定主属性范围</x:v>
      </x:c>
    </x:row>
    <x:row r="1502">
      <x:c r="A1502" s="25" t="str">
        <x:v>C10-X</x:v>
      </x:c>
      <x:c r="B1502" s="25" t="str">
        <x:v>王城罗德尔</x:v>
      </x:c>
      <x:c r="C1502" s="25" t="str">
        <x:v>极端压力</x:v>
      </x:c>
      <x:c r="D1502" s="25" t="n">
        <x:v>5</x:v>
      </x:c>
      <x:c r="E1502" s="25" t="n">
        <x:v>249</x:v>
      </x:c>
      <x:c r="F1502" s="25" t="str">
        <x:v>空炉渣火镯</x:v>
      </x:c>
      <x:c r="G1502" s="25" t="n">
        <x:v>1</x:v>
      </x:c>
      <x:c r="H1502" s="25" t="str">
        <x:v>攻击加成</x:v>
      </x:c>
      <x:c r="I1502" s="25" t="n">
        <x:v>17</x:v>
      </x:c>
      <x:c r="J1502" s="25" t="n">
        <x:v>18</x:v>
      </x:c>
      <x:c r="K1502" s="25" t="str">
        <x:v>仅装备原始基础值决定主属性范围</x:v>
      </x:c>
    </x:row>
    <x:row r="1503">
      <x:c r="A1503" s="25" t="str">
        <x:v>C10-X</x:v>
      </x:c>
      <x:c r="B1503" s="25" t="str">
        <x:v>王城罗德尔</x:v>
      </x:c>
      <x:c r="C1503" s="25" t="str">
        <x:v>极端压力</x:v>
      </x:c>
      <x:c r="D1503" s="25" t="n">
        <x:v>5</x:v>
      </x:c>
      <x:c r="E1503" s="25" t="n">
        <x:v>249</x:v>
      </x:c>
      <x:c r="F1503" s="25" t="str">
        <x:v>空炉渣火镯</x:v>
      </x:c>
      <x:c r="G1503" s="25" t="n">
        <x:v>2</x:v>
      </x:c>
      <x:c r="H1503" s="25" t="str">
        <x:v>攻击加成</x:v>
      </x:c>
      <x:c r="I1503" s="25" t="n">
        <x:v>28</x:v>
      </x:c>
      <x:c r="J1503" s="25" t="n">
        <x:v>18</x:v>
      </x:c>
      <x:c r="K1503" s="25" t="str">
        <x:v>仅装备原始基础值决定主属性范围</x:v>
      </x:c>
    </x:row>
    <x:row r="1504">
      <x:c r="A1504" s="25" t="str">
        <x:v>C10-X</x:v>
      </x:c>
      <x:c r="B1504" s="25" t="str">
        <x:v>王城罗德尔</x:v>
      </x:c>
      <x:c r="C1504" s="25" t="str">
        <x:v>极端压力</x:v>
      </x:c>
      <x:c r="D1504" s="25" t="n">
        <x:v>5</x:v>
      </x:c>
      <x:c r="E1504" s="25" t="n">
        <x:v>249</x:v>
      </x:c>
      <x:c r="F1504" s="25" t="str">
        <x:v>空炉渣火镯</x:v>
      </x:c>
      <x:c r="G1504" s="25" t="n">
        <x:v>3</x:v>
      </x:c>
      <x:c r="H1504" s="25" t="str">
        <x:v>攻击速度</x:v>
      </x:c>
      <x:c r="I1504" s="25" t="n">
        <x:v>1</x:v>
      </x:c>
      <x:c r="J1504" s="25" t="n">
        <x:v>4</x:v>
      </x:c>
      <x:c r="K1504" s="25" t="str">
        <x:v>仅装备原始基础值决定主属性范围</x:v>
      </x:c>
    </x:row>
    <x:row r="1505">
      <x:c r="A1505" s="25" t="str">
        <x:v>C10-X</x:v>
      </x:c>
      <x:c r="B1505" s="25" t="str">
        <x:v>王城罗德尔</x:v>
      </x:c>
      <x:c r="C1505" s="25" t="str">
        <x:v>极端压力</x:v>
      </x:c>
      <x:c r="D1505" s="25" t="n">
        <x:v>5</x:v>
      </x:c>
      <x:c r="E1505" s="25" t="n">
        <x:v>249</x:v>
      </x:c>
      <x:c r="F1505" s="25" t="str">
        <x:v>空炉渣火镯</x:v>
      </x:c>
      <x:c r="G1505" s="25" t="n">
        <x:v>4</x:v>
      </x:c>
      <x:c r="H1505" s="25" t="str">
        <x:v>攻击加成</x:v>
      </x:c>
      <x:c r="I1505" s="25" t="n">
        <x:v>47</x:v>
      </x:c>
      <x:c r="J1505" s="25" t="n">
        <x:v>19</x:v>
      </x:c>
      <x:c r="K1505" s="25" t="str">
        <x:v>仅装备原始基础值决定主属性范围</x:v>
      </x:c>
    </x:row>
    <x:row r="1506">
      <x:c r="A1506" s="25" t="str">
        <x:v>C10-X</x:v>
      </x:c>
      <x:c r="B1506" s="25" t="str">
        <x:v>王城罗德尔</x:v>
      </x:c>
      <x:c r="C1506" s="25" t="str">
        <x:v>极端压力</x:v>
      </x:c>
      <x:c r="D1506" s="25" t="n">
        <x:v>5</x:v>
      </x:c>
      <x:c r="E1506" s="25" t="n">
        <x:v>249</x:v>
      </x:c>
      <x:c r="F1506" s="25" t="str">
        <x:v>空炉渣火镯</x:v>
      </x:c>
      <x:c r="G1506" s="25" t="n">
        <x:v>5</x:v>
      </x:c>
      <x:c r="H1506" s="25" t="str">
        <x:v>处决伤害</x:v>
      </x:c>
      <x:c r="I1506" s="25" t="n">
        <x:v>2</x:v>
      </x:c>
      <x:c r="J1506" s="25" t="n">
        <x:v>11</x:v>
      </x:c>
      <x:c r="K1506" s="25" t="str">
        <x:v>仅装备原始基础值决定主属性范围</x:v>
      </x:c>
    </x:row>
    <x:row r="1507">
      <x:c r="A1507" s="25" t="str">
        <x:v>C10-X</x:v>
      </x:c>
      <x:c r="B1507" s="25" t="str">
        <x:v>王城罗德尔</x:v>
      </x:c>
      <x:c r="C1507" s="25" t="str">
        <x:v>极端压力</x:v>
      </x:c>
      <x:c r="D1507" s="25" t="n">
        <x:v>6</x:v>
      </x:c>
      <x:c r="E1507" s="25" t="n">
        <x:v>229</x:v>
      </x:c>
      <x:c r="F1507" s="25" t="str">
        <x:v>空炉渣火镯</x:v>
      </x:c>
      <x:c r="G1507" s="25" t="n">
        <x:v>1</x:v>
      </x:c>
      <x:c r="H1507" s="25" t="str">
        <x:v>攻击</x:v>
      </x:c>
      <x:c r="I1507" s="25" t="n">
        <x:v>4319</x:v>
      </x:c>
      <x:c r="J1507" s="25" t="n">
        <x:v>1</x:v>
      </x:c>
      <x:c r="K1507" s="25" t="str">
        <x:v>仅装备原始基础值决定主属性范围</x:v>
      </x:c>
    </x:row>
    <x:row r="1508">
      <x:c r="A1508" s="25" t="str">
        <x:v>C10-X</x:v>
      </x:c>
      <x:c r="B1508" s="25" t="str">
        <x:v>王城罗德尔</x:v>
      </x:c>
      <x:c r="C1508" s="25" t="str">
        <x:v>极端压力</x:v>
      </x:c>
      <x:c r="D1508" s="25" t="n">
        <x:v>6</x:v>
      </x:c>
      <x:c r="E1508" s="25" t="n">
        <x:v>229</x:v>
      </x:c>
      <x:c r="F1508" s="25" t="str">
        <x:v>空炉渣火镯</x:v>
      </x:c>
      <x:c r="G1508" s="25" t="n">
        <x:v>2</x:v>
      </x:c>
      <x:c r="H1508" s="25" t="str">
        <x:v>攻击加成</x:v>
      </x:c>
      <x:c r="I1508" s="25" t="n">
        <x:v>41</x:v>
      </x:c>
      <x:c r="J1508" s="25" t="n">
        <x:v>19</x:v>
      </x:c>
      <x:c r="K1508" s="25" t="str">
        <x:v>仅装备原始基础值决定主属性范围</x:v>
      </x:c>
    </x:row>
    <x:row r="1509">
      <x:c r="A1509" s="25" t="str">
        <x:v>C10-X</x:v>
      </x:c>
      <x:c r="B1509" s="25" t="str">
        <x:v>王城罗德尔</x:v>
      </x:c>
      <x:c r="C1509" s="25" t="str">
        <x:v>极端压力</x:v>
      </x:c>
      <x:c r="D1509" s="25" t="n">
        <x:v>6</x:v>
      </x:c>
      <x:c r="E1509" s="25" t="n">
        <x:v>229</x:v>
      </x:c>
      <x:c r="F1509" s="25" t="str">
        <x:v>空炉渣火镯</x:v>
      </x:c>
      <x:c r="G1509" s="25" t="n">
        <x:v>3</x:v>
      </x:c>
      <x:c r="H1509" s="25" t="str">
        <x:v>魔法</x:v>
      </x:c>
      <x:c r="I1509" s="25" t="n">
        <x:v>4427</x:v>
      </x:c>
      <x:c r="J1509" s="25" t="n">
        <x:v>2</x:v>
      </x:c>
      <x:c r="K1509" s="25" t="str">
        <x:v>仅装备原始基础值决定主属性范围</x:v>
      </x:c>
    </x:row>
    <x:row r="1510">
      <x:c r="A1510" s="25" t="str">
        <x:v>C10-X</x:v>
      </x:c>
      <x:c r="B1510" s="25" t="str">
        <x:v>王城罗德尔</x:v>
      </x:c>
      <x:c r="C1510" s="25" t="str">
        <x:v>极端压力</x:v>
      </x:c>
      <x:c r="D1510" s="25" t="n">
        <x:v>6</x:v>
      </x:c>
      <x:c r="E1510" s="25" t="n">
        <x:v>229</x:v>
      </x:c>
      <x:c r="F1510" s="25" t="str">
        <x:v>空炉渣火镯</x:v>
      </x:c>
      <x:c r="G1510" s="25" t="n">
        <x:v>4</x:v>
      </x:c>
      <x:c r="H1510" s="25" t="str">
        <x:v>伤害系数</x:v>
      </x:c>
      <x:c r="I1510" s="25" t="n">
        <x:v>2</x:v>
      </x:c>
      <x:c r="J1510" s="25" t="n">
        <x:v>26</x:v>
      </x:c>
      <x:c r="K1510" s="25" t="str">
        <x:v>仅装备原始基础值决定主属性范围</x:v>
      </x:c>
    </x:row>
    <x:row r="1511">
      <x:c r="A1511" s="25" t="str">
        <x:v>C10-X</x:v>
      </x:c>
      <x:c r="B1511" s="25" t="str">
        <x:v>王城罗德尔</x:v>
      </x:c>
      <x:c r="C1511" s="25" t="str">
        <x:v>极端压力</x:v>
      </x:c>
      <x:c r="D1511" s="25" t="n">
        <x:v>7</x:v>
      </x:c>
      <x:c r="E1511" s="25" t="n">
        <x:v>230</x:v>
      </x:c>
      <x:c r="F1511" s="25" t="str">
        <x:v>缄律书记戒</x:v>
      </x:c>
      <x:c r="G1511" s="25" t="n">
        <x:v>1</x:v>
      </x:c>
      <x:c r="H1511" s="25" t="str">
        <x:v>最大爆率</x:v>
      </x:c>
      <x:c r="I1511" s="25" t="n">
        <x:v>2</x:v>
      </x:c>
      <x:c r="J1511" s="25" t="n">
        <x:v>23</x:v>
      </x:c>
      <x:c r="K1511" s="25" t="str">
        <x:v>仅装备原始基础值决定主属性范围</x:v>
      </x:c>
    </x:row>
    <x:row r="1512">
      <x:c r="A1512" s="25" t="str">
        <x:v>C10-X</x:v>
      </x:c>
      <x:c r="B1512" s="25" t="str">
        <x:v>王城罗德尔</x:v>
      </x:c>
      <x:c r="C1512" s="25" t="str">
        <x:v>极端压力</x:v>
      </x:c>
      <x:c r="D1512" s="25" t="n">
        <x:v>7</x:v>
      </x:c>
      <x:c r="E1512" s="25" t="n">
        <x:v>230</x:v>
      </x:c>
      <x:c r="F1512" s="25" t="str">
        <x:v>缄律书记戒</x:v>
      </x:c>
      <x:c r="G1512" s="25" t="n">
        <x:v>2</x:v>
      </x:c>
      <x:c r="H1512" s="25" t="str">
        <x:v>最大爆率</x:v>
      </x:c>
      <x:c r="I1512" s="25" t="n">
        <x:v>1</x:v>
      </x:c>
      <x:c r="J1512" s="25" t="n">
        <x:v>22</x:v>
      </x:c>
      <x:c r="K1512" s="25" t="str">
        <x:v>仅装备原始基础值决定主属性范围</x:v>
      </x:c>
    </x:row>
    <x:row r="1513">
      <x:c r="A1513" s="25" t="str">
        <x:v>C10-X</x:v>
      </x:c>
      <x:c r="B1513" s="25" t="str">
        <x:v>王城罗德尔</x:v>
      </x:c>
      <x:c r="C1513" s="25" t="str">
        <x:v>极端压力</x:v>
      </x:c>
      <x:c r="D1513" s="25" t="n">
        <x:v>7</x:v>
      </x:c>
      <x:c r="E1513" s="25" t="n">
        <x:v>230</x:v>
      </x:c>
      <x:c r="F1513" s="25" t="str">
        <x:v>缄律书记戒</x:v>
      </x:c>
      <x:c r="G1513" s="25" t="n">
        <x:v>3</x:v>
      </x:c>
      <x:c r="H1513" s="25" t="str">
        <x:v>攻击加成</x:v>
      </x:c>
      <x:c r="I1513" s="25" t="n">
        <x:v>33</x:v>
      </x:c>
      <x:c r="J1513" s="25" t="n">
        <x:v>19</x:v>
      </x:c>
      <x:c r="K1513" s="25" t="str">
        <x:v>仅装备原始基础值决定主属性范围</x:v>
      </x:c>
    </x:row>
    <x:row r="1514">
      <x:c r="A1514" s="25" t="str">
        <x:v>C10-X</x:v>
      </x:c>
      <x:c r="B1514" s="25" t="str">
        <x:v>王城罗德尔</x:v>
      </x:c>
      <x:c r="C1514" s="25" t="str">
        <x:v>极端压力</x:v>
      </x:c>
      <x:c r="D1514" s="25" t="n">
        <x:v>7</x:v>
      </x:c>
      <x:c r="E1514" s="25" t="n">
        <x:v>230</x:v>
      </x:c>
      <x:c r="F1514" s="25" t="str">
        <x:v>缄律书记戒</x:v>
      </x:c>
      <x:c r="G1514" s="25" t="n">
        <x:v>4</x:v>
      </x:c>
      <x:c r="H1514" s="25" t="str">
        <x:v>攻击加成</x:v>
      </x:c>
      <x:c r="I1514" s="25" t="n">
        <x:v>28</x:v>
      </x:c>
      <x:c r="J1514" s="25" t="n">
        <x:v>18</x:v>
      </x:c>
      <x:c r="K1514" s="25" t="str">
        <x:v>仅装备原始基础值决定主属性范围</x:v>
      </x:c>
    </x:row>
    <x:row r="1515">
      <x:c r="A1515" s="25" t="str">
        <x:v>C10-X</x:v>
      </x:c>
      <x:c r="B1515" s="25" t="str">
        <x:v>王城罗德尔</x:v>
      </x:c>
      <x:c r="C1515" s="25" t="str">
        <x:v>极端压力</x:v>
      </x:c>
      <x:c r="D1515" s="25" t="n">
        <x:v>8</x:v>
      </x:c>
      <x:c r="E1515" s="25" t="n">
        <x:v>250</x:v>
      </x:c>
      <x:c r="F1515" s="25" t="str">
        <x:v>缄律书记戒</x:v>
      </x:c>
      <x:c r="G1515" s="25" t="n">
        <x:v>1</x:v>
      </x:c>
      <x:c r="H1515" s="25" t="str">
        <x:v>伤害吸收上限</x:v>
      </x:c>
      <x:c r="I1515" s="25" t="n">
        <x:v>1</x:v>
      </x:c>
      <x:c r="J1515" s="25" t="n">
        <x:v>28</x:v>
      </x:c>
      <x:c r="K1515" s="25" t="str">
        <x:v>仅装备原始基础值决定主属性范围</x:v>
      </x:c>
    </x:row>
    <x:row r="1516">
      <x:c r="A1516" s="25" t="str">
        <x:v>C10-X</x:v>
      </x:c>
      <x:c r="B1516" s="25" t="str">
        <x:v>王城罗德尔</x:v>
      </x:c>
      <x:c r="C1516" s="25" t="str">
        <x:v>极端压力</x:v>
      </x:c>
      <x:c r="D1516" s="25" t="n">
        <x:v>8</x:v>
      </x:c>
      <x:c r="E1516" s="25" t="n">
        <x:v>250</x:v>
      </x:c>
      <x:c r="F1516" s="25" t="str">
        <x:v>缄律书记戒</x:v>
      </x:c>
      <x:c r="G1516" s="25" t="n">
        <x:v>2</x:v>
      </x:c>
      <x:c r="H1516" s="25" t="str">
        <x:v>攻击加成</x:v>
      </x:c>
      <x:c r="I1516" s="25" t="n">
        <x:v>12</x:v>
      </x:c>
      <x:c r="J1516" s="25" t="n">
        <x:v>18</x:v>
      </x:c>
      <x:c r="K1516" s="25" t="str">
        <x:v>仅装备原始基础值决定主属性范围</x:v>
      </x:c>
    </x:row>
    <x:row r="1517">
      <x:c r="A1517" s="25" t="str">
        <x:v>C10-X</x:v>
      </x:c>
      <x:c r="B1517" s="25" t="str">
        <x:v>王城罗德尔</x:v>
      </x:c>
      <x:c r="C1517" s="25" t="str">
        <x:v>极端压力</x:v>
      </x:c>
      <x:c r="D1517" s="25" t="n">
        <x:v>8</x:v>
      </x:c>
      <x:c r="E1517" s="25" t="n">
        <x:v>250</x:v>
      </x:c>
      <x:c r="F1517" s="25" t="str">
        <x:v>缄律书记戒</x:v>
      </x:c>
      <x:c r="G1517" s="25" t="n">
        <x:v>3</x:v>
      </x:c>
      <x:c r="H1517" s="25" t="str">
        <x:v>处决伤害</x:v>
      </x:c>
      <x:c r="I1517" s="25" t="n">
        <x:v>2</x:v>
      </x:c>
      <x:c r="J1517" s="25" t="n">
        <x:v>11</x:v>
      </x:c>
      <x:c r="K1517" s="25" t="str">
        <x:v>仅装备原始基础值决定主属性范围</x:v>
      </x:c>
    </x:row>
    <x:row r="1518">
      <x:c r="A1518" s="25" t="str">
        <x:v>C10-X</x:v>
      </x:c>
      <x:c r="B1518" s="25" t="str">
        <x:v>王城罗德尔</x:v>
      </x:c>
      <x:c r="C1518" s="25" t="str">
        <x:v>极端压力</x:v>
      </x:c>
      <x:c r="D1518" s="25" t="n">
        <x:v>8</x:v>
      </x:c>
      <x:c r="E1518" s="25" t="n">
        <x:v>250</x:v>
      </x:c>
      <x:c r="F1518" s="25" t="str">
        <x:v>缄律书记戒</x:v>
      </x:c>
      <x:c r="G1518" s="25" t="n">
        <x:v>4</x:v>
      </x:c>
      <x:c r="H1518" s="25" t="str">
        <x:v>暴击</x:v>
      </x:c>
      <x:c r="I1518" s="25" t="n">
        <x:v>1</x:v>
      </x:c>
      <x:c r="J1518" s="25" t="n">
        <x:v>14</x:v>
      </x:c>
      <x:c r="K1518" s="25" t="str">
        <x:v>仅装备原始基础值决定主属性范围</x:v>
      </x:c>
    </x:row>
    <x:row r="1519">
      <x:c r="A1519" s="25" t="str">
        <x:v>C10-X</x:v>
      </x:c>
      <x:c r="B1519" s="25" t="str">
        <x:v>王城罗德尔</x:v>
      </x:c>
      <x:c r="C1519" s="25" t="str">
        <x:v>极端压力</x:v>
      </x:c>
      <x:c r="D1519" s="25" t="n">
        <x:v>8</x:v>
      </x:c>
      <x:c r="E1519" s="25" t="n">
        <x:v>250</x:v>
      </x:c>
      <x:c r="F1519" s="25" t="str">
        <x:v>缄律书记戒</x:v>
      </x:c>
      <x:c r="G1519" s="25" t="n">
        <x:v>5</x:v>
      </x:c>
      <x:c r="H1519" s="25" t="str">
        <x:v>攻击加成</x:v>
      </x:c>
      <x:c r="I1519" s="25" t="n">
        <x:v>33</x:v>
      </x:c>
      <x:c r="J1519" s="25" t="n">
        <x:v>19</x:v>
      </x:c>
      <x:c r="K1519" s="25" t="str">
        <x:v>仅装备原始基础值决定主属性范围</x:v>
      </x:c>
    </x:row>
    <x:row r="1520">
      <x:c r="A1520" s="25" t="str">
        <x:v>C10-X</x:v>
      </x:c>
      <x:c r="B1520" s="25" t="str">
        <x:v>王城罗德尔</x:v>
      </x:c>
      <x:c r="C1520" s="25" t="str">
        <x:v>极端压力</x:v>
      </x:c>
      <x:c r="D1520" s="25" t="n">
        <x:v>10</x:v>
      </x:c>
      <x:c r="E1520" s="25" t="n">
        <x:v>251</x:v>
      </x:c>
      <x:c r="F1520" s="25" t="str">
        <x:v>七帷掌仪腰封</x:v>
      </x:c>
      <x:c r="G1520" s="25" t="n">
        <x:v>1</x:v>
      </x:c>
      <x:c r="H1520" s="25" t="str">
        <x:v>攻击加成</x:v>
      </x:c>
      <x:c r="I1520" s="25" t="n">
        <x:v>14</x:v>
      </x:c>
      <x:c r="J1520" s="25" t="n">
        <x:v>18</x:v>
      </x:c>
      <x:c r="K1520" s="25" t="str">
        <x:v>仅装备原始基础值决定主属性范围</x:v>
      </x:c>
    </x:row>
    <x:row r="1521">
      <x:c r="A1521" s="25" t="str">
        <x:v>C10-X</x:v>
      </x:c>
      <x:c r="B1521" s="25" t="str">
        <x:v>王城罗德尔</x:v>
      </x:c>
      <x:c r="C1521" s="25" t="str">
        <x:v>极端压力</x:v>
      </x:c>
      <x:c r="D1521" s="25" t="n">
        <x:v>10</x:v>
      </x:c>
      <x:c r="E1521" s="25" t="n">
        <x:v>251</x:v>
      </x:c>
      <x:c r="F1521" s="25" t="str">
        <x:v>七帷掌仪腰封</x:v>
      </x:c>
      <x:c r="G1521" s="25" t="n">
        <x:v>2</x:v>
      </x:c>
      <x:c r="H1521" s="25" t="str">
        <x:v>暴击</x:v>
      </x:c>
      <x:c r="I1521" s="25" t="n">
        <x:v>2</x:v>
      </x:c>
      <x:c r="J1521" s="25" t="n">
        <x:v>15</x:v>
      </x:c>
      <x:c r="K1521" s="25" t="str">
        <x:v>仅装备原始基础值决定主属性范围</x:v>
      </x:c>
    </x:row>
    <x:row r="1522">
      <x:c r="A1522" s="25" t="str">
        <x:v>C10-X</x:v>
      </x:c>
      <x:c r="B1522" s="25" t="str">
        <x:v>王城罗德尔</x:v>
      </x:c>
      <x:c r="C1522" s="25" t="str">
        <x:v>极端压力</x:v>
      </x:c>
      <x:c r="D1522" s="25" t="n">
        <x:v>10</x:v>
      </x:c>
      <x:c r="E1522" s="25" t="n">
        <x:v>251</x:v>
      </x:c>
      <x:c r="F1522" s="25" t="str">
        <x:v>七帷掌仪腰封</x:v>
      </x:c>
      <x:c r="G1522" s="25" t="n">
        <x:v>3</x:v>
      </x:c>
      <x:c r="H1522" s="25" t="str">
        <x:v>攻击加成</x:v>
      </x:c>
      <x:c r="I1522" s="25" t="n">
        <x:v>46</x:v>
      </x:c>
      <x:c r="J1522" s="25" t="n">
        <x:v>19</x:v>
      </x:c>
      <x:c r="K1522" s="25" t="str">
        <x:v>仅装备原始基础值决定主属性范围</x:v>
      </x:c>
    </x:row>
    <x:row r="1523">
      <x:c r="A1523" s="25" t="str">
        <x:v>C10-X</x:v>
      </x:c>
      <x:c r="B1523" s="25" t="str">
        <x:v>王城罗德尔</x:v>
      </x:c>
      <x:c r="C1523" s="25" t="str">
        <x:v>极端压力</x:v>
      </x:c>
      <x:c r="D1523" s="25" t="n">
        <x:v>10</x:v>
      </x:c>
      <x:c r="E1523" s="25" t="n">
        <x:v>251</x:v>
      </x:c>
      <x:c r="F1523" s="25" t="str">
        <x:v>七帷掌仪腰封</x:v>
      </x:c>
      <x:c r="G1523" s="25" t="n">
        <x:v>4</x:v>
      </x:c>
      <x:c r="H1523" s="25" t="str">
        <x:v>魔法</x:v>
      </x:c>
      <x:c r="I1523" s="25" t="n">
        <x:v>2995</x:v>
      </x:c>
      <x:c r="J1523" s="25" t="n">
        <x:v>2</x:v>
      </x:c>
      <x:c r="K1523" s="25" t="str">
        <x:v>仅装备原始基础值决定主属性范围</x:v>
      </x:c>
    </x:row>
    <x:row r="1524">
      <x:c r="A1524" s="25" t="str">
        <x:v>C10-X</x:v>
      </x:c>
      <x:c r="B1524" s="25" t="str">
        <x:v>王城罗德尔</x:v>
      </x:c>
      <x:c r="C1524" s="25" t="str">
        <x:v>极端压力</x:v>
      </x:c>
      <x:c r="D1524" s="25" t="n">
        <x:v>10</x:v>
      </x:c>
      <x:c r="E1524" s="25" t="n">
        <x:v>251</x:v>
      </x:c>
      <x:c r="F1524" s="25" t="str">
        <x:v>七帷掌仪腰封</x:v>
      </x:c>
      <x:c r="G1524" s="25" t="n">
        <x:v>5</x:v>
      </x:c>
      <x:c r="H1524" s="25" t="str">
        <x:v>攻击</x:v>
      </x:c>
      <x:c r="I1524" s="25" t="n">
        <x:v>2489</x:v>
      </x:c>
      <x:c r="J1524" s="25" t="n">
        <x:v>1</x:v>
      </x:c>
      <x:c r="K1524" s="25" t="str">
        <x:v>仅装备原始基础值决定主属性范围</x:v>
      </x:c>
    </x:row>
    <x:row r="1525">
      <x:c r="A1525" s="25" t="str">
        <x:v>C10-X</x:v>
      </x:c>
      <x:c r="B1525" s="25" t="str">
        <x:v>王城罗德尔</x:v>
      </x:c>
      <x:c r="C1525" s="25" t="str">
        <x:v>极端压力</x:v>
      </x:c>
      <x:c r="D1525" s="25" t="n">
        <x:v>11</x:v>
      </x:c>
      <x:c r="E1525" s="25" t="n">
        <x:v>235</x:v>
      </x:c>
      <x:c r="F1525" s="25" t="str">
        <x:v>枕陵掘痕靴</x:v>
      </x:c>
      <x:c r="G1525" s="25" t="n">
        <x:v>1</x:v>
      </x:c>
      <x:c r="H1525" s="25" t="str">
        <x:v>暴击</x:v>
      </x:c>
      <x:c r="I1525" s="25" t="n">
        <x:v>2</x:v>
      </x:c>
      <x:c r="J1525" s="25" t="n">
        <x:v>15</x:v>
      </x:c>
      <x:c r="K1525" s="25" t="str">
        <x:v>仅装备原始基础值决定主属性范围</x:v>
      </x:c>
    </x:row>
    <x:row r="1526">
      <x:c r="A1526" s="25" t="str">
        <x:v>C10-X</x:v>
      </x:c>
      <x:c r="B1526" s="25" t="str">
        <x:v>王城罗德尔</x:v>
      </x:c>
      <x:c r="C1526" s="25" t="str">
        <x:v>极端压力</x:v>
      </x:c>
      <x:c r="D1526" s="25" t="n">
        <x:v>11</x:v>
      </x:c>
      <x:c r="E1526" s="25" t="n">
        <x:v>235</x:v>
      </x:c>
      <x:c r="F1526" s="25" t="str">
        <x:v>枕陵掘痕靴</x:v>
      </x:c>
      <x:c r="G1526" s="25" t="n">
        <x:v>2</x:v>
      </x:c>
      <x:c r="H1526" s="25" t="str">
        <x:v>攻击加成</x:v>
      </x:c>
      <x:c r="I1526" s="25" t="n">
        <x:v>42</x:v>
      </x:c>
      <x:c r="J1526" s="25" t="n">
        <x:v>19</x:v>
      </x:c>
      <x:c r="K1526" s="25" t="str">
        <x:v>仅装备原始基础值决定主属性范围</x:v>
      </x:c>
    </x:row>
    <x:row r="1527">
      <x:c r="A1527" s="25" t="str">
        <x:v>C10-X</x:v>
      </x:c>
      <x:c r="B1527" s="25" t="str">
        <x:v>王城罗德尔</x:v>
      </x:c>
      <x:c r="C1527" s="25" t="str">
        <x:v>极端压力</x:v>
      </x:c>
      <x:c r="D1527" s="25" t="n">
        <x:v>11</x:v>
      </x:c>
      <x:c r="E1527" s="25" t="n">
        <x:v>235</x:v>
      </x:c>
      <x:c r="F1527" s="25" t="str">
        <x:v>枕陵掘痕靴</x:v>
      </x:c>
      <x:c r="G1527" s="25" t="n">
        <x:v>3</x:v>
      </x:c>
      <x:c r="H1527" s="25" t="str">
        <x:v>攻击速度</x:v>
      </x:c>
      <x:c r="I1527" s="25" t="n">
        <x:v>1</x:v>
      </x:c>
      <x:c r="J1527" s="25" t="n">
        <x:v>4</x:v>
      </x:c>
      <x:c r="K1527" s="25" t="str">
        <x:v>仅装备原始基础值决定主属性范围</x:v>
      </x:c>
    </x:row>
    <x:row r="1528">
      <x:c r="A1528" s="25" t="str">
        <x:v>C10-X</x:v>
      </x:c>
      <x:c r="B1528" s="25" t="str">
        <x:v>王城罗德尔</x:v>
      </x:c>
      <x:c r="C1528" s="25" t="str">
        <x:v>极端压力</x:v>
      </x:c>
      <x:c r="D1528" s="25" t="n">
        <x:v>11</x:v>
      </x:c>
      <x:c r="E1528" s="25" t="n">
        <x:v>235</x:v>
      </x:c>
      <x:c r="F1528" s="25" t="str">
        <x:v>枕陵掘痕靴</x:v>
      </x:c>
      <x:c r="G1528" s="25" t="n">
        <x:v>4</x:v>
      </x:c>
      <x:c r="H1528" s="25" t="str">
        <x:v>攻击</x:v>
      </x:c>
      <x:c r="I1528" s="25" t="n">
        <x:v>1333</x:v>
      </x:c>
      <x:c r="J1528" s="25" t="n">
        <x:v>1</x:v>
      </x:c>
      <x:c r="K1528" s="25" t="str">
        <x:v>仅装备原始基础值决定主属性范围</x:v>
      </x:c>
    </x:row>
    <x:row r="1529">
      <x:c r="A1529" s="25" t="str">
        <x:v>C10-X</x:v>
      </x:c>
      <x:c r="B1529" s="25" t="str">
        <x:v>王城罗德尔</x:v>
      </x:c>
      <x:c r="C1529" s="25" t="str">
        <x:v>极端压力</x:v>
      </x:c>
      <x:c r="D1529" s="25" t="n">
        <x:v>11</x:v>
      </x:c>
      <x:c r="E1529" s="25" t="n">
        <x:v>235</x:v>
      </x:c>
      <x:c r="F1529" s="25" t="str">
        <x:v>枕陵掘痕靴</x:v>
      </x:c>
      <x:c r="G1529" s="25" t="n">
        <x:v>5</x:v>
      </x:c>
      <x:c r="H1529" s="25" t="str">
        <x:v>处决时间</x:v>
      </x:c>
      <x:c r="I1529" s="25" t="n">
        <x:v>2</x:v>
      </x:c>
      <x:c r="J1529" s="25" t="n">
        <x:v>9</x:v>
      </x:c>
      <x:c r="K1529" s="25" t="str">
        <x:v>仅装备原始基础值决定主属性范围</x:v>
      </x:c>
    </x:row>
    <x:row r="1530">
      <x:c r="A1530" s="25" t="str">
        <x:v>C10-X</x:v>
      </x:c>
      <x:c r="B1530" s="25" t="str">
        <x:v>王城罗德尔</x:v>
      </x:c>
      <x:c r="C1530" s="25" t="str">
        <x:v>极端压力</x:v>
      </x:c>
      <x:c r="D1530" s="25" t="n">
        <x:v>11</x:v>
      </x:c>
      <x:c r="E1530" s="25" t="n">
        <x:v>235</x:v>
      </x:c>
      <x:c r="F1530" s="25" t="str">
        <x:v>枕陵掘痕靴</x:v>
      </x:c>
      <x:c r="G1530" s="25" t="n">
        <x:v>6</x:v>
      </x:c>
      <x:c r="H1530" s="25" t="str">
        <x:v>魔法</x:v>
      </x:c>
      <x:c r="I1530" s="25" t="n">
        <x:v>811</x:v>
      </x:c>
      <x:c r="J1530" s="25" t="n">
        <x:v>2</x:v>
      </x:c>
      <x:c r="K1530" s="25" t="str">
        <x:v>仅装备原始基础值决定主属性范围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2" hidden="0" customWidth="1"/>
    <x:col min="5" max="5" width="15" hidden="0" customWidth="1"/>
    <x:col min="6" max="6" width="26" hidden="0" customWidth="1"/>
    <x:col min="7" max="7" width="12" hidden="0" customWidth="1"/>
    <x:col min="8" max="8" width="63" hidden="0" customWidth="1"/>
    <x:col min="9" max="9" width="60" hidden="0" customWidth="1"/>
  </x:cols>
  <x:sheetData>
    <x:row r="1" ht="29" customHeight="1">
      <x:c r="A1" s="4" t="str">
        <x:v>命格逐槽清单｜品质全彩≠指定极品必得</x:v>
      </x:c>
      <x:c r="B1" s="4"/>
      <x:c r="C1" s="4"/>
      <x:c r="D1" s="4"/>
      <x:c r="E1" s="4"/>
      <x:c r="F1" s="4"/>
      <x:c r="G1" s="4"/>
      <x:c r="H1" s="4"/>
      <x:c r="I1" s="4"/>
    </x:row>
    <x:row r="2" ht="43" customHeight="1">
      <x:c r="A2" s="11" t="str">
        <x:v>实际解锁脚本阈值未知；本批使用明确阶段假设。中后期新开槽的100次保底只保证彩色，不保证本表指定组合，组合获取需另作概率校准。</x:v>
      </x:c>
      <x:c r="B2" s="11"/>
      <x:c r="C2" s="11"/>
      <x:c r="D2" s="11"/>
      <x:c r="E2" s="11"/>
      <x:c r="F2" s="11"/>
      <x:c r="G2" s="11"/>
      <x:c r="H2" s="11"/>
      <x:c r="I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逻辑槽</x:v>
      </x:c>
      <x:c r="E4" s="19" t="str">
        <x:v>命格ID</x:v>
      </x:c>
      <x:c r="F4" s="19" t="str">
        <x:v>命格名称</x:v>
      </x:c>
      <x:c r="G4" s="19" t="str">
        <x:v>品质</x:v>
      </x:c>
      <x:c r="H4" s="19" t="str">
        <x:v>具体属性</x:v>
      </x:c>
      <x:c r="I4" s="19" t="str">
        <x:v>边界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n">
        <x:v>1</x:v>
      </x:c>
      <x:c r="E5" s="25" t="n">
        <x:v>1092</x:v>
      </x:c>
      <x:c r="F5" s="25" t="str">
        <x:v>【风卷残云】</x:v>
      </x:c>
      <x:c r="G5" s="25" t="str">
        <x:v>彩色</x:v>
      </x:c>
      <x:c r="H5" s="25" t="str">
        <x:v>攻击速度×2；打怪伤害×3；准确×10</x:v>
      </x:c>
      <x:c r="I5" s="25" t="str">
        <x:v>明确的代表组合，不等于100次必出指定名称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25" t="n">
        <x:v>1</x:v>
      </x:c>
      <x:c r="E6" s="25" t="n">
        <x:v>1092</x:v>
      </x:c>
      <x:c r="F6" s="25" t="str">
        <x:v>【风卷残云】</x:v>
      </x:c>
      <x:c r="G6" s="25" t="str">
        <x:v>彩色</x:v>
      </x:c>
      <x:c r="H6" s="25" t="str">
        <x:v>攻击速度×2；打怪伤害×3；准确×10</x:v>
      </x:c>
      <x:c r="I6" s="25" t="str">
        <x:v>明确的代表组合，不等于100次必出指定名称</x:v>
      </x:c>
    </x:row>
    <x:row r="7">
      <x:c r="A7" s="25" t="str">
        <x:v>C01-G</x:v>
      </x:c>
      <x:c r="B7" s="25" t="str">
        <x:v>漂流群岛</x:v>
      </x:c>
      <x:c r="C7" s="25" t="str">
        <x:v>半急速毕业</x:v>
      </x:c>
      <x:c r="D7" s="25" t="n">
        <x:v>1</x:v>
      </x:c>
      <x:c r="E7" s="25" t="n">
        <x:v>1092</x:v>
      </x:c>
      <x:c r="F7" s="25" t="str">
        <x:v>【风卷残云】</x:v>
      </x:c>
      <x:c r="G7" s="25" t="str">
        <x:v>彩色</x:v>
      </x:c>
      <x:c r="H7" s="25" t="str">
        <x:v>攻击速度×2；打怪伤害×3；准确×10</x:v>
      </x:c>
      <x:c r="I7" s="25" t="str">
        <x:v>明确的代表组合，不等于100次必出指定名称</x:v>
      </x:c>
    </x:row>
    <x:row r="8">
      <x:c r="A8" s="25" t="str">
        <x:v>C01-X</x:v>
      </x:c>
      <x:c r="B8" s="25" t="str">
        <x:v>漂流群岛</x:v>
      </x:c>
      <x:c r="C8" s="25" t="str">
        <x:v>极端压力</x:v>
      </x:c>
      <x:c r="D8" s="25" t="n">
        <x:v>1</x:v>
      </x:c>
      <x:c r="E8" s="25" t="n">
        <x:v>1092</x:v>
      </x:c>
      <x:c r="F8" s="25" t="str">
        <x:v>【风卷残云】</x:v>
      </x:c>
      <x:c r="G8" s="25" t="str">
        <x:v>彩色</x:v>
      </x:c>
      <x:c r="H8" s="25" t="str">
        <x:v>攻击速度×2；打怪伤害×3；准确×10</x:v>
      </x:c>
      <x:c r="I8" s="25" t="str">
        <x:v>明确的代表组合，不等于100次必出指定名称</x:v>
      </x:c>
    </x:row>
    <x:row r="9">
      <x:c r="A9" s="25" t="str">
        <x:v>C02-E</x:v>
      </x:c>
      <x:c r="B9" s="25" t="str">
        <x:v>宁姆格福</x:v>
      </x:c>
      <x:c r="C9" s="25" t="str">
        <x:v>半急速入场</x:v>
      </x:c>
      <x:c r="D9" s="25" t="n">
        <x:v>1</x:v>
      </x:c>
      <x:c r="E9" s="25" t="n">
        <x:v>1092</x:v>
      </x:c>
      <x:c r="F9" s="25" t="str">
        <x:v>【风卷残云】</x:v>
      </x:c>
      <x:c r="G9" s="25" t="str">
        <x:v>彩色</x:v>
      </x:c>
      <x:c r="H9" s="25" t="str">
        <x:v>攻击速度×2；打怪伤害×3；准确×10</x:v>
      </x:c>
      <x:c r="I9" s="25" t="str">
        <x:v>明确的代表组合，不等于100次必出指定名称</x:v>
      </x:c>
    </x:row>
    <x:row r="10">
      <x:c r="A10" s="25" t="str">
        <x:v>C02-E</x:v>
      </x:c>
      <x:c r="B10" s="25" t="str">
        <x:v>宁姆格福</x:v>
      </x:c>
      <x:c r="C10" s="25" t="str">
        <x:v>半急速入场</x:v>
      </x:c>
      <x:c r="D10" s="25" t="n">
        <x:v>2</x:v>
      </x:c>
      <x:c r="E10" s="25" t="n">
        <x:v>1093</x:v>
      </x:c>
      <x:c r="F10" s="25" t="str">
        <x:v>【鸿运盖世】</x:v>
      </x:c>
      <x:c r="G10" s="25" t="str">
        <x:v>彩色</x:v>
      </x:c>
      <x:c r="H10" s="25" t="str">
        <x:v>人物爆率×3；最大爆率×2；爆率×50</x:v>
      </x:c>
      <x:c r="I10" s="25" t="str">
        <x:v>明确的代表组合，不等于100次必出指定名称</x:v>
      </x:c>
    </x:row>
    <x:row r="11">
      <x:c r="A11" s="25" t="str">
        <x:v>C02-M</x:v>
      </x:c>
      <x:c r="B11" s="25" t="str">
        <x:v>宁姆格福</x:v>
      </x:c>
      <x:c r="C11" s="25" t="str">
        <x:v>半急速中期</x:v>
      </x:c>
      <x:c r="D11" s="25" t="n">
        <x:v>1</x:v>
      </x:c>
      <x:c r="E11" s="25" t="n">
        <x:v>1092</x:v>
      </x:c>
      <x:c r="F11" s="25" t="str">
        <x:v>【风卷残云】</x:v>
      </x:c>
      <x:c r="G11" s="25" t="str">
        <x:v>彩色</x:v>
      </x:c>
      <x:c r="H11" s="25" t="str">
        <x:v>攻击速度×2；打怪伤害×3；准确×10</x:v>
      </x:c>
      <x:c r="I11" s="25" t="str">
        <x:v>明确的代表组合，不等于100次必出指定名称</x:v>
      </x:c>
    </x:row>
    <x:row r="12">
      <x:c r="A12" s="25" t="str">
        <x:v>C02-M</x:v>
      </x:c>
      <x:c r="B12" s="25" t="str">
        <x:v>宁姆格福</x:v>
      </x:c>
      <x:c r="C12" s="25" t="str">
        <x:v>半急速中期</x:v>
      </x:c>
      <x:c r="D12" s="25" t="n">
        <x:v>2</x:v>
      </x:c>
      <x:c r="E12" s="25" t="n">
        <x:v>1093</x:v>
      </x:c>
      <x:c r="F12" s="25" t="str">
        <x:v>【鸿运盖世】</x:v>
      </x:c>
      <x:c r="G12" s="25" t="str">
        <x:v>彩色</x:v>
      </x:c>
      <x:c r="H12" s="25" t="str">
        <x:v>人物爆率×3；最大爆率×2；爆率×50</x:v>
      </x:c>
      <x:c r="I12" s="25" t="str">
        <x:v>明确的代表组合，不等于100次必出指定名称</x:v>
      </x:c>
    </x:row>
    <x:row r="13">
      <x:c r="A13" s="25" t="str">
        <x:v>C02-G</x:v>
      </x:c>
      <x:c r="B13" s="25" t="str">
        <x:v>宁姆格福</x:v>
      </x:c>
      <x:c r="C13" s="25" t="str">
        <x:v>半急速毕业</x:v>
      </x:c>
      <x:c r="D13" s="25" t="n">
        <x:v>1</x:v>
      </x:c>
      <x:c r="E13" s="25" t="n">
        <x:v>1092</x:v>
      </x:c>
      <x:c r="F13" s="25" t="str">
        <x:v>【风卷残云】</x:v>
      </x:c>
      <x:c r="G13" s="25" t="str">
        <x:v>彩色</x:v>
      </x:c>
      <x:c r="H13" s="25" t="str">
        <x:v>攻击速度×2；打怪伤害×3；准确×10</x:v>
      </x:c>
      <x:c r="I13" s="25" t="str">
        <x:v>明确的代表组合，不等于100次必出指定名称</x:v>
      </x:c>
    </x:row>
    <x:row r="14">
      <x:c r="A14" s="25" t="str">
        <x:v>C02-G</x:v>
      </x:c>
      <x:c r="B14" s="25" t="str">
        <x:v>宁姆格福</x:v>
      </x:c>
      <x:c r="C14" s="25" t="str">
        <x:v>半急速毕业</x:v>
      </x:c>
      <x:c r="D14" s="25" t="n">
        <x:v>2</x:v>
      </x:c>
      <x:c r="E14" s="25" t="n">
        <x:v>1093</x:v>
      </x:c>
      <x:c r="F14" s="25" t="str">
        <x:v>【鸿运盖世】</x:v>
      </x:c>
      <x:c r="G14" s="25" t="str">
        <x:v>彩色</x:v>
      </x:c>
      <x:c r="H14" s="25" t="str">
        <x:v>人物爆率×3；最大爆率×2；爆率×50</x:v>
      </x:c>
      <x:c r="I14" s="25" t="str">
        <x:v>明确的代表组合，不等于100次必出指定名称</x:v>
      </x:c>
    </x:row>
    <x:row r="15">
      <x:c r="A15" s="25" t="str">
        <x:v>C02-X</x:v>
      </x:c>
      <x:c r="B15" s="25" t="str">
        <x:v>宁姆格福</x:v>
      </x:c>
      <x:c r="C15" s="25" t="str">
        <x:v>极端压力</x:v>
      </x:c>
      <x:c r="D15" s="25" t="n">
        <x:v>1</x:v>
      </x:c>
      <x:c r="E15" s="25" t="n">
        <x:v>1092</x:v>
      </x:c>
      <x:c r="F15" s="25" t="str">
        <x:v>【风卷残云】</x:v>
      </x:c>
      <x:c r="G15" s="25" t="str">
        <x:v>彩色</x:v>
      </x:c>
      <x:c r="H15" s="25" t="str">
        <x:v>攻击速度×2；打怪伤害×3；准确×10</x:v>
      </x:c>
      <x:c r="I15" s="25" t="str">
        <x:v>明确的代表组合，不等于100次必出指定名称</x:v>
      </x:c>
    </x:row>
    <x:row r="16">
      <x:c r="A16" s="25" t="str">
        <x:v>C02-X</x:v>
      </x:c>
      <x:c r="B16" s="25" t="str">
        <x:v>宁姆格福</x:v>
      </x:c>
      <x:c r="C16" s="25" t="str">
        <x:v>极端压力</x:v>
      </x:c>
      <x:c r="D16" s="25" t="n">
        <x:v>2</x:v>
      </x:c>
      <x:c r="E16" s="25" t="n">
        <x:v>1093</x:v>
      </x:c>
      <x:c r="F16" s="25" t="str">
        <x:v>【鸿运盖世】</x:v>
      </x:c>
      <x:c r="G16" s="25" t="str">
        <x:v>彩色</x:v>
      </x:c>
      <x:c r="H16" s="25" t="str">
        <x:v>人物爆率×3；最大爆率×2；爆率×50</x:v>
      </x:c>
      <x:c r="I16" s="25" t="str">
        <x:v>明确的代表组合，不等于100次必出指定名称</x:v>
      </x:c>
    </x:row>
    <x:row r="17">
      <x:c r="A17" s="25" t="str">
        <x:v>C03-E</x:v>
      </x:c>
      <x:c r="B17" s="25" t="str">
        <x:v>宁姆格福西域</x:v>
      </x:c>
      <x:c r="C17" s="25" t="str">
        <x:v>半急速入场</x:v>
      </x:c>
      <x:c r="D17" s="25" t="n">
        <x:v>1</x:v>
      </x:c>
      <x:c r="E17" s="25" t="n">
        <x:v>1092</x:v>
      </x:c>
      <x:c r="F17" s="25" t="str">
        <x:v>【风卷残云】</x:v>
      </x:c>
      <x:c r="G17" s="25" t="str">
        <x:v>彩色</x:v>
      </x:c>
      <x:c r="H17" s="25" t="str">
        <x:v>攻击速度×2；打怪伤害×3；准确×10</x:v>
      </x:c>
      <x:c r="I17" s="25" t="str">
        <x:v>明确的代表组合，不等于100次必出指定名称</x:v>
      </x:c>
    </x:row>
    <x:row r="18">
      <x:c r="A18" s="25" t="str">
        <x:v>C03-E</x:v>
      </x:c>
      <x:c r="B18" s="25" t="str">
        <x:v>宁姆格福西域</x:v>
      </x:c>
      <x:c r="C18" s="25" t="str">
        <x:v>半急速入场</x:v>
      </x:c>
      <x:c r="D18" s="25" t="n">
        <x:v>2</x:v>
      </x:c>
      <x:c r="E18" s="25" t="n">
        <x:v>1093</x:v>
      </x:c>
      <x:c r="F18" s="25" t="str">
        <x:v>【鸿运盖世】</x:v>
      </x:c>
      <x:c r="G18" s="25" t="str">
        <x:v>彩色</x:v>
      </x:c>
      <x:c r="H18" s="25" t="str">
        <x:v>人物爆率×3；最大爆率×2；爆率×50</x:v>
      </x:c>
      <x:c r="I18" s="25" t="str">
        <x:v>明确的代表组合，不等于100次必出指定名称</x:v>
      </x:c>
    </x:row>
    <x:row r="19">
      <x:c r="A19" s="25" t="str">
        <x:v>C03-M</x:v>
      </x:c>
      <x:c r="B19" s="25" t="str">
        <x:v>宁姆格福西域</x:v>
      </x:c>
      <x:c r="C19" s="25" t="str">
        <x:v>半急速中期</x:v>
      </x:c>
      <x:c r="D19" s="25" t="n">
        <x:v>1</x:v>
      </x:c>
      <x:c r="E19" s="25" t="n">
        <x:v>1092</x:v>
      </x:c>
      <x:c r="F19" s="25" t="str">
        <x:v>【风卷残云】</x:v>
      </x:c>
      <x:c r="G19" s="25" t="str">
        <x:v>彩色</x:v>
      </x:c>
      <x:c r="H19" s="25" t="str">
        <x:v>攻击速度×2；打怪伤害×3；准确×10</x:v>
      </x:c>
      <x:c r="I19" s="25" t="str">
        <x:v>明确的代表组合，不等于100次必出指定名称</x:v>
      </x:c>
    </x:row>
    <x:row r="20">
      <x:c r="A20" s="25" t="str">
        <x:v>C03-M</x:v>
      </x:c>
      <x:c r="B20" s="25" t="str">
        <x:v>宁姆格福西域</x:v>
      </x:c>
      <x:c r="C20" s="25" t="str">
        <x:v>半急速中期</x:v>
      </x:c>
      <x:c r="D20" s="25" t="n">
        <x:v>2</x:v>
      </x:c>
      <x:c r="E20" s="25" t="n">
        <x:v>1093</x:v>
      </x:c>
      <x:c r="F20" s="25" t="str">
        <x:v>【鸿运盖世】</x:v>
      </x:c>
      <x:c r="G20" s="25" t="str">
        <x:v>彩色</x:v>
      </x:c>
      <x:c r="H20" s="25" t="str">
        <x:v>人物爆率×3；最大爆率×2；爆率×50</x:v>
      </x:c>
      <x:c r="I20" s="25" t="str">
        <x:v>明确的代表组合，不等于100次必出指定名称</x:v>
      </x:c>
    </x:row>
    <x:row r="21">
      <x:c r="A21" s="25" t="str">
        <x:v>C03-M</x:v>
      </x:c>
      <x:c r="B21" s="25" t="str">
        <x:v>宁姆格福西域</x:v>
      </x:c>
      <x:c r="C21" s="25" t="str">
        <x:v>半急速中期</x:v>
      </x:c>
      <x:c r="D21" s="25" t="n">
        <x:v>3</x:v>
      </x:c>
      <x:c r="E21" s="25" t="n">
        <x:v>1081</x:v>
      </x:c>
      <x:c r="F21" s="25" t="str">
        <x:v>【唯我独尊】</x:v>
      </x:c>
      <x:c r="G21" s="25" t="str">
        <x:v>彩色</x:v>
      </x:c>
      <x:c r="H21" s="25" t="str">
        <x:v>伤害系数×6</x:v>
      </x:c>
      <x:c r="I21" s="25" t="str">
        <x:v>明确的代表组合，不等于100次必出指定名称</x:v>
      </x:c>
    </x:row>
    <x:row r="22">
      <x:c r="A22" s="25" t="str">
        <x:v>C03-G</x:v>
      </x:c>
      <x:c r="B22" s="25" t="str">
        <x:v>宁姆格福西域</x:v>
      </x:c>
      <x:c r="C22" s="25" t="str">
        <x:v>半急速毕业</x:v>
      </x:c>
      <x:c r="D22" s="25" t="n">
        <x:v>1</x:v>
      </x:c>
      <x:c r="E22" s="25" t="n">
        <x:v>1092</x:v>
      </x:c>
      <x:c r="F22" s="25" t="str">
        <x:v>【风卷残云】</x:v>
      </x:c>
      <x:c r="G22" s="25" t="str">
        <x:v>彩色</x:v>
      </x:c>
      <x:c r="H22" s="25" t="str">
        <x:v>攻击速度×2；打怪伤害×3；准确×10</x:v>
      </x:c>
      <x:c r="I22" s="25" t="str">
        <x:v>明确的代表组合，不等于100次必出指定名称</x:v>
      </x:c>
    </x:row>
    <x:row r="23">
      <x:c r="A23" s="25" t="str">
        <x:v>C03-G</x:v>
      </x:c>
      <x:c r="B23" s="25" t="str">
        <x:v>宁姆格福西域</x:v>
      </x:c>
      <x:c r="C23" s="25" t="str">
        <x:v>半急速毕业</x:v>
      </x:c>
      <x:c r="D23" s="25" t="n">
        <x:v>2</x:v>
      </x:c>
      <x:c r="E23" s="25" t="n">
        <x:v>1093</x:v>
      </x:c>
      <x:c r="F23" s="25" t="str">
        <x:v>【鸿运盖世】</x:v>
      </x:c>
      <x:c r="G23" s="25" t="str">
        <x:v>彩色</x:v>
      </x:c>
      <x:c r="H23" s="25" t="str">
        <x:v>人物爆率×3；最大爆率×2；爆率×50</x:v>
      </x:c>
      <x:c r="I23" s="25" t="str">
        <x:v>明确的代表组合，不等于100次必出指定名称</x:v>
      </x:c>
    </x:row>
    <x:row r="24">
      <x:c r="A24" s="25" t="str">
        <x:v>C03-G</x:v>
      </x:c>
      <x:c r="B24" s="25" t="str">
        <x:v>宁姆格福西域</x:v>
      </x:c>
      <x:c r="C24" s="25" t="str">
        <x:v>半急速毕业</x:v>
      </x:c>
      <x:c r="D24" s="25" t="n">
        <x:v>3</x:v>
      </x:c>
      <x:c r="E24" s="25" t="n">
        <x:v>1081</x:v>
      </x:c>
      <x:c r="F24" s="25" t="str">
        <x:v>【唯我独尊】</x:v>
      </x:c>
      <x:c r="G24" s="25" t="str">
        <x:v>彩色</x:v>
      </x:c>
      <x:c r="H24" s="25" t="str">
        <x:v>伤害系数×6</x:v>
      </x:c>
      <x:c r="I24" s="25" t="str">
        <x:v>明确的代表组合，不等于100次必出指定名称</x:v>
      </x:c>
    </x:row>
    <x:row r="25">
      <x:c r="A25" s="25" t="str">
        <x:v>C03-X</x:v>
      </x:c>
      <x:c r="B25" s="25" t="str">
        <x:v>宁姆格福西域</x:v>
      </x:c>
      <x:c r="C25" s="25" t="str">
        <x:v>极端压力</x:v>
      </x:c>
      <x:c r="D25" s="25" t="n">
        <x:v>1</x:v>
      </x:c>
      <x:c r="E25" s="25" t="n">
        <x:v>1092</x:v>
      </x:c>
      <x:c r="F25" s="25" t="str">
        <x:v>【风卷残云】</x:v>
      </x:c>
      <x:c r="G25" s="25" t="str">
        <x:v>彩色</x:v>
      </x:c>
      <x:c r="H25" s="25" t="str">
        <x:v>攻击速度×2；打怪伤害×3；准确×10</x:v>
      </x:c>
      <x:c r="I25" s="25" t="str">
        <x:v>明确的代表组合，不等于100次必出指定名称</x:v>
      </x:c>
    </x:row>
    <x:row r="26">
      <x:c r="A26" s="25" t="str">
        <x:v>C03-X</x:v>
      </x:c>
      <x:c r="B26" s="25" t="str">
        <x:v>宁姆格福西域</x:v>
      </x:c>
      <x:c r="C26" s="25" t="str">
        <x:v>极端压力</x:v>
      </x:c>
      <x:c r="D26" s="25" t="n">
        <x:v>2</x:v>
      </x:c>
      <x:c r="E26" s="25" t="n">
        <x:v>1093</x:v>
      </x:c>
      <x:c r="F26" s="25" t="str">
        <x:v>【鸿运盖世】</x:v>
      </x:c>
      <x:c r="G26" s="25" t="str">
        <x:v>彩色</x:v>
      </x:c>
      <x:c r="H26" s="25" t="str">
        <x:v>人物爆率×3；最大爆率×2；爆率×50</x:v>
      </x:c>
      <x:c r="I26" s="25" t="str">
        <x:v>明确的代表组合，不等于100次必出指定名称</x:v>
      </x:c>
    </x:row>
    <x:row r="27">
      <x:c r="A27" s="25" t="str">
        <x:v>C03-X</x:v>
      </x:c>
      <x:c r="B27" s="25" t="str">
        <x:v>宁姆格福西域</x:v>
      </x:c>
      <x:c r="C27" s="25" t="str">
        <x:v>极端压力</x:v>
      </x:c>
      <x:c r="D27" s="25" t="n">
        <x:v>3</x:v>
      </x:c>
      <x:c r="E27" s="25" t="n">
        <x:v>1081</x:v>
      </x:c>
      <x:c r="F27" s="25" t="str">
        <x:v>【唯我独尊】</x:v>
      </x:c>
      <x:c r="G27" s="25" t="str">
        <x:v>彩色</x:v>
      </x:c>
      <x:c r="H27" s="25" t="str">
        <x:v>伤害系数×6</x:v>
      </x:c>
      <x:c r="I27" s="25" t="str">
        <x:v>明确的代表组合，不等于100次必出指定名称</x:v>
      </x:c>
    </x:row>
    <x:row r="28">
      <x:c r="A28" s="25" t="str">
        <x:v>C04-E</x:v>
      </x:c>
      <x:c r="B28" s="25" t="str">
        <x:v>利耶尼亚海域</x:v>
      </x:c>
      <x:c r="C28" s="25" t="str">
        <x:v>半急速入场</x:v>
      </x:c>
      <x:c r="D28" s="25" t="n">
        <x:v>1</x:v>
      </x:c>
      <x:c r="E28" s="25" t="n">
        <x:v>1092</x:v>
      </x:c>
      <x:c r="F28" s="25" t="str">
        <x:v>【风卷残云】</x:v>
      </x:c>
      <x:c r="G28" s="25" t="str">
        <x:v>彩色</x:v>
      </x:c>
      <x:c r="H28" s="25" t="str">
        <x:v>攻击速度×2；打怪伤害×3；准确×10</x:v>
      </x:c>
      <x:c r="I28" s="25" t="str">
        <x:v>明确的代表组合，不等于100次必出指定名称</x:v>
      </x:c>
    </x:row>
    <x:row r="29">
      <x:c r="A29" s="25" t="str">
        <x:v>C04-E</x:v>
      </x:c>
      <x:c r="B29" s="25" t="str">
        <x:v>利耶尼亚海域</x:v>
      </x:c>
      <x:c r="C29" s="25" t="str">
        <x:v>半急速入场</x:v>
      </x:c>
      <x:c r="D29" s="25" t="n">
        <x:v>2</x:v>
      </x:c>
      <x:c r="E29" s="25" t="n">
        <x:v>1093</x:v>
      </x:c>
      <x:c r="F29" s="25" t="str">
        <x:v>【鸿运盖世】</x:v>
      </x:c>
      <x:c r="G29" s="25" t="str">
        <x:v>彩色</x:v>
      </x:c>
      <x:c r="H29" s="25" t="str">
        <x:v>人物爆率×3；最大爆率×2；爆率×50</x:v>
      </x:c>
      <x:c r="I29" s="25" t="str">
        <x:v>明确的代表组合，不等于100次必出指定名称</x:v>
      </x:c>
    </x:row>
    <x:row r="30">
      <x:c r="A30" s="25" t="str">
        <x:v>C04-E</x:v>
      </x:c>
      <x:c r="B30" s="25" t="str">
        <x:v>利耶尼亚海域</x:v>
      </x:c>
      <x:c r="C30" s="25" t="str">
        <x:v>半急速入场</x:v>
      </x:c>
      <x:c r="D30" s="25" t="n">
        <x:v>3</x:v>
      </x:c>
      <x:c r="E30" s="25" t="n">
        <x:v>1081</x:v>
      </x:c>
      <x:c r="F30" s="25" t="str">
        <x:v>【唯我独尊】</x:v>
      </x:c>
      <x:c r="G30" s="25" t="str">
        <x:v>彩色</x:v>
      </x:c>
      <x:c r="H30" s="25" t="str">
        <x:v>伤害系数×6</x:v>
      </x:c>
      <x:c r="I30" s="25" t="str">
        <x:v>明确的代表组合，不等于100次必出指定名称</x:v>
      </x:c>
    </x:row>
    <x:row r="31">
      <x:c r="A31" s="25" t="str">
        <x:v>C04-M</x:v>
      </x:c>
      <x:c r="B31" s="25" t="str">
        <x:v>利耶尼亚海域</x:v>
      </x:c>
      <x:c r="C31" s="25" t="str">
        <x:v>半急速中期</x:v>
      </x:c>
      <x:c r="D31" s="25" t="n">
        <x:v>1</x:v>
      </x:c>
      <x:c r="E31" s="25" t="n">
        <x:v>1092</x:v>
      </x:c>
      <x:c r="F31" s="25" t="str">
        <x:v>【风卷残云】</x:v>
      </x:c>
      <x:c r="G31" s="25" t="str">
        <x:v>彩色</x:v>
      </x:c>
      <x:c r="H31" s="25" t="str">
        <x:v>攻击速度×2；打怪伤害×3；准确×10</x:v>
      </x:c>
      <x:c r="I31" s="25" t="str">
        <x:v>明确的代表组合，不等于100次必出指定名称</x:v>
      </x:c>
    </x:row>
    <x:row r="32">
      <x:c r="A32" s="25" t="str">
        <x:v>C04-M</x:v>
      </x:c>
      <x:c r="B32" s="25" t="str">
        <x:v>利耶尼亚海域</x:v>
      </x:c>
      <x:c r="C32" s="25" t="str">
        <x:v>半急速中期</x:v>
      </x:c>
      <x:c r="D32" s="25" t="n">
        <x:v>2</x:v>
      </x:c>
      <x:c r="E32" s="25" t="n">
        <x:v>1093</x:v>
      </x:c>
      <x:c r="F32" s="25" t="str">
        <x:v>【鸿运盖世】</x:v>
      </x:c>
      <x:c r="G32" s="25" t="str">
        <x:v>彩色</x:v>
      </x:c>
      <x:c r="H32" s="25" t="str">
        <x:v>人物爆率×3；最大爆率×2；爆率×50</x:v>
      </x:c>
      <x:c r="I32" s="25" t="str">
        <x:v>明确的代表组合，不等于100次必出指定名称</x:v>
      </x:c>
    </x:row>
    <x:row r="33">
      <x:c r="A33" s="25" t="str">
        <x:v>C04-M</x:v>
      </x:c>
      <x:c r="B33" s="25" t="str">
        <x:v>利耶尼亚海域</x:v>
      </x:c>
      <x:c r="C33" s="25" t="str">
        <x:v>半急速中期</x:v>
      </x:c>
      <x:c r="D33" s="25" t="n">
        <x:v>3</x:v>
      </x:c>
      <x:c r="E33" s="25" t="n">
        <x:v>1081</x:v>
      </x:c>
      <x:c r="F33" s="25" t="str">
        <x:v>【唯我独尊】</x:v>
      </x:c>
      <x:c r="G33" s="25" t="str">
        <x:v>彩色</x:v>
      </x:c>
      <x:c r="H33" s="25" t="str">
        <x:v>伤害系数×6</x:v>
      </x:c>
      <x:c r="I33" s="25" t="str">
        <x:v>明确的代表组合，不等于100次必出指定名称</x:v>
      </x:c>
    </x:row>
    <x:row r="34">
      <x:c r="A34" s="25" t="str">
        <x:v>C04-M</x:v>
      </x:c>
      <x:c r="B34" s="25" t="str">
        <x:v>利耶尼亚海域</x:v>
      </x:c>
      <x:c r="C34" s="25" t="str">
        <x:v>半急速中期</x:v>
      </x:c>
      <x:c r="D34" s="25" t="n">
        <x:v>4</x:v>
      </x:c>
      <x:c r="E34" s="25" t="n">
        <x:v>1090</x:v>
      </x:c>
      <x:c r="F34" s="25" t="str">
        <x:v>【万法不侵】</x:v>
      </x:c>
      <x:c r="G34" s="25" t="str">
        <x:v>彩色</x:v>
      </x:c>
      <x:c r="H34" s="25" t="str">
        <x:v>伤害吸收上限×3；对怪伤害吸收×6</x:v>
      </x:c>
      <x:c r="I34" s="25" t="str">
        <x:v>明确的代表组合，不等于100次必出指定名称</x:v>
      </x:c>
    </x:row>
    <x:row r="35">
      <x:c r="A35" s="25" t="str">
        <x:v>C04-G</x:v>
      </x:c>
      <x:c r="B35" s="25" t="str">
        <x:v>利耶尼亚海域</x:v>
      </x:c>
      <x:c r="C35" s="25" t="str">
        <x:v>半急速毕业</x:v>
      </x:c>
      <x:c r="D35" s="25" t="n">
        <x:v>1</x:v>
      </x:c>
      <x:c r="E35" s="25" t="n">
        <x:v>1092</x:v>
      </x:c>
      <x:c r="F35" s="25" t="str">
        <x:v>【风卷残云】</x:v>
      </x:c>
      <x:c r="G35" s="25" t="str">
        <x:v>彩色</x:v>
      </x:c>
      <x:c r="H35" s="25" t="str">
        <x:v>攻击速度×2；打怪伤害×3；准确×10</x:v>
      </x:c>
      <x:c r="I35" s="25" t="str">
        <x:v>明确的代表组合，不等于100次必出指定名称</x:v>
      </x:c>
    </x:row>
    <x:row r="36">
      <x:c r="A36" s="25" t="str">
        <x:v>C04-G</x:v>
      </x:c>
      <x:c r="B36" s="25" t="str">
        <x:v>利耶尼亚海域</x:v>
      </x:c>
      <x:c r="C36" s="25" t="str">
        <x:v>半急速毕业</x:v>
      </x:c>
      <x:c r="D36" s="25" t="n">
        <x:v>2</x:v>
      </x:c>
      <x:c r="E36" s="25" t="n">
        <x:v>1093</x:v>
      </x:c>
      <x:c r="F36" s="25" t="str">
        <x:v>【鸿运盖世】</x:v>
      </x:c>
      <x:c r="G36" s="25" t="str">
        <x:v>彩色</x:v>
      </x:c>
      <x:c r="H36" s="25" t="str">
        <x:v>人物爆率×3；最大爆率×2；爆率×50</x:v>
      </x:c>
      <x:c r="I36" s="25" t="str">
        <x:v>明确的代表组合，不等于100次必出指定名称</x:v>
      </x:c>
    </x:row>
    <x:row r="37">
      <x:c r="A37" s="25" t="str">
        <x:v>C04-G</x:v>
      </x:c>
      <x:c r="B37" s="25" t="str">
        <x:v>利耶尼亚海域</x:v>
      </x:c>
      <x:c r="C37" s="25" t="str">
        <x:v>半急速毕业</x:v>
      </x:c>
      <x:c r="D37" s="25" t="n">
        <x:v>3</x:v>
      </x:c>
      <x:c r="E37" s="25" t="n">
        <x:v>1081</x:v>
      </x:c>
      <x:c r="F37" s="25" t="str">
        <x:v>【唯我独尊】</x:v>
      </x:c>
      <x:c r="G37" s="25" t="str">
        <x:v>彩色</x:v>
      </x:c>
      <x:c r="H37" s="25" t="str">
        <x:v>伤害系数×6</x:v>
      </x:c>
      <x:c r="I37" s="25" t="str">
        <x:v>明确的代表组合，不等于100次必出指定名称</x:v>
      </x:c>
    </x:row>
    <x:row r="38">
      <x:c r="A38" s="25" t="str">
        <x:v>C04-G</x:v>
      </x:c>
      <x:c r="B38" s="25" t="str">
        <x:v>利耶尼亚海域</x:v>
      </x:c>
      <x:c r="C38" s="25" t="str">
        <x:v>半急速毕业</x:v>
      </x:c>
      <x:c r="D38" s="25" t="n">
        <x:v>4</x:v>
      </x:c>
      <x:c r="E38" s="25" t="n">
        <x:v>1090</x:v>
      </x:c>
      <x:c r="F38" s="25" t="str">
        <x:v>【万法不侵】</x:v>
      </x:c>
      <x:c r="G38" s="25" t="str">
        <x:v>彩色</x:v>
      </x:c>
      <x:c r="H38" s="25" t="str">
        <x:v>伤害吸收上限×3；对怪伤害吸收×6</x:v>
      </x:c>
      <x:c r="I38" s="25" t="str">
        <x:v>明确的代表组合，不等于100次必出指定名称</x:v>
      </x:c>
    </x:row>
    <x:row r="39">
      <x:c r="A39" s="25" t="str">
        <x:v>C04-X</x:v>
      </x:c>
      <x:c r="B39" s="25" t="str">
        <x:v>利耶尼亚海域</x:v>
      </x:c>
      <x:c r="C39" s="25" t="str">
        <x:v>极端压力</x:v>
      </x:c>
      <x:c r="D39" s="25" t="n">
        <x:v>1</x:v>
      </x:c>
      <x:c r="E39" s="25" t="n">
        <x:v>1092</x:v>
      </x:c>
      <x:c r="F39" s="25" t="str">
        <x:v>【风卷残云】</x:v>
      </x:c>
      <x:c r="G39" s="25" t="str">
        <x:v>彩色</x:v>
      </x:c>
      <x:c r="H39" s="25" t="str">
        <x:v>攻击速度×2；打怪伤害×3；准确×10</x:v>
      </x:c>
      <x:c r="I39" s="25" t="str">
        <x:v>明确的代表组合，不等于100次必出指定名称</x:v>
      </x:c>
    </x:row>
    <x:row r="40">
      <x:c r="A40" s="25" t="str">
        <x:v>C04-X</x:v>
      </x:c>
      <x:c r="B40" s="25" t="str">
        <x:v>利耶尼亚海域</x:v>
      </x:c>
      <x:c r="C40" s="25" t="str">
        <x:v>极端压力</x:v>
      </x:c>
      <x:c r="D40" s="25" t="n">
        <x:v>2</x:v>
      </x:c>
      <x:c r="E40" s="25" t="n">
        <x:v>1093</x:v>
      </x:c>
      <x:c r="F40" s="25" t="str">
        <x:v>【鸿运盖世】</x:v>
      </x:c>
      <x:c r="G40" s="25" t="str">
        <x:v>彩色</x:v>
      </x:c>
      <x:c r="H40" s="25" t="str">
        <x:v>人物爆率×3；最大爆率×2；爆率×50</x:v>
      </x:c>
      <x:c r="I40" s="25" t="str">
        <x:v>明确的代表组合，不等于100次必出指定名称</x:v>
      </x:c>
    </x:row>
    <x:row r="41">
      <x:c r="A41" s="25" t="str">
        <x:v>C04-X</x:v>
      </x:c>
      <x:c r="B41" s="25" t="str">
        <x:v>利耶尼亚海域</x:v>
      </x:c>
      <x:c r="C41" s="25" t="str">
        <x:v>极端压力</x:v>
      </x:c>
      <x:c r="D41" s="25" t="n">
        <x:v>3</x:v>
      </x:c>
      <x:c r="E41" s="25" t="n">
        <x:v>1081</x:v>
      </x:c>
      <x:c r="F41" s="25" t="str">
        <x:v>【唯我独尊】</x:v>
      </x:c>
      <x:c r="G41" s="25" t="str">
        <x:v>彩色</x:v>
      </x:c>
      <x:c r="H41" s="25" t="str">
        <x:v>伤害系数×6</x:v>
      </x:c>
      <x:c r="I41" s="25" t="str">
        <x:v>明确的代表组合，不等于100次必出指定名称</x:v>
      </x:c>
    </x:row>
    <x:row r="42">
      <x:c r="A42" s="25" t="str">
        <x:v>C04-X</x:v>
      </x:c>
      <x:c r="B42" s="25" t="str">
        <x:v>利耶尼亚海域</x:v>
      </x:c>
      <x:c r="C42" s="25" t="str">
        <x:v>极端压力</x:v>
      </x:c>
      <x:c r="D42" s="25" t="n">
        <x:v>4</x:v>
      </x:c>
      <x:c r="E42" s="25" t="n">
        <x:v>1090</x:v>
      </x:c>
      <x:c r="F42" s="25" t="str">
        <x:v>【万法不侵】</x:v>
      </x:c>
      <x:c r="G42" s="25" t="str">
        <x:v>彩色</x:v>
      </x:c>
      <x:c r="H42" s="25" t="str">
        <x:v>伤害吸收上限×3；对怪伤害吸收×6</x:v>
      </x:c>
      <x:c r="I42" s="25" t="str">
        <x:v>明确的代表组合，不等于100次必出指定名称</x:v>
      </x:c>
    </x:row>
    <x:row r="43">
      <x:c r="A43" s="25" t="str">
        <x:v>C05-E</x:v>
      </x:c>
      <x:c r="B43" s="25" t="str">
        <x:v>湖之利耶尼亚</x:v>
      </x:c>
      <x:c r="C43" s="25" t="str">
        <x:v>半急速入场</x:v>
      </x:c>
      <x:c r="D43" s="25" t="n">
        <x:v>1</x:v>
      </x:c>
      <x:c r="E43" s="25" t="n">
        <x:v>1092</x:v>
      </x:c>
      <x:c r="F43" s="25" t="str">
        <x:v>【风卷残云】</x:v>
      </x:c>
      <x:c r="G43" s="25" t="str">
        <x:v>彩色</x:v>
      </x:c>
      <x:c r="H43" s="25" t="str">
        <x:v>攻击速度×2；打怪伤害×3；准确×10</x:v>
      </x:c>
      <x:c r="I43" s="25" t="str">
        <x:v>明确的代表组合，不等于100次必出指定名称</x:v>
      </x:c>
    </x:row>
    <x:row r="44">
      <x:c r="A44" s="25" t="str">
        <x:v>C05-E</x:v>
      </x:c>
      <x:c r="B44" s="25" t="str">
        <x:v>湖之利耶尼亚</x:v>
      </x:c>
      <x:c r="C44" s="25" t="str">
        <x:v>半急速入场</x:v>
      </x:c>
      <x:c r="D44" s="25" t="n">
        <x:v>2</x:v>
      </x:c>
      <x:c r="E44" s="25" t="n">
        <x:v>1093</x:v>
      </x:c>
      <x:c r="F44" s="25" t="str">
        <x:v>【鸿运盖世】</x:v>
      </x:c>
      <x:c r="G44" s="25" t="str">
        <x:v>彩色</x:v>
      </x:c>
      <x:c r="H44" s="25" t="str">
        <x:v>人物爆率×3；最大爆率×2；爆率×50</x:v>
      </x:c>
      <x:c r="I44" s="25" t="str">
        <x:v>明确的代表组合，不等于100次必出指定名称</x:v>
      </x:c>
    </x:row>
    <x:row r="45">
      <x:c r="A45" s="25" t="str">
        <x:v>C05-E</x:v>
      </x:c>
      <x:c r="B45" s="25" t="str">
        <x:v>湖之利耶尼亚</x:v>
      </x:c>
      <x:c r="C45" s="25" t="str">
        <x:v>半急速入场</x:v>
      </x:c>
      <x:c r="D45" s="25" t="n">
        <x:v>3</x:v>
      </x:c>
      <x:c r="E45" s="25" t="n">
        <x:v>1081</x:v>
      </x:c>
      <x:c r="F45" s="25" t="str">
        <x:v>【唯我独尊】</x:v>
      </x:c>
      <x:c r="G45" s="25" t="str">
        <x:v>彩色</x:v>
      </x:c>
      <x:c r="H45" s="25" t="str">
        <x:v>伤害系数×6</x:v>
      </x:c>
      <x:c r="I45" s="25" t="str">
        <x:v>明确的代表组合，不等于100次必出指定名称</x:v>
      </x:c>
    </x:row>
    <x:row r="46">
      <x:c r="A46" s="25" t="str">
        <x:v>C05-E</x:v>
      </x:c>
      <x:c r="B46" s="25" t="str">
        <x:v>湖之利耶尼亚</x:v>
      </x:c>
      <x:c r="C46" s="25" t="str">
        <x:v>半急速入场</x:v>
      </x:c>
      <x:c r="D46" s="25" t="n">
        <x:v>4</x:v>
      </x:c>
      <x:c r="E46" s="25" t="n">
        <x:v>1090</x:v>
      </x:c>
      <x:c r="F46" s="25" t="str">
        <x:v>【万法不侵】</x:v>
      </x:c>
      <x:c r="G46" s="25" t="str">
        <x:v>彩色</x:v>
      </x:c>
      <x:c r="H46" s="25" t="str">
        <x:v>伤害吸收上限×3；对怪伤害吸收×6</x:v>
      </x:c>
      <x:c r="I46" s="25" t="str">
        <x:v>明确的代表组合，不等于100次必出指定名称</x:v>
      </x:c>
    </x:row>
    <x:row r="47">
      <x:c r="A47" s="25" t="str">
        <x:v>C05-M</x:v>
      </x:c>
      <x:c r="B47" s="25" t="str">
        <x:v>湖之利耶尼亚</x:v>
      </x:c>
      <x:c r="C47" s="25" t="str">
        <x:v>半急速中期</x:v>
      </x:c>
      <x:c r="D47" s="25" t="n">
        <x:v>1</x:v>
      </x:c>
      <x:c r="E47" s="25" t="n">
        <x:v>1092</x:v>
      </x:c>
      <x:c r="F47" s="25" t="str">
        <x:v>【风卷残云】</x:v>
      </x:c>
      <x:c r="G47" s="25" t="str">
        <x:v>彩色</x:v>
      </x:c>
      <x:c r="H47" s="25" t="str">
        <x:v>攻击速度×2；打怪伤害×3；准确×10</x:v>
      </x:c>
      <x:c r="I47" s="25" t="str">
        <x:v>明确的代表组合，不等于100次必出指定名称</x:v>
      </x:c>
    </x:row>
    <x:row r="48">
      <x:c r="A48" s="25" t="str">
        <x:v>C05-M</x:v>
      </x:c>
      <x:c r="B48" s="25" t="str">
        <x:v>湖之利耶尼亚</x:v>
      </x:c>
      <x:c r="C48" s="25" t="str">
        <x:v>半急速中期</x:v>
      </x:c>
      <x:c r="D48" s="25" t="n">
        <x:v>2</x:v>
      </x:c>
      <x:c r="E48" s="25" t="n">
        <x:v>1093</x:v>
      </x:c>
      <x:c r="F48" s="25" t="str">
        <x:v>【鸿运盖世】</x:v>
      </x:c>
      <x:c r="G48" s="25" t="str">
        <x:v>彩色</x:v>
      </x:c>
      <x:c r="H48" s="25" t="str">
        <x:v>人物爆率×3；最大爆率×2；爆率×50</x:v>
      </x:c>
      <x:c r="I48" s="25" t="str">
        <x:v>明确的代表组合，不等于100次必出指定名称</x:v>
      </x:c>
    </x:row>
    <x:row r="49">
      <x:c r="A49" s="25" t="str">
        <x:v>C05-M</x:v>
      </x:c>
      <x:c r="B49" s="25" t="str">
        <x:v>湖之利耶尼亚</x:v>
      </x:c>
      <x:c r="C49" s="25" t="str">
        <x:v>半急速中期</x:v>
      </x:c>
      <x:c r="D49" s="25" t="n">
        <x:v>3</x:v>
      </x:c>
      <x:c r="E49" s="25" t="n">
        <x:v>1081</x:v>
      </x:c>
      <x:c r="F49" s="25" t="str">
        <x:v>【唯我独尊】</x:v>
      </x:c>
      <x:c r="G49" s="25" t="str">
        <x:v>彩色</x:v>
      </x:c>
      <x:c r="H49" s="25" t="str">
        <x:v>伤害系数×6</x:v>
      </x:c>
      <x:c r="I49" s="25" t="str">
        <x:v>明确的代表组合，不等于100次必出指定名称</x:v>
      </x:c>
    </x:row>
    <x:row r="50">
      <x:c r="A50" s="25" t="str">
        <x:v>C05-M</x:v>
      </x:c>
      <x:c r="B50" s="25" t="str">
        <x:v>湖之利耶尼亚</x:v>
      </x:c>
      <x:c r="C50" s="25" t="str">
        <x:v>半急速中期</x:v>
      </x:c>
      <x:c r="D50" s="25" t="n">
        <x:v>4</x:v>
      </x:c>
      <x:c r="E50" s="25" t="n">
        <x:v>1090</x:v>
      </x:c>
      <x:c r="F50" s="25" t="str">
        <x:v>【万法不侵】</x:v>
      </x:c>
      <x:c r="G50" s="25" t="str">
        <x:v>彩色</x:v>
      </x:c>
      <x:c r="H50" s="25" t="str">
        <x:v>伤害吸收上限×3；对怪伤害吸收×6</x:v>
      </x:c>
      <x:c r="I50" s="25" t="str">
        <x:v>明确的代表组合，不等于100次必出指定名称</x:v>
      </x:c>
    </x:row>
    <x:row r="51">
      <x:c r="A51" s="25" t="str">
        <x:v>C05-M</x:v>
      </x:c>
      <x:c r="B51" s="25" t="str">
        <x:v>湖之利耶尼亚</x:v>
      </x:c>
      <x:c r="C51" s="25" t="str">
        <x:v>半急速中期</x:v>
      </x:c>
      <x:c r="D51" s="25" t="n">
        <x:v>5</x:v>
      </x:c>
      <x:c r="E51" s="25" t="n">
        <x:v>1089</x:v>
      </x:c>
      <x:c r="F51" s="25" t="str">
        <x:v>【浴血重生】</x:v>
      </x:c>
      <x:c r="G51" s="25" t="str">
        <x:v>彩色</x:v>
      </x:c>
      <x:c r="H51" s="25" t="str">
        <x:v>吸血×0.75；HP×1500；攻击伤害×2</x:v>
      </x:c>
      <x:c r="I51" s="25" t="str">
        <x:v>明确的代表组合，不等于100次必出指定名称</x:v>
      </x:c>
    </x:row>
    <x:row r="52">
      <x:c r="A52" s="25" t="str">
        <x:v>C05-G</x:v>
      </x:c>
      <x:c r="B52" s="25" t="str">
        <x:v>湖之利耶尼亚</x:v>
      </x:c>
      <x:c r="C52" s="25" t="str">
        <x:v>半急速毕业</x:v>
      </x:c>
      <x:c r="D52" s="25" t="n">
        <x:v>1</x:v>
      </x:c>
      <x:c r="E52" s="25" t="n">
        <x:v>1092</x:v>
      </x:c>
      <x:c r="F52" s="25" t="str">
        <x:v>【风卷残云】</x:v>
      </x:c>
      <x:c r="G52" s="25" t="str">
        <x:v>彩色</x:v>
      </x:c>
      <x:c r="H52" s="25" t="str">
        <x:v>攻击速度×2；打怪伤害×3；准确×10</x:v>
      </x:c>
      <x:c r="I52" s="25" t="str">
        <x:v>明确的代表组合，不等于100次必出指定名称</x:v>
      </x:c>
    </x:row>
    <x:row r="53">
      <x:c r="A53" s="25" t="str">
        <x:v>C05-G</x:v>
      </x:c>
      <x:c r="B53" s="25" t="str">
        <x:v>湖之利耶尼亚</x:v>
      </x:c>
      <x:c r="C53" s="25" t="str">
        <x:v>半急速毕业</x:v>
      </x:c>
      <x:c r="D53" s="25" t="n">
        <x:v>2</x:v>
      </x:c>
      <x:c r="E53" s="25" t="n">
        <x:v>1093</x:v>
      </x:c>
      <x:c r="F53" s="25" t="str">
        <x:v>【鸿运盖世】</x:v>
      </x:c>
      <x:c r="G53" s="25" t="str">
        <x:v>彩色</x:v>
      </x:c>
      <x:c r="H53" s="25" t="str">
        <x:v>人物爆率×3；最大爆率×2；爆率×50</x:v>
      </x:c>
      <x:c r="I53" s="25" t="str">
        <x:v>明确的代表组合，不等于100次必出指定名称</x:v>
      </x:c>
    </x:row>
    <x:row r="54">
      <x:c r="A54" s="25" t="str">
        <x:v>C05-G</x:v>
      </x:c>
      <x:c r="B54" s="25" t="str">
        <x:v>湖之利耶尼亚</x:v>
      </x:c>
      <x:c r="C54" s="25" t="str">
        <x:v>半急速毕业</x:v>
      </x:c>
      <x:c r="D54" s="25" t="n">
        <x:v>3</x:v>
      </x:c>
      <x:c r="E54" s="25" t="n">
        <x:v>1081</x:v>
      </x:c>
      <x:c r="F54" s="25" t="str">
        <x:v>【唯我独尊】</x:v>
      </x:c>
      <x:c r="G54" s="25" t="str">
        <x:v>彩色</x:v>
      </x:c>
      <x:c r="H54" s="25" t="str">
        <x:v>伤害系数×6</x:v>
      </x:c>
      <x:c r="I54" s="25" t="str">
        <x:v>明确的代表组合，不等于100次必出指定名称</x:v>
      </x:c>
    </x:row>
    <x:row r="55">
      <x:c r="A55" s="25" t="str">
        <x:v>C05-G</x:v>
      </x:c>
      <x:c r="B55" s="25" t="str">
        <x:v>湖之利耶尼亚</x:v>
      </x:c>
      <x:c r="C55" s="25" t="str">
        <x:v>半急速毕业</x:v>
      </x:c>
      <x:c r="D55" s="25" t="n">
        <x:v>4</x:v>
      </x:c>
      <x:c r="E55" s="25" t="n">
        <x:v>1090</x:v>
      </x:c>
      <x:c r="F55" s="25" t="str">
        <x:v>【万法不侵】</x:v>
      </x:c>
      <x:c r="G55" s="25" t="str">
        <x:v>彩色</x:v>
      </x:c>
      <x:c r="H55" s="25" t="str">
        <x:v>伤害吸收上限×3；对怪伤害吸收×6</x:v>
      </x:c>
      <x:c r="I55" s="25" t="str">
        <x:v>明确的代表组合，不等于100次必出指定名称</x:v>
      </x:c>
    </x:row>
    <x:row r="56">
      <x:c r="A56" s="25" t="str">
        <x:v>C05-G</x:v>
      </x:c>
      <x:c r="B56" s="25" t="str">
        <x:v>湖之利耶尼亚</x:v>
      </x:c>
      <x:c r="C56" s="25" t="str">
        <x:v>半急速毕业</x:v>
      </x:c>
      <x:c r="D56" s="25" t="n">
        <x:v>5</x:v>
      </x:c>
      <x:c r="E56" s="25" t="n">
        <x:v>1089</x:v>
      </x:c>
      <x:c r="F56" s="25" t="str">
        <x:v>【浴血重生】</x:v>
      </x:c>
      <x:c r="G56" s="25" t="str">
        <x:v>彩色</x:v>
      </x:c>
      <x:c r="H56" s="25" t="str">
        <x:v>吸血×0.75；HP×1500；攻击伤害×2</x:v>
      </x:c>
      <x:c r="I56" s="25" t="str">
        <x:v>明确的代表组合，不等于100次必出指定名称</x:v>
      </x:c>
    </x:row>
    <x:row r="57">
      <x:c r="A57" s="25" t="str">
        <x:v>C05-X</x:v>
      </x:c>
      <x:c r="B57" s="25" t="str">
        <x:v>湖之利耶尼亚</x:v>
      </x:c>
      <x:c r="C57" s="25" t="str">
        <x:v>极端压力</x:v>
      </x:c>
      <x:c r="D57" s="25" t="n">
        <x:v>1</x:v>
      </x:c>
      <x:c r="E57" s="25" t="n">
        <x:v>1092</x:v>
      </x:c>
      <x:c r="F57" s="25" t="str">
        <x:v>【风卷残云】</x:v>
      </x:c>
      <x:c r="G57" s="25" t="str">
        <x:v>彩色</x:v>
      </x:c>
      <x:c r="H57" s="25" t="str">
        <x:v>攻击速度×2；打怪伤害×3；准确×10</x:v>
      </x:c>
      <x:c r="I57" s="25" t="str">
        <x:v>明确的代表组合，不等于100次必出指定名称</x:v>
      </x:c>
    </x:row>
    <x:row r="58">
      <x:c r="A58" s="25" t="str">
        <x:v>C05-X</x:v>
      </x:c>
      <x:c r="B58" s="25" t="str">
        <x:v>湖之利耶尼亚</x:v>
      </x:c>
      <x:c r="C58" s="25" t="str">
        <x:v>极端压力</x:v>
      </x:c>
      <x:c r="D58" s="25" t="n">
        <x:v>2</x:v>
      </x:c>
      <x:c r="E58" s="25" t="n">
        <x:v>1093</x:v>
      </x:c>
      <x:c r="F58" s="25" t="str">
        <x:v>【鸿运盖世】</x:v>
      </x:c>
      <x:c r="G58" s="25" t="str">
        <x:v>彩色</x:v>
      </x:c>
      <x:c r="H58" s="25" t="str">
        <x:v>人物爆率×3；最大爆率×2；爆率×50</x:v>
      </x:c>
      <x:c r="I58" s="25" t="str">
        <x:v>明确的代表组合，不等于100次必出指定名称</x:v>
      </x:c>
    </x:row>
    <x:row r="59">
      <x:c r="A59" s="25" t="str">
        <x:v>C05-X</x:v>
      </x:c>
      <x:c r="B59" s="25" t="str">
        <x:v>湖之利耶尼亚</x:v>
      </x:c>
      <x:c r="C59" s="25" t="str">
        <x:v>极端压力</x:v>
      </x:c>
      <x:c r="D59" s="25" t="n">
        <x:v>3</x:v>
      </x:c>
      <x:c r="E59" s="25" t="n">
        <x:v>1081</x:v>
      </x:c>
      <x:c r="F59" s="25" t="str">
        <x:v>【唯我独尊】</x:v>
      </x:c>
      <x:c r="G59" s="25" t="str">
        <x:v>彩色</x:v>
      </x:c>
      <x:c r="H59" s="25" t="str">
        <x:v>伤害系数×6</x:v>
      </x:c>
      <x:c r="I59" s="25" t="str">
        <x:v>明确的代表组合，不等于100次必出指定名称</x:v>
      </x:c>
    </x:row>
    <x:row r="60">
      <x:c r="A60" s="25" t="str">
        <x:v>C05-X</x:v>
      </x:c>
      <x:c r="B60" s="25" t="str">
        <x:v>湖之利耶尼亚</x:v>
      </x:c>
      <x:c r="C60" s="25" t="str">
        <x:v>极端压力</x:v>
      </x:c>
      <x:c r="D60" s="25" t="n">
        <x:v>4</x:v>
      </x:c>
      <x:c r="E60" s="25" t="n">
        <x:v>1090</x:v>
      </x:c>
      <x:c r="F60" s="25" t="str">
        <x:v>【万法不侵】</x:v>
      </x:c>
      <x:c r="G60" s="25" t="str">
        <x:v>彩色</x:v>
      </x:c>
      <x:c r="H60" s="25" t="str">
        <x:v>伤害吸收上限×3；对怪伤害吸收×6</x:v>
      </x:c>
      <x:c r="I60" s="25" t="str">
        <x:v>明确的代表组合，不等于100次必出指定名称</x:v>
      </x:c>
    </x:row>
    <x:row r="61">
      <x:c r="A61" s="25" t="str">
        <x:v>C05-X</x:v>
      </x:c>
      <x:c r="B61" s="25" t="str">
        <x:v>湖之利耶尼亚</x:v>
      </x:c>
      <x:c r="C61" s="25" t="str">
        <x:v>极端压力</x:v>
      </x:c>
      <x:c r="D61" s="25" t="n">
        <x:v>5</x:v>
      </x:c>
      <x:c r="E61" s="25" t="n">
        <x:v>1095</x:v>
      </x:c>
      <x:c r="F61" s="25" t="str">
        <x:v>【一眼定生死】</x:v>
      </x:c>
      <x:c r="G61" s="25" t="str">
        <x:v>彩色</x:v>
      </x:c>
      <x:c r="H61" s="25" t="str">
        <x:v>处决概率×2；处决倍率×15；尾刀斩杀×2</x:v>
      </x:c>
      <x:c r="I61" s="25" t="str">
        <x:v>明确的代表组合，不等于100次必出指定名称</x:v>
      </x:c>
    </x:row>
    <x:row r="62">
      <x:c r="A62" s="25" t="str">
        <x:v>C06-E</x:v>
      </x:c>
      <x:c r="B62" s="25" t="str">
        <x:v>盖利德</x:v>
      </x:c>
      <x:c r="C62" s="25" t="str">
        <x:v>半急速入场</x:v>
      </x:c>
      <x:c r="D62" s="25" t="n">
        <x:v>1</x:v>
      </x:c>
      <x:c r="E62" s="25" t="n">
        <x:v>1092</x:v>
      </x:c>
      <x:c r="F62" s="25" t="str">
        <x:v>【风卷残云】</x:v>
      </x:c>
      <x:c r="G62" s="25" t="str">
        <x:v>彩色</x:v>
      </x:c>
      <x:c r="H62" s="25" t="str">
        <x:v>攻击速度×2；打怪伤害×3；准确×10</x:v>
      </x:c>
      <x:c r="I62" s="25" t="str">
        <x:v>明确的代表组合，不等于100次必出指定名称</x:v>
      </x:c>
    </x:row>
    <x:row r="63">
      <x:c r="A63" s="25" t="str">
        <x:v>C06-E</x:v>
      </x:c>
      <x:c r="B63" s="25" t="str">
        <x:v>盖利德</x:v>
      </x:c>
      <x:c r="C63" s="25" t="str">
        <x:v>半急速入场</x:v>
      </x:c>
      <x:c r="D63" s="25" t="n">
        <x:v>2</x:v>
      </x:c>
      <x:c r="E63" s="25" t="n">
        <x:v>1093</x:v>
      </x:c>
      <x:c r="F63" s="25" t="str">
        <x:v>【鸿运盖世】</x:v>
      </x:c>
      <x:c r="G63" s="25" t="str">
        <x:v>彩色</x:v>
      </x:c>
      <x:c r="H63" s="25" t="str">
        <x:v>人物爆率×3；最大爆率×2；爆率×50</x:v>
      </x:c>
      <x:c r="I63" s="25" t="str">
        <x:v>明确的代表组合，不等于100次必出指定名称</x:v>
      </x:c>
    </x:row>
    <x:row r="64">
      <x:c r="A64" s="25" t="str">
        <x:v>C06-E</x:v>
      </x:c>
      <x:c r="B64" s="25" t="str">
        <x:v>盖利德</x:v>
      </x:c>
      <x:c r="C64" s="25" t="str">
        <x:v>半急速入场</x:v>
      </x:c>
      <x:c r="D64" s="25" t="n">
        <x:v>3</x:v>
      </x:c>
      <x:c r="E64" s="25" t="n">
        <x:v>1081</x:v>
      </x:c>
      <x:c r="F64" s="25" t="str">
        <x:v>【唯我独尊】</x:v>
      </x:c>
      <x:c r="G64" s="25" t="str">
        <x:v>彩色</x:v>
      </x:c>
      <x:c r="H64" s="25" t="str">
        <x:v>伤害系数×6</x:v>
      </x:c>
      <x:c r="I64" s="25" t="str">
        <x:v>明确的代表组合，不等于100次必出指定名称</x:v>
      </x:c>
    </x:row>
    <x:row r="65">
      <x:c r="A65" s="25" t="str">
        <x:v>C06-E</x:v>
      </x:c>
      <x:c r="B65" s="25" t="str">
        <x:v>盖利德</x:v>
      </x:c>
      <x:c r="C65" s="25" t="str">
        <x:v>半急速入场</x:v>
      </x:c>
      <x:c r="D65" s="25" t="n">
        <x:v>4</x:v>
      </x:c>
      <x:c r="E65" s="25" t="n">
        <x:v>1090</x:v>
      </x:c>
      <x:c r="F65" s="25" t="str">
        <x:v>【万法不侵】</x:v>
      </x:c>
      <x:c r="G65" s="25" t="str">
        <x:v>彩色</x:v>
      </x:c>
      <x:c r="H65" s="25" t="str">
        <x:v>伤害吸收上限×3；对怪伤害吸收×6</x:v>
      </x:c>
      <x:c r="I65" s="25" t="str">
        <x:v>明确的代表组合，不等于100次必出指定名称</x:v>
      </x:c>
    </x:row>
    <x:row r="66">
      <x:c r="A66" s="25" t="str">
        <x:v>C06-E</x:v>
      </x:c>
      <x:c r="B66" s="25" t="str">
        <x:v>盖利德</x:v>
      </x:c>
      <x:c r="C66" s="25" t="str">
        <x:v>半急速入场</x:v>
      </x:c>
      <x:c r="D66" s="25" t="n">
        <x:v>5</x:v>
      </x:c>
      <x:c r="E66" s="25" t="n">
        <x:v>1089</x:v>
      </x:c>
      <x:c r="F66" s="25" t="str">
        <x:v>【浴血重生】</x:v>
      </x:c>
      <x:c r="G66" s="25" t="str">
        <x:v>彩色</x:v>
      </x:c>
      <x:c r="H66" s="25" t="str">
        <x:v>吸血×0.75；HP×1500；攻击伤害×2</x:v>
      </x:c>
      <x:c r="I66" s="25" t="str">
        <x:v>明确的代表组合，不等于100次必出指定名称</x:v>
      </x:c>
    </x:row>
    <x:row r="67">
      <x:c r="A67" s="25" t="str">
        <x:v>C06-M</x:v>
      </x:c>
      <x:c r="B67" s="25" t="str">
        <x:v>盖利德</x:v>
      </x:c>
      <x:c r="C67" s="25" t="str">
        <x:v>半急速中期</x:v>
      </x:c>
      <x:c r="D67" s="25" t="n">
        <x:v>1</x:v>
      </x:c>
      <x:c r="E67" s="25" t="n">
        <x:v>1092</x:v>
      </x:c>
      <x:c r="F67" s="25" t="str">
        <x:v>【风卷残云】</x:v>
      </x:c>
      <x:c r="G67" s="25" t="str">
        <x:v>彩色</x:v>
      </x:c>
      <x:c r="H67" s="25" t="str">
        <x:v>攻击速度×2；打怪伤害×3；准确×10</x:v>
      </x:c>
      <x:c r="I67" s="25" t="str">
        <x:v>明确的代表组合，不等于100次必出指定名称</x:v>
      </x:c>
    </x:row>
    <x:row r="68">
      <x:c r="A68" s="25" t="str">
        <x:v>C06-M</x:v>
      </x:c>
      <x:c r="B68" s="25" t="str">
        <x:v>盖利德</x:v>
      </x:c>
      <x:c r="C68" s="25" t="str">
        <x:v>半急速中期</x:v>
      </x:c>
      <x:c r="D68" s="25" t="n">
        <x:v>2</x:v>
      </x:c>
      <x:c r="E68" s="25" t="n">
        <x:v>1093</x:v>
      </x:c>
      <x:c r="F68" s="25" t="str">
        <x:v>【鸿运盖世】</x:v>
      </x:c>
      <x:c r="G68" s="25" t="str">
        <x:v>彩色</x:v>
      </x:c>
      <x:c r="H68" s="25" t="str">
        <x:v>人物爆率×3；最大爆率×2；爆率×50</x:v>
      </x:c>
      <x:c r="I68" s="25" t="str">
        <x:v>明确的代表组合，不等于100次必出指定名称</x:v>
      </x:c>
    </x:row>
    <x:row r="69">
      <x:c r="A69" s="25" t="str">
        <x:v>C06-M</x:v>
      </x:c>
      <x:c r="B69" s="25" t="str">
        <x:v>盖利德</x:v>
      </x:c>
      <x:c r="C69" s="25" t="str">
        <x:v>半急速中期</x:v>
      </x:c>
      <x:c r="D69" s="25" t="n">
        <x:v>3</x:v>
      </x:c>
      <x:c r="E69" s="25" t="n">
        <x:v>1081</x:v>
      </x:c>
      <x:c r="F69" s="25" t="str">
        <x:v>【唯我独尊】</x:v>
      </x:c>
      <x:c r="G69" s="25" t="str">
        <x:v>彩色</x:v>
      </x:c>
      <x:c r="H69" s="25" t="str">
        <x:v>伤害系数×6</x:v>
      </x:c>
      <x:c r="I69" s="25" t="str">
        <x:v>明确的代表组合，不等于100次必出指定名称</x:v>
      </x:c>
    </x:row>
    <x:row r="70">
      <x:c r="A70" s="25" t="str">
        <x:v>C06-M</x:v>
      </x:c>
      <x:c r="B70" s="25" t="str">
        <x:v>盖利德</x:v>
      </x:c>
      <x:c r="C70" s="25" t="str">
        <x:v>半急速中期</x:v>
      </x:c>
      <x:c r="D70" s="25" t="n">
        <x:v>4</x:v>
      </x:c>
      <x:c r="E70" s="25" t="n">
        <x:v>1090</x:v>
      </x:c>
      <x:c r="F70" s="25" t="str">
        <x:v>【万法不侵】</x:v>
      </x:c>
      <x:c r="G70" s="25" t="str">
        <x:v>彩色</x:v>
      </x:c>
      <x:c r="H70" s="25" t="str">
        <x:v>伤害吸收上限×3；对怪伤害吸收×6</x:v>
      </x:c>
      <x:c r="I70" s="25" t="str">
        <x:v>明确的代表组合，不等于100次必出指定名称</x:v>
      </x:c>
    </x:row>
    <x:row r="71">
      <x:c r="A71" s="25" t="str">
        <x:v>C06-M</x:v>
      </x:c>
      <x:c r="B71" s="25" t="str">
        <x:v>盖利德</x:v>
      </x:c>
      <x:c r="C71" s="25" t="str">
        <x:v>半急速中期</x:v>
      </x:c>
      <x:c r="D71" s="25" t="n">
        <x:v>5</x:v>
      </x:c>
      <x:c r="E71" s="25" t="n">
        <x:v>1089</x:v>
      </x:c>
      <x:c r="F71" s="25" t="str">
        <x:v>【浴血重生】</x:v>
      </x:c>
      <x:c r="G71" s="25" t="str">
        <x:v>彩色</x:v>
      </x:c>
      <x:c r="H71" s="25" t="str">
        <x:v>吸血×0.75；HP×1500；攻击伤害×2</x:v>
      </x:c>
      <x:c r="I71" s="25" t="str">
        <x:v>明确的代表组合，不等于100次必出指定名称</x:v>
      </x:c>
    </x:row>
    <x:row r="72">
      <x:c r="A72" s="25" t="str">
        <x:v>C06-M</x:v>
      </x:c>
      <x:c r="B72" s="25" t="str">
        <x:v>盖利德</x:v>
      </x:c>
      <x:c r="C72" s="25" t="str">
        <x:v>半急速中期</x:v>
      </x:c>
      <x:c r="D72" s="25" t="n">
        <x:v>6</x:v>
      </x:c>
      <x:c r="E72" s="25" t="n">
        <x:v>1097</x:v>
      </x:c>
      <x:c r="F72" s="25" t="str">
        <x:v>【攻无不克】</x:v>
      </x:c>
      <x:c r="G72" s="25" t="str">
        <x:v>彩色</x:v>
      </x:c>
      <x:c r="H72" s="25" t="str">
        <x:v>攻击加成×3；攻击伤害×3</x:v>
      </x:c>
      <x:c r="I72" s="25" t="str">
        <x:v>明确的代表组合，不等于100次必出指定名称</x:v>
      </x:c>
    </x:row>
    <x:row r="73">
      <x:c r="A73" s="25" t="str">
        <x:v>C06-G</x:v>
      </x:c>
      <x:c r="B73" s="25" t="str">
        <x:v>盖利德</x:v>
      </x:c>
      <x:c r="C73" s="25" t="str">
        <x:v>半急速毕业</x:v>
      </x:c>
      <x:c r="D73" s="25" t="n">
        <x:v>1</x:v>
      </x:c>
      <x:c r="E73" s="25" t="n">
        <x:v>1092</x:v>
      </x:c>
      <x:c r="F73" s="25" t="str">
        <x:v>【风卷残云】</x:v>
      </x:c>
      <x:c r="G73" s="25" t="str">
        <x:v>彩色</x:v>
      </x:c>
      <x:c r="H73" s="25" t="str">
        <x:v>攻击速度×2；打怪伤害×3；准确×10</x:v>
      </x:c>
      <x:c r="I73" s="25" t="str">
        <x:v>明确的代表组合，不等于100次必出指定名称</x:v>
      </x:c>
    </x:row>
    <x:row r="74">
      <x:c r="A74" s="25" t="str">
        <x:v>C06-G</x:v>
      </x:c>
      <x:c r="B74" s="25" t="str">
        <x:v>盖利德</x:v>
      </x:c>
      <x:c r="C74" s="25" t="str">
        <x:v>半急速毕业</x:v>
      </x:c>
      <x:c r="D74" s="25" t="n">
        <x:v>2</x:v>
      </x:c>
      <x:c r="E74" s="25" t="n">
        <x:v>1093</x:v>
      </x:c>
      <x:c r="F74" s="25" t="str">
        <x:v>【鸿运盖世】</x:v>
      </x:c>
      <x:c r="G74" s="25" t="str">
        <x:v>彩色</x:v>
      </x:c>
      <x:c r="H74" s="25" t="str">
        <x:v>人物爆率×3；最大爆率×2；爆率×50</x:v>
      </x:c>
      <x:c r="I74" s="25" t="str">
        <x:v>明确的代表组合，不等于100次必出指定名称</x:v>
      </x:c>
    </x:row>
    <x:row r="75">
      <x:c r="A75" s="25" t="str">
        <x:v>C06-G</x:v>
      </x:c>
      <x:c r="B75" s="25" t="str">
        <x:v>盖利德</x:v>
      </x:c>
      <x:c r="C75" s="25" t="str">
        <x:v>半急速毕业</x:v>
      </x:c>
      <x:c r="D75" s="25" t="n">
        <x:v>3</x:v>
      </x:c>
      <x:c r="E75" s="25" t="n">
        <x:v>1081</x:v>
      </x:c>
      <x:c r="F75" s="25" t="str">
        <x:v>【唯我独尊】</x:v>
      </x:c>
      <x:c r="G75" s="25" t="str">
        <x:v>彩色</x:v>
      </x:c>
      <x:c r="H75" s="25" t="str">
        <x:v>伤害系数×6</x:v>
      </x:c>
      <x:c r="I75" s="25" t="str">
        <x:v>明确的代表组合，不等于100次必出指定名称</x:v>
      </x:c>
    </x:row>
    <x:row r="76">
      <x:c r="A76" s="25" t="str">
        <x:v>C06-G</x:v>
      </x:c>
      <x:c r="B76" s="25" t="str">
        <x:v>盖利德</x:v>
      </x:c>
      <x:c r="C76" s="25" t="str">
        <x:v>半急速毕业</x:v>
      </x:c>
      <x:c r="D76" s="25" t="n">
        <x:v>4</x:v>
      </x:c>
      <x:c r="E76" s="25" t="n">
        <x:v>1090</x:v>
      </x:c>
      <x:c r="F76" s="25" t="str">
        <x:v>【万法不侵】</x:v>
      </x:c>
      <x:c r="G76" s="25" t="str">
        <x:v>彩色</x:v>
      </x:c>
      <x:c r="H76" s="25" t="str">
        <x:v>伤害吸收上限×3；对怪伤害吸收×6</x:v>
      </x:c>
      <x:c r="I76" s="25" t="str">
        <x:v>明确的代表组合，不等于100次必出指定名称</x:v>
      </x:c>
    </x:row>
    <x:row r="77">
      <x:c r="A77" s="25" t="str">
        <x:v>C06-G</x:v>
      </x:c>
      <x:c r="B77" s="25" t="str">
        <x:v>盖利德</x:v>
      </x:c>
      <x:c r="C77" s="25" t="str">
        <x:v>半急速毕业</x:v>
      </x:c>
      <x:c r="D77" s="25" t="n">
        <x:v>5</x:v>
      </x:c>
      <x:c r="E77" s="25" t="n">
        <x:v>1089</x:v>
      </x:c>
      <x:c r="F77" s="25" t="str">
        <x:v>【浴血重生】</x:v>
      </x:c>
      <x:c r="G77" s="25" t="str">
        <x:v>彩色</x:v>
      </x:c>
      <x:c r="H77" s="25" t="str">
        <x:v>吸血×0.75；HP×1500；攻击伤害×2</x:v>
      </x:c>
      <x:c r="I77" s="25" t="str">
        <x:v>明确的代表组合，不等于100次必出指定名称</x:v>
      </x:c>
    </x:row>
    <x:row r="78">
      <x:c r="A78" s="25" t="str">
        <x:v>C06-G</x:v>
      </x:c>
      <x:c r="B78" s="25" t="str">
        <x:v>盖利德</x:v>
      </x:c>
      <x:c r="C78" s="25" t="str">
        <x:v>半急速毕业</x:v>
      </x:c>
      <x:c r="D78" s="25" t="n">
        <x:v>6</x:v>
      </x:c>
      <x:c r="E78" s="25" t="n">
        <x:v>1097</x:v>
      </x:c>
      <x:c r="F78" s="25" t="str">
        <x:v>【攻无不克】</x:v>
      </x:c>
      <x:c r="G78" s="25" t="str">
        <x:v>彩色</x:v>
      </x:c>
      <x:c r="H78" s="25" t="str">
        <x:v>攻击加成×3；攻击伤害×3</x:v>
      </x:c>
      <x:c r="I78" s="25" t="str">
        <x:v>明确的代表组合，不等于100次必出指定名称</x:v>
      </x:c>
    </x:row>
    <x:row r="79">
      <x:c r="A79" s="25" t="str">
        <x:v>C06-X</x:v>
      </x:c>
      <x:c r="B79" s="25" t="str">
        <x:v>盖利德</x:v>
      </x:c>
      <x:c r="C79" s="25" t="str">
        <x:v>极端压力</x:v>
      </x:c>
      <x:c r="D79" s="25" t="n">
        <x:v>1</x:v>
      </x:c>
      <x:c r="E79" s="25" t="n">
        <x:v>1092</x:v>
      </x:c>
      <x:c r="F79" s="25" t="str">
        <x:v>【风卷残云】</x:v>
      </x:c>
      <x:c r="G79" s="25" t="str">
        <x:v>彩色</x:v>
      </x:c>
      <x:c r="H79" s="25" t="str">
        <x:v>攻击速度×2；打怪伤害×3；准确×10</x:v>
      </x:c>
      <x:c r="I79" s="25" t="str">
        <x:v>明确的代表组合，不等于100次必出指定名称</x:v>
      </x:c>
    </x:row>
    <x:row r="80">
      <x:c r="A80" s="25" t="str">
        <x:v>C06-X</x:v>
      </x:c>
      <x:c r="B80" s="25" t="str">
        <x:v>盖利德</x:v>
      </x:c>
      <x:c r="C80" s="25" t="str">
        <x:v>极端压力</x:v>
      </x:c>
      <x:c r="D80" s="25" t="n">
        <x:v>2</x:v>
      </x:c>
      <x:c r="E80" s="25" t="n">
        <x:v>1093</x:v>
      </x:c>
      <x:c r="F80" s="25" t="str">
        <x:v>【鸿运盖世】</x:v>
      </x:c>
      <x:c r="G80" s="25" t="str">
        <x:v>彩色</x:v>
      </x:c>
      <x:c r="H80" s="25" t="str">
        <x:v>人物爆率×3；最大爆率×2；爆率×50</x:v>
      </x:c>
      <x:c r="I80" s="25" t="str">
        <x:v>明确的代表组合，不等于100次必出指定名称</x:v>
      </x:c>
    </x:row>
    <x:row r="81">
      <x:c r="A81" s="25" t="str">
        <x:v>C06-X</x:v>
      </x:c>
      <x:c r="B81" s="25" t="str">
        <x:v>盖利德</x:v>
      </x:c>
      <x:c r="C81" s="25" t="str">
        <x:v>极端压力</x:v>
      </x:c>
      <x:c r="D81" s="25" t="n">
        <x:v>3</x:v>
      </x:c>
      <x:c r="E81" s="25" t="n">
        <x:v>1081</x:v>
      </x:c>
      <x:c r="F81" s="25" t="str">
        <x:v>【唯我独尊】</x:v>
      </x:c>
      <x:c r="G81" s="25" t="str">
        <x:v>彩色</x:v>
      </x:c>
      <x:c r="H81" s="25" t="str">
        <x:v>伤害系数×6</x:v>
      </x:c>
      <x:c r="I81" s="25" t="str">
        <x:v>明确的代表组合，不等于100次必出指定名称</x:v>
      </x:c>
    </x:row>
    <x:row r="82">
      <x:c r="A82" s="25" t="str">
        <x:v>C06-X</x:v>
      </x:c>
      <x:c r="B82" s="25" t="str">
        <x:v>盖利德</x:v>
      </x:c>
      <x:c r="C82" s="25" t="str">
        <x:v>极端压力</x:v>
      </x:c>
      <x:c r="D82" s="25" t="n">
        <x:v>4</x:v>
      </x:c>
      <x:c r="E82" s="25" t="n">
        <x:v>1090</x:v>
      </x:c>
      <x:c r="F82" s="25" t="str">
        <x:v>【万法不侵】</x:v>
      </x:c>
      <x:c r="G82" s="25" t="str">
        <x:v>彩色</x:v>
      </x:c>
      <x:c r="H82" s="25" t="str">
        <x:v>伤害吸收上限×3；对怪伤害吸收×6</x:v>
      </x:c>
      <x:c r="I82" s="25" t="str">
        <x:v>明确的代表组合，不等于100次必出指定名称</x:v>
      </x:c>
    </x:row>
    <x:row r="83">
      <x:c r="A83" s="25" t="str">
        <x:v>C06-X</x:v>
      </x:c>
      <x:c r="B83" s="25" t="str">
        <x:v>盖利德</x:v>
      </x:c>
      <x:c r="C83" s="25" t="str">
        <x:v>极端压力</x:v>
      </x:c>
      <x:c r="D83" s="25" t="n">
        <x:v>5</x:v>
      </x:c>
      <x:c r="E83" s="25" t="n">
        <x:v>1095</x:v>
      </x:c>
      <x:c r="F83" s="25" t="str">
        <x:v>【一眼定生死】</x:v>
      </x:c>
      <x:c r="G83" s="25" t="str">
        <x:v>彩色</x:v>
      </x:c>
      <x:c r="H83" s="25" t="str">
        <x:v>处决概率×2；处决倍率×15；尾刀斩杀×2</x:v>
      </x:c>
      <x:c r="I83" s="25" t="str">
        <x:v>明确的代表组合，不等于100次必出指定名称</x:v>
      </x:c>
    </x:row>
    <x:row r="84">
      <x:c r="A84" s="25" t="str">
        <x:v>C06-X</x:v>
      </x:c>
      <x:c r="B84" s="25" t="str">
        <x:v>盖利德</x:v>
      </x:c>
      <x:c r="C84" s="25" t="str">
        <x:v>极端压力</x:v>
      </x:c>
      <x:c r="D84" s="25" t="n">
        <x:v>6</x:v>
      </x:c>
      <x:c r="E84" s="25" t="n">
        <x:v>1087</x:v>
      </x:c>
      <x:c r="F84" s="25" t="str">
        <x:v>【斩立决】</x:v>
      </x:c>
      <x:c r="G84" s="25" t="str">
        <x:v>彩色</x:v>
      </x:c>
      <x:c r="H84" s="25" t="str">
        <x:v>处决概率×2；处决倍率×20；处决时间×0.3</x:v>
      </x:c>
      <x:c r="I84" s="25" t="str">
        <x:v>明确的代表组合，不等于100次必出指定名称</x:v>
      </x:c>
    </x:row>
    <x:row r="85">
      <x:c r="A85" s="25" t="str">
        <x:v>C07-E</x:v>
      </x:c>
      <x:c r="B85" s="25" t="str">
        <x:v>化圣雪原</x:v>
      </x:c>
      <x:c r="C85" s="25" t="str">
        <x:v>半急速入场</x:v>
      </x:c>
      <x:c r="D85" s="25" t="n">
        <x:v>1</x:v>
      </x:c>
      <x:c r="E85" s="25" t="n">
        <x:v>1092</x:v>
      </x:c>
      <x:c r="F85" s="25" t="str">
        <x:v>【风卷残云】</x:v>
      </x:c>
      <x:c r="G85" s="25" t="str">
        <x:v>彩色</x:v>
      </x:c>
      <x:c r="H85" s="25" t="str">
        <x:v>攻击速度×2；打怪伤害×3；准确×10</x:v>
      </x:c>
      <x:c r="I85" s="25" t="str">
        <x:v>明确的代表组合，不等于100次必出指定名称</x:v>
      </x:c>
    </x:row>
    <x:row r="86">
      <x:c r="A86" s="25" t="str">
        <x:v>C07-E</x:v>
      </x:c>
      <x:c r="B86" s="25" t="str">
        <x:v>化圣雪原</x:v>
      </x:c>
      <x:c r="C86" s="25" t="str">
        <x:v>半急速入场</x:v>
      </x:c>
      <x:c r="D86" s="25" t="n">
        <x:v>2</x:v>
      </x:c>
      <x:c r="E86" s="25" t="n">
        <x:v>1093</x:v>
      </x:c>
      <x:c r="F86" s="25" t="str">
        <x:v>【鸿运盖世】</x:v>
      </x:c>
      <x:c r="G86" s="25" t="str">
        <x:v>彩色</x:v>
      </x:c>
      <x:c r="H86" s="25" t="str">
        <x:v>人物爆率×3；最大爆率×2；爆率×50</x:v>
      </x:c>
      <x:c r="I86" s="25" t="str">
        <x:v>明确的代表组合，不等于100次必出指定名称</x:v>
      </x:c>
    </x:row>
    <x:row r="87">
      <x:c r="A87" s="25" t="str">
        <x:v>C07-E</x:v>
      </x:c>
      <x:c r="B87" s="25" t="str">
        <x:v>化圣雪原</x:v>
      </x:c>
      <x:c r="C87" s="25" t="str">
        <x:v>半急速入场</x:v>
      </x:c>
      <x:c r="D87" s="25" t="n">
        <x:v>3</x:v>
      </x:c>
      <x:c r="E87" s="25" t="n">
        <x:v>1081</x:v>
      </x:c>
      <x:c r="F87" s="25" t="str">
        <x:v>【唯我独尊】</x:v>
      </x:c>
      <x:c r="G87" s="25" t="str">
        <x:v>彩色</x:v>
      </x:c>
      <x:c r="H87" s="25" t="str">
        <x:v>伤害系数×6</x:v>
      </x:c>
      <x:c r="I87" s="25" t="str">
        <x:v>明确的代表组合，不等于100次必出指定名称</x:v>
      </x:c>
    </x:row>
    <x:row r="88">
      <x:c r="A88" s="25" t="str">
        <x:v>C07-E</x:v>
      </x:c>
      <x:c r="B88" s="25" t="str">
        <x:v>化圣雪原</x:v>
      </x:c>
      <x:c r="C88" s="25" t="str">
        <x:v>半急速入场</x:v>
      </x:c>
      <x:c r="D88" s="25" t="n">
        <x:v>4</x:v>
      </x:c>
      <x:c r="E88" s="25" t="n">
        <x:v>1090</x:v>
      </x:c>
      <x:c r="F88" s="25" t="str">
        <x:v>【万法不侵】</x:v>
      </x:c>
      <x:c r="G88" s="25" t="str">
        <x:v>彩色</x:v>
      </x:c>
      <x:c r="H88" s="25" t="str">
        <x:v>伤害吸收上限×3；对怪伤害吸收×6</x:v>
      </x:c>
      <x:c r="I88" s="25" t="str">
        <x:v>明确的代表组合，不等于100次必出指定名称</x:v>
      </x:c>
    </x:row>
    <x:row r="89">
      <x:c r="A89" s="25" t="str">
        <x:v>C07-E</x:v>
      </x:c>
      <x:c r="B89" s="25" t="str">
        <x:v>化圣雪原</x:v>
      </x:c>
      <x:c r="C89" s="25" t="str">
        <x:v>半急速入场</x:v>
      </x:c>
      <x:c r="D89" s="25" t="n">
        <x:v>5</x:v>
      </x:c>
      <x:c r="E89" s="25" t="n">
        <x:v>1089</x:v>
      </x:c>
      <x:c r="F89" s="25" t="str">
        <x:v>【浴血重生】</x:v>
      </x:c>
      <x:c r="G89" s="25" t="str">
        <x:v>彩色</x:v>
      </x:c>
      <x:c r="H89" s="25" t="str">
        <x:v>吸血×0.75；HP×1500；攻击伤害×2</x:v>
      </x:c>
      <x:c r="I89" s="25" t="str">
        <x:v>明确的代表组合，不等于100次必出指定名称</x:v>
      </x:c>
    </x:row>
    <x:row r="90">
      <x:c r="A90" s="25" t="str">
        <x:v>C07-E</x:v>
      </x:c>
      <x:c r="B90" s="25" t="str">
        <x:v>化圣雪原</x:v>
      </x:c>
      <x:c r="C90" s="25" t="str">
        <x:v>半急速入场</x:v>
      </x:c>
      <x:c r="D90" s="25" t="n">
        <x:v>6</x:v>
      </x:c>
      <x:c r="E90" s="25" t="n">
        <x:v>1097</x:v>
      </x:c>
      <x:c r="F90" s="25" t="str">
        <x:v>【攻无不克】</x:v>
      </x:c>
      <x:c r="G90" s="25" t="str">
        <x:v>彩色</x:v>
      </x:c>
      <x:c r="H90" s="25" t="str">
        <x:v>攻击加成×3；攻击伤害×3</x:v>
      </x:c>
      <x:c r="I90" s="25" t="str">
        <x:v>明确的代表组合，不等于100次必出指定名称</x:v>
      </x:c>
    </x:row>
    <x:row r="91">
      <x:c r="A91" s="25" t="str">
        <x:v>C07-M</x:v>
      </x:c>
      <x:c r="B91" s="25" t="str">
        <x:v>化圣雪原</x:v>
      </x:c>
      <x:c r="C91" s="25" t="str">
        <x:v>半急速中期</x:v>
      </x:c>
      <x:c r="D91" s="25" t="n">
        <x:v>1</x:v>
      </x:c>
      <x:c r="E91" s="25" t="n">
        <x:v>1092</x:v>
      </x:c>
      <x:c r="F91" s="25" t="str">
        <x:v>【风卷残云】</x:v>
      </x:c>
      <x:c r="G91" s="25" t="str">
        <x:v>彩色</x:v>
      </x:c>
      <x:c r="H91" s="25" t="str">
        <x:v>攻击速度×2；打怪伤害×3；准确×10</x:v>
      </x:c>
      <x:c r="I91" s="25" t="str">
        <x:v>明确的代表组合，不等于100次必出指定名称</x:v>
      </x:c>
    </x:row>
    <x:row r="92">
      <x:c r="A92" s="25" t="str">
        <x:v>C07-M</x:v>
      </x:c>
      <x:c r="B92" s="25" t="str">
        <x:v>化圣雪原</x:v>
      </x:c>
      <x:c r="C92" s="25" t="str">
        <x:v>半急速中期</x:v>
      </x:c>
      <x:c r="D92" s="25" t="n">
        <x:v>2</x:v>
      </x:c>
      <x:c r="E92" s="25" t="n">
        <x:v>1093</x:v>
      </x:c>
      <x:c r="F92" s="25" t="str">
        <x:v>【鸿运盖世】</x:v>
      </x:c>
      <x:c r="G92" s="25" t="str">
        <x:v>彩色</x:v>
      </x:c>
      <x:c r="H92" s="25" t="str">
        <x:v>人物爆率×3；最大爆率×2；爆率×50</x:v>
      </x:c>
      <x:c r="I92" s="25" t="str">
        <x:v>明确的代表组合，不等于100次必出指定名称</x:v>
      </x:c>
    </x:row>
    <x:row r="93">
      <x:c r="A93" s="25" t="str">
        <x:v>C07-M</x:v>
      </x:c>
      <x:c r="B93" s="25" t="str">
        <x:v>化圣雪原</x:v>
      </x:c>
      <x:c r="C93" s="25" t="str">
        <x:v>半急速中期</x:v>
      </x:c>
      <x:c r="D93" s="25" t="n">
        <x:v>3</x:v>
      </x:c>
      <x:c r="E93" s="25" t="n">
        <x:v>1081</x:v>
      </x:c>
      <x:c r="F93" s="25" t="str">
        <x:v>【唯我独尊】</x:v>
      </x:c>
      <x:c r="G93" s="25" t="str">
        <x:v>彩色</x:v>
      </x:c>
      <x:c r="H93" s="25" t="str">
        <x:v>伤害系数×6</x:v>
      </x:c>
      <x:c r="I93" s="25" t="str">
        <x:v>明确的代表组合，不等于100次必出指定名称</x:v>
      </x:c>
    </x:row>
    <x:row r="94">
      <x:c r="A94" s="25" t="str">
        <x:v>C07-M</x:v>
      </x:c>
      <x:c r="B94" s="25" t="str">
        <x:v>化圣雪原</x:v>
      </x:c>
      <x:c r="C94" s="25" t="str">
        <x:v>半急速中期</x:v>
      </x:c>
      <x:c r="D94" s="25" t="n">
        <x:v>4</x:v>
      </x:c>
      <x:c r="E94" s="25" t="n">
        <x:v>1090</x:v>
      </x:c>
      <x:c r="F94" s="25" t="str">
        <x:v>【万法不侵】</x:v>
      </x:c>
      <x:c r="G94" s="25" t="str">
        <x:v>彩色</x:v>
      </x:c>
      <x:c r="H94" s="25" t="str">
        <x:v>伤害吸收上限×3；对怪伤害吸收×6</x:v>
      </x:c>
      <x:c r="I94" s="25" t="str">
        <x:v>明确的代表组合，不等于100次必出指定名称</x:v>
      </x:c>
    </x:row>
    <x:row r="95">
      <x:c r="A95" s="25" t="str">
        <x:v>C07-M</x:v>
      </x:c>
      <x:c r="B95" s="25" t="str">
        <x:v>化圣雪原</x:v>
      </x:c>
      <x:c r="C95" s="25" t="str">
        <x:v>半急速中期</x:v>
      </x:c>
      <x:c r="D95" s="25" t="n">
        <x:v>5</x:v>
      </x:c>
      <x:c r="E95" s="25" t="n">
        <x:v>1089</x:v>
      </x:c>
      <x:c r="F95" s="25" t="str">
        <x:v>【浴血重生】</x:v>
      </x:c>
      <x:c r="G95" s="25" t="str">
        <x:v>彩色</x:v>
      </x:c>
      <x:c r="H95" s="25" t="str">
        <x:v>吸血×0.75；HP×1500；攻击伤害×2</x:v>
      </x:c>
      <x:c r="I95" s="25" t="str">
        <x:v>明确的代表组合，不等于100次必出指定名称</x:v>
      </x:c>
    </x:row>
    <x:row r="96">
      <x:c r="A96" s="25" t="str">
        <x:v>C07-M</x:v>
      </x:c>
      <x:c r="B96" s="25" t="str">
        <x:v>化圣雪原</x:v>
      </x:c>
      <x:c r="C96" s="25" t="str">
        <x:v>半急速中期</x:v>
      </x:c>
      <x:c r="D96" s="25" t="n">
        <x:v>6</x:v>
      </x:c>
      <x:c r="E96" s="25" t="n">
        <x:v>1097</x:v>
      </x:c>
      <x:c r="F96" s="25" t="str">
        <x:v>【攻无不克】</x:v>
      </x:c>
      <x:c r="G96" s="25" t="str">
        <x:v>彩色</x:v>
      </x:c>
      <x:c r="H96" s="25" t="str">
        <x:v>攻击加成×3；攻击伤害×3</x:v>
      </x:c>
      <x:c r="I96" s="25" t="str">
        <x:v>明确的代表组合，不等于100次必出指定名称</x:v>
      </x:c>
    </x:row>
    <x:row r="97">
      <x:c r="A97" s="25" t="str">
        <x:v>C07-G</x:v>
      </x:c>
      <x:c r="B97" s="25" t="str">
        <x:v>化圣雪原</x:v>
      </x:c>
      <x:c r="C97" s="25" t="str">
        <x:v>半急速毕业</x:v>
      </x:c>
      <x:c r="D97" s="25" t="n">
        <x:v>1</x:v>
      </x:c>
      <x:c r="E97" s="25" t="n">
        <x:v>1092</x:v>
      </x:c>
      <x:c r="F97" s="25" t="str">
        <x:v>【风卷残云】</x:v>
      </x:c>
      <x:c r="G97" s="25" t="str">
        <x:v>彩色</x:v>
      </x:c>
      <x:c r="H97" s="25" t="str">
        <x:v>攻击速度×2；打怪伤害×3；准确×10</x:v>
      </x:c>
      <x:c r="I97" s="25" t="str">
        <x:v>明确的代表组合，不等于100次必出指定名称</x:v>
      </x:c>
    </x:row>
    <x:row r="98">
      <x:c r="A98" s="25" t="str">
        <x:v>C07-G</x:v>
      </x:c>
      <x:c r="B98" s="25" t="str">
        <x:v>化圣雪原</x:v>
      </x:c>
      <x:c r="C98" s="25" t="str">
        <x:v>半急速毕业</x:v>
      </x:c>
      <x:c r="D98" s="25" t="n">
        <x:v>2</x:v>
      </x:c>
      <x:c r="E98" s="25" t="n">
        <x:v>1093</x:v>
      </x:c>
      <x:c r="F98" s="25" t="str">
        <x:v>【鸿运盖世】</x:v>
      </x:c>
      <x:c r="G98" s="25" t="str">
        <x:v>彩色</x:v>
      </x:c>
      <x:c r="H98" s="25" t="str">
        <x:v>人物爆率×3；最大爆率×2；爆率×50</x:v>
      </x:c>
      <x:c r="I98" s="25" t="str">
        <x:v>明确的代表组合，不等于100次必出指定名称</x:v>
      </x:c>
    </x:row>
    <x:row r="99">
      <x:c r="A99" s="25" t="str">
        <x:v>C07-G</x:v>
      </x:c>
      <x:c r="B99" s="25" t="str">
        <x:v>化圣雪原</x:v>
      </x:c>
      <x:c r="C99" s="25" t="str">
        <x:v>半急速毕业</x:v>
      </x:c>
      <x:c r="D99" s="25" t="n">
        <x:v>3</x:v>
      </x:c>
      <x:c r="E99" s="25" t="n">
        <x:v>1081</x:v>
      </x:c>
      <x:c r="F99" s="25" t="str">
        <x:v>【唯我独尊】</x:v>
      </x:c>
      <x:c r="G99" s="25" t="str">
        <x:v>彩色</x:v>
      </x:c>
      <x:c r="H99" s="25" t="str">
        <x:v>伤害系数×6</x:v>
      </x:c>
      <x:c r="I99" s="25" t="str">
        <x:v>明确的代表组合，不等于100次必出指定名称</x:v>
      </x:c>
    </x:row>
    <x:row r="100">
      <x:c r="A100" s="25" t="str">
        <x:v>C07-G</x:v>
      </x:c>
      <x:c r="B100" s="25" t="str">
        <x:v>化圣雪原</x:v>
      </x:c>
      <x:c r="C100" s="25" t="str">
        <x:v>半急速毕业</x:v>
      </x:c>
      <x:c r="D100" s="25" t="n">
        <x:v>4</x:v>
      </x:c>
      <x:c r="E100" s="25" t="n">
        <x:v>1090</x:v>
      </x:c>
      <x:c r="F100" s="25" t="str">
        <x:v>【万法不侵】</x:v>
      </x:c>
      <x:c r="G100" s="25" t="str">
        <x:v>彩色</x:v>
      </x:c>
      <x:c r="H100" s="25" t="str">
        <x:v>伤害吸收上限×3；对怪伤害吸收×6</x:v>
      </x:c>
      <x:c r="I100" s="25" t="str">
        <x:v>明确的代表组合，不等于100次必出指定名称</x:v>
      </x:c>
    </x:row>
    <x:row r="101">
      <x:c r="A101" s="25" t="str">
        <x:v>C07-G</x:v>
      </x:c>
      <x:c r="B101" s="25" t="str">
        <x:v>化圣雪原</x:v>
      </x:c>
      <x:c r="C101" s="25" t="str">
        <x:v>半急速毕业</x:v>
      </x:c>
      <x:c r="D101" s="25" t="n">
        <x:v>5</x:v>
      </x:c>
      <x:c r="E101" s="25" t="n">
        <x:v>1089</x:v>
      </x:c>
      <x:c r="F101" s="25" t="str">
        <x:v>【浴血重生】</x:v>
      </x:c>
      <x:c r="G101" s="25" t="str">
        <x:v>彩色</x:v>
      </x:c>
      <x:c r="H101" s="25" t="str">
        <x:v>吸血×0.75；HP×1500；攻击伤害×2</x:v>
      </x:c>
      <x:c r="I101" s="25" t="str">
        <x:v>明确的代表组合，不等于100次必出指定名称</x:v>
      </x:c>
    </x:row>
    <x:row r="102">
      <x:c r="A102" s="25" t="str">
        <x:v>C07-G</x:v>
      </x:c>
      <x:c r="B102" s="25" t="str">
        <x:v>化圣雪原</x:v>
      </x:c>
      <x:c r="C102" s="25" t="str">
        <x:v>半急速毕业</x:v>
      </x:c>
      <x:c r="D102" s="25" t="n">
        <x:v>6</x:v>
      </x:c>
      <x:c r="E102" s="25" t="n">
        <x:v>1097</x:v>
      </x:c>
      <x:c r="F102" s="25" t="str">
        <x:v>【攻无不克】</x:v>
      </x:c>
      <x:c r="G102" s="25" t="str">
        <x:v>彩色</x:v>
      </x:c>
      <x:c r="H102" s="25" t="str">
        <x:v>攻击加成×3；攻击伤害×3</x:v>
      </x:c>
      <x:c r="I102" s="25" t="str">
        <x:v>明确的代表组合，不等于100次必出指定名称</x:v>
      </x:c>
    </x:row>
    <x:row r="103">
      <x:c r="A103" s="25" t="str">
        <x:v>C07-X</x:v>
      </x:c>
      <x:c r="B103" s="25" t="str">
        <x:v>化圣雪原</x:v>
      </x:c>
      <x:c r="C103" s="25" t="str">
        <x:v>极端压力</x:v>
      </x:c>
      <x:c r="D103" s="25" t="n">
        <x:v>1</x:v>
      </x:c>
      <x:c r="E103" s="25" t="n">
        <x:v>1092</x:v>
      </x:c>
      <x:c r="F103" s="25" t="str">
        <x:v>【风卷残云】</x:v>
      </x:c>
      <x:c r="G103" s="25" t="str">
        <x:v>彩色</x:v>
      </x:c>
      <x:c r="H103" s="25" t="str">
        <x:v>攻击速度×2；打怪伤害×3；准确×10</x:v>
      </x:c>
      <x:c r="I103" s="25" t="str">
        <x:v>明确的代表组合，不等于100次必出指定名称</x:v>
      </x:c>
    </x:row>
    <x:row r="104">
      <x:c r="A104" s="25" t="str">
        <x:v>C07-X</x:v>
      </x:c>
      <x:c r="B104" s="25" t="str">
        <x:v>化圣雪原</x:v>
      </x:c>
      <x:c r="C104" s="25" t="str">
        <x:v>极端压力</x:v>
      </x:c>
      <x:c r="D104" s="25" t="n">
        <x:v>2</x:v>
      </x:c>
      <x:c r="E104" s="25" t="n">
        <x:v>1093</x:v>
      </x:c>
      <x:c r="F104" s="25" t="str">
        <x:v>【鸿运盖世】</x:v>
      </x:c>
      <x:c r="G104" s="25" t="str">
        <x:v>彩色</x:v>
      </x:c>
      <x:c r="H104" s="25" t="str">
        <x:v>人物爆率×3；最大爆率×2；爆率×50</x:v>
      </x:c>
      <x:c r="I104" s="25" t="str">
        <x:v>明确的代表组合，不等于100次必出指定名称</x:v>
      </x:c>
    </x:row>
    <x:row r="105">
      <x:c r="A105" s="25" t="str">
        <x:v>C07-X</x:v>
      </x:c>
      <x:c r="B105" s="25" t="str">
        <x:v>化圣雪原</x:v>
      </x:c>
      <x:c r="C105" s="25" t="str">
        <x:v>极端压力</x:v>
      </x:c>
      <x:c r="D105" s="25" t="n">
        <x:v>3</x:v>
      </x:c>
      <x:c r="E105" s="25" t="n">
        <x:v>1081</x:v>
      </x:c>
      <x:c r="F105" s="25" t="str">
        <x:v>【唯我独尊】</x:v>
      </x:c>
      <x:c r="G105" s="25" t="str">
        <x:v>彩色</x:v>
      </x:c>
      <x:c r="H105" s="25" t="str">
        <x:v>伤害系数×6</x:v>
      </x:c>
      <x:c r="I105" s="25" t="str">
        <x:v>明确的代表组合，不等于100次必出指定名称</x:v>
      </x:c>
    </x:row>
    <x:row r="106">
      <x:c r="A106" s="25" t="str">
        <x:v>C07-X</x:v>
      </x:c>
      <x:c r="B106" s="25" t="str">
        <x:v>化圣雪原</x:v>
      </x:c>
      <x:c r="C106" s="25" t="str">
        <x:v>极端压力</x:v>
      </x:c>
      <x:c r="D106" s="25" t="n">
        <x:v>4</x:v>
      </x:c>
      <x:c r="E106" s="25" t="n">
        <x:v>1090</x:v>
      </x:c>
      <x:c r="F106" s="25" t="str">
        <x:v>【万法不侵】</x:v>
      </x:c>
      <x:c r="G106" s="25" t="str">
        <x:v>彩色</x:v>
      </x:c>
      <x:c r="H106" s="25" t="str">
        <x:v>伤害吸收上限×3；对怪伤害吸收×6</x:v>
      </x:c>
      <x:c r="I106" s="25" t="str">
        <x:v>明确的代表组合，不等于100次必出指定名称</x:v>
      </x:c>
    </x:row>
    <x:row r="107">
      <x:c r="A107" s="25" t="str">
        <x:v>C07-X</x:v>
      </x:c>
      <x:c r="B107" s="25" t="str">
        <x:v>化圣雪原</x:v>
      </x:c>
      <x:c r="C107" s="25" t="str">
        <x:v>极端压力</x:v>
      </x:c>
      <x:c r="D107" s="25" t="n">
        <x:v>5</x:v>
      </x:c>
      <x:c r="E107" s="25" t="n">
        <x:v>1095</x:v>
      </x:c>
      <x:c r="F107" s="25" t="str">
        <x:v>【一眼定生死】</x:v>
      </x:c>
      <x:c r="G107" s="25" t="str">
        <x:v>彩色</x:v>
      </x:c>
      <x:c r="H107" s="25" t="str">
        <x:v>处决概率×2；处决倍率×15；尾刀斩杀×2</x:v>
      </x:c>
      <x:c r="I107" s="25" t="str">
        <x:v>明确的代表组合，不等于100次必出指定名称</x:v>
      </x:c>
    </x:row>
    <x:row r="108">
      <x:c r="A108" s="25" t="str">
        <x:v>C07-X</x:v>
      </x:c>
      <x:c r="B108" s="25" t="str">
        <x:v>化圣雪原</x:v>
      </x:c>
      <x:c r="C108" s="25" t="str">
        <x:v>极端压力</x:v>
      </x:c>
      <x:c r="D108" s="25" t="n">
        <x:v>6</x:v>
      </x:c>
      <x:c r="E108" s="25" t="n">
        <x:v>1087</x:v>
      </x:c>
      <x:c r="F108" s="25" t="str">
        <x:v>【斩立决】</x:v>
      </x:c>
      <x:c r="G108" s="25" t="str">
        <x:v>彩色</x:v>
      </x:c>
      <x:c r="H108" s="25" t="str">
        <x:v>处决概率×2；处决倍率×20；处决时间×0.3</x:v>
      </x:c>
      <x:c r="I108" s="25" t="str">
        <x:v>明确的代表组合，不等于100次必出指定名称</x:v>
      </x:c>
    </x:row>
    <x:row r="109">
      <x:c r="A109" s="25" t="str">
        <x:v>C08-E</x:v>
      </x:c>
      <x:c r="B109" s="25" t="str">
        <x:v>巨人山顶</x:v>
      </x:c>
      <x:c r="C109" s="25" t="str">
        <x:v>半急速入场</x:v>
      </x:c>
      <x:c r="D109" s="25" t="n">
        <x:v>1</x:v>
      </x:c>
      <x:c r="E109" s="25" t="n">
        <x:v>1092</x:v>
      </x:c>
      <x:c r="F109" s="25" t="str">
        <x:v>【风卷残云】</x:v>
      </x:c>
      <x:c r="G109" s="25" t="str">
        <x:v>彩色</x:v>
      </x:c>
      <x:c r="H109" s="25" t="str">
        <x:v>攻击速度×2；打怪伤害×3；准确×10</x:v>
      </x:c>
      <x:c r="I109" s="25" t="str">
        <x:v>明确的代表组合，不等于100次必出指定名称</x:v>
      </x:c>
    </x:row>
    <x:row r="110">
      <x:c r="A110" s="25" t="str">
        <x:v>C08-E</x:v>
      </x:c>
      <x:c r="B110" s="25" t="str">
        <x:v>巨人山顶</x:v>
      </x:c>
      <x:c r="C110" s="25" t="str">
        <x:v>半急速入场</x:v>
      </x:c>
      <x:c r="D110" s="25" t="n">
        <x:v>2</x:v>
      </x:c>
      <x:c r="E110" s="25" t="n">
        <x:v>1093</x:v>
      </x:c>
      <x:c r="F110" s="25" t="str">
        <x:v>【鸿运盖世】</x:v>
      </x:c>
      <x:c r="G110" s="25" t="str">
        <x:v>彩色</x:v>
      </x:c>
      <x:c r="H110" s="25" t="str">
        <x:v>人物爆率×3；最大爆率×2；爆率×50</x:v>
      </x:c>
      <x:c r="I110" s="25" t="str">
        <x:v>明确的代表组合，不等于100次必出指定名称</x:v>
      </x:c>
    </x:row>
    <x:row r="111">
      <x:c r="A111" s="25" t="str">
        <x:v>C08-E</x:v>
      </x:c>
      <x:c r="B111" s="25" t="str">
        <x:v>巨人山顶</x:v>
      </x:c>
      <x:c r="C111" s="25" t="str">
        <x:v>半急速入场</x:v>
      </x:c>
      <x:c r="D111" s="25" t="n">
        <x:v>3</x:v>
      </x:c>
      <x:c r="E111" s="25" t="n">
        <x:v>1081</x:v>
      </x:c>
      <x:c r="F111" s="25" t="str">
        <x:v>【唯我独尊】</x:v>
      </x:c>
      <x:c r="G111" s="25" t="str">
        <x:v>彩色</x:v>
      </x:c>
      <x:c r="H111" s="25" t="str">
        <x:v>伤害系数×6</x:v>
      </x:c>
      <x:c r="I111" s="25" t="str">
        <x:v>明确的代表组合，不等于100次必出指定名称</x:v>
      </x:c>
    </x:row>
    <x:row r="112">
      <x:c r="A112" s="25" t="str">
        <x:v>C08-E</x:v>
      </x:c>
      <x:c r="B112" s="25" t="str">
        <x:v>巨人山顶</x:v>
      </x:c>
      <x:c r="C112" s="25" t="str">
        <x:v>半急速入场</x:v>
      </x:c>
      <x:c r="D112" s="25" t="n">
        <x:v>4</x:v>
      </x:c>
      <x:c r="E112" s="25" t="n">
        <x:v>1090</x:v>
      </x:c>
      <x:c r="F112" s="25" t="str">
        <x:v>【万法不侵】</x:v>
      </x:c>
      <x:c r="G112" s="25" t="str">
        <x:v>彩色</x:v>
      </x:c>
      <x:c r="H112" s="25" t="str">
        <x:v>伤害吸收上限×3；对怪伤害吸收×6</x:v>
      </x:c>
      <x:c r="I112" s="25" t="str">
        <x:v>明确的代表组合，不等于100次必出指定名称</x:v>
      </x:c>
    </x:row>
    <x:row r="113">
      <x:c r="A113" s="25" t="str">
        <x:v>C08-E</x:v>
      </x:c>
      <x:c r="B113" s="25" t="str">
        <x:v>巨人山顶</x:v>
      </x:c>
      <x:c r="C113" s="25" t="str">
        <x:v>半急速入场</x:v>
      </x:c>
      <x:c r="D113" s="25" t="n">
        <x:v>5</x:v>
      </x:c>
      <x:c r="E113" s="25" t="n">
        <x:v>1089</x:v>
      </x:c>
      <x:c r="F113" s="25" t="str">
        <x:v>【浴血重生】</x:v>
      </x:c>
      <x:c r="G113" s="25" t="str">
        <x:v>彩色</x:v>
      </x:c>
      <x:c r="H113" s="25" t="str">
        <x:v>吸血×0.75；HP×1500；攻击伤害×2</x:v>
      </x:c>
      <x:c r="I113" s="25" t="str">
        <x:v>明确的代表组合，不等于100次必出指定名称</x:v>
      </x:c>
    </x:row>
    <x:row r="114">
      <x:c r="A114" s="25" t="str">
        <x:v>C08-E</x:v>
      </x:c>
      <x:c r="B114" s="25" t="str">
        <x:v>巨人山顶</x:v>
      </x:c>
      <x:c r="C114" s="25" t="str">
        <x:v>半急速入场</x:v>
      </x:c>
      <x:c r="D114" s="25" t="n">
        <x:v>6</x:v>
      </x:c>
      <x:c r="E114" s="25" t="n">
        <x:v>1097</x:v>
      </x:c>
      <x:c r="F114" s="25" t="str">
        <x:v>【攻无不克】</x:v>
      </x:c>
      <x:c r="G114" s="25" t="str">
        <x:v>彩色</x:v>
      </x:c>
      <x:c r="H114" s="25" t="str">
        <x:v>攻击加成×3；攻击伤害×3</x:v>
      </x:c>
      <x:c r="I114" s="25" t="str">
        <x:v>明确的代表组合，不等于100次必出指定名称</x:v>
      </x:c>
    </x:row>
    <x:row r="115">
      <x:c r="A115" s="25" t="str">
        <x:v>C08-M</x:v>
      </x:c>
      <x:c r="B115" s="25" t="str">
        <x:v>巨人山顶</x:v>
      </x:c>
      <x:c r="C115" s="25" t="str">
        <x:v>半急速中期</x:v>
      </x:c>
      <x:c r="D115" s="25" t="n">
        <x:v>1</x:v>
      </x:c>
      <x:c r="E115" s="25" t="n">
        <x:v>1092</x:v>
      </x:c>
      <x:c r="F115" s="25" t="str">
        <x:v>【风卷残云】</x:v>
      </x:c>
      <x:c r="G115" s="25" t="str">
        <x:v>彩色</x:v>
      </x:c>
      <x:c r="H115" s="25" t="str">
        <x:v>攻击速度×2；打怪伤害×3；准确×10</x:v>
      </x:c>
      <x:c r="I115" s="25" t="str">
        <x:v>明确的代表组合，不等于100次必出指定名称</x:v>
      </x:c>
    </x:row>
    <x:row r="116">
      <x:c r="A116" s="25" t="str">
        <x:v>C08-M</x:v>
      </x:c>
      <x:c r="B116" s="25" t="str">
        <x:v>巨人山顶</x:v>
      </x:c>
      <x:c r="C116" s="25" t="str">
        <x:v>半急速中期</x:v>
      </x:c>
      <x:c r="D116" s="25" t="n">
        <x:v>2</x:v>
      </x:c>
      <x:c r="E116" s="25" t="n">
        <x:v>1093</x:v>
      </x:c>
      <x:c r="F116" s="25" t="str">
        <x:v>【鸿运盖世】</x:v>
      </x:c>
      <x:c r="G116" s="25" t="str">
        <x:v>彩色</x:v>
      </x:c>
      <x:c r="H116" s="25" t="str">
        <x:v>人物爆率×3；最大爆率×2；爆率×50</x:v>
      </x:c>
      <x:c r="I116" s="25" t="str">
        <x:v>明确的代表组合，不等于100次必出指定名称</x:v>
      </x:c>
    </x:row>
    <x:row r="117">
      <x:c r="A117" s="25" t="str">
        <x:v>C08-M</x:v>
      </x:c>
      <x:c r="B117" s="25" t="str">
        <x:v>巨人山顶</x:v>
      </x:c>
      <x:c r="C117" s="25" t="str">
        <x:v>半急速中期</x:v>
      </x:c>
      <x:c r="D117" s="25" t="n">
        <x:v>3</x:v>
      </x:c>
      <x:c r="E117" s="25" t="n">
        <x:v>1081</x:v>
      </x:c>
      <x:c r="F117" s="25" t="str">
        <x:v>【唯我独尊】</x:v>
      </x:c>
      <x:c r="G117" s="25" t="str">
        <x:v>彩色</x:v>
      </x:c>
      <x:c r="H117" s="25" t="str">
        <x:v>伤害系数×6</x:v>
      </x:c>
      <x:c r="I117" s="25" t="str">
        <x:v>明确的代表组合，不等于100次必出指定名称</x:v>
      </x:c>
    </x:row>
    <x:row r="118">
      <x:c r="A118" s="25" t="str">
        <x:v>C08-M</x:v>
      </x:c>
      <x:c r="B118" s="25" t="str">
        <x:v>巨人山顶</x:v>
      </x:c>
      <x:c r="C118" s="25" t="str">
        <x:v>半急速中期</x:v>
      </x:c>
      <x:c r="D118" s="25" t="n">
        <x:v>4</x:v>
      </x:c>
      <x:c r="E118" s="25" t="n">
        <x:v>1090</x:v>
      </x:c>
      <x:c r="F118" s="25" t="str">
        <x:v>【万法不侵】</x:v>
      </x:c>
      <x:c r="G118" s="25" t="str">
        <x:v>彩色</x:v>
      </x:c>
      <x:c r="H118" s="25" t="str">
        <x:v>伤害吸收上限×3；对怪伤害吸收×6</x:v>
      </x:c>
      <x:c r="I118" s="25" t="str">
        <x:v>明确的代表组合，不等于100次必出指定名称</x:v>
      </x:c>
    </x:row>
    <x:row r="119">
      <x:c r="A119" s="25" t="str">
        <x:v>C08-M</x:v>
      </x:c>
      <x:c r="B119" s="25" t="str">
        <x:v>巨人山顶</x:v>
      </x:c>
      <x:c r="C119" s="25" t="str">
        <x:v>半急速中期</x:v>
      </x:c>
      <x:c r="D119" s="25" t="n">
        <x:v>5</x:v>
      </x:c>
      <x:c r="E119" s="25" t="n">
        <x:v>1089</x:v>
      </x:c>
      <x:c r="F119" s="25" t="str">
        <x:v>【浴血重生】</x:v>
      </x:c>
      <x:c r="G119" s="25" t="str">
        <x:v>彩色</x:v>
      </x:c>
      <x:c r="H119" s="25" t="str">
        <x:v>吸血×0.75；HP×1500；攻击伤害×2</x:v>
      </x:c>
      <x:c r="I119" s="25" t="str">
        <x:v>明确的代表组合，不等于100次必出指定名称</x:v>
      </x:c>
    </x:row>
    <x:row r="120">
      <x:c r="A120" s="25" t="str">
        <x:v>C08-M</x:v>
      </x:c>
      <x:c r="B120" s="25" t="str">
        <x:v>巨人山顶</x:v>
      </x:c>
      <x:c r="C120" s="25" t="str">
        <x:v>半急速中期</x:v>
      </x:c>
      <x:c r="D120" s="25" t="n">
        <x:v>6</x:v>
      </x:c>
      <x:c r="E120" s="25" t="n">
        <x:v>1097</x:v>
      </x:c>
      <x:c r="F120" s="25" t="str">
        <x:v>【攻无不克】</x:v>
      </x:c>
      <x:c r="G120" s="25" t="str">
        <x:v>彩色</x:v>
      </x:c>
      <x:c r="H120" s="25" t="str">
        <x:v>攻击加成×3；攻击伤害×3</x:v>
      </x:c>
      <x:c r="I120" s="25" t="str">
        <x:v>明确的代表组合，不等于100次必出指定名称</x:v>
      </x:c>
    </x:row>
    <x:row r="121">
      <x:c r="A121" s="25" t="str">
        <x:v>C08-M</x:v>
      </x:c>
      <x:c r="B121" s="25" t="str">
        <x:v>巨人山顶</x:v>
      </x:c>
      <x:c r="C121" s="25" t="str">
        <x:v>半急速中期</x:v>
      </x:c>
      <x:c r="D121" s="25" t="n">
        <x:v>7</x:v>
      </x:c>
      <x:c r="E121" s="25" t="n">
        <x:v>1086</x:v>
      </x:c>
      <x:c r="F121" s="25" t="str">
        <x:v>【判官点名】</x:v>
      </x:c>
      <x:c r="G121" s="25" t="str">
        <x:v>彩色</x:v>
      </x:c>
      <x:c r="H121" s="25" t="str">
        <x:v>处决概率×6</x:v>
      </x:c>
      <x:c r="I121" s="25" t="str">
        <x:v>明确的代表组合，不等于100次必出指定名称</x:v>
      </x:c>
    </x:row>
    <x:row r="122">
      <x:c r="A122" s="25" t="str">
        <x:v>C08-G</x:v>
      </x:c>
      <x:c r="B122" s="25" t="str">
        <x:v>巨人山顶</x:v>
      </x:c>
      <x:c r="C122" s="25" t="str">
        <x:v>半急速毕业</x:v>
      </x:c>
      <x:c r="D122" s="25" t="n">
        <x:v>1</x:v>
      </x:c>
      <x:c r="E122" s="25" t="n">
        <x:v>1092</x:v>
      </x:c>
      <x:c r="F122" s="25" t="str">
        <x:v>【风卷残云】</x:v>
      </x:c>
      <x:c r="G122" s="25" t="str">
        <x:v>彩色</x:v>
      </x:c>
      <x:c r="H122" s="25" t="str">
        <x:v>攻击速度×2；打怪伤害×3；准确×10</x:v>
      </x:c>
      <x:c r="I122" s="25" t="str">
        <x:v>明确的代表组合，不等于100次必出指定名称</x:v>
      </x:c>
    </x:row>
    <x:row r="123">
      <x:c r="A123" s="25" t="str">
        <x:v>C08-G</x:v>
      </x:c>
      <x:c r="B123" s="25" t="str">
        <x:v>巨人山顶</x:v>
      </x:c>
      <x:c r="C123" s="25" t="str">
        <x:v>半急速毕业</x:v>
      </x:c>
      <x:c r="D123" s="25" t="n">
        <x:v>2</x:v>
      </x:c>
      <x:c r="E123" s="25" t="n">
        <x:v>1093</x:v>
      </x:c>
      <x:c r="F123" s="25" t="str">
        <x:v>【鸿运盖世】</x:v>
      </x:c>
      <x:c r="G123" s="25" t="str">
        <x:v>彩色</x:v>
      </x:c>
      <x:c r="H123" s="25" t="str">
        <x:v>人物爆率×3；最大爆率×2；爆率×50</x:v>
      </x:c>
      <x:c r="I123" s="25" t="str">
        <x:v>明确的代表组合，不等于100次必出指定名称</x:v>
      </x:c>
    </x:row>
    <x:row r="124">
      <x:c r="A124" s="25" t="str">
        <x:v>C08-G</x:v>
      </x:c>
      <x:c r="B124" s="25" t="str">
        <x:v>巨人山顶</x:v>
      </x:c>
      <x:c r="C124" s="25" t="str">
        <x:v>半急速毕业</x:v>
      </x:c>
      <x:c r="D124" s="25" t="n">
        <x:v>3</x:v>
      </x:c>
      <x:c r="E124" s="25" t="n">
        <x:v>1081</x:v>
      </x:c>
      <x:c r="F124" s="25" t="str">
        <x:v>【唯我独尊】</x:v>
      </x:c>
      <x:c r="G124" s="25" t="str">
        <x:v>彩色</x:v>
      </x:c>
      <x:c r="H124" s="25" t="str">
        <x:v>伤害系数×6</x:v>
      </x:c>
      <x:c r="I124" s="25" t="str">
        <x:v>明确的代表组合，不等于100次必出指定名称</x:v>
      </x:c>
    </x:row>
    <x:row r="125">
      <x:c r="A125" s="25" t="str">
        <x:v>C08-G</x:v>
      </x:c>
      <x:c r="B125" s="25" t="str">
        <x:v>巨人山顶</x:v>
      </x:c>
      <x:c r="C125" s="25" t="str">
        <x:v>半急速毕业</x:v>
      </x:c>
      <x:c r="D125" s="25" t="n">
        <x:v>4</x:v>
      </x:c>
      <x:c r="E125" s="25" t="n">
        <x:v>1090</x:v>
      </x:c>
      <x:c r="F125" s="25" t="str">
        <x:v>【万法不侵】</x:v>
      </x:c>
      <x:c r="G125" s="25" t="str">
        <x:v>彩色</x:v>
      </x:c>
      <x:c r="H125" s="25" t="str">
        <x:v>伤害吸收上限×3；对怪伤害吸收×6</x:v>
      </x:c>
      <x:c r="I125" s="25" t="str">
        <x:v>明确的代表组合，不等于100次必出指定名称</x:v>
      </x:c>
    </x:row>
    <x:row r="126">
      <x:c r="A126" s="25" t="str">
        <x:v>C08-G</x:v>
      </x:c>
      <x:c r="B126" s="25" t="str">
        <x:v>巨人山顶</x:v>
      </x:c>
      <x:c r="C126" s="25" t="str">
        <x:v>半急速毕业</x:v>
      </x:c>
      <x:c r="D126" s="25" t="n">
        <x:v>5</x:v>
      </x:c>
      <x:c r="E126" s="25" t="n">
        <x:v>1089</x:v>
      </x:c>
      <x:c r="F126" s="25" t="str">
        <x:v>【浴血重生】</x:v>
      </x:c>
      <x:c r="G126" s="25" t="str">
        <x:v>彩色</x:v>
      </x:c>
      <x:c r="H126" s="25" t="str">
        <x:v>吸血×0.75；HP×1500；攻击伤害×2</x:v>
      </x:c>
      <x:c r="I126" s="25" t="str">
        <x:v>明确的代表组合，不等于100次必出指定名称</x:v>
      </x:c>
    </x:row>
    <x:row r="127">
      <x:c r="A127" s="25" t="str">
        <x:v>C08-G</x:v>
      </x:c>
      <x:c r="B127" s="25" t="str">
        <x:v>巨人山顶</x:v>
      </x:c>
      <x:c r="C127" s="25" t="str">
        <x:v>半急速毕业</x:v>
      </x:c>
      <x:c r="D127" s="25" t="n">
        <x:v>6</x:v>
      </x:c>
      <x:c r="E127" s="25" t="n">
        <x:v>1097</x:v>
      </x:c>
      <x:c r="F127" s="25" t="str">
        <x:v>【攻无不克】</x:v>
      </x:c>
      <x:c r="G127" s="25" t="str">
        <x:v>彩色</x:v>
      </x:c>
      <x:c r="H127" s="25" t="str">
        <x:v>攻击加成×3；攻击伤害×3</x:v>
      </x:c>
      <x:c r="I127" s="25" t="str">
        <x:v>明确的代表组合，不等于100次必出指定名称</x:v>
      </x:c>
    </x:row>
    <x:row r="128">
      <x:c r="A128" s="25" t="str">
        <x:v>C08-G</x:v>
      </x:c>
      <x:c r="B128" s="25" t="str">
        <x:v>巨人山顶</x:v>
      </x:c>
      <x:c r="C128" s="25" t="str">
        <x:v>半急速毕业</x:v>
      </x:c>
      <x:c r="D128" s="25" t="n">
        <x:v>7</x:v>
      </x:c>
      <x:c r="E128" s="25" t="n">
        <x:v>1086</x:v>
      </x:c>
      <x:c r="F128" s="25" t="str">
        <x:v>【判官点名】</x:v>
      </x:c>
      <x:c r="G128" s="25" t="str">
        <x:v>彩色</x:v>
      </x:c>
      <x:c r="H128" s="25" t="str">
        <x:v>处决概率×6</x:v>
      </x:c>
      <x:c r="I128" s="25" t="str">
        <x:v>明确的代表组合，不等于100次必出指定名称</x:v>
      </x:c>
    </x:row>
    <x:row r="129">
      <x:c r="A129" s="25" t="str">
        <x:v>C08-X</x:v>
      </x:c>
      <x:c r="B129" s="25" t="str">
        <x:v>巨人山顶</x:v>
      </x:c>
      <x:c r="C129" s="25" t="str">
        <x:v>极端压力</x:v>
      </x:c>
      <x:c r="D129" s="25" t="n">
        <x:v>1</x:v>
      </x:c>
      <x:c r="E129" s="25" t="n">
        <x:v>1092</x:v>
      </x:c>
      <x:c r="F129" s="25" t="str">
        <x:v>【风卷残云】</x:v>
      </x:c>
      <x:c r="G129" s="25" t="str">
        <x:v>彩色</x:v>
      </x:c>
      <x:c r="H129" s="25" t="str">
        <x:v>攻击速度×2；打怪伤害×3；准确×10</x:v>
      </x:c>
      <x:c r="I129" s="25" t="str">
        <x:v>明确的代表组合，不等于100次必出指定名称</x:v>
      </x:c>
    </x:row>
    <x:row r="130">
      <x:c r="A130" s="25" t="str">
        <x:v>C08-X</x:v>
      </x:c>
      <x:c r="B130" s="25" t="str">
        <x:v>巨人山顶</x:v>
      </x:c>
      <x:c r="C130" s="25" t="str">
        <x:v>极端压力</x:v>
      </x:c>
      <x:c r="D130" s="25" t="n">
        <x:v>2</x:v>
      </x:c>
      <x:c r="E130" s="25" t="n">
        <x:v>1093</x:v>
      </x:c>
      <x:c r="F130" s="25" t="str">
        <x:v>【鸿运盖世】</x:v>
      </x:c>
      <x:c r="G130" s="25" t="str">
        <x:v>彩色</x:v>
      </x:c>
      <x:c r="H130" s="25" t="str">
        <x:v>人物爆率×3；最大爆率×2；爆率×50</x:v>
      </x:c>
      <x:c r="I130" s="25" t="str">
        <x:v>明确的代表组合，不等于100次必出指定名称</x:v>
      </x:c>
    </x:row>
    <x:row r="131">
      <x:c r="A131" s="25" t="str">
        <x:v>C08-X</x:v>
      </x:c>
      <x:c r="B131" s="25" t="str">
        <x:v>巨人山顶</x:v>
      </x:c>
      <x:c r="C131" s="25" t="str">
        <x:v>极端压力</x:v>
      </x:c>
      <x:c r="D131" s="25" t="n">
        <x:v>3</x:v>
      </x:c>
      <x:c r="E131" s="25" t="n">
        <x:v>1081</x:v>
      </x:c>
      <x:c r="F131" s="25" t="str">
        <x:v>【唯我独尊】</x:v>
      </x:c>
      <x:c r="G131" s="25" t="str">
        <x:v>彩色</x:v>
      </x:c>
      <x:c r="H131" s="25" t="str">
        <x:v>伤害系数×6</x:v>
      </x:c>
      <x:c r="I131" s="25" t="str">
        <x:v>明确的代表组合，不等于100次必出指定名称</x:v>
      </x:c>
    </x:row>
    <x:row r="132">
      <x:c r="A132" s="25" t="str">
        <x:v>C08-X</x:v>
      </x:c>
      <x:c r="B132" s="25" t="str">
        <x:v>巨人山顶</x:v>
      </x:c>
      <x:c r="C132" s="25" t="str">
        <x:v>极端压力</x:v>
      </x:c>
      <x:c r="D132" s="25" t="n">
        <x:v>4</x:v>
      </x:c>
      <x:c r="E132" s="25" t="n">
        <x:v>1090</x:v>
      </x:c>
      <x:c r="F132" s="25" t="str">
        <x:v>【万法不侵】</x:v>
      </x:c>
      <x:c r="G132" s="25" t="str">
        <x:v>彩色</x:v>
      </x:c>
      <x:c r="H132" s="25" t="str">
        <x:v>伤害吸收上限×3；对怪伤害吸收×6</x:v>
      </x:c>
      <x:c r="I132" s="25" t="str">
        <x:v>明确的代表组合，不等于100次必出指定名称</x:v>
      </x:c>
    </x:row>
    <x:row r="133">
      <x:c r="A133" s="25" t="str">
        <x:v>C08-X</x:v>
      </x:c>
      <x:c r="B133" s="25" t="str">
        <x:v>巨人山顶</x:v>
      </x:c>
      <x:c r="C133" s="25" t="str">
        <x:v>极端压力</x:v>
      </x:c>
      <x:c r="D133" s="25" t="n">
        <x:v>5</x:v>
      </x:c>
      <x:c r="E133" s="25" t="n">
        <x:v>1095</x:v>
      </x:c>
      <x:c r="F133" s="25" t="str">
        <x:v>【一眼定生死】</x:v>
      </x:c>
      <x:c r="G133" s="25" t="str">
        <x:v>彩色</x:v>
      </x:c>
      <x:c r="H133" s="25" t="str">
        <x:v>处决概率×2；处决倍率×15；尾刀斩杀×2</x:v>
      </x:c>
      <x:c r="I133" s="25" t="str">
        <x:v>明确的代表组合，不等于100次必出指定名称</x:v>
      </x:c>
    </x:row>
    <x:row r="134">
      <x:c r="A134" s="25" t="str">
        <x:v>C08-X</x:v>
      </x:c>
      <x:c r="B134" s="25" t="str">
        <x:v>巨人山顶</x:v>
      </x:c>
      <x:c r="C134" s="25" t="str">
        <x:v>极端压力</x:v>
      </x:c>
      <x:c r="D134" s="25" t="n">
        <x:v>6</x:v>
      </x:c>
      <x:c r="E134" s="25" t="n">
        <x:v>1087</x:v>
      </x:c>
      <x:c r="F134" s="25" t="str">
        <x:v>【斩立决】</x:v>
      </x:c>
      <x:c r="G134" s="25" t="str">
        <x:v>彩色</x:v>
      </x:c>
      <x:c r="H134" s="25" t="str">
        <x:v>处决概率×2；处决倍率×20；处决时间×0.3</x:v>
      </x:c>
      <x:c r="I134" s="25" t="str">
        <x:v>明确的代表组合，不等于100次必出指定名称</x:v>
      </x:c>
    </x:row>
    <x:row r="135">
      <x:c r="A135" s="25" t="str">
        <x:v>C08-X</x:v>
      </x:c>
      <x:c r="B135" s="25" t="str">
        <x:v>巨人山顶</x:v>
      </x:c>
      <x:c r="C135" s="25" t="str">
        <x:v>极端压力</x:v>
      </x:c>
      <x:c r="D135" s="25" t="n">
        <x:v>7</x:v>
      </x:c>
      <x:c r="E135" s="25" t="n">
        <x:v>1086</x:v>
      </x:c>
      <x:c r="F135" s="25" t="str">
        <x:v>【判官点名】</x:v>
      </x:c>
      <x:c r="G135" s="25" t="str">
        <x:v>彩色</x:v>
      </x:c>
      <x:c r="H135" s="25" t="str">
        <x:v>处决概率×6</x:v>
      </x:c>
      <x:c r="I135" s="25" t="str">
        <x:v>明确的代表组合，不等于100次必出指定名称</x:v>
      </x:c>
    </x:row>
    <x:row r="136">
      <x:c r="A136" s="25" t="str">
        <x:v>C09-E</x:v>
      </x:c>
      <x:c r="B136" s="25" t="str">
        <x:v>亚坛高原</x:v>
      </x:c>
      <x:c r="C136" s="25" t="str">
        <x:v>半急速入场</x:v>
      </x:c>
      <x:c r="D136" s="25" t="n">
        <x:v>1</x:v>
      </x:c>
      <x:c r="E136" s="25" t="n">
        <x:v>1092</x:v>
      </x:c>
      <x:c r="F136" s="25" t="str">
        <x:v>【风卷残云】</x:v>
      </x:c>
      <x:c r="G136" s="25" t="str">
        <x:v>彩色</x:v>
      </x:c>
      <x:c r="H136" s="25" t="str">
        <x:v>攻击速度×2；打怪伤害×3；准确×10</x:v>
      </x:c>
      <x:c r="I136" s="25" t="str">
        <x:v>明确的代表组合，不等于100次必出指定名称</x:v>
      </x:c>
    </x:row>
    <x:row r="137">
      <x:c r="A137" s="25" t="str">
        <x:v>C09-E</x:v>
      </x:c>
      <x:c r="B137" s="25" t="str">
        <x:v>亚坛高原</x:v>
      </x:c>
      <x:c r="C137" s="25" t="str">
        <x:v>半急速入场</x:v>
      </x:c>
      <x:c r="D137" s="25" t="n">
        <x:v>2</x:v>
      </x:c>
      <x:c r="E137" s="25" t="n">
        <x:v>1093</x:v>
      </x:c>
      <x:c r="F137" s="25" t="str">
        <x:v>【鸿运盖世】</x:v>
      </x:c>
      <x:c r="G137" s="25" t="str">
        <x:v>彩色</x:v>
      </x:c>
      <x:c r="H137" s="25" t="str">
        <x:v>人物爆率×3；最大爆率×2；爆率×50</x:v>
      </x:c>
      <x:c r="I137" s="25" t="str">
        <x:v>明确的代表组合，不等于100次必出指定名称</x:v>
      </x:c>
    </x:row>
    <x:row r="138">
      <x:c r="A138" s="25" t="str">
        <x:v>C09-E</x:v>
      </x:c>
      <x:c r="B138" s="25" t="str">
        <x:v>亚坛高原</x:v>
      </x:c>
      <x:c r="C138" s="25" t="str">
        <x:v>半急速入场</x:v>
      </x:c>
      <x:c r="D138" s="25" t="n">
        <x:v>3</x:v>
      </x:c>
      <x:c r="E138" s="25" t="n">
        <x:v>1081</x:v>
      </x:c>
      <x:c r="F138" s="25" t="str">
        <x:v>【唯我独尊】</x:v>
      </x:c>
      <x:c r="G138" s="25" t="str">
        <x:v>彩色</x:v>
      </x:c>
      <x:c r="H138" s="25" t="str">
        <x:v>伤害系数×6</x:v>
      </x:c>
      <x:c r="I138" s="25" t="str">
        <x:v>明确的代表组合，不等于100次必出指定名称</x:v>
      </x:c>
    </x:row>
    <x:row r="139">
      <x:c r="A139" s="25" t="str">
        <x:v>C09-E</x:v>
      </x:c>
      <x:c r="B139" s="25" t="str">
        <x:v>亚坛高原</x:v>
      </x:c>
      <x:c r="C139" s="25" t="str">
        <x:v>半急速入场</x:v>
      </x:c>
      <x:c r="D139" s="25" t="n">
        <x:v>4</x:v>
      </x:c>
      <x:c r="E139" s="25" t="n">
        <x:v>1090</x:v>
      </x:c>
      <x:c r="F139" s="25" t="str">
        <x:v>【万法不侵】</x:v>
      </x:c>
      <x:c r="G139" s="25" t="str">
        <x:v>彩色</x:v>
      </x:c>
      <x:c r="H139" s="25" t="str">
        <x:v>伤害吸收上限×3；对怪伤害吸收×6</x:v>
      </x:c>
      <x:c r="I139" s="25" t="str">
        <x:v>明确的代表组合，不等于100次必出指定名称</x:v>
      </x:c>
    </x:row>
    <x:row r="140">
      <x:c r="A140" s="25" t="str">
        <x:v>C09-E</x:v>
      </x:c>
      <x:c r="B140" s="25" t="str">
        <x:v>亚坛高原</x:v>
      </x:c>
      <x:c r="C140" s="25" t="str">
        <x:v>半急速入场</x:v>
      </x:c>
      <x:c r="D140" s="25" t="n">
        <x:v>5</x:v>
      </x:c>
      <x:c r="E140" s="25" t="n">
        <x:v>1089</x:v>
      </x:c>
      <x:c r="F140" s="25" t="str">
        <x:v>【浴血重生】</x:v>
      </x:c>
      <x:c r="G140" s="25" t="str">
        <x:v>彩色</x:v>
      </x:c>
      <x:c r="H140" s="25" t="str">
        <x:v>吸血×0.75；HP×1500；攻击伤害×2</x:v>
      </x:c>
      <x:c r="I140" s="25" t="str">
        <x:v>明确的代表组合，不等于100次必出指定名称</x:v>
      </x:c>
    </x:row>
    <x:row r="141">
      <x:c r="A141" s="25" t="str">
        <x:v>C09-E</x:v>
      </x:c>
      <x:c r="B141" s="25" t="str">
        <x:v>亚坛高原</x:v>
      </x:c>
      <x:c r="C141" s="25" t="str">
        <x:v>半急速入场</x:v>
      </x:c>
      <x:c r="D141" s="25" t="n">
        <x:v>6</x:v>
      </x:c>
      <x:c r="E141" s="25" t="n">
        <x:v>1097</x:v>
      </x:c>
      <x:c r="F141" s="25" t="str">
        <x:v>【攻无不克】</x:v>
      </x:c>
      <x:c r="G141" s="25" t="str">
        <x:v>彩色</x:v>
      </x:c>
      <x:c r="H141" s="25" t="str">
        <x:v>攻击加成×3；攻击伤害×3</x:v>
      </x:c>
      <x:c r="I141" s="25" t="str">
        <x:v>明确的代表组合，不等于100次必出指定名称</x:v>
      </x:c>
    </x:row>
    <x:row r="142">
      <x:c r="A142" s="25" t="str">
        <x:v>C09-E</x:v>
      </x:c>
      <x:c r="B142" s="25" t="str">
        <x:v>亚坛高原</x:v>
      </x:c>
      <x:c r="C142" s="25" t="str">
        <x:v>半急速入场</x:v>
      </x:c>
      <x:c r="D142" s="25" t="n">
        <x:v>7</x:v>
      </x:c>
      <x:c r="E142" s="25" t="n">
        <x:v>1086</x:v>
      </x:c>
      <x:c r="F142" s="25" t="str">
        <x:v>【判官点名】</x:v>
      </x:c>
      <x:c r="G142" s="25" t="str">
        <x:v>彩色</x:v>
      </x:c>
      <x:c r="H142" s="25" t="str">
        <x:v>处决概率×6</x:v>
      </x:c>
      <x:c r="I142" s="25" t="str">
        <x:v>明确的代表组合，不等于100次必出指定名称</x:v>
      </x:c>
    </x:row>
    <x:row r="143">
      <x:c r="A143" s="25" t="str">
        <x:v>C09-M</x:v>
      </x:c>
      <x:c r="B143" s="25" t="str">
        <x:v>亚坛高原</x:v>
      </x:c>
      <x:c r="C143" s="25" t="str">
        <x:v>半急速中期</x:v>
      </x:c>
      <x:c r="D143" s="25" t="n">
        <x:v>1</x:v>
      </x:c>
      <x:c r="E143" s="25" t="n">
        <x:v>1092</x:v>
      </x:c>
      <x:c r="F143" s="25" t="str">
        <x:v>【风卷残云】</x:v>
      </x:c>
      <x:c r="G143" s="25" t="str">
        <x:v>彩色</x:v>
      </x:c>
      <x:c r="H143" s="25" t="str">
        <x:v>攻击速度×2；打怪伤害×3；准确×10</x:v>
      </x:c>
      <x:c r="I143" s="25" t="str">
        <x:v>明确的代表组合，不等于100次必出指定名称</x:v>
      </x:c>
    </x:row>
    <x:row r="144">
      <x:c r="A144" s="25" t="str">
        <x:v>C09-M</x:v>
      </x:c>
      <x:c r="B144" s="25" t="str">
        <x:v>亚坛高原</x:v>
      </x:c>
      <x:c r="C144" s="25" t="str">
        <x:v>半急速中期</x:v>
      </x:c>
      <x:c r="D144" s="25" t="n">
        <x:v>2</x:v>
      </x:c>
      <x:c r="E144" s="25" t="n">
        <x:v>1093</x:v>
      </x:c>
      <x:c r="F144" s="25" t="str">
        <x:v>【鸿运盖世】</x:v>
      </x:c>
      <x:c r="G144" s="25" t="str">
        <x:v>彩色</x:v>
      </x:c>
      <x:c r="H144" s="25" t="str">
        <x:v>人物爆率×3；最大爆率×2；爆率×50</x:v>
      </x:c>
      <x:c r="I144" s="25" t="str">
        <x:v>明确的代表组合，不等于100次必出指定名称</x:v>
      </x:c>
    </x:row>
    <x:row r="145">
      <x:c r="A145" s="25" t="str">
        <x:v>C09-M</x:v>
      </x:c>
      <x:c r="B145" s="25" t="str">
        <x:v>亚坛高原</x:v>
      </x:c>
      <x:c r="C145" s="25" t="str">
        <x:v>半急速中期</x:v>
      </x:c>
      <x:c r="D145" s="25" t="n">
        <x:v>3</x:v>
      </x:c>
      <x:c r="E145" s="25" t="n">
        <x:v>1081</x:v>
      </x:c>
      <x:c r="F145" s="25" t="str">
        <x:v>【唯我独尊】</x:v>
      </x:c>
      <x:c r="G145" s="25" t="str">
        <x:v>彩色</x:v>
      </x:c>
      <x:c r="H145" s="25" t="str">
        <x:v>伤害系数×6</x:v>
      </x:c>
      <x:c r="I145" s="25" t="str">
        <x:v>明确的代表组合，不等于100次必出指定名称</x:v>
      </x:c>
    </x:row>
    <x:row r="146">
      <x:c r="A146" s="25" t="str">
        <x:v>C09-M</x:v>
      </x:c>
      <x:c r="B146" s="25" t="str">
        <x:v>亚坛高原</x:v>
      </x:c>
      <x:c r="C146" s="25" t="str">
        <x:v>半急速中期</x:v>
      </x:c>
      <x:c r="D146" s="25" t="n">
        <x:v>4</x:v>
      </x:c>
      <x:c r="E146" s="25" t="n">
        <x:v>1090</x:v>
      </x:c>
      <x:c r="F146" s="25" t="str">
        <x:v>【万法不侵】</x:v>
      </x:c>
      <x:c r="G146" s="25" t="str">
        <x:v>彩色</x:v>
      </x:c>
      <x:c r="H146" s="25" t="str">
        <x:v>伤害吸收上限×3；对怪伤害吸收×6</x:v>
      </x:c>
      <x:c r="I146" s="25" t="str">
        <x:v>明确的代表组合，不等于100次必出指定名称</x:v>
      </x:c>
    </x:row>
    <x:row r="147">
      <x:c r="A147" s="25" t="str">
        <x:v>C09-M</x:v>
      </x:c>
      <x:c r="B147" s="25" t="str">
        <x:v>亚坛高原</x:v>
      </x:c>
      <x:c r="C147" s="25" t="str">
        <x:v>半急速中期</x:v>
      </x:c>
      <x:c r="D147" s="25" t="n">
        <x:v>5</x:v>
      </x:c>
      <x:c r="E147" s="25" t="n">
        <x:v>1089</x:v>
      </x:c>
      <x:c r="F147" s="25" t="str">
        <x:v>【浴血重生】</x:v>
      </x:c>
      <x:c r="G147" s="25" t="str">
        <x:v>彩色</x:v>
      </x:c>
      <x:c r="H147" s="25" t="str">
        <x:v>吸血×0.75；HP×1500；攻击伤害×2</x:v>
      </x:c>
      <x:c r="I147" s="25" t="str">
        <x:v>明确的代表组合，不等于100次必出指定名称</x:v>
      </x:c>
    </x:row>
    <x:row r="148">
      <x:c r="A148" s="25" t="str">
        <x:v>C09-M</x:v>
      </x:c>
      <x:c r="B148" s="25" t="str">
        <x:v>亚坛高原</x:v>
      </x:c>
      <x:c r="C148" s="25" t="str">
        <x:v>半急速中期</x:v>
      </x:c>
      <x:c r="D148" s="25" t="n">
        <x:v>6</x:v>
      </x:c>
      <x:c r="E148" s="25" t="n">
        <x:v>1097</x:v>
      </x:c>
      <x:c r="F148" s="25" t="str">
        <x:v>【攻无不克】</x:v>
      </x:c>
      <x:c r="G148" s="25" t="str">
        <x:v>彩色</x:v>
      </x:c>
      <x:c r="H148" s="25" t="str">
        <x:v>攻击加成×3；攻击伤害×3</x:v>
      </x:c>
      <x:c r="I148" s="25" t="str">
        <x:v>明确的代表组合，不等于100次必出指定名称</x:v>
      </x:c>
    </x:row>
    <x:row r="149">
      <x:c r="A149" s="25" t="str">
        <x:v>C09-M</x:v>
      </x:c>
      <x:c r="B149" s="25" t="str">
        <x:v>亚坛高原</x:v>
      </x:c>
      <x:c r="C149" s="25" t="str">
        <x:v>半急速中期</x:v>
      </x:c>
      <x:c r="D149" s="25" t="n">
        <x:v>7</x:v>
      </x:c>
      <x:c r="E149" s="25" t="n">
        <x:v>1086</x:v>
      </x:c>
      <x:c r="F149" s="25" t="str">
        <x:v>【判官点名】</x:v>
      </x:c>
      <x:c r="G149" s="25" t="str">
        <x:v>彩色</x:v>
      </x:c>
      <x:c r="H149" s="25" t="str">
        <x:v>处决概率×6</x:v>
      </x:c>
      <x:c r="I149" s="25" t="str">
        <x:v>明确的代表组合，不等于100次必出指定名称</x:v>
      </x:c>
    </x:row>
    <x:row r="150">
      <x:c r="A150" s="25" t="str">
        <x:v>C09-G</x:v>
      </x:c>
      <x:c r="B150" s="25" t="str">
        <x:v>亚坛高原</x:v>
      </x:c>
      <x:c r="C150" s="25" t="str">
        <x:v>半急速毕业</x:v>
      </x:c>
      <x:c r="D150" s="25" t="n">
        <x:v>1</x:v>
      </x:c>
      <x:c r="E150" s="25" t="n">
        <x:v>1092</x:v>
      </x:c>
      <x:c r="F150" s="25" t="str">
        <x:v>【风卷残云】</x:v>
      </x:c>
      <x:c r="G150" s="25" t="str">
        <x:v>彩色</x:v>
      </x:c>
      <x:c r="H150" s="25" t="str">
        <x:v>攻击速度×2；打怪伤害×3；准确×10</x:v>
      </x:c>
      <x:c r="I150" s="25" t="str">
        <x:v>明确的代表组合，不等于100次必出指定名称</x:v>
      </x:c>
    </x:row>
    <x:row r="151">
      <x:c r="A151" s="25" t="str">
        <x:v>C09-G</x:v>
      </x:c>
      <x:c r="B151" s="25" t="str">
        <x:v>亚坛高原</x:v>
      </x:c>
      <x:c r="C151" s="25" t="str">
        <x:v>半急速毕业</x:v>
      </x:c>
      <x:c r="D151" s="25" t="n">
        <x:v>2</x:v>
      </x:c>
      <x:c r="E151" s="25" t="n">
        <x:v>1093</x:v>
      </x:c>
      <x:c r="F151" s="25" t="str">
        <x:v>【鸿运盖世】</x:v>
      </x:c>
      <x:c r="G151" s="25" t="str">
        <x:v>彩色</x:v>
      </x:c>
      <x:c r="H151" s="25" t="str">
        <x:v>人物爆率×3；最大爆率×2；爆率×50</x:v>
      </x:c>
      <x:c r="I151" s="25" t="str">
        <x:v>明确的代表组合，不等于100次必出指定名称</x:v>
      </x:c>
    </x:row>
    <x:row r="152">
      <x:c r="A152" s="25" t="str">
        <x:v>C09-G</x:v>
      </x:c>
      <x:c r="B152" s="25" t="str">
        <x:v>亚坛高原</x:v>
      </x:c>
      <x:c r="C152" s="25" t="str">
        <x:v>半急速毕业</x:v>
      </x:c>
      <x:c r="D152" s="25" t="n">
        <x:v>3</x:v>
      </x:c>
      <x:c r="E152" s="25" t="n">
        <x:v>1081</x:v>
      </x:c>
      <x:c r="F152" s="25" t="str">
        <x:v>【唯我独尊】</x:v>
      </x:c>
      <x:c r="G152" s="25" t="str">
        <x:v>彩色</x:v>
      </x:c>
      <x:c r="H152" s="25" t="str">
        <x:v>伤害系数×6</x:v>
      </x:c>
      <x:c r="I152" s="25" t="str">
        <x:v>明确的代表组合，不等于100次必出指定名称</x:v>
      </x:c>
    </x:row>
    <x:row r="153">
      <x:c r="A153" s="25" t="str">
        <x:v>C09-G</x:v>
      </x:c>
      <x:c r="B153" s="25" t="str">
        <x:v>亚坛高原</x:v>
      </x:c>
      <x:c r="C153" s="25" t="str">
        <x:v>半急速毕业</x:v>
      </x:c>
      <x:c r="D153" s="25" t="n">
        <x:v>4</x:v>
      </x:c>
      <x:c r="E153" s="25" t="n">
        <x:v>1090</x:v>
      </x:c>
      <x:c r="F153" s="25" t="str">
        <x:v>【万法不侵】</x:v>
      </x:c>
      <x:c r="G153" s="25" t="str">
        <x:v>彩色</x:v>
      </x:c>
      <x:c r="H153" s="25" t="str">
        <x:v>伤害吸收上限×3；对怪伤害吸收×6</x:v>
      </x:c>
      <x:c r="I153" s="25" t="str">
        <x:v>明确的代表组合，不等于100次必出指定名称</x:v>
      </x:c>
    </x:row>
    <x:row r="154">
      <x:c r="A154" s="25" t="str">
        <x:v>C09-G</x:v>
      </x:c>
      <x:c r="B154" s="25" t="str">
        <x:v>亚坛高原</x:v>
      </x:c>
      <x:c r="C154" s="25" t="str">
        <x:v>半急速毕业</x:v>
      </x:c>
      <x:c r="D154" s="25" t="n">
        <x:v>5</x:v>
      </x:c>
      <x:c r="E154" s="25" t="n">
        <x:v>1089</x:v>
      </x:c>
      <x:c r="F154" s="25" t="str">
        <x:v>【浴血重生】</x:v>
      </x:c>
      <x:c r="G154" s="25" t="str">
        <x:v>彩色</x:v>
      </x:c>
      <x:c r="H154" s="25" t="str">
        <x:v>吸血×0.75；HP×1500；攻击伤害×2</x:v>
      </x:c>
      <x:c r="I154" s="25" t="str">
        <x:v>明确的代表组合，不等于100次必出指定名称</x:v>
      </x:c>
    </x:row>
    <x:row r="155">
      <x:c r="A155" s="25" t="str">
        <x:v>C09-G</x:v>
      </x:c>
      <x:c r="B155" s="25" t="str">
        <x:v>亚坛高原</x:v>
      </x:c>
      <x:c r="C155" s="25" t="str">
        <x:v>半急速毕业</x:v>
      </x:c>
      <x:c r="D155" s="25" t="n">
        <x:v>6</x:v>
      </x:c>
      <x:c r="E155" s="25" t="n">
        <x:v>1097</x:v>
      </x:c>
      <x:c r="F155" s="25" t="str">
        <x:v>【攻无不克】</x:v>
      </x:c>
      <x:c r="G155" s="25" t="str">
        <x:v>彩色</x:v>
      </x:c>
      <x:c r="H155" s="25" t="str">
        <x:v>攻击加成×3；攻击伤害×3</x:v>
      </x:c>
      <x:c r="I155" s="25" t="str">
        <x:v>明确的代表组合，不等于100次必出指定名称</x:v>
      </x:c>
    </x:row>
    <x:row r="156">
      <x:c r="A156" s="25" t="str">
        <x:v>C09-G</x:v>
      </x:c>
      <x:c r="B156" s="25" t="str">
        <x:v>亚坛高原</x:v>
      </x:c>
      <x:c r="C156" s="25" t="str">
        <x:v>半急速毕业</x:v>
      </x:c>
      <x:c r="D156" s="25" t="n">
        <x:v>7</x:v>
      </x:c>
      <x:c r="E156" s="25" t="n">
        <x:v>1086</x:v>
      </x:c>
      <x:c r="F156" s="25" t="str">
        <x:v>【判官点名】</x:v>
      </x:c>
      <x:c r="G156" s="25" t="str">
        <x:v>彩色</x:v>
      </x:c>
      <x:c r="H156" s="25" t="str">
        <x:v>处决概率×6</x:v>
      </x:c>
      <x:c r="I156" s="25" t="str">
        <x:v>明确的代表组合，不等于100次必出指定名称</x:v>
      </x:c>
    </x:row>
    <x:row r="157">
      <x:c r="A157" s="25" t="str">
        <x:v>C09-X</x:v>
      </x:c>
      <x:c r="B157" s="25" t="str">
        <x:v>亚坛高原</x:v>
      </x:c>
      <x:c r="C157" s="25" t="str">
        <x:v>极端压力</x:v>
      </x:c>
      <x:c r="D157" s="25" t="n">
        <x:v>1</x:v>
      </x:c>
      <x:c r="E157" s="25" t="n">
        <x:v>1092</x:v>
      </x:c>
      <x:c r="F157" s="25" t="str">
        <x:v>【风卷残云】</x:v>
      </x:c>
      <x:c r="G157" s="25" t="str">
        <x:v>彩色</x:v>
      </x:c>
      <x:c r="H157" s="25" t="str">
        <x:v>攻击速度×2；打怪伤害×3；准确×10</x:v>
      </x:c>
      <x:c r="I157" s="25" t="str">
        <x:v>明确的代表组合，不等于100次必出指定名称</x:v>
      </x:c>
    </x:row>
    <x:row r="158">
      <x:c r="A158" s="25" t="str">
        <x:v>C09-X</x:v>
      </x:c>
      <x:c r="B158" s="25" t="str">
        <x:v>亚坛高原</x:v>
      </x:c>
      <x:c r="C158" s="25" t="str">
        <x:v>极端压力</x:v>
      </x:c>
      <x:c r="D158" s="25" t="n">
        <x:v>2</x:v>
      </x:c>
      <x:c r="E158" s="25" t="n">
        <x:v>1093</x:v>
      </x:c>
      <x:c r="F158" s="25" t="str">
        <x:v>【鸿运盖世】</x:v>
      </x:c>
      <x:c r="G158" s="25" t="str">
        <x:v>彩色</x:v>
      </x:c>
      <x:c r="H158" s="25" t="str">
        <x:v>人物爆率×3；最大爆率×2；爆率×50</x:v>
      </x:c>
      <x:c r="I158" s="25" t="str">
        <x:v>明确的代表组合，不等于100次必出指定名称</x:v>
      </x:c>
    </x:row>
    <x:row r="159">
      <x:c r="A159" s="25" t="str">
        <x:v>C09-X</x:v>
      </x:c>
      <x:c r="B159" s="25" t="str">
        <x:v>亚坛高原</x:v>
      </x:c>
      <x:c r="C159" s="25" t="str">
        <x:v>极端压力</x:v>
      </x:c>
      <x:c r="D159" s="25" t="n">
        <x:v>3</x:v>
      </x:c>
      <x:c r="E159" s="25" t="n">
        <x:v>1081</x:v>
      </x:c>
      <x:c r="F159" s="25" t="str">
        <x:v>【唯我独尊】</x:v>
      </x:c>
      <x:c r="G159" s="25" t="str">
        <x:v>彩色</x:v>
      </x:c>
      <x:c r="H159" s="25" t="str">
        <x:v>伤害系数×6</x:v>
      </x:c>
      <x:c r="I159" s="25" t="str">
        <x:v>明确的代表组合，不等于100次必出指定名称</x:v>
      </x:c>
    </x:row>
    <x:row r="160">
      <x:c r="A160" s="25" t="str">
        <x:v>C09-X</x:v>
      </x:c>
      <x:c r="B160" s="25" t="str">
        <x:v>亚坛高原</x:v>
      </x:c>
      <x:c r="C160" s="25" t="str">
        <x:v>极端压力</x:v>
      </x:c>
      <x:c r="D160" s="25" t="n">
        <x:v>4</x:v>
      </x:c>
      <x:c r="E160" s="25" t="n">
        <x:v>1090</x:v>
      </x:c>
      <x:c r="F160" s="25" t="str">
        <x:v>【万法不侵】</x:v>
      </x:c>
      <x:c r="G160" s="25" t="str">
        <x:v>彩色</x:v>
      </x:c>
      <x:c r="H160" s="25" t="str">
        <x:v>伤害吸收上限×3；对怪伤害吸收×6</x:v>
      </x:c>
      <x:c r="I160" s="25" t="str">
        <x:v>明确的代表组合，不等于100次必出指定名称</x:v>
      </x:c>
    </x:row>
    <x:row r="161">
      <x:c r="A161" s="25" t="str">
        <x:v>C09-X</x:v>
      </x:c>
      <x:c r="B161" s="25" t="str">
        <x:v>亚坛高原</x:v>
      </x:c>
      <x:c r="C161" s="25" t="str">
        <x:v>极端压力</x:v>
      </x:c>
      <x:c r="D161" s="25" t="n">
        <x:v>5</x:v>
      </x:c>
      <x:c r="E161" s="25" t="n">
        <x:v>1095</x:v>
      </x:c>
      <x:c r="F161" s="25" t="str">
        <x:v>【一眼定生死】</x:v>
      </x:c>
      <x:c r="G161" s="25" t="str">
        <x:v>彩色</x:v>
      </x:c>
      <x:c r="H161" s="25" t="str">
        <x:v>处决概率×2；处决倍率×15；尾刀斩杀×2</x:v>
      </x:c>
      <x:c r="I161" s="25" t="str">
        <x:v>明确的代表组合，不等于100次必出指定名称</x:v>
      </x:c>
    </x:row>
    <x:row r="162">
      <x:c r="A162" s="25" t="str">
        <x:v>C09-X</x:v>
      </x:c>
      <x:c r="B162" s="25" t="str">
        <x:v>亚坛高原</x:v>
      </x:c>
      <x:c r="C162" s="25" t="str">
        <x:v>极端压力</x:v>
      </x:c>
      <x:c r="D162" s="25" t="n">
        <x:v>6</x:v>
      </x:c>
      <x:c r="E162" s="25" t="n">
        <x:v>1087</x:v>
      </x:c>
      <x:c r="F162" s="25" t="str">
        <x:v>【斩立决】</x:v>
      </x:c>
      <x:c r="G162" s="25" t="str">
        <x:v>彩色</x:v>
      </x:c>
      <x:c r="H162" s="25" t="str">
        <x:v>处决概率×2；处决倍率×20；处决时间×0.3</x:v>
      </x:c>
      <x:c r="I162" s="25" t="str">
        <x:v>明确的代表组合，不等于100次必出指定名称</x:v>
      </x:c>
    </x:row>
    <x:row r="163">
      <x:c r="A163" s="25" t="str">
        <x:v>C09-X</x:v>
      </x:c>
      <x:c r="B163" s="25" t="str">
        <x:v>亚坛高原</x:v>
      </x:c>
      <x:c r="C163" s="25" t="str">
        <x:v>极端压力</x:v>
      </x:c>
      <x:c r="D163" s="25" t="n">
        <x:v>7</x:v>
      </x:c>
      <x:c r="E163" s="25" t="n">
        <x:v>1086</x:v>
      </x:c>
      <x:c r="F163" s="25" t="str">
        <x:v>【判官点名】</x:v>
      </x:c>
      <x:c r="G163" s="25" t="str">
        <x:v>彩色</x:v>
      </x:c>
      <x:c r="H163" s="25" t="str">
        <x:v>处决概率×6</x:v>
      </x:c>
      <x:c r="I163" s="25" t="str">
        <x:v>明确的代表组合，不等于100次必出指定名称</x:v>
      </x:c>
    </x:row>
    <x:row r="164">
      <x:c r="A164" s="25" t="str">
        <x:v>C10-E</x:v>
      </x:c>
      <x:c r="B164" s="25" t="str">
        <x:v>王城罗德尔</x:v>
      </x:c>
      <x:c r="C164" s="25" t="str">
        <x:v>半急速入场</x:v>
      </x:c>
      <x:c r="D164" s="25" t="n">
        <x:v>1</x:v>
      </x:c>
      <x:c r="E164" s="25" t="n">
        <x:v>1092</x:v>
      </x:c>
      <x:c r="F164" s="25" t="str">
        <x:v>【风卷残云】</x:v>
      </x:c>
      <x:c r="G164" s="25" t="str">
        <x:v>彩色</x:v>
      </x:c>
      <x:c r="H164" s="25" t="str">
        <x:v>攻击速度×2；打怪伤害×3；准确×10</x:v>
      </x:c>
      <x:c r="I164" s="25" t="str">
        <x:v>明确的代表组合，不等于100次必出指定名称</x:v>
      </x:c>
    </x:row>
    <x:row r="165">
      <x:c r="A165" s="25" t="str">
        <x:v>C10-E</x:v>
      </x:c>
      <x:c r="B165" s="25" t="str">
        <x:v>王城罗德尔</x:v>
      </x:c>
      <x:c r="C165" s="25" t="str">
        <x:v>半急速入场</x:v>
      </x:c>
      <x:c r="D165" s="25" t="n">
        <x:v>2</x:v>
      </x:c>
      <x:c r="E165" s="25" t="n">
        <x:v>1093</x:v>
      </x:c>
      <x:c r="F165" s="25" t="str">
        <x:v>【鸿运盖世】</x:v>
      </x:c>
      <x:c r="G165" s="25" t="str">
        <x:v>彩色</x:v>
      </x:c>
      <x:c r="H165" s="25" t="str">
        <x:v>人物爆率×3；最大爆率×2；爆率×50</x:v>
      </x:c>
      <x:c r="I165" s="25" t="str">
        <x:v>明确的代表组合，不等于100次必出指定名称</x:v>
      </x:c>
    </x:row>
    <x:row r="166">
      <x:c r="A166" s="25" t="str">
        <x:v>C10-E</x:v>
      </x:c>
      <x:c r="B166" s="25" t="str">
        <x:v>王城罗德尔</x:v>
      </x:c>
      <x:c r="C166" s="25" t="str">
        <x:v>半急速入场</x:v>
      </x:c>
      <x:c r="D166" s="25" t="n">
        <x:v>3</x:v>
      </x:c>
      <x:c r="E166" s="25" t="n">
        <x:v>1081</x:v>
      </x:c>
      <x:c r="F166" s="25" t="str">
        <x:v>【唯我独尊】</x:v>
      </x:c>
      <x:c r="G166" s="25" t="str">
        <x:v>彩色</x:v>
      </x:c>
      <x:c r="H166" s="25" t="str">
        <x:v>伤害系数×6</x:v>
      </x:c>
      <x:c r="I166" s="25" t="str">
        <x:v>明确的代表组合，不等于100次必出指定名称</x:v>
      </x:c>
    </x:row>
    <x:row r="167">
      <x:c r="A167" s="25" t="str">
        <x:v>C10-E</x:v>
      </x:c>
      <x:c r="B167" s="25" t="str">
        <x:v>王城罗德尔</x:v>
      </x:c>
      <x:c r="C167" s="25" t="str">
        <x:v>半急速入场</x:v>
      </x:c>
      <x:c r="D167" s="25" t="n">
        <x:v>4</x:v>
      </x:c>
      <x:c r="E167" s="25" t="n">
        <x:v>1090</x:v>
      </x:c>
      <x:c r="F167" s="25" t="str">
        <x:v>【万法不侵】</x:v>
      </x:c>
      <x:c r="G167" s="25" t="str">
        <x:v>彩色</x:v>
      </x:c>
      <x:c r="H167" s="25" t="str">
        <x:v>伤害吸收上限×3；对怪伤害吸收×6</x:v>
      </x:c>
      <x:c r="I167" s="25" t="str">
        <x:v>明确的代表组合，不等于100次必出指定名称</x:v>
      </x:c>
    </x:row>
    <x:row r="168">
      <x:c r="A168" s="25" t="str">
        <x:v>C10-E</x:v>
      </x:c>
      <x:c r="B168" s="25" t="str">
        <x:v>王城罗德尔</x:v>
      </x:c>
      <x:c r="C168" s="25" t="str">
        <x:v>半急速入场</x:v>
      </x:c>
      <x:c r="D168" s="25" t="n">
        <x:v>5</x:v>
      </x:c>
      <x:c r="E168" s="25" t="n">
        <x:v>1089</x:v>
      </x:c>
      <x:c r="F168" s="25" t="str">
        <x:v>【浴血重生】</x:v>
      </x:c>
      <x:c r="G168" s="25" t="str">
        <x:v>彩色</x:v>
      </x:c>
      <x:c r="H168" s="25" t="str">
        <x:v>吸血×0.75；HP×1500；攻击伤害×2</x:v>
      </x:c>
      <x:c r="I168" s="25" t="str">
        <x:v>明确的代表组合，不等于100次必出指定名称</x:v>
      </x:c>
    </x:row>
    <x:row r="169">
      <x:c r="A169" s="25" t="str">
        <x:v>C10-E</x:v>
      </x:c>
      <x:c r="B169" s="25" t="str">
        <x:v>王城罗德尔</x:v>
      </x:c>
      <x:c r="C169" s="25" t="str">
        <x:v>半急速入场</x:v>
      </x:c>
      <x:c r="D169" s="25" t="n">
        <x:v>6</x:v>
      </x:c>
      <x:c r="E169" s="25" t="n">
        <x:v>1097</x:v>
      </x:c>
      <x:c r="F169" s="25" t="str">
        <x:v>【攻无不克】</x:v>
      </x:c>
      <x:c r="G169" s="25" t="str">
        <x:v>彩色</x:v>
      </x:c>
      <x:c r="H169" s="25" t="str">
        <x:v>攻击加成×3；攻击伤害×3</x:v>
      </x:c>
      <x:c r="I169" s="25" t="str">
        <x:v>明确的代表组合，不等于100次必出指定名称</x:v>
      </x:c>
    </x:row>
    <x:row r="170">
      <x:c r="A170" s="25" t="str">
        <x:v>C10-E</x:v>
      </x:c>
      <x:c r="B170" s="25" t="str">
        <x:v>王城罗德尔</x:v>
      </x:c>
      <x:c r="C170" s="25" t="str">
        <x:v>半急速入场</x:v>
      </x:c>
      <x:c r="D170" s="25" t="n">
        <x:v>7</x:v>
      </x:c>
      <x:c r="E170" s="25" t="n">
        <x:v>1086</x:v>
      </x:c>
      <x:c r="F170" s="25" t="str">
        <x:v>【判官点名】</x:v>
      </x:c>
      <x:c r="G170" s="25" t="str">
        <x:v>彩色</x:v>
      </x:c>
      <x:c r="H170" s="25" t="str">
        <x:v>处决概率×6</x:v>
      </x:c>
      <x:c r="I170" s="25" t="str">
        <x:v>明确的代表组合，不等于100次必出指定名称</x:v>
      </x:c>
    </x:row>
    <x:row r="171">
      <x:c r="A171" s="25" t="str">
        <x:v>C10-M</x:v>
      </x:c>
      <x:c r="B171" s="25" t="str">
        <x:v>王城罗德尔</x:v>
      </x:c>
      <x:c r="C171" s="25" t="str">
        <x:v>半急速中期</x:v>
      </x:c>
      <x:c r="D171" s="25" t="n">
        <x:v>1</x:v>
      </x:c>
      <x:c r="E171" s="25" t="n">
        <x:v>1092</x:v>
      </x:c>
      <x:c r="F171" s="25" t="str">
        <x:v>【风卷残云】</x:v>
      </x:c>
      <x:c r="G171" s="25" t="str">
        <x:v>彩色</x:v>
      </x:c>
      <x:c r="H171" s="25" t="str">
        <x:v>攻击速度×2；打怪伤害×3；准确×10</x:v>
      </x:c>
      <x:c r="I171" s="25" t="str">
        <x:v>明确的代表组合，不等于100次必出指定名称</x:v>
      </x:c>
    </x:row>
    <x:row r="172">
      <x:c r="A172" s="25" t="str">
        <x:v>C10-M</x:v>
      </x:c>
      <x:c r="B172" s="25" t="str">
        <x:v>王城罗德尔</x:v>
      </x:c>
      <x:c r="C172" s="25" t="str">
        <x:v>半急速中期</x:v>
      </x:c>
      <x:c r="D172" s="25" t="n">
        <x:v>2</x:v>
      </x:c>
      <x:c r="E172" s="25" t="n">
        <x:v>1093</x:v>
      </x:c>
      <x:c r="F172" s="25" t="str">
        <x:v>【鸿运盖世】</x:v>
      </x:c>
      <x:c r="G172" s="25" t="str">
        <x:v>彩色</x:v>
      </x:c>
      <x:c r="H172" s="25" t="str">
        <x:v>人物爆率×3；最大爆率×2；爆率×50</x:v>
      </x:c>
      <x:c r="I172" s="25" t="str">
        <x:v>明确的代表组合，不等于100次必出指定名称</x:v>
      </x:c>
    </x:row>
    <x:row r="173">
      <x:c r="A173" s="25" t="str">
        <x:v>C10-M</x:v>
      </x:c>
      <x:c r="B173" s="25" t="str">
        <x:v>王城罗德尔</x:v>
      </x:c>
      <x:c r="C173" s="25" t="str">
        <x:v>半急速中期</x:v>
      </x:c>
      <x:c r="D173" s="25" t="n">
        <x:v>3</x:v>
      </x:c>
      <x:c r="E173" s="25" t="n">
        <x:v>1081</x:v>
      </x:c>
      <x:c r="F173" s="25" t="str">
        <x:v>【唯我独尊】</x:v>
      </x:c>
      <x:c r="G173" s="25" t="str">
        <x:v>彩色</x:v>
      </x:c>
      <x:c r="H173" s="25" t="str">
        <x:v>伤害系数×6</x:v>
      </x:c>
      <x:c r="I173" s="25" t="str">
        <x:v>明确的代表组合，不等于100次必出指定名称</x:v>
      </x:c>
    </x:row>
    <x:row r="174">
      <x:c r="A174" s="25" t="str">
        <x:v>C10-M</x:v>
      </x:c>
      <x:c r="B174" s="25" t="str">
        <x:v>王城罗德尔</x:v>
      </x:c>
      <x:c r="C174" s="25" t="str">
        <x:v>半急速中期</x:v>
      </x:c>
      <x:c r="D174" s="25" t="n">
        <x:v>4</x:v>
      </x:c>
      <x:c r="E174" s="25" t="n">
        <x:v>1090</x:v>
      </x:c>
      <x:c r="F174" s="25" t="str">
        <x:v>【万法不侵】</x:v>
      </x:c>
      <x:c r="G174" s="25" t="str">
        <x:v>彩色</x:v>
      </x:c>
      <x:c r="H174" s="25" t="str">
        <x:v>伤害吸收上限×3；对怪伤害吸收×6</x:v>
      </x:c>
      <x:c r="I174" s="25" t="str">
        <x:v>明确的代表组合，不等于100次必出指定名称</x:v>
      </x:c>
    </x:row>
    <x:row r="175">
      <x:c r="A175" s="25" t="str">
        <x:v>C10-M</x:v>
      </x:c>
      <x:c r="B175" s="25" t="str">
        <x:v>王城罗德尔</x:v>
      </x:c>
      <x:c r="C175" s="25" t="str">
        <x:v>半急速中期</x:v>
      </x:c>
      <x:c r="D175" s="25" t="n">
        <x:v>5</x:v>
      </x:c>
      <x:c r="E175" s="25" t="n">
        <x:v>1089</x:v>
      </x:c>
      <x:c r="F175" s="25" t="str">
        <x:v>【浴血重生】</x:v>
      </x:c>
      <x:c r="G175" s="25" t="str">
        <x:v>彩色</x:v>
      </x:c>
      <x:c r="H175" s="25" t="str">
        <x:v>吸血×0.75；HP×1500；攻击伤害×2</x:v>
      </x:c>
      <x:c r="I175" s="25" t="str">
        <x:v>明确的代表组合，不等于100次必出指定名称</x:v>
      </x:c>
    </x:row>
    <x:row r="176">
      <x:c r="A176" s="25" t="str">
        <x:v>C10-M</x:v>
      </x:c>
      <x:c r="B176" s="25" t="str">
        <x:v>王城罗德尔</x:v>
      </x:c>
      <x:c r="C176" s="25" t="str">
        <x:v>半急速中期</x:v>
      </x:c>
      <x:c r="D176" s="25" t="n">
        <x:v>6</x:v>
      </x:c>
      <x:c r="E176" s="25" t="n">
        <x:v>1097</x:v>
      </x:c>
      <x:c r="F176" s="25" t="str">
        <x:v>【攻无不克】</x:v>
      </x:c>
      <x:c r="G176" s="25" t="str">
        <x:v>彩色</x:v>
      </x:c>
      <x:c r="H176" s="25" t="str">
        <x:v>攻击加成×3；攻击伤害×3</x:v>
      </x:c>
      <x:c r="I176" s="25" t="str">
        <x:v>明确的代表组合，不等于100次必出指定名称</x:v>
      </x:c>
    </x:row>
    <x:row r="177">
      <x:c r="A177" s="25" t="str">
        <x:v>C10-M</x:v>
      </x:c>
      <x:c r="B177" s="25" t="str">
        <x:v>王城罗德尔</x:v>
      </x:c>
      <x:c r="C177" s="25" t="str">
        <x:v>半急速中期</x:v>
      </x:c>
      <x:c r="D177" s="25" t="n">
        <x:v>7</x:v>
      </x:c>
      <x:c r="E177" s="25" t="n">
        <x:v>1086</x:v>
      </x:c>
      <x:c r="F177" s="25" t="str">
        <x:v>【判官点名】</x:v>
      </x:c>
      <x:c r="G177" s="25" t="str">
        <x:v>彩色</x:v>
      </x:c>
      <x:c r="H177" s="25" t="str">
        <x:v>处决概率×6</x:v>
      </x:c>
      <x:c r="I177" s="25" t="str">
        <x:v>明确的代表组合，不等于100次必出指定名称</x:v>
      </x:c>
    </x:row>
    <x:row r="178">
      <x:c r="A178" s="25" t="str">
        <x:v>C10-M</x:v>
      </x:c>
      <x:c r="B178" s="25" t="str">
        <x:v>王城罗德尔</x:v>
      </x:c>
      <x:c r="C178" s="25" t="str">
        <x:v>半急速中期</x:v>
      </x:c>
      <x:c r="D178" s="25" t="n">
        <x:v>8</x:v>
      </x:c>
      <x:c r="E178" s="25" t="n">
        <x:v>1082</x:v>
      </x:c>
      <x:c r="F178" s="25" t="str">
        <x:v>【天选之人】</x:v>
      </x:c>
      <x:c r="G178" s="25" t="str">
        <x:v>彩色</x:v>
      </x:c>
      <x:c r="H178" s="25" t="str">
        <x:v>最大爆率×3；人物爆率×3</x:v>
      </x:c>
      <x:c r="I178" s="25" t="str">
        <x:v>明确的代表组合，不等于100次必出指定名称</x:v>
      </x:c>
    </x:row>
    <x:row r="179">
      <x:c r="A179" s="25" t="str">
        <x:v>C10-G</x:v>
      </x:c>
      <x:c r="B179" s="25" t="str">
        <x:v>王城罗德尔</x:v>
      </x:c>
      <x:c r="C179" s="25" t="str">
        <x:v>半急速毕业</x:v>
      </x:c>
      <x:c r="D179" s="25" t="n">
        <x:v>1</x:v>
      </x:c>
      <x:c r="E179" s="25" t="n">
        <x:v>1092</x:v>
      </x:c>
      <x:c r="F179" s="25" t="str">
        <x:v>【风卷残云】</x:v>
      </x:c>
      <x:c r="G179" s="25" t="str">
        <x:v>彩色</x:v>
      </x:c>
      <x:c r="H179" s="25" t="str">
        <x:v>攻击速度×2；打怪伤害×3；准确×10</x:v>
      </x:c>
      <x:c r="I179" s="25" t="str">
        <x:v>明确的代表组合，不等于100次必出指定名称</x:v>
      </x:c>
    </x:row>
    <x:row r="180">
      <x:c r="A180" s="25" t="str">
        <x:v>C10-G</x:v>
      </x:c>
      <x:c r="B180" s="25" t="str">
        <x:v>王城罗德尔</x:v>
      </x:c>
      <x:c r="C180" s="25" t="str">
        <x:v>半急速毕业</x:v>
      </x:c>
      <x:c r="D180" s="25" t="n">
        <x:v>2</x:v>
      </x:c>
      <x:c r="E180" s="25" t="n">
        <x:v>1093</x:v>
      </x:c>
      <x:c r="F180" s="25" t="str">
        <x:v>【鸿运盖世】</x:v>
      </x:c>
      <x:c r="G180" s="25" t="str">
        <x:v>彩色</x:v>
      </x:c>
      <x:c r="H180" s="25" t="str">
        <x:v>人物爆率×3；最大爆率×2；爆率×50</x:v>
      </x:c>
      <x:c r="I180" s="25" t="str">
        <x:v>明确的代表组合，不等于100次必出指定名称</x:v>
      </x:c>
    </x:row>
    <x:row r="181">
      <x:c r="A181" s="25" t="str">
        <x:v>C10-G</x:v>
      </x:c>
      <x:c r="B181" s="25" t="str">
        <x:v>王城罗德尔</x:v>
      </x:c>
      <x:c r="C181" s="25" t="str">
        <x:v>半急速毕业</x:v>
      </x:c>
      <x:c r="D181" s="25" t="n">
        <x:v>3</x:v>
      </x:c>
      <x:c r="E181" s="25" t="n">
        <x:v>1081</x:v>
      </x:c>
      <x:c r="F181" s="25" t="str">
        <x:v>【唯我独尊】</x:v>
      </x:c>
      <x:c r="G181" s="25" t="str">
        <x:v>彩色</x:v>
      </x:c>
      <x:c r="H181" s="25" t="str">
        <x:v>伤害系数×6</x:v>
      </x:c>
      <x:c r="I181" s="25" t="str">
        <x:v>明确的代表组合，不等于100次必出指定名称</x:v>
      </x:c>
    </x:row>
    <x:row r="182">
      <x:c r="A182" s="25" t="str">
        <x:v>C10-G</x:v>
      </x:c>
      <x:c r="B182" s="25" t="str">
        <x:v>王城罗德尔</x:v>
      </x:c>
      <x:c r="C182" s="25" t="str">
        <x:v>半急速毕业</x:v>
      </x:c>
      <x:c r="D182" s="25" t="n">
        <x:v>4</x:v>
      </x:c>
      <x:c r="E182" s="25" t="n">
        <x:v>1090</x:v>
      </x:c>
      <x:c r="F182" s="25" t="str">
        <x:v>【万法不侵】</x:v>
      </x:c>
      <x:c r="G182" s="25" t="str">
        <x:v>彩色</x:v>
      </x:c>
      <x:c r="H182" s="25" t="str">
        <x:v>伤害吸收上限×3；对怪伤害吸收×6</x:v>
      </x:c>
      <x:c r="I182" s="25" t="str">
        <x:v>明确的代表组合，不等于100次必出指定名称</x:v>
      </x:c>
    </x:row>
    <x:row r="183">
      <x:c r="A183" s="25" t="str">
        <x:v>C10-G</x:v>
      </x:c>
      <x:c r="B183" s="25" t="str">
        <x:v>王城罗德尔</x:v>
      </x:c>
      <x:c r="C183" s="25" t="str">
        <x:v>半急速毕业</x:v>
      </x:c>
      <x:c r="D183" s="25" t="n">
        <x:v>5</x:v>
      </x:c>
      <x:c r="E183" s="25" t="n">
        <x:v>1089</x:v>
      </x:c>
      <x:c r="F183" s="25" t="str">
        <x:v>【浴血重生】</x:v>
      </x:c>
      <x:c r="G183" s="25" t="str">
        <x:v>彩色</x:v>
      </x:c>
      <x:c r="H183" s="25" t="str">
        <x:v>吸血×0.75；HP×1500；攻击伤害×2</x:v>
      </x:c>
      <x:c r="I183" s="25" t="str">
        <x:v>明确的代表组合，不等于100次必出指定名称</x:v>
      </x:c>
    </x:row>
    <x:row r="184">
      <x:c r="A184" s="25" t="str">
        <x:v>C10-G</x:v>
      </x:c>
      <x:c r="B184" s="25" t="str">
        <x:v>王城罗德尔</x:v>
      </x:c>
      <x:c r="C184" s="25" t="str">
        <x:v>半急速毕业</x:v>
      </x:c>
      <x:c r="D184" s="25" t="n">
        <x:v>6</x:v>
      </x:c>
      <x:c r="E184" s="25" t="n">
        <x:v>1097</x:v>
      </x:c>
      <x:c r="F184" s="25" t="str">
        <x:v>【攻无不克】</x:v>
      </x:c>
      <x:c r="G184" s="25" t="str">
        <x:v>彩色</x:v>
      </x:c>
      <x:c r="H184" s="25" t="str">
        <x:v>攻击加成×3；攻击伤害×3</x:v>
      </x:c>
      <x:c r="I184" s="25" t="str">
        <x:v>明确的代表组合，不等于100次必出指定名称</x:v>
      </x:c>
    </x:row>
    <x:row r="185">
      <x:c r="A185" s="25" t="str">
        <x:v>C10-G</x:v>
      </x:c>
      <x:c r="B185" s="25" t="str">
        <x:v>王城罗德尔</x:v>
      </x:c>
      <x:c r="C185" s="25" t="str">
        <x:v>半急速毕业</x:v>
      </x:c>
      <x:c r="D185" s="25" t="n">
        <x:v>7</x:v>
      </x:c>
      <x:c r="E185" s="25" t="n">
        <x:v>1086</x:v>
      </x:c>
      <x:c r="F185" s="25" t="str">
        <x:v>【判官点名】</x:v>
      </x:c>
      <x:c r="G185" s="25" t="str">
        <x:v>彩色</x:v>
      </x:c>
      <x:c r="H185" s="25" t="str">
        <x:v>处决概率×6</x:v>
      </x:c>
      <x:c r="I185" s="25" t="str">
        <x:v>明确的代表组合，不等于100次必出指定名称</x:v>
      </x:c>
    </x:row>
    <x:row r="186">
      <x:c r="A186" s="25" t="str">
        <x:v>C10-G</x:v>
      </x:c>
      <x:c r="B186" s="25" t="str">
        <x:v>王城罗德尔</x:v>
      </x:c>
      <x:c r="C186" s="25" t="str">
        <x:v>半急速毕业</x:v>
      </x:c>
      <x:c r="D186" s="25" t="n">
        <x:v>8</x:v>
      </x:c>
      <x:c r="E186" s="25" t="n">
        <x:v>1082</x:v>
      </x:c>
      <x:c r="F186" s="25" t="str">
        <x:v>【天选之人】</x:v>
      </x:c>
      <x:c r="G186" s="25" t="str">
        <x:v>彩色</x:v>
      </x:c>
      <x:c r="H186" s="25" t="str">
        <x:v>最大爆率×3；人物爆率×3</x:v>
      </x:c>
      <x:c r="I186" s="25" t="str">
        <x:v>明确的代表组合，不等于100次必出指定名称</x:v>
      </x:c>
    </x:row>
    <x:row r="187">
      <x:c r="A187" s="25" t="str">
        <x:v>C10-X</x:v>
      </x:c>
      <x:c r="B187" s="25" t="str">
        <x:v>王城罗德尔</x:v>
      </x:c>
      <x:c r="C187" s="25" t="str">
        <x:v>极端压力</x:v>
      </x:c>
      <x:c r="D187" s="25" t="n">
        <x:v>1</x:v>
      </x:c>
      <x:c r="E187" s="25" t="n">
        <x:v>1092</x:v>
      </x:c>
      <x:c r="F187" s="25" t="str">
        <x:v>【风卷残云】</x:v>
      </x:c>
      <x:c r="G187" s="25" t="str">
        <x:v>彩色</x:v>
      </x:c>
      <x:c r="H187" s="25" t="str">
        <x:v>攻击速度×2；打怪伤害×3；准确×10</x:v>
      </x:c>
      <x:c r="I187" s="25" t="str">
        <x:v>明确的代表组合，不等于100次必出指定名称</x:v>
      </x:c>
    </x:row>
    <x:row r="188">
      <x:c r="A188" s="25" t="str">
        <x:v>C10-X</x:v>
      </x:c>
      <x:c r="B188" s="25" t="str">
        <x:v>王城罗德尔</x:v>
      </x:c>
      <x:c r="C188" s="25" t="str">
        <x:v>极端压力</x:v>
      </x:c>
      <x:c r="D188" s="25" t="n">
        <x:v>2</x:v>
      </x:c>
      <x:c r="E188" s="25" t="n">
        <x:v>1093</x:v>
      </x:c>
      <x:c r="F188" s="25" t="str">
        <x:v>【鸿运盖世】</x:v>
      </x:c>
      <x:c r="G188" s="25" t="str">
        <x:v>彩色</x:v>
      </x:c>
      <x:c r="H188" s="25" t="str">
        <x:v>人物爆率×3；最大爆率×2；爆率×50</x:v>
      </x:c>
      <x:c r="I188" s="25" t="str">
        <x:v>明确的代表组合，不等于100次必出指定名称</x:v>
      </x:c>
    </x:row>
    <x:row r="189">
      <x:c r="A189" s="25" t="str">
        <x:v>C10-X</x:v>
      </x:c>
      <x:c r="B189" s="25" t="str">
        <x:v>王城罗德尔</x:v>
      </x:c>
      <x:c r="C189" s="25" t="str">
        <x:v>极端压力</x:v>
      </x:c>
      <x:c r="D189" s="25" t="n">
        <x:v>3</x:v>
      </x:c>
      <x:c r="E189" s="25" t="n">
        <x:v>1081</x:v>
      </x:c>
      <x:c r="F189" s="25" t="str">
        <x:v>【唯我独尊】</x:v>
      </x:c>
      <x:c r="G189" s="25" t="str">
        <x:v>彩色</x:v>
      </x:c>
      <x:c r="H189" s="25" t="str">
        <x:v>伤害系数×6</x:v>
      </x:c>
      <x:c r="I189" s="25" t="str">
        <x:v>明确的代表组合，不等于100次必出指定名称</x:v>
      </x:c>
    </x:row>
    <x:row r="190">
      <x:c r="A190" s="25" t="str">
        <x:v>C10-X</x:v>
      </x:c>
      <x:c r="B190" s="25" t="str">
        <x:v>王城罗德尔</x:v>
      </x:c>
      <x:c r="C190" s="25" t="str">
        <x:v>极端压力</x:v>
      </x:c>
      <x:c r="D190" s="25" t="n">
        <x:v>4</x:v>
      </x:c>
      <x:c r="E190" s="25" t="n">
        <x:v>1090</x:v>
      </x:c>
      <x:c r="F190" s="25" t="str">
        <x:v>【万法不侵】</x:v>
      </x:c>
      <x:c r="G190" s="25" t="str">
        <x:v>彩色</x:v>
      </x:c>
      <x:c r="H190" s="25" t="str">
        <x:v>伤害吸收上限×3；对怪伤害吸收×6</x:v>
      </x:c>
      <x:c r="I190" s="25" t="str">
        <x:v>明确的代表组合，不等于100次必出指定名称</x:v>
      </x:c>
    </x:row>
    <x:row r="191">
      <x:c r="A191" s="25" t="str">
        <x:v>C10-X</x:v>
      </x:c>
      <x:c r="B191" s="25" t="str">
        <x:v>王城罗德尔</x:v>
      </x:c>
      <x:c r="C191" s="25" t="str">
        <x:v>极端压力</x:v>
      </x:c>
      <x:c r="D191" s="25" t="n">
        <x:v>5</x:v>
      </x:c>
      <x:c r="E191" s="25" t="n">
        <x:v>1095</x:v>
      </x:c>
      <x:c r="F191" s="25" t="str">
        <x:v>【一眼定生死】</x:v>
      </x:c>
      <x:c r="G191" s="25" t="str">
        <x:v>彩色</x:v>
      </x:c>
      <x:c r="H191" s="25" t="str">
        <x:v>处决概率×2；处决倍率×15；尾刀斩杀×2</x:v>
      </x:c>
      <x:c r="I191" s="25" t="str">
        <x:v>明确的代表组合，不等于100次必出指定名称</x:v>
      </x:c>
    </x:row>
    <x:row r="192">
      <x:c r="A192" s="25" t="str">
        <x:v>C10-X</x:v>
      </x:c>
      <x:c r="B192" s="25" t="str">
        <x:v>王城罗德尔</x:v>
      </x:c>
      <x:c r="C192" s="25" t="str">
        <x:v>极端压力</x:v>
      </x:c>
      <x:c r="D192" s="25" t="n">
        <x:v>6</x:v>
      </x:c>
      <x:c r="E192" s="25" t="n">
        <x:v>1087</x:v>
      </x:c>
      <x:c r="F192" s="25" t="str">
        <x:v>【斩立决】</x:v>
      </x:c>
      <x:c r="G192" s="25" t="str">
        <x:v>彩色</x:v>
      </x:c>
      <x:c r="H192" s="25" t="str">
        <x:v>处决概率×2；处决倍率×20；处决时间×0.3</x:v>
      </x:c>
      <x:c r="I192" s="25" t="str">
        <x:v>明确的代表组合，不等于100次必出指定名称</x:v>
      </x:c>
    </x:row>
    <x:row r="193">
      <x:c r="A193" s="25" t="str">
        <x:v>C10-X</x:v>
      </x:c>
      <x:c r="B193" s="25" t="str">
        <x:v>王城罗德尔</x:v>
      </x:c>
      <x:c r="C193" s="25" t="str">
        <x:v>极端压力</x:v>
      </x:c>
      <x:c r="D193" s="25" t="n">
        <x:v>7</x:v>
      </x:c>
      <x:c r="E193" s="25" t="n">
        <x:v>1086</x:v>
      </x:c>
      <x:c r="F193" s="25" t="str">
        <x:v>【判官点名】</x:v>
      </x:c>
      <x:c r="G193" s="25" t="str">
        <x:v>彩色</x:v>
      </x:c>
      <x:c r="H193" s="25" t="str">
        <x:v>处决概率×6</x:v>
      </x:c>
      <x:c r="I193" s="25" t="str">
        <x:v>明确的代表组合，不等于100次必出指定名称</x:v>
      </x:c>
    </x:row>
    <x:row r="194">
      <x:c r="A194" s="25" t="str">
        <x:v>C10-X</x:v>
      </x:c>
      <x:c r="B194" s="25" t="str">
        <x:v>王城罗德尔</x:v>
      </x:c>
      <x:c r="C194" s="25" t="str">
        <x:v>极端压力</x:v>
      </x:c>
      <x:c r="D194" s="25" t="n">
        <x:v>8</x:v>
      </x:c>
      <x:c r="E194" s="25" t="n">
        <x:v>1082</x:v>
      </x:c>
      <x:c r="F194" s="25" t="str">
        <x:v>【天选之人】</x:v>
      </x:c>
      <x:c r="G194" s="25" t="str">
        <x:v>彩色</x:v>
      </x:c>
      <x:c r="H194" s="25" t="str">
        <x:v>最大爆率×3；人物爆率×3</x:v>
      </x:c>
      <x:c r="I194" s="25" t="str">
        <x:v>明确的代表组合，不等于100次必出指定名称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8" hidden="0" customWidth="1"/>
    <x:col min="10" max="10" width="12" hidden="0" customWidth="1"/>
    <x:col min="11" max="11" width="12" hidden="0" customWidth="1"/>
    <x:col min="12" max="12" width="15" hidden="0" customWidth="1"/>
    <x:col min="13" max="13" width="15" hidden="0" customWidth="1"/>
    <x:col min="14" max="14" width="17" hidden="0" customWidth="1"/>
    <x:col min="15" max="15" width="16" hidden="0" customWidth="1"/>
    <x:col min="16" max="16" width="18" hidden="0" customWidth="1"/>
    <x:col min="17" max="17" width="18" hidden="0" customWidth="1"/>
    <x:col min="18" max="18" width="14" hidden="0" customWidth="1"/>
    <x:col min="19" max="19" width="23" hidden="0" customWidth="1"/>
    <x:col min="20" max="20" width="23" hidden="0" customWidth="1"/>
    <x:col min="21" max="21" width="61" hidden="0" customWidth="1"/>
  </x:cols>
  <x:sheetData>
    <x:row r="1" ht="29" customHeight="1">
      <x:c r="A1" s="4" t="str">
        <x:v>成长、图鉴与累计投入｜自产约束而非时间保证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43" customHeight="1">
      <x:c r="A2" s="11" t="str">
        <x:v>进入档继承上一大陆毕业档；C2额外灵符解锁单列。127条旧预算不是自动全收集；本页成本由实际采用动作累计。缺失灵符分项不填假价。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等效等级</x:v>
      </x:c>
      <x:c r="E4" s="19" t="str">
        <x:v>称号阶段</x:v>
      </x:c>
      <x:c r="F4" s="19" t="str">
        <x:v>全彩槽位</x:v>
      </x:c>
      <x:c r="G4" s="19" t="str">
        <x:v>神印档</x:v>
      </x:c>
      <x:c r="H4" s="19" t="str">
        <x:v>转生</x:v>
      </x:c>
      <x:c r="I4" s="19" t="str">
        <x:v>剑/圣物阶段</x:v>
      </x:c>
      <x:c r="J4" s="19" t="str">
        <x:v>剑等级</x:v>
      </x:c>
      <x:c r="K4" s="19" t="str">
        <x:v>圣物等级</x:v>
      </x:c>
      <x:c r="L4" s="19" t="str">
        <x:v>单件图鉴数</x:v>
      </x:c>
      <x:c r="M4" s="19" t="str">
        <x:v>整页完成数</x:v>
      </x:c>
      <x:c r="N4" s="19" t="str">
        <x:v>大陆全收集数</x:v>
      </x:c>
      <x:c r="O4" s="19" t="str">
        <x:v>材料图鉴数</x:v>
      </x:c>
      <x:c r="P4" s="19" t="str">
        <x:v>累计普通洗练</x:v>
      </x:c>
      <x:c r="Q4" s="19" t="str">
        <x:v>累计有效开光</x:v>
      </x:c>
      <x:c r="R4" s="19" t="str">
        <x:v>穿戴件数</x:v>
      </x:c>
      <x:c r="S4" s="19" t="str">
        <x:v>累计自产金币</x:v>
      </x:c>
      <x:c r="T4" s="19" t="str">
        <x:v>累计自产元宝</x:v>
      </x:c>
      <x:c r="U4" s="19" t="str">
        <x:v>范围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n">
        <x:v>40</x:v>
      </x:c>
      <x:c r="E5" s="25" t="n">
        <x:v>1</x:v>
      </x:c>
      <x:c r="F5" s="25" t="n">
        <x:v>1</x:v>
      </x:c>
      <x:c r="G5" s="25" t="n">
        <x:v>0</x:v>
      </x:c>
      <x:c r="H5" s="25" t="n">
        <x:v>0</x:v>
      </x:c>
      <x:c r="I5" s="25" t="n">
        <x:v>1</x:v>
      </x:c>
      <x:c r="J5" s="25" t="n">
        <x:v>10</x:v>
      </x:c>
      <x:c r="K5" s="25" t="n">
        <x:v>10</x:v>
      </x:c>
      <x:c r="L5" s="25" t="n">
        <x:v>0</x:v>
      </x:c>
      <x:c r="M5" s="25" t="n">
        <x:v>0</x:v>
      </x:c>
      <x:c r="N5" s="25" t="n">
        <x:v>0</x:v>
      </x:c>
      <x:c r="O5" s="25" t="n">
        <x:v>0</x:v>
      </x:c>
      <x:c r="P5" s="25" t="n">
        <x:v>0</x:v>
      </x:c>
      <x:c r="Q5" s="25" t="n">
        <x:v>0</x:v>
      </x:c>
      <x:c r="R5" s="25" t="n">
        <x:v>0</x:v>
      </x:c>
      <x:c r="S5" s="25" t="n">
        <x:v>0</x:v>
      </x:c>
      <x:c r="T5" s="25" t="n">
        <x:v>0</x:v>
      </x:c>
      <x:c r="U5" s="25" t="str">
        <x:v>C0—C2仅已支持/明确假设的灵符路径；C3后新增成长自产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25" t="n">
        <x:v>45</x:v>
      </x:c>
      <x:c r="E6" s="25" t="n">
        <x:v>1</x:v>
      </x:c>
      <x:c r="F6" s="25" t="n">
        <x:v>1</x:v>
      </x:c>
      <x:c r="G6" s="25" t="n">
        <x:v>0</x:v>
      </x:c>
      <x:c r="H6" s="25" t="n">
        <x:v>0</x:v>
      </x:c>
      <x:c r="I6" s="25" t="n">
        <x:v>1</x:v>
      </x:c>
      <x:c r="J6" s="25" t="n">
        <x:v>10</x:v>
      </x:c>
      <x:c r="K6" s="25" t="n">
        <x:v>10</x:v>
      </x:c>
      <x:c r="L6" s="25" t="n">
        <x:v>8</x:v>
      </x:c>
      <x:c r="M6" s="25" t="n">
        <x:v>0</x:v>
      </x:c>
      <x:c r="N6" s="25" t="n">
        <x:v>0</x:v>
      </x:c>
      <x:c r="O6" s="25" t="n">
        <x:v>0</x:v>
      </x:c>
      <x:c r="P6" s="25" t="n">
        <x:v>0</x:v>
      </x:c>
      <x:c r="Q6" s="25" t="n">
        <x:v>0</x:v>
      </x:c>
      <x:c r="R6" s="25" t="n">
        <x:v>13</x:v>
      </x:c>
      <x:c r="S6" s="25" t="n">
        <x:v>0</x:v>
      </x:c>
      <x:c r="T6" s="25" t="n">
        <x:v>18000000</x:v>
      </x:c>
      <x:c r="U6" s="25" t="str">
        <x:v>C0—C2仅已支持/明确假设的灵符路径；C3后新增成长自产</x:v>
      </x:c>
    </x:row>
    <x:row r="7">
      <x:c r="A7" s="25" t="str">
        <x:v>C01-G</x:v>
      </x:c>
      <x:c r="B7" s="25" t="str">
        <x:v>漂流群岛</x:v>
      </x:c>
      <x:c r="C7" s="25" t="str">
        <x:v>半急速毕业</x:v>
      </x:c>
      <x:c r="D7" s="25" t="n">
        <x:v>50</x:v>
      </x:c>
      <x:c r="E7" s="25" t="n">
        <x:v>1</x:v>
      </x:c>
      <x:c r="F7" s="25" t="n">
        <x:v>1</x:v>
      </x:c>
      <x:c r="G7" s="25" t="n">
        <x:v>0</x:v>
      </x:c>
      <x:c r="H7" s="25" t="n">
        <x:v>0</x:v>
      </x:c>
      <x:c r="I7" s="25" t="n">
        <x:v>1</x:v>
      </x:c>
      <x:c r="J7" s="25" t="n">
        <x:v>10</x:v>
      </x:c>
      <x:c r="K7" s="25" t="n">
        <x:v>10</x:v>
      </x:c>
      <x:c r="L7" s="25" t="n">
        <x:v>21</x:v>
      </x:c>
      <x:c r="M7" s="25" t="n">
        <x:v>1</x:v>
      </x:c>
      <x:c r="N7" s="25" t="n">
        <x:v>0</x:v>
      </x:c>
      <x:c r="O7" s="25" t="n">
        <x:v>0</x:v>
      </x:c>
      <x:c r="P7" s="25" t="n">
        <x:v>0</x:v>
      </x:c>
      <x:c r="Q7" s="25" t="n">
        <x:v>0</x:v>
      </x:c>
      <x:c r="R7" s="25" t="n">
        <x:v>14</x:v>
      </x:c>
      <x:c r="S7" s="25" t="n">
        <x:v>2800000000</x:v>
      </x:c>
      <x:c r="T7" s="25" t="n">
        <x:v>74500000</x:v>
      </x:c>
      <x:c r="U7" s="25" t="str">
        <x:v>C0—C2仅已支持/明确假设的灵符路径；C3后新增成长自产</x:v>
      </x:c>
    </x:row>
    <x:row r="8">
      <x:c r="A8" s="25" t="str">
        <x:v>C01-X</x:v>
      </x:c>
      <x:c r="B8" s="25" t="str">
        <x:v>漂流群岛</x:v>
      </x:c>
      <x:c r="C8" s="25" t="str">
        <x:v>极端压力</x:v>
      </x:c>
      <x:c r="D8" s="25" t="n">
        <x:v>50</x:v>
      </x:c>
      <x:c r="E8" s="25" t="n">
        <x:v>1</x:v>
      </x:c>
      <x:c r="F8" s="25" t="n">
        <x:v>1</x:v>
      </x:c>
      <x:c r="G8" s="25" t="n">
        <x:v>0</x:v>
      </x:c>
      <x:c r="H8" s="25" t="n">
        <x:v>0</x:v>
      </x:c>
      <x:c r="I8" s="25" t="n">
        <x:v>1</x:v>
      </x:c>
      <x:c r="J8" s="25" t="n">
        <x:v>10</x:v>
      </x:c>
      <x:c r="K8" s="25" t="n">
        <x:v>10</x:v>
      </x:c>
      <x:c r="L8" s="25" t="n">
        <x:v>38</x:v>
      </x:c>
      <x:c r="M8" s="25" t="n">
        <x:v>3</x:v>
      </x:c>
      <x:c r="N8" s="25" t="n">
        <x:v>1</x:v>
      </x:c>
      <x:c r="O8" s="25" t="n">
        <x:v>0</x:v>
      </x:c>
      <x:c r="P8" s="25" t="n">
        <x:v>0</x:v>
      </x:c>
      <x:c r="Q8" s="25" t="n">
        <x:v>0</x:v>
      </x:c>
      <x:c r="R8" s="25" t="n">
        <x:v>15</x:v>
      </x:c>
      <x:c r="S8" s="25" t="n">
        <x:v>4400000000</x:v>
      </x:c>
      <x:c r="T8" s="25" t="n">
        <x:v>74500000</x:v>
      </x:c>
      <x:c r="U8" s="25" t="str">
        <x:v>C0—C2仅已支持/明确假设的灵符路径；C3后新增成长自产</x:v>
      </x:c>
    </x:row>
    <x:row r="9">
      <x:c r="A9" s="25" t="str">
        <x:v>C02-E</x:v>
      </x:c>
      <x:c r="B9" s="25" t="str">
        <x:v>宁姆格福</x:v>
      </x:c>
      <x:c r="C9" s="25" t="str">
        <x:v>半急速入场</x:v>
      </x:c>
      <x:c r="D9" s="25" t="n">
        <x:v>50</x:v>
      </x:c>
      <x:c r="E9" s="25" t="n">
        <x:v>2</x:v>
      </x:c>
      <x:c r="F9" s="25" t="n">
        <x:v>2</x:v>
      </x:c>
      <x:c r="G9" s="25" t="n">
        <x:v>0</x:v>
      </x:c>
      <x:c r="H9" s="25" t="n">
        <x:v>0</x:v>
      </x:c>
      <x:c r="I9" s="25" t="n">
        <x:v>2</x:v>
      </x:c>
      <x:c r="J9" s="25" t="n">
        <x:v>10</x:v>
      </x:c>
      <x:c r="K9" s="25" t="n">
        <x:v>10</x:v>
      </x:c>
      <x:c r="L9" s="25" t="n">
        <x:v>21</x:v>
      </x:c>
      <x:c r="M9" s="25" t="n">
        <x:v>1</x:v>
      </x:c>
      <x:c r="N9" s="25" t="n">
        <x:v>0</x:v>
      </x:c>
      <x:c r="O9" s="25" t="n">
        <x:v>0</x:v>
      </x:c>
      <x:c r="P9" s="25" t="n">
        <x:v>0</x:v>
      </x:c>
      <x:c r="Q9" s="25" t="n">
        <x:v>0</x:v>
      </x:c>
      <x:c r="R9" s="25" t="n">
        <x:v>14</x:v>
      </x:c>
      <x:c r="S9" s="25" t="n">
        <x:v>2800000000</x:v>
      </x:c>
      <x:c r="T9" s="25" t="n">
        <x:v>74500000</x:v>
      </x:c>
      <x:c r="U9" s="25" t="str">
        <x:v>C0—C2仅已支持/明确假设的灵符路径；C3后新增成长自产</x:v>
      </x:c>
    </x:row>
    <x:row r="10">
      <x:c r="A10" s="25" t="str">
        <x:v>C02-M</x:v>
      </x:c>
      <x:c r="B10" s="25" t="str">
        <x:v>宁姆格福</x:v>
      </x:c>
      <x:c r="C10" s="25" t="str">
        <x:v>半急速中期</x:v>
      </x:c>
      <x:c r="D10" s="25" t="n">
        <x:v>55</x:v>
      </x:c>
      <x:c r="E10" s="25" t="n">
        <x:v>2</x:v>
      </x:c>
      <x:c r="F10" s="25" t="n">
        <x:v>2</x:v>
      </x:c>
      <x:c r="G10" s="25" t="n">
        <x:v>25</x:v>
      </x:c>
      <x:c r="H10" s="25" t="n">
        <x:v>0</x:v>
      </x:c>
      <x:c r="I10" s="25" t="n">
        <x:v>2</x:v>
      </x:c>
      <x:c r="J10" s="25" t="n">
        <x:v>10</x:v>
      </x:c>
      <x:c r="K10" s="25" t="n">
        <x:v>10</x:v>
      </x:c>
      <x:c r="L10" s="25" t="n">
        <x:v>51</x:v>
      </x:c>
      <x:c r="M10" s="25" t="n">
        <x:v>3</x:v>
      </x:c>
      <x:c r="N10" s="25" t="n">
        <x:v>0</x:v>
      </x:c>
      <x:c r="O10" s="25" t="n">
        <x:v>0</x:v>
      </x:c>
      <x:c r="P10" s="25" t="n">
        <x:v>48</x:v>
      </x:c>
      <x:c r="Q10" s="25" t="n">
        <x:v>0</x:v>
      </x:c>
      <x:c r="R10" s="25" t="n">
        <x:v>22</x:v>
      </x:c>
      <x:c r="S10" s="25" t="n">
        <x:v>7740000000</x:v>
      </x:c>
      <x:c r="T10" s="25" t="n">
        <x:v>267500000</x:v>
      </x:c>
      <x:c r="U10" s="25" t="str">
        <x:v>C0—C2仅已支持/明确假设的灵符路径；C3后新增成长自产</x:v>
      </x:c>
    </x:row>
    <x:row r="11">
      <x:c r="A11" s="25" t="str">
        <x:v>C02-G</x:v>
      </x:c>
      <x:c r="B11" s="25" t="str">
        <x:v>宁姆格福</x:v>
      </x:c>
      <x:c r="C11" s="25" t="str">
        <x:v>半急速毕业</x:v>
      </x:c>
      <x:c r="D11" s="25" t="n">
        <x:v>60</x:v>
      </x:c>
      <x:c r="E11" s="25" t="n">
        <x:v>2</x:v>
      </x:c>
      <x:c r="F11" s="25" t="n">
        <x:v>2</x:v>
      </x:c>
      <x:c r="G11" s="25" t="n">
        <x:v>50</x:v>
      </x:c>
      <x:c r="H11" s="25" t="n">
        <x:v>0</x:v>
      </x:c>
      <x:c r="I11" s="25" t="n">
        <x:v>2</x:v>
      </x:c>
      <x:c r="J11" s="25" t="n">
        <x:v>10</x:v>
      </x:c>
      <x:c r="K11" s="25" t="n">
        <x:v>10</x:v>
      </x:c>
      <x:c r="L11" s="25" t="n">
        <x:v>75</x:v>
      </x:c>
      <x:c r="M11" s="25" t="n">
        <x:v>5</x:v>
      </x:c>
      <x:c r="N11" s="25" t="n">
        <x:v>0</x:v>
      </x:c>
      <x:c r="O11" s="25" t="n">
        <x:v>0</x:v>
      </x:c>
      <x:c r="P11" s="25" t="n">
        <x:v>120</x:v>
      </x:c>
      <x:c r="Q11" s="25" t="n">
        <x:v>0</x:v>
      </x:c>
      <x:c r="R11" s="25" t="n">
        <x:v>26</x:v>
      </x:c>
      <x:c r="S11" s="25" t="n">
        <x:v>24670000000</x:v>
      </x:c>
      <x:c r="T11" s="25" t="n">
        <x:v>840000000</x:v>
      </x:c>
      <x:c r="U11" s="25" t="str">
        <x:v>C0—C2仅已支持/明确假设的灵符路径；C3后新增成长自产</x:v>
      </x:c>
    </x:row>
    <x:row r="12">
      <x:c r="A12" s="25" t="str">
        <x:v>C02-X</x:v>
      </x:c>
      <x:c r="B12" s="25" t="str">
        <x:v>宁姆格福</x:v>
      </x:c>
      <x:c r="C12" s="25" t="str">
        <x:v>极端压力</x:v>
      </x:c>
      <x:c r="D12" s="25" t="n">
        <x:v>60</x:v>
      </x:c>
      <x:c r="E12" s="25" t="n">
        <x:v>2</x:v>
      </x:c>
      <x:c r="F12" s="25" t="n">
        <x:v>2</x:v>
      </x:c>
      <x:c r="G12" s="25" t="n">
        <x:v>50</x:v>
      </x:c>
      <x:c r="H12" s="25" t="n">
        <x:v>0</x:v>
      </x:c>
      <x:c r="I12" s="25" t="n">
        <x:v>2</x:v>
      </x:c>
      <x:c r="J12" s="25" t="n">
        <x:v>10</x:v>
      </x:c>
      <x:c r="K12" s="25" t="n">
        <x:v>10</x:v>
      </x:c>
      <x:c r="L12" s="25" t="n">
        <x:v>99</x:v>
      </x:c>
      <x:c r="M12" s="25" t="n">
        <x:v>8</x:v>
      </x:c>
      <x:c r="N12" s="25" t="n">
        <x:v>2</x:v>
      </x:c>
      <x:c r="O12" s="25" t="n">
        <x:v>0</x:v>
      </x:c>
      <x:c r="P12" s="25" t="n">
        <x:v>360</x:v>
      </x:c>
      <x:c r="Q12" s="25" t="n">
        <x:v>15</x:v>
      </x:c>
      <x:c r="R12" s="25" t="n">
        <x:v>33</x:v>
      </x:c>
      <x:c r="S12" s="25" t="n">
        <x:v>24670000000</x:v>
      </x:c>
      <x:c r="T12" s="25" t="n">
        <x:v>1270000000</x:v>
      </x:c>
      <x:c r="U12" s="25" t="str">
        <x:v>C0—C2仅已支持/明确假设的灵符路径；C3后新增成长自产</x:v>
      </x:c>
    </x:row>
    <x:row r="13">
      <x:c r="A13" s="25" t="str">
        <x:v>C03-E</x:v>
      </x:c>
      <x:c r="B13" s="25" t="str">
        <x:v>宁姆格福西域</x:v>
      </x:c>
      <x:c r="C13" s="25" t="str">
        <x:v>半急速入场</x:v>
      </x:c>
      <x:c r="D13" s="25" t="n">
        <x:v>60</x:v>
      </x:c>
      <x:c r="E13" s="25" t="n">
        <x:v>2</x:v>
      </x:c>
      <x:c r="F13" s="25" t="n">
        <x:v>2</x:v>
      </x:c>
      <x:c r="G13" s="25" t="n">
        <x:v>50</x:v>
      </x:c>
      <x:c r="H13" s="25" t="n">
        <x:v>0</x:v>
      </x:c>
      <x:c r="I13" s="25" t="n">
        <x:v>2</x:v>
      </x:c>
      <x:c r="J13" s="25" t="n">
        <x:v>10</x:v>
      </x:c>
      <x:c r="K13" s="25" t="n">
        <x:v>10</x:v>
      </x:c>
      <x:c r="L13" s="25" t="n">
        <x:v>75</x:v>
      </x:c>
      <x:c r="M13" s="25" t="n">
        <x:v>5</x:v>
      </x:c>
      <x:c r="N13" s="25" t="n">
        <x:v>0</x:v>
      </x:c>
      <x:c r="O13" s="25" t="n">
        <x:v>0</x:v>
      </x:c>
      <x:c r="P13" s="25" t="n">
        <x:v>120</x:v>
      </x:c>
      <x:c r="Q13" s="25" t="n">
        <x:v>0</x:v>
      </x:c>
      <x:c r="R13" s="25" t="n">
        <x:v>26</x:v>
      </x:c>
      <x:c r="S13" s="25" t="n">
        <x:v>24670000000</x:v>
      </x:c>
      <x:c r="T13" s="25" t="n">
        <x:v>840000000</x:v>
      </x:c>
      <x:c r="U13" s="25" t="str">
        <x:v>C0—C2仅已支持/明确假设的灵符路径；C3后新增成长自产</x:v>
      </x:c>
    </x:row>
    <x:row r="14">
      <x:c r="A14" s="25" t="str">
        <x:v>C03-M</x:v>
      </x:c>
      <x:c r="B14" s="25" t="str">
        <x:v>宁姆格福西域</x:v>
      </x:c>
      <x:c r="C14" s="25" t="str">
        <x:v>半急速中期</x:v>
      </x:c>
      <x:c r="D14" s="25" t="n">
        <x:v>65</x:v>
      </x:c>
      <x:c r="E14" s="25" t="n">
        <x:v>3</x:v>
      </x:c>
      <x:c r="F14" s="25" t="n">
        <x:v>3</x:v>
      </x:c>
      <x:c r="G14" s="25" t="n">
        <x:v>65</x:v>
      </x:c>
      <x:c r="H14" s="25" t="n">
        <x:v>0</x:v>
      </x:c>
      <x:c r="I14" s="25" t="n">
        <x:v>2</x:v>
      </x:c>
      <x:c r="J14" s="25" t="n">
        <x:v>10</x:v>
      </x:c>
      <x:c r="K14" s="25" t="n">
        <x:v>10</x:v>
      </x:c>
      <x:c r="L14" s="25" t="n">
        <x:v>109</x:v>
      </x:c>
      <x:c r="M14" s="25" t="n">
        <x:v>7</x:v>
      </x:c>
      <x:c r="N14" s="25" t="n">
        <x:v>0</x:v>
      </x:c>
      <x:c r="O14" s="25" t="n">
        <x:v>0</x:v>
      </x:c>
      <x:c r="P14" s="25" t="n">
        <x:v>184</x:v>
      </x:c>
      <x:c r="Q14" s="25" t="n">
        <x:v>0</x:v>
      </x:c>
      <x:c r="R14" s="25" t="n">
        <x:v>31</x:v>
      </x:c>
      <x:c r="S14" s="25" t="n">
        <x:v>37870000000</x:v>
      </x:c>
      <x:c r="T14" s="25" t="n">
        <x:v>1006000000</x:v>
      </x:c>
      <x:c r="U14" s="25" t="str">
        <x:v>C0—C2仅已支持/明确假设的灵符路径；C3后新增成长自产</x:v>
      </x:c>
    </x:row>
    <x:row r="15">
      <x:c r="A15" s="25" t="str">
        <x:v>C03-G</x:v>
      </x:c>
      <x:c r="B15" s="25" t="str">
        <x:v>宁姆格福西域</x:v>
      </x:c>
      <x:c r="C15" s="25" t="str">
        <x:v>半急速毕业</x:v>
      </x:c>
      <x:c r="D15" s="25" t="n">
        <x:v>70</x:v>
      </x:c>
      <x:c r="E15" s="25" t="n">
        <x:v>3</x:v>
      </x:c>
      <x:c r="F15" s="25" t="n">
        <x:v>3</x:v>
      </x:c>
      <x:c r="G15" s="25" t="n">
        <x:v>80</x:v>
      </x:c>
      <x:c r="H15" s="25" t="n">
        <x:v>0</x:v>
      </x:c>
      <x:c r="I15" s="25" t="n">
        <x:v>2</x:v>
      </x:c>
      <x:c r="J15" s="25" t="n">
        <x:v>10</x:v>
      </x:c>
      <x:c r="K15" s="25" t="n">
        <x:v>10</x:v>
      </x:c>
      <x:c r="L15" s="25" t="n">
        <x:v>130</x:v>
      </x:c>
      <x:c r="M15" s="25" t="n">
        <x:v>9</x:v>
      </x:c>
      <x:c r="N15" s="25" t="n">
        <x:v>0</x:v>
      </x:c>
      <x:c r="O15" s="25" t="n">
        <x:v>0</x:v>
      </x:c>
      <x:c r="P15" s="25" t="n">
        <x:v>280</x:v>
      </x:c>
      <x:c r="Q15" s="25" t="n">
        <x:v>0</x:v>
      </x:c>
      <x:c r="R15" s="25" t="n">
        <x:v>31</x:v>
      </x:c>
      <x:c r="S15" s="25" t="n">
        <x:v>111390000000</x:v>
      </x:c>
      <x:c r="T15" s="25" t="n">
        <x:v>1128100000</x:v>
      </x:c>
      <x:c r="U15" s="25" t="str">
        <x:v>C0—C2仅已支持/明确假设的灵符路径；C3后新增成长自产</x:v>
      </x:c>
    </x:row>
    <x:row r="16">
      <x:c r="A16" s="25" t="str">
        <x:v>C03-X</x:v>
      </x:c>
      <x:c r="B16" s="25" t="str">
        <x:v>宁姆格福西域</x:v>
      </x:c>
      <x:c r="C16" s="25" t="str">
        <x:v>极端压力</x:v>
      </x:c>
      <x:c r="D16" s="25" t="n">
        <x:v>70</x:v>
      </x:c>
      <x:c r="E16" s="25" t="n">
        <x:v>3</x:v>
      </x:c>
      <x:c r="F16" s="25" t="n">
        <x:v>3</x:v>
      </x:c>
      <x:c r="G16" s="25" t="n">
        <x:v>80</x:v>
      </x:c>
      <x:c r="H16" s="25" t="n">
        <x:v>0</x:v>
      </x:c>
      <x:c r="I16" s="25" t="n">
        <x:v>2</x:v>
      </x:c>
      <x:c r="J16" s="25" t="n">
        <x:v>10</x:v>
      </x:c>
      <x:c r="K16" s="25" t="n">
        <x:v>10</x:v>
      </x:c>
      <x:c r="L16" s="25" t="n">
        <x:v>172</x:v>
      </x:c>
      <x:c r="M16" s="25" t="n">
        <x:v>14</x:v>
      </x:c>
      <x:c r="N16" s="25" t="n">
        <x:v>3</x:v>
      </x:c>
      <x:c r="O16" s="25" t="n">
        <x:v>1</x:v>
      </x:c>
      <x:c r="P16" s="25" t="n">
        <x:v>600</x:v>
      </x:c>
      <x:c r="Q16" s="25" t="n">
        <x:v>24</x:v>
      </x:c>
      <x:c r="R16" s="25" t="n">
        <x:v>33</x:v>
      </x:c>
      <x:c r="S16" s="25" t="n">
        <x:v>143390000000</x:v>
      </x:c>
      <x:c r="T16" s="25" t="n">
        <x:v>1852300000</x:v>
      </x:c>
      <x:c r="U16" s="25" t="str">
        <x:v>C0—C2仅已支持/明确假设的灵符路径；C3后新增成长自产</x:v>
      </x:c>
    </x:row>
    <x:row r="17">
      <x:c r="A17" s="25" t="str">
        <x:v>C04-E</x:v>
      </x:c>
      <x:c r="B17" s="25" t="str">
        <x:v>利耶尼亚海域</x:v>
      </x:c>
      <x:c r="C17" s="25" t="str">
        <x:v>半急速入场</x:v>
      </x:c>
      <x:c r="D17" s="25" t="n">
        <x:v>70</x:v>
      </x:c>
      <x:c r="E17" s="25" t="n">
        <x:v>3</x:v>
      </x:c>
      <x:c r="F17" s="25" t="n">
        <x:v>3</x:v>
      </x:c>
      <x:c r="G17" s="25" t="n">
        <x:v>80</x:v>
      </x:c>
      <x:c r="H17" s="25" t="n">
        <x:v>0</x:v>
      </x:c>
      <x:c r="I17" s="25" t="n">
        <x:v>2</x:v>
      </x:c>
      <x:c r="J17" s="25" t="n">
        <x:v>10</x:v>
      </x:c>
      <x:c r="K17" s="25" t="n">
        <x:v>10</x:v>
      </x:c>
      <x:c r="L17" s="25" t="n">
        <x:v>130</x:v>
      </x:c>
      <x:c r="M17" s="25" t="n">
        <x:v>9</x:v>
      </x:c>
      <x:c r="N17" s="25" t="n">
        <x:v>0</x:v>
      </x:c>
      <x:c r="O17" s="25" t="n">
        <x:v>0</x:v>
      </x:c>
      <x:c r="P17" s="25" t="n">
        <x:v>280</x:v>
      </x:c>
      <x:c r="Q17" s="25" t="n">
        <x:v>0</x:v>
      </x:c>
      <x:c r="R17" s="25" t="n">
        <x:v>31</x:v>
      </x:c>
      <x:c r="S17" s="25" t="n">
        <x:v>111390000000</x:v>
      </x:c>
      <x:c r="T17" s="25" t="n">
        <x:v>1128100000</x:v>
      </x:c>
      <x:c r="U17" s="25" t="str">
        <x:v>C0—C2仅已支持/明确假设的灵符路径；C3后新增成长自产</x:v>
      </x:c>
    </x:row>
    <x:row r="18">
      <x:c r="A18" s="25" t="str">
        <x:v>C04-M</x:v>
      </x:c>
      <x:c r="B18" s="25" t="str">
        <x:v>利耶尼亚海域</x:v>
      </x:c>
      <x:c r="C18" s="25" t="str">
        <x:v>半急速中期</x:v>
      </x:c>
      <x:c r="D18" s="25" t="n">
        <x:v>75</x:v>
      </x:c>
      <x:c r="E18" s="25" t="n">
        <x:v>4</x:v>
      </x:c>
      <x:c r="F18" s="25" t="n">
        <x:v>4</x:v>
      </x:c>
      <x:c r="G18" s="25" t="n">
        <x:v>95</x:v>
      </x:c>
      <x:c r="H18" s="25" t="n">
        <x:v>2</x:v>
      </x:c>
      <x:c r="I18" s="25" t="n">
        <x:v>2</x:v>
      </x:c>
      <x:c r="J18" s="25" t="n">
        <x:v>10</x:v>
      </x:c>
      <x:c r="K18" s="25" t="n">
        <x:v>10</x:v>
      </x:c>
      <x:c r="L18" s="25" t="n">
        <x:v>161</x:v>
      </x:c>
      <x:c r="M18" s="25" t="n">
        <x:v>11</x:v>
      </x:c>
      <x:c r="N18" s="25" t="n">
        <x:v>0</x:v>
      </x:c>
      <x:c r="O18" s="25" t="n">
        <x:v>1</x:v>
      </x:c>
      <x:c r="P18" s="25" t="n">
        <x:v>360</x:v>
      </x:c>
      <x:c r="Q18" s="25" t="n">
        <x:v>4</x:v>
      </x:c>
      <x:c r="R18" s="25" t="n">
        <x:v>31</x:v>
      </x:c>
      <x:c r="S18" s="25" t="n">
        <x:v>140930000000</x:v>
      </x:c>
      <x:c r="T18" s="25" t="n">
        <x:v>1517900000</x:v>
      </x:c>
      <x:c r="U18" s="25" t="str">
        <x:v>C0—C2仅已支持/明确假设的灵符路径；C3后新增成长自产</x:v>
      </x:c>
    </x:row>
    <x:row r="19">
      <x:c r="A19" s="25" t="str">
        <x:v>C04-G</x:v>
      </x:c>
      <x:c r="B19" s="25" t="str">
        <x:v>利耶尼亚海域</x:v>
      </x:c>
      <x:c r="C19" s="25" t="str">
        <x:v>半急速毕业</x:v>
      </x:c>
      <x:c r="D19" s="25" t="n">
        <x:v>80</x:v>
      </x:c>
      <x:c r="E19" s="25" t="n">
        <x:v>4</x:v>
      </x:c>
      <x:c r="F19" s="25" t="n">
        <x:v>4</x:v>
      </x:c>
      <x:c r="G19" s="25" t="n">
        <x:v>110</x:v>
      </x:c>
      <x:c r="H19" s="25" t="n">
        <x:v>5</x:v>
      </x:c>
      <x:c r="I19" s="25" t="n">
        <x:v>2</x:v>
      </x:c>
      <x:c r="J19" s="25" t="n">
        <x:v>10</x:v>
      </x:c>
      <x:c r="K19" s="25" t="n">
        <x:v>10</x:v>
      </x:c>
      <x:c r="L19" s="25" t="n">
        <x:v>186</x:v>
      </x:c>
      <x:c r="M19" s="25" t="n">
        <x:v>13</x:v>
      </x:c>
      <x:c r="N19" s="25" t="n">
        <x:v>0</x:v>
      </x:c>
      <x:c r="O19" s="25" t="n">
        <x:v>1</x:v>
      </x:c>
      <x:c r="P19" s="25" t="n">
        <x:v>480</x:v>
      </x:c>
      <x:c r="Q19" s="25" t="n">
        <x:v>10</x:v>
      </x:c>
      <x:c r="R19" s="25" t="n">
        <x:v>31</x:v>
      </x:c>
      <x:c r="S19" s="25" t="n">
        <x:v>216160000000</x:v>
      </x:c>
      <x:c r="T19" s="25" t="n">
        <x:v>2384000000</x:v>
      </x:c>
      <x:c r="U19" s="25" t="str">
        <x:v>C0—C2仅已支持/明确假设的灵符路径；C3后新增成长自产</x:v>
      </x:c>
    </x:row>
    <x:row r="20">
      <x:c r="A20" s="25" t="str">
        <x:v>C04-X</x:v>
      </x:c>
      <x:c r="B20" s="25" t="str">
        <x:v>利耶尼亚海域</x:v>
      </x:c>
      <x:c r="C20" s="25" t="str">
        <x:v>极端压力</x:v>
      </x:c>
      <x:c r="D20" s="25" t="n">
        <x:v>80</x:v>
      </x:c>
      <x:c r="E20" s="25" t="n">
        <x:v>4</x:v>
      </x:c>
      <x:c r="F20" s="25" t="n">
        <x:v>4</x:v>
      </x:c>
      <x:c r="G20" s="25" t="n">
        <x:v>110</x:v>
      </x:c>
      <x:c r="H20" s="25" t="n">
        <x:v>5</x:v>
      </x:c>
      <x:c r="I20" s="25" t="n">
        <x:v>2</x:v>
      </x:c>
      <x:c r="J20" s="25" t="n">
        <x:v>10</x:v>
      </x:c>
      <x:c r="K20" s="25" t="n">
        <x:v>10</x:v>
      </x:c>
      <x:c r="L20" s="25" t="n">
        <x:v>245</x:v>
      </x:c>
      <x:c r="M20" s="25" t="n">
        <x:v>20</x:v>
      </x:c>
      <x:c r="N20" s="25" t="n">
        <x:v>4</x:v>
      </x:c>
      <x:c r="O20" s="25" t="n">
        <x:v>2</x:v>
      </x:c>
      <x:c r="P20" s="25" t="n">
        <x:v>880</x:v>
      </x:c>
      <x:c r="Q20" s="25" t="n">
        <x:v>30</x:v>
      </x:c>
      <x:c r="R20" s="25" t="n">
        <x:v>34</x:v>
      </x:c>
      <x:c r="S20" s="25" t="n">
        <x:v>292160000000</x:v>
      </x:c>
      <x:c r="T20" s="25" t="n">
        <x:v>4316000000</x:v>
      </x:c>
      <x:c r="U20" s="25" t="str">
        <x:v>C0—C2仅已支持/明确假设的灵符路径；C3后新增成长自产</x:v>
      </x:c>
    </x:row>
    <x:row r="21">
      <x:c r="A21" s="25" t="str">
        <x:v>C05-E</x:v>
      </x:c>
      <x:c r="B21" s="25" t="str">
        <x:v>湖之利耶尼亚</x:v>
      </x:c>
      <x:c r="C21" s="25" t="str">
        <x:v>半急速入场</x:v>
      </x:c>
      <x:c r="D21" s="25" t="n">
        <x:v>80</x:v>
      </x:c>
      <x:c r="E21" s="25" t="n">
        <x:v>4</x:v>
      </x:c>
      <x:c r="F21" s="25" t="n">
        <x:v>4</x:v>
      </x:c>
      <x:c r="G21" s="25" t="n">
        <x:v>110</x:v>
      </x:c>
      <x:c r="H21" s="25" t="n">
        <x:v>5</x:v>
      </x:c>
      <x:c r="I21" s="25" t="n">
        <x:v>2</x:v>
      </x:c>
      <x:c r="J21" s="25" t="n">
        <x:v>10</x:v>
      </x:c>
      <x:c r="K21" s="25" t="n">
        <x:v>10</x:v>
      </x:c>
      <x:c r="L21" s="25" t="n">
        <x:v>186</x:v>
      </x:c>
      <x:c r="M21" s="25" t="n">
        <x:v>13</x:v>
      </x:c>
      <x:c r="N21" s="25" t="n">
        <x:v>0</x:v>
      </x:c>
      <x:c r="O21" s="25" t="n">
        <x:v>1</x:v>
      </x:c>
      <x:c r="P21" s="25" t="n">
        <x:v>480</x:v>
      </x:c>
      <x:c r="Q21" s="25" t="n">
        <x:v>10</x:v>
      </x:c>
      <x:c r="R21" s="25" t="n">
        <x:v>31</x:v>
      </x:c>
      <x:c r="S21" s="25" t="n">
        <x:v>216160000000</x:v>
      </x:c>
      <x:c r="T21" s="25" t="n">
        <x:v>2384000000</x:v>
      </x:c>
      <x:c r="U21" s="25" t="str">
        <x:v>C0—C2仅已支持/明确假设的灵符路径；C3后新增成长自产</x:v>
      </x:c>
    </x:row>
    <x:row r="22">
      <x:c r="A22" s="25" t="str">
        <x:v>C05-M</x:v>
      </x:c>
      <x:c r="B22" s="25" t="str">
        <x:v>湖之利耶尼亚</x:v>
      </x:c>
      <x:c r="C22" s="25" t="str">
        <x:v>半急速中期</x:v>
      </x:c>
      <x:c r="D22" s="25" t="n">
        <x:v>85</x:v>
      </x:c>
      <x:c r="E22" s="25" t="n">
        <x:v>5</x:v>
      </x:c>
      <x:c r="F22" s="25" t="n">
        <x:v>5</x:v>
      </x:c>
      <x:c r="G22" s="25" t="n">
        <x:v>125</x:v>
      </x:c>
      <x:c r="H22" s="25" t="n">
        <x:v>5</x:v>
      </x:c>
      <x:c r="I22" s="25" t="n">
        <x:v>2</x:v>
      </x:c>
      <x:c r="J22" s="25" t="n">
        <x:v>10</x:v>
      </x:c>
      <x:c r="K22" s="25" t="n">
        <x:v>10</x:v>
      </x:c>
      <x:c r="L22" s="25" t="n">
        <x:v>217</x:v>
      </x:c>
      <x:c r="M22" s="25" t="n">
        <x:v>15</x:v>
      </x:c>
      <x:c r="N22" s="25" t="n">
        <x:v>0</x:v>
      </x:c>
      <x:c r="O22" s="25" t="n">
        <x:v>2</x:v>
      </x:c>
      <x:c r="P22" s="25" t="n">
        <x:v>576</x:v>
      </x:c>
      <x:c r="Q22" s="25" t="n">
        <x:v>15</x:v>
      </x:c>
      <x:c r="R22" s="25" t="n">
        <x:v>31</x:v>
      </x:c>
      <x:c r="S22" s="25" t="n">
        <x:v>255310000000</x:v>
      </x:c>
      <x:c r="T22" s="25" t="n">
        <x:v>2934300000</x:v>
      </x:c>
      <x:c r="U22" s="25" t="str">
        <x:v>C0—C2仅已支持/明确假设的灵符路径；C3后新增成长自产</x:v>
      </x:c>
    </x:row>
    <x:row r="23">
      <x:c r="A23" s="25" t="str">
        <x:v>C05-G</x:v>
      </x:c>
      <x:c r="B23" s="25" t="str">
        <x:v>湖之利耶尼亚</x:v>
      </x:c>
      <x:c r="C23" s="25" t="str">
        <x:v>半急速毕业</x:v>
      </x:c>
      <x:c r="D23" s="25" t="n">
        <x:v>90</x:v>
      </x:c>
      <x:c r="E23" s="25" t="n">
        <x:v>5</x:v>
      </x:c>
      <x:c r="F23" s="25" t="n">
        <x:v>5</x:v>
      </x:c>
      <x:c r="G23" s="25" t="n">
        <x:v>140</x:v>
      </x:c>
      <x:c r="H23" s="25" t="n">
        <x:v>5</x:v>
      </x:c>
      <x:c r="I23" s="25" t="n">
        <x:v>2</x:v>
      </x:c>
      <x:c r="J23" s="25" t="n">
        <x:v>10</x:v>
      </x:c>
      <x:c r="K23" s="25" t="n">
        <x:v>10</x:v>
      </x:c>
      <x:c r="L23" s="25" t="n">
        <x:v>241</x:v>
      </x:c>
      <x:c r="M23" s="25" t="n">
        <x:v>17</x:v>
      </x:c>
      <x:c r="N23" s="25" t="n">
        <x:v>0</x:v>
      </x:c>
      <x:c r="O23" s="25" t="n">
        <x:v>2</x:v>
      </x:c>
      <x:c r="P23" s="25" t="n">
        <x:v>720</x:v>
      </x:c>
      <x:c r="Q23" s="25" t="n">
        <x:v>22</x:v>
      </x:c>
      <x:c r="R23" s="25" t="n">
        <x:v>31</x:v>
      </x:c>
      <x:c r="S23" s="25" t="n">
        <x:v>276910000000</x:v>
      </x:c>
      <x:c r="T23" s="25" t="n">
        <x:v>5349900000</x:v>
      </x:c>
      <x:c r="U23" s="25" t="str">
        <x:v>C0—C2仅已支持/明确假设的灵符路径；C3后新增成长自产</x:v>
      </x:c>
    </x:row>
    <x:row r="24">
      <x:c r="A24" s="25" t="str">
        <x:v>C05-X</x:v>
      </x:c>
      <x:c r="B24" s="25" t="str">
        <x:v>湖之利耶尼亚</x:v>
      </x:c>
      <x:c r="C24" s="25" t="str">
        <x:v>极端压力</x:v>
      </x:c>
      <x:c r="D24" s="25" t="n">
        <x:v>90</x:v>
      </x:c>
      <x:c r="E24" s="25" t="n">
        <x:v>5</x:v>
      </x:c>
      <x:c r="F24" s="25" t="n">
        <x:v>5</x:v>
      </x:c>
      <x:c r="G24" s="25" t="n">
        <x:v>140</x:v>
      </x:c>
      <x:c r="H24" s="25" t="n">
        <x:v>5</x:v>
      </x:c>
      <x:c r="I24" s="25" t="n">
        <x:v>2</x:v>
      </x:c>
      <x:c r="J24" s="25" t="n">
        <x:v>10</x:v>
      </x:c>
      <x:c r="K24" s="25" t="n">
        <x:v>10</x:v>
      </x:c>
      <x:c r="L24" s="25" t="n">
        <x:v>318</x:v>
      </x:c>
      <x:c r="M24" s="25" t="n">
        <x:v>26</x:v>
      </x:c>
      <x:c r="N24" s="25" t="n">
        <x:v>5</x:v>
      </x:c>
      <x:c r="O24" s="25" t="n">
        <x:v>3</x:v>
      </x:c>
      <x:c r="P24" s="25" t="n">
        <x:v>1200</x:v>
      </x:c>
      <x:c r="Q24" s="25" t="n">
        <x:v>22</x:v>
      </x:c>
      <x:c r="R24" s="25" t="n">
        <x:v>34</x:v>
      </x:c>
      <x:c r="S24" s="25" t="n">
        <x:v>309910000000</x:v>
      </x:c>
      <x:c r="T24" s="25" t="n">
        <x:v>8346600000</x:v>
      </x:c>
      <x:c r="U24" s="25" t="str">
        <x:v>C0—C2仅已支持/明确假设的灵符路径；C3后新增成长自产</x:v>
      </x:c>
    </x:row>
    <x:row r="25">
      <x:c r="A25" s="25" t="str">
        <x:v>C06-E</x:v>
      </x:c>
      <x:c r="B25" s="25" t="str">
        <x:v>盖利德</x:v>
      </x:c>
      <x:c r="C25" s="25" t="str">
        <x:v>半急速入场</x:v>
      </x:c>
      <x:c r="D25" s="25" t="n">
        <x:v>90</x:v>
      </x:c>
      <x:c r="E25" s="25" t="n">
        <x:v>5</x:v>
      </x:c>
      <x:c r="F25" s="25" t="n">
        <x:v>5</x:v>
      </x:c>
      <x:c r="G25" s="25" t="n">
        <x:v>140</x:v>
      </x:c>
      <x:c r="H25" s="25" t="n">
        <x:v>5</x:v>
      </x:c>
      <x:c r="I25" s="25" t="n">
        <x:v>2</x:v>
      </x:c>
      <x:c r="J25" s="25" t="n">
        <x:v>10</x:v>
      </x:c>
      <x:c r="K25" s="25" t="n">
        <x:v>10</x:v>
      </x:c>
      <x:c r="L25" s="25" t="n">
        <x:v>241</x:v>
      </x:c>
      <x:c r="M25" s="25" t="n">
        <x:v>17</x:v>
      </x:c>
      <x:c r="N25" s="25" t="n">
        <x:v>0</x:v>
      </x:c>
      <x:c r="O25" s="25" t="n">
        <x:v>2</x:v>
      </x:c>
      <x:c r="P25" s="25" t="n">
        <x:v>720</x:v>
      </x:c>
      <x:c r="Q25" s="25" t="n">
        <x:v>22</x:v>
      </x:c>
      <x:c r="R25" s="25" t="n">
        <x:v>31</x:v>
      </x:c>
      <x:c r="S25" s="25" t="n">
        <x:v>276910000000</x:v>
      </x:c>
      <x:c r="T25" s="25" t="n">
        <x:v>5349900000</x:v>
      </x:c>
      <x:c r="U25" s="25" t="str">
        <x:v>C0—C2仅已支持/明确假设的灵符路径；C3后新增成长自产</x:v>
      </x:c>
    </x:row>
    <x:row r="26">
      <x:c r="A26" s="25" t="str">
        <x:v>C06-M</x:v>
      </x:c>
      <x:c r="B26" s="25" t="str">
        <x:v>盖利德</x:v>
      </x:c>
      <x:c r="C26" s="25" t="str">
        <x:v>半急速中期</x:v>
      </x:c>
      <x:c r="D26" s="25" t="n">
        <x:v>95</x:v>
      </x:c>
      <x:c r="E26" s="25" t="n">
        <x:v>6</x:v>
      </x:c>
      <x:c r="F26" s="25" t="n">
        <x:v>6</x:v>
      </x:c>
      <x:c r="G26" s="25" t="n">
        <x:v>155</x:v>
      </x:c>
      <x:c r="H26" s="25" t="n">
        <x:v>7</x:v>
      </x:c>
      <x:c r="I26" s="25" t="n">
        <x:v>2</x:v>
      </x:c>
      <x:c r="J26" s="25" t="n">
        <x:v>10</x:v>
      </x:c>
      <x:c r="K26" s="25" t="n">
        <x:v>10</x:v>
      </x:c>
      <x:c r="L26" s="25" t="n">
        <x:v>259</x:v>
      </x:c>
      <x:c r="M26" s="25" t="n">
        <x:v>18</x:v>
      </x:c>
      <x:c r="N26" s="25" t="n">
        <x:v>0</x:v>
      </x:c>
      <x:c r="O26" s="25" t="n">
        <x:v>3</x:v>
      </x:c>
      <x:c r="P26" s="25" t="n">
        <x:v>832</x:v>
      </x:c>
      <x:c r="Q26" s="25" t="n">
        <x:v>28</x:v>
      </x:c>
      <x:c r="R26" s="25" t="n">
        <x:v>31</x:v>
      </x:c>
      <x:c r="S26" s="25" t="n">
        <x:v>374390000000</x:v>
      </x:c>
      <x:c r="T26" s="25" t="n">
        <x:v>6129700000</x:v>
      </x:c>
      <x:c r="U26" s="25" t="str">
        <x:v>C0—C2仅已支持/明确假设的灵符路径；C3后新增成长自产</x:v>
      </x:c>
    </x:row>
    <x:row r="27">
      <x:c r="A27" s="25" t="str">
        <x:v>C06-G</x:v>
      </x:c>
      <x:c r="B27" s="25" t="str">
        <x:v>盖利德</x:v>
      </x:c>
      <x:c r="C27" s="25" t="str">
        <x:v>半急速毕业</x:v>
      </x:c>
      <x:c r="D27" s="25" t="n">
        <x:v>100</x:v>
      </x:c>
      <x:c r="E27" s="25" t="n">
        <x:v>6</x:v>
      </x:c>
      <x:c r="F27" s="25" t="n">
        <x:v>6</x:v>
      </x:c>
      <x:c r="G27" s="25" t="n">
        <x:v>170</x:v>
      </x:c>
      <x:c r="H27" s="25" t="n">
        <x:v>10</x:v>
      </x:c>
      <x:c r="I27" s="25" t="n">
        <x:v>2</x:v>
      </x:c>
      <x:c r="J27" s="25" t="n">
        <x:v>10</x:v>
      </x:c>
      <x:c r="K27" s="25" t="n">
        <x:v>10</x:v>
      </x:c>
      <x:c r="L27" s="25" t="n">
        <x:v>272</x:v>
      </x:c>
      <x:c r="M27" s="25" t="n">
        <x:v>19</x:v>
      </x:c>
      <x:c r="N27" s="25" t="n">
        <x:v>0</x:v>
      </x:c>
      <x:c r="O27" s="25" t="n">
        <x:v>3</x:v>
      </x:c>
      <x:c r="P27" s="25" t="n">
        <x:v>1000</x:v>
      </x:c>
      <x:c r="Q27" s="25" t="n">
        <x:v>36</x:v>
      </x:c>
      <x:c r="R27" s="25" t="n">
        <x:v>31</x:v>
      </x:c>
      <x:c r="S27" s="25" t="n">
        <x:v>638390000000</x:v>
      </x:c>
      <x:c r="T27" s="25" t="n">
        <x:v>7473900000</x:v>
      </x:c>
      <x:c r="U27" s="25" t="str">
        <x:v>C0—C2仅已支持/明确假设的灵符路径；C3后新增成长自产</x:v>
      </x:c>
    </x:row>
    <x:row r="28">
      <x:c r="A28" s="25" t="str">
        <x:v>C06-X</x:v>
      </x:c>
      <x:c r="B28" s="25" t="str">
        <x:v>盖利德</x:v>
      </x:c>
      <x:c r="C28" s="25" t="str">
        <x:v>极端压力</x:v>
      </x:c>
      <x:c r="D28" s="25" t="n">
        <x:v>100</x:v>
      </x:c>
      <x:c r="E28" s="25" t="n">
        <x:v>6</x:v>
      </x:c>
      <x:c r="F28" s="25" t="n">
        <x:v>6</x:v>
      </x:c>
      <x:c r="G28" s="25" t="n">
        <x:v>170</x:v>
      </x:c>
      <x:c r="H28" s="25" t="n">
        <x:v>10</x:v>
      </x:c>
      <x:c r="I28" s="25" t="n">
        <x:v>2</x:v>
      </x:c>
      <x:c r="J28" s="25" t="n">
        <x:v>10</x:v>
      </x:c>
      <x:c r="K28" s="25" t="n">
        <x:v>10</x:v>
      </x:c>
      <x:c r="L28" s="25" t="n">
        <x:v>355</x:v>
      </x:c>
      <x:c r="M28" s="25" t="n">
        <x:v>29</x:v>
      </x:c>
      <x:c r="N28" s="25" t="n">
        <x:v>6</x:v>
      </x:c>
      <x:c r="O28" s="25" t="n">
        <x:v>4</x:v>
      </x:c>
      <x:c r="P28" s="25" t="n">
        <x:v>1560</x:v>
      </x:c>
      <x:c r="Q28" s="25" t="n">
        <x:v>64</x:v>
      </x:c>
      <x:c r="R28" s="25" t="n">
        <x:v>34</x:v>
      </x:c>
      <x:c r="S28" s="25" t="n">
        <x:v>832390000000</x:v>
      </x:c>
      <x:c r="T28" s="25" t="n">
        <x:v>12871500000</x:v>
      </x:c>
      <x:c r="U28" s="25" t="str">
        <x:v>C0—C2仅已支持/明确假设的灵符路径；C3后新增成长自产</x:v>
      </x:c>
    </x:row>
    <x:row r="29">
      <x:c r="A29" s="25" t="str">
        <x:v>C07-E</x:v>
      </x:c>
      <x:c r="B29" s="25" t="str">
        <x:v>化圣雪原</x:v>
      </x:c>
      <x:c r="C29" s="25" t="str">
        <x:v>半急速入场</x:v>
      </x:c>
      <x:c r="D29" s="25" t="n">
        <x:v>100</x:v>
      </x:c>
      <x:c r="E29" s="25" t="n">
        <x:v>6</x:v>
      </x:c>
      <x:c r="F29" s="25" t="n">
        <x:v>6</x:v>
      </x:c>
      <x:c r="G29" s="25" t="n">
        <x:v>170</x:v>
      </x:c>
      <x:c r="H29" s="25" t="n">
        <x:v>10</x:v>
      </x:c>
      <x:c r="I29" s="25" t="n">
        <x:v>2</x:v>
      </x:c>
      <x:c r="J29" s="25" t="n">
        <x:v>10</x:v>
      </x:c>
      <x:c r="K29" s="25" t="n">
        <x:v>10</x:v>
      </x:c>
      <x:c r="L29" s="25" t="n">
        <x:v>272</x:v>
      </x:c>
      <x:c r="M29" s="25" t="n">
        <x:v>19</x:v>
      </x:c>
      <x:c r="N29" s="25" t="n">
        <x:v>0</x:v>
      </x:c>
      <x:c r="O29" s="25" t="n">
        <x:v>3</x:v>
      </x:c>
      <x:c r="P29" s="25" t="n">
        <x:v>1000</x:v>
      </x:c>
      <x:c r="Q29" s="25" t="n">
        <x:v>36</x:v>
      </x:c>
      <x:c r="R29" s="25" t="n">
        <x:v>31</x:v>
      </x:c>
      <x:c r="S29" s="25" t="n">
        <x:v>638390000000</x:v>
      </x:c>
      <x:c r="T29" s="25" t="n">
        <x:v>7473900000</x:v>
      </x:c>
      <x:c r="U29" s="25" t="str">
        <x:v>C0—C2仅已支持/明确假设的灵符路径；C3后新增成长自产</x:v>
      </x:c>
    </x:row>
    <x:row r="30">
      <x:c r="A30" s="25" t="str">
        <x:v>C07-M</x:v>
      </x:c>
      <x:c r="B30" s="25" t="str">
        <x:v>化圣雪原</x:v>
      </x:c>
      <x:c r="C30" s="25" t="str">
        <x:v>半急速中期</x:v>
      </x:c>
      <x:c r="D30" s="25" t="n">
        <x:v>105</x:v>
      </x:c>
      <x:c r="E30" s="25" t="n">
        <x:v>7</x:v>
      </x:c>
      <x:c r="F30" s="25" t="n">
        <x:v>6</x:v>
      </x:c>
      <x:c r="G30" s="25" t="n">
        <x:v>182</x:v>
      </x:c>
      <x:c r="H30" s="25" t="n">
        <x:v>10</x:v>
      </x:c>
      <x:c r="I30" s="25" t="n">
        <x:v>2</x:v>
      </x:c>
      <x:c r="J30" s="25" t="n">
        <x:v>10</x:v>
      </x:c>
      <x:c r="K30" s="25" t="n">
        <x:v>10</x:v>
      </x:c>
      <x:c r="L30" s="25" t="n">
        <x:v>290</x:v>
      </x:c>
      <x:c r="M30" s="25" t="n">
        <x:v>20</x:v>
      </x:c>
      <x:c r="N30" s="25" t="n">
        <x:v>0</x:v>
      </x:c>
      <x:c r="O30" s="25" t="n">
        <x:v>4</x:v>
      </x:c>
      <x:c r="P30" s="25" t="n">
        <x:v>1128</x:v>
      </x:c>
      <x:c r="Q30" s="25" t="n">
        <x:v>42</x:v>
      </x:c>
      <x:c r="R30" s="25" t="n">
        <x:v>31</x:v>
      </x:c>
      <x:c r="S30" s="25" t="n">
        <x:v>704490000000</x:v>
      </x:c>
      <x:c r="T30" s="25" t="n">
        <x:v>8506000000</x:v>
      </x:c>
      <x:c r="U30" s="25" t="str">
        <x:v>C0—C2仅已支持/明确假设的灵符路径；C3后新增成长自产</x:v>
      </x:c>
    </x:row>
    <x:row r="31">
      <x:c r="A31" s="25" t="str">
        <x:v>C07-G</x:v>
      </x:c>
      <x:c r="B31" s="25" t="str">
        <x:v>化圣雪原</x:v>
      </x:c>
      <x:c r="C31" s="25" t="str">
        <x:v>半急速毕业</x:v>
      </x:c>
      <x:c r="D31" s="25" t="n">
        <x:v>110</x:v>
      </x:c>
      <x:c r="E31" s="25" t="n">
        <x:v>7</x:v>
      </x:c>
      <x:c r="F31" s="25" t="n">
        <x:v>6</x:v>
      </x:c>
      <x:c r="G31" s="25" t="n">
        <x:v>195</x:v>
      </x:c>
      <x:c r="H31" s="25" t="n">
        <x:v>10</x:v>
      </x:c>
      <x:c r="I31" s="25" t="n">
        <x:v>2</x:v>
      </x:c>
      <x:c r="J31" s="25" t="n">
        <x:v>10</x:v>
      </x:c>
      <x:c r="K31" s="25" t="n">
        <x:v>10</x:v>
      </x:c>
      <x:c r="L31" s="25" t="n">
        <x:v>303</x:v>
      </x:c>
      <x:c r="M31" s="25" t="n">
        <x:v>21</x:v>
      </x:c>
      <x:c r="N31" s="25" t="n">
        <x:v>0</x:v>
      </x:c>
      <x:c r="O31" s="25" t="n">
        <x:v>4</x:v>
      </x:c>
      <x:c r="P31" s="25" t="n">
        <x:v>1320</x:v>
      </x:c>
      <x:c r="Q31" s="25" t="n">
        <x:v>42</x:v>
      </x:c>
      <x:c r="R31" s="25" t="n">
        <x:v>31</x:v>
      </x:c>
      <x:c r="S31" s="25" t="n">
        <x:v>922690000000</x:v>
      </x:c>
      <x:c r="T31" s="25" t="n">
        <x:v>11419100000</x:v>
      </x:c>
      <x:c r="U31" s="25" t="str">
        <x:v>C0—C2仅已支持/明确假设的灵符路径；C3后新增成长自产</x:v>
      </x:c>
    </x:row>
    <x:row r="32">
      <x:c r="A32" s="25" t="str">
        <x:v>C07-X</x:v>
      </x:c>
      <x:c r="B32" s="25" t="str">
        <x:v>化圣雪原</x:v>
      </x:c>
      <x:c r="C32" s="25" t="str">
        <x:v>极端压力</x:v>
      </x:c>
      <x:c r="D32" s="25" t="n">
        <x:v>110</x:v>
      </x:c>
      <x:c r="E32" s="25" t="n">
        <x:v>7</x:v>
      </x:c>
      <x:c r="F32" s="25" t="n">
        <x:v>6</x:v>
      </x:c>
      <x:c r="G32" s="25" t="n">
        <x:v>195</x:v>
      </x:c>
      <x:c r="H32" s="25" t="n">
        <x:v>10</x:v>
      </x:c>
      <x:c r="I32" s="25" t="n">
        <x:v>2</x:v>
      </x:c>
      <x:c r="J32" s="25" t="n">
        <x:v>10</x:v>
      </x:c>
      <x:c r="K32" s="25" t="n">
        <x:v>10</x:v>
      </x:c>
      <x:c r="L32" s="25" t="n">
        <x:v>392</x:v>
      </x:c>
      <x:c r="M32" s="25" t="n">
        <x:v>32</x:v>
      </x:c>
      <x:c r="N32" s="25" t="n">
        <x:v>7</x:v>
      </x:c>
      <x:c r="O32" s="25" t="n">
        <x:v>5</x:v>
      </x:c>
      <x:c r="P32" s="25" t="n">
        <x:v>1960</x:v>
      </x:c>
      <x:c r="Q32" s="25" t="n">
        <x:v>42</x:v>
      </x:c>
      <x:c r="R32" s="25" t="n">
        <x:v>34</x:v>
      </x:c>
      <x:c r="S32" s="25" t="n">
        <x:v>1094690000000</x:v>
      </x:c>
      <x:c r="T32" s="25" t="n">
        <x:v>21278300000</x:v>
      </x:c>
      <x:c r="U32" s="25" t="str">
        <x:v>C0—C2仅已支持/明确假设的灵符路径；C3后新增成长自产</x:v>
      </x:c>
    </x:row>
    <x:row r="33">
      <x:c r="A33" s="25" t="str">
        <x:v>C08-E</x:v>
      </x:c>
      <x:c r="B33" s="25" t="str">
        <x:v>巨人山顶</x:v>
      </x:c>
      <x:c r="C33" s="25" t="str">
        <x:v>半急速入场</x:v>
      </x:c>
      <x:c r="D33" s="25" t="n">
        <x:v>110</x:v>
      </x:c>
      <x:c r="E33" s="25" t="n">
        <x:v>7</x:v>
      </x:c>
      <x:c r="F33" s="25" t="n">
        <x:v>6</x:v>
      </x:c>
      <x:c r="G33" s="25" t="n">
        <x:v>195</x:v>
      </x:c>
      <x:c r="H33" s="25" t="n">
        <x:v>10</x:v>
      </x:c>
      <x:c r="I33" s="25" t="n">
        <x:v>2</x:v>
      </x:c>
      <x:c r="J33" s="25" t="n">
        <x:v>10</x:v>
      </x:c>
      <x:c r="K33" s="25" t="n">
        <x:v>10</x:v>
      </x:c>
      <x:c r="L33" s="25" t="n">
        <x:v>303</x:v>
      </x:c>
      <x:c r="M33" s="25" t="n">
        <x:v>21</x:v>
      </x:c>
      <x:c r="N33" s="25" t="n">
        <x:v>0</x:v>
      </x:c>
      <x:c r="O33" s="25" t="n">
        <x:v>4</x:v>
      </x:c>
      <x:c r="P33" s="25" t="n">
        <x:v>1320</x:v>
      </x:c>
      <x:c r="Q33" s="25" t="n">
        <x:v>42</x:v>
      </x:c>
      <x:c r="R33" s="25" t="n">
        <x:v>31</x:v>
      </x:c>
      <x:c r="S33" s="25" t="n">
        <x:v>922690000000</x:v>
      </x:c>
      <x:c r="T33" s="25" t="n">
        <x:v>11419100000</x:v>
      </x:c>
      <x:c r="U33" s="25" t="str">
        <x:v>C0—C2仅已支持/明确假设的灵符路径；C3后新增成长自产</x:v>
      </x:c>
    </x:row>
    <x:row r="34">
      <x:c r="A34" s="25" t="str">
        <x:v>C08-M</x:v>
      </x:c>
      <x:c r="B34" s="25" t="str">
        <x:v>巨人山顶</x:v>
      </x:c>
      <x:c r="C34" s="25" t="str">
        <x:v>半急速中期</x:v>
      </x:c>
      <x:c r="D34" s="25" t="n">
        <x:v>115</x:v>
      </x:c>
      <x:c r="E34" s="25" t="n">
        <x:v>8</x:v>
      </x:c>
      <x:c r="F34" s="25" t="n">
        <x:v>7</x:v>
      </x:c>
      <x:c r="G34" s="25" t="n">
        <x:v>208</x:v>
      </x:c>
      <x:c r="H34" s="25" t="n">
        <x:v>12</x:v>
      </x:c>
      <x:c r="I34" s="25" t="n">
        <x:v>2</x:v>
      </x:c>
      <x:c r="J34" s="25" t="n">
        <x:v>10</x:v>
      </x:c>
      <x:c r="K34" s="25" t="n">
        <x:v>10</x:v>
      </x:c>
      <x:c r="L34" s="25" t="n">
        <x:v>331</x:v>
      </x:c>
      <x:c r="M34" s="25" t="n">
        <x:v>23</x:v>
      </x:c>
      <x:c r="N34" s="25" t="n">
        <x:v>0</x:v>
      </x:c>
      <x:c r="O34" s="25" t="n">
        <x:v>5</x:v>
      </x:c>
      <x:c r="P34" s="25" t="n">
        <x:v>1464</x:v>
      </x:c>
      <x:c r="Q34" s="25" t="n">
        <x:v>42</x:v>
      </x:c>
      <x:c r="R34" s="25" t="n">
        <x:v>31</x:v>
      </x:c>
      <x:c r="S34" s="25" t="n">
        <x:v>1070290000000</x:v>
      </x:c>
      <x:c r="T34" s="25" t="n">
        <x:v>13006700000</x:v>
      </x:c>
      <x:c r="U34" s="25" t="str">
        <x:v>C0—C2仅已支持/明确假设的灵符路径；C3后新增成长自产</x:v>
      </x:c>
    </x:row>
    <x:row r="35">
      <x:c r="A35" s="25" t="str">
        <x:v>C08-G</x:v>
      </x:c>
      <x:c r="B35" s="25" t="str">
        <x:v>巨人山顶</x:v>
      </x:c>
      <x:c r="C35" s="25" t="str">
        <x:v>半急速毕业</x:v>
      </x:c>
      <x:c r="D35" s="25" t="n">
        <x:v>120</x:v>
      </x:c>
      <x:c r="E35" s="25" t="n">
        <x:v>8</x:v>
      </x:c>
      <x:c r="F35" s="25" t="n">
        <x:v>7</x:v>
      </x:c>
      <x:c r="G35" s="25" t="n">
        <x:v>220</x:v>
      </x:c>
      <x:c r="H35" s="25" t="n">
        <x:v>15</x:v>
      </x:c>
      <x:c r="I35" s="25" t="n">
        <x:v>2</x:v>
      </x:c>
      <x:c r="J35" s="25" t="n">
        <x:v>10</x:v>
      </x:c>
      <x:c r="K35" s="25" t="n">
        <x:v>10</x:v>
      </x:c>
      <x:c r="L35" s="25" t="n">
        <x:v>342</x:v>
      </x:c>
      <x:c r="M35" s="25" t="n">
        <x:v>24</x:v>
      </x:c>
      <x:c r="N35" s="25" t="n">
        <x:v>0</x:v>
      </x:c>
      <x:c r="O35" s="25" t="n">
        <x:v>5</x:v>
      </x:c>
      <x:c r="P35" s="25" t="n">
        <x:v>1680</x:v>
      </x:c>
      <x:c r="Q35" s="25" t="n">
        <x:v>60</x:v>
      </x:c>
      <x:c r="R35" s="25" t="n">
        <x:v>31</x:v>
      </x:c>
      <x:c r="S35" s="25" t="n">
        <x:v>1459190000000</x:v>
      </x:c>
      <x:c r="T35" s="25" t="n">
        <x:v>17704300000</x:v>
      </x:c>
      <x:c r="U35" s="25" t="str">
        <x:v>C0—C2仅已支持/明确假设的灵符路径；C3后新增成长自产</x:v>
      </x:c>
    </x:row>
    <x:row r="36">
      <x:c r="A36" s="25" t="str">
        <x:v>C08-X</x:v>
      </x:c>
      <x:c r="B36" s="25" t="str">
        <x:v>巨人山顶</x:v>
      </x:c>
      <x:c r="C36" s="25" t="str">
        <x:v>极端压力</x:v>
      </x:c>
      <x:c r="D36" s="25" t="n">
        <x:v>120</x:v>
      </x:c>
      <x:c r="E36" s="25" t="n">
        <x:v>8</x:v>
      </x:c>
      <x:c r="F36" s="25" t="n">
        <x:v>7</x:v>
      </x:c>
      <x:c r="G36" s="25" t="n">
        <x:v>220</x:v>
      </x:c>
      <x:c r="H36" s="25" t="n">
        <x:v>15</x:v>
      </x:c>
      <x:c r="I36" s="25" t="n">
        <x:v>2</x:v>
      </x:c>
      <x:c r="J36" s="25" t="n">
        <x:v>10</x:v>
      </x:c>
      <x:c r="K36" s="25" t="n">
        <x:v>10</x:v>
      </x:c>
      <x:c r="L36" s="25" t="n">
        <x:v>441</x:v>
      </x:c>
      <x:c r="M36" s="25" t="n">
        <x:v>36</x:v>
      </x:c>
      <x:c r="N36" s="25" t="n">
        <x:v>8</x:v>
      </x:c>
      <x:c r="O36" s="25" t="n">
        <x:v>6</x:v>
      </x:c>
      <x:c r="P36" s="25" t="n">
        <x:v>2400</x:v>
      </x:c>
      <x:c r="Q36" s="25" t="n">
        <x:v>96</x:v>
      </x:c>
      <x:c r="R36" s="25" t="n">
        <x:v>35</x:v>
      </x:c>
      <x:c r="S36" s="25" t="n">
        <x:v>1823190000000</x:v>
      </x:c>
      <x:c r="T36" s="25" t="n">
        <x:v>32767300000</x:v>
      </x:c>
      <x:c r="U36" s="25" t="str">
        <x:v>C0—C2仅已支持/明确假设的灵符路径；C3后新增成长自产</x:v>
      </x:c>
    </x:row>
    <x:row r="37">
      <x:c r="A37" s="25" t="str">
        <x:v>C09-E</x:v>
      </x:c>
      <x:c r="B37" s="25" t="str">
        <x:v>亚坛高原</x:v>
      </x:c>
      <x:c r="C37" s="25" t="str">
        <x:v>半急速入场</x:v>
      </x:c>
      <x:c r="D37" s="25" t="n">
        <x:v>120</x:v>
      </x:c>
      <x:c r="E37" s="25" t="n">
        <x:v>8</x:v>
      </x:c>
      <x:c r="F37" s="25" t="n">
        <x:v>7</x:v>
      </x:c>
      <x:c r="G37" s="25" t="n">
        <x:v>220</x:v>
      </x:c>
      <x:c r="H37" s="25" t="n">
        <x:v>15</x:v>
      </x:c>
      <x:c r="I37" s="25" t="n">
        <x:v>2</x:v>
      </x:c>
      <x:c r="J37" s="25" t="n">
        <x:v>10</x:v>
      </x:c>
      <x:c r="K37" s="25" t="n">
        <x:v>10</x:v>
      </x:c>
      <x:c r="L37" s="25" t="n">
        <x:v>342</x:v>
      </x:c>
      <x:c r="M37" s="25" t="n">
        <x:v>24</x:v>
      </x:c>
      <x:c r="N37" s="25" t="n">
        <x:v>0</x:v>
      </x:c>
      <x:c r="O37" s="25" t="n">
        <x:v>5</x:v>
      </x:c>
      <x:c r="P37" s="25" t="n">
        <x:v>1680</x:v>
      </x:c>
      <x:c r="Q37" s="25" t="n">
        <x:v>60</x:v>
      </x:c>
      <x:c r="R37" s="25" t="n">
        <x:v>31</x:v>
      </x:c>
      <x:c r="S37" s="25" t="n">
        <x:v>1459190000000</x:v>
      </x:c>
      <x:c r="T37" s="25" t="n">
        <x:v>17704300000</x:v>
      </x:c>
      <x:c r="U37" s="25" t="str">
        <x:v>C0—C2仅已支持/明确假设的灵符路径；C3后新增成长自产</x:v>
      </x:c>
    </x:row>
    <x:row r="38">
      <x:c r="A38" s="25" t="str">
        <x:v>C09-M</x:v>
      </x:c>
      <x:c r="B38" s="25" t="str">
        <x:v>亚坛高原</x:v>
      </x:c>
      <x:c r="C38" s="25" t="str">
        <x:v>半急速中期</x:v>
      </x:c>
      <x:c r="D38" s="25" t="n">
        <x:v>125</x:v>
      </x:c>
      <x:c r="E38" s="25" t="n">
        <x:v>9</x:v>
      </x:c>
      <x:c r="F38" s="25" t="n">
        <x:v>7</x:v>
      </x:c>
      <x:c r="G38" s="25" t="n">
        <x:v>230</x:v>
      </x:c>
      <x:c r="H38" s="25" t="n">
        <x:v>15</x:v>
      </x:c>
      <x:c r="I38" s="25" t="n">
        <x:v>2</x:v>
      </x:c>
      <x:c r="J38" s="25" t="n">
        <x:v>10</x:v>
      </x:c>
      <x:c r="K38" s="25" t="n">
        <x:v>10</x:v>
      </x:c>
      <x:c r="L38" s="25" t="n">
        <x:v>367</x:v>
      </x:c>
      <x:c r="M38" s="25" t="n">
        <x:v>26</x:v>
      </x:c>
      <x:c r="N38" s="25" t="n">
        <x:v>0</x:v>
      </x:c>
      <x:c r="O38" s="25" t="n">
        <x:v>6</x:v>
      </x:c>
      <x:c r="P38" s="25" t="n">
        <x:v>1840</x:v>
      </x:c>
      <x:c r="Q38" s="25" t="n">
        <x:v>68</x:v>
      </x:c>
      <x:c r="R38" s="25" t="n">
        <x:v>31</x:v>
      </x:c>
      <x:c r="S38" s="25" t="n">
        <x:v>1586690000000</x:v>
      </x:c>
      <x:c r="T38" s="25" t="n">
        <x:v>20769300000</x:v>
      </x:c>
      <x:c r="U38" s="25" t="str">
        <x:v>C0—C2仅已支持/明确假设的灵符路径；C3后新增成长自产</x:v>
      </x:c>
    </x:row>
    <x:row r="39">
      <x:c r="A39" s="25" t="str">
        <x:v>C09-G</x:v>
      </x:c>
      <x:c r="B39" s="25" t="str">
        <x:v>亚坛高原</x:v>
      </x:c>
      <x:c r="C39" s="25" t="str">
        <x:v>半急速毕业</x:v>
      </x:c>
      <x:c r="D39" s="25" t="n">
        <x:v>130</x:v>
      </x:c>
      <x:c r="E39" s="25" t="n">
        <x:v>9</x:v>
      </x:c>
      <x:c r="F39" s="25" t="n">
        <x:v>7</x:v>
      </x:c>
      <x:c r="G39" s="25" t="n">
        <x:v>240</x:v>
      </x:c>
      <x:c r="H39" s="25" t="n">
        <x:v>15</x:v>
      </x:c>
      <x:c r="I39" s="25" t="n">
        <x:v>2</x:v>
      </x:c>
      <x:c r="J39" s="25" t="n">
        <x:v>10</x:v>
      </x:c>
      <x:c r="K39" s="25" t="n">
        <x:v>10</x:v>
      </x:c>
      <x:c r="L39" s="25" t="n">
        <x:v>394</x:v>
      </x:c>
      <x:c r="M39" s="25" t="n">
        <x:v>28</x:v>
      </x:c>
      <x:c r="N39" s="25" t="n">
        <x:v>0</x:v>
      </x:c>
      <x:c r="O39" s="25" t="n">
        <x:v>6</x:v>
      </x:c>
      <x:c r="P39" s="25" t="n">
        <x:v>2080</x:v>
      </x:c>
      <x:c r="Q39" s="25" t="n">
        <x:v>80</x:v>
      </x:c>
      <x:c r="R39" s="25" t="n">
        <x:v>31</x:v>
      </x:c>
      <x:c r="S39" s="25" t="n">
        <x:v>1684090000000</x:v>
      </x:c>
      <x:c r="T39" s="25" t="n">
        <x:v>36539300000</x:v>
      </x:c>
      <x:c r="U39" s="25" t="str">
        <x:v>C0—C2仅已支持/明确假设的灵符路径；C3后新增成长自产</x:v>
      </x:c>
    </x:row>
    <x:row r="40">
      <x:c r="A40" s="25" t="str">
        <x:v>C09-X</x:v>
      </x:c>
      <x:c r="B40" s="25" t="str">
        <x:v>亚坛高原</x:v>
      </x:c>
      <x:c r="C40" s="25" t="str">
        <x:v>极端压力</x:v>
      </x:c>
      <x:c r="D40" s="25" t="n">
        <x:v>130</x:v>
      </x:c>
      <x:c r="E40" s="25" t="n">
        <x:v>9</x:v>
      </x:c>
      <x:c r="F40" s="25" t="n">
        <x:v>7</x:v>
      </x:c>
      <x:c r="G40" s="25" t="n">
        <x:v>240</x:v>
      </x:c>
      <x:c r="H40" s="25" t="n">
        <x:v>15</x:v>
      </x:c>
      <x:c r="I40" s="25" t="n">
        <x:v>2</x:v>
      </x:c>
      <x:c r="J40" s="25" t="n">
        <x:v>10</x:v>
      </x:c>
      <x:c r="K40" s="25" t="n">
        <x:v>10</x:v>
      </x:c>
      <x:c r="L40" s="25" t="n">
        <x:v>502</x:v>
      </x:c>
      <x:c r="M40" s="25" t="n">
        <x:v>41</x:v>
      </x:c>
      <x:c r="N40" s="25" t="n">
        <x:v>9</x:v>
      </x:c>
      <x:c r="O40" s="25" t="n">
        <x:v>7</x:v>
      </x:c>
      <x:c r="P40" s="25" t="n">
        <x:v>2880</x:v>
      </x:c>
      <x:c r="Q40" s="25" t="n">
        <x:v>120</x:v>
      </x:c>
      <x:c r="R40" s="25" t="n">
        <x:v>35</x:v>
      </x:c>
      <x:c r="S40" s="25" t="n">
        <x:v>1973090000000</x:v>
      </x:c>
      <x:c r="T40" s="25" t="n">
        <x:v>78420300000</x:v>
      </x:c>
      <x:c r="U40" s="25" t="str">
        <x:v>C0—C2仅已支持/明确假设的灵符路径；C3后新增成长自产</x:v>
      </x:c>
    </x:row>
    <x:row r="41">
      <x:c r="A41" s="25" t="str">
        <x:v>C10-E</x:v>
      </x:c>
      <x:c r="B41" s="25" t="str">
        <x:v>王城罗德尔</x:v>
      </x:c>
      <x:c r="C41" s="25" t="str">
        <x:v>半急速入场</x:v>
      </x:c>
      <x:c r="D41" s="25" t="n">
        <x:v>130</x:v>
      </x:c>
      <x:c r="E41" s="25" t="n">
        <x:v>9</x:v>
      </x:c>
      <x:c r="F41" s="25" t="n">
        <x:v>7</x:v>
      </x:c>
      <x:c r="G41" s="25" t="n">
        <x:v>240</x:v>
      </x:c>
      <x:c r="H41" s="25" t="n">
        <x:v>15</x:v>
      </x:c>
      <x:c r="I41" s="25" t="n">
        <x:v>2</x:v>
      </x:c>
      <x:c r="J41" s="25" t="n">
        <x:v>10</x:v>
      </x:c>
      <x:c r="K41" s="25" t="n">
        <x:v>10</x:v>
      </x:c>
      <x:c r="L41" s="25" t="n">
        <x:v>394</x:v>
      </x:c>
      <x:c r="M41" s="25" t="n">
        <x:v>28</x:v>
      </x:c>
      <x:c r="N41" s="25" t="n">
        <x:v>0</x:v>
      </x:c>
      <x:c r="O41" s="25" t="n">
        <x:v>6</x:v>
      </x:c>
      <x:c r="P41" s="25" t="n">
        <x:v>2080</x:v>
      </x:c>
      <x:c r="Q41" s="25" t="n">
        <x:v>80</x:v>
      </x:c>
      <x:c r="R41" s="25" t="n">
        <x:v>31</x:v>
      </x:c>
      <x:c r="S41" s="25" t="n">
        <x:v>1684090000000</x:v>
      </x:c>
      <x:c r="T41" s="25" t="n">
        <x:v>36539300000</x:v>
      </x:c>
      <x:c r="U41" s="25" t="str">
        <x:v>C0—C2仅已支持/明确假设的灵符路径；C3后新增成长自产</x:v>
      </x:c>
    </x:row>
    <x:row r="42">
      <x:c r="A42" s="25" t="str">
        <x:v>C10-M</x:v>
      </x:c>
      <x:c r="B42" s="25" t="str">
        <x:v>王城罗德尔</x:v>
      </x:c>
      <x:c r="C42" s="25" t="str">
        <x:v>半急速中期</x:v>
      </x:c>
      <x:c r="D42" s="25" t="n">
        <x:v>135</x:v>
      </x:c>
      <x:c r="E42" s="25" t="n">
        <x:v>10</x:v>
      </x:c>
      <x:c r="F42" s="25" t="n">
        <x:v>8</x:v>
      </x:c>
      <x:c r="G42" s="25" t="n">
        <x:v>248</x:v>
      </x:c>
      <x:c r="H42" s="25" t="n">
        <x:v>17</x:v>
      </x:c>
      <x:c r="I42" s="25" t="n">
        <x:v>2</x:v>
      </x:c>
      <x:c r="J42" s="25" t="n">
        <x:v>10</x:v>
      </x:c>
      <x:c r="K42" s="25" t="n">
        <x:v>10</x:v>
      </x:c>
      <x:c r="L42" s="25" t="n">
        <x:v>423</x:v>
      </x:c>
      <x:c r="M42" s="25" t="n">
        <x:v>30</x:v>
      </x:c>
      <x:c r="N42" s="25" t="n">
        <x:v>0</x:v>
      </x:c>
      <x:c r="O42" s="25" t="n">
        <x:v>7</x:v>
      </x:c>
      <x:c r="P42" s="25" t="n">
        <x:v>2260</x:v>
      </x:c>
      <x:c r="Q42" s="25" t="n">
        <x:v>80</x:v>
      </x:c>
      <x:c r="R42" s="25" t="n">
        <x:v>31</x:v>
      </x:c>
      <x:c r="S42" s="25" t="n">
        <x:v>1962390000000</x:v>
      </x:c>
      <x:c r="T42" s="25" t="n">
        <x:v>45118300000</x:v>
      </x:c>
      <x:c r="U42" s="25" t="str">
        <x:v>C0—C2仅已支持/明确假设的灵符路径；C3后新增成长自产</x:v>
      </x:c>
    </x:row>
    <x:row r="43">
      <x:c r="A43" s="25" t="str">
        <x:v>C10-G</x:v>
      </x:c>
      <x:c r="B43" s="25" t="str">
        <x:v>王城罗德尔</x:v>
      </x:c>
      <x:c r="C43" s="25" t="str">
        <x:v>半急速毕业</x:v>
      </x:c>
      <x:c r="D43" s="25" t="n">
        <x:v>140</x:v>
      </x:c>
      <x:c r="E43" s="25" t="n">
        <x:v>10</x:v>
      </x:c>
      <x:c r="F43" s="25" t="n">
        <x:v>8</x:v>
      </x:c>
      <x:c r="G43" s="25" t="n">
        <x:v>255</x:v>
      </x:c>
      <x:c r="H43" s="25" t="n">
        <x:v>20</x:v>
      </x:c>
      <x:c r="I43" s="25" t="n">
        <x:v>2</x:v>
      </x:c>
      <x:c r="J43" s="25" t="n">
        <x:v>10</x:v>
      </x:c>
      <x:c r="K43" s="25" t="n">
        <x:v>10</x:v>
      </x:c>
      <x:c r="L43" s="25" t="n">
        <x:v>448</x:v>
      </x:c>
      <x:c r="M43" s="25" t="n">
        <x:v>32</x:v>
      </x:c>
      <x:c r="N43" s="25" t="n">
        <x:v>0</x:v>
      </x:c>
      <x:c r="O43" s="25" t="n">
        <x:v>7</x:v>
      </x:c>
      <x:c r="P43" s="25" t="n">
        <x:v>2530</x:v>
      </x:c>
      <x:c r="Q43" s="25" t="n">
        <x:v>104</x:v>
      </x:c>
      <x:c r="R43" s="25" t="n">
        <x:v>31</x:v>
      </x:c>
      <x:c r="S43" s="25" t="n">
        <x:v>2855890000000</x:v>
      </x:c>
      <x:c r="T43" s="25" t="n">
        <x:v>66030800000</x:v>
      </x:c>
      <x:c r="U43" s="25" t="str">
        <x:v>C0—C2仅已支持/明确假设的灵符路径；C3后新增成长自产</x:v>
      </x:c>
    </x:row>
    <x:row r="44">
      <x:c r="A44" s="25" t="str">
        <x:v>C10-X</x:v>
      </x:c>
      <x:c r="B44" s="25" t="str">
        <x:v>王城罗德尔</x:v>
      </x:c>
      <x:c r="C44" s="25" t="str">
        <x:v>极端压力</x:v>
      </x:c>
      <x:c r="D44" s="25" t="n">
        <x:v>140</x:v>
      </x:c>
      <x:c r="E44" s="25" t="n">
        <x:v>10</x:v>
      </x:c>
      <x:c r="F44" s="25" t="n">
        <x:v>8</x:v>
      </x:c>
      <x:c r="G44" s="25" t="n">
        <x:v>255</x:v>
      </x:c>
      <x:c r="H44" s="25" t="n">
        <x:v>20</x:v>
      </x:c>
      <x:c r="I44" s="25" t="n">
        <x:v>2</x:v>
      </x:c>
      <x:c r="J44" s="25" t="n">
        <x:v>10</x:v>
      </x:c>
      <x:c r="K44" s="25" t="n">
        <x:v>10</x:v>
      </x:c>
      <x:c r="L44" s="25" t="n">
        <x:v>563</x:v>
      </x:c>
      <x:c r="M44" s="25" t="n">
        <x:v>46</x:v>
      </x:c>
      <x:c r="N44" s="25" t="n">
        <x:v>10</x:v>
      </x:c>
      <x:c r="O44" s="25" t="n">
        <x:v>8</x:v>
      </x:c>
      <x:c r="P44" s="25" t="n">
        <x:v>3430</x:v>
      </x:c>
      <x:c r="Q44" s="25" t="n">
        <x:v>152</x:v>
      </x:c>
      <x:c r="R44" s="25" t="n">
        <x:v>36</x:v>
      </x:c>
      <x:c r="S44" s="25" t="n">
        <x:v>3422890000000</x:v>
      </x:c>
      <x:c r="T44" s="25" t="n">
        <x:v>115533800000</x:v>
      </x:c>
      <x:c r="U44" s="25" t="str">
        <x:v>C0—C2仅已支持/明确假设的灵符路径；C3后新增成长自产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3" hidden="0" customWidth="1"/>
    <x:col min="5" max="5" width="23" hidden="0" customWidth="1"/>
    <x:col min="6" max="6" width="14" hidden="0" customWidth="1"/>
    <x:col min="7" max="7" width="14" hidden="0" customWidth="1"/>
    <x:col min="8" max="8" width="16" hidden="0" customWidth="1"/>
    <x:col min="9" max="9" width="72" hidden="0" customWidth="1"/>
    <x:col min="10" max="10" width="65" hidden="0" customWidth="1"/>
  </x:cols>
  <x:sheetData>
    <x:row r="1" ht="29" customHeight="1">
      <x:c r="A1" s="4" t="str">
        <x:v>按实际登记名称触发奖励｜不是完成率乘全奖励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3" customHeight="1">
      <x:c r="A2" s="11" t="str">
        <x:v>只有全页所需名称确实登记齐全才发整页奖。主情景不会把100%全图鉴暴击、韧性等上限奖励预先给普通进度。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图鉴大陆</x:v>
      </x:c>
      <x:c r="E4" s="19" t="str">
        <x:v>地图组</x:v>
      </x:c>
      <x:c r="F4" s="19" t="str">
        <x:v>要求件数</x:v>
      </x:c>
      <x:c r="G4" s="19" t="str">
        <x:v>已登记数</x:v>
      </x:c>
      <x:c r="H4" s="19" t="str">
        <x:v>整页奖生效</x:v>
      </x:c>
      <x:c r="I4" s="19" t="str">
        <x:v>已完成地图组</x:v>
      </x:c>
      <x:c r="J4" s="19" t="str">
        <x:v>未完成地图组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str">
        <x:v>C01</x:v>
      </x:c>
      <x:c r="E5" s="25" t="str">
        <x:v>3组</x:v>
      </x:c>
      <x:c r="F5" s="25" t="n">
        <x:v>38</x:v>
      </x:c>
      <x:c r="G5" s="25" t="n">
        <x:v>0</x:v>
      </x:c>
      <x:c r="H5" s="25" t="str">
        <x:v>0/3组</x:v>
      </x:c>
      <x:c r="I5" s="25" t="str"/>
      <x:c r="J5" s="25" t="str">
        <x:v>失乡者海岸；风暴断崖；沉没王庭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25" t="str">
        <x:v>C01</x:v>
      </x:c>
      <x:c r="E6" s="25" t="str">
        <x:v>3组</x:v>
      </x:c>
      <x:c r="F6" s="25" t="n">
        <x:v>38</x:v>
      </x:c>
      <x:c r="G6" s="25" t="n">
        <x:v>8</x:v>
      </x:c>
      <x:c r="H6" s="25" t="str">
        <x:v>0/3组</x:v>
      </x:c>
      <x:c r="I6" s="25" t="str"/>
      <x:c r="J6" s="25" t="str">
        <x:v>失乡者海岸；风暴断崖；沉没王庭</x:v>
      </x:c>
    </x:row>
    <x:row r="7">
      <x:c r="A7" s="25" t="str">
        <x:v>C01-G</x:v>
      </x:c>
      <x:c r="B7" s="25" t="str">
        <x:v>漂流群岛</x:v>
      </x:c>
      <x:c r="C7" s="25" t="str">
        <x:v>半急速毕业</x:v>
      </x:c>
      <x:c r="D7" s="25" t="str">
        <x:v>C01</x:v>
      </x:c>
      <x:c r="E7" s="25" t="str">
        <x:v>3组</x:v>
      </x:c>
      <x:c r="F7" s="25" t="n">
        <x:v>38</x:v>
      </x:c>
      <x:c r="G7" s="25" t="n">
        <x:v>21</x:v>
      </x:c>
      <x:c r="H7" s="25" t="str">
        <x:v>1/3组</x:v>
      </x:c>
      <x:c r="I7" s="25" t="str">
        <x:v>失乡者海岸</x:v>
      </x:c>
      <x:c r="J7" s="25" t="str">
        <x:v>风暴断崖；沉没王庭</x:v>
      </x:c>
    </x:row>
    <x:row r="8">
      <x:c r="A8" s="25" t="str">
        <x:v>C01-X</x:v>
      </x:c>
      <x:c r="B8" s="25" t="str">
        <x:v>漂流群岛</x:v>
      </x:c>
      <x:c r="C8" s="25" t="str">
        <x:v>极端压力</x:v>
      </x:c>
      <x:c r="D8" s="25" t="str">
        <x:v>C01</x:v>
      </x:c>
      <x:c r="E8" s="25" t="str">
        <x:v>3组</x:v>
      </x:c>
      <x:c r="F8" s="25" t="n">
        <x:v>38</x:v>
      </x:c>
      <x:c r="G8" s="25" t="n">
        <x:v>38</x:v>
      </x:c>
      <x:c r="H8" s="25" t="str">
        <x:v>3/3组</x:v>
      </x:c>
      <x:c r="I8" s="25" t="str">
        <x:v>失乡者海岸；风暴断崖；沉没王庭</x:v>
      </x:c>
      <x:c r="J8" s="25" t="str"/>
    </x:row>
    <x:row r="9">
      <x:c r="A9" s="25" t="str">
        <x:v>C02-E</x:v>
      </x:c>
      <x:c r="B9" s="25" t="str">
        <x:v>宁姆格福</x:v>
      </x:c>
      <x:c r="C9" s="25" t="str">
        <x:v>半急速入场</x:v>
      </x:c>
      <x:c r="D9" s="25" t="str">
        <x:v>C01</x:v>
      </x:c>
      <x:c r="E9" s="25" t="str">
        <x:v>3组</x:v>
      </x:c>
      <x:c r="F9" s="25" t="n">
        <x:v>38</x:v>
      </x:c>
      <x:c r="G9" s="25" t="n">
        <x:v>21</x:v>
      </x:c>
      <x:c r="H9" s="25" t="str">
        <x:v>1/3组</x:v>
      </x:c>
      <x:c r="I9" s="25" t="str">
        <x:v>失乡者海岸</x:v>
      </x:c>
      <x:c r="J9" s="25" t="str">
        <x:v>风暴断崖；沉没王庭</x:v>
      </x:c>
    </x:row>
    <x:row r="10">
      <x:c r="A10" s="25" t="str">
        <x:v>C02-E</x:v>
      </x:c>
      <x:c r="B10" s="25" t="str">
        <x:v>宁姆格福</x:v>
      </x:c>
      <x:c r="C10" s="25" t="str">
        <x:v>半急速入场</x:v>
      </x:c>
      <x:c r="D10" s="25" t="str">
        <x:v>C02</x:v>
      </x:c>
      <x:c r="E10" s="25" t="str">
        <x:v>5组</x:v>
      </x:c>
      <x:c r="F10" s="25" t="n">
        <x:v>61</x:v>
      </x:c>
      <x:c r="G10" s="25" t="n">
        <x:v>0</x:v>
      </x:c>
      <x:c r="H10" s="25" t="str">
        <x:v>0/5组</x:v>
      </x:c>
      <x:c r="I10" s="25" t="str"/>
      <x:c r="J10" s="25" t="str">
        <x:v>漂流墓地；关卡前废墟；迷雾丛林；风暴山谷；史东薇尔王城</x:v>
      </x:c>
    </x:row>
    <x:row r="11">
      <x:c r="A11" s="25" t="str">
        <x:v>C02-M</x:v>
      </x:c>
      <x:c r="B11" s="25" t="str">
        <x:v>宁姆格福</x:v>
      </x:c>
      <x:c r="C11" s="25" t="str">
        <x:v>半急速中期</x:v>
      </x:c>
      <x:c r="D11" s="25" t="str">
        <x:v>C01</x:v>
      </x:c>
      <x:c r="E11" s="25" t="str">
        <x:v>3组</x:v>
      </x:c>
      <x:c r="F11" s="25" t="n">
        <x:v>38</x:v>
      </x:c>
      <x:c r="G11" s="25" t="n">
        <x:v>29</x:v>
      </x:c>
      <x:c r="H11" s="25" t="str">
        <x:v>2/3组</x:v>
      </x:c>
      <x:c r="I11" s="25" t="str">
        <x:v>失乡者海岸；风暴断崖</x:v>
      </x:c>
      <x:c r="J11" s="25" t="str">
        <x:v>沉没王庭</x:v>
      </x:c>
    </x:row>
    <x:row r="12">
      <x:c r="A12" s="25" t="str">
        <x:v>C02-M</x:v>
      </x:c>
      <x:c r="B12" s="25" t="str">
        <x:v>宁姆格福</x:v>
      </x:c>
      <x:c r="C12" s="25" t="str">
        <x:v>半急速中期</x:v>
      </x:c>
      <x:c r="D12" s="25" t="str">
        <x:v>C02</x:v>
      </x:c>
      <x:c r="E12" s="25" t="str">
        <x:v>5组</x:v>
      </x:c>
      <x:c r="F12" s="25" t="n">
        <x:v>61</x:v>
      </x:c>
      <x:c r="G12" s="25" t="n">
        <x:v>22</x:v>
      </x:c>
      <x:c r="H12" s="25" t="str">
        <x:v>1/5组</x:v>
      </x:c>
      <x:c r="I12" s="25" t="str">
        <x:v>漂流墓地</x:v>
      </x:c>
      <x:c r="J12" s="25" t="str">
        <x:v>关卡前废墟；迷雾丛林；风暴山谷；史东薇尔王城</x:v>
      </x:c>
    </x:row>
    <x:row r="13">
      <x:c r="A13" s="25" t="str">
        <x:v>C02-G</x:v>
      </x:c>
      <x:c r="B13" s="25" t="str">
        <x:v>宁姆格福</x:v>
      </x:c>
      <x:c r="C13" s="25" t="str">
        <x:v>半急速毕业</x:v>
      </x:c>
      <x:c r="D13" s="25" t="str">
        <x:v>C01</x:v>
      </x:c>
      <x:c r="E13" s="25" t="str">
        <x:v>3组</x:v>
      </x:c>
      <x:c r="F13" s="25" t="n">
        <x:v>38</x:v>
      </x:c>
      <x:c r="G13" s="25" t="n">
        <x:v>29</x:v>
      </x:c>
      <x:c r="H13" s="25" t="str">
        <x:v>2/3组</x:v>
      </x:c>
      <x:c r="I13" s="25" t="str">
        <x:v>失乡者海岸；风暴断崖</x:v>
      </x:c>
      <x:c r="J13" s="25" t="str">
        <x:v>沉没王庭</x:v>
      </x:c>
    </x:row>
    <x:row r="14">
      <x:c r="A14" s="25" t="str">
        <x:v>C02-G</x:v>
      </x:c>
      <x:c r="B14" s="25" t="str">
        <x:v>宁姆格福</x:v>
      </x:c>
      <x:c r="C14" s="25" t="str">
        <x:v>半急速毕业</x:v>
      </x:c>
      <x:c r="D14" s="25" t="str">
        <x:v>C02</x:v>
      </x:c>
      <x:c r="E14" s="25" t="str">
        <x:v>5组</x:v>
      </x:c>
      <x:c r="F14" s="25" t="n">
        <x:v>61</x:v>
      </x:c>
      <x:c r="G14" s="25" t="n">
        <x:v>46</x:v>
      </x:c>
      <x:c r="H14" s="25" t="str">
        <x:v>3/5组</x:v>
      </x:c>
      <x:c r="I14" s="25" t="str">
        <x:v>漂流墓地；关卡前废墟；迷雾丛林</x:v>
      </x:c>
      <x:c r="J14" s="25" t="str">
        <x:v>风暴山谷；史东薇尔王城</x:v>
      </x:c>
    </x:row>
    <x:row r="15">
      <x:c r="A15" s="25" t="str">
        <x:v>C02-X</x:v>
      </x:c>
      <x:c r="B15" s="25" t="str">
        <x:v>宁姆格福</x:v>
      </x:c>
      <x:c r="C15" s="25" t="str">
        <x:v>极端压力</x:v>
      </x:c>
      <x:c r="D15" s="25" t="str">
        <x:v>C01</x:v>
      </x:c>
      <x:c r="E15" s="25" t="str">
        <x:v>3组</x:v>
      </x:c>
      <x:c r="F15" s="25" t="n">
        <x:v>38</x:v>
      </x:c>
      <x:c r="G15" s="25" t="n">
        <x:v>38</x:v>
      </x:c>
      <x:c r="H15" s="25" t="str">
        <x:v>3/3组</x:v>
      </x:c>
      <x:c r="I15" s="25" t="str">
        <x:v>失乡者海岸；风暴断崖；沉没王庭</x:v>
      </x:c>
      <x:c r="J15" s="25" t="str"/>
    </x:row>
    <x:row r="16">
      <x:c r="A16" s="25" t="str">
        <x:v>C02-X</x:v>
      </x:c>
      <x:c r="B16" s="25" t="str">
        <x:v>宁姆格福</x:v>
      </x:c>
      <x:c r="C16" s="25" t="str">
        <x:v>极端压力</x:v>
      </x:c>
      <x:c r="D16" s="25" t="str">
        <x:v>C02</x:v>
      </x:c>
      <x:c r="E16" s="25" t="str">
        <x:v>5组</x:v>
      </x:c>
      <x:c r="F16" s="25" t="n">
        <x:v>61</x:v>
      </x:c>
      <x:c r="G16" s="25" t="n">
        <x:v>61</x:v>
      </x:c>
      <x:c r="H16" s="25" t="str">
        <x:v>5/5组</x:v>
      </x:c>
      <x:c r="I16" s="25" t="str">
        <x:v>漂流墓地；关卡前废墟；迷雾丛林；风暴山谷；史东薇尔王城</x:v>
      </x:c>
      <x:c r="J16" s="25" t="str"/>
    </x:row>
    <x:row r="17">
      <x:c r="A17" s="25" t="str">
        <x:v>C03-E</x:v>
      </x:c>
      <x:c r="B17" s="25" t="str">
        <x:v>宁姆格福西域</x:v>
      </x:c>
      <x:c r="C17" s="25" t="str">
        <x:v>半急速入场</x:v>
      </x:c>
      <x:c r="D17" s="25" t="str">
        <x:v>C01</x:v>
      </x:c>
      <x:c r="E17" s="25" t="str">
        <x:v>3组</x:v>
      </x:c>
      <x:c r="F17" s="25" t="n">
        <x:v>38</x:v>
      </x:c>
      <x:c r="G17" s="25" t="n">
        <x:v>29</x:v>
      </x:c>
      <x:c r="H17" s="25" t="str">
        <x:v>2/3组</x:v>
      </x:c>
      <x:c r="I17" s="25" t="str">
        <x:v>失乡者海岸；风暴断崖</x:v>
      </x:c>
      <x:c r="J17" s="25" t="str">
        <x:v>沉没王庭</x:v>
      </x:c>
    </x:row>
    <x:row r="18">
      <x:c r="A18" s="25" t="str">
        <x:v>C03-E</x:v>
      </x:c>
      <x:c r="B18" s="25" t="str">
        <x:v>宁姆格福西域</x:v>
      </x:c>
      <x:c r="C18" s="25" t="str">
        <x:v>半急速入场</x:v>
      </x:c>
      <x:c r="D18" s="25" t="str">
        <x:v>C02</x:v>
      </x:c>
      <x:c r="E18" s="25" t="str">
        <x:v>5组</x:v>
      </x:c>
      <x:c r="F18" s="25" t="n">
        <x:v>61</x:v>
      </x:c>
      <x:c r="G18" s="25" t="n">
        <x:v>46</x:v>
      </x:c>
      <x:c r="H18" s="25" t="str">
        <x:v>3/5组</x:v>
      </x:c>
      <x:c r="I18" s="25" t="str">
        <x:v>漂流墓地；关卡前废墟；迷雾丛林</x:v>
      </x:c>
      <x:c r="J18" s="25" t="str">
        <x:v>风暴山谷；史东薇尔王城</x:v>
      </x:c>
    </x:row>
    <x:row r="19">
      <x:c r="A19" s="25" t="str">
        <x:v>C03-E</x:v>
      </x:c>
      <x:c r="B19" s="25" t="str">
        <x:v>宁姆格福西域</x:v>
      </x:c>
      <x:c r="C19" s="25" t="str">
        <x:v>半急速入场</x:v>
      </x:c>
      <x:c r="D19" s="25" t="str">
        <x:v>C03</x:v>
      </x:c>
      <x:c r="E19" s="25" t="str">
        <x:v>6组</x:v>
      </x:c>
      <x:c r="F19" s="25" t="n">
        <x:v>73</x:v>
      </x:c>
      <x:c r="G19" s="25" t="n">
        <x:v>0</x:v>
      </x:c>
      <x:c r="H19" s="25" t="str">
        <x:v>0/6组</x:v>
      </x:c>
      <x:c r="I19" s="25" t="str"/>
      <x:c r="J19" s="25" t="str">
        <x:v>西境荒原；海风断崖；失落驿道；古战场遗迹；风蚀古垒；黄金树哨垒</x:v>
      </x:c>
    </x:row>
    <x:row r="20">
      <x:c r="A20" s="25" t="str">
        <x:v>C03-M</x:v>
      </x:c>
      <x:c r="B20" s="25" t="str">
        <x:v>宁姆格福西域</x:v>
      </x:c>
      <x:c r="C20" s="25" t="str">
        <x:v>半急速中期</x:v>
      </x:c>
      <x:c r="D20" s="25" t="str">
        <x:v>C01</x:v>
      </x:c>
      <x:c r="E20" s="25" t="str">
        <x:v>3组</x:v>
      </x:c>
      <x:c r="F20" s="25" t="n">
        <x:v>38</x:v>
      </x:c>
      <x:c r="G20" s="25" t="n">
        <x:v>29</x:v>
      </x:c>
      <x:c r="H20" s="25" t="str">
        <x:v>2/3组</x:v>
      </x:c>
      <x:c r="I20" s="25" t="str">
        <x:v>失乡者海岸；风暴断崖</x:v>
      </x:c>
      <x:c r="J20" s="25" t="str">
        <x:v>沉没王庭</x:v>
      </x:c>
    </x:row>
    <x:row r="21">
      <x:c r="A21" s="25" t="str">
        <x:v>C03-M</x:v>
      </x:c>
      <x:c r="B21" s="25" t="str">
        <x:v>宁姆格福西域</x:v>
      </x:c>
      <x:c r="C21" s="25" t="str">
        <x:v>半急速中期</x:v>
      </x:c>
      <x:c r="D21" s="25" t="str">
        <x:v>C02</x:v>
      </x:c>
      <x:c r="E21" s="25" t="str">
        <x:v>5组</x:v>
      </x:c>
      <x:c r="F21" s="25" t="n">
        <x:v>61</x:v>
      </x:c>
      <x:c r="G21" s="25" t="n">
        <x:v>53</x:v>
      </x:c>
      <x:c r="H21" s="25" t="str">
        <x:v>4/5组</x:v>
      </x:c>
      <x:c r="I21" s="25" t="str">
        <x:v>漂流墓地；关卡前废墟；迷雾丛林；风暴山谷</x:v>
      </x:c>
      <x:c r="J21" s="25" t="str">
        <x:v>史东薇尔王城</x:v>
      </x:c>
    </x:row>
    <x:row r="22">
      <x:c r="A22" s="25" t="str">
        <x:v>C03-M</x:v>
      </x:c>
      <x:c r="B22" s="25" t="str">
        <x:v>宁姆格福西域</x:v>
      </x:c>
      <x:c r="C22" s="25" t="str">
        <x:v>半急速中期</x:v>
      </x:c>
      <x:c r="D22" s="25" t="str">
        <x:v>C03</x:v>
      </x:c>
      <x:c r="E22" s="25" t="str">
        <x:v>6组</x:v>
      </x:c>
      <x:c r="F22" s="25" t="n">
        <x:v>73</x:v>
      </x:c>
      <x:c r="G22" s="25" t="n">
        <x:v>27</x:v>
      </x:c>
      <x:c r="H22" s="25" t="str">
        <x:v>1/6组</x:v>
      </x:c>
      <x:c r="I22" s="25" t="str">
        <x:v>西境荒原</x:v>
      </x:c>
      <x:c r="J22" s="25" t="str">
        <x:v>海风断崖；失落驿道；古战场遗迹；风蚀古垒；黄金树哨垒</x:v>
      </x:c>
    </x:row>
    <x:row r="23">
      <x:c r="A23" s="25" t="str">
        <x:v>C03-G</x:v>
      </x:c>
      <x:c r="B23" s="25" t="str">
        <x:v>宁姆格福西域</x:v>
      </x:c>
      <x:c r="C23" s="25" t="str">
        <x:v>半急速毕业</x:v>
      </x:c>
      <x:c r="D23" s="25" t="str">
        <x:v>C01</x:v>
      </x:c>
      <x:c r="E23" s="25" t="str">
        <x:v>3组</x:v>
      </x:c>
      <x:c r="F23" s="25" t="n">
        <x:v>38</x:v>
      </x:c>
      <x:c r="G23" s="25" t="n">
        <x:v>29</x:v>
      </x:c>
      <x:c r="H23" s="25" t="str">
        <x:v>2/3组</x:v>
      </x:c>
      <x:c r="I23" s="25" t="str">
        <x:v>失乡者海岸；风暴断崖</x:v>
      </x:c>
      <x:c r="J23" s="25" t="str">
        <x:v>沉没王庭</x:v>
      </x:c>
    </x:row>
    <x:row r="24">
      <x:c r="A24" s="25" t="str">
        <x:v>C03-G</x:v>
      </x:c>
      <x:c r="B24" s="25" t="str">
        <x:v>宁姆格福西域</x:v>
      </x:c>
      <x:c r="C24" s="25" t="str">
        <x:v>半急速毕业</x:v>
      </x:c>
      <x:c r="D24" s="25" t="str">
        <x:v>C02</x:v>
      </x:c>
      <x:c r="E24" s="25" t="str">
        <x:v>5组</x:v>
      </x:c>
      <x:c r="F24" s="25" t="n">
        <x:v>61</x:v>
      </x:c>
      <x:c r="G24" s="25" t="n">
        <x:v>53</x:v>
      </x:c>
      <x:c r="H24" s="25" t="str">
        <x:v>4/5组</x:v>
      </x:c>
      <x:c r="I24" s="25" t="str">
        <x:v>漂流墓地；关卡前废墟；迷雾丛林；风暴山谷</x:v>
      </x:c>
      <x:c r="J24" s="25" t="str">
        <x:v>史东薇尔王城</x:v>
      </x:c>
    </x:row>
    <x:row r="25">
      <x:c r="A25" s="25" t="str">
        <x:v>C03-G</x:v>
      </x:c>
      <x:c r="B25" s="25" t="str">
        <x:v>宁姆格福西域</x:v>
      </x:c>
      <x:c r="C25" s="25" t="str">
        <x:v>半急速毕业</x:v>
      </x:c>
      <x:c r="D25" s="25" t="str">
        <x:v>C03</x:v>
      </x:c>
      <x:c r="E25" s="25" t="str">
        <x:v>6组</x:v>
      </x:c>
      <x:c r="F25" s="25" t="n">
        <x:v>73</x:v>
      </x:c>
      <x:c r="G25" s="25" t="n">
        <x:v>48</x:v>
      </x:c>
      <x:c r="H25" s="25" t="str">
        <x:v>3/6组</x:v>
      </x:c>
      <x:c r="I25" s="25" t="str">
        <x:v>西境荒原；海风断崖；失落驿道</x:v>
      </x:c>
      <x:c r="J25" s="25" t="str">
        <x:v>古战场遗迹；风蚀古垒；黄金树哨垒</x:v>
      </x:c>
    </x:row>
    <x:row r="26">
      <x:c r="A26" s="25" t="str">
        <x:v>C03-X</x:v>
      </x:c>
      <x:c r="B26" s="25" t="str">
        <x:v>宁姆格福西域</x:v>
      </x:c>
      <x:c r="C26" s="25" t="str">
        <x:v>极端压力</x:v>
      </x:c>
      <x:c r="D26" s="25" t="str">
        <x:v>C01</x:v>
      </x:c>
      <x:c r="E26" s="25" t="str">
        <x:v>3组</x:v>
      </x:c>
      <x:c r="F26" s="25" t="n">
        <x:v>38</x:v>
      </x:c>
      <x:c r="G26" s="25" t="n">
        <x:v>38</x:v>
      </x:c>
      <x:c r="H26" s="25" t="str">
        <x:v>3/3组</x:v>
      </x:c>
      <x:c r="I26" s="25" t="str">
        <x:v>失乡者海岸；风暴断崖；沉没王庭</x:v>
      </x:c>
      <x:c r="J26" s="25" t="str"/>
    </x:row>
    <x:row r="27">
      <x:c r="A27" s="25" t="str">
        <x:v>C03-X</x:v>
      </x:c>
      <x:c r="B27" s="25" t="str">
        <x:v>宁姆格福西域</x:v>
      </x:c>
      <x:c r="C27" s="25" t="str">
        <x:v>极端压力</x:v>
      </x:c>
      <x:c r="D27" s="25" t="str">
        <x:v>C02</x:v>
      </x:c>
      <x:c r="E27" s="25" t="str">
        <x:v>5组</x:v>
      </x:c>
      <x:c r="F27" s="25" t="n">
        <x:v>61</x:v>
      </x:c>
      <x:c r="G27" s="25" t="n">
        <x:v>61</x:v>
      </x:c>
      <x:c r="H27" s="25" t="str">
        <x:v>5/5组</x:v>
      </x:c>
      <x:c r="I27" s="25" t="str">
        <x:v>漂流墓地；关卡前废墟；迷雾丛林；风暴山谷；史东薇尔王城</x:v>
      </x:c>
      <x:c r="J27" s="25" t="str"/>
    </x:row>
    <x:row r="28">
      <x:c r="A28" s="25" t="str">
        <x:v>C03-X</x:v>
      </x:c>
      <x:c r="B28" s="25" t="str">
        <x:v>宁姆格福西域</x:v>
      </x:c>
      <x:c r="C28" s="25" t="str">
        <x:v>极端压力</x:v>
      </x:c>
      <x:c r="D28" s="25" t="str">
        <x:v>C03</x:v>
      </x:c>
      <x:c r="E28" s="25" t="str">
        <x:v>6组</x:v>
      </x:c>
      <x:c r="F28" s="25" t="n">
        <x:v>73</x:v>
      </x:c>
      <x:c r="G28" s="25" t="n">
        <x:v>73</x:v>
      </x:c>
      <x:c r="H28" s="25" t="str">
        <x:v>6/6组</x:v>
      </x:c>
      <x:c r="I28" s="25" t="str">
        <x:v>西境荒原；海风断崖；失落驿道；古战场遗迹；风蚀古垒；黄金树哨垒</x:v>
      </x:c>
      <x:c r="J28" s="25" t="str"/>
    </x:row>
    <x:row r="29">
      <x:c r="A29" s="25" t="str">
        <x:v>C04-E</x:v>
      </x:c>
      <x:c r="B29" s="25" t="str">
        <x:v>利耶尼亚海域</x:v>
      </x:c>
      <x:c r="C29" s="25" t="str">
        <x:v>半急速入场</x:v>
      </x:c>
      <x:c r="D29" s="25" t="str">
        <x:v>C01</x:v>
      </x:c>
      <x:c r="E29" s="25" t="str">
        <x:v>3组</x:v>
      </x:c>
      <x:c r="F29" s="25" t="n">
        <x:v>38</x:v>
      </x:c>
      <x:c r="G29" s="25" t="n">
        <x:v>29</x:v>
      </x:c>
      <x:c r="H29" s="25" t="str">
        <x:v>2/3组</x:v>
      </x:c>
      <x:c r="I29" s="25" t="str">
        <x:v>失乡者海岸；风暴断崖</x:v>
      </x:c>
      <x:c r="J29" s="25" t="str">
        <x:v>沉没王庭</x:v>
      </x:c>
    </x:row>
    <x:row r="30">
      <x:c r="A30" s="25" t="str">
        <x:v>C04-E</x:v>
      </x:c>
      <x:c r="B30" s="25" t="str">
        <x:v>利耶尼亚海域</x:v>
      </x:c>
      <x:c r="C30" s="25" t="str">
        <x:v>半急速入场</x:v>
      </x:c>
      <x:c r="D30" s="25" t="str">
        <x:v>C02</x:v>
      </x:c>
      <x:c r="E30" s="25" t="str">
        <x:v>5组</x:v>
      </x:c>
      <x:c r="F30" s="25" t="n">
        <x:v>61</x:v>
      </x:c>
      <x:c r="G30" s="25" t="n">
        <x:v>53</x:v>
      </x:c>
      <x:c r="H30" s="25" t="str">
        <x:v>4/5组</x:v>
      </x:c>
      <x:c r="I30" s="25" t="str">
        <x:v>漂流墓地；关卡前废墟；迷雾丛林；风暴山谷</x:v>
      </x:c>
      <x:c r="J30" s="25" t="str">
        <x:v>史东薇尔王城</x:v>
      </x:c>
    </x:row>
    <x:row r="31">
      <x:c r="A31" s="25" t="str">
        <x:v>C04-E</x:v>
      </x:c>
      <x:c r="B31" s="25" t="str">
        <x:v>利耶尼亚海域</x:v>
      </x:c>
      <x:c r="C31" s="25" t="str">
        <x:v>半急速入场</x:v>
      </x:c>
      <x:c r="D31" s="25" t="str">
        <x:v>C03</x:v>
      </x:c>
      <x:c r="E31" s="25" t="str">
        <x:v>6组</x:v>
      </x:c>
      <x:c r="F31" s="25" t="n">
        <x:v>73</x:v>
      </x:c>
      <x:c r="G31" s="25" t="n">
        <x:v>48</x:v>
      </x:c>
      <x:c r="H31" s="25" t="str">
        <x:v>3/6组</x:v>
      </x:c>
      <x:c r="I31" s="25" t="str">
        <x:v>西境荒原；海风断崖；失落驿道</x:v>
      </x:c>
      <x:c r="J31" s="25" t="str">
        <x:v>古战场遗迹；风蚀古垒；黄金树哨垒</x:v>
      </x:c>
    </x:row>
    <x:row r="32">
      <x:c r="A32" s="25" t="str">
        <x:v>C04-E</x:v>
      </x:c>
      <x:c r="B32" s="25" t="str">
        <x:v>利耶尼亚海域</x:v>
      </x:c>
      <x:c r="C32" s="25" t="str">
        <x:v>半急速入场</x:v>
      </x:c>
      <x:c r="D32" s="25" t="str">
        <x:v>C04</x:v>
      </x:c>
      <x:c r="E32" s="25" t="str">
        <x:v>6组</x:v>
      </x:c>
      <x:c r="F32" s="25" t="n">
        <x:v>73</x:v>
      </x:c>
      <x:c r="G32" s="25" t="n">
        <x:v>0</x:v>
      </x:c>
      <x:c r="H32" s="25" t="str">
        <x:v>0/6组</x:v>
      </x:c>
      <x:c r="I32" s="25" t="str"/>
      <x:c r="J32" s="25" t="str">
        <x:v>雾潮湿地；沉湖遗迹；湖心沉船；幽灵船骸；深湖水道；湖底密道</x:v>
      </x:c>
    </x:row>
    <x:row r="33">
      <x:c r="A33" s="25" t="str">
        <x:v>C04-M</x:v>
      </x:c>
      <x:c r="B33" s="25" t="str">
        <x:v>利耶尼亚海域</x:v>
      </x:c>
      <x:c r="C33" s="25" t="str">
        <x:v>半急速中期</x:v>
      </x:c>
      <x:c r="D33" s="25" t="str">
        <x:v>C01</x:v>
      </x:c>
      <x:c r="E33" s="25" t="str">
        <x:v>3组</x:v>
      </x:c>
      <x:c r="F33" s="25" t="n">
        <x:v>38</x:v>
      </x:c>
      <x:c r="G33" s="25" t="n">
        <x:v>29</x:v>
      </x:c>
      <x:c r="H33" s="25" t="str">
        <x:v>2/3组</x:v>
      </x:c>
      <x:c r="I33" s="25" t="str">
        <x:v>失乡者海岸；风暴断崖</x:v>
      </x:c>
      <x:c r="J33" s="25" t="str">
        <x:v>沉没王庭</x:v>
      </x:c>
    </x:row>
    <x:row r="34">
      <x:c r="A34" s="25" t="str">
        <x:v>C04-M</x:v>
      </x:c>
      <x:c r="B34" s="25" t="str">
        <x:v>利耶尼亚海域</x:v>
      </x:c>
      <x:c r="C34" s="25" t="str">
        <x:v>半急速中期</x:v>
      </x:c>
      <x:c r="D34" s="25" t="str">
        <x:v>C02</x:v>
      </x:c>
      <x:c r="E34" s="25" t="str">
        <x:v>5组</x:v>
      </x:c>
      <x:c r="F34" s="25" t="n">
        <x:v>61</x:v>
      </x:c>
      <x:c r="G34" s="25" t="n">
        <x:v>53</x:v>
      </x:c>
      <x:c r="H34" s="25" t="str">
        <x:v>4/5组</x:v>
      </x:c>
      <x:c r="I34" s="25" t="str">
        <x:v>漂流墓地；关卡前废墟；迷雾丛林；风暴山谷</x:v>
      </x:c>
      <x:c r="J34" s="25" t="str">
        <x:v>史东薇尔王城</x:v>
      </x:c>
    </x:row>
    <x:row r="35">
      <x:c r="A35" s="25" t="str">
        <x:v>C04-M</x:v>
      </x:c>
      <x:c r="B35" s="25" t="str">
        <x:v>利耶尼亚海域</x:v>
      </x:c>
      <x:c r="C35" s="25" t="str">
        <x:v>半急速中期</x:v>
      </x:c>
      <x:c r="D35" s="25" t="str">
        <x:v>C03</x:v>
      </x:c>
      <x:c r="E35" s="25" t="str">
        <x:v>6组</x:v>
      </x:c>
      <x:c r="F35" s="25" t="n">
        <x:v>73</x:v>
      </x:c>
      <x:c r="G35" s="25" t="n">
        <x:v>56</x:v>
      </x:c>
      <x:c r="H35" s="25" t="str">
        <x:v>4/6组</x:v>
      </x:c>
      <x:c r="I35" s="25" t="str">
        <x:v>西境荒原；海风断崖；失落驿道；古战场遗迹</x:v>
      </x:c>
      <x:c r="J35" s="25" t="str">
        <x:v>风蚀古垒；黄金树哨垒</x:v>
      </x:c>
    </x:row>
    <x:row r="36">
      <x:c r="A36" s="25" t="str">
        <x:v>C04-M</x:v>
      </x:c>
      <x:c r="B36" s="25" t="str">
        <x:v>利耶尼亚海域</x:v>
      </x:c>
      <x:c r="C36" s="25" t="str">
        <x:v>半急速中期</x:v>
      </x:c>
      <x:c r="D36" s="25" t="str">
        <x:v>C04</x:v>
      </x:c>
      <x:c r="E36" s="25" t="str">
        <x:v>6组</x:v>
      </x:c>
      <x:c r="F36" s="25" t="n">
        <x:v>73</x:v>
      </x:c>
      <x:c r="G36" s="25" t="n">
        <x:v>23</x:v>
      </x:c>
      <x:c r="H36" s="25" t="str">
        <x:v>1/6组</x:v>
      </x:c>
      <x:c r="I36" s="25" t="str">
        <x:v>雾潮湿地</x:v>
      </x:c>
      <x:c r="J36" s="25" t="str">
        <x:v>沉湖遗迹；湖心沉船；幽灵船骸；深湖水道；湖底密道</x:v>
      </x:c>
    </x:row>
    <x:row r="37">
      <x:c r="A37" s="25" t="str">
        <x:v>C04-G</x:v>
      </x:c>
      <x:c r="B37" s="25" t="str">
        <x:v>利耶尼亚海域</x:v>
      </x:c>
      <x:c r="C37" s="25" t="str">
        <x:v>半急速毕业</x:v>
      </x:c>
      <x:c r="D37" s="25" t="str">
        <x:v>C01</x:v>
      </x:c>
      <x:c r="E37" s="25" t="str">
        <x:v>3组</x:v>
      </x:c>
      <x:c r="F37" s="25" t="n">
        <x:v>38</x:v>
      </x:c>
      <x:c r="G37" s="25" t="n">
        <x:v>29</x:v>
      </x:c>
      <x:c r="H37" s="25" t="str">
        <x:v>2/3组</x:v>
      </x:c>
      <x:c r="I37" s="25" t="str">
        <x:v>失乡者海岸；风暴断崖</x:v>
      </x:c>
      <x:c r="J37" s="25" t="str">
        <x:v>沉没王庭</x:v>
      </x:c>
    </x:row>
    <x:row r="38">
      <x:c r="A38" s="25" t="str">
        <x:v>C04-G</x:v>
      </x:c>
      <x:c r="B38" s="25" t="str">
        <x:v>利耶尼亚海域</x:v>
      </x:c>
      <x:c r="C38" s="25" t="str">
        <x:v>半急速毕业</x:v>
      </x:c>
      <x:c r="D38" s="25" t="str">
        <x:v>C02</x:v>
      </x:c>
      <x:c r="E38" s="25" t="str">
        <x:v>5组</x:v>
      </x:c>
      <x:c r="F38" s="25" t="n">
        <x:v>61</x:v>
      </x:c>
      <x:c r="G38" s="25" t="n">
        <x:v>53</x:v>
      </x:c>
      <x:c r="H38" s="25" t="str">
        <x:v>4/5组</x:v>
      </x:c>
      <x:c r="I38" s="25" t="str">
        <x:v>漂流墓地；关卡前废墟；迷雾丛林；风暴山谷</x:v>
      </x:c>
      <x:c r="J38" s="25" t="str">
        <x:v>史东薇尔王城</x:v>
      </x:c>
    </x:row>
    <x:row r="39">
      <x:c r="A39" s="25" t="str">
        <x:v>C04-G</x:v>
      </x:c>
      <x:c r="B39" s="25" t="str">
        <x:v>利耶尼亚海域</x:v>
      </x:c>
      <x:c r="C39" s="25" t="str">
        <x:v>半急速毕业</x:v>
      </x:c>
      <x:c r="D39" s="25" t="str">
        <x:v>C03</x:v>
      </x:c>
      <x:c r="E39" s="25" t="str">
        <x:v>6组</x:v>
      </x:c>
      <x:c r="F39" s="25" t="n">
        <x:v>73</x:v>
      </x:c>
      <x:c r="G39" s="25" t="n">
        <x:v>56</x:v>
      </x:c>
      <x:c r="H39" s="25" t="str">
        <x:v>4/6组</x:v>
      </x:c>
      <x:c r="I39" s="25" t="str">
        <x:v>西境荒原；海风断崖；失落驿道；古战场遗迹</x:v>
      </x:c>
      <x:c r="J39" s="25" t="str">
        <x:v>风蚀古垒；黄金树哨垒</x:v>
      </x:c>
    </x:row>
    <x:row r="40">
      <x:c r="A40" s="25" t="str">
        <x:v>C04-G</x:v>
      </x:c>
      <x:c r="B40" s="25" t="str">
        <x:v>利耶尼亚海域</x:v>
      </x:c>
      <x:c r="C40" s="25" t="str">
        <x:v>半急速毕业</x:v>
      </x:c>
      <x:c r="D40" s="25" t="str">
        <x:v>C04</x:v>
      </x:c>
      <x:c r="E40" s="25" t="str">
        <x:v>6组</x:v>
      </x:c>
      <x:c r="F40" s="25" t="n">
        <x:v>73</x:v>
      </x:c>
      <x:c r="G40" s="25" t="n">
        <x:v>48</x:v>
      </x:c>
      <x:c r="H40" s="25" t="str">
        <x:v>3/6组</x:v>
      </x:c>
      <x:c r="I40" s="25" t="str">
        <x:v>雾潮湿地；沉湖遗迹；湖心沉船</x:v>
      </x:c>
      <x:c r="J40" s="25" t="str">
        <x:v>幽灵船骸；深湖水道；湖底密道</x:v>
      </x:c>
    </x:row>
    <x:row r="41">
      <x:c r="A41" s="25" t="str">
        <x:v>C04-X</x:v>
      </x:c>
      <x:c r="B41" s="25" t="str">
        <x:v>利耶尼亚海域</x:v>
      </x:c>
      <x:c r="C41" s="25" t="str">
        <x:v>极端压力</x:v>
      </x:c>
      <x:c r="D41" s="25" t="str">
        <x:v>C01</x:v>
      </x:c>
      <x:c r="E41" s="25" t="str">
        <x:v>3组</x:v>
      </x:c>
      <x:c r="F41" s="25" t="n">
        <x:v>38</x:v>
      </x:c>
      <x:c r="G41" s="25" t="n">
        <x:v>38</x:v>
      </x:c>
      <x:c r="H41" s="25" t="str">
        <x:v>3/3组</x:v>
      </x:c>
      <x:c r="I41" s="25" t="str">
        <x:v>失乡者海岸；风暴断崖；沉没王庭</x:v>
      </x:c>
      <x:c r="J41" s="25" t="str"/>
    </x:row>
    <x:row r="42">
      <x:c r="A42" s="25" t="str">
        <x:v>C04-X</x:v>
      </x:c>
      <x:c r="B42" s="25" t="str">
        <x:v>利耶尼亚海域</x:v>
      </x:c>
      <x:c r="C42" s="25" t="str">
        <x:v>极端压力</x:v>
      </x:c>
      <x:c r="D42" s="25" t="str">
        <x:v>C02</x:v>
      </x:c>
      <x:c r="E42" s="25" t="str">
        <x:v>5组</x:v>
      </x:c>
      <x:c r="F42" s="25" t="n">
        <x:v>61</x:v>
      </x:c>
      <x:c r="G42" s="25" t="n">
        <x:v>61</x:v>
      </x:c>
      <x:c r="H42" s="25" t="str">
        <x:v>5/5组</x:v>
      </x:c>
      <x:c r="I42" s="25" t="str">
        <x:v>漂流墓地；关卡前废墟；迷雾丛林；风暴山谷；史东薇尔王城</x:v>
      </x:c>
      <x:c r="J42" s="25" t="str"/>
    </x:row>
    <x:row r="43">
      <x:c r="A43" s="25" t="str">
        <x:v>C04-X</x:v>
      </x:c>
      <x:c r="B43" s="25" t="str">
        <x:v>利耶尼亚海域</x:v>
      </x:c>
      <x:c r="C43" s="25" t="str">
        <x:v>极端压力</x:v>
      </x:c>
      <x:c r="D43" s="25" t="str">
        <x:v>C03</x:v>
      </x:c>
      <x:c r="E43" s="25" t="str">
        <x:v>6组</x:v>
      </x:c>
      <x:c r="F43" s="25" t="n">
        <x:v>73</x:v>
      </x:c>
      <x:c r="G43" s="25" t="n">
        <x:v>73</x:v>
      </x:c>
      <x:c r="H43" s="25" t="str">
        <x:v>6/6组</x:v>
      </x:c>
      <x:c r="I43" s="25" t="str">
        <x:v>西境荒原；海风断崖；失落驿道；古战场遗迹；风蚀古垒；黄金树哨垒</x:v>
      </x:c>
      <x:c r="J43" s="25" t="str"/>
    </x:row>
    <x:row r="44">
      <x:c r="A44" s="25" t="str">
        <x:v>C04-X</x:v>
      </x:c>
      <x:c r="B44" s="25" t="str">
        <x:v>利耶尼亚海域</x:v>
      </x:c>
      <x:c r="C44" s="25" t="str">
        <x:v>极端压力</x:v>
      </x:c>
      <x:c r="D44" s="25" t="str">
        <x:v>C04</x:v>
      </x:c>
      <x:c r="E44" s="25" t="str">
        <x:v>6组</x:v>
      </x:c>
      <x:c r="F44" s="25" t="n">
        <x:v>73</x:v>
      </x:c>
      <x:c r="G44" s="25" t="n">
        <x:v>73</x:v>
      </x:c>
      <x:c r="H44" s="25" t="str">
        <x:v>6/6组</x:v>
      </x:c>
      <x:c r="I44" s="25" t="str">
        <x:v>雾潮湿地；沉湖遗迹；湖心沉船；幽灵船骸；深湖水道；湖底密道</x:v>
      </x:c>
      <x:c r="J44" s="25" t="str"/>
    </x:row>
    <x:row r="45">
      <x:c r="A45" s="25" t="str">
        <x:v>C05-E</x:v>
      </x:c>
      <x:c r="B45" s="25" t="str">
        <x:v>湖之利耶尼亚</x:v>
      </x:c>
      <x:c r="C45" s="25" t="str">
        <x:v>半急速入场</x:v>
      </x:c>
      <x:c r="D45" s="25" t="str">
        <x:v>C01</x:v>
      </x:c>
      <x:c r="E45" s="25" t="str">
        <x:v>3组</x:v>
      </x:c>
      <x:c r="F45" s="25" t="n">
        <x:v>38</x:v>
      </x:c>
      <x:c r="G45" s="25" t="n">
        <x:v>29</x:v>
      </x:c>
      <x:c r="H45" s="25" t="str">
        <x:v>2/3组</x:v>
      </x:c>
      <x:c r="I45" s="25" t="str">
        <x:v>失乡者海岸；风暴断崖</x:v>
      </x:c>
      <x:c r="J45" s="25" t="str">
        <x:v>沉没王庭</x:v>
      </x:c>
    </x:row>
    <x:row r="46">
      <x:c r="A46" s="25" t="str">
        <x:v>C05-E</x:v>
      </x:c>
      <x:c r="B46" s="25" t="str">
        <x:v>湖之利耶尼亚</x:v>
      </x:c>
      <x:c r="C46" s="25" t="str">
        <x:v>半急速入场</x:v>
      </x:c>
      <x:c r="D46" s="25" t="str">
        <x:v>C02</x:v>
      </x:c>
      <x:c r="E46" s="25" t="str">
        <x:v>5组</x:v>
      </x:c>
      <x:c r="F46" s="25" t="n">
        <x:v>61</x:v>
      </x:c>
      <x:c r="G46" s="25" t="n">
        <x:v>53</x:v>
      </x:c>
      <x:c r="H46" s="25" t="str">
        <x:v>4/5组</x:v>
      </x:c>
      <x:c r="I46" s="25" t="str">
        <x:v>漂流墓地；关卡前废墟；迷雾丛林；风暴山谷</x:v>
      </x:c>
      <x:c r="J46" s="25" t="str">
        <x:v>史东薇尔王城</x:v>
      </x:c>
    </x:row>
    <x:row r="47">
      <x:c r="A47" s="25" t="str">
        <x:v>C05-E</x:v>
      </x:c>
      <x:c r="B47" s="25" t="str">
        <x:v>湖之利耶尼亚</x:v>
      </x:c>
      <x:c r="C47" s="25" t="str">
        <x:v>半急速入场</x:v>
      </x:c>
      <x:c r="D47" s="25" t="str">
        <x:v>C03</x:v>
      </x:c>
      <x:c r="E47" s="25" t="str">
        <x:v>6组</x:v>
      </x:c>
      <x:c r="F47" s="25" t="n">
        <x:v>73</x:v>
      </x:c>
      <x:c r="G47" s="25" t="n">
        <x:v>56</x:v>
      </x:c>
      <x:c r="H47" s="25" t="str">
        <x:v>4/6组</x:v>
      </x:c>
      <x:c r="I47" s="25" t="str">
        <x:v>西境荒原；海风断崖；失落驿道；古战场遗迹</x:v>
      </x:c>
      <x:c r="J47" s="25" t="str">
        <x:v>风蚀古垒；黄金树哨垒</x:v>
      </x:c>
    </x:row>
    <x:row r="48">
      <x:c r="A48" s="25" t="str">
        <x:v>C05-E</x:v>
      </x:c>
      <x:c r="B48" s="25" t="str">
        <x:v>湖之利耶尼亚</x:v>
      </x:c>
      <x:c r="C48" s="25" t="str">
        <x:v>半急速入场</x:v>
      </x:c>
      <x:c r="D48" s="25" t="str">
        <x:v>C04</x:v>
      </x:c>
      <x:c r="E48" s="25" t="str">
        <x:v>6组</x:v>
      </x:c>
      <x:c r="F48" s="25" t="n">
        <x:v>73</x:v>
      </x:c>
      <x:c r="G48" s="25" t="n">
        <x:v>48</x:v>
      </x:c>
      <x:c r="H48" s="25" t="str">
        <x:v>3/6组</x:v>
      </x:c>
      <x:c r="I48" s="25" t="str">
        <x:v>雾潮湿地；沉湖遗迹；湖心沉船</x:v>
      </x:c>
      <x:c r="J48" s="25" t="str">
        <x:v>幽灵船骸；深湖水道；湖底密道</x:v>
      </x:c>
    </x:row>
    <x:row r="49">
      <x:c r="A49" s="25" t="str">
        <x:v>C05-E</x:v>
      </x:c>
      <x:c r="B49" s="25" t="str">
        <x:v>湖之利耶尼亚</x:v>
      </x:c>
      <x:c r="C49" s="25" t="str">
        <x:v>半急速入场</x:v>
      </x:c>
      <x:c r="D49" s="25" t="str">
        <x:v>C05</x:v>
      </x:c>
      <x:c r="E49" s="25" t="str">
        <x:v>6组</x:v>
      </x:c>
      <x:c r="F49" s="25" t="n">
        <x:v>73</x:v>
      </x:c>
      <x:c r="G49" s="25" t="n">
        <x:v>0</x:v>
      </x:c>
      <x:c r="H49" s="25" t="str">
        <x:v>0/6组</x:v>
      </x:c>
      <x:c r="I49" s="25" t="str"/>
      <x:c r="J49" s="25" t="str">
        <x:v>雾月水庭；辉石遗迹；学院回廊；满月书库；月影水宫；卡利亚禁域</x:v>
      </x:c>
    </x:row>
    <x:row r="50">
      <x:c r="A50" s="25" t="str">
        <x:v>C05-M</x:v>
      </x:c>
      <x:c r="B50" s="25" t="str">
        <x:v>湖之利耶尼亚</x:v>
      </x:c>
      <x:c r="C50" s="25" t="str">
        <x:v>半急速中期</x:v>
      </x:c>
      <x:c r="D50" s="25" t="str">
        <x:v>C01</x:v>
      </x:c>
      <x:c r="E50" s="25" t="str">
        <x:v>3组</x:v>
      </x:c>
      <x:c r="F50" s="25" t="n">
        <x:v>38</x:v>
      </x:c>
      <x:c r="G50" s="25" t="n">
        <x:v>29</x:v>
      </x:c>
      <x:c r="H50" s="25" t="str">
        <x:v>2/3组</x:v>
      </x:c>
      <x:c r="I50" s="25" t="str">
        <x:v>失乡者海岸；风暴断崖</x:v>
      </x:c>
      <x:c r="J50" s="25" t="str">
        <x:v>沉没王庭</x:v>
      </x:c>
    </x:row>
    <x:row r="51">
      <x:c r="A51" s="25" t="str">
        <x:v>C05-M</x:v>
      </x:c>
      <x:c r="B51" s="25" t="str">
        <x:v>湖之利耶尼亚</x:v>
      </x:c>
      <x:c r="C51" s="25" t="str">
        <x:v>半急速中期</x:v>
      </x:c>
      <x:c r="D51" s="25" t="str">
        <x:v>C02</x:v>
      </x:c>
      <x:c r="E51" s="25" t="str">
        <x:v>5组</x:v>
      </x:c>
      <x:c r="F51" s="25" t="n">
        <x:v>61</x:v>
      </x:c>
      <x:c r="G51" s="25" t="n">
        <x:v>53</x:v>
      </x:c>
      <x:c r="H51" s="25" t="str">
        <x:v>4/5组</x:v>
      </x:c>
      <x:c r="I51" s="25" t="str">
        <x:v>漂流墓地；关卡前废墟；迷雾丛林；风暴山谷</x:v>
      </x:c>
      <x:c r="J51" s="25" t="str">
        <x:v>史东薇尔王城</x:v>
      </x:c>
    </x:row>
    <x:row r="52">
      <x:c r="A52" s="25" t="str">
        <x:v>C05-M</x:v>
      </x:c>
      <x:c r="B52" s="25" t="str">
        <x:v>湖之利耶尼亚</x:v>
      </x:c>
      <x:c r="C52" s="25" t="str">
        <x:v>半急速中期</x:v>
      </x:c>
      <x:c r="D52" s="25" t="str">
        <x:v>C03</x:v>
      </x:c>
      <x:c r="E52" s="25" t="str">
        <x:v>6组</x:v>
      </x:c>
      <x:c r="F52" s="25" t="n">
        <x:v>73</x:v>
      </x:c>
      <x:c r="G52" s="25" t="n">
        <x:v>56</x:v>
      </x:c>
      <x:c r="H52" s="25" t="str">
        <x:v>4/6组</x:v>
      </x:c>
      <x:c r="I52" s="25" t="str">
        <x:v>西境荒原；海风断崖；失落驿道；古战场遗迹</x:v>
      </x:c>
      <x:c r="J52" s="25" t="str">
        <x:v>风蚀古垒；黄金树哨垒</x:v>
      </x:c>
    </x:row>
    <x:row r="53">
      <x:c r="A53" s="25" t="str">
        <x:v>C05-M</x:v>
      </x:c>
      <x:c r="B53" s="25" t="str">
        <x:v>湖之利耶尼亚</x:v>
      </x:c>
      <x:c r="C53" s="25" t="str">
        <x:v>半急速中期</x:v>
      </x:c>
      <x:c r="D53" s="25" t="str">
        <x:v>C04</x:v>
      </x:c>
      <x:c r="E53" s="25" t="str">
        <x:v>6组</x:v>
      </x:c>
      <x:c r="F53" s="25" t="n">
        <x:v>73</x:v>
      </x:c>
      <x:c r="G53" s="25" t="n">
        <x:v>55</x:v>
      </x:c>
      <x:c r="H53" s="25" t="str">
        <x:v>4/6组</x:v>
      </x:c>
      <x:c r="I53" s="25" t="str">
        <x:v>雾潮湿地；沉湖遗迹；湖心沉船；幽灵船骸</x:v>
      </x:c>
      <x:c r="J53" s="25" t="str">
        <x:v>深湖水道；湖底密道</x:v>
      </x:c>
    </x:row>
    <x:row r="54">
      <x:c r="A54" s="25" t="str">
        <x:v>C05-M</x:v>
      </x:c>
      <x:c r="B54" s="25" t="str">
        <x:v>湖之利耶尼亚</x:v>
      </x:c>
      <x:c r="C54" s="25" t="str">
        <x:v>半急速中期</x:v>
      </x:c>
      <x:c r="D54" s="25" t="str">
        <x:v>C05</x:v>
      </x:c>
      <x:c r="E54" s="25" t="str">
        <x:v>6组</x:v>
      </x:c>
      <x:c r="F54" s="25" t="n">
        <x:v>73</x:v>
      </x:c>
      <x:c r="G54" s="25" t="n">
        <x:v>24</x:v>
      </x:c>
      <x:c r="H54" s="25" t="str">
        <x:v>1/6组</x:v>
      </x:c>
      <x:c r="I54" s="25" t="str">
        <x:v>雾月水庭</x:v>
      </x:c>
      <x:c r="J54" s="25" t="str">
        <x:v>辉石遗迹；学院回廊；满月书库；月影水宫；卡利亚禁域</x:v>
      </x:c>
    </x:row>
    <x:row r="55">
      <x:c r="A55" s="25" t="str">
        <x:v>C05-G</x:v>
      </x:c>
      <x:c r="B55" s="25" t="str">
        <x:v>湖之利耶尼亚</x:v>
      </x:c>
      <x:c r="C55" s="25" t="str">
        <x:v>半急速毕业</x:v>
      </x:c>
      <x:c r="D55" s="25" t="str">
        <x:v>C01</x:v>
      </x:c>
      <x:c r="E55" s="25" t="str">
        <x:v>3组</x:v>
      </x:c>
      <x:c r="F55" s="25" t="n">
        <x:v>38</x:v>
      </x:c>
      <x:c r="G55" s="25" t="n">
        <x:v>29</x:v>
      </x:c>
      <x:c r="H55" s="25" t="str">
        <x:v>2/3组</x:v>
      </x:c>
      <x:c r="I55" s="25" t="str">
        <x:v>失乡者海岸；风暴断崖</x:v>
      </x:c>
      <x:c r="J55" s="25" t="str">
        <x:v>沉没王庭</x:v>
      </x:c>
    </x:row>
    <x:row r="56">
      <x:c r="A56" s="25" t="str">
        <x:v>C05-G</x:v>
      </x:c>
      <x:c r="B56" s="25" t="str">
        <x:v>湖之利耶尼亚</x:v>
      </x:c>
      <x:c r="C56" s="25" t="str">
        <x:v>半急速毕业</x:v>
      </x:c>
      <x:c r="D56" s="25" t="str">
        <x:v>C02</x:v>
      </x:c>
      <x:c r="E56" s="25" t="str">
        <x:v>5组</x:v>
      </x:c>
      <x:c r="F56" s="25" t="n">
        <x:v>61</x:v>
      </x:c>
      <x:c r="G56" s="25" t="n">
        <x:v>53</x:v>
      </x:c>
      <x:c r="H56" s="25" t="str">
        <x:v>4/5组</x:v>
      </x:c>
      <x:c r="I56" s="25" t="str">
        <x:v>漂流墓地；关卡前废墟；迷雾丛林；风暴山谷</x:v>
      </x:c>
      <x:c r="J56" s="25" t="str">
        <x:v>史东薇尔王城</x:v>
      </x:c>
    </x:row>
    <x:row r="57">
      <x:c r="A57" s="25" t="str">
        <x:v>C05-G</x:v>
      </x:c>
      <x:c r="B57" s="25" t="str">
        <x:v>湖之利耶尼亚</x:v>
      </x:c>
      <x:c r="C57" s="25" t="str">
        <x:v>半急速毕业</x:v>
      </x:c>
      <x:c r="D57" s="25" t="str">
        <x:v>C03</x:v>
      </x:c>
      <x:c r="E57" s="25" t="str">
        <x:v>6组</x:v>
      </x:c>
      <x:c r="F57" s="25" t="n">
        <x:v>73</x:v>
      </x:c>
      <x:c r="G57" s="25" t="n">
        <x:v>56</x:v>
      </x:c>
      <x:c r="H57" s="25" t="str">
        <x:v>4/6组</x:v>
      </x:c>
      <x:c r="I57" s="25" t="str">
        <x:v>西境荒原；海风断崖；失落驿道；古战场遗迹</x:v>
      </x:c>
      <x:c r="J57" s="25" t="str">
        <x:v>风蚀古垒；黄金树哨垒</x:v>
      </x:c>
    </x:row>
    <x:row r="58">
      <x:c r="A58" s="25" t="str">
        <x:v>C05-G</x:v>
      </x:c>
      <x:c r="B58" s="25" t="str">
        <x:v>湖之利耶尼亚</x:v>
      </x:c>
      <x:c r="C58" s="25" t="str">
        <x:v>半急速毕业</x:v>
      </x:c>
      <x:c r="D58" s="25" t="str">
        <x:v>C04</x:v>
      </x:c>
      <x:c r="E58" s="25" t="str">
        <x:v>6组</x:v>
      </x:c>
      <x:c r="F58" s="25" t="n">
        <x:v>73</x:v>
      </x:c>
      <x:c r="G58" s="25" t="n">
        <x:v>55</x:v>
      </x:c>
      <x:c r="H58" s="25" t="str">
        <x:v>4/6组</x:v>
      </x:c>
      <x:c r="I58" s="25" t="str">
        <x:v>雾潮湿地；沉湖遗迹；湖心沉船；幽灵船骸</x:v>
      </x:c>
      <x:c r="J58" s="25" t="str">
        <x:v>深湖水道；湖底密道</x:v>
      </x:c>
    </x:row>
    <x:row r="59">
      <x:c r="A59" s="25" t="str">
        <x:v>C05-G</x:v>
      </x:c>
      <x:c r="B59" s="25" t="str">
        <x:v>湖之利耶尼亚</x:v>
      </x:c>
      <x:c r="C59" s="25" t="str">
        <x:v>半急速毕业</x:v>
      </x:c>
      <x:c r="D59" s="25" t="str">
        <x:v>C05</x:v>
      </x:c>
      <x:c r="E59" s="25" t="str">
        <x:v>6组</x:v>
      </x:c>
      <x:c r="F59" s="25" t="n">
        <x:v>73</x:v>
      </x:c>
      <x:c r="G59" s="25" t="n">
        <x:v>48</x:v>
      </x:c>
      <x:c r="H59" s="25" t="str">
        <x:v>3/6组</x:v>
      </x:c>
      <x:c r="I59" s="25" t="str">
        <x:v>雾月水庭；辉石遗迹；学院回廊</x:v>
      </x:c>
      <x:c r="J59" s="25" t="str">
        <x:v>满月书库；月影水宫；卡利亚禁域</x:v>
      </x:c>
    </x:row>
    <x:row r="60">
      <x:c r="A60" s="25" t="str">
        <x:v>C05-X</x:v>
      </x:c>
      <x:c r="B60" s="25" t="str">
        <x:v>湖之利耶尼亚</x:v>
      </x:c>
      <x:c r="C60" s="25" t="str">
        <x:v>极端压力</x:v>
      </x:c>
      <x:c r="D60" s="25" t="str">
        <x:v>C01</x:v>
      </x:c>
      <x:c r="E60" s="25" t="str">
        <x:v>3组</x:v>
      </x:c>
      <x:c r="F60" s="25" t="n">
        <x:v>38</x:v>
      </x:c>
      <x:c r="G60" s="25" t="n">
        <x:v>38</x:v>
      </x:c>
      <x:c r="H60" s="25" t="str">
        <x:v>3/3组</x:v>
      </x:c>
      <x:c r="I60" s="25" t="str">
        <x:v>失乡者海岸；风暴断崖；沉没王庭</x:v>
      </x:c>
      <x:c r="J60" s="25" t="str"/>
    </x:row>
    <x:row r="61">
      <x:c r="A61" s="25" t="str">
        <x:v>C05-X</x:v>
      </x:c>
      <x:c r="B61" s="25" t="str">
        <x:v>湖之利耶尼亚</x:v>
      </x:c>
      <x:c r="C61" s="25" t="str">
        <x:v>极端压力</x:v>
      </x:c>
      <x:c r="D61" s="25" t="str">
        <x:v>C02</x:v>
      </x:c>
      <x:c r="E61" s="25" t="str">
        <x:v>5组</x:v>
      </x:c>
      <x:c r="F61" s="25" t="n">
        <x:v>61</x:v>
      </x:c>
      <x:c r="G61" s="25" t="n">
        <x:v>61</x:v>
      </x:c>
      <x:c r="H61" s="25" t="str">
        <x:v>5/5组</x:v>
      </x:c>
      <x:c r="I61" s="25" t="str">
        <x:v>漂流墓地；关卡前废墟；迷雾丛林；风暴山谷；史东薇尔王城</x:v>
      </x:c>
      <x:c r="J61" s="25" t="str"/>
    </x:row>
    <x:row r="62">
      <x:c r="A62" s="25" t="str">
        <x:v>C05-X</x:v>
      </x:c>
      <x:c r="B62" s="25" t="str">
        <x:v>湖之利耶尼亚</x:v>
      </x:c>
      <x:c r="C62" s="25" t="str">
        <x:v>极端压力</x:v>
      </x:c>
      <x:c r="D62" s="25" t="str">
        <x:v>C03</x:v>
      </x:c>
      <x:c r="E62" s="25" t="str">
        <x:v>6组</x:v>
      </x:c>
      <x:c r="F62" s="25" t="n">
        <x:v>73</x:v>
      </x:c>
      <x:c r="G62" s="25" t="n">
        <x:v>73</x:v>
      </x:c>
      <x:c r="H62" s="25" t="str">
        <x:v>6/6组</x:v>
      </x:c>
      <x:c r="I62" s="25" t="str">
        <x:v>西境荒原；海风断崖；失落驿道；古战场遗迹；风蚀古垒；黄金树哨垒</x:v>
      </x:c>
      <x:c r="J62" s="25" t="str"/>
    </x:row>
    <x:row r="63">
      <x:c r="A63" s="25" t="str">
        <x:v>C05-X</x:v>
      </x:c>
      <x:c r="B63" s="25" t="str">
        <x:v>湖之利耶尼亚</x:v>
      </x:c>
      <x:c r="C63" s="25" t="str">
        <x:v>极端压力</x:v>
      </x:c>
      <x:c r="D63" s="25" t="str">
        <x:v>C04</x:v>
      </x:c>
      <x:c r="E63" s="25" t="str">
        <x:v>6组</x:v>
      </x:c>
      <x:c r="F63" s="25" t="n">
        <x:v>73</x:v>
      </x:c>
      <x:c r="G63" s="25" t="n">
        <x:v>73</x:v>
      </x:c>
      <x:c r="H63" s="25" t="str">
        <x:v>6/6组</x:v>
      </x:c>
      <x:c r="I63" s="25" t="str">
        <x:v>雾潮湿地；沉湖遗迹；湖心沉船；幽灵船骸；深湖水道；湖底密道</x:v>
      </x:c>
      <x:c r="J63" s="25" t="str"/>
    </x:row>
    <x:row r="64">
      <x:c r="A64" s="25" t="str">
        <x:v>C05-X</x:v>
      </x:c>
      <x:c r="B64" s="25" t="str">
        <x:v>湖之利耶尼亚</x:v>
      </x:c>
      <x:c r="C64" s="25" t="str">
        <x:v>极端压力</x:v>
      </x:c>
      <x:c r="D64" s="25" t="str">
        <x:v>C05</x:v>
      </x:c>
      <x:c r="E64" s="25" t="str">
        <x:v>6组</x:v>
      </x:c>
      <x:c r="F64" s="25" t="n">
        <x:v>73</x:v>
      </x:c>
      <x:c r="G64" s="25" t="n">
        <x:v>73</x:v>
      </x:c>
      <x:c r="H64" s="25" t="str">
        <x:v>6/6组</x:v>
      </x:c>
      <x:c r="I64" s="25" t="str">
        <x:v>雾月水庭；辉石遗迹；学院回廊；满月书库；月影水宫；卡利亚禁域</x:v>
      </x:c>
      <x:c r="J64" s="25" t="str"/>
    </x:row>
    <x:row r="65">
      <x:c r="A65" s="25" t="str">
        <x:v>C06-E</x:v>
      </x:c>
      <x:c r="B65" s="25" t="str">
        <x:v>盖利德</x:v>
      </x:c>
      <x:c r="C65" s="25" t="str">
        <x:v>半急速入场</x:v>
      </x:c>
      <x:c r="D65" s="25" t="str">
        <x:v>C01</x:v>
      </x:c>
      <x:c r="E65" s="25" t="str">
        <x:v>3组</x:v>
      </x:c>
      <x:c r="F65" s="25" t="n">
        <x:v>38</x:v>
      </x:c>
      <x:c r="G65" s="25" t="n">
        <x:v>29</x:v>
      </x:c>
      <x:c r="H65" s="25" t="str">
        <x:v>2/3组</x:v>
      </x:c>
      <x:c r="I65" s="25" t="str">
        <x:v>失乡者海岸；风暴断崖</x:v>
      </x:c>
      <x:c r="J65" s="25" t="str">
        <x:v>沉没王庭</x:v>
      </x:c>
    </x:row>
    <x:row r="66">
      <x:c r="A66" s="25" t="str">
        <x:v>C06-E</x:v>
      </x:c>
      <x:c r="B66" s="25" t="str">
        <x:v>盖利德</x:v>
      </x:c>
      <x:c r="C66" s="25" t="str">
        <x:v>半急速入场</x:v>
      </x:c>
      <x:c r="D66" s="25" t="str">
        <x:v>C02</x:v>
      </x:c>
      <x:c r="E66" s="25" t="str">
        <x:v>5组</x:v>
      </x:c>
      <x:c r="F66" s="25" t="n">
        <x:v>61</x:v>
      </x:c>
      <x:c r="G66" s="25" t="n">
        <x:v>53</x:v>
      </x:c>
      <x:c r="H66" s="25" t="str">
        <x:v>4/5组</x:v>
      </x:c>
      <x:c r="I66" s="25" t="str">
        <x:v>漂流墓地；关卡前废墟；迷雾丛林；风暴山谷</x:v>
      </x:c>
      <x:c r="J66" s="25" t="str">
        <x:v>史东薇尔王城</x:v>
      </x:c>
    </x:row>
    <x:row r="67">
      <x:c r="A67" s="25" t="str">
        <x:v>C06-E</x:v>
      </x:c>
      <x:c r="B67" s="25" t="str">
        <x:v>盖利德</x:v>
      </x:c>
      <x:c r="C67" s="25" t="str">
        <x:v>半急速入场</x:v>
      </x:c>
      <x:c r="D67" s="25" t="str">
        <x:v>C03</x:v>
      </x:c>
      <x:c r="E67" s="25" t="str">
        <x:v>6组</x:v>
      </x:c>
      <x:c r="F67" s="25" t="n">
        <x:v>73</x:v>
      </x:c>
      <x:c r="G67" s="25" t="n">
        <x:v>56</x:v>
      </x:c>
      <x:c r="H67" s="25" t="str">
        <x:v>4/6组</x:v>
      </x:c>
      <x:c r="I67" s="25" t="str">
        <x:v>西境荒原；海风断崖；失落驿道；古战场遗迹</x:v>
      </x:c>
      <x:c r="J67" s="25" t="str">
        <x:v>风蚀古垒；黄金树哨垒</x:v>
      </x:c>
    </x:row>
    <x:row r="68">
      <x:c r="A68" s="25" t="str">
        <x:v>C06-E</x:v>
      </x:c>
      <x:c r="B68" s="25" t="str">
        <x:v>盖利德</x:v>
      </x:c>
      <x:c r="C68" s="25" t="str">
        <x:v>半急速入场</x:v>
      </x:c>
      <x:c r="D68" s="25" t="str">
        <x:v>C04</x:v>
      </x:c>
      <x:c r="E68" s="25" t="str">
        <x:v>6组</x:v>
      </x:c>
      <x:c r="F68" s="25" t="n">
        <x:v>73</x:v>
      </x:c>
      <x:c r="G68" s="25" t="n">
        <x:v>55</x:v>
      </x:c>
      <x:c r="H68" s="25" t="str">
        <x:v>4/6组</x:v>
      </x:c>
      <x:c r="I68" s="25" t="str">
        <x:v>雾潮湿地；沉湖遗迹；湖心沉船；幽灵船骸</x:v>
      </x:c>
      <x:c r="J68" s="25" t="str">
        <x:v>深湖水道；湖底密道</x:v>
      </x:c>
    </x:row>
    <x:row r="69">
      <x:c r="A69" s="25" t="str">
        <x:v>C06-E</x:v>
      </x:c>
      <x:c r="B69" s="25" t="str">
        <x:v>盖利德</x:v>
      </x:c>
      <x:c r="C69" s="25" t="str">
        <x:v>半急速入场</x:v>
      </x:c>
      <x:c r="D69" s="25" t="str">
        <x:v>C05</x:v>
      </x:c>
      <x:c r="E69" s="25" t="str">
        <x:v>6组</x:v>
      </x:c>
      <x:c r="F69" s="25" t="n">
        <x:v>73</x:v>
      </x:c>
      <x:c r="G69" s="25" t="n">
        <x:v>48</x:v>
      </x:c>
      <x:c r="H69" s="25" t="str">
        <x:v>3/6组</x:v>
      </x:c>
      <x:c r="I69" s="25" t="str">
        <x:v>雾月水庭；辉石遗迹；学院回廊</x:v>
      </x:c>
      <x:c r="J69" s="25" t="str">
        <x:v>满月书库；月影水宫；卡利亚禁域</x:v>
      </x:c>
    </x:row>
    <x:row r="70">
      <x:c r="A70" s="25" t="str">
        <x:v>C06-E</x:v>
      </x:c>
      <x:c r="B70" s="25" t="str">
        <x:v>盖利德</x:v>
      </x:c>
      <x:c r="C70" s="25" t="str">
        <x:v>半急速入场</x:v>
      </x:c>
      <x:c r="D70" s="25" t="str">
        <x:v>C06</x:v>
      </x:c>
      <x:c r="E70" s="25" t="str">
        <x:v>3组</x:v>
      </x:c>
      <x:c r="F70" s="25" t="n">
        <x:v>37</x:v>
      </x:c>
      <x:c r="G70" s="25" t="n">
        <x:v>0</x:v>
      </x:c>
      <x:c r="H70" s="25" t="str">
        <x:v>0/3组</x:v>
      </x:c>
      <x:c r="I70" s="25" t="str"/>
      <x:c r="J70" s="25" t="str">
        <x:v>猩红熔原；腐败火狱；红狮龙窟</x:v>
      </x:c>
    </x:row>
    <x:row r="71">
      <x:c r="A71" s="25" t="str">
        <x:v>C06-M</x:v>
      </x:c>
      <x:c r="B71" s="25" t="str">
        <x:v>盖利德</x:v>
      </x:c>
      <x:c r="C71" s="25" t="str">
        <x:v>半急速中期</x:v>
      </x:c>
      <x:c r="D71" s="25" t="str">
        <x:v>C01</x:v>
      </x:c>
      <x:c r="E71" s="25" t="str">
        <x:v>3组</x:v>
      </x:c>
      <x:c r="F71" s="25" t="n">
        <x:v>38</x:v>
      </x:c>
      <x:c r="G71" s="25" t="n">
        <x:v>29</x:v>
      </x:c>
      <x:c r="H71" s="25" t="str">
        <x:v>2/3组</x:v>
      </x:c>
      <x:c r="I71" s="25" t="str">
        <x:v>失乡者海岸；风暴断崖</x:v>
      </x:c>
      <x:c r="J71" s="25" t="str">
        <x:v>沉没王庭</x:v>
      </x:c>
    </x:row>
    <x:row r="72">
      <x:c r="A72" s="25" t="str">
        <x:v>C06-M</x:v>
      </x:c>
      <x:c r="B72" s="25" t="str">
        <x:v>盖利德</x:v>
      </x:c>
      <x:c r="C72" s="25" t="str">
        <x:v>半急速中期</x:v>
      </x:c>
      <x:c r="D72" s="25" t="str">
        <x:v>C02</x:v>
      </x:c>
      <x:c r="E72" s="25" t="str">
        <x:v>5组</x:v>
      </x:c>
      <x:c r="F72" s="25" t="n">
        <x:v>61</x:v>
      </x:c>
      <x:c r="G72" s="25" t="n">
        <x:v>53</x:v>
      </x:c>
      <x:c r="H72" s="25" t="str">
        <x:v>4/5组</x:v>
      </x:c>
      <x:c r="I72" s="25" t="str">
        <x:v>漂流墓地；关卡前废墟；迷雾丛林；风暴山谷</x:v>
      </x:c>
      <x:c r="J72" s="25" t="str">
        <x:v>史东薇尔王城</x:v>
      </x:c>
    </x:row>
    <x:row r="73">
      <x:c r="A73" s="25" t="str">
        <x:v>C06-M</x:v>
      </x:c>
      <x:c r="B73" s="25" t="str">
        <x:v>盖利德</x:v>
      </x:c>
      <x:c r="C73" s="25" t="str">
        <x:v>半急速中期</x:v>
      </x:c>
      <x:c r="D73" s="25" t="str">
        <x:v>C03</x:v>
      </x:c>
      <x:c r="E73" s="25" t="str">
        <x:v>6组</x:v>
      </x:c>
      <x:c r="F73" s="25" t="n">
        <x:v>73</x:v>
      </x:c>
      <x:c r="G73" s="25" t="n">
        <x:v>56</x:v>
      </x:c>
      <x:c r="H73" s="25" t="str">
        <x:v>4/6组</x:v>
      </x:c>
      <x:c r="I73" s="25" t="str">
        <x:v>西境荒原；海风断崖；失落驿道；古战场遗迹</x:v>
      </x:c>
      <x:c r="J73" s="25" t="str">
        <x:v>风蚀古垒；黄金树哨垒</x:v>
      </x:c>
    </x:row>
    <x:row r="74">
      <x:c r="A74" s="25" t="str">
        <x:v>C06-M</x:v>
      </x:c>
      <x:c r="B74" s="25" t="str">
        <x:v>盖利德</x:v>
      </x:c>
      <x:c r="C74" s="25" t="str">
        <x:v>半急速中期</x:v>
      </x:c>
      <x:c r="D74" s="25" t="str">
        <x:v>C04</x:v>
      </x:c>
      <x:c r="E74" s="25" t="str">
        <x:v>6组</x:v>
      </x:c>
      <x:c r="F74" s="25" t="n">
        <x:v>73</x:v>
      </x:c>
      <x:c r="G74" s="25" t="n">
        <x:v>55</x:v>
      </x:c>
      <x:c r="H74" s="25" t="str">
        <x:v>4/6组</x:v>
      </x:c>
      <x:c r="I74" s="25" t="str">
        <x:v>雾潮湿地；沉湖遗迹；湖心沉船；幽灵船骸</x:v>
      </x:c>
      <x:c r="J74" s="25" t="str">
        <x:v>深湖水道；湖底密道</x:v>
      </x:c>
    </x:row>
    <x:row r="75">
      <x:c r="A75" s="25" t="str">
        <x:v>C06-M</x:v>
      </x:c>
      <x:c r="B75" s="25" t="str">
        <x:v>盖利德</x:v>
      </x:c>
      <x:c r="C75" s="25" t="str">
        <x:v>半急速中期</x:v>
      </x:c>
      <x:c r="D75" s="25" t="str">
        <x:v>C05</x:v>
      </x:c>
      <x:c r="E75" s="25" t="str">
        <x:v>6组</x:v>
      </x:c>
      <x:c r="F75" s="25" t="n">
        <x:v>73</x:v>
      </x:c>
      <x:c r="G75" s="25" t="n">
        <x:v>57</x:v>
      </x:c>
      <x:c r="H75" s="25" t="str">
        <x:v>4/6组</x:v>
      </x:c>
      <x:c r="I75" s="25" t="str">
        <x:v>雾月水庭；辉石遗迹；学院回廊；满月书库</x:v>
      </x:c>
      <x:c r="J75" s="25" t="str">
        <x:v>月影水宫；卡利亚禁域</x:v>
      </x:c>
    </x:row>
    <x:row r="76">
      <x:c r="A76" s="25" t="str">
        <x:v>C06-M</x:v>
      </x:c>
      <x:c r="B76" s="25" t="str">
        <x:v>盖利德</x:v>
      </x:c>
      <x:c r="C76" s="25" t="str">
        <x:v>半急速中期</x:v>
      </x:c>
      <x:c r="D76" s="25" t="str">
        <x:v>C06</x:v>
      </x:c>
      <x:c r="E76" s="25" t="str">
        <x:v>3组</x:v>
      </x:c>
      <x:c r="F76" s="25" t="n">
        <x:v>37</x:v>
      </x:c>
      <x:c r="G76" s="25" t="n">
        <x:v>9</x:v>
      </x:c>
      <x:c r="H76" s="25" t="str">
        <x:v>0/3组</x:v>
      </x:c>
      <x:c r="I76" s="25" t="str"/>
      <x:c r="J76" s="25" t="str">
        <x:v>猩红熔原；腐败火狱；红狮龙窟</x:v>
      </x:c>
    </x:row>
    <x:row r="77">
      <x:c r="A77" s="25" t="str">
        <x:v>C06-G</x:v>
      </x:c>
      <x:c r="B77" s="25" t="str">
        <x:v>盖利德</x:v>
      </x:c>
      <x:c r="C77" s="25" t="str">
        <x:v>半急速毕业</x:v>
      </x:c>
      <x:c r="D77" s="25" t="str">
        <x:v>C01</x:v>
      </x:c>
      <x:c r="E77" s="25" t="str">
        <x:v>3组</x:v>
      </x:c>
      <x:c r="F77" s="25" t="n">
        <x:v>38</x:v>
      </x:c>
      <x:c r="G77" s="25" t="n">
        <x:v>29</x:v>
      </x:c>
      <x:c r="H77" s="25" t="str">
        <x:v>2/3组</x:v>
      </x:c>
      <x:c r="I77" s="25" t="str">
        <x:v>失乡者海岸；风暴断崖</x:v>
      </x:c>
      <x:c r="J77" s="25" t="str">
        <x:v>沉没王庭</x:v>
      </x:c>
    </x:row>
    <x:row r="78">
      <x:c r="A78" s="25" t="str">
        <x:v>C06-G</x:v>
      </x:c>
      <x:c r="B78" s="25" t="str">
        <x:v>盖利德</x:v>
      </x:c>
      <x:c r="C78" s="25" t="str">
        <x:v>半急速毕业</x:v>
      </x:c>
      <x:c r="D78" s="25" t="str">
        <x:v>C02</x:v>
      </x:c>
      <x:c r="E78" s="25" t="str">
        <x:v>5组</x:v>
      </x:c>
      <x:c r="F78" s="25" t="n">
        <x:v>61</x:v>
      </x:c>
      <x:c r="G78" s="25" t="n">
        <x:v>53</x:v>
      </x:c>
      <x:c r="H78" s="25" t="str">
        <x:v>4/5组</x:v>
      </x:c>
      <x:c r="I78" s="25" t="str">
        <x:v>漂流墓地；关卡前废墟；迷雾丛林；风暴山谷</x:v>
      </x:c>
      <x:c r="J78" s="25" t="str">
        <x:v>史东薇尔王城</x:v>
      </x:c>
    </x:row>
    <x:row r="79">
      <x:c r="A79" s="25" t="str">
        <x:v>C06-G</x:v>
      </x:c>
      <x:c r="B79" s="25" t="str">
        <x:v>盖利德</x:v>
      </x:c>
      <x:c r="C79" s="25" t="str">
        <x:v>半急速毕业</x:v>
      </x:c>
      <x:c r="D79" s="25" t="str">
        <x:v>C03</x:v>
      </x:c>
      <x:c r="E79" s="25" t="str">
        <x:v>6组</x:v>
      </x:c>
      <x:c r="F79" s="25" t="n">
        <x:v>73</x:v>
      </x:c>
      <x:c r="G79" s="25" t="n">
        <x:v>56</x:v>
      </x:c>
      <x:c r="H79" s="25" t="str">
        <x:v>4/6组</x:v>
      </x:c>
      <x:c r="I79" s="25" t="str">
        <x:v>西境荒原；海风断崖；失落驿道；古战场遗迹</x:v>
      </x:c>
      <x:c r="J79" s="25" t="str">
        <x:v>风蚀古垒；黄金树哨垒</x:v>
      </x:c>
    </x:row>
    <x:row r="80">
      <x:c r="A80" s="25" t="str">
        <x:v>C06-G</x:v>
      </x:c>
      <x:c r="B80" s="25" t="str">
        <x:v>盖利德</x:v>
      </x:c>
      <x:c r="C80" s="25" t="str">
        <x:v>半急速毕业</x:v>
      </x:c>
      <x:c r="D80" s="25" t="str">
        <x:v>C04</x:v>
      </x:c>
      <x:c r="E80" s="25" t="str">
        <x:v>6组</x:v>
      </x:c>
      <x:c r="F80" s="25" t="n">
        <x:v>73</x:v>
      </x:c>
      <x:c r="G80" s="25" t="n">
        <x:v>55</x:v>
      </x:c>
      <x:c r="H80" s="25" t="str">
        <x:v>4/6组</x:v>
      </x:c>
      <x:c r="I80" s="25" t="str">
        <x:v>雾潮湿地；沉湖遗迹；湖心沉船；幽灵船骸</x:v>
      </x:c>
      <x:c r="J80" s="25" t="str">
        <x:v>深湖水道；湖底密道</x:v>
      </x:c>
    </x:row>
    <x:row r="81">
      <x:c r="A81" s="25" t="str">
        <x:v>C06-G</x:v>
      </x:c>
      <x:c r="B81" s="25" t="str">
        <x:v>盖利德</x:v>
      </x:c>
      <x:c r="C81" s="25" t="str">
        <x:v>半急速毕业</x:v>
      </x:c>
      <x:c r="D81" s="25" t="str">
        <x:v>C05</x:v>
      </x:c>
      <x:c r="E81" s="25" t="str">
        <x:v>6组</x:v>
      </x:c>
      <x:c r="F81" s="25" t="n">
        <x:v>73</x:v>
      </x:c>
      <x:c r="G81" s="25" t="n">
        <x:v>57</x:v>
      </x:c>
      <x:c r="H81" s="25" t="str">
        <x:v>4/6组</x:v>
      </x:c>
      <x:c r="I81" s="25" t="str">
        <x:v>雾月水庭；辉石遗迹；学院回廊；满月书库</x:v>
      </x:c>
      <x:c r="J81" s="25" t="str">
        <x:v>月影水宫；卡利亚禁域</x:v>
      </x:c>
    </x:row>
    <x:row r="82">
      <x:c r="A82" s="25" t="str">
        <x:v>C06-G</x:v>
      </x:c>
      <x:c r="B82" s="25" t="str">
        <x:v>盖利德</x:v>
      </x:c>
      <x:c r="C82" s="25" t="str">
        <x:v>半急速毕业</x:v>
      </x:c>
      <x:c r="D82" s="25" t="str">
        <x:v>C06</x:v>
      </x:c>
      <x:c r="E82" s="25" t="str">
        <x:v>3组</x:v>
      </x:c>
      <x:c r="F82" s="25" t="n">
        <x:v>37</x:v>
      </x:c>
      <x:c r="G82" s="25" t="n">
        <x:v>22</x:v>
      </x:c>
      <x:c r="H82" s="25" t="str">
        <x:v>1/3组</x:v>
      </x:c>
      <x:c r="I82" s="25" t="str">
        <x:v>猩红熔原</x:v>
      </x:c>
      <x:c r="J82" s="25" t="str">
        <x:v>腐败火狱；红狮龙窟</x:v>
      </x:c>
    </x:row>
    <x:row r="83">
      <x:c r="A83" s="25" t="str">
        <x:v>C06-X</x:v>
      </x:c>
      <x:c r="B83" s="25" t="str">
        <x:v>盖利德</x:v>
      </x:c>
      <x:c r="C83" s="25" t="str">
        <x:v>极端压力</x:v>
      </x:c>
      <x:c r="D83" s="25" t="str">
        <x:v>C01</x:v>
      </x:c>
      <x:c r="E83" s="25" t="str">
        <x:v>3组</x:v>
      </x:c>
      <x:c r="F83" s="25" t="n">
        <x:v>38</x:v>
      </x:c>
      <x:c r="G83" s="25" t="n">
        <x:v>38</x:v>
      </x:c>
      <x:c r="H83" s="25" t="str">
        <x:v>3/3组</x:v>
      </x:c>
      <x:c r="I83" s="25" t="str">
        <x:v>失乡者海岸；风暴断崖；沉没王庭</x:v>
      </x:c>
      <x:c r="J83" s="25" t="str"/>
    </x:row>
    <x:row r="84">
      <x:c r="A84" s="25" t="str">
        <x:v>C06-X</x:v>
      </x:c>
      <x:c r="B84" s="25" t="str">
        <x:v>盖利德</x:v>
      </x:c>
      <x:c r="C84" s="25" t="str">
        <x:v>极端压力</x:v>
      </x:c>
      <x:c r="D84" s="25" t="str">
        <x:v>C02</x:v>
      </x:c>
      <x:c r="E84" s="25" t="str">
        <x:v>5组</x:v>
      </x:c>
      <x:c r="F84" s="25" t="n">
        <x:v>61</x:v>
      </x:c>
      <x:c r="G84" s="25" t="n">
        <x:v>61</x:v>
      </x:c>
      <x:c r="H84" s="25" t="str">
        <x:v>5/5组</x:v>
      </x:c>
      <x:c r="I84" s="25" t="str">
        <x:v>漂流墓地；关卡前废墟；迷雾丛林；风暴山谷；史东薇尔王城</x:v>
      </x:c>
      <x:c r="J84" s="25" t="str"/>
    </x:row>
    <x:row r="85">
      <x:c r="A85" s="25" t="str">
        <x:v>C06-X</x:v>
      </x:c>
      <x:c r="B85" s="25" t="str">
        <x:v>盖利德</x:v>
      </x:c>
      <x:c r="C85" s="25" t="str">
        <x:v>极端压力</x:v>
      </x:c>
      <x:c r="D85" s="25" t="str">
        <x:v>C03</x:v>
      </x:c>
      <x:c r="E85" s="25" t="str">
        <x:v>6组</x:v>
      </x:c>
      <x:c r="F85" s="25" t="n">
        <x:v>73</x:v>
      </x:c>
      <x:c r="G85" s="25" t="n">
        <x:v>73</x:v>
      </x:c>
      <x:c r="H85" s="25" t="str">
        <x:v>6/6组</x:v>
      </x:c>
      <x:c r="I85" s="25" t="str">
        <x:v>西境荒原；海风断崖；失落驿道；古战场遗迹；风蚀古垒；黄金树哨垒</x:v>
      </x:c>
      <x:c r="J85" s="25" t="str"/>
    </x:row>
    <x:row r="86">
      <x:c r="A86" s="25" t="str">
        <x:v>C06-X</x:v>
      </x:c>
      <x:c r="B86" s="25" t="str">
        <x:v>盖利德</x:v>
      </x:c>
      <x:c r="C86" s="25" t="str">
        <x:v>极端压力</x:v>
      </x:c>
      <x:c r="D86" s="25" t="str">
        <x:v>C04</x:v>
      </x:c>
      <x:c r="E86" s="25" t="str">
        <x:v>6组</x:v>
      </x:c>
      <x:c r="F86" s="25" t="n">
        <x:v>73</x:v>
      </x:c>
      <x:c r="G86" s="25" t="n">
        <x:v>73</x:v>
      </x:c>
      <x:c r="H86" s="25" t="str">
        <x:v>6/6组</x:v>
      </x:c>
      <x:c r="I86" s="25" t="str">
        <x:v>雾潮湿地；沉湖遗迹；湖心沉船；幽灵船骸；深湖水道；湖底密道</x:v>
      </x:c>
      <x:c r="J86" s="25" t="str"/>
    </x:row>
    <x:row r="87">
      <x:c r="A87" s="25" t="str">
        <x:v>C06-X</x:v>
      </x:c>
      <x:c r="B87" s="25" t="str">
        <x:v>盖利德</x:v>
      </x:c>
      <x:c r="C87" s="25" t="str">
        <x:v>极端压力</x:v>
      </x:c>
      <x:c r="D87" s="25" t="str">
        <x:v>C05</x:v>
      </x:c>
      <x:c r="E87" s="25" t="str">
        <x:v>6组</x:v>
      </x:c>
      <x:c r="F87" s="25" t="n">
        <x:v>73</x:v>
      </x:c>
      <x:c r="G87" s="25" t="n">
        <x:v>73</x:v>
      </x:c>
      <x:c r="H87" s="25" t="str">
        <x:v>6/6组</x:v>
      </x:c>
      <x:c r="I87" s="25" t="str">
        <x:v>雾月水庭；辉石遗迹；学院回廊；满月书库；月影水宫；卡利亚禁域</x:v>
      </x:c>
      <x:c r="J87" s="25" t="str"/>
    </x:row>
    <x:row r="88">
      <x:c r="A88" s="25" t="str">
        <x:v>C06-X</x:v>
      </x:c>
      <x:c r="B88" s="25" t="str">
        <x:v>盖利德</x:v>
      </x:c>
      <x:c r="C88" s="25" t="str">
        <x:v>极端压力</x:v>
      </x:c>
      <x:c r="D88" s="25" t="str">
        <x:v>C06</x:v>
      </x:c>
      <x:c r="E88" s="25" t="str">
        <x:v>3组</x:v>
      </x:c>
      <x:c r="F88" s="25" t="n">
        <x:v>37</x:v>
      </x:c>
      <x:c r="G88" s="25" t="n">
        <x:v>37</x:v>
      </x:c>
      <x:c r="H88" s="25" t="str">
        <x:v>3/3组</x:v>
      </x:c>
      <x:c r="I88" s="25" t="str">
        <x:v>猩红熔原；腐败火狱；红狮龙窟</x:v>
      </x:c>
      <x:c r="J88" s="25" t="str"/>
    </x:row>
    <x:row r="89">
      <x:c r="A89" s="25" t="str">
        <x:v>C07-E</x:v>
      </x:c>
      <x:c r="B89" s="25" t="str">
        <x:v>化圣雪原</x:v>
      </x:c>
      <x:c r="C89" s="25" t="str">
        <x:v>半急速入场</x:v>
      </x:c>
      <x:c r="D89" s="25" t="str">
        <x:v>C01</x:v>
      </x:c>
      <x:c r="E89" s="25" t="str">
        <x:v>3组</x:v>
      </x:c>
      <x:c r="F89" s="25" t="n">
        <x:v>38</x:v>
      </x:c>
      <x:c r="G89" s="25" t="n">
        <x:v>29</x:v>
      </x:c>
      <x:c r="H89" s="25" t="str">
        <x:v>2/3组</x:v>
      </x:c>
      <x:c r="I89" s="25" t="str">
        <x:v>失乡者海岸；风暴断崖</x:v>
      </x:c>
      <x:c r="J89" s="25" t="str">
        <x:v>沉没王庭</x:v>
      </x:c>
    </x:row>
    <x:row r="90">
      <x:c r="A90" s="25" t="str">
        <x:v>C07-E</x:v>
      </x:c>
      <x:c r="B90" s="25" t="str">
        <x:v>化圣雪原</x:v>
      </x:c>
      <x:c r="C90" s="25" t="str">
        <x:v>半急速入场</x:v>
      </x:c>
      <x:c r="D90" s="25" t="str">
        <x:v>C02</x:v>
      </x:c>
      <x:c r="E90" s="25" t="str">
        <x:v>5组</x:v>
      </x:c>
      <x:c r="F90" s="25" t="n">
        <x:v>61</x:v>
      </x:c>
      <x:c r="G90" s="25" t="n">
        <x:v>53</x:v>
      </x:c>
      <x:c r="H90" s="25" t="str">
        <x:v>4/5组</x:v>
      </x:c>
      <x:c r="I90" s="25" t="str">
        <x:v>漂流墓地；关卡前废墟；迷雾丛林；风暴山谷</x:v>
      </x:c>
      <x:c r="J90" s="25" t="str">
        <x:v>史东薇尔王城</x:v>
      </x:c>
    </x:row>
    <x:row r="91">
      <x:c r="A91" s="25" t="str">
        <x:v>C07-E</x:v>
      </x:c>
      <x:c r="B91" s="25" t="str">
        <x:v>化圣雪原</x:v>
      </x:c>
      <x:c r="C91" s="25" t="str">
        <x:v>半急速入场</x:v>
      </x:c>
      <x:c r="D91" s="25" t="str">
        <x:v>C03</x:v>
      </x:c>
      <x:c r="E91" s="25" t="str">
        <x:v>6组</x:v>
      </x:c>
      <x:c r="F91" s="25" t="n">
        <x:v>73</x:v>
      </x:c>
      <x:c r="G91" s="25" t="n">
        <x:v>56</x:v>
      </x:c>
      <x:c r="H91" s="25" t="str">
        <x:v>4/6组</x:v>
      </x:c>
      <x:c r="I91" s="25" t="str">
        <x:v>西境荒原；海风断崖；失落驿道；古战场遗迹</x:v>
      </x:c>
      <x:c r="J91" s="25" t="str">
        <x:v>风蚀古垒；黄金树哨垒</x:v>
      </x:c>
    </x:row>
    <x:row r="92">
      <x:c r="A92" s="25" t="str">
        <x:v>C07-E</x:v>
      </x:c>
      <x:c r="B92" s="25" t="str">
        <x:v>化圣雪原</x:v>
      </x:c>
      <x:c r="C92" s="25" t="str">
        <x:v>半急速入场</x:v>
      </x:c>
      <x:c r="D92" s="25" t="str">
        <x:v>C04</x:v>
      </x:c>
      <x:c r="E92" s="25" t="str">
        <x:v>6组</x:v>
      </x:c>
      <x:c r="F92" s="25" t="n">
        <x:v>73</x:v>
      </x:c>
      <x:c r="G92" s="25" t="n">
        <x:v>55</x:v>
      </x:c>
      <x:c r="H92" s="25" t="str">
        <x:v>4/6组</x:v>
      </x:c>
      <x:c r="I92" s="25" t="str">
        <x:v>雾潮湿地；沉湖遗迹；湖心沉船；幽灵船骸</x:v>
      </x:c>
      <x:c r="J92" s="25" t="str">
        <x:v>深湖水道；湖底密道</x:v>
      </x:c>
    </x:row>
    <x:row r="93">
      <x:c r="A93" s="25" t="str">
        <x:v>C07-E</x:v>
      </x:c>
      <x:c r="B93" s="25" t="str">
        <x:v>化圣雪原</x:v>
      </x:c>
      <x:c r="C93" s="25" t="str">
        <x:v>半急速入场</x:v>
      </x:c>
      <x:c r="D93" s="25" t="str">
        <x:v>C05</x:v>
      </x:c>
      <x:c r="E93" s="25" t="str">
        <x:v>6组</x:v>
      </x:c>
      <x:c r="F93" s="25" t="n">
        <x:v>73</x:v>
      </x:c>
      <x:c r="G93" s="25" t="n">
        <x:v>57</x:v>
      </x:c>
      <x:c r="H93" s="25" t="str">
        <x:v>4/6组</x:v>
      </x:c>
      <x:c r="I93" s="25" t="str">
        <x:v>雾月水庭；辉石遗迹；学院回廊；满月书库</x:v>
      </x:c>
      <x:c r="J93" s="25" t="str">
        <x:v>月影水宫；卡利亚禁域</x:v>
      </x:c>
    </x:row>
    <x:row r="94">
      <x:c r="A94" s="25" t="str">
        <x:v>C07-E</x:v>
      </x:c>
      <x:c r="B94" s="25" t="str">
        <x:v>化圣雪原</x:v>
      </x:c>
      <x:c r="C94" s="25" t="str">
        <x:v>半急速入场</x:v>
      </x:c>
      <x:c r="D94" s="25" t="str">
        <x:v>C06</x:v>
      </x:c>
      <x:c r="E94" s="25" t="str">
        <x:v>3组</x:v>
      </x:c>
      <x:c r="F94" s="25" t="n">
        <x:v>37</x:v>
      </x:c>
      <x:c r="G94" s="25" t="n">
        <x:v>22</x:v>
      </x:c>
      <x:c r="H94" s="25" t="str">
        <x:v>1/3组</x:v>
      </x:c>
      <x:c r="I94" s="25" t="str">
        <x:v>猩红熔原</x:v>
      </x:c>
      <x:c r="J94" s="25" t="str">
        <x:v>腐败火狱；红狮龙窟</x:v>
      </x:c>
    </x:row>
    <x:row r="95">
      <x:c r="A95" s="25" t="str">
        <x:v>C07-E</x:v>
      </x:c>
      <x:c r="B95" s="25" t="str">
        <x:v>化圣雪原</x:v>
      </x:c>
      <x:c r="C95" s="25" t="str">
        <x:v>半急速入场</x:v>
      </x:c>
      <x:c r="D95" s="25" t="str">
        <x:v>C07</x:v>
      </x:c>
      <x:c r="E95" s="25" t="str">
        <x:v>3组</x:v>
      </x:c>
      <x:c r="F95" s="25" t="n">
        <x:v>37</x:v>
      </x:c>
      <x:c r="G95" s="25" t="n">
        <x:v>0</x:v>
      </x:c>
      <x:c r="H95" s="25" t="str">
        <x:v>0/3组</x:v>
      </x:c>
      <x:c r="I95" s="25" t="str"/>
      <x:c r="J95" s="25" t="str">
        <x:v>苍白雪原；永冻荒境；极寒禁域</x:v>
      </x:c>
    </x:row>
    <x:row r="96">
      <x:c r="A96" s="25" t="str">
        <x:v>C07-M</x:v>
      </x:c>
      <x:c r="B96" s="25" t="str">
        <x:v>化圣雪原</x:v>
      </x:c>
      <x:c r="C96" s="25" t="str">
        <x:v>半急速中期</x:v>
      </x:c>
      <x:c r="D96" s="25" t="str">
        <x:v>C01</x:v>
      </x:c>
      <x:c r="E96" s="25" t="str">
        <x:v>3组</x:v>
      </x:c>
      <x:c r="F96" s="25" t="n">
        <x:v>38</x:v>
      </x:c>
      <x:c r="G96" s="25" t="n">
        <x:v>29</x:v>
      </x:c>
      <x:c r="H96" s="25" t="str">
        <x:v>2/3组</x:v>
      </x:c>
      <x:c r="I96" s="25" t="str">
        <x:v>失乡者海岸；风暴断崖</x:v>
      </x:c>
      <x:c r="J96" s="25" t="str">
        <x:v>沉没王庭</x:v>
      </x:c>
    </x:row>
    <x:row r="97">
      <x:c r="A97" s="25" t="str">
        <x:v>C07-M</x:v>
      </x:c>
      <x:c r="B97" s="25" t="str">
        <x:v>化圣雪原</x:v>
      </x:c>
      <x:c r="C97" s="25" t="str">
        <x:v>半急速中期</x:v>
      </x:c>
      <x:c r="D97" s="25" t="str">
        <x:v>C02</x:v>
      </x:c>
      <x:c r="E97" s="25" t="str">
        <x:v>5组</x:v>
      </x:c>
      <x:c r="F97" s="25" t="n">
        <x:v>61</x:v>
      </x:c>
      <x:c r="G97" s="25" t="n">
        <x:v>53</x:v>
      </x:c>
      <x:c r="H97" s="25" t="str">
        <x:v>4/5组</x:v>
      </x:c>
      <x:c r="I97" s="25" t="str">
        <x:v>漂流墓地；关卡前废墟；迷雾丛林；风暴山谷</x:v>
      </x:c>
      <x:c r="J97" s="25" t="str">
        <x:v>史东薇尔王城</x:v>
      </x:c>
    </x:row>
    <x:row r="98">
      <x:c r="A98" s="25" t="str">
        <x:v>C07-M</x:v>
      </x:c>
      <x:c r="B98" s="25" t="str">
        <x:v>化圣雪原</x:v>
      </x:c>
      <x:c r="C98" s="25" t="str">
        <x:v>半急速中期</x:v>
      </x:c>
      <x:c r="D98" s="25" t="str">
        <x:v>C03</x:v>
      </x:c>
      <x:c r="E98" s="25" t="str">
        <x:v>6组</x:v>
      </x:c>
      <x:c r="F98" s="25" t="n">
        <x:v>73</x:v>
      </x:c>
      <x:c r="G98" s="25" t="n">
        <x:v>56</x:v>
      </x:c>
      <x:c r="H98" s="25" t="str">
        <x:v>4/6组</x:v>
      </x:c>
      <x:c r="I98" s="25" t="str">
        <x:v>西境荒原；海风断崖；失落驿道；古战场遗迹</x:v>
      </x:c>
      <x:c r="J98" s="25" t="str">
        <x:v>风蚀古垒；黄金树哨垒</x:v>
      </x:c>
    </x:row>
    <x:row r="99">
      <x:c r="A99" s="25" t="str">
        <x:v>C07-M</x:v>
      </x:c>
      <x:c r="B99" s="25" t="str">
        <x:v>化圣雪原</x:v>
      </x:c>
      <x:c r="C99" s="25" t="str">
        <x:v>半急速中期</x:v>
      </x:c>
      <x:c r="D99" s="25" t="str">
        <x:v>C04</x:v>
      </x:c>
      <x:c r="E99" s="25" t="str">
        <x:v>6组</x:v>
      </x:c>
      <x:c r="F99" s="25" t="n">
        <x:v>73</x:v>
      </x:c>
      <x:c r="G99" s="25" t="n">
        <x:v>55</x:v>
      </x:c>
      <x:c r="H99" s="25" t="str">
        <x:v>4/6组</x:v>
      </x:c>
      <x:c r="I99" s="25" t="str">
        <x:v>雾潮湿地；沉湖遗迹；湖心沉船；幽灵船骸</x:v>
      </x:c>
      <x:c r="J99" s="25" t="str">
        <x:v>深湖水道；湖底密道</x:v>
      </x:c>
    </x:row>
    <x:row r="100">
      <x:c r="A100" s="25" t="str">
        <x:v>C07-M</x:v>
      </x:c>
      <x:c r="B100" s="25" t="str">
        <x:v>化圣雪原</x:v>
      </x:c>
      <x:c r="C100" s="25" t="str">
        <x:v>半急速中期</x:v>
      </x:c>
      <x:c r="D100" s="25" t="str">
        <x:v>C05</x:v>
      </x:c>
      <x:c r="E100" s="25" t="str">
        <x:v>6组</x:v>
      </x:c>
      <x:c r="F100" s="25" t="n">
        <x:v>73</x:v>
      </x:c>
      <x:c r="G100" s="25" t="n">
        <x:v>57</x:v>
      </x:c>
      <x:c r="H100" s="25" t="str">
        <x:v>4/6组</x:v>
      </x:c>
      <x:c r="I100" s="25" t="str">
        <x:v>雾月水庭；辉石遗迹；学院回廊；满月书库</x:v>
      </x:c>
      <x:c r="J100" s="25" t="str">
        <x:v>月影水宫；卡利亚禁域</x:v>
      </x:c>
    </x:row>
    <x:row r="101">
      <x:c r="A101" s="25" t="str">
        <x:v>C07-M</x:v>
      </x:c>
      <x:c r="B101" s="25" t="str">
        <x:v>化圣雪原</x:v>
      </x:c>
      <x:c r="C101" s="25" t="str">
        <x:v>半急速中期</x:v>
      </x:c>
      <x:c r="D101" s="25" t="str">
        <x:v>C06</x:v>
      </x:c>
      <x:c r="E101" s="25" t="str">
        <x:v>3组</x:v>
      </x:c>
      <x:c r="F101" s="25" t="n">
        <x:v>37</x:v>
      </x:c>
      <x:c r="G101" s="25" t="n">
        <x:v>29</x:v>
      </x:c>
      <x:c r="H101" s="25" t="str">
        <x:v>2/3组</x:v>
      </x:c>
      <x:c r="I101" s="25" t="str">
        <x:v>猩红熔原；腐败火狱</x:v>
      </x:c>
      <x:c r="J101" s="25" t="str">
        <x:v>红狮龙窟</x:v>
      </x:c>
    </x:row>
    <x:row r="102">
      <x:c r="A102" s="25" t="str">
        <x:v>C07-M</x:v>
      </x:c>
      <x:c r="B102" s="25" t="str">
        <x:v>化圣雪原</x:v>
      </x:c>
      <x:c r="C102" s="25" t="str">
        <x:v>半急速中期</x:v>
      </x:c>
      <x:c r="D102" s="25" t="str">
        <x:v>C07</x:v>
      </x:c>
      <x:c r="E102" s="25" t="str">
        <x:v>3组</x:v>
      </x:c>
      <x:c r="F102" s="25" t="n">
        <x:v>37</x:v>
      </x:c>
      <x:c r="G102" s="25" t="n">
        <x:v>11</x:v>
      </x:c>
      <x:c r="H102" s="25" t="str">
        <x:v>0/3组</x:v>
      </x:c>
      <x:c r="I102" s="25" t="str"/>
      <x:c r="J102" s="25" t="str">
        <x:v>苍白雪原；永冻荒境；极寒禁域</x:v>
      </x:c>
    </x:row>
    <x:row r="103">
      <x:c r="A103" s="25" t="str">
        <x:v>C07-G</x:v>
      </x:c>
      <x:c r="B103" s="25" t="str">
        <x:v>化圣雪原</x:v>
      </x:c>
      <x:c r="C103" s="25" t="str">
        <x:v>半急速毕业</x:v>
      </x:c>
      <x:c r="D103" s="25" t="str">
        <x:v>C01</x:v>
      </x:c>
      <x:c r="E103" s="25" t="str">
        <x:v>3组</x:v>
      </x:c>
      <x:c r="F103" s="25" t="n">
        <x:v>38</x:v>
      </x:c>
      <x:c r="G103" s="25" t="n">
        <x:v>29</x:v>
      </x:c>
      <x:c r="H103" s="25" t="str">
        <x:v>2/3组</x:v>
      </x:c>
      <x:c r="I103" s="25" t="str">
        <x:v>失乡者海岸；风暴断崖</x:v>
      </x:c>
      <x:c r="J103" s="25" t="str">
        <x:v>沉没王庭</x:v>
      </x:c>
    </x:row>
    <x:row r="104">
      <x:c r="A104" s="25" t="str">
        <x:v>C07-G</x:v>
      </x:c>
      <x:c r="B104" s="25" t="str">
        <x:v>化圣雪原</x:v>
      </x:c>
      <x:c r="C104" s="25" t="str">
        <x:v>半急速毕业</x:v>
      </x:c>
      <x:c r="D104" s="25" t="str">
        <x:v>C02</x:v>
      </x:c>
      <x:c r="E104" s="25" t="str">
        <x:v>5组</x:v>
      </x:c>
      <x:c r="F104" s="25" t="n">
        <x:v>61</x:v>
      </x:c>
      <x:c r="G104" s="25" t="n">
        <x:v>53</x:v>
      </x:c>
      <x:c r="H104" s="25" t="str">
        <x:v>4/5组</x:v>
      </x:c>
      <x:c r="I104" s="25" t="str">
        <x:v>漂流墓地；关卡前废墟；迷雾丛林；风暴山谷</x:v>
      </x:c>
      <x:c r="J104" s="25" t="str">
        <x:v>史东薇尔王城</x:v>
      </x:c>
    </x:row>
    <x:row r="105">
      <x:c r="A105" s="25" t="str">
        <x:v>C07-G</x:v>
      </x:c>
      <x:c r="B105" s="25" t="str">
        <x:v>化圣雪原</x:v>
      </x:c>
      <x:c r="C105" s="25" t="str">
        <x:v>半急速毕业</x:v>
      </x:c>
      <x:c r="D105" s="25" t="str">
        <x:v>C03</x:v>
      </x:c>
      <x:c r="E105" s="25" t="str">
        <x:v>6组</x:v>
      </x:c>
      <x:c r="F105" s="25" t="n">
        <x:v>73</x:v>
      </x:c>
      <x:c r="G105" s="25" t="n">
        <x:v>56</x:v>
      </x:c>
      <x:c r="H105" s="25" t="str">
        <x:v>4/6组</x:v>
      </x:c>
      <x:c r="I105" s="25" t="str">
        <x:v>西境荒原；海风断崖；失落驿道；古战场遗迹</x:v>
      </x:c>
      <x:c r="J105" s="25" t="str">
        <x:v>风蚀古垒；黄金树哨垒</x:v>
      </x:c>
    </x:row>
    <x:row r="106">
      <x:c r="A106" s="25" t="str">
        <x:v>C07-G</x:v>
      </x:c>
      <x:c r="B106" s="25" t="str">
        <x:v>化圣雪原</x:v>
      </x:c>
      <x:c r="C106" s="25" t="str">
        <x:v>半急速毕业</x:v>
      </x:c>
      <x:c r="D106" s="25" t="str">
        <x:v>C04</x:v>
      </x:c>
      <x:c r="E106" s="25" t="str">
        <x:v>6组</x:v>
      </x:c>
      <x:c r="F106" s="25" t="n">
        <x:v>73</x:v>
      </x:c>
      <x:c r="G106" s="25" t="n">
        <x:v>55</x:v>
      </x:c>
      <x:c r="H106" s="25" t="str">
        <x:v>4/6组</x:v>
      </x:c>
      <x:c r="I106" s="25" t="str">
        <x:v>雾潮湿地；沉湖遗迹；湖心沉船；幽灵船骸</x:v>
      </x:c>
      <x:c r="J106" s="25" t="str">
        <x:v>深湖水道；湖底密道</x:v>
      </x:c>
    </x:row>
    <x:row r="107">
      <x:c r="A107" s="25" t="str">
        <x:v>C07-G</x:v>
      </x:c>
      <x:c r="B107" s="25" t="str">
        <x:v>化圣雪原</x:v>
      </x:c>
      <x:c r="C107" s="25" t="str">
        <x:v>半急速毕业</x:v>
      </x:c>
      <x:c r="D107" s="25" t="str">
        <x:v>C05</x:v>
      </x:c>
      <x:c r="E107" s="25" t="str">
        <x:v>6组</x:v>
      </x:c>
      <x:c r="F107" s="25" t="n">
        <x:v>73</x:v>
      </x:c>
      <x:c r="G107" s="25" t="n">
        <x:v>57</x:v>
      </x:c>
      <x:c r="H107" s="25" t="str">
        <x:v>4/6组</x:v>
      </x:c>
      <x:c r="I107" s="25" t="str">
        <x:v>雾月水庭；辉石遗迹；学院回廊；满月书库</x:v>
      </x:c>
      <x:c r="J107" s="25" t="str">
        <x:v>月影水宫；卡利亚禁域</x:v>
      </x:c>
    </x:row>
    <x:row r="108">
      <x:c r="A108" s="25" t="str">
        <x:v>C07-G</x:v>
      </x:c>
      <x:c r="B108" s="25" t="str">
        <x:v>化圣雪原</x:v>
      </x:c>
      <x:c r="C108" s="25" t="str">
        <x:v>半急速毕业</x:v>
      </x:c>
      <x:c r="D108" s="25" t="str">
        <x:v>C06</x:v>
      </x:c>
      <x:c r="E108" s="25" t="str">
        <x:v>3组</x:v>
      </x:c>
      <x:c r="F108" s="25" t="n">
        <x:v>37</x:v>
      </x:c>
      <x:c r="G108" s="25" t="n">
        <x:v>29</x:v>
      </x:c>
      <x:c r="H108" s="25" t="str">
        <x:v>2/3组</x:v>
      </x:c>
      <x:c r="I108" s="25" t="str">
        <x:v>猩红熔原；腐败火狱</x:v>
      </x:c>
      <x:c r="J108" s="25" t="str">
        <x:v>红狮龙窟</x:v>
      </x:c>
    </x:row>
    <x:row r="109">
      <x:c r="A109" s="25" t="str">
        <x:v>C07-G</x:v>
      </x:c>
      <x:c r="B109" s="25" t="str">
        <x:v>化圣雪原</x:v>
      </x:c>
      <x:c r="C109" s="25" t="str">
        <x:v>半急速毕业</x:v>
      </x:c>
      <x:c r="D109" s="25" t="str">
        <x:v>C07</x:v>
      </x:c>
      <x:c r="E109" s="25" t="str">
        <x:v>3组</x:v>
      </x:c>
      <x:c r="F109" s="25" t="n">
        <x:v>37</x:v>
      </x:c>
      <x:c r="G109" s="25" t="n">
        <x:v>24</x:v>
      </x:c>
      <x:c r="H109" s="25" t="str">
        <x:v>1/3组</x:v>
      </x:c>
      <x:c r="I109" s="25" t="str">
        <x:v>苍白雪原</x:v>
      </x:c>
      <x:c r="J109" s="25" t="str">
        <x:v>永冻荒境；极寒禁域</x:v>
      </x:c>
    </x:row>
    <x:row r="110">
      <x:c r="A110" s="25" t="str">
        <x:v>C07-X</x:v>
      </x:c>
      <x:c r="B110" s="25" t="str">
        <x:v>化圣雪原</x:v>
      </x:c>
      <x:c r="C110" s="25" t="str">
        <x:v>极端压力</x:v>
      </x:c>
      <x:c r="D110" s="25" t="str">
        <x:v>C01</x:v>
      </x:c>
      <x:c r="E110" s="25" t="str">
        <x:v>3组</x:v>
      </x:c>
      <x:c r="F110" s="25" t="n">
        <x:v>38</x:v>
      </x:c>
      <x:c r="G110" s="25" t="n">
        <x:v>38</x:v>
      </x:c>
      <x:c r="H110" s="25" t="str">
        <x:v>3/3组</x:v>
      </x:c>
      <x:c r="I110" s="25" t="str">
        <x:v>失乡者海岸；风暴断崖；沉没王庭</x:v>
      </x:c>
      <x:c r="J110" s="25" t="str"/>
    </x:row>
    <x:row r="111">
      <x:c r="A111" s="25" t="str">
        <x:v>C07-X</x:v>
      </x:c>
      <x:c r="B111" s="25" t="str">
        <x:v>化圣雪原</x:v>
      </x:c>
      <x:c r="C111" s="25" t="str">
        <x:v>极端压力</x:v>
      </x:c>
      <x:c r="D111" s="25" t="str">
        <x:v>C02</x:v>
      </x:c>
      <x:c r="E111" s="25" t="str">
        <x:v>5组</x:v>
      </x:c>
      <x:c r="F111" s="25" t="n">
        <x:v>61</x:v>
      </x:c>
      <x:c r="G111" s="25" t="n">
        <x:v>61</x:v>
      </x:c>
      <x:c r="H111" s="25" t="str">
        <x:v>5/5组</x:v>
      </x:c>
      <x:c r="I111" s="25" t="str">
        <x:v>漂流墓地；关卡前废墟；迷雾丛林；风暴山谷；史东薇尔王城</x:v>
      </x:c>
      <x:c r="J111" s="25" t="str"/>
    </x:row>
    <x:row r="112">
      <x:c r="A112" s="25" t="str">
        <x:v>C07-X</x:v>
      </x:c>
      <x:c r="B112" s="25" t="str">
        <x:v>化圣雪原</x:v>
      </x:c>
      <x:c r="C112" s="25" t="str">
        <x:v>极端压力</x:v>
      </x:c>
      <x:c r="D112" s="25" t="str">
        <x:v>C03</x:v>
      </x:c>
      <x:c r="E112" s="25" t="str">
        <x:v>6组</x:v>
      </x:c>
      <x:c r="F112" s="25" t="n">
        <x:v>73</x:v>
      </x:c>
      <x:c r="G112" s="25" t="n">
        <x:v>73</x:v>
      </x:c>
      <x:c r="H112" s="25" t="str">
        <x:v>6/6组</x:v>
      </x:c>
      <x:c r="I112" s="25" t="str">
        <x:v>西境荒原；海风断崖；失落驿道；古战场遗迹；风蚀古垒；黄金树哨垒</x:v>
      </x:c>
      <x:c r="J112" s="25" t="str"/>
    </x:row>
    <x:row r="113">
      <x:c r="A113" s="25" t="str">
        <x:v>C07-X</x:v>
      </x:c>
      <x:c r="B113" s="25" t="str">
        <x:v>化圣雪原</x:v>
      </x:c>
      <x:c r="C113" s="25" t="str">
        <x:v>极端压力</x:v>
      </x:c>
      <x:c r="D113" s="25" t="str">
        <x:v>C04</x:v>
      </x:c>
      <x:c r="E113" s="25" t="str">
        <x:v>6组</x:v>
      </x:c>
      <x:c r="F113" s="25" t="n">
        <x:v>73</x:v>
      </x:c>
      <x:c r="G113" s="25" t="n">
        <x:v>73</x:v>
      </x:c>
      <x:c r="H113" s="25" t="str">
        <x:v>6/6组</x:v>
      </x:c>
      <x:c r="I113" s="25" t="str">
        <x:v>雾潮湿地；沉湖遗迹；湖心沉船；幽灵船骸；深湖水道；湖底密道</x:v>
      </x:c>
      <x:c r="J113" s="25" t="str"/>
    </x:row>
    <x:row r="114">
      <x:c r="A114" s="25" t="str">
        <x:v>C07-X</x:v>
      </x:c>
      <x:c r="B114" s="25" t="str">
        <x:v>化圣雪原</x:v>
      </x:c>
      <x:c r="C114" s="25" t="str">
        <x:v>极端压力</x:v>
      </x:c>
      <x:c r="D114" s="25" t="str">
        <x:v>C05</x:v>
      </x:c>
      <x:c r="E114" s="25" t="str">
        <x:v>6组</x:v>
      </x:c>
      <x:c r="F114" s="25" t="n">
        <x:v>73</x:v>
      </x:c>
      <x:c r="G114" s="25" t="n">
        <x:v>73</x:v>
      </x:c>
      <x:c r="H114" s="25" t="str">
        <x:v>6/6组</x:v>
      </x:c>
      <x:c r="I114" s="25" t="str">
        <x:v>雾月水庭；辉石遗迹；学院回廊；满月书库；月影水宫；卡利亚禁域</x:v>
      </x:c>
      <x:c r="J114" s="25" t="str"/>
    </x:row>
    <x:row r="115">
      <x:c r="A115" s="25" t="str">
        <x:v>C07-X</x:v>
      </x:c>
      <x:c r="B115" s="25" t="str">
        <x:v>化圣雪原</x:v>
      </x:c>
      <x:c r="C115" s="25" t="str">
        <x:v>极端压力</x:v>
      </x:c>
      <x:c r="D115" s="25" t="str">
        <x:v>C06</x:v>
      </x:c>
      <x:c r="E115" s="25" t="str">
        <x:v>3组</x:v>
      </x:c>
      <x:c r="F115" s="25" t="n">
        <x:v>37</x:v>
      </x:c>
      <x:c r="G115" s="25" t="n">
        <x:v>37</x:v>
      </x:c>
      <x:c r="H115" s="25" t="str">
        <x:v>3/3组</x:v>
      </x:c>
      <x:c r="I115" s="25" t="str">
        <x:v>猩红熔原；腐败火狱；红狮龙窟</x:v>
      </x:c>
      <x:c r="J115" s="25" t="str"/>
    </x:row>
    <x:row r="116">
      <x:c r="A116" s="25" t="str">
        <x:v>C07-X</x:v>
      </x:c>
      <x:c r="B116" s="25" t="str">
        <x:v>化圣雪原</x:v>
      </x:c>
      <x:c r="C116" s="25" t="str">
        <x:v>极端压力</x:v>
      </x:c>
      <x:c r="D116" s="25" t="str">
        <x:v>C07</x:v>
      </x:c>
      <x:c r="E116" s="25" t="str">
        <x:v>3组</x:v>
      </x:c>
      <x:c r="F116" s="25" t="n">
        <x:v>37</x:v>
      </x:c>
      <x:c r="G116" s="25" t="n">
        <x:v>37</x:v>
      </x:c>
      <x:c r="H116" s="25" t="str">
        <x:v>3/3组</x:v>
      </x:c>
      <x:c r="I116" s="25" t="str">
        <x:v>苍白雪原；永冻荒境；极寒禁域</x:v>
      </x:c>
      <x:c r="J116" s="25" t="str"/>
    </x:row>
    <x:row r="117">
      <x:c r="A117" s="25" t="str">
        <x:v>C08-E</x:v>
      </x:c>
      <x:c r="B117" s="25" t="str">
        <x:v>巨人山顶</x:v>
      </x:c>
      <x:c r="C117" s="25" t="str">
        <x:v>半急速入场</x:v>
      </x:c>
      <x:c r="D117" s="25" t="str">
        <x:v>C01</x:v>
      </x:c>
      <x:c r="E117" s="25" t="str">
        <x:v>3组</x:v>
      </x:c>
      <x:c r="F117" s="25" t="n">
        <x:v>38</x:v>
      </x:c>
      <x:c r="G117" s="25" t="n">
        <x:v>29</x:v>
      </x:c>
      <x:c r="H117" s="25" t="str">
        <x:v>2/3组</x:v>
      </x:c>
      <x:c r="I117" s="25" t="str">
        <x:v>失乡者海岸；风暴断崖</x:v>
      </x:c>
      <x:c r="J117" s="25" t="str">
        <x:v>沉没王庭</x:v>
      </x:c>
    </x:row>
    <x:row r="118">
      <x:c r="A118" s="25" t="str">
        <x:v>C08-E</x:v>
      </x:c>
      <x:c r="B118" s="25" t="str">
        <x:v>巨人山顶</x:v>
      </x:c>
      <x:c r="C118" s="25" t="str">
        <x:v>半急速入场</x:v>
      </x:c>
      <x:c r="D118" s="25" t="str">
        <x:v>C02</x:v>
      </x:c>
      <x:c r="E118" s="25" t="str">
        <x:v>5组</x:v>
      </x:c>
      <x:c r="F118" s="25" t="n">
        <x:v>61</x:v>
      </x:c>
      <x:c r="G118" s="25" t="n">
        <x:v>53</x:v>
      </x:c>
      <x:c r="H118" s="25" t="str">
        <x:v>4/5组</x:v>
      </x:c>
      <x:c r="I118" s="25" t="str">
        <x:v>漂流墓地；关卡前废墟；迷雾丛林；风暴山谷</x:v>
      </x:c>
      <x:c r="J118" s="25" t="str">
        <x:v>史东薇尔王城</x:v>
      </x:c>
    </x:row>
    <x:row r="119">
      <x:c r="A119" s="25" t="str">
        <x:v>C08-E</x:v>
      </x:c>
      <x:c r="B119" s="25" t="str">
        <x:v>巨人山顶</x:v>
      </x:c>
      <x:c r="C119" s="25" t="str">
        <x:v>半急速入场</x:v>
      </x:c>
      <x:c r="D119" s="25" t="str">
        <x:v>C03</x:v>
      </x:c>
      <x:c r="E119" s="25" t="str">
        <x:v>6组</x:v>
      </x:c>
      <x:c r="F119" s="25" t="n">
        <x:v>73</x:v>
      </x:c>
      <x:c r="G119" s="25" t="n">
        <x:v>56</x:v>
      </x:c>
      <x:c r="H119" s="25" t="str">
        <x:v>4/6组</x:v>
      </x:c>
      <x:c r="I119" s="25" t="str">
        <x:v>西境荒原；海风断崖；失落驿道；古战场遗迹</x:v>
      </x:c>
      <x:c r="J119" s="25" t="str">
        <x:v>风蚀古垒；黄金树哨垒</x:v>
      </x:c>
    </x:row>
    <x:row r="120">
      <x:c r="A120" s="25" t="str">
        <x:v>C08-E</x:v>
      </x:c>
      <x:c r="B120" s="25" t="str">
        <x:v>巨人山顶</x:v>
      </x:c>
      <x:c r="C120" s="25" t="str">
        <x:v>半急速入场</x:v>
      </x:c>
      <x:c r="D120" s="25" t="str">
        <x:v>C04</x:v>
      </x:c>
      <x:c r="E120" s="25" t="str">
        <x:v>6组</x:v>
      </x:c>
      <x:c r="F120" s="25" t="n">
        <x:v>73</x:v>
      </x:c>
      <x:c r="G120" s="25" t="n">
        <x:v>55</x:v>
      </x:c>
      <x:c r="H120" s="25" t="str">
        <x:v>4/6组</x:v>
      </x:c>
      <x:c r="I120" s="25" t="str">
        <x:v>雾潮湿地；沉湖遗迹；湖心沉船；幽灵船骸</x:v>
      </x:c>
      <x:c r="J120" s="25" t="str">
        <x:v>深湖水道；湖底密道</x:v>
      </x:c>
    </x:row>
    <x:row r="121">
      <x:c r="A121" s="25" t="str">
        <x:v>C08-E</x:v>
      </x:c>
      <x:c r="B121" s="25" t="str">
        <x:v>巨人山顶</x:v>
      </x:c>
      <x:c r="C121" s="25" t="str">
        <x:v>半急速入场</x:v>
      </x:c>
      <x:c r="D121" s="25" t="str">
        <x:v>C05</x:v>
      </x:c>
      <x:c r="E121" s="25" t="str">
        <x:v>6组</x:v>
      </x:c>
      <x:c r="F121" s="25" t="n">
        <x:v>73</x:v>
      </x:c>
      <x:c r="G121" s="25" t="n">
        <x:v>57</x:v>
      </x:c>
      <x:c r="H121" s="25" t="str">
        <x:v>4/6组</x:v>
      </x:c>
      <x:c r="I121" s="25" t="str">
        <x:v>雾月水庭；辉石遗迹；学院回廊；满月书库</x:v>
      </x:c>
      <x:c r="J121" s="25" t="str">
        <x:v>月影水宫；卡利亚禁域</x:v>
      </x:c>
    </x:row>
    <x:row r="122">
      <x:c r="A122" s="25" t="str">
        <x:v>C08-E</x:v>
      </x:c>
      <x:c r="B122" s="25" t="str">
        <x:v>巨人山顶</x:v>
      </x:c>
      <x:c r="C122" s="25" t="str">
        <x:v>半急速入场</x:v>
      </x:c>
      <x:c r="D122" s="25" t="str">
        <x:v>C06</x:v>
      </x:c>
      <x:c r="E122" s="25" t="str">
        <x:v>3组</x:v>
      </x:c>
      <x:c r="F122" s="25" t="n">
        <x:v>37</x:v>
      </x:c>
      <x:c r="G122" s="25" t="n">
        <x:v>29</x:v>
      </x:c>
      <x:c r="H122" s="25" t="str">
        <x:v>2/3组</x:v>
      </x:c>
      <x:c r="I122" s="25" t="str">
        <x:v>猩红熔原；腐败火狱</x:v>
      </x:c>
      <x:c r="J122" s="25" t="str">
        <x:v>红狮龙窟</x:v>
      </x:c>
    </x:row>
    <x:row r="123">
      <x:c r="A123" s="25" t="str">
        <x:v>C08-E</x:v>
      </x:c>
      <x:c r="B123" s="25" t="str">
        <x:v>巨人山顶</x:v>
      </x:c>
      <x:c r="C123" s="25" t="str">
        <x:v>半急速入场</x:v>
      </x:c>
      <x:c r="D123" s="25" t="str">
        <x:v>C07</x:v>
      </x:c>
      <x:c r="E123" s="25" t="str">
        <x:v>3组</x:v>
      </x:c>
      <x:c r="F123" s="25" t="n">
        <x:v>37</x:v>
      </x:c>
      <x:c r="G123" s="25" t="n">
        <x:v>24</x:v>
      </x:c>
      <x:c r="H123" s="25" t="str">
        <x:v>1/3组</x:v>
      </x:c>
      <x:c r="I123" s="25" t="str">
        <x:v>苍白雪原</x:v>
      </x:c>
      <x:c r="J123" s="25" t="str">
        <x:v>永冻荒境；极寒禁域</x:v>
      </x:c>
    </x:row>
    <x:row r="124">
      <x:c r="A124" s="25" t="str">
        <x:v>C08-E</x:v>
      </x:c>
      <x:c r="B124" s="25" t="str">
        <x:v>巨人山顶</x:v>
      </x:c>
      <x:c r="C124" s="25" t="str">
        <x:v>半急速入场</x:v>
      </x:c>
      <x:c r="D124" s="25" t="str">
        <x:v>C08</x:v>
      </x:c>
      <x:c r="E124" s="25" t="str">
        <x:v>4组</x:v>
      </x:c>
      <x:c r="F124" s="25" t="n">
        <x:v>49</x:v>
      </x:c>
      <x:c r="G124" s="25" t="n">
        <x:v>0</x:v>
      </x:c>
      <x:c r="H124" s="25" t="str">
        <x:v>0/4组</x:v>
      </x:c>
      <x:c r="I124" s="25" t="str"/>
      <x:c r="J124" s="25" t="str">
        <x:v>寒霜山径；断冰峰群；冰宫王庭；巨人王庭</x:v>
      </x:c>
    </x:row>
    <x:row r="125">
      <x:c r="A125" s="25" t="str">
        <x:v>C08-M</x:v>
      </x:c>
      <x:c r="B125" s="25" t="str">
        <x:v>巨人山顶</x:v>
      </x:c>
      <x:c r="C125" s="25" t="str">
        <x:v>半急速中期</x:v>
      </x:c>
      <x:c r="D125" s="25" t="str">
        <x:v>C01</x:v>
      </x:c>
      <x:c r="E125" s="25" t="str">
        <x:v>3组</x:v>
      </x:c>
      <x:c r="F125" s="25" t="n">
        <x:v>38</x:v>
      </x:c>
      <x:c r="G125" s="25" t="n">
        <x:v>29</x:v>
      </x:c>
      <x:c r="H125" s="25" t="str">
        <x:v>2/3组</x:v>
      </x:c>
      <x:c r="I125" s="25" t="str">
        <x:v>失乡者海岸；风暴断崖</x:v>
      </x:c>
      <x:c r="J125" s="25" t="str">
        <x:v>沉没王庭</x:v>
      </x:c>
    </x:row>
    <x:row r="126">
      <x:c r="A126" s="25" t="str">
        <x:v>C08-M</x:v>
      </x:c>
      <x:c r="B126" s="25" t="str">
        <x:v>巨人山顶</x:v>
      </x:c>
      <x:c r="C126" s="25" t="str">
        <x:v>半急速中期</x:v>
      </x:c>
      <x:c r="D126" s="25" t="str">
        <x:v>C02</x:v>
      </x:c>
      <x:c r="E126" s="25" t="str">
        <x:v>5组</x:v>
      </x:c>
      <x:c r="F126" s="25" t="n">
        <x:v>61</x:v>
      </x:c>
      <x:c r="G126" s="25" t="n">
        <x:v>53</x:v>
      </x:c>
      <x:c r="H126" s="25" t="str">
        <x:v>4/5组</x:v>
      </x:c>
      <x:c r="I126" s="25" t="str">
        <x:v>漂流墓地；关卡前废墟；迷雾丛林；风暴山谷</x:v>
      </x:c>
      <x:c r="J126" s="25" t="str">
        <x:v>史东薇尔王城</x:v>
      </x:c>
    </x:row>
    <x:row r="127">
      <x:c r="A127" s="25" t="str">
        <x:v>C08-M</x:v>
      </x:c>
      <x:c r="B127" s="25" t="str">
        <x:v>巨人山顶</x:v>
      </x:c>
      <x:c r="C127" s="25" t="str">
        <x:v>半急速中期</x:v>
      </x:c>
      <x:c r="D127" s="25" t="str">
        <x:v>C03</x:v>
      </x:c>
      <x:c r="E127" s="25" t="str">
        <x:v>6组</x:v>
      </x:c>
      <x:c r="F127" s="25" t="n">
        <x:v>73</x:v>
      </x:c>
      <x:c r="G127" s="25" t="n">
        <x:v>56</x:v>
      </x:c>
      <x:c r="H127" s="25" t="str">
        <x:v>4/6组</x:v>
      </x:c>
      <x:c r="I127" s="25" t="str">
        <x:v>西境荒原；海风断崖；失落驿道；古战场遗迹</x:v>
      </x:c>
      <x:c r="J127" s="25" t="str">
        <x:v>风蚀古垒；黄金树哨垒</x:v>
      </x:c>
    </x:row>
    <x:row r="128">
      <x:c r="A128" s="25" t="str">
        <x:v>C08-M</x:v>
      </x:c>
      <x:c r="B128" s="25" t="str">
        <x:v>巨人山顶</x:v>
      </x:c>
      <x:c r="C128" s="25" t="str">
        <x:v>半急速中期</x:v>
      </x:c>
      <x:c r="D128" s="25" t="str">
        <x:v>C04</x:v>
      </x:c>
      <x:c r="E128" s="25" t="str">
        <x:v>6组</x:v>
      </x:c>
      <x:c r="F128" s="25" t="n">
        <x:v>73</x:v>
      </x:c>
      <x:c r="G128" s="25" t="n">
        <x:v>55</x:v>
      </x:c>
      <x:c r="H128" s="25" t="str">
        <x:v>4/6组</x:v>
      </x:c>
      <x:c r="I128" s="25" t="str">
        <x:v>雾潮湿地；沉湖遗迹；湖心沉船；幽灵船骸</x:v>
      </x:c>
      <x:c r="J128" s="25" t="str">
        <x:v>深湖水道；湖底密道</x:v>
      </x:c>
    </x:row>
    <x:row r="129">
      <x:c r="A129" s="25" t="str">
        <x:v>C08-M</x:v>
      </x:c>
      <x:c r="B129" s="25" t="str">
        <x:v>巨人山顶</x:v>
      </x:c>
      <x:c r="C129" s="25" t="str">
        <x:v>半急速中期</x:v>
      </x:c>
      <x:c r="D129" s="25" t="str">
        <x:v>C05</x:v>
      </x:c>
      <x:c r="E129" s="25" t="str">
        <x:v>6组</x:v>
      </x:c>
      <x:c r="F129" s="25" t="n">
        <x:v>73</x:v>
      </x:c>
      <x:c r="G129" s="25" t="n">
        <x:v>57</x:v>
      </x:c>
      <x:c r="H129" s="25" t="str">
        <x:v>4/6组</x:v>
      </x:c>
      <x:c r="I129" s="25" t="str">
        <x:v>雾月水庭；辉石遗迹；学院回廊；满月书库</x:v>
      </x:c>
      <x:c r="J129" s="25" t="str">
        <x:v>月影水宫；卡利亚禁域</x:v>
      </x:c>
    </x:row>
    <x:row r="130">
      <x:c r="A130" s="25" t="str">
        <x:v>C08-M</x:v>
      </x:c>
      <x:c r="B130" s="25" t="str">
        <x:v>巨人山顶</x:v>
      </x:c>
      <x:c r="C130" s="25" t="str">
        <x:v>半急速中期</x:v>
      </x:c>
      <x:c r="D130" s="25" t="str">
        <x:v>C06</x:v>
      </x:c>
      <x:c r="E130" s="25" t="str">
        <x:v>3组</x:v>
      </x:c>
      <x:c r="F130" s="25" t="n">
        <x:v>37</x:v>
      </x:c>
      <x:c r="G130" s="25" t="n">
        <x:v>29</x:v>
      </x:c>
      <x:c r="H130" s="25" t="str">
        <x:v>2/3组</x:v>
      </x:c>
      <x:c r="I130" s="25" t="str">
        <x:v>猩红熔原；腐败火狱</x:v>
      </x:c>
      <x:c r="J130" s="25" t="str">
        <x:v>红狮龙窟</x:v>
      </x:c>
    </x:row>
    <x:row r="131">
      <x:c r="A131" s="25" t="str">
        <x:v>C08-M</x:v>
      </x:c>
      <x:c r="B131" s="25" t="str">
        <x:v>巨人山顶</x:v>
      </x:c>
      <x:c r="C131" s="25" t="str">
        <x:v>半急速中期</x:v>
      </x:c>
      <x:c r="D131" s="25" t="str">
        <x:v>C07</x:v>
      </x:c>
      <x:c r="E131" s="25" t="str">
        <x:v>3组</x:v>
      </x:c>
      <x:c r="F131" s="25" t="n">
        <x:v>37</x:v>
      </x:c>
      <x:c r="G131" s="25" t="n">
        <x:v>30</x:v>
      </x:c>
      <x:c r="H131" s="25" t="str">
        <x:v>2/3组</x:v>
      </x:c>
      <x:c r="I131" s="25" t="str">
        <x:v>苍白雪原；永冻荒境</x:v>
      </x:c>
      <x:c r="J131" s="25" t="str">
        <x:v>极寒禁域</x:v>
      </x:c>
    </x:row>
    <x:row r="132">
      <x:c r="A132" s="25" t="str">
        <x:v>C08-M</x:v>
      </x:c>
      <x:c r="B132" s="25" t="str">
        <x:v>巨人山顶</x:v>
      </x:c>
      <x:c r="C132" s="25" t="str">
        <x:v>半急速中期</x:v>
      </x:c>
      <x:c r="D132" s="25" t="str">
        <x:v>C08</x:v>
      </x:c>
      <x:c r="E132" s="25" t="str">
        <x:v>4组</x:v>
      </x:c>
      <x:c r="F132" s="25" t="n">
        <x:v>49</x:v>
      </x:c>
      <x:c r="G132" s="25" t="n">
        <x:v>22</x:v>
      </x:c>
      <x:c r="H132" s="25" t="str">
        <x:v>1/4组</x:v>
      </x:c>
      <x:c r="I132" s="25" t="str">
        <x:v>寒霜山径</x:v>
      </x:c>
      <x:c r="J132" s="25" t="str">
        <x:v>断冰峰群；冰宫王庭；巨人王庭</x:v>
      </x:c>
    </x:row>
    <x:row r="133">
      <x:c r="A133" s="25" t="str">
        <x:v>C08-G</x:v>
      </x:c>
      <x:c r="B133" s="25" t="str">
        <x:v>巨人山顶</x:v>
      </x:c>
      <x:c r="C133" s="25" t="str">
        <x:v>半急速毕业</x:v>
      </x:c>
      <x:c r="D133" s="25" t="str">
        <x:v>C01</x:v>
      </x:c>
      <x:c r="E133" s="25" t="str">
        <x:v>3组</x:v>
      </x:c>
      <x:c r="F133" s="25" t="n">
        <x:v>38</x:v>
      </x:c>
      <x:c r="G133" s="25" t="n">
        <x:v>29</x:v>
      </x:c>
      <x:c r="H133" s="25" t="str">
        <x:v>2/3组</x:v>
      </x:c>
      <x:c r="I133" s="25" t="str">
        <x:v>失乡者海岸；风暴断崖</x:v>
      </x:c>
      <x:c r="J133" s="25" t="str">
        <x:v>沉没王庭</x:v>
      </x:c>
    </x:row>
    <x:row r="134">
      <x:c r="A134" s="25" t="str">
        <x:v>C08-G</x:v>
      </x:c>
      <x:c r="B134" s="25" t="str">
        <x:v>巨人山顶</x:v>
      </x:c>
      <x:c r="C134" s="25" t="str">
        <x:v>半急速毕业</x:v>
      </x:c>
      <x:c r="D134" s="25" t="str">
        <x:v>C02</x:v>
      </x:c>
      <x:c r="E134" s="25" t="str">
        <x:v>5组</x:v>
      </x:c>
      <x:c r="F134" s="25" t="n">
        <x:v>61</x:v>
      </x:c>
      <x:c r="G134" s="25" t="n">
        <x:v>53</x:v>
      </x:c>
      <x:c r="H134" s="25" t="str">
        <x:v>4/5组</x:v>
      </x:c>
      <x:c r="I134" s="25" t="str">
        <x:v>漂流墓地；关卡前废墟；迷雾丛林；风暴山谷</x:v>
      </x:c>
      <x:c r="J134" s="25" t="str">
        <x:v>史东薇尔王城</x:v>
      </x:c>
    </x:row>
    <x:row r="135">
      <x:c r="A135" s="25" t="str">
        <x:v>C08-G</x:v>
      </x:c>
      <x:c r="B135" s="25" t="str">
        <x:v>巨人山顶</x:v>
      </x:c>
      <x:c r="C135" s="25" t="str">
        <x:v>半急速毕业</x:v>
      </x:c>
      <x:c r="D135" s="25" t="str">
        <x:v>C03</x:v>
      </x:c>
      <x:c r="E135" s="25" t="str">
        <x:v>6组</x:v>
      </x:c>
      <x:c r="F135" s="25" t="n">
        <x:v>73</x:v>
      </x:c>
      <x:c r="G135" s="25" t="n">
        <x:v>56</x:v>
      </x:c>
      <x:c r="H135" s="25" t="str">
        <x:v>4/6组</x:v>
      </x:c>
      <x:c r="I135" s="25" t="str">
        <x:v>西境荒原；海风断崖；失落驿道；古战场遗迹</x:v>
      </x:c>
      <x:c r="J135" s="25" t="str">
        <x:v>风蚀古垒；黄金树哨垒</x:v>
      </x:c>
    </x:row>
    <x:row r="136">
      <x:c r="A136" s="25" t="str">
        <x:v>C08-G</x:v>
      </x:c>
      <x:c r="B136" s="25" t="str">
        <x:v>巨人山顶</x:v>
      </x:c>
      <x:c r="C136" s="25" t="str">
        <x:v>半急速毕业</x:v>
      </x:c>
      <x:c r="D136" s="25" t="str">
        <x:v>C04</x:v>
      </x:c>
      <x:c r="E136" s="25" t="str">
        <x:v>6组</x:v>
      </x:c>
      <x:c r="F136" s="25" t="n">
        <x:v>73</x:v>
      </x:c>
      <x:c r="G136" s="25" t="n">
        <x:v>55</x:v>
      </x:c>
      <x:c r="H136" s="25" t="str">
        <x:v>4/6组</x:v>
      </x:c>
      <x:c r="I136" s="25" t="str">
        <x:v>雾潮湿地；沉湖遗迹；湖心沉船；幽灵船骸</x:v>
      </x:c>
      <x:c r="J136" s="25" t="str">
        <x:v>深湖水道；湖底密道</x:v>
      </x:c>
    </x:row>
    <x:row r="137">
      <x:c r="A137" s="25" t="str">
        <x:v>C08-G</x:v>
      </x:c>
      <x:c r="B137" s="25" t="str">
        <x:v>巨人山顶</x:v>
      </x:c>
      <x:c r="C137" s="25" t="str">
        <x:v>半急速毕业</x:v>
      </x:c>
      <x:c r="D137" s="25" t="str">
        <x:v>C05</x:v>
      </x:c>
      <x:c r="E137" s="25" t="str">
        <x:v>6组</x:v>
      </x:c>
      <x:c r="F137" s="25" t="n">
        <x:v>73</x:v>
      </x:c>
      <x:c r="G137" s="25" t="n">
        <x:v>57</x:v>
      </x:c>
      <x:c r="H137" s="25" t="str">
        <x:v>4/6组</x:v>
      </x:c>
      <x:c r="I137" s="25" t="str">
        <x:v>雾月水庭；辉石遗迹；学院回廊；满月书库</x:v>
      </x:c>
      <x:c r="J137" s="25" t="str">
        <x:v>月影水宫；卡利亚禁域</x:v>
      </x:c>
    </x:row>
    <x:row r="138">
      <x:c r="A138" s="25" t="str">
        <x:v>C08-G</x:v>
      </x:c>
      <x:c r="B138" s="25" t="str">
        <x:v>巨人山顶</x:v>
      </x:c>
      <x:c r="C138" s="25" t="str">
        <x:v>半急速毕业</x:v>
      </x:c>
      <x:c r="D138" s="25" t="str">
        <x:v>C06</x:v>
      </x:c>
      <x:c r="E138" s="25" t="str">
        <x:v>3组</x:v>
      </x:c>
      <x:c r="F138" s="25" t="n">
        <x:v>37</x:v>
      </x:c>
      <x:c r="G138" s="25" t="n">
        <x:v>29</x:v>
      </x:c>
      <x:c r="H138" s="25" t="str">
        <x:v>2/3组</x:v>
      </x:c>
      <x:c r="I138" s="25" t="str">
        <x:v>猩红熔原；腐败火狱</x:v>
      </x:c>
      <x:c r="J138" s="25" t="str">
        <x:v>红狮龙窟</x:v>
      </x:c>
    </x:row>
    <x:row r="139">
      <x:c r="A139" s="25" t="str">
        <x:v>C08-G</x:v>
      </x:c>
      <x:c r="B139" s="25" t="str">
        <x:v>巨人山顶</x:v>
      </x:c>
      <x:c r="C139" s="25" t="str">
        <x:v>半急速毕业</x:v>
      </x:c>
      <x:c r="D139" s="25" t="str">
        <x:v>C07</x:v>
      </x:c>
      <x:c r="E139" s="25" t="str">
        <x:v>3组</x:v>
      </x:c>
      <x:c r="F139" s="25" t="n">
        <x:v>37</x:v>
      </x:c>
      <x:c r="G139" s="25" t="n">
        <x:v>30</x:v>
      </x:c>
      <x:c r="H139" s="25" t="str">
        <x:v>2/3组</x:v>
      </x:c>
      <x:c r="I139" s="25" t="str">
        <x:v>苍白雪原；永冻荒境</x:v>
      </x:c>
      <x:c r="J139" s="25" t="str">
        <x:v>极寒禁域</x:v>
      </x:c>
    </x:row>
    <x:row r="140">
      <x:c r="A140" s="25" t="str">
        <x:v>C08-G</x:v>
      </x:c>
      <x:c r="B140" s="25" t="str">
        <x:v>巨人山顶</x:v>
      </x:c>
      <x:c r="C140" s="25" t="str">
        <x:v>半急速毕业</x:v>
      </x:c>
      <x:c r="D140" s="25" t="str">
        <x:v>C08</x:v>
      </x:c>
      <x:c r="E140" s="25" t="str">
        <x:v>4组</x:v>
      </x:c>
      <x:c r="F140" s="25" t="n">
        <x:v>49</x:v>
      </x:c>
      <x:c r="G140" s="25" t="n">
        <x:v>33</x:v>
      </x:c>
      <x:c r="H140" s="25" t="str">
        <x:v>2/4组</x:v>
      </x:c>
      <x:c r="I140" s="25" t="str">
        <x:v>寒霜山径；断冰峰群</x:v>
      </x:c>
      <x:c r="J140" s="25" t="str">
        <x:v>冰宫王庭；巨人王庭</x:v>
      </x:c>
    </x:row>
    <x:row r="141">
      <x:c r="A141" s="25" t="str">
        <x:v>C08-X</x:v>
      </x:c>
      <x:c r="B141" s="25" t="str">
        <x:v>巨人山顶</x:v>
      </x:c>
      <x:c r="C141" s="25" t="str">
        <x:v>极端压力</x:v>
      </x:c>
      <x:c r="D141" s="25" t="str">
        <x:v>C01</x:v>
      </x:c>
      <x:c r="E141" s="25" t="str">
        <x:v>3组</x:v>
      </x:c>
      <x:c r="F141" s="25" t="n">
        <x:v>38</x:v>
      </x:c>
      <x:c r="G141" s="25" t="n">
        <x:v>38</x:v>
      </x:c>
      <x:c r="H141" s="25" t="str">
        <x:v>3/3组</x:v>
      </x:c>
      <x:c r="I141" s="25" t="str">
        <x:v>失乡者海岸；风暴断崖；沉没王庭</x:v>
      </x:c>
      <x:c r="J141" s="25" t="str"/>
    </x:row>
    <x:row r="142">
      <x:c r="A142" s="25" t="str">
        <x:v>C08-X</x:v>
      </x:c>
      <x:c r="B142" s="25" t="str">
        <x:v>巨人山顶</x:v>
      </x:c>
      <x:c r="C142" s="25" t="str">
        <x:v>极端压力</x:v>
      </x:c>
      <x:c r="D142" s="25" t="str">
        <x:v>C02</x:v>
      </x:c>
      <x:c r="E142" s="25" t="str">
        <x:v>5组</x:v>
      </x:c>
      <x:c r="F142" s="25" t="n">
        <x:v>61</x:v>
      </x:c>
      <x:c r="G142" s="25" t="n">
        <x:v>61</x:v>
      </x:c>
      <x:c r="H142" s="25" t="str">
        <x:v>5/5组</x:v>
      </x:c>
      <x:c r="I142" s="25" t="str">
        <x:v>漂流墓地；关卡前废墟；迷雾丛林；风暴山谷；史东薇尔王城</x:v>
      </x:c>
      <x:c r="J142" s="25" t="str"/>
    </x:row>
    <x:row r="143">
      <x:c r="A143" s="25" t="str">
        <x:v>C08-X</x:v>
      </x:c>
      <x:c r="B143" s="25" t="str">
        <x:v>巨人山顶</x:v>
      </x:c>
      <x:c r="C143" s="25" t="str">
        <x:v>极端压力</x:v>
      </x:c>
      <x:c r="D143" s="25" t="str">
        <x:v>C03</x:v>
      </x:c>
      <x:c r="E143" s="25" t="str">
        <x:v>6组</x:v>
      </x:c>
      <x:c r="F143" s="25" t="n">
        <x:v>73</x:v>
      </x:c>
      <x:c r="G143" s="25" t="n">
        <x:v>73</x:v>
      </x:c>
      <x:c r="H143" s="25" t="str">
        <x:v>6/6组</x:v>
      </x:c>
      <x:c r="I143" s="25" t="str">
        <x:v>西境荒原；海风断崖；失落驿道；古战场遗迹；风蚀古垒；黄金树哨垒</x:v>
      </x:c>
      <x:c r="J143" s="25" t="str"/>
    </x:row>
    <x:row r="144">
      <x:c r="A144" s="25" t="str">
        <x:v>C08-X</x:v>
      </x:c>
      <x:c r="B144" s="25" t="str">
        <x:v>巨人山顶</x:v>
      </x:c>
      <x:c r="C144" s="25" t="str">
        <x:v>极端压力</x:v>
      </x:c>
      <x:c r="D144" s="25" t="str">
        <x:v>C04</x:v>
      </x:c>
      <x:c r="E144" s="25" t="str">
        <x:v>6组</x:v>
      </x:c>
      <x:c r="F144" s="25" t="n">
        <x:v>73</x:v>
      </x:c>
      <x:c r="G144" s="25" t="n">
        <x:v>73</x:v>
      </x:c>
      <x:c r="H144" s="25" t="str">
        <x:v>6/6组</x:v>
      </x:c>
      <x:c r="I144" s="25" t="str">
        <x:v>雾潮湿地；沉湖遗迹；湖心沉船；幽灵船骸；深湖水道；湖底密道</x:v>
      </x:c>
      <x:c r="J144" s="25" t="str"/>
    </x:row>
    <x:row r="145">
      <x:c r="A145" s="25" t="str">
        <x:v>C08-X</x:v>
      </x:c>
      <x:c r="B145" s="25" t="str">
        <x:v>巨人山顶</x:v>
      </x:c>
      <x:c r="C145" s="25" t="str">
        <x:v>极端压力</x:v>
      </x:c>
      <x:c r="D145" s="25" t="str">
        <x:v>C05</x:v>
      </x:c>
      <x:c r="E145" s="25" t="str">
        <x:v>6组</x:v>
      </x:c>
      <x:c r="F145" s="25" t="n">
        <x:v>73</x:v>
      </x:c>
      <x:c r="G145" s="25" t="n">
        <x:v>73</x:v>
      </x:c>
      <x:c r="H145" s="25" t="str">
        <x:v>6/6组</x:v>
      </x:c>
      <x:c r="I145" s="25" t="str">
        <x:v>雾月水庭；辉石遗迹；学院回廊；满月书库；月影水宫；卡利亚禁域</x:v>
      </x:c>
      <x:c r="J145" s="25" t="str"/>
    </x:row>
    <x:row r="146">
      <x:c r="A146" s="25" t="str">
        <x:v>C08-X</x:v>
      </x:c>
      <x:c r="B146" s="25" t="str">
        <x:v>巨人山顶</x:v>
      </x:c>
      <x:c r="C146" s="25" t="str">
        <x:v>极端压力</x:v>
      </x:c>
      <x:c r="D146" s="25" t="str">
        <x:v>C06</x:v>
      </x:c>
      <x:c r="E146" s="25" t="str">
        <x:v>3组</x:v>
      </x:c>
      <x:c r="F146" s="25" t="n">
        <x:v>37</x:v>
      </x:c>
      <x:c r="G146" s="25" t="n">
        <x:v>37</x:v>
      </x:c>
      <x:c r="H146" s="25" t="str">
        <x:v>3/3组</x:v>
      </x:c>
      <x:c r="I146" s="25" t="str">
        <x:v>猩红熔原；腐败火狱；红狮龙窟</x:v>
      </x:c>
      <x:c r="J146" s="25" t="str"/>
    </x:row>
    <x:row r="147">
      <x:c r="A147" s="25" t="str">
        <x:v>C08-X</x:v>
      </x:c>
      <x:c r="B147" s="25" t="str">
        <x:v>巨人山顶</x:v>
      </x:c>
      <x:c r="C147" s="25" t="str">
        <x:v>极端压力</x:v>
      </x:c>
      <x:c r="D147" s="25" t="str">
        <x:v>C07</x:v>
      </x:c>
      <x:c r="E147" s="25" t="str">
        <x:v>3组</x:v>
      </x:c>
      <x:c r="F147" s="25" t="n">
        <x:v>37</x:v>
      </x:c>
      <x:c r="G147" s="25" t="n">
        <x:v>37</x:v>
      </x:c>
      <x:c r="H147" s="25" t="str">
        <x:v>3/3组</x:v>
      </x:c>
      <x:c r="I147" s="25" t="str">
        <x:v>苍白雪原；永冻荒境；极寒禁域</x:v>
      </x:c>
      <x:c r="J147" s="25" t="str"/>
    </x:row>
    <x:row r="148">
      <x:c r="A148" s="25" t="str">
        <x:v>C08-X</x:v>
      </x:c>
      <x:c r="B148" s="25" t="str">
        <x:v>巨人山顶</x:v>
      </x:c>
      <x:c r="C148" s="25" t="str">
        <x:v>极端压力</x:v>
      </x:c>
      <x:c r="D148" s="25" t="str">
        <x:v>C08</x:v>
      </x:c>
      <x:c r="E148" s="25" t="str">
        <x:v>4组</x:v>
      </x:c>
      <x:c r="F148" s="25" t="n">
        <x:v>49</x:v>
      </x:c>
      <x:c r="G148" s="25" t="n">
        <x:v>49</x:v>
      </x:c>
      <x:c r="H148" s="25" t="str">
        <x:v>4/4组</x:v>
      </x:c>
      <x:c r="I148" s="25" t="str">
        <x:v>寒霜山径；断冰峰群；冰宫王庭；巨人王庭</x:v>
      </x:c>
      <x:c r="J148" s="25" t="str"/>
    </x:row>
    <x:row r="149">
      <x:c r="A149" s="25" t="str">
        <x:v>C09-E</x:v>
      </x:c>
      <x:c r="B149" s="25" t="str">
        <x:v>亚坛高原</x:v>
      </x:c>
      <x:c r="C149" s="25" t="str">
        <x:v>半急速入场</x:v>
      </x:c>
      <x:c r="D149" s="25" t="str">
        <x:v>C01</x:v>
      </x:c>
      <x:c r="E149" s="25" t="str">
        <x:v>3组</x:v>
      </x:c>
      <x:c r="F149" s="25" t="n">
        <x:v>38</x:v>
      </x:c>
      <x:c r="G149" s="25" t="n">
        <x:v>29</x:v>
      </x:c>
      <x:c r="H149" s="25" t="str">
        <x:v>2/3组</x:v>
      </x:c>
      <x:c r="I149" s="25" t="str">
        <x:v>失乡者海岸；风暴断崖</x:v>
      </x:c>
      <x:c r="J149" s="25" t="str">
        <x:v>沉没王庭</x:v>
      </x:c>
    </x:row>
    <x:row r="150">
      <x:c r="A150" s="25" t="str">
        <x:v>C09-E</x:v>
      </x:c>
      <x:c r="B150" s="25" t="str">
        <x:v>亚坛高原</x:v>
      </x:c>
      <x:c r="C150" s="25" t="str">
        <x:v>半急速入场</x:v>
      </x:c>
      <x:c r="D150" s="25" t="str">
        <x:v>C02</x:v>
      </x:c>
      <x:c r="E150" s="25" t="str">
        <x:v>5组</x:v>
      </x:c>
      <x:c r="F150" s="25" t="n">
        <x:v>61</x:v>
      </x:c>
      <x:c r="G150" s="25" t="n">
        <x:v>53</x:v>
      </x:c>
      <x:c r="H150" s="25" t="str">
        <x:v>4/5组</x:v>
      </x:c>
      <x:c r="I150" s="25" t="str">
        <x:v>漂流墓地；关卡前废墟；迷雾丛林；风暴山谷</x:v>
      </x:c>
      <x:c r="J150" s="25" t="str">
        <x:v>史东薇尔王城</x:v>
      </x:c>
    </x:row>
    <x:row r="151">
      <x:c r="A151" s="25" t="str">
        <x:v>C09-E</x:v>
      </x:c>
      <x:c r="B151" s="25" t="str">
        <x:v>亚坛高原</x:v>
      </x:c>
      <x:c r="C151" s="25" t="str">
        <x:v>半急速入场</x:v>
      </x:c>
      <x:c r="D151" s="25" t="str">
        <x:v>C03</x:v>
      </x:c>
      <x:c r="E151" s="25" t="str">
        <x:v>6组</x:v>
      </x:c>
      <x:c r="F151" s="25" t="n">
        <x:v>73</x:v>
      </x:c>
      <x:c r="G151" s="25" t="n">
        <x:v>56</x:v>
      </x:c>
      <x:c r="H151" s="25" t="str">
        <x:v>4/6组</x:v>
      </x:c>
      <x:c r="I151" s="25" t="str">
        <x:v>西境荒原；海风断崖；失落驿道；古战场遗迹</x:v>
      </x:c>
      <x:c r="J151" s="25" t="str">
        <x:v>风蚀古垒；黄金树哨垒</x:v>
      </x:c>
    </x:row>
    <x:row r="152">
      <x:c r="A152" s="25" t="str">
        <x:v>C09-E</x:v>
      </x:c>
      <x:c r="B152" s="25" t="str">
        <x:v>亚坛高原</x:v>
      </x:c>
      <x:c r="C152" s="25" t="str">
        <x:v>半急速入场</x:v>
      </x:c>
      <x:c r="D152" s="25" t="str">
        <x:v>C04</x:v>
      </x:c>
      <x:c r="E152" s="25" t="str">
        <x:v>6组</x:v>
      </x:c>
      <x:c r="F152" s="25" t="n">
        <x:v>73</x:v>
      </x:c>
      <x:c r="G152" s="25" t="n">
        <x:v>55</x:v>
      </x:c>
      <x:c r="H152" s="25" t="str">
        <x:v>4/6组</x:v>
      </x:c>
      <x:c r="I152" s="25" t="str">
        <x:v>雾潮湿地；沉湖遗迹；湖心沉船；幽灵船骸</x:v>
      </x:c>
      <x:c r="J152" s="25" t="str">
        <x:v>深湖水道；湖底密道</x:v>
      </x:c>
    </x:row>
    <x:row r="153">
      <x:c r="A153" s="25" t="str">
        <x:v>C09-E</x:v>
      </x:c>
      <x:c r="B153" s="25" t="str">
        <x:v>亚坛高原</x:v>
      </x:c>
      <x:c r="C153" s="25" t="str">
        <x:v>半急速入场</x:v>
      </x:c>
      <x:c r="D153" s="25" t="str">
        <x:v>C05</x:v>
      </x:c>
      <x:c r="E153" s="25" t="str">
        <x:v>6组</x:v>
      </x:c>
      <x:c r="F153" s="25" t="n">
        <x:v>73</x:v>
      </x:c>
      <x:c r="G153" s="25" t="n">
        <x:v>57</x:v>
      </x:c>
      <x:c r="H153" s="25" t="str">
        <x:v>4/6组</x:v>
      </x:c>
      <x:c r="I153" s="25" t="str">
        <x:v>雾月水庭；辉石遗迹；学院回廊；满月书库</x:v>
      </x:c>
      <x:c r="J153" s="25" t="str">
        <x:v>月影水宫；卡利亚禁域</x:v>
      </x:c>
    </x:row>
    <x:row r="154">
      <x:c r="A154" s="25" t="str">
        <x:v>C09-E</x:v>
      </x:c>
      <x:c r="B154" s="25" t="str">
        <x:v>亚坛高原</x:v>
      </x:c>
      <x:c r="C154" s="25" t="str">
        <x:v>半急速入场</x:v>
      </x:c>
      <x:c r="D154" s="25" t="str">
        <x:v>C06</x:v>
      </x:c>
      <x:c r="E154" s="25" t="str">
        <x:v>3组</x:v>
      </x:c>
      <x:c r="F154" s="25" t="n">
        <x:v>37</x:v>
      </x:c>
      <x:c r="G154" s="25" t="n">
        <x:v>29</x:v>
      </x:c>
      <x:c r="H154" s="25" t="str">
        <x:v>2/3组</x:v>
      </x:c>
      <x:c r="I154" s="25" t="str">
        <x:v>猩红熔原；腐败火狱</x:v>
      </x:c>
      <x:c r="J154" s="25" t="str">
        <x:v>红狮龙窟</x:v>
      </x:c>
    </x:row>
    <x:row r="155">
      <x:c r="A155" s="25" t="str">
        <x:v>C09-E</x:v>
      </x:c>
      <x:c r="B155" s="25" t="str">
        <x:v>亚坛高原</x:v>
      </x:c>
      <x:c r="C155" s="25" t="str">
        <x:v>半急速入场</x:v>
      </x:c>
      <x:c r="D155" s="25" t="str">
        <x:v>C07</x:v>
      </x:c>
      <x:c r="E155" s="25" t="str">
        <x:v>3组</x:v>
      </x:c>
      <x:c r="F155" s="25" t="n">
        <x:v>37</x:v>
      </x:c>
      <x:c r="G155" s="25" t="n">
        <x:v>30</x:v>
      </x:c>
      <x:c r="H155" s="25" t="str">
        <x:v>2/3组</x:v>
      </x:c>
      <x:c r="I155" s="25" t="str">
        <x:v>苍白雪原；永冻荒境</x:v>
      </x:c>
      <x:c r="J155" s="25" t="str">
        <x:v>极寒禁域</x:v>
      </x:c>
    </x:row>
    <x:row r="156">
      <x:c r="A156" s="25" t="str">
        <x:v>C09-E</x:v>
      </x:c>
      <x:c r="B156" s="25" t="str">
        <x:v>亚坛高原</x:v>
      </x:c>
      <x:c r="C156" s="25" t="str">
        <x:v>半急速入场</x:v>
      </x:c>
      <x:c r="D156" s="25" t="str">
        <x:v>C08</x:v>
      </x:c>
      <x:c r="E156" s="25" t="str">
        <x:v>4组</x:v>
      </x:c>
      <x:c r="F156" s="25" t="n">
        <x:v>49</x:v>
      </x:c>
      <x:c r="G156" s="25" t="n">
        <x:v>33</x:v>
      </x:c>
      <x:c r="H156" s="25" t="str">
        <x:v>2/4组</x:v>
      </x:c>
      <x:c r="I156" s="25" t="str">
        <x:v>寒霜山径；断冰峰群</x:v>
      </x:c>
      <x:c r="J156" s="25" t="str">
        <x:v>冰宫王庭；巨人王庭</x:v>
      </x:c>
    </x:row>
    <x:row r="157">
      <x:c r="A157" s="25" t="str">
        <x:v>C09-E</x:v>
      </x:c>
      <x:c r="B157" s="25" t="str">
        <x:v>亚坛高原</x:v>
      </x:c>
      <x:c r="C157" s="25" t="str">
        <x:v>半急速入场</x:v>
      </x:c>
      <x:c r="D157" s="25" t="str">
        <x:v>C09</x:v>
      </x:c>
      <x:c r="E157" s="25" t="str">
        <x:v>5组</x:v>
      </x:c>
      <x:c r="F157" s="25" t="n">
        <x:v>61</x:v>
      </x:c>
      <x:c r="G157" s="25" t="n">
        <x:v>0</x:v>
      </x:c>
      <x:c r="H157" s="25" t="str">
        <x:v>0/5组</x:v>
      </x:c>
      <x:c r="I157" s="25" t="str"/>
      <x:c r="J157" s="25" t="str">
        <x:v>金叶古道；高原矿脉；古王陵园；黄金圣堂；王城前垒</x:v>
      </x:c>
    </x:row>
    <x:row r="158">
      <x:c r="A158" s="25" t="str">
        <x:v>C09-M</x:v>
      </x:c>
      <x:c r="B158" s="25" t="str">
        <x:v>亚坛高原</x:v>
      </x:c>
      <x:c r="C158" s="25" t="str">
        <x:v>半急速中期</x:v>
      </x:c>
      <x:c r="D158" s="25" t="str">
        <x:v>C01</x:v>
      </x:c>
      <x:c r="E158" s="25" t="str">
        <x:v>3组</x:v>
      </x:c>
      <x:c r="F158" s="25" t="n">
        <x:v>38</x:v>
      </x:c>
      <x:c r="G158" s="25" t="n">
        <x:v>29</x:v>
      </x:c>
      <x:c r="H158" s="25" t="str">
        <x:v>2/3组</x:v>
      </x:c>
      <x:c r="I158" s="25" t="str">
        <x:v>失乡者海岸；风暴断崖</x:v>
      </x:c>
      <x:c r="J158" s="25" t="str">
        <x:v>沉没王庭</x:v>
      </x:c>
    </x:row>
    <x:row r="159">
      <x:c r="A159" s="25" t="str">
        <x:v>C09-M</x:v>
      </x:c>
      <x:c r="B159" s="25" t="str">
        <x:v>亚坛高原</x:v>
      </x:c>
      <x:c r="C159" s="25" t="str">
        <x:v>半急速中期</x:v>
      </x:c>
      <x:c r="D159" s="25" t="str">
        <x:v>C02</x:v>
      </x:c>
      <x:c r="E159" s="25" t="str">
        <x:v>5组</x:v>
      </x:c>
      <x:c r="F159" s="25" t="n">
        <x:v>61</x:v>
      </x:c>
      <x:c r="G159" s="25" t="n">
        <x:v>53</x:v>
      </x:c>
      <x:c r="H159" s="25" t="str">
        <x:v>4/5组</x:v>
      </x:c>
      <x:c r="I159" s="25" t="str">
        <x:v>漂流墓地；关卡前废墟；迷雾丛林；风暴山谷</x:v>
      </x:c>
      <x:c r="J159" s="25" t="str">
        <x:v>史东薇尔王城</x:v>
      </x:c>
    </x:row>
    <x:row r="160">
      <x:c r="A160" s="25" t="str">
        <x:v>C09-M</x:v>
      </x:c>
      <x:c r="B160" s="25" t="str">
        <x:v>亚坛高原</x:v>
      </x:c>
      <x:c r="C160" s="25" t="str">
        <x:v>半急速中期</x:v>
      </x:c>
      <x:c r="D160" s="25" t="str">
        <x:v>C03</x:v>
      </x:c>
      <x:c r="E160" s="25" t="str">
        <x:v>6组</x:v>
      </x:c>
      <x:c r="F160" s="25" t="n">
        <x:v>73</x:v>
      </x:c>
      <x:c r="G160" s="25" t="n">
        <x:v>56</x:v>
      </x:c>
      <x:c r="H160" s="25" t="str">
        <x:v>4/6组</x:v>
      </x:c>
      <x:c r="I160" s="25" t="str">
        <x:v>西境荒原；海风断崖；失落驿道；古战场遗迹</x:v>
      </x:c>
      <x:c r="J160" s="25" t="str">
        <x:v>风蚀古垒；黄金树哨垒</x:v>
      </x:c>
    </x:row>
    <x:row r="161">
      <x:c r="A161" s="25" t="str">
        <x:v>C09-M</x:v>
      </x:c>
      <x:c r="B161" s="25" t="str">
        <x:v>亚坛高原</x:v>
      </x:c>
      <x:c r="C161" s="25" t="str">
        <x:v>半急速中期</x:v>
      </x:c>
      <x:c r="D161" s="25" t="str">
        <x:v>C04</x:v>
      </x:c>
      <x:c r="E161" s="25" t="str">
        <x:v>6组</x:v>
      </x:c>
      <x:c r="F161" s="25" t="n">
        <x:v>73</x:v>
      </x:c>
      <x:c r="G161" s="25" t="n">
        <x:v>55</x:v>
      </x:c>
      <x:c r="H161" s="25" t="str">
        <x:v>4/6组</x:v>
      </x:c>
      <x:c r="I161" s="25" t="str">
        <x:v>雾潮湿地；沉湖遗迹；湖心沉船；幽灵船骸</x:v>
      </x:c>
      <x:c r="J161" s="25" t="str">
        <x:v>深湖水道；湖底密道</x:v>
      </x:c>
    </x:row>
    <x:row r="162">
      <x:c r="A162" s="25" t="str">
        <x:v>C09-M</x:v>
      </x:c>
      <x:c r="B162" s="25" t="str">
        <x:v>亚坛高原</x:v>
      </x:c>
      <x:c r="C162" s="25" t="str">
        <x:v>半急速中期</x:v>
      </x:c>
      <x:c r="D162" s="25" t="str">
        <x:v>C05</x:v>
      </x:c>
      <x:c r="E162" s="25" t="str">
        <x:v>6组</x:v>
      </x:c>
      <x:c r="F162" s="25" t="n">
        <x:v>73</x:v>
      </x:c>
      <x:c r="G162" s="25" t="n">
        <x:v>57</x:v>
      </x:c>
      <x:c r="H162" s="25" t="str">
        <x:v>4/6组</x:v>
      </x:c>
      <x:c r="I162" s="25" t="str">
        <x:v>雾月水庭；辉石遗迹；学院回廊；满月书库</x:v>
      </x:c>
      <x:c r="J162" s="25" t="str">
        <x:v>月影水宫；卡利亚禁域</x:v>
      </x:c>
    </x:row>
    <x:row r="163">
      <x:c r="A163" s="25" t="str">
        <x:v>C09-M</x:v>
      </x:c>
      <x:c r="B163" s="25" t="str">
        <x:v>亚坛高原</x:v>
      </x:c>
      <x:c r="C163" s="25" t="str">
        <x:v>半急速中期</x:v>
      </x:c>
      <x:c r="D163" s="25" t="str">
        <x:v>C06</x:v>
      </x:c>
      <x:c r="E163" s="25" t="str">
        <x:v>3组</x:v>
      </x:c>
      <x:c r="F163" s="25" t="n">
        <x:v>37</x:v>
      </x:c>
      <x:c r="G163" s="25" t="n">
        <x:v>29</x:v>
      </x:c>
      <x:c r="H163" s="25" t="str">
        <x:v>2/3组</x:v>
      </x:c>
      <x:c r="I163" s="25" t="str">
        <x:v>猩红熔原；腐败火狱</x:v>
      </x:c>
      <x:c r="J163" s="25" t="str">
        <x:v>红狮龙窟</x:v>
      </x:c>
    </x:row>
    <x:row r="164">
      <x:c r="A164" s="25" t="str">
        <x:v>C09-M</x:v>
      </x:c>
      <x:c r="B164" s="25" t="str">
        <x:v>亚坛高原</x:v>
      </x:c>
      <x:c r="C164" s="25" t="str">
        <x:v>半急速中期</x:v>
      </x:c>
      <x:c r="D164" s="25" t="str">
        <x:v>C07</x:v>
      </x:c>
      <x:c r="E164" s="25" t="str">
        <x:v>3组</x:v>
      </x:c>
      <x:c r="F164" s="25" t="n">
        <x:v>37</x:v>
      </x:c>
      <x:c r="G164" s="25" t="n">
        <x:v>30</x:v>
      </x:c>
      <x:c r="H164" s="25" t="str">
        <x:v>2/3组</x:v>
      </x:c>
      <x:c r="I164" s="25" t="str">
        <x:v>苍白雪原；永冻荒境</x:v>
      </x:c>
      <x:c r="J164" s="25" t="str">
        <x:v>极寒禁域</x:v>
      </x:c>
    </x:row>
    <x:row r="165">
      <x:c r="A165" s="25" t="str">
        <x:v>C09-M</x:v>
      </x:c>
      <x:c r="B165" s="25" t="str">
        <x:v>亚坛高原</x:v>
      </x:c>
      <x:c r="C165" s="25" t="str">
        <x:v>半急速中期</x:v>
      </x:c>
      <x:c r="D165" s="25" t="str">
        <x:v>C08</x:v>
      </x:c>
      <x:c r="E165" s="25" t="str">
        <x:v>4组</x:v>
      </x:c>
      <x:c r="F165" s="25" t="n">
        <x:v>49</x:v>
      </x:c>
      <x:c r="G165" s="25" t="n">
        <x:v>40</x:v>
      </x:c>
      <x:c r="H165" s="25" t="str">
        <x:v>3/4组</x:v>
      </x:c>
      <x:c r="I165" s="25" t="str">
        <x:v>寒霜山径；断冰峰群；冰宫王庭</x:v>
      </x:c>
      <x:c r="J165" s="25" t="str">
        <x:v>巨人王庭</x:v>
      </x:c>
    </x:row>
    <x:row r="166">
      <x:c r="A166" s="25" t="str">
        <x:v>C09-M</x:v>
      </x:c>
      <x:c r="B166" s="25" t="str">
        <x:v>亚坛高原</x:v>
      </x:c>
      <x:c r="C166" s="25" t="str">
        <x:v>半急速中期</x:v>
      </x:c>
      <x:c r="D166" s="25" t="str">
        <x:v>C09</x:v>
      </x:c>
      <x:c r="E166" s="25" t="str">
        <x:v>5组</x:v>
      </x:c>
      <x:c r="F166" s="25" t="n">
        <x:v>61</x:v>
      </x:c>
      <x:c r="G166" s="25" t="n">
        <x:v>18</x:v>
      </x:c>
      <x:c r="H166" s="25" t="str">
        <x:v>1/5组</x:v>
      </x:c>
      <x:c r="I166" s="25" t="str">
        <x:v>金叶古道</x:v>
      </x:c>
      <x:c r="J166" s="25" t="str">
        <x:v>高原矿脉；古王陵园；黄金圣堂；王城前垒</x:v>
      </x:c>
    </x:row>
    <x:row r="167">
      <x:c r="A167" s="25" t="str">
        <x:v>C09-G</x:v>
      </x:c>
      <x:c r="B167" s="25" t="str">
        <x:v>亚坛高原</x:v>
      </x:c>
      <x:c r="C167" s="25" t="str">
        <x:v>半急速毕业</x:v>
      </x:c>
      <x:c r="D167" s="25" t="str">
        <x:v>C01</x:v>
      </x:c>
      <x:c r="E167" s="25" t="str">
        <x:v>3组</x:v>
      </x:c>
      <x:c r="F167" s="25" t="n">
        <x:v>38</x:v>
      </x:c>
      <x:c r="G167" s="25" t="n">
        <x:v>29</x:v>
      </x:c>
      <x:c r="H167" s="25" t="str">
        <x:v>2/3组</x:v>
      </x:c>
      <x:c r="I167" s="25" t="str">
        <x:v>失乡者海岸；风暴断崖</x:v>
      </x:c>
      <x:c r="J167" s="25" t="str">
        <x:v>沉没王庭</x:v>
      </x:c>
    </x:row>
    <x:row r="168">
      <x:c r="A168" s="25" t="str">
        <x:v>C09-G</x:v>
      </x:c>
      <x:c r="B168" s="25" t="str">
        <x:v>亚坛高原</x:v>
      </x:c>
      <x:c r="C168" s="25" t="str">
        <x:v>半急速毕业</x:v>
      </x:c>
      <x:c r="D168" s="25" t="str">
        <x:v>C02</x:v>
      </x:c>
      <x:c r="E168" s="25" t="str">
        <x:v>5组</x:v>
      </x:c>
      <x:c r="F168" s="25" t="n">
        <x:v>61</x:v>
      </x:c>
      <x:c r="G168" s="25" t="n">
        <x:v>53</x:v>
      </x:c>
      <x:c r="H168" s="25" t="str">
        <x:v>4/5组</x:v>
      </x:c>
      <x:c r="I168" s="25" t="str">
        <x:v>漂流墓地；关卡前废墟；迷雾丛林；风暴山谷</x:v>
      </x:c>
      <x:c r="J168" s="25" t="str">
        <x:v>史东薇尔王城</x:v>
      </x:c>
    </x:row>
    <x:row r="169">
      <x:c r="A169" s="25" t="str">
        <x:v>C09-G</x:v>
      </x:c>
      <x:c r="B169" s="25" t="str">
        <x:v>亚坛高原</x:v>
      </x:c>
      <x:c r="C169" s="25" t="str">
        <x:v>半急速毕业</x:v>
      </x:c>
      <x:c r="D169" s="25" t="str">
        <x:v>C03</x:v>
      </x:c>
      <x:c r="E169" s="25" t="str">
        <x:v>6组</x:v>
      </x:c>
      <x:c r="F169" s="25" t="n">
        <x:v>73</x:v>
      </x:c>
      <x:c r="G169" s="25" t="n">
        <x:v>56</x:v>
      </x:c>
      <x:c r="H169" s="25" t="str">
        <x:v>4/6组</x:v>
      </x:c>
      <x:c r="I169" s="25" t="str">
        <x:v>西境荒原；海风断崖；失落驿道；古战场遗迹</x:v>
      </x:c>
      <x:c r="J169" s="25" t="str">
        <x:v>风蚀古垒；黄金树哨垒</x:v>
      </x:c>
    </x:row>
    <x:row r="170">
      <x:c r="A170" s="25" t="str">
        <x:v>C09-G</x:v>
      </x:c>
      <x:c r="B170" s="25" t="str">
        <x:v>亚坛高原</x:v>
      </x:c>
      <x:c r="C170" s="25" t="str">
        <x:v>半急速毕业</x:v>
      </x:c>
      <x:c r="D170" s="25" t="str">
        <x:v>C04</x:v>
      </x:c>
      <x:c r="E170" s="25" t="str">
        <x:v>6组</x:v>
      </x:c>
      <x:c r="F170" s="25" t="n">
        <x:v>73</x:v>
      </x:c>
      <x:c r="G170" s="25" t="n">
        <x:v>55</x:v>
      </x:c>
      <x:c r="H170" s="25" t="str">
        <x:v>4/6组</x:v>
      </x:c>
      <x:c r="I170" s="25" t="str">
        <x:v>雾潮湿地；沉湖遗迹；湖心沉船；幽灵船骸</x:v>
      </x:c>
      <x:c r="J170" s="25" t="str">
        <x:v>深湖水道；湖底密道</x:v>
      </x:c>
    </x:row>
    <x:row r="171">
      <x:c r="A171" s="25" t="str">
        <x:v>C09-G</x:v>
      </x:c>
      <x:c r="B171" s="25" t="str">
        <x:v>亚坛高原</x:v>
      </x:c>
      <x:c r="C171" s="25" t="str">
        <x:v>半急速毕业</x:v>
      </x:c>
      <x:c r="D171" s="25" t="str">
        <x:v>C05</x:v>
      </x:c>
      <x:c r="E171" s="25" t="str">
        <x:v>6组</x:v>
      </x:c>
      <x:c r="F171" s="25" t="n">
        <x:v>73</x:v>
      </x:c>
      <x:c r="G171" s="25" t="n">
        <x:v>57</x:v>
      </x:c>
      <x:c r="H171" s="25" t="str">
        <x:v>4/6组</x:v>
      </x:c>
      <x:c r="I171" s="25" t="str">
        <x:v>雾月水庭；辉石遗迹；学院回廊；满月书库</x:v>
      </x:c>
      <x:c r="J171" s="25" t="str">
        <x:v>月影水宫；卡利亚禁域</x:v>
      </x:c>
    </x:row>
    <x:row r="172">
      <x:c r="A172" s="25" t="str">
        <x:v>C09-G</x:v>
      </x:c>
      <x:c r="B172" s="25" t="str">
        <x:v>亚坛高原</x:v>
      </x:c>
      <x:c r="C172" s="25" t="str">
        <x:v>半急速毕业</x:v>
      </x:c>
      <x:c r="D172" s="25" t="str">
        <x:v>C06</x:v>
      </x:c>
      <x:c r="E172" s="25" t="str">
        <x:v>3组</x:v>
      </x:c>
      <x:c r="F172" s="25" t="n">
        <x:v>37</x:v>
      </x:c>
      <x:c r="G172" s="25" t="n">
        <x:v>29</x:v>
      </x:c>
      <x:c r="H172" s="25" t="str">
        <x:v>2/3组</x:v>
      </x:c>
      <x:c r="I172" s="25" t="str">
        <x:v>猩红熔原；腐败火狱</x:v>
      </x:c>
      <x:c r="J172" s="25" t="str">
        <x:v>红狮龙窟</x:v>
      </x:c>
    </x:row>
    <x:row r="173">
      <x:c r="A173" s="25" t="str">
        <x:v>C09-G</x:v>
      </x:c>
      <x:c r="B173" s="25" t="str">
        <x:v>亚坛高原</x:v>
      </x:c>
      <x:c r="C173" s="25" t="str">
        <x:v>半急速毕业</x:v>
      </x:c>
      <x:c r="D173" s="25" t="str">
        <x:v>C07</x:v>
      </x:c>
      <x:c r="E173" s="25" t="str">
        <x:v>3组</x:v>
      </x:c>
      <x:c r="F173" s="25" t="n">
        <x:v>37</x:v>
      </x:c>
      <x:c r="G173" s="25" t="n">
        <x:v>30</x:v>
      </x:c>
      <x:c r="H173" s="25" t="str">
        <x:v>2/3组</x:v>
      </x:c>
      <x:c r="I173" s="25" t="str">
        <x:v>苍白雪原；永冻荒境</x:v>
      </x:c>
      <x:c r="J173" s="25" t="str">
        <x:v>极寒禁域</x:v>
      </x:c>
    </x:row>
    <x:row r="174">
      <x:c r="A174" s="25" t="str">
        <x:v>C09-G</x:v>
      </x:c>
      <x:c r="B174" s="25" t="str">
        <x:v>亚坛高原</x:v>
      </x:c>
      <x:c r="C174" s="25" t="str">
        <x:v>半急速毕业</x:v>
      </x:c>
      <x:c r="D174" s="25" t="str">
        <x:v>C08</x:v>
      </x:c>
      <x:c r="E174" s="25" t="str">
        <x:v>4组</x:v>
      </x:c>
      <x:c r="F174" s="25" t="n">
        <x:v>49</x:v>
      </x:c>
      <x:c r="G174" s="25" t="n">
        <x:v>40</x:v>
      </x:c>
      <x:c r="H174" s="25" t="str">
        <x:v>3/4组</x:v>
      </x:c>
      <x:c r="I174" s="25" t="str">
        <x:v>寒霜山径；断冰峰群；冰宫王庭</x:v>
      </x:c>
      <x:c r="J174" s="25" t="str">
        <x:v>巨人王庭</x:v>
      </x:c>
    </x:row>
    <x:row r="175">
      <x:c r="A175" s="25" t="str">
        <x:v>C09-G</x:v>
      </x:c>
      <x:c r="B175" s="25" t="str">
        <x:v>亚坛高原</x:v>
      </x:c>
      <x:c r="C175" s="25" t="str">
        <x:v>半急速毕业</x:v>
      </x:c>
      <x:c r="D175" s="25" t="str">
        <x:v>C09</x:v>
      </x:c>
      <x:c r="E175" s="25" t="str">
        <x:v>5组</x:v>
      </x:c>
      <x:c r="F175" s="25" t="n">
        <x:v>61</x:v>
      </x:c>
      <x:c r="G175" s="25" t="n">
        <x:v>45</x:v>
      </x:c>
      <x:c r="H175" s="25" t="str">
        <x:v>3/5组</x:v>
      </x:c>
      <x:c r="I175" s="25" t="str">
        <x:v>金叶古道；高原矿脉；古王陵园</x:v>
      </x:c>
      <x:c r="J175" s="25" t="str">
        <x:v>黄金圣堂；王城前垒</x:v>
      </x:c>
    </x:row>
    <x:row r="176">
      <x:c r="A176" s="25" t="str">
        <x:v>C09-X</x:v>
      </x:c>
      <x:c r="B176" s="25" t="str">
        <x:v>亚坛高原</x:v>
      </x:c>
      <x:c r="C176" s="25" t="str">
        <x:v>极端压力</x:v>
      </x:c>
      <x:c r="D176" s="25" t="str">
        <x:v>C01</x:v>
      </x:c>
      <x:c r="E176" s="25" t="str">
        <x:v>3组</x:v>
      </x:c>
      <x:c r="F176" s="25" t="n">
        <x:v>38</x:v>
      </x:c>
      <x:c r="G176" s="25" t="n">
        <x:v>38</x:v>
      </x:c>
      <x:c r="H176" s="25" t="str">
        <x:v>3/3组</x:v>
      </x:c>
      <x:c r="I176" s="25" t="str">
        <x:v>失乡者海岸；风暴断崖；沉没王庭</x:v>
      </x:c>
      <x:c r="J176" s="25" t="str"/>
    </x:row>
    <x:row r="177">
      <x:c r="A177" s="25" t="str">
        <x:v>C09-X</x:v>
      </x:c>
      <x:c r="B177" s="25" t="str">
        <x:v>亚坛高原</x:v>
      </x:c>
      <x:c r="C177" s="25" t="str">
        <x:v>极端压力</x:v>
      </x:c>
      <x:c r="D177" s="25" t="str">
        <x:v>C02</x:v>
      </x:c>
      <x:c r="E177" s="25" t="str">
        <x:v>5组</x:v>
      </x:c>
      <x:c r="F177" s="25" t="n">
        <x:v>61</x:v>
      </x:c>
      <x:c r="G177" s="25" t="n">
        <x:v>61</x:v>
      </x:c>
      <x:c r="H177" s="25" t="str">
        <x:v>5/5组</x:v>
      </x:c>
      <x:c r="I177" s="25" t="str">
        <x:v>漂流墓地；关卡前废墟；迷雾丛林；风暴山谷；史东薇尔王城</x:v>
      </x:c>
      <x:c r="J177" s="25" t="str"/>
    </x:row>
    <x:row r="178">
      <x:c r="A178" s="25" t="str">
        <x:v>C09-X</x:v>
      </x:c>
      <x:c r="B178" s="25" t="str">
        <x:v>亚坛高原</x:v>
      </x:c>
      <x:c r="C178" s="25" t="str">
        <x:v>极端压力</x:v>
      </x:c>
      <x:c r="D178" s="25" t="str">
        <x:v>C03</x:v>
      </x:c>
      <x:c r="E178" s="25" t="str">
        <x:v>6组</x:v>
      </x:c>
      <x:c r="F178" s="25" t="n">
        <x:v>73</x:v>
      </x:c>
      <x:c r="G178" s="25" t="n">
        <x:v>73</x:v>
      </x:c>
      <x:c r="H178" s="25" t="str">
        <x:v>6/6组</x:v>
      </x:c>
      <x:c r="I178" s="25" t="str">
        <x:v>西境荒原；海风断崖；失落驿道；古战场遗迹；风蚀古垒；黄金树哨垒</x:v>
      </x:c>
      <x:c r="J178" s="25" t="str"/>
    </x:row>
    <x:row r="179">
      <x:c r="A179" s="25" t="str">
        <x:v>C09-X</x:v>
      </x:c>
      <x:c r="B179" s="25" t="str">
        <x:v>亚坛高原</x:v>
      </x:c>
      <x:c r="C179" s="25" t="str">
        <x:v>极端压力</x:v>
      </x:c>
      <x:c r="D179" s="25" t="str">
        <x:v>C04</x:v>
      </x:c>
      <x:c r="E179" s="25" t="str">
        <x:v>6组</x:v>
      </x:c>
      <x:c r="F179" s="25" t="n">
        <x:v>73</x:v>
      </x:c>
      <x:c r="G179" s="25" t="n">
        <x:v>73</x:v>
      </x:c>
      <x:c r="H179" s="25" t="str">
        <x:v>6/6组</x:v>
      </x:c>
      <x:c r="I179" s="25" t="str">
        <x:v>雾潮湿地；沉湖遗迹；湖心沉船；幽灵船骸；深湖水道；湖底密道</x:v>
      </x:c>
      <x:c r="J179" s="25" t="str"/>
    </x:row>
    <x:row r="180">
      <x:c r="A180" s="25" t="str">
        <x:v>C09-X</x:v>
      </x:c>
      <x:c r="B180" s="25" t="str">
        <x:v>亚坛高原</x:v>
      </x:c>
      <x:c r="C180" s="25" t="str">
        <x:v>极端压力</x:v>
      </x:c>
      <x:c r="D180" s="25" t="str">
        <x:v>C05</x:v>
      </x:c>
      <x:c r="E180" s="25" t="str">
        <x:v>6组</x:v>
      </x:c>
      <x:c r="F180" s="25" t="n">
        <x:v>73</x:v>
      </x:c>
      <x:c r="G180" s="25" t="n">
        <x:v>73</x:v>
      </x:c>
      <x:c r="H180" s="25" t="str">
        <x:v>6/6组</x:v>
      </x:c>
      <x:c r="I180" s="25" t="str">
        <x:v>雾月水庭；辉石遗迹；学院回廊；满月书库；月影水宫；卡利亚禁域</x:v>
      </x:c>
      <x:c r="J180" s="25" t="str"/>
    </x:row>
    <x:row r="181">
      <x:c r="A181" s="25" t="str">
        <x:v>C09-X</x:v>
      </x:c>
      <x:c r="B181" s="25" t="str">
        <x:v>亚坛高原</x:v>
      </x:c>
      <x:c r="C181" s="25" t="str">
        <x:v>极端压力</x:v>
      </x:c>
      <x:c r="D181" s="25" t="str">
        <x:v>C06</x:v>
      </x:c>
      <x:c r="E181" s="25" t="str">
        <x:v>3组</x:v>
      </x:c>
      <x:c r="F181" s="25" t="n">
        <x:v>37</x:v>
      </x:c>
      <x:c r="G181" s="25" t="n">
        <x:v>37</x:v>
      </x:c>
      <x:c r="H181" s="25" t="str">
        <x:v>3/3组</x:v>
      </x:c>
      <x:c r="I181" s="25" t="str">
        <x:v>猩红熔原；腐败火狱；红狮龙窟</x:v>
      </x:c>
      <x:c r="J181" s="25" t="str"/>
    </x:row>
    <x:row r="182">
      <x:c r="A182" s="25" t="str">
        <x:v>C09-X</x:v>
      </x:c>
      <x:c r="B182" s="25" t="str">
        <x:v>亚坛高原</x:v>
      </x:c>
      <x:c r="C182" s="25" t="str">
        <x:v>极端压力</x:v>
      </x:c>
      <x:c r="D182" s="25" t="str">
        <x:v>C07</x:v>
      </x:c>
      <x:c r="E182" s="25" t="str">
        <x:v>3组</x:v>
      </x:c>
      <x:c r="F182" s="25" t="n">
        <x:v>37</x:v>
      </x:c>
      <x:c r="G182" s="25" t="n">
        <x:v>37</x:v>
      </x:c>
      <x:c r="H182" s="25" t="str">
        <x:v>3/3组</x:v>
      </x:c>
      <x:c r="I182" s="25" t="str">
        <x:v>苍白雪原；永冻荒境；极寒禁域</x:v>
      </x:c>
      <x:c r="J182" s="25" t="str"/>
    </x:row>
    <x:row r="183">
      <x:c r="A183" s="25" t="str">
        <x:v>C09-X</x:v>
      </x:c>
      <x:c r="B183" s="25" t="str">
        <x:v>亚坛高原</x:v>
      </x:c>
      <x:c r="C183" s="25" t="str">
        <x:v>极端压力</x:v>
      </x:c>
      <x:c r="D183" s="25" t="str">
        <x:v>C08</x:v>
      </x:c>
      <x:c r="E183" s="25" t="str">
        <x:v>4组</x:v>
      </x:c>
      <x:c r="F183" s="25" t="n">
        <x:v>49</x:v>
      </x:c>
      <x:c r="G183" s="25" t="n">
        <x:v>49</x:v>
      </x:c>
      <x:c r="H183" s="25" t="str">
        <x:v>4/4组</x:v>
      </x:c>
      <x:c r="I183" s="25" t="str">
        <x:v>寒霜山径；断冰峰群；冰宫王庭；巨人王庭</x:v>
      </x:c>
      <x:c r="J183" s="25" t="str"/>
    </x:row>
    <x:row r="184">
      <x:c r="A184" s="25" t="str">
        <x:v>C09-X</x:v>
      </x:c>
      <x:c r="B184" s="25" t="str">
        <x:v>亚坛高原</x:v>
      </x:c>
      <x:c r="C184" s="25" t="str">
        <x:v>极端压力</x:v>
      </x:c>
      <x:c r="D184" s="25" t="str">
        <x:v>C09</x:v>
      </x:c>
      <x:c r="E184" s="25" t="str">
        <x:v>5组</x:v>
      </x:c>
      <x:c r="F184" s="25" t="n">
        <x:v>61</x:v>
      </x:c>
      <x:c r="G184" s="25" t="n">
        <x:v>61</x:v>
      </x:c>
      <x:c r="H184" s="25" t="str">
        <x:v>5/5组</x:v>
      </x:c>
      <x:c r="I184" s="25" t="str">
        <x:v>金叶古道；高原矿脉；古王陵园；黄金圣堂；王城前垒</x:v>
      </x:c>
      <x:c r="J184" s="25" t="str"/>
    </x:row>
    <x:row r="185">
      <x:c r="A185" s="25" t="str">
        <x:v>C10-E</x:v>
      </x:c>
      <x:c r="B185" s="25" t="str">
        <x:v>王城罗德尔</x:v>
      </x:c>
      <x:c r="C185" s="25" t="str">
        <x:v>半急速入场</x:v>
      </x:c>
      <x:c r="D185" s="25" t="str">
        <x:v>C01</x:v>
      </x:c>
      <x:c r="E185" s="25" t="str">
        <x:v>3组</x:v>
      </x:c>
      <x:c r="F185" s="25" t="n">
        <x:v>38</x:v>
      </x:c>
      <x:c r="G185" s="25" t="n">
        <x:v>29</x:v>
      </x:c>
      <x:c r="H185" s="25" t="str">
        <x:v>2/3组</x:v>
      </x:c>
      <x:c r="I185" s="25" t="str">
        <x:v>失乡者海岸；风暴断崖</x:v>
      </x:c>
      <x:c r="J185" s="25" t="str">
        <x:v>沉没王庭</x:v>
      </x:c>
    </x:row>
    <x:row r="186">
      <x:c r="A186" s="25" t="str">
        <x:v>C10-E</x:v>
      </x:c>
      <x:c r="B186" s="25" t="str">
        <x:v>王城罗德尔</x:v>
      </x:c>
      <x:c r="C186" s="25" t="str">
        <x:v>半急速入场</x:v>
      </x:c>
      <x:c r="D186" s="25" t="str">
        <x:v>C02</x:v>
      </x:c>
      <x:c r="E186" s="25" t="str">
        <x:v>5组</x:v>
      </x:c>
      <x:c r="F186" s="25" t="n">
        <x:v>61</x:v>
      </x:c>
      <x:c r="G186" s="25" t="n">
        <x:v>53</x:v>
      </x:c>
      <x:c r="H186" s="25" t="str">
        <x:v>4/5组</x:v>
      </x:c>
      <x:c r="I186" s="25" t="str">
        <x:v>漂流墓地；关卡前废墟；迷雾丛林；风暴山谷</x:v>
      </x:c>
      <x:c r="J186" s="25" t="str">
        <x:v>史东薇尔王城</x:v>
      </x:c>
    </x:row>
    <x:row r="187">
      <x:c r="A187" s="25" t="str">
        <x:v>C10-E</x:v>
      </x:c>
      <x:c r="B187" s="25" t="str">
        <x:v>王城罗德尔</x:v>
      </x:c>
      <x:c r="C187" s="25" t="str">
        <x:v>半急速入场</x:v>
      </x:c>
      <x:c r="D187" s="25" t="str">
        <x:v>C03</x:v>
      </x:c>
      <x:c r="E187" s="25" t="str">
        <x:v>6组</x:v>
      </x:c>
      <x:c r="F187" s="25" t="n">
        <x:v>73</x:v>
      </x:c>
      <x:c r="G187" s="25" t="n">
        <x:v>56</x:v>
      </x:c>
      <x:c r="H187" s="25" t="str">
        <x:v>4/6组</x:v>
      </x:c>
      <x:c r="I187" s="25" t="str">
        <x:v>西境荒原；海风断崖；失落驿道；古战场遗迹</x:v>
      </x:c>
      <x:c r="J187" s="25" t="str">
        <x:v>风蚀古垒；黄金树哨垒</x:v>
      </x:c>
    </x:row>
    <x:row r="188">
      <x:c r="A188" s="25" t="str">
        <x:v>C10-E</x:v>
      </x:c>
      <x:c r="B188" s="25" t="str">
        <x:v>王城罗德尔</x:v>
      </x:c>
      <x:c r="C188" s="25" t="str">
        <x:v>半急速入场</x:v>
      </x:c>
      <x:c r="D188" s="25" t="str">
        <x:v>C04</x:v>
      </x:c>
      <x:c r="E188" s="25" t="str">
        <x:v>6组</x:v>
      </x:c>
      <x:c r="F188" s="25" t="n">
        <x:v>73</x:v>
      </x:c>
      <x:c r="G188" s="25" t="n">
        <x:v>55</x:v>
      </x:c>
      <x:c r="H188" s="25" t="str">
        <x:v>4/6组</x:v>
      </x:c>
      <x:c r="I188" s="25" t="str">
        <x:v>雾潮湿地；沉湖遗迹；湖心沉船；幽灵船骸</x:v>
      </x:c>
      <x:c r="J188" s="25" t="str">
        <x:v>深湖水道；湖底密道</x:v>
      </x:c>
    </x:row>
    <x:row r="189">
      <x:c r="A189" s="25" t="str">
        <x:v>C10-E</x:v>
      </x:c>
      <x:c r="B189" s="25" t="str">
        <x:v>王城罗德尔</x:v>
      </x:c>
      <x:c r="C189" s="25" t="str">
        <x:v>半急速入场</x:v>
      </x:c>
      <x:c r="D189" s="25" t="str">
        <x:v>C05</x:v>
      </x:c>
      <x:c r="E189" s="25" t="str">
        <x:v>6组</x:v>
      </x:c>
      <x:c r="F189" s="25" t="n">
        <x:v>73</x:v>
      </x:c>
      <x:c r="G189" s="25" t="n">
        <x:v>57</x:v>
      </x:c>
      <x:c r="H189" s="25" t="str">
        <x:v>4/6组</x:v>
      </x:c>
      <x:c r="I189" s="25" t="str">
        <x:v>雾月水庭；辉石遗迹；学院回廊；满月书库</x:v>
      </x:c>
      <x:c r="J189" s="25" t="str">
        <x:v>月影水宫；卡利亚禁域</x:v>
      </x:c>
    </x:row>
    <x:row r="190">
      <x:c r="A190" s="25" t="str">
        <x:v>C10-E</x:v>
      </x:c>
      <x:c r="B190" s="25" t="str">
        <x:v>王城罗德尔</x:v>
      </x:c>
      <x:c r="C190" s="25" t="str">
        <x:v>半急速入场</x:v>
      </x:c>
      <x:c r="D190" s="25" t="str">
        <x:v>C06</x:v>
      </x:c>
      <x:c r="E190" s="25" t="str">
        <x:v>3组</x:v>
      </x:c>
      <x:c r="F190" s="25" t="n">
        <x:v>37</x:v>
      </x:c>
      <x:c r="G190" s="25" t="n">
        <x:v>29</x:v>
      </x:c>
      <x:c r="H190" s="25" t="str">
        <x:v>2/3组</x:v>
      </x:c>
      <x:c r="I190" s="25" t="str">
        <x:v>猩红熔原；腐败火狱</x:v>
      </x:c>
      <x:c r="J190" s="25" t="str">
        <x:v>红狮龙窟</x:v>
      </x:c>
    </x:row>
    <x:row r="191">
      <x:c r="A191" s="25" t="str">
        <x:v>C10-E</x:v>
      </x:c>
      <x:c r="B191" s="25" t="str">
        <x:v>王城罗德尔</x:v>
      </x:c>
      <x:c r="C191" s="25" t="str">
        <x:v>半急速入场</x:v>
      </x:c>
      <x:c r="D191" s="25" t="str">
        <x:v>C07</x:v>
      </x:c>
      <x:c r="E191" s="25" t="str">
        <x:v>3组</x:v>
      </x:c>
      <x:c r="F191" s="25" t="n">
        <x:v>37</x:v>
      </x:c>
      <x:c r="G191" s="25" t="n">
        <x:v>30</x:v>
      </x:c>
      <x:c r="H191" s="25" t="str">
        <x:v>2/3组</x:v>
      </x:c>
      <x:c r="I191" s="25" t="str">
        <x:v>苍白雪原；永冻荒境</x:v>
      </x:c>
      <x:c r="J191" s="25" t="str">
        <x:v>极寒禁域</x:v>
      </x:c>
    </x:row>
    <x:row r="192">
      <x:c r="A192" s="25" t="str">
        <x:v>C10-E</x:v>
      </x:c>
      <x:c r="B192" s="25" t="str">
        <x:v>王城罗德尔</x:v>
      </x:c>
      <x:c r="C192" s="25" t="str">
        <x:v>半急速入场</x:v>
      </x:c>
      <x:c r="D192" s="25" t="str">
        <x:v>C08</x:v>
      </x:c>
      <x:c r="E192" s="25" t="str">
        <x:v>4组</x:v>
      </x:c>
      <x:c r="F192" s="25" t="n">
        <x:v>49</x:v>
      </x:c>
      <x:c r="G192" s="25" t="n">
        <x:v>40</x:v>
      </x:c>
      <x:c r="H192" s="25" t="str">
        <x:v>3/4组</x:v>
      </x:c>
      <x:c r="I192" s="25" t="str">
        <x:v>寒霜山径；断冰峰群；冰宫王庭</x:v>
      </x:c>
      <x:c r="J192" s="25" t="str">
        <x:v>巨人王庭</x:v>
      </x:c>
    </x:row>
    <x:row r="193">
      <x:c r="A193" s="25" t="str">
        <x:v>C10-E</x:v>
      </x:c>
      <x:c r="B193" s="25" t="str">
        <x:v>王城罗德尔</x:v>
      </x:c>
      <x:c r="C193" s="25" t="str">
        <x:v>半急速入场</x:v>
      </x:c>
      <x:c r="D193" s="25" t="str">
        <x:v>C09</x:v>
      </x:c>
      <x:c r="E193" s="25" t="str">
        <x:v>5组</x:v>
      </x:c>
      <x:c r="F193" s="25" t="n">
        <x:v>61</x:v>
      </x:c>
      <x:c r="G193" s="25" t="n">
        <x:v>45</x:v>
      </x:c>
      <x:c r="H193" s="25" t="str">
        <x:v>3/5组</x:v>
      </x:c>
      <x:c r="I193" s="25" t="str">
        <x:v>金叶古道；高原矿脉；古王陵园</x:v>
      </x:c>
      <x:c r="J193" s="25" t="str">
        <x:v>黄金圣堂；王城前垒</x:v>
      </x:c>
    </x:row>
    <x:row r="194">
      <x:c r="A194" s="25" t="str">
        <x:v>C10-E</x:v>
      </x:c>
      <x:c r="B194" s="25" t="str">
        <x:v>王城罗德尔</x:v>
      </x:c>
      <x:c r="C194" s="25" t="str">
        <x:v>半急速入场</x:v>
      </x:c>
      <x:c r="D194" s="25" t="str">
        <x:v>C10</x:v>
      </x:c>
      <x:c r="E194" s="25" t="str">
        <x:v>5组</x:v>
      </x:c>
      <x:c r="F194" s="25" t="n">
        <x:v>61</x:v>
      </x:c>
      <x:c r="G194" s="25" t="n">
        <x:v>0</x:v>
      </x:c>
      <x:c r="H194" s="25" t="str">
        <x:v>0/5组</x:v>
      </x:c>
      <x:c r="I194" s="25" t="str"/>
      <x:c r="J194" s="25" t="str">
        <x:v>王城下城区；黄金排水道；王城矿井；王城地穴；黄金王宫</x:v>
      </x:c>
    </x:row>
    <x:row r="195">
      <x:c r="A195" s="25" t="str">
        <x:v>C10-M</x:v>
      </x:c>
      <x:c r="B195" s="25" t="str">
        <x:v>王城罗德尔</x:v>
      </x:c>
      <x:c r="C195" s="25" t="str">
        <x:v>半急速中期</x:v>
      </x:c>
      <x:c r="D195" s="25" t="str">
        <x:v>C01</x:v>
      </x:c>
      <x:c r="E195" s="25" t="str">
        <x:v>3组</x:v>
      </x:c>
      <x:c r="F195" s="25" t="n">
        <x:v>38</x:v>
      </x:c>
      <x:c r="G195" s="25" t="n">
        <x:v>29</x:v>
      </x:c>
      <x:c r="H195" s="25" t="str">
        <x:v>2/3组</x:v>
      </x:c>
      <x:c r="I195" s="25" t="str">
        <x:v>失乡者海岸；风暴断崖</x:v>
      </x:c>
      <x:c r="J195" s="25" t="str">
        <x:v>沉没王庭</x:v>
      </x:c>
    </x:row>
    <x:row r="196">
      <x:c r="A196" s="25" t="str">
        <x:v>C10-M</x:v>
      </x:c>
      <x:c r="B196" s="25" t="str">
        <x:v>王城罗德尔</x:v>
      </x:c>
      <x:c r="C196" s="25" t="str">
        <x:v>半急速中期</x:v>
      </x:c>
      <x:c r="D196" s="25" t="str">
        <x:v>C02</x:v>
      </x:c>
      <x:c r="E196" s="25" t="str">
        <x:v>5组</x:v>
      </x:c>
      <x:c r="F196" s="25" t="n">
        <x:v>61</x:v>
      </x:c>
      <x:c r="G196" s="25" t="n">
        <x:v>53</x:v>
      </x:c>
      <x:c r="H196" s="25" t="str">
        <x:v>4/5组</x:v>
      </x:c>
      <x:c r="I196" s="25" t="str">
        <x:v>漂流墓地；关卡前废墟；迷雾丛林；风暴山谷</x:v>
      </x:c>
      <x:c r="J196" s="25" t="str">
        <x:v>史东薇尔王城</x:v>
      </x:c>
    </x:row>
    <x:row r="197">
      <x:c r="A197" s="25" t="str">
        <x:v>C10-M</x:v>
      </x:c>
      <x:c r="B197" s="25" t="str">
        <x:v>王城罗德尔</x:v>
      </x:c>
      <x:c r="C197" s="25" t="str">
        <x:v>半急速中期</x:v>
      </x:c>
      <x:c r="D197" s="25" t="str">
        <x:v>C03</x:v>
      </x:c>
      <x:c r="E197" s="25" t="str">
        <x:v>6组</x:v>
      </x:c>
      <x:c r="F197" s="25" t="n">
        <x:v>73</x:v>
      </x:c>
      <x:c r="G197" s="25" t="n">
        <x:v>56</x:v>
      </x:c>
      <x:c r="H197" s="25" t="str">
        <x:v>4/6组</x:v>
      </x:c>
      <x:c r="I197" s="25" t="str">
        <x:v>西境荒原；海风断崖；失落驿道；古战场遗迹</x:v>
      </x:c>
      <x:c r="J197" s="25" t="str">
        <x:v>风蚀古垒；黄金树哨垒</x:v>
      </x:c>
    </x:row>
    <x:row r="198">
      <x:c r="A198" s="25" t="str">
        <x:v>C10-M</x:v>
      </x:c>
      <x:c r="B198" s="25" t="str">
        <x:v>王城罗德尔</x:v>
      </x:c>
      <x:c r="C198" s="25" t="str">
        <x:v>半急速中期</x:v>
      </x:c>
      <x:c r="D198" s="25" t="str">
        <x:v>C04</x:v>
      </x:c>
      <x:c r="E198" s="25" t="str">
        <x:v>6组</x:v>
      </x:c>
      <x:c r="F198" s="25" t="n">
        <x:v>73</x:v>
      </x:c>
      <x:c r="G198" s="25" t="n">
        <x:v>55</x:v>
      </x:c>
      <x:c r="H198" s="25" t="str">
        <x:v>4/6组</x:v>
      </x:c>
      <x:c r="I198" s="25" t="str">
        <x:v>雾潮湿地；沉湖遗迹；湖心沉船；幽灵船骸</x:v>
      </x:c>
      <x:c r="J198" s="25" t="str">
        <x:v>深湖水道；湖底密道</x:v>
      </x:c>
    </x:row>
    <x:row r="199">
      <x:c r="A199" s="25" t="str">
        <x:v>C10-M</x:v>
      </x:c>
      <x:c r="B199" s="25" t="str">
        <x:v>王城罗德尔</x:v>
      </x:c>
      <x:c r="C199" s="25" t="str">
        <x:v>半急速中期</x:v>
      </x:c>
      <x:c r="D199" s="25" t="str">
        <x:v>C05</x:v>
      </x:c>
      <x:c r="E199" s="25" t="str">
        <x:v>6组</x:v>
      </x:c>
      <x:c r="F199" s="25" t="n">
        <x:v>73</x:v>
      </x:c>
      <x:c r="G199" s="25" t="n">
        <x:v>57</x:v>
      </x:c>
      <x:c r="H199" s="25" t="str">
        <x:v>4/6组</x:v>
      </x:c>
      <x:c r="I199" s="25" t="str">
        <x:v>雾月水庭；辉石遗迹；学院回廊；满月书库</x:v>
      </x:c>
      <x:c r="J199" s="25" t="str">
        <x:v>月影水宫；卡利亚禁域</x:v>
      </x:c>
    </x:row>
    <x:row r="200">
      <x:c r="A200" s="25" t="str">
        <x:v>C10-M</x:v>
      </x:c>
      <x:c r="B200" s="25" t="str">
        <x:v>王城罗德尔</x:v>
      </x:c>
      <x:c r="C200" s="25" t="str">
        <x:v>半急速中期</x:v>
      </x:c>
      <x:c r="D200" s="25" t="str">
        <x:v>C06</x:v>
      </x:c>
      <x:c r="E200" s="25" t="str">
        <x:v>3组</x:v>
      </x:c>
      <x:c r="F200" s="25" t="n">
        <x:v>37</x:v>
      </x:c>
      <x:c r="G200" s="25" t="n">
        <x:v>29</x:v>
      </x:c>
      <x:c r="H200" s="25" t="str">
        <x:v>2/3组</x:v>
      </x:c>
      <x:c r="I200" s="25" t="str">
        <x:v>猩红熔原；腐败火狱</x:v>
      </x:c>
      <x:c r="J200" s="25" t="str">
        <x:v>红狮龙窟</x:v>
      </x:c>
    </x:row>
    <x:row r="201">
      <x:c r="A201" s="25" t="str">
        <x:v>C10-M</x:v>
      </x:c>
      <x:c r="B201" s="25" t="str">
        <x:v>王城罗德尔</x:v>
      </x:c>
      <x:c r="C201" s="25" t="str">
        <x:v>半急速中期</x:v>
      </x:c>
      <x:c r="D201" s="25" t="str">
        <x:v>C07</x:v>
      </x:c>
      <x:c r="E201" s="25" t="str">
        <x:v>3组</x:v>
      </x:c>
      <x:c r="F201" s="25" t="n">
        <x:v>37</x:v>
      </x:c>
      <x:c r="G201" s="25" t="n">
        <x:v>30</x:v>
      </x:c>
      <x:c r="H201" s="25" t="str">
        <x:v>2/3组</x:v>
      </x:c>
      <x:c r="I201" s="25" t="str">
        <x:v>苍白雪原；永冻荒境</x:v>
      </x:c>
      <x:c r="J201" s="25" t="str">
        <x:v>极寒禁域</x:v>
      </x:c>
    </x:row>
    <x:row r="202">
      <x:c r="A202" s="25" t="str">
        <x:v>C10-M</x:v>
      </x:c>
      <x:c r="B202" s="25" t="str">
        <x:v>王城罗德尔</x:v>
      </x:c>
      <x:c r="C202" s="25" t="str">
        <x:v>半急速中期</x:v>
      </x:c>
      <x:c r="D202" s="25" t="str">
        <x:v>C08</x:v>
      </x:c>
      <x:c r="E202" s="25" t="str">
        <x:v>4组</x:v>
      </x:c>
      <x:c r="F202" s="25" t="n">
        <x:v>49</x:v>
      </x:c>
      <x:c r="G202" s="25" t="n">
        <x:v>40</x:v>
      </x:c>
      <x:c r="H202" s="25" t="str">
        <x:v>3/4组</x:v>
      </x:c>
      <x:c r="I202" s="25" t="str">
        <x:v>寒霜山径；断冰峰群；冰宫王庭</x:v>
      </x:c>
      <x:c r="J202" s="25" t="str">
        <x:v>巨人王庭</x:v>
      </x:c>
    </x:row>
    <x:row r="203">
      <x:c r="A203" s="25" t="str">
        <x:v>C10-M</x:v>
      </x:c>
      <x:c r="B203" s="25" t="str">
        <x:v>王城罗德尔</x:v>
      </x:c>
      <x:c r="C203" s="25" t="str">
        <x:v>半急速中期</x:v>
      </x:c>
      <x:c r="D203" s="25" t="str">
        <x:v>C09</x:v>
      </x:c>
      <x:c r="E203" s="25" t="str">
        <x:v>5组</x:v>
      </x:c>
      <x:c r="F203" s="25" t="n">
        <x:v>61</x:v>
      </x:c>
      <x:c r="G203" s="25" t="n">
        <x:v>53</x:v>
      </x:c>
      <x:c r="H203" s="25" t="str">
        <x:v>4/5组</x:v>
      </x:c>
      <x:c r="I203" s="25" t="str">
        <x:v>金叶古道；高原矿脉；古王陵园；黄金圣堂</x:v>
      </x:c>
      <x:c r="J203" s="25" t="str">
        <x:v>王城前垒</x:v>
      </x:c>
    </x:row>
    <x:row r="204">
      <x:c r="A204" s="25" t="str">
        <x:v>C10-M</x:v>
      </x:c>
      <x:c r="B204" s="25" t="str">
        <x:v>王城罗德尔</x:v>
      </x:c>
      <x:c r="C204" s="25" t="str">
        <x:v>半急速中期</x:v>
      </x:c>
      <x:c r="D204" s="25" t="str">
        <x:v>C10</x:v>
      </x:c>
      <x:c r="E204" s="25" t="str">
        <x:v>5组</x:v>
      </x:c>
      <x:c r="F204" s="25" t="n">
        <x:v>61</x:v>
      </x:c>
      <x:c r="G204" s="25" t="n">
        <x:v>21</x:v>
      </x:c>
      <x:c r="H204" s="25" t="str">
        <x:v>1/5组</x:v>
      </x:c>
      <x:c r="I204" s="25" t="str">
        <x:v>王城下城区</x:v>
      </x:c>
      <x:c r="J204" s="25" t="str">
        <x:v>黄金排水道；王城矿井；王城地穴；黄金王宫</x:v>
      </x:c>
    </x:row>
    <x:row r="205">
      <x:c r="A205" s="25" t="str">
        <x:v>C10-G</x:v>
      </x:c>
      <x:c r="B205" s="25" t="str">
        <x:v>王城罗德尔</x:v>
      </x:c>
      <x:c r="C205" s="25" t="str">
        <x:v>半急速毕业</x:v>
      </x:c>
      <x:c r="D205" s="25" t="str">
        <x:v>C01</x:v>
      </x:c>
      <x:c r="E205" s="25" t="str">
        <x:v>3组</x:v>
      </x:c>
      <x:c r="F205" s="25" t="n">
        <x:v>38</x:v>
      </x:c>
      <x:c r="G205" s="25" t="n">
        <x:v>29</x:v>
      </x:c>
      <x:c r="H205" s="25" t="str">
        <x:v>2/3组</x:v>
      </x:c>
      <x:c r="I205" s="25" t="str">
        <x:v>失乡者海岸；风暴断崖</x:v>
      </x:c>
      <x:c r="J205" s="25" t="str">
        <x:v>沉没王庭</x:v>
      </x:c>
    </x:row>
    <x:row r="206">
      <x:c r="A206" s="25" t="str">
        <x:v>C10-G</x:v>
      </x:c>
      <x:c r="B206" s="25" t="str">
        <x:v>王城罗德尔</x:v>
      </x:c>
      <x:c r="C206" s="25" t="str">
        <x:v>半急速毕业</x:v>
      </x:c>
      <x:c r="D206" s="25" t="str">
        <x:v>C02</x:v>
      </x:c>
      <x:c r="E206" s="25" t="str">
        <x:v>5组</x:v>
      </x:c>
      <x:c r="F206" s="25" t="n">
        <x:v>61</x:v>
      </x:c>
      <x:c r="G206" s="25" t="n">
        <x:v>53</x:v>
      </x:c>
      <x:c r="H206" s="25" t="str">
        <x:v>4/5组</x:v>
      </x:c>
      <x:c r="I206" s="25" t="str">
        <x:v>漂流墓地；关卡前废墟；迷雾丛林；风暴山谷</x:v>
      </x:c>
      <x:c r="J206" s="25" t="str">
        <x:v>史东薇尔王城</x:v>
      </x:c>
    </x:row>
    <x:row r="207">
      <x:c r="A207" s="25" t="str">
        <x:v>C10-G</x:v>
      </x:c>
      <x:c r="B207" s="25" t="str">
        <x:v>王城罗德尔</x:v>
      </x:c>
      <x:c r="C207" s="25" t="str">
        <x:v>半急速毕业</x:v>
      </x:c>
      <x:c r="D207" s="25" t="str">
        <x:v>C03</x:v>
      </x:c>
      <x:c r="E207" s="25" t="str">
        <x:v>6组</x:v>
      </x:c>
      <x:c r="F207" s="25" t="n">
        <x:v>73</x:v>
      </x:c>
      <x:c r="G207" s="25" t="n">
        <x:v>56</x:v>
      </x:c>
      <x:c r="H207" s="25" t="str">
        <x:v>4/6组</x:v>
      </x:c>
      <x:c r="I207" s="25" t="str">
        <x:v>西境荒原；海风断崖；失落驿道；古战场遗迹</x:v>
      </x:c>
      <x:c r="J207" s="25" t="str">
        <x:v>风蚀古垒；黄金树哨垒</x:v>
      </x:c>
    </x:row>
    <x:row r="208">
      <x:c r="A208" s="25" t="str">
        <x:v>C10-G</x:v>
      </x:c>
      <x:c r="B208" s="25" t="str">
        <x:v>王城罗德尔</x:v>
      </x:c>
      <x:c r="C208" s="25" t="str">
        <x:v>半急速毕业</x:v>
      </x:c>
      <x:c r="D208" s="25" t="str">
        <x:v>C04</x:v>
      </x:c>
      <x:c r="E208" s="25" t="str">
        <x:v>6组</x:v>
      </x:c>
      <x:c r="F208" s="25" t="n">
        <x:v>73</x:v>
      </x:c>
      <x:c r="G208" s="25" t="n">
        <x:v>55</x:v>
      </x:c>
      <x:c r="H208" s="25" t="str">
        <x:v>4/6组</x:v>
      </x:c>
      <x:c r="I208" s="25" t="str">
        <x:v>雾潮湿地；沉湖遗迹；湖心沉船；幽灵船骸</x:v>
      </x:c>
      <x:c r="J208" s="25" t="str">
        <x:v>深湖水道；湖底密道</x:v>
      </x:c>
    </x:row>
    <x:row r="209">
      <x:c r="A209" s="25" t="str">
        <x:v>C10-G</x:v>
      </x:c>
      <x:c r="B209" s="25" t="str">
        <x:v>王城罗德尔</x:v>
      </x:c>
      <x:c r="C209" s="25" t="str">
        <x:v>半急速毕业</x:v>
      </x:c>
      <x:c r="D209" s="25" t="str">
        <x:v>C05</x:v>
      </x:c>
      <x:c r="E209" s="25" t="str">
        <x:v>6组</x:v>
      </x:c>
      <x:c r="F209" s="25" t="n">
        <x:v>73</x:v>
      </x:c>
      <x:c r="G209" s="25" t="n">
        <x:v>57</x:v>
      </x:c>
      <x:c r="H209" s="25" t="str">
        <x:v>4/6组</x:v>
      </x:c>
      <x:c r="I209" s="25" t="str">
        <x:v>雾月水庭；辉石遗迹；学院回廊；满月书库</x:v>
      </x:c>
      <x:c r="J209" s="25" t="str">
        <x:v>月影水宫；卡利亚禁域</x:v>
      </x:c>
    </x:row>
    <x:row r="210">
      <x:c r="A210" s="25" t="str">
        <x:v>C10-G</x:v>
      </x:c>
      <x:c r="B210" s="25" t="str">
        <x:v>王城罗德尔</x:v>
      </x:c>
      <x:c r="C210" s="25" t="str">
        <x:v>半急速毕业</x:v>
      </x:c>
      <x:c r="D210" s="25" t="str">
        <x:v>C06</x:v>
      </x:c>
      <x:c r="E210" s="25" t="str">
        <x:v>3组</x:v>
      </x:c>
      <x:c r="F210" s="25" t="n">
        <x:v>37</x:v>
      </x:c>
      <x:c r="G210" s="25" t="n">
        <x:v>29</x:v>
      </x:c>
      <x:c r="H210" s="25" t="str">
        <x:v>2/3组</x:v>
      </x:c>
      <x:c r="I210" s="25" t="str">
        <x:v>猩红熔原；腐败火狱</x:v>
      </x:c>
      <x:c r="J210" s="25" t="str">
        <x:v>红狮龙窟</x:v>
      </x:c>
    </x:row>
    <x:row r="211">
      <x:c r="A211" s="25" t="str">
        <x:v>C10-G</x:v>
      </x:c>
      <x:c r="B211" s="25" t="str">
        <x:v>王城罗德尔</x:v>
      </x:c>
      <x:c r="C211" s="25" t="str">
        <x:v>半急速毕业</x:v>
      </x:c>
      <x:c r="D211" s="25" t="str">
        <x:v>C07</x:v>
      </x:c>
      <x:c r="E211" s="25" t="str">
        <x:v>3组</x:v>
      </x:c>
      <x:c r="F211" s="25" t="n">
        <x:v>37</x:v>
      </x:c>
      <x:c r="G211" s="25" t="n">
        <x:v>30</x:v>
      </x:c>
      <x:c r="H211" s="25" t="str">
        <x:v>2/3组</x:v>
      </x:c>
      <x:c r="I211" s="25" t="str">
        <x:v>苍白雪原；永冻荒境</x:v>
      </x:c>
      <x:c r="J211" s="25" t="str">
        <x:v>极寒禁域</x:v>
      </x:c>
    </x:row>
    <x:row r="212">
      <x:c r="A212" s="25" t="str">
        <x:v>C10-G</x:v>
      </x:c>
      <x:c r="B212" s="25" t="str">
        <x:v>王城罗德尔</x:v>
      </x:c>
      <x:c r="C212" s="25" t="str">
        <x:v>半急速毕业</x:v>
      </x:c>
      <x:c r="D212" s="25" t="str">
        <x:v>C08</x:v>
      </x:c>
      <x:c r="E212" s="25" t="str">
        <x:v>4组</x:v>
      </x:c>
      <x:c r="F212" s="25" t="n">
        <x:v>49</x:v>
      </x:c>
      <x:c r="G212" s="25" t="n">
        <x:v>40</x:v>
      </x:c>
      <x:c r="H212" s="25" t="str">
        <x:v>3/4组</x:v>
      </x:c>
      <x:c r="I212" s="25" t="str">
        <x:v>寒霜山径；断冰峰群；冰宫王庭</x:v>
      </x:c>
      <x:c r="J212" s="25" t="str">
        <x:v>巨人王庭</x:v>
      </x:c>
    </x:row>
    <x:row r="213">
      <x:c r="A213" s="25" t="str">
        <x:v>C10-G</x:v>
      </x:c>
      <x:c r="B213" s="25" t="str">
        <x:v>王城罗德尔</x:v>
      </x:c>
      <x:c r="C213" s="25" t="str">
        <x:v>半急速毕业</x:v>
      </x:c>
      <x:c r="D213" s="25" t="str">
        <x:v>C09</x:v>
      </x:c>
      <x:c r="E213" s="25" t="str">
        <x:v>5组</x:v>
      </x:c>
      <x:c r="F213" s="25" t="n">
        <x:v>61</x:v>
      </x:c>
      <x:c r="G213" s="25" t="n">
        <x:v>53</x:v>
      </x:c>
      <x:c r="H213" s="25" t="str">
        <x:v>4/5组</x:v>
      </x:c>
      <x:c r="I213" s="25" t="str">
        <x:v>金叶古道；高原矿脉；古王陵园；黄金圣堂</x:v>
      </x:c>
      <x:c r="J213" s="25" t="str">
        <x:v>王城前垒</x:v>
      </x:c>
    </x:row>
    <x:row r="214">
      <x:c r="A214" s="25" t="str">
        <x:v>C10-G</x:v>
      </x:c>
      <x:c r="B214" s="25" t="str">
        <x:v>王城罗德尔</x:v>
      </x:c>
      <x:c r="C214" s="25" t="str">
        <x:v>半急速毕业</x:v>
      </x:c>
      <x:c r="D214" s="25" t="str">
        <x:v>C10</x:v>
      </x:c>
      <x:c r="E214" s="25" t="str">
        <x:v>5组</x:v>
      </x:c>
      <x:c r="F214" s="25" t="n">
        <x:v>61</x:v>
      </x:c>
      <x:c r="G214" s="25" t="n">
        <x:v>46</x:v>
      </x:c>
      <x:c r="H214" s="25" t="str">
        <x:v>3/5组</x:v>
      </x:c>
      <x:c r="I214" s="25" t="str">
        <x:v>王城下城区；黄金排水道；王城矿井</x:v>
      </x:c>
      <x:c r="J214" s="25" t="str">
        <x:v>王城地穴；黄金王宫</x:v>
      </x:c>
    </x:row>
    <x:row r="215">
      <x:c r="A215" s="25" t="str">
        <x:v>C10-X</x:v>
      </x:c>
      <x:c r="B215" s="25" t="str">
        <x:v>王城罗德尔</x:v>
      </x:c>
      <x:c r="C215" s="25" t="str">
        <x:v>极端压力</x:v>
      </x:c>
      <x:c r="D215" s="25" t="str">
        <x:v>C01</x:v>
      </x:c>
      <x:c r="E215" s="25" t="str">
        <x:v>3组</x:v>
      </x:c>
      <x:c r="F215" s="25" t="n">
        <x:v>38</x:v>
      </x:c>
      <x:c r="G215" s="25" t="n">
        <x:v>38</x:v>
      </x:c>
      <x:c r="H215" s="25" t="str">
        <x:v>3/3组</x:v>
      </x:c>
      <x:c r="I215" s="25" t="str">
        <x:v>失乡者海岸；风暴断崖；沉没王庭</x:v>
      </x:c>
      <x:c r="J215" s="25" t="str"/>
    </x:row>
    <x:row r="216">
      <x:c r="A216" s="25" t="str">
        <x:v>C10-X</x:v>
      </x:c>
      <x:c r="B216" s="25" t="str">
        <x:v>王城罗德尔</x:v>
      </x:c>
      <x:c r="C216" s="25" t="str">
        <x:v>极端压力</x:v>
      </x:c>
      <x:c r="D216" s="25" t="str">
        <x:v>C02</x:v>
      </x:c>
      <x:c r="E216" s="25" t="str">
        <x:v>5组</x:v>
      </x:c>
      <x:c r="F216" s="25" t="n">
        <x:v>61</x:v>
      </x:c>
      <x:c r="G216" s="25" t="n">
        <x:v>61</x:v>
      </x:c>
      <x:c r="H216" s="25" t="str">
        <x:v>5/5组</x:v>
      </x:c>
      <x:c r="I216" s="25" t="str">
        <x:v>漂流墓地；关卡前废墟；迷雾丛林；风暴山谷；史东薇尔王城</x:v>
      </x:c>
      <x:c r="J216" s="25" t="str"/>
    </x:row>
    <x:row r="217">
      <x:c r="A217" s="25" t="str">
        <x:v>C10-X</x:v>
      </x:c>
      <x:c r="B217" s="25" t="str">
        <x:v>王城罗德尔</x:v>
      </x:c>
      <x:c r="C217" s="25" t="str">
        <x:v>极端压力</x:v>
      </x:c>
      <x:c r="D217" s="25" t="str">
        <x:v>C03</x:v>
      </x:c>
      <x:c r="E217" s="25" t="str">
        <x:v>6组</x:v>
      </x:c>
      <x:c r="F217" s="25" t="n">
        <x:v>73</x:v>
      </x:c>
      <x:c r="G217" s="25" t="n">
        <x:v>73</x:v>
      </x:c>
      <x:c r="H217" s="25" t="str">
        <x:v>6/6组</x:v>
      </x:c>
      <x:c r="I217" s="25" t="str">
        <x:v>西境荒原；海风断崖；失落驿道；古战场遗迹；风蚀古垒；黄金树哨垒</x:v>
      </x:c>
      <x:c r="J217" s="25" t="str"/>
    </x:row>
    <x:row r="218">
      <x:c r="A218" s="25" t="str">
        <x:v>C10-X</x:v>
      </x:c>
      <x:c r="B218" s="25" t="str">
        <x:v>王城罗德尔</x:v>
      </x:c>
      <x:c r="C218" s="25" t="str">
        <x:v>极端压力</x:v>
      </x:c>
      <x:c r="D218" s="25" t="str">
        <x:v>C04</x:v>
      </x:c>
      <x:c r="E218" s="25" t="str">
        <x:v>6组</x:v>
      </x:c>
      <x:c r="F218" s="25" t="n">
        <x:v>73</x:v>
      </x:c>
      <x:c r="G218" s="25" t="n">
        <x:v>73</x:v>
      </x:c>
      <x:c r="H218" s="25" t="str">
        <x:v>6/6组</x:v>
      </x:c>
      <x:c r="I218" s="25" t="str">
        <x:v>雾潮湿地；沉湖遗迹；湖心沉船；幽灵船骸；深湖水道；湖底密道</x:v>
      </x:c>
      <x:c r="J218" s="25" t="str"/>
    </x:row>
    <x:row r="219">
      <x:c r="A219" s="25" t="str">
        <x:v>C10-X</x:v>
      </x:c>
      <x:c r="B219" s="25" t="str">
        <x:v>王城罗德尔</x:v>
      </x:c>
      <x:c r="C219" s="25" t="str">
        <x:v>极端压力</x:v>
      </x:c>
      <x:c r="D219" s="25" t="str">
        <x:v>C05</x:v>
      </x:c>
      <x:c r="E219" s="25" t="str">
        <x:v>6组</x:v>
      </x:c>
      <x:c r="F219" s="25" t="n">
        <x:v>73</x:v>
      </x:c>
      <x:c r="G219" s="25" t="n">
        <x:v>73</x:v>
      </x:c>
      <x:c r="H219" s="25" t="str">
        <x:v>6/6组</x:v>
      </x:c>
      <x:c r="I219" s="25" t="str">
        <x:v>雾月水庭；辉石遗迹；学院回廊；满月书库；月影水宫；卡利亚禁域</x:v>
      </x:c>
      <x:c r="J219" s="25" t="str"/>
    </x:row>
    <x:row r="220">
      <x:c r="A220" s="25" t="str">
        <x:v>C10-X</x:v>
      </x:c>
      <x:c r="B220" s="25" t="str">
        <x:v>王城罗德尔</x:v>
      </x:c>
      <x:c r="C220" s="25" t="str">
        <x:v>极端压力</x:v>
      </x:c>
      <x:c r="D220" s="25" t="str">
        <x:v>C06</x:v>
      </x:c>
      <x:c r="E220" s="25" t="str">
        <x:v>3组</x:v>
      </x:c>
      <x:c r="F220" s="25" t="n">
        <x:v>37</x:v>
      </x:c>
      <x:c r="G220" s="25" t="n">
        <x:v>37</x:v>
      </x:c>
      <x:c r="H220" s="25" t="str">
        <x:v>3/3组</x:v>
      </x:c>
      <x:c r="I220" s="25" t="str">
        <x:v>猩红熔原；腐败火狱；红狮龙窟</x:v>
      </x:c>
      <x:c r="J220" s="25" t="str"/>
    </x:row>
    <x:row r="221">
      <x:c r="A221" s="25" t="str">
        <x:v>C10-X</x:v>
      </x:c>
      <x:c r="B221" s="25" t="str">
        <x:v>王城罗德尔</x:v>
      </x:c>
      <x:c r="C221" s="25" t="str">
        <x:v>极端压力</x:v>
      </x:c>
      <x:c r="D221" s="25" t="str">
        <x:v>C07</x:v>
      </x:c>
      <x:c r="E221" s="25" t="str">
        <x:v>3组</x:v>
      </x:c>
      <x:c r="F221" s="25" t="n">
        <x:v>37</x:v>
      </x:c>
      <x:c r="G221" s="25" t="n">
        <x:v>37</x:v>
      </x:c>
      <x:c r="H221" s="25" t="str">
        <x:v>3/3组</x:v>
      </x:c>
      <x:c r="I221" s="25" t="str">
        <x:v>苍白雪原；永冻荒境；极寒禁域</x:v>
      </x:c>
      <x:c r="J221" s="25" t="str"/>
    </x:row>
    <x:row r="222">
      <x:c r="A222" s="25" t="str">
        <x:v>C10-X</x:v>
      </x:c>
      <x:c r="B222" s="25" t="str">
        <x:v>王城罗德尔</x:v>
      </x:c>
      <x:c r="C222" s="25" t="str">
        <x:v>极端压力</x:v>
      </x:c>
      <x:c r="D222" s="25" t="str">
        <x:v>C08</x:v>
      </x:c>
      <x:c r="E222" s="25" t="str">
        <x:v>4组</x:v>
      </x:c>
      <x:c r="F222" s="25" t="n">
        <x:v>49</x:v>
      </x:c>
      <x:c r="G222" s="25" t="n">
        <x:v>49</x:v>
      </x:c>
      <x:c r="H222" s="25" t="str">
        <x:v>4/4组</x:v>
      </x:c>
      <x:c r="I222" s="25" t="str">
        <x:v>寒霜山径；断冰峰群；冰宫王庭；巨人王庭</x:v>
      </x:c>
      <x:c r="J222" s="25" t="str"/>
    </x:row>
    <x:row r="223">
      <x:c r="A223" s="25" t="str">
        <x:v>C10-X</x:v>
      </x:c>
      <x:c r="B223" s="25" t="str">
        <x:v>王城罗德尔</x:v>
      </x:c>
      <x:c r="C223" s="25" t="str">
        <x:v>极端压力</x:v>
      </x:c>
      <x:c r="D223" s="25" t="str">
        <x:v>C09</x:v>
      </x:c>
      <x:c r="E223" s="25" t="str">
        <x:v>5组</x:v>
      </x:c>
      <x:c r="F223" s="25" t="n">
        <x:v>61</x:v>
      </x:c>
      <x:c r="G223" s="25" t="n">
        <x:v>61</x:v>
      </x:c>
      <x:c r="H223" s="25" t="str">
        <x:v>5/5组</x:v>
      </x:c>
      <x:c r="I223" s="25" t="str">
        <x:v>金叶古道；高原矿脉；古王陵园；黄金圣堂；王城前垒</x:v>
      </x:c>
      <x:c r="J223" s="25" t="str"/>
    </x:row>
    <x:row r="224">
      <x:c r="A224" s="25" t="str">
        <x:v>C10-X</x:v>
      </x:c>
      <x:c r="B224" s="25" t="str">
        <x:v>王城罗德尔</x:v>
      </x:c>
      <x:c r="C224" s="25" t="str">
        <x:v>极端压力</x:v>
      </x:c>
      <x:c r="D224" s="25" t="str">
        <x:v>C10</x:v>
      </x:c>
      <x:c r="E224" s="25" t="str">
        <x:v>5组</x:v>
      </x:c>
      <x:c r="F224" s="25" t="n">
        <x:v>61</x:v>
      </x:c>
      <x:c r="G224" s="25" t="n">
        <x:v>61</x:v>
      </x:c>
      <x:c r="H224" s="25" t="str">
        <x:v>5/5组</x:v>
      </x:c>
      <x:c r="I224" s="25" t="str">
        <x:v>王城下城区；黄金排水道；王城矿井；王城地穴；黄金王宫</x:v>
      </x:c>
      <x:c r="J224" s="2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5" hidden="0" customWidth="1"/>
    <x:col min="5" max="5" width="32" hidden="0" customWidth="1"/>
    <x:col min="6" max="6" width="18" hidden="0" customWidth="1"/>
    <x:col min="7" max="7" width="92" hidden="0" customWidth="1"/>
  </x:cols>
  <x:sheetData>
    <x:row r="1" ht="29" customHeight="1">
      <x:c r="A1" s="4" t="str">
        <x:v>所有自产材料与装备的累计要求</x:v>
      </x:c>
      <x:c r="B1" s="4"/>
      <x:c r="C1" s="4"/>
      <x:c r="D1" s="4"/>
      <x:c r="E1" s="4"/>
      <x:c r="F1" s="4"/>
      <x:c r="G1" s="4"/>
    </x:row>
    <x:row r="2" ht="43" customHeight="1">
      <x:c r="A2" s="11" t="str">
        <x:v>每组是从开局到该状态的累计账。不同组不能相加。这里只证明取得这些东西能形成面板，不证明既定时间内掉够；后续561怪爆率负责供给。</x:v>
      </x:c>
      <x:c r="B2" s="11"/>
      <x:c r="C2" s="11"/>
      <x:c r="D2" s="11"/>
      <x:c r="E2" s="11"/>
      <x:c r="F2" s="11"/>
      <x:c r="G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类型</x:v>
      </x:c>
      <x:c r="E4" s="19" t="str">
        <x:v>名称</x:v>
      </x:c>
      <x:c r="F4" s="19" t="str">
        <x:v>累计数量</x:v>
      </x:c>
      <x:c r="G4" s="19" t="str">
        <x:v>解释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str">
        <x:v>装备实物</x:v>
      </x:c>
      <x:c r="E5" s="25" t="str">
        <x:v>共0个精确名称（明细见JSON）</x:v>
      </x:c>
      <x:c r="F5" s="25" t="n">
        <x:v>0</x:v>
      </x:c>
      <x:c r="G5" s="25" t="str">
        <x:v>含穿戴、重复试洗、图鉴登记与合成前置；完整数据未省略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25" t="str">
        <x:v>材料</x:v>
      </x:c>
      <x:c r="E6" s="25" t="str">
        <x:v>技能残页</x:v>
      </x:c>
      <x:c r="F6" s="25" t="n">
        <x:v>180</x:v>
      </x:c>
      <x:c r="G6" s="25" t="str">
        <x:v>从C0至当前检查点累计需求；未扣自身未来产出，不代表已有库存</x:v>
      </x:c>
    </x:row>
    <x:row r="7">
      <x:c r="A7" s="25" t="str">
        <x:v>C01-M</x:v>
      </x:c>
      <x:c r="B7" s="25" t="str">
        <x:v>漂流群岛</x:v>
      </x:c>
      <x:c r="C7" s="25" t="str">
        <x:v>半急速中期</x:v>
      </x:c>
      <x:c r="D7" s="25" t="str">
        <x:v>装备实物</x:v>
      </x:c>
      <x:c r="E7" s="25" t="str">
        <x:v>共21个精确名称（明细见JSON）</x:v>
      </x:c>
      <x:c r="F7" s="25" t="n">
        <x:v>21</x:v>
      </x:c>
      <x:c r="G7" s="25" t="str">
        <x:v>含穿戴、重复试洗、图鉴登记与合成前置；完整数据未省略</x:v>
      </x:c>
    </x:row>
    <x:row r="8">
      <x:c r="A8" s="25" t="str">
        <x:v>C01-G</x:v>
      </x:c>
      <x:c r="B8" s="25" t="str">
        <x:v>漂流群岛</x:v>
      </x:c>
      <x:c r="C8" s="25" t="str">
        <x:v>半急速毕业</x:v>
      </x:c>
      <x:c r="D8" s="25" t="str">
        <x:v>材料</x:v>
      </x:c>
      <x:c r="E8" s="25" t="str">
        <x:v>失色锻造石</x:v>
      </x:c>
      <x:c r="F8" s="25" t="n">
        <x:v>100</x:v>
      </x:c>
      <x:c r="G8" s="25" t="str">
        <x:v>从C0至当前检查点累计需求；未扣自身未来产出，不代表已有库存</x:v>
      </x:c>
    </x:row>
    <x:row r="9">
      <x:c r="A9" s="25" t="str">
        <x:v>C01-G</x:v>
      </x:c>
      <x:c r="B9" s="25" t="str">
        <x:v>漂流群岛</x:v>
      </x:c>
      <x:c r="C9" s="25" t="str">
        <x:v>半急速毕业</x:v>
      </x:c>
      <x:c r="D9" s="25" t="str">
        <x:v>材料</x:v>
      </x:c>
      <x:c r="E9" s="25" t="str">
        <x:v>技能残页</x:v>
      </x:c>
      <x:c r="F9" s="25" t="n">
        <x:v>630</x:v>
      </x:c>
      <x:c r="G9" s="25" t="str">
        <x:v>从C0至当前检查点累计需求；未扣自身未来产出，不代表已有库存</x:v>
      </x:c>
    </x:row>
    <x:row r="10">
      <x:c r="A10" s="25" t="str">
        <x:v>C01-G</x:v>
      </x:c>
      <x:c r="B10" s="25" t="str">
        <x:v>漂流群岛</x:v>
      </x:c>
      <x:c r="C10" s="25" t="str">
        <x:v>半急速毕业</x:v>
      </x:c>
      <x:c r="D10" s="25" t="str">
        <x:v>材料</x:v>
      </x:c>
      <x:c r="E10" s="25" t="str">
        <x:v>海蚀铁片</x:v>
      </x:c>
      <x:c r="F10" s="25" t="n">
        <x:v>80</x:v>
      </x:c>
      <x:c r="G10" s="25" t="str">
        <x:v>从C0至当前检查点累计需求；未扣自身未来产出，不代表已有库存</x:v>
      </x:c>
    </x:row>
    <x:row r="11">
      <x:c r="A11" s="25" t="str">
        <x:v>C01-G</x:v>
      </x:c>
      <x:c r="B11" s="25" t="str">
        <x:v>漂流群岛</x:v>
      </x:c>
      <x:c r="C11" s="25" t="str">
        <x:v>半急速毕业</x:v>
      </x:c>
      <x:c r="D11" s="25" t="str">
        <x:v>材料</x:v>
      </x:c>
      <x:c r="E11" s="25" t="str">
        <x:v>漂流大陆印记</x:v>
      </x:c>
      <x:c r="F11" s="25" t="n">
        <x:v>8</x:v>
      </x:c>
      <x:c r="G11" s="25" t="str">
        <x:v>从C0至当前检查点累计需求；未扣自身未来产出，不代表已有库存</x:v>
      </x:c>
    </x:row>
    <x:row r="12">
      <x:c r="A12" s="25" t="str">
        <x:v>C01-G</x:v>
      </x:c>
      <x:c r="B12" s="25" t="str">
        <x:v>漂流群岛</x:v>
      </x:c>
      <x:c r="C12" s="25" t="str">
        <x:v>半急速毕业</x:v>
      </x:c>
      <x:c r="D12" s="25" t="str">
        <x:v>材料</x:v>
      </x:c>
      <x:c r="E12" s="25" t="str">
        <x:v>漂流见证·潮</x:v>
      </x:c>
      <x:c r="F12" s="25" t="n">
        <x:v>8</x:v>
      </x:c>
      <x:c r="G12" s="25" t="str">
        <x:v>从C0至当前检查点累计需求；未扣自身未来产出，不代表已有库存</x:v>
      </x:c>
    </x:row>
    <x:row r="13">
      <x:c r="A13" s="25" t="str">
        <x:v>C01-G</x:v>
      </x:c>
      <x:c r="B13" s="25" t="str">
        <x:v>漂流群岛</x:v>
      </x:c>
      <x:c r="C13" s="25" t="str">
        <x:v>半急速毕业</x:v>
      </x:c>
      <x:c r="D13" s="25" t="str">
        <x:v>材料</x:v>
      </x:c>
      <x:c r="E13" s="25" t="str">
        <x:v>漂流见证·雷</x:v>
      </x:c>
      <x:c r="F13" s="25" t="n">
        <x:v>8</x:v>
      </x:c>
      <x:c r="G13" s="25" t="str">
        <x:v>从C0至当前检查点累计需求；未扣自身未来产出，不代表已有库存</x:v>
      </x:c>
    </x:row>
    <x:row r="14">
      <x:c r="A14" s="25" t="str">
        <x:v>C01-G</x:v>
      </x:c>
      <x:c r="B14" s="25" t="str">
        <x:v>漂流群岛</x:v>
      </x:c>
      <x:c r="C14" s="25" t="str">
        <x:v>半急速毕业</x:v>
      </x:c>
      <x:c r="D14" s="25" t="str">
        <x:v>材料</x:v>
      </x:c>
      <x:c r="E14" s="25" t="str">
        <x:v>潮痕结晶</x:v>
      </x:c>
      <x:c r="F14" s="25" t="n">
        <x:v>8</x:v>
      </x:c>
      <x:c r="G14" s="25" t="str">
        <x:v>从C0至当前检查点累计需求；未扣自身未来产出，不代表已有库存</x:v>
      </x:c>
    </x:row>
    <x:row r="15">
      <x:c r="A15" s="25" t="str">
        <x:v>C01-G</x:v>
      </x:c>
      <x:c r="B15" s="25" t="str">
        <x:v>漂流群岛</x:v>
      </x:c>
      <x:c r="C15" s="25" t="str">
        <x:v>半急速毕业</x:v>
      </x:c>
      <x:c r="D15" s="25" t="str">
        <x:v>装备实物</x:v>
      </x:c>
      <x:c r="E15" s="25" t="str">
        <x:v>共44个精确名称（明细见JSON）</x:v>
      </x:c>
      <x:c r="F15" s="25" t="n">
        <x:v>49</x:v>
      </x:c>
      <x:c r="G15" s="25" t="str">
        <x:v>含穿戴、重复试洗、图鉴登记与合成前置；完整数据未省略</x:v>
      </x:c>
    </x:row>
    <x:row r="16">
      <x:c r="A16" s="25" t="str">
        <x:v>C01-X</x:v>
      </x:c>
      <x:c r="B16" s="25" t="str">
        <x:v>漂流群岛</x:v>
      </x:c>
      <x:c r="C16" s="25" t="str">
        <x:v>极端压力</x:v>
      </x:c>
      <x:c r="D16" s="25" t="str">
        <x:v>材料</x:v>
      </x:c>
      <x:c r="E16" s="25" t="str">
        <x:v>失色锻造石</x:v>
      </x:c>
      <x:c r="F16" s="25" t="n">
        <x:v>200</x:v>
      </x:c>
      <x:c r="G16" s="25" t="str">
        <x:v>从C0至当前检查点累计需求；未扣自身未来产出，不代表已有库存</x:v>
      </x:c>
    </x:row>
    <x:row r="17">
      <x:c r="A17" s="25" t="str">
        <x:v>C01-X</x:v>
      </x:c>
      <x:c r="B17" s="25" t="str">
        <x:v>漂流群岛</x:v>
      </x:c>
      <x:c r="C17" s="25" t="str">
        <x:v>极端压力</x:v>
      </x:c>
      <x:c r="D17" s="25" t="str">
        <x:v>材料</x:v>
      </x:c>
      <x:c r="E17" s="25" t="str">
        <x:v>技能残页</x:v>
      </x:c>
      <x:c r="F17" s="25" t="n">
        <x:v>630</x:v>
      </x:c>
      <x:c r="G17" s="25" t="str">
        <x:v>从C0至当前检查点累计需求；未扣自身未来产出，不代表已有库存</x:v>
      </x:c>
    </x:row>
    <x:row r="18">
      <x:c r="A18" s="25" t="str">
        <x:v>C01-X</x:v>
      </x:c>
      <x:c r="B18" s="25" t="str">
        <x:v>漂流群岛</x:v>
      </x:c>
      <x:c r="C18" s="25" t="str">
        <x:v>极端压力</x:v>
      </x:c>
      <x:c r="D18" s="25" t="str">
        <x:v>材料</x:v>
      </x:c>
      <x:c r="E18" s="25" t="str">
        <x:v>海蚀铁片</x:v>
      </x:c>
      <x:c r="F18" s="25" t="n">
        <x:v>160</x:v>
      </x:c>
      <x:c r="G18" s="25" t="str">
        <x:v>从C0至当前检查点累计需求；未扣自身未来产出，不代表已有库存</x:v>
      </x:c>
    </x:row>
    <x:row r="19">
      <x:c r="A19" s="25" t="str">
        <x:v>C01-X</x:v>
      </x:c>
      <x:c r="B19" s="25" t="str">
        <x:v>漂流群岛</x:v>
      </x:c>
      <x:c r="C19" s="25" t="str">
        <x:v>极端压力</x:v>
      </x:c>
      <x:c r="D19" s="25" t="str">
        <x:v>材料</x:v>
      </x:c>
      <x:c r="E19" s="25" t="str">
        <x:v>漂流大陆印记</x:v>
      </x:c>
      <x:c r="F19" s="25" t="n">
        <x:v>11</x:v>
      </x:c>
      <x:c r="G19" s="25" t="str">
        <x:v>从C0至当前检查点累计需求；未扣自身未来产出，不代表已有库存</x:v>
      </x:c>
    </x:row>
    <x:row r="20">
      <x:c r="A20" s="25" t="str">
        <x:v>C01-X</x:v>
      </x:c>
      <x:c r="B20" s="25" t="str">
        <x:v>漂流群岛</x:v>
      </x:c>
      <x:c r="C20" s="25" t="str">
        <x:v>极端压力</x:v>
      </x:c>
      <x:c r="D20" s="25" t="str">
        <x:v>材料</x:v>
      </x:c>
      <x:c r="E20" s="25" t="str">
        <x:v>漂流见证·潮</x:v>
      </x:c>
      <x:c r="F20" s="25" t="n">
        <x:v>8</x:v>
      </x:c>
      <x:c r="G20" s="25" t="str">
        <x:v>从C0至当前检查点累计需求；未扣自身未来产出，不代表已有库存</x:v>
      </x:c>
    </x:row>
    <x:row r="21">
      <x:c r="A21" s="25" t="str">
        <x:v>C01-X</x:v>
      </x:c>
      <x:c r="B21" s="25" t="str">
        <x:v>漂流群岛</x:v>
      </x:c>
      <x:c r="C21" s="25" t="str">
        <x:v>极端压力</x:v>
      </x:c>
      <x:c r="D21" s="25" t="str">
        <x:v>材料</x:v>
      </x:c>
      <x:c r="E21" s="25" t="str">
        <x:v>漂流见证·雷</x:v>
      </x:c>
      <x:c r="F21" s="25" t="n">
        <x:v>8</x:v>
      </x:c>
      <x:c r="G21" s="25" t="str">
        <x:v>从C0至当前检查点累计需求；未扣自身未来产出，不代表已有库存</x:v>
      </x:c>
    </x:row>
    <x:row r="22">
      <x:c r="A22" s="25" t="str">
        <x:v>C01-X</x:v>
      </x:c>
      <x:c r="B22" s="25" t="str">
        <x:v>漂流群岛</x:v>
      </x:c>
      <x:c r="C22" s="25" t="str">
        <x:v>极端压力</x:v>
      </x:c>
      <x:c r="D22" s="25" t="str">
        <x:v>材料</x:v>
      </x:c>
      <x:c r="E22" s="25" t="str">
        <x:v>潮痕结晶</x:v>
      </x:c>
      <x:c r="F22" s="25" t="n">
        <x:v>16</x:v>
      </x:c>
      <x:c r="G22" s="25" t="str">
        <x:v>从C0至当前检查点累计需求；未扣自身未来产出，不代表已有库存</x:v>
      </x:c>
    </x:row>
    <x:row r="23">
      <x:c r="A23" s="25" t="str">
        <x:v>C01-X</x:v>
      </x:c>
      <x:c r="B23" s="25" t="str">
        <x:v>漂流群岛</x:v>
      </x:c>
      <x:c r="C23" s="25" t="str">
        <x:v>极端压力</x:v>
      </x:c>
      <x:c r="D23" s="25" t="str">
        <x:v>装备实物</x:v>
      </x:c>
      <x:c r="E23" s="25" t="str">
        <x:v>共57个精确名称（明细见JSON）</x:v>
      </x:c>
      <x:c r="F23" s="25" t="n">
        <x:v>81</x:v>
      </x:c>
      <x:c r="G23" s="25" t="str">
        <x:v>含穿戴、重复试洗、图鉴登记与合成前置；完整数据未省略</x:v>
      </x:c>
    </x:row>
    <x:row r="24">
      <x:c r="A24" s="25" t="str">
        <x:v>C02-E</x:v>
      </x:c>
      <x:c r="B24" s="25" t="str">
        <x:v>宁姆格福</x:v>
      </x:c>
      <x:c r="C24" s="25" t="str">
        <x:v>半急速入场</x:v>
      </x:c>
      <x:c r="D24" s="25" t="str">
        <x:v>材料</x:v>
      </x:c>
      <x:c r="E24" s="25" t="str">
        <x:v>失色锻造石</x:v>
      </x:c>
      <x:c r="F24" s="25" t="n">
        <x:v>100</x:v>
      </x:c>
      <x:c r="G24" s="25" t="str">
        <x:v>从C0至当前检查点累计需求；未扣自身未来产出，不代表已有库存</x:v>
      </x:c>
    </x:row>
    <x:row r="25">
      <x:c r="A25" s="25" t="str">
        <x:v>C02-E</x:v>
      </x:c>
      <x:c r="B25" s="25" t="str">
        <x:v>宁姆格福</x:v>
      </x:c>
      <x:c r="C25" s="25" t="str">
        <x:v>半急速入场</x:v>
      </x:c>
      <x:c r="D25" s="25" t="str">
        <x:v>材料</x:v>
      </x:c>
      <x:c r="E25" s="25" t="str">
        <x:v>技能残页</x:v>
      </x:c>
      <x:c r="F25" s="25" t="n">
        <x:v>630</x:v>
      </x:c>
      <x:c r="G25" s="25" t="str">
        <x:v>从C0至当前检查点累计需求；未扣自身未来产出，不代表已有库存</x:v>
      </x:c>
    </x:row>
    <x:row r="26">
      <x:c r="A26" s="25" t="str">
        <x:v>C02-E</x:v>
      </x:c>
      <x:c r="B26" s="25" t="str">
        <x:v>宁姆格福</x:v>
      </x:c>
      <x:c r="C26" s="25" t="str">
        <x:v>半急速入场</x:v>
      </x:c>
      <x:c r="D26" s="25" t="str">
        <x:v>材料</x:v>
      </x:c>
      <x:c r="E26" s="25" t="str">
        <x:v>海蚀铁片</x:v>
      </x:c>
      <x:c r="F26" s="25" t="n">
        <x:v>80</x:v>
      </x:c>
      <x:c r="G26" s="25" t="str">
        <x:v>从C0至当前检查点累计需求；未扣自身未来产出，不代表已有库存</x:v>
      </x:c>
    </x:row>
    <x:row r="27">
      <x:c r="A27" s="25" t="str">
        <x:v>C02-E</x:v>
      </x:c>
      <x:c r="B27" s="25" t="str">
        <x:v>宁姆格福</x:v>
      </x:c>
      <x:c r="C27" s="25" t="str">
        <x:v>半急速入场</x:v>
      </x:c>
      <x:c r="D27" s="25" t="str">
        <x:v>材料</x:v>
      </x:c>
      <x:c r="E27" s="25" t="str">
        <x:v>漂流大陆印记</x:v>
      </x:c>
      <x:c r="F27" s="25" t="n">
        <x:v>8</x:v>
      </x:c>
      <x:c r="G27" s="25" t="str">
        <x:v>从C0至当前检查点累计需求；未扣自身未来产出，不代表已有库存</x:v>
      </x:c>
    </x:row>
    <x:row r="28">
      <x:c r="A28" s="25" t="str">
        <x:v>C02-E</x:v>
      </x:c>
      <x:c r="B28" s="25" t="str">
        <x:v>宁姆格福</x:v>
      </x:c>
      <x:c r="C28" s="25" t="str">
        <x:v>半急速入场</x:v>
      </x:c>
      <x:c r="D28" s="25" t="str">
        <x:v>材料</x:v>
      </x:c>
      <x:c r="E28" s="25" t="str">
        <x:v>漂流见证·潮</x:v>
      </x:c>
      <x:c r="F28" s="25" t="n">
        <x:v>8</x:v>
      </x:c>
      <x:c r="G28" s="25" t="str">
        <x:v>从C0至当前检查点累计需求；未扣自身未来产出，不代表已有库存</x:v>
      </x:c>
    </x:row>
    <x:row r="29">
      <x:c r="A29" s="25" t="str">
        <x:v>C02-E</x:v>
      </x:c>
      <x:c r="B29" s="25" t="str">
        <x:v>宁姆格福</x:v>
      </x:c>
      <x:c r="C29" s="25" t="str">
        <x:v>半急速入场</x:v>
      </x:c>
      <x:c r="D29" s="25" t="str">
        <x:v>材料</x:v>
      </x:c>
      <x:c r="E29" s="25" t="str">
        <x:v>漂流见证·雷</x:v>
      </x:c>
      <x:c r="F29" s="25" t="n">
        <x:v>8</x:v>
      </x:c>
      <x:c r="G29" s="25" t="str">
        <x:v>从C0至当前检查点累计需求；未扣自身未来产出，不代表已有库存</x:v>
      </x:c>
    </x:row>
    <x:row r="30">
      <x:c r="A30" s="25" t="str">
        <x:v>C02-E</x:v>
      </x:c>
      <x:c r="B30" s="25" t="str">
        <x:v>宁姆格福</x:v>
      </x:c>
      <x:c r="C30" s="25" t="str">
        <x:v>半急速入场</x:v>
      </x:c>
      <x:c r="D30" s="25" t="str">
        <x:v>材料</x:v>
      </x:c>
      <x:c r="E30" s="25" t="str">
        <x:v>潮痕结晶</x:v>
      </x:c>
      <x:c r="F30" s="25" t="n">
        <x:v>8</x:v>
      </x:c>
      <x:c r="G30" s="25" t="str">
        <x:v>从C0至当前检查点累计需求；未扣自身未来产出，不代表已有库存</x:v>
      </x:c>
    </x:row>
    <x:row r="31">
      <x:c r="A31" s="25" t="str">
        <x:v>C02-E</x:v>
      </x:c>
      <x:c r="B31" s="25" t="str">
        <x:v>宁姆格福</x:v>
      </x:c>
      <x:c r="C31" s="25" t="str">
        <x:v>半急速入场</x:v>
      </x:c>
      <x:c r="D31" s="25" t="str">
        <x:v>装备实物</x:v>
      </x:c>
      <x:c r="E31" s="25" t="str">
        <x:v>共44个精确名称（明细见JSON）</x:v>
      </x:c>
      <x:c r="F31" s="25" t="n">
        <x:v>49</x:v>
      </x:c>
      <x:c r="G31" s="25" t="str">
        <x:v>含穿戴、重复试洗、图鉴登记与合成前置；完整数据未省略</x:v>
      </x:c>
    </x:row>
    <x:row r="32">
      <x:c r="A32" s="25" t="str">
        <x:v>C02-M</x:v>
      </x:c>
      <x:c r="B32" s="25" t="str">
        <x:v>宁姆格福</x:v>
      </x:c>
      <x:c r="C32" s="25" t="str">
        <x:v>半急速中期</x:v>
      </x:c>
      <x:c r="D32" s="25" t="str">
        <x:v>材料</x:v>
      </x:c>
      <x:c r="E32" s="25" t="str">
        <x:v>夜骑黑印</x:v>
      </x:c>
      <x:c r="F32" s="25" t="n">
        <x:v>1</x:v>
      </x:c>
      <x:c r="G32" s="25" t="str">
        <x:v>从C0至当前检查点累计需求；未扣自身未来产出，不代表已有库存</x:v>
      </x:c>
    </x:row>
    <x:row r="33">
      <x:c r="A33" s="25" t="str">
        <x:v>C02-M</x:v>
      </x:c>
      <x:c r="B33" s="25" t="str">
        <x:v>宁姆格福</x:v>
      </x:c>
      <x:c r="C33" s="25" t="str">
        <x:v>半急速中期</x:v>
      </x:c>
      <x:c r="D33" s="25" t="str">
        <x:v>材料</x:v>
      </x:c>
      <x:c r="E33" s="25" t="str">
        <x:v>失乡军令</x:v>
      </x:c>
      <x:c r="F33" s="25" t="n">
        <x:v>2</x:v>
      </x:c>
      <x:c r="G33" s="25" t="str">
        <x:v>从C0至当前检查点累计需求；未扣自身未来产出，不代表已有库存</x:v>
      </x:c>
    </x:row>
    <x:row r="34">
      <x:c r="A34" s="25" t="str">
        <x:v>C02-M</x:v>
      </x:c>
      <x:c r="B34" s="25" t="str">
        <x:v>宁姆格福</x:v>
      </x:c>
      <x:c r="C34" s="25" t="str">
        <x:v>半急速中期</x:v>
      </x:c>
      <x:c r="D34" s="25" t="str">
        <x:v>材料</x:v>
      </x:c>
      <x:c r="E34" s="25" t="str">
        <x:v>失色锻造石</x:v>
      </x:c>
      <x:c r="F34" s="25" t="n">
        <x:v>680</x:v>
      </x:c>
      <x:c r="G34" s="25" t="str">
        <x:v>从C0至当前检查点累计需求；未扣自身未来产出，不代表已有库存</x:v>
      </x:c>
    </x:row>
    <x:row r="35">
      <x:c r="A35" s="25" t="str">
        <x:v>C02-M</x:v>
      </x:c>
      <x:c r="B35" s="25" t="str">
        <x:v>宁姆格福</x:v>
      </x:c>
      <x:c r="C35" s="25" t="str">
        <x:v>半急速中期</x:v>
      </x:c>
      <x:c r="D35" s="25" t="str">
        <x:v>材料</x:v>
      </x:c>
      <x:c r="E35" s="25" t="str">
        <x:v>技能残页</x:v>
      </x:c>
      <x:c r="F35" s="25" t="n">
        <x:v>1080</x:v>
      </x:c>
      <x:c r="G35" s="25" t="str">
        <x:v>从C0至当前检查点累计需求；未扣自身未来产出，不代表已有库存</x:v>
      </x:c>
    </x:row>
    <x:row r="36">
      <x:c r="A36" s="25" t="str">
        <x:v>C02-M</x:v>
      </x:c>
      <x:c r="B36" s="25" t="str">
        <x:v>宁姆格福</x:v>
      </x:c>
      <x:c r="C36" s="25" t="str">
        <x:v>半急速中期</x:v>
      </x:c>
      <x:c r="D36" s="25" t="str">
        <x:v>材料</x:v>
      </x:c>
      <x:c r="E36" s="25" t="str">
        <x:v>树卫枪穗</x:v>
      </x:c>
      <x:c r="F36" s="25" t="n">
        <x:v>1</x:v>
      </x:c>
      <x:c r="G36" s="25" t="str">
        <x:v>从C0至当前检查点累计需求；未扣自身未来产出，不代表已有库存</x:v>
      </x:c>
    </x:row>
    <x:row r="37">
      <x:c r="A37" s="25" t="str">
        <x:v>C02-M</x:v>
      </x:c>
      <x:c r="B37" s="25" t="str">
        <x:v>宁姆格福</x:v>
      </x:c>
      <x:c r="C37" s="25" t="str">
        <x:v>半急速中期</x:v>
      </x:c>
      <x:c r="D37" s="25" t="str">
        <x:v>材料</x:v>
      </x:c>
      <x:c r="E37" s="25" t="str">
        <x:v>海蚀铁片</x:v>
      </x:c>
      <x:c r="F37" s="25" t="n">
        <x:v>160</x:v>
      </x:c>
      <x:c r="G37" s="25" t="str">
        <x:v>从C0至当前检查点累计需求；未扣自身未来产出，不代表已有库存</x:v>
      </x:c>
    </x:row>
    <x:row r="38">
      <x:c r="A38" s="25" t="str">
        <x:v>C02-M</x:v>
      </x:c>
      <x:c r="B38" s="25" t="str">
        <x:v>宁姆格福</x:v>
      </x:c>
      <x:c r="C38" s="25" t="str">
        <x:v>半急速中期</x:v>
      </x:c>
      <x:c r="D38" s="25" t="str">
        <x:v>材料</x:v>
      </x:c>
      <x:c r="E38" s="25" t="str">
        <x:v>溃烂树核</x:v>
      </x:c>
      <x:c r="F38" s="25" t="n">
        <x:v>1</x:v>
      </x:c>
      <x:c r="G38" s="25" t="str">
        <x:v>从C0至当前检查点累计需求；未扣自身未来产出，不代表已有库存</x:v>
      </x:c>
    </x:row>
    <x:row r="39">
      <x:c r="A39" s="25" t="str">
        <x:v>C02-M</x:v>
      </x:c>
      <x:c r="B39" s="25" t="str">
        <x:v>宁姆格福</x:v>
      </x:c>
      <x:c r="C39" s="25" t="str">
        <x:v>半急速中期</x:v>
      </x:c>
      <x:c r="D39" s="25" t="str">
        <x:v>材料</x:v>
      </x:c>
      <x:c r="E39" s="25" t="str">
        <x:v>漂流大陆印记</x:v>
      </x:c>
      <x:c r="F39" s="25" t="n">
        <x:v>11</x:v>
      </x:c>
      <x:c r="G39" s="25" t="str">
        <x:v>从C0至当前检查点累计需求；未扣自身未来产出，不代表已有库存</x:v>
      </x:c>
    </x:row>
    <x:row r="40">
      <x:c r="A40" s="25" t="str">
        <x:v>C02-M</x:v>
      </x:c>
      <x:c r="B40" s="25" t="str">
        <x:v>宁姆格福</x:v>
      </x:c>
      <x:c r="C40" s="25" t="str">
        <x:v>半急速中期</x:v>
      </x:c>
      <x:c r="D40" s="25" t="str">
        <x:v>材料</x:v>
      </x:c>
      <x:c r="E40" s="25" t="str">
        <x:v>漂流见证·潮</x:v>
      </x:c>
      <x:c r="F40" s="25" t="n">
        <x:v>8</x:v>
      </x:c>
      <x:c r="G40" s="25" t="str">
        <x:v>从C0至当前检查点累计需求；未扣自身未来产出，不代表已有库存</x:v>
      </x:c>
    </x:row>
    <x:row r="41">
      <x:c r="A41" s="25" t="str">
        <x:v>C02-M</x:v>
      </x:c>
      <x:c r="B41" s="25" t="str">
        <x:v>宁姆格福</x:v>
      </x:c>
      <x:c r="C41" s="25" t="str">
        <x:v>半急速中期</x:v>
      </x:c>
      <x:c r="D41" s="25" t="str">
        <x:v>材料</x:v>
      </x:c>
      <x:c r="E41" s="25" t="str">
        <x:v>漂流见证·雷</x:v>
      </x:c>
      <x:c r="F41" s="25" t="n">
        <x:v>8</x:v>
      </x:c>
      <x:c r="G41" s="25" t="str">
        <x:v>从C0至当前检查点累计需求；未扣自身未来产出，不代表已有库存</x:v>
      </x:c>
    </x:row>
    <x:row r="42">
      <x:c r="A42" s="25" t="str">
        <x:v>C02-M</x:v>
      </x:c>
      <x:c r="B42" s="25" t="str">
        <x:v>宁姆格福</x:v>
      </x:c>
      <x:c r="C42" s="25" t="str">
        <x:v>半急速中期</x:v>
      </x:c>
      <x:c r="D42" s="25" t="str">
        <x:v>材料</x:v>
      </x:c>
      <x:c r="E42" s="25" t="str">
        <x:v>潮痕结晶</x:v>
      </x:c>
      <x:c r="F42" s="25" t="n">
        <x:v>16</x:v>
      </x:c>
      <x:c r="G42" s="25" t="str">
        <x:v>从C0至当前检查点累计需求；未扣自身未来产出，不代表已有库存</x:v>
      </x:c>
    </x:row>
    <x:row r="43">
      <x:c r="A43" s="25" t="str">
        <x:v>C02-M</x:v>
      </x:c>
      <x:c r="B43" s="25" t="str">
        <x:v>宁姆格福</x:v>
      </x:c>
      <x:c r="C43" s="25" t="str">
        <x:v>半急速中期</x:v>
      </x:c>
      <x:c r="D43" s="25" t="str">
        <x:v>材料</x:v>
      </x:c>
      <x:c r="E43" s="25" t="str">
        <x:v>看门犬石心</x:v>
      </x:c>
      <x:c r="F43" s="25" t="n">
        <x:v>2</x:v>
      </x:c>
      <x:c r="G43" s="25" t="str">
        <x:v>从C0至当前检查点累计需求；未扣自身未来产出，不代表已有库存</x:v>
      </x:c>
    </x:row>
    <x:row r="44">
      <x:c r="A44" s="25" t="str">
        <x:v>C02-M</x:v>
      </x:c>
      <x:c r="B44" s="25" t="str">
        <x:v>宁姆格福</x:v>
      </x:c>
      <x:c r="C44" s="25" t="str">
        <x:v>半急速中期</x:v>
      </x:c>
      <x:c r="D44" s="25" t="str">
        <x:v>材料</x:v>
      </x:c>
      <x:c r="E44" s="25" t="str">
        <x:v>腐根魂结</x:v>
      </x:c>
      <x:c r="F44" s="25" t="n">
        <x:v>2</x:v>
      </x:c>
      <x:c r="G44" s="25" t="str">
        <x:v>从C0至当前检查点累计需求；未扣自身未来产出，不代表已有库存</x:v>
      </x:c>
    </x:row>
    <x:row r="45">
      <x:c r="A45" s="25" t="str">
        <x:v>C02-M</x:v>
      </x:c>
      <x:c r="B45" s="25" t="str">
        <x:v>宁姆格福</x:v>
      </x:c>
      <x:c r="C45" s="25" t="str">
        <x:v>半急速中期</x:v>
      </x:c>
      <x:c r="D45" s="25" t="str">
        <x:v>材料</x:v>
      </x:c>
      <x:c r="E45" s="25" t="str">
        <x:v>贵胄断指</x:v>
      </x:c>
      <x:c r="F45" s="25" t="n">
        <x:v>1</x:v>
      </x:c>
      <x:c r="G45" s="25" t="str">
        <x:v>从C0至当前检查点累计需求；未扣自身未来产出，不代表已有库存</x:v>
      </x:c>
    </x:row>
    <x:row r="46">
      <x:c r="A46" s="25" t="str">
        <x:v>C02-M</x:v>
      </x:c>
      <x:c r="B46" s="25" t="str">
        <x:v>宁姆格福</x:v>
      </x:c>
      <x:c r="C46" s="25" t="str">
        <x:v>半急速中期</x:v>
      </x:c>
      <x:c r="D46" s="25" t="str">
        <x:v>材料</x:v>
      </x:c>
      <x:c r="E46" s="25" t="str">
        <x:v>野兽骨片</x:v>
      </x:c>
      <x:c r="F46" s="25" t="n">
        <x:v>550</x:v>
      </x:c>
      <x:c r="G46" s="25" t="str">
        <x:v>从C0至当前检查点累计需求；未扣自身未来产出，不代表已有库存</x:v>
      </x:c>
    </x:row>
    <x:row r="47">
      <x:c r="A47" s="25" t="str">
        <x:v>C02-M</x:v>
      </x:c>
      <x:c r="B47" s="25" t="str">
        <x:v>宁姆格福</x:v>
      </x:c>
      <x:c r="C47" s="25" t="str">
        <x:v>半急速中期</x:v>
      </x:c>
      <x:c r="D47" s="25" t="str">
        <x:v>材料</x:v>
      </x:c>
      <x:c r="E47" s="25" t="str">
        <x:v>黄金树芽</x:v>
      </x:c>
      <x:c r="F47" s="25" t="n">
        <x:v>100</x:v>
      </x:c>
      <x:c r="G47" s="25" t="str">
        <x:v>从C0至当前检查点累计需求；未扣自身未来产出，不代表已有库存</x:v>
      </x:c>
    </x:row>
    <x:row r="48">
      <x:c r="A48" s="25" t="str">
        <x:v>C02-M</x:v>
      </x:c>
      <x:c r="B48" s="25" t="str">
        <x:v>宁姆格福</x:v>
      </x:c>
      <x:c r="C48" s="25" t="str">
        <x:v>半急速中期</x:v>
      </x:c>
      <x:c r="D48" s="25" t="str">
        <x:v>材料</x:v>
      </x:c>
      <x:c r="E48" s="25" t="str">
        <x:v>黄金骑徽</x:v>
      </x:c>
      <x:c r="F48" s="25" t="n">
        <x:v>2</x:v>
      </x:c>
      <x:c r="G48" s="25" t="str">
        <x:v>从C0至当前检查点累计需求；未扣自身未来产出，不代表已有库存</x:v>
      </x:c>
    </x:row>
    <x:row r="49">
      <x:c r="A49" s="25" t="str">
        <x:v>C02-M</x:v>
      </x:c>
      <x:c r="B49" s="25" t="str">
        <x:v>宁姆格福</x:v>
      </x:c>
      <x:c r="C49" s="25" t="str">
        <x:v>半急速中期</x:v>
      </x:c>
      <x:c r="D49" s="25" t="str">
        <x:v>装备实物</x:v>
      </x:c>
      <x:c r="E49" s="25" t="str">
        <x:v>共86个精确名称（明细见JSON）</x:v>
      </x:c>
      <x:c r="F49" s="25" t="n">
        <x:v>109</x:v>
      </x:c>
      <x:c r="G49" s="25" t="str">
        <x:v>含穿戴、重复试洗、图鉴登记与合成前置；完整数据未省略</x:v>
      </x:c>
    </x:row>
    <x:row r="50">
      <x:c r="A50" s="25" t="str">
        <x:v>C02-G</x:v>
      </x:c>
      <x:c r="B50" s="25" t="str">
        <x:v>宁姆格福</x:v>
      </x:c>
      <x:c r="C50" s="25" t="str">
        <x:v>半急速毕业</x:v>
      </x:c>
      <x:c r="D50" s="25" t="str">
        <x:v>材料</x:v>
      </x:c>
      <x:c r="E50" s="25" t="str">
        <x:v>唤船骨铃</x:v>
      </x:c>
      <x:c r="F50" s="25" t="n">
        <x:v>1</x:v>
      </x:c>
      <x:c r="G50" s="25" t="str">
        <x:v>从C0至当前检查点累计需求；未扣自身未来产出，不代表已有库存</x:v>
      </x:c>
    </x:row>
    <x:row r="51">
      <x:c r="A51" s="25" t="str">
        <x:v>C02-G</x:v>
      </x:c>
      <x:c r="B51" s="25" t="str">
        <x:v>宁姆格福</x:v>
      </x:c>
      <x:c r="C51" s="25" t="str">
        <x:v>半急速毕业</x:v>
      </x:c>
      <x:c r="D51" s="25" t="str">
        <x:v>材料</x:v>
      </x:c>
      <x:c r="E51" s="25" t="str">
        <x:v>夜骑黑印</x:v>
      </x:c>
      <x:c r="F51" s="25" t="n">
        <x:v>1</x:v>
      </x:c>
      <x:c r="G51" s="25" t="str">
        <x:v>从C0至当前检查点累计需求；未扣自身未来产出，不代表已有库存</x:v>
      </x:c>
    </x:row>
    <x:row r="52">
      <x:c r="A52" s="25" t="str">
        <x:v>C02-G</x:v>
      </x:c>
      <x:c r="B52" s="25" t="str">
        <x:v>宁姆格福</x:v>
      </x:c>
      <x:c r="C52" s="25" t="str">
        <x:v>半急速毕业</x:v>
      </x:c>
      <x:c r="D52" s="25" t="str">
        <x:v>材料</x:v>
      </x:c>
      <x:c r="E52" s="25" t="str">
        <x:v>失乡军令</x:v>
      </x:c>
      <x:c r="F52" s="25" t="n">
        <x:v>2</x:v>
      </x:c>
      <x:c r="G52" s="25" t="str">
        <x:v>从C0至当前检查点累计需求；未扣自身未来产出，不代表已有库存</x:v>
      </x:c>
    </x:row>
    <x:row r="53">
      <x:c r="A53" s="25" t="str">
        <x:v>C02-G</x:v>
      </x:c>
      <x:c r="B53" s="25" t="str">
        <x:v>宁姆格福</x:v>
      </x:c>
      <x:c r="C53" s="25" t="str">
        <x:v>半急速毕业</x:v>
      </x:c>
      <x:c r="D53" s="25" t="str">
        <x:v>材料</x:v>
      </x:c>
      <x:c r="E53" s="25" t="str">
        <x:v>失色锻造石</x:v>
      </x:c>
      <x:c r="F53" s="25" t="n">
        <x:v>1720</x:v>
      </x:c>
      <x:c r="G53" s="25" t="str">
        <x:v>从C0至当前检查点累计需求；未扣自身未来产出，不代表已有库存</x:v>
      </x:c>
    </x:row>
    <x:row r="54">
      <x:c r="A54" s="25" t="str">
        <x:v>C02-G</x:v>
      </x:c>
      <x:c r="B54" s="25" t="str">
        <x:v>宁姆格福</x:v>
      </x:c>
      <x:c r="C54" s="25" t="str">
        <x:v>半急速毕业</x:v>
      </x:c>
      <x:c r="D54" s="25" t="str">
        <x:v>材料</x:v>
      </x:c>
      <x:c r="E54" s="25" t="str">
        <x:v>宁姆格福誓页</x:v>
      </x:c>
      <x:c r="F54" s="25" t="n">
        <x:v>90</x:v>
      </x:c>
      <x:c r="G54" s="25" t="str">
        <x:v>从C0至当前检查点累计需求；未扣自身未来产出，不代表已有库存</x:v>
      </x:c>
    </x:row>
    <x:row r="55">
      <x:c r="A55" s="25" t="str">
        <x:v>C02-G</x:v>
      </x:c>
      <x:c r="B55" s="25" t="str">
        <x:v>宁姆格福</x:v>
      </x:c>
      <x:c r="C55" s="25" t="str">
        <x:v>半急速毕业</x:v>
      </x:c>
      <x:c r="D55" s="25" t="str">
        <x:v>材料</x:v>
      </x:c>
      <x:c r="E55" s="25" t="str">
        <x:v>山妖王角</x:v>
      </x:c>
      <x:c r="F55" s="25" t="n">
        <x:v>2</x:v>
      </x:c>
      <x:c r="G55" s="25" t="str">
        <x:v>从C0至当前检查点累计需求；未扣自身未来产出，不代表已有库存</x:v>
      </x:c>
    </x:row>
    <x:row r="56">
      <x:c r="A56" s="25" t="str">
        <x:v>C02-G</x:v>
      </x:c>
      <x:c r="B56" s="25" t="str">
        <x:v>宁姆格福</x:v>
      </x:c>
      <x:c r="C56" s="25" t="str">
        <x:v>半急速毕业</x:v>
      </x:c>
      <x:c r="D56" s="25" t="str">
        <x:v>材料</x:v>
      </x:c>
      <x:c r="E56" s="25" t="str">
        <x:v>恶兆残角</x:v>
      </x:c>
      <x:c r="F56" s="25" t="n">
        <x:v>1</x:v>
      </x:c>
      <x:c r="G56" s="25" t="str">
        <x:v>从C0至当前检查点累计需求；未扣自身未来产出，不代表已有库存</x:v>
      </x:c>
    </x:row>
    <x:row r="57">
      <x:c r="A57" s="25" t="str">
        <x:v>C02-G</x:v>
      </x:c>
      <x:c r="B57" s="25" t="str">
        <x:v>宁姆格福</x:v>
      </x:c>
      <x:c r="C57" s="25" t="str">
        <x:v>半急速毕业</x:v>
      </x:c>
      <x:c r="D57" s="25" t="str">
        <x:v>材料</x:v>
      </x:c>
      <x:c r="E57" s="25" t="str">
        <x:v>技能残页</x:v>
      </x:c>
      <x:c r="F57" s="25" t="n">
        <x:v>1350</x:v>
      </x:c>
      <x:c r="G57" s="25" t="str">
        <x:v>从C0至当前检查点累计需求；未扣自身未来产出，不代表已有库存</x:v>
      </x:c>
    </x:row>
    <x:row r="58">
      <x:c r="A58" s="25" t="str">
        <x:v>C02-G</x:v>
      </x:c>
      <x:c r="B58" s="25" t="str">
        <x:v>宁姆格福</x:v>
      </x:c>
      <x:c r="C58" s="25" t="str">
        <x:v>半急速毕业</x:v>
      </x:c>
      <x:c r="D58" s="25" t="str">
        <x:v>材料</x:v>
      </x:c>
      <x:c r="E58" s="25" t="str">
        <x:v>接肢王印</x:v>
      </x:c>
      <x:c r="F58" s="25" t="n">
        <x:v>13</x:v>
      </x:c>
      <x:c r="G58" s="25" t="str">
        <x:v>从C0至当前检查点累计需求；未扣自身未来产出，不代表已有库存</x:v>
      </x:c>
    </x:row>
    <x:row r="59">
      <x:c r="A59" s="25" t="str">
        <x:v>C02-G</x:v>
      </x:c>
      <x:c r="B59" s="25" t="str">
        <x:v>宁姆格福</x:v>
      </x:c>
      <x:c r="C59" s="25" t="str">
        <x:v>半急速毕业</x:v>
      </x:c>
      <x:c r="D59" s="25" t="str">
        <x:v>材料</x:v>
      </x:c>
      <x:c r="E59" s="25" t="str">
        <x:v>树卫枪穗</x:v>
      </x:c>
      <x:c r="F59" s="25" t="n">
        <x:v>1</x:v>
      </x:c>
      <x:c r="G59" s="25" t="str">
        <x:v>从C0至当前检查点累计需求；未扣自身未来产出，不代表已有库存</x:v>
      </x:c>
    </x:row>
    <x:row r="60">
      <x:c r="A60" s="25" t="str">
        <x:v>C02-G</x:v>
      </x:c>
      <x:c r="B60" s="25" t="str">
        <x:v>宁姆格福</x:v>
      </x:c>
      <x:c r="C60" s="25" t="str">
        <x:v>半急速毕业</x:v>
      </x:c>
      <x:c r="D60" s="25" t="str">
        <x:v>材料</x:v>
      </x:c>
      <x:c r="E60" s="25" t="str">
        <x:v>死亡仪羽</x:v>
      </x:c>
      <x:c r="F60" s="25" t="n">
        <x:v>2</x:v>
      </x:c>
      <x:c r="G60" s="25" t="str">
        <x:v>从C0至当前检查点累计需求；未扣自身未来产出，不代表已有库存</x:v>
      </x:c>
    </x:row>
    <x:row r="61">
      <x:c r="A61" s="25" t="str">
        <x:v>C02-G</x:v>
      </x:c>
      <x:c r="B61" s="25" t="str">
        <x:v>宁姆格福</x:v>
      </x:c>
      <x:c r="C61" s="25" t="str">
        <x:v>半急速毕业</x:v>
      </x:c>
      <x:c r="D61" s="25" t="str">
        <x:v>材料</x:v>
      </x:c>
      <x:c r="E61" s="25" t="str">
        <x:v>海蚀铁片</x:v>
      </x:c>
      <x:c r="F61" s="25" t="n">
        <x:v>160</x:v>
      </x:c>
      <x:c r="G61" s="25" t="str">
        <x:v>从C0至当前检查点累计需求；未扣自身未来产出，不代表已有库存</x:v>
      </x:c>
    </x:row>
    <x:row r="62">
      <x:c r="A62" s="25" t="str">
        <x:v>C02-G</x:v>
      </x:c>
      <x:c r="B62" s="25" t="str">
        <x:v>宁姆格福</x:v>
      </x:c>
      <x:c r="C62" s="25" t="str">
        <x:v>半急速毕业</x:v>
      </x:c>
      <x:c r="D62" s="25" t="str">
        <x:v>材料</x:v>
      </x:c>
      <x:c r="E62" s="25" t="str">
        <x:v>溃烂树核</x:v>
      </x:c>
      <x:c r="F62" s="25" t="n">
        <x:v>1</x:v>
      </x:c>
      <x:c r="G62" s="25" t="str">
        <x:v>从C0至当前检查点累计需求；未扣自身未来产出，不代表已有库存</x:v>
      </x:c>
    </x:row>
    <x:row r="63">
      <x:c r="A63" s="25" t="str">
        <x:v>C02-G</x:v>
      </x:c>
      <x:c r="B63" s="25" t="str">
        <x:v>宁姆格福</x:v>
      </x:c>
      <x:c r="C63" s="25" t="str">
        <x:v>半急速毕业</x:v>
      </x:c>
      <x:c r="D63" s="25" t="str">
        <x:v>材料</x:v>
      </x:c>
      <x:c r="E63" s="25" t="str">
        <x:v>漂流大陆印记</x:v>
      </x:c>
      <x:c r="F63" s="25" t="n">
        <x:v>11</x:v>
      </x:c>
      <x:c r="G63" s="25" t="str">
        <x:v>从C0至当前检查点累计需求；未扣自身未来产出，不代表已有库存</x:v>
      </x:c>
    </x:row>
    <x:row r="64">
      <x:c r="A64" s="25" t="str">
        <x:v>C02-G</x:v>
      </x:c>
      <x:c r="B64" s="25" t="str">
        <x:v>宁姆格福</x:v>
      </x:c>
      <x:c r="C64" s="25" t="str">
        <x:v>半急速毕业</x:v>
      </x:c>
      <x:c r="D64" s="25" t="str">
        <x:v>材料</x:v>
      </x:c>
      <x:c r="E64" s="25" t="str">
        <x:v>漂流见证·潮</x:v>
      </x:c>
      <x:c r="F64" s="25" t="n">
        <x:v>8</x:v>
      </x:c>
      <x:c r="G64" s="25" t="str">
        <x:v>从C0至当前检查点累计需求；未扣自身未来产出，不代表已有库存</x:v>
      </x:c>
    </x:row>
    <x:row r="65">
      <x:c r="A65" s="25" t="str">
        <x:v>C02-G</x:v>
      </x:c>
      <x:c r="B65" s="25" t="str">
        <x:v>宁姆格福</x:v>
      </x:c>
      <x:c r="C65" s="25" t="str">
        <x:v>半急速毕业</x:v>
      </x:c>
      <x:c r="D65" s="25" t="str">
        <x:v>材料</x:v>
      </x:c>
      <x:c r="E65" s="25" t="str">
        <x:v>漂流见证·雷</x:v>
      </x:c>
      <x:c r="F65" s="25" t="n">
        <x:v>8</x:v>
      </x:c>
      <x:c r="G65" s="25" t="str">
        <x:v>从C0至当前检查点累计需求；未扣自身未来产出，不代表已有库存</x:v>
      </x:c>
    </x:row>
    <x:row r="66">
      <x:c r="A66" s="25" t="str">
        <x:v>C02-G</x:v>
      </x:c>
      <x:c r="B66" s="25" t="str">
        <x:v>宁姆格福</x:v>
      </x:c>
      <x:c r="C66" s="25" t="str">
        <x:v>半急速毕业</x:v>
      </x:c>
      <x:c r="D66" s="25" t="str">
        <x:v>材料</x:v>
      </x:c>
      <x:c r="E66" s="25" t="str">
        <x:v>潮痕结晶</x:v>
      </x:c>
      <x:c r="F66" s="25" t="n">
        <x:v>16</x:v>
      </x:c>
      <x:c r="G66" s="25" t="str">
        <x:v>从C0至当前检查点累计需求；未扣自身未来产出，不代表已有库存</x:v>
      </x:c>
    </x:row>
    <x:row r="67">
      <x:c r="A67" s="25" t="str">
        <x:v>C02-G</x:v>
      </x:c>
      <x:c r="B67" s="25" t="str">
        <x:v>宁姆格福</x:v>
      </x:c>
      <x:c r="C67" s="25" t="str">
        <x:v>半急速毕业</x:v>
      </x:c>
      <x:c r="D67" s="25" t="str">
        <x:v>材料</x:v>
      </x:c>
      <x:c r="E67" s="25" t="str">
        <x:v>熊王心脏</x:v>
      </x:c>
      <x:c r="F67" s="25" t="n">
        <x:v>2</x:v>
      </x:c>
      <x:c r="G67" s="25" t="str">
        <x:v>从C0至当前检查点累计需求；未扣自身未来产出，不代表已有库存</x:v>
      </x:c>
    </x:row>
    <x:row r="68">
      <x:c r="A68" s="25" t="str">
        <x:v>C02-G</x:v>
      </x:c>
      <x:c r="B68" s="25" t="str">
        <x:v>宁姆格福</x:v>
      </x:c>
      <x:c r="C68" s="25" t="str">
        <x:v>半急速毕业</x:v>
      </x:c>
      <x:c r="D68" s="25" t="str">
        <x:v>材料</x:v>
      </x:c>
      <x:c r="E68" s="25" t="str">
        <x:v>熔炉角片</x:v>
      </x:c>
      <x:c r="F68" s="25" t="n">
        <x:v>1</x:v>
      </x:c>
      <x:c r="G68" s="25" t="str">
        <x:v>从C0至当前检查点累计需求；未扣自身未来产出，不代表已有库存</x:v>
      </x:c>
    </x:row>
    <x:row r="69">
      <x:c r="A69" s="25" t="str">
        <x:v>C02-G</x:v>
      </x:c>
      <x:c r="B69" s="25" t="str">
        <x:v>宁姆格福</x:v>
      </x:c>
      <x:c r="C69" s="25" t="str">
        <x:v>半急速毕业</x:v>
      </x:c>
      <x:c r="D69" s="25" t="str">
        <x:v>材料</x:v>
      </x:c>
      <x:c r="E69" s="25" t="str">
        <x:v>看门犬石心</x:v>
      </x:c>
      <x:c r="F69" s="25" t="n">
        <x:v>2</x:v>
      </x:c>
      <x:c r="G69" s="25" t="str">
        <x:v>从C0至当前检查点累计需求；未扣自身未来产出，不代表已有库存</x:v>
      </x:c>
    </x:row>
    <x:row r="70">
      <x:c r="A70" s="25" t="str">
        <x:v>C02-G</x:v>
      </x:c>
      <x:c r="B70" s="25" t="str">
        <x:v>宁姆格福</x:v>
      </x:c>
      <x:c r="C70" s="25" t="str">
        <x:v>半急速毕业</x:v>
      </x:c>
      <x:c r="D70" s="25" t="str">
        <x:v>材料</x:v>
      </x:c>
      <x:c r="E70" s="25" t="str">
        <x:v>腐根魂结</x:v>
      </x:c>
      <x:c r="F70" s="25" t="n">
        <x:v>2</x:v>
      </x:c>
      <x:c r="G70" s="25" t="str">
        <x:v>从C0至当前检查点累计需求；未扣自身未来产出，不代表已有库存</x:v>
      </x:c>
    </x:row>
    <x:row r="71">
      <x:c r="A71" s="25" t="str">
        <x:v>C02-G</x:v>
      </x:c>
      <x:c r="B71" s="25" t="str">
        <x:v>宁姆格福</x:v>
      </x:c>
      <x:c r="C71" s="25" t="str">
        <x:v>半急速毕业</x:v>
      </x:c>
      <x:c r="D71" s="25" t="str">
        <x:v>材料</x:v>
      </x:c>
      <x:c r="E71" s="25" t="str">
        <x:v>贵胄断指</x:v>
      </x:c>
      <x:c r="F71" s="25" t="n">
        <x:v>1</x:v>
      </x:c>
      <x:c r="G71" s="25" t="str">
        <x:v>从C0至当前检查点累计需求；未扣自身未来产出，不代表已有库存</x:v>
      </x:c>
    </x:row>
    <x:row r="72">
      <x:c r="A72" s="25" t="str">
        <x:v>C02-G</x:v>
      </x:c>
      <x:c r="B72" s="25" t="str">
        <x:v>宁姆格福</x:v>
      </x:c>
      <x:c r="C72" s="25" t="str">
        <x:v>半急速毕业</x:v>
      </x:c>
      <x:c r="D72" s="25" t="str">
        <x:v>材料</x:v>
      </x:c>
      <x:c r="E72" s="25" t="str">
        <x:v>野兽骨片</x:v>
      </x:c>
      <x:c r="F72" s="25" t="n">
        <x:v>1725</x:v>
      </x:c>
      <x:c r="G72" s="25" t="str">
        <x:v>从C0至当前检查点累计需求；未扣自身未来产出，不代表已有库存</x:v>
      </x:c>
    </x:row>
    <x:row r="73">
      <x:c r="A73" s="25" t="str">
        <x:v>C02-G</x:v>
      </x:c>
      <x:c r="B73" s="25" t="str">
        <x:v>宁姆格福</x:v>
      </x:c>
      <x:c r="C73" s="25" t="str">
        <x:v>半急速毕业</x:v>
      </x:c>
      <x:c r="D73" s="25" t="str">
        <x:v>材料</x:v>
      </x:c>
      <x:c r="E73" s="25" t="str">
        <x:v>风暴王核</x:v>
      </x:c>
      <x:c r="F73" s="25" t="n">
        <x:v>1</x:v>
      </x:c>
      <x:c r="G73" s="25" t="str">
        <x:v>从C0至当前检查点累计需求；未扣自身未来产出，不代表已有库存</x:v>
      </x:c>
    </x:row>
    <x:row r="74">
      <x:c r="A74" s="25" t="str">
        <x:v>C02-G</x:v>
      </x:c>
      <x:c r="B74" s="25" t="str">
        <x:v>宁姆格福</x:v>
      </x:c>
      <x:c r="C74" s="25" t="str">
        <x:v>半急速毕业</x:v>
      </x:c>
      <x:c r="D74" s="25" t="str">
        <x:v>材料</x:v>
      </x:c>
      <x:c r="E74" s="25" t="str">
        <x:v>风暴石片</x:v>
      </x:c>
      <x:c r="F74" s="25" t="n">
        <x:v>370</x:v>
      </x:c>
      <x:c r="G74" s="25" t="str">
        <x:v>从C0至当前检查点累计需求；未扣自身未来产出，不代表已有库存</x:v>
      </x:c>
    </x:row>
    <x:row r="75">
      <x:c r="A75" s="25" t="str">
        <x:v>C02-G</x:v>
      </x:c>
      <x:c r="B75" s="25" t="str">
        <x:v>宁姆格福</x:v>
      </x:c>
      <x:c r="C75" s="25" t="str">
        <x:v>半急速毕业</x:v>
      </x:c>
      <x:c r="D75" s="25" t="str">
        <x:v>材料</x:v>
      </x:c>
      <x:c r="E75" s="25" t="str">
        <x:v>黄金树碎核</x:v>
      </x:c>
      <x:c r="F75" s="25" t="n">
        <x:v>2</x:v>
      </x:c>
      <x:c r="G75" s="25" t="str">
        <x:v>从C0至当前检查点累计需求；未扣自身未来产出，不代表已有库存</x:v>
      </x:c>
    </x:row>
    <x:row r="76">
      <x:c r="A76" s="25" t="str">
        <x:v>C02-G</x:v>
      </x:c>
      <x:c r="B76" s="25" t="str">
        <x:v>宁姆格福</x:v>
      </x:c>
      <x:c r="C76" s="25" t="str">
        <x:v>半急速毕业</x:v>
      </x:c>
      <x:c r="D76" s="25" t="str">
        <x:v>材料</x:v>
      </x:c>
      <x:c r="E76" s="25" t="str">
        <x:v>黄金树芽</x:v>
      </x:c>
      <x:c r="F76" s="25" t="n">
        <x:v>297</x:v>
      </x:c>
      <x:c r="G76" s="25" t="str">
        <x:v>从C0至当前检查点累计需求；未扣自身未来产出，不代表已有库存</x:v>
      </x:c>
    </x:row>
    <x:row r="77">
      <x:c r="A77" s="25" t="str">
        <x:v>C02-G</x:v>
      </x:c>
      <x:c r="B77" s="25" t="str">
        <x:v>宁姆格福</x:v>
      </x:c>
      <x:c r="C77" s="25" t="str">
        <x:v>半急速毕业</x:v>
      </x:c>
      <x:c r="D77" s="25" t="str">
        <x:v>材料</x:v>
      </x:c>
      <x:c r="E77" s="25" t="str">
        <x:v>黄金骑徽</x:v>
      </x:c>
      <x:c r="F77" s="25" t="n">
        <x:v>2</x:v>
      </x:c>
      <x:c r="G77" s="25" t="str">
        <x:v>从C0至当前检查点累计需求；未扣自身未来产出，不代表已有库存</x:v>
      </x:c>
    </x:row>
    <x:row r="78">
      <x:c r="A78" s="25" t="str">
        <x:v>C02-G</x:v>
      </x:c>
      <x:c r="B78" s="25" t="str">
        <x:v>宁姆格福</x:v>
      </x:c>
      <x:c r="C78" s="25" t="str">
        <x:v>半急速毕业</x:v>
      </x:c>
      <x:c r="D78" s="25" t="str">
        <x:v>装备实物</x:v>
      </x:c>
      <x:c r="E78" s="25" t="str">
        <x:v>共111个精确名称（明细见JSON）</x:v>
      </x:c>
      <x:c r="F78" s="25" t="n">
        <x:v>156</x:v>
      </x:c>
      <x:c r="G78" s="25" t="str">
        <x:v>含穿戴、重复试洗、图鉴登记与合成前置；完整数据未省略</x:v>
      </x:c>
    </x:row>
    <x:row r="79">
      <x:c r="A79" s="25" t="str">
        <x:v>C02-X</x:v>
      </x:c>
      <x:c r="B79" s="25" t="str">
        <x:v>宁姆格福</x:v>
      </x:c>
      <x:c r="C79" s="25" t="str">
        <x:v>极端压力</x:v>
      </x:c>
      <x:c r="D79" s="25" t="str">
        <x:v>材料</x:v>
      </x:c>
      <x:c r="E79" s="25" t="str">
        <x:v>唤船骨铃</x:v>
      </x:c>
      <x:c r="F79" s="25" t="n">
        <x:v>1</x:v>
      </x:c>
      <x:c r="G79" s="25" t="str">
        <x:v>从C0至当前检查点累计需求；未扣自身未来产出，不代表已有库存</x:v>
      </x:c>
    </x:row>
    <x:row r="80">
      <x:c r="A80" s="25" t="str">
        <x:v>C02-X</x:v>
      </x:c>
      <x:c r="B80" s="25" t="str">
        <x:v>宁姆格福</x:v>
      </x:c>
      <x:c r="C80" s="25" t="str">
        <x:v>极端压力</x:v>
      </x:c>
      <x:c r="D80" s="25" t="str">
        <x:v>材料</x:v>
      </x:c>
      <x:c r="E80" s="25" t="str">
        <x:v>夜骑黑印</x:v>
      </x:c>
      <x:c r="F80" s="25" t="n">
        <x:v>1</x:v>
      </x:c>
      <x:c r="G80" s="25" t="str">
        <x:v>从C0至当前检查点累计需求；未扣自身未来产出，不代表已有库存</x:v>
      </x:c>
    </x:row>
    <x:row r="81">
      <x:c r="A81" s="25" t="str">
        <x:v>C02-X</x:v>
      </x:c>
      <x:c r="B81" s="25" t="str">
        <x:v>宁姆格福</x:v>
      </x:c>
      <x:c r="C81" s="25" t="str">
        <x:v>极端压力</x:v>
      </x:c>
      <x:c r="D81" s="25" t="str">
        <x:v>材料</x:v>
      </x:c>
      <x:c r="E81" s="25" t="str">
        <x:v>失乡军令</x:v>
      </x:c>
      <x:c r="F81" s="25" t="n">
        <x:v>2</x:v>
      </x:c>
      <x:c r="G81" s="25" t="str">
        <x:v>从C0至当前检查点累计需求；未扣自身未来产出，不代表已有库存</x:v>
      </x:c>
    </x:row>
    <x:row r="82">
      <x:c r="A82" s="25" t="str">
        <x:v>C02-X</x:v>
      </x:c>
      <x:c r="B82" s="25" t="str">
        <x:v>宁姆格福</x:v>
      </x:c>
      <x:c r="C82" s="25" t="str">
        <x:v>极端压力</x:v>
      </x:c>
      <x:c r="D82" s="25" t="str">
        <x:v>材料</x:v>
      </x:c>
      <x:c r="E82" s="25" t="str">
        <x:v>失色锻造石</x:v>
      </x:c>
      <x:c r="F82" s="25" t="n">
        <x:v>5190</x:v>
      </x:c>
      <x:c r="G82" s="25" t="str">
        <x:v>从C0至当前检查点累计需求；未扣自身未来产出，不代表已有库存</x:v>
      </x:c>
    </x:row>
    <x:row r="83">
      <x:c r="A83" s="25" t="str">
        <x:v>C02-X</x:v>
      </x:c>
      <x:c r="B83" s="25" t="str">
        <x:v>宁姆格福</x:v>
      </x:c>
      <x:c r="C83" s="25" t="str">
        <x:v>极端压力</x:v>
      </x:c>
      <x:c r="D83" s="25" t="str">
        <x:v>材料</x:v>
      </x:c>
      <x:c r="E83" s="25" t="str">
        <x:v>宁姆格福誓页</x:v>
      </x:c>
      <x:c r="F83" s="25" t="n">
        <x:v>90</x:v>
      </x:c>
      <x:c r="G83" s="25" t="str">
        <x:v>从C0至当前检查点累计需求；未扣自身未来产出，不代表已有库存</x:v>
      </x:c>
    </x:row>
    <x:row r="84">
      <x:c r="A84" s="25" t="str">
        <x:v>C02-X</x:v>
      </x:c>
      <x:c r="B84" s="25" t="str">
        <x:v>宁姆格福</x:v>
      </x:c>
      <x:c r="C84" s="25" t="str">
        <x:v>极端压力</x:v>
      </x:c>
      <x:c r="D84" s="25" t="str">
        <x:v>材料</x:v>
      </x:c>
      <x:c r="E84" s="25" t="str">
        <x:v>山妖王角</x:v>
      </x:c>
      <x:c r="F84" s="25" t="n">
        <x:v>2</x:v>
      </x:c>
      <x:c r="G84" s="25" t="str">
        <x:v>从C0至当前检查点累计需求；未扣自身未来产出，不代表已有库存</x:v>
      </x:c>
    </x:row>
    <x:row r="85">
      <x:c r="A85" s="25" t="str">
        <x:v>C02-X</x:v>
      </x:c>
      <x:c r="B85" s="25" t="str">
        <x:v>宁姆格福</x:v>
      </x:c>
      <x:c r="C85" s="25" t="str">
        <x:v>极端压力</x:v>
      </x:c>
      <x:c r="D85" s="25" t="str">
        <x:v>材料</x:v>
      </x:c>
      <x:c r="E85" s="25" t="str">
        <x:v>恶兆残角</x:v>
      </x:c>
      <x:c r="F85" s="25" t="n">
        <x:v>1</x:v>
      </x:c>
      <x:c r="G85" s="25" t="str">
        <x:v>从C0至当前检查点累计需求；未扣自身未来产出，不代表已有库存</x:v>
      </x:c>
    </x:row>
    <x:row r="86">
      <x:c r="A86" s="25" t="str">
        <x:v>C02-X</x:v>
      </x:c>
      <x:c r="B86" s="25" t="str">
        <x:v>宁姆格福</x:v>
      </x:c>
      <x:c r="C86" s="25" t="str">
        <x:v>极端压力</x:v>
      </x:c>
      <x:c r="D86" s="25" t="str">
        <x:v>材料</x:v>
      </x:c>
      <x:c r="E86" s="25" t="str">
        <x:v>技能残页</x:v>
      </x:c>
      <x:c r="F86" s="25" t="n">
        <x:v>1350</x:v>
      </x:c>
      <x:c r="G86" s="25" t="str">
        <x:v>从C0至当前检查点累计需求；未扣自身未来产出，不代表已有库存</x:v>
      </x:c>
    </x:row>
    <x:row r="87">
      <x:c r="A87" s="25" t="str">
        <x:v>C02-X</x:v>
      </x:c>
      <x:c r="B87" s="25" t="str">
        <x:v>宁姆格福</x:v>
      </x:c>
      <x:c r="C87" s="25" t="str">
        <x:v>极端压力</x:v>
      </x:c>
      <x:c r="D87" s="25" t="str">
        <x:v>材料</x:v>
      </x:c>
      <x:c r="E87" s="25" t="str">
        <x:v>接肢王印</x:v>
      </x:c>
      <x:c r="F87" s="25" t="n">
        <x:v>21</x:v>
      </x:c>
      <x:c r="G87" s="25" t="str">
        <x:v>从C0至当前检查点累计需求；未扣自身未来产出，不代表已有库存</x:v>
      </x:c>
    </x:row>
    <x:row r="88">
      <x:c r="A88" s="25" t="str">
        <x:v>C02-X</x:v>
      </x:c>
      <x:c r="B88" s="25" t="str">
        <x:v>宁姆格福</x:v>
      </x:c>
      <x:c r="C88" s="25" t="str">
        <x:v>极端压力</x:v>
      </x:c>
      <x:c r="D88" s="25" t="str">
        <x:v>材料</x:v>
      </x:c>
      <x:c r="E88" s="25" t="str">
        <x:v>树卫枪穗</x:v>
      </x:c>
      <x:c r="F88" s="25" t="n">
        <x:v>1</x:v>
      </x:c>
      <x:c r="G88" s="25" t="str">
        <x:v>从C0至当前检查点累计需求；未扣自身未来产出，不代表已有库存</x:v>
      </x:c>
    </x:row>
    <x:row r="89">
      <x:c r="A89" s="25" t="str">
        <x:v>C02-X</x:v>
      </x:c>
      <x:c r="B89" s="25" t="str">
        <x:v>宁姆格福</x:v>
      </x:c>
      <x:c r="C89" s="25" t="str">
        <x:v>极端压力</x:v>
      </x:c>
      <x:c r="D89" s="25" t="str">
        <x:v>材料</x:v>
      </x:c>
      <x:c r="E89" s="25" t="str">
        <x:v>死亡仪羽</x:v>
      </x:c>
      <x:c r="F89" s="25" t="n">
        <x:v>2</x:v>
      </x:c>
      <x:c r="G89" s="25" t="str">
        <x:v>从C0至当前检查点累计需求；未扣自身未来产出，不代表已有库存</x:v>
      </x:c>
    </x:row>
    <x:row r="90">
      <x:c r="A90" s="25" t="str">
        <x:v>C02-X</x:v>
      </x:c>
      <x:c r="B90" s="25" t="str">
        <x:v>宁姆格福</x:v>
      </x:c>
      <x:c r="C90" s="25" t="str">
        <x:v>极端压力</x:v>
      </x:c>
      <x:c r="D90" s="25" t="str">
        <x:v>材料</x:v>
      </x:c>
      <x:c r="E90" s="25" t="str">
        <x:v>海蚀铁片</x:v>
      </x:c>
      <x:c r="F90" s="25" t="n">
        <x:v>160</x:v>
      </x:c>
      <x:c r="G90" s="25" t="str">
        <x:v>从C0至当前检查点累计需求；未扣自身未来产出，不代表已有库存</x:v>
      </x:c>
    </x:row>
    <x:row r="91">
      <x:c r="A91" s="25" t="str">
        <x:v>C02-X</x:v>
      </x:c>
      <x:c r="B91" s="25" t="str">
        <x:v>宁姆格福</x:v>
      </x:c>
      <x:c r="C91" s="25" t="str">
        <x:v>极端压力</x:v>
      </x:c>
      <x:c r="D91" s="25" t="str">
        <x:v>材料</x:v>
      </x:c>
      <x:c r="E91" s="25" t="str">
        <x:v>溃烂树核</x:v>
      </x:c>
      <x:c r="F91" s="25" t="n">
        <x:v>1</x:v>
      </x:c>
      <x:c r="G91" s="25" t="str">
        <x:v>从C0至当前检查点累计需求；未扣自身未来产出，不代表已有库存</x:v>
      </x:c>
    </x:row>
    <x:row r="92">
      <x:c r="A92" s="25" t="str">
        <x:v>C02-X</x:v>
      </x:c>
      <x:c r="B92" s="25" t="str">
        <x:v>宁姆格福</x:v>
      </x:c>
      <x:c r="C92" s="25" t="str">
        <x:v>极端压力</x:v>
      </x:c>
      <x:c r="D92" s="25" t="str">
        <x:v>材料</x:v>
      </x:c>
      <x:c r="E92" s="25" t="str">
        <x:v>漂流大陆印记</x:v>
      </x:c>
      <x:c r="F92" s="25" t="n">
        <x:v>11</x:v>
      </x:c>
      <x:c r="G92" s="25" t="str">
        <x:v>从C0至当前检查点累计需求；未扣自身未来产出，不代表已有库存</x:v>
      </x:c>
    </x:row>
    <x:row r="93">
      <x:c r="A93" s="25" t="str">
        <x:v>C02-X</x:v>
      </x:c>
      <x:c r="B93" s="25" t="str">
        <x:v>宁姆格福</x:v>
      </x:c>
      <x:c r="C93" s="25" t="str">
        <x:v>极端压力</x:v>
      </x:c>
      <x:c r="D93" s="25" t="str">
        <x:v>材料</x:v>
      </x:c>
      <x:c r="E93" s="25" t="str">
        <x:v>漂流见证·潮</x:v>
      </x:c>
      <x:c r="F93" s="25" t="n">
        <x:v>8</x:v>
      </x:c>
      <x:c r="G93" s="25" t="str">
        <x:v>从C0至当前检查点累计需求；未扣自身未来产出，不代表已有库存</x:v>
      </x:c>
    </x:row>
    <x:row r="94">
      <x:c r="A94" s="25" t="str">
        <x:v>C02-X</x:v>
      </x:c>
      <x:c r="B94" s="25" t="str">
        <x:v>宁姆格福</x:v>
      </x:c>
      <x:c r="C94" s="25" t="str">
        <x:v>极端压力</x:v>
      </x:c>
      <x:c r="D94" s="25" t="str">
        <x:v>材料</x:v>
      </x:c>
      <x:c r="E94" s="25" t="str">
        <x:v>漂流见证·雷</x:v>
      </x:c>
      <x:c r="F94" s="25" t="n">
        <x:v>8</x:v>
      </x:c>
      <x:c r="G94" s="25" t="str">
        <x:v>从C0至当前检查点累计需求；未扣自身未来产出，不代表已有库存</x:v>
      </x:c>
    </x:row>
    <x:row r="95">
      <x:c r="A95" s="25" t="str">
        <x:v>C02-X</x:v>
      </x:c>
      <x:c r="B95" s="25" t="str">
        <x:v>宁姆格福</x:v>
      </x:c>
      <x:c r="C95" s="25" t="str">
        <x:v>极端压力</x:v>
      </x:c>
      <x:c r="D95" s="25" t="str">
        <x:v>材料</x:v>
      </x:c>
      <x:c r="E95" s="25" t="str">
        <x:v>潮痕结晶</x:v>
      </x:c>
      <x:c r="F95" s="25" t="n">
        <x:v>16</x:v>
      </x:c>
      <x:c r="G95" s="25" t="str">
        <x:v>从C0至当前检查点累计需求；未扣自身未来产出，不代表已有库存</x:v>
      </x:c>
    </x:row>
    <x:row r="96">
      <x:c r="A96" s="25" t="str">
        <x:v>C02-X</x:v>
      </x:c>
      <x:c r="B96" s="25" t="str">
        <x:v>宁姆格福</x:v>
      </x:c>
      <x:c r="C96" s="25" t="str">
        <x:v>极端压力</x:v>
      </x:c>
      <x:c r="D96" s="25" t="str">
        <x:v>材料</x:v>
      </x:c>
      <x:c r="E96" s="25" t="str">
        <x:v>熊王心脏</x:v>
      </x:c>
      <x:c r="F96" s="25" t="n">
        <x:v>2</x:v>
      </x:c>
      <x:c r="G96" s="25" t="str">
        <x:v>从C0至当前检查点累计需求；未扣自身未来产出，不代表已有库存</x:v>
      </x:c>
    </x:row>
    <x:row r="97">
      <x:c r="A97" s="25" t="str">
        <x:v>C02-X</x:v>
      </x:c>
      <x:c r="B97" s="25" t="str">
        <x:v>宁姆格福</x:v>
      </x:c>
      <x:c r="C97" s="25" t="str">
        <x:v>极端压力</x:v>
      </x:c>
      <x:c r="D97" s="25" t="str">
        <x:v>材料</x:v>
      </x:c>
      <x:c r="E97" s="25" t="str">
        <x:v>熔炉角片</x:v>
      </x:c>
      <x:c r="F97" s="25" t="n">
        <x:v>1</x:v>
      </x:c>
      <x:c r="G97" s="25" t="str">
        <x:v>从C0至当前检查点累计需求；未扣自身未来产出，不代表已有库存</x:v>
      </x:c>
    </x:row>
    <x:row r="98">
      <x:c r="A98" s="25" t="str">
        <x:v>C02-X</x:v>
      </x:c>
      <x:c r="B98" s="25" t="str">
        <x:v>宁姆格福</x:v>
      </x:c>
      <x:c r="C98" s="25" t="str">
        <x:v>极端压力</x:v>
      </x:c>
      <x:c r="D98" s="25" t="str">
        <x:v>材料</x:v>
      </x:c>
      <x:c r="E98" s="25" t="str">
        <x:v>看门犬石心</x:v>
      </x:c>
      <x:c r="F98" s="25" t="n">
        <x:v>2</x:v>
      </x:c>
      <x:c r="G98" s="25" t="str">
        <x:v>从C0至当前检查点累计需求；未扣自身未来产出，不代表已有库存</x:v>
      </x:c>
    </x:row>
    <x:row r="99">
      <x:c r="A99" s="25" t="str">
        <x:v>C02-X</x:v>
      </x:c>
      <x:c r="B99" s="25" t="str">
        <x:v>宁姆格福</x:v>
      </x:c>
      <x:c r="C99" s="25" t="str">
        <x:v>极端压力</x:v>
      </x:c>
      <x:c r="D99" s="25" t="str">
        <x:v>材料</x:v>
      </x:c>
      <x:c r="E99" s="25" t="str">
        <x:v>腐根魂结</x:v>
      </x:c>
      <x:c r="F99" s="25" t="n">
        <x:v>2</x:v>
      </x:c>
      <x:c r="G99" s="25" t="str">
        <x:v>从C0至当前检查点累计需求；未扣自身未来产出，不代表已有库存</x:v>
      </x:c>
    </x:row>
    <x:row r="100">
      <x:c r="A100" s="25" t="str">
        <x:v>C02-X</x:v>
      </x:c>
      <x:c r="B100" s="25" t="str">
        <x:v>宁姆格福</x:v>
      </x:c>
      <x:c r="C100" s="25" t="str">
        <x:v>极端压力</x:v>
      </x:c>
      <x:c r="D100" s="25" t="str">
        <x:v>材料</x:v>
      </x:c>
      <x:c r="E100" s="25" t="str">
        <x:v>贵胄断指</x:v>
      </x:c>
      <x:c r="F100" s="25" t="n">
        <x:v>1</x:v>
      </x:c>
      <x:c r="G100" s="25" t="str">
        <x:v>从C0至当前检查点累计需求；未扣自身未来产出，不代表已有库存</x:v>
      </x:c>
    </x:row>
    <x:row r="101">
      <x:c r="A101" s="25" t="str">
        <x:v>C02-X</x:v>
      </x:c>
      <x:c r="B101" s="25" t="str">
        <x:v>宁姆格福</x:v>
      </x:c>
      <x:c r="C101" s="25" t="str">
        <x:v>极端压力</x:v>
      </x:c>
      <x:c r="D101" s="25" t="str">
        <x:v>材料</x:v>
      </x:c>
      <x:c r="E101" s="25" t="str">
        <x:v>野兽骨片</x:v>
      </x:c>
      <x:c r="F101" s="25" t="n">
        <x:v>1725</x:v>
      </x:c>
      <x:c r="G101" s="25" t="str">
        <x:v>从C0至当前检查点累计需求；未扣自身未来产出，不代表已有库存</x:v>
      </x:c>
    </x:row>
    <x:row r="102">
      <x:c r="A102" s="25" t="str">
        <x:v>C02-X</x:v>
      </x:c>
      <x:c r="B102" s="25" t="str">
        <x:v>宁姆格福</x:v>
      </x:c>
      <x:c r="C102" s="25" t="str">
        <x:v>极端压力</x:v>
      </x:c>
      <x:c r="D102" s="25" t="str">
        <x:v>材料</x:v>
      </x:c>
      <x:c r="E102" s="25" t="str">
        <x:v>风暴王核</x:v>
      </x:c>
      <x:c r="F102" s="25" t="n">
        <x:v>1</x:v>
      </x:c>
      <x:c r="G102" s="25" t="str">
        <x:v>从C0至当前检查点累计需求；未扣自身未来产出，不代表已有库存</x:v>
      </x:c>
    </x:row>
    <x:row r="103">
      <x:c r="A103" s="25" t="str">
        <x:v>C02-X</x:v>
      </x:c>
      <x:c r="B103" s="25" t="str">
        <x:v>宁姆格福</x:v>
      </x:c>
      <x:c r="C103" s="25" t="str">
        <x:v>极端压力</x:v>
      </x:c>
      <x:c r="D103" s="25" t="str">
        <x:v>材料</x:v>
      </x:c>
      <x:c r="E103" s="25" t="str">
        <x:v>风暴石片</x:v>
      </x:c>
      <x:c r="F103" s="25" t="n">
        <x:v>610</x:v>
      </x:c>
      <x:c r="G103" s="25" t="str">
        <x:v>从C0至当前检查点累计需求；未扣自身未来产出，不代表已有库存</x:v>
      </x:c>
    </x:row>
    <x:row r="104">
      <x:c r="A104" s="25" t="str">
        <x:v>C02-X</x:v>
      </x:c>
      <x:c r="B104" s="25" t="str">
        <x:v>宁姆格福</x:v>
      </x:c>
      <x:c r="C104" s="25" t="str">
        <x:v>极端压力</x:v>
      </x:c>
      <x:c r="D104" s="25" t="str">
        <x:v>材料</x:v>
      </x:c>
      <x:c r="E104" s="25" t="str">
        <x:v>黄金树碎核</x:v>
      </x:c>
      <x:c r="F104" s="25" t="n">
        <x:v>2</x:v>
      </x:c>
      <x:c r="G104" s="25" t="str">
        <x:v>从C0至当前检查点累计需求；未扣自身未来产出，不代表已有库存</x:v>
      </x:c>
    </x:row>
    <x:row r="105">
      <x:c r="A105" s="25" t="str">
        <x:v>C02-X</x:v>
      </x:c>
      <x:c r="B105" s="25" t="str">
        <x:v>宁姆格福</x:v>
      </x:c>
      <x:c r="C105" s="25" t="str">
        <x:v>极端压力</x:v>
      </x:c>
      <x:c r="D105" s="25" t="str">
        <x:v>材料</x:v>
      </x:c>
      <x:c r="E105" s="25" t="str">
        <x:v>黄金树芽</x:v>
      </x:c>
      <x:c r="F105" s="25" t="n">
        <x:v>321</x:v>
      </x:c>
      <x:c r="G105" s="25" t="str">
        <x:v>从C0至当前检查点累计需求；未扣自身未来产出，不代表已有库存</x:v>
      </x:c>
    </x:row>
    <x:row r="106">
      <x:c r="A106" s="25" t="str">
        <x:v>C02-X</x:v>
      </x:c>
      <x:c r="B106" s="25" t="str">
        <x:v>宁姆格福</x:v>
      </x:c>
      <x:c r="C106" s="25" t="str">
        <x:v>极端压力</x:v>
      </x:c>
      <x:c r="D106" s="25" t="str">
        <x:v>材料</x:v>
      </x:c>
      <x:c r="E106" s="25" t="str">
        <x:v>黄金骑徽</x:v>
      </x:c>
      <x:c r="F106" s="25" t="n">
        <x:v>2</x:v>
      </x:c>
      <x:c r="G106" s="25" t="str">
        <x:v>从C0至当前检查点累计需求；未扣自身未来产出，不代表已有库存</x:v>
      </x:c>
    </x:row>
    <x:row r="107">
      <x:c r="A107" s="25" t="str">
        <x:v>C02-X</x:v>
      </x:c>
      <x:c r="B107" s="25" t="str">
        <x:v>宁姆格福</x:v>
      </x:c>
      <x:c r="C107" s="25" t="str">
        <x:v>极端压力</x:v>
      </x:c>
      <x:c r="D107" s="25" t="str">
        <x:v>装备实物</x:v>
      </x:c>
      <x:c r="E107" s="25" t="str">
        <x:v>共129个精确名称（明细见JSON）</x:v>
      </x:c>
      <x:c r="F107" s="25" t="n">
        <x:v>211</x:v>
      </x:c>
      <x:c r="G107" s="25" t="str">
        <x:v>含穿戴、重复试洗、图鉴登记与合成前置；完整数据未省略</x:v>
      </x:c>
    </x:row>
    <x:row r="108">
      <x:c r="A108" s="25" t="str">
        <x:v>C03-E</x:v>
      </x:c>
      <x:c r="B108" s="25" t="str">
        <x:v>宁姆格福西域</x:v>
      </x:c>
      <x:c r="C108" s="25" t="str">
        <x:v>半急速入场</x:v>
      </x:c>
      <x:c r="D108" s="25" t="str">
        <x:v>材料</x:v>
      </x:c>
      <x:c r="E108" s="25" t="str">
        <x:v>唤船骨铃</x:v>
      </x:c>
      <x:c r="F108" s="25" t="n">
        <x:v>1</x:v>
      </x:c>
      <x:c r="G108" s="25" t="str">
        <x:v>从C0至当前检查点累计需求；未扣自身未来产出，不代表已有库存</x:v>
      </x:c>
    </x:row>
    <x:row r="109">
      <x:c r="A109" s="25" t="str">
        <x:v>C03-E</x:v>
      </x:c>
      <x:c r="B109" s="25" t="str">
        <x:v>宁姆格福西域</x:v>
      </x:c>
      <x:c r="C109" s="25" t="str">
        <x:v>半急速入场</x:v>
      </x:c>
      <x:c r="D109" s="25" t="str">
        <x:v>材料</x:v>
      </x:c>
      <x:c r="E109" s="25" t="str">
        <x:v>夜骑黑印</x:v>
      </x:c>
      <x:c r="F109" s="25" t="n">
        <x:v>1</x:v>
      </x:c>
      <x:c r="G109" s="25" t="str">
        <x:v>从C0至当前检查点累计需求；未扣自身未来产出，不代表已有库存</x:v>
      </x:c>
    </x:row>
    <x:row r="110">
      <x:c r="A110" s="25" t="str">
        <x:v>C03-E</x:v>
      </x:c>
      <x:c r="B110" s="25" t="str">
        <x:v>宁姆格福西域</x:v>
      </x:c>
      <x:c r="C110" s="25" t="str">
        <x:v>半急速入场</x:v>
      </x:c>
      <x:c r="D110" s="25" t="str">
        <x:v>材料</x:v>
      </x:c>
      <x:c r="E110" s="25" t="str">
        <x:v>失乡军令</x:v>
      </x:c>
      <x:c r="F110" s="25" t="n">
        <x:v>2</x:v>
      </x:c>
      <x:c r="G110" s="25" t="str">
        <x:v>从C0至当前检查点累计需求；未扣自身未来产出，不代表已有库存</x:v>
      </x:c>
    </x:row>
    <x:row r="111">
      <x:c r="A111" s="25" t="str">
        <x:v>C03-E</x:v>
      </x:c>
      <x:c r="B111" s="25" t="str">
        <x:v>宁姆格福西域</x:v>
      </x:c>
      <x:c r="C111" s="25" t="str">
        <x:v>半急速入场</x:v>
      </x:c>
      <x:c r="D111" s="25" t="str">
        <x:v>材料</x:v>
      </x:c>
      <x:c r="E111" s="25" t="str">
        <x:v>失色锻造石</x:v>
      </x:c>
      <x:c r="F111" s="25" t="n">
        <x:v>1720</x:v>
      </x:c>
      <x:c r="G111" s="25" t="str">
        <x:v>从C0至当前检查点累计需求；未扣自身未来产出，不代表已有库存</x:v>
      </x:c>
    </x:row>
    <x:row r="112">
      <x:c r="A112" s="25" t="str">
        <x:v>C03-E</x:v>
      </x:c>
      <x:c r="B112" s="25" t="str">
        <x:v>宁姆格福西域</x:v>
      </x:c>
      <x:c r="C112" s="25" t="str">
        <x:v>半急速入场</x:v>
      </x:c>
      <x:c r="D112" s="25" t="str">
        <x:v>材料</x:v>
      </x:c>
      <x:c r="E112" s="25" t="str">
        <x:v>宁姆格福誓页</x:v>
      </x:c>
      <x:c r="F112" s="25" t="n">
        <x:v>90</x:v>
      </x:c>
      <x:c r="G112" s="25" t="str">
        <x:v>从C0至当前检查点累计需求；未扣自身未来产出，不代表已有库存</x:v>
      </x:c>
    </x:row>
    <x:row r="113">
      <x:c r="A113" s="25" t="str">
        <x:v>C03-E</x:v>
      </x:c>
      <x:c r="B113" s="25" t="str">
        <x:v>宁姆格福西域</x:v>
      </x:c>
      <x:c r="C113" s="25" t="str">
        <x:v>半急速入场</x:v>
      </x:c>
      <x:c r="D113" s="25" t="str">
        <x:v>材料</x:v>
      </x:c>
      <x:c r="E113" s="25" t="str">
        <x:v>山妖王角</x:v>
      </x:c>
      <x:c r="F113" s="25" t="n">
        <x:v>2</x:v>
      </x:c>
      <x:c r="G113" s="25" t="str">
        <x:v>从C0至当前检查点累计需求；未扣自身未来产出，不代表已有库存</x:v>
      </x:c>
    </x:row>
    <x:row r="114">
      <x:c r="A114" s="25" t="str">
        <x:v>C03-E</x:v>
      </x:c>
      <x:c r="B114" s="25" t="str">
        <x:v>宁姆格福西域</x:v>
      </x:c>
      <x:c r="C114" s="25" t="str">
        <x:v>半急速入场</x:v>
      </x:c>
      <x:c r="D114" s="25" t="str">
        <x:v>材料</x:v>
      </x:c>
      <x:c r="E114" s="25" t="str">
        <x:v>恶兆残角</x:v>
      </x:c>
      <x:c r="F114" s="25" t="n">
        <x:v>1</x:v>
      </x:c>
      <x:c r="G114" s="25" t="str">
        <x:v>从C0至当前检查点累计需求；未扣自身未来产出，不代表已有库存</x:v>
      </x:c>
    </x:row>
    <x:row r="115">
      <x:c r="A115" s="25" t="str">
        <x:v>C03-E</x:v>
      </x:c>
      <x:c r="B115" s="25" t="str">
        <x:v>宁姆格福西域</x:v>
      </x:c>
      <x:c r="C115" s="25" t="str">
        <x:v>半急速入场</x:v>
      </x:c>
      <x:c r="D115" s="25" t="str">
        <x:v>材料</x:v>
      </x:c>
      <x:c r="E115" s="25" t="str">
        <x:v>技能残页</x:v>
      </x:c>
      <x:c r="F115" s="25" t="n">
        <x:v>1350</x:v>
      </x:c>
      <x:c r="G115" s="25" t="str">
        <x:v>从C0至当前检查点累计需求；未扣自身未来产出，不代表已有库存</x:v>
      </x:c>
    </x:row>
    <x:row r="116">
      <x:c r="A116" s="25" t="str">
        <x:v>C03-E</x:v>
      </x:c>
      <x:c r="B116" s="25" t="str">
        <x:v>宁姆格福西域</x:v>
      </x:c>
      <x:c r="C116" s="25" t="str">
        <x:v>半急速入场</x:v>
      </x:c>
      <x:c r="D116" s="25" t="str">
        <x:v>材料</x:v>
      </x:c>
      <x:c r="E116" s="25" t="str">
        <x:v>接肢王印</x:v>
      </x:c>
      <x:c r="F116" s="25" t="n">
        <x:v>13</x:v>
      </x:c>
      <x:c r="G116" s="25" t="str">
        <x:v>从C0至当前检查点累计需求；未扣自身未来产出，不代表已有库存</x:v>
      </x:c>
    </x:row>
    <x:row r="117">
      <x:c r="A117" s="25" t="str">
        <x:v>C03-E</x:v>
      </x:c>
      <x:c r="B117" s="25" t="str">
        <x:v>宁姆格福西域</x:v>
      </x:c>
      <x:c r="C117" s="25" t="str">
        <x:v>半急速入场</x:v>
      </x:c>
      <x:c r="D117" s="25" t="str">
        <x:v>材料</x:v>
      </x:c>
      <x:c r="E117" s="25" t="str">
        <x:v>树卫枪穗</x:v>
      </x:c>
      <x:c r="F117" s="25" t="n">
        <x:v>1</x:v>
      </x:c>
      <x:c r="G117" s="25" t="str">
        <x:v>从C0至当前检查点累计需求；未扣自身未来产出，不代表已有库存</x:v>
      </x:c>
    </x:row>
    <x:row r="118">
      <x:c r="A118" s="25" t="str">
        <x:v>C03-E</x:v>
      </x:c>
      <x:c r="B118" s="25" t="str">
        <x:v>宁姆格福西域</x:v>
      </x:c>
      <x:c r="C118" s="25" t="str">
        <x:v>半急速入场</x:v>
      </x:c>
      <x:c r="D118" s="25" t="str">
        <x:v>材料</x:v>
      </x:c>
      <x:c r="E118" s="25" t="str">
        <x:v>死亡仪羽</x:v>
      </x:c>
      <x:c r="F118" s="25" t="n">
        <x:v>2</x:v>
      </x:c>
      <x:c r="G118" s="25" t="str">
        <x:v>从C0至当前检查点累计需求；未扣自身未来产出，不代表已有库存</x:v>
      </x:c>
    </x:row>
    <x:row r="119">
      <x:c r="A119" s="25" t="str">
        <x:v>C03-E</x:v>
      </x:c>
      <x:c r="B119" s="25" t="str">
        <x:v>宁姆格福西域</x:v>
      </x:c>
      <x:c r="C119" s="25" t="str">
        <x:v>半急速入场</x:v>
      </x:c>
      <x:c r="D119" s="25" t="str">
        <x:v>材料</x:v>
      </x:c>
      <x:c r="E119" s="25" t="str">
        <x:v>海蚀铁片</x:v>
      </x:c>
      <x:c r="F119" s="25" t="n">
        <x:v>160</x:v>
      </x:c>
      <x:c r="G119" s="25" t="str">
        <x:v>从C0至当前检查点累计需求；未扣自身未来产出，不代表已有库存</x:v>
      </x:c>
    </x:row>
    <x:row r="120">
      <x:c r="A120" s="25" t="str">
        <x:v>C03-E</x:v>
      </x:c>
      <x:c r="B120" s="25" t="str">
        <x:v>宁姆格福西域</x:v>
      </x:c>
      <x:c r="C120" s="25" t="str">
        <x:v>半急速入场</x:v>
      </x:c>
      <x:c r="D120" s="25" t="str">
        <x:v>材料</x:v>
      </x:c>
      <x:c r="E120" s="25" t="str">
        <x:v>溃烂树核</x:v>
      </x:c>
      <x:c r="F120" s="25" t="n">
        <x:v>1</x:v>
      </x:c>
      <x:c r="G120" s="25" t="str">
        <x:v>从C0至当前检查点累计需求；未扣自身未来产出，不代表已有库存</x:v>
      </x:c>
    </x:row>
    <x:row r="121">
      <x:c r="A121" s="25" t="str">
        <x:v>C03-E</x:v>
      </x:c>
      <x:c r="B121" s="25" t="str">
        <x:v>宁姆格福西域</x:v>
      </x:c>
      <x:c r="C121" s="25" t="str">
        <x:v>半急速入场</x:v>
      </x:c>
      <x:c r="D121" s="25" t="str">
        <x:v>材料</x:v>
      </x:c>
      <x:c r="E121" s="25" t="str">
        <x:v>漂流大陆印记</x:v>
      </x:c>
      <x:c r="F121" s="25" t="n">
        <x:v>11</x:v>
      </x:c>
      <x:c r="G121" s="25" t="str">
        <x:v>从C0至当前检查点累计需求；未扣自身未来产出，不代表已有库存</x:v>
      </x:c>
    </x:row>
    <x:row r="122">
      <x:c r="A122" s="25" t="str">
        <x:v>C03-E</x:v>
      </x:c>
      <x:c r="B122" s="25" t="str">
        <x:v>宁姆格福西域</x:v>
      </x:c>
      <x:c r="C122" s="25" t="str">
        <x:v>半急速入场</x:v>
      </x:c>
      <x:c r="D122" s="25" t="str">
        <x:v>材料</x:v>
      </x:c>
      <x:c r="E122" s="25" t="str">
        <x:v>漂流见证·潮</x:v>
      </x:c>
      <x:c r="F122" s="25" t="n">
        <x:v>8</x:v>
      </x:c>
      <x:c r="G122" s="25" t="str">
        <x:v>从C0至当前检查点累计需求；未扣自身未来产出，不代表已有库存</x:v>
      </x:c>
    </x:row>
    <x:row r="123">
      <x:c r="A123" s="25" t="str">
        <x:v>C03-E</x:v>
      </x:c>
      <x:c r="B123" s="25" t="str">
        <x:v>宁姆格福西域</x:v>
      </x:c>
      <x:c r="C123" s="25" t="str">
        <x:v>半急速入场</x:v>
      </x:c>
      <x:c r="D123" s="25" t="str">
        <x:v>材料</x:v>
      </x:c>
      <x:c r="E123" s="25" t="str">
        <x:v>漂流见证·雷</x:v>
      </x:c>
      <x:c r="F123" s="25" t="n">
        <x:v>8</x:v>
      </x:c>
      <x:c r="G123" s="25" t="str">
        <x:v>从C0至当前检查点累计需求；未扣自身未来产出，不代表已有库存</x:v>
      </x:c>
    </x:row>
    <x:row r="124">
      <x:c r="A124" s="25" t="str">
        <x:v>C03-E</x:v>
      </x:c>
      <x:c r="B124" s="25" t="str">
        <x:v>宁姆格福西域</x:v>
      </x:c>
      <x:c r="C124" s="25" t="str">
        <x:v>半急速入场</x:v>
      </x:c>
      <x:c r="D124" s="25" t="str">
        <x:v>材料</x:v>
      </x:c>
      <x:c r="E124" s="25" t="str">
        <x:v>潮痕结晶</x:v>
      </x:c>
      <x:c r="F124" s="25" t="n">
        <x:v>16</x:v>
      </x:c>
      <x:c r="G124" s="25" t="str">
        <x:v>从C0至当前检查点累计需求；未扣自身未来产出，不代表已有库存</x:v>
      </x:c>
    </x:row>
    <x:row r="125">
      <x:c r="A125" s="25" t="str">
        <x:v>C03-E</x:v>
      </x:c>
      <x:c r="B125" s="25" t="str">
        <x:v>宁姆格福西域</x:v>
      </x:c>
      <x:c r="C125" s="25" t="str">
        <x:v>半急速入场</x:v>
      </x:c>
      <x:c r="D125" s="25" t="str">
        <x:v>材料</x:v>
      </x:c>
      <x:c r="E125" s="25" t="str">
        <x:v>熊王心脏</x:v>
      </x:c>
      <x:c r="F125" s="25" t="n">
        <x:v>2</x:v>
      </x:c>
      <x:c r="G125" s="25" t="str">
        <x:v>从C0至当前检查点累计需求；未扣自身未来产出，不代表已有库存</x:v>
      </x:c>
    </x:row>
    <x:row r="126">
      <x:c r="A126" s="25" t="str">
        <x:v>C03-E</x:v>
      </x:c>
      <x:c r="B126" s="25" t="str">
        <x:v>宁姆格福西域</x:v>
      </x:c>
      <x:c r="C126" s="25" t="str">
        <x:v>半急速入场</x:v>
      </x:c>
      <x:c r="D126" s="25" t="str">
        <x:v>材料</x:v>
      </x:c>
      <x:c r="E126" s="25" t="str">
        <x:v>熔炉角片</x:v>
      </x:c>
      <x:c r="F126" s="25" t="n">
        <x:v>1</x:v>
      </x:c>
      <x:c r="G126" s="25" t="str">
        <x:v>从C0至当前检查点累计需求；未扣自身未来产出，不代表已有库存</x:v>
      </x:c>
    </x:row>
    <x:row r="127">
      <x:c r="A127" s="25" t="str">
        <x:v>C03-E</x:v>
      </x:c>
      <x:c r="B127" s="25" t="str">
        <x:v>宁姆格福西域</x:v>
      </x:c>
      <x:c r="C127" s="25" t="str">
        <x:v>半急速入场</x:v>
      </x:c>
      <x:c r="D127" s="25" t="str">
        <x:v>材料</x:v>
      </x:c>
      <x:c r="E127" s="25" t="str">
        <x:v>看门犬石心</x:v>
      </x:c>
      <x:c r="F127" s="25" t="n">
        <x:v>2</x:v>
      </x:c>
      <x:c r="G127" s="25" t="str">
        <x:v>从C0至当前检查点累计需求；未扣自身未来产出，不代表已有库存</x:v>
      </x:c>
    </x:row>
    <x:row r="128">
      <x:c r="A128" s="25" t="str">
        <x:v>C03-E</x:v>
      </x:c>
      <x:c r="B128" s="25" t="str">
        <x:v>宁姆格福西域</x:v>
      </x:c>
      <x:c r="C128" s="25" t="str">
        <x:v>半急速入场</x:v>
      </x:c>
      <x:c r="D128" s="25" t="str">
        <x:v>材料</x:v>
      </x:c>
      <x:c r="E128" s="25" t="str">
        <x:v>腐根魂结</x:v>
      </x:c>
      <x:c r="F128" s="25" t="n">
        <x:v>2</x:v>
      </x:c>
      <x:c r="G128" s="25" t="str">
        <x:v>从C0至当前检查点累计需求；未扣自身未来产出，不代表已有库存</x:v>
      </x:c>
    </x:row>
    <x:row r="129">
      <x:c r="A129" s="25" t="str">
        <x:v>C03-E</x:v>
      </x:c>
      <x:c r="B129" s="25" t="str">
        <x:v>宁姆格福西域</x:v>
      </x:c>
      <x:c r="C129" s="25" t="str">
        <x:v>半急速入场</x:v>
      </x:c>
      <x:c r="D129" s="25" t="str">
        <x:v>材料</x:v>
      </x:c>
      <x:c r="E129" s="25" t="str">
        <x:v>贵胄断指</x:v>
      </x:c>
      <x:c r="F129" s="25" t="n">
        <x:v>1</x:v>
      </x:c>
      <x:c r="G129" s="25" t="str">
        <x:v>从C0至当前检查点累计需求；未扣自身未来产出，不代表已有库存</x:v>
      </x:c>
    </x:row>
    <x:row r="130">
      <x:c r="A130" s="25" t="str">
        <x:v>C03-E</x:v>
      </x:c>
      <x:c r="B130" s="25" t="str">
        <x:v>宁姆格福西域</x:v>
      </x:c>
      <x:c r="C130" s="25" t="str">
        <x:v>半急速入场</x:v>
      </x:c>
      <x:c r="D130" s="25" t="str">
        <x:v>材料</x:v>
      </x:c>
      <x:c r="E130" s="25" t="str">
        <x:v>野兽骨片</x:v>
      </x:c>
      <x:c r="F130" s="25" t="n">
        <x:v>1725</x:v>
      </x:c>
      <x:c r="G130" s="25" t="str">
        <x:v>从C0至当前检查点累计需求；未扣自身未来产出，不代表已有库存</x:v>
      </x:c>
    </x:row>
    <x:row r="131">
      <x:c r="A131" s="25" t="str">
        <x:v>C03-E</x:v>
      </x:c>
      <x:c r="B131" s="25" t="str">
        <x:v>宁姆格福西域</x:v>
      </x:c>
      <x:c r="C131" s="25" t="str">
        <x:v>半急速入场</x:v>
      </x:c>
      <x:c r="D131" s="25" t="str">
        <x:v>材料</x:v>
      </x:c>
      <x:c r="E131" s="25" t="str">
        <x:v>风暴王核</x:v>
      </x:c>
      <x:c r="F131" s="25" t="n">
        <x:v>1</x:v>
      </x:c>
      <x:c r="G131" s="25" t="str">
        <x:v>从C0至当前检查点累计需求；未扣自身未来产出，不代表已有库存</x:v>
      </x:c>
    </x:row>
    <x:row r="132">
      <x:c r="A132" s="25" t="str">
        <x:v>C03-E</x:v>
      </x:c>
      <x:c r="B132" s="25" t="str">
        <x:v>宁姆格福西域</x:v>
      </x:c>
      <x:c r="C132" s="25" t="str">
        <x:v>半急速入场</x:v>
      </x:c>
      <x:c r="D132" s="25" t="str">
        <x:v>材料</x:v>
      </x:c>
      <x:c r="E132" s="25" t="str">
        <x:v>风暴石片</x:v>
      </x:c>
      <x:c r="F132" s="25" t="n">
        <x:v>370</x:v>
      </x:c>
      <x:c r="G132" s="25" t="str">
        <x:v>从C0至当前检查点累计需求；未扣自身未来产出，不代表已有库存</x:v>
      </x:c>
    </x:row>
    <x:row r="133">
      <x:c r="A133" s="25" t="str">
        <x:v>C03-E</x:v>
      </x:c>
      <x:c r="B133" s="25" t="str">
        <x:v>宁姆格福西域</x:v>
      </x:c>
      <x:c r="C133" s="25" t="str">
        <x:v>半急速入场</x:v>
      </x:c>
      <x:c r="D133" s="25" t="str">
        <x:v>材料</x:v>
      </x:c>
      <x:c r="E133" s="25" t="str">
        <x:v>黄金树碎核</x:v>
      </x:c>
      <x:c r="F133" s="25" t="n">
        <x:v>2</x:v>
      </x:c>
      <x:c r="G133" s="25" t="str">
        <x:v>从C0至当前检查点累计需求；未扣自身未来产出，不代表已有库存</x:v>
      </x:c>
    </x:row>
    <x:row r="134">
      <x:c r="A134" s="25" t="str">
        <x:v>C03-E</x:v>
      </x:c>
      <x:c r="B134" s="25" t="str">
        <x:v>宁姆格福西域</x:v>
      </x:c>
      <x:c r="C134" s="25" t="str">
        <x:v>半急速入场</x:v>
      </x:c>
      <x:c r="D134" s="25" t="str">
        <x:v>材料</x:v>
      </x:c>
      <x:c r="E134" s="25" t="str">
        <x:v>黄金树芽</x:v>
      </x:c>
      <x:c r="F134" s="25" t="n">
        <x:v>297</x:v>
      </x:c>
      <x:c r="G134" s="25" t="str">
        <x:v>从C0至当前检查点累计需求；未扣自身未来产出，不代表已有库存</x:v>
      </x:c>
    </x:row>
    <x:row r="135">
      <x:c r="A135" s="25" t="str">
        <x:v>C03-E</x:v>
      </x:c>
      <x:c r="B135" s="25" t="str">
        <x:v>宁姆格福西域</x:v>
      </x:c>
      <x:c r="C135" s="25" t="str">
        <x:v>半急速入场</x:v>
      </x:c>
      <x:c r="D135" s="25" t="str">
        <x:v>材料</x:v>
      </x:c>
      <x:c r="E135" s="25" t="str">
        <x:v>黄金骑徽</x:v>
      </x:c>
      <x:c r="F135" s="25" t="n">
        <x:v>2</x:v>
      </x:c>
      <x:c r="G135" s="25" t="str">
        <x:v>从C0至当前检查点累计需求；未扣自身未来产出，不代表已有库存</x:v>
      </x:c>
    </x:row>
    <x:row r="136">
      <x:c r="A136" s="25" t="str">
        <x:v>C03-E</x:v>
      </x:c>
      <x:c r="B136" s="25" t="str">
        <x:v>宁姆格福西域</x:v>
      </x:c>
      <x:c r="C136" s="25" t="str">
        <x:v>半急速入场</x:v>
      </x:c>
      <x:c r="D136" s="25" t="str">
        <x:v>装备实物</x:v>
      </x:c>
      <x:c r="E136" s="25" t="str">
        <x:v>共111个精确名称（明细见JSON）</x:v>
      </x:c>
      <x:c r="F136" s="25" t="n">
        <x:v>156</x:v>
      </x:c>
      <x:c r="G136" s="25" t="str">
        <x:v>含穿戴、重复试洗、图鉴登记与合成前置；完整数据未省略</x:v>
      </x:c>
    </x:row>
    <x:row r="137">
      <x:c r="A137" s="25" t="str">
        <x:v>C03-M</x:v>
      </x:c>
      <x:c r="B137" s="25" t="str">
        <x:v>宁姆格福西域</x:v>
      </x:c>
      <x:c r="C137" s="25" t="str">
        <x:v>半急速中期</x:v>
      </x:c>
      <x:c r="D137" s="25" t="str">
        <x:v>材料</x:v>
      </x:c>
      <x:c r="E137" s="25" t="str">
        <x:v>兽将脊骨</x:v>
      </x:c>
      <x:c r="F137" s="25" t="n">
        <x:v>1</x:v>
      </x:c>
      <x:c r="G137" s="25" t="str">
        <x:v>从C0至当前检查点累计需求；未扣自身未来产出，不代表已有库存</x:v>
      </x:c>
    </x:row>
    <x:row r="138">
      <x:c r="A138" s="25" t="str">
        <x:v>C03-M</x:v>
      </x:c>
      <x:c r="B138" s="25" t="str">
        <x:v>宁姆格福西域</x:v>
      </x:c>
      <x:c r="C138" s="25" t="str">
        <x:v>半急速中期</x:v>
      </x:c>
      <x:c r="D138" s="25" t="str">
        <x:v>材料</x:v>
      </x:c>
      <x:c r="E138" s="25" t="str">
        <x:v>唤船骨铃</x:v>
      </x:c>
      <x:c r="F138" s="25" t="n">
        <x:v>1</x:v>
      </x:c>
      <x:c r="G138" s="25" t="str">
        <x:v>从C0至当前检查点累计需求；未扣自身未来产出，不代表已有库存</x:v>
      </x:c>
    </x:row>
    <x:row r="139">
      <x:c r="A139" s="25" t="str">
        <x:v>C03-M</x:v>
      </x:c>
      <x:c r="B139" s="25" t="str">
        <x:v>宁姆格福西域</x:v>
      </x:c>
      <x:c r="C139" s="25" t="str">
        <x:v>半急速中期</x:v>
      </x:c>
      <x:c r="D139" s="25" t="str">
        <x:v>材料</x:v>
      </x:c>
      <x:c r="E139" s="25" t="str">
        <x:v>商队火漆</x:v>
      </x:c>
      <x:c r="F139" s="25" t="n">
        <x:v>20</x:v>
      </x:c>
      <x:c r="G139" s="25" t="str">
        <x:v>从C0至当前检查点累计需求；未扣自身未来产出，不代表已有库存</x:v>
      </x:c>
    </x:row>
    <x:row r="140">
      <x:c r="A140" s="25" t="str">
        <x:v>C03-M</x:v>
      </x:c>
      <x:c r="B140" s="25" t="str">
        <x:v>宁姆格福西域</x:v>
      </x:c>
      <x:c r="C140" s="25" t="str">
        <x:v>半急速中期</x:v>
      </x:c>
      <x:c r="D140" s="25" t="str">
        <x:v>材料</x:v>
      </x:c>
      <x:c r="E140" s="25" t="str">
        <x:v>夜骑黑印</x:v>
      </x:c>
      <x:c r="F140" s="25" t="n">
        <x:v>1</x:v>
      </x:c>
      <x:c r="G140" s="25" t="str">
        <x:v>从C0至当前检查点累计需求；未扣自身未来产出，不代表已有库存</x:v>
      </x:c>
    </x:row>
    <x:row r="141">
      <x:c r="A141" s="25" t="str">
        <x:v>C03-M</x:v>
      </x:c>
      <x:c r="B141" s="25" t="str">
        <x:v>宁姆格福西域</x:v>
      </x:c>
      <x:c r="C141" s="25" t="str">
        <x:v>半急速中期</x:v>
      </x:c>
      <x:c r="D141" s="25" t="str">
        <x:v>材料</x:v>
      </x:c>
      <x:c r="E141" s="25" t="str">
        <x:v>失乡军令</x:v>
      </x:c>
      <x:c r="F141" s="25" t="n">
        <x:v>2</x:v>
      </x:c>
      <x:c r="G141" s="25" t="str">
        <x:v>从C0至当前检查点累计需求；未扣自身未来产出，不代表已有库存</x:v>
      </x:c>
    </x:row>
    <x:row r="142">
      <x:c r="A142" s="25" t="str">
        <x:v>C03-M</x:v>
      </x:c>
      <x:c r="B142" s="25" t="str">
        <x:v>宁姆格福西域</x:v>
      </x:c>
      <x:c r="C142" s="25" t="str">
        <x:v>半急速中期</x:v>
      </x:c>
      <x:c r="D142" s="25" t="str">
        <x:v>材料</x:v>
      </x:c>
      <x:c r="E142" s="25" t="str">
        <x:v>失乡统帅徽</x:v>
      </x:c>
      <x:c r="F142" s="25" t="n">
        <x:v>2</x:v>
      </x:c>
      <x:c r="G142" s="25" t="str">
        <x:v>从C0至当前检查点累计需求；未扣自身未来产出，不代表已有库存</x:v>
      </x:c>
    </x:row>
    <x:row r="143">
      <x:c r="A143" s="25" t="str">
        <x:v>C03-M</x:v>
      </x:c>
      <x:c r="B143" s="25" t="str">
        <x:v>宁姆格福西域</x:v>
      </x:c>
      <x:c r="C143" s="25" t="str">
        <x:v>半急速中期</x:v>
      </x:c>
      <x:c r="D143" s="25" t="str">
        <x:v>材料</x:v>
      </x:c>
      <x:c r="E143" s="25" t="str">
        <x:v>失色锻造石</x:v>
      </x:c>
      <x:c r="F143" s="25" t="n">
        <x:v>2360</x:v>
      </x:c>
      <x:c r="G143" s="25" t="str">
        <x:v>从C0至当前检查点累计需求；未扣自身未来产出，不代表已有库存</x:v>
      </x:c>
    </x:row>
    <x:row r="144">
      <x:c r="A144" s="25" t="str">
        <x:v>C03-M</x:v>
      </x:c>
      <x:c r="B144" s="25" t="str">
        <x:v>宁姆格福西域</x:v>
      </x:c>
      <x:c r="C144" s="25" t="str">
        <x:v>半急速中期</x:v>
      </x:c>
      <x:c r="D144" s="25" t="str">
        <x:v>材料</x:v>
      </x:c>
      <x:c r="E144" s="25" t="str">
        <x:v>宁姆格福誓页</x:v>
      </x:c>
      <x:c r="F144" s="25" t="n">
        <x:v>90</x:v>
      </x:c>
      <x:c r="G144" s="25" t="str">
        <x:v>从C0至当前检查点累计需求；未扣自身未来产出，不代表已有库存</x:v>
      </x:c>
    </x:row>
    <x:row r="145">
      <x:c r="A145" s="25" t="str">
        <x:v>C03-M</x:v>
      </x:c>
      <x:c r="B145" s="25" t="str">
        <x:v>宁姆格福西域</x:v>
      </x:c>
      <x:c r="C145" s="25" t="str">
        <x:v>半急速中期</x:v>
      </x:c>
      <x:c r="D145" s="25" t="str">
        <x:v>材料</x:v>
      </x:c>
      <x:c r="E145" s="25" t="str">
        <x:v>山妖王角</x:v>
      </x:c>
      <x:c r="F145" s="25" t="n">
        <x:v>2</x:v>
      </x:c>
      <x:c r="G145" s="25" t="str">
        <x:v>从C0至当前检查点累计需求；未扣自身未来产出，不代表已有库存</x:v>
      </x:c>
    </x:row>
    <x:row r="146">
      <x:c r="A146" s="25" t="str">
        <x:v>C03-M</x:v>
      </x:c>
      <x:c r="B146" s="25" t="str">
        <x:v>宁姆格福西域</x:v>
      </x:c>
      <x:c r="C146" s="25" t="str">
        <x:v>半急速中期</x:v>
      </x:c>
      <x:c r="D146" s="25" t="str">
        <x:v>材料</x:v>
      </x:c>
      <x:c r="E146" s="25" t="str">
        <x:v>恶兆残角</x:v>
      </x:c>
      <x:c r="F146" s="25" t="n">
        <x:v>1</x:v>
      </x:c>
      <x:c r="G146" s="25" t="str">
        <x:v>从C0至当前检查点累计需求；未扣自身未来产出，不代表已有库存</x:v>
      </x:c>
    </x:row>
    <x:row r="147">
      <x:c r="A147" s="25" t="str">
        <x:v>C03-M</x:v>
      </x:c>
      <x:c r="B147" s="25" t="str">
        <x:v>宁姆格福西域</x:v>
      </x:c>
      <x:c r="C147" s="25" t="str">
        <x:v>半急速中期</x:v>
      </x:c>
      <x:c r="D147" s="25" t="str">
        <x:v>材料</x:v>
      </x:c>
      <x:c r="E147" s="25" t="str">
        <x:v>技能残页</x:v>
      </x:c>
      <x:c r="F147" s="25" t="n">
        <x:v>1350</x:v>
      </x:c>
      <x:c r="G147" s="25" t="str">
        <x:v>从C0至当前检查点累计需求；未扣自身未来产出，不代表已有库存</x:v>
      </x:c>
    </x:row>
    <x:row r="148">
      <x:c r="A148" s="25" t="str">
        <x:v>C03-M</x:v>
      </x:c>
      <x:c r="B148" s="25" t="str">
        <x:v>宁姆格福西域</x:v>
      </x:c>
      <x:c r="C148" s="25" t="str">
        <x:v>半急速中期</x:v>
      </x:c>
      <x:c r="D148" s="25" t="str">
        <x:v>材料</x:v>
      </x:c>
      <x:c r="E148" s="25" t="str">
        <x:v>接肢兽心</x:v>
      </x:c>
      <x:c r="F148" s="25" t="n">
        <x:v>2</x:v>
      </x:c>
      <x:c r="G148" s="25" t="str">
        <x:v>从C0至当前检查点累计需求；未扣自身未来产出，不代表已有库存</x:v>
      </x:c>
    </x:row>
    <x:row r="149">
      <x:c r="A149" s="25" t="str">
        <x:v>C03-M</x:v>
      </x:c>
      <x:c r="B149" s="25" t="str">
        <x:v>宁姆格福西域</x:v>
      </x:c>
      <x:c r="C149" s="25" t="str">
        <x:v>半急速中期</x:v>
      </x:c>
      <x:c r="D149" s="25" t="str">
        <x:v>材料</x:v>
      </x:c>
      <x:c r="E149" s="25" t="str">
        <x:v>接肢王印</x:v>
      </x:c>
      <x:c r="F149" s="25" t="n">
        <x:v>13</x:v>
      </x:c>
      <x:c r="G149" s="25" t="str">
        <x:v>从C0至当前检查点累计需求；未扣自身未来产出，不代表已有库存</x:v>
      </x:c>
    </x:row>
    <x:row r="150">
      <x:c r="A150" s="25" t="str">
        <x:v>C03-M</x:v>
      </x:c>
      <x:c r="B150" s="25" t="str">
        <x:v>宁姆格福西域</x:v>
      </x:c>
      <x:c r="C150" s="25" t="str">
        <x:v>半急速中期</x:v>
      </x:c>
      <x:c r="D150" s="25" t="str">
        <x:v>材料</x:v>
      </x:c>
      <x:c r="E150" s="25" t="str">
        <x:v>接肢王魂</x:v>
      </x:c>
      <x:c r="F150" s="25" t="n">
        <x:v>1</x:v>
      </x:c>
      <x:c r="G150" s="25" t="str">
        <x:v>从C0至当前检查点累计需求；未扣自身未来产出，不代表已有库存</x:v>
      </x:c>
    </x:row>
    <x:row r="151">
      <x:c r="A151" s="25" t="str">
        <x:v>C03-M</x:v>
      </x:c>
      <x:c r="B151" s="25" t="str">
        <x:v>宁姆格福西域</x:v>
      </x:c>
      <x:c r="C151" s="25" t="str">
        <x:v>半急速中期</x:v>
      </x:c>
      <x:c r="D151" s="25" t="str">
        <x:v>材料</x:v>
      </x:c>
      <x:c r="E151" s="25" t="str">
        <x:v>树卫枪穗</x:v>
      </x:c>
      <x:c r="F151" s="25" t="n">
        <x:v>1</x:v>
      </x:c>
      <x:c r="G151" s="25" t="str">
        <x:v>从C0至当前检查点累计需求；未扣自身未来产出，不代表已有库存</x:v>
      </x:c>
    </x:row>
    <x:row r="152">
      <x:c r="A152" s="25" t="str">
        <x:v>C03-M</x:v>
      </x:c>
      <x:c r="B152" s="25" t="str">
        <x:v>宁姆格福西域</x:v>
      </x:c>
      <x:c r="C152" s="25" t="str">
        <x:v>半急速中期</x:v>
      </x:c>
      <x:c r="D152" s="25" t="str">
        <x:v>材料</x:v>
      </x:c>
      <x:c r="E152" s="25" t="str">
        <x:v>死亡仪羽</x:v>
      </x:c>
      <x:c r="F152" s="25" t="n">
        <x:v>2</x:v>
      </x:c>
      <x:c r="G152" s="25" t="str">
        <x:v>从C0至当前检查点累计需求；未扣自身未来产出，不代表已有库存</x:v>
      </x:c>
    </x:row>
    <x:row r="153">
      <x:c r="A153" s="25" t="str">
        <x:v>C03-M</x:v>
      </x:c>
      <x:c r="B153" s="25" t="str">
        <x:v>宁姆格福西域</x:v>
      </x:c>
      <x:c r="C153" s="25" t="str">
        <x:v>半急速中期</x:v>
      </x:c>
      <x:c r="D153" s="25" t="str">
        <x:v>材料</x:v>
      </x:c>
      <x:c r="E153" s="25" t="str">
        <x:v>海蚀铁片</x:v>
      </x:c>
      <x:c r="F153" s="25" t="n">
        <x:v>160</x:v>
      </x:c>
      <x:c r="G153" s="25" t="str">
        <x:v>从C0至当前检查点累计需求；未扣自身未来产出，不代表已有库存</x:v>
      </x:c>
    </x:row>
    <x:row r="154">
      <x:c r="A154" s="25" t="str">
        <x:v>C03-M</x:v>
      </x:c>
      <x:c r="B154" s="25" t="str">
        <x:v>宁姆格福西域</x:v>
      </x:c>
      <x:c r="C154" s="25" t="str">
        <x:v>半急速中期</x:v>
      </x:c>
      <x:c r="D154" s="25" t="str">
        <x:v>材料</x:v>
      </x:c>
      <x:c r="E154" s="25" t="str">
        <x:v>溃烂树核</x:v>
      </x:c>
      <x:c r="F154" s="25" t="n">
        <x:v>1</x:v>
      </x:c>
      <x:c r="G154" s="25" t="str">
        <x:v>从C0至当前检查点累计需求；未扣自身未来产出，不代表已有库存</x:v>
      </x:c>
    </x:row>
    <x:row r="155">
      <x:c r="A155" s="25" t="str">
        <x:v>C03-M</x:v>
      </x:c>
      <x:c r="B155" s="25" t="str">
        <x:v>宁姆格福西域</x:v>
      </x:c>
      <x:c r="C155" s="25" t="str">
        <x:v>半急速中期</x:v>
      </x:c>
      <x:c r="D155" s="25" t="str">
        <x:v>材料</x:v>
      </x:c>
      <x:c r="E155" s="25" t="str">
        <x:v>漂流大陆印记</x:v>
      </x:c>
      <x:c r="F155" s="25" t="n">
        <x:v>11</x:v>
      </x:c>
      <x:c r="G155" s="25" t="str">
        <x:v>从C0至当前检查点累计需求；未扣自身未来产出，不代表已有库存</x:v>
      </x:c>
    </x:row>
    <x:row r="156">
      <x:c r="A156" s="25" t="str">
        <x:v>C03-M</x:v>
      </x:c>
      <x:c r="B156" s="25" t="str">
        <x:v>宁姆格福西域</x:v>
      </x:c>
      <x:c r="C156" s="25" t="str">
        <x:v>半急速中期</x:v>
      </x:c>
      <x:c r="D156" s="25" t="str">
        <x:v>材料</x:v>
      </x:c>
      <x:c r="E156" s="25" t="str">
        <x:v>漂流见证·潮</x:v>
      </x:c>
      <x:c r="F156" s="25" t="n">
        <x:v>8</x:v>
      </x:c>
      <x:c r="G156" s="25" t="str">
        <x:v>从C0至当前检查点累计需求；未扣自身未来产出，不代表已有库存</x:v>
      </x:c>
    </x:row>
    <x:row r="157">
      <x:c r="A157" s="25" t="str">
        <x:v>C03-M</x:v>
      </x:c>
      <x:c r="B157" s="25" t="str">
        <x:v>宁姆格福西域</x:v>
      </x:c>
      <x:c r="C157" s="25" t="str">
        <x:v>半急速中期</x:v>
      </x:c>
      <x:c r="D157" s="25" t="str">
        <x:v>材料</x:v>
      </x:c>
      <x:c r="E157" s="25" t="str">
        <x:v>漂流见证·雷</x:v>
      </x:c>
      <x:c r="F157" s="25" t="n">
        <x:v>8</x:v>
      </x:c>
      <x:c r="G157" s="25" t="str">
        <x:v>从C0至当前检查点累计需求；未扣自身未来产出，不代表已有库存</x:v>
      </x:c>
    </x:row>
    <x:row r="158">
      <x:c r="A158" s="25" t="str">
        <x:v>C03-M</x:v>
      </x:c>
      <x:c r="B158" s="25" t="str">
        <x:v>宁姆格福西域</x:v>
      </x:c>
      <x:c r="C158" s="25" t="str">
        <x:v>半急速中期</x:v>
      </x:c>
      <x:c r="D158" s="25" t="str">
        <x:v>材料</x:v>
      </x:c>
      <x:c r="E158" s="25" t="str">
        <x:v>潮痕结晶</x:v>
      </x:c>
      <x:c r="F158" s="25" t="n">
        <x:v>16</x:v>
      </x:c>
      <x:c r="G158" s="25" t="str">
        <x:v>从C0至当前检查点累计需求；未扣自身未来产出，不代表已有库存</x:v>
      </x:c>
    </x:row>
    <x:row r="159">
      <x:c r="A159" s="25" t="str">
        <x:v>C03-M</x:v>
      </x:c>
      <x:c r="B159" s="25" t="str">
        <x:v>宁姆格福西域</x:v>
      </x:c>
      <x:c r="C159" s="25" t="str">
        <x:v>半急速中期</x:v>
      </x:c>
      <x:c r="D159" s="25" t="str">
        <x:v>材料</x:v>
      </x:c>
      <x:c r="E159" s="25" t="str">
        <x:v>熊王心脏</x:v>
      </x:c>
      <x:c r="F159" s="25" t="n">
        <x:v>2</x:v>
      </x:c>
      <x:c r="G159" s="25" t="str">
        <x:v>从C0至当前检查点累计需求；未扣自身未来产出，不代表已有库存</x:v>
      </x:c>
    </x:row>
    <x:row r="160">
      <x:c r="A160" s="25" t="str">
        <x:v>C03-M</x:v>
      </x:c>
      <x:c r="B160" s="25" t="str">
        <x:v>宁姆格福西域</x:v>
      </x:c>
      <x:c r="C160" s="25" t="str">
        <x:v>半急速中期</x:v>
      </x:c>
      <x:c r="D160" s="25" t="str">
        <x:v>材料</x:v>
      </x:c>
      <x:c r="E160" s="25" t="str">
        <x:v>熔炉角片</x:v>
      </x:c>
      <x:c r="F160" s="25" t="n">
        <x:v>1</x:v>
      </x:c>
      <x:c r="G160" s="25" t="str">
        <x:v>从C0至当前检查点累计需求；未扣自身未来产出，不代表已有库存</x:v>
      </x:c>
    </x:row>
    <x:row r="161">
      <x:c r="A161" s="25" t="str">
        <x:v>C03-M</x:v>
      </x:c>
      <x:c r="B161" s="25" t="str">
        <x:v>宁姆格福西域</x:v>
      </x:c>
      <x:c r="C161" s="25" t="str">
        <x:v>半急速中期</x:v>
      </x:c>
      <x:c r="D161" s="25" t="str">
        <x:v>材料</x:v>
      </x:c>
      <x:c r="E161" s="25" t="str">
        <x:v>王城军印</x:v>
      </x:c>
      <x:c r="F161" s="25" t="n">
        <x:v>1</x:v>
      </x:c>
      <x:c r="G161" s="25" t="str">
        <x:v>从C0至当前检查点累计需求；未扣自身未来产出，不代表已有库存</x:v>
      </x:c>
    </x:row>
    <x:row r="162">
      <x:c r="A162" s="25" t="str">
        <x:v>C03-M</x:v>
      </x:c>
      <x:c r="B162" s="25" t="str">
        <x:v>宁姆格福西域</x:v>
      </x:c>
      <x:c r="C162" s="25" t="str">
        <x:v>半急速中期</x:v>
      </x:c>
      <x:c r="D162" s="25" t="str">
        <x:v>材料</x:v>
      </x:c>
      <x:c r="E162" s="25" t="str">
        <x:v>看门犬石心</x:v>
      </x:c>
      <x:c r="F162" s="25" t="n">
        <x:v>2</x:v>
      </x:c>
      <x:c r="G162" s="25" t="str">
        <x:v>从C0至当前检查点累计需求；未扣自身未来产出，不代表已有库存</x:v>
      </x:c>
    </x:row>
    <x:row r="163">
      <x:c r="A163" s="25" t="str">
        <x:v>C03-M</x:v>
      </x:c>
      <x:c r="B163" s="25" t="str">
        <x:v>宁姆格福西域</x:v>
      </x:c>
      <x:c r="C163" s="25" t="str">
        <x:v>半急速中期</x:v>
      </x:c>
      <x:c r="D163" s="25" t="str">
        <x:v>材料</x:v>
      </x:c>
      <x:c r="E163" s="25" t="str">
        <x:v>神秘符文</x:v>
      </x:c>
      <x:c r="F163" s="25" t="n">
        <x:v>100</x:v>
      </x:c>
      <x:c r="G163" s="25" t="str">
        <x:v>从C0至当前检查点累计需求；未扣自身未来产出，不代表已有库存</x:v>
      </x:c>
    </x:row>
    <x:row r="164">
      <x:c r="A164" s="25" t="str">
        <x:v>C03-M</x:v>
      </x:c>
      <x:c r="B164" s="25" t="str">
        <x:v>宁姆格福西域</x:v>
      </x:c>
      <x:c r="C164" s="25" t="str">
        <x:v>半急速中期</x:v>
      </x:c>
      <x:c r="D164" s="25" t="str">
        <x:v>材料</x:v>
      </x:c>
      <x:c r="E164" s="25" t="str">
        <x:v>腐根魂结</x:v>
      </x:c>
      <x:c r="F164" s="25" t="n">
        <x:v>2</x:v>
      </x:c>
      <x:c r="G164" s="25" t="str">
        <x:v>从C0至当前检查点累计需求；未扣自身未来产出，不代表已有库存</x:v>
      </x:c>
    </x:row>
    <x:row r="165">
      <x:c r="A165" s="25" t="str">
        <x:v>C03-M</x:v>
      </x:c>
      <x:c r="B165" s="25" t="str">
        <x:v>宁姆格福西域</x:v>
      </x:c>
      <x:c r="C165" s="25" t="str">
        <x:v>半急速中期</x:v>
      </x:c>
      <x:c r="D165" s="25" t="str">
        <x:v>材料</x:v>
      </x:c>
      <x:c r="E165" s="25" t="str">
        <x:v>西境战旗印</x:v>
      </x:c>
      <x:c r="F165" s="25" t="n">
        <x:v>4</x:v>
      </x:c>
      <x:c r="G165" s="25" t="str">
        <x:v>从C0至当前检查点累计需求；未扣自身未来产出，不代表已有库存</x:v>
      </x:c>
    </x:row>
    <x:row r="166">
      <x:c r="A166" s="25" t="str">
        <x:v>C03-M</x:v>
      </x:c>
      <x:c r="B166" s="25" t="str">
        <x:v>宁姆格福西域</x:v>
      </x:c>
      <x:c r="C166" s="25" t="str">
        <x:v>半急速中期</x:v>
      </x:c>
      <x:c r="D166" s="25" t="str">
        <x:v>材料</x:v>
      </x:c>
      <x:c r="E166" s="25" t="str">
        <x:v>贵胄断指</x:v>
      </x:c>
      <x:c r="F166" s="25" t="n">
        <x:v>1</x:v>
      </x:c>
      <x:c r="G166" s="25" t="str">
        <x:v>从C0至当前检查点累计需求；未扣自身未来产出，不代表已有库存</x:v>
      </x:c>
    </x:row>
    <x:row r="167">
      <x:c r="A167" s="25" t="str">
        <x:v>C03-M</x:v>
      </x:c>
      <x:c r="B167" s="25" t="str">
        <x:v>宁姆格福西域</x:v>
      </x:c>
      <x:c r="C167" s="25" t="str">
        <x:v>半急速中期</x:v>
      </x:c>
      <x:c r="D167" s="25" t="str">
        <x:v>材料</x:v>
      </x:c>
      <x:c r="E167" s="25" t="str">
        <x:v>野兽骨片</x:v>
      </x:c>
      <x:c r="F167" s="25" t="n">
        <x:v>2865</x:v>
      </x:c>
      <x:c r="G167" s="25" t="str">
        <x:v>从C0至当前检查点累计需求；未扣自身未来产出，不代表已有库存</x:v>
      </x:c>
    </x:row>
    <x:row r="168">
      <x:c r="A168" s="25" t="str">
        <x:v>C03-M</x:v>
      </x:c>
      <x:c r="B168" s="25" t="str">
        <x:v>宁姆格福西域</x:v>
      </x:c>
      <x:c r="C168" s="25" t="str">
        <x:v>半急速中期</x:v>
      </x:c>
      <x:c r="D168" s="25" t="str">
        <x:v>材料</x:v>
      </x:c>
      <x:c r="E168" s="25" t="str">
        <x:v>风暴王核</x:v>
      </x:c>
      <x:c r="F168" s="25" t="n">
        <x:v>1</x:v>
      </x:c>
      <x:c r="G168" s="25" t="str">
        <x:v>从C0至当前检查点累计需求；未扣自身未来产出，不代表已有库存</x:v>
      </x:c>
    </x:row>
    <x:row r="169">
      <x:c r="A169" s="25" t="str">
        <x:v>C03-M</x:v>
      </x:c>
      <x:c r="B169" s="25" t="str">
        <x:v>宁姆格福西域</x:v>
      </x:c>
      <x:c r="C169" s="25" t="str">
        <x:v>半急速中期</x:v>
      </x:c>
      <x:c r="D169" s="25" t="str">
        <x:v>材料</x:v>
      </x:c>
      <x:c r="E169" s="25" t="str">
        <x:v>风暴石片</x:v>
      </x:c>
      <x:c r="F169" s="25" t="n">
        <x:v>370</x:v>
      </x:c>
      <x:c r="G169" s="25" t="str">
        <x:v>从C0至当前检查点累计需求；未扣自身未来产出，不代表已有库存</x:v>
      </x:c>
    </x:row>
    <x:row r="170">
      <x:c r="A170" s="25" t="str">
        <x:v>C03-M</x:v>
      </x:c>
      <x:c r="B170" s="25" t="str">
        <x:v>宁姆格福西域</x:v>
      </x:c>
      <x:c r="C170" s="25" t="str">
        <x:v>半急速中期</x:v>
      </x:c>
      <x:c r="D170" s="25" t="str">
        <x:v>材料</x:v>
      </x:c>
      <x:c r="E170" s="25" t="str">
        <x:v>风蚀铁片</x:v>
      </x:c>
      <x:c r="F170" s="25" t="n">
        <x:v>260</x:v>
      </x:c>
      <x:c r="G170" s="25" t="str">
        <x:v>从C0至当前检查点累计需求；未扣自身未来产出，不代表已有库存</x:v>
      </x:c>
    </x:row>
    <x:row r="171">
      <x:c r="A171" s="25" t="str">
        <x:v>C03-M</x:v>
      </x:c>
      <x:c r="B171" s="25" t="str">
        <x:v>宁姆格福西域</x:v>
      </x:c>
      <x:c r="C171" s="25" t="str">
        <x:v>半急速中期</x:v>
      </x:c>
      <x:c r="D171" s="25" t="str">
        <x:v>材料</x:v>
      </x:c>
      <x:c r="E171" s="25" t="str">
        <x:v>黄金树碎核</x:v>
      </x:c>
      <x:c r="F171" s="25" t="n">
        <x:v>2</x:v>
      </x:c>
      <x:c r="G171" s="25" t="str">
        <x:v>从C0至当前检查点累计需求；未扣自身未来产出，不代表已有库存</x:v>
      </x:c>
    </x:row>
    <x:row r="172">
      <x:c r="A172" s="25" t="str">
        <x:v>C03-M</x:v>
      </x:c>
      <x:c r="B172" s="25" t="str">
        <x:v>宁姆格福西域</x:v>
      </x:c>
      <x:c r="C172" s="25" t="str">
        <x:v>半急速中期</x:v>
      </x:c>
      <x:c r="D172" s="25" t="str">
        <x:v>材料</x:v>
      </x:c>
      <x:c r="E172" s="25" t="str">
        <x:v>黄金树芽</x:v>
      </x:c>
      <x:c r="F172" s="25" t="n">
        <x:v>297</x:v>
      </x:c>
      <x:c r="G172" s="25" t="str">
        <x:v>从C0至当前检查点累计需求；未扣自身未来产出，不代表已有库存</x:v>
      </x:c>
    </x:row>
    <x:row r="173">
      <x:c r="A173" s="25" t="str">
        <x:v>C03-M</x:v>
      </x:c>
      <x:c r="B173" s="25" t="str">
        <x:v>宁姆格福西域</x:v>
      </x:c>
      <x:c r="C173" s="25" t="str">
        <x:v>半急速中期</x:v>
      </x:c>
      <x:c r="D173" s="25" t="str">
        <x:v>材料</x:v>
      </x:c>
      <x:c r="E173" s="25" t="str">
        <x:v>黄金骑徽</x:v>
      </x:c>
      <x:c r="F173" s="25" t="n">
        <x:v>2</x:v>
      </x:c>
      <x:c r="G173" s="25" t="str">
        <x:v>从C0至当前检查点累计需求；未扣自身未来产出，不代表已有库存</x:v>
      </x:c>
    </x:row>
    <x:row r="174">
      <x:c r="A174" s="25" t="str">
        <x:v>C03-M</x:v>
      </x:c>
      <x:c r="B174" s="25" t="str">
        <x:v>宁姆格福西域</x:v>
      </x:c>
      <x:c r="C174" s="25" t="str">
        <x:v>半急速中期</x:v>
      </x:c>
      <x:c r="D174" s="25" t="str">
        <x:v>装备实物</x:v>
      </x:c>
      <x:c r="E174" s="25" t="str">
        <x:v>共145个精确名称（明细见JSON）</x:v>
      </x:c>
      <x:c r="F174" s="25" t="n">
        <x:v>199</x:v>
      </x:c>
      <x:c r="G174" s="25" t="str">
        <x:v>含穿戴、重复试洗、图鉴登记与合成前置；完整数据未省略</x:v>
      </x:c>
    </x:row>
    <x:row r="175">
      <x:c r="A175" s="25" t="str">
        <x:v>C03-G</x:v>
      </x:c>
      <x:c r="B175" s="25" t="str">
        <x:v>宁姆格福西域</x:v>
      </x:c>
      <x:c r="C175" s="25" t="str">
        <x:v>半急速毕业</x:v>
      </x:c>
      <x:c r="D175" s="25" t="str">
        <x:v>材料</x:v>
      </x:c>
      <x:c r="E175" s="25" t="str">
        <x:v>兽将脊骨</x:v>
      </x:c>
      <x:c r="F175" s="25" t="n">
        <x:v>1</x:v>
      </x:c>
      <x:c r="G175" s="25" t="str">
        <x:v>从C0至当前检查点累计需求；未扣自身未来产出，不代表已有库存</x:v>
      </x:c>
    </x:row>
    <x:row r="176">
      <x:c r="A176" s="25" t="str">
        <x:v>C03-G</x:v>
      </x:c>
      <x:c r="B176" s="25" t="str">
        <x:v>宁姆格福西域</x:v>
      </x:c>
      <x:c r="C176" s="25" t="str">
        <x:v>半急速毕业</x:v>
      </x:c>
      <x:c r="D176" s="25" t="str">
        <x:v>材料</x:v>
      </x:c>
      <x:c r="E176" s="25" t="str">
        <x:v>哨垒旗冠</x:v>
      </x:c>
      <x:c r="F176" s="25" t="n">
        <x:v>3</x:v>
      </x:c>
      <x:c r="G176" s="25" t="str">
        <x:v>从C0至当前检查点累计需求；未扣自身未来产出，不代表已有库存</x:v>
      </x:c>
    </x:row>
    <x:row r="177">
      <x:c r="A177" s="25" t="str">
        <x:v>C03-G</x:v>
      </x:c>
      <x:c r="B177" s="25" t="str">
        <x:v>宁姆格福西域</x:v>
      </x:c>
      <x:c r="C177" s="25" t="str">
        <x:v>半急速毕业</x:v>
      </x:c>
      <x:c r="D177" s="25" t="str">
        <x:v>材料</x:v>
      </x:c>
      <x:c r="E177" s="25" t="str">
        <x:v>唤船骨铃</x:v>
      </x:c>
      <x:c r="F177" s="25" t="n">
        <x:v>1</x:v>
      </x:c>
      <x:c r="G177" s="25" t="str">
        <x:v>从C0至当前检查点累计需求；未扣自身未来产出，不代表已有库存</x:v>
      </x:c>
    </x:row>
    <x:row r="178">
      <x:c r="A178" s="25" t="str">
        <x:v>C03-G</x:v>
      </x:c>
      <x:c r="B178" s="25" t="str">
        <x:v>宁姆格福西域</x:v>
      </x:c>
      <x:c r="C178" s="25" t="str">
        <x:v>半急速毕业</x:v>
      </x:c>
      <x:c r="D178" s="25" t="str">
        <x:v>材料</x:v>
      </x:c>
      <x:c r="E178" s="25" t="str">
        <x:v>商队火漆</x:v>
      </x:c>
      <x:c r="F178" s="25" t="n">
        <x:v>20</x:v>
      </x:c>
      <x:c r="G178" s="25" t="str">
        <x:v>从C0至当前检查点累计需求；未扣自身未来产出，不代表已有库存</x:v>
      </x:c>
    </x:row>
    <x:row r="179">
      <x:c r="A179" s="25" t="str">
        <x:v>C03-G</x:v>
      </x:c>
      <x:c r="B179" s="25" t="str">
        <x:v>宁姆格福西域</x:v>
      </x:c>
      <x:c r="C179" s="25" t="str">
        <x:v>半急速毕业</x:v>
      </x:c>
      <x:c r="D179" s="25" t="str">
        <x:v>材料</x:v>
      </x:c>
      <x:c r="E179" s="25" t="str">
        <x:v>夜骑黑印</x:v>
      </x:c>
      <x:c r="F179" s="25" t="n">
        <x:v>1</x:v>
      </x:c>
      <x:c r="G179" s="25" t="str">
        <x:v>从C0至当前检查点累计需求；未扣自身未来产出，不代表已有库存</x:v>
      </x:c>
    </x:row>
    <x:row r="180">
      <x:c r="A180" s="25" t="str">
        <x:v>C03-G</x:v>
      </x:c>
      <x:c r="B180" s="25" t="str">
        <x:v>宁姆格福西域</x:v>
      </x:c>
      <x:c r="C180" s="25" t="str">
        <x:v>半急速毕业</x:v>
      </x:c>
      <x:c r="D180" s="25" t="str">
        <x:v>材料</x:v>
      </x:c>
      <x:c r="E180" s="25" t="str">
        <x:v>失乡军令</x:v>
      </x:c>
      <x:c r="F180" s="25" t="n">
        <x:v>2</x:v>
      </x:c>
      <x:c r="G180" s="25" t="str">
        <x:v>从C0至当前检查点累计需求；未扣自身未来产出，不代表已有库存</x:v>
      </x:c>
    </x:row>
    <x:row r="181">
      <x:c r="A181" s="25" t="str">
        <x:v>C03-G</x:v>
      </x:c>
      <x:c r="B181" s="25" t="str">
        <x:v>宁姆格福西域</x:v>
      </x:c>
      <x:c r="C181" s="25" t="str">
        <x:v>半急速毕业</x:v>
      </x:c>
      <x:c r="D181" s="25" t="str">
        <x:v>材料</x:v>
      </x:c>
      <x:c r="E181" s="25" t="str">
        <x:v>失乡统帅徽</x:v>
      </x:c>
      <x:c r="F181" s="25" t="n">
        <x:v>2</x:v>
      </x:c>
      <x:c r="G181" s="25" t="str">
        <x:v>从C0至当前检查点累计需求；未扣自身未来产出，不代表已有库存</x:v>
      </x:c>
    </x:row>
    <x:row r="182">
      <x:c r="A182" s="25" t="str">
        <x:v>C03-G</x:v>
      </x:c>
      <x:c r="B182" s="25" t="str">
        <x:v>宁姆格福西域</x:v>
      </x:c>
      <x:c r="C182" s="25" t="str">
        <x:v>半急速毕业</x:v>
      </x:c>
      <x:c r="D182" s="25" t="str">
        <x:v>材料</x:v>
      </x:c>
      <x:c r="E182" s="25" t="str">
        <x:v>失色锻造石</x:v>
      </x:c>
      <x:c r="F182" s="25" t="n">
        <x:v>3800</x:v>
      </x:c>
      <x:c r="G182" s="25" t="str">
        <x:v>从C0至当前检查点累计需求；未扣自身未来产出，不代表已有库存</x:v>
      </x:c>
    </x:row>
    <x:row r="183">
      <x:c r="A183" s="25" t="str">
        <x:v>C03-G</x:v>
      </x:c>
      <x:c r="B183" s="25" t="str">
        <x:v>宁姆格福西域</x:v>
      </x:c>
      <x:c r="C183" s="25" t="str">
        <x:v>半急速毕业</x:v>
      </x:c>
      <x:c r="D183" s="25" t="str">
        <x:v>材料</x:v>
      </x:c>
      <x:c r="E183" s="25" t="str">
        <x:v>宁姆格福誓页</x:v>
      </x:c>
      <x:c r="F183" s="25" t="n">
        <x:v>90</x:v>
      </x:c>
      <x:c r="G183" s="25" t="str">
        <x:v>从C0至当前检查点累计需求；未扣自身未来产出，不代表已有库存</x:v>
      </x:c>
    </x:row>
    <x:row r="184">
      <x:c r="A184" s="25" t="str">
        <x:v>C03-G</x:v>
      </x:c>
      <x:c r="B184" s="25" t="str">
        <x:v>宁姆格福西域</x:v>
      </x:c>
      <x:c r="C184" s="25" t="str">
        <x:v>半急速毕业</x:v>
      </x:c>
      <x:c r="D184" s="25" t="str">
        <x:v>材料</x:v>
      </x:c>
      <x:c r="E184" s="25" t="str">
        <x:v>山妖王角</x:v>
      </x:c>
      <x:c r="F184" s="25" t="n">
        <x:v>2</x:v>
      </x:c>
      <x:c r="G184" s="25" t="str">
        <x:v>从C0至当前检查点累计需求；未扣自身未来产出，不代表已有库存</x:v>
      </x:c>
    </x:row>
    <x:row r="185">
      <x:c r="A185" s="25" t="str">
        <x:v>C03-G</x:v>
      </x:c>
      <x:c r="B185" s="25" t="str">
        <x:v>宁姆格福西域</x:v>
      </x:c>
      <x:c r="C185" s="25" t="str">
        <x:v>半急速毕业</x:v>
      </x:c>
      <x:c r="D185" s="25" t="str">
        <x:v>材料</x:v>
      </x:c>
      <x:c r="E185" s="25" t="str">
        <x:v>恶兆残角</x:v>
      </x:c>
      <x:c r="F185" s="25" t="n">
        <x:v>1</x:v>
      </x:c>
      <x:c r="G185" s="25" t="str">
        <x:v>从C0至当前检查点累计需求；未扣自身未来产出，不代表已有库存</x:v>
      </x:c>
    </x:row>
    <x:row r="186">
      <x:c r="A186" s="25" t="str">
        <x:v>C03-G</x:v>
      </x:c>
      <x:c r="B186" s="25" t="str">
        <x:v>宁姆格福西域</x:v>
      </x:c>
      <x:c r="C186" s="25" t="str">
        <x:v>半急速毕业</x:v>
      </x:c>
      <x:c r="D186" s="25" t="str">
        <x:v>材料</x:v>
      </x:c>
      <x:c r="E186" s="25" t="str">
        <x:v>技能残页</x:v>
      </x:c>
      <x:c r="F186" s="25" t="n">
        <x:v>1350</x:v>
      </x:c>
      <x:c r="G186" s="25" t="str">
        <x:v>从C0至当前检查点累计需求；未扣自身未来产出，不代表已有库存</x:v>
      </x:c>
    </x:row>
    <x:row r="187">
      <x:c r="A187" s="25" t="str">
        <x:v>C03-G</x:v>
      </x:c>
      <x:c r="B187" s="25" t="str">
        <x:v>宁姆格福西域</x:v>
      </x:c>
      <x:c r="C187" s="25" t="str">
        <x:v>半急速毕业</x:v>
      </x:c>
      <x:c r="D187" s="25" t="str">
        <x:v>材料</x:v>
      </x:c>
      <x:c r="E187" s="25" t="str">
        <x:v>接肢兽心</x:v>
      </x:c>
      <x:c r="F187" s="25" t="n">
        <x:v>2</x:v>
      </x:c>
      <x:c r="G187" s="25" t="str">
        <x:v>从C0至当前检查点累计需求；未扣自身未来产出，不代表已有库存</x:v>
      </x:c>
    </x:row>
    <x:row r="188">
      <x:c r="A188" s="25" t="str">
        <x:v>C03-G</x:v>
      </x:c>
      <x:c r="B188" s="25" t="str">
        <x:v>宁姆格福西域</x:v>
      </x:c>
      <x:c r="C188" s="25" t="str">
        <x:v>半急速毕业</x:v>
      </x:c>
      <x:c r="D188" s="25" t="str">
        <x:v>材料</x:v>
      </x:c>
      <x:c r="E188" s="25" t="str">
        <x:v>接肢王印</x:v>
      </x:c>
      <x:c r="F188" s="25" t="n">
        <x:v>13</x:v>
      </x:c>
      <x:c r="G188" s="25" t="str">
        <x:v>从C0至当前检查点累计需求；未扣自身未来产出，不代表已有库存</x:v>
      </x:c>
    </x:row>
    <x:row r="189">
      <x:c r="A189" s="25" t="str">
        <x:v>C03-G</x:v>
      </x:c>
      <x:c r="B189" s="25" t="str">
        <x:v>宁姆格福西域</x:v>
      </x:c>
      <x:c r="C189" s="25" t="str">
        <x:v>半急速毕业</x:v>
      </x:c>
      <x:c r="D189" s="25" t="str">
        <x:v>材料</x:v>
      </x:c>
      <x:c r="E189" s="25" t="str">
        <x:v>接肢王魂</x:v>
      </x:c>
      <x:c r="F189" s="25" t="n">
        <x:v>1</x:v>
      </x:c>
      <x:c r="G189" s="25" t="str">
        <x:v>从C0至当前检查点累计需求；未扣自身未来产出，不代表已有库存</x:v>
      </x:c>
    </x:row>
    <x:row r="190">
      <x:c r="A190" s="25" t="str">
        <x:v>C03-G</x:v>
      </x:c>
      <x:c r="B190" s="25" t="str">
        <x:v>宁姆格福西域</x:v>
      </x:c>
      <x:c r="C190" s="25" t="str">
        <x:v>半急速毕业</x:v>
      </x:c>
      <x:c r="D190" s="25" t="str">
        <x:v>材料</x:v>
      </x:c>
      <x:c r="E190" s="25" t="str">
        <x:v>树卫枪穗</x:v>
      </x:c>
      <x:c r="F190" s="25" t="n">
        <x:v>1</x:v>
      </x:c>
      <x:c r="G190" s="25" t="str">
        <x:v>从C0至当前检查点累计需求；未扣自身未来产出，不代表已有库存</x:v>
      </x:c>
    </x:row>
    <x:row r="191">
      <x:c r="A191" s="25" t="str">
        <x:v>C03-G</x:v>
      </x:c>
      <x:c r="B191" s="25" t="str">
        <x:v>宁姆格福西域</x:v>
      </x:c>
      <x:c r="C191" s="25" t="str">
        <x:v>半急速毕业</x:v>
      </x:c>
      <x:c r="D191" s="25" t="str">
        <x:v>材料</x:v>
      </x:c>
      <x:c r="E191" s="25" t="str">
        <x:v>死亡仪羽</x:v>
      </x:c>
      <x:c r="F191" s="25" t="n">
        <x:v>2</x:v>
      </x:c>
      <x:c r="G191" s="25" t="str">
        <x:v>从C0至当前检查点累计需求；未扣自身未来产出，不代表已有库存</x:v>
      </x:c>
    </x:row>
    <x:row r="192">
      <x:c r="A192" s="25" t="str">
        <x:v>C03-G</x:v>
      </x:c>
      <x:c r="B192" s="25" t="str">
        <x:v>宁姆格福西域</x:v>
      </x:c>
      <x:c r="C192" s="25" t="str">
        <x:v>半急速毕业</x:v>
      </x:c>
      <x:c r="D192" s="25" t="str">
        <x:v>材料</x:v>
      </x:c>
      <x:c r="E192" s="25" t="str">
        <x:v>海蚀铁片</x:v>
      </x:c>
      <x:c r="F192" s="25" t="n">
        <x:v>160</x:v>
      </x:c>
      <x:c r="G192" s="25" t="str">
        <x:v>从C0至当前检查点累计需求；未扣自身未来产出，不代表已有库存</x:v>
      </x:c>
    </x:row>
    <x:row r="193">
      <x:c r="A193" s="25" t="str">
        <x:v>C03-G</x:v>
      </x:c>
      <x:c r="B193" s="25" t="str">
        <x:v>宁姆格福西域</x:v>
      </x:c>
      <x:c r="C193" s="25" t="str">
        <x:v>半急速毕业</x:v>
      </x:c>
      <x:c r="D193" s="25" t="str">
        <x:v>材料</x:v>
      </x:c>
      <x:c r="E193" s="25" t="str">
        <x:v>溃烂树核</x:v>
      </x:c>
      <x:c r="F193" s="25" t="n">
        <x:v>1</x:v>
      </x:c>
      <x:c r="G193" s="25" t="str">
        <x:v>从C0至当前检查点累计需求；未扣自身未来产出，不代表已有库存</x:v>
      </x:c>
    </x:row>
    <x:row r="194">
      <x:c r="A194" s="25" t="str">
        <x:v>C03-G</x:v>
      </x:c>
      <x:c r="B194" s="25" t="str">
        <x:v>宁姆格福西域</x:v>
      </x:c>
      <x:c r="C194" s="25" t="str">
        <x:v>半急速毕业</x:v>
      </x:c>
      <x:c r="D194" s="25" t="str">
        <x:v>材料</x:v>
      </x:c>
      <x:c r="E194" s="25" t="str">
        <x:v>漂流大陆印记</x:v>
      </x:c>
      <x:c r="F194" s="25" t="n">
        <x:v>11</x:v>
      </x:c>
      <x:c r="G194" s="25" t="str">
        <x:v>从C0至当前检查点累计需求；未扣自身未来产出，不代表已有库存</x:v>
      </x:c>
    </x:row>
    <x:row r="195">
      <x:c r="A195" s="25" t="str">
        <x:v>C03-G</x:v>
      </x:c>
      <x:c r="B195" s="25" t="str">
        <x:v>宁姆格福西域</x:v>
      </x:c>
      <x:c r="C195" s="25" t="str">
        <x:v>半急速毕业</x:v>
      </x:c>
      <x:c r="D195" s="25" t="str">
        <x:v>材料</x:v>
      </x:c>
      <x:c r="E195" s="25" t="str">
        <x:v>漂流见证·潮</x:v>
      </x:c>
      <x:c r="F195" s="25" t="n">
        <x:v>8</x:v>
      </x:c>
      <x:c r="G195" s="25" t="str">
        <x:v>从C0至当前检查点累计需求；未扣自身未来产出，不代表已有库存</x:v>
      </x:c>
    </x:row>
    <x:row r="196">
      <x:c r="A196" s="25" t="str">
        <x:v>C03-G</x:v>
      </x:c>
      <x:c r="B196" s="25" t="str">
        <x:v>宁姆格福西域</x:v>
      </x:c>
      <x:c r="C196" s="25" t="str">
        <x:v>半急速毕业</x:v>
      </x:c>
      <x:c r="D196" s="25" t="str">
        <x:v>材料</x:v>
      </x:c>
      <x:c r="E196" s="25" t="str">
        <x:v>漂流见证·雷</x:v>
      </x:c>
      <x:c r="F196" s="25" t="n">
        <x:v>8</x:v>
      </x:c>
      <x:c r="G196" s="25" t="str">
        <x:v>从C0至当前检查点累计需求；未扣自身未来产出，不代表已有库存</x:v>
      </x:c>
    </x:row>
    <x:row r="197">
      <x:c r="A197" s="25" t="str">
        <x:v>C03-G</x:v>
      </x:c>
      <x:c r="B197" s="25" t="str">
        <x:v>宁姆格福西域</x:v>
      </x:c>
      <x:c r="C197" s="25" t="str">
        <x:v>半急速毕业</x:v>
      </x:c>
      <x:c r="D197" s="25" t="str">
        <x:v>材料</x:v>
      </x:c>
      <x:c r="E197" s="25" t="str">
        <x:v>潮痕结晶</x:v>
      </x:c>
      <x:c r="F197" s="25" t="n">
        <x:v>16</x:v>
      </x:c>
      <x:c r="G197" s="25" t="str">
        <x:v>从C0至当前检查点累计需求；未扣自身未来产出，不代表已有库存</x:v>
      </x:c>
    </x:row>
    <x:row r="198">
      <x:c r="A198" s="25" t="str">
        <x:v>C03-G</x:v>
      </x:c>
      <x:c r="B198" s="25" t="str">
        <x:v>宁姆格福西域</x:v>
      </x:c>
      <x:c r="C198" s="25" t="str">
        <x:v>半急速毕业</x:v>
      </x:c>
      <x:c r="D198" s="25" t="str">
        <x:v>材料</x:v>
      </x:c>
      <x:c r="E198" s="25" t="str">
        <x:v>熊王心脏</x:v>
      </x:c>
      <x:c r="F198" s="25" t="n">
        <x:v>2</x:v>
      </x:c>
      <x:c r="G198" s="25" t="str">
        <x:v>从C0至当前检查点累计需求；未扣自身未来产出，不代表已有库存</x:v>
      </x:c>
    </x:row>
    <x:row r="199">
      <x:c r="A199" s="25" t="str">
        <x:v>C03-G</x:v>
      </x:c>
      <x:c r="B199" s="25" t="str">
        <x:v>宁姆格福西域</x:v>
      </x:c>
      <x:c r="C199" s="25" t="str">
        <x:v>半急速毕业</x:v>
      </x:c>
      <x:c r="D199" s="25" t="str">
        <x:v>材料</x:v>
      </x:c>
      <x:c r="E199" s="25" t="str">
        <x:v>熔炉角片</x:v>
      </x:c>
      <x:c r="F199" s="25" t="n">
        <x:v>1</x:v>
      </x:c>
      <x:c r="G199" s="25" t="str">
        <x:v>从C0至当前检查点累计需求；未扣自身未来产出，不代表已有库存</x:v>
      </x:c>
    </x:row>
    <x:row r="200">
      <x:c r="A200" s="25" t="str">
        <x:v>C03-G</x:v>
      </x:c>
      <x:c r="B200" s="25" t="str">
        <x:v>宁姆格福西域</x:v>
      </x:c>
      <x:c r="C200" s="25" t="str">
        <x:v>半急速毕业</x:v>
      </x:c>
      <x:c r="D200" s="25" t="str">
        <x:v>材料</x:v>
      </x:c>
      <x:c r="E200" s="25" t="str">
        <x:v>王城军印</x:v>
      </x:c>
      <x:c r="F200" s="25" t="n">
        <x:v>1</x:v>
      </x:c>
      <x:c r="G200" s="25" t="str">
        <x:v>从C0至当前检查点累计需求；未扣自身未来产出，不代表已有库存</x:v>
      </x:c>
    </x:row>
    <x:row r="201">
      <x:c r="A201" s="25" t="str">
        <x:v>C03-G</x:v>
      </x:c>
      <x:c r="B201" s="25" t="str">
        <x:v>宁姆格福西域</x:v>
      </x:c>
      <x:c r="C201" s="25" t="str">
        <x:v>半急速毕业</x:v>
      </x:c>
      <x:c r="D201" s="25" t="str">
        <x:v>材料</x:v>
      </x:c>
      <x:c r="E201" s="25" t="str">
        <x:v>看门犬石心</x:v>
      </x:c>
      <x:c r="F201" s="25" t="n">
        <x:v>2</x:v>
      </x:c>
      <x:c r="G201" s="25" t="str">
        <x:v>从C0至当前检查点累计需求；未扣自身未来产出，不代表已有库存</x:v>
      </x:c>
    </x:row>
    <x:row r="202">
      <x:c r="A202" s="25" t="str">
        <x:v>C03-G</x:v>
      </x:c>
      <x:c r="B202" s="25" t="str">
        <x:v>宁姆格福西域</x:v>
      </x:c>
      <x:c r="C202" s="25" t="str">
        <x:v>半急速毕业</x:v>
      </x:c>
      <x:c r="D202" s="25" t="str">
        <x:v>材料</x:v>
      </x:c>
      <x:c r="E202" s="25" t="str">
        <x:v>神秘符文</x:v>
      </x:c>
      <x:c r="F202" s="25" t="n">
        <x:v>100</x:v>
      </x:c>
      <x:c r="G202" s="25" t="str">
        <x:v>从C0至当前检查点累计需求；未扣自身未来产出，不代表已有库存</x:v>
      </x:c>
    </x:row>
    <x:row r="203">
      <x:c r="A203" s="25" t="str">
        <x:v>C03-G</x:v>
      </x:c>
      <x:c r="B203" s="25" t="str">
        <x:v>宁姆格福西域</x:v>
      </x:c>
      <x:c r="C203" s="25" t="str">
        <x:v>半急速毕业</x:v>
      </x:c>
      <x:c r="D203" s="25" t="str">
        <x:v>材料</x:v>
      </x:c>
      <x:c r="E203" s="25" t="str">
        <x:v>腐根魂结</x:v>
      </x:c>
      <x:c r="F203" s="25" t="n">
        <x:v>2</x:v>
      </x:c>
      <x:c r="G203" s="25" t="str">
        <x:v>从C0至当前检查点累计需求；未扣自身未来产出，不代表已有库存</x:v>
      </x:c>
    </x:row>
    <x:row r="204">
      <x:c r="A204" s="25" t="str">
        <x:v>C03-G</x:v>
      </x:c>
      <x:c r="B204" s="25" t="str">
        <x:v>宁姆格福西域</x:v>
      </x:c>
      <x:c r="C204" s="25" t="str">
        <x:v>半急速毕业</x:v>
      </x:c>
      <x:c r="D204" s="25" t="str">
        <x:v>材料</x:v>
      </x:c>
      <x:c r="E204" s="25" t="str">
        <x:v>裂风崖羽</x:v>
      </x:c>
      <x:c r="F204" s="25" t="n">
        <x:v>80</x:v>
      </x:c>
      <x:c r="G204" s="25" t="str">
        <x:v>从C0至当前检查点累计需求；未扣自身未来产出，不代表已有库存</x:v>
      </x:c>
    </x:row>
    <x:row r="205">
      <x:c r="A205" s="25" t="str">
        <x:v>C03-G</x:v>
      </x:c>
      <x:c r="B205" s="25" t="str">
        <x:v>宁姆格福西域</x:v>
      </x:c>
      <x:c r="C205" s="25" t="str">
        <x:v>半急速毕业</x:v>
      </x:c>
      <x:c r="D205" s="25" t="str">
        <x:v>材料</x:v>
      </x:c>
      <x:c r="E205" s="25" t="str">
        <x:v>西境战旗</x:v>
      </x:c>
      <x:c r="F205" s="25" t="n">
        <x:v>20</x:v>
      </x:c>
      <x:c r="G205" s="25" t="str">
        <x:v>从C0至当前检查点累计需求；未扣自身未来产出，不代表已有库存</x:v>
      </x:c>
    </x:row>
    <x:row r="206">
      <x:c r="A206" s="25" t="str">
        <x:v>C03-G</x:v>
      </x:c>
      <x:c r="B206" s="25" t="str">
        <x:v>宁姆格福西域</x:v>
      </x:c>
      <x:c r="C206" s="25" t="str">
        <x:v>半急速毕业</x:v>
      </x:c>
      <x:c r="D206" s="25" t="str">
        <x:v>材料</x:v>
      </x:c>
      <x:c r="E206" s="25" t="str">
        <x:v>西境战旗印</x:v>
      </x:c>
      <x:c r="F206" s="25" t="n">
        <x:v>13</x:v>
      </x:c>
      <x:c r="G206" s="25" t="str">
        <x:v>从C0至当前检查点累计需求；未扣自身未来产出，不代表已有库存</x:v>
      </x:c>
    </x:row>
    <x:row r="207">
      <x:c r="A207" s="25" t="str">
        <x:v>C03-G</x:v>
      </x:c>
      <x:c r="B207" s="25" t="str">
        <x:v>宁姆格福西域</x:v>
      </x:c>
      <x:c r="C207" s="25" t="str">
        <x:v>半急速毕业</x:v>
      </x:c>
      <x:c r="D207" s="25" t="str">
        <x:v>材料</x:v>
      </x:c>
      <x:c r="E207" s="25" t="str">
        <x:v>贵胄断指</x:v>
      </x:c>
      <x:c r="F207" s="25" t="n">
        <x:v>1</x:v>
      </x:c>
      <x:c r="G207" s="25" t="str">
        <x:v>从C0至当前检查点累计需求；未扣自身未来产出，不代表已有库存</x:v>
      </x:c>
    </x:row>
    <x:row r="208">
      <x:c r="A208" s="25" t="str">
        <x:v>C03-G</x:v>
      </x:c>
      <x:c r="B208" s="25" t="str">
        <x:v>宁姆格福西域</x:v>
      </x:c>
      <x:c r="C208" s="25" t="str">
        <x:v>半急速毕业</x:v>
      </x:c>
      <x:c r="D208" s="25" t="str">
        <x:v>材料</x:v>
      </x:c>
      <x:c r="E208" s="25" t="str">
        <x:v>野兽骨片</x:v>
      </x:c>
      <x:c r="F208" s="25" t="n">
        <x:v>4455</x:v>
      </x:c>
      <x:c r="G208" s="25" t="str">
        <x:v>从C0至当前检查点累计需求；未扣自身未来产出，不代表已有库存</x:v>
      </x:c>
    </x:row>
    <x:row r="209">
      <x:c r="A209" s="25" t="str">
        <x:v>C03-G</x:v>
      </x:c>
      <x:c r="B209" s="25" t="str">
        <x:v>宁姆格福西域</x:v>
      </x:c>
      <x:c r="C209" s="25" t="str">
        <x:v>半急速毕业</x:v>
      </x:c>
      <x:c r="D209" s="25" t="str">
        <x:v>材料</x:v>
      </x:c>
      <x:c r="E209" s="25" t="str">
        <x:v>风暴王核</x:v>
      </x:c>
      <x:c r="F209" s="25" t="n">
        <x:v>1</x:v>
      </x:c>
      <x:c r="G209" s="25" t="str">
        <x:v>从C0至当前检查点累计需求；未扣自身未来产出，不代表已有库存</x:v>
      </x:c>
    </x:row>
    <x:row r="210">
      <x:c r="A210" s="25" t="str">
        <x:v>C03-G</x:v>
      </x:c>
      <x:c r="B210" s="25" t="str">
        <x:v>宁姆格福西域</x:v>
      </x:c>
      <x:c r="C210" s="25" t="str">
        <x:v>半急速毕业</x:v>
      </x:c>
      <x:c r="D210" s="25" t="str">
        <x:v>材料</x:v>
      </x:c>
      <x:c r="E210" s="25" t="str">
        <x:v>风暴石片</x:v>
      </x:c>
      <x:c r="F210" s="25" t="n">
        <x:v>370</x:v>
      </x:c>
      <x:c r="G210" s="25" t="str">
        <x:v>从C0至当前检查点累计需求；未扣自身未来产出，不代表已有库存</x:v>
      </x:c>
    </x:row>
    <x:row r="211">
      <x:c r="A211" s="25" t="str">
        <x:v>C03-G</x:v>
      </x:c>
      <x:c r="B211" s="25" t="str">
        <x:v>宁姆格福西域</x:v>
      </x:c>
      <x:c r="C211" s="25" t="str">
        <x:v>半急速毕业</x:v>
      </x:c>
      <x:c r="D211" s="25" t="str">
        <x:v>材料</x:v>
      </x:c>
      <x:c r="E211" s="25" t="str">
        <x:v>风蚀铁片</x:v>
      </x:c>
      <x:c r="F211" s="25" t="n">
        <x:v>710</x:v>
      </x:c>
      <x:c r="G211" s="25" t="str">
        <x:v>从C0至当前检查点累计需求；未扣自身未来产出，不代表已有库存</x:v>
      </x:c>
    </x:row>
    <x:row r="212">
      <x:c r="A212" s="25" t="str">
        <x:v>C03-G</x:v>
      </x:c>
      <x:c r="B212" s="25" t="str">
        <x:v>宁姆格福西域</x:v>
      </x:c>
      <x:c r="C212" s="25" t="str">
        <x:v>半急速毕业</x:v>
      </x:c>
      <x:c r="D212" s="25" t="str">
        <x:v>材料</x:v>
      </x:c>
      <x:c r="E212" s="25" t="str">
        <x:v>黄金树碎核</x:v>
      </x:c>
      <x:c r="F212" s="25" t="n">
        <x:v>2</x:v>
      </x:c>
      <x:c r="G212" s="25" t="str">
        <x:v>从C0至当前检查点累计需求；未扣自身未来产出，不代表已有库存</x:v>
      </x:c>
    </x:row>
    <x:row r="213">
      <x:c r="A213" s="25" t="str">
        <x:v>C03-G</x:v>
      </x:c>
      <x:c r="B213" s="25" t="str">
        <x:v>宁姆格福西域</x:v>
      </x:c>
      <x:c r="C213" s="25" t="str">
        <x:v>半急速毕业</x:v>
      </x:c>
      <x:c r="D213" s="25" t="str">
        <x:v>材料</x:v>
      </x:c>
      <x:c r="E213" s="25" t="str">
        <x:v>黄金树芽</x:v>
      </x:c>
      <x:c r="F213" s="25" t="n">
        <x:v>297</x:v>
      </x:c>
      <x:c r="G213" s="25" t="str">
        <x:v>从C0至当前检查点累计需求；未扣自身未来产出，不代表已有库存</x:v>
      </x:c>
    </x:row>
    <x:row r="214">
      <x:c r="A214" s="25" t="str">
        <x:v>C03-G</x:v>
      </x:c>
      <x:c r="B214" s="25" t="str">
        <x:v>宁姆格福西域</x:v>
      </x:c>
      <x:c r="C214" s="25" t="str">
        <x:v>半急速毕业</x:v>
      </x:c>
      <x:c r="D214" s="25" t="str">
        <x:v>材料</x:v>
      </x:c>
      <x:c r="E214" s="25" t="str">
        <x:v>黄金骑徽</x:v>
      </x:c>
      <x:c r="F214" s="25" t="n">
        <x:v>2</x:v>
      </x:c>
      <x:c r="G214" s="25" t="str">
        <x:v>从C0至当前检查点累计需求；未扣自身未来产出，不代表已有库存</x:v>
      </x:c>
    </x:row>
    <x:row r="215">
      <x:c r="A215" s="25" t="str">
        <x:v>C03-G</x:v>
      </x:c>
      <x:c r="B215" s="25" t="str">
        <x:v>宁姆格福西域</x:v>
      </x:c>
      <x:c r="C215" s="25" t="str">
        <x:v>半急速毕业</x:v>
      </x:c>
      <x:c r="D215" s="25" t="str">
        <x:v>装备实物</x:v>
      </x:c>
      <x:c r="E215" s="25" t="str">
        <x:v>共169个精确名称（明细见JSON）</x:v>
      </x:c>
      <x:c r="F215" s="25" t="n">
        <x:v>232</x:v>
      </x:c>
      <x:c r="G215" s="25" t="str">
        <x:v>含穿戴、重复试洗、图鉴登记与合成前置；完整数据未省略</x:v>
      </x:c>
    </x:row>
    <x:row r="216">
      <x:c r="A216" s="25" t="str">
        <x:v>C03-X</x:v>
      </x:c>
      <x:c r="B216" s="25" t="str">
        <x:v>宁姆格福西域</x:v>
      </x:c>
      <x:c r="C216" s="25" t="str">
        <x:v>极端压力</x:v>
      </x:c>
      <x:c r="D216" s="25" t="str">
        <x:v>材料</x:v>
      </x:c>
      <x:c r="E216" s="25" t="str">
        <x:v>兽将脊骨</x:v>
      </x:c>
      <x:c r="F216" s="25" t="n">
        <x:v>1</x:v>
      </x:c>
      <x:c r="G216" s="25" t="str">
        <x:v>从C0至当前检查点累计需求；未扣自身未来产出，不代表已有库存</x:v>
      </x:c>
    </x:row>
    <x:row r="217">
      <x:c r="A217" s="25" t="str">
        <x:v>C03-X</x:v>
      </x:c>
      <x:c r="B217" s="25" t="str">
        <x:v>宁姆格福西域</x:v>
      </x:c>
      <x:c r="C217" s="25" t="str">
        <x:v>极端压力</x:v>
      </x:c>
      <x:c r="D217" s="25" t="str">
        <x:v>材料</x:v>
      </x:c>
      <x:c r="E217" s="25" t="str">
        <x:v>哨垒旗冠</x:v>
      </x:c>
      <x:c r="F217" s="25" t="n">
        <x:v>3</x:v>
      </x:c>
      <x:c r="G217" s="25" t="str">
        <x:v>从C0至当前检查点累计需求；未扣自身未来产出，不代表已有库存</x:v>
      </x:c>
    </x:row>
    <x:row r="218">
      <x:c r="A218" s="25" t="str">
        <x:v>C03-X</x:v>
      </x:c>
      <x:c r="B218" s="25" t="str">
        <x:v>宁姆格福西域</x:v>
      </x:c>
      <x:c r="C218" s="25" t="str">
        <x:v>极端压力</x:v>
      </x:c>
      <x:c r="D218" s="25" t="str">
        <x:v>材料</x:v>
      </x:c>
      <x:c r="E218" s="25" t="str">
        <x:v>唤船骨铃</x:v>
      </x:c>
      <x:c r="F218" s="25" t="n">
        <x:v>1</x:v>
      </x:c>
      <x:c r="G218" s="25" t="str">
        <x:v>从C0至当前检查点累计需求；未扣自身未来产出，不代表已有库存</x:v>
      </x:c>
    </x:row>
    <x:row r="219">
      <x:c r="A219" s="25" t="str">
        <x:v>C03-X</x:v>
      </x:c>
      <x:c r="B219" s="25" t="str">
        <x:v>宁姆格福西域</x:v>
      </x:c>
      <x:c r="C219" s="25" t="str">
        <x:v>极端压力</x:v>
      </x:c>
      <x:c r="D219" s="25" t="str">
        <x:v>材料</x:v>
      </x:c>
      <x:c r="E219" s="25" t="str">
        <x:v>商队火漆</x:v>
      </x:c>
      <x:c r="F219" s="25" t="n">
        <x:v>20</x:v>
      </x:c>
      <x:c r="G219" s="25" t="str">
        <x:v>从C0至当前检查点累计需求；未扣自身未来产出，不代表已有库存</x:v>
      </x:c>
    </x:row>
    <x:row r="220">
      <x:c r="A220" s="25" t="str">
        <x:v>C03-X</x:v>
      </x:c>
      <x:c r="B220" s="25" t="str">
        <x:v>宁姆格福西域</x:v>
      </x:c>
      <x:c r="C220" s="25" t="str">
        <x:v>极端压力</x:v>
      </x:c>
      <x:c r="D220" s="25" t="str">
        <x:v>材料</x:v>
      </x:c>
      <x:c r="E220" s="25" t="str">
        <x:v>夜骑黑印</x:v>
      </x:c>
      <x:c r="F220" s="25" t="n">
        <x:v>1</x:v>
      </x:c>
      <x:c r="G220" s="25" t="str">
        <x:v>从C0至当前检查点累计需求；未扣自身未来产出，不代表已有库存</x:v>
      </x:c>
    </x:row>
    <x:row r="221">
      <x:c r="A221" s="25" t="str">
        <x:v>C03-X</x:v>
      </x:c>
      <x:c r="B221" s="25" t="str">
        <x:v>宁姆格福西域</x:v>
      </x:c>
      <x:c r="C221" s="25" t="str">
        <x:v>极端压力</x:v>
      </x:c>
      <x:c r="D221" s="25" t="str">
        <x:v>材料</x:v>
      </x:c>
      <x:c r="E221" s="25" t="str">
        <x:v>失乡军令</x:v>
      </x:c>
      <x:c r="F221" s="25" t="n">
        <x:v>2</x:v>
      </x:c>
      <x:c r="G221" s="25" t="str">
        <x:v>从C0至当前检查点累计需求；未扣自身未来产出，不代表已有库存</x:v>
      </x:c>
    </x:row>
    <x:row r="222">
      <x:c r="A222" s="25" t="str">
        <x:v>C03-X</x:v>
      </x:c>
      <x:c r="B222" s="25" t="str">
        <x:v>宁姆格福西域</x:v>
      </x:c>
      <x:c r="C222" s="25" t="str">
        <x:v>极端压力</x:v>
      </x:c>
      <x:c r="D222" s="25" t="str">
        <x:v>材料</x:v>
      </x:c>
      <x:c r="E222" s="25" t="str">
        <x:v>失乡统帅徽</x:v>
      </x:c>
      <x:c r="F222" s="25" t="n">
        <x:v>2</x:v>
      </x:c>
      <x:c r="G222" s="25" t="str">
        <x:v>从C0至当前检查点累计需求；未扣自身未来产出，不代表已有库存</x:v>
      </x:c>
    </x:row>
    <x:row r="223">
      <x:c r="A223" s="25" t="str">
        <x:v>C03-X</x:v>
      </x:c>
      <x:c r="B223" s="25" t="str">
        <x:v>宁姆格福西域</x:v>
      </x:c>
      <x:c r="C223" s="25" t="str">
        <x:v>极端压力</x:v>
      </x:c>
      <x:c r="D223" s="25" t="str">
        <x:v>材料</x:v>
      </x:c>
      <x:c r="E223" s="25" t="str">
        <x:v>失色锻造石</x:v>
      </x:c>
      <x:c r="F223" s="25" t="n">
        <x:v>9120</x:v>
      </x:c>
      <x:c r="G223" s="25" t="str">
        <x:v>从C0至当前检查点累计需求；未扣自身未来产出，不代表已有库存</x:v>
      </x:c>
    </x:row>
    <x:row r="224">
      <x:c r="A224" s="25" t="str">
        <x:v>C03-X</x:v>
      </x:c>
      <x:c r="B224" s="25" t="str">
        <x:v>宁姆格福西域</x:v>
      </x:c>
      <x:c r="C224" s="25" t="str">
        <x:v>极端压力</x:v>
      </x:c>
      <x:c r="D224" s="25" t="str">
        <x:v>材料</x:v>
      </x:c>
      <x:c r="E224" s="25" t="str">
        <x:v>宁姆格福誓页</x:v>
      </x:c>
      <x:c r="F224" s="25" t="n">
        <x:v>90</x:v>
      </x:c>
      <x:c r="G224" s="25" t="str">
        <x:v>从C0至当前检查点累计需求；未扣自身未来产出，不代表已有库存</x:v>
      </x:c>
    </x:row>
    <x:row r="225">
      <x:c r="A225" s="25" t="str">
        <x:v>C03-X</x:v>
      </x:c>
      <x:c r="B225" s="25" t="str">
        <x:v>宁姆格福西域</x:v>
      </x:c>
      <x:c r="C225" s="25" t="str">
        <x:v>极端压力</x:v>
      </x:c>
      <x:c r="D225" s="25" t="str">
        <x:v>材料</x:v>
      </x:c>
      <x:c r="E225" s="25" t="str">
        <x:v>守垒铜钥</x:v>
      </x:c>
      <x:c r="F225" s="25" t="n">
        <x:v>8</x:v>
      </x:c>
      <x:c r="G225" s="25" t="str">
        <x:v>从C0至当前检查点累计需求；未扣自身未来产出，不代表已有库存</x:v>
      </x:c>
    </x:row>
    <x:row r="226">
      <x:c r="A226" s="25" t="str">
        <x:v>C03-X</x:v>
      </x:c>
      <x:c r="B226" s="25" t="str">
        <x:v>宁姆格福西域</x:v>
      </x:c>
      <x:c r="C226" s="25" t="str">
        <x:v>极端压力</x:v>
      </x:c>
      <x:c r="D226" s="25" t="str">
        <x:v>材料</x:v>
      </x:c>
      <x:c r="E226" s="25" t="str">
        <x:v>山妖王角</x:v>
      </x:c>
      <x:c r="F226" s="25" t="n">
        <x:v>2</x:v>
      </x:c>
      <x:c r="G226" s="25" t="str">
        <x:v>从C0至当前检查点累计需求；未扣自身未来产出，不代表已有库存</x:v>
      </x:c>
    </x:row>
    <x:row r="227">
      <x:c r="A227" s="25" t="str">
        <x:v>C03-X</x:v>
      </x:c>
      <x:c r="B227" s="25" t="str">
        <x:v>宁姆格福西域</x:v>
      </x:c>
      <x:c r="C227" s="25" t="str">
        <x:v>极端压力</x:v>
      </x:c>
      <x:c r="D227" s="25" t="str">
        <x:v>材料</x:v>
      </x:c>
      <x:c r="E227" s="25" t="str">
        <x:v>恶兆残角</x:v>
      </x:c>
      <x:c r="F227" s="25" t="n">
        <x:v>1</x:v>
      </x:c>
      <x:c r="G227" s="25" t="str">
        <x:v>从C0至当前检查点累计需求；未扣自身未来产出，不代表已有库存</x:v>
      </x:c>
    </x:row>
    <x:row r="228">
      <x:c r="A228" s="25" t="str">
        <x:v>C03-X</x:v>
      </x:c>
      <x:c r="B228" s="25" t="str">
        <x:v>宁姆格福西域</x:v>
      </x:c>
      <x:c r="C228" s="25" t="str">
        <x:v>极端压力</x:v>
      </x:c>
      <x:c r="D228" s="25" t="str">
        <x:v>材料</x:v>
      </x:c>
      <x:c r="E228" s="25" t="str">
        <x:v>技能残页</x:v>
      </x:c>
      <x:c r="F228" s="25" t="n">
        <x:v>1350</x:v>
      </x:c>
      <x:c r="G228" s="25" t="str">
        <x:v>从C0至当前检查点累计需求；未扣自身未来产出，不代表已有库存</x:v>
      </x:c>
    </x:row>
    <x:row r="229">
      <x:c r="A229" s="25" t="str">
        <x:v>C03-X</x:v>
      </x:c>
      <x:c r="B229" s="25" t="str">
        <x:v>宁姆格福西域</x:v>
      </x:c>
      <x:c r="C229" s="25" t="str">
        <x:v>极端压力</x:v>
      </x:c>
      <x:c r="D229" s="25" t="str">
        <x:v>材料</x:v>
      </x:c>
      <x:c r="E229" s="25" t="str">
        <x:v>接肢兽心</x:v>
      </x:c>
      <x:c r="F229" s="25" t="n">
        <x:v>2</x:v>
      </x:c>
      <x:c r="G229" s="25" t="str">
        <x:v>从C0至当前检查点累计需求；未扣自身未来产出，不代表已有库存</x:v>
      </x:c>
    </x:row>
    <x:row r="230">
      <x:c r="A230" s="25" t="str">
        <x:v>C03-X</x:v>
      </x:c>
      <x:c r="B230" s="25" t="str">
        <x:v>宁姆格福西域</x:v>
      </x:c>
      <x:c r="C230" s="25" t="str">
        <x:v>极端压力</x:v>
      </x:c>
      <x:c r="D230" s="25" t="str">
        <x:v>材料</x:v>
      </x:c>
      <x:c r="E230" s="25" t="str">
        <x:v>接肢王印</x:v>
      </x:c>
      <x:c r="F230" s="25" t="n">
        <x:v>21</x:v>
      </x:c>
      <x:c r="G230" s="25" t="str">
        <x:v>从C0至当前检查点累计需求；未扣自身未来产出，不代表已有库存</x:v>
      </x:c>
    </x:row>
    <x:row r="231">
      <x:c r="A231" s="25" t="str">
        <x:v>C03-X</x:v>
      </x:c>
      <x:c r="B231" s="25" t="str">
        <x:v>宁姆格福西域</x:v>
      </x:c>
      <x:c r="C231" s="25" t="str">
        <x:v>极端压力</x:v>
      </x:c>
      <x:c r="D231" s="25" t="str">
        <x:v>材料</x:v>
      </x:c>
      <x:c r="E231" s="25" t="str">
        <x:v>接肢王魂</x:v>
      </x:c>
      <x:c r="F231" s="25" t="n">
        <x:v>1</x:v>
      </x:c>
      <x:c r="G231" s="25" t="str">
        <x:v>从C0至当前检查点累计需求；未扣自身未来产出，不代表已有库存</x:v>
      </x:c>
    </x:row>
    <x:row r="232">
      <x:c r="A232" s="25" t="str">
        <x:v>C03-X</x:v>
      </x:c>
      <x:c r="B232" s="25" t="str">
        <x:v>宁姆格福西域</x:v>
      </x:c>
      <x:c r="C232" s="25" t="str">
        <x:v>极端压力</x:v>
      </x:c>
      <x:c r="D232" s="25" t="str">
        <x:v>材料</x:v>
      </x:c>
      <x:c r="E232" s="25" t="str">
        <x:v>树卫枪穗</x:v>
      </x:c>
      <x:c r="F232" s="25" t="n">
        <x:v>1</x:v>
      </x:c>
      <x:c r="G232" s="25" t="str">
        <x:v>从C0至当前检查点累计需求；未扣自身未来产出，不代表已有库存</x:v>
      </x:c>
    </x:row>
    <x:row r="233">
      <x:c r="A233" s="25" t="str">
        <x:v>C03-X</x:v>
      </x:c>
      <x:c r="B233" s="25" t="str">
        <x:v>宁姆格福西域</x:v>
      </x:c>
      <x:c r="C233" s="25" t="str">
        <x:v>极端压力</x:v>
      </x:c>
      <x:c r="D233" s="25" t="str">
        <x:v>材料</x:v>
      </x:c>
      <x:c r="E233" s="25" t="str">
        <x:v>死亡仪羽</x:v>
      </x:c>
      <x:c r="F233" s="25" t="n">
        <x:v>2</x:v>
      </x:c>
      <x:c r="G233" s="25" t="str">
        <x:v>从C0至当前检查点累计需求；未扣自身未来产出，不代表已有库存</x:v>
      </x:c>
    </x:row>
    <x:row r="234">
      <x:c r="A234" s="25" t="str">
        <x:v>C03-X</x:v>
      </x:c>
      <x:c r="B234" s="25" t="str">
        <x:v>宁姆格福西域</x:v>
      </x:c>
      <x:c r="C234" s="25" t="str">
        <x:v>极端压力</x:v>
      </x:c>
      <x:c r="D234" s="25" t="str">
        <x:v>材料</x:v>
      </x:c>
      <x:c r="E234" s="25" t="str">
        <x:v>海蚀铁片</x:v>
      </x:c>
      <x:c r="F234" s="25" t="n">
        <x:v>160</x:v>
      </x:c>
      <x:c r="G234" s="25" t="str">
        <x:v>从C0至当前检查点累计需求；未扣自身未来产出，不代表已有库存</x:v>
      </x:c>
    </x:row>
    <x:row r="235">
      <x:c r="A235" s="25" t="str">
        <x:v>C03-X</x:v>
      </x:c>
      <x:c r="B235" s="25" t="str">
        <x:v>宁姆格福西域</x:v>
      </x:c>
      <x:c r="C235" s="25" t="str">
        <x:v>极端压力</x:v>
      </x:c>
      <x:c r="D235" s="25" t="str">
        <x:v>材料</x:v>
      </x:c>
      <x:c r="E235" s="25" t="str">
        <x:v>溃烂树核</x:v>
      </x:c>
      <x:c r="F235" s="25" t="n">
        <x:v>1</x:v>
      </x:c>
      <x:c r="G235" s="25" t="str">
        <x:v>从C0至当前检查点累计需求；未扣自身未来产出，不代表已有库存</x:v>
      </x:c>
    </x:row>
    <x:row r="236">
      <x:c r="A236" s="25" t="str">
        <x:v>C03-X</x:v>
      </x:c>
      <x:c r="B236" s="25" t="str">
        <x:v>宁姆格福西域</x:v>
      </x:c>
      <x:c r="C236" s="25" t="str">
        <x:v>极端压力</x:v>
      </x:c>
      <x:c r="D236" s="25" t="str">
        <x:v>材料</x:v>
      </x:c>
      <x:c r="E236" s="25" t="str">
        <x:v>漂流大陆印记</x:v>
      </x:c>
      <x:c r="F236" s="25" t="n">
        <x:v>11</x:v>
      </x:c>
      <x:c r="G236" s="25" t="str">
        <x:v>从C0至当前检查点累计需求；未扣自身未来产出，不代表已有库存</x:v>
      </x:c>
    </x:row>
    <x:row r="237">
      <x:c r="A237" s="25" t="str">
        <x:v>C03-X</x:v>
      </x:c>
      <x:c r="B237" s="25" t="str">
        <x:v>宁姆格福西域</x:v>
      </x:c>
      <x:c r="C237" s="25" t="str">
        <x:v>极端压力</x:v>
      </x:c>
      <x:c r="D237" s="25" t="str">
        <x:v>材料</x:v>
      </x:c>
      <x:c r="E237" s="25" t="str">
        <x:v>漂流见证·潮</x:v>
      </x:c>
      <x:c r="F237" s="25" t="n">
        <x:v>8</x:v>
      </x:c>
      <x:c r="G237" s="25" t="str">
        <x:v>从C0至当前检查点累计需求；未扣自身未来产出，不代表已有库存</x:v>
      </x:c>
    </x:row>
    <x:row r="238">
      <x:c r="A238" s="25" t="str">
        <x:v>C03-X</x:v>
      </x:c>
      <x:c r="B238" s="25" t="str">
        <x:v>宁姆格福西域</x:v>
      </x:c>
      <x:c r="C238" s="25" t="str">
        <x:v>极端压力</x:v>
      </x:c>
      <x:c r="D238" s="25" t="str">
        <x:v>材料</x:v>
      </x:c>
      <x:c r="E238" s="25" t="str">
        <x:v>漂流见证·雷</x:v>
      </x:c>
      <x:c r="F238" s="25" t="n">
        <x:v>8</x:v>
      </x:c>
      <x:c r="G238" s="25" t="str">
        <x:v>从C0至当前检查点累计需求；未扣自身未来产出，不代表已有库存</x:v>
      </x:c>
    </x:row>
    <x:row r="239">
      <x:c r="A239" s="25" t="str">
        <x:v>C03-X</x:v>
      </x:c>
      <x:c r="B239" s="25" t="str">
        <x:v>宁姆格福西域</x:v>
      </x:c>
      <x:c r="C239" s="25" t="str">
        <x:v>极端压力</x:v>
      </x:c>
      <x:c r="D239" s="25" t="str">
        <x:v>材料</x:v>
      </x:c>
      <x:c r="E239" s="25" t="str">
        <x:v>潮痕结晶</x:v>
      </x:c>
      <x:c r="F239" s="25" t="n">
        <x:v>16</x:v>
      </x:c>
      <x:c r="G239" s="25" t="str">
        <x:v>从C0至当前检查点累计需求；未扣自身未来产出，不代表已有库存</x:v>
      </x:c>
    </x:row>
    <x:row r="240">
      <x:c r="A240" s="25" t="str">
        <x:v>C03-X</x:v>
      </x:c>
      <x:c r="B240" s="25" t="str">
        <x:v>宁姆格福西域</x:v>
      </x:c>
      <x:c r="C240" s="25" t="str">
        <x:v>极端压力</x:v>
      </x:c>
      <x:c r="D240" s="25" t="str">
        <x:v>材料</x:v>
      </x:c>
      <x:c r="E240" s="25" t="str">
        <x:v>熊王心脏</x:v>
      </x:c>
      <x:c r="F240" s="25" t="n">
        <x:v>2</x:v>
      </x:c>
      <x:c r="G240" s="25" t="str">
        <x:v>从C0至当前检查点累计需求；未扣自身未来产出，不代表已有库存</x:v>
      </x:c>
    </x:row>
    <x:row r="241">
      <x:c r="A241" s="25" t="str">
        <x:v>C03-X</x:v>
      </x:c>
      <x:c r="B241" s="25" t="str">
        <x:v>宁姆格福西域</x:v>
      </x:c>
      <x:c r="C241" s="25" t="str">
        <x:v>极端压力</x:v>
      </x:c>
      <x:c r="D241" s="25" t="str">
        <x:v>材料</x:v>
      </x:c>
      <x:c r="E241" s="25" t="str">
        <x:v>熔炉角片</x:v>
      </x:c>
      <x:c r="F241" s="25" t="n">
        <x:v>1</x:v>
      </x:c>
      <x:c r="G241" s="25" t="str">
        <x:v>从C0至当前检查点累计需求；未扣自身未来产出，不代表已有库存</x:v>
      </x:c>
    </x:row>
    <x:row r="242">
      <x:c r="A242" s="25" t="str">
        <x:v>C03-X</x:v>
      </x:c>
      <x:c r="B242" s="25" t="str">
        <x:v>宁姆格福西域</x:v>
      </x:c>
      <x:c r="C242" s="25" t="str">
        <x:v>极端压力</x:v>
      </x:c>
      <x:c r="D242" s="25" t="str">
        <x:v>材料</x:v>
      </x:c>
      <x:c r="E242" s="25" t="str">
        <x:v>王城军印</x:v>
      </x:c>
      <x:c r="F242" s="25" t="n">
        <x:v>1</x:v>
      </x:c>
      <x:c r="G242" s="25" t="str">
        <x:v>从C0至当前检查点累计需求；未扣自身未来产出，不代表已有库存</x:v>
      </x:c>
    </x:row>
    <x:row r="243">
      <x:c r="A243" s="25" t="str">
        <x:v>C03-X</x:v>
      </x:c>
      <x:c r="B243" s="25" t="str">
        <x:v>宁姆格福西域</x:v>
      </x:c>
      <x:c r="C243" s="25" t="str">
        <x:v>极端压力</x:v>
      </x:c>
      <x:c r="D243" s="25" t="str">
        <x:v>材料</x:v>
      </x:c>
      <x:c r="E243" s="25" t="str">
        <x:v>看门犬石心</x:v>
      </x:c>
      <x:c r="F243" s="25" t="n">
        <x:v>2</x:v>
      </x:c>
      <x:c r="G243" s="25" t="str">
        <x:v>从C0至当前检查点累计需求；未扣自身未来产出，不代表已有库存</x:v>
      </x:c>
    </x:row>
    <x:row r="244">
      <x:c r="A244" s="25" t="str">
        <x:v>C03-X</x:v>
      </x:c>
      <x:c r="B244" s="25" t="str">
        <x:v>宁姆格福西域</x:v>
      </x:c>
      <x:c r="C244" s="25" t="str">
        <x:v>极端压力</x:v>
      </x:c>
      <x:c r="D244" s="25" t="str">
        <x:v>材料</x:v>
      </x:c>
      <x:c r="E244" s="25" t="str">
        <x:v>神秘符文</x:v>
      </x:c>
      <x:c r="F244" s="25" t="n">
        <x:v>100</x:v>
      </x:c>
      <x:c r="G244" s="25" t="str">
        <x:v>从C0至当前检查点累计需求；未扣自身未来产出，不代表已有库存</x:v>
      </x:c>
    </x:row>
    <x:row r="245">
      <x:c r="A245" s="25" t="str">
        <x:v>C03-X</x:v>
      </x:c>
      <x:c r="B245" s="25" t="str">
        <x:v>宁姆格福西域</x:v>
      </x:c>
      <x:c r="C245" s="25" t="str">
        <x:v>极端压力</x:v>
      </x:c>
      <x:c r="D245" s="25" t="str">
        <x:v>材料</x:v>
      </x:c>
      <x:c r="E245" s="25" t="str">
        <x:v>腐根魂结</x:v>
      </x:c>
      <x:c r="F245" s="25" t="n">
        <x:v>2</x:v>
      </x:c>
      <x:c r="G245" s="25" t="str">
        <x:v>从C0至当前检查点累计需求；未扣自身未来产出，不代表已有库存</x:v>
      </x:c>
    </x:row>
    <x:row r="246">
      <x:c r="A246" s="25" t="str">
        <x:v>C03-X</x:v>
      </x:c>
      <x:c r="B246" s="25" t="str">
        <x:v>宁姆格福西域</x:v>
      </x:c>
      <x:c r="C246" s="25" t="str">
        <x:v>极端压力</x:v>
      </x:c>
      <x:c r="D246" s="25" t="str">
        <x:v>材料</x:v>
      </x:c>
      <x:c r="E246" s="25" t="str">
        <x:v>裂风崖羽</x:v>
      </x:c>
      <x:c r="F246" s="25" t="n">
        <x:v>80</x:v>
      </x:c>
      <x:c r="G246" s="25" t="str">
        <x:v>从C0至当前检查点累计需求；未扣自身未来产出，不代表已有库存</x:v>
      </x:c>
    </x:row>
    <x:row r="247">
      <x:c r="A247" s="25" t="str">
        <x:v>C03-X</x:v>
      </x:c>
      <x:c r="B247" s="25" t="str">
        <x:v>宁姆格福西域</x:v>
      </x:c>
      <x:c r="C247" s="25" t="str">
        <x:v>极端压力</x:v>
      </x:c>
      <x:c r="D247" s="25" t="str">
        <x:v>材料</x:v>
      </x:c>
      <x:c r="E247" s="25" t="str">
        <x:v>西境战旗</x:v>
      </x:c>
      <x:c r="F247" s="25" t="n">
        <x:v>20</x:v>
      </x:c>
      <x:c r="G247" s="25" t="str">
        <x:v>从C0至当前检查点累计需求；未扣自身未来产出，不代表已有库存</x:v>
      </x:c>
    </x:row>
    <x:row r="248">
      <x:c r="A248" s="25" t="str">
        <x:v>C03-X</x:v>
      </x:c>
      <x:c r="B248" s="25" t="str">
        <x:v>宁姆格福西域</x:v>
      </x:c>
      <x:c r="C248" s="25" t="str">
        <x:v>极端压力</x:v>
      </x:c>
      <x:c r="D248" s="25" t="str">
        <x:v>材料</x:v>
      </x:c>
      <x:c r="E248" s="25" t="str">
        <x:v>西境战旗印</x:v>
      </x:c>
      <x:c r="F248" s="25" t="n">
        <x:v>23</x:v>
      </x:c>
      <x:c r="G248" s="25" t="str">
        <x:v>从C0至当前检查点累计需求；未扣自身未来产出，不代表已有库存</x:v>
      </x:c>
    </x:row>
    <x:row r="249">
      <x:c r="A249" s="25" t="str">
        <x:v>C03-X</x:v>
      </x:c>
      <x:c r="B249" s="25" t="str">
        <x:v>宁姆格福西域</x:v>
      </x:c>
      <x:c r="C249" s="25" t="str">
        <x:v>极端压力</x:v>
      </x:c>
      <x:c r="D249" s="25" t="str">
        <x:v>材料</x:v>
      </x:c>
      <x:c r="E249" s="25" t="str">
        <x:v>西境风痕碑拓</x:v>
      </x:c>
      <x:c r="F249" s="25" t="n">
        <x:v>1</x:v>
      </x:c>
      <x:c r="G249" s="25" t="str">
        <x:v>从C0至当前检查点累计需求；未扣自身未来产出，不代表已有库存</x:v>
      </x:c>
    </x:row>
    <x:row r="250">
      <x:c r="A250" s="25" t="str">
        <x:v>C03-X</x:v>
      </x:c>
      <x:c r="B250" s="25" t="str">
        <x:v>宁姆格福西域</x:v>
      </x:c>
      <x:c r="C250" s="25" t="str">
        <x:v>极端压力</x:v>
      </x:c>
      <x:c r="D250" s="25" t="str">
        <x:v>材料</x:v>
      </x:c>
      <x:c r="E250" s="25" t="str">
        <x:v>贵胄断指</x:v>
      </x:c>
      <x:c r="F250" s="25" t="n">
        <x:v>1</x:v>
      </x:c>
      <x:c r="G250" s="25" t="str">
        <x:v>从C0至当前检查点累计需求；未扣自身未来产出，不代表已有库存</x:v>
      </x:c>
    </x:row>
    <x:row r="251">
      <x:c r="A251" s="25" t="str">
        <x:v>C03-X</x:v>
      </x:c>
      <x:c r="B251" s="25" t="str">
        <x:v>宁姆格福西域</x:v>
      </x:c>
      <x:c r="C251" s="25" t="str">
        <x:v>极端压力</x:v>
      </x:c>
      <x:c r="D251" s="25" t="str">
        <x:v>材料</x:v>
      </x:c>
      <x:c r="E251" s="25" t="str">
        <x:v>野兽骨片</x:v>
      </x:c>
      <x:c r="F251" s="25" t="n">
        <x:v>4455</x:v>
      </x:c>
      <x:c r="G251" s="25" t="str">
        <x:v>从C0至当前检查点累计需求；未扣自身未来产出，不代表已有库存</x:v>
      </x:c>
    </x:row>
    <x:row r="252">
      <x:c r="A252" s="25" t="str">
        <x:v>C03-X</x:v>
      </x:c>
      <x:c r="B252" s="25" t="str">
        <x:v>宁姆格福西域</x:v>
      </x:c>
      <x:c r="C252" s="25" t="str">
        <x:v>极端压力</x:v>
      </x:c>
      <x:c r="D252" s="25" t="str">
        <x:v>材料</x:v>
      </x:c>
      <x:c r="E252" s="25" t="str">
        <x:v>风暴王核</x:v>
      </x:c>
      <x:c r="F252" s="25" t="n">
        <x:v>1</x:v>
      </x:c>
      <x:c r="G252" s="25" t="str">
        <x:v>从C0至当前检查点累计需求；未扣自身未来产出，不代表已有库存</x:v>
      </x:c>
    </x:row>
    <x:row r="253">
      <x:c r="A253" s="25" t="str">
        <x:v>C03-X</x:v>
      </x:c>
      <x:c r="B253" s="25" t="str">
        <x:v>宁姆格福西域</x:v>
      </x:c>
      <x:c r="C253" s="25" t="str">
        <x:v>极端压力</x:v>
      </x:c>
      <x:c r="D253" s="25" t="str">
        <x:v>材料</x:v>
      </x:c>
      <x:c r="E253" s="25" t="str">
        <x:v>风暴石片</x:v>
      </x:c>
      <x:c r="F253" s="25" t="n">
        <x:v>610</x:v>
      </x:c>
      <x:c r="G253" s="25" t="str">
        <x:v>从C0至当前检查点累计需求；未扣自身未来产出，不代表已有库存</x:v>
      </x:c>
    </x:row>
    <x:row r="254">
      <x:c r="A254" s="25" t="str">
        <x:v>C03-X</x:v>
      </x:c>
      <x:c r="B254" s="25" t="str">
        <x:v>宁姆格福西域</x:v>
      </x:c>
      <x:c r="C254" s="25" t="str">
        <x:v>极端压力</x:v>
      </x:c>
      <x:c r="D254" s="25" t="str">
        <x:v>材料</x:v>
      </x:c>
      <x:c r="E254" s="25" t="str">
        <x:v>风蚀铁片</x:v>
      </x:c>
      <x:c r="F254" s="25" t="n">
        <x:v>1070</x:v>
      </x:c>
      <x:c r="G254" s="25" t="str">
        <x:v>从C0至当前检查点累计需求；未扣自身未来产出，不代表已有库存</x:v>
      </x:c>
    </x:row>
    <x:row r="255">
      <x:c r="A255" s="25" t="str">
        <x:v>C03-X</x:v>
      </x:c>
      <x:c r="B255" s="25" t="str">
        <x:v>宁姆格福西域</x:v>
      </x:c>
      <x:c r="C255" s="25" t="str">
        <x:v>极端压力</x:v>
      </x:c>
      <x:c r="D255" s="25" t="str">
        <x:v>材料</x:v>
      </x:c>
      <x:c r="E255" s="25" t="str">
        <x:v>黄金树碎核</x:v>
      </x:c>
      <x:c r="F255" s="25" t="n">
        <x:v>2</x:v>
      </x:c>
      <x:c r="G255" s="25" t="str">
        <x:v>从C0至当前检查点累计需求；未扣自身未来产出，不代表已有库存</x:v>
      </x:c>
    </x:row>
    <x:row r="256">
      <x:c r="A256" s="25" t="str">
        <x:v>C03-X</x:v>
      </x:c>
      <x:c r="B256" s="25" t="str">
        <x:v>宁姆格福西域</x:v>
      </x:c>
      <x:c r="C256" s="25" t="str">
        <x:v>极端压力</x:v>
      </x:c>
      <x:c r="D256" s="25" t="str">
        <x:v>材料</x:v>
      </x:c>
      <x:c r="E256" s="25" t="str">
        <x:v>黄金树芽</x:v>
      </x:c>
      <x:c r="F256" s="25" t="n">
        <x:v>321</x:v>
      </x:c>
      <x:c r="G256" s="25" t="str">
        <x:v>从C0至当前检查点累计需求；未扣自身未来产出，不代表已有库存</x:v>
      </x:c>
    </x:row>
    <x:row r="257">
      <x:c r="A257" s="25" t="str">
        <x:v>C03-X</x:v>
      </x:c>
      <x:c r="B257" s="25" t="str">
        <x:v>宁姆格福西域</x:v>
      </x:c>
      <x:c r="C257" s="25" t="str">
        <x:v>极端压力</x:v>
      </x:c>
      <x:c r="D257" s="25" t="str">
        <x:v>材料</x:v>
      </x:c>
      <x:c r="E257" s="25" t="str">
        <x:v>黄金骑徽</x:v>
      </x:c>
      <x:c r="F257" s="25" t="n">
        <x:v>2</x:v>
      </x:c>
      <x:c r="G257" s="25" t="str">
        <x:v>从C0至当前检查点累计需求；未扣自身未来产出，不代表已有库存</x:v>
      </x:c>
    </x:row>
    <x:row r="258">
      <x:c r="A258" s="25" t="str">
        <x:v>C03-X</x:v>
      </x:c>
      <x:c r="B258" s="25" t="str">
        <x:v>宁姆格福西域</x:v>
      </x:c>
      <x:c r="C258" s="25" t="str">
        <x:v>极端压力</x:v>
      </x:c>
      <x:c r="D258" s="25" t="str">
        <x:v>装备实物</x:v>
      </x:c>
      <x:c r="E258" s="25" t="str">
        <x:v>共202个精确名称（明细见JSON）</x:v>
      </x:c>
      <x:c r="F258" s="25" t="n">
        <x:v>299</x:v>
      </x:c>
      <x:c r="G258" s="25" t="str">
        <x:v>含穿戴、重复试洗、图鉴登记与合成前置；完整数据未省略</x:v>
      </x:c>
    </x:row>
    <x:row r="259">
      <x:c r="A259" s="25" t="str">
        <x:v>C04-E</x:v>
      </x:c>
      <x:c r="B259" s="25" t="str">
        <x:v>利耶尼亚海域</x:v>
      </x:c>
      <x:c r="C259" s="25" t="str">
        <x:v>半急速入场</x:v>
      </x:c>
      <x:c r="D259" s="25" t="str">
        <x:v>材料</x:v>
      </x:c>
      <x:c r="E259" s="25" t="str">
        <x:v>兽将脊骨</x:v>
      </x:c>
      <x:c r="F259" s="25" t="n">
        <x:v>1</x:v>
      </x:c>
      <x:c r="G259" s="25" t="str">
        <x:v>从C0至当前检查点累计需求；未扣自身未来产出，不代表已有库存</x:v>
      </x:c>
    </x:row>
    <x:row r="260">
      <x:c r="A260" s="25" t="str">
        <x:v>C04-E</x:v>
      </x:c>
      <x:c r="B260" s="25" t="str">
        <x:v>利耶尼亚海域</x:v>
      </x:c>
      <x:c r="C260" s="25" t="str">
        <x:v>半急速入场</x:v>
      </x:c>
      <x:c r="D260" s="25" t="str">
        <x:v>材料</x:v>
      </x:c>
      <x:c r="E260" s="25" t="str">
        <x:v>哨垒旗冠</x:v>
      </x:c>
      <x:c r="F260" s="25" t="n">
        <x:v>3</x:v>
      </x:c>
      <x:c r="G260" s="25" t="str">
        <x:v>从C0至当前检查点累计需求；未扣自身未来产出，不代表已有库存</x:v>
      </x:c>
    </x:row>
    <x:row r="261">
      <x:c r="A261" s="25" t="str">
        <x:v>C04-E</x:v>
      </x:c>
      <x:c r="B261" s="25" t="str">
        <x:v>利耶尼亚海域</x:v>
      </x:c>
      <x:c r="C261" s="25" t="str">
        <x:v>半急速入场</x:v>
      </x:c>
      <x:c r="D261" s="25" t="str">
        <x:v>材料</x:v>
      </x:c>
      <x:c r="E261" s="25" t="str">
        <x:v>唤船骨铃</x:v>
      </x:c>
      <x:c r="F261" s="25" t="n">
        <x:v>1</x:v>
      </x:c>
      <x:c r="G261" s="25" t="str">
        <x:v>从C0至当前检查点累计需求；未扣自身未来产出，不代表已有库存</x:v>
      </x:c>
    </x:row>
    <x:row r="262">
      <x:c r="A262" s="25" t="str">
        <x:v>C04-E</x:v>
      </x:c>
      <x:c r="B262" s="25" t="str">
        <x:v>利耶尼亚海域</x:v>
      </x:c>
      <x:c r="C262" s="25" t="str">
        <x:v>半急速入场</x:v>
      </x:c>
      <x:c r="D262" s="25" t="str">
        <x:v>材料</x:v>
      </x:c>
      <x:c r="E262" s="25" t="str">
        <x:v>商队火漆</x:v>
      </x:c>
      <x:c r="F262" s="25" t="n">
        <x:v>20</x:v>
      </x:c>
      <x:c r="G262" s="25" t="str">
        <x:v>从C0至当前检查点累计需求；未扣自身未来产出，不代表已有库存</x:v>
      </x:c>
    </x:row>
    <x:row r="263">
      <x:c r="A263" s="25" t="str">
        <x:v>C04-E</x:v>
      </x:c>
      <x:c r="B263" s="25" t="str">
        <x:v>利耶尼亚海域</x:v>
      </x:c>
      <x:c r="C263" s="25" t="str">
        <x:v>半急速入场</x:v>
      </x:c>
      <x:c r="D263" s="25" t="str">
        <x:v>材料</x:v>
      </x:c>
      <x:c r="E263" s="25" t="str">
        <x:v>夜骑黑印</x:v>
      </x:c>
      <x:c r="F263" s="25" t="n">
        <x:v>1</x:v>
      </x:c>
      <x:c r="G263" s="25" t="str">
        <x:v>从C0至当前检查点累计需求；未扣自身未来产出，不代表已有库存</x:v>
      </x:c>
    </x:row>
    <x:row r="264">
      <x:c r="A264" s="25" t="str">
        <x:v>C04-E</x:v>
      </x:c>
      <x:c r="B264" s="25" t="str">
        <x:v>利耶尼亚海域</x:v>
      </x:c>
      <x:c r="C264" s="25" t="str">
        <x:v>半急速入场</x:v>
      </x:c>
      <x:c r="D264" s="25" t="str">
        <x:v>材料</x:v>
      </x:c>
      <x:c r="E264" s="25" t="str">
        <x:v>失乡军令</x:v>
      </x:c>
      <x:c r="F264" s="25" t="n">
        <x:v>2</x:v>
      </x:c>
      <x:c r="G264" s="25" t="str">
        <x:v>从C0至当前检查点累计需求；未扣自身未来产出，不代表已有库存</x:v>
      </x:c>
    </x:row>
    <x:row r="265">
      <x:c r="A265" s="25" t="str">
        <x:v>C04-E</x:v>
      </x:c>
      <x:c r="B265" s="25" t="str">
        <x:v>利耶尼亚海域</x:v>
      </x:c>
      <x:c r="C265" s="25" t="str">
        <x:v>半急速入场</x:v>
      </x:c>
      <x:c r="D265" s="25" t="str">
        <x:v>材料</x:v>
      </x:c>
      <x:c r="E265" s="25" t="str">
        <x:v>失乡统帅徽</x:v>
      </x:c>
      <x:c r="F265" s="25" t="n">
        <x:v>2</x:v>
      </x:c>
      <x:c r="G265" s="25" t="str">
        <x:v>从C0至当前检查点累计需求；未扣自身未来产出，不代表已有库存</x:v>
      </x:c>
    </x:row>
    <x:row r="266">
      <x:c r="A266" s="25" t="str">
        <x:v>C04-E</x:v>
      </x:c>
      <x:c r="B266" s="25" t="str">
        <x:v>利耶尼亚海域</x:v>
      </x:c>
      <x:c r="C266" s="25" t="str">
        <x:v>半急速入场</x:v>
      </x:c>
      <x:c r="D266" s="25" t="str">
        <x:v>材料</x:v>
      </x:c>
      <x:c r="E266" s="25" t="str">
        <x:v>失色锻造石</x:v>
      </x:c>
      <x:c r="F266" s="25" t="n">
        <x:v>3800</x:v>
      </x:c>
      <x:c r="G266" s="25" t="str">
        <x:v>从C0至当前检查点累计需求；未扣自身未来产出，不代表已有库存</x:v>
      </x:c>
    </x:row>
    <x:row r="267">
      <x:c r="A267" s="25" t="str">
        <x:v>C04-E</x:v>
      </x:c>
      <x:c r="B267" s="25" t="str">
        <x:v>利耶尼亚海域</x:v>
      </x:c>
      <x:c r="C267" s="25" t="str">
        <x:v>半急速入场</x:v>
      </x:c>
      <x:c r="D267" s="25" t="str">
        <x:v>材料</x:v>
      </x:c>
      <x:c r="E267" s="25" t="str">
        <x:v>宁姆格福誓页</x:v>
      </x:c>
      <x:c r="F267" s="25" t="n">
        <x:v>90</x:v>
      </x:c>
      <x:c r="G267" s="25" t="str">
        <x:v>从C0至当前检查点累计需求；未扣自身未来产出，不代表已有库存</x:v>
      </x:c>
    </x:row>
    <x:row r="268">
      <x:c r="A268" s="25" t="str">
        <x:v>C04-E</x:v>
      </x:c>
      <x:c r="B268" s="25" t="str">
        <x:v>利耶尼亚海域</x:v>
      </x:c>
      <x:c r="C268" s="25" t="str">
        <x:v>半急速入场</x:v>
      </x:c>
      <x:c r="D268" s="25" t="str">
        <x:v>材料</x:v>
      </x:c>
      <x:c r="E268" s="25" t="str">
        <x:v>山妖王角</x:v>
      </x:c>
      <x:c r="F268" s="25" t="n">
        <x:v>2</x:v>
      </x:c>
      <x:c r="G268" s="25" t="str">
        <x:v>从C0至当前检查点累计需求；未扣自身未来产出，不代表已有库存</x:v>
      </x:c>
    </x:row>
    <x:row r="269">
      <x:c r="A269" s="25" t="str">
        <x:v>C04-E</x:v>
      </x:c>
      <x:c r="B269" s="25" t="str">
        <x:v>利耶尼亚海域</x:v>
      </x:c>
      <x:c r="C269" s="25" t="str">
        <x:v>半急速入场</x:v>
      </x:c>
      <x:c r="D269" s="25" t="str">
        <x:v>材料</x:v>
      </x:c>
      <x:c r="E269" s="25" t="str">
        <x:v>恶兆残角</x:v>
      </x:c>
      <x:c r="F269" s="25" t="n">
        <x:v>1</x:v>
      </x:c>
      <x:c r="G269" s="25" t="str">
        <x:v>从C0至当前检查点累计需求；未扣自身未来产出，不代表已有库存</x:v>
      </x:c>
    </x:row>
    <x:row r="270">
      <x:c r="A270" s="25" t="str">
        <x:v>C04-E</x:v>
      </x:c>
      <x:c r="B270" s="25" t="str">
        <x:v>利耶尼亚海域</x:v>
      </x:c>
      <x:c r="C270" s="25" t="str">
        <x:v>半急速入场</x:v>
      </x:c>
      <x:c r="D270" s="25" t="str">
        <x:v>材料</x:v>
      </x:c>
      <x:c r="E270" s="25" t="str">
        <x:v>技能残页</x:v>
      </x:c>
      <x:c r="F270" s="25" t="n">
        <x:v>1350</x:v>
      </x:c>
      <x:c r="G270" s="25" t="str">
        <x:v>从C0至当前检查点累计需求；未扣自身未来产出，不代表已有库存</x:v>
      </x:c>
    </x:row>
    <x:row r="271">
      <x:c r="A271" s="25" t="str">
        <x:v>C04-E</x:v>
      </x:c>
      <x:c r="B271" s="25" t="str">
        <x:v>利耶尼亚海域</x:v>
      </x:c>
      <x:c r="C271" s="25" t="str">
        <x:v>半急速入场</x:v>
      </x:c>
      <x:c r="D271" s="25" t="str">
        <x:v>材料</x:v>
      </x:c>
      <x:c r="E271" s="25" t="str">
        <x:v>接肢兽心</x:v>
      </x:c>
      <x:c r="F271" s="25" t="n">
        <x:v>2</x:v>
      </x:c>
      <x:c r="G271" s="25" t="str">
        <x:v>从C0至当前检查点累计需求；未扣自身未来产出，不代表已有库存</x:v>
      </x:c>
    </x:row>
    <x:row r="272">
      <x:c r="A272" s="25" t="str">
        <x:v>C04-E</x:v>
      </x:c>
      <x:c r="B272" s="25" t="str">
        <x:v>利耶尼亚海域</x:v>
      </x:c>
      <x:c r="C272" s="25" t="str">
        <x:v>半急速入场</x:v>
      </x:c>
      <x:c r="D272" s="25" t="str">
        <x:v>材料</x:v>
      </x:c>
      <x:c r="E272" s="25" t="str">
        <x:v>接肢王印</x:v>
      </x:c>
      <x:c r="F272" s="25" t="n">
        <x:v>13</x:v>
      </x:c>
      <x:c r="G272" s="25" t="str">
        <x:v>从C0至当前检查点累计需求；未扣自身未来产出，不代表已有库存</x:v>
      </x:c>
    </x:row>
    <x:row r="273">
      <x:c r="A273" s="25" t="str">
        <x:v>C04-E</x:v>
      </x:c>
      <x:c r="B273" s="25" t="str">
        <x:v>利耶尼亚海域</x:v>
      </x:c>
      <x:c r="C273" s="25" t="str">
        <x:v>半急速入场</x:v>
      </x:c>
      <x:c r="D273" s="25" t="str">
        <x:v>材料</x:v>
      </x:c>
      <x:c r="E273" s="25" t="str">
        <x:v>接肢王魂</x:v>
      </x:c>
      <x:c r="F273" s="25" t="n">
        <x:v>1</x:v>
      </x:c>
      <x:c r="G273" s="25" t="str">
        <x:v>从C0至当前检查点累计需求；未扣自身未来产出，不代表已有库存</x:v>
      </x:c>
    </x:row>
    <x:row r="274">
      <x:c r="A274" s="25" t="str">
        <x:v>C04-E</x:v>
      </x:c>
      <x:c r="B274" s="25" t="str">
        <x:v>利耶尼亚海域</x:v>
      </x:c>
      <x:c r="C274" s="25" t="str">
        <x:v>半急速入场</x:v>
      </x:c>
      <x:c r="D274" s="25" t="str">
        <x:v>材料</x:v>
      </x:c>
      <x:c r="E274" s="25" t="str">
        <x:v>树卫枪穗</x:v>
      </x:c>
      <x:c r="F274" s="25" t="n">
        <x:v>1</x:v>
      </x:c>
      <x:c r="G274" s="25" t="str">
        <x:v>从C0至当前检查点累计需求；未扣自身未来产出，不代表已有库存</x:v>
      </x:c>
    </x:row>
    <x:row r="275">
      <x:c r="A275" s="25" t="str">
        <x:v>C04-E</x:v>
      </x:c>
      <x:c r="B275" s="25" t="str">
        <x:v>利耶尼亚海域</x:v>
      </x:c>
      <x:c r="C275" s="25" t="str">
        <x:v>半急速入场</x:v>
      </x:c>
      <x:c r="D275" s="25" t="str">
        <x:v>材料</x:v>
      </x:c>
      <x:c r="E275" s="25" t="str">
        <x:v>死亡仪羽</x:v>
      </x:c>
      <x:c r="F275" s="25" t="n">
        <x:v>2</x:v>
      </x:c>
      <x:c r="G275" s="25" t="str">
        <x:v>从C0至当前检查点累计需求；未扣自身未来产出，不代表已有库存</x:v>
      </x:c>
    </x:row>
    <x:row r="276">
      <x:c r="A276" s="25" t="str">
        <x:v>C04-E</x:v>
      </x:c>
      <x:c r="B276" s="25" t="str">
        <x:v>利耶尼亚海域</x:v>
      </x:c>
      <x:c r="C276" s="25" t="str">
        <x:v>半急速入场</x:v>
      </x:c>
      <x:c r="D276" s="25" t="str">
        <x:v>材料</x:v>
      </x:c>
      <x:c r="E276" s="25" t="str">
        <x:v>海蚀铁片</x:v>
      </x:c>
      <x:c r="F276" s="25" t="n">
        <x:v>160</x:v>
      </x:c>
      <x:c r="G276" s="25" t="str">
        <x:v>从C0至当前检查点累计需求；未扣自身未来产出，不代表已有库存</x:v>
      </x:c>
    </x:row>
    <x:row r="277">
      <x:c r="A277" s="25" t="str">
        <x:v>C04-E</x:v>
      </x:c>
      <x:c r="B277" s="25" t="str">
        <x:v>利耶尼亚海域</x:v>
      </x:c>
      <x:c r="C277" s="25" t="str">
        <x:v>半急速入场</x:v>
      </x:c>
      <x:c r="D277" s="25" t="str">
        <x:v>材料</x:v>
      </x:c>
      <x:c r="E277" s="25" t="str">
        <x:v>溃烂树核</x:v>
      </x:c>
      <x:c r="F277" s="25" t="n">
        <x:v>1</x:v>
      </x:c>
      <x:c r="G277" s="25" t="str">
        <x:v>从C0至当前检查点累计需求；未扣自身未来产出，不代表已有库存</x:v>
      </x:c>
    </x:row>
    <x:row r="278">
      <x:c r="A278" s="25" t="str">
        <x:v>C04-E</x:v>
      </x:c>
      <x:c r="B278" s="25" t="str">
        <x:v>利耶尼亚海域</x:v>
      </x:c>
      <x:c r="C278" s="25" t="str">
        <x:v>半急速入场</x:v>
      </x:c>
      <x:c r="D278" s="25" t="str">
        <x:v>材料</x:v>
      </x:c>
      <x:c r="E278" s="25" t="str">
        <x:v>漂流大陆印记</x:v>
      </x:c>
      <x:c r="F278" s="25" t="n">
        <x:v>11</x:v>
      </x:c>
      <x:c r="G278" s="25" t="str">
        <x:v>从C0至当前检查点累计需求；未扣自身未来产出，不代表已有库存</x:v>
      </x:c>
    </x:row>
    <x:row r="279">
      <x:c r="A279" s="25" t="str">
        <x:v>C04-E</x:v>
      </x:c>
      <x:c r="B279" s="25" t="str">
        <x:v>利耶尼亚海域</x:v>
      </x:c>
      <x:c r="C279" s="25" t="str">
        <x:v>半急速入场</x:v>
      </x:c>
      <x:c r="D279" s="25" t="str">
        <x:v>材料</x:v>
      </x:c>
      <x:c r="E279" s="25" t="str">
        <x:v>漂流见证·潮</x:v>
      </x:c>
      <x:c r="F279" s="25" t="n">
        <x:v>8</x:v>
      </x:c>
      <x:c r="G279" s="25" t="str">
        <x:v>从C0至当前检查点累计需求；未扣自身未来产出，不代表已有库存</x:v>
      </x:c>
    </x:row>
    <x:row r="280">
      <x:c r="A280" s="25" t="str">
        <x:v>C04-E</x:v>
      </x:c>
      <x:c r="B280" s="25" t="str">
        <x:v>利耶尼亚海域</x:v>
      </x:c>
      <x:c r="C280" s="25" t="str">
        <x:v>半急速入场</x:v>
      </x:c>
      <x:c r="D280" s="25" t="str">
        <x:v>材料</x:v>
      </x:c>
      <x:c r="E280" s="25" t="str">
        <x:v>漂流见证·雷</x:v>
      </x:c>
      <x:c r="F280" s="25" t="n">
        <x:v>8</x:v>
      </x:c>
      <x:c r="G280" s="25" t="str">
        <x:v>从C0至当前检查点累计需求；未扣自身未来产出，不代表已有库存</x:v>
      </x:c>
    </x:row>
    <x:row r="281">
      <x:c r="A281" s="25" t="str">
        <x:v>C04-E</x:v>
      </x:c>
      <x:c r="B281" s="25" t="str">
        <x:v>利耶尼亚海域</x:v>
      </x:c>
      <x:c r="C281" s="25" t="str">
        <x:v>半急速入场</x:v>
      </x:c>
      <x:c r="D281" s="25" t="str">
        <x:v>材料</x:v>
      </x:c>
      <x:c r="E281" s="25" t="str">
        <x:v>潮痕结晶</x:v>
      </x:c>
      <x:c r="F281" s="25" t="n">
        <x:v>16</x:v>
      </x:c>
      <x:c r="G281" s="25" t="str">
        <x:v>从C0至当前检查点累计需求；未扣自身未来产出，不代表已有库存</x:v>
      </x:c>
    </x:row>
    <x:row r="282">
      <x:c r="A282" s="25" t="str">
        <x:v>C04-E</x:v>
      </x:c>
      <x:c r="B282" s="25" t="str">
        <x:v>利耶尼亚海域</x:v>
      </x:c>
      <x:c r="C282" s="25" t="str">
        <x:v>半急速入场</x:v>
      </x:c>
      <x:c r="D282" s="25" t="str">
        <x:v>材料</x:v>
      </x:c>
      <x:c r="E282" s="25" t="str">
        <x:v>熊王心脏</x:v>
      </x:c>
      <x:c r="F282" s="25" t="n">
        <x:v>2</x:v>
      </x:c>
      <x:c r="G282" s="25" t="str">
        <x:v>从C0至当前检查点累计需求；未扣自身未来产出，不代表已有库存</x:v>
      </x:c>
    </x:row>
    <x:row r="283">
      <x:c r="A283" s="25" t="str">
        <x:v>C04-E</x:v>
      </x:c>
      <x:c r="B283" s="25" t="str">
        <x:v>利耶尼亚海域</x:v>
      </x:c>
      <x:c r="C283" s="25" t="str">
        <x:v>半急速入场</x:v>
      </x:c>
      <x:c r="D283" s="25" t="str">
        <x:v>材料</x:v>
      </x:c>
      <x:c r="E283" s="25" t="str">
        <x:v>熔炉角片</x:v>
      </x:c>
      <x:c r="F283" s="25" t="n">
        <x:v>1</x:v>
      </x:c>
      <x:c r="G283" s="25" t="str">
        <x:v>从C0至当前检查点累计需求；未扣自身未来产出，不代表已有库存</x:v>
      </x:c>
    </x:row>
    <x:row r="284">
      <x:c r="A284" s="25" t="str">
        <x:v>C04-E</x:v>
      </x:c>
      <x:c r="B284" s="25" t="str">
        <x:v>利耶尼亚海域</x:v>
      </x:c>
      <x:c r="C284" s="25" t="str">
        <x:v>半急速入场</x:v>
      </x:c>
      <x:c r="D284" s="25" t="str">
        <x:v>材料</x:v>
      </x:c>
      <x:c r="E284" s="25" t="str">
        <x:v>王城军印</x:v>
      </x:c>
      <x:c r="F284" s="25" t="n">
        <x:v>1</x:v>
      </x:c>
      <x:c r="G284" s="25" t="str">
        <x:v>从C0至当前检查点累计需求；未扣自身未来产出，不代表已有库存</x:v>
      </x:c>
    </x:row>
    <x:row r="285">
      <x:c r="A285" s="25" t="str">
        <x:v>C04-E</x:v>
      </x:c>
      <x:c r="B285" s="25" t="str">
        <x:v>利耶尼亚海域</x:v>
      </x:c>
      <x:c r="C285" s="25" t="str">
        <x:v>半急速入场</x:v>
      </x:c>
      <x:c r="D285" s="25" t="str">
        <x:v>材料</x:v>
      </x:c>
      <x:c r="E285" s="25" t="str">
        <x:v>看门犬石心</x:v>
      </x:c>
      <x:c r="F285" s="25" t="n">
        <x:v>2</x:v>
      </x:c>
      <x:c r="G285" s="25" t="str">
        <x:v>从C0至当前检查点累计需求；未扣自身未来产出，不代表已有库存</x:v>
      </x:c>
    </x:row>
    <x:row r="286">
      <x:c r="A286" s="25" t="str">
        <x:v>C04-E</x:v>
      </x:c>
      <x:c r="B286" s="25" t="str">
        <x:v>利耶尼亚海域</x:v>
      </x:c>
      <x:c r="C286" s="25" t="str">
        <x:v>半急速入场</x:v>
      </x:c>
      <x:c r="D286" s="25" t="str">
        <x:v>材料</x:v>
      </x:c>
      <x:c r="E286" s="25" t="str">
        <x:v>神秘符文</x:v>
      </x:c>
      <x:c r="F286" s="25" t="n">
        <x:v>100</x:v>
      </x:c>
      <x:c r="G286" s="25" t="str">
        <x:v>从C0至当前检查点累计需求；未扣自身未来产出，不代表已有库存</x:v>
      </x:c>
    </x:row>
    <x:row r="287">
      <x:c r="A287" s="25" t="str">
        <x:v>C04-E</x:v>
      </x:c>
      <x:c r="B287" s="25" t="str">
        <x:v>利耶尼亚海域</x:v>
      </x:c>
      <x:c r="C287" s="25" t="str">
        <x:v>半急速入场</x:v>
      </x:c>
      <x:c r="D287" s="25" t="str">
        <x:v>材料</x:v>
      </x:c>
      <x:c r="E287" s="25" t="str">
        <x:v>腐根魂结</x:v>
      </x:c>
      <x:c r="F287" s="25" t="n">
        <x:v>2</x:v>
      </x:c>
      <x:c r="G287" s="25" t="str">
        <x:v>从C0至当前检查点累计需求；未扣自身未来产出，不代表已有库存</x:v>
      </x:c>
    </x:row>
    <x:row r="288">
      <x:c r="A288" s="25" t="str">
        <x:v>C04-E</x:v>
      </x:c>
      <x:c r="B288" s="25" t="str">
        <x:v>利耶尼亚海域</x:v>
      </x:c>
      <x:c r="C288" s="25" t="str">
        <x:v>半急速入场</x:v>
      </x:c>
      <x:c r="D288" s="25" t="str">
        <x:v>材料</x:v>
      </x:c>
      <x:c r="E288" s="25" t="str">
        <x:v>裂风崖羽</x:v>
      </x:c>
      <x:c r="F288" s="25" t="n">
        <x:v>80</x:v>
      </x:c>
      <x:c r="G288" s="25" t="str">
        <x:v>从C0至当前检查点累计需求；未扣自身未来产出，不代表已有库存</x:v>
      </x:c>
    </x:row>
    <x:row r="289">
      <x:c r="A289" s="25" t="str">
        <x:v>C04-E</x:v>
      </x:c>
      <x:c r="B289" s="25" t="str">
        <x:v>利耶尼亚海域</x:v>
      </x:c>
      <x:c r="C289" s="25" t="str">
        <x:v>半急速入场</x:v>
      </x:c>
      <x:c r="D289" s="25" t="str">
        <x:v>材料</x:v>
      </x:c>
      <x:c r="E289" s="25" t="str">
        <x:v>西境战旗</x:v>
      </x:c>
      <x:c r="F289" s="25" t="n">
        <x:v>20</x:v>
      </x:c>
      <x:c r="G289" s="25" t="str">
        <x:v>从C0至当前检查点累计需求；未扣自身未来产出，不代表已有库存</x:v>
      </x:c>
    </x:row>
    <x:row r="290">
      <x:c r="A290" s="25" t="str">
        <x:v>C04-E</x:v>
      </x:c>
      <x:c r="B290" s="25" t="str">
        <x:v>利耶尼亚海域</x:v>
      </x:c>
      <x:c r="C290" s="25" t="str">
        <x:v>半急速入场</x:v>
      </x:c>
      <x:c r="D290" s="25" t="str">
        <x:v>材料</x:v>
      </x:c>
      <x:c r="E290" s="25" t="str">
        <x:v>西境战旗印</x:v>
      </x:c>
      <x:c r="F290" s="25" t="n">
        <x:v>13</x:v>
      </x:c>
      <x:c r="G290" s="25" t="str">
        <x:v>从C0至当前检查点累计需求；未扣自身未来产出，不代表已有库存</x:v>
      </x:c>
    </x:row>
    <x:row r="291">
      <x:c r="A291" s="25" t="str">
        <x:v>C04-E</x:v>
      </x:c>
      <x:c r="B291" s="25" t="str">
        <x:v>利耶尼亚海域</x:v>
      </x:c>
      <x:c r="C291" s="25" t="str">
        <x:v>半急速入场</x:v>
      </x:c>
      <x:c r="D291" s="25" t="str">
        <x:v>材料</x:v>
      </x:c>
      <x:c r="E291" s="25" t="str">
        <x:v>贵胄断指</x:v>
      </x:c>
      <x:c r="F291" s="25" t="n">
        <x:v>1</x:v>
      </x:c>
      <x:c r="G291" s="25" t="str">
        <x:v>从C0至当前检查点累计需求；未扣自身未来产出，不代表已有库存</x:v>
      </x:c>
    </x:row>
    <x:row r="292">
      <x:c r="A292" s="25" t="str">
        <x:v>C04-E</x:v>
      </x:c>
      <x:c r="B292" s="25" t="str">
        <x:v>利耶尼亚海域</x:v>
      </x:c>
      <x:c r="C292" s="25" t="str">
        <x:v>半急速入场</x:v>
      </x:c>
      <x:c r="D292" s="25" t="str">
        <x:v>材料</x:v>
      </x:c>
      <x:c r="E292" s="25" t="str">
        <x:v>野兽骨片</x:v>
      </x:c>
      <x:c r="F292" s="25" t="n">
        <x:v>4455</x:v>
      </x:c>
      <x:c r="G292" s="25" t="str">
        <x:v>从C0至当前检查点累计需求；未扣自身未来产出，不代表已有库存</x:v>
      </x:c>
    </x:row>
    <x:row r="293">
      <x:c r="A293" s="25" t="str">
        <x:v>C04-E</x:v>
      </x:c>
      <x:c r="B293" s="25" t="str">
        <x:v>利耶尼亚海域</x:v>
      </x:c>
      <x:c r="C293" s="25" t="str">
        <x:v>半急速入场</x:v>
      </x:c>
      <x:c r="D293" s="25" t="str">
        <x:v>材料</x:v>
      </x:c>
      <x:c r="E293" s="25" t="str">
        <x:v>风暴王核</x:v>
      </x:c>
      <x:c r="F293" s="25" t="n">
        <x:v>1</x:v>
      </x:c>
      <x:c r="G293" s="25" t="str">
        <x:v>从C0至当前检查点累计需求；未扣自身未来产出，不代表已有库存</x:v>
      </x:c>
    </x:row>
    <x:row r="294">
      <x:c r="A294" s="25" t="str">
        <x:v>C04-E</x:v>
      </x:c>
      <x:c r="B294" s="25" t="str">
        <x:v>利耶尼亚海域</x:v>
      </x:c>
      <x:c r="C294" s="25" t="str">
        <x:v>半急速入场</x:v>
      </x:c>
      <x:c r="D294" s="25" t="str">
        <x:v>材料</x:v>
      </x:c>
      <x:c r="E294" s="25" t="str">
        <x:v>风暴石片</x:v>
      </x:c>
      <x:c r="F294" s="25" t="n">
        <x:v>370</x:v>
      </x:c>
      <x:c r="G294" s="25" t="str">
        <x:v>从C0至当前检查点累计需求；未扣自身未来产出，不代表已有库存</x:v>
      </x:c>
    </x:row>
    <x:row r="295">
      <x:c r="A295" s="25" t="str">
        <x:v>C04-E</x:v>
      </x:c>
      <x:c r="B295" s="25" t="str">
        <x:v>利耶尼亚海域</x:v>
      </x:c>
      <x:c r="C295" s="25" t="str">
        <x:v>半急速入场</x:v>
      </x:c>
      <x:c r="D295" s="25" t="str">
        <x:v>材料</x:v>
      </x:c>
      <x:c r="E295" s="25" t="str">
        <x:v>风蚀铁片</x:v>
      </x:c>
      <x:c r="F295" s="25" t="n">
        <x:v>710</x:v>
      </x:c>
      <x:c r="G295" s="25" t="str">
        <x:v>从C0至当前检查点累计需求；未扣自身未来产出，不代表已有库存</x:v>
      </x:c>
    </x:row>
    <x:row r="296">
      <x:c r="A296" s="25" t="str">
        <x:v>C04-E</x:v>
      </x:c>
      <x:c r="B296" s="25" t="str">
        <x:v>利耶尼亚海域</x:v>
      </x:c>
      <x:c r="C296" s="25" t="str">
        <x:v>半急速入场</x:v>
      </x:c>
      <x:c r="D296" s="25" t="str">
        <x:v>材料</x:v>
      </x:c>
      <x:c r="E296" s="25" t="str">
        <x:v>黄金树碎核</x:v>
      </x:c>
      <x:c r="F296" s="25" t="n">
        <x:v>2</x:v>
      </x:c>
      <x:c r="G296" s="25" t="str">
        <x:v>从C0至当前检查点累计需求；未扣自身未来产出，不代表已有库存</x:v>
      </x:c>
    </x:row>
    <x:row r="297">
      <x:c r="A297" s="25" t="str">
        <x:v>C04-E</x:v>
      </x:c>
      <x:c r="B297" s="25" t="str">
        <x:v>利耶尼亚海域</x:v>
      </x:c>
      <x:c r="C297" s="25" t="str">
        <x:v>半急速入场</x:v>
      </x:c>
      <x:c r="D297" s="25" t="str">
        <x:v>材料</x:v>
      </x:c>
      <x:c r="E297" s="25" t="str">
        <x:v>黄金树芽</x:v>
      </x:c>
      <x:c r="F297" s="25" t="n">
        <x:v>297</x:v>
      </x:c>
      <x:c r="G297" s="25" t="str">
        <x:v>从C0至当前检查点累计需求；未扣自身未来产出，不代表已有库存</x:v>
      </x:c>
    </x:row>
    <x:row r="298">
      <x:c r="A298" s="25" t="str">
        <x:v>C04-E</x:v>
      </x:c>
      <x:c r="B298" s="25" t="str">
        <x:v>利耶尼亚海域</x:v>
      </x:c>
      <x:c r="C298" s="25" t="str">
        <x:v>半急速入场</x:v>
      </x:c>
      <x:c r="D298" s="25" t="str">
        <x:v>材料</x:v>
      </x:c>
      <x:c r="E298" s="25" t="str">
        <x:v>黄金骑徽</x:v>
      </x:c>
      <x:c r="F298" s="25" t="n">
        <x:v>2</x:v>
      </x:c>
      <x:c r="G298" s="25" t="str">
        <x:v>从C0至当前检查点累计需求；未扣自身未来产出，不代表已有库存</x:v>
      </x:c>
    </x:row>
    <x:row r="299">
      <x:c r="A299" s="25" t="str">
        <x:v>C04-E</x:v>
      </x:c>
      <x:c r="B299" s="25" t="str">
        <x:v>利耶尼亚海域</x:v>
      </x:c>
      <x:c r="C299" s="25" t="str">
        <x:v>半急速入场</x:v>
      </x:c>
      <x:c r="D299" s="25" t="str">
        <x:v>装备实物</x:v>
      </x:c>
      <x:c r="E299" s="25" t="str">
        <x:v>共169个精确名称（明细见JSON）</x:v>
      </x:c>
      <x:c r="F299" s="25" t="n">
        <x:v>232</x:v>
      </x:c>
      <x:c r="G299" s="25" t="str">
        <x:v>含穿戴、重复试洗、图鉴登记与合成前置；完整数据未省略</x:v>
      </x:c>
    </x:row>
    <x:row r="300">
      <x:c r="A300" s="25" t="str">
        <x:v>C04-M</x:v>
      </x:c>
      <x:c r="B300" s="25" t="str">
        <x:v>利耶尼亚海域</x:v>
      </x:c>
      <x:c r="C300" s="25" t="str">
        <x:v>半急速中期</x:v>
      </x:c>
      <x:c r="D300" s="25" t="str">
        <x:v>材料</x:v>
      </x:c>
      <x:c r="E300" s="25" t="str">
        <x:v>兽将脊骨</x:v>
      </x:c>
      <x:c r="F300" s="25" t="n">
        <x:v>1</x:v>
      </x:c>
      <x:c r="G300" s="25" t="str">
        <x:v>从C0至当前检查点累计需求；未扣自身未来产出，不代表已有库存</x:v>
      </x:c>
    </x:row>
    <x:row r="301">
      <x:c r="A301" s="25" t="str">
        <x:v>C04-M</x:v>
      </x:c>
      <x:c r="B301" s="25" t="str">
        <x:v>利耶尼亚海域</x:v>
      </x:c>
      <x:c r="C301" s="25" t="str">
        <x:v>半急速中期</x:v>
      </x:c>
      <x:c r="D301" s="25" t="str">
        <x:v>材料</x:v>
      </x:c>
      <x:c r="E301" s="25" t="str">
        <x:v>哨垒旗冠</x:v>
      </x:c>
      <x:c r="F301" s="25" t="n">
        <x:v>3</x:v>
      </x:c>
      <x:c r="G301" s="25" t="str">
        <x:v>从C0至当前检查点累计需求；未扣自身未来产出，不代表已有库存</x:v>
      </x:c>
    </x:row>
    <x:row r="302">
      <x:c r="A302" s="25" t="str">
        <x:v>C04-M</x:v>
      </x:c>
      <x:c r="B302" s="25" t="str">
        <x:v>利耶尼亚海域</x:v>
      </x:c>
      <x:c r="C302" s="25" t="str">
        <x:v>半急速中期</x:v>
      </x:c>
      <x:c r="D302" s="25" t="str">
        <x:v>材料</x:v>
      </x:c>
      <x:c r="E302" s="25" t="str">
        <x:v>唤船骨铃</x:v>
      </x:c>
      <x:c r="F302" s="25" t="n">
        <x:v>1</x:v>
      </x:c>
      <x:c r="G302" s="25" t="str">
        <x:v>从C0至当前检查点累计需求；未扣自身未来产出，不代表已有库存</x:v>
      </x:c>
    </x:row>
    <x:row r="303">
      <x:c r="A303" s="25" t="str">
        <x:v>C04-M</x:v>
      </x:c>
      <x:c r="B303" s="25" t="str">
        <x:v>利耶尼亚海域</x:v>
      </x:c>
      <x:c r="C303" s="25" t="str">
        <x:v>半急速中期</x:v>
      </x:c>
      <x:c r="D303" s="25" t="str">
        <x:v>材料</x:v>
      </x:c>
      <x:c r="E303" s="25" t="str">
        <x:v>商队火漆</x:v>
      </x:c>
      <x:c r="F303" s="25" t="n">
        <x:v>20</x:v>
      </x:c>
      <x:c r="G303" s="25" t="str">
        <x:v>从C0至当前检查点累计需求；未扣自身未来产出，不代表已有库存</x:v>
      </x:c>
    </x:row>
    <x:row r="304">
      <x:c r="A304" s="25" t="str">
        <x:v>C04-M</x:v>
      </x:c>
      <x:c r="B304" s="25" t="str">
        <x:v>利耶尼亚海域</x:v>
      </x:c>
      <x:c r="C304" s="25" t="str">
        <x:v>半急速中期</x:v>
      </x:c>
      <x:c r="D304" s="25" t="str">
        <x:v>材料</x:v>
      </x:c>
      <x:c r="E304" s="25" t="str">
        <x:v>夜骑黑印</x:v>
      </x:c>
      <x:c r="F304" s="25" t="n">
        <x:v>1</x:v>
      </x:c>
      <x:c r="G304" s="25" t="str">
        <x:v>从C0至当前检查点累计需求；未扣自身未来产出，不代表已有库存</x:v>
      </x:c>
    </x:row>
    <x:row r="305">
      <x:c r="A305" s="25" t="str">
        <x:v>C04-M</x:v>
      </x:c>
      <x:c r="B305" s="25" t="str">
        <x:v>利耶尼亚海域</x:v>
      </x:c>
      <x:c r="C305" s="25" t="str">
        <x:v>半急速中期</x:v>
      </x:c>
      <x:c r="D305" s="25" t="str">
        <x:v>材料</x:v>
      </x:c>
      <x:c r="E305" s="25" t="str">
        <x:v>失乡军令</x:v>
      </x:c>
      <x:c r="F305" s="25" t="n">
        <x:v>2</x:v>
      </x:c>
      <x:c r="G305" s="25" t="str">
        <x:v>从C0至当前检查点累计需求；未扣自身未来产出，不代表已有库存</x:v>
      </x:c>
    </x:row>
    <x:row r="306">
      <x:c r="A306" s="25" t="str">
        <x:v>C04-M</x:v>
      </x:c>
      <x:c r="B306" s="25" t="str">
        <x:v>利耶尼亚海域</x:v>
      </x:c>
      <x:c r="C306" s="25" t="str">
        <x:v>半急速中期</x:v>
      </x:c>
      <x:c r="D306" s="25" t="str">
        <x:v>材料</x:v>
      </x:c>
      <x:c r="E306" s="25" t="str">
        <x:v>失乡统帅徽</x:v>
      </x:c>
      <x:c r="F306" s="25" t="n">
        <x:v>2</x:v>
      </x:c>
      <x:c r="G306" s="25" t="str">
        <x:v>从C0至当前检查点累计需求；未扣自身未来产出，不代表已有库存</x:v>
      </x:c>
    </x:row>
    <x:row r="307">
      <x:c r="A307" s="25" t="str">
        <x:v>C04-M</x:v>
      </x:c>
      <x:c r="B307" s="25" t="str">
        <x:v>利耶尼亚海域</x:v>
      </x:c>
      <x:c r="C307" s="25" t="str">
        <x:v>半急速中期</x:v>
      </x:c>
      <x:c r="D307" s="25" t="str">
        <x:v>材料</x:v>
      </x:c>
      <x:c r="E307" s="25" t="str">
        <x:v>失色锻造石</x:v>
      </x:c>
      <x:c r="F307" s="25" t="n">
        <x:v>4840</x:v>
      </x:c>
      <x:c r="G307" s="25" t="str">
        <x:v>从C0至当前检查点累计需求；未扣自身未来产出，不代表已有库存</x:v>
      </x:c>
    </x:row>
    <x:row r="308">
      <x:c r="A308" s="25" t="str">
        <x:v>C04-M</x:v>
      </x:c>
      <x:c r="B308" s="25" t="str">
        <x:v>利耶尼亚海域</x:v>
      </x:c>
      <x:c r="C308" s="25" t="str">
        <x:v>半急速中期</x:v>
      </x:c>
      <x:c r="D308" s="25" t="str">
        <x:v>材料</x:v>
      </x:c>
      <x:c r="E308" s="25" t="str">
        <x:v>宁姆格福誓页</x:v>
      </x:c>
      <x:c r="F308" s="25" t="n">
        <x:v>90</x:v>
      </x:c>
      <x:c r="G308" s="25" t="str">
        <x:v>从C0至当前检查点累计需求；未扣自身未来产出，不代表已有库存</x:v>
      </x:c>
    </x:row>
    <x:row r="309">
      <x:c r="A309" s="25" t="str">
        <x:v>C04-M</x:v>
      </x:c>
      <x:c r="B309" s="25" t="str">
        <x:v>利耶尼亚海域</x:v>
      </x:c>
      <x:c r="C309" s="25" t="str">
        <x:v>半急速中期</x:v>
      </x:c>
      <x:c r="D309" s="25" t="str">
        <x:v>材料</x:v>
      </x:c>
      <x:c r="E309" s="25" t="str">
        <x:v>小卢恩</x:v>
      </x:c>
      <x:c r="F309" s="25" t="n">
        <x:v>50</x:v>
      </x:c>
      <x:c r="G309" s="25" t="str">
        <x:v>从C0至当前检查点累计需求；未扣自身未来产出，不代表已有库存</x:v>
      </x:c>
    </x:row>
    <x:row r="310">
      <x:c r="A310" s="25" t="str">
        <x:v>C04-M</x:v>
      </x:c>
      <x:c r="B310" s="25" t="str">
        <x:v>利耶尼亚海域</x:v>
      </x:c>
      <x:c r="C310" s="25" t="str">
        <x:v>半急速中期</x:v>
      </x:c>
      <x:c r="D310" s="25" t="str">
        <x:v>材料</x:v>
      </x:c>
      <x:c r="E310" s="25" t="str">
        <x:v>山妖王角</x:v>
      </x:c>
      <x:c r="F310" s="25" t="n">
        <x:v>2</x:v>
      </x:c>
      <x:c r="G310" s="25" t="str">
        <x:v>从C0至当前检查点累计需求；未扣自身未来产出，不代表已有库存</x:v>
      </x:c>
    </x:row>
    <x:row r="311">
      <x:c r="A311" s="25" t="str">
        <x:v>C04-M</x:v>
      </x:c>
      <x:c r="B311" s="25" t="str">
        <x:v>利耶尼亚海域</x:v>
      </x:c>
      <x:c r="C311" s="25" t="str">
        <x:v>半急速中期</x:v>
      </x:c>
      <x:c r="D311" s="25" t="str">
        <x:v>材料</x:v>
      </x:c>
      <x:c r="E311" s="25" t="str">
        <x:v>幽船铆钉</x:v>
      </x:c>
      <x:c r="F311" s="25" t="n">
        <x:v>5</x:v>
      </x:c>
      <x:c r="G311" s="25" t="str">
        <x:v>从C0至当前检查点累计需求；未扣自身未来产出，不代表已有库存</x:v>
      </x:c>
    </x:row>
    <x:row r="312">
      <x:c r="A312" s="25" t="str">
        <x:v>C04-M</x:v>
      </x:c>
      <x:c r="B312" s="25" t="str">
        <x:v>利耶尼亚海域</x:v>
      </x:c>
      <x:c r="C312" s="25" t="str">
        <x:v>半急速中期</x:v>
      </x:c>
      <x:c r="D312" s="25" t="str">
        <x:v>材料</x:v>
      </x:c>
      <x:c r="E312" s="25" t="str">
        <x:v>恶兆残角</x:v>
      </x:c>
      <x:c r="F312" s="25" t="n">
        <x:v>1</x:v>
      </x:c>
      <x:c r="G312" s="25" t="str">
        <x:v>从C0至当前检查点累计需求；未扣自身未来产出，不代表已有库存</x:v>
      </x:c>
    </x:row>
    <x:row r="313">
      <x:c r="A313" s="25" t="str">
        <x:v>C04-M</x:v>
      </x:c>
      <x:c r="B313" s="25" t="str">
        <x:v>利耶尼亚海域</x:v>
      </x:c>
      <x:c r="C313" s="25" t="str">
        <x:v>半急速中期</x:v>
      </x:c>
      <x:c r="D313" s="25" t="str">
        <x:v>材料</x:v>
      </x:c>
      <x:c r="E313" s="25" t="str">
        <x:v>技能残页</x:v>
      </x:c>
      <x:c r="F313" s="25" t="n">
        <x:v>1350</x:v>
      </x:c>
      <x:c r="G313" s="25" t="str">
        <x:v>从C0至当前检查点累计需求；未扣自身未来产出，不代表已有库存</x:v>
      </x:c>
    </x:row>
    <x:row r="314">
      <x:c r="A314" s="25" t="str">
        <x:v>C04-M</x:v>
      </x:c>
      <x:c r="B314" s="25" t="str">
        <x:v>利耶尼亚海域</x:v>
      </x:c>
      <x:c r="C314" s="25" t="str">
        <x:v>半急速中期</x:v>
      </x:c>
      <x:c r="D314" s="25" t="str">
        <x:v>材料</x:v>
      </x:c>
      <x:c r="E314" s="25" t="str">
        <x:v>接肢兽心</x:v>
      </x:c>
      <x:c r="F314" s="25" t="n">
        <x:v>2</x:v>
      </x:c>
      <x:c r="G314" s="25" t="str">
        <x:v>从C0至当前检查点累计需求；未扣自身未来产出，不代表已有库存</x:v>
      </x:c>
    </x:row>
    <x:row r="315">
      <x:c r="A315" s="25" t="str">
        <x:v>C04-M</x:v>
      </x:c>
      <x:c r="B315" s="25" t="str">
        <x:v>利耶尼亚海域</x:v>
      </x:c>
      <x:c r="C315" s="25" t="str">
        <x:v>半急速中期</x:v>
      </x:c>
      <x:c r="D315" s="25" t="str">
        <x:v>材料</x:v>
      </x:c>
      <x:c r="E315" s="25" t="str">
        <x:v>接肢王印</x:v>
      </x:c>
      <x:c r="F315" s="25" t="n">
        <x:v>13</x:v>
      </x:c>
      <x:c r="G315" s="25" t="str">
        <x:v>从C0至当前检查点累计需求；未扣自身未来产出，不代表已有库存</x:v>
      </x:c>
    </x:row>
    <x:row r="316">
      <x:c r="A316" s="25" t="str">
        <x:v>C04-M</x:v>
      </x:c>
      <x:c r="B316" s="25" t="str">
        <x:v>利耶尼亚海域</x:v>
      </x:c>
      <x:c r="C316" s="25" t="str">
        <x:v>半急速中期</x:v>
      </x:c>
      <x:c r="D316" s="25" t="str">
        <x:v>材料</x:v>
      </x:c>
      <x:c r="E316" s="25" t="str">
        <x:v>接肢王魂</x:v>
      </x:c>
      <x:c r="F316" s="25" t="n">
        <x:v>1</x:v>
      </x:c>
      <x:c r="G316" s="25" t="str">
        <x:v>从C0至当前检查点累计需求；未扣自身未来产出，不代表已有库存</x:v>
      </x:c>
    </x:row>
    <x:row r="317">
      <x:c r="A317" s="25" t="str">
        <x:v>C04-M</x:v>
      </x:c>
      <x:c r="B317" s="25" t="str">
        <x:v>利耶尼亚海域</x:v>
      </x:c>
      <x:c r="C317" s="25" t="str">
        <x:v>半急速中期</x:v>
      </x:c>
      <x:c r="D317" s="25" t="str">
        <x:v>材料</x:v>
      </x:c>
      <x:c r="E317" s="25" t="str">
        <x:v>树卫枪穗</x:v>
      </x:c>
      <x:c r="F317" s="25" t="n">
        <x:v>1</x:v>
      </x:c>
      <x:c r="G317" s="25" t="str">
        <x:v>从C0至当前检查点累计需求；未扣自身未来产出，不代表已有库存</x:v>
      </x:c>
    </x:row>
    <x:row r="318">
      <x:c r="A318" s="25" t="str">
        <x:v>C04-M</x:v>
      </x:c>
      <x:c r="B318" s="25" t="str">
        <x:v>利耶尼亚海域</x:v>
      </x:c>
      <x:c r="C318" s="25" t="str">
        <x:v>半急速中期</x:v>
      </x:c>
      <x:c r="D318" s="25" t="str">
        <x:v>材料</x:v>
      </x:c>
      <x:c r="E318" s="25" t="str">
        <x:v>死亡仪羽</x:v>
      </x:c>
      <x:c r="F318" s="25" t="n">
        <x:v>2</x:v>
      </x:c>
      <x:c r="G318" s="25" t="str">
        <x:v>从C0至当前检查点累计需求；未扣自身未来产出，不代表已有库存</x:v>
      </x:c>
    </x:row>
    <x:row r="319">
      <x:c r="A319" s="25" t="str">
        <x:v>C04-M</x:v>
      </x:c>
      <x:c r="B319" s="25" t="str">
        <x:v>利耶尼亚海域</x:v>
      </x:c>
      <x:c r="C319" s="25" t="str">
        <x:v>半急速中期</x:v>
      </x:c>
      <x:c r="D319" s="25" t="str">
        <x:v>材料</x:v>
      </x:c>
      <x:c r="E319" s="25" t="str">
        <x:v>沉湖王印</x:v>
      </x:c>
      <x:c r="F319" s="25" t="n">
        <x:v>7</x:v>
      </x:c>
      <x:c r="G319" s="25" t="str">
        <x:v>从C0至当前检查点累计需求；未扣自身未来产出，不代表已有库存</x:v>
      </x:c>
    </x:row>
    <x:row r="320">
      <x:c r="A320" s="25" t="str">
        <x:v>C04-M</x:v>
      </x:c>
      <x:c r="B320" s="25" t="str">
        <x:v>利耶尼亚海域</x:v>
      </x:c>
      <x:c r="C320" s="25" t="str">
        <x:v>半急速中期</x:v>
      </x:c>
      <x:c r="D320" s="25" t="str">
        <x:v>材料</x:v>
      </x:c>
      <x:c r="E320" s="25" t="str">
        <x:v>沉船缆扣</x:v>
      </x:c>
      <x:c r="F320" s="25" t="n">
        <x:v>12</x:v>
      </x:c>
      <x:c r="G320" s="25" t="str">
        <x:v>从C0至当前检查点累计需求；未扣自身未来产出，不代表已有库存</x:v>
      </x:c>
    </x:row>
    <x:row r="321">
      <x:c r="A321" s="25" t="str">
        <x:v>C04-M</x:v>
      </x:c>
      <x:c r="B321" s="25" t="str">
        <x:v>利耶尼亚海域</x:v>
      </x:c>
      <x:c r="C321" s="25" t="str">
        <x:v>半急速中期</x:v>
      </x:c>
      <x:c r="D321" s="25" t="str">
        <x:v>材料</x:v>
      </x:c>
      <x:c r="E321" s="25" t="str">
        <x:v>海蚀铁片</x:v>
      </x:c>
      <x:c r="F321" s="25" t="n">
        <x:v>160</x:v>
      </x:c>
      <x:c r="G321" s="25" t="str">
        <x:v>从C0至当前检查点累计需求；未扣自身未来产出，不代表已有库存</x:v>
      </x:c>
    </x:row>
    <x:row r="322">
      <x:c r="A322" s="25" t="str">
        <x:v>C04-M</x:v>
      </x:c>
      <x:c r="B322" s="25" t="str">
        <x:v>利耶尼亚海域</x:v>
      </x:c>
      <x:c r="C322" s="25" t="str">
        <x:v>半急速中期</x:v>
      </x:c>
      <x:c r="D322" s="25" t="str">
        <x:v>材料</x:v>
      </x:c>
      <x:c r="E322" s="25" t="str">
        <x:v>湖盐结晶</x:v>
      </x:c>
      <x:c r="F322" s="25" t="n">
        <x:v>398</x:v>
      </x:c>
      <x:c r="G322" s="25" t="str">
        <x:v>从C0至当前检查点累计需求；未扣自身未来产出，不代表已有库存</x:v>
      </x:c>
    </x:row>
    <x:row r="323">
      <x:c r="A323" s="25" t="str">
        <x:v>C04-M</x:v>
      </x:c>
      <x:c r="B323" s="25" t="str">
        <x:v>利耶尼亚海域</x:v>
      </x:c>
      <x:c r="C323" s="25" t="str">
        <x:v>半急速中期</x:v>
      </x:c>
      <x:c r="D323" s="25" t="str">
        <x:v>材料</x:v>
      </x:c>
      <x:c r="E323" s="25" t="str">
        <x:v>溃烂树核</x:v>
      </x:c>
      <x:c r="F323" s="25" t="n">
        <x:v>1</x:v>
      </x:c>
      <x:c r="G323" s="25" t="str">
        <x:v>从C0至当前检查点累计需求；未扣自身未来产出，不代表已有库存</x:v>
      </x:c>
    </x:row>
    <x:row r="324">
      <x:c r="A324" s="25" t="str">
        <x:v>C04-M</x:v>
      </x:c>
      <x:c r="B324" s="25" t="str">
        <x:v>利耶尼亚海域</x:v>
      </x:c>
      <x:c r="C324" s="25" t="str">
        <x:v>半急速中期</x:v>
      </x:c>
      <x:c r="D324" s="25" t="str">
        <x:v>材料</x:v>
      </x:c>
      <x:c r="E324" s="25" t="str">
        <x:v>漂流大陆印记</x:v>
      </x:c>
      <x:c r="F324" s="25" t="n">
        <x:v>11</x:v>
      </x:c>
      <x:c r="G324" s="25" t="str">
        <x:v>从C0至当前检查点累计需求；未扣自身未来产出，不代表已有库存</x:v>
      </x:c>
    </x:row>
    <x:row r="325">
      <x:c r="A325" s="25" t="str">
        <x:v>C04-M</x:v>
      </x:c>
      <x:c r="B325" s="25" t="str">
        <x:v>利耶尼亚海域</x:v>
      </x:c>
      <x:c r="C325" s="25" t="str">
        <x:v>半急速中期</x:v>
      </x:c>
      <x:c r="D325" s="25" t="str">
        <x:v>材料</x:v>
      </x:c>
      <x:c r="E325" s="25" t="str">
        <x:v>漂流见证·潮</x:v>
      </x:c>
      <x:c r="F325" s="25" t="n">
        <x:v>8</x:v>
      </x:c>
      <x:c r="G325" s="25" t="str">
        <x:v>从C0至当前检查点累计需求；未扣自身未来产出，不代表已有库存</x:v>
      </x:c>
    </x:row>
    <x:row r="326">
      <x:c r="A326" s="25" t="str">
        <x:v>C04-M</x:v>
      </x:c>
      <x:c r="B326" s="25" t="str">
        <x:v>利耶尼亚海域</x:v>
      </x:c>
      <x:c r="C326" s="25" t="str">
        <x:v>半急速中期</x:v>
      </x:c>
      <x:c r="D326" s="25" t="str">
        <x:v>材料</x:v>
      </x:c>
      <x:c r="E326" s="25" t="str">
        <x:v>漂流见证·雷</x:v>
      </x:c>
      <x:c r="F326" s="25" t="n">
        <x:v>8</x:v>
      </x:c>
      <x:c r="G326" s="25" t="str">
        <x:v>从C0至当前检查点累计需求；未扣自身未来产出，不代表已有库存</x:v>
      </x:c>
    </x:row>
    <x:row r="327">
      <x:c r="A327" s="25" t="str">
        <x:v>C04-M</x:v>
      </x:c>
      <x:c r="B327" s="25" t="str">
        <x:v>利耶尼亚海域</x:v>
      </x:c>
      <x:c r="C327" s="25" t="str">
        <x:v>半急速中期</x:v>
      </x:c>
      <x:c r="D327" s="25" t="str">
        <x:v>材料</x:v>
      </x:c>
      <x:c r="E327" s="25" t="str">
        <x:v>潮痕结晶</x:v>
      </x:c>
      <x:c r="F327" s="25" t="n">
        <x:v>16</x:v>
      </x:c>
      <x:c r="G327" s="25" t="str">
        <x:v>从C0至当前检查点累计需求；未扣自身未来产出，不代表已有库存</x:v>
      </x:c>
    </x:row>
    <x:row r="328">
      <x:c r="A328" s="25" t="str">
        <x:v>C04-M</x:v>
      </x:c>
      <x:c r="B328" s="25" t="str">
        <x:v>利耶尼亚海域</x:v>
      </x:c>
      <x:c r="C328" s="25" t="str">
        <x:v>半急速中期</x:v>
      </x:c>
      <x:c r="D328" s="25" t="str">
        <x:v>材料</x:v>
      </x:c>
      <x:c r="E328" s="25" t="str">
        <x:v>熊王心脏</x:v>
      </x:c>
      <x:c r="F328" s="25" t="n">
        <x:v>2</x:v>
      </x:c>
      <x:c r="G328" s="25" t="str">
        <x:v>从C0至当前检查点累计需求；未扣自身未来产出，不代表已有库存</x:v>
      </x:c>
    </x:row>
    <x:row r="329">
      <x:c r="A329" s="25" t="str">
        <x:v>C04-M</x:v>
      </x:c>
      <x:c r="B329" s="25" t="str">
        <x:v>利耶尼亚海域</x:v>
      </x:c>
      <x:c r="C329" s="25" t="str">
        <x:v>半急速中期</x:v>
      </x:c>
      <x:c r="D329" s="25" t="str">
        <x:v>材料</x:v>
      </x:c>
      <x:c r="E329" s="25" t="str">
        <x:v>熔炉角片</x:v>
      </x:c>
      <x:c r="F329" s="25" t="n">
        <x:v>1</x:v>
      </x:c>
      <x:c r="G329" s="25" t="str">
        <x:v>从C0至当前检查点累计需求；未扣自身未来产出，不代表已有库存</x:v>
      </x:c>
    </x:row>
    <x:row r="330">
      <x:c r="A330" s="25" t="str">
        <x:v>C04-M</x:v>
      </x:c>
      <x:c r="B330" s="25" t="str">
        <x:v>利耶尼亚海域</x:v>
      </x:c>
      <x:c r="C330" s="25" t="str">
        <x:v>半急速中期</x:v>
      </x:c>
      <x:c r="D330" s="25" t="str">
        <x:v>材料</x:v>
      </x:c>
      <x:c r="E330" s="25" t="str">
        <x:v>王城军印</x:v>
      </x:c>
      <x:c r="F330" s="25" t="n">
        <x:v>1</x:v>
      </x:c>
      <x:c r="G330" s="25" t="str">
        <x:v>从C0至当前检查点累计需求；未扣自身未来产出，不代表已有库存</x:v>
      </x:c>
    </x:row>
    <x:row r="331">
      <x:c r="A331" s="25" t="str">
        <x:v>C04-M</x:v>
      </x:c>
      <x:c r="B331" s="25" t="str">
        <x:v>利耶尼亚海域</x:v>
      </x:c>
      <x:c r="C331" s="25" t="str">
        <x:v>半急速中期</x:v>
      </x:c>
      <x:c r="D331" s="25" t="str">
        <x:v>材料</x:v>
      </x:c>
      <x:c r="E331" s="25" t="str">
        <x:v>看门犬石心</x:v>
      </x:c>
      <x:c r="F331" s="25" t="n">
        <x:v>2</x:v>
      </x:c>
      <x:c r="G331" s="25" t="str">
        <x:v>从C0至当前检查点累计需求；未扣自身未来产出，不代表已有库存</x:v>
      </x:c>
    </x:row>
    <x:row r="332">
      <x:c r="A332" s="25" t="str">
        <x:v>C04-M</x:v>
      </x:c>
      <x:c r="B332" s="25" t="str">
        <x:v>利耶尼亚海域</x:v>
      </x:c>
      <x:c r="C332" s="25" t="str">
        <x:v>半急速中期</x:v>
      </x:c>
      <x:c r="D332" s="25" t="str">
        <x:v>材料</x:v>
      </x:c>
      <x:c r="E332" s="25" t="str">
        <x:v>神秘符文</x:v>
      </x:c>
      <x:c r="F332" s="25" t="n">
        <x:v>200</x:v>
      </x:c>
      <x:c r="G332" s="25" t="str">
        <x:v>从C0至当前检查点累计需求；未扣自身未来产出，不代表已有库存</x:v>
      </x:c>
    </x:row>
    <x:row r="333">
      <x:c r="A333" s="25" t="str">
        <x:v>C04-M</x:v>
      </x:c>
      <x:c r="B333" s="25" t="str">
        <x:v>利耶尼亚海域</x:v>
      </x:c>
      <x:c r="C333" s="25" t="str">
        <x:v>半急速中期</x:v>
      </x:c>
      <x:c r="D333" s="25" t="str">
        <x:v>材料</x:v>
      </x:c>
      <x:c r="E333" s="25" t="str">
        <x:v>腐根魂结</x:v>
      </x:c>
      <x:c r="F333" s="25" t="n">
        <x:v>2</x:v>
      </x:c>
      <x:c r="G333" s="25" t="str">
        <x:v>从C0至当前检查点累计需求；未扣自身未来产出，不代表已有库存</x:v>
      </x:c>
    </x:row>
    <x:row r="334">
      <x:c r="A334" s="25" t="str">
        <x:v>C04-M</x:v>
      </x:c>
      <x:c r="B334" s="25" t="str">
        <x:v>利耶尼亚海域</x:v>
      </x:c>
      <x:c r="C334" s="25" t="str">
        <x:v>半急速中期</x:v>
      </x:c>
      <x:c r="D334" s="25" t="str">
        <x:v>材料</x:v>
      </x:c>
      <x:c r="E334" s="25" t="str">
        <x:v>裂风崖羽</x:v>
      </x:c>
      <x:c r="F334" s="25" t="n">
        <x:v>80</x:v>
      </x:c>
      <x:c r="G334" s="25" t="str">
        <x:v>从C0至当前检查点累计需求；未扣自身未来产出，不代表已有库存</x:v>
      </x:c>
    </x:row>
    <x:row r="335">
      <x:c r="A335" s="25" t="str">
        <x:v>C04-M</x:v>
      </x:c>
      <x:c r="B335" s="25" t="str">
        <x:v>利耶尼亚海域</x:v>
      </x:c>
      <x:c r="C335" s="25" t="str">
        <x:v>半急速中期</x:v>
      </x:c>
      <x:c r="D335" s="25" t="str">
        <x:v>材料</x:v>
      </x:c>
      <x:c r="E335" s="25" t="str">
        <x:v>西境战旗</x:v>
      </x:c>
      <x:c r="F335" s="25" t="n">
        <x:v>20</x:v>
      </x:c>
      <x:c r="G335" s="25" t="str">
        <x:v>从C0至当前检查点累计需求；未扣自身未来产出，不代表已有库存</x:v>
      </x:c>
    </x:row>
    <x:row r="336">
      <x:c r="A336" s="25" t="str">
        <x:v>C04-M</x:v>
      </x:c>
      <x:c r="B336" s="25" t="str">
        <x:v>利耶尼亚海域</x:v>
      </x:c>
      <x:c r="C336" s="25" t="str">
        <x:v>半急速中期</x:v>
      </x:c>
      <x:c r="D336" s="25" t="str">
        <x:v>材料</x:v>
      </x:c>
      <x:c r="E336" s="25" t="str">
        <x:v>西境战旗印</x:v>
      </x:c>
      <x:c r="F336" s="25" t="n">
        <x:v>13</x:v>
      </x:c>
      <x:c r="G336" s="25" t="str">
        <x:v>从C0至当前检查点累计需求；未扣自身未来产出，不代表已有库存</x:v>
      </x:c>
    </x:row>
    <x:row r="337">
      <x:c r="A337" s="25" t="str">
        <x:v>C04-M</x:v>
      </x:c>
      <x:c r="B337" s="25" t="str">
        <x:v>利耶尼亚海域</x:v>
      </x:c>
      <x:c r="C337" s="25" t="str">
        <x:v>半急速中期</x:v>
      </x:c>
      <x:c r="D337" s="25" t="str">
        <x:v>材料</x:v>
      </x:c>
      <x:c r="E337" s="25" t="str">
        <x:v>西境风痕碑拓</x:v>
      </x:c>
      <x:c r="F337" s="25" t="n">
        <x:v>1</x:v>
      </x:c>
      <x:c r="G337" s="25" t="str">
        <x:v>从C0至当前检查点累计需求；未扣自身未来产出，不代表已有库存</x:v>
      </x:c>
    </x:row>
    <x:row r="338">
      <x:c r="A338" s="25" t="str">
        <x:v>C04-M</x:v>
      </x:c>
      <x:c r="B338" s="25" t="str">
        <x:v>利耶尼亚海域</x:v>
      </x:c>
      <x:c r="C338" s="25" t="str">
        <x:v>半急速中期</x:v>
      </x:c>
      <x:c r="D338" s="25" t="str">
        <x:v>材料</x:v>
      </x:c>
      <x:c r="E338" s="25" t="str">
        <x:v>贵胄断指</x:v>
      </x:c>
      <x:c r="F338" s="25" t="n">
        <x:v>1</x:v>
      </x:c>
      <x:c r="G338" s="25" t="str">
        <x:v>从C0至当前检查点累计需求；未扣自身未来产出，不代表已有库存</x:v>
      </x:c>
    </x:row>
    <x:row r="339">
      <x:c r="A339" s="25" t="str">
        <x:v>C04-M</x:v>
      </x:c>
      <x:c r="B339" s="25" t="str">
        <x:v>利耶尼亚海域</x:v>
      </x:c>
      <x:c r="C339" s="25" t="str">
        <x:v>半急速中期</x:v>
      </x:c>
      <x:c r="D339" s="25" t="str">
        <x:v>材料</x:v>
      </x:c>
      <x:c r="E339" s="25" t="str">
        <x:v>野兽骨片</x:v>
      </x:c>
      <x:c r="F339" s="25" t="n">
        <x:v>6495</x:v>
      </x:c>
      <x:c r="G339" s="25" t="str">
        <x:v>从C0至当前检查点累计需求；未扣自身未来产出，不代表已有库存</x:v>
      </x:c>
    </x:row>
    <x:row r="340">
      <x:c r="A340" s="25" t="str">
        <x:v>C04-M</x:v>
      </x:c>
      <x:c r="B340" s="25" t="str">
        <x:v>利耶尼亚海域</x:v>
      </x:c>
      <x:c r="C340" s="25" t="str">
        <x:v>半急速中期</x:v>
      </x:c>
      <x:c r="D340" s="25" t="str">
        <x:v>材料</x:v>
      </x:c>
      <x:c r="E340" s="25" t="str">
        <x:v>雾潮银鳞</x:v>
      </x:c>
      <x:c r="F340" s="25" t="n">
        <x:v>14</x:v>
      </x:c>
      <x:c r="G340" s="25" t="str">
        <x:v>从C0至当前检查点累计需求；未扣自身未来产出，不代表已有库存</x:v>
      </x:c>
    </x:row>
    <x:row r="341">
      <x:c r="A341" s="25" t="str">
        <x:v>C04-M</x:v>
      </x:c>
      <x:c r="B341" s="25" t="str">
        <x:v>利耶尼亚海域</x:v>
      </x:c>
      <x:c r="C341" s="25" t="str">
        <x:v>半急速中期</x:v>
      </x:c>
      <x:c r="D341" s="25" t="str">
        <x:v>材料</x:v>
      </x:c>
      <x:c r="E341" s="25" t="str">
        <x:v>风暴王核</x:v>
      </x:c>
      <x:c r="F341" s="25" t="n">
        <x:v>1</x:v>
      </x:c>
      <x:c r="G341" s="25" t="str">
        <x:v>从C0至当前检查点累计需求；未扣自身未来产出，不代表已有库存</x:v>
      </x:c>
    </x:row>
    <x:row r="342">
      <x:c r="A342" s="25" t="str">
        <x:v>C04-M</x:v>
      </x:c>
      <x:c r="B342" s="25" t="str">
        <x:v>利耶尼亚海域</x:v>
      </x:c>
      <x:c r="C342" s="25" t="str">
        <x:v>半急速中期</x:v>
      </x:c>
      <x:c r="D342" s="25" t="str">
        <x:v>材料</x:v>
      </x:c>
      <x:c r="E342" s="25" t="str">
        <x:v>风暴石片</x:v>
      </x:c>
      <x:c r="F342" s="25" t="n">
        <x:v>370</x:v>
      </x:c>
      <x:c r="G342" s="25" t="str">
        <x:v>从C0至当前检查点累计需求；未扣自身未来产出，不代表已有库存</x:v>
      </x:c>
    </x:row>
    <x:row r="343">
      <x:c r="A343" s="25" t="str">
        <x:v>C04-M</x:v>
      </x:c>
      <x:c r="B343" s="25" t="str">
        <x:v>利耶尼亚海域</x:v>
      </x:c>
      <x:c r="C343" s="25" t="str">
        <x:v>半急速中期</x:v>
      </x:c>
      <x:c r="D343" s="25" t="str">
        <x:v>材料</x:v>
      </x:c>
      <x:c r="E343" s="25" t="str">
        <x:v>风蚀铁片</x:v>
      </x:c>
      <x:c r="F343" s="25" t="n">
        <x:v>710</x:v>
      </x:c>
      <x:c r="G343" s="25" t="str">
        <x:v>从C0至当前检查点累计需求；未扣自身未来产出，不代表已有库存</x:v>
      </x:c>
    </x:row>
    <x:row r="344">
      <x:c r="A344" s="25" t="str">
        <x:v>C04-M</x:v>
      </x:c>
      <x:c r="B344" s="25" t="str">
        <x:v>利耶尼亚海域</x:v>
      </x:c>
      <x:c r="C344" s="25" t="str">
        <x:v>半急速中期</x:v>
      </x:c>
      <x:c r="D344" s="25" t="str">
        <x:v>材料</x:v>
      </x:c>
      <x:c r="E344" s="25" t="str">
        <x:v>黄金树碎核</x:v>
      </x:c>
      <x:c r="F344" s="25" t="n">
        <x:v>2</x:v>
      </x:c>
      <x:c r="G344" s="25" t="str">
        <x:v>从C0至当前检查点累计需求；未扣自身未来产出，不代表已有库存</x:v>
      </x:c>
    </x:row>
    <x:row r="345">
      <x:c r="A345" s="25" t="str">
        <x:v>C04-M</x:v>
      </x:c>
      <x:c r="B345" s="25" t="str">
        <x:v>利耶尼亚海域</x:v>
      </x:c>
      <x:c r="C345" s="25" t="str">
        <x:v>半急速中期</x:v>
      </x:c>
      <x:c r="D345" s="25" t="str">
        <x:v>材料</x:v>
      </x:c>
      <x:c r="E345" s="25" t="str">
        <x:v>黄金树芽</x:v>
      </x:c>
      <x:c r="F345" s="25" t="n">
        <x:v>297</x:v>
      </x:c>
      <x:c r="G345" s="25" t="str">
        <x:v>从C0至当前检查点累计需求；未扣自身未来产出，不代表已有库存</x:v>
      </x:c>
    </x:row>
    <x:row r="346">
      <x:c r="A346" s="25" t="str">
        <x:v>C04-M</x:v>
      </x:c>
      <x:c r="B346" s="25" t="str">
        <x:v>利耶尼亚海域</x:v>
      </x:c>
      <x:c r="C346" s="25" t="str">
        <x:v>半急速中期</x:v>
      </x:c>
      <x:c r="D346" s="25" t="str">
        <x:v>材料</x:v>
      </x:c>
      <x:c r="E346" s="25" t="str">
        <x:v>黄金骑徽</x:v>
      </x:c>
      <x:c r="F346" s="25" t="n">
        <x:v>2</x:v>
      </x:c>
      <x:c r="G346" s="25" t="str">
        <x:v>从C0至当前检查点累计需求；未扣自身未来产出，不代表已有库存</x:v>
      </x:c>
    </x:row>
    <x:row r="347">
      <x:c r="A347" s="25" t="str">
        <x:v>C04-M</x:v>
      </x:c>
      <x:c r="B347" s="25" t="str">
        <x:v>利耶尼亚海域</x:v>
      </x:c>
      <x:c r="C347" s="25" t="str">
        <x:v>半急速中期</x:v>
      </x:c>
      <x:c r="D347" s="25" t="str">
        <x:v>装备实物</x:v>
      </x:c>
      <x:c r="E347" s="25" t="str">
        <x:v>共201个精确名称（明细见JSON）</x:v>
      </x:c>
      <x:c r="F347" s="25" t="n">
        <x:v>268</x:v>
      </x:c>
      <x:c r="G347" s="25" t="str">
        <x:v>含穿戴、重复试洗、图鉴登记与合成前置；完整数据未省略</x:v>
      </x:c>
    </x:row>
    <x:row r="348">
      <x:c r="A348" s="25" t="str">
        <x:v>C04-G</x:v>
      </x:c>
      <x:c r="B348" s="25" t="str">
        <x:v>利耶尼亚海域</x:v>
      </x:c>
      <x:c r="C348" s="25" t="str">
        <x:v>半急速毕业</x:v>
      </x:c>
      <x:c r="D348" s="25" t="str">
        <x:v>材料</x:v>
      </x:c>
      <x:c r="E348" s="25" t="str">
        <x:v>兽将脊骨</x:v>
      </x:c>
      <x:c r="F348" s="25" t="n">
        <x:v>1</x:v>
      </x:c>
      <x:c r="G348" s="25" t="str">
        <x:v>从C0至当前检查点累计需求；未扣自身未来产出，不代表已有库存</x:v>
      </x:c>
    </x:row>
    <x:row r="349">
      <x:c r="A349" s="25" t="str">
        <x:v>C04-G</x:v>
      </x:c>
      <x:c r="B349" s="25" t="str">
        <x:v>利耶尼亚海域</x:v>
      </x:c>
      <x:c r="C349" s="25" t="str">
        <x:v>半急速毕业</x:v>
      </x:c>
      <x:c r="D349" s="25" t="str">
        <x:v>材料</x:v>
      </x:c>
      <x:c r="E349" s="25" t="str">
        <x:v>哨垒旗冠</x:v>
      </x:c>
      <x:c r="F349" s="25" t="n">
        <x:v>3</x:v>
      </x:c>
      <x:c r="G349" s="25" t="str">
        <x:v>从C0至当前检查点累计需求；未扣自身未来产出，不代表已有库存</x:v>
      </x:c>
    </x:row>
    <x:row r="350">
      <x:c r="A350" s="25" t="str">
        <x:v>C04-G</x:v>
      </x:c>
      <x:c r="B350" s="25" t="str">
        <x:v>利耶尼亚海域</x:v>
      </x:c>
      <x:c r="C350" s="25" t="str">
        <x:v>半急速毕业</x:v>
      </x:c>
      <x:c r="D350" s="25" t="str">
        <x:v>材料</x:v>
      </x:c>
      <x:c r="E350" s="25" t="str">
        <x:v>唤船骨铃</x:v>
      </x:c>
      <x:c r="F350" s="25" t="n">
        <x:v>1</x:v>
      </x:c>
      <x:c r="G350" s="25" t="str">
        <x:v>从C0至当前检查点累计需求；未扣自身未来产出，不代表已有库存</x:v>
      </x:c>
    </x:row>
    <x:row r="351">
      <x:c r="A351" s="25" t="str">
        <x:v>C04-G</x:v>
      </x:c>
      <x:c r="B351" s="25" t="str">
        <x:v>利耶尼亚海域</x:v>
      </x:c>
      <x:c r="C351" s="25" t="str">
        <x:v>半急速毕业</x:v>
      </x:c>
      <x:c r="D351" s="25" t="str">
        <x:v>材料</x:v>
      </x:c>
      <x:c r="E351" s="25" t="str">
        <x:v>商队火漆</x:v>
      </x:c>
      <x:c r="F351" s="25" t="n">
        <x:v>20</x:v>
      </x:c>
      <x:c r="G351" s="25" t="str">
        <x:v>从C0至当前检查点累计需求；未扣自身未来产出，不代表已有库存</x:v>
      </x:c>
    </x:row>
    <x:row r="352">
      <x:c r="A352" s="25" t="str">
        <x:v>C04-G</x:v>
      </x:c>
      <x:c r="B352" s="25" t="str">
        <x:v>利耶尼亚海域</x:v>
      </x:c>
      <x:c r="C352" s="25" t="str">
        <x:v>半急速毕业</x:v>
      </x:c>
      <x:c r="D352" s="25" t="str">
        <x:v>材料</x:v>
      </x:c>
      <x:c r="E352" s="25" t="str">
        <x:v>夜骑黑印</x:v>
      </x:c>
      <x:c r="F352" s="25" t="n">
        <x:v>1</x:v>
      </x:c>
      <x:c r="G352" s="25" t="str">
        <x:v>从C0至当前检查点累计需求；未扣自身未来产出，不代表已有库存</x:v>
      </x:c>
    </x:row>
    <x:row r="353">
      <x:c r="A353" s="25" t="str">
        <x:v>C04-G</x:v>
      </x:c>
      <x:c r="B353" s="25" t="str">
        <x:v>利耶尼亚海域</x:v>
      </x:c>
      <x:c r="C353" s="25" t="str">
        <x:v>半急速毕业</x:v>
      </x:c>
      <x:c r="D353" s="25" t="str">
        <x:v>材料</x:v>
      </x:c>
      <x:c r="E353" s="25" t="str">
        <x:v>失乡军令</x:v>
      </x:c>
      <x:c r="F353" s="25" t="n">
        <x:v>2</x:v>
      </x:c>
      <x:c r="G353" s="25" t="str">
        <x:v>从C0至当前检查点累计需求；未扣自身未来产出，不代表已有库存</x:v>
      </x:c>
    </x:row>
    <x:row r="354">
      <x:c r="A354" s="25" t="str">
        <x:v>C04-G</x:v>
      </x:c>
      <x:c r="B354" s="25" t="str">
        <x:v>利耶尼亚海域</x:v>
      </x:c>
      <x:c r="C354" s="25" t="str">
        <x:v>半急速毕业</x:v>
      </x:c>
      <x:c r="D354" s="25" t="str">
        <x:v>材料</x:v>
      </x:c>
      <x:c r="E354" s="25" t="str">
        <x:v>失乡统帅徽</x:v>
      </x:c>
      <x:c r="F354" s="25" t="n">
        <x:v>2</x:v>
      </x:c>
      <x:c r="G354" s="25" t="str">
        <x:v>从C0至当前检查点累计需求；未扣自身未来产出，不代表已有库存</x:v>
      </x:c>
    </x:row>
    <x:row r="355">
      <x:c r="A355" s="25" t="str">
        <x:v>C04-G</x:v>
      </x:c>
      <x:c r="B355" s="25" t="str">
        <x:v>利耶尼亚海域</x:v>
      </x:c>
      <x:c r="C355" s="25" t="str">
        <x:v>半急速毕业</x:v>
      </x:c>
      <x:c r="D355" s="25" t="str">
        <x:v>材料</x:v>
      </x:c>
      <x:c r="E355" s="25" t="str">
        <x:v>失色锻造石</x:v>
      </x:c>
      <x:c r="F355" s="25" t="n">
        <x:v>7180</x:v>
      </x:c>
      <x:c r="G355" s="25" t="str">
        <x:v>从C0至当前检查点累计需求；未扣自身未来产出，不代表已有库存</x:v>
      </x:c>
    </x:row>
    <x:row r="356">
      <x:c r="A356" s="25" t="str">
        <x:v>C04-G</x:v>
      </x:c>
      <x:c r="B356" s="25" t="str">
        <x:v>利耶尼亚海域</x:v>
      </x:c>
      <x:c r="C356" s="25" t="str">
        <x:v>半急速毕业</x:v>
      </x:c>
      <x:c r="D356" s="25" t="str">
        <x:v>材料</x:v>
      </x:c>
      <x:c r="E356" s="25" t="str">
        <x:v>宁姆格福誓页</x:v>
      </x:c>
      <x:c r="F356" s="25" t="n">
        <x:v>90</x:v>
      </x:c>
      <x:c r="G356" s="25" t="str">
        <x:v>从C0至当前检查点累计需求；未扣自身未来产出，不代表已有库存</x:v>
      </x:c>
    </x:row>
    <x:row r="357">
      <x:c r="A357" s="25" t="str">
        <x:v>C04-G</x:v>
      </x:c>
      <x:c r="B357" s="25" t="str">
        <x:v>利耶尼亚海域</x:v>
      </x:c>
      <x:c r="C357" s="25" t="str">
        <x:v>半急速毕业</x:v>
      </x:c>
      <x:c r="D357" s="25" t="str">
        <x:v>材料</x:v>
      </x:c>
      <x:c r="E357" s="25" t="str">
        <x:v>小卢恩</x:v>
      </x:c>
      <x:c r="F357" s="25" t="n">
        <x:v>250</x:v>
      </x:c>
      <x:c r="G357" s="25" t="str">
        <x:v>从C0至当前检查点累计需求；未扣自身未来产出，不代表已有库存</x:v>
      </x:c>
    </x:row>
    <x:row r="358">
      <x:c r="A358" s="25" t="str">
        <x:v>C04-G</x:v>
      </x:c>
      <x:c r="B358" s="25" t="str">
        <x:v>利耶尼亚海域</x:v>
      </x:c>
      <x:c r="C358" s="25" t="str">
        <x:v>半急速毕业</x:v>
      </x:c>
      <x:c r="D358" s="25" t="str">
        <x:v>材料</x:v>
      </x:c>
      <x:c r="E358" s="25" t="str">
        <x:v>山妖王角</x:v>
      </x:c>
      <x:c r="F358" s="25" t="n">
        <x:v>2</x:v>
      </x:c>
      <x:c r="G358" s="25" t="str">
        <x:v>从C0至当前检查点累计需求；未扣自身未来产出，不代表已有库存</x:v>
      </x:c>
    </x:row>
    <x:row r="359">
      <x:c r="A359" s="25" t="str">
        <x:v>C04-G</x:v>
      </x:c>
      <x:c r="B359" s="25" t="str">
        <x:v>利耶尼亚海域</x:v>
      </x:c>
      <x:c r="C359" s="25" t="str">
        <x:v>半急速毕业</x:v>
      </x:c>
      <x:c r="D359" s="25" t="str">
        <x:v>材料</x:v>
      </x:c>
      <x:c r="E359" s="25" t="str">
        <x:v>幽船铆钉</x:v>
      </x:c>
      <x:c r="F359" s="25" t="n">
        <x:v>21</x:v>
      </x:c>
      <x:c r="G359" s="25" t="str">
        <x:v>从C0至当前检查点累计需求；未扣自身未来产出，不代表已有库存</x:v>
      </x:c>
    </x:row>
    <x:row r="360">
      <x:c r="A360" s="25" t="str">
        <x:v>C04-G</x:v>
      </x:c>
      <x:c r="B360" s="25" t="str">
        <x:v>利耶尼亚海域</x:v>
      </x:c>
      <x:c r="C360" s="25" t="str">
        <x:v>半急速毕业</x:v>
      </x:c>
      <x:c r="D360" s="25" t="str">
        <x:v>材料</x:v>
      </x:c>
      <x:c r="E360" s="25" t="str">
        <x:v>恶兆残角</x:v>
      </x:c>
      <x:c r="F360" s="25" t="n">
        <x:v>1</x:v>
      </x:c>
      <x:c r="G360" s="25" t="str">
        <x:v>从C0至当前检查点累计需求；未扣自身未来产出，不代表已有库存</x:v>
      </x:c>
    </x:row>
    <x:row r="361">
      <x:c r="A361" s="25" t="str">
        <x:v>C04-G</x:v>
      </x:c>
      <x:c r="B361" s="25" t="str">
        <x:v>利耶尼亚海域</x:v>
      </x:c>
      <x:c r="C361" s="25" t="str">
        <x:v>半急速毕业</x:v>
      </x:c>
      <x:c r="D361" s="25" t="str">
        <x:v>材料</x:v>
      </x:c>
      <x:c r="E361" s="25" t="str">
        <x:v>技能残页</x:v>
      </x:c>
      <x:c r="F361" s="25" t="n">
        <x:v>1350</x:v>
      </x:c>
      <x:c r="G361" s="25" t="str">
        <x:v>从C0至当前检查点累计需求；未扣自身未来产出，不代表已有库存</x:v>
      </x:c>
    </x:row>
    <x:row r="362">
      <x:c r="A362" s="25" t="str">
        <x:v>C04-G</x:v>
      </x:c>
      <x:c r="B362" s="25" t="str">
        <x:v>利耶尼亚海域</x:v>
      </x:c>
      <x:c r="C362" s="25" t="str">
        <x:v>半急速毕业</x:v>
      </x:c>
      <x:c r="D362" s="25" t="str">
        <x:v>材料</x:v>
      </x:c>
      <x:c r="E362" s="25" t="str">
        <x:v>接肢兽心</x:v>
      </x:c>
      <x:c r="F362" s="25" t="n">
        <x:v>2</x:v>
      </x:c>
      <x:c r="G362" s="25" t="str">
        <x:v>从C0至当前检查点累计需求；未扣自身未来产出，不代表已有库存</x:v>
      </x:c>
    </x:row>
    <x:row r="363">
      <x:c r="A363" s="25" t="str">
        <x:v>C04-G</x:v>
      </x:c>
      <x:c r="B363" s="25" t="str">
        <x:v>利耶尼亚海域</x:v>
      </x:c>
      <x:c r="C363" s="25" t="str">
        <x:v>半急速毕业</x:v>
      </x:c>
      <x:c r="D363" s="25" t="str">
        <x:v>材料</x:v>
      </x:c>
      <x:c r="E363" s="25" t="str">
        <x:v>接肢王印</x:v>
      </x:c>
      <x:c r="F363" s="25" t="n">
        <x:v>13</x:v>
      </x:c>
      <x:c r="G363" s="25" t="str">
        <x:v>从C0至当前检查点累计需求；未扣自身未来产出，不代表已有库存</x:v>
      </x:c>
    </x:row>
    <x:row r="364">
      <x:c r="A364" s="25" t="str">
        <x:v>C04-G</x:v>
      </x:c>
      <x:c r="B364" s="25" t="str">
        <x:v>利耶尼亚海域</x:v>
      </x:c>
      <x:c r="C364" s="25" t="str">
        <x:v>半急速毕业</x:v>
      </x:c>
      <x:c r="D364" s="25" t="str">
        <x:v>材料</x:v>
      </x:c>
      <x:c r="E364" s="25" t="str">
        <x:v>接肢王魂</x:v>
      </x:c>
      <x:c r="F364" s="25" t="n">
        <x:v>1</x:v>
      </x:c>
      <x:c r="G364" s="25" t="str">
        <x:v>从C0至当前检查点累计需求；未扣自身未来产出，不代表已有库存</x:v>
      </x:c>
    </x:row>
    <x:row r="365">
      <x:c r="A365" s="25" t="str">
        <x:v>C04-G</x:v>
      </x:c>
      <x:c r="B365" s="25" t="str">
        <x:v>利耶尼亚海域</x:v>
      </x:c>
      <x:c r="C365" s="25" t="str">
        <x:v>半急速毕业</x:v>
      </x:c>
      <x:c r="D365" s="25" t="str">
        <x:v>材料</x:v>
      </x:c>
      <x:c r="E365" s="25" t="str">
        <x:v>树卫枪穗</x:v>
      </x:c>
      <x:c r="F365" s="25" t="n">
        <x:v>1</x:v>
      </x:c>
      <x:c r="G365" s="25" t="str">
        <x:v>从C0至当前检查点累计需求；未扣自身未来产出，不代表已有库存</x:v>
      </x:c>
    </x:row>
    <x:row r="366">
      <x:c r="A366" s="25" t="str">
        <x:v>C04-G</x:v>
      </x:c>
      <x:c r="B366" s="25" t="str">
        <x:v>利耶尼亚海域</x:v>
      </x:c>
      <x:c r="C366" s="25" t="str">
        <x:v>半急速毕业</x:v>
      </x:c>
      <x:c r="D366" s="25" t="str">
        <x:v>材料</x:v>
      </x:c>
      <x:c r="E366" s="25" t="str">
        <x:v>死亡仪羽</x:v>
      </x:c>
      <x:c r="F366" s="25" t="n">
        <x:v>2</x:v>
      </x:c>
      <x:c r="G366" s="25" t="str">
        <x:v>从C0至当前检查点累计需求；未扣自身未来产出，不代表已有库存</x:v>
      </x:c>
    </x:row>
    <x:row r="367">
      <x:c r="A367" s="25" t="str">
        <x:v>C04-G</x:v>
      </x:c>
      <x:c r="B367" s="25" t="str">
        <x:v>利耶尼亚海域</x:v>
      </x:c>
      <x:c r="C367" s="25" t="str">
        <x:v>半急速毕业</x:v>
      </x:c>
      <x:c r="D367" s="25" t="str">
        <x:v>材料</x:v>
      </x:c>
      <x:c r="E367" s="25" t="str">
        <x:v>沉湖王印</x:v>
      </x:c>
      <x:c r="F367" s="25" t="n">
        <x:v>16</x:v>
      </x:c>
      <x:c r="G367" s="25" t="str">
        <x:v>从C0至当前检查点累计需求；未扣自身未来产出，不代表已有库存</x:v>
      </x:c>
    </x:row>
    <x:row r="368">
      <x:c r="A368" s="25" t="str">
        <x:v>C04-G</x:v>
      </x:c>
      <x:c r="B368" s="25" t="str">
        <x:v>利耶尼亚海域</x:v>
      </x:c>
      <x:c r="C368" s="25" t="str">
        <x:v>半急速毕业</x:v>
      </x:c>
      <x:c r="D368" s="25" t="str">
        <x:v>材料</x:v>
      </x:c>
      <x:c r="E368" s="25" t="str">
        <x:v>沉船缆扣</x:v>
      </x:c>
      <x:c r="F368" s="25" t="n">
        <x:v>12</x:v>
      </x:c>
      <x:c r="G368" s="25" t="str">
        <x:v>从C0至当前检查点累计需求；未扣自身未来产出，不代表已有库存</x:v>
      </x:c>
    </x:row>
    <x:row r="369">
      <x:c r="A369" s="25" t="str">
        <x:v>C04-G</x:v>
      </x:c>
      <x:c r="B369" s="25" t="str">
        <x:v>利耶尼亚海域</x:v>
      </x:c>
      <x:c r="C369" s="25" t="str">
        <x:v>半急速毕业</x:v>
      </x:c>
      <x:c r="D369" s="25" t="str">
        <x:v>材料</x:v>
      </x:c>
      <x:c r="E369" s="25" t="str">
        <x:v>海蚀铁片</x:v>
      </x:c>
      <x:c r="F369" s="25" t="n">
        <x:v>160</x:v>
      </x:c>
      <x:c r="G369" s="25" t="str">
        <x:v>从C0至当前检查点累计需求；未扣自身未来产出，不代表已有库存</x:v>
      </x:c>
    </x:row>
    <x:row r="370">
      <x:c r="A370" s="25" t="str">
        <x:v>C04-G</x:v>
      </x:c>
      <x:c r="B370" s="25" t="str">
        <x:v>利耶尼亚海域</x:v>
      </x:c>
      <x:c r="C370" s="25" t="str">
        <x:v>半急速毕业</x:v>
      </x:c>
      <x:c r="D370" s="25" t="str">
        <x:v>材料</x:v>
      </x:c>
      <x:c r="E370" s="25" t="str">
        <x:v>湖底封门珠</x:v>
      </x:c>
      <x:c r="F370" s="25" t="n">
        <x:v>4</x:v>
      </x:c>
      <x:c r="G370" s="25" t="str">
        <x:v>从C0至当前检查点累计需求；未扣自身未来产出，不代表已有库存</x:v>
      </x:c>
    </x:row>
    <x:row r="371">
      <x:c r="A371" s="25" t="str">
        <x:v>C04-G</x:v>
      </x:c>
      <x:c r="B371" s="25" t="str">
        <x:v>利耶尼亚海域</x:v>
      </x:c>
      <x:c r="C371" s="25" t="str">
        <x:v>半急速毕业</x:v>
      </x:c>
      <x:c r="D371" s="25" t="str">
        <x:v>材料</x:v>
      </x:c>
      <x:c r="E371" s="25" t="str">
        <x:v>湖盐结晶</x:v>
      </x:c>
      <x:c r="F371" s="25" t="n">
        <x:v>1167</x:v>
      </x:c>
      <x:c r="G371" s="25" t="str">
        <x:v>从C0至当前检查点累计需求；未扣自身未来产出，不代表已有库存</x:v>
      </x:c>
    </x:row>
    <x:row r="372">
      <x:c r="A372" s="25" t="str">
        <x:v>C04-G</x:v>
      </x:c>
      <x:c r="B372" s="25" t="str">
        <x:v>利耶尼亚海域</x:v>
      </x:c>
      <x:c r="C372" s="25" t="str">
        <x:v>半急速毕业</x:v>
      </x:c>
      <x:c r="D372" s="25" t="str">
        <x:v>材料</x:v>
      </x:c>
      <x:c r="E372" s="25" t="str">
        <x:v>溃烂树核</x:v>
      </x:c>
      <x:c r="F372" s="25" t="n">
        <x:v>1</x:v>
      </x:c>
      <x:c r="G372" s="25" t="str">
        <x:v>从C0至当前检查点累计需求；未扣自身未来产出，不代表已有库存</x:v>
      </x:c>
    </x:row>
    <x:row r="373">
      <x:c r="A373" s="25" t="str">
        <x:v>C04-G</x:v>
      </x:c>
      <x:c r="B373" s="25" t="str">
        <x:v>利耶尼亚海域</x:v>
      </x:c>
      <x:c r="C373" s="25" t="str">
        <x:v>半急速毕业</x:v>
      </x:c>
      <x:c r="D373" s="25" t="str">
        <x:v>材料</x:v>
      </x:c>
      <x:c r="E373" s="25" t="str">
        <x:v>漂流大陆印记</x:v>
      </x:c>
      <x:c r="F373" s="25" t="n">
        <x:v>11</x:v>
      </x:c>
      <x:c r="G373" s="25" t="str">
        <x:v>从C0至当前检查点累计需求；未扣自身未来产出，不代表已有库存</x:v>
      </x:c>
    </x:row>
    <x:row r="374">
      <x:c r="A374" s="25" t="str">
        <x:v>C04-G</x:v>
      </x:c>
      <x:c r="B374" s="25" t="str">
        <x:v>利耶尼亚海域</x:v>
      </x:c>
      <x:c r="C374" s="25" t="str">
        <x:v>半急速毕业</x:v>
      </x:c>
      <x:c r="D374" s="25" t="str">
        <x:v>材料</x:v>
      </x:c>
      <x:c r="E374" s="25" t="str">
        <x:v>漂流见证·潮</x:v>
      </x:c>
      <x:c r="F374" s="25" t="n">
        <x:v>8</x:v>
      </x:c>
      <x:c r="G374" s="25" t="str">
        <x:v>从C0至当前检查点累计需求；未扣自身未来产出，不代表已有库存</x:v>
      </x:c>
    </x:row>
    <x:row r="375">
      <x:c r="A375" s="25" t="str">
        <x:v>C04-G</x:v>
      </x:c>
      <x:c r="B375" s="25" t="str">
        <x:v>利耶尼亚海域</x:v>
      </x:c>
      <x:c r="C375" s="25" t="str">
        <x:v>半急速毕业</x:v>
      </x:c>
      <x:c r="D375" s="25" t="str">
        <x:v>材料</x:v>
      </x:c>
      <x:c r="E375" s="25" t="str">
        <x:v>漂流见证·雷</x:v>
      </x:c>
      <x:c r="F375" s="25" t="n">
        <x:v>8</x:v>
      </x:c>
      <x:c r="G375" s="25" t="str">
        <x:v>从C0至当前检查点累计需求；未扣自身未来产出，不代表已有库存</x:v>
      </x:c>
    </x:row>
    <x:row r="376">
      <x:c r="A376" s="25" t="str">
        <x:v>C04-G</x:v>
      </x:c>
      <x:c r="B376" s="25" t="str">
        <x:v>利耶尼亚海域</x:v>
      </x:c>
      <x:c r="C376" s="25" t="str">
        <x:v>半急速毕业</x:v>
      </x:c>
      <x:c r="D376" s="25" t="str">
        <x:v>材料</x:v>
      </x:c>
      <x:c r="E376" s="25" t="str">
        <x:v>潮痕结晶</x:v>
      </x:c>
      <x:c r="F376" s="25" t="n">
        <x:v>16</x:v>
      </x:c>
      <x:c r="G376" s="25" t="str">
        <x:v>从C0至当前检查点累计需求；未扣自身未来产出，不代表已有库存</x:v>
      </x:c>
    </x:row>
    <x:row r="377">
      <x:c r="A377" s="25" t="str">
        <x:v>C04-G</x:v>
      </x:c>
      <x:c r="B377" s="25" t="str">
        <x:v>利耶尼亚海域</x:v>
      </x:c>
      <x:c r="C377" s="25" t="str">
        <x:v>半急速毕业</x:v>
      </x:c>
      <x:c r="D377" s="25" t="str">
        <x:v>材料</x:v>
      </x:c>
      <x:c r="E377" s="25" t="str">
        <x:v>熊王心脏</x:v>
      </x:c>
      <x:c r="F377" s="25" t="n">
        <x:v>2</x:v>
      </x:c>
      <x:c r="G377" s="25" t="str">
        <x:v>从C0至当前检查点累计需求；未扣自身未来产出，不代表已有库存</x:v>
      </x:c>
    </x:row>
    <x:row r="378">
      <x:c r="A378" s="25" t="str">
        <x:v>C04-G</x:v>
      </x:c>
      <x:c r="B378" s="25" t="str">
        <x:v>利耶尼亚海域</x:v>
      </x:c>
      <x:c r="C378" s="25" t="str">
        <x:v>半急速毕业</x:v>
      </x:c>
      <x:c r="D378" s="25" t="str">
        <x:v>材料</x:v>
      </x:c>
      <x:c r="E378" s="25" t="str">
        <x:v>熔炉角片</x:v>
      </x:c>
      <x:c r="F378" s="25" t="n">
        <x:v>1</x:v>
      </x:c>
      <x:c r="G378" s="25" t="str">
        <x:v>从C0至当前检查点累计需求；未扣自身未来产出，不代表已有库存</x:v>
      </x:c>
    </x:row>
    <x:row r="379">
      <x:c r="A379" s="25" t="str">
        <x:v>C04-G</x:v>
      </x:c>
      <x:c r="B379" s="25" t="str">
        <x:v>利耶尼亚海域</x:v>
      </x:c>
      <x:c r="C379" s="25" t="str">
        <x:v>半急速毕业</x:v>
      </x:c>
      <x:c r="D379" s="25" t="str">
        <x:v>材料</x:v>
      </x:c>
      <x:c r="E379" s="25" t="str">
        <x:v>王城军印</x:v>
      </x:c>
      <x:c r="F379" s="25" t="n">
        <x:v>1</x:v>
      </x:c>
      <x:c r="G379" s="25" t="str">
        <x:v>从C0至当前检查点累计需求；未扣自身未来产出，不代表已有库存</x:v>
      </x:c>
    </x:row>
    <x:row r="380">
      <x:c r="A380" s="25" t="str">
        <x:v>C04-G</x:v>
      </x:c>
      <x:c r="B380" s="25" t="str">
        <x:v>利耶尼亚海域</x:v>
      </x:c>
      <x:c r="C380" s="25" t="str">
        <x:v>半急速毕业</x:v>
      </x:c>
      <x:c r="D380" s="25" t="str">
        <x:v>材料</x:v>
      </x:c>
      <x:c r="E380" s="25" t="str">
        <x:v>看门犬石心</x:v>
      </x:c>
      <x:c r="F380" s="25" t="n">
        <x:v>2</x:v>
      </x:c>
      <x:c r="G380" s="25" t="str">
        <x:v>从C0至当前检查点累计需求；未扣自身未来产出，不代表已有库存</x:v>
      </x:c>
    </x:row>
    <x:row r="381">
      <x:c r="A381" s="25" t="str">
        <x:v>C04-G</x:v>
      </x:c>
      <x:c r="B381" s="25" t="str">
        <x:v>利耶尼亚海域</x:v>
      </x:c>
      <x:c r="C381" s="25" t="str">
        <x:v>半急速毕业</x:v>
      </x:c>
      <x:c r="D381" s="25" t="str">
        <x:v>材料</x:v>
      </x:c>
      <x:c r="E381" s="25" t="str">
        <x:v>神秘符文</x:v>
      </x:c>
      <x:c r="F381" s="25" t="n">
        <x:v>200</x:v>
      </x:c>
      <x:c r="G381" s="25" t="str">
        <x:v>从C0至当前检查点累计需求；未扣自身未来产出，不代表已有库存</x:v>
      </x:c>
    </x:row>
    <x:row r="382">
      <x:c r="A382" s="25" t="str">
        <x:v>C04-G</x:v>
      </x:c>
      <x:c r="B382" s="25" t="str">
        <x:v>利耶尼亚海域</x:v>
      </x:c>
      <x:c r="C382" s="25" t="str">
        <x:v>半急速毕业</x:v>
      </x:c>
      <x:c r="D382" s="25" t="str">
        <x:v>材料</x:v>
      </x:c>
      <x:c r="E382" s="25" t="str">
        <x:v>腐根魂结</x:v>
      </x:c>
      <x:c r="F382" s="25" t="n">
        <x:v>2</x:v>
      </x:c>
      <x:c r="G382" s="25" t="str">
        <x:v>从C0至当前检查点累计需求；未扣自身未来产出，不代表已有库存</x:v>
      </x:c>
    </x:row>
    <x:row r="383">
      <x:c r="A383" s="25" t="str">
        <x:v>C04-G</x:v>
      </x:c>
      <x:c r="B383" s="25" t="str">
        <x:v>利耶尼亚海域</x:v>
      </x:c>
      <x:c r="C383" s="25" t="str">
        <x:v>半急速毕业</x:v>
      </x:c>
      <x:c r="D383" s="25" t="str">
        <x:v>材料</x:v>
      </x:c>
      <x:c r="E383" s="25" t="str">
        <x:v>裂风崖羽</x:v>
      </x:c>
      <x:c r="F383" s="25" t="n">
        <x:v>80</x:v>
      </x:c>
      <x:c r="G383" s="25" t="str">
        <x:v>从C0至当前检查点累计需求；未扣自身未来产出，不代表已有库存</x:v>
      </x:c>
    </x:row>
    <x:row r="384">
      <x:c r="A384" s="25" t="str">
        <x:v>C04-G</x:v>
      </x:c>
      <x:c r="B384" s="25" t="str">
        <x:v>利耶尼亚海域</x:v>
      </x:c>
      <x:c r="C384" s="25" t="str">
        <x:v>半急速毕业</x:v>
      </x:c>
      <x:c r="D384" s="25" t="str">
        <x:v>材料</x:v>
      </x:c>
      <x:c r="E384" s="25" t="str">
        <x:v>西境战旗</x:v>
      </x:c>
      <x:c r="F384" s="25" t="n">
        <x:v>20</x:v>
      </x:c>
      <x:c r="G384" s="25" t="str">
        <x:v>从C0至当前检查点累计需求；未扣自身未来产出，不代表已有库存</x:v>
      </x:c>
    </x:row>
    <x:row r="385">
      <x:c r="A385" s="25" t="str">
        <x:v>C04-G</x:v>
      </x:c>
      <x:c r="B385" s="25" t="str">
        <x:v>利耶尼亚海域</x:v>
      </x:c>
      <x:c r="C385" s="25" t="str">
        <x:v>半急速毕业</x:v>
      </x:c>
      <x:c r="D385" s="25" t="str">
        <x:v>材料</x:v>
      </x:c>
      <x:c r="E385" s="25" t="str">
        <x:v>西境战旗印</x:v>
      </x:c>
      <x:c r="F385" s="25" t="n">
        <x:v>13</x:v>
      </x:c>
      <x:c r="G385" s="25" t="str">
        <x:v>从C0至当前检查点累计需求；未扣自身未来产出，不代表已有库存</x:v>
      </x:c>
    </x:row>
    <x:row r="386">
      <x:c r="A386" s="25" t="str">
        <x:v>C04-G</x:v>
      </x:c>
      <x:c r="B386" s="25" t="str">
        <x:v>利耶尼亚海域</x:v>
      </x:c>
      <x:c r="C386" s="25" t="str">
        <x:v>半急速毕业</x:v>
      </x:c>
      <x:c r="D386" s="25" t="str">
        <x:v>材料</x:v>
      </x:c>
      <x:c r="E386" s="25" t="str">
        <x:v>西境风痕碑拓</x:v>
      </x:c>
      <x:c r="F386" s="25" t="n">
        <x:v>1</x:v>
      </x:c>
      <x:c r="G386" s="25" t="str">
        <x:v>从C0至当前检查点累计需求；未扣自身未来产出，不代表已有库存</x:v>
      </x:c>
    </x:row>
    <x:row r="387">
      <x:c r="A387" s="25" t="str">
        <x:v>C04-G</x:v>
      </x:c>
      <x:c r="B387" s="25" t="str">
        <x:v>利耶尼亚海域</x:v>
      </x:c>
      <x:c r="C387" s="25" t="str">
        <x:v>半急速毕业</x:v>
      </x:c>
      <x:c r="D387" s="25" t="str">
        <x:v>材料</x:v>
      </x:c>
      <x:c r="E387" s="25" t="str">
        <x:v>贵胄断指</x:v>
      </x:c>
      <x:c r="F387" s="25" t="n">
        <x:v>1</x:v>
      </x:c>
      <x:c r="G387" s="25" t="str">
        <x:v>从C0至当前检查点累计需求；未扣自身未来产出，不代表已有库存</x:v>
      </x:c>
    </x:row>
    <x:row r="388">
      <x:c r="A388" s="25" t="str">
        <x:v>C04-G</x:v>
      </x:c>
      <x:c r="B388" s="25" t="str">
        <x:v>利耶尼亚海域</x:v>
      </x:c>
      <x:c r="C388" s="25" t="str">
        <x:v>半急速毕业</x:v>
      </x:c>
      <x:c r="D388" s="25" t="str">
        <x:v>材料</x:v>
      </x:c>
      <x:c r="E388" s="25" t="str">
        <x:v>野兽骨片</x:v>
      </x:c>
      <x:c r="F388" s="25" t="n">
        <x:v>9040</x:v>
      </x:c>
      <x:c r="G388" s="25" t="str">
        <x:v>从C0至当前检查点累计需求；未扣自身未来产出，不代表已有库存</x:v>
      </x:c>
    </x:row>
    <x:row r="389">
      <x:c r="A389" s="25" t="str">
        <x:v>C04-G</x:v>
      </x:c>
      <x:c r="B389" s="25" t="str">
        <x:v>利耶尼亚海域</x:v>
      </x:c>
      <x:c r="C389" s="25" t="str">
        <x:v>半急速毕业</x:v>
      </x:c>
      <x:c r="D389" s="25" t="str">
        <x:v>材料</x:v>
      </x:c>
      <x:c r="E389" s="25" t="str">
        <x:v>雾潮银鳞</x:v>
      </x:c>
      <x:c r="F389" s="25" t="n">
        <x:v>162</x:v>
      </x:c>
      <x:c r="G389" s="25" t="str">
        <x:v>从C0至当前检查点累计需求；未扣自身未来产出，不代表已有库存</x:v>
      </x:c>
    </x:row>
    <x:row r="390">
      <x:c r="A390" s="25" t="str">
        <x:v>C04-G</x:v>
      </x:c>
      <x:c r="B390" s="25" t="str">
        <x:v>利耶尼亚海域</x:v>
      </x:c>
      <x:c r="C390" s="25" t="str">
        <x:v>半急速毕业</x:v>
      </x:c>
      <x:c r="D390" s="25" t="str">
        <x:v>材料</x:v>
      </x:c>
      <x:c r="E390" s="25" t="str">
        <x:v>风暴王核</x:v>
      </x:c>
      <x:c r="F390" s="25" t="n">
        <x:v>1</x:v>
      </x:c>
      <x:c r="G390" s="25" t="str">
        <x:v>从C0至当前检查点累计需求；未扣自身未来产出，不代表已有库存</x:v>
      </x:c>
    </x:row>
    <x:row r="391">
      <x:c r="A391" s="25" t="str">
        <x:v>C04-G</x:v>
      </x:c>
      <x:c r="B391" s="25" t="str">
        <x:v>利耶尼亚海域</x:v>
      </x:c>
      <x:c r="C391" s="25" t="str">
        <x:v>半急速毕业</x:v>
      </x:c>
      <x:c r="D391" s="25" t="str">
        <x:v>材料</x:v>
      </x:c>
      <x:c r="E391" s="25" t="str">
        <x:v>风暴石片</x:v>
      </x:c>
      <x:c r="F391" s="25" t="n">
        <x:v>370</x:v>
      </x:c>
      <x:c r="G391" s="25" t="str">
        <x:v>从C0至当前检查点累计需求；未扣自身未来产出，不代表已有库存</x:v>
      </x:c>
    </x:row>
    <x:row r="392">
      <x:c r="A392" s="25" t="str">
        <x:v>C04-G</x:v>
      </x:c>
      <x:c r="B392" s="25" t="str">
        <x:v>利耶尼亚海域</x:v>
      </x:c>
      <x:c r="C392" s="25" t="str">
        <x:v>半急速毕业</x:v>
      </x:c>
      <x:c r="D392" s="25" t="str">
        <x:v>材料</x:v>
      </x:c>
      <x:c r="E392" s="25" t="str">
        <x:v>风蚀铁片</x:v>
      </x:c>
      <x:c r="F392" s="25" t="n">
        <x:v>710</x:v>
      </x:c>
      <x:c r="G392" s="25" t="str">
        <x:v>从C0至当前检查点累计需求；未扣自身未来产出，不代表已有库存</x:v>
      </x:c>
    </x:row>
    <x:row r="393">
      <x:c r="A393" s="25" t="str">
        <x:v>C04-G</x:v>
      </x:c>
      <x:c r="B393" s="25" t="str">
        <x:v>利耶尼亚海域</x:v>
      </x:c>
      <x:c r="C393" s="25" t="str">
        <x:v>半急速毕业</x:v>
      </x:c>
      <x:c r="D393" s="25" t="str">
        <x:v>材料</x:v>
      </x:c>
      <x:c r="E393" s="25" t="str">
        <x:v>黄金树碎核</x:v>
      </x:c>
      <x:c r="F393" s="25" t="n">
        <x:v>2</x:v>
      </x:c>
      <x:c r="G393" s="25" t="str">
        <x:v>从C0至当前检查点累计需求；未扣自身未来产出，不代表已有库存</x:v>
      </x:c>
    </x:row>
    <x:row r="394">
      <x:c r="A394" s="25" t="str">
        <x:v>C04-G</x:v>
      </x:c>
      <x:c r="B394" s="25" t="str">
        <x:v>利耶尼亚海域</x:v>
      </x:c>
      <x:c r="C394" s="25" t="str">
        <x:v>半急速毕业</x:v>
      </x:c>
      <x:c r="D394" s="25" t="str">
        <x:v>材料</x:v>
      </x:c>
      <x:c r="E394" s="25" t="str">
        <x:v>黄金树芽</x:v>
      </x:c>
      <x:c r="F394" s="25" t="n">
        <x:v>297</x:v>
      </x:c>
      <x:c r="G394" s="25" t="str">
        <x:v>从C0至当前检查点累计需求；未扣自身未来产出，不代表已有库存</x:v>
      </x:c>
    </x:row>
    <x:row r="395">
      <x:c r="A395" s="25" t="str">
        <x:v>C04-G</x:v>
      </x:c>
      <x:c r="B395" s="25" t="str">
        <x:v>利耶尼亚海域</x:v>
      </x:c>
      <x:c r="C395" s="25" t="str">
        <x:v>半急速毕业</x:v>
      </x:c>
      <x:c r="D395" s="25" t="str">
        <x:v>材料</x:v>
      </x:c>
      <x:c r="E395" s="25" t="str">
        <x:v>黄金骑徽</x:v>
      </x:c>
      <x:c r="F395" s="25" t="n">
        <x:v>2</x:v>
      </x:c>
      <x:c r="G395" s="25" t="str">
        <x:v>从C0至当前检查点累计需求；未扣自身未来产出，不代表已有库存</x:v>
      </x:c>
    </x:row>
    <x:row r="396">
      <x:c r="A396" s="25" t="str">
        <x:v>C04-G</x:v>
      </x:c>
      <x:c r="B396" s="25" t="str">
        <x:v>利耶尼亚海域</x:v>
      </x:c>
      <x:c r="C396" s="25" t="str">
        <x:v>半急速毕业</x:v>
      </x:c>
      <x:c r="D396" s="25" t="str">
        <x:v>装备实物</x:v>
      </x:c>
      <x:c r="E396" s="25" t="str">
        <x:v>共229个精确名称（明细见JSON）</x:v>
      </x:c>
      <x:c r="F396" s="25" t="n">
        <x:v>309</x:v>
      </x:c>
      <x:c r="G396" s="25" t="str">
        <x:v>含穿戴、重复试洗、图鉴登记与合成前置；完整数据未省略</x:v>
      </x:c>
    </x:row>
    <x:row r="397">
      <x:c r="A397" s="25" t="str">
        <x:v>C04-X</x:v>
      </x:c>
      <x:c r="B397" s="25" t="str">
        <x:v>利耶尼亚海域</x:v>
      </x:c>
      <x:c r="C397" s="25" t="str">
        <x:v>极端压力</x:v>
      </x:c>
      <x:c r="D397" s="25" t="str">
        <x:v>材料</x:v>
      </x:c>
      <x:c r="E397" s="25" t="str">
        <x:v>兽将脊骨</x:v>
      </x:c>
      <x:c r="F397" s="25" t="n">
        <x:v>1</x:v>
      </x:c>
      <x:c r="G397" s="25" t="str">
        <x:v>从C0至当前检查点累计需求；未扣自身未来产出，不代表已有库存</x:v>
      </x:c>
    </x:row>
    <x:row r="398">
      <x:c r="A398" s="25" t="str">
        <x:v>C04-X</x:v>
      </x:c>
      <x:c r="B398" s="25" t="str">
        <x:v>利耶尼亚海域</x:v>
      </x:c>
      <x:c r="C398" s="25" t="str">
        <x:v>极端压力</x:v>
      </x:c>
      <x:c r="D398" s="25" t="str">
        <x:v>材料</x:v>
      </x:c>
      <x:c r="E398" s="25" t="str">
        <x:v>哨垒旗冠</x:v>
      </x:c>
      <x:c r="F398" s="25" t="n">
        <x:v>3</x:v>
      </x:c>
      <x:c r="G398" s="25" t="str">
        <x:v>从C0至当前检查点累计需求；未扣自身未来产出，不代表已有库存</x:v>
      </x:c>
    </x:row>
    <x:row r="399">
      <x:c r="A399" s="25" t="str">
        <x:v>C04-X</x:v>
      </x:c>
      <x:c r="B399" s="25" t="str">
        <x:v>利耶尼亚海域</x:v>
      </x:c>
      <x:c r="C399" s="25" t="str">
        <x:v>极端压力</x:v>
      </x:c>
      <x:c r="D399" s="25" t="str">
        <x:v>材料</x:v>
      </x:c>
      <x:c r="E399" s="25" t="str">
        <x:v>唤船骨铃</x:v>
      </x:c>
      <x:c r="F399" s="25" t="n">
        <x:v>1</x:v>
      </x:c>
      <x:c r="G399" s="25" t="str">
        <x:v>从C0至当前检查点累计需求；未扣自身未来产出，不代表已有库存</x:v>
      </x:c>
    </x:row>
    <x:row r="400">
      <x:c r="A400" s="25" t="str">
        <x:v>C04-X</x:v>
      </x:c>
      <x:c r="B400" s="25" t="str">
        <x:v>利耶尼亚海域</x:v>
      </x:c>
      <x:c r="C400" s="25" t="str">
        <x:v>极端压力</x:v>
      </x:c>
      <x:c r="D400" s="25" t="str">
        <x:v>材料</x:v>
      </x:c>
      <x:c r="E400" s="25" t="str">
        <x:v>商队火漆</x:v>
      </x:c>
      <x:c r="F400" s="25" t="n">
        <x:v>20</x:v>
      </x:c>
      <x:c r="G400" s="25" t="str">
        <x:v>从C0至当前检查点累计需求；未扣自身未来产出，不代表已有库存</x:v>
      </x:c>
    </x:row>
    <x:row r="401">
      <x:c r="A401" s="25" t="str">
        <x:v>C04-X</x:v>
      </x:c>
      <x:c r="B401" s="25" t="str">
        <x:v>利耶尼亚海域</x:v>
      </x:c>
      <x:c r="C401" s="25" t="str">
        <x:v>极端压力</x:v>
      </x:c>
      <x:c r="D401" s="25" t="str">
        <x:v>材料</x:v>
      </x:c>
      <x:c r="E401" s="25" t="str">
        <x:v>夜骑黑印</x:v>
      </x:c>
      <x:c r="F401" s="25" t="n">
        <x:v>1</x:v>
      </x:c>
      <x:c r="G401" s="25" t="str">
        <x:v>从C0至当前检查点累计需求；未扣自身未来产出，不代表已有库存</x:v>
      </x:c>
    </x:row>
    <x:row r="402">
      <x:c r="A402" s="25" t="str">
        <x:v>C04-X</x:v>
      </x:c>
      <x:c r="B402" s="25" t="str">
        <x:v>利耶尼亚海域</x:v>
      </x:c>
      <x:c r="C402" s="25" t="str">
        <x:v>极端压力</x:v>
      </x:c>
      <x:c r="D402" s="25" t="str">
        <x:v>材料</x:v>
      </x:c>
      <x:c r="E402" s="25" t="str">
        <x:v>失乡军令</x:v>
      </x:c>
      <x:c r="F402" s="25" t="n">
        <x:v>2</x:v>
      </x:c>
      <x:c r="G402" s="25" t="str">
        <x:v>从C0至当前检查点累计需求；未扣自身未来产出，不代表已有库存</x:v>
      </x:c>
    </x:row>
    <x:row r="403">
      <x:c r="A403" s="25" t="str">
        <x:v>C04-X</x:v>
      </x:c>
      <x:c r="B403" s="25" t="str">
        <x:v>利耶尼亚海域</x:v>
      </x:c>
      <x:c r="C403" s="25" t="str">
        <x:v>极端压力</x:v>
      </x:c>
      <x:c r="D403" s="25" t="str">
        <x:v>材料</x:v>
      </x:c>
      <x:c r="E403" s="25" t="str">
        <x:v>失乡统帅徽</x:v>
      </x:c>
      <x:c r="F403" s="25" t="n">
        <x:v>2</x:v>
      </x:c>
      <x:c r="G403" s="25" t="str">
        <x:v>从C0至当前检查点累计需求；未扣自身未来产出，不代表已有库存</x:v>
      </x:c>
    </x:row>
    <x:row r="404">
      <x:c r="A404" s="25" t="str">
        <x:v>C04-X</x:v>
      </x:c>
      <x:c r="B404" s="25" t="str">
        <x:v>利耶尼亚海域</x:v>
      </x:c>
      <x:c r="C404" s="25" t="str">
        <x:v>极端压力</x:v>
      </x:c>
      <x:c r="D404" s="25" t="str">
        <x:v>材料</x:v>
      </x:c>
      <x:c r="E404" s="25" t="str">
        <x:v>失色锻造石</x:v>
      </x:c>
      <x:c r="F404" s="25" t="n">
        <x:v>14960</x:v>
      </x:c>
      <x:c r="G404" s="25" t="str">
        <x:v>从C0至当前检查点累计需求；未扣自身未来产出，不代表已有库存</x:v>
      </x:c>
    </x:row>
    <x:row r="405">
      <x:c r="A405" s="25" t="str">
        <x:v>C04-X</x:v>
      </x:c>
      <x:c r="B405" s="25" t="str">
        <x:v>利耶尼亚海域</x:v>
      </x:c>
      <x:c r="C405" s="25" t="str">
        <x:v>极端压力</x:v>
      </x:c>
      <x:c r="D405" s="25" t="str">
        <x:v>材料</x:v>
      </x:c>
      <x:c r="E405" s="25" t="str">
        <x:v>宁姆格福誓页</x:v>
      </x:c>
      <x:c r="F405" s="25" t="n">
        <x:v>90</x:v>
      </x:c>
      <x:c r="G405" s="25" t="str">
        <x:v>从C0至当前检查点累计需求；未扣自身未来产出，不代表已有库存</x:v>
      </x:c>
    </x:row>
    <x:row r="406">
      <x:c r="A406" s="25" t="str">
        <x:v>C04-X</x:v>
      </x:c>
      <x:c r="B406" s="25" t="str">
        <x:v>利耶尼亚海域</x:v>
      </x:c>
      <x:c r="C406" s="25" t="str">
        <x:v>极端压力</x:v>
      </x:c>
      <x:c r="D406" s="25" t="str">
        <x:v>材料</x:v>
      </x:c>
      <x:c r="E406" s="25" t="str">
        <x:v>守垒铜钥</x:v>
      </x:c>
      <x:c r="F406" s="25" t="n">
        <x:v>8</x:v>
      </x:c>
      <x:c r="G406" s="25" t="str">
        <x:v>从C0至当前检查点累计需求；未扣自身未来产出，不代表已有库存</x:v>
      </x:c>
    </x:row>
    <x:row r="407">
      <x:c r="A407" s="25" t="str">
        <x:v>C04-X</x:v>
      </x:c>
      <x:c r="B407" s="25" t="str">
        <x:v>利耶尼亚海域</x:v>
      </x:c>
      <x:c r="C407" s="25" t="str">
        <x:v>极端压力</x:v>
      </x:c>
      <x:c r="D407" s="25" t="str">
        <x:v>材料</x:v>
      </x:c>
      <x:c r="E407" s="25" t="str">
        <x:v>小卢恩</x:v>
      </x:c>
      <x:c r="F407" s="25" t="n">
        <x:v>250</x:v>
      </x:c>
      <x:c r="G407" s="25" t="str">
        <x:v>从C0至当前检查点累计需求；未扣自身未来产出，不代表已有库存</x:v>
      </x:c>
    </x:row>
    <x:row r="408">
      <x:c r="A408" s="25" t="str">
        <x:v>C04-X</x:v>
      </x:c>
      <x:c r="B408" s="25" t="str">
        <x:v>利耶尼亚海域</x:v>
      </x:c>
      <x:c r="C408" s="25" t="str">
        <x:v>极端压力</x:v>
      </x:c>
      <x:c r="D408" s="25" t="str">
        <x:v>材料</x:v>
      </x:c>
      <x:c r="E408" s="25" t="str">
        <x:v>山妖王角</x:v>
      </x:c>
      <x:c r="F408" s="25" t="n">
        <x:v>2</x:v>
      </x:c>
      <x:c r="G408" s="25" t="str">
        <x:v>从C0至当前检查点累计需求；未扣自身未来产出，不代表已有库存</x:v>
      </x:c>
    </x:row>
    <x:row r="409">
      <x:c r="A409" s="25" t="str">
        <x:v>C04-X</x:v>
      </x:c>
      <x:c r="B409" s="25" t="str">
        <x:v>利耶尼亚海域</x:v>
      </x:c>
      <x:c r="C409" s="25" t="str">
        <x:v>极端压力</x:v>
      </x:c>
      <x:c r="D409" s="25" t="str">
        <x:v>材料</x:v>
      </x:c>
      <x:c r="E409" s="25" t="str">
        <x:v>幽船铆钉</x:v>
      </x:c>
      <x:c r="F409" s="25" t="n">
        <x:v>21</x:v>
      </x:c>
      <x:c r="G409" s="25" t="str">
        <x:v>从C0至当前检查点累计需求；未扣自身未来产出，不代表已有库存</x:v>
      </x:c>
    </x:row>
    <x:row r="410">
      <x:c r="A410" s="25" t="str">
        <x:v>C04-X</x:v>
      </x:c>
      <x:c r="B410" s="25" t="str">
        <x:v>利耶尼亚海域</x:v>
      </x:c>
      <x:c r="C410" s="25" t="str">
        <x:v>极端压力</x:v>
      </x:c>
      <x:c r="D410" s="25" t="str">
        <x:v>材料</x:v>
      </x:c>
      <x:c r="E410" s="25" t="str">
        <x:v>恶兆残角</x:v>
      </x:c>
      <x:c r="F410" s="25" t="n">
        <x:v>1</x:v>
      </x:c>
      <x:c r="G410" s="25" t="str">
        <x:v>从C0至当前检查点累计需求；未扣自身未来产出，不代表已有库存</x:v>
      </x:c>
    </x:row>
    <x:row r="411">
      <x:c r="A411" s="25" t="str">
        <x:v>C04-X</x:v>
      </x:c>
      <x:c r="B411" s="25" t="str">
        <x:v>利耶尼亚海域</x:v>
      </x:c>
      <x:c r="C411" s="25" t="str">
        <x:v>极端压力</x:v>
      </x:c>
      <x:c r="D411" s="25" t="str">
        <x:v>材料</x:v>
      </x:c>
      <x:c r="E411" s="25" t="str">
        <x:v>技能残页</x:v>
      </x:c>
      <x:c r="F411" s="25" t="n">
        <x:v>1350</x:v>
      </x:c>
      <x:c r="G411" s="25" t="str">
        <x:v>从C0至当前检查点累计需求；未扣自身未来产出，不代表已有库存</x:v>
      </x:c>
    </x:row>
    <x:row r="412">
      <x:c r="A412" s="25" t="str">
        <x:v>C04-X</x:v>
      </x:c>
      <x:c r="B412" s="25" t="str">
        <x:v>利耶尼亚海域</x:v>
      </x:c>
      <x:c r="C412" s="25" t="str">
        <x:v>极端压力</x:v>
      </x:c>
      <x:c r="D412" s="25" t="str">
        <x:v>材料</x:v>
      </x:c>
      <x:c r="E412" s="25" t="str">
        <x:v>接肢兽心</x:v>
      </x:c>
      <x:c r="F412" s="25" t="n">
        <x:v>2</x:v>
      </x:c>
      <x:c r="G412" s="25" t="str">
        <x:v>从C0至当前检查点累计需求；未扣自身未来产出，不代表已有库存</x:v>
      </x:c>
    </x:row>
    <x:row r="413">
      <x:c r="A413" s="25" t="str">
        <x:v>C04-X</x:v>
      </x:c>
      <x:c r="B413" s="25" t="str">
        <x:v>利耶尼亚海域</x:v>
      </x:c>
      <x:c r="C413" s="25" t="str">
        <x:v>极端压力</x:v>
      </x:c>
      <x:c r="D413" s="25" t="str">
        <x:v>材料</x:v>
      </x:c>
      <x:c r="E413" s="25" t="str">
        <x:v>接肢王印</x:v>
      </x:c>
      <x:c r="F413" s="25" t="n">
        <x:v>13</x:v>
      </x:c>
      <x:c r="G413" s="25" t="str">
        <x:v>从C0至当前检查点累计需求；未扣自身未来产出，不代表已有库存</x:v>
      </x:c>
    </x:row>
    <x:row r="414">
      <x:c r="A414" s="25" t="str">
        <x:v>C04-X</x:v>
      </x:c>
      <x:c r="B414" s="25" t="str">
        <x:v>利耶尼亚海域</x:v>
      </x:c>
      <x:c r="C414" s="25" t="str">
        <x:v>极端压力</x:v>
      </x:c>
      <x:c r="D414" s="25" t="str">
        <x:v>材料</x:v>
      </x:c>
      <x:c r="E414" s="25" t="str">
        <x:v>接肢王魂</x:v>
      </x:c>
      <x:c r="F414" s="25" t="n">
        <x:v>1</x:v>
      </x:c>
      <x:c r="G414" s="25" t="str">
        <x:v>从C0至当前检查点累计需求；未扣自身未来产出，不代表已有库存</x:v>
      </x:c>
    </x:row>
    <x:row r="415">
      <x:c r="A415" s="25" t="str">
        <x:v>C04-X</x:v>
      </x:c>
      <x:c r="B415" s="25" t="str">
        <x:v>利耶尼亚海域</x:v>
      </x:c>
      <x:c r="C415" s="25" t="str">
        <x:v>极端压力</x:v>
      </x:c>
      <x:c r="D415" s="25" t="str">
        <x:v>材料</x:v>
      </x:c>
      <x:c r="E415" s="25" t="str">
        <x:v>月潮忆珀</x:v>
      </x:c>
      <x:c r="F415" s="25" t="n">
        <x:v>1</x:v>
      </x:c>
      <x:c r="G415" s="25" t="str">
        <x:v>从C0至当前检查点累计需求；未扣自身未来产出，不代表已有库存</x:v>
      </x:c>
    </x:row>
    <x:row r="416">
      <x:c r="A416" s="25" t="str">
        <x:v>C04-X</x:v>
      </x:c>
      <x:c r="B416" s="25" t="str">
        <x:v>利耶尼亚海域</x:v>
      </x:c>
      <x:c r="C416" s="25" t="str">
        <x:v>极端压力</x:v>
      </x:c>
      <x:c r="D416" s="25" t="str">
        <x:v>材料</x:v>
      </x:c>
      <x:c r="E416" s="25" t="str">
        <x:v>树卫枪穗</x:v>
      </x:c>
      <x:c r="F416" s="25" t="n">
        <x:v>1</x:v>
      </x:c>
      <x:c r="G416" s="25" t="str">
        <x:v>从C0至当前检查点累计需求；未扣自身未来产出，不代表已有库存</x:v>
      </x:c>
    </x:row>
    <x:row r="417">
      <x:c r="A417" s="25" t="str">
        <x:v>C04-X</x:v>
      </x:c>
      <x:c r="B417" s="25" t="str">
        <x:v>利耶尼亚海域</x:v>
      </x:c>
      <x:c r="C417" s="25" t="str">
        <x:v>极端压力</x:v>
      </x:c>
      <x:c r="D417" s="25" t="str">
        <x:v>材料</x:v>
      </x:c>
      <x:c r="E417" s="25" t="str">
        <x:v>死亡仪羽</x:v>
      </x:c>
      <x:c r="F417" s="25" t="n">
        <x:v>2</x:v>
      </x:c>
      <x:c r="G417" s="25" t="str">
        <x:v>从C0至当前检查点累计需求；未扣自身未来产出，不代表已有库存</x:v>
      </x:c>
    </x:row>
    <x:row r="418">
      <x:c r="A418" s="25" t="str">
        <x:v>C04-X</x:v>
      </x:c>
      <x:c r="B418" s="25" t="str">
        <x:v>利耶尼亚海域</x:v>
      </x:c>
      <x:c r="C418" s="25" t="str">
        <x:v>极端压力</x:v>
      </x:c>
      <x:c r="D418" s="25" t="str">
        <x:v>材料</x:v>
      </x:c>
      <x:c r="E418" s="25" t="str">
        <x:v>沉湖王印</x:v>
      </x:c>
      <x:c r="F418" s="25" t="n">
        <x:v>39</x:v>
      </x:c>
      <x:c r="G418" s="25" t="str">
        <x:v>从C0至当前检查点累计需求；未扣自身未来产出，不代表已有库存</x:v>
      </x:c>
    </x:row>
    <x:row r="419">
      <x:c r="A419" s="25" t="str">
        <x:v>C04-X</x:v>
      </x:c>
      <x:c r="B419" s="25" t="str">
        <x:v>利耶尼亚海域</x:v>
      </x:c>
      <x:c r="C419" s="25" t="str">
        <x:v>极端压力</x:v>
      </x:c>
      <x:c r="D419" s="25" t="str">
        <x:v>材料</x:v>
      </x:c>
      <x:c r="E419" s="25" t="str">
        <x:v>沉船缆扣</x:v>
      </x:c>
      <x:c r="F419" s="25" t="n">
        <x:v>44</x:v>
      </x:c>
      <x:c r="G419" s="25" t="str">
        <x:v>从C0至当前检查点累计需求；未扣自身未来产出，不代表已有库存</x:v>
      </x:c>
    </x:row>
    <x:row r="420">
      <x:c r="A420" s="25" t="str">
        <x:v>C04-X</x:v>
      </x:c>
      <x:c r="B420" s="25" t="str">
        <x:v>利耶尼亚海域</x:v>
      </x:c>
      <x:c r="C420" s="25" t="str">
        <x:v>极端压力</x:v>
      </x:c>
      <x:c r="D420" s="25" t="str">
        <x:v>材料</x:v>
      </x:c>
      <x:c r="E420" s="25" t="str">
        <x:v>海蚀铁片</x:v>
      </x:c>
      <x:c r="F420" s="25" t="n">
        <x:v>160</x:v>
      </x:c>
      <x:c r="G420" s="25" t="str">
        <x:v>从C0至当前检查点累计需求；未扣自身未来产出，不代表已有库存</x:v>
      </x:c>
    </x:row>
    <x:row r="421">
      <x:c r="A421" s="25" t="str">
        <x:v>C04-X</x:v>
      </x:c>
      <x:c r="B421" s="25" t="str">
        <x:v>利耶尼亚海域</x:v>
      </x:c>
      <x:c r="C421" s="25" t="str">
        <x:v>极端压力</x:v>
      </x:c>
      <x:c r="D421" s="25" t="str">
        <x:v>材料</x:v>
      </x:c>
      <x:c r="E421" s="25" t="str">
        <x:v>深湖压舱印</x:v>
      </x:c>
      <x:c r="F421" s="25" t="n">
        <x:v>6</x:v>
      </x:c>
      <x:c r="G421" s="25" t="str">
        <x:v>从C0至当前检查点累计需求；未扣自身未来产出，不代表已有库存</x:v>
      </x:c>
    </x:row>
    <x:row r="422">
      <x:c r="A422" s="25" t="str">
        <x:v>C04-X</x:v>
      </x:c>
      <x:c r="B422" s="25" t="str">
        <x:v>利耶尼亚海域</x:v>
      </x:c>
      <x:c r="C422" s="25" t="str">
        <x:v>极端压力</x:v>
      </x:c>
      <x:c r="D422" s="25" t="str">
        <x:v>材料</x:v>
      </x:c>
      <x:c r="E422" s="25" t="str">
        <x:v>湖底封门珠</x:v>
      </x:c>
      <x:c r="F422" s="25" t="n">
        <x:v>8</x:v>
      </x:c>
      <x:c r="G422" s="25" t="str">
        <x:v>从C0至当前检查点累计需求；未扣自身未来产出，不代表已有库存</x:v>
      </x:c>
    </x:row>
    <x:row r="423">
      <x:c r="A423" s="25" t="str">
        <x:v>C04-X</x:v>
      </x:c>
      <x:c r="B423" s="25" t="str">
        <x:v>利耶尼亚海域</x:v>
      </x:c>
      <x:c r="C423" s="25" t="str">
        <x:v>极端压力</x:v>
      </x:c>
      <x:c r="D423" s="25" t="str">
        <x:v>材料</x:v>
      </x:c>
      <x:c r="E423" s="25" t="str">
        <x:v>湖盐结晶</x:v>
      </x:c>
      <x:c r="F423" s="25" t="n">
        <x:v>2437</x:v>
      </x:c>
      <x:c r="G423" s="25" t="str">
        <x:v>从C0至当前检查点累计需求；未扣自身未来产出，不代表已有库存</x:v>
      </x:c>
    </x:row>
    <x:row r="424">
      <x:c r="A424" s="25" t="str">
        <x:v>C04-X</x:v>
      </x:c>
      <x:c r="B424" s="25" t="str">
        <x:v>利耶尼亚海域</x:v>
      </x:c>
      <x:c r="C424" s="25" t="str">
        <x:v>极端压力</x:v>
      </x:c>
      <x:c r="D424" s="25" t="str">
        <x:v>材料</x:v>
      </x:c>
      <x:c r="E424" s="25" t="str">
        <x:v>溃烂树核</x:v>
      </x:c>
      <x:c r="F424" s="25" t="n">
        <x:v>1</x:v>
      </x:c>
      <x:c r="G424" s="25" t="str">
        <x:v>从C0至当前检查点累计需求；未扣自身未来产出，不代表已有库存</x:v>
      </x:c>
    </x:row>
    <x:row r="425">
      <x:c r="A425" s="25" t="str">
        <x:v>C04-X</x:v>
      </x:c>
      <x:c r="B425" s="25" t="str">
        <x:v>利耶尼亚海域</x:v>
      </x:c>
      <x:c r="C425" s="25" t="str">
        <x:v>极端压力</x:v>
      </x:c>
      <x:c r="D425" s="25" t="str">
        <x:v>材料</x:v>
      </x:c>
      <x:c r="E425" s="25" t="str">
        <x:v>漂流大陆印记</x:v>
      </x:c>
      <x:c r="F425" s="25" t="n">
        <x:v>11</x:v>
      </x:c>
      <x:c r="G425" s="25" t="str">
        <x:v>从C0至当前检查点累计需求；未扣自身未来产出，不代表已有库存</x:v>
      </x:c>
    </x:row>
    <x:row r="426">
      <x:c r="A426" s="25" t="str">
        <x:v>C04-X</x:v>
      </x:c>
      <x:c r="B426" s="25" t="str">
        <x:v>利耶尼亚海域</x:v>
      </x:c>
      <x:c r="C426" s="25" t="str">
        <x:v>极端压力</x:v>
      </x:c>
      <x:c r="D426" s="25" t="str">
        <x:v>材料</x:v>
      </x:c>
      <x:c r="E426" s="25" t="str">
        <x:v>漂流见证·潮</x:v>
      </x:c>
      <x:c r="F426" s="25" t="n">
        <x:v>8</x:v>
      </x:c>
      <x:c r="G426" s="25" t="str">
        <x:v>从C0至当前检查点累计需求；未扣自身未来产出，不代表已有库存</x:v>
      </x:c>
    </x:row>
    <x:row r="427">
      <x:c r="A427" s="25" t="str">
        <x:v>C04-X</x:v>
      </x:c>
      <x:c r="B427" s="25" t="str">
        <x:v>利耶尼亚海域</x:v>
      </x:c>
      <x:c r="C427" s="25" t="str">
        <x:v>极端压力</x:v>
      </x:c>
      <x:c r="D427" s="25" t="str">
        <x:v>材料</x:v>
      </x:c>
      <x:c r="E427" s="25" t="str">
        <x:v>漂流见证·雷</x:v>
      </x:c>
      <x:c r="F427" s="25" t="n">
        <x:v>8</x:v>
      </x:c>
      <x:c r="G427" s="25" t="str">
        <x:v>从C0至当前检查点累计需求；未扣自身未来产出，不代表已有库存</x:v>
      </x:c>
    </x:row>
    <x:row r="428">
      <x:c r="A428" s="25" t="str">
        <x:v>C04-X</x:v>
      </x:c>
      <x:c r="B428" s="25" t="str">
        <x:v>利耶尼亚海域</x:v>
      </x:c>
      <x:c r="C428" s="25" t="str">
        <x:v>极端压力</x:v>
      </x:c>
      <x:c r="D428" s="25" t="str">
        <x:v>材料</x:v>
      </x:c>
      <x:c r="E428" s="25" t="str">
        <x:v>潮痕结晶</x:v>
      </x:c>
      <x:c r="F428" s="25" t="n">
        <x:v>16</x:v>
      </x:c>
      <x:c r="G428" s="25" t="str">
        <x:v>从C0至当前检查点累计需求；未扣自身未来产出，不代表已有库存</x:v>
      </x:c>
    </x:row>
    <x:row r="429">
      <x:c r="A429" s="25" t="str">
        <x:v>C04-X</x:v>
      </x:c>
      <x:c r="B429" s="25" t="str">
        <x:v>利耶尼亚海域</x:v>
      </x:c>
      <x:c r="C429" s="25" t="str">
        <x:v>极端压力</x:v>
      </x:c>
      <x:c r="D429" s="25" t="str">
        <x:v>材料</x:v>
      </x:c>
      <x:c r="E429" s="25" t="str">
        <x:v>熊王心脏</x:v>
      </x:c>
      <x:c r="F429" s="25" t="n">
        <x:v>2</x:v>
      </x:c>
      <x:c r="G429" s="25" t="str">
        <x:v>从C0至当前检查点累计需求；未扣自身未来产出，不代表已有库存</x:v>
      </x:c>
    </x:row>
    <x:row r="430">
      <x:c r="A430" s="25" t="str">
        <x:v>C04-X</x:v>
      </x:c>
      <x:c r="B430" s="25" t="str">
        <x:v>利耶尼亚海域</x:v>
      </x:c>
      <x:c r="C430" s="25" t="str">
        <x:v>极端压力</x:v>
      </x:c>
      <x:c r="D430" s="25" t="str">
        <x:v>材料</x:v>
      </x:c>
      <x:c r="E430" s="25" t="str">
        <x:v>熔炉角片</x:v>
      </x:c>
      <x:c r="F430" s="25" t="n">
        <x:v>1</x:v>
      </x:c>
      <x:c r="G430" s="25" t="str">
        <x:v>从C0至当前检查点累计需求；未扣自身未来产出，不代表已有库存</x:v>
      </x:c>
    </x:row>
    <x:row r="431">
      <x:c r="A431" s="25" t="str">
        <x:v>C04-X</x:v>
      </x:c>
      <x:c r="B431" s="25" t="str">
        <x:v>利耶尼亚海域</x:v>
      </x:c>
      <x:c r="C431" s="25" t="str">
        <x:v>极端压力</x:v>
      </x:c>
      <x:c r="D431" s="25" t="str">
        <x:v>材料</x:v>
      </x:c>
      <x:c r="E431" s="25" t="str">
        <x:v>王城军印</x:v>
      </x:c>
      <x:c r="F431" s="25" t="n">
        <x:v>1</x:v>
      </x:c>
      <x:c r="G431" s="25" t="str">
        <x:v>从C0至当前检查点累计需求；未扣自身未来产出，不代表已有库存</x:v>
      </x:c>
    </x:row>
    <x:row r="432">
      <x:c r="A432" s="25" t="str">
        <x:v>C04-X</x:v>
      </x:c>
      <x:c r="B432" s="25" t="str">
        <x:v>利耶尼亚海域</x:v>
      </x:c>
      <x:c r="C432" s="25" t="str">
        <x:v>极端压力</x:v>
      </x:c>
      <x:c r="D432" s="25" t="str">
        <x:v>材料</x:v>
      </x:c>
      <x:c r="E432" s="25" t="str">
        <x:v>看门犬石心</x:v>
      </x:c>
      <x:c r="F432" s="25" t="n">
        <x:v>2</x:v>
      </x:c>
      <x:c r="G432" s="25" t="str">
        <x:v>从C0至当前检查点累计需求；未扣自身未来产出，不代表已有库存</x:v>
      </x:c>
    </x:row>
    <x:row r="433">
      <x:c r="A433" s="25" t="str">
        <x:v>C04-X</x:v>
      </x:c>
      <x:c r="B433" s="25" t="str">
        <x:v>利耶尼亚海域</x:v>
      </x:c>
      <x:c r="C433" s="25" t="str">
        <x:v>极端压力</x:v>
      </x:c>
      <x:c r="D433" s="25" t="str">
        <x:v>材料</x:v>
      </x:c>
      <x:c r="E433" s="25" t="str">
        <x:v>神秘符文</x:v>
      </x:c>
      <x:c r="F433" s="25" t="n">
        <x:v>200</x:v>
      </x:c>
      <x:c r="G433" s="25" t="str">
        <x:v>从C0至当前检查点累计需求；未扣自身未来产出，不代表已有库存</x:v>
      </x:c>
    </x:row>
    <x:row r="434">
      <x:c r="A434" s="25" t="str">
        <x:v>C04-X</x:v>
      </x:c>
      <x:c r="B434" s="25" t="str">
        <x:v>利耶尼亚海域</x:v>
      </x:c>
      <x:c r="C434" s="25" t="str">
        <x:v>极端压力</x:v>
      </x:c>
      <x:c r="D434" s="25" t="str">
        <x:v>材料</x:v>
      </x:c>
      <x:c r="E434" s="25" t="str">
        <x:v>腐根魂结</x:v>
      </x:c>
      <x:c r="F434" s="25" t="n">
        <x:v>2</x:v>
      </x:c>
      <x:c r="G434" s="25" t="str">
        <x:v>从C0至当前检查点累计需求；未扣自身未来产出，不代表已有库存</x:v>
      </x:c>
    </x:row>
    <x:row r="435">
      <x:c r="A435" s="25" t="str">
        <x:v>C04-X</x:v>
      </x:c>
      <x:c r="B435" s="25" t="str">
        <x:v>利耶尼亚海域</x:v>
      </x:c>
      <x:c r="C435" s="25" t="str">
        <x:v>极端压力</x:v>
      </x:c>
      <x:c r="D435" s="25" t="str">
        <x:v>材料</x:v>
      </x:c>
      <x:c r="E435" s="25" t="str">
        <x:v>裂风崖羽</x:v>
      </x:c>
      <x:c r="F435" s="25" t="n">
        <x:v>80</x:v>
      </x:c>
      <x:c r="G435" s="25" t="str">
        <x:v>从C0至当前检查点累计需求；未扣自身未来产出，不代表已有库存</x:v>
      </x:c>
    </x:row>
    <x:row r="436">
      <x:c r="A436" s="25" t="str">
        <x:v>C04-X</x:v>
      </x:c>
      <x:c r="B436" s="25" t="str">
        <x:v>利耶尼亚海域</x:v>
      </x:c>
      <x:c r="C436" s="25" t="str">
        <x:v>极端压力</x:v>
      </x:c>
      <x:c r="D436" s="25" t="str">
        <x:v>材料</x:v>
      </x:c>
      <x:c r="E436" s="25" t="str">
        <x:v>西境战旗</x:v>
      </x:c>
      <x:c r="F436" s="25" t="n">
        <x:v>20</x:v>
      </x:c>
      <x:c r="G436" s="25" t="str">
        <x:v>从C0至当前检查点累计需求；未扣自身未来产出，不代表已有库存</x:v>
      </x:c>
    </x:row>
    <x:row r="437">
      <x:c r="A437" s="25" t="str">
        <x:v>C04-X</x:v>
      </x:c>
      <x:c r="B437" s="25" t="str">
        <x:v>利耶尼亚海域</x:v>
      </x:c>
      <x:c r="C437" s="25" t="str">
        <x:v>极端压力</x:v>
      </x:c>
      <x:c r="D437" s="25" t="str">
        <x:v>材料</x:v>
      </x:c>
      <x:c r="E437" s="25" t="str">
        <x:v>西境战旗印</x:v>
      </x:c>
      <x:c r="F437" s="25" t="n">
        <x:v>23</x:v>
      </x:c>
      <x:c r="G437" s="25" t="str">
        <x:v>从C0至当前检查点累计需求；未扣自身未来产出，不代表已有库存</x:v>
      </x:c>
    </x:row>
    <x:row r="438">
      <x:c r="A438" s="25" t="str">
        <x:v>C04-X</x:v>
      </x:c>
      <x:c r="B438" s="25" t="str">
        <x:v>利耶尼亚海域</x:v>
      </x:c>
      <x:c r="C438" s="25" t="str">
        <x:v>极端压力</x:v>
      </x:c>
      <x:c r="D438" s="25" t="str">
        <x:v>材料</x:v>
      </x:c>
      <x:c r="E438" s="25" t="str">
        <x:v>西境风痕碑拓</x:v>
      </x:c>
      <x:c r="F438" s="25" t="n">
        <x:v>1</x:v>
      </x:c>
      <x:c r="G438" s="25" t="str">
        <x:v>从C0至当前检查点累计需求；未扣自身未来产出，不代表已有库存</x:v>
      </x:c>
    </x:row>
    <x:row r="439">
      <x:c r="A439" s="25" t="str">
        <x:v>C04-X</x:v>
      </x:c>
      <x:c r="B439" s="25" t="str">
        <x:v>利耶尼亚海域</x:v>
      </x:c>
      <x:c r="C439" s="25" t="str">
        <x:v>极端压力</x:v>
      </x:c>
      <x:c r="D439" s="25" t="str">
        <x:v>材料</x:v>
      </x:c>
      <x:c r="E439" s="25" t="str">
        <x:v>贵胄断指</x:v>
      </x:c>
      <x:c r="F439" s="25" t="n">
        <x:v>1</x:v>
      </x:c>
      <x:c r="G439" s="25" t="str">
        <x:v>从C0至当前检查点累计需求；未扣自身未来产出，不代表已有库存</x:v>
      </x:c>
    </x:row>
    <x:row r="440">
      <x:c r="A440" s="25" t="str">
        <x:v>C04-X</x:v>
      </x:c>
      <x:c r="B440" s="25" t="str">
        <x:v>利耶尼亚海域</x:v>
      </x:c>
      <x:c r="C440" s="25" t="str">
        <x:v>极端压力</x:v>
      </x:c>
      <x:c r="D440" s="25" t="str">
        <x:v>材料</x:v>
      </x:c>
      <x:c r="E440" s="25" t="str">
        <x:v>野兽骨片</x:v>
      </x:c>
      <x:c r="F440" s="25" t="n">
        <x:v>9040</x:v>
      </x:c>
      <x:c r="G440" s="25" t="str">
        <x:v>从C0至当前检查点累计需求；未扣自身未来产出，不代表已有库存</x:v>
      </x:c>
    </x:row>
    <x:row r="441">
      <x:c r="A441" s="25" t="str">
        <x:v>C04-X</x:v>
      </x:c>
      <x:c r="B441" s="25" t="str">
        <x:v>利耶尼亚海域</x:v>
      </x:c>
      <x:c r="C441" s="25" t="str">
        <x:v>极端压力</x:v>
      </x:c>
      <x:c r="D441" s="25" t="str">
        <x:v>材料</x:v>
      </x:c>
      <x:c r="E441" s="25" t="str">
        <x:v>雾潮银鳞</x:v>
      </x:c>
      <x:c r="F441" s="25" t="n">
        <x:v>272</x:v>
      </x:c>
      <x:c r="G441" s="25" t="str">
        <x:v>从C0至当前检查点累计需求；未扣自身未来产出，不代表已有库存</x:v>
      </x:c>
    </x:row>
    <x:row r="442">
      <x:c r="A442" s="25" t="str">
        <x:v>C04-X</x:v>
      </x:c>
      <x:c r="B442" s="25" t="str">
        <x:v>利耶尼亚海域</x:v>
      </x:c>
      <x:c r="C442" s="25" t="str">
        <x:v>极端压力</x:v>
      </x:c>
      <x:c r="D442" s="25" t="str">
        <x:v>材料</x:v>
      </x:c>
      <x:c r="E442" s="25" t="str">
        <x:v>风暴王核</x:v>
      </x:c>
      <x:c r="F442" s="25" t="n">
        <x:v>1</x:v>
      </x:c>
      <x:c r="G442" s="25" t="str">
        <x:v>从C0至当前检查点累计需求；未扣自身未来产出，不代表已有库存</x:v>
      </x:c>
    </x:row>
    <x:row r="443">
      <x:c r="A443" s="25" t="str">
        <x:v>C04-X</x:v>
      </x:c>
      <x:c r="B443" s="25" t="str">
        <x:v>利耶尼亚海域</x:v>
      </x:c>
      <x:c r="C443" s="25" t="str">
        <x:v>极端压力</x:v>
      </x:c>
      <x:c r="D443" s="25" t="str">
        <x:v>材料</x:v>
      </x:c>
      <x:c r="E443" s="25" t="str">
        <x:v>风暴石片</x:v>
      </x:c>
      <x:c r="F443" s="25" t="n">
        <x:v>370</x:v>
      </x:c>
      <x:c r="G443" s="25" t="str">
        <x:v>从C0至当前检查点累计需求；未扣自身未来产出，不代表已有库存</x:v>
      </x:c>
    </x:row>
    <x:row r="444">
      <x:c r="A444" s="25" t="str">
        <x:v>C04-X</x:v>
      </x:c>
      <x:c r="B444" s="25" t="str">
        <x:v>利耶尼亚海域</x:v>
      </x:c>
      <x:c r="C444" s="25" t="str">
        <x:v>极端压力</x:v>
      </x:c>
      <x:c r="D444" s="25" t="str">
        <x:v>材料</x:v>
      </x:c>
      <x:c r="E444" s="25" t="str">
        <x:v>风蚀铁片</x:v>
      </x:c>
      <x:c r="F444" s="25" t="n">
        <x:v>1070</x:v>
      </x:c>
      <x:c r="G444" s="25" t="str">
        <x:v>从C0至当前检查点累计需求；未扣自身未来产出，不代表已有库存</x:v>
      </x:c>
    </x:row>
    <x:row r="445">
      <x:c r="A445" s="25" t="str">
        <x:v>C04-X</x:v>
      </x:c>
      <x:c r="B445" s="25" t="str">
        <x:v>利耶尼亚海域</x:v>
      </x:c>
      <x:c r="C445" s="25" t="str">
        <x:v>极端压力</x:v>
      </x:c>
      <x:c r="D445" s="25" t="str">
        <x:v>材料</x:v>
      </x:c>
      <x:c r="E445" s="25" t="str">
        <x:v>黄金树碎核</x:v>
      </x:c>
      <x:c r="F445" s="25" t="n">
        <x:v>2</x:v>
      </x:c>
      <x:c r="G445" s="25" t="str">
        <x:v>从C0至当前检查点累计需求；未扣自身未来产出，不代表已有库存</x:v>
      </x:c>
    </x:row>
    <x:row r="446">
      <x:c r="A446" s="25" t="str">
        <x:v>C04-X</x:v>
      </x:c>
      <x:c r="B446" s="25" t="str">
        <x:v>利耶尼亚海域</x:v>
      </x:c>
      <x:c r="C446" s="25" t="str">
        <x:v>极端压力</x:v>
      </x:c>
      <x:c r="D446" s="25" t="str">
        <x:v>材料</x:v>
      </x:c>
      <x:c r="E446" s="25" t="str">
        <x:v>黄金树芽</x:v>
      </x:c>
      <x:c r="F446" s="25" t="n">
        <x:v>297</x:v>
      </x:c>
      <x:c r="G446" s="25" t="str">
        <x:v>从C0至当前检查点累计需求；未扣自身未来产出，不代表已有库存</x:v>
      </x:c>
    </x:row>
    <x:row r="447">
      <x:c r="A447" s="25" t="str">
        <x:v>C04-X</x:v>
      </x:c>
      <x:c r="B447" s="25" t="str">
        <x:v>利耶尼亚海域</x:v>
      </x:c>
      <x:c r="C447" s="25" t="str">
        <x:v>极端压力</x:v>
      </x:c>
      <x:c r="D447" s="25" t="str">
        <x:v>材料</x:v>
      </x:c>
      <x:c r="E447" s="25" t="str">
        <x:v>黄金骑徽</x:v>
      </x:c>
      <x:c r="F447" s="25" t="n">
        <x:v>2</x:v>
      </x:c>
      <x:c r="G447" s="25" t="str">
        <x:v>从C0至当前检查点累计需求；未扣自身未来产出，不代表已有库存</x:v>
      </x:c>
    </x:row>
    <x:row r="448">
      <x:c r="A448" s="25" t="str">
        <x:v>C04-X</x:v>
      </x:c>
      <x:c r="B448" s="25" t="str">
        <x:v>利耶尼亚海域</x:v>
      </x:c>
      <x:c r="C448" s="25" t="str">
        <x:v>极端压力</x:v>
      </x:c>
      <x:c r="D448" s="25" t="str">
        <x:v>装备实物</x:v>
      </x:c>
      <x:c r="E448" s="25" t="str">
        <x:v>共275个精确名称（明细见JSON）</x:v>
      </x:c>
      <x:c r="F448" s="25" t="n">
        <x:v>397</x:v>
      </x:c>
      <x:c r="G448" s="25" t="str">
        <x:v>含穿戴、重复试洗、图鉴登记与合成前置；完整数据未省略</x:v>
      </x:c>
    </x:row>
    <x:row r="449">
      <x:c r="A449" s="25" t="str">
        <x:v>C05-E</x:v>
      </x:c>
      <x:c r="B449" s="25" t="str">
        <x:v>湖之利耶尼亚</x:v>
      </x:c>
      <x:c r="C449" s="25" t="str">
        <x:v>半急速入场</x:v>
      </x:c>
      <x:c r="D449" s="25" t="str">
        <x:v>材料</x:v>
      </x:c>
      <x:c r="E449" s="25" t="str">
        <x:v>兽将脊骨</x:v>
      </x:c>
      <x:c r="F449" s="25" t="n">
        <x:v>1</x:v>
      </x:c>
      <x:c r="G449" s="25" t="str">
        <x:v>从C0至当前检查点累计需求；未扣自身未来产出，不代表已有库存</x:v>
      </x:c>
    </x:row>
    <x:row r="450">
      <x:c r="A450" s="25" t="str">
        <x:v>C05-E</x:v>
      </x:c>
      <x:c r="B450" s="25" t="str">
        <x:v>湖之利耶尼亚</x:v>
      </x:c>
      <x:c r="C450" s="25" t="str">
        <x:v>半急速入场</x:v>
      </x:c>
      <x:c r="D450" s="25" t="str">
        <x:v>材料</x:v>
      </x:c>
      <x:c r="E450" s="25" t="str">
        <x:v>哨垒旗冠</x:v>
      </x:c>
      <x:c r="F450" s="25" t="n">
        <x:v>3</x:v>
      </x:c>
      <x:c r="G450" s="25" t="str">
        <x:v>从C0至当前检查点累计需求；未扣自身未来产出，不代表已有库存</x:v>
      </x:c>
    </x:row>
    <x:row r="451">
      <x:c r="A451" s="25" t="str">
        <x:v>C05-E</x:v>
      </x:c>
      <x:c r="B451" s="25" t="str">
        <x:v>湖之利耶尼亚</x:v>
      </x:c>
      <x:c r="C451" s="25" t="str">
        <x:v>半急速入场</x:v>
      </x:c>
      <x:c r="D451" s="25" t="str">
        <x:v>材料</x:v>
      </x:c>
      <x:c r="E451" s="25" t="str">
        <x:v>唤船骨铃</x:v>
      </x:c>
      <x:c r="F451" s="25" t="n">
        <x:v>1</x:v>
      </x:c>
      <x:c r="G451" s="25" t="str">
        <x:v>从C0至当前检查点累计需求；未扣自身未来产出，不代表已有库存</x:v>
      </x:c>
    </x:row>
    <x:row r="452">
      <x:c r="A452" s="25" t="str">
        <x:v>C05-E</x:v>
      </x:c>
      <x:c r="B452" s="25" t="str">
        <x:v>湖之利耶尼亚</x:v>
      </x:c>
      <x:c r="C452" s="25" t="str">
        <x:v>半急速入场</x:v>
      </x:c>
      <x:c r="D452" s="25" t="str">
        <x:v>材料</x:v>
      </x:c>
      <x:c r="E452" s="25" t="str">
        <x:v>商队火漆</x:v>
      </x:c>
      <x:c r="F452" s="25" t="n">
        <x:v>20</x:v>
      </x:c>
      <x:c r="G452" s="25" t="str">
        <x:v>从C0至当前检查点累计需求；未扣自身未来产出，不代表已有库存</x:v>
      </x:c>
    </x:row>
    <x:row r="453">
      <x:c r="A453" s="25" t="str">
        <x:v>C05-E</x:v>
      </x:c>
      <x:c r="B453" s="25" t="str">
        <x:v>湖之利耶尼亚</x:v>
      </x:c>
      <x:c r="C453" s="25" t="str">
        <x:v>半急速入场</x:v>
      </x:c>
      <x:c r="D453" s="25" t="str">
        <x:v>材料</x:v>
      </x:c>
      <x:c r="E453" s="25" t="str">
        <x:v>夜骑黑印</x:v>
      </x:c>
      <x:c r="F453" s="25" t="n">
        <x:v>1</x:v>
      </x:c>
      <x:c r="G453" s="25" t="str">
        <x:v>从C0至当前检查点累计需求；未扣自身未来产出，不代表已有库存</x:v>
      </x:c>
    </x:row>
    <x:row r="454">
      <x:c r="A454" s="25" t="str">
        <x:v>C05-E</x:v>
      </x:c>
      <x:c r="B454" s="25" t="str">
        <x:v>湖之利耶尼亚</x:v>
      </x:c>
      <x:c r="C454" s="25" t="str">
        <x:v>半急速入场</x:v>
      </x:c>
      <x:c r="D454" s="25" t="str">
        <x:v>材料</x:v>
      </x:c>
      <x:c r="E454" s="25" t="str">
        <x:v>失乡军令</x:v>
      </x:c>
      <x:c r="F454" s="25" t="n">
        <x:v>2</x:v>
      </x:c>
      <x:c r="G454" s="25" t="str">
        <x:v>从C0至当前检查点累计需求；未扣自身未来产出，不代表已有库存</x:v>
      </x:c>
    </x:row>
    <x:row r="455">
      <x:c r="A455" s="25" t="str">
        <x:v>C05-E</x:v>
      </x:c>
      <x:c r="B455" s="25" t="str">
        <x:v>湖之利耶尼亚</x:v>
      </x:c>
      <x:c r="C455" s="25" t="str">
        <x:v>半急速入场</x:v>
      </x:c>
      <x:c r="D455" s="25" t="str">
        <x:v>材料</x:v>
      </x:c>
      <x:c r="E455" s="25" t="str">
        <x:v>失乡统帅徽</x:v>
      </x:c>
      <x:c r="F455" s="25" t="n">
        <x:v>2</x:v>
      </x:c>
      <x:c r="G455" s="25" t="str">
        <x:v>从C0至当前检查点累计需求；未扣自身未来产出，不代表已有库存</x:v>
      </x:c>
    </x:row>
    <x:row r="456">
      <x:c r="A456" s="25" t="str">
        <x:v>C05-E</x:v>
      </x:c>
      <x:c r="B456" s="25" t="str">
        <x:v>湖之利耶尼亚</x:v>
      </x:c>
      <x:c r="C456" s="25" t="str">
        <x:v>半急速入场</x:v>
      </x:c>
      <x:c r="D456" s="25" t="str">
        <x:v>材料</x:v>
      </x:c>
      <x:c r="E456" s="25" t="str">
        <x:v>失色锻造石</x:v>
      </x:c>
      <x:c r="F456" s="25" t="n">
        <x:v>7180</x:v>
      </x:c>
      <x:c r="G456" s="25" t="str">
        <x:v>从C0至当前检查点累计需求；未扣自身未来产出，不代表已有库存</x:v>
      </x:c>
    </x:row>
    <x:row r="457">
      <x:c r="A457" s="25" t="str">
        <x:v>C05-E</x:v>
      </x:c>
      <x:c r="B457" s="25" t="str">
        <x:v>湖之利耶尼亚</x:v>
      </x:c>
      <x:c r="C457" s="25" t="str">
        <x:v>半急速入场</x:v>
      </x:c>
      <x:c r="D457" s="25" t="str">
        <x:v>材料</x:v>
      </x:c>
      <x:c r="E457" s="25" t="str">
        <x:v>宁姆格福誓页</x:v>
      </x:c>
      <x:c r="F457" s="25" t="n">
        <x:v>90</x:v>
      </x:c>
      <x:c r="G457" s="25" t="str">
        <x:v>从C0至当前检查点累计需求；未扣自身未来产出，不代表已有库存</x:v>
      </x:c>
    </x:row>
    <x:row r="458">
      <x:c r="A458" s="25" t="str">
        <x:v>C05-E</x:v>
      </x:c>
      <x:c r="B458" s="25" t="str">
        <x:v>湖之利耶尼亚</x:v>
      </x:c>
      <x:c r="C458" s="25" t="str">
        <x:v>半急速入场</x:v>
      </x:c>
      <x:c r="D458" s="25" t="str">
        <x:v>材料</x:v>
      </x:c>
      <x:c r="E458" s="25" t="str">
        <x:v>小卢恩</x:v>
      </x:c>
      <x:c r="F458" s="25" t="n">
        <x:v>250</x:v>
      </x:c>
      <x:c r="G458" s="25" t="str">
        <x:v>从C0至当前检查点累计需求；未扣自身未来产出，不代表已有库存</x:v>
      </x:c>
    </x:row>
    <x:row r="459">
      <x:c r="A459" s="25" t="str">
        <x:v>C05-E</x:v>
      </x:c>
      <x:c r="B459" s="25" t="str">
        <x:v>湖之利耶尼亚</x:v>
      </x:c>
      <x:c r="C459" s="25" t="str">
        <x:v>半急速入场</x:v>
      </x:c>
      <x:c r="D459" s="25" t="str">
        <x:v>材料</x:v>
      </x:c>
      <x:c r="E459" s="25" t="str">
        <x:v>山妖王角</x:v>
      </x:c>
      <x:c r="F459" s="25" t="n">
        <x:v>2</x:v>
      </x:c>
      <x:c r="G459" s="25" t="str">
        <x:v>从C0至当前检查点累计需求；未扣自身未来产出，不代表已有库存</x:v>
      </x:c>
    </x:row>
    <x:row r="460">
      <x:c r="A460" s="25" t="str">
        <x:v>C05-E</x:v>
      </x:c>
      <x:c r="B460" s="25" t="str">
        <x:v>湖之利耶尼亚</x:v>
      </x:c>
      <x:c r="C460" s="25" t="str">
        <x:v>半急速入场</x:v>
      </x:c>
      <x:c r="D460" s="25" t="str">
        <x:v>材料</x:v>
      </x:c>
      <x:c r="E460" s="25" t="str">
        <x:v>幽船铆钉</x:v>
      </x:c>
      <x:c r="F460" s="25" t="n">
        <x:v>21</x:v>
      </x:c>
      <x:c r="G460" s="25" t="str">
        <x:v>从C0至当前检查点累计需求；未扣自身未来产出，不代表已有库存</x:v>
      </x:c>
    </x:row>
    <x:row r="461">
      <x:c r="A461" s="25" t="str">
        <x:v>C05-E</x:v>
      </x:c>
      <x:c r="B461" s="25" t="str">
        <x:v>湖之利耶尼亚</x:v>
      </x:c>
      <x:c r="C461" s="25" t="str">
        <x:v>半急速入场</x:v>
      </x:c>
      <x:c r="D461" s="25" t="str">
        <x:v>材料</x:v>
      </x:c>
      <x:c r="E461" s="25" t="str">
        <x:v>恶兆残角</x:v>
      </x:c>
      <x:c r="F461" s="25" t="n">
        <x:v>1</x:v>
      </x:c>
      <x:c r="G461" s="25" t="str">
        <x:v>从C0至当前检查点累计需求；未扣自身未来产出，不代表已有库存</x:v>
      </x:c>
    </x:row>
    <x:row r="462">
      <x:c r="A462" s="25" t="str">
        <x:v>C05-E</x:v>
      </x:c>
      <x:c r="B462" s="25" t="str">
        <x:v>湖之利耶尼亚</x:v>
      </x:c>
      <x:c r="C462" s="25" t="str">
        <x:v>半急速入场</x:v>
      </x:c>
      <x:c r="D462" s="25" t="str">
        <x:v>材料</x:v>
      </x:c>
      <x:c r="E462" s="25" t="str">
        <x:v>技能残页</x:v>
      </x:c>
      <x:c r="F462" s="25" t="n">
        <x:v>1350</x:v>
      </x:c>
      <x:c r="G462" s="25" t="str">
        <x:v>从C0至当前检查点累计需求；未扣自身未来产出，不代表已有库存</x:v>
      </x:c>
    </x:row>
    <x:row r="463">
      <x:c r="A463" s="25" t="str">
        <x:v>C05-E</x:v>
      </x:c>
      <x:c r="B463" s="25" t="str">
        <x:v>湖之利耶尼亚</x:v>
      </x:c>
      <x:c r="C463" s="25" t="str">
        <x:v>半急速入场</x:v>
      </x:c>
      <x:c r="D463" s="25" t="str">
        <x:v>材料</x:v>
      </x:c>
      <x:c r="E463" s="25" t="str">
        <x:v>接肢兽心</x:v>
      </x:c>
      <x:c r="F463" s="25" t="n">
        <x:v>2</x:v>
      </x:c>
      <x:c r="G463" s="25" t="str">
        <x:v>从C0至当前检查点累计需求；未扣自身未来产出，不代表已有库存</x:v>
      </x:c>
    </x:row>
    <x:row r="464">
      <x:c r="A464" s="25" t="str">
        <x:v>C05-E</x:v>
      </x:c>
      <x:c r="B464" s="25" t="str">
        <x:v>湖之利耶尼亚</x:v>
      </x:c>
      <x:c r="C464" s="25" t="str">
        <x:v>半急速入场</x:v>
      </x:c>
      <x:c r="D464" s="25" t="str">
        <x:v>材料</x:v>
      </x:c>
      <x:c r="E464" s="25" t="str">
        <x:v>接肢王印</x:v>
      </x:c>
      <x:c r="F464" s="25" t="n">
        <x:v>13</x:v>
      </x:c>
      <x:c r="G464" s="25" t="str">
        <x:v>从C0至当前检查点累计需求；未扣自身未来产出，不代表已有库存</x:v>
      </x:c>
    </x:row>
    <x:row r="465">
      <x:c r="A465" s="25" t="str">
        <x:v>C05-E</x:v>
      </x:c>
      <x:c r="B465" s="25" t="str">
        <x:v>湖之利耶尼亚</x:v>
      </x:c>
      <x:c r="C465" s="25" t="str">
        <x:v>半急速入场</x:v>
      </x:c>
      <x:c r="D465" s="25" t="str">
        <x:v>材料</x:v>
      </x:c>
      <x:c r="E465" s="25" t="str">
        <x:v>接肢王魂</x:v>
      </x:c>
      <x:c r="F465" s="25" t="n">
        <x:v>1</x:v>
      </x:c>
      <x:c r="G465" s="25" t="str">
        <x:v>从C0至当前检查点累计需求；未扣自身未来产出，不代表已有库存</x:v>
      </x:c>
    </x:row>
    <x:row r="466">
      <x:c r="A466" s="25" t="str">
        <x:v>C05-E</x:v>
      </x:c>
      <x:c r="B466" s="25" t="str">
        <x:v>湖之利耶尼亚</x:v>
      </x:c>
      <x:c r="C466" s="25" t="str">
        <x:v>半急速入场</x:v>
      </x:c>
      <x:c r="D466" s="25" t="str">
        <x:v>材料</x:v>
      </x:c>
      <x:c r="E466" s="25" t="str">
        <x:v>树卫枪穗</x:v>
      </x:c>
      <x:c r="F466" s="25" t="n">
        <x:v>1</x:v>
      </x:c>
      <x:c r="G466" s="25" t="str">
        <x:v>从C0至当前检查点累计需求；未扣自身未来产出，不代表已有库存</x:v>
      </x:c>
    </x:row>
    <x:row r="467">
      <x:c r="A467" s="25" t="str">
        <x:v>C05-E</x:v>
      </x:c>
      <x:c r="B467" s="25" t="str">
        <x:v>湖之利耶尼亚</x:v>
      </x:c>
      <x:c r="C467" s="25" t="str">
        <x:v>半急速入场</x:v>
      </x:c>
      <x:c r="D467" s="25" t="str">
        <x:v>材料</x:v>
      </x:c>
      <x:c r="E467" s="25" t="str">
        <x:v>死亡仪羽</x:v>
      </x:c>
      <x:c r="F467" s="25" t="n">
        <x:v>2</x:v>
      </x:c>
      <x:c r="G467" s="25" t="str">
        <x:v>从C0至当前检查点累计需求；未扣自身未来产出，不代表已有库存</x:v>
      </x:c>
    </x:row>
    <x:row r="468">
      <x:c r="A468" s="25" t="str">
        <x:v>C05-E</x:v>
      </x:c>
      <x:c r="B468" s="25" t="str">
        <x:v>湖之利耶尼亚</x:v>
      </x:c>
      <x:c r="C468" s="25" t="str">
        <x:v>半急速入场</x:v>
      </x:c>
      <x:c r="D468" s="25" t="str">
        <x:v>材料</x:v>
      </x:c>
      <x:c r="E468" s="25" t="str">
        <x:v>沉湖王印</x:v>
      </x:c>
      <x:c r="F468" s="25" t="n">
        <x:v>16</x:v>
      </x:c>
      <x:c r="G468" s="25" t="str">
        <x:v>从C0至当前检查点累计需求；未扣自身未来产出，不代表已有库存</x:v>
      </x:c>
    </x:row>
    <x:row r="469">
      <x:c r="A469" s="25" t="str">
        <x:v>C05-E</x:v>
      </x:c>
      <x:c r="B469" s="25" t="str">
        <x:v>湖之利耶尼亚</x:v>
      </x:c>
      <x:c r="C469" s="25" t="str">
        <x:v>半急速入场</x:v>
      </x:c>
      <x:c r="D469" s="25" t="str">
        <x:v>材料</x:v>
      </x:c>
      <x:c r="E469" s="25" t="str">
        <x:v>沉船缆扣</x:v>
      </x:c>
      <x:c r="F469" s="25" t="n">
        <x:v>12</x:v>
      </x:c>
      <x:c r="G469" s="25" t="str">
        <x:v>从C0至当前检查点累计需求；未扣自身未来产出，不代表已有库存</x:v>
      </x:c>
    </x:row>
    <x:row r="470">
      <x:c r="A470" s="25" t="str">
        <x:v>C05-E</x:v>
      </x:c>
      <x:c r="B470" s="25" t="str">
        <x:v>湖之利耶尼亚</x:v>
      </x:c>
      <x:c r="C470" s="25" t="str">
        <x:v>半急速入场</x:v>
      </x:c>
      <x:c r="D470" s="25" t="str">
        <x:v>材料</x:v>
      </x:c>
      <x:c r="E470" s="25" t="str">
        <x:v>海蚀铁片</x:v>
      </x:c>
      <x:c r="F470" s="25" t="n">
        <x:v>160</x:v>
      </x:c>
      <x:c r="G470" s="25" t="str">
        <x:v>从C0至当前检查点累计需求；未扣自身未来产出，不代表已有库存</x:v>
      </x:c>
    </x:row>
    <x:row r="471">
      <x:c r="A471" s="25" t="str">
        <x:v>C05-E</x:v>
      </x:c>
      <x:c r="B471" s="25" t="str">
        <x:v>湖之利耶尼亚</x:v>
      </x:c>
      <x:c r="C471" s="25" t="str">
        <x:v>半急速入场</x:v>
      </x:c>
      <x:c r="D471" s="25" t="str">
        <x:v>材料</x:v>
      </x:c>
      <x:c r="E471" s="25" t="str">
        <x:v>湖底封门珠</x:v>
      </x:c>
      <x:c r="F471" s="25" t="n">
        <x:v>4</x:v>
      </x:c>
      <x:c r="G471" s="25" t="str">
        <x:v>从C0至当前检查点累计需求；未扣自身未来产出，不代表已有库存</x:v>
      </x:c>
    </x:row>
    <x:row r="472">
      <x:c r="A472" s="25" t="str">
        <x:v>C05-E</x:v>
      </x:c>
      <x:c r="B472" s="25" t="str">
        <x:v>湖之利耶尼亚</x:v>
      </x:c>
      <x:c r="C472" s="25" t="str">
        <x:v>半急速入场</x:v>
      </x:c>
      <x:c r="D472" s="25" t="str">
        <x:v>材料</x:v>
      </x:c>
      <x:c r="E472" s="25" t="str">
        <x:v>湖盐结晶</x:v>
      </x:c>
      <x:c r="F472" s="25" t="n">
        <x:v>1167</x:v>
      </x:c>
      <x:c r="G472" s="25" t="str">
        <x:v>从C0至当前检查点累计需求；未扣自身未来产出，不代表已有库存</x:v>
      </x:c>
    </x:row>
    <x:row r="473">
      <x:c r="A473" s="25" t="str">
        <x:v>C05-E</x:v>
      </x:c>
      <x:c r="B473" s="25" t="str">
        <x:v>湖之利耶尼亚</x:v>
      </x:c>
      <x:c r="C473" s="25" t="str">
        <x:v>半急速入场</x:v>
      </x:c>
      <x:c r="D473" s="25" t="str">
        <x:v>材料</x:v>
      </x:c>
      <x:c r="E473" s="25" t="str">
        <x:v>溃烂树核</x:v>
      </x:c>
      <x:c r="F473" s="25" t="n">
        <x:v>1</x:v>
      </x:c>
      <x:c r="G473" s="25" t="str">
        <x:v>从C0至当前检查点累计需求；未扣自身未来产出，不代表已有库存</x:v>
      </x:c>
    </x:row>
    <x:row r="474">
      <x:c r="A474" s="25" t="str">
        <x:v>C05-E</x:v>
      </x:c>
      <x:c r="B474" s="25" t="str">
        <x:v>湖之利耶尼亚</x:v>
      </x:c>
      <x:c r="C474" s="25" t="str">
        <x:v>半急速入场</x:v>
      </x:c>
      <x:c r="D474" s="25" t="str">
        <x:v>材料</x:v>
      </x:c>
      <x:c r="E474" s="25" t="str">
        <x:v>漂流大陆印记</x:v>
      </x:c>
      <x:c r="F474" s="25" t="n">
        <x:v>11</x:v>
      </x:c>
      <x:c r="G474" s="25" t="str">
        <x:v>从C0至当前检查点累计需求；未扣自身未来产出，不代表已有库存</x:v>
      </x:c>
    </x:row>
    <x:row r="475">
      <x:c r="A475" s="25" t="str">
        <x:v>C05-E</x:v>
      </x:c>
      <x:c r="B475" s="25" t="str">
        <x:v>湖之利耶尼亚</x:v>
      </x:c>
      <x:c r="C475" s="25" t="str">
        <x:v>半急速入场</x:v>
      </x:c>
      <x:c r="D475" s="25" t="str">
        <x:v>材料</x:v>
      </x:c>
      <x:c r="E475" s="25" t="str">
        <x:v>漂流见证·潮</x:v>
      </x:c>
      <x:c r="F475" s="25" t="n">
        <x:v>8</x:v>
      </x:c>
      <x:c r="G475" s="25" t="str">
        <x:v>从C0至当前检查点累计需求；未扣自身未来产出，不代表已有库存</x:v>
      </x:c>
    </x:row>
    <x:row r="476">
      <x:c r="A476" s="25" t="str">
        <x:v>C05-E</x:v>
      </x:c>
      <x:c r="B476" s="25" t="str">
        <x:v>湖之利耶尼亚</x:v>
      </x:c>
      <x:c r="C476" s="25" t="str">
        <x:v>半急速入场</x:v>
      </x:c>
      <x:c r="D476" s="25" t="str">
        <x:v>材料</x:v>
      </x:c>
      <x:c r="E476" s="25" t="str">
        <x:v>漂流见证·雷</x:v>
      </x:c>
      <x:c r="F476" s="25" t="n">
        <x:v>8</x:v>
      </x:c>
      <x:c r="G476" s="25" t="str">
        <x:v>从C0至当前检查点累计需求；未扣自身未来产出，不代表已有库存</x:v>
      </x:c>
    </x:row>
    <x:row r="477">
      <x:c r="A477" s="25" t="str">
        <x:v>C05-E</x:v>
      </x:c>
      <x:c r="B477" s="25" t="str">
        <x:v>湖之利耶尼亚</x:v>
      </x:c>
      <x:c r="C477" s="25" t="str">
        <x:v>半急速入场</x:v>
      </x:c>
      <x:c r="D477" s="25" t="str">
        <x:v>材料</x:v>
      </x:c>
      <x:c r="E477" s="25" t="str">
        <x:v>潮痕结晶</x:v>
      </x:c>
      <x:c r="F477" s="25" t="n">
        <x:v>16</x:v>
      </x:c>
      <x:c r="G477" s="25" t="str">
        <x:v>从C0至当前检查点累计需求；未扣自身未来产出，不代表已有库存</x:v>
      </x:c>
    </x:row>
    <x:row r="478">
      <x:c r="A478" s="25" t="str">
        <x:v>C05-E</x:v>
      </x:c>
      <x:c r="B478" s="25" t="str">
        <x:v>湖之利耶尼亚</x:v>
      </x:c>
      <x:c r="C478" s="25" t="str">
        <x:v>半急速入场</x:v>
      </x:c>
      <x:c r="D478" s="25" t="str">
        <x:v>材料</x:v>
      </x:c>
      <x:c r="E478" s="25" t="str">
        <x:v>熊王心脏</x:v>
      </x:c>
      <x:c r="F478" s="25" t="n">
        <x:v>2</x:v>
      </x:c>
      <x:c r="G478" s="25" t="str">
        <x:v>从C0至当前检查点累计需求；未扣自身未来产出，不代表已有库存</x:v>
      </x:c>
    </x:row>
    <x:row r="479">
      <x:c r="A479" s="25" t="str">
        <x:v>C05-E</x:v>
      </x:c>
      <x:c r="B479" s="25" t="str">
        <x:v>湖之利耶尼亚</x:v>
      </x:c>
      <x:c r="C479" s="25" t="str">
        <x:v>半急速入场</x:v>
      </x:c>
      <x:c r="D479" s="25" t="str">
        <x:v>材料</x:v>
      </x:c>
      <x:c r="E479" s="25" t="str">
        <x:v>熔炉角片</x:v>
      </x:c>
      <x:c r="F479" s="25" t="n">
        <x:v>1</x:v>
      </x:c>
      <x:c r="G479" s="25" t="str">
        <x:v>从C0至当前检查点累计需求；未扣自身未来产出，不代表已有库存</x:v>
      </x:c>
    </x:row>
    <x:row r="480">
      <x:c r="A480" s="25" t="str">
        <x:v>C05-E</x:v>
      </x:c>
      <x:c r="B480" s="25" t="str">
        <x:v>湖之利耶尼亚</x:v>
      </x:c>
      <x:c r="C480" s="25" t="str">
        <x:v>半急速入场</x:v>
      </x:c>
      <x:c r="D480" s="25" t="str">
        <x:v>材料</x:v>
      </x:c>
      <x:c r="E480" s="25" t="str">
        <x:v>王城军印</x:v>
      </x:c>
      <x:c r="F480" s="25" t="n">
        <x:v>1</x:v>
      </x:c>
      <x:c r="G480" s="25" t="str">
        <x:v>从C0至当前检查点累计需求；未扣自身未来产出，不代表已有库存</x:v>
      </x:c>
    </x:row>
    <x:row r="481">
      <x:c r="A481" s="25" t="str">
        <x:v>C05-E</x:v>
      </x:c>
      <x:c r="B481" s="25" t="str">
        <x:v>湖之利耶尼亚</x:v>
      </x:c>
      <x:c r="C481" s="25" t="str">
        <x:v>半急速入场</x:v>
      </x:c>
      <x:c r="D481" s="25" t="str">
        <x:v>材料</x:v>
      </x:c>
      <x:c r="E481" s="25" t="str">
        <x:v>看门犬石心</x:v>
      </x:c>
      <x:c r="F481" s="25" t="n">
        <x:v>2</x:v>
      </x:c>
      <x:c r="G481" s="25" t="str">
        <x:v>从C0至当前检查点累计需求；未扣自身未来产出，不代表已有库存</x:v>
      </x:c>
    </x:row>
    <x:row r="482">
      <x:c r="A482" s="25" t="str">
        <x:v>C05-E</x:v>
      </x:c>
      <x:c r="B482" s="25" t="str">
        <x:v>湖之利耶尼亚</x:v>
      </x:c>
      <x:c r="C482" s="25" t="str">
        <x:v>半急速入场</x:v>
      </x:c>
      <x:c r="D482" s="25" t="str">
        <x:v>材料</x:v>
      </x:c>
      <x:c r="E482" s="25" t="str">
        <x:v>神秘符文</x:v>
      </x:c>
      <x:c r="F482" s="25" t="n">
        <x:v>200</x:v>
      </x:c>
      <x:c r="G482" s="25" t="str">
        <x:v>从C0至当前检查点累计需求；未扣自身未来产出，不代表已有库存</x:v>
      </x:c>
    </x:row>
    <x:row r="483">
      <x:c r="A483" s="25" t="str">
        <x:v>C05-E</x:v>
      </x:c>
      <x:c r="B483" s="25" t="str">
        <x:v>湖之利耶尼亚</x:v>
      </x:c>
      <x:c r="C483" s="25" t="str">
        <x:v>半急速入场</x:v>
      </x:c>
      <x:c r="D483" s="25" t="str">
        <x:v>材料</x:v>
      </x:c>
      <x:c r="E483" s="25" t="str">
        <x:v>腐根魂结</x:v>
      </x:c>
      <x:c r="F483" s="25" t="n">
        <x:v>2</x:v>
      </x:c>
      <x:c r="G483" s="25" t="str">
        <x:v>从C0至当前检查点累计需求；未扣自身未来产出，不代表已有库存</x:v>
      </x:c>
    </x:row>
    <x:row r="484">
      <x:c r="A484" s="25" t="str">
        <x:v>C05-E</x:v>
      </x:c>
      <x:c r="B484" s="25" t="str">
        <x:v>湖之利耶尼亚</x:v>
      </x:c>
      <x:c r="C484" s="25" t="str">
        <x:v>半急速入场</x:v>
      </x:c>
      <x:c r="D484" s="25" t="str">
        <x:v>材料</x:v>
      </x:c>
      <x:c r="E484" s="25" t="str">
        <x:v>裂风崖羽</x:v>
      </x:c>
      <x:c r="F484" s="25" t="n">
        <x:v>80</x:v>
      </x:c>
      <x:c r="G484" s="25" t="str">
        <x:v>从C0至当前检查点累计需求；未扣自身未来产出，不代表已有库存</x:v>
      </x:c>
    </x:row>
    <x:row r="485">
      <x:c r="A485" s="25" t="str">
        <x:v>C05-E</x:v>
      </x:c>
      <x:c r="B485" s="25" t="str">
        <x:v>湖之利耶尼亚</x:v>
      </x:c>
      <x:c r="C485" s="25" t="str">
        <x:v>半急速入场</x:v>
      </x:c>
      <x:c r="D485" s="25" t="str">
        <x:v>材料</x:v>
      </x:c>
      <x:c r="E485" s="25" t="str">
        <x:v>西境战旗</x:v>
      </x:c>
      <x:c r="F485" s="25" t="n">
        <x:v>20</x:v>
      </x:c>
      <x:c r="G485" s="25" t="str">
        <x:v>从C0至当前检查点累计需求；未扣自身未来产出，不代表已有库存</x:v>
      </x:c>
    </x:row>
    <x:row r="486">
      <x:c r="A486" s="25" t="str">
        <x:v>C05-E</x:v>
      </x:c>
      <x:c r="B486" s="25" t="str">
        <x:v>湖之利耶尼亚</x:v>
      </x:c>
      <x:c r="C486" s="25" t="str">
        <x:v>半急速入场</x:v>
      </x:c>
      <x:c r="D486" s="25" t="str">
        <x:v>材料</x:v>
      </x:c>
      <x:c r="E486" s="25" t="str">
        <x:v>西境战旗印</x:v>
      </x:c>
      <x:c r="F486" s="25" t="n">
        <x:v>13</x:v>
      </x:c>
      <x:c r="G486" s="25" t="str">
        <x:v>从C0至当前检查点累计需求；未扣自身未来产出，不代表已有库存</x:v>
      </x:c>
    </x:row>
    <x:row r="487">
      <x:c r="A487" s="25" t="str">
        <x:v>C05-E</x:v>
      </x:c>
      <x:c r="B487" s="25" t="str">
        <x:v>湖之利耶尼亚</x:v>
      </x:c>
      <x:c r="C487" s="25" t="str">
        <x:v>半急速入场</x:v>
      </x:c>
      <x:c r="D487" s="25" t="str">
        <x:v>材料</x:v>
      </x:c>
      <x:c r="E487" s="25" t="str">
        <x:v>西境风痕碑拓</x:v>
      </x:c>
      <x:c r="F487" s="25" t="n">
        <x:v>1</x:v>
      </x:c>
      <x:c r="G487" s="25" t="str">
        <x:v>从C0至当前检查点累计需求；未扣自身未来产出，不代表已有库存</x:v>
      </x:c>
    </x:row>
    <x:row r="488">
      <x:c r="A488" s="25" t="str">
        <x:v>C05-E</x:v>
      </x:c>
      <x:c r="B488" s="25" t="str">
        <x:v>湖之利耶尼亚</x:v>
      </x:c>
      <x:c r="C488" s="25" t="str">
        <x:v>半急速入场</x:v>
      </x:c>
      <x:c r="D488" s="25" t="str">
        <x:v>材料</x:v>
      </x:c>
      <x:c r="E488" s="25" t="str">
        <x:v>贵胄断指</x:v>
      </x:c>
      <x:c r="F488" s="25" t="n">
        <x:v>1</x:v>
      </x:c>
      <x:c r="G488" s="25" t="str">
        <x:v>从C0至当前检查点累计需求；未扣自身未来产出，不代表已有库存</x:v>
      </x:c>
    </x:row>
    <x:row r="489">
      <x:c r="A489" s="25" t="str">
        <x:v>C05-E</x:v>
      </x:c>
      <x:c r="B489" s="25" t="str">
        <x:v>湖之利耶尼亚</x:v>
      </x:c>
      <x:c r="C489" s="25" t="str">
        <x:v>半急速入场</x:v>
      </x:c>
      <x:c r="D489" s="25" t="str">
        <x:v>材料</x:v>
      </x:c>
      <x:c r="E489" s="25" t="str">
        <x:v>野兽骨片</x:v>
      </x:c>
      <x:c r="F489" s="25" t="n">
        <x:v>9040</x:v>
      </x:c>
      <x:c r="G489" s="25" t="str">
        <x:v>从C0至当前检查点累计需求；未扣自身未来产出，不代表已有库存</x:v>
      </x:c>
    </x:row>
    <x:row r="490">
      <x:c r="A490" s="25" t="str">
        <x:v>C05-E</x:v>
      </x:c>
      <x:c r="B490" s="25" t="str">
        <x:v>湖之利耶尼亚</x:v>
      </x:c>
      <x:c r="C490" s="25" t="str">
        <x:v>半急速入场</x:v>
      </x:c>
      <x:c r="D490" s="25" t="str">
        <x:v>材料</x:v>
      </x:c>
      <x:c r="E490" s="25" t="str">
        <x:v>雾潮银鳞</x:v>
      </x:c>
      <x:c r="F490" s="25" t="n">
        <x:v>162</x:v>
      </x:c>
      <x:c r="G490" s="25" t="str">
        <x:v>从C0至当前检查点累计需求；未扣自身未来产出，不代表已有库存</x:v>
      </x:c>
    </x:row>
    <x:row r="491">
      <x:c r="A491" s="25" t="str">
        <x:v>C05-E</x:v>
      </x:c>
      <x:c r="B491" s="25" t="str">
        <x:v>湖之利耶尼亚</x:v>
      </x:c>
      <x:c r="C491" s="25" t="str">
        <x:v>半急速入场</x:v>
      </x:c>
      <x:c r="D491" s="25" t="str">
        <x:v>材料</x:v>
      </x:c>
      <x:c r="E491" s="25" t="str">
        <x:v>风暴王核</x:v>
      </x:c>
      <x:c r="F491" s="25" t="n">
        <x:v>1</x:v>
      </x:c>
      <x:c r="G491" s="25" t="str">
        <x:v>从C0至当前检查点累计需求；未扣自身未来产出，不代表已有库存</x:v>
      </x:c>
    </x:row>
    <x:row r="492">
      <x:c r="A492" s="25" t="str">
        <x:v>C05-E</x:v>
      </x:c>
      <x:c r="B492" s="25" t="str">
        <x:v>湖之利耶尼亚</x:v>
      </x:c>
      <x:c r="C492" s="25" t="str">
        <x:v>半急速入场</x:v>
      </x:c>
      <x:c r="D492" s="25" t="str">
        <x:v>材料</x:v>
      </x:c>
      <x:c r="E492" s="25" t="str">
        <x:v>风暴石片</x:v>
      </x:c>
      <x:c r="F492" s="25" t="n">
        <x:v>370</x:v>
      </x:c>
      <x:c r="G492" s="25" t="str">
        <x:v>从C0至当前检查点累计需求；未扣自身未来产出，不代表已有库存</x:v>
      </x:c>
    </x:row>
    <x:row r="493">
      <x:c r="A493" s="25" t="str">
        <x:v>C05-E</x:v>
      </x:c>
      <x:c r="B493" s="25" t="str">
        <x:v>湖之利耶尼亚</x:v>
      </x:c>
      <x:c r="C493" s="25" t="str">
        <x:v>半急速入场</x:v>
      </x:c>
      <x:c r="D493" s="25" t="str">
        <x:v>材料</x:v>
      </x:c>
      <x:c r="E493" s="25" t="str">
        <x:v>风蚀铁片</x:v>
      </x:c>
      <x:c r="F493" s="25" t="n">
        <x:v>710</x:v>
      </x:c>
      <x:c r="G493" s="25" t="str">
        <x:v>从C0至当前检查点累计需求；未扣自身未来产出，不代表已有库存</x:v>
      </x:c>
    </x:row>
    <x:row r="494">
      <x:c r="A494" s="25" t="str">
        <x:v>C05-E</x:v>
      </x:c>
      <x:c r="B494" s="25" t="str">
        <x:v>湖之利耶尼亚</x:v>
      </x:c>
      <x:c r="C494" s="25" t="str">
        <x:v>半急速入场</x:v>
      </x:c>
      <x:c r="D494" s="25" t="str">
        <x:v>材料</x:v>
      </x:c>
      <x:c r="E494" s="25" t="str">
        <x:v>黄金树碎核</x:v>
      </x:c>
      <x:c r="F494" s="25" t="n">
        <x:v>2</x:v>
      </x:c>
      <x:c r="G494" s="25" t="str">
        <x:v>从C0至当前检查点累计需求；未扣自身未来产出，不代表已有库存</x:v>
      </x:c>
    </x:row>
    <x:row r="495">
      <x:c r="A495" s="25" t="str">
        <x:v>C05-E</x:v>
      </x:c>
      <x:c r="B495" s="25" t="str">
        <x:v>湖之利耶尼亚</x:v>
      </x:c>
      <x:c r="C495" s="25" t="str">
        <x:v>半急速入场</x:v>
      </x:c>
      <x:c r="D495" s="25" t="str">
        <x:v>材料</x:v>
      </x:c>
      <x:c r="E495" s="25" t="str">
        <x:v>黄金树芽</x:v>
      </x:c>
      <x:c r="F495" s="25" t="n">
        <x:v>297</x:v>
      </x:c>
      <x:c r="G495" s="25" t="str">
        <x:v>从C0至当前检查点累计需求；未扣自身未来产出，不代表已有库存</x:v>
      </x:c>
    </x:row>
    <x:row r="496">
      <x:c r="A496" s="25" t="str">
        <x:v>C05-E</x:v>
      </x:c>
      <x:c r="B496" s="25" t="str">
        <x:v>湖之利耶尼亚</x:v>
      </x:c>
      <x:c r="C496" s="25" t="str">
        <x:v>半急速入场</x:v>
      </x:c>
      <x:c r="D496" s="25" t="str">
        <x:v>材料</x:v>
      </x:c>
      <x:c r="E496" s="25" t="str">
        <x:v>黄金骑徽</x:v>
      </x:c>
      <x:c r="F496" s="25" t="n">
        <x:v>2</x:v>
      </x:c>
      <x:c r="G496" s="25" t="str">
        <x:v>从C0至当前检查点累计需求；未扣自身未来产出，不代表已有库存</x:v>
      </x:c>
    </x:row>
    <x:row r="497">
      <x:c r="A497" s="25" t="str">
        <x:v>C05-E</x:v>
      </x:c>
      <x:c r="B497" s="25" t="str">
        <x:v>湖之利耶尼亚</x:v>
      </x:c>
      <x:c r="C497" s="25" t="str">
        <x:v>半急速入场</x:v>
      </x:c>
      <x:c r="D497" s="25" t="str">
        <x:v>装备实物</x:v>
      </x:c>
      <x:c r="E497" s="25" t="str">
        <x:v>共229个精确名称（明细见JSON）</x:v>
      </x:c>
      <x:c r="F497" s="25" t="n">
        <x:v>309</x:v>
      </x:c>
      <x:c r="G497" s="25" t="str">
        <x:v>含穿戴、重复试洗、图鉴登记与合成前置；完整数据未省略</x:v>
      </x:c>
    </x:row>
    <x:row r="498">
      <x:c r="A498" s="25" t="str">
        <x:v>C05-M</x:v>
      </x:c>
      <x:c r="B498" s="25" t="str">
        <x:v>湖之利耶尼亚</x:v>
      </x:c>
      <x:c r="C498" s="25" t="str">
        <x:v>半急速中期</x:v>
      </x:c>
      <x:c r="D498" s="25" t="str">
        <x:v>材料</x:v>
      </x:c>
      <x:c r="E498" s="25" t="str">
        <x:v>兽将脊骨</x:v>
      </x:c>
      <x:c r="F498" s="25" t="n">
        <x:v>1</x:v>
      </x:c>
      <x:c r="G498" s="25" t="str">
        <x:v>从C0至当前检查点累计需求；未扣自身未来产出，不代表已有库存</x:v>
      </x:c>
    </x:row>
    <x:row r="499">
      <x:c r="A499" s="25" t="str">
        <x:v>C05-M</x:v>
      </x:c>
      <x:c r="B499" s="25" t="str">
        <x:v>湖之利耶尼亚</x:v>
      </x:c>
      <x:c r="C499" s="25" t="str">
        <x:v>半急速中期</x:v>
      </x:c>
      <x:c r="D499" s="25" t="str">
        <x:v>材料</x:v>
      </x:c>
      <x:c r="E499" s="25" t="str">
        <x:v>哨垒旗冠</x:v>
      </x:c>
      <x:c r="F499" s="25" t="n">
        <x:v>3</x:v>
      </x:c>
      <x:c r="G499" s="25" t="str">
        <x:v>从C0至当前检查点累计需求；未扣自身未来产出，不代表已有库存</x:v>
      </x:c>
    </x:row>
    <x:row r="500">
      <x:c r="A500" s="25" t="str">
        <x:v>C05-M</x:v>
      </x:c>
      <x:c r="B500" s="25" t="str">
        <x:v>湖之利耶尼亚</x:v>
      </x:c>
      <x:c r="C500" s="25" t="str">
        <x:v>半急速中期</x:v>
      </x:c>
      <x:c r="D500" s="25" t="str">
        <x:v>材料</x:v>
      </x:c>
      <x:c r="E500" s="25" t="str">
        <x:v>唤船骨铃</x:v>
      </x:c>
      <x:c r="F500" s="25" t="n">
        <x:v>1</x:v>
      </x:c>
      <x:c r="G500" s="25" t="str">
        <x:v>从C0至当前检查点累计需求；未扣自身未来产出，不代表已有库存</x:v>
      </x:c>
    </x:row>
    <x:row r="501">
      <x:c r="A501" s="25" t="str">
        <x:v>C05-M</x:v>
      </x:c>
      <x:c r="B501" s="25" t="str">
        <x:v>湖之利耶尼亚</x:v>
      </x:c>
      <x:c r="C501" s="25" t="str">
        <x:v>半急速中期</x:v>
      </x:c>
      <x:c r="D501" s="25" t="str">
        <x:v>材料</x:v>
      </x:c>
      <x:c r="E501" s="25" t="str">
        <x:v>商队火漆</x:v>
      </x:c>
      <x:c r="F501" s="25" t="n">
        <x:v>20</x:v>
      </x:c>
      <x:c r="G501" s="25" t="str">
        <x:v>从C0至当前检查点累计需求；未扣自身未来产出，不代表已有库存</x:v>
      </x:c>
    </x:row>
    <x:row r="502">
      <x:c r="A502" s="25" t="str">
        <x:v>C05-M</x:v>
      </x:c>
      <x:c r="B502" s="25" t="str">
        <x:v>湖之利耶尼亚</x:v>
      </x:c>
      <x:c r="C502" s="25" t="str">
        <x:v>半急速中期</x:v>
      </x:c>
      <x:c r="D502" s="25" t="str">
        <x:v>材料</x:v>
      </x:c>
      <x:c r="E502" s="25" t="str">
        <x:v>夜骑黑印</x:v>
      </x:c>
      <x:c r="F502" s="25" t="n">
        <x:v>1</x:v>
      </x:c>
      <x:c r="G502" s="25" t="str">
        <x:v>从C0至当前检查点累计需求；未扣自身未来产出，不代表已有库存</x:v>
      </x:c>
    </x:row>
    <x:row r="503">
      <x:c r="A503" s="25" t="str">
        <x:v>C05-M</x:v>
      </x:c>
      <x:c r="B503" s="25" t="str">
        <x:v>湖之利耶尼亚</x:v>
      </x:c>
      <x:c r="C503" s="25" t="str">
        <x:v>半急速中期</x:v>
      </x:c>
      <x:c r="D503" s="25" t="str">
        <x:v>材料</x:v>
      </x:c>
      <x:c r="E503" s="25" t="str">
        <x:v>失乡军令</x:v>
      </x:c>
      <x:c r="F503" s="25" t="n">
        <x:v>2</x:v>
      </x:c>
      <x:c r="G503" s="25" t="str">
        <x:v>从C0至当前检查点累计需求；未扣自身未来产出，不代表已有库存</x:v>
      </x:c>
    </x:row>
    <x:row r="504">
      <x:c r="A504" s="25" t="str">
        <x:v>C05-M</x:v>
      </x:c>
      <x:c r="B504" s="25" t="str">
        <x:v>湖之利耶尼亚</x:v>
      </x:c>
      <x:c r="C504" s="25" t="str">
        <x:v>半急速中期</x:v>
      </x:c>
      <x:c r="D504" s="25" t="str">
        <x:v>材料</x:v>
      </x:c>
      <x:c r="E504" s="25" t="str">
        <x:v>失乡统帅徽</x:v>
      </x:c>
      <x:c r="F504" s="25" t="n">
        <x:v>2</x:v>
      </x:c>
      <x:c r="G504" s="25" t="str">
        <x:v>从C0至当前检查点累计需求；未扣自身未来产出，不代表已有库存</x:v>
      </x:c>
    </x:row>
    <x:row r="505">
      <x:c r="A505" s="25" t="str">
        <x:v>C05-M</x:v>
      </x:c>
      <x:c r="B505" s="25" t="str">
        <x:v>湖之利耶尼亚</x:v>
      </x:c>
      <x:c r="C505" s="25" t="str">
        <x:v>半急速中期</x:v>
      </x:c>
      <x:c r="D505" s="25" t="str">
        <x:v>材料</x:v>
      </x:c>
      <x:c r="E505" s="25" t="str">
        <x:v>失色锻造石</x:v>
      </x:c>
      <x:c r="F505" s="25" t="n">
        <x:v>8820</x:v>
      </x:c>
      <x:c r="G505" s="25" t="str">
        <x:v>从C0至当前检查点累计需求；未扣自身未来产出，不代表已有库存</x:v>
      </x:c>
    </x:row>
    <x:row r="506">
      <x:c r="A506" s="25" t="str">
        <x:v>C05-M</x:v>
      </x:c>
      <x:c r="B506" s="25" t="str">
        <x:v>湖之利耶尼亚</x:v>
      </x:c>
      <x:c r="C506" s="25" t="str">
        <x:v>半急速中期</x:v>
      </x:c>
      <x:c r="D506" s="25" t="str">
        <x:v>材料</x:v>
      </x:c>
      <x:c r="E506" s="25" t="str">
        <x:v>学院封蜡</x:v>
      </x:c>
      <x:c r="F506" s="25" t="n">
        <x:v>24</x:v>
      </x:c>
      <x:c r="G506" s="25" t="str">
        <x:v>从C0至当前检查点累计需求；未扣自身未来产出，不代表已有库存</x:v>
      </x:c>
    </x:row>
    <x:row r="507">
      <x:c r="A507" s="25" t="str">
        <x:v>C05-M</x:v>
      </x:c>
      <x:c r="B507" s="25" t="str">
        <x:v>湖之利耶尼亚</x:v>
      </x:c>
      <x:c r="C507" s="25" t="str">
        <x:v>半急速中期</x:v>
      </x:c>
      <x:c r="D507" s="25" t="str">
        <x:v>材料</x:v>
      </x:c>
      <x:c r="E507" s="25" t="str">
        <x:v>宁姆格福誓页</x:v>
      </x:c>
      <x:c r="F507" s="25" t="n">
        <x:v>90</x:v>
      </x:c>
      <x:c r="G507" s="25" t="str">
        <x:v>从C0至当前检查点累计需求；未扣自身未来产出，不代表已有库存</x:v>
      </x:c>
    </x:row>
    <x:row r="508">
      <x:c r="A508" s="25" t="str">
        <x:v>C05-M</x:v>
      </x:c>
      <x:c r="B508" s="25" t="str">
        <x:v>湖之利耶尼亚</x:v>
      </x:c>
      <x:c r="C508" s="25" t="str">
        <x:v>半急速中期</x:v>
      </x:c>
      <x:c r="D508" s="25" t="str">
        <x:v>材料</x:v>
      </x:c>
      <x:c r="E508" s="25" t="str">
        <x:v>小卢恩</x:v>
      </x:c>
      <x:c r="F508" s="25" t="n">
        <x:v>250</x:v>
      </x:c>
      <x:c r="G508" s="25" t="str">
        <x:v>从C0至当前检查点累计需求；未扣自身未来产出，不代表已有库存</x:v>
      </x:c>
    </x:row>
    <x:row r="509">
      <x:c r="A509" s="25" t="str">
        <x:v>C05-M</x:v>
      </x:c>
      <x:c r="B509" s="25" t="str">
        <x:v>湖之利耶尼亚</x:v>
      </x:c>
      <x:c r="C509" s="25" t="str">
        <x:v>半急速中期</x:v>
      </x:c>
      <x:c r="D509" s="25" t="str">
        <x:v>材料</x:v>
      </x:c>
      <x:c r="E509" s="25" t="str">
        <x:v>山妖王角</x:v>
      </x:c>
      <x:c r="F509" s="25" t="n">
        <x:v>2</x:v>
      </x:c>
      <x:c r="G509" s="25" t="str">
        <x:v>从C0至当前检查点累计需求；未扣自身未来产出，不代表已有库存</x:v>
      </x:c>
    </x:row>
    <x:row r="510">
      <x:c r="A510" s="25" t="str">
        <x:v>C05-M</x:v>
      </x:c>
      <x:c r="B510" s="25" t="str">
        <x:v>湖之利耶尼亚</x:v>
      </x:c>
      <x:c r="C510" s="25" t="str">
        <x:v>半急速中期</x:v>
      </x:c>
      <x:c r="D510" s="25" t="str">
        <x:v>材料</x:v>
      </x:c>
      <x:c r="E510" s="25" t="str">
        <x:v>幽船铆钉</x:v>
      </x:c>
      <x:c r="F510" s="25" t="n">
        <x:v>21</x:v>
      </x:c>
      <x:c r="G510" s="25" t="str">
        <x:v>从C0至当前检查点累计需求；未扣自身未来产出，不代表已有库存</x:v>
      </x:c>
    </x:row>
    <x:row r="511">
      <x:c r="A511" s="25" t="str">
        <x:v>C05-M</x:v>
      </x:c>
      <x:c r="B511" s="25" t="str">
        <x:v>湖之利耶尼亚</x:v>
      </x:c>
      <x:c r="C511" s="25" t="str">
        <x:v>半急速中期</x:v>
      </x:c>
      <x:c r="D511" s="25" t="str">
        <x:v>材料</x:v>
      </x:c>
      <x:c r="E511" s="25" t="str">
        <x:v>恶兆残角</x:v>
      </x:c>
      <x:c r="F511" s="25" t="n">
        <x:v>1</x:v>
      </x:c>
      <x:c r="G511" s="25" t="str">
        <x:v>从C0至当前检查点累计需求；未扣自身未来产出，不代表已有库存</x:v>
      </x:c>
    </x:row>
    <x:row r="512">
      <x:c r="A512" s="25" t="str">
        <x:v>C05-M</x:v>
      </x:c>
      <x:c r="B512" s="25" t="str">
        <x:v>湖之利耶尼亚</x:v>
      </x:c>
      <x:c r="C512" s="25" t="str">
        <x:v>半急速中期</x:v>
      </x:c>
      <x:c r="D512" s="25" t="str">
        <x:v>材料</x:v>
      </x:c>
      <x:c r="E512" s="25" t="str">
        <x:v>技能残页</x:v>
      </x:c>
      <x:c r="F512" s="25" t="n">
        <x:v>1350</x:v>
      </x:c>
      <x:c r="G512" s="25" t="str">
        <x:v>从C0至当前检查点累计需求；未扣自身未来产出，不代表已有库存</x:v>
      </x:c>
    </x:row>
    <x:row r="513">
      <x:c r="A513" s="25" t="str">
        <x:v>C05-M</x:v>
      </x:c>
      <x:c r="B513" s="25" t="str">
        <x:v>湖之利耶尼亚</x:v>
      </x:c>
      <x:c r="C513" s="25" t="str">
        <x:v>半急速中期</x:v>
      </x:c>
      <x:c r="D513" s="25" t="str">
        <x:v>材料</x:v>
      </x:c>
      <x:c r="E513" s="25" t="str">
        <x:v>接肢兽心</x:v>
      </x:c>
      <x:c r="F513" s="25" t="n">
        <x:v>2</x:v>
      </x:c>
      <x:c r="G513" s="25" t="str">
        <x:v>从C0至当前检查点累计需求；未扣自身未来产出，不代表已有库存</x:v>
      </x:c>
    </x:row>
    <x:row r="514">
      <x:c r="A514" s="25" t="str">
        <x:v>C05-M</x:v>
      </x:c>
      <x:c r="B514" s="25" t="str">
        <x:v>湖之利耶尼亚</x:v>
      </x:c>
      <x:c r="C514" s="25" t="str">
        <x:v>半急速中期</x:v>
      </x:c>
      <x:c r="D514" s="25" t="str">
        <x:v>材料</x:v>
      </x:c>
      <x:c r="E514" s="25" t="str">
        <x:v>接肢王印</x:v>
      </x:c>
      <x:c r="F514" s="25" t="n">
        <x:v>13</x:v>
      </x:c>
      <x:c r="G514" s="25" t="str">
        <x:v>从C0至当前检查点累计需求；未扣自身未来产出，不代表已有库存</x:v>
      </x:c>
    </x:row>
    <x:row r="515">
      <x:c r="A515" s="25" t="str">
        <x:v>C05-M</x:v>
      </x:c>
      <x:c r="B515" s="25" t="str">
        <x:v>湖之利耶尼亚</x:v>
      </x:c>
      <x:c r="C515" s="25" t="str">
        <x:v>半急速中期</x:v>
      </x:c>
      <x:c r="D515" s="25" t="str">
        <x:v>材料</x:v>
      </x:c>
      <x:c r="E515" s="25" t="str">
        <x:v>接肢王魂</x:v>
      </x:c>
      <x:c r="F515" s="25" t="n">
        <x:v>1</x:v>
      </x:c>
      <x:c r="G515" s="25" t="str">
        <x:v>从C0至当前检查点累计需求；未扣自身未来产出，不代表已有库存</x:v>
      </x:c>
    </x:row>
    <x:row r="516">
      <x:c r="A516" s="25" t="str">
        <x:v>C05-M</x:v>
      </x:c>
      <x:c r="B516" s="25" t="str">
        <x:v>湖之利耶尼亚</x:v>
      </x:c>
      <x:c r="C516" s="25" t="str">
        <x:v>半急速中期</x:v>
      </x:c>
      <x:c r="D516" s="25" t="str">
        <x:v>材料</x:v>
      </x:c>
      <x:c r="E516" s="25" t="str">
        <x:v>月潮忆珀</x:v>
      </x:c>
      <x:c r="F516" s="25" t="n">
        <x:v>1</x:v>
      </x:c>
      <x:c r="G516" s="25" t="str">
        <x:v>从C0至当前检查点累计需求；未扣自身未来产出，不代表已有库存</x:v>
      </x:c>
    </x:row>
    <x:row r="517">
      <x:c r="A517" s="25" t="str">
        <x:v>C05-M</x:v>
      </x:c>
      <x:c r="B517" s="25" t="str">
        <x:v>湖之利耶尼亚</x:v>
      </x:c>
      <x:c r="C517" s="25" t="str">
        <x:v>半急速中期</x:v>
      </x:c>
      <x:c r="D517" s="25" t="str">
        <x:v>材料</x:v>
      </x:c>
      <x:c r="E517" s="25" t="str">
        <x:v>树卫枪穗</x:v>
      </x:c>
      <x:c r="F517" s="25" t="n">
        <x:v>1</x:v>
      </x:c>
      <x:c r="G517" s="25" t="str">
        <x:v>从C0至当前检查点累计需求；未扣自身未来产出，不代表已有库存</x:v>
      </x:c>
    </x:row>
    <x:row r="518">
      <x:c r="A518" s="25" t="str">
        <x:v>C05-M</x:v>
      </x:c>
      <x:c r="B518" s="25" t="str">
        <x:v>湖之利耶尼亚</x:v>
      </x:c>
      <x:c r="C518" s="25" t="str">
        <x:v>半急速中期</x:v>
      </x:c>
      <x:c r="D518" s="25" t="str">
        <x:v>材料</x:v>
      </x:c>
      <x:c r="E518" s="25" t="str">
        <x:v>死亡仪羽</x:v>
      </x:c>
      <x:c r="F518" s="25" t="n">
        <x:v>2</x:v>
      </x:c>
      <x:c r="G518" s="25" t="str">
        <x:v>从C0至当前检查点累计需求；未扣自身未来产出，不代表已有库存</x:v>
      </x:c>
    </x:row>
    <x:row r="519">
      <x:c r="A519" s="25" t="str">
        <x:v>C05-M</x:v>
      </x:c>
      <x:c r="B519" s="25" t="str">
        <x:v>湖之利耶尼亚</x:v>
      </x:c>
      <x:c r="C519" s="25" t="str">
        <x:v>半急速中期</x:v>
      </x:c>
      <x:c r="D519" s="25" t="str">
        <x:v>材料</x:v>
      </x:c>
      <x:c r="E519" s="25" t="str">
        <x:v>沉湖王印</x:v>
      </x:c>
      <x:c r="F519" s="25" t="n">
        <x:v>16</x:v>
      </x:c>
      <x:c r="G519" s="25" t="str">
        <x:v>从C0至当前检查点累计需求；未扣自身未来产出，不代表已有库存</x:v>
      </x:c>
    </x:row>
    <x:row r="520">
      <x:c r="A520" s="25" t="str">
        <x:v>C05-M</x:v>
      </x:c>
      <x:c r="B520" s="25" t="str">
        <x:v>湖之利耶尼亚</x:v>
      </x:c>
      <x:c r="C520" s="25" t="str">
        <x:v>半急速中期</x:v>
      </x:c>
      <x:c r="D520" s="25" t="str">
        <x:v>材料</x:v>
      </x:c>
      <x:c r="E520" s="25" t="str">
        <x:v>沉船缆扣</x:v>
      </x:c>
      <x:c r="F520" s="25" t="n">
        <x:v>12</x:v>
      </x:c>
      <x:c r="G520" s="25" t="str">
        <x:v>从C0至当前检查点累计需求；未扣自身未来产出，不代表已有库存</x:v>
      </x:c>
    </x:row>
    <x:row r="521">
      <x:c r="A521" s="25" t="str">
        <x:v>C05-M</x:v>
      </x:c>
      <x:c r="B521" s="25" t="str">
        <x:v>湖之利耶尼亚</x:v>
      </x:c>
      <x:c r="C521" s="25" t="str">
        <x:v>半急速中期</x:v>
      </x:c>
      <x:c r="D521" s="25" t="str">
        <x:v>材料</x:v>
      </x:c>
      <x:c r="E521" s="25" t="str">
        <x:v>海蚀铁片</x:v>
      </x:c>
      <x:c r="F521" s="25" t="n">
        <x:v>160</x:v>
      </x:c>
      <x:c r="G521" s="25" t="str">
        <x:v>从C0至当前检查点累计需求；未扣自身未来产出，不代表已有库存</x:v>
      </x:c>
    </x:row>
    <x:row r="522">
      <x:c r="A522" s="25" t="str">
        <x:v>C05-M</x:v>
      </x:c>
      <x:c r="B522" s="25" t="str">
        <x:v>湖之利耶尼亚</x:v>
      </x:c>
      <x:c r="C522" s="25" t="str">
        <x:v>半急速中期</x:v>
      </x:c>
      <x:c r="D522" s="25" t="str">
        <x:v>材料</x:v>
      </x:c>
      <x:c r="E522" s="25" t="str">
        <x:v>湖底封门珠</x:v>
      </x:c>
      <x:c r="F522" s="25" t="n">
        <x:v>6</x:v>
      </x:c>
      <x:c r="G522" s="25" t="str">
        <x:v>从C0至当前检查点累计需求；未扣自身未来产出，不代表已有库存</x:v>
      </x:c>
    </x:row>
    <x:row r="523">
      <x:c r="A523" s="25" t="str">
        <x:v>C05-M</x:v>
      </x:c>
      <x:c r="B523" s="25" t="str">
        <x:v>湖之利耶尼亚</x:v>
      </x:c>
      <x:c r="C523" s="25" t="str">
        <x:v>半急速中期</x:v>
      </x:c>
      <x:c r="D523" s="25" t="str">
        <x:v>材料</x:v>
      </x:c>
      <x:c r="E523" s="25" t="str">
        <x:v>湖盐结晶</x:v>
      </x:c>
      <x:c r="F523" s="25" t="n">
        <x:v>1407</x:v>
      </x:c>
      <x:c r="G523" s="25" t="str">
        <x:v>从C0至当前检查点累计需求；未扣自身未来产出，不代表已有库存</x:v>
      </x:c>
    </x:row>
    <x:row r="524">
      <x:c r="A524" s="25" t="str">
        <x:v>C05-M</x:v>
      </x:c>
      <x:c r="B524" s="25" t="str">
        <x:v>湖之利耶尼亚</x:v>
      </x:c>
      <x:c r="C524" s="25" t="str">
        <x:v>半急速中期</x:v>
      </x:c>
      <x:c r="D524" s="25" t="str">
        <x:v>材料</x:v>
      </x:c>
      <x:c r="E524" s="25" t="str">
        <x:v>溃烂树核</x:v>
      </x:c>
      <x:c r="F524" s="25" t="n">
        <x:v>1</x:v>
      </x:c>
      <x:c r="G524" s="25" t="str">
        <x:v>从C0至当前检查点累计需求；未扣自身未来产出，不代表已有库存</x:v>
      </x:c>
    </x:row>
    <x:row r="525">
      <x:c r="A525" s="25" t="str">
        <x:v>C05-M</x:v>
      </x:c>
      <x:c r="B525" s="25" t="str">
        <x:v>湖之利耶尼亚</x:v>
      </x:c>
      <x:c r="C525" s="25" t="str">
        <x:v>半急速中期</x:v>
      </x:c>
      <x:c r="D525" s="25" t="str">
        <x:v>材料</x:v>
      </x:c>
      <x:c r="E525" s="25" t="str">
        <x:v>满月王室印</x:v>
      </x:c>
      <x:c r="F525" s="25" t="n">
        <x:v>6</x:v>
      </x:c>
      <x:c r="G525" s="25" t="str">
        <x:v>从C0至当前检查点累计需求；未扣自身未来产出，不代表已有库存</x:v>
      </x:c>
    </x:row>
    <x:row r="526">
      <x:c r="A526" s="25" t="str">
        <x:v>C05-M</x:v>
      </x:c>
      <x:c r="B526" s="25" t="str">
        <x:v>湖之利耶尼亚</x:v>
      </x:c>
      <x:c r="C526" s="25" t="str">
        <x:v>半急速中期</x:v>
      </x:c>
      <x:c r="D526" s="25" t="str">
        <x:v>材料</x:v>
      </x:c>
      <x:c r="E526" s="25" t="str">
        <x:v>漂流大陆印记</x:v>
      </x:c>
      <x:c r="F526" s="25" t="n">
        <x:v>11</x:v>
      </x:c>
      <x:c r="G526" s="25" t="str">
        <x:v>从C0至当前检查点累计需求；未扣自身未来产出，不代表已有库存</x:v>
      </x:c>
    </x:row>
    <x:row r="527">
      <x:c r="A527" s="25" t="str">
        <x:v>C05-M</x:v>
      </x:c>
      <x:c r="B527" s="25" t="str">
        <x:v>湖之利耶尼亚</x:v>
      </x:c>
      <x:c r="C527" s="25" t="str">
        <x:v>半急速中期</x:v>
      </x:c>
      <x:c r="D527" s="25" t="str">
        <x:v>材料</x:v>
      </x:c>
      <x:c r="E527" s="25" t="str">
        <x:v>漂流见证·潮</x:v>
      </x:c>
      <x:c r="F527" s="25" t="n">
        <x:v>8</x:v>
      </x:c>
      <x:c r="G527" s="25" t="str">
        <x:v>从C0至当前检查点累计需求；未扣自身未来产出，不代表已有库存</x:v>
      </x:c>
    </x:row>
    <x:row r="528">
      <x:c r="A528" s="25" t="str">
        <x:v>C05-M</x:v>
      </x:c>
      <x:c r="B528" s="25" t="str">
        <x:v>湖之利耶尼亚</x:v>
      </x:c>
      <x:c r="C528" s="25" t="str">
        <x:v>半急速中期</x:v>
      </x:c>
      <x:c r="D528" s="25" t="str">
        <x:v>材料</x:v>
      </x:c>
      <x:c r="E528" s="25" t="str">
        <x:v>漂流见证·雷</x:v>
      </x:c>
      <x:c r="F528" s="25" t="n">
        <x:v>8</x:v>
      </x:c>
      <x:c r="G528" s="25" t="str">
        <x:v>从C0至当前检查点累计需求；未扣自身未来产出，不代表已有库存</x:v>
      </x:c>
    </x:row>
    <x:row r="529">
      <x:c r="A529" s="25" t="str">
        <x:v>C05-M</x:v>
      </x:c>
      <x:c r="B529" s="25" t="str">
        <x:v>湖之利耶尼亚</x:v>
      </x:c>
      <x:c r="C529" s="25" t="str">
        <x:v>半急速中期</x:v>
      </x:c>
      <x:c r="D529" s="25" t="str">
        <x:v>材料</x:v>
      </x:c>
      <x:c r="E529" s="25" t="str">
        <x:v>潮痕结晶</x:v>
      </x:c>
      <x:c r="F529" s="25" t="n">
        <x:v>16</x:v>
      </x:c>
      <x:c r="G529" s="25" t="str">
        <x:v>从C0至当前检查点累计需求；未扣自身未来产出，不代表已有库存</x:v>
      </x:c>
    </x:row>
    <x:row r="530">
      <x:c r="A530" s="25" t="str">
        <x:v>C05-M</x:v>
      </x:c>
      <x:c r="B530" s="25" t="str">
        <x:v>湖之利耶尼亚</x:v>
      </x:c>
      <x:c r="C530" s="25" t="str">
        <x:v>半急速中期</x:v>
      </x:c>
      <x:c r="D530" s="25" t="str">
        <x:v>材料</x:v>
      </x:c>
      <x:c r="E530" s="25" t="str">
        <x:v>熊王心脏</x:v>
      </x:c>
      <x:c r="F530" s="25" t="n">
        <x:v>2</x:v>
      </x:c>
      <x:c r="G530" s="25" t="str">
        <x:v>从C0至当前检查点累计需求；未扣自身未来产出，不代表已有库存</x:v>
      </x:c>
    </x:row>
    <x:row r="531">
      <x:c r="A531" s="25" t="str">
        <x:v>C05-M</x:v>
      </x:c>
      <x:c r="B531" s="25" t="str">
        <x:v>湖之利耶尼亚</x:v>
      </x:c>
      <x:c r="C531" s="25" t="str">
        <x:v>半急速中期</x:v>
      </x:c>
      <x:c r="D531" s="25" t="str">
        <x:v>材料</x:v>
      </x:c>
      <x:c r="E531" s="25" t="str">
        <x:v>熔炉角片</x:v>
      </x:c>
      <x:c r="F531" s="25" t="n">
        <x:v>1</x:v>
      </x:c>
      <x:c r="G531" s="25" t="str">
        <x:v>从C0至当前检查点累计需求；未扣自身未来产出，不代表已有库存</x:v>
      </x:c>
    </x:row>
    <x:row r="532">
      <x:c r="A532" s="25" t="str">
        <x:v>C05-M</x:v>
      </x:c>
      <x:c r="B532" s="25" t="str">
        <x:v>湖之利耶尼亚</x:v>
      </x:c>
      <x:c r="C532" s="25" t="str">
        <x:v>半急速中期</x:v>
      </x:c>
      <x:c r="D532" s="25" t="str">
        <x:v>材料</x:v>
      </x:c>
      <x:c r="E532" s="25" t="str">
        <x:v>王城军印</x:v>
      </x:c>
      <x:c r="F532" s="25" t="n">
        <x:v>1</x:v>
      </x:c>
      <x:c r="G532" s="25" t="str">
        <x:v>从C0至当前检查点累计需求；未扣自身未来产出，不代表已有库存</x:v>
      </x:c>
    </x:row>
    <x:row r="533">
      <x:c r="A533" s="25" t="str">
        <x:v>C05-M</x:v>
      </x:c>
      <x:c r="B533" s="25" t="str">
        <x:v>湖之利耶尼亚</x:v>
      </x:c>
      <x:c r="C533" s="25" t="str">
        <x:v>半急速中期</x:v>
      </x:c>
      <x:c r="D533" s="25" t="str">
        <x:v>材料</x:v>
      </x:c>
      <x:c r="E533" s="25" t="str">
        <x:v>看门犬石心</x:v>
      </x:c>
      <x:c r="F533" s="25" t="n">
        <x:v>2</x:v>
      </x:c>
      <x:c r="G533" s="25" t="str">
        <x:v>从C0至当前检查点累计需求；未扣自身未来产出，不代表已有库存</x:v>
      </x:c>
    </x:row>
    <x:row r="534">
      <x:c r="A534" s="25" t="str">
        <x:v>C05-M</x:v>
      </x:c>
      <x:c r="B534" s="25" t="str">
        <x:v>湖之利耶尼亚</x:v>
      </x:c>
      <x:c r="C534" s="25" t="str">
        <x:v>半急速中期</x:v>
      </x:c>
      <x:c r="D534" s="25" t="str">
        <x:v>材料</x:v>
      </x:c>
      <x:c r="E534" s="25" t="str">
        <x:v>神秘符文</x:v>
      </x:c>
      <x:c r="F534" s="25" t="n">
        <x:v>300</x:v>
      </x:c>
      <x:c r="G534" s="25" t="str">
        <x:v>从C0至当前检查点累计需求；未扣自身未来产出，不代表已有库存</x:v>
      </x:c>
    </x:row>
    <x:row r="535">
      <x:c r="A535" s="25" t="str">
        <x:v>C05-M</x:v>
      </x:c>
      <x:c r="B535" s="25" t="str">
        <x:v>湖之利耶尼亚</x:v>
      </x:c>
      <x:c r="C535" s="25" t="str">
        <x:v>半急速中期</x:v>
      </x:c>
      <x:c r="D535" s="25" t="str">
        <x:v>材料</x:v>
      </x:c>
      <x:c r="E535" s="25" t="str">
        <x:v>腐根魂结</x:v>
      </x:c>
      <x:c r="F535" s="25" t="n">
        <x:v>2</x:v>
      </x:c>
      <x:c r="G535" s="25" t="str">
        <x:v>从C0至当前检查点累计需求；未扣自身未来产出，不代表已有库存</x:v>
      </x:c>
    </x:row>
    <x:row r="536">
      <x:c r="A536" s="25" t="str">
        <x:v>C05-M</x:v>
      </x:c>
      <x:c r="B536" s="25" t="str">
        <x:v>湖之利耶尼亚</x:v>
      </x:c>
      <x:c r="C536" s="25" t="str">
        <x:v>半急速中期</x:v>
      </x:c>
      <x:c r="D536" s="25" t="str">
        <x:v>材料</x:v>
      </x:c>
      <x:c r="E536" s="25" t="str">
        <x:v>裂风崖羽</x:v>
      </x:c>
      <x:c r="F536" s="25" t="n">
        <x:v>80</x:v>
      </x:c>
      <x:c r="G536" s="25" t="str">
        <x:v>从C0至当前检查点累计需求；未扣自身未来产出，不代表已有库存</x:v>
      </x:c>
    </x:row>
    <x:row r="537">
      <x:c r="A537" s="25" t="str">
        <x:v>C05-M</x:v>
      </x:c>
      <x:c r="B537" s="25" t="str">
        <x:v>湖之利耶尼亚</x:v>
      </x:c>
      <x:c r="C537" s="25" t="str">
        <x:v>半急速中期</x:v>
      </x:c>
      <x:c r="D537" s="25" t="str">
        <x:v>材料</x:v>
      </x:c>
      <x:c r="E537" s="25" t="str">
        <x:v>西境战旗</x:v>
      </x:c>
      <x:c r="F537" s="25" t="n">
        <x:v>20</x:v>
      </x:c>
      <x:c r="G537" s="25" t="str">
        <x:v>从C0至当前检查点累计需求；未扣自身未来产出，不代表已有库存</x:v>
      </x:c>
    </x:row>
    <x:row r="538">
      <x:c r="A538" s="25" t="str">
        <x:v>C05-M</x:v>
      </x:c>
      <x:c r="B538" s="25" t="str">
        <x:v>湖之利耶尼亚</x:v>
      </x:c>
      <x:c r="C538" s="25" t="str">
        <x:v>半急速中期</x:v>
      </x:c>
      <x:c r="D538" s="25" t="str">
        <x:v>材料</x:v>
      </x:c>
      <x:c r="E538" s="25" t="str">
        <x:v>西境战旗印</x:v>
      </x:c>
      <x:c r="F538" s="25" t="n">
        <x:v>13</x:v>
      </x:c>
      <x:c r="G538" s="25" t="str">
        <x:v>从C0至当前检查点累计需求；未扣自身未来产出，不代表已有库存</x:v>
      </x:c>
    </x:row>
    <x:row r="539">
      <x:c r="A539" s="25" t="str">
        <x:v>C05-M</x:v>
      </x:c>
      <x:c r="B539" s="25" t="str">
        <x:v>湖之利耶尼亚</x:v>
      </x:c>
      <x:c r="C539" s="25" t="str">
        <x:v>半急速中期</x:v>
      </x:c>
      <x:c r="D539" s="25" t="str">
        <x:v>材料</x:v>
      </x:c>
      <x:c r="E539" s="25" t="str">
        <x:v>西境风痕碑拓</x:v>
      </x:c>
      <x:c r="F539" s="25" t="n">
        <x:v>1</x:v>
      </x:c>
      <x:c r="G539" s="25" t="str">
        <x:v>从C0至当前检查点累计需求；未扣自身未来产出，不代表已有库存</x:v>
      </x:c>
    </x:row>
    <x:row r="540">
      <x:c r="A540" s="25" t="str">
        <x:v>C05-M</x:v>
      </x:c>
      <x:c r="B540" s="25" t="str">
        <x:v>湖之利耶尼亚</x:v>
      </x:c>
      <x:c r="C540" s="25" t="str">
        <x:v>半急速中期</x:v>
      </x:c>
      <x:c r="D540" s="25" t="str">
        <x:v>材料</x:v>
      </x:c>
      <x:c r="E540" s="25" t="str">
        <x:v>贵胄断指</x:v>
      </x:c>
      <x:c r="F540" s="25" t="n">
        <x:v>1</x:v>
      </x:c>
      <x:c r="G540" s="25" t="str">
        <x:v>从C0至当前检查点累计需求；未扣自身未来产出，不代表已有库存</x:v>
      </x:c>
    </x:row>
    <x:row r="541">
      <x:c r="A541" s="25" t="str">
        <x:v>C05-M</x:v>
      </x:c>
      <x:c r="B541" s="25" t="str">
        <x:v>湖之利耶尼亚</x:v>
      </x:c>
      <x:c r="C541" s="25" t="str">
        <x:v>半急速中期</x:v>
      </x:c>
      <x:c r="D541" s="25" t="str">
        <x:v>材料</x:v>
      </x:c>
      <x:c r="E541" s="25" t="str">
        <x:v>辉石碎晶</x:v>
      </x:c>
      <x:c r="F541" s="25" t="n">
        <x:v>450</x:v>
      </x:c>
      <x:c r="G541" s="25" t="str">
        <x:v>从C0至当前检查点累计需求；未扣自身未来产出，不代表已有库存</x:v>
      </x:c>
    </x:row>
    <x:row r="542">
      <x:c r="A542" s="25" t="str">
        <x:v>C05-M</x:v>
      </x:c>
      <x:c r="B542" s="25" t="str">
        <x:v>湖之利耶尼亚</x:v>
      </x:c>
      <x:c r="C542" s="25" t="str">
        <x:v>半急速中期</x:v>
      </x:c>
      <x:c r="D542" s="25" t="str">
        <x:v>材料</x:v>
      </x:c>
      <x:c r="E542" s="25" t="str">
        <x:v>野兽骨片</x:v>
      </x:c>
      <x:c r="F542" s="25" t="n">
        <x:v>12250</x:v>
      </x:c>
      <x:c r="G542" s="25" t="str">
        <x:v>从C0至当前检查点累计需求；未扣自身未来产出，不代表已有库存</x:v>
      </x:c>
    </x:row>
    <x:row r="543">
      <x:c r="A543" s="25" t="str">
        <x:v>C05-M</x:v>
      </x:c>
      <x:c r="B543" s="25" t="str">
        <x:v>湖之利耶尼亚</x:v>
      </x:c>
      <x:c r="C543" s="25" t="str">
        <x:v>半急速中期</x:v>
      </x:c>
      <x:c r="D543" s="25" t="str">
        <x:v>材料</x:v>
      </x:c>
      <x:c r="E543" s="25" t="str">
        <x:v>雾潮银鳞</x:v>
      </x:c>
      <x:c r="F543" s="25" t="n">
        <x:v>217</x:v>
      </x:c>
      <x:c r="G543" s="25" t="str">
        <x:v>从C0至当前检查点累计需求；未扣自身未来产出，不代表已有库存</x:v>
      </x:c>
    </x:row>
    <x:row r="544">
      <x:c r="A544" s="25" t="str">
        <x:v>C05-M</x:v>
      </x:c>
      <x:c r="B544" s="25" t="str">
        <x:v>湖之利耶尼亚</x:v>
      </x:c>
      <x:c r="C544" s="25" t="str">
        <x:v>半急速中期</x:v>
      </x:c>
      <x:c r="D544" s="25" t="str">
        <x:v>材料</x:v>
      </x:c>
      <x:c r="E544" s="25" t="str">
        <x:v>风暴王核</x:v>
      </x:c>
      <x:c r="F544" s="25" t="n">
        <x:v>1</x:v>
      </x:c>
      <x:c r="G544" s="25" t="str">
        <x:v>从C0至当前检查点累计需求；未扣自身未来产出，不代表已有库存</x:v>
      </x:c>
    </x:row>
    <x:row r="545">
      <x:c r="A545" s="25" t="str">
        <x:v>C05-M</x:v>
      </x:c>
      <x:c r="B545" s="25" t="str">
        <x:v>湖之利耶尼亚</x:v>
      </x:c>
      <x:c r="C545" s="25" t="str">
        <x:v>半急速中期</x:v>
      </x:c>
      <x:c r="D545" s="25" t="str">
        <x:v>材料</x:v>
      </x:c>
      <x:c r="E545" s="25" t="str">
        <x:v>风暴石片</x:v>
      </x:c>
      <x:c r="F545" s="25" t="n">
        <x:v>370</x:v>
      </x:c>
      <x:c r="G545" s="25" t="str">
        <x:v>从C0至当前检查点累计需求；未扣自身未来产出，不代表已有库存</x:v>
      </x:c>
    </x:row>
    <x:row r="546">
      <x:c r="A546" s="25" t="str">
        <x:v>C05-M</x:v>
      </x:c>
      <x:c r="B546" s="25" t="str">
        <x:v>湖之利耶尼亚</x:v>
      </x:c>
      <x:c r="C546" s="25" t="str">
        <x:v>半急速中期</x:v>
      </x:c>
      <x:c r="D546" s="25" t="str">
        <x:v>材料</x:v>
      </x:c>
      <x:c r="E546" s="25" t="str">
        <x:v>风蚀铁片</x:v>
      </x:c>
      <x:c r="F546" s="25" t="n">
        <x:v>710</x:v>
      </x:c>
      <x:c r="G546" s="25" t="str">
        <x:v>从C0至当前检查点累计需求；未扣自身未来产出，不代表已有库存</x:v>
      </x:c>
    </x:row>
    <x:row r="547">
      <x:c r="A547" s="25" t="str">
        <x:v>C05-M</x:v>
      </x:c>
      <x:c r="B547" s="25" t="str">
        <x:v>湖之利耶尼亚</x:v>
      </x:c>
      <x:c r="C547" s="25" t="str">
        <x:v>半急速中期</x:v>
      </x:c>
      <x:c r="D547" s="25" t="str">
        <x:v>材料</x:v>
      </x:c>
      <x:c r="E547" s="25" t="str">
        <x:v>黄金树碎核</x:v>
      </x:c>
      <x:c r="F547" s="25" t="n">
        <x:v>2</x:v>
      </x:c>
      <x:c r="G547" s="25" t="str">
        <x:v>从C0至当前检查点累计需求；未扣自身未来产出，不代表已有库存</x:v>
      </x:c>
    </x:row>
    <x:row r="548">
      <x:c r="A548" s="25" t="str">
        <x:v>C05-M</x:v>
      </x:c>
      <x:c r="B548" s="25" t="str">
        <x:v>湖之利耶尼亚</x:v>
      </x:c>
      <x:c r="C548" s="25" t="str">
        <x:v>半急速中期</x:v>
      </x:c>
      <x:c r="D548" s="25" t="str">
        <x:v>材料</x:v>
      </x:c>
      <x:c r="E548" s="25" t="str">
        <x:v>黄金树芽</x:v>
      </x:c>
      <x:c r="F548" s="25" t="n">
        <x:v>297</x:v>
      </x:c>
      <x:c r="G548" s="25" t="str">
        <x:v>从C0至当前检查点累计需求；未扣自身未来产出，不代表已有库存</x:v>
      </x:c>
    </x:row>
    <x:row r="549">
      <x:c r="A549" s="25" t="str">
        <x:v>C05-M</x:v>
      </x:c>
      <x:c r="B549" s="25" t="str">
        <x:v>湖之利耶尼亚</x:v>
      </x:c>
      <x:c r="C549" s="25" t="str">
        <x:v>半急速中期</x:v>
      </x:c>
      <x:c r="D549" s="25" t="str">
        <x:v>材料</x:v>
      </x:c>
      <x:c r="E549" s="25" t="str">
        <x:v>黄金骑徽</x:v>
      </x:c>
      <x:c r="F549" s="25" t="n">
        <x:v>2</x:v>
      </x:c>
      <x:c r="G549" s="25" t="str">
        <x:v>从C0至当前检查点累计需求；未扣自身未来产出，不代表已有库存</x:v>
      </x:c>
    </x:row>
    <x:row r="550">
      <x:c r="A550" s="25" t="str">
        <x:v>C05-M</x:v>
      </x:c>
      <x:c r="B550" s="25" t="str">
        <x:v>湖之利耶尼亚</x:v>
      </x:c>
      <x:c r="C550" s="25" t="str">
        <x:v>半急速中期</x:v>
      </x:c>
      <x:c r="D550" s="25" t="str">
        <x:v>装备实物</x:v>
      </x:c>
      <x:c r="E550" s="25" t="str">
        <x:v>共262个精确名称（明细见JSON）</x:v>
      </x:c>
      <x:c r="F550" s="25" t="n">
        <x:v>347</x:v>
      </x:c>
      <x:c r="G550" s="25" t="str">
        <x:v>含穿戴、重复试洗、图鉴登记与合成前置；完整数据未省略</x:v>
      </x:c>
    </x:row>
    <x:row r="551">
      <x:c r="A551" s="25" t="str">
        <x:v>C05-G</x:v>
      </x:c>
      <x:c r="B551" s="25" t="str">
        <x:v>湖之利耶尼亚</x:v>
      </x:c>
      <x:c r="C551" s="25" t="str">
        <x:v>半急速毕业</x:v>
      </x:c>
      <x:c r="D551" s="25" t="str">
        <x:v>材料</x:v>
      </x:c>
      <x:c r="E551" s="25" t="str">
        <x:v>兽将脊骨</x:v>
      </x:c>
      <x:c r="F551" s="25" t="n">
        <x:v>1</x:v>
      </x:c>
      <x:c r="G551" s="25" t="str">
        <x:v>从C0至当前检查点累计需求；未扣自身未来产出，不代表已有库存</x:v>
      </x:c>
    </x:row>
    <x:row r="552">
      <x:c r="A552" s="25" t="str">
        <x:v>C05-G</x:v>
      </x:c>
      <x:c r="B552" s="25" t="str">
        <x:v>湖之利耶尼亚</x:v>
      </x:c>
      <x:c r="C552" s="25" t="str">
        <x:v>半急速毕业</x:v>
      </x:c>
      <x:c r="D552" s="25" t="str">
        <x:v>材料</x:v>
      </x:c>
      <x:c r="E552" s="25" t="str">
        <x:v>卡利亚月露</x:v>
      </x:c>
      <x:c r="F552" s="25" t="n">
        <x:v>36</x:v>
      </x:c>
      <x:c r="G552" s="25" t="str">
        <x:v>从C0至当前检查点累计需求；未扣自身未来产出，不代表已有库存</x:v>
      </x:c>
    </x:row>
    <x:row r="553">
      <x:c r="A553" s="25" t="str">
        <x:v>C05-G</x:v>
      </x:c>
      <x:c r="B553" s="25" t="str">
        <x:v>湖之利耶尼亚</x:v>
      </x:c>
      <x:c r="C553" s="25" t="str">
        <x:v>半急速毕业</x:v>
      </x:c>
      <x:c r="D553" s="25" t="str">
        <x:v>材料</x:v>
      </x:c>
      <x:c r="E553" s="25" t="str">
        <x:v>哨垒旗冠</x:v>
      </x:c>
      <x:c r="F553" s="25" t="n">
        <x:v>3</x:v>
      </x:c>
      <x:c r="G553" s="25" t="str">
        <x:v>从C0至当前检查点累计需求；未扣自身未来产出，不代表已有库存</x:v>
      </x:c>
    </x:row>
    <x:row r="554">
      <x:c r="A554" s="25" t="str">
        <x:v>C05-G</x:v>
      </x:c>
      <x:c r="B554" s="25" t="str">
        <x:v>湖之利耶尼亚</x:v>
      </x:c>
      <x:c r="C554" s="25" t="str">
        <x:v>半急速毕业</x:v>
      </x:c>
      <x:c r="D554" s="25" t="str">
        <x:v>材料</x:v>
      </x:c>
      <x:c r="E554" s="25" t="str">
        <x:v>唤船骨铃</x:v>
      </x:c>
      <x:c r="F554" s="25" t="n">
        <x:v>1</x:v>
      </x:c>
      <x:c r="G554" s="25" t="str">
        <x:v>从C0至当前检查点累计需求；未扣自身未来产出，不代表已有库存</x:v>
      </x:c>
    </x:row>
    <x:row r="555">
      <x:c r="A555" s="25" t="str">
        <x:v>C05-G</x:v>
      </x:c>
      <x:c r="B555" s="25" t="str">
        <x:v>湖之利耶尼亚</x:v>
      </x:c>
      <x:c r="C555" s="25" t="str">
        <x:v>半急速毕业</x:v>
      </x:c>
      <x:c r="D555" s="25" t="str">
        <x:v>材料</x:v>
      </x:c>
      <x:c r="E555" s="25" t="str">
        <x:v>商队火漆</x:v>
      </x:c>
      <x:c r="F555" s="25" t="n">
        <x:v>20</x:v>
      </x:c>
      <x:c r="G555" s="25" t="str">
        <x:v>从C0至当前检查点累计需求；未扣自身未来产出，不代表已有库存</x:v>
      </x:c>
    </x:row>
    <x:row r="556">
      <x:c r="A556" s="25" t="str">
        <x:v>C05-G</x:v>
      </x:c>
      <x:c r="B556" s="25" t="str">
        <x:v>湖之利耶尼亚</x:v>
      </x:c>
      <x:c r="C556" s="25" t="str">
        <x:v>半急速毕业</x:v>
      </x:c>
      <x:c r="D556" s="25" t="str">
        <x:v>材料</x:v>
      </x:c>
      <x:c r="E556" s="25" t="str">
        <x:v>夜骑黑印</x:v>
      </x:c>
      <x:c r="F556" s="25" t="n">
        <x:v>1</x:v>
      </x:c>
      <x:c r="G556" s="25" t="str">
        <x:v>从C0至当前检查点累计需求；未扣自身未来产出，不代表已有库存</x:v>
      </x:c>
    </x:row>
    <x:row r="557">
      <x:c r="A557" s="25" t="str">
        <x:v>C05-G</x:v>
      </x:c>
      <x:c r="B557" s="25" t="str">
        <x:v>湖之利耶尼亚</x:v>
      </x:c>
      <x:c r="C557" s="25" t="str">
        <x:v>半急速毕业</x:v>
      </x:c>
      <x:c r="D557" s="25" t="str">
        <x:v>材料</x:v>
      </x:c>
      <x:c r="E557" s="25" t="str">
        <x:v>失乡军令</x:v>
      </x:c>
      <x:c r="F557" s="25" t="n">
        <x:v>2</x:v>
      </x:c>
      <x:c r="G557" s="25" t="str">
        <x:v>从C0至当前检查点累计需求；未扣自身未来产出，不代表已有库存</x:v>
      </x:c>
    </x:row>
    <x:row r="558">
      <x:c r="A558" s="25" t="str">
        <x:v>C05-G</x:v>
      </x:c>
      <x:c r="B558" s="25" t="str">
        <x:v>湖之利耶尼亚</x:v>
      </x:c>
      <x:c r="C558" s="25" t="str">
        <x:v>半急速毕业</x:v>
      </x:c>
      <x:c r="D558" s="25" t="str">
        <x:v>材料</x:v>
      </x:c>
      <x:c r="E558" s="25" t="str">
        <x:v>失乡统帅徽</x:v>
      </x:c>
      <x:c r="F558" s="25" t="n">
        <x:v>2</x:v>
      </x:c>
      <x:c r="G558" s="25" t="str">
        <x:v>从C0至当前检查点累计需求；未扣自身未来产出，不代表已有库存</x:v>
      </x:c>
    </x:row>
    <x:row r="559">
      <x:c r="A559" s="25" t="str">
        <x:v>C05-G</x:v>
      </x:c>
      <x:c r="B559" s="25" t="str">
        <x:v>湖之利耶尼亚</x:v>
      </x:c>
      <x:c r="C559" s="25" t="str">
        <x:v>半急速毕业</x:v>
      </x:c>
      <x:c r="D559" s="25" t="str">
        <x:v>材料</x:v>
      </x:c>
      <x:c r="E559" s="25" t="str">
        <x:v>失色锻造石</x:v>
      </x:c>
      <x:c r="F559" s="25" t="n">
        <x:v>12580</x:v>
      </x:c>
      <x:c r="G559" s="25" t="str">
        <x:v>从C0至当前检查点累计需求；未扣自身未来产出，不代表已有库存</x:v>
      </x:c>
    </x:row>
    <x:row r="560">
      <x:c r="A560" s="25" t="str">
        <x:v>C05-G</x:v>
      </x:c>
      <x:c r="B560" s="25" t="str">
        <x:v>湖之利耶尼亚</x:v>
      </x:c>
      <x:c r="C560" s="25" t="str">
        <x:v>半急速毕业</x:v>
      </x:c>
      <x:c r="D560" s="25" t="str">
        <x:v>材料</x:v>
      </x:c>
      <x:c r="E560" s="25" t="str">
        <x:v>学院封蜡</x:v>
      </x:c>
      <x:c r="F560" s="25" t="n">
        <x:v>24</x:v>
      </x:c>
      <x:c r="G560" s="25" t="str">
        <x:v>从C0至当前检查点累计需求；未扣自身未来产出，不代表已有库存</x:v>
      </x:c>
    </x:row>
    <x:row r="561">
      <x:c r="A561" s="25" t="str">
        <x:v>C05-G</x:v>
      </x:c>
      <x:c r="B561" s="25" t="str">
        <x:v>湖之利耶尼亚</x:v>
      </x:c>
      <x:c r="C561" s="25" t="str">
        <x:v>半急速毕业</x:v>
      </x:c>
      <x:c r="D561" s="25" t="str">
        <x:v>材料</x:v>
      </x:c>
      <x:c r="E561" s="25" t="str">
        <x:v>宁姆格福誓页</x:v>
      </x:c>
      <x:c r="F561" s="25" t="n">
        <x:v>90</x:v>
      </x:c>
      <x:c r="G561" s="25" t="str">
        <x:v>从C0至当前检查点累计需求；未扣自身未来产出，不代表已有库存</x:v>
      </x:c>
    </x:row>
    <x:row r="562">
      <x:c r="A562" s="25" t="str">
        <x:v>C05-G</x:v>
      </x:c>
      <x:c r="B562" s="25" t="str">
        <x:v>湖之利耶尼亚</x:v>
      </x:c>
      <x:c r="C562" s="25" t="str">
        <x:v>半急速毕业</x:v>
      </x:c>
      <x:c r="D562" s="25" t="str">
        <x:v>材料</x:v>
      </x:c>
      <x:c r="E562" s="25" t="str">
        <x:v>小卢恩</x:v>
      </x:c>
      <x:c r="F562" s="25" t="n">
        <x:v>250</x:v>
      </x:c>
      <x:c r="G562" s="25" t="str">
        <x:v>从C0至当前检查点累计需求；未扣自身未来产出，不代表已有库存</x:v>
      </x:c>
    </x:row>
    <x:row r="563">
      <x:c r="A563" s="25" t="str">
        <x:v>C05-G</x:v>
      </x:c>
      <x:c r="B563" s="25" t="str">
        <x:v>湖之利耶尼亚</x:v>
      </x:c>
      <x:c r="C563" s="25" t="str">
        <x:v>半急速毕业</x:v>
      </x:c>
      <x:c r="D563" s="25" t="str">
        <x:v>材料</x:v>
      </x:c>
      <x:c r="E563" s="25" t="str">
        <x:v>山妖王角</x:v>
      </x:c>
      <x:c r="F563" s="25" t="n">
        <x:v>2</x:v>
      </x:c>
      <x:c r="G563" s="25" t="str">
        <x:v>从C0至当前检查点累计需求；未扣自身未来产出，不代表已有库存</x:v>
      </x:c>
    </x:row>
    <x:row r="564">
      <x:c r="A564" s="25" t="str">
        <x:v>C05-G</x:v>
      </x:c>
      <x:c r="B564" s="25" t="str">
        <x:v>湖之利耶尼亚</x:v>
      </x:c>
      <x:c r="C564" s="25" t="str">
        <x:v>半急速毕业</x:v>
      </x:c>
      <x:c r="D564" s="25" t="str">
        <x:v>材料</x:v>
      </x:c>
      <x:c r="E564" s="25" t="str">
        <x:v>幽船铆钉</x:v>
      </x:c>
      <x:c r="F564" s="25" t="n">
        <x:v>21</x:v>
      </x:c>
      <x:c r="G564" s="25" t="str">
        <x:v>从C0至当前检查点累计需求；未扣自身未来产出，不代表已有库存</x:v>
      </x:c>
    </x:row>
    <x:row r="565">
      <x:c r="A565" s="25" t="str">
        <x:v>C05-G</x:v>
      </x:c>
      <x:c r="B565" s="25" t="str">
        <x:v>湖之利耶尼亚</x:v>
      </x:c>
      <x:c r="C565" s="25" t="str">
        <x:v>半急速毕业</x:v>
      </x:c>
      <x:c r="D565" s="25" t="str">
        <x:v>材料</x:v>
      </x:c>
      <x:c r="E565" s="25" t="str">
        <x:v>恶兆残角</x:v>
      </x:c>
      <x:c r="F565" s="25" t="n">
        <x:v>1</x:v>
      </x:c>
      <x:c r="G565" s="25" t="str">
        <x:v>从C0至当前检查点累计需求；未扣自身未来产出，不代表已有库存</x:v>
      </x:c>
    </x:row>
    <x:row r="566">
      <x:c r="A566" s="25" t="str">
        <x:v>C05-G</x:v>
      </x:c>
      <x:c r="B566" s="25" t="str">
        <x:v>湖之利耶尼亚</x:v>
      </x:c>
      <x:c r="C566" s="25" t="str">
        <x:v>半急速毕业</x:v>
      </x:c>
      <x:c r="D566" s="25" t="str">
        <x:v>材料</x:v>
      </x:c>
      <x:c r="E566" s="25" t="str">
        <x:v>技能残页</x:v>
      </x:c>
      <x:c r="F566" s="25" t="n">
        <x:v>1350</x:v>
      </x:c>
      <x:c r="G566" s="25" t="str">
        <x:v>从C0至当前检查点累计需求；未扣自身未来产出，不代表已有库存</x:v>
      </x:c>
    </x:row>
    <x:row r="567">
      <x:c r="A567" s="25" t="str">
        <x:v>C05-G</x:v>
      </x:c>
      <x:c r="B567" s="25" t="str">
        <x:v>湖之利耶尼亚</x:v>
      </x:c>
      <x:c r="C567" s="25" t="str">
        <x:v>半急速毕业</x:v>
      </x:c>
      <x:c r="D567" s="25" t="str">
        <x:v>材料</x:v>
      </x:c>
      <x:c r="E567" s="25" t="str">
        <x:v>接肢兽心</x:v>
      </x:c>
      <x:c r="F567" s="25" t="n">
        <x:v>2</x:v>
      </x:c>
      <x:c r="G567" s="25" t="str">
        <x:v>从C0至当前检查点累计需求；未扣自身未来产出，不代表已有库存</x:v>
      </x:c>
    </x:row>
    <x:row r="568">
      <x:c r="A568" s="25" t="str">
        <x:v>C05-G</x:v>
      </x:c>
      <x:c r="B568" s="25" t="str">
        <x:v>湖之利耶尼亚</x:v>
      </x:c>
      <x:c r="C568" s="25" t="str">
        <x:v>半急速毕业</x:v>
      </x:c>
      <x:c r="D568" s="25" t="str">
        <x:v>材料</x:v>
      </x:c>
      <x:c r="E568" s="25" t="str">
        <x:v>接肢王印</x:v>
      </x:c>
      <x:c r="F568" s="25" t="n">
        <x:v>13</x:v>
      </x:c>
      <x:c r="G568" s="25" t="str">
        <x:v>从C0至当前检查点累计需求；未扣自身未来产出，不代表已有库存</x:v>
      </x:c>
    </x:row>
    <x:row r="569">
      <x:c r="A569" s="25" t="str">
        <x:v>C05-G</x:v>
      </x:c>
      <x:c r="B569" s="25" t="str">
        <x:v>湖之利耶尼亚</x:v>
      </x:c>
      <x:c r="C569" s="25" t="str">
        <x:v>半急速毕业</x:v>
      </x:c>
      <x:c r="D569" s="25" t="str">
        <x:v>材料</x:v>
      </x:c>
      <x:c r="E569" s="25" t="str">
        <x:v>接肢王魂</x:v>
      </x:c>
      <x:c r="F569" s="25" t="n">
        <x:v>1</x:v>
      </x:c>
      <x:c r="G569" s="25" t="str">
        <x:v>从C0至当前检查点累计需求；未扣自身未来产出，不代表已有库存</x:v>
      </x:c>
    </x:row>
    <x:row r="570">
      <x:c r="A570" s="25" t="str">
        <x:v>C05-G</x:v>
      </x:c>
      <x:c r="B570" s="25" t="str">
        <x:v>湖之利耶尼亚</x:v>
      </x:c>
      <x:c r="C570" s="25" t="str">
        <x:v>半急速毕业</x:v>
      </x:c>
      <x:c r="D570" s="25" t="str">
        <x:v>材料</x:v>
      </x:c>
      <x:c r="E570" s="25" t="str">
        <x:v>月潮忆珀</x:v>
      </x:c>
      <x:c r="F570" s="25" t="n">
        <x:v>1</x:v>
      </x:c>
      <x:c r="G570" s="25" t="str">
        <x:v>从C0至当前检查点累计需求；未扣自身未来产出，不代表已有库存</x:v>
      </x:c>
    </x:row>
    <x:row r="571">
      <x:c r="A571" s="25" t="str">
        <x:v>C05-G</x:v>
      </x:c>
      <x:c r="B571" s="25" t="str">
        <x:v>湖之利耶尼亚</x:v>
      </x:c>
      <x:c r="C571" s="25" t="str">
        <x:v>半急速毕业</x:v>
      </x:c>
      <x:c r="D571" s="25" t="str">
        <x:v>材料</x:v>
      </x:c>
      <x:c r="E571" s="25" t="str">
        <x:v>月蚀镜片</x:v>
      </x:c>
      <x:c r="F571" s="25" t="n">
        <x:v>14</x:v>
      </x:c>
      <x:c r="G571" s="25" t="str">
        <x:v>从C0至当前检查点累计需求；未扣自身未来产出，不代表已有库存</x:v>
      </x:c>
    </x:row>
    <x:row r="572">
      <x:c r="A572" s="25" t="str">
        <x:v>C05-G</x:v>
      </x:c>
      <x:c r="B572" s="25" t="str">
        <x:v>湖之利耶尼亚</x:v>
      </x:c>
      <x:c r="C572" s="25" t="str">
        <x:v>半急速毕业</x:v>
      </x:c>
      <x:c r="D572" s="25" t="str">
        <x:v>材料</x:v>
      </x:c>
      <x:c r="E572" s="25" t="str">
        <x:v>树卫枪穗</x:v>
      </x:c>
      <x:c r="F572" s="25" t="n">
        <x:v>1</x:v>
      </x:c>
      <x:c r="G572" s="25" t="str">
        <x:v>从C0至当前检查点累计需求；未扣自身未来产出，不代表已有库存</x:v>
      </x:c>
    </x:row>
    <x:row r="573">
      <x:c r="A573" s="25" t="str">
        <x:v>C05-G</x:v>
      </x:c>
      <x:c r="B573" s="25" t="str">
        <x:v>湖之利耶尼亚</x:v>
      </x:c>
      <x:c r="C573" s="25" t="str">
        <x:v>半急速毕业</x:v>
      </x:c>
      <x:c r="D573" s="25" t="str">
        <x:v>材料</x:v>
      </x:c>
      <x:c r="E573" s="25" t="str">
        <x:v>死亡仪羽</x:v>
      </x:c>
      <x:c r="F573" s="25" t="n">
        <x:v>2</x:v>
      </x:c>
      <x:c r="G573" s="25" t="str">
        <x:v>从C0至当前检查点累计需求；未扣自身未来产出，不代表已有库存</x:v>
      </x:c>
    </x:row>
    <x:row r="574">
      <x:c r="A574" s="25" t="str">
        <x:v>C05-G</x:v>
      </x:c>
      <x:c r="B574" s="25" t="str">
        <x:v>湖之利耶尼亚</x:v>
      </x:c>
      <x:c r="C574" s="25" t="str">
        <x:v>半急速毕业</x:v>
      </x:c>
      <x:c r="D574" s="25" t="str">
        <x:v>材料</x:v>
      </x:c>
      <x:c r="E574" s="25" t="str">
        <x:v>沉湖王印</x:v>
      </x:c>
      <x:c r="F574" s="25" t="n">
        <x:v>16</x:v>
      </x:c>
      <x:c r="G574" s="25" t="str">
        <x:v>从C0至当前检查点累计需求；未扣自身未来产出，不代表已有库存</x:v>
      </x:c>
    </x:row>
    <x:row r="575">
      <x:c r="A575" s="25" t="str">
        <x:v>C05-G</x:v>
      </x:c>
      <x:c r="B575" s="25" t="str">
        <x:v>湖之利耶尼亚</x:v>
      </x:c>
      <x:c r="C575" s="25" t="str">
        <x:v>半急速毕业</x:v>
      </x:c>
      <x:c r="D575" s="25" t="str">
        <x:v>材料</x:v>
      </x:c>
      <x:c r="E575" s="25" t="str">
        <x:v>沉船缆扣</x:v>
      </x:c>
      <x:c r="F575" s="25" t="n">
        <x:v>12</x:v>
      </x:c>
      <x:c r="G575" s="25" t="str">
        <x:v>从C0至当前检查点累计需求；未扣自身未来产出，不代表已有库存</x:v>
      </x:c>
    </x:row>
    <x:row r="576">
      <x:c r="A576" s="25" t="str">
        <x:v>C05-G</x:v>
      </x:c>
      <x:c r="B576" s="25" t="str">
        <x:v>湖之利耶尼亚</x:v>
      </x:c>
      <x:c r="C576" s="25" t="str">
        <x:v>半急速毕业</x:v>
      </x:c>
      <x:c r="D576" s="25" t="str">
        <x:v>材料</x:v>
      </x:c>
      <x:c r="E576" s="25" t="str">
        <x:v>海蚀铁片</x:v>
      </x:c>
      <x:c r="F576" s="25" t="n">
        <x:v>160</x:v>
      </x:c>
      <x:c r="G576" s="25" t="str">
        <x:v>从C0至当前检查点累计需求；未扣自身未来产出，不代表已有库存</x:v>
      </x:c>
    </x:row>
    <x:row r="577">
      <x:c r="A577" s="25" t="str">
        <x:v>C05-G</x:v>
      </x:c>
      <x:c r="B577" s="25" t="str">
        <x:v>湖之利耶尼亚</x:v>
      </x:c>
      <x:c r="C577" s="25" t="str">
        <x:v>半急速毕业</x:v>
      </x:c>
      <x:c r="D577" s="25" t="str">
        <x:v>材料</x:v>
      </x:c>
      <x:c r="E577" s="25" t="str">
        <x:v>湖底封门珠</x:v>
      </x:c>
      <x:c r="F577" s="25" t="n">
        <x:v>6</x:v>
      </x:c>
      <x:c r="G577" s="25" t="str">
        <x:v>从C0至当前检查点累计需求；未扣自身未来产出，不代表已有库存</x:v>
      </x:c>
    </x:row>
    <x:row r="578">
      <x:c r="A578" s="25" t="str">
        <x:v>C05-G</x:v>
      </x:c>
      <x:c r="B578" s="25" t="str">
        <x:v>湖之利耶尼亚</x:v>
      </x:c>
      <x:c r="C578" s="25" t="str">
        <x:v>半急速毕业</x:v>
      </x:c>
      <x:c r="D578" s="25" t="str">
        <x:v>材料</x:v>
      </x:c>
      <x:c r="E578" s="25" t="str">
        <x:v>湖盐结晶</x:v>
      </x:c>
      <x:c r="F578" s="25" t="n">
        <x:v>1407</x:v>
      </x:c>
      <x:c r="G578" s="25" t="str">
        <x:v>从C0至当前检查点累计需求；未扣自身未来产出，不代表已有库存</x:v>
      </x:c>
    </x:row>
    <x:row r="579">
      <x:c r="A579" s="25" t="str">
        <x:v>C05-G</x:v>
      </x:c>
      <x:c r="B579" s="25" t="str">
        <x:v>湖之利耶尼亚</x:v>
      </x:c>
      <x:c r="C579" s="25" t="str">
        <x:v>半急速毕业</x:v>
      </x:c>
      <x:c r="D579" s="25" t="str">
        <x:v>材料</x:v>
      </x:c>
      <x:c r="E579" s="25" t="str">
        <x:v>溃烂树核</x:v>
      </x:c>
      <x:c r="F579" s="25" t="n">
        <x:v>1</x:v>
      </x:c>
      <x:c r="G579" s="25" t="str">
        <x:v>从C0至当前检查点累计需求；未扣自身未来产出，不代表已有库存</x:v>
      </x:c>
    </x:row>
    <x:row r="580">
      <x:c r="A580" s="25" t="str">
        <x:v>C05-G</x:v>
      </x:c>
      <x:c r="B580" s="25" t="str">
        <x:v>湖之利耶尼亚</x:v>
      </x:c>
      <x:c r="C580" s="25" t="str">
        <x:v>半急速毕业</x:v>
      </x:c>
      <x:c r="D580" s="25" t="str">
        <x:v>材料</x:v>
      </x:c>
      <x:c r="E580" s="25" t="str">
        <x:v>满月王室印</x:v>
      </x:c>
      <x:c r="F580" s="25" t="n">
        <x:v>41</x:v>
      </x:c>
      <x:c r="G580" s="25" t="str">
        <x:v>从C0至当前检查点累计需求；未扣自身未来产出，不代表已有库存</x:v>
      </x:c>
    </x:row>
    <x:row r="581">
      <x:c r="A581" s="25" t="str">
        <x:v>C05-G</x:v>
      </x:c>
      <x:c r="B581" s="25" t="str">
        <x:v>湖之利耶尼亚</x:v>
      </x:c>
      <x:c r="C581" s="25" t="str">
        <x:v>半急速毕业</x:v>
      </x:c>
      <x:c r="D581" s="25" t="str">
        <x:v>材料</x:v>
      </x:c>
      <x:c r="E581" s="25" t="str">
        <x:v>漂流大陆印记</x:v>
      </x:c>
      <x:c r="F581" s="25" t="n">
        <x:v>11</x:v>
      </x:c>
      <x:c r="G581" s="25" t="str">
        <x:v>从C0至当前检查点累计需求；未扣自身未来产出，不代表已有库存</x:v>
      </x:c>
    </x:row>
    <x:row r="582">
      <x:c r="A582" s="25" t="str">
        <x:v>C05-G</x:v>
      </x:c>
      <x:c r="B582" s="25" t="str">
        <x:v>湖之利耶尼亚</x:v>
      </x:c>
      <x:c r="C582" s="25" t="str">
        <x:v>半急速毕业</x:v>
      </x:c>
      <x:c r="D582" s="25" t="str">
        <x:v>材料</x:v>
      </x:c>
      <x:c r="E582" s="25" t="str">
        <x:v>漂流见证·潮</x:v>
      </x:c>
      <x:c r="F582" s="25" t="n">
        <x:v>8</x:v>
      </x:c>
      <x:c r="G582" s="25" t="str">
        <x:v>从C0至当前检查点累计需求；未扣自身未来产出，不代表已有库存</x:v>
      </x:c>
    </x:row>
    <x:row r="583">
      <x:c r="A583" s="25" t="str">
        <x:v>C05-G</x:v>
      </x:c>
      <x:c r="B583" s="25" t="str">
        <x:v>湖之利耶尼亚</x:v>
      </x:c>
      <x:c r="C583" s="25" t="str">
        <x:v>半急速毕业</x:v>
      </x:c>
      <x:c r="D583" s="25" t="str">
        <x:v>材料</x:v>
      </x:c>
      <x:c r="E583" s="25" t="str">
        <x:v>漂流见证·雷</x:v>
      </x:c>
      <x:c r="F583" s="25" t="n">
        <x:v>8</x:v>
      </x:c>
      <x:c r="G583" s="25" t="str">
        <x:v>从C0至当前检查点累计需求；未扣自身未来产出，不代表已有库存</x:v>
      </x:c>
    </x:row>
    <x:row r="584">
      <x:c r="A584" s="25" t="str">
        <x:v>C05-G</x:v>
      </x:c>
      <x:c r="B584" s="25" t="str">
        <x:v>湖之利耶尼亚</x:v>
      </x:c>
      <x:c r="C584" s="25" t="str">
        <x:v>半急速毕业</x:v>
      </x:c>
      <x:c r="D584" s="25" t="str">
        <x:v>材料</x:v>
      </x:c>
      <x:c r="E584" s="25" t="str">
        <x:v>潮痕结晶</x:v>
      </x:c>
      <x:c r="F584" s="25" t="n">
        <x:v>16</x:v>
      </x:c>
      <x:c r="G584" s="25" t="str">
        <x:v>从C0至当前检查点累计需求；未扣自身未来产出，不代表已有库存</x:v>
      </x:c>
    </x:row>
    <x:row r="585">
      <x:c r="A585" s="25" t="str">
        <x:v>C05-G</x:v>
      </x:c>
      <x:c r="B585" s="25" t="str">
        <x:v>湖之利耶尼亚</x:v>
      </x:c>
      <x:c r="C585" s="25" t="str">
        <x:v>半急速毕业</x:v>
      </x:c>
      <x:c r="D585" s="25" t="str">
        <x:v>材料</x:v>
      </x:c>
      <x:c r="E585" s="25" t="str">
        <x:v>熊王心脏</x:v>
      </x:c>
      <x:c r="F585" s="25" t="n">
        <x:v>2</x:v>
      </x:c>
      <x:c r="G585" s="25" t="str">
        <x:v>从C0至当前检查点累计需求；未扣自身未来产出，不代表已有库存</x:v>
      </x:c>
    </x:row>
    <x:row r="586">
      <x:c r="A586" s="25" t="str">
        <x:v>C05-G</x:v>
      </x:c>
      <x:c r="B586" s="25" t="str">
        <x:v>湖之利耶尼亚</x:v>
      </x:c>
      <x:c r="C586" s="25" t="str">
        <x:v>半急速毕业</x:v>
      </x:c>
      <x:c r="D586" s="25" t="str">
        <x:v>材料</x:v>
      </x:c>
      <x:c r="E586" s="25" t="str">
        <x:v>熔炉角片</x:v>
      </x:c>
      <x:c r="F586" s="25" t="n">
        <x:v>1</x:v>
      </x:c>
      <x:c r="G586" s="25" t="str">
        <x:v>从C0至当前检查点累计需求；未扣自身未来产出，不代表已有库存</x:v>
      </x:c>
    </x:row>
    <x:row r="587">
      <x:c r="A587" s="25" t="str">
        <x:v>C05-G</x:v>
      </x:c>
      <x:c r="B587" s="25" t="str">
        <x:v>湖之利耶尼亚</x:v>
      </x:c>
      <x:c r="C587" s="25" t="str">
        <x:v>半急速毕业</x:v>
      </x:c>
      <x:c r="D587" s="25" t="str">
        <x:v>材料</x:v>
      </x:c>
      <x:c r="E587" s="25" t="str">
        <x:v>王城军印</x:v>
      </x:c>
      <x:c r="F587" s="25" t="n">
        <x:v>1</x:v>
      </x:c>
      <x:c r="G587" s="25" t="str">
        <x:v>从C0至当前检查点累计需求；未扣自身未来产出，不代表已有库存</x:v>
      </x:c>
    </x:row>
    <x:row r="588">
      <x:c r="A588" s="25" t="str">
        <x:v>C05-G</x:v>
      </x:c>
      <x:c r="B588" s="25" t="str">
        <x:v>湖之利耶尼亚</x:v>
      </x:c>
      <x:c r="C588" s="25" t="str">
        <x:v>半急速毕业</x:v>
      </x:c>
      <x:c r="D588" s="25" t="str">
        <x:v>材料</x:v>
      </x:c>
      <x:c r="E588" s="25" t="str">
        <x:v>看门犬石心</x:v>
      </x:c>
      <x:c r="F588" s="25" t="n">
        <x:v>2</x:v>
      </x:c>
      <x:c r="G588" s="25" t="str">
        <x:v>从C0至当前检查点累计需求；未扣自身未来产出，不代表已有库存</x:v>
      </x:c>
    </x:row>
    <x:row r="589">
      <x:c r="A589" s="25" t="str">
        <x:v>C05-G</x:v>
      </x:c>
      <x:c r="B589" s="25" t="str">
        <x:v>湖之利耶尼亚</x:v>
      </x:c>
      <x:c r="C589" s="25" t="str">
        <x:v>半急速毕业</x:v>
      </x:c>
      <x:c r="D589" s="25" t="str">
        <x:v>材料</x:v>
      </x:c>
      <x:c r="E589" s="25" t="str">
        <x:v>神秘符文</x:v>
      </x:c>
      <x:c r="F589" s="25" t="n">
        <x:v>300</x:v>
      </x:c>
      <x:c r="G589" s="25" t="str">
        <x:v>从C0至当前检查点累计需求；未扣自身未来产出，不代表已有库存</x:v>
      </x:c>
    </x:row>
    <x:row r="590">
      <x:c r="A590" s="25" t="str">
        <x:v>C05-G</x:v>
      </x:c>
      <x:c r="B590" s="25" t="str">
        <x:v>湖之利耶尼亚</x:v>
      </x:c>
      <x:c r="C590" s="25" t="str">
        <x:v>半急速毕业</x:v>
      </x:c>
      <x:c r="D590" s="25" t="str">
        <x:v>材料</x:v>
      </x:c>
      <x:c r="E590" s="25" t="str">
        <x:v>禁域星钥</x:v>
      </x:c>
      <x:c r="F590" s="25" t="n">
        <x:v>2</x:v>
      </x:c>
      <x:c r="G590" s="25" t="str">
        <x:v>从C0至当前检查点累计需求；未扣自身未来产出，不代表已有库存</x:v>
      </x:c>
    </x:row>
    <x:row r="591">
      <x:c r="A591" s="25" t="str">
        <x:v>C05-G</x:v>
      </x:c>
      <x:c r="B591" s="25" t="str">
        <x:v>湖之利耶尼亚</x:v>
      </x:c>
      <x:c r="C591" s="25" t="str">
        <x:v>半急速毕业</x:v>
      </x:c>
      <x:c r="D591" s="25" t="str">
        <x:v>材料</x:v>
      </x:c>
      <x:c r="E591" s="25" t="str">
        <x:v>腐根魂结</x:v>
      </x:c>
      <x:c r="F591" s="25" t="n">
        <x:v>2</x:v>
      </x:c>
      <x:c r="G591" s="25" t="str">
        <x:v>从C0至当前检查点累计需求；未扣自身未来产出，不代表已有库存</x:v>
      </x:c>
    </x:row>
    <x:row r="592">
      <x:c r="A592" s="25" t="str">
        <x:v>C05-G</x:v>
      </x:c>
      <x:c r="B592" s="25" t="str">
        <x:v>湖之利耶尼亚</x:v>
      </x:c>
      <x:c r="C592" s="25" t="str">
        <x:v>半急速毕业</x:v>
      </x:c>
      <x:c r="D592" s="25" t="str">
        <x:v>材料</x:v>
      </x:c>
      <x:c r="E592" s="25" t="str">
        <x:v>裂风崖羽</x:v>
      </x:c>
      <x:c r="F592" s="25" t="n">
        <x:v>80</x:v>
      </x:c>
      <x:c r="G592" s="25" t="str">
        <x:v>从C0至当前检查点累计需求；未扣自身未来产出，不代表已有库存</x:v>
      </x:c>
    </x:row>
    <x:row r="593">
      <x:c r="A593" s="25" t="str">
        <x:v>C05-G</x:v>
      </x:c>
      <x:c r="B593" s="25" t="str">
        <x:v>湖之利耶尼亚</x:v>
      </x:c>
      <x:c r="C593" s="25" t="str">
        <x:v>半急速毕业</x:v>
      </x:c>
      <x:c r="D593" s="25" t="str">
        <x:v>材料</x:v>
      </x:c>
      <x:c r="E593" s="25" t="str">
        <x:v>西境战旗</x:v>
      </x:c>
      <x:c r="F593" s="25" t="n">
        <x:v>20</x:v>
      </x:c>
      <x:c r="G593" s="25" t="str">
        <x:v>从C0至当前检查点累计需求；未扣自身未来产出，不代表已有库存</x:v>
      </x:c>
    </x:row>
    <x:row r="594">
      <x:c r="A594" s="25" t="str">
        <x:v>C05-G</x:v>
      </x:c>
      <x:c r="B594" s="25" t="str">
        <x:v>湖之利耶尼亚</x:v>
      </x:c>
      <x:c r="C594" s="25" t="str">
        <x:v>半急速毕业</x:v>
      </x:c>
      <x:c r="D594" s="25" t="str">
        <x:v>材料</x:v>
      </x:c>
      <x:c r="E594" s="25" t="str">
        <x:v>西境战旗印</x:v>
      </x:c>
      <x:c r="F594" s="25" t="n">
        <x:v>13</x:v>
      </x:c>
      <x:c r="G594" s="25" t="str">
        <x:v>从C0至当前检查点累计需求；未扣自身未来产出，不代表已有库存</x:v>
      </x:c>
    </x:row>
    <x:row r="595">
      <x:c r="A595" s="25" t="str">
        <x:v>C05-G</x:v>
      </x:c>
      <x:c r="B595" s="25" t="str">
        <x:v>湖之利耶尼亚</x:v>
      </x:c>
      <x:c r="C595" s="25" t="str">
        <x:v>半急速毕业</x:v>
      </x:c>
      <x:c r="D595" s="25" t="str">
        <x:v>材料</x:v>
      </x:c>
      <x:c r="E595" s="25" t="str">
        <x:v>西境风痕碑拓</x:v>
      </x:c>
      <x:c r="F595" s="25" t="n">
        <x:v>1</x:v>
      </x:c>
      <x:c r="G595" s="25" t="str">
        <x:v>从C0至当前检查点累计需求；未扣自身未来产出，不代表已有库存</x:v>
      </x:c>
    </x:row>
    <x:row r="596">
      <x:c r="A596" s="25" t="str">
        <x:v>C05-G</x:v>
      </x:c>
      <x:c r="B596" s="25" t="str">
        <x:v>湖之利耶尼亚</x:v>
      </x:c>
      <x:c r="C596" s="25" t="str">
        <x:v>半急速毕业</x:v>
      </x:c>
      <x:c r="D596" s="25" t="str">
        <x:v>材料</x:v>
      </x:c>
      <x:c r="E596" s="25" t="str">
        <x:v>贵胄断指</x:v>
      </x:c>
      <x:c r="F596" s="25" t="n">
        <x:v>1</x:v>
      </x:c>
      <x:c r="G596" s="25" t="str">
        <x:v>从C0至当前检查点累计需求；未扣自身未来产出，不代表已有库存</x:v>
      </x:c>
    </x:row>
    <x:row r="597">
      <x:c r="A597" s="25" t="str">
        <x:v>C05-G</x:v>
      </x:c>
      <x:c r="B597" s="25" t="str">
        <x:v>湖之利耶尼亚</x:v>
      </x:c>
      <x:c r="C597" s="25" t="str">
        <x:v>半急速毕业</x:v>
      </x:c>
      <x:c r="D597" s="25" t="str">
        <x:v>材料</x:v>
      </x:c>
      <x:c r="E597" s="25" t="str">
        <x:v>辉石碎晶</x:v>
      </x:c>
      <x:c r="F597" s="25" t="n">
        <x:v>1370</x:v>
      </x:c>
      <x:c r="G597" s="25" t="str">
        <x:v>从C0至当前检查点累计需求；未扣自身未来产出，不代表已有库存</x:v>
      </x:c>
    </x:row>
    <x:row r="598">
      <x:c r="A598" s="25" t="str">
        <x:v>C05-G</x:v>
      </x:c>
      <x:c r="B598" s="25" t="str">
        <x:v>湖之利耶尼亚</x:v>
      </x:c>
      <x:c r="C598" s="25" t="str">
        <x:v>半急速毕业</x:v>
      </x:c>
      <x:c r="D598" s="25" t="str">
        <x:v>材料</x:v>
      </x:c>
      <x:c r="E598" s="25" t="str">
        <x:v>野兽骨片</x:v>
      </x:c>
      <x:c r="F598" s="25" t="n">
        <x:v>16135</x:v>
      </x:c>
      <x:c r="G598" s="25" t="str">
        <x:v>从C0至当前检查点累计需求；未扣自身未来产出，不代表已有库存</x:v>
      </x:c>
    </x:row>
    <x:row r="599">
      <x:c r="A599" s="25" t="str">
        <x:v>C05-G</x:v>
      </x:c>
      <x:c r="B599" s="25" t="str">
        <x:v>湖之利耶尼亚</x:v>
      </x:c>
      <x:c r="C599" s="25" t="str">
        <x:v>半急速毕业</x:v>
      </x:c>
      <x:c r="D599" s="25" t="str">
        <x:v>材料</x:v>
      </x:c>
      <x:c r="E599" s="25" t="str">
        <x:v>雾潮银鳞</x:v>
      </x:c>
      <x:c r="F599" s="25" t="n">
        <x:v>217</x:v>
      </x:c>
      <x:c r="G599" s="25" t="str">
        <x:v>从C0至当前检查点累计需求；未扣自身未来产出，不代表已有库存</x:v>
      </x:c>
    </x:row>
    <x:row r="600">
      <x:c r="A600" s="25" t="str">
        <x:v>C05-G</x:v>
      </x:c>
      <x:c r="B600" s="25" t="str">
        <x:v>湖之利耶尼亚</x:v>
      </x:c>
      <x:c r="C600" s="25" t="str">
        <x:v>半急速毕业</x:v>
      </x:c>
      <x:c r="D600" s="25" t="str">
        <x:v>材料</x:v>
      </x:c>
      <x:c r="E600" s="25" t="str">
        <x:v>风暴王核</x:v>
      </x:c>
      <x:c r="F600" s="25" t="n">
        <x:v>1</x:v>
      </x:c>
      <x:c r="G600" s="25" t="str">
        <x:v>从C0至当前检查点累计需求；未扣自身未来产出，不代表已有库存</x:v>
      </x:c>
    </x:row>
    <x:row r="601">
      <x:c r="A601" s="25" t="str">
        <x:v>C05-G</x:v>
      </x:c>
      <x:c r="B601" s="25" t="str">
        <x:v>湖之利耶尼亚</x:v>
      </x:c>
      <x:c r="C601" s="25" t="str">
        <x:v>半急速毕业</x:v>
      </x:c>
      <x:c r="D601" s="25" t="str">
        <x:v>材料</x:v>
      </x:c>
      <x:c r="E601" s="25" t="str">
        <x:v>风暴石片</x:v>
      </x:c>
      <x:c r="F601" s="25" t="n">
        <x:v>370</x:v>
      </x:c>
      <x:c r="G601" s="25" t="str">
        <x:v>从C0至当前检查点累计需求；未扣自身未来产出，不代表已有库存</x:v>
      </x:c>
    </x:row>
    <x:row r="602">
      <x:c r="A602" s="25" t="str">
        <x:v>C05-G</x:v>
      </x:c>
      <x:c r="B602" s="25" t="str">
        <x:v>湖之利耶尼亚</x:v>
      </x:c>
      <x:c r="C602" s="25" t="str">
        <x:v>半急速毕业</x:v>
      </x:c>
      <x:c r="D602" s="25" t="str">
        <x:v>材料</x:v>
      </x:c>
      <x:c r="E602" s="25" t="str">
        <x:v>风蚀铁片</x:v>
      </x:c>
      <x:c r="F602" s="25" t="n">
        <x:v>710</x:v>
      </x:c>
      <x:c r="G602" s="25" t="str">
        <x:v>从C0至当前检查点累计需求；未扣自身未来产出，不代表已有库存</x:v>
      </x:c>
    </x:row>
    <x:row r="603">
      <x:c r="A603" s="25" t="str">
        <x:v>C05-G</x:v>
      </x:c>
      <x:c r="B603" s="25" t="str">
        <x:v>湖之利耶尼亚</x:v>
      </x:c>
      <x:c r="C603" s="25" t="str">
        <x:v>半急速毕业</x:v>
      </x:c>
      <x:c r="D603" s="25" t="str">
        <x:v>材料</x:v>
      </x:c>
      <x:c r="E603" s="25" t="str">
        <x:v>黄金树碎核</x:v>
      </x:c>
      <x:c r="F603" s="25" t="n">
        <x:v>2</x:v>
      </x:c>
      <x:c r="G603" s="25" t="str">
        <x:v>从C0至当前检查点累计需求；未扣自身未来产出，不代表已有库存</x:v>
      </x:c>
    </x:row>
    <x:row r="604">
      <x:c r="A604" s="25" t="str">
        <x:v>C05-G</x:v>
      </x:c>
      <x:c r="B604" s="25" t="str">
        <x:v>湖之利耶尼亚</x:v>
      </x:c>
      <x:c r="C604" s="25" t="str">
        <x:v>半急速毕业</x:v>
      </x:c>
      <x:c r="D604" s="25" t="str">
        <x:v>材料</x:v>
      </x:c>
      <x:c r="E604" s="25" t="str">
        <x:v>黄金树芽</x:v>
      </x:c>
      <x:c r="F604" s="25" t="n">
        <x:v>297</x:v>
      </x:c>
      <x:c r="G604" s="25" t="str">
        <x:v>从C0至当前检查点累计需求；未扣自身未来产出，不代表已有库存</x:v>
      </x:c>
    </x:row>
    <x:row r="605">
      <x:c r="A605" s="25" t="str">
        <x:v>C05-G</x:v>
      </x:c>
      <x:c r="B605" s="25" t="str">
        <x:v>湖之利耶尼亚</x:v>
      </x:c>
      <x:c r="C605" s="25" t="str">
        <x:v>半急速毕业</x:v>
      </x:c>
      <x:c r="D605" s="25" t="str">
        <x:v>材料</x:v>
      </x:c>
      <x:c r="E605" s="25" t="str">
        <x:v>黄金骑徽</x:v>
      </x:c>
      <x:c r="F605" s="25" t="n">
        <x:v>2</x:v>
      </x:c>
      <x:c r="G605" s="25" t="str">
        <x:v>从C0至当前检查点累计需求；未扣自身未来产出，不代表已有库存</x:v>
      </x:c>
    </x:row>
    <x:row r="606">
      <x:c r="A606" s="25" t="str">
        <x:v>C05-G</x:v>
      </x:c>
      <x:c r="B606" s="25" t="str">
        <x:v>湖之利耶尼亚</x:v>
      </x:c>
      <x:c r="C606" s="25" t="str">
        <x:v>半急速毕业</x:v>
      </x:c>
      <x:c r="D606" s="25" t="str">
        <x:v>装备实物</x:v>
      </x:c>
      <x:c r="E606" s="25" t="str">
        <x:v>共289个精确名称（明细见JSON）</x:v>
      </x:c>
      <x:c r="F606" s="25" t="n">
        <x:v>387</x:v>
      </x:c>
      <x:c r="G606" s="25" t="str">
        <x:v>含穿戴、重复试洗、图鉴登记与合成前置；完整数据未省略</x:v>
      </x:c>
    </x:row>
    <x:row r="607">
      <x:c r="A607" s="25" t="str">
        <x:v>C05-X</x:v>
      </x:c>
      <x:c r="B607" s="25" t="str">
        <x:v>湖之利耶尼亚</x:v>
      </x:c>
      <x:c r="C607" s="25" t="str">
        <x:v>极端压力</x:v>
      </x:c>
      <x:c r="D607" s="25" t="str">
        <x:v>材料</x:v>
      </x:c>
      <x:c r="E607" s="25" t="str">
        <x:v>兽将脊骨</x:v>
      </x:c>
      <x:c r="F607" s="25" t="n">
        <x:v>1</x:v>
      </x:c>
      <x:c r="G607" s="25" t="str">
        <x:v>从C0至当前检查点累计需求；未扣自身未来产出，不代表已有库存</x:v>
      </x:c>
    </x:row>
    <x:row r="608">
      <x:c r="A608" s="25" t="str">
        <x:v>C05-X</x:v>
      </x:c>
      <x:c r="B608" s="25" t="str">
        <x:v>湖之利耶尼亚</x:v>
      </x:c>
      <x:c r="C608" s="25" t="str">
        <x:v>极端压力</x:v>
      </x:c>
      <x:c r="D608" s="25" t="str">
        <x:v>材料</x:v>
      </x:c>
      <x:c r="E608" s="25" t="str">
        <x:v>卡利亚月露</x:v>
      </x:c>
      <x:c r="F608" s="25" t="n">
        <x:v>36</x:v>
      </x:c>
      <x:c r="G608" s="25" t="str">
        <x:v>从C0至当前检查点累计需求；未扣自身未来产出，不代表已有库存</x:v>
      </x:c>
    </x:row>
    <x:row r="609">
      <x:c r="A609" s="25" t="str">
        <x:v>C05-X</x:v>
      </x:c>
      <x:c r="B609" s="25" t="str">
        <x:v>湖之利耶尼亚</x:v>
      </x:c>
      <x:c r="C609" s="25" t="str">
        <x:v>极端压力</x:v>
      </x:c>
      <x:c r="D609" s="25" t="str">
        <x:v>材料</x:v>
      </x:c>
      <x:c r="E609" s="25" t="str">
        <x:v>哨垒旗冠</x:v>
      </x:c>
      <x:c r="F609" s="25" t="n">
        <x:v>3</x:v>
      </x:c>
      <x:c r="G609" s="25" t="str">
        <x:v>从C0至当前检查点累计需求；未扣自身未来产出，不代表已有库存</x:v>
      </x:c>
    </x:row>
    <x:row r="610">
      <x:c r="A610" s="25" t="str">
        <x:v>C05-X</x:v>
      </x:c>
      <x:c r="B610" s="25" t="str">
        <x:v>湖之利耶尼亚</x:v>
      </x:c>
      <x:c r="C610" s="25" t="str">
        <x:v>极端压力</x:v>
      </x:c>
      <x:c r="D610" s="25" t="str">
        <x:v>材料</x:v>
      </x:c>
      <x:c r="E610" s="25" t="str">
        <x:v>唤船骨铃</x:v>
      </x:c>
      <x:c r="F610" s="25" t="n">
        <x:v>1</x:v>
      </x:c>
      <x:c r="G610" s="25" t="str">
        <x:v>从C0至当前检查点累计需求；未扣自身未来产出，不代表已有库存</x:v>
      </x:c>
    </x:row>
    <x:row r="611">
      <x:c r="A611" s="25" t="str">
        <x:v>C05-X</x:v>
      </x:c>
      <x:c r="B611" s="25" t="str">
        <x:v>湖之利耶尼亚</x:v>
      </x:c>
      <x:c r="C611" s="25" t="str">
        <x:v>极端压力</x:v>
      </x:c>
      <x:c r="D611" s="25" t="str">
        <x:v>材料</x:v>
      </x:c>
      <x:c r="E611" s="25" t="str">
        <x:v>商队火漆</x:v>
      </x:c>
      <x:c r="F611" s="25" t="n">
        <x:v>20</x:v>
      </x:c>
      <x:c r="G611" s="25" t="str">
        <x:v>从C0至当前检查点累计需求；未扣自身未来产出，不代表已有库存</x:v>
      </x:c>
    </x:row>
    <x:row r="612">
      <x:c r="A612" s="25" t="str">
        <x:v>C05-X</x:v>
      </x:c>
      <x:c r="B612" s="25" t="str">
        <x:v>湖之利耶尼亚</x:v>
      </x:c>
      <x:c r="C612" s="25" t="str">
        <x:v>极端压力</x:v>
      </x:c>
      <x:c r="D612" s="25" t="str">
        <x:v>材料</x:v>
      </x:c>
      <x:c r="E612" s="25" t="str">
        <x:v>夜骑黑印</x:v>
      </x:c>
      <x:c r="F612" s="25" t="n">
        <x:v>1</x:v>
      </x:c>
      <x:c r="G612" s="25" t="str">
        <x:v>从C0至当前检查点累计需求；未扣自身未来产出，不代表已有库存</x:v>
      </x:c>
    </x:row>
    <x:row r="613">
      <x:c r="A613" s="25" t="str">
        <x:v>C05-X</x:v>
      </x:c>
      <x:c r="B613" s="25" t="str">
        <x:v>湖之利耶尼亚</x:v>
      </x:c>
      <x:c r="C613" s="25" t="str">
        <x:v>极端压力</x:v>
      </x:c>
      <x:c r="D613" s="25" t="str">
        <x:v>材料</x:v>
      </x:c>
      <x:c r="E613" s="25" t="str">
        <x:v>失乡军令</x:v>
      </x:c>
      <x:c r="F613" s="25" t="n">
        <x:v>2</x:v>
      </x:c>
      <x:c r="G613" s="25" t="str">
        <x:v>从C0至当前检查点累计需求；未扣自身未来产出，不代表已有库存</x:v>
      </x:c>
    </x:row>
    <x:row r="614">
      <x:c r="A614" s="25" t="str">
        <x:v>C05-X</x:v>
      </x:c>
      <x:c r="B614" s="25" t="str">
        <x:v>湖之利耶尼亚</x:v>
      </x:c>
      <x:c r="C614" s="25" t="str">
        <x:v>极端压力</x:v>
      </x:c>
      <x:c r="D614" s="25" t="str">
        <x:v>材料</x:v>
      </x:c>
      <x:c r="E614" s="25" t="str">
        <x:v>失乡统帅徽</x:v>
      </x:c>
      <x:c r="F614" s="25" t="n">
        <x:v>2</x:v>
      </x:c>
      <x:c r="G614" s="25" t="str">
        <x:v>从C0至当前检查点累计需求；未扣自身未来产出，不代表已有库存</x:v>
      </x:c>
    </x:row>
    <x:row r="615">
      <x:c r="A615" s="25" t="str">
        <x:v>C05-X</x:v>
      </x:c>
      <x:c r="B615" s="25" t="str">
        <x:v>湖之利耶尼亚</x:v>
      </x:c>
      <x:c r="C615" s="25" t="str">
        <x:v>极端压力</x:v>
      </x:c>
      <x:c r="D615" s="25" t="str">
        <x:v>材料</x:v>
      </x:c>
      <x:c r="E615" s="25" t="str">
        <x:v>失色锻造石</x:v>
      </x:c>
      <x:c r="F615" s="25" t="n">
        <x:v>21490</x:v>
      </x:c>
      <x:c r="G615" s="25" t="str">
        <x:v>从C0至当前检查点累计需求；未扣自身未来产出，不代表已有库存</x:v>
      </x:c>
    </x:row>
    <x:row r="616">
      <x:c r="A616" s="25" t="str">
        <x:v>C05-X</x:v>
      </x:c>
      <x:c r="B616" s="25" t="str">
        <x:v>湖之利耶尼亚</x:v>
      </x:c>
      <x:c r="C616" s="25" t="str">
        <x:v>极端压力</x:v>
      </x:c>
      <x:c r="D616" s="25" t="str">
        <x:v>材料</x:v>
      </x:c>
      <x:c r="E616" s="25" t="str">
        <x:v>学院封蜡</x:v>
      </x:c>
      <x:c r="F616" s="25" t="n">
        <x:v>24</x:v>
      </x:c>
      <x:c r="G616" s="25" t="str">
        <x:v>从C0至当前检查点累计需求；未扣自身未来产出，不代表已有库存</x:v>
      </x:c>
    </x:row>
    <x:row r="617">
      <x:c r="A617" s="25" t="str">
        <x:v>C05-X</x:v>
      </x:c>
      <x:c r="B617" s="25" t="str">
        <x:v>湖之利耶尼亚</x:v>
      </x:c>
      <x:c r="C617" s="25" t="str">
        <x:v>极端压力</x:v>
      </x:c>
      <x:c r="D617" s="25" t="str">
        <x:v>材料</x:v>
      </x:c>
      <x:c r="E617" s="25" t="str">
        <x:v>宁姆格福誓页</x:v>
      </x:c>
      <x:c r="F617" s="25" t="n">
        <x:v>90</x:v>
      </x:c>
      <x:c r="G617" s="25" t="str">
        <x:v>从C0至当前检查点累计需求；未扣自身未来产出，不代表已有库存</x:v>
      </x:c>
    </x:row>
    <x:row r="618">
      <x:c r="A618" s="25" t="str">
        <x:v>C05-X</x:v>
      </x:c>
      <x:c r="B618" s="25" t="str">
        <x:v>湖之利耶尼亚</x:v>
      </x:c>
      <x:c r="C618" s="25" t="str">
        <x:v>极端压力</x:v>
      </x:c>
      <x:c r="D618" s="25" t="str">
        <x:v>材料</x:v>
      </x:c>
      <x:c r="E618" s="25" t="str">
        <x:v>小卢恩</x:v>
      </x:c>
      <x:c r="F618" s="25" t="n">
        <x:v>250</x:v>
      </x:c>
      <x:c r="G618" s="25" t="str">
        <x:v>从C0至当前检查点累计需求；未扣自身未来产出，不代表已有库存</x:v>
      </x:c>
    </x:row>
    <x:row r="619">
      <x:c r="A619" s="25" t="str">
        <x:v>C05-X</x:v>
      </x:c>
      <x:c r="B619" s="25" t="str">
        <x:v>湖之利耶尼亚</x:v>
      </x:c>
      <x:c r="C619" s="25" t="str">
        <x:v>极端压力</x:v>
      </x:c>
      <x:c r="D619" s="25" t="str">
        <x:v>材料</x:v>
      </x:c>
      <x:c r="E619" s="25" t="str">
        <x:v>山妖王角</x:v>
      </x:c>
      <x:c r="F619" s="25" t="n">
        <x:v>2</x:v>
      </x:c>
      <x:c r="G619" s="25" t="str">
        <x:v>从C0至当前检查点累计需求；未扣自身未来产出，不代表已有库存</x:v>
      </x:c>
    </x:row>
    <x:row r="620">
      <x:c r="A620" s="25" t="str">
        <x:v>C05-X</x:v>
      </x:c>
      <x:c r="B620" s="25" t="str">
        <x:v>湖之利耶尼亚</x:v>
      </x:c>
      <x:c r="C620" s="25" t="str">
        <x:v>极端压力</x:v>
      </x:c>
      <x:c r="D620" s="25" t="str">
        <x:v>材料</x:v>
      </x:c>
      <x:c r="E620" s="25" t="str">
        <x:v>幽船铆钉</x:v>
      </x:c>
      <x:c r="F620" s="25" t="n">
        <x:v>21</x:v>
      </x:c>
      <x:c r="G620" s="25" t="str">
        <x:v>从C0至当前检查点累计需求；未扣自身未来产出，不代表已有库存</x:v>
      </x:c>
    </x:row>
    <x:row r="621">
      <x:c r="A621" s="25" t="str">
        <x:v>C05-X</x:v>
      </x:c>
      <x:c r="B621" s="25" t="str">
        <x:v>湖之利耶尼亚</x:v>
      </x:c>
      <x:c r="C621" s="25" t="str">
        <x:v>极端压力</x:v>
      </x:c>
      <x:c r="D621" s="25" t="str">
        <x:v>材料</x:v>
      </x:c>
      <x:c r="E621" s="25" t="str">
        <x:v>恶兆残角</x:v>
      </x:c>
      <x:c r="F621" s="25" t="n">
        <x:v>1</x:v>
      </x:c>
      <x:c r="G621" s="25" t="str">
        <x:v>从C0至当前检查点累计需求；未扣自身未来产出，不代表已有库存</x:v>
      </x:c>
    </x:row>
    <x:row r="622">
      <x:c r="A622" s="25" t="str">
        <x:v>C05-X</x:v>
      </x:c>
      <x:c r="B622" s="25" t="str">
        <x:v>湖之利耶尼亚</x:v>
      </x:c>
      <x:c r="C622" s="25" t="str">
        <x:v>极端压力</x:v>
      </x:c>
      <x:c r="D622" s="25" t="str">
        <x:v>材料</x:v>
      </x:c>
      <x:c r="E622" s="25" t="str">
        <x:v>技能残页</x:v>
      </x:c>
      <x:c r="F622" s="25" t="n">
        <x:v>1350</x:v>
      </x:c>
      <x:c r="G622" s="25" t="str">
        <x:v>从C0至当前检查点累计需求；未扣自身未来产出，不代表已有库存</x:v>
      </x:c>
    </x:row>
    <x:row r="623">
      <x:c r="A623" s="25" t="str">
        <x:v>C05-X</x:v>
      </x:c>
      <x:c r="B623" s="25" t="str">
        <x:v>湖之利耶尼亚</x:v>
      </x:c>
      <x:c r="C623" s="25" t="str">
        <x:v>极端压力</x:v>
      </x:c>
      <x:c r="D623" s="25" t="str">
        <x:v>材料</x:v>
      </x:c>
      <x:c r="E623" s="25" t="str">
        <x:v>接肢兽心</x:v>
      </x:c>
      <x:c r="F623" s="25" t="n">
        <x:v>2</x:v>
      </x:c>
      <x:c r="G623" s="25" t="str">
        <x:v>从C0至当前检查点累计需求；未扣自身未来产出，不代表已有库存</x:v>
      </x:c>
    </x:row>
    <x:row r="624">
      <x:c r="A624" s="25" t="str">
        <x:v>C05-X</x:v>
      </x:c>
      <x:c r="B624" s="25" t="str">
        <x:v>湖之利耶尼亚</x:v>
      </x:c>
      <x:c r="C624" s="25" t="str">
        <x:v>极端压力</x:v>
      </x:c>
      <x:c r="D624" s="25" t="str">
        <x:v>材料</x:v>
      </x:c>
      <x:c r="E624" s="25" t="str">
        <x:v>接肢王印</x:v>
      </x:c>
      <x:c r="F624" s="25" t="n">
        <x:v>13</x:v>
      </x:c>
      <x:c r="G624" s="25" t="str">
        <x:v>从C0至当前检查点累计需求；未扣自身未来产出，不代表已有库存</x:v>
      </x:c>
    </x:row>
    <x:row r="625">
      <x:c r="A625" s="25" t="str">
        <x:v>C05-X</x:v>
      </x:c>
      <x:c r="B625" s="25" t="str">
        <x:v>湖之利耶尼亚</x:v>
      </x:c>
      <x:c r="C625" s="25" t="str">
        <x:v>极端压力</x:v>
      </x:c>
      <x:c r="D625" s="25" t="str">
        <x:v>材料</x:v>
      </x:c>
      <x:c r="E625" s="25" t="str">
        <x:v>接肢王魂</x:v>
      </x:c>
      <x:c r="F625" s="25" t="n">
        <x:v>1</x:v>
      </x:c>
      <x:c r="G625" s="25" t="str">
        <x:v>从C0至当前检查点累计需求；未扣自身未来产出，不代表已有库存</x:v>
      </x:c>
    </x:row>
    <x:row r="626">
      <x:c r="A626" s="25" t="str">
        <x:v>C05-X</x:v>
      </x:c>
      <x:c r="B626" s="25" t="str">
        <x:v>湖之利耶尼亚</x:v>
      </x:c>
      <x:c r="C626" s="25" t="str">
        <x:v>极端压力</x:v>
      </x:c>
      <x:c r="D626" s="25" t="str">
        <x:v>材料</x:v>
      </x:c>
      <x:c r="E626" s="25" t="str">
        <x:v>月潮忆珀</x:v>
      </x:c>
      <x:c r="F626" s="25" t="n">
        <x:v>1</x:v>
      </x:c>
      <x:c r="G626" s="25" t="str">
        <x:v>从C0至当前检查点累计需求；未扣自身未来产出，不代表已有库存</x:v>
      </x:c>
    </x:row>
    <x:row r="627">
      <x:c r="A627" s="25" t="str">
        <x:v>C05-X</x:v>
      </x:c>
      <x:c r="B627" s="25" t="str">
        <x:v>湖之利耶尼亚</x:v>
      </x:c>
      <x:c r="C627" s="25" t="str">
        <x:v>极端压力</x:v>
      </x:c>
      <x:c r="D627" s="25" t="str">
        <x:v>材料</x:v>
      </x:c>
      <x:c r="E627" s="25" t="str">
        <x:v>月蚀镜片</x:v>
      </x:c>
      <x:c r="F627" s="25" t="n">
        <x:v>14</x:v>
      </x:c>
      <x:c r="G627" s="25" t="str">
        <x:v>从C0至当前检查点累计需求；未扣自身未来产出，不代表已有库存</x:v>
      </x:c>
    </x:row>
    <x:row r="628">
      <x:c r="A628" s="25" t="str">
        <x:v>C05-X</x:v>
      </x:c>
      <x:c r="B628" s="25" t="str">
        <x:v>湖之利耶尼亚</x:v>
      </x:c>
      <x:c r="C628" s="25" t="str">
        <x:v>极端压力</x:v>
      </x:c>
      <x:c r="D628" s="25" t="str">
        <x:v>材料</x:v>
      </x:c>
      <x:c r="E628" s="25" t="str">
        <x:v>树卫枪穗</x:v>
      </x:c>
      <x:c r="F628" s="25" t="n">
        <x:v>1</x:v>
      </x:c>
      <x:c r="G628" s="25" t="str">
        <x:v>从C0至当前检查点累计需求；未扣自身未来产出，不代表已有库存</x:v>
      </x:c>
    </x:row>
    <x:row r="629">
      <x:c r="A629" s="25" t="str">
        <x:v>C05-X</x:v>
      </x:c>
      <x:c r="B629" s="25" t="str">
        <x:v>湖之利耶尼亚</x:v>
      </x:c>
      <x:c r="C629" s="25" t="str">
        <x:v>极端压力</x:v>
      </x:c>
      <x:c r="D629" s="25" t="str">
        <x:v>材料</x:v>
      </x:c>
      <x:c r="E629" s="25" t="str">
        <x:v>死亡仪羽</x:v>
      </x:c>
      <x:c r="F629" s="25" t="n">
        <x:v>2</x:v>
      </x:c>
      <x:c r="G629" s="25" t="str">
        <x:v>从C0至当前检查点累计需求；未扣自身未来产出，不代表已有库存</x:v>
      </x:c>
    </x:row>
    <x:row r="630">
      <x:c r="A630" s="25" t="str">
        <x:v>C05-X</x:v>
      </x:c>
      <x:c r="B630" s="25" t="str">
        <x:v>湖之利耶尼亚</x:v>
      </x:c>
      <x:c r="C630" s="25" t="str">
        <x:v>极端压力</x:v>
      </x:c>
      <x:c r="D630" s="25" t="str">
        <x:v>材料</x:v>
      </x:c>
      <x:c r="E630" s="25" t="str">
        <x:v>沉湖王印</x:v>
      </x:c>
      <x:c r="F630" s="25" t="n">
        <x:v>39</x:v>
      </x:c>
      <x:c r="G630" s="25" t="str">
        <x:v>从C0至当前检查点累计需求；未扣自身未来产出，不代表已有库存</x:v>
      </x:c>
    </x:row>
    <x:row r="631">
      <x:c r="A631" s="25" t="str">
        <x:v>C05-X</x:v>
      </x:c>
      <x:c r="B631" s="25" t="str">
        <x:v>湖之利耶尼亚</x:v>
      </x:c>
      <x:c r="C631" s="25" t="str">
        <x:v>极端压力</x:v>
      </x:c>
      <x:c r="D631" s="25" t="str">
        <x:v>材料</x:v>
      </x:c>
      <x:c r="E631" s="25" t="str">
        <x:v>沉船缆扣</x:v>
      </x:c>
      <x:c r="F631" s="25" t="n">
        <x:v>44</x:v>
      </x:c>
      <x:c r="G631" s="25" t="str">
        <x:v>从C0至当前检查点累计需求；未扣自身未来产出，不代表已有库存</x:v>
      </x:c>
    </x:row>
    <x:row r="632">
      <x:c r="A632" s="25" t="str">
        <x:v>C05-X</x:v>
      </x:c>
      <x:c r="B632" s="25" t="str">
        <x:v>湖之利耶尼亚</x:v>
      </x:c>
      <x:c r="C632" s="25" t="str">
        <x:v>极端压力</x:v>
      </x:c>
      <x:c r="D632" s="25" t="str">
        <x:v>材料</x:v>
      </x:c>
      <x:c r="E632" s="25" t="str">
        <x:v>海蚀铁片</x:v>
      </x:c>
      <x:c r="F632" s="25" t="n">
        <x:v>160</x:v>
      </x:c>
      <x:c r="G632" s="25" t="str">
        <x:v>从C0至当前检查点累计需求；未扣自身未来产出，不代表已有库存</x:v>
      </x:c>
    </x:row>
    <x:row r="633">
      <x:c r="A633" s="25" t="str">
        <x:v>C05-X</x:v>
      </x:c>
      <x:c r="B633" s="25" t="str">
        <x:v>湖之利耶尼亚</x:v>
      </x:c>
      <x:c r="C633" s="25" t="str">
        <x:v>极端压力</x:v>
      </x:c>
      <x:c r="D633" s="25" t="str">
        <x:v>材料</x:v>
      </x:c>
      <x:c r="E633" s="25" t="str">
        <x:v>深湖压舱印</x:v>
      </x:c>
      <x:c r="F633" s="25" t="n">
        <x:v>6</x:v>
      </x:c>
      <x:c r="G633" s="25" t="str">
        <x:v>从C0至当前检查点累计需求；未扣自身未来产出，不代表已有库存</x:v>
      </x:c>
    </x:row>
    <x:row r="634">
      <x:c r="A634" s="25" t="str">
        <x:v>C05-X</x:v>
      </x:c>
      <x:c r="B634" s="25" t="str">
        <x:v>湖之利耶尼亚</x:v>
      </x:c>
      <x:c r="C634" s="25" t="str">
        <x:v>极端压力</x:v>
      </x:c>
      <x:c r="D634" s="25" t="str">
        <x:v>材料</x:v>
      </x:c>
      <x:c r="E634" s="25" t="str">
        <x:v>湖底封门珠</x:v>
      </x:c>
      <x:c r="F634" s="25" t="n">
        <x:v>8</x:v>
      </x:c>
      <x:c r="G634" s="25" t="str">
        <x:v>从C0至当前检查点累计需求；未扣自身未来产出，不代表已有库存</x:v>
      </x:c>
    </x:row>
    <x:row r="635">
      <x:c r="A635" s="25" t="str">
        <x:v>C05-X</x:v>
      </x:c>
      <x:c r="B635" s="25" t="str">
        <x:v>湖之利耶尼亚</x:v>
      </x:c>
      <x:c r="C635" s="25" t="str">
        <x:v>极端压力</x:v>
      </x:c>
      <x:c r="D635" s="25" t="str">
        <x:v>材料</x:v>
      </x:c>
      <x:c r="E635" s="25" t="str">
        <x:v>湖心月谱残章</x:v>
      </x:c>
      <x:c r="F635" s="25" t="n">
        <x:v>1</x:v>
      </x:c>
      <x:c r="G635" s="25" t="str">
        <x:v>从C0至当前检查点累计需求；未扣自身未来产出，不代表已有库存</x:v>
      </x:c>
    </x:row>
    <x:row r="636">
      <x:c r="A636" s="25" t="str">
        <x:v>C05-X</x:v>
      </x:c>
      <x:c r="B636" s="25" t="str">
        <x:v>湖之利耶尼亚</x:v>
      </x:c>
      <x:c r="C636" s="25" t="str">
        <x:v>极端压力</x:v>
      </x:c>
      <x:c r="D636" s="25" t="str">
        <x:v>材料</x:v>
      </x:c>
      <x:c r="E636" s="25" t="str">
        <x:v>湖盐结晶</x:v>
      </x:c>
      <x:c r="F636" s="25" t="n">
        <x:v>2437</x:v>
      </x:c>
      <x:c r="G636" s="25" t="str">
        <x:v>从C0至当前检查点累计需求；未扣自身未来产出，不代表已有库存</x:v>
      </x:c>
    </x:row>
    <x:row r="637">
      <x:c r="A637" s="25" t="str">
        <x:v>C05-X</x:v>
      </x:c>
      <x:c r="B637" s="25" t="str">
        <x:v>湖之利耶尼亚</x:v>
      </x:c>
      <x:c r="C637" s="25" t="str">
        <x:v>极端压力</x:v>
      </x:c>
      <x:c r="D637" s="25" t="str">
        <x:v>材料</x:v>
      </x:c>
      <x:c r="E637" s="25" t="str">
        <x:v>溃烂树核</x:v>
      </x:c>
      <x:c r="F637" s="25" t="n">
        <x:v>1</x:v>
      </x:c>
      <x:c r="G637" s="25" t="str">
        <x:v>从C0至当前检查点累计需求；未扣自身未来产出，不代表已有库存</x:v>
      </x:c>
    </x:row>
    <x:row r="638">
      <x:c r="A638" s="25" t="str">
        <x:v>C05-X</x:v>
      </x:c>
      <x:c r="B638" s="25" t="str">
        <x:v>湖之利耶尼亚</x:v>
      </x:c>
      <x:c r="C638" s="25" t="str">
        <x:v>极端压力</x:v>
      </x:c>
      <x:c r="D638" s="25" t="str">
        <x:v>材料</x:v>
      </x:c>
      <x:c r="E638" s="25" t="str">
        <x:v>满月王室印</x:v>
      </x:c>
      <x:c r="F638" s="25" t="n">
        <x:v>41</x:v>
      </x:c>
      <x:c r="G638" s="25" t="str">
        <x:v>从C0至当前检查点累计需求；未扣自身未来产出，不代表已有库存</x:v>
      </x:c>
    </x:row>
    <x:row r="639">
      <x:c r="A639" s="25" t="str">
        <x:v>C05-X</x:v>
      </x:c>
      <x:c r="B639" s="25" t="str">
        <x:v>湖之利耶尼亚</x:v>
      </x:c>
      <x:c r="C639" s="25" t="str">
        <x:v>极端压力</x:v>
      </x:c>
      <x:c r="D639" s="25" t="str">
        <x:v>材料</x:v>
      </x:c>
      <x:c r="E639" s="25" t="str">
        <x:v>漂流大陆印记</x:v>
      </x:c>
      <x:c r="F639" s="25" t="n">
        <x:v>11</x:v>
      </x:c>
      <x:c r="G639" s="25" t="str">
        <x:v>从C0至当前检查点累计需求；未扣自身未来产出，不代表已有库存</x:v>
      </x:c>
    </x:row>
    <x:row r="640">
      <x:c r="A640" s="25" t="str">
        <x:v>C05-X</x:v>
      </x:c>
      <x:c r="B640" s="25" t="str">
        <x:v>湖之利耶尼亚</x:v>
      </x:c>
      <x:c r="C640" s="25" t="str">
        <x:v>极端压力</x:v>
      </x:c>
      <x:c r="D640" s="25" t="str">
        <x:v>材料</x:v>
      </x:c>
      <x:c r="E640" s="25" t="str">
        <x:v>漂流见证·潮</x:v>
      </x:c>
      <x:c r="F640" s="25" t="n">
        <x:v>8</x:v>
      </x:c>
      <x:c r="G640" s="25" t="str">
        <x:v>从C0至当前检查点累计需求；未扣自身未来产出，不代表已有库存</x:v>
      </x:c>
    </x:row>
    <x:row r="641">
      <x:c r="A641" s="25" t="str">
        <x:v>C05-X</x:v>
      </x:c>
      <x:c r="B641" s="25" t="str">
        <x:v>湖之利耶尼亚</x:v>
      </x:c>
      <x:c r="C641" s="25" t="str">
        <x:v>极端压力</x:v>
      </x:c>
      <x:c r="D641" s="25" t="str">
        <x:v>材料</x:v>
      </x:c>
      <x:c r="E641" s="25" t="str">
        <x:v>漂流见证·雷</x:v>
      </x:c>
      <x:c r="F641" s="25" t="n">
        <x:v>8</x:v>
      </x:c>
      <x:c r="G641" s="25" t="str">
        <x:v>从C0至当前检查点累计需求；未扣自身未来产出，不代表已有库存</x:v>
      </x:c>
    </x:row>
    <x:row r="642">
      <x:c r="A642" s="25" t="str">
        <x:v>C05-X</x:v>
      </x:c>
      <x:c r="B642" s="25" t="str">
        <x:v>湖之利耶尼亚</x:v>
      </x:c>
      <x:c r="C642" s="25" t="str">
        <x:v>极端压力</x:v>
      </x:c>
      <x:c r="D642" s="25" t="str">
        <x:v>材料</x:v>
      </x:c>
      <x:c r="E642" s="25" t="str">
        <x:v>潮痕结晶</x:v>
      </x:c>
      <x:c r="F642" s="25" t="n">
        <x:v>16</x:v>
      </x:c>
      <x:c r="G642" s="25" t="str">
        <x:v>从C0至当前检查点累计需求；未扣自身未来产出，不代表已有库存</x:v>
      </x:c>
    </x:row>
    <x:row r="643">
      <x:c r="A643" s="25" t="str">
        <x:v>C05-X</x:v>
      </x:c>
      <x:c r="B643" s="25" t="str">
        <x:v>湖之利耶尼亚</x:v>
      </x:c>
      <x:c r="C643" s="25" t="str">
        <x:v>极端压力</x:v>
      </x:c>
      <x:c r="D643" s="25" t="str">
        <x:v>材料</x:v>
      </x:c>
      <x:c r="E643" s="25" t="str">
        <x:v>熊王心脏</x:v>
      </x:c>
      <x:c r="F643" s="25" t="n">
        <x:v>2</x:v>
      </x:c>
      <x:c r="G643" s="25" t="str">
        <x:v>从C0至当前检查点累计需求；未扣自身未来产出，不代表已有库存</x:v>
      </x:c>
    </x:row>
    <x:row r="644">
      <x:c r="A644" s="25" t="str">
        <x:v>C05-X</x:v>
      </x:c>
      <x:c r="B644" s="25" t="str">
        <x:v>湖之利耶尼亚</x:v>
      </x:c>
      <x:c r="C644" s="25" t="str">
        <x:v>极端压力</x:v>
      </x:c>
      <x:c r="D644" s="25" t="str">
        <x:v>材料</x:v>
      </x:c>
      <x:c r="E644" s="25" t="str">
        <x:v>熔炉角片</x:v>
      </x:c>
      <x:c r="F644" s="25" t="n">
        <x:v>1</x:v>
      </x:c>
      <x:c r="G644" s="25" t="str">
        <x:v>从C0至当前检查点累计需求；未扣自身未来产出，不代表已有库存</x:v>
      </x:c>
    </x:row>
    <x:row r="645">
      <x:c r="A645" s="25" t="str">
        <x:v>C05-X</x:v>
      </x:c>
      <x:c r="B645" s="25" t="str">
        <x:v>湖之利耶尼亚</x:v>
      </x:c>
      <x:c r="C645" s="25" t="str">
        <x:v>极端压力</x:v>
      </x:c>
      <x:c r="D645" s="25" t="str">
        <x:v>材料</x:v>
      </x:c>
      <x:c r="E645" s="25" t="str">
        <x:v>王城军印</x:v>
      </x:c>
      <x:c r="F645" s="25" t="n">
        <x:v>1</x:v>
      </x:c>
      <x:c r="G645" s="25" t="str">
        <x:v>从C0至当前检查点累计需求；未扣自身未来产出，不代表已有库存</x:v>
      </x:c>
    </x:row>
    <x:row r="646">
      <x:c r="A646" s="25" t="str">
        <x:v>C05-X</x:v>
      </x:c>
      <x:c r="B646" s="25" t="str">
        <x:v>湖之利耶尼亚</x:v>
      </x:c>
      <x:c r="C646" s="25" t="str">
        <x:v>极端压力</x:v>
      </x:c>
      <x:c r="D646" s="25" t="str">
        <x:v>材料</x:v>
      </x:c>
      <x:c r="E646" s="25" t="str">
        <x:v>看门犬石心</x:v>
      </x:c>
      <x:c r="F646" s="25" t="n">
        <x:v>2</x:v>
      </x:c>
      <x:c r="G646" s="25" t="str">
        <x:v>从C0至当前检查点累计需求；未扣自身未来产出，不代表已有库存</x:v>
      </x:c>
    </x:row>
    <x:row r="647">
      <x:c r="A647" s="25" t="str">
        <x:v>C05-X</x:v>
      </x:c>
      <x:c r="B647" s="25" t="str">
        <x:v>湖之利耶尼亚</x:v>
      </x:c>
      <x:c r="C647" s="25" t="str">
        <x:v>极端压力</x:v>
      </x:c>
      <x:c r="D647" s="25" t="str">
        <x:v>材料</x:v>
      </x:c>
      <x:c r="E647" s="25" t="str">
        <x:v>神秘符文</x:v>
      </x:c>
      <x:c r="F647" s="25" t="n">
        <x:v>300</x:v>
      </x:c>
      <x:c r="G647" s="25" t="str">
        <x:v>从C0至当前检查点累计需求；未扣自身未来产出，不代表已有库存</x:v>
      </x:c>
    </x:row>
    <x:row r="648">
      <x:c r="A648" s="25" t="str">
        <x:v>C05-X</x:v>
      </x:c>
      <x:c r="B648" s="25" t="str">
        <x:v>湖之利耶尼亚</x:v>
      </x:c>
      <x:c r="C648" s="25" t="str">
        <x:v>极端压力</x:v>
      </x:c>
      <x:c r="D648" s="25" t="str">
        <x:v>材料</x:v>
      </x:c>
      <x:c r="E648" s="25" t="str">
        <x:v>禁域星钥</x:v>
      </x:c>
      <x:c r="F648" s="25" t="n">
        <x:v>4</x:v>
      </x:c>
      <x:c r="G648" s="25" t="str">
        <x:v>从C0至当前检查点累计需求；未扣自身未来产出，不代表已有库存</x:v>
      </x:c>
    </x:row>
    <x:row r="649">
      <x:c r="A649" s="25" t="str">
        <x:v>C05-X</x:v>
      </x:c>
      <x:c r="B649" s="25" t="str">
        <x:v>湖之利耶尼亚</x:v>
      </x:c>
      <x:c r="C649" s="25" t="str">
        <x:v>极端压力</x:v>
      </x:c>
      <x:c r="D649" s="25" t="str">
        <x:v>材料</x:v>
      </x:c>
      <x:c r="E649" s="25" t="str">
        <x:v>腐根魂结</x:v>
      </x:c>
      <x:c r="F649" s="25" t="n">
        <x:v>2</x:v>
      </x:c>
      <x:c r="G649" s="25" t="str">
        <x:v>从C0至当前检查点累计需求；未扣自身未来产出，不代表已有库存</x:v>
      </x:c>
    </x:row>
    <x:row r="650">
      <x:c r="A650" s="25" t="str">
        <x:v>C05-X</x:v>
      </x:c>
      <x:c r="B650" s="25" t="str">
        <x:v>湖之利耶尼亚</x:v>
      </x:c>
      <x:c r="C650" s="25" t="str">
        <x:v>极端压力</x:v>
      </x:c>
      <x:c r="D650" s="25" t="str">
        <x:v>材料</x:v>
      </x:c>
      <x:c r="E650" s="25" t="str">
        <x:v>裂风崖羽</x:v>
      </x:c>
      <x:c r="F650" s="25" t="n">
        <x:v>80</x:v>
      </x:c>
      <x:c r="G650" s="25" t="str">
        <x:v>从C0至当前检查点累计需求；未扣自身未来产出，不代表已有库存</x:v>
      </x:c>
    </x:row>
    <x:row r="651">
      <x:c r="A651" s="25" t="str">
        <x:v>C05-X</x:v>
      </x:c>
      <x:c r="B651" s="25" t="str">
        <x:v>湖之利耶尼亚</x:v>
      </x:c>
      <x:c r="C651" s="25" t="str">
        <x:v>极端压力</x:v>
      </x:c>
      <x:c r="D651" s="25" t="str">
        <x:v>材料</x:v>
      </x:c>
      <x:c r="E651" s="25" t="str">
        <x:v>西境战旗</x:v>
      </x:c>
      <x:c r="F651" s="25" t="n">
        <x:v>20</x:v>
      </x:c>
      <x:c r="G651" s="25" t="str">
        <x:v>从C0至当前检查点累计需求；未扣自身未来产出，不代表已有库存</x:v>
      </x:c>
    </x:row>
    <x:row r="652">
      <x:c r="A652" s="25" t="str">
        <x:v>C05-X</x:v>
      </x:c>
      <x:c r="B652" s="25" t="str">
        <x:v>湖之利耶尼亚</x:v>
      </x:c>
      <x:c r="C652" s="25" t="str">
        <x:v>极端压力</x:v>
      </x:c>
      <x:c r="D652" s="25" t="str">
        <x:v>材料</x:v>
      </x:c>
      <x:c r="E652" s="25" t="str">
        <x:v>西境战旗印</x:v>
      </x:c>
      <x:c r="F652" s="25" t="n">
        <x:v>13</x:v>
      </x:c>
      <x:c r="G652" s="25" t="str">
        <x:v>从C0至当前检查点累计需求；未扣自身未来产出，不代表已有库存</x:v>
      </x:c>
    </x:row>
    <x:row r="653">
      <x:c r="A653" s="25" t="str">
        <x:v>C05-X</x:v>
      </x:c>
      <x:c r="B653" s="25" t="str">
        <x:v>湖之利耶尼亚</x:v>
      </x:c>
      <x:c r="C653" s="25" t="str">
        <x:v>极端压力</x:v>
      </x:c>
      <x:c r="D653" s="25" t="str">
        <x:v>材料</x:v>
      </x:c>
      <x:c r="E653" s="25" t="str">
        <x:v>西境风痕碑拓</x:v>
      </x:c>
      <x:c r="F653" s="25" t="n">
        <x:v>1</x:v>
      </x:c>
      <x:c r="G653" s="25" t="str">
        <x:v>从C0至当前检查点累计需求；未扣自身未来产出，不代表已有库存</x:v>
      </x:c>
    </x:row>
    <x:row r="654">
      <x:c r="A654" s="25" t="str">
        <x:v>C05-X</x:v>
      </x:c>
      <x:c r="B654" s="25" t="str">
        <x:v>湖之利耶尼亚</x:v>
      </x:c>
      <x:c r="C654" s="25" t="str">
        <x:v>极端压力</x:v>
      </x:c>
      <x:c r="D654" s="25" t="str">
        <x:v>材料</x:v>
      </x:c>
      <x:c r="E654" s="25" t="str">
        <x:v>贵胄断指</x:v>
      </x:c>
      <x:c r="F654" s="25" t="n">
        <x:v>1</x:v>
      </x:c>
      <x:c r="G654" s="25" t="str">
        <x:v>从C0至当前检查点累计需求；未扣自身未来产出，不代表已有库存</x:v>
      </x:c>
    </x:row>
    <x:row r="655">
      <x:c r="A655" s="25" t="str">
        <x:v>C05-X</x:v>
      </x:c>
      <x:c r="B655" s="25" t="str">
        <x:v>湖之利耶尼亚</x:v>
      </x:c>
      <x:c r="C655" s="25" t="str">
        <x:v>极端压力</x:v>
      </x:c>
      <x:c r="D655" s="25" t="str">
        <x:v>材料</x:v>
      </x:c>
      <x:c r="E655" s="25" t="str">
        <x:v>辉石碎晶</x:v>
      </x:c>
      <x:c r="F655" s="25" t="n">
        <x:v>1790</x:v>
      </x:c>
      <x:c r="G655" s="25" t="str">
        <x:v>从C0至当前检查点累计需求；未扣自身未来产出，不代表已有库存</x:v>
      </x:c>
    </x:row>
    <x:row r="656">
      <x:c r="A656" s="25" t="str">
        <x:v>C05-X</x:v>
      </x:c>
      <x:c r="B656" s="25" t="str">
        <x:v>湖之利耶尼亚</x:v>
      </x:c>
      <x:c r="C656" s="25" t="str">
        <x:v>极端压力</x:v>
      </x:c>
      <x:c r="D656" s="25" t="str">
        <x:v>材料</x:v>
      </x:c>
      <x:c r="E656" s="25" t="str">
        <x:v>野兽骨片</x:v>
      </x:c>
      <x:c r="F656" s="25" t="n">
        <x:v>16135</x:v>
      </x:c>
      <x:c r="G656" s="25" t="str">
        <x:v>从C0至当前检查点累计需求；未扣自身未来产出，不代表已有库存</x:v>
      </x:c>
    </x:row>
    <x:row r="657">
      <x:c r="A657" s="25" t="str">
        <x:v>C05-X</x:v>
      </x:c>
      <x:c r="B657" s="25" t="str">
        <x:v>湖之利耶尼亚</x:v>
      </x:c>
      <x:c r="C657" s="25" t="str">
        <x:v>极端压力</x:v>
      </x:c>
      <x:c r="D657" s="25" t="str">
        <x:v>材料</x:v>
      </x:c>
      <x:c r="E657" s="25" t="str">
        <x:v>雾月星砂</x:v>
      </x:c>
      <x:c r="F657" s="25" t="n">
        <x:v>90</x:v>
      </x:c>
      <x:c r="G657" s="25" t="str">
        <x:v>从C0至当前检查点累计需求；未扣自身未来产出，不代表已有库存</x:v>
      </x:c>
    </x:row>
    <x:row r="658">
      <x:c r="A658" s="25" t="str">
        <x:v>C05-X</x:v>
      </x:c>
      <x:c r="B658" s="25" t="str">
        <x:v>湖之利耶尼亚</x:v>
      </x:c>
      <x:c r="C658" s="25" t="str">
        <x:v>极端压力</x:v>
      </x:c>
      <x:c r="D658" s="25" t="str">
        <x:v>材料</x:v>
      </x:c>
      <x:c r="E658" s="25" t="str">
        <x:v>雾潮银鳞</x:v>
      </x:c>
      <x:c r="F658" s="25" t="n">
        <x:v>272</x:v>
      </x:c>
      <x:c r="G658" s="25" t="str">
        <x:v>从C0至当前检查点累计需求；未扣自身未来产出，不代表已有库存</x:v>
      </x:c>
    </x:row>
    <x:row r="659">
      <x:c r="A659" s="25" t="str">
        <x:v>C05-X</x:v>
      </x:c>
      <x:c r="B659" s="25" t="str">
        <x:v>湖之利耶尼亚</x:v>
      </x:c>
      <x:c r="C659" s="25" t="str">
        <x:v>极端压力</x:v>
      </x:c>
      <x:c r="D659" s="25" t="str">
        <x:v>材料</x:v>
      </x:c>
      <x:c r="E659" s="25" t="str">
        <x:v>风暴王核</x:v>
      </x:c>
      <x:c r="F659" s="25" t="n">
        <x:v>1</x:v>
      </x:c>
      <x:c r="G659" s="25" t="str">
        <x:v>从C0至当前检查点累计需求；未扣自身未来产出，不代表已有库存</x:v>
      </x:c>
    </x:row>
    <x:row r="660">
      <x:c r="A660" s="25" t="str">
        <x:v>C05-X</x:v>
      </x:c>
      <x:c r="B660" s="25" t="str">
        <x:v>湖之利耶尼亚</x:v>
      </x:c>
      <x:c r="C660" s="25" t="str">
        <x:v>极端压力</x:v>
      </x:c>
      <x:c r="D660" s="25" t="str">
        <x:v>材料</x:v>
      </x:c>
      <x:c r="E660" s="25" t="str">
        <x:v>风暴石片</x:v>
      </x:c>
      <x:c r="F660" s="25" t="n">
        <x:v>370</x:v>
      </x:c>
      <x:c r="G660" s="25" t="str">
        <x:v>从C0至当前检查点累计需求；未扣自身未来产出，不代表已有库存</x:v>
      </x:c>
    </x:row>
    <x:row r="661">
      <x:c r="A661" s="25" t="str">
        <x:v>C05-X</x:v>
      </x:c>
      <x:c r="B661" s="25" t="str">
        <x:v>湖之利耶尼亚</x:v>
      </x:c>
      <x:c r="C661" s="25" t="str">
        <x:v>极端压力</x:v>
      </x:c>
      <x:c r="D661" s="25" t="str">
        <x:v>材料</x:v>
      </x:c>
      <x:c r="E661" s="25" t="str">
        <x:v>风蚀铁片</x:v>
      </x:c>
      <x:c r="F661" s="25" t="n">
        <x:v>710</x:v>
      </x:c>
      <x:c r="G661" s="25" t="str">
        <x:v>从C0至当前检查点累计需求；未扣自身未来产出，不代表已有库存</x:v>
      </x:c>
    </x:row>
    <x:row r="662">
      <x:c r="A662" s="25" t="str">
        <x:v>C05-X</x:v>
      </x:c>
      <x:c r="B662" s="25" t="str">
        <x:v>湖之利耶尼亚</x:v>
      </x:c>
      <x:c r="C662" s="25" t="str">
        <x:v>极端压力</x:v>
      </x:c>
      <x:c r="D662" s="25" t="str">
        <x:v>材料</x:v>
      </x:c>
      <x:c r="E662" s="25" t="str">
        <x:v>黄金树碎核</x:v>
      </x:c>
      <x:c r="F662" s="25" t="n">
        <x:v>2</x:v>
      </x:c>
      <x:c r="G662" s="25" t="str">
        <x:v>从C0至当前检查点累计需求；未扣自身未来产出，不代表已有库存</x:v>
      </x:c>
    </x:row>
    <x:row r="663">
      <x:c r="A663" s="25" t="str">
        <x:v>C05-X</x:v>
      </x:c>
      <x:c r="B663" s="25" t="str">
        <x:v>湖之利耶尼亚</x:v>
      </x:c>
      <x:c r="C663" s="25" t="str">
        <x:v>极端压力</x:v>
      </x:c>
      <x:c r="D663" s="25" t="str">
        <x:v>材料</x:v>
      </x:c>
      <x:c r="E663" s="25" t="str">
        <x:v>黄金树芽</x:v>
      </x:c>
      <x:c r="F663" s="25" t="n">
        <x:v>297</x:v>
      </x:c>
      <x:c r="G663" s="25" t="str">
        <x:v>从C0至当前检查点累计需求；未扣自身未来产出，不代表已有库存</x:v>
      </x:c>
    </x:row>
    <x:row r="664">
      <x:c r="A664" s="25" t="str">
        <x:v>C05-X</x:v>
      </x:c>
      <x:c r="B664" s="25" t="str">
        <x:v>湖之利耶尼亚</x:v>
      </x:c>
      <x:c r="C664" s="25" t="str">
        <x:v>极端压力</x:v>
      </x:c>
      <x:c r="D664" s="25" t="str">
        <x:v>材料</x:v>
      </x:c>
      <x:c r="E664" s="25" t="str">
        <x:v>黄金骑徽</x:v>
      </x:c>
      <x:c r="F664" s="25" t="n">
        <x:v>2</x:v>
      </x:c>
      <x:c r="G664" s="25" t="str">
        <x:v>从C0至当前检查点累计需求；未扣自身未来产出，不代表已有库存</x:v>
      </x:c>
    </x:row>
    <x:row r="665">
      <x:c r="A665" s="25" t="str">
        <x:v>C05-X</x:v>
      </x:c>
      <x:c r="B665" s="25" t="str">
        <x:v>湖之利耶尼亚</x:v>
      </x:c>
      <x:c r="C665" s="25" t="str">
        <x:v>极端压力</x:v>
      </x:c>
      <x:c r="D665" s="25" t="str">
        <x:v>装备实物</x:v>
      </x:c>
      <x:c r="E665" s="25" t="str">
        <x:v>共348个精确名称（明细见JSON）</x:v>
      </x:c>
      <x:c r="F665" s="25" t="n">
        <x:v>487</x:v>
      </x:c>
      <x:c r="G665" s="25" t="str">
        <x:v>含穿戴、重复试洗、图鉴登记与合成前置；完整数据未省略</x:v>
      </x:c>
    </x:row>
    <x:row r="666">
      <x:c r="A666" s="25" t="str">
        <x:v>C06-E</x:v>
      </x:c>
      <x:c r="B666" s="25" t="str">
        <x:v>盖利德</x:v>
      </x:c>
      <x:c r="C666" s="25" t="str">
        <x:v>半急速入场</x:v>
      </x:c>
      <x:c r="D666" s="25" t="str">
        <x:v>材料</x:v>
      </x:c>
      <x:c r="E666" s="25" t="str">
        <x:v>兽将脊骨</x:v>
      </x:c>
      <x:c r="F666" s="25" t="n">
        <x:v>1</x:v>
      </x:c>
      <x:c r="G666" s="25" t="str">
        <x:v>从C0至当前检查点累计需求；未扣自身未来产出，不代表已有库存</x:v>
      </x:c>
    </x:row>
    <x:row r="667">
      <x:c r="A667" s="25" t="str">
        <x:v>C06-E</x:v>
      </x:c>
      <x:c r="B667" s="25" t="str">
        <x:v>盖利德</x:v>
      </x:c>
      <x:c r="C667" s="25" t="str">
        <x:v>半急速入场</x:v>
      </x:c>
      <x:c r="D667" s="25" t="str">
        <x:v>材料</x:v>
      </x:c>
      <x:c r="E667" s="25" t="str">
        <x:v>卡利亚月露</x:v>
      </x:c>
      <x:c r="F667" s="25" t="n">
        <x:v>36</x:v>
      </x:c>
      <x:c r="G667" s="25" t="str">
        <x:v>从C0至当前检查点累计需求；未扣自身未来产出，不代表已有库存</x:v>
      </x:c>
    </x:row>
    <x:row r="668">
      <x:c r="A668" s="25" t="str">
        <x:v>C06-E</x:v>
      </x:c>
      <x:c r="B668" s="25" t="str">
        <x:v>盖利德</x:v>
      </x:c>
      <x:c r="C668" s="25" t="str">
        <x:v>半急速入场</x:v>
      </x:c>
      <x:c r="D668" s="25" t="str">
        <x:v>材料</x:v>
      </x:c>
      <x:c r="E668" s="25" t="str">
        <x:v>哨垒旗冠</x:v>
      </x:c>
      <x:c r="F668" s="25" t="n">
        <x:v>3</x:v>
      </x:c>
      <x:c r="G668" s="25" t="str">
        <x:v>从C0至当前检查点累计需求；未扣自身未来产出，不代表已有库存</x:v>
      </x:c>
    </x:row>
    <x:row r="669">
      <x:c r="A669" s="25" t="str">
        <x:v>C06-E</x:v>
      </x:c>
      <x:c r="B669" s="25" t="str">
        <x:v>盖利德</x:v>
      </x:c>
      <x:c r="C669" s="25" t="str">
        <x:v>半急速入场</x:v>
      </x:c>
      <x:c r="D669" s="25" t="str">
        <x:v>材料</x:v>
      </x:c>
      <x:c r="E669" s="25" t="str">
        <x:v>唤船骨铃</x:v>
      </x:c>
      <x:c r="F669" s="25" t="n">
        <x:v>1</x:v>
      </x:c>
      <x:c r="G669" s="25" t="str">
        <x:v>从C0至当前检查点累计需求；未扣自身未来产出，不代表已有库存</x:v>
      </x:c>
    </x:row>
    <x:row r="670">
      <x:c r="A670" s="25" t="str">
        <x:v>C06-E</x:v>
      </x:c>
      <x:c r="B670" s="25" t="str">
        <x:v>盖利德</x:v>
      </x:c>
      <x:c r="C670" s="25" t="str">
        <x:v>半急速入场</x:v>
      </x:c>
      <x:c r="D670" s="25" t="str">
        <x:v>材料</x:v>
      </x:c>
      <x:c r="E670" s="25" t="str">
        <x:v>商队火漆</x:v>
      </x:c>
      <x:c r="F670" s="25" t="n">
        <x:v>20</x:v>
      </x:c>
      <x:c r="G670" s="25" t="str">
        <x:v>从C0至当前检查点累计需求；未扣自身未来产出，不代表已有库存</x:v>
      </x:c>
    </x:row>
    <x:row r="671">
      <x:c r="A671" s="25" t="str">
        <x:v>C06-E</x:v>
      </x:c>
      <x:c r="B671" s="25" t="str">
        <x:v>盖利德</x:v>
      </x:c>
      <x:c r="C671" s="25" t="str">
        <x:v>半急速入场</x:v>
      </x:c>
      <x:c r="D671" s="25" t="str">
        <x:v>材料</x:v>
      </x:c>
      <x:c r="E671" s="25" t="str">
        <x:v>夜骑黑印</x:v>
      </x:c>
      <x:c r="F671" s="25" t="n">
        <x:v>1</x:v>
      </x:c>
      <x:c r="G671" s="25" t="str">
        <x:v>从C0至当前检查点累计需求；未扣自身未来产出，不代表已有库存</x:v>
      </x:c>
    </x:row>
    <x:row r="672">
      <x:c r="A672" s="25" t="str">
        <x:v>C06-E</x:v>
      </x:c>
      <x:c r="B672" s="25" t="str">
        <x:v>盖利德</x:v>
      </x:c>
      <x:c r="C672" s="25" t="str">
        <x:v>半急速入场</x:v>
      </x:c>
      <x:c r="D672" s="25" t="str">
        <x:v>材料</x:v>
      </x:c>
      <x:c r="E672" s="25" t="str">
        <x:v>失乡军令</x:v>
      </x:c>
      <x:c r="F672" s="25" t="n">
        <x:v>2</x:v>
      </x:c>
      <x:c r="G672" s="25" t="str">
        <x:v>从C0至当前检查点累计需求；未扣自身未来产出，不代表已有库存</x:v>
      </x:c>
    </x:row>
    <x:row r="673">
      <x:c r="A673" s="25" t="str">
        <x:v>C06-E</x:v>
      </x:c>
      <x:c r="B673" s="25" t="str">
        <x:v>盖利德</x:v>
      </x:c>
      <x:c r="C673" s="25" t="str">
        <x:v>半急速入场</x:v>
      </x:c>
      <x:c r="D673" s="25" t="str">
        <x:v>材料</x:v>
      </x:c>
      <x:c r="E673" s="25" t="str">
        <x:v>失乡统帅徽</x:v>
      </x:c>
      <x:c r="F673" s="25" t="n">
        <x:v>2</x:v>
      </x:c>
      <x:c r="G673" s="25" t="str">
        <x:v>从C0至当前检查点累计需求；未扣自身未来产出，不代表已有库存</x:v>
      </x:c>
    </x:row>
    <x:row r="674">
      <x:c r="A674" s="25" t="str">
        <x:v>C06-E</x:v>
      </x:c>
      <x:c r="B674" s="25" t="str">
        <x:v>盖利德</x:v>
      </x:c>
      <x:c r="C674" s="25" t="str">
        <x:v>半急速入场</x:v>
      </x:c>
      <x:c r="D674" s="25" t="str">
        <x:v>材料</x:v>
      </x:c>
      <x:c r="E674" s="25" t="str">
        <x:v>失色锻造石</x:v>
      </x:c>
      <x:c r="F674" s="25" t="n">
        <x:v>12580</x:v>
      </x:c>
      <x:c r="G674" s="25" t="str">
        <x:v>从C0至当前检查点累计需求；未扣自身未来产出，不代表已有库存</x:v>
      </x:c>
    </x:row>
    <x:row r="675">
      <x:c r="A675" s="25" t="str">
        <x:v>C06-E</x:v>
      </x:c>
      <x:c r="B675" s="25" t="str">
        <x:v>盖利德</x:v>
      </x:c>
      <x:c r="C675" s="25" t="str">
        <x:v>半急速入场</x:v>
      </x:c>
      <x:c r="D675" s="25" t="str">
        <x:v>材料</x:v>
      </x:c>
      <x:c r="E675" s="25" t="str">
        <x:v>学院封蜡</x:v>
      </x:c>
      <x:c r="F675" s="25" t="n">
        <x:v>24</x:v>
      </x:c>
      <x:c r="G675" s="25" t="str">
        <x:v>从C0至当前检查点累计需求；未扣自身未来产出，不代表已有库存</x:v>
      </x:c>
    </x:row>
    <x:row r="676">
      <x:c r="A676" s="25" t="str">
        <x:v>C06-E</x:v>
      </x:c>
      <x:c r="B676" s="25" t="str">
        <x:v>盖利德</x:v>
      </x:c>
      <x:c r="C676" s="25" t="str">
        <x:v>半急速入场</x:v>
      </x:c>
      <x:c r="D676" s="25" t="str">
        <x:v>材料</x:v>
      </x:c>
      <x:c r="E676" s="25" t="str">
        <x:v>宁姆格福誓页</x:v>
      </x:c>
      <x:c r="F676" s="25" t="n">
        <x:v>90</x:v>
      </x:c>
      <x:c r="G676" s="25" t="str">
        <x:v>从C0至当前检查点累计需求；未扣自身未来产出，不代表已有库存</x:v>
      </x:c>
    </x:row>
    <x:row r="677">
      <x:c r="A677" s="25" t="str">
        <x:v>C06-E</x:v>
      </x:c>
      <x:c r="B677" s="25" t="str">
        <x:v>盖利德</x:v>
      </x:c>
      <x:c r="C677" s="25" t="str">
        <x:v>半急速入场</x:v>
      </x:c>
      <x:c r="D677" s="25" t="str">
        <x:v>材料</x:v>
      </x:c>
      <x:c r="E677" s="25" t="str">
        <x:v>小卢恩</x:v>
      </x:c>
      <x:c r="F677" s="25" t="n">
        <x:v>250</x:v>
      </x:c>
      <x:c r="G677" s="25" t="str">
        <x:v>从C0至当前检查点累计需求；未扣自身未来产出，不代表已有库存</x:v>
      </x:c>
    </x:row>
    <x:row r="678">
      <x:c r="A678" s="25" t="str">
        <x:v>C06-E</x:v>
      </x:c>
      <x:c r="B678" s="25" t="str">
        <x:v>盖利德</x:v>
      </x:c>
      <x:c r="C678" s="25" t="str">
        <x:v>半急速入场</x:v>
      </x:c>
      <x:c r="D678" s="25" t="str">
        <x:v>材料</x:v>
      </x:c>
      <x:c r="E678" s="25" t="str">
        <x:v>山妖王角</x:v>
      </x:c>
      <x:c r="F678" s="25" t="n">
        <x:v>2</x:v>
      </x:c>
      <x:c r="G678" s="25" t="str">
        <x:v>从C0至当前检查点累计需求；未扣自身未来产出，不代表已有库存</x:v>
      </x:c>
    </x:row>
    <x:row r="679">
      <x:c r="A679" s="25" t="str">
        <x:v>C06-E</x:v>
      </x:c>
      <x:c r="B679" s="25" t="str">
        <x:v>盖利德</x:v>
      </x:c>
      <x:c r="C679" s="25" t="str">
        <x:v>半急速入场</x:v>
      </x:c>
      <x:c r="D679" s="25" t="str">
        <x:v>材料</x:v>
      </x:c>
      <x:c r="E679" s="25" t="str">
        <x:v>幽船铆钉</x:v>
      </x:c>
      <x:c r="F679" s="25" t="n">
        <x:v>21</x:v>
      </x:c>
      <x:c r="G679" s="25" t="str">
        <x:v>从C0至当前检查点累计需求；未扣自身未来产出，不代表已有库存</x:v>
      </x:c>
    </x:row>
    <x:row r="680">
      <x:c r="A680" s="25" t="str">
        <x:v>C06-E</x:v>
      </x:c>
      <x:c r="B680" s="25" t="str">
        <x:v>盖利德</x:v>
      </x:c>
      <x:c r="C680" s="25" t="str">
        <x:v>半急速入场</x:v>
      </x:c>
      <x:c r="D680" s="25" t="str">
        <x:v>材料</x:v>
      </x:c>
      <x:c r="E680" s="25" t="str">
        <x:v>恶兆残角</x:v>
      </x:c>
      <x:c r="F680" s="25" t="n">
        <x:v>1</x:v>
      </x:c>
      <x:c r="G680" s="25" t="str">
        <x:v>从C0至当前检查点累计需求；未扣自身未来产出，不代表已有库存</x:v>
      </x:c>
    </x:row>
    <x:row r="681">
      <x:c r="A681" s="25" t="str">
        <x:v>C06-E</x:v>
      </x:c>
      <x:c r="B681" s="25" t="str">
        <x:v>盖利德</x:v>
      </x:c>
      <x:c r="C681" s="25" t="str">
        <x:v>半急速入场</x:v>
      </x:c>
      <x:c r="D681" s="25" t="str">
        <x:v>材料</x:v>
      </x:c>
      <x:c r="E681" s="25" t="str">
        <x:v>技能残页</x:v>
      </x:c>
      <x:c r="F681" s="25" t="n">
        <x:v>1350</x:v>
      </x:c>
      <x:c r="G681" s="25" t="str">
        <x:v>从C0至当前检查点累计需求；未扣自身未来产出，不代表已有库存</x:v>
      </x:c>
    </x:row>
    <x:row r="682">
      <x:c r="A682" s="25" t="str">
        <x:v>C06-E</x:v>
      </x:c>
      <x:c r="B682" s="25" t="str">
        <x:v>盖利德</x:v>
      </x:c>
      <x:c r="C682" s="25" t="str">
        <x:v>半急速入场</x:v>
      </x:c>
      <x:c r="D682" s="25" t="str">
        <x:v>材料</x:v>
      </x:c>
      <x:c r="E682" s="25" t="str">
        <x:v>接肢兽心</x:v>
      </x:c>
      <x:c r="F682" s="25" t="n">
        <x:v>2</x:v>
      </x:c>
      <x:c r="G682" s="25" t="str">
        <x:v>从C0至当前检查点累计需求；未扣自身未来产出，不代表已有库存</x:v>
      </x:c>
    </x:row>
    <x:row r="683">
      <x:c r="A683" s="25" t="str">
        <x:v>C06-E</x:v>
      </x:c>
      <x:c r="B683" s="25" t="str">
        <x:v>盖利德</x:v>
      </x:c>
      <x:c r="C683" s="25" t="str">
        <x:v>半急速入场</x:v>
      </x:c>
      <x:c r="D683" s="25" t="str">
        <x:v>材料</x:v>
      </x:c>
      <x:c r="E683" s="25" t="str">
        <x:v>接肢王印</x:v>
      </x:c>
      <x:c r="F683" s="25" t="n">
        <x:v>13</x:v>
      </x:c>
      <x:c r="G683" s="25" t="str">
        <x:v>从C0至当前检查点累计需求；未扣自身未来产出，不代表已有库存</x:v>
      </x:c>
    </x:row>
    <x:row r="684">
      <x:c r="A684" s="25" t="str">
        <x:v>C06-E</x:v>
      </x:c>
      <x:c r="B684" s="25" t="str">
        <x:v>盖利德</x:v>
      </x:c>
      <x:c r="C684" s="25" t="str">
        <x:v>半急速入场</x:v>
      </x:c>
      <x:c r="D684" s="25" t="str">
        <x:v>材料</x:v>
      </x:c>
      <x:c r="E684" s="25" t="str">
        <x:v>接肢王魂</x:v>
      </x:c>
      <x:c r="F684" s="25" t="n">
        <x:v>1</x:v>
      </x:c>
      <x:c r="G684" s="25" t="str">
        <x:v>从C0至当前检查点累计需求；未扣自身未来产出，不代表已有库存</x:v>
      </x:c>
    </x:row>
    <x:row r="685">
      <x:c r="A685" s="25" t="str">
        <x:v>C06-E</x:v>
      </x:c>
      <x:c r="B685" s="25" t="str">
        <x:v>盖利德</x:v>
      </x:c>
      <x:c r="C685" s="25" t="str">
        <x:v>半急速入场</x:v>
      </x:c>
      <x:c r="D685" s="25" t="str">
        <x:v>材料</x:v>
      </x:c>
      <x:c r="E685" s="25" t="str">
        <x:v>月潮忆珀</x:v>
      </x:c>
      <x:c r="F685" s="25" t="n">
        <x:v>1</x:v>
      </x:c>
      <x:c r="G685" s="25" t="str">
        <x:v>从C0至当前检查点累计需求；未扣自身未来产出，不代表已有库存</x:v>
      </x:c>
    </x:row>
    <x:row r="686">
      <x:c r="A686" s="25" t="str">
        <x:v>C06-E</x:v>
      </x:c>
      <x:c r="B686" s="25" t="str">
        <x:v>盖利德</x:v>
      </x:c>
      <x:c r="C686" s="25" t="str">
        <x:v>半急速入场</x:v>
      </x:c>
      <x:c r="D686" s="25" t="str">
        <x:v>材料</x:v>
      </x:c>
      <x:c r="E686" s="25" t="str">
        <x:v>月蚀镜片</x:v>
      </x:c>
      <x:c r="F686" s="25" t="n">
        <x:v>14</x:v>
      </x:c>
      <x:c r="G686" s="25" t="str">
        <x:v>从C0至当前检查点累计需求；未扣自身未来产出，不代表已有库存</x:v>
      </x:c>
    </x:row>
    <x:row r="687">
      <x:c r="A687" s="25" t="str">
        <x:v>C06-E</x:v>
      </x:c>
      <x:c r="B687" s="25" t="str">
        <x:v>盖利德</x:v>
      </x:c>
      <x:c r="C687" s="25" t="str">
        <x:v>半急速入场</x:v>
      </x:c>
      <x:c r="D687" s="25" t="str">
        <x:v>材料</x:v>
      </x:c>
      <x:c r="E687" s="25" t="str">
        <x:v>树卫枪穗</x:v>
      </x:c>
      <x:c r="F687" s="25" t="n">
        <x:v>1</x:v>
      </x:c>
      <x:c r="G687" s="25" t="str">
        <x:v>从C0至当前检查点累计需求；未扣自身未来产出，不代表已有库存</x:v>
      </x:c>
    </x:row>
    <x:row r="688">
      <x:c r="A688" s="25" t="str">
        <x:v>C06-E</x:v>
      </x:c>
      <x:c r="B688" s="25" t="str">
        <x:v>盖利德</x:v>
      </x:c>
      <x:c r="C688" s="25" t="str">
        <x:v>半急速入场</x:v>
      </x:c>
      <x:c r="D688" s="25" t="str">
        <x:v>材料</x:v>
      </x:c>
      <x:c r="E688" s="25" t="str">
        <x:v>死亡仪羽</x:v>
      </x:c>
      <x:c r="F688" s="25" t="n">
        <x:v>2</x:v>
      </x:c>
      <x:c r="G688" s="25" t="str">
        <x:v>从C0至当前检查点累计需求；未扣自身未来产出，不代表已有库存</x:v>
      </x:c>
    </x:row>
    <x:row r="689">
      <x:c r="A689" s="25" t="str">
        <x:v>C06-E</x:v>
      </x:c>
      <x:c r="B689" s="25" t="str">
        <x:v>盖利德</x:v>
      </x:c>
      <x:c r="C689" s="25" t="str">
        <x:v>半急速入场</x:v>
      </x:c>
      <x:c r="D689" s="25" t="str">
        <x:v>材料</x:v>
      </x:c>
      <x:c r="E689" s="25" t="str">
        <x:v>沉湖王印</x:v>
      </x:c>
      <x:c r="F689" s="25" t="n">
        <x:v>16</x:v>
      </x:c>
      <x:c r="G689" s="25" t="str">
        <x:v>从C0至当前检查点累计需求；未扣自身未来产出，不代表已有库存</x:v>
      </x:c>
    </x:row>
    <x:row r="690">
      <x:c r="A690" s="25" t="str">
        <x:v>C06-E</x:v>
      </x:c>
      <x:c r="B690" s="25" t="str">
        <x:v>盖利德</x:v>
      </x:c>
      <x:c r="C690" s="25" t="str">
        <x:v>半急速入场</x:v>
      </x:c>
      <x:c r="D690" s="25" t="str">
        <x:v>材料</x:v>
      </x:c>
      <x:c r="E690" s="25" t="str">
        <x:v>沉船缆扣</x:v>
      </x:c>
      <x:c r="F690" s="25" t="n">
        <x:v>12</x:v>
      </x:c>
      <x:c r="G690" s="25" t="str">
        <x:v>从C0至当前检查点累计需求；未扣自身未来产出，不代表已有库存</x:v>
      </x:c>
    </x:row>
    <x:row r="691">
      <x:c r="A691" s="25" t="str">
        <x:v>C06-E</x:v>
      </x:c>
      <x:c r="B691" s="25" t="str">
        <x:v>盖利德</x:v>
      </x:c>
      <x:c r="C691" s="25" t="str">
        <x:v>半急速入场</x:v>
      </x:c>
      <x:c r="D691" s="25" t="str">
        <x:v>材料</x:v>
      </x:c>
      <x:c r="E691" s="25" t="str">
        <x:v>海蚀铁片</x:v>
      </x:c>
      <x:c r="F691" s="25" t="n">
        <x:v>160</x:v>
      </x:c>
      <x:c r="G691" s="25" t="str">
        <x:v>从C0至当前检查点累计需求；未扣自身未来产出，不代表已有库存</x:v>
      </x:c>
    </x:row>
    <x:row r="692">
      <x:c r="A692" s="25" t="str">
        <x:v>C06-E</x:v>
      </x:c>
      <x:c r="B692" s="25" t="str">
        <x:v>盖利德</x:v>
      </x:c>
      <x:c r="C692" s="25" t="str">
        <x:v>半急速入场</x:v>
      </x:c>
      <x:c r="D692" s="25" t="str">
        <x:v>材料</x:v>
      </x:c>
      <x:c r="E692" s="25" t="str">
        <x:v>湖底封门珠</x:v>
      </x:c>
      <x:c r="F692" s="25" t="n">
        <x:v>6</x:v>
      </x:c>
      <x:c r="G692" s="25" t="str">
        <x:v>从C0至当前检查点累计需求；未扣自身未来产出，不代表已有库存</x:v>
      </x:c>
    </x:row>
    <x:row r="693">
      <x:c r="A693" s="25" t="str">
        <x:v>C06-E</x:v>
      </x:c>
      <x:c r="B693" s="25" t="str">
        <x:v>盖利德</x:v>
      </x:c>
      <x:c r="C693" s="25" t="str">
        <x:v>半急速入场</x:v>
      </x:c>
      <x:c r="D693" s="25" t="str">
        <x:v>材料</x:v>
      </x:c>
      <x:c r="E693" s="25" t="str">
        <x:v>湖盐结晶</x:v>
      </x:c>
      <x:c r="F693" s="25" t="n">
        <x:v>1407</x:v>
      </x:c>
      <x:c r="G693" s="25" t="str">
        <x:v>从C0至当前检查点累计需求；未扣自身未来产出，不代表已有库存</x:v>
      </x:c>
    </x:row>
    <x:row r="694">
      <x:c r="A694" s="25" t="str">
        <x:v>C06-E</x:v>
      </x:c>
      <x:c r="B694" s="25" t="str">
        <x:v>盖利德</x:v>
      </x:c>
      <x:c r="C694" s="25" t="str">
        <x:v>半急速入场</x:v>
      </x:c>
      <x:c r="D694" s="25" t="str">
        <x:v>材料</x:v>
      </x:c>
      <x:c r="E694" s="25" t="str">
        <x:v>溃烂树核</x:v>
      </x:c>
      <x:c r="F694" s="25" t="n">
        <x:v>1</x:v>
      </x:c>
      <x:c r="G694" s="25" t="str">
        <x:v>从C0至当前检查点累计需求；未扣自身未来产出，不代表已有库存</x:v>
      </x:c>
    </x:row>
    <x:row r="695">
      <x:c r="A695" s="25" t="str">
        <x:v>C06-E</x:v>
      </x:c>
      <x:c r="B695" s="25" t="str">
        <x:v>盖利德</x:v>
      </x:c>
      <x:c r="C695" s="25" t="str">
        <x:v>半急速入场</x:v>
      </x:c>
      <x:c r="D695" s="25" t="str">
        <x:v>材料</x:v>
      </x:c>
      <x:c r="E695" s="25" t="str">
        <x:v>满月王室印</x:v>
      </x:c>
      <x:c r="F695" s="25" t="n">
        <x:v>41</x:v>
      </x:c>
      <x:c r="G695" s="25" t="str">
        <x:v>从C0至当前检查点累计需求；未扣自身未来产出，不代表已有库存</x:v>
      </x:c>
    </x:row>
    <x:row r="696">
      <x:c r="A696" s="25" t="str">
        <x:v>C06-E</x:v>
      </x:c>
      <x:c r="B696" s="25" t="str">
        <x:v>盖利德</x:v>
      </x:c>
      <x:c r="C696" s="25" t="str">
        <x:v>半急速入场</x:v>
      </x:c>
      <x:c r="D696" s="25" t="str">
        <x:v>材料</x:v>
      </x:c>
      <x:c r="E696" s="25" t="str">
        <x:v>漂流大陆印记</x:v>
      </x:c>
      <x:c r="F696" s="25" t="n">
        <x:v>11</x:v>
      </x:c>
      <x:c r="G696" s="25" t="str">
        <x:v>从C0至当前检查点累计需求；未扣自身未来产出，不代表已有库存</x:v>
      </x:c>
    </x:row>
    <x:row r="697">
      <x:c r="A697" s="25" t="str">
        <x:v>C06-E</x:v>
      </x:c>
      <x:c r="B697" s="25" t="str">
        <x:v>盖利德</x:v>
      </x:c>
      <x:c r="C697" s="25" t="str">
        <x:v>半急速入场</x:v>
      </x:c>
      <x:c r="D697" s="25" t="str">
        <x:v>材料</x:v>
      </x:c>
      <x:c r="E697" s="25" t="str">
        <x:v>漂流见证·潮</x:v>
      </x:c>
      <x:c r="F697" s="25" t="n">
        <x:v>8</x:v>
      </x:c>
      <x:c r="G697" s="25" t="str">
        <x:v>从C0至当前检查点累计需求；未扣自身未来产出，不代表已有库存</x:v>
      </x:c>
    </x:row>
    <x:row r="698">
      <x:c r="A698" s="25" t="str">
        <x:v>C06-E</x:v>
      </x:c>
      <x:c r="B698" s="25" t="str">
        <x:v>盖利德</x:v>
      </x:c>
      <x:c r="C698" s="25" t="str">
        <x:v>半急速入场</x:v>
      </x:c>
      <x:c r="D698" s="25" t="str">
        <x:v>材料</x:v>
      </x:c>
      <x:c r="E698" s="25" t="str">
        <x:v>漂流见证·雷</x:v>
      </x:c>
      <x:c r="F698" s="25" t="n">
        <x:v>8</x:v>
      </x:c>
      <x:c r="G698" s="25" t="str">
        <x:v>从C0至当前检查点累计需求；未扣自身未来产出，不代表已有库存</x:v>
      </x:c>
    </x:row>
    <x:row r="699">
      <x:c r="A699" s="25" t="str">
        <x:v>C06-E</x:v>
      </x:c>
      <x:c r="B699" s="25" t="str">
        <x:v>盖利德</x:v>
      </x:c>
      <x:c r="C699" s="25" t="str">
        <x:v>半急速入场</x:v>
      </x:c>
      <x:c r="D699" s="25" t="str">
        <x:v>材料</x:v>
      </x:c>
      <x:c r="E699" s="25" t="str">
        <x:v>潮痕结晶</x:v>
      </x:c>
      <x:c r="F699" s="25" t="n">
        <x:v>16</x:v>
      </x:c>
      <x:c r="G699" s="25" t="str">
        <x:v>从C0至当前检查点累计需求；未扣自身未来产出，不代表已有库存</x:v>
      </x:c>
    </x:row>
    <x:row r="700">
      <x:c r="A700" s="25" t="str">
        <x:v>C06-E</x:v>
      </x:c>
      <x:c r="B700" s="25" t="str">
        <x:v>盖利德</x:v>
      </x:c>
      <x:c r="C700" s="25" t="str">
        <x:v>半急速入场</x:v>
      </x:c>
      <x:c r="D700" s="25" t="str">
        <x:v>材料</x:v>
      </x:c>
      <x:c r="E700" s="25" t="str">
        <x:v>熊王心脏</x:v>
      </x:c>
      <x:c r="F700" s="25" t="n">
        <x:v>2</x:v>
      </x:c>
      <x:c r="G700" s="25" t="str">
        <x:v>从C0至当前检查点累计需求；未扣自身未来产出，不代表已有库存</x:v>
      </x:c>
    </x:row>
    <x:row r="701">
      <x:c r="A701" s="25" t="str">
        <x:v>C06-E</x:v>
      </x:c>
      <x:c r="B701" s="25" t="str">
        <x:v>盖利德</x:v>
      </x:c>
      <x:c r="C701" s="25" t="str">
        <x:v>半急速入场</x:v>
      </x:c>
      <x:c r="D701" s="25" t="str">
        <x:v>材料</x:v>
      </x:c>
      <x:c r="E701" s="25" t="str">
        <x:v>熔炉角片</x:v>
      </x:c>
      <x:c r="F701" s="25" t="n">
        <x:v>1</x:v>
      </x:c>
      <x:c r="G701" s="25" t="str">
        <x:v>从C0至当前检查点累计需求；未扣自身未来产出，不代表已有库存</x:v>
      </x:c>
    </x:row>
    <x:row r="702">
      <x:c r="A702" s="25" t="str">
        <x:v>C06-E</x:v>
      </x:c>
      <x:c r="B702" s="25" t="str">
        <x:v>盖利德</x:v>
      </x:c>
      <x:c r="C702" s="25" t="str">
        <x:v>半急速入场</x:v>
      </x:c>
      <x:c r="D702" s="25" t="str">
        <x:v>材料</x:v>
      </x:c>
      <x:c r="E702" s="25" t="str">
        <x:v>王城军印</x:v>
      </x:c>
      <x:c r="F702" s="25" t="n">
        <x:v>1</x:v>
      </x:c>
      <x:c r="G702" s="25" t="str">
        <x:v>从C0至当前检查点累计需求；未扣自身未来产出，不代表已有库存</x:v>
      </x:c>
    </x:row>
    <x:row r="703">
      <x:c r="A703" s="25" t="str">
        <x:v>C06-E</x:v>
      </x:c>
      <x:c r="B703" s="25" t="str">
        <x:v>盖利德</x:v>
      </x:c>
      <x:c r="C703" s="25" t="str">
        <x:v>半急速入场</x:v>
      </x:c>
      <x:c r="D703" s="25" t="str">
        <x:v>材料</x:v>
      </x:c>
      <x:c r="E703" s="25" t="str">
        <x:v>看门犬石心</x:v>
      </x:c>
      <x:c r="F703" s="25" t="n">
        <x:v>2</x:v>
      </x:c>
      <x:c r="G703" s="25" t="str">
        <x:v>从C0至当前检查点累计需求；未扣自身未来产出，不代表已有库存</x:v>
      </x:c>
    </x:row>
    <x:row r="704">
      <x:c r="A704" s="25" t="str">
        <x:v>C06-E</x:v>
      </x:c>
      <x:c r="B704" s="25" t="str">
        <x:v>盖利德</x:v>
      </x:c>
      <x:c r="C704" s="25" t="str">
        <x:v>半急速入场</x:v>
      </x:c>
      <x:c r="D704" s="25" t="str">
        <x:v>材料</x:v>
      </x:c>
      <x:c r="E704" s="25" t="str">
        <x:v>神秘符文</x:v>
      </x:c>
      <x:c r="F704" s="25" t="n">
        <x:v>300</x:v>
      </x:c>
      <x:c r="G704" s="25" t="str">
        <x:v>从C0至当前检查点累计需求；未扣自身未来产出，不代表已有库存</x:v>
      </x:c>
    </x:row>
    <x:row r="705">
      <x:c r="A705" s="25" t="str">
        <x:v>C06-E</x:v>
      </x:c>
      <x:c r="B705" s="25" t="str">
        <x:v>盖利德</x:v>
      </x:c>
      <x:c r="C705" s="25" t="str">
        <x:v>半急速入场</x:v>
      </x:c>
      <x:c r="D705" s="25" t="str">
        <x:v>材料</x:v>
      </x:c>
      <x:c r="E705" s="25" t="str">
        <x:v>禁域星钥</x:v>
      </x:c>
      <x:c r="F705" s="25" t="n">
        <x:v>2</x:v>
      </x:c>
      <x:c r="G705" s="25" t="str">
        <x:v>从C0至当前检查点累计需求；未扣自身未来产出，不代表已有库存</x:v>
      </x:c>
    </x:row>
    <x:row r="706">
      <x:c r="A706" s="25" t="str">
        <x:v>C06-E</x:v>
      </x:c>
      <x:c r="B706" s="25" t="str">
        <x:v>盖利德</x:v>
      </x:c>
      <x:c r="C706" s="25" t="str">
        <x:v>半急速入场</x:v>
      </x:c>
      <x:c r="D706" s="25" t="str">
        <x:v>材料</x:v>
      </x:c>
      <x:c r="E706" s="25" t="str">
        <x:v>腐根魂结</x:v>
      </x:c>
      <x:c r="F706" s="25" t="n">
        <x:v>2</x:v>
      </x:c>
      <x:c r="G706" s="25" t="str">
        <x:v>从C0至当前检查点累计需求；未扣自身未来产出，不代表已有库存</x:v>
      </x:c>
    </x:row>
    <x:row r="707">
      <x:c r="A707" s="25" t="str">
        <x:v>C06-E</x:v>
      </x:c>
      <x:c r="B707" s="25" t="str">
        <x:v>盖利德</x:v>
      </x:c>
      <x:c r="C707" s="25" t="str">
        <x:v>半急速入场</x:v>
      </x:c>
      <x:c r="D707" s="25" t="str">
        <x:v>材料</x:v>
      </x:c>
      <x:c r="E707" s="25" t="str">
        <x:v>裂风崖羽</x:v>
      </x:c>
      <x:c r="F707" s="25" t="n">
        <x:v>80</x:v>
      </x:c>
      <x:c r="G707" s="25" t="str">
        <x:v>从C0至当前检查点累计需求；未扣自身未来产出，不代表已有库存</x:v>
      </x:c>
    </x:row>
    <x:row r="708">
      <x:c r="A708" s="25" t="str">
        <x:v>C06-E</x:v>
      </x:c>
      <x:c r="B708" s="25" t="str">
        <x:v>盖利德</x:v>
      </x:c>
      <x:c r="C708" s="25" t="str">
        <x:v>半急速入场</x:v>
      </x:c>
      <x:c r="D708" s="25" t="str">
        <x:v>材料</x:v>
      </x:c>
      <x:c r="E708" s="25" t="str">
        <x:v>西境战旗</x:v>
      </x:c>
      <x:c r="F708" s="25" t="n">
        <x:v>20</x:v>
      </x:c>
      <x:c r="G708" s="25" t="str">
        <x:v>从C0至当前检查点累计需求；未扣自身未来产出，不代表已有库存</x:v>
      </x:c>
    </x:row>
    <x:row r="709">
      <x:c r="A709" s="25" t="str">
        <x:v>C06-E</x:v>
      </x:c>
      <x:c r="B709" s="25" t="str">
        <x:v>盖利德</x:v>
      </x:c>
      <x:c r="C709" s="25" t="str">
        <x:v>半急速入场</x:v>
      </x:c>
      <x:c r="D709" s="25" t="str">
        <x:v>材料</x:v>
      </x:c>
      <x:c r="E709" s="25" t="str">
        <x:v>西境战旗印</x:v>
      </x:c>
      <x:c r="F709" s="25" t="n">
        <x:v>13</x:v>
      </x:c>
      <x:c r="G709" s="25" t="str">
        <x:v>从C0至当前检查点累计需求；未扣自身未来产出，不代表已有库存</x:v>
      </x:c>
    </x:row>
    <x:row r="710">
      <x:c r="A710" s="25" t="str">
        <x:v>C06-E</x:v>
      </x:c>
      <x:c r="B710" s="25" t="str">
        <x:v>盖利德</x:v>
      </x:c>
      <x:c r="C710" s="25" t="str">
        <x:v>半急速入场</x:v>
      </x:c>
      <x:c r="D710" s="25" t="str">
        <x:v>材料</x:v>
      </x:c>
      <x:c r="E710" s="25" t="str">
        <x:v>西境风痕碑拓</x:v>
      </x:c>
      <x:c r="F710" s="25" t="n">
        <x:v>1</x:v>
      </x:c>
      <x:c r="G710" s="25" t="str">
        <x:v>从C0至当前检查点累计需求；未扣自身未来产出，不代表已有库存</x:v>
      </x:c>
    </x:row>
    <x:row r="711">
      <x:c r="A711" s="25" t="str">
        <x:v>C06-E</x:v>
      </x:c>
      <x:c r="B711" s="25" t="str">
        <x:v>盖利德</x:v>
      </x:c>
      <x:c r="C711" s="25" t="str">
        <x:v>半急速入场</x:v>
      </x:c>
      <x:c r="D711" s="25" t="str">
        <x:v>材料</x:v>
      </x:c>
      <x:c r="E711" s="25" t="str">
        <x:v>贵胄断指</x:v>
      </x:c>
      <x:c r="F711" s="25" t="n">
        <x:v>1</x:v>
      </x:c>
      <x:c r="G711" s="25" t="str">
        <x:v>从C0至当前检查点累计需求；未扣自身未来产出，不代表已有库存</x:v>
      </x:c>
    </x:row>
    <x:row r="712">
      <x:c r="A712" s="25" t="str">
        <x:v>C06-E</x:v>
      </x:c>
      <x:c r="B712" s="25" t="str">
        <x:v>盖利德</x:v>
      </x:c>
      <x:c r="C712" s="25" t="str">
        <x:v>半急速入场</x:v>
      </x:c>
      <x:c r="D712" s="25" t="str">
        <x:v>材料</x:v>
      </x:c>
      <x:c r="E712" s="25" t="str">
        <x:v>辉石碎晶</x:v>
      </x:c>
      <x:c r="F712" s="25" t="n">
        <x:v>1370</x:v>
      </x:c>
      <x:c r="G712" s="25" t="str">
        <x:v>从C0至当前检查点累计需求；未扣自身未来产出，不代表已有库存</x:v>
      </x:c>
    </x:row>
    <x:row r="713">
      <x:c r="A713" s="25" t="str">
        <x:v>C06-E</x:v>
      </x:c>
      <x:c r="B713" s="25" t="str">
        <x:v>盖利德</x:v>
      </x:c>
      <x:c r="C713" s="25" t="str">
        <x:v>半急速入场</x:v>
      </x:c>
      <x:c r="D713" s="25" t="str">
        <x:v>材料</x:v>
      </x:c>
      <x:c r="E713" s="25" t="str">
        <x:v>野兽骨片</x:v>
      </x:c>
      <x:c r="F713" s="25" t="n">
        <x:v>16135</x:v>
      </x:c>
      <x:c r="G713" s="25" t="str">
        <x:v>从C0至当前检查点累计需求；未扣自身未来产出，不代表已有库存</x:v>
      </x:c>
    </x:row>
    <x:row r="714">
      <x:c r="A714" s="25" t="str">
        <x:v>C06-E</x:v>
      </x:c>
      <x:c r="B714" s="25" t="str">
        <x:v>盖利德</x:v>
      </x:c>
      <x:c r="C714" s="25" t="str">
        <x:v>半急速入场</x:v>
      </x:c>
      <x:c r="D714" s="25" t="str">
        <x:v>材料</x:v>
      </x:c>
      <x:c r="E714" s="25" t="str">
        <x:v>雾潮银鳞</x:v>
      </x:c>
      <x:c r="F714" s="25" t="n">
        <x:v>217</x:v>
      </x:c>
      <x:c r="G714" s="25" t="str">
        <x:v>从C0至当前检查点累计需求；未扣自身未来产出，不代表已有库存</x:v>
      </x:c>
    </x:row>
    <x:row r="715">
      <x:c r="A715" s="25" t="str">
        <x:v>C06-E</x:v>
      </x:c>
      <x:c r="B715" s="25" t="str">
        <x:v>盖利德</x:v>
      </x:c>
      <x:c r="C715" s="25" t="str">
        <x:v>半急速入场</x:v>
      </x:c>
      <x:c r="D715" s="25" t="str">
        <x:v>材料</x:v>
      </x:c>
      <x:c r="E715" s="25" t="str">
        <x:v>风暴王核</x:v>
      </x:c>
      <x:c r="F715" s="25" t="n">
        <x:v>1</x:v>
      </x:c>
      <x:c r="G715" s="25" t="str">
        <x:v>从C0至当前检查点累计需求；未扣自身未来产出，不代表已有库存</x:v>
      </x:c>
    </x:row>
    <x:row r="716">
      <x:c r="A716" s="25" t="str">
        <x:v>C06-E</x:v>
      </x:c>
      <x:c r="B716" s="25" t="str">
        <x:v>盖利德</x:v>
      </x:c>
      <x:c r="C716" s="25" t="str">
        <x:v>半急速入场</x:v>
      </x:c>
      <x:c r="D716" s="25" t="str">
        <x:v>材料</x:v>
      </x:c>
      <x:c r="E716" s="25" t="str">
        <x:v>风暴石片</x:v>
      </x:c>
      <x:c r="F716" s="25" t="n">
        <x:v>370</x:v>
      </x:c>
      <x:c r="G716" s="25" t="str">
        <x:v>从C0至当前检查点累计需求；未扣自身未来产出，不代表已有库存</x:v>
      </x:c>
    </x:row>
    <x:row r="717">
      <x:c r="A717" s="25" t="str">
        <x:v>C06-E</x:v>
      </x:c>
      <x:c r="B717" s="25" t="str">
        <x:v>盖利德</x:v>
      </x:c>
      <x:c r="C717" s="25" t="str">
        <x:v>半急速入场</x:v>
      </x:c>
      <x:c r="D717" s="25" t="str">
        <x:v>材料</x:v>
      </x:c>
      <x:c r="E717" s="25" t="str">
        <x:v>风蚀铁片</x:v>
      </x:c>
      <x:c r="F717" s="25" t="n">
        <x:v>710</x:v>
      </x:c>
      <x:c r="G717" s="25" t="str">
        <x:v>从C0至当前检查点累计需求；未扣自身未来产出，不代表已有库存</x:v>
      </x:c>
    </x:row>
    <x:row r="718">
      <x:c r="A718" s="25" t="str">
        <x:v>C06-E</x:v>
      </x:c>
      <x:c r="B718" s="25" t="str">
        <x:v>盖利德</x:v>
      </x:c>
      <x:c r="C718" s="25" t="str">
        <x:v>半急速入场</x:v>
      </x:c>
      <x:c r="D718" s="25" t="str">
        <x:v>材料</x:v>
      </x:c>
      <x:c r="E718" s="25" t="str">
        <x:v>黄金树碎核</x:v>
      </x:c>
      <x:c r="F718" s="25" t="n">
        <x:v>2</x:v>
      </x:c>
      <x:c r="G718" s="25" t="str">
        <x:v>从C0至当前检查点累计需求；未扣自身未来产出，不代表已有库存</x:v>
      </x:c>
    </x:row>
    <x:row r="719">
      <x:c r="A719" s="25" t="str">
        <x:v>C06-E</x:v>
      </x:c>
      <x:c r="B719" s="25" t="str">
        <x:v>盖利德</x:v>
      </x:c>
      <x:c r="C719" s="25" t="str">
        <x:v>半急速入场</x:v>
      </x:c>
      <x:c r="D719" s="25" t="str">
        <x:v>材料</x:v>
      </x:c>
      <x:c r="E719" s="25" t="str">
        <x:v>黄金树芽</x:v>
      </x:c>
      <x:c r="F719" s="25" t="n">
        <x:v>297</x:v>
      </x:c>
      <x:c r="G719" s="25" t="str">
        <x:v>从C0至当前检查点累计需求；未扣自身未来产出，不代表已有库存</x:v>
      </x:c>
    </x:row>
    <x:row r="720">
      <x:c r="A720" s="25" t="str">
        <x:v>C06-E</x:v>
      </x:c>
      <x:c r="B720" s="25" t="str">
        <x:v>盖利德</x:v>
      </x:c>
      <x:c r="C720" s="25" t="str">
        <x:v>半急速入场</x:v>
      </x:c>
      <x:c r="D720" s="25" t="str">
        <x:v>材料</x:v>
      </x:c>
      <x:c r="E720" s="25" t="str">
        <x:v>黄金骑徽</x:v>
      </x:c>
      <x:c r="F720" s="25" t="n">
        <x:v>2</x:v>
      </x:c>
      <x:c r="G720" s="25" t="str">
        <x:v>从C0至当前检查点累计需求；未扣自身未来产出，不代表已有库存</x:v>
      </x:c>
    </x:row>
    <x:row r="721">
      <x:c r="A721" s="25" t="str">
        <x:v>C06-E</x:v>
      </x:c>
      <x:c r="B721" s="25" t="str">
        <x:v>盖利德</x:v>
      </x:c>
      <x:c r="C721" s="25" t="str">
        <x:v>半急速入场</x:v>
      </x:c>
      <x:c r="D721" s="25" t="str">
        <x:v>装备实物</x:v>
      </x:c>
      <x:c r="E721" s="25" t="str">
        <x:v>共289个精确名称（明细见JSON）</x:v>
      </x:c>
      <x:c r="F721" s="25" t="n">
        <x:v>387</x:v>
      </x:c>
      <x:c r="G721" s="25" t="str">
        <x:v>含穿戴、重复试洗、图鉴登记与合成前置；完整数据未省略</x:v>
      </x:c>
    </x:row>
    <x:row r="722">
      <x:c r="A722" s="25" t="str">
        <x:v>C06-M</x:v>
      </x:c>
      <x:c r="B722" s="25" t="str">
        <x:v>盖利德</x:v>
      </x:c>
      <x:c r="C722" s="25" t="str">
        <x:v>半急速中期</x:v>
      </x:c>
      <x:c r="D722" s="25" t="str">
        <x:v>材料</x:v>
      </x:c>
      <x:c r="E722" s="25" t="str">
        <x:v>兽将脊骨</x:v>
      </x:c>
      <x:c r="F722" s="25" t="n">
        <x:v>1</x:v>
      </x:c>
      <x:c r="G722" s="25" t="str">
        <x:v>从C0至当前检查点累计需求；未扣自身未来产出，不代表已有库存</x:v>
      </x:c>
    </x:row>
    <x:row r="723">
      <x:c r="A723" s="25" t="str">
        <x:v>C06-M</x:v>
      </x:c>
      <x:c r="B723" s="25" t="str">
        <x:v>盖利德</x:v>
      </x:c>
      <x:c r="C723" s="25" t="str">
        <x:v>半急速中期</x:v>
      </x:c>
      <x:c r="D723" s="25" t="str">
        <x:v>材料</x:v>
      </x:c>
      <x:c r="E723" s="25" t="str">
        <x:v>净火腺囊</x:v>
      </x:c>
      <x:c r="F723" s="25" t="n">
        <x:v>25</x:v>
      </x:c>
      <x:c r="G723" s="25" t="str">
        <x:v>从C0至当前检查点累计需求；未扣自身未来产出，不代表已有库存</x:v>
      </x:c>
    </x:row>
    <x:row r="724">
      <x:c r="A724" s="25" t="str">
        <x:v>C06-M</x:v>
      </x:c>
      <x:c r="B724" s="25" t="str">
        <x:v>盖利德</x:v>
      </x:c>
      <x:c r="C724" s="25" t="str">
        <x:v>半急速中期</x:v>
      </x:c>
      <x:c r="D724" s="25" t="str">
        <x:v>材料</x:v>
      </x:c>
      <x:c r="E724" s="25" t="str">
        <x:v>卡利亚月露</x:v>
      </x:c>
      <x:c r="F724" s="25" t="n">
        <x:v>36</x:v>
      </x:c>
      <x:c r="G724" s="25" t="str">
        <x:v>从C0至当前检查点累计需求；未扣自身未来产出，不代表已有库存</x:v>
      </x:c>
    </x:row>
    <x:row r="725">
      <x:c r="A725" s="25" t="str">
        <x:v>C06-M</x:v>
      </x:c>
      <x:c r="B725" s="25" t="str">
        <x:v>盖利德</x:v>
      </x:c>
      <x:c r="C725" s="25" t="str">
        <x:v>半急速中期</x:v>
      </x:c>
      <x:c r="D725" s="25" t="str">
        <x:v>材料</x:v>
      </x:c>
      <x:c r="E725" s="25" t="str">
        <x:v>哨垒旗冠</x:v>
      </x:c>
      <x:c r="F725" s="25" t="n">
        <x:v>3</x:v>
      </x:c>
      <x:c r="G725" s="25" t="str">
        <x:v>从C0至当前检查点累计需求；未扣自身未来产出，不代表已有库存</x:v>
      </x:c>
    </x:row>
    <x:row r="726">
      <x:c r="A726" s="25" t="str">
        <x:v>C06-M</x:v>
      </x:c>
      <x:c r="B726" s="25" t="str">
        <x:v>盖利德</x:v>
      </x:c>
      <x:c r="C726" s="25" t="str">
        <x:v>半急速中期</x:v>
      </x:c>
      <x:c r="D726" s="25" t="str">
        <x:v>材料</x:v>
      </x:c>
      <x:c r="E726" s="25" t="str">
        <x:v>唤船骨铃</x:v>
      </x:c>
      <x:c r="F726" s="25" t="n">
        <x:v>1</x:v>
      </x:c>
      <x:c r="G726" s="25" t="str">
        <x:v>从C0至当前检查点累计需求；未扣自身未来产出，不代表已有库存</x:v>
      </x:c>
    </x:row>
    <x:row r="727">
      <x:c r="A727" s="25" t="str">
        <x:v>C06-M</x:v>
      </x:c>
      <x:c r="B727" s="25" t="str">
        <x:v>盖利德</x:v>
      </x:c>
      <x:c r="C727" s="25" t="str">
        <x:v>半急速中期</x:v>
      </x:c>
      <x:c r="D727" s="25" t="str">
        <x:v>材料</x:v>
      </x:c>
      <x:c r="E727" s="25" t="str">
        <x:v>商队火漆</x:v>
      </x:c>
      <x:c r="F727" s="25" t="n">
        <x:v>20</x:v>
      </x:c>
      <x:c r="G727" s="25" t="str">
        <x:v>从C0至当前检查点累计需求；未扣自身未来产出，不代表已有库存</x:v>
      </x:c>
    </x:row>
    <x:row r="728">
      <x:c r="A728" s="25" t="str">
        <x:v>C06-M</x:v>
      </x:c>
      <x:c r="B728" s="25" t="str">
        <x:v>盖利德</x:v>
      </x:c>
      <x:c r="C728" s="25" t="str">
        <x:v>半急速中期</x:v>
      </x:c>
      <x:c r="D728" s="25" t="str">
        <x:v>材料</x:v>
      </x:c>
      <x:c r="E728" s="25" t="str">
        <x:v>夜骑黑印</x:v>
      </x:c>
      <x:c r="F728" s="25" t="n">
        <x:v>1</x:v>
      </x:c>
      <x:c r="G728" s="25" t="str">
        <x:v>从C0至当前检查点累计需求；未扣自身未来产出，不代表已有库存</x:v>
      </x:c>
    </x:row>
    <x:row r="729">
      <x:c r="A729" s="25" t="str">
        <x:v>C06-M</x:v>
      </x:c>
      <x:c r="B729" s="25" t="str">
        <x:v>盖利德</x:v>
      </x:c>
      <x:c r="C729" s="25" t="str">
        <x:v>半急速中期</x:v>
      </x:c>
      <x:c r="D729" s="25" t="str">
        <x:v>材料</x:v>
      </x:c>
      <x:c r="E729" s="25" t="str">
        <x:v>大卢恩</x:v>
      </x:c>
      <x:c r="F729" s="25" t="n">
        <x:v>75</x:v>
      </x:c>
      <x:c r="G729" s="25" t="str">
        <x:v>从C0至当前检查点累计需求；未扣自身未来产出，不代表已有库存</x:v>
      </x:c>
    </x:row>
    <x:row r="730">
      <x:c r="A730" s="25" t="str">
        <x:v>C06-M</x:v>
      </x:c>
      <x:c r="B730" s="25" t="str">
        <x:v>盖利德</x:v>
      </x:c>
      <x:c r="C730" s="25" t="str">
        <x:v>半急速中期</x:v>
      </x:c>
      <x:c r="D730" s="25" t="str">
        <x:v>材料</x:v>
      </x:c>
      <x:c r="E730" s="25" t="str">
        <x:v>失乡军令</x:v>
      </x:c>
      <x:c r="F730" s="25" t="n">
        <x:v>2</x:v>
      </x:c>
      <x:c r="G730" s="25" t="str">
        <x:v>从C0至当前检查点累计需求；未扣自身未来产出，不代表已有库存</x:v>
      </x:c>
    </x:row>
    <x:row r="731">
      <x:c r="A731" s="25" t="str">
        <x:v>C06-M</x:v>
      </x:c>
      <x:c r="B731" s="25" t="str">
        <x:v>盖利德</x:v>
      </x:c>
      <x:c r="C731" s="25" t="str">
        <x:v>半急速中期</x:v>
      </x:c>
      <x:c r="D731" s="25" t="str">
        <x:v>材料</x:v>
      </x:c>
      <x:c r="E731" s="25" t="str">
        <x:v>失乡统帅徽</x:v>
      </x:c>
      <x:c r="F731" s="25" t="n">
        <x:v>2</x:v>
      </x:c>
      <x:c r="G731" s="25" t="str">
        <x:v>从C0至当前检查点累计需求；未扣自身未来产出，不代表已有库存</x:v>
      </x:c>
    </x:row>
    <x:row r="732">
      <x:c r="A732" s="25" t="str">
        <x:v>C06-M</x:v>
      </x:c>
      <x:c r="B732" s="25" t="str">
        <x:v>盖利德</x:v>
      </x:c>
      <x:c r="C732" s="25" t="str">
        <x:v>半急速中期</x:v>
      </x:c>
      <x:c r="D732" s="25" t="str">
        <x:v>材料</x:v>
      </x:c>
      <x:c r="E732" s="25" t="str">
        <x:v>失色锻造石</x:v>
      </x:c>
      <x:c r="F732" s="25" t="n">
        <x:v>14620</x:v>
      </x:c>
      <x:c r="G732" s="25" t="str">
        <x:v>从C0至当前检查点累计需求；未扣自身未来产出，不代表已有库存</x:v>
      </x:c>
    </x:row>
    <x:row r="733">
      <x:c r="A733" s="25" t="str">
        <x:v>C06-M</x:v>
      </x:c>
      <x:c r="B733" s="25" t="str">
        <x:v>盖利德</x:v>
      </x:c>
      <x:c r="C733" s="25" t="str">
        <x:v>半急速中期</x:v>
      </x:c>
      <x:c r="D733" s="25" t="str">
        <x:v>材料</x:v>
      </x:c>
      <x:c r="E733" s="25" t="str">
        <x:v>学院封蜡</x:v>
      </x:c>
      <x:c r="F733" s="25" t="n">
        <x:v>24</x:v>
      </x:c>
      <x:c r="G733" s="25" t="str">
        <x:v>从C0至当前检查点累计需求；未扣自身未来产出，不代表已有库存</x:v>
      </x:c>
    </x:row>
    <x:row r="734">
      <x:c r="A734" s="25" t="str">
        <x:v>C06-M</x:v>
      </x:c>
      <x:c r="B734" s="25" t="str">
        <x:v>盖利德</x:v>
      </x:c>
      <x:c r="C734" s="25" t="str">
        <x:v>半急速中期</x:v>
      </x:c>
      <x:c r="D734" s="25" t="str">
        <x:v>材料</x:v>
      </x:c>
      <x:c r="E734" s="25" t="str">
        <x:v>宁姆格福誓页</x:v>
      </x:c>
      <x:c r="F734" s="25" t="n">
        <x:v>90</x:v>
      </x:c>
      <x:c r="G734" s="25" t="str">
        <x:v>从C0至当前检查点累计需求；未扣自身未来产出，不代表已有库存</x:v>
      </x:c>
    </x:row>
    <x:row r="735">
      <x:c r="A735" s="25" t="str">
        <x:v>C06-M</x:v>
      </x:c>
      <x:c r="B735" s="25" t="str">
        <x:v>盖利德</x:v>
      </x:c>
      <x:c r="C735" s="25" t="str">
        <x:v>半急速中期</x:v>
      </x:c>
      <x:c r="D735" s="25" t="str">
        <x:v>材料</x:v>
      </x:c>
      <x:c r="E735" s="25" t="str">
        <x:v>小卢恩</x:v>
      </x:c>
      <x:c r="F735" s="25" t="n">
        <x:v>250</x:v>
      </x:c>
      <x:c r="G735" s="25" t="str">
        <x:v>从C0至当前检查点累计需求；未扣自身未来产出，不代表已有库存</x:v>
      </x:c>
    </x:row>
    <x:row r="736">
      <x:c r="A736" s="25" t="str">
        <x:v>C06-M</x:v>
      </x:c>
      <x:c r="B736" s="25" t="str">
        <x:v>盖利德</x:v>
      </x:c>
      <x:c r="C736" s="25" t="str">
        <x:v>半急速中期</x:v>
      </x:c>
      <x:c r="D736" s="25" t="str">
        <x:v>材料</x:v>
      </x:c>
      <x:c r="E736" s="25" t="str">
        <x:v>山妖王角</x:v>
      </x:c>
      <x:c r="F736" s="25" t="n">
        <x:v>2</x:v>
      </x:c>
      <x:c r="G736" s="25" t="str">
        <x:v>从C0至当前检查点累计需求；未扣自身未来产出，不代表已有库存</x:v>
      </x:c>
    </x:row>
    <x:row r="737">
      <x:c r="A737" s="25" t="str">
        <x:v>C06-M</x:v>
      </x:c>
      <x:c r="B737" s="25" t="str">
        <x:v>盖利德</x:v>
      </x:c>
      <x:c r="C737" s="25" t="str">
        <x:v>半急速中期</x:v>
      </x:c>
      <x:c r="D737" s="25" t="str">
        <x:v>材料</x:v>
      </x:c>
      <x:c r="E737" s="25" t="str">
        <x:v>幽船铆钉</x:v>
      </x:c>
      <x:c r="F737" s="25" t="n">
        <x:v>21</x:v>
      </x:c>
      <x:c r="G737" s="25" t="str">
        <x:v>从C0至当前检查点累计需求；未扣自身未来产出，不代表已有库存</x:v>
      </x:c>
    </x:row>
    <x:row r="738">
      <x:c r="A738" s="25" t="str">
        <x:v>C06-M</x:v>
      </x:c>
      <x:c r="B738" s="25" t="str">
        <x:v>盖利德</x:v>
      </x:c>
      <x:c r="C738" s="25" t="str">
        <x:v>半急速中期</x:v>
      </x:c>
      <x:c r="D738" s="25" t="str">
        <x:v>材料</x:v>
      </x:c>
      <x:c r="E738" s="25" t="str">
        <x:v>恶兆残角</x:v>
      </x:c>
      <x:c r="F738" s="25" t="n">
        <x:v>1</x:v>
      </x:c>
      <x:c r="G738" s="25" t="str">
        <x:v>从C0至当前检查点累计需求；未扣自身未来产出，不代表已有库存</x:v>
      </x:c>
    </x:row>
    <x:row r="739">
      <x:c r="A739" s="25" t="str">
        <x:v>C06-M</x:v>
      </x:c>
      <x:c r="B739" s="25" t="str">
        <x:v>盖利德</x:v>
      </x:c>
      <x:c r="C739" s="25" t="str">
        <x:v>半急速中期</x:v>
      </x:c>
      <x:c r="D739" s="25" t="str">
        <x:v>材料</x:v>
      </x:c>
      <x:c r="E739" s="25" t="str">
        <x:v>技能残页</x:v>
      </x:c>
      <x:c r="F739" s="25" t="n">
        <x:v>1350</x:v>
      </x:c>
      <x:c r="G739" s="25" t="str">
        <x:v>从C0至当前检查点累计需求；未扣自身未来产出，不代表已有库存</x:v>
      </x:c>
    </x:row>
    <x:row r="740">
      <x:c r="A740" s="25" t="str">
        <x:v>C06-M</x:v>
      </x:c>
      <x:c r="B740" s="25" t="str">
        <x:v>盖利德</x:v>
      </x:c>
      <x:c r="C740" s="25" t="str">
        <x:v>半急速中期</x:v>
      </x:c>
      <x:c r="D740" s="25" t="str">
        <x:v>材料</x:v>
      </x:c>
      <x:c r="E740" s="25" t="str">
        <x:v>接肢兽心</x:v>
      </x:c>
      <x:c r="F740" s="25" t="n">
        <x:v>2</x:v>
      </x:c>
      <x:c r="G740" s="25" t="str">
        <x:v>从C0至当前检查点累计需求；未扣自身未来产出，不代表已有库存</x:v>
      </x:c>
    </x:row>
    <x:row r="741">
      <x:c r="A741" s="25" t="str">
        <x:v>C06-M</x:v>
      </x:c>
      <x:c r="B741" s="25" t="str">
        <x:v>盖利德</x:v>
      </x:c>
      <x:c r="C741" s="25" t="str">
        <x:v>半急速中期</x:v>
      </x:c>
      <x:c r="D741" s="25" t="str">
        <x:v>材料</x:v>
      </x:c>
      <x:c r="E741" s="25" t="str">
        <x:v>接肢王印</x:v>
      </x:c>
      <x:c r="F741" s="25" t="n">
        <x:v>13</x:v>
      </x:c>
      <x:c r="G741" s="25" t="str">
        <x:v>从C0至当前检查点累计需求；未扣自身未来产出，不代表已有库存</x:v>
      </x:c>
    </x:row>
    <x:row r="742">
      <x:c r="A742" s="25" t="str">
        <x:v>C06-M</x:v>
      </x:c>
      <x:c r="B742" s="25" t="str">
        <x:v>盖利德</x:v>
      </x:c>
      <x:c r="C742" s="25" t="str">
        <x:v>半急速中期</x:v>
      </x:c>
      <x:c r="D742" s="25" t="str">
        <x:v>材料</x:v>
      </x:c>
      <x:c r="E742" s="25" t="str">
        <x:v>接肢王魂</x:v>
      </x:c>
      <x:c r="F742" s="25" t="n">
        <x:v>1</x:v>
      </x:c>
      <x:c r="G742" s="25" t="str">
        <x:v>从C0至当前检查点累计需求；未扣自身未来产出，不代表已有库存</x:v>
      </x:c>
    </x:row>
    <x:row r="743">
      <x:c r="A743" s="25" t="str">
        <x:v>C06-M</x:v>
      </x:c>
      <x:c r="B743" s="25" t="str">
        <x:v>盖利德</x:v>
      </x:c>
      <x:c r="C743" s="25" t="str">
        <x:v>半急速中期</x:v>
      </x:c>
      <x:c r="D743" s="25" t="str">
        <x:v>材料</x:v>
      </x:c>
      <x:c r="E743" s="25" t="str">
        <x:v>月潮忆珀</x:v>
      </x:c>
      <x:c r="F743" s="25" t="n">
        <x:v>1</x:v>
      </x:c>
      <x:c r="G743" s="25" t="str">
        <x:v>从C0至当前检查点累计需求；未扣自身未来产出，不代表已有库存</x:v>
      </x:c>
    </x:row>
    <x:row r="744">
      <x:c r="A744" s="25" t="str">
        <x:v>C06-M</x:v>
      </x:c>
      <x:c r="B744" s="25" t="str">
        <x:v>盖利德</x:v>
      </x:c>
      <x:c r="C744" s="25" t="str">
        <x:v>半急速中期</x:v>
      </x:c>
      <x:c r="D744" s="25" t="str">
        <x:v>材料</x:v>
      </x:c>
      <x:c r="E744" s="25" t="str">
        <x:v>月蚀镜片</x:v>
      </x:c>
      <x:c r="F744" s="25" t="n">
        <x:v>14</x:v>
      </x:c>
      <x:c r="G744" s="25" t="str">
        <x:v>从C0至当前检查点累计需求；未扣自身未来产出，不代表已有库存</x:v>
      </x:c>
    </x:row>
    <x:row r="745">
      <x:c r="A745" s="25" t="str">
        <x:v>C06-M</x:v>
      </x:c>
      <x:c r="B745" s="25" t="str">
        <x:v>盖利德</x:v>
      </x:c>
      <x:c r="C745" s="25" t="str">
        <x:v>半急速中期</x:v>
      </x:c>
      <x:c r="D745" s="25" t="str">
        <x:v>材料</x:v>
      </x:c>
      <x:c r="E745" s="25" t="str">
        <x:v>树卫枪穗</x:v>
      </x:c>
      <x:c r="F745" s="25" t="n">
        <x:v>1</x:v>
      </x:c>
      <x:c r="G745" s="25" t="str">
        <x:v>从C0至当前检查点累计需求；未扣自身未来产出，不代表已有库存</x:v>
      </x:c>
    </x:row>
    <x:row r="746">
      <x:c r="A746" s="25" t="str">
        <x:v>C06-M</x:v>
      </x:c>
      <x:c r="B746" s="25" t="str">
        <x:v>盖利德</x:v>
      </x:c>
      <x:c r="C746" s="25" t="str">
        <x:v>半急速中期</x:v>
      </x:c>
      <x:c r="D746" s="25" t="str">
        <x:v>材料</x:v>
      </x:c>
      <x:c r="E746" s="25" t="str">
        <x:v>死亡仪羽</x:v>
      </x:c>
      <x:c r="F746" s="25" t="n">
        <x:v>2</x:v>
      </x:c>
      <x:c r="G746" s="25" t="str">
        <x:v>从C0至当前检查点累计需求；未扣自身未来产出，不代表已有库存</x:v>
      </x:c>
    </x:row>
    <x:row r="747">
      <x:c r="A747" s="25" t="str">
        <x:v>C06-M</x:v>
      </x:c>
      <x:c r="B747" s="25" t="str">
        <x:v>盖利德</x:v>
      </x:c>
      <x:c r="C747" s="25" t="str">
        <x:v>半急速中期</x:v>
      </x:c>
      <x:c r="D747" s="25" t="str">
        <x:v>材料</x:v>
      </x:c>
      <x:c r="E747" s="25" t="str">
        <x:v>沉湖王印</x:v>
      </x:c>
      <x:c r="F747" s="25" t="n">
        <x:v>16</x:v>
      </x:c>
      <x:c r="G747" s="25" t="str">
        <x:v>从C0至当前检查点累计需求；未扣自身未来产出，不代表已有库存</x:v>
      </x:c>
    </x:row>
    <x:row r="748">
      <x:c r="A748" s="25" t="str">
        <x:v>C06-M</x:v>
      </x:c>
      <x:c r="B748" s="25" t="str">
        <x:v>盖利德</x:v>
      </x:c>
      <x:c r="C748" s="25" t="str">
        <x:v>半急速中期</x:v>
      </x:c>
      <x:c r="D748" s="25" t="str">
        <x:v>材料</x:v>
      </x:c>
      <x:c r="E748" s="25" t="str">
        <x:v>沉船缆扣</x:v>
      </x:c>
      <x:c r="F748" s="25" t="n">
        <x:v>12</x:v>
      </x:c>
      <x:c r="G748" s="25" t="str">
        <x:v>从C0至当前检查点累计需求；未扣自身未来产出，不代表已有库存</x:v>
      </x:c>
    </x:row>
    <x:row r="749">
      <x:c r="A749" s="25" t="str">
        <x:v>C06-M</x:v>
      </x:c>
      <x:c r="B749" s="25" t="str">
        <x:v>盖利德</x:v>
      </x:c>
      <x:c r="C749" s="25" t="str">
        <x:v>半急速中期</x:v>
      </x:c>
      <x:c r="D749" s="25" t="str">
        <x:v>材料</x:v>
      </x:c>
      <x:c r="E749" s="25" t="str">
        <x:v>海蚀铁片</x:v>
      </x:c>
      <x:c r="F749" s="25" t="n">
        <x:v>160</x:v>
      </x:c>
      <x:c r="G749" s="25" t="str">
        <x:v>从C0至当前检查点累计需求；未扣自身未来产出，不代表已有库存</x:v>
      </x:c>
    </x:row>
    <x:row r="750">
      <x:c r="A750" s="25" t="str">
        <x:v>C06-M</x:v>
      </x:c>
      <x:c r="B750" s="25" t="str">
        <x:v>盖利德</x:v>
      </x:c>
      <x:c r="C750" s="25" t="str">
        <x:v>半急速中期</x:v>
      </x:c>
      <x:c r="D750" s="25" t="str">
        <x:v>材料</x:v>
      </x:c>
      <x:c r="E750" s="25" t="str">
        <x:v>湖底封门珠</x:v>
      </x:c>
      <x:c r="F750" s="25" t="n">
        <x:v>6</x:v>
      </x:c>
      <x:c r="G750" s="25" t="str">
        <x:v>从C0至当前检查点累计需求；未扣自身未来产出，不代表已有库存</x:v>
      </x:c>
    </x:row>
    <x:row r="751">
      <x:c r="A751" s="25" t="str">
        <x:v>C06-M</x:v>
      </x:c>
      <x:c r="B751" s="25" t="str">
        <x:v>盖利德</x:v>
      </x:c>
      <x:c r="C751" s="25" t="str">
        <x:v>半急速中期</x:v>
      </x:c>
      <x:c r="D751" s="25" t="str">
        <x:v>材料</x:v>
      </x:c>
      <x:c r="E751" s="25" t="str">
        <x:v>湖心月谱残章</x:v>
      </x:c>
      <x:c r="F751" s="25" t="n">
        <x:v>1</x:v>
      </x:c>
      <x:c r="G751" s="25" t="str">
        <x:v>从C0至当前检查点累计需求；未扣自身未来产出，不代表已有库存</x:v>
      </x:c>
    </x:row>
    <x:row r="752">
      <x:c r="A752" s="25" t="str">
        <x:v>C06-M</x:v>
      </x:c>
      <x:c r="B752" s="25" t="str">
        <x:v>盖利德</x:v>
      </x:c>
      <x:c r="C752" s="25" t="str">
        <x:v>半急速中期</x:v>
      </x:c>
      <x:c r="D752" s="25" t="str">
        <x:v>材料</x:v>
      </x:c>
      <x:c r="E752" s="25" t="str">
        <x:v>湖盐结晶</x:v>
      </x:c>
      <x:c r="F752" s="25" t="n">
        <x:v>1407</x:v>
      </x:c>
      <x:c r="G752" s="25" t="str">
        <x:v>从C0至当前检查点累计需求；未扣自身未来产出，不代表已有库存</x:v>
      </x:c>
    </x:row>
    <x:row r="753">
      <x:c r="A753" s="25" t="str">
        <x:v>C06-M</x:v>
      </x:c>
      <x:c r="B753" s="25" t="str">
        <x:v>盖利德</x:v>
      </x:c>
      <x:c r="C753" s="25" t="str">
        <x:v>半急速中期</x:v>
      </x:c>
      <x:c r="D753" s="25" t="str">
        <x:v>材料</x:v>
      </x:c>
      <x:c r="E753" s="25" t="str">
        <x:v>溃烂树核</x:v>
      </x:c>
      <x:c r="F753" s="25" t="n">
        <x:v>1</x:v>
      </x:c>
      <x:c r="G753" s="25" t="str">
        <x:v>从C0至当前检查点累计需求；未扣自身未来产出，不代表已有库存</x:v>
      </x:c>
    </x:row>
    <x:row r="754">
      <x:c r="A754" s="25" t="str">
        <x:v>C06-M</x:v>
      </x:c>
      <x:c r="B754" s="25" t="str">
        <x:v>盖利德</x:v>
      </x:c>
      <x:c r="C754" s="25" t="str">
        <x:v>半急速中期</x:v>
      </x:c>
      <x:c r="D754" s="25" t="str">
        <x:v>材料</x:v>
      </x:c>
      <x:c r="E754" s="25" t="str">
        <x:v>满月王室印</x:v>
      </x:c>
      <x:c r="F754" s="25" t="n">
        <x:v>41</x:v>
      </x:c>
      <x:c r="G754" s="25" t="str">
        <x:v>从C0至当前检查点累计需求；未扣自身未来产出，不代表已有库存</x:v>
      </x:c>
    </x:row>
    <x:row r="755">
      <x:c r="A755" s="25" t="str">
        <x:v>C06-M</x:v>
      </x:c>
      <x:c r="B755" s="25" t="str">
        <x:v>盖利德</x:v>
      </x:c>
      <x:c r="C755" s="25" t="str">
        <x:v>半急速中期</x:v>
      </x:c>
      <x:c r="D755" s="25" t="str">
        <x:v>材料</x:v>
      </x:c>
      <x:c r="E755" s="25" t="str">
        <x:v>漂流大陆印记</x:v>
      </x:c>
      <x:c r="F755" s="25" t="n">
        <x:v>11</x:v>
      </x:c>
      <x:c r="G755" s="25" t="str">
        <x:v>从C0至当前检查点累计需求；未扣自身未来产出，不代表已有库存</x:v>
      </x:c>
    </x:row>
    <x:row r="756">
      <x:c r="A756" s="25" t="str">
        <x:v>C06-M</x:v>
      </x:c>
      <x:c r="B756" s="25" t="str">
        <x:v>盖利德</x:v>
      </x:c>
      <x:c r="C756" s="25" t="str">
        <x:v>半急速中期</x:v>
      </x:c>
      <x:c r="D756" s="25" t="str">
        <x:v>材料</x:v>
      </x:c>
      <x:c r="E756" s="25" t="str">
        <x:v>漂流见证·潮</x:v>
      </x:c>
      <x:c r="F756" s="25" t="n">
        <x:v>8</x:v>
      </x:c>
      <x:c r="G756" s="25" t="str">
        <x:v>从C0至当前检查点累计需求；未扣自身未来产出，不代表已有库存</x:v>
      </x:c>
    </x:row>
    <x:row r="757">
      <x:c r="A757" s="25" t="str">
        <x:v>C06-M</x:v>
      </x:c>
      <x:c r="B757" s="25" t="str">
        <x:v>盖利德</x:v>
      </x:c>
      <x:c r="C757" s="25" t="str">
        <x:v>半急速中期</x:v>
      </x:c>
      <x:c r="D757" s="25" t="str">
        <x:v>材料</x:v>
      </x:c>
      <x:c r="E757" s="25" t="str">
        <x:v>漂流见证·雷</x:v>
      </x:c>
      <x:c r="F757" s="25" t="n">
        <x:v>8</x:v>
      </x:c>
      <x:c r="G757" s="25" t="str">
        <x:v>从C0至当前检查点累计需求；未扣自身未来产出，不代表已有库存</x:v>
      </x:c>
    </x:row>
    <x:row r="758">
      <x:c r="A758" s="25" t="str">
        <x:v>C06-M</x:v>
      </x:c>
      <x:c r="B758" s="25" t="str">
        <x:v>盖利德</x:v>
      </x:c>
      <x:c r="C758" s="25" t="str">
        <x:v>半急速中期</x:v>
      </x:c>
      <x:c r="D758" s="25" t="str">
        <x:v>材料</x:v>
      </x:c>
      <x:c r="E758" s="25" t="str">
        <x:v>潮痕结晶</x:v>
      </x:c>
      <x:c r="F758" s="25" t="n">
        <x:v>16</x:v>
      </x:c>
      <x:c r="G758" s="25" t="str">
        <x:v>从C0至当前检查点累计需求；未扣自身未来产出，不代表已有库存</x:v>
      </x:c>
    </x:row>
    <x:row r="759">
      <x:c r="A759" s="25" t="str">
        <x:v>C06-M</x:v>
      </x:c>
      <x:c r="B759" s="25" t="str">
        <x:v>盖利德</x:v>
      </x:c>
      <x:c r="C759" s="25" t="str">
        <x:v>半急速中期</x:v>
      </x:c>
      <x:c r="D759" s="25" t="str">
        <x:v>材料</x:v>
      </x:c>
      <x:c r="E759" s="25" t="str">
        <x:v>熊王心脏</x:v>
      </x:c>
      <x:c r="F759" s="25" t="n">
        <x:v>2</x:v>
      </x:c>
      <x:c r="G759" s="25" t="str">
        <x:v>从C0至当前检查点累计需求；未扣自身未来产出，不代表已有库存</x:v>
      </x:c>
    </x:row>
    <x:row r="760">
      <x:c r="A760" s="25" t="str">
        <x:v>C06-M</x:v>
      </x:c>
      <x:c r="B760" s="25" t="str">
        <x:v>盖利德</x:v>
      </x:c>
      <x:c r="C760" s="25" t="str">
        <x:v>半急速中期</x:v>
      </x:c>
      <x:c r="D760" s="25" t="str">
        <x:v>材料</x:v>
      </x:c>
      <x:c r="E760" s="25" t="str">
        <x:v>熔炉角片</x:v>
      </x:c>
      <x:c r="F760" s="25" t="n">
        <x:v>1</x:v>
      </x:c>
      <x:c r="G760" s="25" t="str">
        <x:v>从C0至当前检查点累计需求；未扣自身未来产出，不代表已有库存</x:v>
      </x:c>
    </x:row>
    <x:row r="761">
      <x:c r="A761" s="25" t="str">
        <x:v>C06-M</x:v>
      </x:c>
      <x:c r="B761" s="25" t="str">
        <x:v>盖利德</x:v>
      </x:c>
      <x:c r="C761" s="25" t="str">
        <x:v>半急速中期</x:v>
      </x:c>
      <x:c r="D761" s="25" t="str">
        <x:v>材料</x:v>
      </x:c>
      <x:c r="E761" s="25" t="str">
        <x:v>猩红矿渣</x:v>
      </x:c>
      <x:c r="F761" s="25" t="n">
        <x:v>682</x:v>
      </x:c>
      <x:c r="G761" s="25" t="str">
        <x:v>从C0至当前检查点累计需求；未扣自身未来产出，不代表已有库存</x:v>
      </x:c>
    </x:row>
    <x:row r="762">
      <x:c r="A762" s="25" t="str">
        <x:v>C06-M</x:v>
      </x:c>
      <x:c r="B762" s="25" t="str">
        <x:v>盖利德</x:v>
      </x:c>
      <x:c r="C762" s="25" t="str">
        <x:v>半急速中期</x:v>
      </x:c>
      <x:c r="D762" s="25" t="str">
        <x:v>材料</x:v>
      </x:c>
      <x:c r="E762" s="25" t="str">
        <x:v>王城军印</x:v>
      </x:c>
      <x:c r="F762" s="25" t="n">
        <x:v>1</x:v>
      </x:c>
      <x:c r="G762" s="25" t="str">
        <x:v>从C0至当前检查点累计需求；未扣自身未来产出，不代表已有库存</x:v>
      </x:c>
    </x:row>
    <x:row r="763">
      <x:c r="A763" s="25" t="str">
        <x:v>C06-M</x:v>
      </x:c>
      <x:c r="B763" s="25" t="str">
        <x:v>盖利德</x:v>
      </x:c>
      <x:c r="C763" s="25" t="str">
        <x:v>半急速中期</x:v>
      </x:c>
      <x:c r="D763" s="25" t="str">
        <x:v>材料</x:v>
      </x:c>
      <x:c r="E763" s="25" t="str">
        <x:v>看门犬石心</x:v>
      </x:c>
      <x:c r="F763" s="25" t="n">
        <x:v>2</x:v>
      </x:c>
      <x:c r="G763" s="25" t="str">
        <x:v>从C0至当前检查点累计需求；未扣自身未来产出，不代表已有库存</x:v>
      </x:c>
    </x:row>
    <x:row r="764">
      <x:c r="A764" s="25" t="str">
        <x:v>C06-M</x:v>
      </x:c>
      <x:c r="B764" s="25" t="str">
        <x:v>盖利德</x:v>
      </x:c>
      <x:c r="C764" s="25" t="str">
        <x:v>半急速中期</x:v>
      </x:c>
      <x:c r="D764" s="25" t="str">
        <x:v>材料</x:v>
      </x:c>
      <x:c r="E764" s="25" t="str">
        <x:v>神秘符文</x:v>
      </x:c>
      <x:c r="F764" s="25" t="n">
        <x:v>400</x:v>
      </x:c>
      <x:c r="G764" s="25" t="str">
        <x:v>从C0至当前检查点累计需求；未扣自身未来产出，不代表已有库存</x:v>
      </x:c>
    </x:row>
    <x:row r="765">
      <x:c r="A765" s="25" t="str">
        <x:v>C06-M</x:v>
      </x:c>
      <x:c r="B765" s="25" t="str">
        <x:v>盖利德</x:v>
      </x:c>
      <x:c r="C765" s="25" t="str">
        <x:v>半急速中期</x:v>
      </x:c>
      <x:c r="D765" s="25" t="str">
        <x:v>材料</x:v>
      </x:c>
      <x:c r="E765" s="25" t="str">
        <x:v>禁域星钥</x:v>
      </x:c>
      <x:c r="F765" s="25" t="n">
        <x:v>2</x:v>
      </x:c>
      <x:c r="G765" s="25" t="str">
        <x:v>从C0至当前检查点累计需求；未扣自身未来产出，不代表已有库存</x:v>
      </x:c>
    </x:row>
    <x:row r="766">
      <x:c r="A766" s="25" t="str">
        <x:v>C06-M</x:v>
      </x:c>
      <x:c r="B766" s="25" t="str">
        <x:v>盖利德</x:v>
      </x:c>
      <x:c r="C766" s="25" t="str">
        <x:v>半急速中期</x:v>
      </x:c>
      <x:c r="D766" s="25" t="str">
        <x:v>材料</x:v>
      </x:c>
      <x:c r="E766" s="25" t="str">
        <x:v>红狮战印</x:v>
      </x:c>
      <x:c r="F766" s="25" t="n">
        <x:v>10</x:v>
      </x:c>
      <x:c r="G766" s="25" t="str">
        <x:v>从C0至当前检查点累计需求；未扣自身未来产出，不代表已有库存</x:v>
      </x:c>
    </x:row>
    <x:row r="767">
      <x:c r="A767" s="25" t="str">
        <x:v>C06-M</x:v>
      </x:c>
      <x:c r="B767" s="25" t="str">
        <x:v>盖利德</x:v>
      </x:c>
      <x:c r="C767" s="25" t="str">
        <x:v>半急速中期</x:v>
      </x:c>
      <x:c r="D767" s="25" t="str">
        <x:v>材料</x:v>
      </x:c>
      <x:c r="E767" s="25" t="str">
        <x:v>腐根魂结</x:v>
      </x:c>
      <x:c r="F767" s="25" t="n">
        <x:v>2</x:v>
      </x:c>
      <x:c r="G767" s="25" t="str">
        <x:v>从C0至当前检查点累计需求；未扣自身未来产出，不代表已有库存</x:v>
      </x:c>
    </x:row>
    <x:row r="768">
      <x:c r="A768" s="25" t="str">
        <x:v>C06-M</x:v>
      </x:c>
      <x:c r="B768" s="25" t="str">
        <x:v>盖利德</x:v>
      </x:c>
      <x:c r="C768" s="25" t="str">
        <x:v>半急速中期</x:v>
      </x:c>
      <x:c r="D768" s="25" t="str">
        <x:v>材料</x:v>
      </x:c>
      <x:c r="E768" s="25" t="str">
        <x:v>裂风崖羽</x:v>
      </x:c>
      <x:c r="F768" s="25" t="n">
        <x:v>80</x:v>
      </x:c>
      <x:c r="G768" s="25" t="str">
        <x:v>从C0至当前检查点累计需求；未扣自身未来产出，不代表已有库存</x:v>
      </x:c>
    </x:row>
    <x:row r="769">
      <x:c r="A769" s="25" t="str">
        <x:v>C06-M</x:v>
      </x:c>
      <x:c r="B769" s="25" t="str">
        <x:v>盖利德</x:v>
      </x:c>
      <x:c r="C769" s="25" t="str">
        <x:v>半急速中期</x:v>
      </x:c>
      <x:c r="D769" s="25" t="str">
        <x:v>材料</x:v>
      </x:c>
      <x:c r="E769" s="25" t="str">
        <x:v>西境战旗</x:v>
      </x:c>
      <x:c r="F769" s="25" t="n">
        <x:v>20</x:v>
      </x:c>
      <x:c r="G769" s="25" t="str">
        <x:v>从C0至当前检查点累计需求；未扣自身未来产出，不代表已有库存</x:v>
      </x:c>
    </x:row>
    <x:row r="770">
      <x:c r="A770" s="25" t="str">
        <x:v>C06-M</x:v>
      </x:c>
      <x:c r="B770" s="25" t="str">
        <x:v>盖利德</x:v>
      </x:c>
      <x:c r="C770" s="25" t="str">
        <x:v>半急速中期</x:v>
      </x:c>
      <x:c r="D770" s="25" t="str">
        <x:v>材料</x:v>
      </x:c>
      <x:c r="E770" s="25" t="str">
        <x:v>西境战旗印</x:v>
      </x:c>
      <x:c r="F770" s="25" t="n">
        <x:v>13</x:v>
      </x:c>
      <x:c r="G770" s="25" t="str">
        <x:v>从C0至当前检查点累计需求；未扣自身未来产出，不代表已有库存</x:v>
      </x:c>
    </x:row>
    <x:row r="771">
      <x:c r="A771" s="25" t="str">
        <x:v>C06-M</x:v>
      </x:c>
      <x:c r="B771" s="25" t="str">
        <x:v>盖利德</x:v>
      </x:c>
      <x:c r="C771" s="25" t="str">
        <x:v>半急速中期</x:v>
      </x:c>
      <x:c r="D771" s="25" t="str">
        <x:v>材料</x:v>
      </x:c>
      <x:c r="E771" s="25" t="str">
        <x:v>西境风痕碑拓</x:v>
      </x:c>
      <x:c r="F771" s="25" t="n">
        <x:v>1</x:v>
      </x:c>
      <x:c r="G771" s="25" t="str">
        <x:v>从C0至当前检查点累计需求；未扣自身未来产出，不代表已有库存</x:v>
      </x:c>
    </x:row>
    <x:row r="772">
      <x:c r="A772" s="25" t="str">
        <x:v>C06-M</x:v>
      </x:c>
      <x:c r="B772" s="25" t="str">
        <x:v>盖利德</x:v>
      </x:c>
      <x:c r="C772" s="25" t="str">
        <x:v>半急速中期</x:v>
      </x:c>
      <x:c r="D772" s="25" t="str">
        <x:v>材料</x:v>
      </x:c>
      <x:c r="E772" s="25" t="str">
        <x:v>贵胄断指</x:v>
      </x:c>
      <x:c r="F772" s="25" t="n">
        <x:v>1</x:v>
      </x:c>
      <x:c r="G772" s="25" t="str">
        <x:v>从C0至当前检查点累计需求；未扣自身未来产出，不代表已有库存</x:v>
      </x:c>
    </x:row>
    <x:row r="773">
      <x:c r="A773" s="25" t="str">
        <x:v>C06-M</x:v>
      </x:c>
      <x:c r="B773" s="25" t="str">
        <x:v>盖利德</x:v>
      </x:c>
      <x:c r="C773" s="25" t="str">
        <x:v>半急速中期</x:v>
      </x:c>
      <x:c r="D773" s="25" t="str">
        <x:v>材料</x:v>
      </x:c>
      <x:c r="E773" s="25" t="str">
        <x:v>辉石碎晶</x:v>
      </x:c>
      <x:c r="F773" s="25" t="n">
        <x:v>1370</x:v>
      </x:c>
      <x:c r="G773" s="25" t="str">
        <x:v>从C0至当前检查点累计需求；未扣自身未来产出，不代表已有库存</x:v>
      </x:c>
    </x:row>
    <x:row r="774">
      <x:c r="A774" s="25" t="str">
        <x:v>C06-M</x:v>
      </x:c>
      <x:c r="B774" s="25" t="str">
        <x:v>盖利德</x:v>
      </x:c>
      <x:c r="C774" s="25" t="str">
        <x:v>半急速中期</x:v>
      </x:c>
      <x:c r="D774" s="25" t="str">
        <x:v>材料</x:v>
      </x:c>
      <x:c r="E774" s="25" t="str">
        <x:v>野兽骨片</x:v>
      </x:c>
      <x:c r="F774" s="25" t="n">
        <x:v>20725</x:v>
      </x:c>
      <x:c r="G774" s="25" t="str">
        <x:v>从C0至当前检查点累计需求；未扣自身未来产出，不代表已有库存</x:v>
      </x:c>
    </x:row>
    <x:row r="775">
      <x:c r="A775" s="25" t="str">
        <x:v>C06-M</x:v>
      </x:c>
      <x:c r="B775" s="25" t="str">
        <x:v>盖利德</x:v>
      </x:c>
      <x:c r="C775" s="25" t="str">
        <x:v>半急速中期</x:v>
      </x:c>
      <x:c r="D775" s="25" t="str">
        <x:v>材料</x:v>
      </x:c>
      <x:c r="E775" s="25" t="str">
        <x:v>雾潮银鳞</x:v>
      </x:c>
      <x:c r="F775" s="25" t="n">
        <x:v>217</x:v>
      </x:c>
      <x:c r="G775" s="25" t="str">
        <x:v>从C0至当前检查点累计需求；未扣自身未来产出，不代表已有库存</x:v>
      </x:c>
    </x:row>
    <x:row r="776">
      <x:c r="A776" s="25" t="str">
        <x:v>C06-M</x:v>
      </x:c>
      <x:c r="B776" s="25" t="str">
        <x:v>盖利德</x:v>
      </x:c>
      <x:c r="C776" s="25" t="str">
        <x:v>半急速中期</x:v>
      </x:c>
      <x:c r="D776" s="25" t="str">
        <x:v>材料</x:v>
      </x:c>
      <x:c r="E776" s="25" t="str">
        <x:v>风暴王核</x:v>
      </x:c>
      <x:c r="F776" s="25" t="n">
        <x:v>1</x:v>
      </x:c>
      <x:c r="G776" s="25" t="str">
        <x:v>从C0至当前检查点累计需求；未扣自身未来产出，不代表已有库存</x:v>
      </x:c>
    </x:row>
    <x:row r="777">
      <x:c r="A777" s="25" t="str">
        <x:v>C06-M</x:v>
      </x:c>
      <x:c r="B777" s="25" t="str">
        <x:v>盖利德</x:v>
      </x:c>
      <x:c r="C777" s="25" t="str">
        <x:v>半急速中期</x:v>
      </x:c>
      <x:c r="D777" s="25" t="str">
        <x:v>材料</x:v>
      </x:c>
      <x:c r="E777" s="25" t="str">
        <x:v>风暴石片</x:v>
      </x:c>
      <x:c r="F777" s="25" t="n">
        <x:v>370</x:v>
      </x:c>
      <x:c r="G777" s="25" t="str">
        <x:v>从C0至当前检查点累计需求；未扣自身未来产出，不代表已有库存</x:v>
      </x:c>
    </x:row>
    <x:row r="778">
      <x:c r="A778" s="25" t="str">
        <x:v>C06-M</x:v>
      </x:c>
      <x:c r="B778" s="25" t="str">
        <x:v>盖利德</x:v>
      </x:c>
      <x:c r="C778" s="25" t="str">
        <x:v>半急速中期</x:v>
      </x:c>
      <x:c r="D778" s="25" t="str">
        <x:v>材料</x:v>
      </x:c>
      <x:c r="E778" s="25" t="str">
        <x:v>风蚀铁片</x:v>
      </x:c>
      <x:c r="F778" s="25" t="n">
        <x:v>710</x:v>
      </x:c>
      <x:c r="G778" s="25" t="str">
        <x:v>从C0至当前检查点累计需求；未扣自身未来产出，不代表已有库存</x:v>
      </x:c>
    </x:row>
    <x:row r="779">
      <x:c r="A779" s="25" t="str">
        <x:v>C06-M</x:v>
      </x:c>
      <x:c r="B779" s="25" t="str">
        <x:v>盖利德</x:v>
      </x:c>
      <x:c r="C779" s="25" t="str">
        <x:v>半急速中期</x:v>
      </x:c>
      <x:c r="D779" s="25" t="str">
        <x:v>材料</x:v>
      </x:c>
      <x:c r="E779" s="25" t="str">
        <x:v>黄金树碎核</x:v>
      </x:c>
      <x:c r="F779" s="25" t="n">
        <x:v>2</x:v>
      </x:c>
      <x:c r="G779" s="25" t="str">
        <x:v>从C0至当前检查点累计需求；未扣自身未来产出，不代表已有库存</x:v>
      </x:c>
    </x:row>
    <x:row r="780">
      <x:c r="A780" s="25" t="str">
        <x:v>C06-M</x:v>
      </x:c>
      <x:c r="B780" s="25" t="str">
        <x:v>盖利德</x:v>
      </x:c>
      <x:c r="C780" s="25" t="str">
        <x:v>半急速中期</x:v>
      </x:c>
      <x:c r="D780" s="25" t="str">
        <x:v>材料</x:v>
      </x:c>
      <x:c r="E780" s="25" t="str">
        <x:v>黄金树芽</x:v>
      </x:c>
      <x:c r="F780" s="25" t="n">
        <x:v>297</x:v>
      </x:c>
      <x:c r="G780" s="25" t="str">
        <x:v>从C0至当前检查点累计需求；未扣自身未来产出，不代表已有库存</x:v>
      </x:c>
    </x:row>
    <x:row r="781">
      <x:c r="A781" s="25" t="str">
        <x:v>C06-M</x:v>
      </x:c>
      <x:c r="B781" s="25" t="str">
        <x:v>盖利德</x:v>
      </x:c>
      <x:c r="C781" s="25" t="str">
        <x:v>半急速中期</x:v>
      </x:c>
      <x:c r="D781" s="25" t="str">
        <x:v>材料</x:v>
      </x:c>
      <x:c r="E781" s="25" t="str">
        <x:v>黄金骑徽</x:v>
      </x:c>
      <x:c r="F781" s="25" t="n">
        <x:v>2</x:v>
      </x:c>
      <x:c r="G781" s="25" t="str">
        <x:v>从C0至当前检查点累计需求；未扣自身未来产出，不代表已有库存</x:v>
      </x:c>
    </x:row>
    <x:row r="782">
      <x:c r="A782" s="25" t="str">
        <x:v>C06-M</x:v>
      </x:c>
      <x:c r="B782" s="25" t="str">
        <x:v>盖利德</x:v>
      </x:c>
      <x:c r="C782" s="25" t="str">
        <x:v>半急速中期</x:v>
      </x:c>
      <x:c r="D782" s="25" t="str">
        <x:v>材料</x:v>
      </x:c>
      <x:c r="E782" s="25" t="str">
        <x:v>龙火鳞</x:v>
      </x:c>
      <x:c r="F782" s="25" t="n">
        <x:v>10</x:v>
      </x:c>
      <x:c r="G782" s="25" t="str">
        <x:v>从C0至当前检查点累计需求；未扣自身未来产出，不代表已有库存</x:v>
      </x:c>
    </x:row>
    <x:row r="783">
      <x:c r="A783" s="25" t="str">
        <x:v>C06-M</x:v>
      </x:c>
      <x:c r="B783" s="25" t="str">
        <x:v>盖利德</x:v>
      </x:c>
      <x:c r="C783" s="25" t="str">
        <x:v>半急速中期</x:v>
      </x:c>
      <x:c r="D783" s="25" t="str">
        <x:v>装备实物</x:v>
      </x:c>
      <x:c r="E783" s="25" t="str">
        <x:v>共307个精确名称（明细见JSON）</x:v>
      </x:c>
      <x:c r="F783" s="25" t="n">
        <x:v>406</x:v>
      </x:c>
      <x:c r="G783" s="25" t="str">
        <x:v>含穿戴、重复试洗、图鉴登记与合成前置；完整数据未省略</x:v>
      </x:c>
    </x:row>
    <x:row r="784">
      <x:c r="A784" s="25" t="str">
        <x:v>C06-G</x:v>
      </x:c>
      <x:c r="B784" s="25" t="str">
        <x:v>盖利德</x:v>
      </x:c>
      <x:c r="C784" s="25" t="str">
        <x:v>半急速毕业</x:v>
      </x:c>
      <x:c r="D784" s="25" t="str">
        <x:v>材料</x:v>
      </x:c>
      <x:c r="E784" s="25" t="str">
        <x:v>兽将脊骨</x:v>
      </x:c>
      <x:c r="F784" s="25" t="n">
        <x:v>1</x:v>
      </x:c>
      <x:c r="G784" s="25" t="str">
        <x:v>从C0至当前检查点累计需求；未扣自身未来产出，不代表已有库存</x:v>
      </x:c>
    </x:row>
    <x:row r="785">
      <x:c r="A785" s="25" t="str">
        <x:v>C06-G</x:v>
      </x:c>
      <x:c r="B785" s="25" t="str">
        <x:v>盖利德</x:v>
      </x:c>
      <x:c r="C785" s="25" t="str">
        <x:v>半急速毕业</x:v>
      </x:c>
      <x:c r="D785" s="25" t="str">
        <x:v>材料</x:v>
      </x:c>
      <x:c r="E785" s="25" t="str">
        <x:v>净火腺囊</x:v>
      </x:c>
      <x:c r="F785" s="25" t="n">
        <x:v>44</x:v>
      </x:c>
      <x:c r="G785" s="25" t="str">
        <x:v>从C0至当前检查点累计需求；未扣自身未来产出，不代表已有库存</x:v>
      </x:c>
    </x:row>
    <x:row r="786">
      <x:c r="A786" s="25" t="str">
        <x:v>C06-G</x:v>
      </x:c>
      <x:c r="B786" s="25" t="str">
        <x:v>盖利德</x:v>
      </x:c>
      <x:c r="C786" s="25" t="str">
        <x:v>半急速毕业</x:v>
      </x:c>
      <x:c r="D786" s="25" t="str">
        <x:v>材料</x:v>
      </x:c>
      <x:c r="E786" s="25" t="str">
        <x:v>卡利亚月露</x:v>
      </x:c>
      <x:c r="F786" s="25" t="n">
        <x:v>36</x:v>
      </x:c>
      <x:c r="G786" s="25" t="str">
        <x:v>从C0至当前检查点累计需求；未扣自身未来产出，不代表已有库存</x:v>
      </x:c>
    </x:row>
    <x:row r="787">
      <x:c r="A787" s="25" t="str">
        <x:v>C06-G</x:v>
      </x:c>
      <x:c r="B787" s="25" t="str">
        <x:v>盖利德</x:v>
      </x:c>
      <x:c r="C787" s="25" t="str">
        <x:v>半急速毕业</x:v>
      </x:c>
      <x:c r="D787" s="25" t="str">
        <x:v>材料</x:v>
      </x:c>
      <x:c r="E787" s="25" t="str">
        <x:v>哨垒旗冠</x:v>
      </x:c>
      <x:c r="F787" s="25" t="n">
        <x:v>3</x:v>
      </x:c>
      <x:c r="G787" s="25" t="str">
        <x:v>从C0至当前检查点累计需求；未扣自身未来产出，不代表已有库存</x:v>
      </x:c>
    </x:row>
    <x:row r="788">
      <x:c r="A788" s="25" t="str">
        <x:v>C06-G</x:v>
      </x:c>
      <x:c r="B788" s="25" t="str">
        <x:v>盖利德</x:v>
      </x:c>
      <x:c r="C788" s="25" t="str">
        <x:v>半急速毕业</x:v>
      </x:c>
      <x:c r="D788" s="25" t="str">
        <x:v>材料</x:v>
      </x:c>
      <x:c r="E788" s="25" t="str">
        <x:v>唤船骨铃</x:v>
      </x:c>
      <x:c r="F788" s="25" t="n">
        <x:v>1</x:v>
      </x:c>
      <x:c r="G788" s="25" t="str">
        <x:v>从C0至当前检查点累计需求；未扣自身未来产出，不代表已有库存</x:v>
      </x:c>
    </x:row>
    <x:row r="789">
      <x:c r="A789" s="25" t="str">
        <x:v>C06-G</x:v>
      </x:c>
      <x:c r="B789" s="25" t="str">
        <x:v>盖利德</x:v>
      </x:c>
      <x:c r="C789" s="25" t="str">
        <x:v>半急速毕业</x:v>
      </x:c>
      <x:c r="D789" s="25" t="str">
        <x:v>材料</x:v>
      </x:c>
      <x:c r="E789" s="25" t="str">
        <x:v>商队火漆</x:v>
      </x:c>
      <x:c r="F789" s="25" t="n">
        <x:v>20</x:v>
      </x:c>
      <x:c r="G789" s="25" t="str">
        <x:v>从C0至当前检查点累计需求；未扣自身未来产出，不代表已有库存</x:v>
      </x:c>
    </x:row>
    <x:row r="790">
      <x:c r="A790" s="25" t="str">
        <x:v>C06-G</x:v>
      </x:c>
      <x:c r="B790" s="25" t="str">
        <x:v>盖利德</x:v>
      </x:c>
      <x:c r="C790" s="25" t="str">
        <x:v>半急速毕业</x:v>
      </x:c>
      <x:c r="D790" s="25" t="str">
        <x:v>材料</x:v>
      </x:c>
      <x:c r="E790" s="25" t="str">
        <x:v>夜骑黑印</x:v>
      </x:c>
      <x:c r="F790" s="25" t="n">
        <x:v>1</x:v>
      </x:c>
      <x:c r="G790" s="25" t="str">
        <x:v>从C0至当前检查点累计需求；未扣自身未来产出，不代表已有库存</x:v>
      </x:c>
    </x:row>
    <x:row r="791">
      <x:c r="A791" s="25" t="str">
        <x:v>C06-G</x:v>
      </x:c>
      <x:c r="B791" s="25" t="str">
        <x:v>盖利德</x:v>
      </x:c>
      <x:c r="C791" s="25" t="str">
        <x:v>半急速毕业</x:v>
      </x:c>
      <x:c r="D791" s="25" t="str">
        <x:v>材料</x:v>
      </x:c>
      <x:c r="E791" s="25" t="str">
        <x:v>大卢恩</x:v>
      </x:c>
      <x:c r="F791" s="25" t="n">
        <x:v>350</x:v>
      </x:c>
      <x:c r="G791" s="25" t="str">
        <x:v>从C0至当前检查点累计需求；未扣自身未来产出，不代表已有库存</x:v>
      </x:c>
    </x:row>
    <x:row r="792">
      <x:c r="A792" s="25" t="str">
        <x:v>C06-G</x:v>
      </x:c>
      <x:c r="B792" s="25" t="str">
        <x:v>盖利德</x:v>
      </x:c>
      <x:c r="C792" s="25" t="str">
        <x:v>半急速毕业</x:v>
      </x:c>
      <x:c r="D792" s="25" t="str">
        <x:v>材料</x:v>
      </x:c>
      <x:c r="E792" s="25" t="str">
        <x:v>失乡军令</x:v>
      </x:c>
      <x:c r="F792" s="25" t="n">
        <x:v>2</x:v>
      </x:c>
      <x:c r="G792" s="25" t="str">
        <x:v>从C0至当前检查点累计需求；未扣自身未来产出，不代表已有库存</x:v>
      </x:c>
    </x:row>
    <x:row r="793">
      <x:c r="A793" s="25" t="str">
        <x:v>C06-G</x:v>
      </x:c>
      <x:c r="B793" s="25" t="str">
        <x:v>盖利德</x:v>
      </x:c>
      <x:c r="C793" s="25" t="str">
        <x:v>半急速毕业</x:v>
      </x:c>
      <x:c r="D793" s="25" t="str">
        <x:v>材料</x:v>
      </x:c>
      <x:c r="E793" s="25" t="str">
        <x:v>失乡统帅徽</x:v>
      </x:c>
      <x:c r="F793" s="25" t="n">
        <x:v>2</x:v>
      </x:c>
      <x:c r="G793" s="25" t="str">
        <x:v>从C0至当前检查点累计需求；未扣自身未来产出，不代表已有库存</x:v>
      </x:c>
    </x:row>
    <x:row r="794">
      <x:c r="A794" s="25" t="str">
        <x:v>C06-G</x:v>
      </x:c>
      <x:c r="B794" s="25" t="str">
        <x:v>盖利德</x:v>
      </x:c>
      <x:c r="C794" s="25" t="str">
        <x:v>半急速毕业</x:v>
      </x:c>
      <x:c r="D794" s="25" t="str">
        <x:v>材料</x:v>
      </x:c>
      <x:c r="E794" s="25" t="str">
        <x:v>失色锻造石</x:v>
      </x:c>
      <x:c r="F794" s="25" t="n">
        <x:v>18950</x:v>
      </x:c>
      <x:c r="G794" s="25" t="str">
        <x:v>从C0至当前检查点累计需求；未扣自身未来产出，不代表已有库存</x:v>
      </x:c>
    </x:row>
    <x:row r="795">
      <x:c r="A795" s="25" t="str">
        <x:v>C06-G</x:v>
      </x:c>
      <x:c r="B795" s="25" t="str">
        <x:v>盖利德</x:v>
      </x:c>
      <x:c r="C795" s="25" t="str">
        <x:v>半急速毕业</x:v>
      </x:c>
      <x:c r="D795" s="25" t="str">
        <x:v>材料</x:v>
      </x:c>
      <x:c r="E795" s="25" t="str">
        <x:v>学院封蜡</x:v>
      </x:c>
      <x:c r="F795" s="25" t="n">
        <x:v>24</x:v>
      </x:c>
      <x:c r="G795" s="25" t="str">
        <x:v>从C0至当前检查点累计需求；未扣自身未来产出，不代表已有库存</x:v>
      </x:c>
    </x:row>
    <x:row r="796">
      <x:c r="A796" s="25" t="str">
        <x:v>C06-G</x:v>
      </x:c>
      <x:c r="B796" s="25" t="str">
        <x:v>盖利德</x:v>
      </x:c>
      <x:c r="C796" s="25" t="str">
        <x:v>半急速毕业</x:v>
      </x:c>
      <x:c r="D796" s="25" t="str">
        <x:v>材料</x:v>
      </x:c>
      <x:c r="E796" s="25" t="str">
        <x:v>宁姆格福誓页</x:v>
      </x:c>
      <x:c r="F796" s="25" t="n">
        <x:v>90</x:v>
      </x:c>
      <x:c r="G796" s="25" t="str">
        <x:v>从C0至当前检查点累计需求；未扣自身未来产出，不代表已有库存</x:v>
      </x:c>
    </x:row>
    <x:row r="797">
      <x:c r="A797" s="25" t="str">
        <x:v>C06-G</x:v>
      </x:c>
      <x:c r="B797" s="25" t="str">
        <x:v>盖利德</x:v>
      </x:c>
      <x:c r="C797" s="25" t="str">
        <x:v>半急速毕业</x:v>
      </x:c>
      <x:c r="D797" s="25" t="str">
        <x:v>材料</x:v>
      </x:c>
      <x:c r="E797" s="25" t="str">
        <x:v>小卢恩</x:v>
      </x:c>
      <x:c r="F797" s="25" t="n">
        <x:v>250</x:v>
      </x:c>
      <x:c r="G797" s="25" t="str">
        <x:v>从C0至当前检查点累计需求；未扣自身未来产出，不代表已有库存</x:v>
      </x:c>
    </x:row>
    <x:row r="798">
      <x:c r="A798" s="25" t="str">
        <x:v>C06-G</x:v>
      </x:c>
      <x:c r="B798" s="25" t="str">
        <x:v>盖利德</x:v>
      </x:c>
      <x:c r="C798" s="25" t="str">
        <x:v>半急速毕业</x:v>
      </x:c>
      <x:c r="D798" s="25" t="str">
        <x:v>材料</x:v>
      </x:c>
      <x:c r="E798" s="25" t="str">
        <x:v>山妖王角</x:v>
      </x:c>
      <x:c r="F798" s="25" t="n">
        <x:v>2</x:v>
      </x:c>
      <x:c r="G798" s="25" t="str">
        <x:v>从C0至当前检查点累计需求；未扣自身未来产出，不代表已有库存</x:v>
      </x:c>
    </x:row>
    <x:row r="799">
      <x:c r="A799" s="25" t="str">
        <x:v>C06-G</x:v>
      </x:c>
      <x:c r="B799" s="25" t="str">
        <x:v>盖利德</x:v>
      </x:c>
      <x:c r="C799" s="25" t="str">
        <x:v>半急速毕业</x:v>
      </x:c>
      <x:c r="D799" s="25" t="str">
        <x:v>材料</x:v>
      </x:c>
      <x:c r="E799" s="25" t="str">
        <x:v>幽船铆钉</x:v>
      </x:c>
      <x:c r="F799" s="25" t="n">
        <x:v>21</x:v>
      </x:c>
      <x:c r="G799" s="25" t="str">
        <x:v>从C0至当前检查点累计需求；未扣自身未来产出，不代表已有库存</x:v>
      </x:c>
    </x:row>
    <x:row r="800">
      <x:c r="A800" s="25" t="str">
        <x:v>C06-G</x:v>
      </x:c>
      <x:c r="B800" s="25" t="str">
        <x:v>盖利德</x:v>
      </x:c>
      <x:c r="C800" s="25" t="str">
        <x:v>半急速毕业</x:v>
      </x:c>
      <x:c r="D800" s="25" t="str">
        <x:v>材料</x:v>
      </x:c>
      <x:c r="E800" s="25" t="str">
        <x:v>恶兆残角</x:v>
      </x:c>
      <x:c r="F800" s="25" t="n">
        <x:v>1</x:v>
      </x:c>
      <x:c r="G800" s="25" t="str">
        <x:v>从C0至当前检查点累计需求；未扣自身未来产出，不代表已有库存</x:v>
      </x:c>
    </x:row>
    <x:row r="801">
      <x:c r="A801" s="25" t="str">
        <x:v>C06-G</x:v>
      </x:c>
      <x:c r="B801" s="25" t="str">
        <x:v>盖利德</x:v>
      </x:c>
      <x:c r="C801" s="25" t="str">
        <x:v>半急速毕业</x:v>
      </x:c>
      <x:c r="D801" s="25" t="str">
        <x:v>材料</x:v>
      </x:c>
      <x:c r="E801" s="25" t="str">
        <x:v>技能残页</x:v>
      </x:c>
      <x:c r="F801" s="25" t="n">
        <x:v>1350</x:v>
      </x:c>
      <x:c r="G801" s="25" t="str">
        <x:v>从C0至当前检查点累计需求；未扣自身未来产出，不代表已有库存</x:v>
      </x:c>
    </x:row>
    <x:row r="802">
      <x:c r="A802" s="25" t="str">
        <x:v>C06-G</x:v>
      </x:c>
      <x:c r="B802" s="25" t="str">
        <x:v>盖利德</x:v>
      </x:c>
      <x:c r="C802" s="25" t="str">
        <x:v>半急速毕业</x:v>
      </x:c>
      <x:c r="D802" s="25" t="str">
        <x:v>材料</x:v>
      </x:c>
      <x:c r="E802" s="25" t="str">
        <x:v>接肢兽心</x:v>
      </x:c>
      <x:c r="F802" s="25" t="n">
        <x:v>2</x:v>
      </x:c>
      <x:c r="G802" s="25" t="str">
        <x:v>从C0至当前检查点累计需求；未扣自身未来产出，不代表已有库存</x:v>
      </x:c>
    </x:row>
    <x:row r="803">
      <x:c r="A803" s="25" t="str">
        <x:v>C06-G</x:v>
      </x:c>
      <x:c r="B803" s="25" t="str">
        <x:v>盖利德</x:v>
      </x:c>
      <x:c r="C803" s="25" t="str">
        <x:v>半急速毕业</x:v>
      </x:c>
      <x:c r="D803" s="25" t="str">
        <x:v>材料</x:v>
      </x:c>
      <x:c r="E803" s="25" t="str">
        <x:v>接肢王印</x:v>
      </x:c>
      <x:c r="F803" s="25" t="n">
        <x:v>13</x:v>
      </x:c>
      <x:c r="G803" s="25" t="str">
        <x:v>从C0至当前检查点累计需求；未扣自身未来产出，不代表已有库存</x:v>
      </x:c>
    </x:row>
    <x:row r="804">
      <x:c r="A804" s="25" t="str">
        <x:v>C06-G</x:v>
      </x:c>
      <x:c r="B804" s="25" t="str">
        <x:v>盖利德</x:v>
      </x:c>
      <x:c r="C804" s="25" t="str">
        <x:v>半急速毕业</x:v>
      </x:c>
      <x:c r="D804" s="25" t="str">
        <x:v>材料</x:v>
      </x:c>
      <x:c r="E804" s="25" t="str">
        <x:v>接肢王魂</x:v>
      </x:c>
      <x:c r="F804" s="25" t="n">
        <x:v>1</x:v>
      </x:c>
      <x:c r="G804" s="25" t="str">
        <x:v>从C0至当前检查点累计需求；未扣自身未来产出，不代表已有库存</x:v>
      </x:c>
    </x:row>
    <x:row r="805">
      <x:c r="A805" s="25" t="str">
        <x:v>C06-G</x:v>
      </x:c>
      <x:c r="B805" s="25" t="str">
        <x:v>盖利德</x:v>
      </x:c>
      <x:c r="C805" s="25" t="str">
        <x:v>半急速毕业</x:v>
      </x:c>
      <x:c r="D805" s="25" t="str">
        <x:v>材料</x:v>
      </x:c>
      <x:c r="E805" s="25" t="str">
        <x:v>月潮忆珀</x:v>
      </x:c>
      <x:c r="F805" s="25" t="n">
        <x:v>1</x:v>
      </x:c>
      <x:c r="G805" s="25" t="str">
        <x:v>从C0至当前检查点累计需求；未扣自身未来产出，不代表已有库存</x:v>
      </x:c>
    </x:row>
    <x:row r="806">
      <x:c r="A806" s="25" t="str">
        <x:v>C06-G</x:v>
      </x:c>
      <x:c r="B806" s="25" t="str">
        <x:v>盖利德</x:v>
      </x:c>
      <x:c r="C806" s="25" t="str">
        <x:v>半急速毕业</x:v>
      </x:c>
      <x:c r="D806" s="25" t="str">
        <x:v>材料</x:v>
      </x:c>
      <x:c r="E806" s="25" t="str">
        <x:v>月蚀镜片</x:v>
      </x:c>
      <x:c r="F806" s="25" t="n">
        <x:v>14</x:v>
      </x:c>
      <x:c r="G806" s="25" t="str">
        <x:v>从C0至当前检查点累计需求；未扣自身未来产出，不代表已有库存</x:v>
      </x:c>
    </x:row>
    <x:row r="807">
      <x:c r="A807" s="25" t="str">
        <x:v>C06-G</x:v>
      </x:c>
      <x:c r="B807" s="25" t="str">
        <x:v>盖利德</x:v>
      </x:c>
      <x:c r="C807" s="25" t="str">
        <x:v>半急速毕业</x:v>
      </x:c>
      <x:c r="D807" s="25" t="str">
        <x:v>材料</x:v>
      </x:c>
      <x:c r="E807" s="25" t="str">
        <x:v>树卫枪穗</x:v>
      </x:c>
      <x:c r="F807" s="25" t="n">
        <x:v>1</x:v>
      </x:c>
      <x:c r="G807" s="25" t="str">
        <x:v>从C0至当前检查点累计需求；未扣自身未来产出，不代表已有库存</x:v>
      </x:c>
    </x:row>
    <x:row r="808">
      <x:c r="A808" s="25" t="str">
        <x:v>C06-G</x:v>
      </x:c>
      <x:c r="B808" s="25" t="str">
        <x:v>盖利德</x:v>
      </x:c>
      <x:c r="C808" s="25" t="str">
        <x:v>半急速毕业</x:v>
      </x:c>
      <x:c r="D808" s="25" t="str">
        <x:v>材料</x:v>
      </x:c>
      <x:c r="E808" s="25" t="str">
        <x:v>死亡仪羽</x:v>
      </x:c>
      <x:c r="F808" s="25" t="n">
        <x:v>2</x:v>
      </x:c>
      <x:c r="G808" s="25" t="str">
        <x:v>从C0至当前检查点累计需求；未扣自身未来产出，不代表已有库存</x:v>
      </x:c>
    </x:row>
    <x:row r="809">
      <x:c r="A809" s="25" t="str">
        <x:v>C06-G</x:v>
      </x:c>
      <x:c r="B809" s="25" t="str">
        <x:v>盖利德</x:v>
      </x:c>
      <x:c r="C809" s="25" t="str">
        <x:v>半急速毕业</x:v>
      </x:c>
      <x:c r="D809" s="25" t="str">
        <x:v>材料</x:v>
      </x:c>
      <x:c r="E809" s="25" t="str">
        <x:v>沉湖王印</x:v>
      </x:c>
      <x:c r="F809" s="25" t="n">
        <x:v>16</x:v>
      </x:c>
      <x:c r="G809" s="25" t="str">
        <x:v>从C0至当前检查点累计需求；未扣自身未来产出，不代表已有库存</x:v>
      </x:c>
    </x:row>
    <x:row r="810">
      <x:c r="A810" s="25" t="str">
        <x:v>C06-G</x:v>
      </x:c>
      <x:c r="B810" s="25" t="str">
        <x:v>盖利德</x:v>
      </x:c>
      <x:c r="C810" s="25" t="str">
        <x:v>半急速毕业</x:v>
      </x:c>
      <x:c r="D810" s="25" t="str">
        <x:v>材料</x:v>
      </x:c>
      <x:c r="E810" s="25" t="str">
        <x:v>沉船缆扣</x:v>
      </x:c>
      <x:c r="F810" s="25" t="n">
        <x:v>12</x:v>
      </x:c>
      <x:c r="G810" s="25" t="str">
        <x:v>从C0至当前检查点累计需求；未扣自身未来产出，不代表已有库存</x:v>
      </x:c>
    </x:row>
    <x:row r="811">
      <x:c r="A811" s="25" t="str">
        <x:v>C06-G</x:v>
      </x:c>
      <x:c r="B811" s="25" t="str">
        <x:v>盖利德</x:v>
      </x:c>
      <x:c r="C811" s="25" t="str">
        <x:v>半急速毕业</x:v>
      </x:c>
      <x:c r="D811" s="25" t="str">
        <x:v>材料</x:v>
      </x:c>
      <x:c r="E811" s="25" t="str">
        <x:v>海蚀铁片</x:v>
      </x:c>
      <x:c r="F811" s="25" t="n">
        <x:v>160</x:v>
      </x:c>
      <x:c r="G811" s="25" t="str">
        <x:v>从C0至当前检查点累计需求；未扣自身未来产出，不代表已有库存</x:v>
      </x:c>
    </x:row>
    <x:row r="812">
      <x:c r="A812" s="25" t="str">
        <x:v>C06-G</x:v>
      </x:c>
      <x:c r="B812" s="25" t="str">
        <x:v>盖利德</x:v>
      </x:c>
      <x:c r="C812" s="25" t="str">
        <x:v>半急速毕业</x:v>
      </x:c>
      <x:c r="D812" s="25" t="str">
        <x:v>材料</x:v>
      </x:c>
      <x:c r="E812" s="25" t="str">
        <x:v>湖底封门珠</x:v>
      </x:c>
      <x:c r="F812" s="25" t="n">
        <x:v>8</x:v>
      </x:c>
      <x:c r="G812" s="25" t="str">
        <x:v>从C0至当前检查点累计需求；未扣自身未来产出，不代表已有库存</x:v>
      </x:c>
    </x:row>
    <x:row r="813">
      <x:c r="A813" s="25" t="str">
        <x:v>C06-G</x:v>
      </x:c>
      <x:c r="B813" s="25" t="str">
        <x:v>盖利德</x:v>
      </x:c>
      <x:c r="C813" s="25" t="str">
        <x:v>半急速毕业</x:v>
      </x:c>
      <x:c r="D813" s="25" t="str">
        <x:v>材料</x:v>
      </x:c>
      <x:c r="E813" s="25" t="str">
        <x:v>湖心月谱残章</x:v>
      </x:c>
      <x:c r="F813" s="25" t="n">
        <x:v>1</x:v>
      </x:c>
      <x:c r="G813" s="25" t="str">
        <x:v>从C0至当前检查点累计需求；未扣自身未来产出，不代表已有库存</x:v>
      </x:c>
    </x:row>
    <x:row r="814">
      <x:c r="A814" s="25" t="str">
        <x:v>C06-G</x:v>
      </x:c>
      <x:c r="B814" s="25" t="str">
        <x:v>盖利德</x:v>
      </x:c>
      <x:c r="C814" s="25" t="str">
        <x:v>半急速毕业</x:v>
      </x:c>
      <x:c r="D814" s="25" t="str">
        <x:v>材料</x:v>
      </x:c>
      <x:c r="E814" s="25" t="str">
        <x:v>湖盐结晶</x:v>
      </x:c>
      <x:c r="F814" s="25" t="n">
        <x:v>1647</x:v>
      </x:c>
      <x:c r="G814" s="25" t="str">
        <x:v>从C0至当前检查点累计需求；未扣自身未来产出，不代表已有库存</x:v>
      </x:c>
    </x:row>
    <x:row r="815">
      <x:c r="A815" s="25" t="str">
        <x:v>C06-G</x:v>
      </x:c>
      <x:c r="B815" s="25" t="str">
        <x:v>盖利德</x:v>
      </x:c>
      <x:c r="C815" s="25" t="str">
        <x:v>半急速毕业</x:v>
      </x:c>
      <x:c r="D815" s="25" t="str">
        <x:v>材料</x:v>
      </x:c>
      <x:c r="E815" s="25" t="str">
        <x:v>溃烂树核</x:v>
      </x:c>
      <x:c r="F815" s="25" t="n">
        <x:v>1</x:v>
      </x:c>
      <x:c r="G815" s="25" t="str">
        <x:v>从C0至当前检查点累计需求；未扣自身未来产出，不代表已有库存</x:v>
      </x:c>
    </x:row>
    <x:row r="816">
      <x:c r="A816" s="25" t="str">
        <x:v>C06-G</x:v>
      </x:c>
      <x:c r="B816" s="25" t="str">
        <x:v>盖利德</x:v>
      </x:c>
      <x:c r="C816" s="25" t="str">
        <x:v>半急速毕业</x:v>
      </x:c>
      <x:c r="D816" s="25" t="str">
        <x:v>材料</x:v>
      </x:c>
      <x:c r="E816" s="25" t="str">
        <x:v>满月王室印</x:v>
      </x:c>
      <x:c r="F816" s="25" t="n">
        <x:v>41</x:v>
      </x:c>
      <x:c r="G816" s="25" t="str">
        <x:v>从C0至当前检查点累计需求；未扣自身未来产出，不代表已有库存</x:v>
      </x:c>
    </x:row>
    <x:row r="817">
      <x:c r="A817" s="25" t="str">
        <x:v>C06-G</x:v>
      </x:c>
      <x:c r="B817" s="25" t="str">
        <x:v>盖利德</x:v>
      </x:c>
      <x:c r="C817" s="25" t="str">
        <x:v>半急速毕业</x:v>
      </x:c>
      <x:c r="D817" s="25" t="str">
        <x:v>材料</x:v>
      </x:c>
      <x:c r="E817" s="25" t="str">
        <x:v>漂流大陆印记</x:v>
      </x:c>
      <x:c r="F817" s="25" t="n">
        <x:v>11</x:v>
      </x:c>
      <x:c r="G817" s="25" t="str">
        <x:v>从C0至当前检查点累计需求；未扣自身未来产出，不代表已有库存</x:v>
      </x:c>
    </x:row>
    <x:row r="818">
      <x:c r="A818" s="25" t="str">
        <x:v>C06-G</x:v>
      </x:c>
      <x:c r="B818" s="25" t="str">
        <x:v>盖利德</x:v>
      </x:c>
      <x:c r="C818" s="25" t="str">
        <x:v>半急速毕业</x:v>
      </x:c>
      <x:c r="D818" s="25" t="str">
        <x:v>材料</x:v>
      </x:c>
      <x:c r="E818" s="25" t="str">
        <x:v>漂流见证·潮</x:v>
      </x:c>
      <x:c r="F818" s="25" t="n">
        <x:v>8</x:v>
      </x:c>
      <x:c r="G818" s="25" t="str">
        <x:v>从C0至当前检查点累计需求；未扣自身未来产出，不代表已有库存</x:v>
      </x:c>
    </x:row>
    <x:row r="819">
      <x:c r="A819" s="25" t="str">
        <x:v>C06-G</x:v>
      </x:c>
      <x:c r="B819" s="25" t="str">
        <x:v>盖利德</x:v>
      </x:c>
      <x:c r="C819" s="25" t="str">
        <x:v>半急速毕业</x:v>
      </x:c>
      <x:c r="D819" s="25" t="str">
        <x:v>材料</x:v>
      </x:c>
      <x:c r="E819" s="25" t="str">
        <x:v>漂流见证·雷</x:v>
      </x:c>
      <x:c r="F819" s="25" t="n">
        <x:v>8</x:v>
      </x:c>
      <x:c r="G819" s="25" t="str">
        <x:v>从C0至当前检查点累计需求；未扣自身未来产出，不代表已有库存</x:v>
      </x:c>
    </x:row>
    <x:row r="820">
      <x:c r="A820" s="25" t="str">
        <x:v>C06-G</x:v>
      </x:c>
      <x:c r="B820" s="25" t="str">
        <x:v>盖利德</x:v>
      </x:c>
      <x:c r="C820" s="25" t="str">
        <x:v>半急速毕业</x:v>
      </x:c>
      <x:c r="D820" s="25" t="str">
        <x:v>材料</x:v>
      </x:c>
      <x:c r="E820" s="25" t="str">
        <x:v>潮痕结晶</x:v>
      </x:c>
      <x:c r="F820" s="25" t="n">
        <x:v>16</x:v>
      </x:c>
      <x:c r="G820" s="25" t="str">
        <x:v>从C0至当前检查点累计需求；未扣自身未来产出，不代表已有库存</x:v>
      </x:c>
    </x:row>
    <x:row r="821">
      <x:c r="A821" s="25" t="str">
        <x:v>C06-G</x:v>
      </x:c>
      <x:c r="B821" s="25" t="str">
        <x:v>盖利德</x:v>
      </x:c>
      <x:c r="C821" s="25" t="str">
        <x:v>半急速毕业</x:v>
      </x:c>
      <x:c r="D821" s="25" t="str">
        <x:v>材料</x:v>
      </x:c>
      <x:c r="E821" s="25" t="str">
        <x:v>熊王心脏</x:v>
      </x:c>
      <x:c r="F821" s="25" t="n">
        <x:v>2</x:v>
      </x:c>
      <x:c r="G821" s="25" t="str">
        <x:v>从C0至当前检查点累计需求；未扣自身未来产出，不代表已有库存</x:v>
      </x:c>
    </x:row>
    <x:row r="822">
      <x:c r="A822" s="25" t="str">
        <x:v>C06-G</x:v>
      </x:c>
      <x:c r="B822" s="25" t="str">
        <x:v>盖利德</x:v>
      </x:c>
      <x:c r="C822" s="25" t="str">
        <x:v>半急速毕业</x:v>
      </x:c>
      <x:c r="D822" s="25" t="str">
        <x:v>材料</x:v>
      </x:c>
      <x:c r="E822" s="25" t="str">
        <x:v>熔炉角片</x:v>
      </x:c>
      <x:c r="F822" s="25" t="n">
        <x:v>1</x:v>
      </x:c>
      <x:c r="G822" s="25" t="str">
        <x:v>从C0至当前检查点累计需求；未扣自身未来产出，不代表已有库存</x:v>
      </x:c>
    </x:row>
    <x:row r="823">
      <x:c r="A823" s="25" t="str">
        <x:v>C06-G</x:v>
      </x:c>
      <x:c r="B823" s="25" t="str">
        <x:v>盖利德</x:v>
      </x:c>
      <x:c r="C823" s="25" t="str">
        <x:v>半急速毕业</x:v>
      </x:c>
      <x:c r="D823" s="25" t="str">
        <x:v>材料</x:v>
      </x:c>
      <x:c r="E823" s="25" t="str">
        <x:v>猩红矿渣</x:v>
      </x:c>
      <x:c r="F823" s="25" t="n">
        <x:v>1737</x:v>
      </x:c>
      <x:c r="G823" s="25" t="str">
        <x:v>从C0至当前检查点累计需求；未扣自身未来产出，不代表已有库存</x:v>
      </x:c>
    </x:row>
    <x:row r="824">
      <x:c r="A824" s="25" t="str">
        <x:v>C06-G</x:v>
      </x:c>
      <x:c r="B824" s="25" t="str">
        <x:v>盖利德</x:v>
      </x:c>
      <x:c r="C824" s="25" t="str">
        <x:v>半急速毕业</x:v>
      </x:c>
      <x:c r="D824" s="25" t="str">
        <x:v>材料</x:v>
      </x:c>
      <x:c r="E824" s="25" t="str">
        <x:v>王城军印</x:v>
      </x:c>
      <x:c r="F824" s="25" t="n">
        <x:v>1</x:v>
      </x:c>
      <x:c r="G824" s="25" t="str">
        <x:v>从C0至当前检查点累计需求；未扣自身未来产出，不代表已有库存</x:v>
      </x:c>
    </x:row>
    <x:row r="825">
      <x:c r="A825" s="25" t="str">
        <x:v>C06-G</x:v>
      </x:c>
      <x:c r="B825" s="25" t="str">
        <x:v>盖利德</x:v>
      </x:c>
      <x:c r="C825" s="25" t="str">
        <x:v>半急速毕业</x:v>
      </x:c>
      <x:c r="D825" s="25" t="str">
        <x:v>材料</x:v>
      </x:c>
      <x:c r="E825" s="25" t="str">
        <x:v>看门犬石心</x:v>
      </x:c>
      <x:c r="F825" s="25" t="n">
        <x:v>2</x:v>
      </x:c>
      <x:c r="G825" s="25" t="str">
        <x:v>从C0至当前检查点累计需求；未扣自身未来产出，不代表已有库存</x:v>
      </x:c>
    </x:row>
    <x:row r="826">
      <x:c r="A826" s="25" t="str">
        <x:v>C06-G</x:v>
      </x:c>
      <x:c r="B826" s="25" t="str">
        <x:v>盖利德</x:v>
      </x:c>
      <x:c r="C826" s="25" t="str">
        <x:v>半急速毕业</x:v>
      </x:c>
      <x:c r="D826" s="25" t="str">
        <x:v>材料</x:v>
      </x:c>
      <x:c r="E826" s="25" t="str">
        <x:v>碎星仪仗钉</x:v>
      </x:c>
      <x:c r="F826" s="25" t="n">
        <x:v>2</x:v>
      </x:c>
      <x:c r="G826" s="25" t="str">
        <x:v>从C0至当前检查点累计需求；未扣自身未来产出，不代表已有库存</x:v>
      </x:c>
    </x:row>
    <x:row r="827">
      <x:c r="A827" s="25" t="str">
        <x:v>C06-G</x:v>
      </x:c>
      <x:c r="B827" s="25" t="str">
        <x:v>盖利德</x:v>
      </x:c>
      <x:c r="C827" s="25" t="str">
        <x:v>半急速毕业</x:v>
      </x:c>
      <x:c r="D827" s="25" t="str">
        <x:v>材料</x:v>
      </x:c>
      <x:c r="E827" s="25" t="str">
        <x:v>神秘符文</x:v>
      </x:c>
      <x:c r="F827" s="25" t="n">
        <x:v>400</x:v>
      </x:c>
      <x:c r="G827" s="25" t="str">
        <x:v>从C0至当前检查点累计需求；未扣自身未来产出，不代表已有库存</x:v>
      </x:c>
    </x:row>
    <x:row r="828">
      <x:c r="A828" s="25" t="str">
        <x:v>C06-G</x:v>
      </x:c>
      <x:c r="B828" s="25" t="str">
        <x:v>盖利德</x:v>
      </x:c>
      <x:c r="C828" s="25" t="str">
        <x:v>半急速毕业</x:v>
      </x:c>
      <x:c r="D828" s="25" t="str">
        <x:v>材料</x:v>
      </x:c>
      <x:c r="E828" s="25" t="str">
        <x:v>禁域星钥</x:v>
      </x:c>
      <x:c r="F828" s="25" t="n">
        <x:v>2</x:v>
      </x:c>
      <x:c r="G828" s="25" t="str">
        <x:v>从C0至当前检查点累计需求；未扣自身未来产出，不代表已有库存</x:v>
      </x:c>
    </x:row>
    <x:row r="829">
      <x:c r="A829" s="25" t="str">
        <x:v>C06-G</x:v>
      </x:c>
      <x:c r="B829" s="25" t="str">
        <x:v>盖利德</x:v>
      </x:c>
      <x:c r="C829" s="25" t="str">
        <x:v>半急速毕业</x:v>
      </x:c>
      <x:c r="D829" s="25" t="str">
        <x:v>材料</x:v>
      </x:c>
      <x:c r="E829" s="25" t="str">
        <x:v>红狮战印</x:v>
      </x:c>
      <x:c r="F829" s="25" t="n">
        <x:v>42</x:v>
      </x:c>
      <x:c r="G829" s="25" t="str">
        <x:v>从C0至当前检查点累计需求；未扣自身未来产出，不代表已有库存</x:v>
      </x:c>
    </x:row>
    <x:row r="830">
      <x:c r="A830" s="25" t="str">
        <x:v>C06-G</x:v>
      </x:c>
      <x:c r="B830" s="25" t="str">
        <x:v>盖利德</x:v>
      </x:c>
      <x:c r="C830" s="25" t="str">
        <x:v>半急速毕业</x:v>
      </x:c>
      <x:c r="D830" s="25" t="str">
        <x:v>材料</x:v>
      </x:c>
      <x:c r="E830" s="25" t="str">
        <x:v>腐根魂结</x:v>
      </x:c>
      <x:c r="F830" s="25" t="n">
        <x:v>2</x:v>
      </x:c>
      <x:c r="G830" s="25" t="str">
        <x:v>从C0至当前检查点累计需求；未扣自身未来产出，不代表已有库存</x:v>
      </x:c>
    </x:row>
    <x:row r="831">
      <x:c r="A831" s="25" t="str">
        <x:v>C06-G</x:v>
      </x:c>
      <x:c r="B831" s="25" t="str">
        <x:v>盖利德</x:v>
      </x:c>
      <x:c r="C831" s="25" t="str">
        <x:v>半急速毕业</x:v>
      </x:c>
      <x:c r="D831" s="25" t="str">
        <x:v>材料</x:v>
      </x:c>
      <x:c r="E831" s="25" t="str">
        <x:v>裂风崖羽</x:v>
      </x:c>
      <x:c r="F831" s="25" t="n">
        <x:v>80</x:v>
      </x:c>
      <x:c r="G831" s="25" t="str">
        <x:v>从C0至当前检查点累计需求；未扣自身未来产出，不代表已有库存</x:v>
      </x:c>
    </x:row>
    <x:row r="832">
      <x:c r="A832" s="25" t="str">
        <x:v>C06-G</x:v>
      </x:c>
      <x:c r="B832" s="25" t="str">
        <x:v>盖利德</x:v>
      </x:c>
      <x:c r="C832" s="25" t="str">
        <x:v>半急速毕业</x:v>
      </x:c>
      <x:c r="D832" s="25" t="str">
        <x:v>材料</x:v>
      </x:c>
      <x:c r="E832" s="25" t="str">
        <x:v>西境战旗</x:v>
      </x:c>
      <x:c r="F832" s="25" t="n">
        <x:v>20</x:v>
      </x:c>
      <x:c r="G832" s="25" t="str">
        <x:v>从C0至当前检查点累计需求；未扣自身未来产出，不代表已有库存</x:v>
      </x:c>
    </x:row>
    <x:row r="833">
      <x:c r="A833" s="25" t="str">
        <x:v>C06-G</x:v>
      </x:c>
      <x:c r="B833" s="25" t="str">
        <x:v>盖利德</x:v>
      </x:c>
      <x:c r="C833" s="25" t="str">
        <x:v>半急速毕业</x:v>
      </x:c>
      <x:c r="D833" s="25" t="str">
        <x:v>材料</x:v>
      </x:c>
      <x:c r="E833" s="25" t="str">
        <x:v>西境战旗印</x:v>
      </x:c>
      <x:c r="F833" s="25" t="n">
        <x:v>13</x:v>
      </x:c>
      <x:c r="G833" s="25" t="str">
        <x:v>从C0至当前检查点累计需求；未扣自身未来产出，不代表已有库存</x:v>
      </x:c>
    </x:row>
    <x:row r="834">
      <x:c r="A834" s="25" t="str">
        <x:v>C06-G</x:v>
      </x:c>
      <x:c r="B834" s="25" t="str">
        <x:v>盖利德</x:v>
      </x:c>
      <x:c r="C834" s="25" t="str">
        <x:v>半急速毕业</x:v>
      </x:c>
      <x:c r="D834" s="25" t="str">
        <x:v>材料</x:v>
      </x:c>
      <x:c r="E834" s="25" t="str">
        <x:v>西境风痕碑拓</x:v>
      </x:c>
      <x:c r="F834" s="25" t="n">
        <x:v>1</x:v>
      </x:c>
      <x:c r="G834" s="25" t="str">
        <x:v>从C0至当前检查点累计需求；未扣自身未来产出，不代表已有库存</x:v>
      </x:c>
    </x:row>
    <x:row r="835">
      <x:c r="A835" s="25" t="str">
        <x:v>C06-G</x:v>
      </x:c>
      <x:c r="B835" s="25" t="str">
        <x:v>盖利德</x:v>
      </x:c>
      <x:c r="C835" s="25" t="str">
        <x:v>半急速毕业</x:v>
      </x:c>
      <x:c r="D835" s="25" t="str">
        <x:v>材料</x:v>
      </x:c>
      <x:c r="E835" s="25" t="str">
        <x:v>贵胄断指</x:v>
      </x:c>
      <x:c r="F835" s="25" t="n">
        <x:v>1</x:v>
      </x:c>
      <x:c r="G835" s="25" t="str">
        <x:v>从C0至当前检查点累计需求；未扣自身未来产出，不代表已有库存</x:v>
      </x:c>
    </x:row>
    <x:row r="836">
      <x:c r="A836" s="25" t="str">
        <x:v>C06-G</x:v>
      </x:c>
      <x:c r="B836" s="25" t="str">
        <x:v>盖利德</x:v>
      </x:c>
      <x:c r="C836" s="25" t="str">
        <x:v>半急速毕业</x:v>
      </x:c>
      <x:c r="D836" s="25" t="str">
        <x:v>材料</x:v>
      </x:c>
      <x:c r="E836" s="25" t="str">
        <x:v>辉石碎晶</x:v>
      </x:c>
      <x:c r="F836" s="25" t="n">
        <x:v>1370</x:v>
      </x:c>
      <x:c r="G836" s="25" t="str">
        <x:v>从C0至当前检查点累计需求；未扣自身未来产出，不代表已有库存</x:v>
      </x:c>
    </x:row>
    <x:row r="837">
      <x:c r="A837" s="25" t="str">
        <x:v>C06-G</x:v>
      </x:c>
      <x:c r="B837" s="25" t="str">
        <x:v>盖利德</x:v>
      </x:c>
      <x:c r="C837" s="25" t="str">
        <x:v>半急速毕业</x:v>
      </x:c>
      <x:c r="D837" s="25" t="str">
        <x:v>材料</x:v>
      </x:c>
      <x:c r="E837" s="25" t="str">
        <x:v>野兽骨片</x:v>
      </x:c>
      <x:c r="F837" s="25" t="n">
        <x:v>26350</x:v>
      </x:c>
      <x:c r="G837" s="25" t="str">
        <x:v>从C0至当前检查点累计需求；未扣自身未来产出，不代表已有库存</x:v>
      </x:c>
    </x:row>
    <x:row r="838">
      <x:c r="A838" s="25" t="str">
        <x:v>C06-G</x:v>
      </x:c>
      <x:c r="B838" s="25" t="str">
        <x:v>盖利德</x:v>
      </x:c>
      <x:c r="C838" s="25" t="str">
        <x:v>半急速毕业</x:v>
      </x:c>
      <x:c r="D838" s="25" t="str">
        <x:v>材料</x:v>
      </x:c>
      <x:c r="E838" s="25" t="str">
        <x:v>雾潮银鳞</x:v>
      </x:c>
      <x:c r="F838" s="25" t="n">
        <x:v>272</x:v>
      </x:c>
      <x:c r="G838" s="25" t="str">
        <x:v>从C0至当前检查点累计需求；未扣自身未来产出，不代表已有库存</x:v>
      </x:c>
    </x:row>
    <x:row r="839">
      <x:c r="A839" s="25" t="str">
        <x:v>C06-G</x:v>
      </x:c>
      <x:c r="B839" s="25" t="str">
        <x:v>盖利德</x:v>
      </x:c>
      <x:c r="C839" s="25" t="str">
        <x:v>半急速毕业</x:v>
      </x:c>
      <x:c r="D839" s="25" t="str">
        <x:v>材料</x:v>
      </x:c>
      <x:c r="E839" s="25" t="str">
        <x:v>风暴王核</x:v>
      </x:c>
      <x:c r="F839" s="25" t="n">
        <x:v>1</x:v>
      </x:c>
      <x:c r="G839" s="25" t="str">
        <x:v>从C0至当前检查点累计需求；未扣自身未来产出，不代表已有库存</x:v>
      </x:c>
    </x:row>
    <x:row r="840">
      <x:c r="A840" s="25" t="str">
        <x:v>C06-G</x:v>
      </x:c>
      <x:c r="B840" s="25" t="str">
        <x:v>盖利德</x:v>
      </x:c>
      <x:c r="C840" s="25" t="str">
        <x:v>半急速毕业</x:v>
      </x:c>
      <x:c r="D840" s="25" t="str">
        <x:v>材料</x:v>
      </x:c>
      <x:c r="E840" s="25" t="str">
        <x:v>风暴石片</x:v>
      </x:c>
      <x:c r="F840" s="25" t="n">
        <x:v>370</x:v>
      </x:c>
      <x:c r="G840" s="25" t="str">
        <x:v>从C0至当前检查点累计需求；未扣自身未来产出，不代表已有库存</x:v>
      </x:c>
    </x:row>
    <x:row r="841">
      <x:c r="A841" s="25" t="str">
        <x:v>C06-G</x:v>
      </x:c>
      <x:c r="B841" s="25" t="str">
        <x:v>盖利德</x:v>
      </x:c>
      <x:c r="C841" s="25" t="str">
        <x:v>半急速毕业</x:v>
      </x:c>
      <x:c r="D841" s="25" t="str">
        <x:v>材料</x:v>
      </x:c>
      <x:c r="E841" s="25" t="str">
        <x:v>风蚀铁片</x:v>
      </x:c>
      <x:c r="F841" s="25" t="n">
        <x:v>710</x:v>
      </x:c>
      <x:c r="G841" s="25" t="str">
        <x:v>从C0至当前检查点累计需求；未扣自身未来产出，不代表已有库存</x:v>
      </x:c>
    </x:row>
    <x:row r="842">
      <x:c r="A842" s="25" t="str">
        <x:v>C06-G</x:v>
      </x:c>
      <x:c r="B842" s="25" t="str">
        <x:v>盖利德</x:v>
      </x:c>
      <x:c r="C842" s="25" t="str">
        <x:v>半急速毕业</x:v>
      </x:c>
      <x:c r="D842" s="25" t="str">
        <x:v>材料</x:v>
      </x:c>
      <x:c r="E842" s="25" t="str">
        <x:v>黄金树碎核</x:v>
      </x:c>
      <x:c r="F842" s="25" t="n">
        <x:v>2</x:v>
      </x:c>
      <x:c r="G842" s="25" t="str">
        <x:v>从C0至当前检查点累计需求；未扣自身未来产出，不代表已有库存</x:v>
      </x:c>
    </x:row>
    <x:row r="843">
      <x:c r="A843" s="25" t="str">
        <x:v>C06-G</x:v>
      </x:c>
      <x:c r="B843" s="25" t="str">
        <x:v>盖利德</x:v>
      </x:c>
      <x:c r="C843" s="25" t="str">
        <x:v>半急速毕业</x:v>
      </x:c>
      <x:c r="D843" s="25" t="str">
        <x:v>材料</x:v>
      </x:c>
      <x:c r="E843" s="25" t="str">
        <x:v>黄金树芽</x:v>
      </x:c>
      <x:c r="F843" s="25" t="n">
        <x:v>297</x:v>
      </x:c>
      <x:c r="G843" s="25" t="str">
        <x:v>从C0至当前检查点累计需求；未扣自身未来产出，不代表已有库存</x:v>
      </x:c>
    </x:row>
    <x:row r="844">
      <x:c r="A844" s="25" t="str">
        <x:v>C06-G</x:v>
      </x:c>
      <x:c r="B844" s="25" t="str">
        <x:v>盖利德</x:v>
      </x:c>
      <x:c r="C844" s="25" t="str">
        <x:v>半急速毕业</x:v>
      </x:c>
      <x:c r="D844" s="25" t="str">
        <x:v>材料</x:v>
      </x:c>
      <x:c r="E844" s="25" t="str">
        <x:v>黄金骑徽</x:v>
      </x:c>
      <x:c r="F844" s="25" t="n">
        <x:v>2</x:v>
      </x:c>
      <x:c r="G844" s="25" t="str">
        <x:v>从C0至当前检查点累计需求；未扣自身未来产出，不代表已有库存</x:v>
      </x:c>
    </x:row>
    <x:row r="845">
      <x:c r="A845" s="25" t="str">
        <x:v>C06-G</x:v>
      </x:c>
      <x:c r="B845" s="25" t="str">
        <x:v>盖利德</x:v>
      </x:c>
      <x:c r="C845" s="25" t="str">
        <x:v>半急速毕业</x:v>
      </x:c>
      <x:c r="D845" s="25" t="str">
        <x:v>材料</x:v>
      </x:c>
      <x:c r="E845" s="25" t="str">
        <x:v>龙火鳞</x:v>
      </x:c>
      <x:c r="F845" s="25" t="n">
        <x:v>38</x:v>
      </x:c>
      <x:c r="G845" s="25" t="str">
        <x:v>从C0至当前检查点累计需求；未扣自身未来产出，不代表已有库存</x:v>
      </x:c>
    </x:row>
    <x:row r="846">
      <x:c r="A846" s="25" t="str">
        <x:v>C06-G</x:v>
      </x:c>
      <x:c r="B846" s="25" t="str">
        <x:v>盖利德</x:v>
      </x:c>
      <x:c r="C846" s="25" t="str">
        <x:v>半急速毕业</x:v>
      </x:c>
      <x:c r="D846" s="25" t="str">
        <x:v>装备实物</x:v>
      </x:c>
      <x:c r="E846" s="25" t="str">
        <x:v>共326个精确名称（明细见JSON）</x:v>
      </x:c>
      <x:c r="F846" s="25" t="n">
        <x:v>431</x:v>
      </x:c>
      <x:c r="G846" s="25" t="str">
        <x:v>含穿戴、重复试洗、图鉴登记与合成前置；完整数据未省略</x:v>
      </x:c>
    </x:row>
    <x:row r="847">
      <x:c r="A847" s="25" t="str">
        <x:v>C06-X</x:v>
      </x:c>
      <x:c r="B847" s="25" t="str">
        <x:v>盖利德</x:v>
      </x:c>
      <x:c r="C847" s="25" t="str">
        <x:v>极端压力</x:v>
      </x:c>
      <x:c r="D847" s="25" t="str">
        <x:v>材料</x:v>
      </x:c>
      <x:c r="E847" s="25" t="str">
        <x:v>兽将脊骨</x:v>
      </x:c>
      <x:c r="F847" s="25" t="n">
        <x:v>1</x:v>
      </x:c>
      <x:c r="G847" s="25" t="str">
        <x:v>从C0至当前检查点累计需求；未扣自身未来产出，不代表已有库存</x:v>
      </x:c>
    </x:row>
    <x:row r="848">
      <x:c r="A848" s="25" t="str">
        <x:v>C06-X</x:v>
      </x:c>
      <x:c r="B848" s="25" t="str">
        <x:v>盖利德</x:v>
      </x:c>
      <x:c r="C848" s="25" t="str">
        <x:v>极端压力</x:v>
      </x:c>
      <x:c r="D848" s="25" t="str">
        <x:v>材料</x:v>
      </x:c>
      <x:c r="E848" s="25" t="str">
        <x:v>净火腺囊</x:v>
      </x:c>
      <x:c r="F848" s="25" t="n">
        <x:v>96</x:v>
      </x:c>
      <x:c r="G848" s="25" t="str">
        <x:v>从C0至当前检查点累计需求；未扣自身未来产出，不代表已有库存</x:v>
      </x:c>
    </x:row>
    <x:row r="849">
      <x:c r="A849" s="25" t="str">
        <x:v>C06-X</x:v>
      </x:c>
      <x:c r="B849" s="25" t="str">
        <x:v>盖利德</x:v>
      </x:c>
      <x:c r="C849" s="25" t="str">
        <x:v>极端压力</x:v>
      </x:c>
      <x:c r="D849" s="25" t="str">
        <x:v>材料</x:v>
      </x:c>
      <x:c r="E849" s="25" t="str">
        <x:v>卡利亚月露</x:v>
      </x:c>
      <x:c r="F849" s="25" t="n">
        <x:v>36</x:v>
      </x:c>
      <x:c r="G849" s="25" t="str">
        <x:v>从C0至当前检查点累计需求；未扣自身未来产出，不代表已有库存</x:v>
      </x:c>
    </x:row>
    <x:row r="850">
      <x:c r="A850" s="25" t="str">
        <x:v>C06-X</x:v>
      </x:c>
      <x:c r="B850" s="25" t="str">
        <x:v>盖利德</x:v>
      </x:c>
      <x:c r="C850" s="25" t="str">
        <x:v>极端压力</x:v>
      </x:c>
      <x:c r="D850" s="25" t="str">
        <x:v>材料</x:v>
      </x:c>
      <x:c r="E850" s="25" t="str">
        <x:v>哨垒旗冠</x:v>
      </x:c>
      <x:c r="F850" s="25" t="n">
        <x:v>3</x:v>
      </x:c>
      <x:c r="G850" s="25" t="str">
        <x:v>从C0至当前检查点累计需求；未扣自身未来产出，不代表已有库存</x:v>
      </x:c>
    </x:row>
    <x:row r="851">
      <x:c r="A851" s="25" t="str">
        <x:v>C06-X</x:v>
      </x:c>
      <x:c r="B851" s="25" t="str">
        <x:v>盖利德</x:v>
      </x:c>
      <x:c r="C851" s="25" t="str">
        <x:v>极端压力</x:v>
      </x:c>
      <x:c r="D851" s="25" t="str">
        <x:v>材料</x:v>
      </x:c>
      <x:c r="E851" s="25" t="str">
        <x:v>唤船骨铃</x:v>
      </x:c>
      <x:c r="F851" s="25" t="n">
        <x:v>1</x:v>
      </x:c>
      <x:c r="G851" s="25" t="str">
        <x:v>从C0至当前检查点累计需求；未扣自身未来产出，不代表已有库存</x:v>
      </x:c>
    </x:row>
    <x:row r="852">
      <x:c r="A852" s="25" t="str">
        <x:v>C06-X</x:v>
      </x:c>
      <x:c r="B852" s="25" t="str">
        <x:v>盖利德</x:v>
      </x:c>
      <x:c r="C852" s="25" t="str">
        <x:v>极端压力</x:v>
      </x:c>
      <x:c r="D852" s="25" t="str">
        <x:v>材料</x:v>
      </x:c>
      <x:c r="E852" s="25" t="str">
        <x:v>商队火漆</x:v>
      </x:c>
      <x:c r="F852" s="25" t="n">
        <x:v>20</x:v>
      </x:c>
      <x:c r="G852" s="25" t="str">
        <x:v>从C0至当前检查点累计需求；未扣自身未来产出，不代表已有库存</x:v>
      </x:c>
    </x:row>
    <x:row r="853">
      <x:c r="A853" s="25" t="str">
        <x:v>C06-X</x:v>
      </x:c>
      <x:c r="B853" s="25" t="str">
        <x:v>盖利德</x:v>
      </x:c>
      <x:c r="C853" s="25" t="str">
        <x:v>极端压力</x:v>
      </x:c>
      <x:c r="D853" s="25" t="str">
        <x:v>材料</x:v>
      </x:c>
      <x:c r="E853" s="25" t="str">
        <x:v>夜骑黑印</x:v>
      </x:c>
      <x:c r="F853" s="25" t="n">
        <x:v>1</x:v>
      </x:c>
      <x:c r="G853" s="25" t="str">
        <x:v>从C0至当前检查点累计需求；未扣自身未来产出，不代表已有库存</x:v>
      </x:c>
    </x:row>
    <x:row r="854">
      <x:c r="A854" s="25" t="str">
        <x:v>C06-X</x:v>
      </x:c>
      <x:c r="B854" s="25" t="str">
        <x:v>盖利德</x:v>
      </x:c>
      <x:c r="C854" s="25" t="str">
        <x:v>极端压力</x:v>
      </x:c>
      <x:c r="D854" s="25" t="str">
        <x:v>材料</x:v>
      </x:c>
      <x:c r="E854" s="25" t="str">
        <x:v>大卢恩</x:v>
      </x:c>
      <x:c r="F854" s="25" t="n">
        <x:v>350</x:v>
      </x:c>
      <x:c r="G854" s="25" t="str">
        <x:v>从C0至当前检查点累计需求；未扣自身未来产出，不代表已有库存</x:v>
      </x:c>
    </x:row>
    <x:row r="855">
      <x:c r="A855" s="25" t="str">
        <x:v>C06-X</x:v>
      </x:c>
      <x:c r="B855" s="25" t="str">
        <x:v>盖利德</x:v>
      </x:c>
      <x:c r="C855" s="25" t="str">
        <x:v>极端压力</x:v>
      </x:c>
      <x:c r="D855" s="25" t="str">
        <x:v>材料</x:v>
      </x:c>
      <x:c r="E855" s="25" t="str">
        <x:v>失乡军令</x:v>
      </x:c>
      <x:c r="F855" s="25" t="n">
        <x:v>2</x:v>
      </x:c>
      <x:c r="G855" s="25" t="str">
        <x:v>从C0至当前检查点累计需求；未扣自身未来产出，不代表已有库存</x:v>
      </x:c>
    </x:row>
    <x:row r="856">
      <x:c r="A856" s="25" t="str">
        <x:v>C06-X</x:v>
      </x:c>
      <x:c r="B856" s="25" t="str">
        <x:v>盖利德</x:v>
      </x:c>
      <x:c r="C856" s="25" t="str">
        <x:v>极端压力</x:v>
      </x:c>
      <x:c r="D856" s="25" t="str">
        <x:v>材料</x:v>
      </x:c>
      <x:c r="E856" s="25" t="str">
        <x:v>失乡统帅徽</x:v>
      </x:c>
      <x:c r="F856" s="25" t="n">
        <x:v>2</x:v>
      </x:c>
      <x:c r="G856" s="25" t="str">
        <x:v>从C0至当前检查点累计需求；未扣自身未来产出，不代表已有库存</x:v>
      </x:c>
    </x:row>
    <x:row r="857">
      <x:c r="A857" s="25" t="str">
        <x:v>C06-X</x:v>
      </x:c>
      <x:c r="B857" s="25" t="str">
        <x:v>盖利德</x:v>
      </x:c>
      <x:c r="C857" s="25" t="str">
        <x:v>极端压力</x:v>
      </x:c>
      <x:c r="D857" s="25" t="str">
        <x:v>材料</x:v>
      </x:c>
      <x:c r="E857" s="25" t="str">
        <x:v>失色锻造石</x:v>
      </x:c>
      <x:c r="F857" s="25" t="n">
        <x:v>36580</x:v>
      </x:c>
      <x:c r="G857" s="25" t="str">
        <x:v>从C0至当前检查点累计需求；未扣自身未来产出，不代表已有库存</x:v>
      </x:c>
    </x:row>
    <x:row r="858">
      <x:c r="A858" s="25" t="str">
        <x:v>C06-X</x:v>
      </x:c>
      <x:c r="B858" s="25" t="str">
        <x:v>盖利德</x:v>
      </x:c>
      <x:c r="C858" s="25" t="str">
        <x:v>极端压力</x:v>
      </x:c>
      <x:c r="D858" s="25" t="str">
        <x:v>材料</x:v>
      </x:c>
      <x:c r="E858" s="25" t="str">
        <x:v>学院封蜡</x:v>
      </x:c>
      <x:c r="F858" s="25" t="n">
        <x:v>24</x:v>
      </x:c>
      <x:c r="G858" s="25" t="str">
        <x:v>从C0至当前检查点累计需求；未扣自身未来产出，不代表已有库存</x:v>
      </x:c>
    </x:row>
    <x:row r="859">
      <x:c r="A859" s="25" t="str">
        <x:v>C06-X</x:v>
      </x:c>
      <x:c r="B859" s="25" t="str">
        <x:v>盖利德</x:v>
      </x:c>
      <x:c r="C859" s="25" t="str">
        <x:v>极端压力</x:v>
      </x:c>
      <x:c r="D859" s="25" t="str">
        <x:v>材料</x:v>
      </x:c>
      <x:c r="E859" s="25" t="str">
        <x:v>宁姆格福誓页</x:v>
      </x:c>
      <x:c r="F859" s="25" t="n">
        <x:v>90</x:v>
      </x:c>
      <x:c r="G859" s="25" t="str">
        <x:v>从C0至当前检查点累计需求；未扣自身未来产出，不代表已有库存</x:v>
      </x:c>
    </x:row>
    <x:row r="860">
      <x:c r="A860" s="25" t="str">
        <x:v>C06-X</x:v>
      </x:c>
      <x:c r="B860" s="25" t="str">
        <x:v>盖利德</x:v>
      </x:c>
      <x:c r="C860" s="25" t="str">
        <x:v>极端压力</x:v>
      </x:c>
      <x:c r="D860" s="25" t="str">
        <x:v>材料</x:v>
      </x:c>
      <x:c r="E860" s="25" t="str">
        <x:v>小卢恩</x:v>
      </x:c>
      <x:c r="F860" s="25" t="n">
        <x:v>250</x:v>
      </x:c>
      <x:c r="G860" s="25" t="str">
        <x:v>从C0至当前检查点累计需求；未扣自身未来产出，不代表已有库存</x:v>
      </x:c>
    </x:row>
    <x:row r="861">
      <x:c r="A861" s="25" t="str">
        <x:v>C06-X</x:v>
      </x:c>
      <x:c r="B861" s="25" t="str">
        <x:v>盖利德</x:v>
      </x:c>
      <x:c r="C861" s="25" t="str">
        <x:v>极端压力</x:v>
      </x:c>
      <x:c r="D861" s="25" t="str">
        <x:v>材料</x:v>
      </x:c>
      <x:c r="E861" s="25" t="str">
        <x:v>山妖王角</x:v>
      </x:c>
      <x:c r="F861" s="25" t="n">
        <x:v>2</x:v>
      </x:c>
      <x:c r="G861" s="25" t="str">
        <x:v>从C0至当前检查点累计需求；未扣自身未来产出，不代表已有库存</x:v>
      </x:c>
    </x:row>
    <x:row r="862">
      <x:c r="A862" s="25" t="str">
        <x:v>C06-X</x:v>
      </x:c>
      <x:c r="B862" s="25" t="str">
        <x:v>盖利德</x:v>
      </x:c>
      <x:c r="C862" s="25" t="str">
        <x:v>极端压力</x:v>
      </x:c>
      <x:c r="D862" s="25" t="str">
        <x:v>材料</x:v>
      </x:c>
      <x:c r="E862" s="25" t="str">
        <x:v>幽船铆钉</x:v>
      </x:c>
      <x:c r="F862" s="25" t="n">
        <x:v>21</x:v>
      </x:c>
      <x:c r="G862" s="25" t="str">
        <x:v>从C0至当前检查点累计需求；未扣自身未来产出，不代表已有库存</x:v>
      </x:c>
    </x:row>
    <x:row r="863">
      <x:c r="A863" s="25" t="str">
        <x:v>C06-X</x:v>
      </x:c>
      <x:c r="B863" s="25" t="str">
        <x:v>盖利德</x:v>
      </x:c>
      <x:c r="C863" s="25" t="str">
        <x:v>极端压力</x:v>
      </x:c>
      <x:c r="D863" s="25" t="str">
        <x:v>材料</x:v>
      </x:c>
      <x:c r="E863" s="25" t="str">
        <x:v>恶兆残角</x:v>
      </x:c>
      <x:c r="F863" s="25" t="n">
        <x:v>1</x:v>
      </x:c>
      <x:c r="G863" s="25" t="str">
        <x:v>从C0至当前检查点累计需求；未扣自身未来产出，不代表已有库存</x:v>
      </x:c>
    </x:row>
    <x:row r="864">
      <x:c r="A864" s="25" t="str">
        <x:v>C06-X</x:v>
      </x:c>
      <x:c r="B864" s="25" t="str">
        <x:v>盖利德</x:v>
      </x:c>
      <x:c r="C864" s="25" t="str">
        <x:v>极端压力</x:v>
      </x:c>
      <x:c r="D864" s="25" t="str">
        <x:v>材料</x:v>
      </x:c>
      <x:c r="E864" s="25" t="str">
        <x:v>技能残页</x:v>
      </x:c>
      <x:c r="F864" s="25" t="n">
        <x:v>1350</x:v>
      </x:c>
      <x:c r="G864" s="25" t="str">
        <x:v>从C0至当前检查点累计需求；未扣自身未来产出，不代表已有库存</x:v>
      </x:c>
    </x:row>
    <x:row r="865">
      <x:c r="A865" s="25" t="str">
        <x:v>C06-X</x:v>
      </x:c>
      <x:c r="B865" s="25" t="str">
        <x:v>盖利德</x:v>
      </x:c>
      <x:c r="C865" s="25" t="str">
        <x:v>极端压力</x:v>
      </x:c>
      <x:c r="D865" s="25" t="str">
        <x:v>材料</x:v>
      </x:c>
      <x:c r="E865" s="25" t="str">
        <x:v>接肢兽心</x:v>
      </x:c>
      <x:c r="F865" s="25" t="n">
        <x:v>2</x:v>
      </x:c>
      <x:c r="G865" s="25" t="str">
        <x:v>从C0至当前检查点累计需求；未扣自身未来产出，不代表已有库存</x:v>
      </x:c>
    </x:row>
    <x:row r="866">
      <x:c r="A866" s="25" t="str">
        <x:v>C06-X</x:v>
      </x:c>
      <x:c r="B866" s="25" t="str">
        <x:v>盖利德</x:v>
      </x:c>
      <x:c r="C866" s="25" t="str">
        <x:v>极端压力</x:v>
      </x:c>
      <x:c r="D866" s="25" t="str">
        <x:v>材料</x:v>
      </x:c>
      <x:c r="E866" s="25" t="str">
        <x:v>接肢王印</x:v>
      </x:c>
      <x:c r="F866" s="25" t="n">
        <x:v>13</x:v>
      </x:c>
      <x:c r="G866" s="25" t="str">
        <x:v>从C0至当前检查点累计需求；未扣自身未来产出，不代表已有库存</x:v>
      </x:c>
    </x:row>
    <x:row r="867">
      <x:c r="A867" s="25" t="str">
        <x:v>C06-X</x:v>
      </x:c>
      <x:c r="B867" s="25" t="str">
        <x:v>盖利德</x:v>
      </x:c>
      <x:c r="C867" s="25" t="str">
        <x:v>极端压力</x:v>
      </x:c>
      <x:c r="D867" s="25" t="str">
        <x:v>材料</x:v>
      </x:c>
      <x:c r="E867" s="25" t="str">
        <x:v>接肢王魂</x:v>
      </x:c>
      <x:c r="F867" s="25" t="n">
        <x:v>1</x:v>
      </x:c>
      <x:c r="G867" s="25" t="str">
        <x:v>从C0至当前检查点累计需求；未扣自身未来产出，不代表已有库存</x:v>
      </x:c>
    </x:row>
    <x:row r="868">
      <x:c r="A868" s="25" t="str">
        <x:v>C06-X</x:v>
      </x:c>
      <x:c r="B868" s="25" t="str">
        <x:v>盖利德</x:v>
      </x:c>
      <x:c r="C868" s="25" t="str">
        <x:v>极端压力</x:v>
      </x:c>
      <x:c r="D868" s="25" t="str">
        <x:v>材料</x:v>
      </x:c>
      <x:c r="E868" s="25" t="str">
        <x:v>月潮忆珀</x:v>
      </x:c>
      <x:c r="F868" s="25" t="n">
        <x:v>1</x:v>
      </x:c>
      <x:c r="G868" s="25" t="str">
        <x:v>从C0至当前检查点累计需求；未扣自身未来产出，不代表已有库存</x:v>
      </x:c>
    </x:row>
    <x:row r="869">
      <x:c r="A869" s="25" t="str">
        <x:v>C06-X</x:v>
      </x:c>
      <x:c r="B869" s="25" t="str">
        <x:v>盖利德</x:v>
      </x:c>
      <x:c r="C869" s="25" t="str">
        <x:v>极端压力</x:v>
      </x:c>
      <x:c r="D869" s="25" t="str">
        <x:v>材料</x:v>
      </x:c>
      <x:c r="E869" s="25" t="str">
        <x:v>月蚀镜片</x:v>
      </x:c>
      <x:c r="F869" s="25" t="n">
        <x:v>14</x:v>
      </x:c>
      <x:c r="G869" s="25" t="str">
        <x:v>从C0至当前检查点累计需求；未扣自身未来产出，不代表已有库存</x:v>
      </x:c>
    </x:row>
    <x:row r="870">
      <x:c r="A870" s="25" t="str">
        <x:v>C06-X</x:v>
      </x:c>
      <x:c r="B870" s="25" t="str">
        <x:v>盖利德</x:v>
      </x:c>
      <x:c r="C870" s="25" t="str">
        <x:v>极端压力</x:v>
      </x:c>
      <x:c r="D870" s="25" t="str">
        <x:v>材料</x:v>
      </x:c>
      <x:c r="E870" s="25" t="str">
        <x:v>树卫枪穗</x:v>
      </x:c>
      <x:c r="F870" s="25" t="n">
        <x:v>1</x:v>
      </x:c>
      <x:c r="G870" s="25" t="str">
        <x:v>从C0至当前检查点累计需求；未扣自身未来产出，不代表已有库存</x:v>
      </x:c>
    </x:row>
    <x:row r="871">
      <x:c r="A871" s="25" t="str">
        <x:v>C06-X</x:v>
      </x:c>
      <x:c r="B871" s="25" t="str">
        <x:v>盖利德</x:v>
      </x:c>
      <x:c r="C871" s="25" t="str">
        <x:v>极端压力</x:v>
      </x:c>
      <x:c r="D871" s="25" t="str">
        <x:v>材料</x:v>
      </x:c>
      <x:c r="E871" s="25" t="str">
        <x:v>死亡仪羽</x:v>
      </x:c>
      <x:c r="F871" s="25" t="n">
        <x:v>2</x:v>
      </x:c>
      <x:c r="G871" s="25" t="str">
        <x:v>从C0至当前检查点累计需求；未扣自身未来产出，不代表已有库存</x:v>
      </x:c>
    </x:row>
    <x:row r="872">
      <x:c r="A872" s="25" t="str">
        <x:v>C06-X</x:v>
      </x:c>
      <x:c r="B872" s="25" t="str">
        <x:v>盖利德</x:v>
      </x:c>
      <x:c r="C872" s="25" t="str">
        <x:v>极端压力</x:v>
      </x:c>
      <x:c r="D872" s="25" t="str">
        <x:v>材料</x:v>
      </x:c>
      <x:c r="E872" s="25" t="str">
        <x:v>沉湖王印</x:v>
      </x:c>
      <x:c r="F872" s="25" t="n">
        <x:v>25</x:v>
      </x:c>
      <x:c r="G872" s="25" t="str">
        <x:v>从C0至当前检查点累计需求；未扣自身未来产出，不代表已有库存</x:v>
      </x:c>
    </x:row>
    <x:row r="873">
      <x:c r="A873" s="25" t="str">
        <x:v>C06-X</x:v>
      </x:c>
      <x:c r="B873" s="25" t="str">
        <x:v>盖利德</x:v>
      </x:c>
      <x:c r="C873" s="25" t="str">
        <x:v>极端压力</x:v>
      </x:c>
      <x:c r="D873" s="25" t="str">
        <x:v>材料</x:v>
      </x:c>
      <x:c r="E873" s="25" t="str">
        <x:v>沉船缆扣</x:v>
      </x:c>
      <x:c r="F873" s="25" t="n">
        <x:v>12</x:v>
      </x:c>
      <x:c r="G873" s="25" t="str">
        <x:v>从C0至当前检查点累计需求；未扣自身未来产出，不代表已有库存</x:v>
      </x:c>
    </x:row>
    <x:row r="874">
      <x:c r="A874" s="25" t="str">
        <x:v>C06-X</x:v>
      </x:c>
      <x:c r="B874" s="25" t="str">
        <x:v>盖利德</x:v>
      </x:c>
      <x:c r="C874" s="25" t="str">
        <x:v>极端压力</x:v>
      </x:c>
      <x:c r="D874" s="25" t="str">
        <x:v>材料</x:v>
      </x:c>
      <x:c r="E874" s="25" t="str">
        <x:v>海蚀铁片</x:v>
      </x:c>
      <x:c r="F874" s="25" t="n">
        <x:v>160</x:v>
      </x:c>
      <x:c r="G874" s="25" t="str">
        <x:v>从C0至当前检查点累计需求；未扣自身未来产出，不代表已有库存</x:v>
      </x:c>
    </x:row>
    <x:row r="875">
      <x:c r="A875" s="25" t="str">
        <x:v>C06-X</x:v>
      </x:c>
      <x:c r="B875" s="25" t="str">
        <x:v>盖利德</x:v>
      </x:c>
      <x:c r="C875" s="25" t="str">
        <x:v>极端压力</x:v>
      </x:c>
      <x:c r="D875" s="25" t="str">
        <x:v>材料</x:v>
      </x:c>
      <x:c r="E875" s="25" t="str">
        <x:v>深湖压舱印</x:v>
      </x:c>
      <x:c r="F875" s="25" t="n">
        <x:v>6</x:v>
      </x:c>
      <x:c r="G875" s="25" t="str">
        <x:v>从C0至当前检查点累计需求；未扣自身未来产出，不代表已有库存</x:v>
      </x:c>
    </x:row>
    <x:row r="876">
      <x:c r="A876" s="25" t="str">
        <x:v>C06-X</x:v>
      </x:c>
      <x:c r="B876" s="25" t="str">
        <x:v>盖利德</x:v>
      </x:c>
      <x:c r="C876" s="25" t="str">
        <x:v>极端压力</x:v>
      </x:c>
      <x:c r="D876" s="25" t="str">
        <x:v>材料</x:v>
      </x:c>
      <x:c r="E876" s="25" t="str">
        <x:v>湖底封门珠</x:v>
      </x:c>
      <x:c r="F876" s="25" t="n">
        <x:v>8</x:v>
      </x:c>
      <x:c r="G876" s="25" t="str">
        <x:v>从C0至当前检查点累计需求；未扣自身未来产出，不代表已有库存</x:v>
      </x:c>
    </x:row>
    <x:row r="877">
      <x:c r="A877" s="25" t="str">
        <x:v>C06-X</x:v>
      </x:c>
      <x:c r="B877" s="25" t="str">
        <x:v>盖利德</x:v>
      </x:c>
      <x:c r="C877" s="25" t="str">
        <x:v>极端压力</x:v>
      </x:c>
      <x:c r="D877" s="25" t="str">
        <x:v>材料</x:v>
      </x:c>
      <x:c r="E877" s="25" t="str">
        <x:v>湖心月谱残章</x:v>
      </x:c>
      <x:c r="F877" s="25" t="n">
        <x:v>1</x:v>
      </x:c>
      <x:c r="G877" s="25" t="str">
        <x:v>从C0至当前检查点累计需求；未扣自身未来产出，不代表已有库存</x:v>
      </x:c>
    </x:row>
    <x:row r="878">
      <x:c r="A878" s="25" t="str">
        <x:v>C06-X</x:v>
      </x:c>
      <x:c r="B878" s="25" t="str">
        <x:v>盖利德</x:v>
      </x:c>
      <x:c r="C878" s="25" t="str">
        <x:v>极端压力</x:v>
      </x:c>
      <x:c r="D878" s="25" t="str">
        <x:v>材料</x:v>
      </x:c>
      <x:c r="E878" s="25" t="str">
        <x:v>湖盐结晶</x:v>
      </x:c>
      <x:c r="F878" s="25" t="n">
        <x:v>1957</x:v>
      </x:c>
      <x:c r="G878" s="25" t="str">
        <x:v>从C0至当前检查点累计需求；未扣自身未来产出，不代表已有库存</x:v>
      </x:c>
    </x:row>
    <x:row r="879">
      <x:c r="A879" s="25" t="str">
        <x:v>C06-X</x:v>
      </x:c>
      <x:c r="B879" s="25" t="str">
        <x:v>盖利德</x:v>
      </x:c>
      <x:c r="C879" s="25" t="str">
        <x:v>极端压力</x:v>
      </x:c>
      <x:c r="D879" s="25" t="str">
        <x:v>材料</x:v>
      </x:c>
      <x:c r="E879" s="25" t="str">
        <x:v>溃烂树核</x:v>
      </x:c>
      <x:c r="F879" s="25" t="n">
        <x:v>1</x:v>
      </x:c>
      <x:c r="G879" s="25" t="str">
        <x:v>从C0至当前检查点累计需求；未扣自身未来产出，不代表已有库存</x:v>
      </x:c>
    </x:row>
    <x:row r="880">
      <x:c r="A880" s="25" t="str">
        <x:v>C06-X</x:v>
      </x:c>
      <x:c r="B880" s="25" t="str">
        <x:v>盖利德</x:v>
      </x:c>
      <x:c r="C880" s="25" t="str">
        <x:v>极端压力</x:v>
      </x:c>
      <x:c r="D880" s="25" t="str">
        <x:v>材料</x:v>
      </x:c>
      <x:c r="E880" s="25" t="str">
        <x:v>满月王室印</x:v>
      </x:c>
      <x:c r="F880" s="25" t="n">
        <x:v>41</x:v>
      </x:c>
      <x:c r="G880" s="25" t="str">
        <x:v>从C0至当前检查点累计需求；未扣自身未来产出，不代表已有库存</x:v>
      </x:c>
    </x:row>
    <x:row r="881">
      <x:c r="A881" s="25" t="str">
        <x:v>C06-X</x:v>
      </x:c>
      <x:c r="B881" s="25" t="str">
        <x:v>盖利德</x:v>
      </x:c>
      <x:c r="C881" s="25" t="str">
        <x:v>极端压力</x:v>
      </x:c>
      <x:c r="D881" s="25" t="str">
        <x:v>材料</x:v>
      </x:c>
      <x:c r="E881" s="25" t="str">
        <x:v>漂流大陆印记</x:v>
      </x:c>
      <x:c r="F881" s="25" t="n">
        <x:v>11</x:v>
      </x:c>
      <x:c r="G881" s="25" t="str">
        <x:v>从C0至当前检查点累计需求；未扣自身未来产出，不代表已有库存</x:v>
      </x:c>
    </x:row>
    <x:row r="882">
      <x:c r="A882" s="25" t="str">
        <x:v>C06-X</x:v>
      </x:c>
      <x:c r="B882" s="25" t="str">
        <x:v>盖利德</x:v>
      </x:c>
      <x:c r="C882" s="25" t="str">
        <x:v>极端压力</x:v>
      </x:c>
      <x:c r="D882" s="25" t="str">
        <x:v>材料</x:v>
      </x:c>
      <x:c r="E882" s="25" t="str">
        <x:v>漂流见证·潮</x:v>
      </x:c>
      <x:c r="F882" s="25" t="n">
        <x:v>8</x:v>
      </x:c>
      <x:c r="G882" s="25" t="str">
        <x:v>从C0至当前检查点累计需求；未扣自身未来产出，不代表已有库存</x:v>
      </x:c>
    </x:row>
    <x:row r="883">
      <x:c r="A883" s="25" t="str">
        <x:v>C06-X</x:v>
      </x:c>
      <x:c r="B883" s="25" t="str">
        <x:v>盖利德</x:v>
      </x:c>
      <x:c r="C883" s="25" t="str">
        <x:v>极端压力</x:v>
      </x:c>
      <x:c r="D883" s="25" t="str">
        <x:v>材料</x:v>
      </x:c>
      <x:c r="E883" s="25" t="str">
        <x:v>漂流见证·雷</x:v>
      </x:c>
      <x:c r="F883" s="25" t="n">
        <x:v>8</x:v>
      </x:c>
      <x:c r="G883" s="25" t="str">
        <x:v>从C0至当前检查点累计需求；未扣自身未来产出，不代表已有库存</x:v>
      </x:c>
    </x:row>
    <x:row r="884">
      <x:c r="A884" s="25" t="str">
        <x:v>C06-X</x:v>
      </x:c>
      <x:c r="B884" s="25" t="str">
        <x:v>盖利德</x:v>
      </x:c>
      <x:c r="C884" s="25" t="str">
        <x:v>极端压力</x:v>
      </x:c>
      <x:c r="D884" s="25" t="str">
        <x:v>材料</x:v>
      </x:c>
      <x:c r="E884" s="25" t="str">
        <x:v>潮痕结晶</x:v>
      </x:c>
      <x:c r="F884" s="25" t="n">
        <x:v>16</x:v>
      </x:c>
      <x:c r="G884" s="25" t="str">
        <x:v>从C0至当前检查点累计需求；未扣自身未来产出，不代表已有库存</x:v>
      </x:c>
    </x:row>
    <x:row r="885">
      <x:c r="A885" s="25" t="str">
        <x:v>C06-X</x:v>
      </x:c>
      <x:c r="B885" s="25" t="str">
        <x:v>盖利德</x:v>
      </x:c>
      <x:c r="C885" s="25" t="str">
        <x:v>极端压力</x:v>
      </x:c>
      <x:c r="D885" s="25" t="str">
        <x:v>材料</x:v>
      </x:c>
      <x:c r="E885" s="25" t="str">
        <x:v>熊王心脏</x:v>
      </x:c>
      <x:c r="F885" s="25" t="n">
        <x:v>2</x:v>
      </x:c>
      <x:c r="G885" s="25" t="str">
        <x:v>从C0至当前检查点累计需求；未扣自身未来产出，不代表已有库存</x:v>
      </x:c>
    </x:row>
    <x:row r="886">
      <x:c r="A886" s="25" t="str">
        <x:v>C06-X</x:v>
      </x:c>
      <x:c r="B886" s="25" t="str">
        <x:v>盖利德</x:v>
      </x:c>
      <x:c r="C886" s="25" t="str">
        <x:v>极端压力</x:v>
      </x:c>
      <x:c r="D886" s="25" t="str">
        <x:v>材料</x:v>
      </x:c>
      <x:c r="E886" s="25" t="str">
        <x:v>熔原罪火残章</x:v>
      </x:c>
      <x:c r="F886" s="25" t="n">
        <x:v>1</x:v>
      </x:c>
      <x:c r="G886" s="25" t="str">
        <x:v>从C0至当前检查点累计需求；未扣自身未来产出，不代表已有库存</x:v>
      </x:c>
    </x:row>
    <x:row r="887">
      <x:c r="A887" s="25" t="str">
        <x:v>C06-X</x:v>
      </x:c>
      <x:c r="B887" s="25" t="str">
        <x:v>盖利德</x:v>
      </x:c>
      <x:c r="C887" s="25" t="str">
        <x:v>极端压力</x:v>
      </x:c>
      <x:c r="D887" s="25" t="str">
        <x:v>材料</x:v>
      </x:c>
      <x:c r="E887" s="25" t="str">
        <x:v>熔炉角片</x:v>
      </x:c>
      <x:c r="F887" s="25" t="n">
        <x:v>1</x:v>
      </x:c>
      <x:c r="G887" s="25" t="str">
        <x:v>从C0至当前检查点累计需求；未扣自身未来产出，不代表已有库存</x:v>
      </x:c>
    </x:row>
    <x:row r="888">
      <x:c r="A888" s="25" t="str">
        <x:v>C06-X</x:v>
      </x:c>
      <x:c r="B888" s="25" t="str">
        <x:v>盖利德</x:v>
      </x:c>
      <x:c r="C888" s="25" t="str">
        <x:v>极端压力</x:v>
      </x:c>
      <x:c r="D888" s="25" t="str">
        <x:v>材料</x:v>
      </x:c>
      <x:c r="E888" s="25" t="str">
        <x:v>猩红矿渣</x:v>
      </x:c>
      <x:c r="F888" s="25" t="n">
        <x:v>3417</x:v>
      </x:c>
      <x:c r="G888" s="25" t="str">
        <x:v>从C0至当前检查点累计需求；未扣自身未来产出，不代表已有库存</x:v>
      </x:c>
    </x:row>
    <x:row r="889">
      <x:c r="A889" s="25" t="str">
        <x:v>C06-X</x:v>
      </x:c>
      <x:c r="B889" s="25" t="str">
        <x:v>盖利德</x:v>
      </x:c>
      <x:c r="C889" s="25" t="str">
        <x:v>极端压力</x:v>
      </x:c>
      <x:c r="D889" s="25" t="str">
        <x:v>材料</x:v>
      </x:c>
      <x:c r="E889" s="25" t="str">
        <x:v>王城军印</x:v>
      </x:c>
      <x:c r="F889" s="25" t="n">
        <x:v>1</x:v>
      </x:c>
      <x:c r="G889" s="25" t="str">
        <x:v>从C0至当前检查点累计需求；未扣自身未来产出，不代表已有库存</x:v>
      </x:c>
    </x:row>
    <x:row r="890">
      <x:c r="A890" s="25" t="str">
        <x:v>C06-X</x:v>
      </x:c>
      <x:c r="B890" s="25" t="str">
        <x:v>盖利德</x:v>
      </x:c>
      <x:c r="C890" s="25" t="str">
        <x:v>极端压力</x:v>
      </x:c>
      <x:c r="D890" s="25" t="str">
        <x:v>材料</x:v>
      </x:c>
      <x:c r="E890" s="25" t="str">
        <x:v>看门犬石心</x:v>
      </x:c>
      <x:c r="F890" s="25" t="n">
        <x:v>2</x:v>
      </x:c>
      <x:c r="G890" s="25" t="str">
        <x:v>从C0至当前检查点累计需求；未扣自身未来产出，不代表已有库存</x:v>
      </x:c>
    </x:row>
    <x:row r="891">
      <x:c r="A891" s="25" t="str">
        <x:v>C06-X</x:v>
      </x:c>
      <x:c r="B891" s="25" t="str">
        <x:v>盖利德</x:v>
      </x:c>
      <x:c r="C891" s="25" t="str">
        <x:v>极端压力</x:v>
      </x:c>
      <x:c r="D891" s="25" t="str">
        <x:v>材料</x:v>
      </x:c>
      <x:c r="E891" s="25" t="str">
        <x:v>碎星仪仗钉</x:v>
      </x:c>
      <x:c r="F891" s="25" t="n">
        <x:v>2</x:v>
      </x:c>
      <x:c r="G891" s="25" t="str">
        <x:v>从C0至当前检查点累计需求；未扣自身未来产出，不代表已有库存</x:v>
      </x:c>
    </x:row>
    <x:row r="892">
      <x:c r="A892" s="25" t="str">
        <x:v>C06-X</x:v>
      </x:c>
      <x:c r="B892" s="25" t="str">
        <x:v>盖利德</x:v>
      </x:c>
      <x:c r="C892" s="25" t="str">
        <x:v>极端压力</x:v>
      </x:c>
      <x:c r="D892" s="25" t="str">
        <x:v>材料</x:v>
      </x:c>
      <x:c r="E892" s="25" t="str">
        <x:v>神秘符文</x:v>
      </x:c>
      <x:c r="F892" s="25" t="n">
        <x:v>400</x:v>
      </x:c>
      <x:c r="G892" s="25" t="str">
        <x:v>从C0至当前检查点累计需求；未扣自身未来产出，不代表已有库存</x:v>
      </x:c>
    </x:row>
    <x:row r="893">
      <x:c r="A893" s="25" t="str">
        <x:v>C06-X</x:v>
      </x:c>
      <x:c r="B893" s="25" t="str">
        <x:v>盖利德</x:v>
      </x:c>
      <x:c r="C893" s="25" t="str">
        <x:v>极端压力</x:v>
      </x:c>
      <x:c r="D893" s="25" t="str">
        <x:v>材料</x:v>
      </x:c>
      <x:c r="E893" s="25" t="str">
        <x:v>禁域星钥</x:v>
      </x:c>
      <x:c r="F893" s="25" t="n">
        <x:v>4</x:v>
      </x:c>
      <x:c r="G893" s="25" t="str">
        <x:v>从C0至当前检查点累计需求；未扣自身未来产出，不代表已有库存</x:v>
      </x:c>
    </x:row>
    <x:row r="894">
      <x:c r="A894" s="25" t="str">
        <x:v>C06-X</x:v>
      </x:c>
      <x:c r="B894" s="25" t="str">
        <x:v>盖利德</x:v>
      </x:c>
      <x:c r="C894" s="25" t="str">
        <x:v>极端压力</x:v>
      </x:c>
      <x:c r="D894" s="25" t="str">
        <x:v>材料</x:v>
      </x:c>
      <x:c r="E894" s="25" t="str">
        <x:v>红狮战印</x:v>
      </x:c>
      <x:c r="F894" s="25" t="n">
        <x:v>66</x:v>
      </x:c>
      <x:c r="G894" s="25" t="str">
        <x:v>从C0至当前检查点累计需求；未扣自身未来产出，不代表已有库存</x:v>
      </x:c>
    </x:row>
    <x:row r="895">
      <x:c r="A895" s="25" t="str">
        <x:v>C06-X</x:v>
      </x:c>
      <x:c r="B895" s="25" t="str">
        <x:v>盖利德</x:v>
      </x:c>
      <x:c r="C895" s="25" t="str">
        <x:v>极端压力</x:v>
      </x:c>
      <x:c r="D895" s="25" t="str">
        <x:v>材料</x:v>
      </x:c>
      <x:c r="E895" s="25" t="str">
        <x:v>红狮断箭</x:v>
      </x:c>
      <x:c r="F895" s="25" t="n">
        <x:v>180</x:v>
      </x:c>
      <x:c r="G895" s="25" t="str">
        <x:v>从C0至当前检查点累计需求；未扣自身未来产出，不代表已有库存</x:v>
      </x:c>
    </x:row>
    <x:row r="896">
      <x:c r="A896" s="25" t="str">
        <x:v>C06-X</x:v>
      </x:c>
      <x:c r="B896" s="25" t="str">
        <x:v>盖利德</x:v>
      </x:c>
      <x:c r="C896" s="25" t="str">
        <x:v>极端压力</x:v>
      </x:c>
      <x:c r="D896" s="25" t="str">
        <x:v>材料</x:v>
      </x:c>
      <x:c r="E896" s="25" t="str">
        <x:v>腐根魂结</x:v>
      </x:c>
      <x:c r="F896" s="25" t="n">
        <x:v>2</x:v>
      </x:c>
      <x:c r="G896" s="25" t="str">
        <x:v>从C0至当前检查点累计需求；未扣自身未来产出，不代表已有库存</x:v>
      </x:c>
    </x:row>
    <x:row r="897">
      <x:c r="A897" s="25" t="str">
        <x:v>C06-X</x:v>
      </x:c>
      <x:c r="B897" s="25" t="str">
        <x:v>盖利德</x:v>
      </x:c>
      <x:c r="C897" s="25" t="str">
        <x:v>极端压力</x:v>
      </x:c>
      <x:c r="D897" s="25" t="str">
        <x:v>材料</x:v>
      </x:c>
      <x:c r="E897" s="25" t="str">
        <x:v>裂风崖羽</x:v>
      </x:c>
      <x:c r="F897" s="25" t="n">
        <x:v>80</x:v>
      </x:c>
      <x:c r="G897" s="25" t="str">
        <x:v>从C0至当前检查点累计需求；未扣自身未来产出，不代表已有库存</x:v>
      </x:c>
    </x:row>
    <x:row r="898">
      <x:c r="A898" s="25" t="str">
        <x:v>C06-X</x:v>
      </x:c>
      <x:c r="B898" s="25" t="str">
        <x:v>盖利德</x:v>
      </x:c>
      <x:c r="C898" s="25" t="str">
        <x:v>极端压力</x:v>
      </x:c>
      <x:c r="D898" s="25" t="str">
        <x:v>材料</x:v>
      </x:c>
      <x:c r="E898" s="25" t="str">
        <x:v>西境战旗</x:v>
      </x:c>
      <x:c r="F898" s="25" t="n">
        <x:v>20</x:v>
      </x:c>
      <x:c r="G898" s="25" t="str">
        <x:v>从C0至当前检查点累计需求；未扣自身未来产出，不代表已有库存</x:v>
      </x:c>
    </x:row>
    <x:row r="899">
      <x:c r="A899" s="25" t="str">
        <x:v>C06-X</x:v>
      </x:c>
      <x:c r="B899" s="25" t="str">
        <x:v>盖利德</x:v>
      </x:c>
      <x:c r="C899" s="25" t="str">
        <x:v>极端压力</x:v>
      </x:c>
      <x:c r="D899" s="25" t="str">
        <x:v>材料</x:v>
      </x:c>
      <x:c r="E899" s="25" t="str">
        <x:v>西境战旗印</x:v>
      </x:c>
      <x:c r="F899" s="25" t="n">
        <x:v>13</x:v>
      </x:c>
      <x:c r="G899" s="25" t="str">
        <x:v>从C0至当前检查点累计需求；未扣自身未来产出，不代表已有库存</x:v>
      </x:c>
    </x:row>
    <x:row r="900">
      <x:c r="A900" s="25" t="str">
        <x:v>C06-X</x:v>
      </x:c>
      <x:c r="B900" s="25" t="str">
        <x:v>盖利德</x:v>
      </x:c>
      <x:c r="C900" s="25" t="str">
        <x:v>极端压力</x:v>
      </x:c>
      <x:c r="D900" s="25" t="str">
        <x:v>材料</x:v>
      </x:c>
      <x:c r="E900" s="25" t="str">
        <x:v>西境风痕碑拓</x:v>
      </x:c>
      <x:c r="F900" s="25" t="n">
        <x:v>1</x:v>
      </x:c>
      <x:c r="G900" s="25" t="str">
        <x:v>从C0至当前检查点累计需求；未扣自身未来产出，不代表已有库存</x:v>
      </x:c>
    </x:row>
    <x:row r="901">
      <x:c r="A901" s="25" t="str">
        <x:v>C06-X</x:v>
      </x:c>
      <x:c r="B901" s="25" t="str">
        <x:v>盖利德</x:v>
      </x:c>
      <x:c r="C901" s="25" t="str">
        <x:v>极端压力</x:v>
      </x:c>
      <x:c r="D901" s="25" t="str">
        <x:v>材料</x:v>
      </x:c>
      <x:c r="E901" s="25" t="str">
        <x:v>贵胄断指</x:v>
      </x:c>
      <x:c r="F901" s="25" t="n">
        <x:v>1</x:v>
      </x:c>
      <x:c r="G901" s="25" t="str">
        <x:v>从C0至当前检查点累计需求；未扣自身未来产出，不代表已有库存</x:v>
      </x:c>
    </x:row>
    <x:row r="902">
      <x:c r="A902" s="25" t="str">
        <x:v>C06-X</x:v>
      </x:c>
      <x:c r="B902" s="25" t="str">
        <x:v>盖利德</x:v>
      </x:c>
      <x:c r="C902" s="25" t="str">
        <x:v>极端压力</x:v>
      </x:c>
      <x:c r="D902" s="25" t="str">
        <x:v>材料</x:v>
      </x:c>
      <x:c r="E902" s="25" t="str">
        <x:v>辉石碎晶</x:v>
      </x:c>
      <x:c r="F902" s="25" t="n">
        <x:v>1790</x:v>
      </x:c>
      <x:c r="G902" s="25" t="str">
        <x:v>从C0至当前检查点累计需求；未扣自身未来产出，不代表已有库存</x:v>
      </x:c>
    </x:row>
    <x:row r="903">
      <x:c r="A903" s="25" t="str">
        <x:v>C06-X</x:v>
      </x:c>
      <x:c r="B903" s="25" t="str">
        <x:v>盖利德</x:v>
      </x:c>
      <x:c r="C903" s="25" t="str">
        <x:v>极端压力</x:v>
      </x:c>
      <x:c r="D903" s="25" t="str">
        <x:v>材料</x:v>
      </x:c>
      <x:c r="E903" s="25" t="str">
        <x:v>野兽骨片</x:v>
      </x:c>
      <x:c r="F903" s="25" t="n">
        <x:v>26350</x:v>
      </x:c>
      <x:c r="G903" s="25" t="str">
        <x:v>从C0至当前检查点累计需求；未扣自身未来产出，不代表已有库存</x:v>
      </x:c>
    </x:row>
    <x:row r="904">
      <x:c r="A904" s="25" t="str">
        <x:v>C06-X</x:v>
      </x:c>
      <x:c r="B904" s="25" t="str">
        <x:v>盖利德</x:v>
      </x:c>
      <x:c r="C904" s="25" t="str">
        <x:v>极端压力</x:v>
      </x:c>
      <x:c r="D904" s="25" t="str">
        <x:v>材料</x:v>
      </x:c>
      <x:c r="E904" s="25" t="str">
        <x:v>雾月星砂</x:v>
      </x:c>
      <x:c r="F904" s="25" t="n">
        <x:v>90</x:v>
      </x:c>
      <x:c r="G904" s="25" t="str">
        <x:v>从C0至当前检查点累计需求；未扣自身未来产出，不代表已有库存</x:v>
      </x:c>
    </x:row>
    <x:row r="905">
      <x:c r="A905" s="25" t="str">
        <x:v>C06-X</x:v>
      </x:c>
      <x:c r="B905" s="25" t="str">
        <x:v>盖利德</x:v>
      </x:c>
      <x:c r="C905" s="25" t="str">
        <x:v>极端压力</x:v>
      </x:c>
      <x:c r="D905" s="25" t="str">
        <x:v>材料</x:v>
      </x:c>
      <x:c r="E905" s="25" t="str">
        <x:v>雾潮银鳞</x:v>
      </x:c>
      <x:c r="F905" s="25" t="n">
        <x:v>272</x:v>
      </x:c>
      <x:c r="G905" s="25" t="str">
        <x:v>从C0至当前检查点累计需求；未扣自身未来产出，不代表已有库存</x:v>
      </x:c>
    </x:row>
    <x:row r="906">
      <x:c r="A906" s="25" t="str">
        <x:v>C06-X</x:v>
      </x:c>
      <x:c r="B906" s="25" t="str">
        <x:v>盖利德</x:v>
      </x:c>
      <x:c r="C906" s="25" t="str">
        <x:v>极端压力</x:v>
      </x:c>
      <x:c r="D906" s="25" t="str">
        <x:v>材料</x:v>
      </x:c>
      <x:c r="E906" s="25" t="str">
        <x:v>风暴王核</x:v>
      </x:c>
      <x:c r="F906" s="25" t="n">
        <x:v>1</x:v>
      </x:c>
      <x:c r="G906" s="25" t="str">
        <x:v>从C0至当前检查点累计需求；未扣自身未来产出，不代表已有库存</x:v>
      </x:c>
    </x:row>
    <x:row r="907">
      <x:c r="A907" s="25" t="str">
        <x:v>C06-X</x:v>
      </x:c>
      <x:c r="B907" s="25" t="str">
        <x:v>盖利德</x:v>
      </x:c>
      <x:c r="C907" s="25" t="str">
        <x:v>极端压力</x:v>
      </x:c>
      <x:c r="D907" s="25" t="str">
        <x:v>材料</x:v>
      </x:c>
      <x:c r="E907" s="25" t="str">
        <x:v>风暴石片</x:v>
      </x:c>
      <x:c r="F907" s="25" t="n">
        <x:v>370</x:v>
      </x:c>
      <x:c r="G907" s="25" t="str">
        <x:v>从C0至当前检查点累计需求；未扣自身未来产出，不代表已有库存</x:v>
      </x:c>
    </x:row>
    <x:row r="908">
      <x:c r="A908" s="25" t="str">
        <x:v>C06-X</x:v>
      </x:c>
      <x:c r="B908" s="25" t="str">
        <x:v>盖利德</x:v>
      </x:c>
      <x:c r="C908" s="25" t="str">
        <x:v>极端压力</x:v>
      </x:c>
      <x:c r="D908" s="25" t="str">
        <x:v>材料</x:v>
      </x:c>
      <x:c r="E908" s="25" t="str">
        <x:v>风蚀铁片</x:v>
      </x:c>
      <x:c r="F908" s="25" t="n">
        <x:v>710</x:v>
      </x:c>
      <x:c r="G908" s="25" t="str">
        <x:v>从C0至当前检查点累计需求；未扣自身未来产出，不代表已有库存</x:v>
      </x:c>
    </x:row>
    <x:row r="909">
      <x:c r="A909" s="25" t="str">
        <x:v>C06-X</x:v>
      </x:c>
      <x:c r="B909" s="25" t="str">
        <x:v>盖利德</x:v>
      </x:c>
      <x:c r="C909" s="25" t="str">
        <x:v>极端压力</x:v>
      </x:c>
      <x:c r="D909" s="25" t="str">
        <x:v>材料</x:v>
      </x:c>
      <x:c r="E909" s="25" t="str">
        <x:v>黄金树碎核</x:v>
      </x:c>
      <x:c r="F909" s="25" t="n">
        <x:v>2</x:v>
      </x:c>
      <x:c r="G909" s="25" t="str">
        <x:v>从C0至当前检查点累计需求；未扣自身未来产出，不代表已有库存</x:v>
      </x:c>
    </x:row>
    <x:row r="910">
      <x:c r="A910" s="25" t="str">
        <x:v>C06-X</x:v>
      </x:c>
      <x:c r="B910" s="25" t="str">
        <x:v>盖利德</x:v>
      </x:c>
      <x:c r="C910" s="25" t="str">
        <x:v>极端压力</x:v>
      </x:c>
      <x:c r="D910" s="25" t="str">
        <x:v>材料</x:v>
      </x:c>
      <x:c r="E910" s="25" t="str">
        <x:v>黄金树芽</x:v>
      </x:c>
      <x:c r="F910" s="25" t="n">
        <x:v>297</x:v>
      </x:c>
      <x:c r="G910" s="25" t="str">
        <x:v>从C0至当前检查点累计需求；未扣自身未来产出，不代表已有库存</x:v>
      </x:c>
    </x:row>
    <x:row r="911">
      <x:c r="A911" s="25" t="str">
        <x:v>C06-X</x:v>
      </x:c>
      <x:c r="B911" s="25" t="str">
        <x:v>盖利德</x:v>
      </x:c>
      <x:c r="C911" s="25" t="str">
        <x:v>极端压力</x:v>
      </x:c>
      <x:c r="D911" s="25" t="str">
        <x:v>材料</x:v>
      </x:c>
      <x:c r="E911" s="25" t="str">
        <x:v>黄金骑徽</x:v>
      </x:c>
      <x:c r="F911" s="25" t="n">
        <x:v>2</x:v>
      </x:c>
      <x:c r="G911" s="25" t="str">
        <x:v>从C0至当前检查点累计需求；未扣自身未来产出，不代表已有库存</x:v>
      </x:c>
    </x:row>
    <x:row r="912">
      <x:c r="A912" s="25" t="str">
        <x:v>C06-X</x:v>
      </x:c>
      <x:c r="B912" s="25" t="str">
        <x:v>盖利德</x:v>
      </x:c>
      <x:c r="C912" s="25" t="str">
        <x:v>极端压力</x:v>
      </x:c>
      <x:c r="D912" s="25" t="str">
        <x:v>材料</x:v>
      </x:c>
      <x:c r="E912" s="25" t="str">
        <x:v>龙火鳞</x:v>
      </x:c>
      <x:c r="F912" s="25" t="n">
        <x:v>38</x:v>
      </x:c>
      <x:c r="G912" s="25" t="str">
        <x:v>从C0至当前检查点累计需求；未扣自身未来产出，不代表已有库存</x:v>
      </x:c>
    </x:row>
    <x:row r="913">
      <x:c r="A913" s="25" t="str">
        <x:v>C06-X</x:v>
      </x:c>
      <x:c r="B913" s="25" t="str">
        <x:v>盖利德</x:v>
      </x:c>
      <x:c r="C913" s="25" t="str">
        <x:v>极端压力</x:v>
      </x:c>
      <x:c r="D913" s="25" t="str">
        <x:v>材料</x:v>
      </x:c>
      <x:c r="E913" s="25" t="str">
        <x:v>龙窟熔牙</x:v>
      </x:c>
      <x:c r="F913" s="25" t="n">
        <x:v>16</x:v>
      </x:c>
      <x:c r="G913" s="25" t="str">
        <x:v>从C0至当前检查点累计需求；未扣自身未来产出，不代表已有库存</x:v>
      </x:c>
    </x:row>
    <x:row r="914">
      <x:c r="A914" s="25" t="str">
        <x:v>C06-X</x:v>
      </x:c>
      <x:c r="B914" s="25" t="str">
        <x:v>盖利德</x:v>
      </x:c>
      <x:c r="C914" s="25" t="str">
        <x:v>极端压力</x:v>
      </x:c>
      <x:c r="D914" s="25" t="str">
        <x:v>装备实物</x:v>
      </x:c>
      <x:c r="E914" s="25" t="str">
        <x:v>共385个精确名称（明细见JSON）</x:v>
      </x:c>
      <x:c r="F914" s="25" t="n">
        <x:v>547</x:v>
      </x:c>
      <x:c r="G914" s="25" t="str">
        <x:v>含穿戴、重复试洗、图鉴登记与合成前置；完整数据未省略</x:v>
      </x:c>
    </x:row>
    <x:row r="915">
      <x:c r="A915" s="25" t="str">
        <x:v>C07-E</x:v>
      </x:c>
      <x:c r="B915" s="25" t="str">
        <x:v>化圣雪原</x:v>
      </x:c>
      <x:c r="C915" s="25" t="str">
        <x:v>半急速入场</x:v>
      </x:c>
      <x:c r="D915" s="25" t="str">
        <x:v>材料</x:v>
      </x:c>
      <x:c r="E915" s="25" t="str">
        <x:v>兽将脊骨</x:v>
      </x:c>
      <x:c r="F915" s="25" t="n">
        <x:v>1</x:v>
      </x:c>
      <x:c r="G915" s="25" t="str">
        <x:v>从C0至当前检查点累计需求；未扣自身未来产出，不代表已有库存</x:v>
      </x:c>
    </x:row>
    <x:row r="916">
      <x:c r="A916" s="25" t="str">
        <x:v>C07-E</x:v>
      </x:c>
      <x:c r="B916" s="25" t="str">
        <x:v>化圣雪原</x:v>
      </x:c>
      <x:c r="C916" s="25" t="str">
        <x:v>半急速入场</x:v>
      </x:c>
      <x:c r="D916" s="25" t="str">
        <x:v>材料</x:v>
      </x:c>
      <x:c r="E916" s="25" t="str">
        <x:v>净火腺囊</x:v>
      </x:c>
      <x:c r="F916" s="25" t="n">
        <x:v>44</x:v>
      </x:c>
      <x:c r="G916" s="25" t="str">
        <x:v>从C0至当前检查点累计需求；未扣自身未来产出，不代表已有库存</x:v>
      </x:c>
    </x:row>
    <x:row r="917">
      <x:c r="A917" s="25" t="str">
        <x:v>C07-E</x:v>
      </x:c>
      <x:c r="B917" s="25" t="str">
        <x:v>化圣雪原</x:v>
      </x:c>
      <x:c r="C917" s="25" t="str">
        <x:v>半急速入场</x:v>
      </x:c>
      <x:c r="D917" s="25" t="str">
        <x:v>材料</x:v>
      </x:c>
      <x:c r="E917" s="25" t="str">
        <x:v>卡利亚月露</x:v>
      </x:c>
      <x:c r="F917" s="25" t="n">
        <x:v>36</x:v>
      </x:c>
      <x:c r="G917" s="25" t="str">
        <x:v>从C0至当前检查点累计需求；未扣自身未来产出，不代表已有库存</x:v>
      </x:c>
    </x:row>
    <x:row r="918">
      <x:c r="A918" s="25" t="str">
        <x:v>C07-E</x:v>
      </x:c>
      <x:c r="B918" s="25" t="str">
        <x:v>化圣雪原</x:v>
      </x:c>
      <x:c r="C918" s="25" t="str">
        <x:v>半急速入场</x:v>
      </x:c>
      <x:c r="D918" s="25" t="str">
        <x:v>材料</x:v>
      </x:c>
      <x:c r="E918" s="25" t="str">
        <x:v>哨垒旗冠</x:v>
      </x:c>
      <x:c r="F918" s="25" t="n">
        <x:v>3</x:v>
      </x:c>
      <x:c r="G918" s="25" t="str">
        <x:v>从C0至当前检查点累计需求；未扣自身未来产出，不代表已有库存</x:v>
      </x:c>
    </x:row>
    <x:row r="919">
      <x:c r="A919" s="25" t="str">
        <x:v>C07-E</x:v>
      </x:c>
      <x:c r="B919" s="25" t="str">
        <x:v>化圣雪原</x:v>
      </x:c>
      <x:c r="C919" s="25" t="str">
        <x:v>半急速入场</x:v>
      </x:c>
      <x:c r="D919" s="25" t="str">
        <x:v>材料</x:v>
      </x:c>
      <x:c r="E919" s="25" t="str">
        <x:v>唤船骨铃</x:v>
      </x:c>
      <x:c r="F919" s="25" t="n">
        <x:v>1</x:v>
      </x:c>
      <x:c r="G919" s="25" t="str">
        <x:v>从C0至当前检查点累计需求；未扣自身未来产出，不代表已有库存</x:v>
      </x:c>
    </x:row>
    <x:row r="920">
      <x:c r="A920" s="25" t="str">
        <x:v>C07-E</x:v>
      </x:c>
      <x:c r="B920" s="25" t="str">
        <x:v>化圣雪原</x:v>
      </x:c>
      <x:c r="C920" s="25" t="str">
        <x:v>半急速入场</x:v>
      </x:c>
      <x:c r="D920" s="25" t="str">
        <x:v>材料</x:v>
      </x:c>
      <x:c r="E920" s="25" t="str">
        <x:v>商队火漆</x:v>
      </x:c>
      <x:c r="F920" s="25" t="n">
        <x:v>20</x:v>
      </x:c>
      <x:c r="G920" s="25" t="str">
        <x:v>从C0至当前检查点累计需求；未扣自身未来产出，不代表已有库存</x:v>
      </x:c>
    </x:row>
    <x:row r="921">
      <x:c r="A921" s="25" t="str">
        <x:v>C07-E</x:v>
      </x:c>
      <x:c r="B921" s="25" t="str">
        <x:v>化圣雪原</x:v>
      </x:c>
      <x:c r="C921" s="25" t="str">
        <x:v>半急速入场</x:v>
      </x:c>
      <x:c r="D921" s="25" t="str">
        <x:v>材料</x:v>
      </x:c>
      <x:c r="E921" s="25" t="str">
        <x:v>夜骑黑印</x:v>
      </x:c>
      <x:c r="F921" s="25" t="n">
        <x:v>1</x:v>
      </x:c>
      <x:c r="G921" s="25" t="str">
        <x:v>从C0至当前检查点累计需求；未扣自身未来产出，不代表已有库存</x:v>
      </x:c>
    </x:row>
    <x:row r="922">
      <x:c r="A922" s="25" t="str">
        <x:v>C07-E</x:v>
      </x:c>
      <x:c r="B922" s="25" t="str">
        <x:v>化圣雪原</x:v>
      </x:c>
      <x:c r="C922" s="25" t="str">
        <x:v>半急速入场</x:v>
      </x:c>
      <x:c r="D922" s="25" t="str">
        <x:v>材料</x:v>
      </x:c>
      <x:c r="E922" s="25" t="str">
        <x:v>大卢恩</x:v>
      </x:c>
      <x:c r="F922" s="25" t="n">
        <x:v>350</x:v>
      </x:c>
      <x:c r="G922" s="25" t="str">
        <x:v>从C0至当前检查点累计需求；未扣自身未来产出，不代表已有库存</x:v>
      </x:c>
    </x:row>
    <x:row r="923">
      <x:c r="A923" s="25" t="str">
        <x:v>C07-E</x:v>
      </x:c>
      <x:c r="B923" s="25" t="str">
        <x:v>化圣雪原</x:v>
      </x:c>
      <x:c r="C923" s="25" t="str">
        <x:v>半急速入场</x:v>
      </x:c>
      <x:c r="D923" s="25" t="str">
        <x:v>材料</x:v>
      </x:c>
      <x:c r="E923" s="25" t="str">
        <x:v>失乡军令</x:v>
      </x:c>
      <x:c r="F923" s="25" t="n">
        <x:v>2</x:v>
      </x:c>
      <x:c r="G923" s="25" t="str">
        <x:v>从C0至当前检查点累计需求；未扣自身未来产出，不代表已有库存</x:v>
      </x:c>
    </x:row>
    <x:row r="924">
      <x:c r="A924" s="25" t="str">
        <x:v>C07-E</x:v>
      </x:c>
      <x:c r="B924" s="25" t="str">
        <x:v>化圣雪原</x:v>
      </x:c>
      <x:c r="C924" s="25" t="str">
        <x:v>半急速入场</x:v>
      </x:c>
      <x:c r="D924" s="25" t="str">
        <x:v>材料</x:v>
      </x:c>
      <x:c r="E924" s="25" t="str">
        <x:v>失乡统帅徽</x:v>
      </x:c>
      <x:c r="F924" s="25" t="n">
        <x:v>2</x:v>
      </x:c>
      <x:c r="G924" s="25" t="str">
        <x:v>从C0至当前检查点累计需求；未扣自身未来产出，不代表已有库存</x:v>
      </x:c>
    </x:row>
    <x:row r="925">
      <x:c r="A925" s="25" t="str">
        <x:v>C07-E</x:v>
      </x:c>
      <x:c r="B925" s="25" t="str">
        <x:v>化圣雪原</x:v>
      </x:c>
      <x:c r="C925" s="25" t="str">
        <x:v>半急速入场</x:v>
      </x:c>
      <x:c r="D925" s="25" t="str">
        <x:v>材料</x:v>
      </x:c>
      <x:c r="E925" s="25" t="str">
        <x:v>失色锻造石</x:v>
      </x:c>
      <x:c r="F925" s="25" t="n">
        <x:v>18950</x:v>
      </x:c>
      <x:c r="G925" s="25" t="str">
        <x:v>从C0至当前检查点累计需求；未扣自身未来产出，不代表已有库存</x:v>
      </x:c>
    </x:row>
    <x:row r="926">
      <x:c r="A926" s="25" t="str">
        <x:v>C07-E</x:v>
      </x:c>
      <x:c r="B926" s="25" t="str">
        <x:v>化圣雪原</x:v>
      </x:c>
      <x:c r="C926" s="25" t="str">
        <x:v>半急速入场</x:v>
      </x:c>
      <x:c r="D926" s="25" t="str">
        <x:v>材料</x:v>
      </x:c>
      <x:c r="E926" s="25" t="str">
        <x:v>学院封蜡</x:v>
      </x:c>
      <x:c r="F926" s="25" t="n">
        <x:v>24</x:v>
      </x:c>
      <x:c r="G926" s="25" t="str">
        <x:v>从C0至当前检查点累计需求；未扣自身未来产出，不代表已有库存</x:v>
      </x:c>
    </x:row>
    <x:row r="927">
      <x:c r="A927" s="25" t="str">
        <x:v>C07-E</x:v>
      </x:c>
      <x:c r="B927" s="25" t="str">
        <x:v>化圣雪原</x:v>
      </x:c>
      <x:c r="C927" s="25" t="str">
        <x:v>半急速入场</x:v>
      </x:c>
      <x:c r="D927" s="25" t="str">
        <x:v>材料</x:v>
      </x:c>
      <x:c r="E927" s="25" t="str">
        <x:v>宁姆格福誓页</x:v>
      </x:c>
      <x:c r="F927" s="25" t="n">
        <x:v>90</x:v>
      </x:c>
      <x:c r="G927" s="25" t="str">
        <x:v>从C0至当前检查点累计需求；未扣自身未来产出，不代表已有库存</x:v>
      </x:c>
    </x:row>
    <x:row r="928">
      <x:c r="A928" s="25" t="str">
        <x:v>C07-E</x:v>
      </x:c>
      <x:c r="B928" s="25" t="str">
        <x:v>化圣雪原</x:v>
      </x:c>
      <x:c r="C928" s="25" t="str">
        <x:v>半急速入场</x:v>
      </x:c>
      <x:c r="D928" s="25" t="str">
        <x:v>材料</x:v>
      </x:c>
      <x:c r="E928" s="25" t="str">
        <x:v>小卢恩</x:v>
      </x:c>
      <x:c r="F928" s="25" t="n">
        <x:v>250</x:v>
      </x:c>
      <x:c r="G928" s="25" t="str">
        <x:v>从C0至当前检查点累计需求；未扣自身未来产出，不代表已有库存</x:v>
      </x:c>
    </x:row>
    <x:row r="929">
      <x:c r="A929" s="25" t="str">
        <x:v>C07-E</x:v>
      </x:c>
      <x:c r="B929" s="25" t="str">
        <x:v>化圣雪原</x:v>
      </x:c>
      <x:c r="C929" s="25" t="str">
        <x:v>半急速入场</x:v>
      </x:c>
      <x:c r="D929" s="25" t="str">
        <x:v>材料</x:v>
      </x:c>
      <x:c r="E929" s="25" t="str">
        <x:v>山妖王角</x:v>
      </x:c>
      <x:c r="F929" s="25" t="n">
        <x:v>2</x:v>
      </x:c>
      <x:c r="G929" s="25" t="str">
        <x:v>从C0至当前检查点累计需求；未扣自身未来产出，不代表已有库存</x:v>
      </x:c>
    </x:row>
    <x:row r="930">
      <x:c r="A930" s="25" t="str">
        <x:v>C07-E</x:v>
      </x:c>
      <x:c r="B930" s="25" t="str">
        <x:v>化圣雪原</x:v>
      </x:c>
      <x:c r="C930" s="25" t="str">
        <x:v>半急速入场</x:v>
      </x:c>
      <x:c r="D930" s="25" t="str">
        <x:v>材料</x:v>
      </x:c>
      <x:c r="E930" s="25" t="str">
        <x:v>幽船铆钉</x:v>
      </x:c>
      <x:c r="F930" s="25" t="n">
        <x:v>21</x:v>
      </x:c>
      <x:c r="G930" s="25" t="str">
        <x:v>从C0至当前检查点累计需求；未扣自身未来产出，不代表已有库存</x:v>
      </x:c>
    </x:row>
    <x:row r="931">
      <x:c r="A931" s="25" t="str">
        <x:v>C07-E</x:v>
      </x:c>
      <x:c r="B931" s="25" t="str">
        <x:v>化圣雪原</x:v>
      </x:c>
      <x:c r="C931" s="25" t="str">
        <x:v>半急速入场</x:v>
      </x:c>
      <x:c r="D931" s="25" t="str">
        <x:v>材料</x:v>
      </x:c>
      <x:c r="E931" s="25" t="str">
        <x:v>恶兆残角</x:v>
      </x:c>
      <x:c r="F931" s="25" t="n">
        <x:v>1</x:v>
      </x:c>
      <x:c r="G931" s="25" t="str">
        <x:v>从C0至当前检查点累计需求；未扣自身未来产出，不代表已有库存</x:v>
      </x:c>
    </x:row>
    <x:row r="932">
      <x:c r="A932" s="25" t="str">
        <x:v>C07-E</x:v>
      </x:c>
      <x:c r="B932" s="25" t="str">
        <x:v>化圣雪原</x:v>
      </x:c>
      <x:c r="C932" s="25" t="str">
        <x:v>半急速入场</x:v>
      </x:c>
      <x:c r="D932" s="25" t="str">
        <x:v>材料</x:v>
      </x:c>
      <x:c r="E932" s="25" t="str">
        <x:v>技能残页</x:v>
      </x:c>
      <x:c r="F932" s="25" t="n">
        <x:v>1350</x:v>
      </x:c>
      <x:c r="G932" s="25" t="str">
        <x:v>从C0至当前检查点累计需求；未扣自身未来产出，不代表已有库存</x:v>
      </x:c>
    </x:row>
    <x:row r="933">
      <x:c r="A933" s="25" t="str">
        <x:v>C07-E</x:v>
      </x:c>
      <x:c r="B933" s="25" t="str">
        <x:v>化圣雪原</x:v>
      </x:c>
      <x:c r="C933" s="25" t="str">
        <x:v>半急速入场</x:v>
      </x:c>
      <x:c r="D933" s="25" t="str">
        <x:v>材料</x:v>
      </x:c>
      <x:c r="E933" s="25" t="str">
        <x:v>接肢兽心</x:v>
      </x:c>
      <x:c r="F933" s="25" t="n">
        <x:v>2</x:v>
      </x:c>
      <x:c r="G933" s="25" t="str">
        <x:v>从C0至当前检查点累计需求；未扣自身未来产出，不代表已有库存</x:v>
      </x:c>
    </x:row>
    <x:row r="934">
      <x:c r="A934" s="25" t="str">
        <x:v>C07-E</x:v>
      </x:c>
      <x:c r="B934" s="25" t="str">
        <x:v>化圣雪原</x:v>
      </x:c>
      <x:c r="C934" s="25" t="str">
        <x:v>半急速入场</x:v>
      </x:c>
      <x:c r="D934" s="25" t="str">
        <x:v>材料</x:v>
      </x:c>
      <x:c r="E934" s="25" t="str">
        <x:v>接肢王印</x:v>
      </x:c>
      <x:c r="F934" s="25" t="n">
        <x:v>13</x:v>
      </x:c>
      <x:c r="G934" s="25" t="str">
        <x:v>从C0至当前检查点累计需求；未扣自身未来产出，不代表已有库存</x:v>
      </x:c>
    </x:row>
    <x:row r="935">
      <x:c r="A935" s="25" t="str">
        <x:v>C07-E</x:v>
      </x:c>
      <x:c r="B935" s="25" t="str">
        <x:v>化圣雪原</x:v>
      </x:c>
      <x:c r="C935" s="25" t="str">
        <x:v>半急速入场</x:v>
      </x:c>
      <x:c r="D935" s="25" t="str">
        <x:v>材料</x:v>
      </x:c>
      <x:c r="E935" s="25" t="str">
        <x:v>接肢王魂</x:v>
      </x:c>
      <x:c r="F935" s="25" t="n">
        <x:v>1</x:v>
      </x:c>
      <x:c r="G935" s="25" t="str">
        <x:v>从C0至当前检查点累计需求；未扣自身未来产出，不代表已有库存</x:v>
      </x:c>
    </x:row>
    <x:row r="936">
      <x:c r="A936" s="25" t="str">
        <x:v>C07-E</x:v>
      </x:c>
      <x:c r="B936" s="25" t="str">
        <x:v>化圣雪原</x:v>
      </x:c>
      <x:c r="C936" s="25" t="str">
        <x:v>半急速入场</x:v>
      </x:c>
      <x:c r="D936" s="25" t="str">
        <x:v>材料</x:v>
      </x:c>
      <x:c r="E936" s="25" t="str">
        <x:v>月潮忆珀</x:v>
      </x:c>
      <x:c r="F936" s="25" t="n">
        <x:v>1</x:v>
      </x:c>
      <x:c r="G936" s="25" t="str">
        <x:v>从C0至当前检查点累计需求；未扣自身未来产出，不代表已有库存</x:v>
      </x:c>
    </x:row>
    <x:row r="937">
      <x:c r="A937" s="25" t="str">
        <x:v>C07-E</x:v>
      </x:c>
      <x:c r="B937" s="25" t="str">
        <x:v>化圣雪原</x:v>
      </x:c>
      <x:c r="C937" s="25" t="str">
        <x:v>半急速入场</x:v>
      </x:c>
      <x:c r="D937" s="25" t="str">
        <x:v>材料</x:v>
      </x:c>
      <x:c r="E937" s="25" t="str">
        <x:v>月蚀镜片</x:v>
      </x:c>
      <x:c r="F937" s="25" t="n">
        <x:v>14</x:v>
      </x:c>
      <x:c r="G937" s="25" t="str">
        <x:v>从C0至当前检查点累计需求；未扣自身未来产出，不代表已有库存</x:v>
      </x:c>
    </x:row>
    <x:row r="938">
      <x:c r="A938" s="25" t="str">
        <x:v>C07-E</x:v>
      </x:c>
      <x:c r="B938" s="25" t="str">
        <x:v>化圣雪原</x:v>
      </x:c>
      <x:c r="C938" s="25" t="str">
        <x:v>半急速入场</x:v>
      </x:c>
      <x:c r="D938" s="25" t="str">
        <x:v>材料</x:v>
      </x:c>
      <x:c r="E938" s="25" t="str">
        <x:v>树卫枪穗</x:v>
      </x:c>
      <x:c r="F938" s="25" t="n">
        <x:v>1</x:v>
      </x:c>
      <x:c r="G938" s="25" t="str">
        <x:v>从C0至当前检查点累计需求；未扣自身未来产出，不代表已有库存</x:v>
      </x:c>
    </x:row>
    <x:row r="939">
      <x:c r="A939" s="25" t="str">
        <x:v>C07-E</x:v>
      </x:c>
      <x:c r="B939" s="25" t="str">
        <x:v>化圣雪原</x:v>
      </x:c>
      <x:c r="C939" s="25" t="str">
        <x:v>半急速入场</x:v>
      </x:c>
      <x:c r="D939" s="25" t="str">
        <x:v>材料</x:v>
      </x:c>
      <x:c r="E939" s="25" t="str">
        <x:v>死亡仪羽</x:v>
      </x:c>
      <x:c r="F939" s="25" t="n">
        <x:v>2</x:v>
      </x:c>
      <x:c r="G939" s="25" t="str">
        <x:v>从C0至当前检查点累计需求；未扣自身未来产出，不代表已有库存</x:v>
      </x:c>
    </x:row>
    <x:row r="940">
      <x:c r="A940" s="25" t="str">
        <x:v>C07-E</x:v>
      </x:c>
      <x:c r="B940" s="25" t="str">
        <x:v>化圣雪原</x:v>
      </x:c>
      <x:c r="C940" s="25" t="str">
        <x:v>半急速入场</x:v>
      </x:c>
      <x:c r="D940" s="25" t="str">
        <x:v>材料</x:v>
      </x:c>
      <x:c r="E940" s="25" t="str">
        <x:v>沉湖王印</x:v>
      </x:c>
      <x:c r="F940" s="25" t="n">
        <x:v>16</x:v>
      </x:c>
      <x:c r="G940" s="25" t="str">
        <x:v>从C0至当前检查点累计需求；未扣自身未来产出，不代表已有库存</x:v>
      </x:c>
    </x:row>
    <x:row r="941">
      <x:c r="A941" s="25" t="str">
        <x:v>C07-E</x:v>
      </x:c>
      <x:c r="B941" s="25" t="str">
        <x:v>化圣雪原</x:v>
      </x:c>
      <x:c r="C941" s="25" t="str">
        <x:v>半急速入场</x:v>
      </x:c>
      <x:c r="D941" s="25" t="str">
        <x:v>材料</x:v>
      </x:c>
      <x:c r="E941" s="25" t="str">
        <x:v>沉船缆扣</x:v>
      </x:c>
      <x:c r="F941" s="25" t="n">
        <x:v>12</x:v>
      </x:c>
      <x:c r="G941" s="25" t="str">
        <x:v>从C0至当前检查点累计需求；未扣自身未来产出，不代表已有库存</x:v>
      </x:c>
    </x:row>
    <x:row r="942">
      <x:c r="A942" s="25" t="str">
        <x:v>C07-E</x:v>
      </x:c>
      <x:c r="B942" s="25" t="str">
        <x:v>化圣雪原</x:v>
      </x:c>
      <x:c r="C942" s="25" t="str">
        <x:v>半急速入场</x:v>
      </x:c>
      <x:c r="D942" s="25" t="str">
        <x:v>材料</x:v>
      </x:c>
      <x:c r="E942" s="25" t="str">
        <x:v>海蚀铁片</x:v>
      </x:c>
      <x:c r="F942" s="25" t="n">
        <x:v>160</x:v>
      </x:c>
      <x:c r="G942" s="25" t="str">
        <x:v>从C0至当前检查点累计需求；未扣自身未来产出，不代表已有库存</x:v>
      </x:c>
    </x:row>
    <x:row r="943">
      <x:c r="A943" s="25" t="str">
        <x:v>C07-E</x:v>
      </x:c>
      <x:c r="B943" s="25" t="str">
        <x:v>化圣雪原</x:v>
      </x:c>
      <x:c r="C943" s="25" t="str">
        <x:v>半急速入场</x:v>
      </x:c>
      <x:c r="D943" s="25" t="str">
        <x:v>材料</x:v>
      </x:c>
      <x:c r="E943" s="25" t="str">
        <x:v>湖底封门珠</x:v>
      </x:c>
      <x:c r="F943" s="25" t="n">
        <x:v>8</x:v>
      </x:c>
      <x:c r="G943" s="25" t="str">
        <x:v>从C0至当前检查点累计需求；未扣自身未来产出，不代表已有库存</x:v>
      </x:c>
    </x:row>
    <x:row r="944">
      <x:c r="A944" s="25" t="str">
        <x:v>C07-E</x:v>
      </x:c>
      <x:c r="B944" s="25" t="str">
        <x:v>化圣雪原</x:v>
      </x:c>
      <x:c r="C944" s="25" t="str">
        <x:v>半急速入场</x:v>
      </x:c>
      <x:c r="D944" s="25" t="str">
        <x:v>材料</x:v>
      </x:c>
      <x:c r="E944" s="25" t="str">
        <x:v>湖心月谱残章</x:v>
      </x:c>
      <x:c r="F944" s="25" t="n">
        <x:v>1</x:v>
      </x:c>
      <x:c r="G944" s="25" t="str">
        <x:v>从C0至当前检查点累计需求；未扣自身未来产出，不代表已有库存</x:v>
      </x:c>
    </x:row>
    <x:row r="945">
      <x:c r="A945" s="25" t="str">
        <x:v>C07-E</x:v>
      </x:c>
      <x:c r="B945" s="25" t="str">
        <x:v>化圣雪原</x:v>
      </x:c>
      <x:c r="C945" s="25" t="str">
        <x:v>半急速入场</x:v>
      </x:c>
      <x:c r="D945" s="25" t="str">
        <x:v>材料</x:v>
      </x:c>
      <x:c r="E945" s="25" t="str">
        <x:v>湖盐结晶</x:v>
      </x:c>
      <x:c r="F945" s="25" t="n">
        <x:v>1647</x:v>
      </x:c>
      <x:c r="G945" s="25" t="str">
        <x:v>从C0至当前检查点累计需求；未扣自身未来产出，不代表已有库存</x:v>
      </x:c>
    </x:row>
    <x:row r="946">
      <x:c r="A946" s="25" t="str">
        <x:v>C07-E</x:v>
      </x:c>
      <x:c r="B946" s="25" t="str">
        <x:v>化圣雪原</x:v>
      </x:c>
      <x:c r="C946" s="25" t="str">
        <x:v>半急速入场</x:v>
      </x:c>
      <x:c r="D946" s="25" t="str">
        <x:v>材料</x:v>
      </x:c>
      <x:c r="E946" s="25" t="str">
        <x:v>溃烂树核</x:v>
      </x:c>
      <x:c r="F946" s="25" t="n">
        <x:v>1</x:v>
      </x:c>
      <x:c r="G946" s="25" t="str">
        <x:v>从C0至当前检查点累计需求；未扣自身未来产出，不代表已有库存</x:v>
      </x:c>
    </x:row>
    <x:row r="947">
      <x:c r="A947" s="25" t="str">
        <x:v>C07-E</x:v>
      </x:c>
      <x:c r="B947" s="25" t="str">
        <x:v>化圣雪原</x:v>
      </x:c>
      <x:c r="C947" s="25" t="str">
        <x:v>半急速入场</x:v>
      </x:c>
      <x:c r="D947" s="25" t="str">
        <x:v>材料</x:v>
      </x:c>
      <x:c r="E947" s="25" t="str">
        <x:v>满月王室印</x:v>
      </x:c>
      <x:c r="F947" s="25" t="n">
        <x:v>41</x:v>
      </x:c>
      <x:c r="G947" s="25" t="str">
        <x:v>从C0至当前检查点累计需求；未扣自身未来产出，不代表已有库存</x:v>
      </x:c>
    </x:row>
    <x:row r="948">
      <x:c r="A948" s="25" t="str">
        <x:v>C07-E</x:v>
      </x:c>
      <x:c r="B948" s="25" t="str">
        <x:v>化圣雪原</x:v>
      </x:c>
      <x:c r="C948" s="25" t="str">
        <x:v>半急速入场</x:v>
      </x:c>
      <x:c r="D948" s="25" t="str">
        <x:v>材料</x:v>
      </x:c>
      <x:c r="E948" s="25" t="str">
        <x:v>漂流大陆印记</x:v>
      </x:c>
      <x:c r="F948" s="25" t="n">
        <x:v>11</x:v>
      </x:c>
      <x:c r="G948" s="25" t="str">
        <x:v>从C0至当前检查点累计需求；未扣自身未来产出，不代表已有库存</x:v>
      </x:c>
    </x:row>
    <x:row r="949">
      <x:c r="A949" s="25" t="str">
        <x:v>C07-E</x:v>
      </x:c>
      <x:c r="B949" s="25" t="str">
        <x:v>化圣雪原</x:v>
      </x:c>
      <x:c r="C949" s="25" t="str">
        <x:v>半急速入场</x:v>
      </x:c>
      <x:c r="D949" s="25" t="str">
        <x:v>材料</x:v>
      </x:c>
      <x:c r="E949" s="25" t="str">
        <x:v>漂流见证·潮</x:v>
      </x:c>
      <x:c r="F949" s="25" t="n">
        <x:v>8</x:v>
      </x:c>
      <x:c r="G949" s="25" t="str">
        <x:v>从C0至当前检查点累计需求；未扣自身未来产出，不代表已有库存</x:v>
      </x:c>
    </x:row>
    <x:row r="950">
      <x:c r="A950" s="25" t="str">
        <x:v>C07-E</x:v>
      </x:c>
      <x:c r="B950" s="25" t="str">
        <x:v>化圣雪原</x:v>
      </x:c>
      <x:c r="C950" s="25" t="str">
        <x:v>半急速入场</x:v>
      </x:c>
      <x:c r="D950" s="25" t="str">
        <x:v>材料</x:v>
      </x:c>
      <x:c r="E950" s="25" t="str">
        <x:v>漂流见证·雷</x:v>
      </x:c>
      <x:c r="F950" s="25" t="n">
        <x:v>8</x:v>
      </x:c>
      <x:c r="G950" s="25" t="str">
        <x:v>从C0至当前检查点累计需求；未扣自身未来产出，不代表已有库存</x:v>
      </x:c>
    </x:row>
    <x:row r="951">
      <x:c r="A951" s="25" t="str">
        <x:v>C07-E</x:v>
      </x:c>
      <x:c r="B951" s="25" t="str">
        <x:v>化圣雪原</x:v>
      </x:c>
      <x:c r="C951" s="25" t="str">
        <x:v>半急速入场</x:v>
      </x:c>
      <x:c r="D951" s="25" t="str">
        <x:v>材料</x:v>
      </x:c>
      <x:c r="E951" s="25" t="str">
        <x:v>潮痕结晶</x:v>
      </x:c>
      <x:c r="F951" s="25" t="n">
        <x:v>16</x:v>
      </x:c>
      <x:c r="G951" s="25" t="str">
        <x:v>从C0至当前检查点累计需求；未扣自身未来产出，不代表已有库存</x:v>
      </x:c>
    </x:row>
    <x:row r="952">
      <x:c r="A952" s="25" t="str">
        <x:v>C07-E</x:v>
      </x:c>
      <x:c r="B952" s="25" t="str">
        <x:v>化圣雪原</x:v>
      </x:c>
      <x:c r="C952" s="25" t="str">
        <x:v>半急速入场</x:v>
      </x:c>
      <x:c r="D952" s="25" t="str">
        <x:v>材料</x:v>
      </x:c>
      <x:c r="E952" s="25" t="str">
        <x:v>熊王心脏</x:v>
      </x:c>
      <x:c r="F952" s="25" t="n">
        <x:v>2</x:v>
      </x:c>
      <x:c r="G952" s="25" t="str">
        <x:v>从C0至当前检查点累计需求；未扣自身未来产出，不代表已有库存</x:v>
      </x:c>
    </x:row>
    <x:row r="953">
      <x:c r="A953" s="25" t="str">
        <x:v>C07-E</x:v>
      </x:c>
      <x:c r="B953" s="25" t="str">
        <x:v>化圣雪原</x:v>
      </x:c>
      <x:c r="C953" s="25" t="str">
        <x:v>半急速入场</x:v>
      </x:c>
      <x:c r="D953" s="25" t="str">
        <x:v>材料</x:v>
      </x:c>
      <x:c r="E953" s="25" t="str">
        <x:v>熔炉角片</x:v>
      </x:c>
      <x:c r="F953" s="25" t="n">
        <x:v>1</x:v>
      </x:c>
      <x:c r="G953" s="25" t="str">
        <x:v>从C0至当前检查点累计需求；未扣自身未来产出，不代表已有库存</x:v>
      </x:c>
    </x:row>
    <x:row r="954">
      <x:c r="A954" s="25" t="str">
        <x:v>C07-E</x:v>
      </x:c>
      <x:c r="B954" s="25" t="str">
        <x:v>化圣雪原</x:v>
      </x:c>
      <x:c r="C954" s="25" t="str">
        <x:v>半急速入场</x:v>
      </x:c>
      <x:c r="D954" s="25" t="str">
        <x:v>材料</x:v>
      </x:c>
      <x:c r="E954" s="25" t="str">
        <x:v>猩红矿渣</x:v>
      </x:c>
      <x:c r="F954" s="25" t="n">
        <x:v>1737</x:v>
      </x:c>
      <x:c r="G954" s="25" t="str">
        <x:v>从C0至当前检查点累计需求；未扣自身未来产出，不代表已有库存</x:v>
      </x:c>
    </x:row>
    <x:row r="955">
      <x:c r="A955" s="25" t="str">
        <x:v>C07-E</x:v>
      </x:c>
      <x:c r="B955" s="25" t="str">
        <x:v>化圣雪原</x:v>
      </x:c>
      <x:c r="C955" s="25" t="str">
        <x:v>半急速入场</x:v>
      </x:c>
      <x:c r="D955" s="25" t="str">
        <x:v>材料</x:v>
      </x:c>
      <x:c r="E955" s="25" t="str">
        <x:v>王城军印</x:v>
      </x:c>
      <x:c r="F955" s="25" t="n">
        <x:v>1</x:v>
      </x:c>
      <x:c r="G955" s="25" t="str">
        <x:v>从C0至当前检查点累计需求；未扣自身未来产出，不代表已有库存</x:v>
      </x:c>
    </x:row>
    <x:row r="956">
      <x:c r="A956" s="25" t="str">
        <x:v>C07-E</x:v>
      </x:c>
      <x:c r="B956" s="25" t="str">
        <x:v>化圣雪原</x:v>
      </x:c>
      <x:c r="C956" s="25" t="str">
        <x:v>半急速入场</x:v>
      </x:c>
      <x:c r="D956" s="25" t="str">
        <x:v>材料</x:v>
      </x:c>
      <x:c r="E956" s="25" t="str">
        <x:v>看门犬石心</x:v>
      </x:c>
      <x:c r="F956" s="25" t="n">
        <x:v>2</x:v>
      </x:c>
      <x:c r="G956" s="25" t="str">
        <x:v>从C0至当前检查点累计需求；未扣自身未来产出，不代表已有库存</x:v>
      </x:c>
    </x:row>
    <x:row r="957">
      <x:c r="A957" s="25" t="str">
        <x:v>C07-E</x:v>
      </x:c>
      <x:c r="B957" s="25" t="str">
        <x:v>化圣雪原</x:v>
      </x:c>
      <x:c r="C957" s="25" t="str">
        <x:v>半急速入场</x:v>
      </x:c>
      <x:c r="D957" s="25" t="str">
        <x:v>材料</x:v>
      </x:c>
      <x:c r="E957" s="25" t="str">
        <x:v>碎星仪仗钉</x:v>
      </x:c>
      <x:c r="F957" s="25" t="n">
        <x:v>2</x:v>
      </x:c>
      <x:c r="G957" s="25" t="str">
        <x:v>从C0至当前检查点累计需求；未扣自身未来产出，不代表已有库存</x:v>
      </x:c>
    </x:row>
    <x:row r="958">
      <x:c r="A958" s="25" t="str">
        <x:v>C07-E</x:v>
      </x:c>
      <x:c r="B958" s="25" t="str">
        <x:v>化圣雪原</x:v>
      </x:c>
      <x:c r="C958" s="25" t="str">
        <x:v>半急速入场</x:v>
      </x:c>
      <x:c r="D958" s="25" t="str">
        <x:v>材料</x:v>
      </x:c>
      <x:c r="E958" s="25" t="str">
        <x:v>神秘符文</x:v>
      </x:c>
      <x:c r="F958" s="25" t="n">
        <x:v>400</x:v>
      </x:c>
      <x:c r="G958" s="25" t="str">
        <x:v>从C0至当前检查点累计需求；未扣自身未来产出，不代表已有库存</x:v>
      </x:c>
    </x:row>
    <x:row r="959">
      <x:c r="A959" s="25" t="str">
        <x:v>C07-E</x:v>
      </x:c>
      <x:c r="B959" s="25" t="str">
        <x:v>化圣雪原</x:v>
      </x:c>
      <x:c r="C959" s="25" t="str">
        <x:v>半急速入场</x:v>
      </x:c>
      <x:c r="D959" s="25" t="str">
        <x:v>材料</x:v>
      </x:c>
      <x:c r="E959" s="25" t="str">
        <x:v>禁域星钥</x:v>
      </x:c>
      <x:c r="F959" s="25" t="n">
        <x:v>2</x:v>
      </x:c>
      <x:c r="G959" s="25" t="str">
        <x:v>从C0至当前检查点累计需求；未扣自身未来产出，不代表已有库存</x:v>
      </x:c>
    </x:row>
    <x:row r="960">
      <x:c r="A960" s="25" t="str">
        <x:v>C07-E</x:v>
      </x:c>
      <x:c r="B960" s="25" t="str">
        <x:v>化圣雪原</x:v>
      </x:c>
      <x:c r="C960" s="25" t="str">
        <x:v>半急速入场</x:v>
      </x:c>
      <x:c r="D960" s="25" t="str">
        <x:v>材料</x:v>
      </x:c>
      <x:c r="E960" s="25" t="str">
        <x:v>红狮战印</x:v>
      </x:c>
      <x:c r="F960" s="25" t="n">
        <x:v>42</x:v>
      </x:c>
      <x:c r="G960" s="25" t="str">
        <x:v>从C0至当前检查点累计需求；未扣自身未来产出，不代表已有库存</x:v>
      </x:c>
    </x:row>
    <x:row r="961">
      <x:c r="A961" s="25" t="str">
        <x:v>C07-E</x:v>
      </x:c>
      <x:c r="B961" s="25" t="str">
        <x:v>化圣雪原</x:v>
      </x:c>
      <x:c r="C961" s="25" t="str">
        <x:v>半急速入场</x:v>
      </x:c>
      <x:c r="D961" s="25" t="str">
        <x:v>材料</x:v>
      </x:c>
      <x:c r="E961" s="25" t="str">
        <x:v>腐根魂结</x:v>
      </x:c>
      <x:c r="F961" s="25" t="n">
        <x:v>2</x:v>
      </x:c>
      <x:c r="G961" s="25" t="str">
        <x:v>从C0至当前检查点累计需求；未扣自身未来产出，不代表已有库存</x:v>
      </x:c>
    </x:row>
    <x:row r="962">
      <x:c r="A962" s="25" t="str">
        <x:v>C07-E</x:v>
      </x:c>
      <x:c r="B962" s="25" t="str">
        <x:v>化圣雪原</x:v>
      </x:c>
      <x:c r="C962" s="25" t="str">
        <x:v>半急速入场</x:v>
      </x:c>
      <x:c r="D962" s="25" t="str">
        <x:v>材料</x:v>
      </x:c>
      <x:c r="E962" s="25" t="str">
        <x:v>裂风崖羽</x:v>
      </x:c>
      <x:c r="F962" s="25" t="n">
        <x:v>80</x:v>
      </x:c>
      <x:c r="G962" s="25" t="str">
        <x:v>从C0至当前检查点累计需求；未扣自身未来产出，不代表已有库存</x:v>
      </x:c>
    </x:row>
    <x:row r="963">
      <x:c r="A963" s="25" t="str">
        <x:v>C07-E</x:v>
      </x:c>
      <x:c r="B963" s="25" t="str">
        <x:v>化圣雪原</x:v>
      </x:c>
      <x:c r="C963" s="25" t="str">
        <x:v>半急速入场</x:v>
      </x:c>
      <x:c r="D963" s="25" t="str">
        <x:v>材料</x:v>
      </x:c>
      <x:c r="E963" s="25" t="str">
        <x:v>西境战旗</x:v>
      </x:c>
      <x:c r="F963" s="25" t="n">
        <x:v>20</x:v>
      </x:c>
      <x:c r="G963" s="25" t="str">
        <x:v>从C0至当前检查点累计需求；未扣自身未来产出，不代表已有库存</x:v>
      </x:c>
    </x:row>
    <x:row r="964">
      <x:c r="A964" s="25" t="str">
        <x:v>C07-E</x:v>
      </x:c>
      <x:c r="B964" s="25" t="str">
        <x:v>化圣雪原</x:v>
      </x:c>
      <x:c r="C964" s="25" t="str">
        <x:v>半急速入场</x:v>
      </x:c>
      <x:c r="D964" s="25" t="str">
        <x:v>材料</x:v>
      </x:c>
      <x:c r="E964" s="25" t="str">
        <x:v>西境战旗印</x:v>
      </x:c>
      <x:c r="F964" s="25" t="n">
        <x:v>13</x:v>
      </x:c>
      <x:c r="G964" s="25" t="str">
        <x:v>从C0至当前检查点累计需求；未扣自身未来产出，不代表已有库存</x:v>
      </x:c>
    </x:row>
    <x:row r="965">
      <x:c r="A965" s="25" t="str">
        <x:v>C07-E</x:v>
      </x:c>
      <x:c r="B965" s="25" t="str">
        <x:v>化圣雪原</x:v>
      </x:c>
      <x:c r="C965" s="25" t="str">
        <x:v>半急速入场</x:v>
      </x:c>
      <x:c r="D965" s="25" t="str">
        <x:v>材料</x:v>
      </x:c>
      <x:c r="E965" s="25" t="str">
        <x:v>西境风痕碑拓</x:v>
      </x:c>
      <x:c r="F965" s="25" t="n">
        <x:v>1</x:v>
      </x:c>
      <x:c r="G965" s="25" t="str">
        <x:v>从C0至当前检查点累计需求；未扣自身未来产出，不代表已有库存</x:v>
      </x:c>
    </x:row>
    <x:row r="966">
      <x:c r="A966" s="25" t="str">
        <x:v>C07-E</x:v>
      </x:c>
      <x:c r="B966" s="25" t="str">
        <x:v>化圣雪原</x:v>
      </x:c>
      <x:c r="C966" s="25" t="str">
        <x:v>半急速入场</x:v>
      </x:c>
      <x:c r="D966" s="25" t="str">
        <x:v>材料</x:v>
      </x:c>
      <x:c r="E966" s="25" t="str">
        <x:v>贵胄断指</x:v>
      </x:c>
      <x:c r="F966" s="25" t="n">
        <x:v>1</x:v>
      </x:c>
      <x:c r="G966" s="25" t="str">
        <x:v>从C0至当前检查点累计需求；未扣自身未来产出，不代表已有库存</x:v>
      </x:c>
    </x:row>
    <x:row r="967">
      <x:c r="A967" s="25" t="str">
        <x:v>C07-E</x:v>
      </x:c>
      <x:c r="B967" s="25" t="str">
        <x:v>化圣雪原</x:v>
      </x:c>
      <x:c r="C967" s="25" t="str">
        <x:v>半急速入场</x:v>
      </x:c>
      <x:c r="D967" s="25" t="str">
        <x:v>材料</x:v>
      </x:c>
      <x:c r="E967" s="25" t="str">
        <x:v>辉石碎晶</x:v>
      </x:c>
      <x:c r="F967" s="25" t="n">
        <x:v>1370</x:v>
      </x:c>
      <x:c r="G967" s="25" t="str">
        <x:v>从C0至当前检查点累计需求；未扣自身未来产出，不代表已有库存</x:v>
      </x:c>
    </x:row>
    <x:row r="968">
      <x:c r="A968" s="25" t="str">
        <x:v>C07-E</x:v>
      </x:c>
      <x:c r="B968" s="25" t="str">
        <x:v>化圣雪原</x:v>
      </x:c>
      <x:c r="C968" s="25" t="str">
        <x:v>半急速入场</x:v>
      </x:c>
      <x:c r="D968" s="25" t="str">
        <x:v>材料</x:v>
      </x:c>
      <x:c r="E968" s="25" t="str">
        <x:v>野兽骨片</x:v>
      </x:c>
      <x:c r="F968" s="25" t="n">
        <x:v>26350</x:v>
      </x:c>
      <x:c r="G968" s="25" t="str">
        <x:v>从C0至当前检查点累计需求；未扣自身未来产出，不代表已有库存</x:v>
      </x:c>
    </x:row>
    <x:row r="969">
      <x:c r="A969" s="25" t="str">
        <x:v>C07-E</x:v>
      </x:c>
      <x:c r="B969" s="25" t="str">
        <x:v>化圣雪原</x:v>
      </x:c>
      <x:c r="C969" s="25" t="str">
        <x:v>半急速入场</x:v>
      </x:c>
      <x:c r="D969" s="25" t="str">
        <x:v>材料</x:v>
      </x:c>
      <x:c r="E969" s="25" t="str">
        <x:v>雾潮银鳞</x:v>
      </x:c>
      <x:c r="F969" s="25" t="n">
        <x:v>272</x:v>
      </x:c>
      <x:c r="G969" s="25" t="str">
        <x:v>从C0至当前检查点累计需求；未扣自身未来产出，不代表已有库存</x:v>
      </x:c>
    </x:row>
    <x:row r="970">
      <x:c r="A970" s="25" t="str">
        <x:v>C07-E</x:v>
      </x:c>
      <x:c r="B970" s="25" t="str">
        <x:v>化圣雪原</x:v>
      </x:c>
      <x:c r="C970" s="25" t="str">
        <x:v>半急速入场</x:v>
      </x:c>
      <x:c r="D970" s="25" t="str">
        <x:v>材料</x:v>
      </x:c>
      <x:c r="E970" s="25" t="str">
        <x:v>风暴王核</x:v>
      </x:c>
      <x:c r="F970" s="25" t="n">
        <x:v>1</x:v>
      </x:c>
      <x:c r="G970" s="25" t="str">
        <x:v>从C0至当前检查点累计需求；未扣自身未来产出，不代表已有库存</x:v>
      </x:c>
    </x:row>
    <x:row r="971">
      <x:c r="A971" s="25" t="str">
        <x:v>C07-E</x:v>
      </x:c>
      <x:c r="B971" s="25" t="str">
        <x:v>化圣雪原</x:v>
      </x:c>
      <x:c r="C971" s="25" t="str">
        <x:v>半急速入场</x:v>
      </x:c>
      <x:c r="D971" s="25" t="str">
        <x:v>材料</x:v>
      </x:c>
      <x:c r="E971" s="25" t="str">
        <x:v>风暴石片</x:v>
      </x:c>
      <x:c r="F971" s="25" t="n">
        <x:v>370</x:v>
      </x:c>
      <x:c r="G971" s="25" t="str">
        <x:v>从C0至当前检查点累计需求；未扣自身未来产出，不代表已有库存</x:v>
      </x:c>
    </x:row>
    <x:row r="972">
      <x:c r="A972" s="25" t="str">
        <x:v>C07-E</x:v>
      </x:c>
      <x:c r="B972" s="25" t="str">
        <x:v>化圣雪原</x:v>
      </x:c>
      <x:c r="C972" s="25" t="str">
        <x:v>半急速入场</x:v>
      </x:c>
      <x:c r="D972" s="25" t="str">
        <x:v>材料</x:v>
      </x:c>
      <x:c r="E972" s="25" t="str">
        <x:v>风蚀铁片</x:v>
      </x:c>
      <x:c r="F972" s="25" t="n">
        <x:v>710</x:v>
      </x:c>
      <x:c r="G972" s="25" t="str">
        <x:v>从C0至当前检查点累计需求；未扣自身未来产出，不代表已有库存</x:v>
      </x:c>
    </x:row>
    <x:row r="973">
      <x:c r="A973" s="25" t="str">
        <x:v>C07-E</x:v>
      </x:c>
      <x:c r="B973" s="25" t="str">
        <x:v>化圣雪原</x:v>
      </x:c>
      <x:c r="C973" s="25" t="str">
        <x:v>半急速入场</x:v>
      </x:c>
      <x:c r="D973" s="25" t="str">
        <x:v>材料</x:v>
      </x:c>
      <x:c r="E973" s="25" t="str">
        <x:v>黄金树碎核</x:v>
      </x:c>
      <x:c r="F973" s="25" t="n">
        <x:v>2</x:v>
      </x:c>
      <x:c r="G973" s="25" t="str">
        <x:v>从C0至当前检查点累计需求；未扣自身未来产出，不代表已有库存</x:v>
      </x:c>
    </x:row>
    <x:row r="974">
      <x:c r="A974" s="25" t="str">
        <x:v>C07-E</x:v>
      </x:c>
      <x:c r="B974" s="25" t="str">
        <x:v>化圣雪原</x:v>
      </x:c>
      <x:c r="C974" s="25" t="str">
        <x:v>半急速入场</x:v>
      </x:c>
      <x:c r="D974" s="25" t="str">
        <x:v>材料</x:v>
      </x:c>
      <x:c r="E974" s="25" t="str">
        <x:v>黄金树芽</x:v>
      </x:c>
      <x:c r="F974" s="25" t="n">
        <x:v>297</x:v>
      </x:c>
      <x:c r="G974" s="25" t="str">
        <x:v>从C0至当前检查点累计需求；未扣自身未来产出，不代表已有库存</x:v>
      </x:c>
    </x:row>
    <x:row r="975">
      <x:c r="A975" s="25" t="str">
        <x:v>C07-E</x:v>
      </x:c>
      <x:c r="B975" s="25" t="str">
        <x:v>化圣雪原</x:v>
      </x:c>
      <x:c r="C975" s="25" t="str">
        <x:v>半急速入场</x:v>
      </x:c>
      <x:c r="D975" s="25" t="str">
        <x:v>材料</x:v>
      </x:c>
      <x:c r="E975" s="25" t="str">
        <x:v>黄金骑徽</x:v>
      </x:c>
      <x:c r="F975" s="25" t="n">
        <x:v>2</x:v>
      </x:c>
      <x:c r="G975" s="25" t="str">
        <x:v>从C0至当前检查点累计需求；未扣自身未来产出，不代表已有库存</x:v>
      </x:c>
    </x:row>
    <x:row r="976">
      <x:c r="A976" s="25" t="str">
        <x:v>C07-E</x:v>
      </x:c>
      <x:c r="B976" s="25" t="str">
        <x:v>化圣雪原</x:v>
      </x:c>
      <x:c r="C976" s="25" t="str">
        <x:v>半急速入场</x:v>
      </x:c>
      <x:c r="D976" s="25" t="str">
        <x:v>材料</x:v>
      </x:c>
      <x:c r="E976" s="25" t="str">
        <x:v>龙火鳞</x:v>
      </x:c>
      <x:c r="F976" s="25" t="n">
        <x:v>38</x:v>
      </x:c>
      <x:c r="G976" s="25" t="str">
        <x:v>从C0至当前检查点累计需求；未扣自身未来产出，不代表已有库存</x:v>
      </x:c>
    </x:row>
    <x:row r="977">
      <x:c r="A977" s="25" t="str">
        <x:v>C07-E</x:v>
      </x:c>
      <x:c r="B977" s="25" t="str">
        <x:v>化圣雪原</x:v>
      </x:c>
      <x:c r="C977" s="25" t="str">
        <x:v>半急速入场</x:v>
      </x:c>
      <x:c r="D977" s="25" t="str">
        <x:v>装备实物</x:v>
      </x:c>
      <x:c r="E977" s="25" t="str">
        <x:v>共326个精确名称（明细见JSON）</x:v>
      </x:c>
      <x:c r="F977" s="25" t="n">
        <x:v>431</x:v>
      </x:c>
      <x:c r="G977" s="25" t="str">
        <x:v>含穿戴、重复试洗、图鉴登记与合成前置；完整数据未省略</x:v>
      </x:c>
    </x:row>
    <x:row r="978">
      <x:c r="A978" s="25" t="str">
        <x:v>C07-M</x:v>
      </x:c>
      <x:c r="B978" s="25" t="str">
        <x:v>化圣雪原</x:v>
      </x:c>
      <x:c r="C978" s="25" t="str">
        <x:v>半急速中期</x:v>
      </x:c>
      <x:c r="D978" s="25" t="str">
        <x:v>材料</x:v>
      </x:c>
      <x:c r="E978" s="25" t="str">
        <x:v>兽将脊骨</x:v>
      </x:c>
      <x:c r="F978" s="25" t="n">
        <x:v>1</x:v>
      </x:c>
      <x:c r="G978" s="25" t="str">
        <x:v>从C0至当前检查点累计需求；未扣自身未来产出，不代表已有库存</x:v>
      </x:c>
    </x:row>
    <x:row r="979">
      <x:c r="A979" s="25" t="str">
        <x:v>C07-M</x:v>
      </x:c>
      <x:c r="B979" s="25" t="str">
        <x:v>化圣雪原</x:v>
      </x:c>
      <x:c r="C979" s="25" t="str">
        <x:v>半急速中期</x:v>
      </x:c>
      <x:c r="D979" s="25" t="str">
        <x:v>材料</x:v>
      </x:c>
      <x:c r="E979" s="25" t="str">
        <x:v>冻原银角</x:v>
      </x:c>
      <x:c r="F979" s="25" t="n">
        <x:v>30</x:v>
      </x:c>
      <x:c r="G979" s="25" t="str">
        <x:v>从C0至当前检查点累计需求；未扣自身未来产出，不代表已有库存</x:v>
      </x:c>
    </x:row>
    <x:row r="980">
      <x:c r="A980" s="25" t="str">
        <x:v>C07-M</x:v>
      </x:c>
      <x:c r="B980" s="25" t="str">
        <x:v>化圣雪原</x:v>
      </x:c>
      <x:c r="C980" s="25" t="str">
        <x:v>半急速中期</x:v>
      </x:c>
      <x:c r="D980" s="25" t="str">
        <x:v>材料</x:v>
      </x:c>
      <x:c r="E980" s="25" t="str">
        <x:v>冻晶尘</x:v>
      </x:c>
      <x:c r="F980" s="25" t="n">
        <x:v>720</x:v>
      </x:c>
      <x:c r="G980" s="25" t="str">
        <x:v>从C0至当前检查点累计需求；未扣自身未来产出，不代表已有库存</x:v>
      </x:c>
    </x:row>
    <x:row r="981">
      <x:c r="A981" s="25" t="str">
        <x:v>C07-M</x:v>
      </x:c>
      <x:c r="B981" s="25" t="str">
        <x:v>化圣雪原</x:v>
      </x:c>
      <x:c r="C981" s="25" t="str">
        <x:v>半急速中期</x:v>
      </x:c>
      <x:c r="D981" s="25" t="str">
        <x:v>材料</x:v>
      </x:c>
      <x:c r="E981" s="25" t="str">
        <x:v>净火腺囊</x:v>
      </x:c>
      <x:c r="F981" s="25" t="n">
        <x:v>44</x:v>
      </x:c>
      <x:c r="G981" s="25" t="str">
        <x:v>从C0至当前检查点累计需求；未扣自身未来产出，不代表已有库存</x:v>
      </x:c>
    </x:row>
    <x:row r="982">
      <x:c r="A982" s="25" t="str">
        <x:v>C07-M</x:v>
      </x:c>
      <x:c r="B982" s="25" t="str">
        <x:v>化圣雪原</x:v>
      </x:c>
      <x:c r="C982" s="25" t="str">
        <x:v>半急速中期</x:v>
      </x:c>
      <x:c r="D982" s="25" t="str">
        <x:v>材料</x:v>
      </x:c>
      <x:c r="E982" s="25" t="str">
        <x:v>卡利亚月露</x:v>
      </x:c>
      <x:c r="F982" s="25" t="n">
        <x:v>36</x:v>
      </x:c>
      <x:c r="G982" s="25" t="str">
        <x:v>从C0至当前检查点累计需求；未扣自身未来产出，不代表已有库存</x:v>
      </x:c>
    </x:row>
    <x:row r="983">
      <x:c r="A983" s="25" t="str">
        <x:v>C07-M</x:v>
      </x:c>
      <x:c r="B983" s="25" t="str">
        <x:v>化圣雪原</x:v>
      </x:c>
      <x:c r="C983" s="25" t="str">
        <x:v>半急速中期</x:v>
      </x:c>
      <x:c r="D983" s="25" t="str">
        <x:v>材料</x:v>
      </x:c>
      <x:c r="E983" s="25" t="str">
        <x:v>哨垒旗冠</x:v>
      </x:c>
      <x:c r="F983" s="25" t="n">
        <x:v>3</x:v>
      </x:c>
      <x:c r="G983" s="25" t="str">
        <x:v>从C0至当前检查点累计需求；未扣自身未来产出，不代表已有库存</x:v>
      </x:c>
    </x:row>
    <x:row r="984">
      <x:c r="A984" s="25" t="str">
        <x:v>C07-M</x:v>
      </x:c>
      <x:c r="B984" s="25" t="str">
        <x:v>化圣雪原</x:v>
      </x:c>
      <x:c r="C984" s="25" t="str">
        <x:v>半急速中期</x:v>
      </x:c>
      <x:c r="D984" s="25" t="str">
        <x:v>材料</x:v>
      </x:c>
      <x:c r="E984" s="25" t="str">
        <x:v>唤船骨铃</x:v>
      </x:c>
      <x:c r="F984" s="25" t="n">
        <x:v>1</x:v>
      </x:c>
      <x:c r="G984" s="25" t="str">
        <x:v>从C0至当前检查点累计需求；未扣自身未来产出，不代表已有库存</x:v>
      </x:c>
    </x:row>
    <x:row r="985">
      <x:c r="A985" s="25" t="str">
        <x:v>C07-M</x:v>
      </x:c>
      <x:c r="B985" s="25" t="str">
        <x:v>化圣雪原</x:v>
      </x:c>
      <x:c r="C985" s="25" t="str">
        <x:v>半急速中期</x:v>
      </x:c>
      <x:c r="D985" s="25" t="str">
        <x:v>材料</x:v>
      </x:c>
      <x:c r="E985" s="25" t="str">
        <x:v>商队火漆</x:v>
      </x:c>
      <x:c r="F985" s="25" t="n">
        <x:v>20</x:v>
      </x:c>
      <x:c r="G985" s="25" t="str">
        <x:v>从C0至当前检查点累计需求；未扣自身未来产出，不代表已有库存</x:v>
      </x:c>
    </x:row>
    <x:row r="986">
      <x:c r="A986" s="25" t="str">
        <x:v>C07-M</x:v>
      </x:c>
      <x:c r="B986" s="25" t="str">
        <x:v>化圣雪原</x:v>
      </x:c>
      <x:c r="C986" s="25" t="str">
        <x:v>半急速中期</x:v>
      </x:c>
      <x:c r="D986" s="25" t="str">
        <x:v>材料</x:v>
      </x:c>
      <x:c r="E986" s="25" t="str">
        <x:v>圣雪誓印</x:v>
      </x:c>
      <x:c r="F986" s="25" t="n">
        <x:v>8</x:v>
      </x:c>
      <x:c r="G986" s="25" t="str">
        <x:v>从C0至当前检查点累计需求；未扣自身未来产出，不代表已有库存</x:v>
      </x:c>
    </x:row>
    <x:row r="987">
      <x:c r="A987" s="25" t="str">
        <x:v>C07-M</x:v>
      </x:c>
      <x:c r="B987" s="25" t="str">
        <x:v>化圣雪原</x:v>
      </x:c>
      <x:c r="C987" s="25" t="str">
        <x:v>半急速中期</x:v>
      </x:c>
      <x:c r="D987" s="25" t="str">
        <x:v>材料</x:v>
      </x:c>
      <x:c r="E987" s="25" t="str">
        <x:v>夜骑黑印</x:v>
      </x:c>
      <x:c r="F987" s="25" t="n">
        <x:v>1</x:v>
      </x:c>
      <x:c r="G987" s="25" t="str">
        <x:v>从C0至当前检查点累计需求；未扣自身未来产出，不代表已有库存</x:v>
      </x:c>
    </x:row>
    <x:row r="988">
      <x:c r="A988" s="25" t="str">
        <x:v>C07-M</x:v>
      </x:c>
      <x:c r="B988" s="25" t="str">
        <x:v>化圣雪原</x:v>
      </x:c>
      <x:c r="C988" s="25" t="str">
        <x:v>半急速中期</x:v>
      </x:c>
      <x:c r="D988" s="25" t="str">
        <x:v>材料</x:v>
      </x:c>
      <x:c r="E988" s="25" t="str">
        <x:v>大卢恩</x:v>
      </x:c>
      <x:c r="F988" s="25" t="n">
        <x:v>350</x:v>
      </x:c>
      <x:c r="G988" s="25" t="str">
        <x:v>从C0至当前检查点累计需求；未扣自身未来产出，不代表已有库存</x:v>
      </x:c>
    </x:row>
    <x:row r="989">
      <x:c r="A989" s="25" t="str">
        <x:v>C07-M</x:v>
      </x:c>
      <x:c r="B989" s="25" t="str">
        <x:v>化圣雪原</x:v>
      </x:c>
      <x:c r="C989" s="25" t="str">
        <x:v>半急速中期</x:v>
      </x:c>
      <x:c r="D989" s="25" t="str">
        <x:v>材料</x:v>
      </x:c>
      <x:c r="E989" s="25" t="str">
        <x:v>失乡军令</x:v>
      </x:c>
      <x:c r="F989" s="25" t="n">
        <x:v>2</x:v>
      </x:c>
      <x:c r="G989" s="25" t="str">
        <x:v>从C0至当前检查点累计需求；未扣自身未来产出，不代表已有库存</x:v>
      </x:c>
    </x:row>
    <x:row r="990">
      <x:c r="A990" s="25" t="str">
        <x:v>C07-M</x:v>
      </x:c>
      <x:c r="B990" s="25" t="str">
        <x:v>化圣雪原</x:v>
      </x:c>
      <x:c r="C990" s="25" t="str">
        <x:v>半急速中期</x:v>
      </x:c>
      <x:c r="D990" s="25" t="str">
        <x:v>材料</x:v>
      </x:c>
      <x:c r="E990" s="25" t="str">
        <x:v>失乡统帅徽</x:v>
      </x:c>
      <x:c r="F990" s="25" t="n">
        <x:v>2</x:v>
      </x:c>
      <x:c r="G990" s="25" t="str">
        <x:v>从C0至当前检查点累计需求；未扣自身未来产出，不代表已有库存</x:v>
      </x:c>
    </x:row>
    <x:row r="991">
      <x:c r="A991" s="25" t="str">
        <x:v>C07-M</x:v>
      </x:c>
      <x:c r="B991" s="25" t="str">
        <x:v>化圣雪原</x:v>
      </x:c>
      <x:c r="C991" s="25" t="str">
        <x:v>半急速中期</x:v>
      </x:c>
      <x:c r="D991" s="25" t="str">
        <x:v>材料</x:v>
      </x:c>
      <x:c r="E991" s="25" t="str">
        <x:v>失色锻造石</x:v>
      </x:c>
      <x:c r="F991" s="25" t="n">
        <x:v>21280</x:v>
      </x:c>
      <x:c r="G991" s="25" t="str">
        <x:v>从C0至当前检查点累计需求；未扣自身未来产出，不代表已有库存</x:v>
      </x:c>
    </x:row>
    <x:row r="992">
      <x:c r="A992" s="25" t="str">
        <x:v>C07-M</x:v>
      </x:c>
      <x:c r="B992" s="25" t="str">
        <x:v>化圣雪原</x:v>
      </x:c>
      <x:c r="C992" s="25" t="str">
        <x:v>半急速中期</x:v>
      </x:c>
      <x:c r="D992" s="25" t="str">
        <x:v>材料</x:v>
      </x:c>
      <x:c r="E992" s="25" t="str">
        <x:v>学院封蜡</x:v>
      </x:c>
      <x:c r="F992" s="25" t="n">
        <x:v>24</x:v>
      </x:c>
      <x:c r="G992" s="25" t="str">
        <x:v>从C0至当前检查点累计需求；未扣自身未来产出，不代表已有库存</x:v>
      </x:c>
    </x:row>
    <x:row r="993">
      <x:c r="A993" s="25" t="str">
        <x:v>C07-M</x:v>
      </x:c>
      <x:c r="B993" s="25" t="str">
        <x:v>化圣雪原</x:v>
      </x:c>
      <x:c r="C993" s="25" t="str">
        <x:v>半急速中期</x:v>
      </x:c>
      <x:c r="D993" s="25" t="str">
        <x:v>材料</x:v>
      </x:c>
      <x:c r="E993" s="25" t="str">
        <x:v>宁姆格福誓页</x:v>
      </x:c>
      <x:c r="F993" s="25" t="n">
        <x:v>90</x:v>
      </x:c>
      <x:c r="G993" s="25" t="str">
        <x:v>从C0至当前检查点累计需求；未扣自身未来产出，不代表已有库存</x:v>
      </x:c>
    </x:row>
    <x:row r="994">
      <x:c r="A994" s="25" t="str">
        <x:v>C07-M</x:v>
      </x:c>
      <x:c r="B994" s="25" t="str">
        <x:v>化圣雪原</x:v>
      </x:c>
      <x:c r="C994" s="25" t="str">
        <x:v>半急速中期</x:v>
      </x:c>
      <x:c r="D994" s="25" t="str">
        <x:v>材料</x:v>
      </x:c>
      <x:c r="E994" s="25" t="str">
        <x:v>小卢恩</x:v>
      </x:c>
      <x:c r="F994" s="25" t="n">
        <x:v>250</x:v>
      </x:c>
      <x:c r="G994" s="25" t="str">
        <x:v>从C0至当前检查点累计需求；未扣自身未来产出，不代表已有库存</x:v>
      </x:c>
    </x:row>
    <x:row r="995">
      <x:c r="A995" s="25" t="str">
        <x:v>C07-M</x:v>
      </x:c>
      <x:c r="B995" s="25" t="str">
        <x:v>化圣雪原</x:v>
      </x:c>
      <x:c r="C995" s="25" t="str">
        <x:v>半急速中期</x:v>
      </x:c>
      <x:c r="D995" s="25" t="str">
        <x:v>材料</x:v>
      </x:c>
      <x:c r="E995" s="25" t="str">
        <x:v>山妖王角</x:v>
      </x:c>
      <x:c r="F995" s="25" t="n">
        <x:v>2</x:v>
      </x:c>
      <x:c r="G995" s="25" t="str">
        <x:v>从C0至当前检查点累计需求；未扣自身未来产出，不代表已有库存</x:v>
      </x:c>
    </x:row>
    <x:row r="996">
      <x:c r="A996" s="25" t="str">
        <x:v>C07-M</x:v>
      </x:c>
      <x:c r="B996" s="25" t="str">
        <x:v>化圣雪原</x:v>
      </x:c>
      <x:c r="C996" s="25" t="str">
        <x:v>半急速中期</x:v>
      </x:c>
      <x:c r="D996" s="25" t="str">
        <x:v>材料</x:v>
      </x:c>
      <x:c r="E996" s="25" t="str">
        <x:v>幽船铆钉</x:v>
      </x:c>
      <x:c r="F996" s="25" t="n">
        <x:v>21</x:v>
      </x:c>
      <x:c r="G996" s="25" t="str">
        <x:v>从C0至当前检查点累计需求；未扣自身未来产出，不代表已有库存</x:v>
      </x:c>
    </x:row>
    <x:row r="997">
      <x:c r="A997" s="25" t="str">
        <x:v>C07-M</x:v>
      </x:c>
      <x:c r="B997" s="25" t="str">
        <x:v>化圣雪原</x:v>
      </x:c>
      <x:c r="C997" s="25" t="str">
        <x:v>半急速中期</x:v>
      </x:c>
      <x:c r="D997" s="25" t="str">
        <x:v>材料</x:v>
      </x:c>
      <x:c r="E997" s="25" t="str">
        <x:v>恶兆残角</x:v>
      </x:c>
      <x:c r="F997" s="25" t="n">
        <x:v>1</x:v>
      </x:c>
      <x:c r="G997" s="25" t="str">
        <x:v>从C0至当前检查点累计需求；未扣自身未来产出，不代表已有库存</x:v>
      </x:c>
    </x:row>
    <x:row r="998">
      <x:c r="A998" s="25" t="str">
        <x:v>C07-M</x:v>
      </x:c>
      <x:c r="B998" s="25" t="str">
        <x:v>化圣雪原</x:v>
      </x:c>
      <x:c r="C998" s="25" t="str">
        <x:v>半急速中期</x:v>
      </x:c>
      <x:c r="D998" s="25" t="str">
        <x:v>材料</x:v>
      </x:c>
      <x:c r="E998" s="25" t="str">
        <x:v>技能残页</x:v>
      </x:c>
      <x:c r="F998" s="25" t="n">
        <x:v>1350</x:v>
      </x:c>
      <x:c r="G998" s="25" t="str">
        <x:v>从C0至当前检查点累计需求；未扣自身未来产出，不代表已有库存</x:v>
      </x:c>
    </x:row>
    <x:row r="999">
      <x:c r="A999" s="25" t="str">
        <x:v>C07-M</x:v>
      </x:c>
      <x:c r="B999" s="25" t="str">
        <x:v>化圣雪原</x:v>
      </x:c>
      <x:c r="C999" s="25" t="str">
        <x:v>半急速中期</x:v>
      </x:c>
      <x:c r="D999" s="25" t="str">
        <x:v>材料</x:v>
      </x:c>
      <x:c r="E999" s="25" t="str">
        <x:v>接肢兽心</x:v>
      </x:c>
      <x:c r="F999" s="25" t="n">
        <x:v>2</x:v>
      </x:c>
      <x:c r="G999" s="25" t="str">
        <x:v>从C0至当前检查点累计需求；未扣自身未来产出，不代表已有库存</x:v>
      </x:c>
    </x:row>
    <x:row r="1000">
      <x:c r="A1000" s="25" t="str">
        <x:v>C07-M</x:v>
      </x:c>
      <x:c r="B1000" s="25" t="str">
        <x:v>化圣雪原</x:v>
      </x:c>
      <x:c r="C1000" s="25" t="str">
        <x:v>半急速中期</x:v>
      </x:c>
      <x:c r="D1000" s="25" t="str">
        <x:v>材料</x:v>
      </x:c>
      <x:c r="E1000" s="25" t="str">
        <x:v>接肢王印</x:v>
      </x:c>
      <x:c r="F1000" s="25" t="n">
        <x:v>13</x:v>
      </x:c>
      <x:c r="G1000" s="25" t="str">
        <x:v>从C0至当前检查点累计需求；未扣自身未来产出，不代表已有库存</x:v>
      </x:c>
    </x:row>
    <x:row r="1001">
      <x:c r="A1001" s="25" t="str">
        <x:v>C07-M</x:v>
      </x:c>
      <x:c r="B1001" s="25" t="str">
        <x:v>化圣雪原</x:v>
      </x:c>
      <x:c r="C1001" s="25" t="str">
        <x:v>半急速中期</x:v>
      </x:c>
      <x:c r="D1001" s="25" t="str">
        <x:v>材料</x:v>
      </x:c>
      <x:c r="E1001" s="25" t="str">
        <x:v>接肢王魂</x:v>
      </x:c>
      <x:c r="F1001" s="25" t="n">
        <x:v>1</x:v>
      </x:c>
      <x:c r="G1001" s="25" t="str">
        <x:v>从C0至当前检查点累计需求；未扣自身未来产出，不代表已有库存</x:v>
      </x:c>
    </x:row>
    <x:row r="1002">
      <x:c r="A1002" s="25" t="str">
        <x:v>C07-M</x:v>
      </x:c>
      <x:c r="B1002" s="25" t="str">
        <x:v>化圣雪原</x:v>
      </x:c>
      <x:c r="C1002" s="25" t="str">
        <x:v>半急速中期</x:v>
      </x:c>
      <x:c r="D1002" s="25" t="str">
        <x:v>材料</x:v>
      </x:c>
      <x:c r="E1002" s="25" t="str">
        <x:v>月潮忆珀</x:v>
      </x:c>
      <x:c r="F1002" s="25" t="n">
        <x:v>1</x:v>
      </x:c>
      <x:c r="G1002" s="25" t="str">
        <x:v>从C0至当前检查点累计需求；未扣自身未来产出，不代表已有库存</x:v>
      </x:c>
    </x:row>
    <x:row r="1003">
      <x:c r="A1003" s="25" t="str">
        <x:v>C07-M</x:v>
      </x:c>
      <x:c r="B1003" s="25" t="str">
        <x:v>化圣雪原</x:v>
      </x:c>
      <x:c r="C1003" s="25" t="str">
        <x:v>半急速中期</x:v>
      </x:c>
      <x:c r="D1003" s="25" t="str">
        <x:v>材料</x:v>
      </x:c>
      <x:c r="E1003" s="25" t="str">
        <x:v>月蚀镜片</x:v>
      </x:c>
      <x:c r="F1003" s="25" t="n">
        <x:v>14</x:v>
      </x:c>
      <x:c r="G1003" s="25" t="str">
        <x:v>从C0至当前检查点累计需求；未扣自身未来产出，不代表已有库存</x:v>
      </x:c>
    </x:row>
    <x:row r="1004">
      <x:c r="A1004" s="25" t="str">
        <x:v>C07-M</x:v>
      </x:c>
      <x:c r="B1004" s="25" t="str">
        <x:v>化圣雪原</x:v>
      </x:c>
      <x:c r="C1004" s="25" t="str">
        <x:v>半急速中期</x:v>
      </x:c>
      <x:c r="D1004" s="25" t="str">
        <x:v>材料</x:v>
      </x:c>
      <x:c r="E1004" s="25" t="str">
        <x:v>树卫枪穗</x:v>
      </x:c>
      <x:c r="F1004" s="25" t="n">
        <x:v>1</x:v>
      </x:c>
      <x:c r="G1004" s="25" t="str">
        <x:v>从C0至当前检查点累计需求；未扣自身未来产出，不代表已有库存</x:v>
      </x:c>
    </x:row>
    <x:row r="1005">
      <x:c r="A1005" s="25" t="str">
        <x:v>C07-M</x:v>
      </x:c>
      <x:c r="B1005" s="25" t="str">
        <x:v>化圣雪原</x:v>
      </x:c>
      <x:c r="C1005" s="25" t="str">
        <x:v>半急速中期</x:v>
      </x:c>
      <x:c r="D1005" s="25" t="str">
        <x:v>材料</x:v>
      </x:c>
      <x:c r="E1005" s="25" t="str">
        <x:v>死亡仪羽</x:v>
      </x:c>
      <x:c r="F1005" s="25" t="n">
        <x:v>2</x:v>
      </x:c>
      <x:c r="G1005" s="25" t="str">
        <x:v>从C0至当前检查点累计需求；未扣自身未来产出，不代表已有库存</x:v>
      </x:c>
    </x:row>
    <x:row r="1006">
      <x:c r="A1006" s="25" t="str">
        <x:v>C07-M</x:v>
      </x:c>
      <x:c r="B1006" s="25" t="str">
        <x:v>化圣雪原</x:v>
      </x:c>
      <x:c r="C1006" s="25" t="str">
        <x:v>半急速中期</x:v>
      </x:c>
      <x:c r="D1006" s="25" t="str">
        <x:v>材料</x:v>
      </x:c>
      <x:c r="E1006" s="25" t="str">
        <x:v>沉湖王印</x:v>
      </x:c>
      <x:c r="F1006" s="25" t="n">
        <x:v>16</x:v>
      </x:c>
      <x:c r="G1006" s="25" t="str">
        <x:v>从C0至当前检查点累计需求；未扣自身未来产出，不代表已有库存</x:v>
      </x:c>
    </x:row>
    <x:row r="1007">
      <x:c r="A1007" s="25" t="str">
        <x:v>C07-M</x:v>
      </x:c>
      <x:c r="B1007" s="25" t="str">
        <x:v>化圣雪原</x:v>
      </x:c>
      <x:c r="C1007" s="25" t="str">
        <x:v>半急速中期</x:v>
      </x:c>
      <x:c r="D1007" s="25" t="str">
        <x:v>材料</x:v>
      </x:c>
      <x:c r="E1007" s="25" t="str">
        <x:v>沉船缆扣</x:v>
      </x:c>
      <x:c r="F1007" s="25" t="n">
        <x:v>12</x:v>
      </x:c>
      <x:c r="G1007" s="25" t="str">
        <x:v>从C0至当前检查点累计需求；未扣自身未来产出，不代表已有库存</x:v>
      </x:c>
    </x:row>
    <x:row r="1008">
      <x:c r="A1008" s="25" t="str">
        <x:v>C07-M</x:v>
      </x:c>
      <x:c r="B1008" s="25" t="str">
        <x:v>化圣雪原</x:v>
      </x:c>
      <x:c r="C1008" s="25" t="str">
        <x:v>半急速中期</x:v>
      </x:c>
      <x:c r="D1008" s="25" t="str">
        <x:v>材料</x:v>
      </x:c>
      <x:c r="E1008" s="25" t="str">
        <x:v>海蚀铁片</x:v>
      </x:c>
      <x:c r="F1008" s="25" t="n">
        <x:v>160</x:v>
      </x:c>
      <x:c r="G1008" s="25" t="str">
        <x:v>从C0至当前检查点累计需求；未扣自身未来产出，不代表已有库存</x:v>
      </x:c>
    </x:row>
    <x:row r="1009">
      <x:c r="A1009" s="25" t="str">
        <x:v>C07-M</x:v>
      </x:c>
      <x:c r="B1009" s="25" t="str">
        <x:v>化圣雪原</x:v>
      </x:c>
      <x:c r="C1009" s="25" t="str">
        <x:v>半急速中期</x:v>
      </x:c>
      <x:c r="D1009" s="25" t="str">
        <x:v>材料</x:v>
      </x:c>
      <x:c r="E1009" s="25" t="str">
        <x:v>湖底封门珠</x:v>
      </x:c>
      <x:c r="F1009" s="25" t="n">
        <x:v>8</x:v>
      </x:c>
      <x:c r="G1009" s="25" t="str">
        <x:v>从C0至当前检查点累计需求；未扣自身未来产出，不代表已有库存</x:v>
      </x:c>
    </x:row>
    <x:row r="1010">
      <x:c r="A1010" s="25" t="str">
        <x:v>C07-M</x:v>
      </x:c>
      <x:c r="B1010" s="25" t="str">
        <x:v>化圣雪原</x:v>
      </x:c>
      <x:c r="C1010" s="25" t="str">
        <x:v>半急速中期</x:v>
      </x:c>
      <x:c r="D1010" s="25" t="str">
        <x:v>材料</x:v>
      </x:c>
      <x:c r="E1010" s="25" t="str">
        <x:v>湖心月谱残章</x:v>
      </x:c>
      <x:c r="F1010" s="25" t="n">
        <x:v>1</x:v>
      </x:c>
      <x:c r="G1010" s="25" t="str">
        <x:v>从C0至当前检查点累计需求；未扣自身未来产出，不代表已有库存</x:v>
      </x:c>
    </x:row>
    <x:row r="1011">
      <x:c r="A1011" s="25" t="str">
        <x:v>C07-M</x:v>
      </x:c>
      <x:c r="B1011" s="25" t="str">
        <x:v>化圣雪原</x:v>
      </x:c>
      <x:c r="C1011" s="25" t="str">
        <x:v>半急速中期</x:v>
      </x:c>
      <x:c r="D1011" s="25" t="str">
        <x:v>材料</x:v>
      </x:c>
      <x:c r="E1011" s="25" t="str">
        <x:v>湖盐结晶</x:v>
      </x:c>
      <x:c r="F1011" s="25" t="n">
        <x:v>1647</x:v>
      </x:c>
      <x:c r="G1011" s="25" t="str">
        <x:v>从C0至当前检查点累计需求；未扣自身未来产出，不代表已有库存</x:v>
      </x:c>
    </x:row>
    <x:row r="1012">
      <x:c r="A1012" s="25" t="str">
        <x:v>C07-M</x:v>
      </x:c>
      <x:c r="B1012" s="25" t="str">
        <x:v>化圣雪原</x:v>
      </x:c>
      <x:c r="C1012" s="25" t="str">
        <x:v>半急速中期</x:v>
      </x:c>
      <x:c r="D1012" s="25" t="str">
        <x:v>材料</x:v>
      </x:c>
      <x:c r="E1012" s="25" t="str">
        <x:v>溃烂树核</x:v>
      </x:c>
      <x:c r="F1012" s="25" t="n">
        <x:v>1</x:v>
      </x:c>
      <x:c r="G1012" s="25" t="str">
        <x:v>从C0至当前检查点累计需求；未扣自身未来产出，不代表已有库存</x:v>
      </x:c>
    </x:row>
    <x:row r="1013">
      <x:c r="A1013" s="25" t="str">
        <x:v>C07-M</x:v>
      </x:c>
      <x:c r="B1013" s="25" t="str">
        <x:v>化圣雪原</x:v>
      </x:c>
      <x:c r="C1013" s="25" t="str">
        <x:v>半急速中期</x:v>
      </x:c>
      <x:c r="D1013" s="25" t="str">
        <x:v>材料</x:v>
      </x:c>
      <x:c r="E1013" s="25" t="str">
        <x:v>满月王室印</x:v>
      </x:c>
      <x:c r="F1013" s="25" t="n">
        <x:v>41</x:v>
      </x:c>
      <x:c r="G1013" s="25" t="str">
        <x:v>从C0至当前检查点累计需求；未扣自身未来产出，不代表已有库存</x:v>
      </x:c>
    </x:row>
    <x:row r="1014">
      <x:c r="A1014" s="25" t="str">
        <x:v>C07-M</x:v>
      </x:c>
      <x:c r="B1014" s="25" t="str">
        <x:v>化圣雪原</x:v>
      </x:c>
      <x:c r="C1014" s="25" t="str">
        <x:v>半急速中期</x:v>
      </x:c>
      <x:c r="D1014" s="25" t="str">
        <x:v>材料</x:v>
      </x:c>
      <x:c r="E1014" s="25" t="str">
        <x:v>漂流大陆印记</x:v>
      </x:c>
      <x:c r="F1014" s="25" t="n">
        <x:v>11</x:v>
      </x:c>
      <x:c r="G1014" s="25" t="str">
        <x:v>从C0至当前检查点累计需求；未扣自身未来产出，不代表已有库存</x:v>
      </x:c>
    </x:row>
    <x:row r="1015">
      <x:c r="A1015" s="25" t="str">
        <x:v>C07-M</x:v>
      </x:c>
      <x:c r="B1015" s="25" t="str">
        <x:v>化圣雪原</x:v>
      </x:c>
      <x:c r="C1015" s="25" t="str">
        <x:v>半急速中期</x:v>
      </x:c>
      <x:c r="D1015" s="25" t="str">
        <x:v>材料</x:v>
      </x:c>
      <x:c r="E1015" s="25" t="str">
        <x:v>漂流见证·潮</x:v>
      </x:c>
      <x:c r="F1015" s="25" t="n">
        <x:v>8</x:v>
      </x:c>
      <x:c r="G1015" s="25" t="str">
        <x:v>从C0至当前检查点累计需求；未扣自身未来产出，不代表已有库存</x:v>
      </x:c>
    </x:row>
    <x:row r="1016">
      <x:c r="A1016" s="25" t="str">
        <x:v>C07-M</x:v>
      </x:c>
      <x:c r="B1016" s="25" t="str">
        <x:v>化圣雪原</x:v>
      </x:c>
      <x:c r="C1016" s="25" t="str">
        <x:v>半急速中期</x:v>
      </x:c>
      <x:c r="D1016" s="25" t="str">
        <x:v>材料</x:v>
      </x:c>
      <x:c r="E1016" s="25" t="str">
        <x:v>漂流见证·雷</x:v>
      </x:c>
      <x:c r="F1016" s="25" t="n">
        <x:v>8</x:v>
      </x:c>
      <x:c r="G1016" s="25" t="str">
        <x:v>从C0至当前检查点累计需求；未扣自身未来产出，不代表已有库存</x:v>
      </x:c>
    </x:row>
    <x:row r="1017">
      <x:c r="A1017" s="25" t="str">
        <x:v>C07-M</x:v>
      </x:c>
      <x:c r="B1017" s="25" t="str">
        <x:v>化圣雪原</x:v>
      </x:c>
      <x:c r="C1017" s="25" t="str">
        <x:v>半急速中期</x:v>
      </x:c>
      <x:c r="D1017" s="25" t="str">
        <x:v>材料</x:v>
      </x:c>
      <x:c r="E1017" s="25" t="str">
        <x:v>潮痕结晶</x:v>
      </x:c>
      <x:c r="F1017" s="25" t="n">
        <x:v>16</x:v>
      </x:c>
      <x:c r="G1017" s="25" t="str">
        <x:v>从C0至当前检查点累计需求；未扣自身未来产出，不代表已有库存</x:v>
      </x:c>
    </x:row>
    <x:row r="1018">
      <x:c r="A1018" s="25" t="str">
        <x:v>C07-M</x:v>
      </x:c>
      <x:c r="B1018" s="25" t="str">
        <x:v>化圣雪原</x:v>
      </x:c>
      <x:c r="C1018" s="25" t="str">
        <x:v>半急速中期</x:v>
      </x:c>
      <x:c r="D1018" s="25" t="str">
        <x:v>材料</x:v>
      </x:c>
      <x:c r="E1018" s="25" t="str">
        <x:v>熊王心脏</x:v>
      </x:c>
      <x:c r="F1018" s="25" t="n">
        <x:v>2</x:v>
      </x:c>
      <x:c r="G1018" s="25" t="str">
        <x:v>从C0至当前检查点累计需求；未扣自身未来产出，不代表已有库存</x:v>
      </x:c>
    </x:row>
    <x:row r="1019">
      <x:c r="A1019" s="25" t="str">
        <x:v>C07-M</x:v>
      </x:c>
      <x:c r="B1019" s="25" t="str">
        <x:v>化圣雪原</x:v>
      </x:c>
      <x:c r="C1019" s="25" t="str">
        <x:v>半急速中期</x:v>
      </x:c>
      <x:c r="D1019" s="25" t="str">
        <x:v>材料</x:v>
      </x:c>
      <x:c r="E1019" s="25" t="str">
        <x:v>熔原罪火残章</x:v>
      </x:c>
      <x:c r="F1019" s="25" t="n">
        <x:v>1</x:v>
      </x:c>
      <x:c r="G1019" s="25" t="str">
        <x:v>从C0至当前检查点累计需求；未扣自身未来产出，不代表已有库存</x:v>
      </x:c>
    </x:row>
    <x:row r="1020">
      <x:c r="A1020" s="25" t="str">
        <x:v>C07-M</x:v>
      </x:c>
      <x:c r="B1020" s="25" t="str">
        <x:v>化圣雪原</x:v>
      </x:c>
      <x:c r="C1020" s="25" t="str">
        <x:v>半急速中期</x:v>
      </x:c>
      <x:c r="D1020" s="25" t="str">
        <x:v>材料</x:v>
      </x:c>
      <x:c r="E1020" s="25" t="str">
        <x:v>熔炉角片</x:v>
      </x:c>
      <x:c r="F1020" s="25" t="n">
        <x:v>1</x:v>
      </x:c>
      <x:c r="G1020" s="25" t="str">
        <x:v>从C0至当前检查点累计需求；未扣自身未来产出，不代表已有库存</x:v>
      </x:c>
    </x:row>
    <x:row r="1021">
      <x:c r="A1021" s="25" t="str">
        <x:v>C07-M</x:v>
      </x:c>
      <x:c r="B1021" s="25" t="str">
        <x:v>化圣雪原</x:v>
      </x:c>
      <x:c r="C1021" s="25" t="str">
        <x:v>半急速中期</x:v>
      </x:c>
      <x:c r="D1021" s="25" t="str">
        <x:v>材料</x:v>
      </x:c>
      <x:c r="E1021" s="25" t="str">
        <x:v>猩红矿渣</x:v>
      </x:c>
      <x:c r="F1021" s="25" t="n">
        <x:v>1737</x:v>
      </x:c>
      <x:c r="G1021" s="25" t="str">
        <x:v>从C0至当前检查点累计需求；未扣自身未来产出，不代表已有库存</x:v>
      </x:c>
    </x:row>
    <x:row r="1022">
      <x:c r="A1022" s="25" t="str">
        <x:v>C07-M</x:v>
      </x:c>
      <x:c r="B1022" s="25" t="str">
        <x:v>化圣雪原</x:v>
      </x:c>
      <x:c r="C1022" s="25" t="str">
        <x:v>半急速中期</x:v>
      </x:c>
      <x:c r="D1022" s="25" t="str">
        <x:v>材料</x:v>
      </x:c>
      <x:c r="E1022" s="25" t="str">
        <x:v>王城军印</x:v>
      </x:c>
      <x:c r="F1022" s="25" t="n">
        <x:v>1</x:v>
      </x:c>
      <x:c r="G1022" s="25" t="str">
        <x:v>从C0至当前检查点累计需求；未扣自身未来产出，不代表已有库存</x:v>
      </x:c>
    </x:row>
    <x:row r="1023">
      <x:c r="A1023" s="25" t="str">
        <x:v>C07-M</x:v>
      </x:c>
      <x:c r="B1023" s="25" t="str">
        <x:v>化圣雪原</x:v>
      </x:c>
      <x:c r="C1023" s="25" t="str">
        <x:v>半急速中期</x:v>
      </x:c>
      <x:c r="D1023" s="25" t="str">
        <x:v>材料</x:v>
      </x:c>
      <x:c r="E1023" s="25" t="str">
        <x:v>看门犬石心</x:v>
      </x:c>
      <x:c r="F1023" s="25" t="n">
        <x:v>2</x:v>
      </x:c>
      <x:c r="G1023" s="25" t="str">
        <x:v>从C0至当前检查点累计需求；未扣自身未来产出，不代表已有库存</x:v>
      </x:c>
    </x:row>
    <x:row r="1024">
      <x:c r="A1024" s="25" t="str">
        <x:v>C07-M</x:v>
      </x:c>
      <x:c r="B1024" s="25" t="str">
        <x:v>化圣雪原</x:v>
      </x:c>
      <x:c r="C1024" s="25" t="str">
        <x:v>半急速中期</x:v>
      </x:c>
      <x:c r="D1024" s="25" t="str">
        <x:v>材料</x:v>
      </x:c>
      <x:c r="E1024" s="25" t="str">
        <x:v>碎星仪仗钉</x:v>
      </x:c>
      <x:c r="F1024" s="25" t="n">
        <x:v>2</x:v>
      </x:c>
      <x:c r="G1024" s="25" t="str">
        <x:v>从C0至当前检查点累计需求；未扣自身未来产出，不代表已有库存</x:v>
      </x:c>
    </x:row>
    <x:row r="1025">
      <x:c r="A1025" s="25" t="str">
        <x:v>C07-M</x:v>
      </x:c>
      <x:c r="B1025" s="25" t="str">
        <x:v>化圣雪原</x:v>
      </x:c>
      <x:c r="C1025" s="25" t="str">
        <x:v>半急速中期</x:v>
      </x:c>
      <x:c r="D1025" s="25" t="str">
        <x:v>材料</x:v>
      </x:c>
      <x:c r="E1025" s="25" t="str">
        <x:v>神秘符文</x:v>
      </x:c>
      <x:c r="F1025" s="25" t="n">
        <x:v>400</x:v>
      </x:c>
      <x:c r="G1025" s="25" t="str">
        <x:v>从C0至当前检查点累计需求；未扣自身未来产出，不代表已有库存</x:v>
      </x:c>
    </x:row>
    <x:row r="1026">
      <x:c r="A1026" s="25" t="str">
        <x:v>C07-M</x:v>
      </x:c>
      <x:c r="B1026" s="25" t="str">
        <x:v>化圣雪原</x:v>
      </x:c>
      <x:c r="C1026" s="25" t="str">
        <x:v>半急速中期</x:v>
      </x:c>
      <x:c r="D1026" s="25" t="str">
        <x:v>材料</x:v>
      </x:c>
      <x:c r="E1026" s="25" t="str">
        <x:v>禁域星钥</x:v>
      </x:c>
      <x:c r="F1026" s="25" t="n">
        <x:v>2</x:v>
      </x:c>
      <x:c r="G1026" s="25" t="str">
        <x:v>从C0至当前检查点累计需求；未扣自身未来产出，不代表已有库存</x:v>
      </x:c>
    </x:row>
    <x:row r="1027">
      <x:c r="A1027" s="25" t="str">
        <x:v>C07-M</x:v>
      </x:c>
      <x:c r="B1027" s="25" t="str">
        <x:v>化圣雪原</x:v>
      </x:c>
      <x:c r="C1027" s="25" t="str">
        <x:v>半急速中期</x:v>
      </x:c>
      <x:c r="D1027" s="25" t="str">
        <x:v>材料</x:v>
      </x:c>
      <x:c r="E1027" s="25" t="str">
        <x:v>红狮战印</x:v>
      </x:c>
      <x:c r="F1027" s="25" t="n">
        <x:v>42</x:v>
      </x:c>
      <x:c r="G1027" s="25" t="str">
        <x:v>从C0至当前检查点累计需求；未扣自身未来产出，不代表已有库存</x:v>
      </x:c>
    </x:row>
    <x:row r="1028">
      <x:c r="A1028" s="25" t="str">
        <x:v>C07-M</x:v>
      </x:c>
      <x:c r="B1028" s="25" t="str">
        <x:v>化圣雪原</x:v>
      </x:c>
      <x:c r="C1028" s="25" t="str">
        <x:v>半急速中期</x:v>
      </x:c>
      <x:c r="D1028" s="25" t="str">
        <x:v>材料</x:v>
      </x:c>
      <x:c r="E1028" s="25" t="str">
        <x:v>腐根魂结</x:v>
      </x:c>
      <x:c r="F1028" s="25" t="n">
        <x:v>2</x:v>
      </x:c>
      <x:c r="G1028" s="25" t="str">
        <x:v>从C0至当前检查点累计需求；未扣自身未来产出，不代表已有库存</x:v>
      </x:c>
    </x:row>
    <x:row r="1029">
      <x:c r="A1029" s="25" t="str">
        <x:v>C07-M</x:v>
      </x:c>
      <x:c r="B1029" s="25" t="str">
        <x:v>化圣雪原</x:v>
      </x:c>
      <x:c r="C1029" s="25" t="str">
        <x:v>半急速中期</x:v>
      </x:c>
      <x:c r="D1029" s="25" t="str">
        <x:v>材料</x:v>
      </x:c>
      <x:c r="E1029" s="25" t="str">
        <x:v>裂风崖羽</x:v>
      </x:c>
      <x:c r="F1029" s="25" t="n">
        <x:v>80</x:v>
      </x:c>
      <x:c r="G1029" s="25" t="str">
        <x:v>从C0至当前检查点累计需求；未扣自身未来产出，不代表已有库存</x:v>
      </x:c>
    </x:row>
    <x:row r="1030">
      <x:c r="A1030" s="25" t="str">
        <x:v>C07-M</x:v>
      </x:c>
      <x:c r="B1030" s="25" t="str">
        <x:v>化圣雪原</x:v>
      </x:c>
      <x:c r="C1030" s="25" t="str">
        <x:v>半急速中期</x:v>
      </x:c>
      <x:c r="D1030" s="25" t="str">
        <x:v>材料</x:v>
      </x:c>
      <x:c r="E1030" s="25" t="str">
        <x:v>西境战旗</x:v>
      </x:c>
      <x:c r="F1030" s="25" t="n">
        <x:v>20</x:v>
      </x:c>
      <x:c r="G1030" s="25" t="str">
        <x:v>从C0至当前检查点累计需求；未扣自身未来产出，不代表已有库存</x:v>
      </x:c>
    </x:row>
    <x:row r="1031">
      <x:c r="A1031" s="25" t="str">
        <x:v>C07-M</x:v>
      </x:c>
      <x:c r="B1031" s="25" t="str">
        <x:v>化圣雪原</x:v>
      </x:c>
      <x:c r="C1031" s="25" t="str">
        <x:v>半急速中期</x:v>
      </x:c>
      <x:c r="D1031" s="25" t="str">
        <x:v>材料</x:v>
      </x:c>
      <x:c r="E1031" s="25" t="str">
        <x:v>西境战旗印</x:v>
      </x:c>
      <x:c r="F1031" s="25" t="n">
        <x:v>13</x:v>
      </x:c>
      <x:c r="G1031" s="25" t="str">
        <x:v>从C0至当前检查点累计需求；未扣自身未来产出，不代表已有库存</x:v>
      </x:c>
    </x:row>
    <x:row r="1032">
      <x:c r="A1032" s="25" t="str">
        <x:v>C07-M</x:v>
      </x:c>
      <x:c r="B1032" s="25" t="str">
        <x:v>化圣雪原</x:v>
      </x:c>
      <x:c r="C1032" s="25" t="str">
        <x:v>半急速中期</x:v>
      </x:c>
      <x:c r="D1032" s="25" t="str">
        <x:v>材料</x:v>
      </x:c>
      <x:c r="E1032" s="25" t="str">
        <x:v>西境风痕碑拓</x:v>
      </x:c>
      <x:c r="F1032" s="25" t="n">
        <x:v>1</x:v>
      </x:c>
      <x:c r="G1032" s="25" t="str">
        <x:v>从C0至当前检查点累计需求；未扣自身未来产出，不代表已有库存</x:v>
      </x:c>
    </x:row>
    <x:row r="1033">
      <x:c r="A1033" s="25" t="str">
        <x:v>C07-M</x:v>
      </x:c>
      <x:c r="B1033" s="25" t="str">
        <x:v>化圣雪原</x:v>
      </x:c>
      <x:c r="C1033" s="25" t="str">
        <x:v>半急速中期</x:v>
      </x:c>
      <x:c r="D1033" s="25" t="str">
        <x:v>材料</x:v>
      </x:c>
      <x:c r="E1033" s="25" t="str">
        <x:v>贵胄断指</x:v>
      </x:c>
      <x:c r="F1033" s="25" t="n">
        <x:v>1</x:v>
      </x:c>
      <x:c r="G1033" s="25" t="str">
        <x:v>从C0至当前检查点累计需求；未扣自身未来产出，不代表已有库存</x:v>
      </x:c>
    </x:row>
    <x:row r="1034">
      <x:c r="A1034" s="25" t="str">
        <x:v>C07-M</x:v>
      </x:c>
      <x:c r="B1034" s="25" t="str">
        <x:v>化圣雪原</x:v>
      </x:c>
      <x:c r="C1034" s="25" t="str">
        <x:v>半急速中期</x:v>
      </x:c>
      <x:c r="D1034" s="25" t="str">
        <x:v>材料</x:v>
      </x:c>
      <x:c r="E1034" s="25" t="str">
        <x:v>辉石碎晶</x:v>
      </x:c>
      <x:c r="F1034" s="25" t="n">
        <x:v>1370</x:v>
      </x:c>
      <x:c r="G1034" s="25" t="str">
        <x:v>从C0至当前检查点累计需求；未扣自身未来产出，不代表已有库存</x:v>
      </x:c>
    </x:row>
    <x:row r="1035">
      <x:c r="A1035" s="25" t="str">
        <x:v>C07-M</x:v>
      </x:c>
      <x:c r="B1035" s="25" t="str">
        <x:v>化圣雪原</x:v>
      </x:c>
      <x:c r="C1035" s="25" t="str">
        <x:v>半急速中期</x:v>
      </x:c>
      <x:c r="D1035" s="25" t="str">
        <x:v>材料</x:v>
      </x:c>
      <x:c r="E1035" s="25" t="str">
        <x:v>野兽骨片</x:v>
      </x:c>
      <x:c r="F1035" s="25" t="n">
        <x:v>31660</x:v>
      </x:c>
      <x:c r="G1035" s="25" t="str">
        <x:v>从C0至当前检查点累计需求；未扣自身未来产出，不代表已有库存</x:v>
      </x:c>
    </x:row>
    <x:row r="1036">
      <x:c r="A1036" s="25" t="str">
        <x:v>C07-M</x:v>
      </x:c>
      <x:c r="B1036" s="25" t="str">
        <x:v>化圣雪原</x:v>
      </x:c>
      <x:c r="C1036" s="25" t="str">
        <x:v>半急速中期</x:v>
      </x:c>
      <x:c r="D1036" s="25" t="str">
        <x:v>材料</x:v>
      </x:c>
      <x:c r="E1036" s="25" t="str">
        <x:v>雾潮银鳞</x:v>
      </x:c>
      <x:c r="F1036" s="25" t="n">
        <x:v>272</x:v>
      </x:c>
      <x:c r="G1036" s="25" t="str">
        <x:v>从C0至当前检查点累计需求；未扣自身未来产出，不代表已有库存</x:v>
      </x:c>
    </x:row>
    <x:row r="1037">
      <x:c r="A1037" s="25" t="str">
        <x:v>C07-M</x:v>
      </x:c>
      <x:c r="B1037" s="25" t="str">
        <x:v>化圣雪原</x:v>
      </x:c>
      <x:c r="C1037" s="25" t="str">
        <x:v>半急速中期</x:v>
      </x:c>
      <x:c r="D1037" s="25" t="str">
        <x:v>材料</x:v>
      </x:c>
      <x:c r="E1037" s="25" t="str">
        <x:v>风暴王核</x:v>
      </x:c>
      <x:c r="F1037" s="25" t="n">
        <x:v>1</x:v>
      </x:c>
      <x:c r="G1037" s="25" t="str">
        <x:v>从C0至当前检查点累计需求；未扣自身未来产出，不代表已有库存</x:v>
      </x:c>
    </x:row>
    <x:row r="1038">
      <x:c r="A1038" s="25" t="str">
        <x:v>C07-M</x:v>
      </x:c>
      <x:c r="B1038" s="25" t="str">
        <x:v>化圣雪原</x:v>
      </x:c>
      <x:c r="C1038" s="25" t="str">
        <x:v>半急速中期</x:v>
      </x:c>
      <x:c r="D1038" s="25" t="str">
        <x:v>材料</x:v>
      </x:c>
      <x:c r="E1038" s="25" t="str">
        <x:v>风暴石片</x:v>
      </x:c>
      <x:c r="F1038" s="25" t="n">
        <x:v>370</x:v>
      </x:c>
      <x:c r="G1038" s="25" t="str">
        <x:v>从C0至当前检查点累计需求；未扣自身未来产出，不代表已有库存</x:v>
      </x:c>
    </x:row>
    <x:row r="1039">
      <x:c r="A1039" s="25" t="str">
        <x:v>C07-M</x:v>
      </x:c>
      <x:c r="B1039" s="25" t="str">
        <x:v>化圣雪原</x:v>
      </x:c>
      <x:c r="C1039" s="25" t="str">
        <x:v>半急速中期</x:v>
      </x:c>
      <x:c r="D1039" s="25" t="str">
        <x:v>材料</x:v>
      </x:c>
      <x:c r="E1039" s="25" t="str">
        <x:v>风蚀铁片</x:v>
      </x:c>
      <x:c r="F1039" s="25" t="n">
        <x:v>710</x:v>
      </x:c>
      <x:c r="G1039" s="25" t="str">
        <x:v>从C0至当前检查点累计需求；未扣自身未来产出，不代表已有库存</x:v>
      </x:c>
    </x:row>
    <x:row r="1040">
      <x:c r="A1040" s="25" t="str">
        <x:v>C07-M</x:v>
      </x:c>
      <x:c r="B1040" s="25" t="str">
        <x:v>化圣雪原</x:v>
      </x:c>
      <x:c r="C1040" s="25" t="str">
        <x:v>半急速中期</x:v>
      </x:c>
      <x:c r="D1040" s="25" t="str">
        <x:v>材料</x:v>
      </x:c>
      <x:c r="E1040" s="25" t="str">
        <x:v>黄金树碎核</x:v>
      </x:c>
      <x:c r="F1040" s="25" t="n">
        <x:v>2</x:v>
      </x:c>
      <x:c r="G1040" s="25" t="str">
        <x:v>从C0至当前检查点累计需求；未扣自身未来产出，不代表已有库存</x:v>
      </x:c>
    </x:row>
    <x:row r="1041">
      <x:c r="A1041" s="25" t="str">
        <x:v>C07-M</x:v>
      </x:c>
      <x:c r="B1041" s="25" t="str">
        <x:v>化圣雪原</x:v>
      </x:c>
      <x:c r="C1041" s="25" t="str">
        <x:v>半急速中期</x:v>
      </x:c>
      <x:c r="D1041" s="25" t="str">
        <x:v>材料</x:v>
      </x:c>
      <x:c r="E1041" s="25" t="str">
        <x:v>黄金树芽</x:v>
      </x:c>
      <x:c r="F1041" s="25" t="n">
        <x:v>297</x:v>
      </x:c>
      <x:c r="G1041" s="25" t="str">
        <x:v>从C0至当前检查点累计需求；未扣自身未来产出，不代表已有库存</x:v>
      </x:c>
    </x:row>
    <x:row r="1042">
      <x:c r="A1042" s="25" t="str">
        <x:v>C07-M</x:v>
      </x:c>
      <x:c r="B1042" s="25" t="str">
        <x:v>化圣雪原</x:v>
      </x:c>
      <x:c r="C1042" s="25" t="str">
        <x:v>半急速中期</x:v>
      </x:c>
      <x:c r="D1042" s="25" t="str">
        <x:v>材料</x:v>
      </x:c>
      <x:c r="E1042" s="25" t="str">
        <x:v>黄金骑徽</x:v>
      </x:c>
      <x:c r="F1042" s="25" t="n">
        <x:v>2</x:v>
      </x:c>
      <x:c r="G1042" s="25" t="str">
        <x:v>从C0至当前检查点累计需求；未扣自身未来产出，不代表已有库存</x:v>
      </x:c>
    </x:row>
    <x:row r="1043">
      <x:c r="A1043" s="25" t="str">
        <x:v>C07-M</x:v>
      </x:c>
      <x:c r="B1043" s="25" t="str">
        <x:v>化圣雪原</x:v>
      </x:c>
      <x:c r="C1043" s="25" t="str">
        <x:v>半急速中期</x:v>
      </x:c>
      <x:c r="D1043" s="25" t="str">
        <x:v>材料</x:v>
      </x:c>
      <x:c r="E1043" s="25" t="str">
        <x:v>龙火鳞</x:v>
      </x:c>
      <x:c r="F1043" s="25" t="n">
        <x:v>38</x:v>
      </x:c>
      <x:c r="G1043" s="25" t="str">
        <x:v>从C0至当前检查点累计需求；未扣自身未来产出，不代表已有库存</x:v>
      </x:c>
    </x:row>
    <x:row r="1044">
      <x:c r="A1044" s="25" t="str">
        <x:v>C07-M</x:v>
      </x:c>
      <x:c r="B1044" s="25" t="str">
        <x:v>化圣雪原</x:v>
      </x:c>
      <x:c r="C1044" s="25" t="str">
        <x:v>半急速中期</x:v>
      </x:c>
      <x:c r="D1044" s="25" t="str">
        <x:v>装备实物</x:v>
      </x:c>
      <x:c r="E1044" s="25" t="str">
        <x:v>共343个精确名称（明细见JSON）</x:v>
      </x:c>
      <x:c r="F1044" s="25" t="n">
        <x:v>449</x:v>
      </x:c>
      <x:c r="G1044" s="25" t="str">
        <x:v>含穿戴、重复试洗、图鉴登记与合成前置；完整数据未省略</x:v>
      </x:c>
    </x:row>
    <x:row r="1045">
      <x:c r="A1045" s="25" t="str">
        <x:v>C07-G</x:v>
      </x:c>
      <x:c r="B1045" s="25" t="str">
        <x:v>化圣雪原</x:v>
      </x:c>
      <x:c r="C1045" s="25" t="str">
        <x:v>半急速毕业</x:v>
      </x:c>
      <x:c r="D1045" s="25" t="str">
        <x:v>材料</x:v>
      </x:c>
      <x:c r="E1045" s="25" t="str">
        <x:v>兽将脊骨</x:v>
      </x:c>
      <x:c r="F1045" s="25" t="n">
        <x:v>1</x:v>
      </x:c>
      <x:c r="G1045" s="25" t="str">
        <x:v>从C0至当前检查点累计需求；未扣自身未来产出，不代表已有库存</x:v>
      </x:c>
    </x:row>
    <x:row r="1046">
      <x:c r="A1046" s="25" t="str">
        <x:v>C07-G</x:v>
      </x:c>
      <x:c r="B1046" s="25" t="str">
        <x:v>化圣雪原</x:v>
      </x:c>
      <x:c r="C1046" s="25" t="str">
        <x:v>半急速毕业</x:v>
      </x:c>
      <x:c r="D1046" s="25" t="str">
        <x:v>材料</x:v>
      </x:c>
      <x:c r="E1046" s="25" t="str">
        <x:v>冻原银角</x:v>
      </x:c>
      <x:c r="F1046" s="25" t="n">
        <x:v>30</x:v>
      </x:c>
      <x:c r="G1046" s="25" t="str">
        <x:v>从C0至当前检查点累计需求；未扣自身未来产出，不代表已有库存</x:v>
      </x:c>
    </x:row>
    <x:row r="1047">
      <x:c r="A1047" s="25" t="str">
        <x:v>C07-G</x:v>
      </x:c>
      <x:c r="B1047" s="25" t="str">
        <x:v>化圣雪原</x:v>
      </x:c>
      <x:c r="C1047" s="25" t="str">
        <x:v>半急速毕业</x:v>
      </x:c>
      <x:c r="D1047" s="25" t="str">
        <x:v>材料</x:v>
      </x:c>
      <x:c r="E1047" s="25" t="str">
        <x:v>冻晶尘</x:v>
      </x:c>
      <x:c r="F1047" s="25" t="n">
        <x:v>1720</x:v>
      </x:c>
      <x:c r="G1047" s="25" t="str">
        <x:v>从C0至当前检查点累计需求；未扣自身未来产出，不代表已有库存</x:v>
      </x:c>
    </x:row>
    <x:row r="1048">
      <x:c r="A1048" s="25" t="str">
        <x:v>C07-G</x:v>
      </x:c>
      <x:c r="B1048" s="25" t="str">
        <x:v>化圣雪原</x:v>
      </x:c>
      <x:c r="C1048" s="25" t="str">
        <x:v>半急速毕业</x:v>
      </x:c>
      <x:c r="D1048" s="25" t="str">
        <x:v>材料</x:v>
      </x:c>
      <x:c r="E1048" s="25" t="str">
        <x:v>净火腺囊</x:v>
      </x:c>
      <x:c r="F1048" s="25" t="n">
        <x:v>44</x:v>
      </x:c>
      <x:c r="G1048" s="25" t="str">
        <x:v>从C0至当前检查点累计需求；未扣自身未来产出，不代表已有库存</x:v>
      </x:c>
    </x:row>
    <x:row r="1049">
      <x:c r="A1049" s="25" t="str">
        <x:v>C07-G</x:v>
      </x:c>
      <x:c r="B1049" s="25" t="str">
        <x:v>化圣雪原</x:v>
      </x:c>
      <x:c r="C1049" s="25" t="str">
        <x:v>半急速毕业</x:v>
      </x:c>
      <x:c r="D1049" s="25" t="str">
        <x:v>材料</x:v>
      </x:c>
      <x:c r="E1049" s="25" t="str">
        <x:v>卡利亚月露</x:v>
      </x:c>
      <x:c r="F1049" s="25" t="n">
        <x:v>36</x:v>
      </x:c>
      <x:c r="G1049" s="25" t="str">
        <x:v>从C0至当前检查点累计需求；未扣自身未来产出，不代表已有库存</x:v>
      </x:c>
    </x:row>
    <x:row r="1050">
      <x:c r="A1050" s="25" t="str">
        <x:v>C07-G</x:v>
      </x:c>
      <x:c r="B1050" s="25" t="str">
        <x:v>化圣雪原</x:v>
      </x:c>
      <x:c r="C1050" s="25" t="str">
        <x:v>半急速毕业</x:v>
      </x:c>
      <x:c r="D1050" s="25" t="str">
        <x:v>材料</x:v>
      </x:c>
      <x:c r="E1050" s="25" t="str">
        <x:v>哨垒旗冠</x:v>
      </x:c>
      <x:c r="F1050" s="25" t="n">
        <x:v>3</x:v>
      </x:c>
      <x:c r="G1050" s="25" t="str">
        <x:v>从C0至当前检查点累计需求；未扣自身未来产出，不代表已有库存</x:v>
      </x:c>
    </x:row>
    <x:row r="1051">
      <x:c r="A1051" s="25" t="str">
        <x:v>C07-G</x:v>
      </x:c>
      <x:c r="B1051" s="25" t="str">
        <x:v>化圣雪原</x:v>
      </x:c>
      <x:c r="C1051" s="25" t="str">
        <x:v>半急速毕业</x:v>
      </x:c>
      <x:c r="D1051" s="25" t="str">
        <x:v>材料</x:v>
      </x:c>
      <x:c r="E1051" s="25" t="str">
        <x:v>唤船骨铃</x:v>
      </x:c>
      <x:c r="F1051" s="25" t="n">
        <x:v>1</x:v>
      </x:c>
      <x:c r="G1051" s="25" t="str">
        <x:v>从C0至当前检查点累计需求；未扣自身未来产出，不代表已有库存</x:v>
      </x:c>
    </x:row>
    <x:row r="1052">
      <x:c r="A1052" s="25" t="str">
        <x:v>C07-G</x:v>
      </x:c>
      <x:c r="B1052" s="25" t="str">
        <x:v>化圣雪原</x:v>
      </x:c>
      <x:c r="C1052" s="25" t="str">
        <x:v>半急速毕业</x:v>
      </x:c>
      <x:c r="D1052" s="25" t="str">
        <x:v>材料</x:v>
      </x:c>
      <x:c r="E1052" s="25" t="str">
        <x:v>商队火漆</x:v>
      </x:c>
      <x:c r="F1052" s="25" t="n">
        <x:v>20</x:v>
      </x:c>
      <x:c r="G1052" s="25" t="str">
        <x:v>从C0至当前检查点累计需求；未扣自身未来产出，不代表已有库存</x:v>
      </x:c>
    </x:row>
    <x:row r="1053">
      <x:c r="A1053" s="25" t="str">
        <x:v>C07-G</x:v>
      </x:c>
      <x:c r="B1053" s="25" t="str">
        <x:v>化圣雪原</x:v>
      </x:c>
      <x:c r="C1053" s="25" t="str">
        <x:v>半急速毕业</x:v>
      </x:c>
      <x:c r="D1053" s="25" t="str">
        <x:v>材料</x:v>
      </x:c>
      <x:c r="E1053" s="25" t="str">
        <x:v>圣雪誓印</x:v>
      </x:c>
      <x:c r="F1053" s="25" t="n">
        <x:v>53</x:v>
      </x:c>
      <x:c r="G1053" s="25" t="str">
        <x:v>从C0至当前检查点累计需求；未扣自身未来产出，不代表已有库存</x:v>
      </x:c>
    </x:row>
    <x:row r="1054">
      <x:c r="A1054" s="25" t="str">
        <x:v>C07-G</x:v>
      </x:c>
      <x:c r="B1054" s="25" t="str">
        <x:v>化圣雪原</x:v>
      </x:c>
      <x:c r="C1054" s="25" t="str">
        <x:v>半急速毕业</x:v>
      </x:c>
      <x:c r="D1054" s="25" t="str">
        <x:v>材料</x:v>
      </x:c>
      <x:c r="E1054" s="25" t="str">
        <x:v>圣雪门楔</x:v>
      </x:c>
      <x:c r="F1054" s="25" t="n">
        <x:v>4</x:v>
      </x:c>
      <x:c r="G1054" s="25" t="str">
        <x:v>从C0至当前检查点累计需求；未扣自身未来产出，不代表已有库存</x:v>
      </x:c>
    </x:row>
    <x:row r="1055">
      <x:c r="A1055" s="25" t="str">
        <x:v>C07-G</x:v>
      </x:c>
      <x:c r="B1055" s="25" t="str">
        <x:v>化圣雪原</x:v>
      </x:c>
      <x:c r="C1055" s="25" t="str">
        <x:v>半急速毕业</x:v>
      </x:c>
      <x:c r="D1055" s="25" t="str">
        <x:v>材料</x:v>
      </x:c>
      <x:c r="E1055" s="25" t="str">
        <x:v>夜骑黑印</x:v>
      </x:c>
      <x:c r="F1055" s="25" t="n">
        <x:v>1</x:v>
      </x:c>
      <x:c r="G1055" s="25" t="str">
        <x:v>从C0至当前检查点累计需求；未扣自身未来产出，不代表已有库存</x:v>
      </x:c>
    </x:row>
    <x:row r="1056">
      <x:c r="A1056" s="25" t="str">
        <x:v>C07-G</x:v>
      </x:c>
      <x:c r="B1056" s="25" t="str">
        <x:v>化圣雪原</x:v>
      </x:c>
      <x:c r="C1056" s="25" t="str">
        <x:v>半急速毕业</x:v>
      </x:c>
      <x:c r="D1056" s="25" t="str">
        <x:v>材料</x:v>
      </x:c>
      <x:c r="E1056" s="25" t="str">
        <x:v>大卢恩</x:v>
      </x:c>
      <x:c r="F1056" s="25" t="n">
        <x:v>350</x:v>
      </x:c>
      <x:c r="G1056" s="25" t="str">
        <x:v>从C0至当前检查点累计需求；未扣自身未来产出，不代表已有库存</x:v>
      </x:c>
    </x:row>
    <x:row r="1057">
      <x:c r="A1057" s="25" t="str">
        <x:v>C07-G</x:v>
      </x:c>
      <x:c r="B1057" s="25" t="str">
        <x:v>化圣雪原</x:v>
      </x:c>
      <x:c r="C1057" s="25" t="str">
        <x:v>半急速毕业</x:v>
      </x:c>
      <x:c r="D1057" s="25" t="str">
        <x:v>材料</x:v>
      </x:c>
      <x:c r="E1057" s="25" t="str">
        <x:v>失乡军令</x:v>
      </x:c>
      <x:c r="F1057" s="25" t="n">
        <x:v>2</x:v>
      </x:c>
      <x:c r="G1057" s="25" t="str">
        <x:v>从C0至当前检查点累计需求；未扣自身未来产出，不代表已有库存</x:v>
      </x:c>
    </x:row>
    <x:row r="1058">
      <x:c r="A1058" s="25" t="str">
        <x:v>C07-G</x:v>
      </x:c>
      <x:c r="B1058" s="25" t="str">
        <x:v>化圣雪原</x:v>
      </x:c>
      <x:c r="C1058" s="25" t="str">
        <x:v>半急速毕业</x:v>
      </x:c>
      <x:c r="D1058" s="25" t="str">
        <x:v>材料</x:v>
      </x:c>
      <x:c r="E1058" s="25" t="str">
        <x:v>失乡统帅徽</x:v>
      </x:c>
      <x:c r="F1058" s="25" t="n">
        <x:v>2</x:v>
      </x:c>
      <x:c r="G1058" s="25" t="str">
        <x:v>从C0至当前检查点累计需求；未扣自身未来产出，不代表已有库存</x:v>
      </x:c>
    </x:row>
    <x:row r="1059">
      <x:c r="A1059" s="25" t="str">
        <x:v>C07-G</x:v>
      </x:c>
      <x:c r="B1059" s="25" t="str">
        <x:v>化圣雪原</x:v>
      </x:c>
      <x:c r="C1059" s="25" t="str">
        <x:v>半急速毕业</x:v>
      </x:c>
      <x:c r="D1059" s="25" t="str">
        <x:v>材料</x:v>
      </x:c>
      <x:c r="E1059" s="25" t="str">
        <x:v>失色锻造石</x:v>
      </x:c>
      <x:c r="F1059" s="25" t="n">
        <x:v>26020</x:v>
      </x:c>
      <x:c r="G1059" s="25" t="str">
        <x:v>从C0至当前检查点累计需求；未扣自身未来产出，不代表已有库存</x:v>
      </x:c>
    </x:row>
    <x:row r="1060">
      <x:c r="A1060" s="25" t="str">
        <x:v>C07-G</x:v>
      </x:c>
      <x:c r="B1060" s="25" t="str">
        <x:v>化圣雪原</x:v>
      </x:c>
      <x:c r="C1060" s="25" t="str">
        <x:v>半急速毕业</x:v>
      </x:c>
      <x:c r="D1060" s="25" t="str">
        <x:v>材料</x:v>
      </x:c>
      <x:c r="E1060" s="25" t="str">
        <x:v>学院封蜡</x:v>
      </x:c>
      <x:c r="F1060" s="25" t="n">
        <x:v>24</x:v>
      </x:c>
      <x:c r="G1060" s="25" t="str">
        <x:v>从C0至当前检查点累计需求；未扣自身未来产出，不代表已有库存</x:v>
      </x:c>
    </x:row>
    <x:row r="1061">
      <x:c r="A1061" s="25" t="str">
        <x:v>C07-G</x:v>
      </x:c>
      <x:c r="B1061" s="25" t="str">
        <x:v>化圣雪原</x:v>
      </x:c>
      <x:c r="C1061" s="25" t="str">
        <x:v>半急速毕业</x:v>
      </x:c>
      <x:c r="D1061" s="25" t="str">
        <x:v>材料</x:v>
      </x:c>
      <x:c r="E1061" s="25" t="str">
        <x:v>宁姆格福誓页</x:v>
      </x:c>
      <x:c r="F1061" s="25" t="n">
        <x:v>90</x:v>
      </x:c>
      <x:c r="G1061" s="25" t="str">
        <x:v>从C0至当前检查点累计需求；未扣自身未来产出，不代表已有库存</x:v>
      </x:c>
    </x:row>
    <x:row r="1062">
      <x:c r="A1062" s="25" t="str">
        <x:v>C07-G</x:v>
      </x:c>
      <x:c r="B1062" s="25" t="str">
        <x:v>化圣雪原</x:v>
      </x:c>
      <x:c r="C1062" s="25" t="str">
        <x:v>半急速毕业</x:v>
      </x:c>
      <x:c r="D1062" s="25" t="str">
        <x:v>材料</x:v>
      </x:c>
      <x:c r="E1062" s="25" t="str">
        <x:v>小卢恩</x:v>
      </x:c>
      <x:c r="F1062" s="25" t="n">
        <x:v>250</x:v>
      </x:c>
      <x:c r="G1062" s="25" t="str">
        <x:v>从C0至当前检查点累计需求；未扣自身未来产出，不代表已有库存</x:v>
      </x:c>
    </x:row>
    <x:row r="1063">
      <x:c r="A1063" s="25" t="str">
        <x:v>C07-G</x:v>
      </x:c>
      <x:c r="B1063" s="25" t="str">
        <x:v>化圣雪原</x:v>
      </x:c>
      <x:c r="C1063" s="25" t="str">
        <x:v>半急速毕业</x:v>
      </x:c>
      <x:c r="D1063" s="25" t="str">
        <x:v>材料</x:v>
      </x:c>
      <x:c r="E1063" s="25" t="str">
        <x:v>山妖王角</x:v>
      </x:c>
      <x:c r="F1063" s="25" t="n">
        <x:v>2</x:v>
      </x:c>
      <x:c r="G1063" s="25" t="str">
        <x:v>从C0至当前检查点累计需求；未扣自身未来产出，不代表已有库存</x:v>
      </x:c>
    </x:row>
    <x:row r="1064">
      <x:c r="A1064" s="25" t="str">
        <x:v>C07-G</x:v>
      </x:c>
      <x:c r="B1064" s="25" t="str">
        <x:v>化圣雪原</x:v>
      </x:c>
      <x:c r="C1064" s="25" t="str">
        <x:v>半急速毕业</x:v>
      </x:c>
      <x:c r="D1064" s="25" t="str">
        <x:v>材料</x:v>
      </x:c>
      <x:c r="E1064" s="25" t="str">
        <x:v>幽船铆钉</x:v>
      </x:c>
      <x:c r="F1064" s="25" t="n">
        <x:v>21</x:v>
      </x:c>
      <x:c r="G1064" s="25" t="str">
        <x:v>从C0至当前检查点累计需求；未扣自身未来产出，不代表已有库存</x:v>
      </x:c>
    </x:row>
    <x:row r="1065">
      <x:c r="A1065" s="25" t="str">
        <x:v>C07-G</x:v>
      </x:c>
      <x:c r="B1065" s="25" t="str">
        <x:v>化圣雪原</x:v>
      </x:c>
      <x:c r="C1065" s="25" t="str">
        <x:v>半急速毕业</x:v>
      </x:c>
      <x:c r="D1065" s="25" t="str">
        <x:v>材料</x:v>
      </x:c>
      <x:c r="E1065" s="25" t="str">
        <x:v>恶兆残角</x:v>
      </x:c>
      <x:c r="F1065" s="25" t="n">
        <x:v>1</x:v>
      </x:c>
      <x:c r="G1065" s="25" t="str">
        <x:v>从C0至当前检查点累计需求；未扣自身未来产出，不代表已有库存</x:v>
      </x:c>
    </x:row>
    <x:row r="1066">
      <x:c r="A1066" s="25" t="str">
        <x:v>C07-G</x:v>
      </x:c>
      <x:c r="B1066" s="25" t="str">
        <x:v>化圣雪原</x:v>
      </x:c>
      <x:c r="C1066" s="25" t="str">
        <x:v>半急速毕业</x:v>
      </x:c>
      <x:c r="D1066" s="25" t="str">
        <x:v>材料</x:v>
      </x:c>
      <x:c r="E1066" s="25" t="str">
        <x:v>技能残页</x:v>
      </x:c>
      <x:c r="F1066" s="25" t="n">
        <x:v>1350</x:v>
      </x:c>
      <x:c r="G1066" s="25" t="str">
        <x:v>从C0至当前检查点累计需求；未扣自身未来产出，不代表已有库存</x:v>
      </x:c>
    </x:row>
    <x:row r="1067">
      <x:c r="A1067" s="25" t="str">
        <x:v>C07-G</x:v>
      </x:c>
      <x:c r="B1067" s="25" t="str">
        <x:v>化圣雪原</x:v>
      </x:c>
      <x:c r="C1067" s="25" t="str">
        <x:v>半急速毕业</x:v>
      </x:c>
      <x:c r="D1067" s="25" t="str">
        <x:v>材料</x:v>
      </x:c>
      <x:c r="E1067" s="25" t="str">
        <x:v>接肢兽心</x:v>
      </x:c>
      <x:c r="F1067" s="25" t="n">
        <x:v>2</x:v>
      </x:c>
      <x:c r="G1067" s="25" t="str">
        <x:v>从C0至当前检查点累计需求；未扣自身未来产出，不代表已有库存</x:v>
      </x:c>
    </x:row>
    <x:row r="1068">
      <x:c r="A1068" s="25" t="str">
        <x:v>C07-G</x:v>
      </x:c>
      <x:c r="B1068" s="25" t="str">
        <x:v>化圣雪原</x:v>
      </x:c>
      <x:c r="C1068" s="25" t="str">
        <x:v>半急速毕业</x:v>
      </x:c>
      <x:c r="D1068" s="25" t="str">
        <x:v>材料</x:v>
      </x:c>
      <x:c r="E1068" s="25" t="str">
        <x:v>接肢王印</x:v>
      </x:c>
      <x:c r="F1068" s="25" t="n">
        <x:v>13</x:v>
      </x:c>
      <x:c r="G1068" s="25" t="str">
        <x:v>从C0至当前检查点累计需求；未扣自身未来产出，不代表已有库存</x:v>
      </x:c>
    </x:row>
    <x:row r="1069">
      <x:c r="A1069" s="25" t="str">
        <x:v>C07-G</x:v>
      </x:c>
      <x:c r="B1069" s="25" t="str">
        <x:v>化圣雪原</x:v>
      </x:c>
      <x:c r="C1069" s="25" t="str">
        <x:v>半急速毕业</x:v>
      </x:c>
      <x:c r="D1069" s="25" t="str">
        <x:v>材料</x:v>
      </x:c>
      <x:c r="E1069" s="25" t="str">
        <x:v>接肢王魂</x:v>
      </x:c>
      <x:c r="F1069" s="25" t="n">
        <x:v>1</x:v>
      </x:c>
      <x:c r="G1069" s="25" t="str">
        <x:v>从C0至当前检查点累计需求；未扣自身未来产出，不代表已有库存</x:v>
      </x:c>
    </x:row>
    <x:row r="1070">
      <x:c r="A1070" s="25" t="str">
        <x:v>C07-G</x:v>
      </x:c>
      <x:c r="B1070" s="25" t="str">
        <x:v>化圣雪原</x:v>
      </x:c>
      <x:c r="C1070" s="25" t="str">
        <x:v>半急速毕业</x:v>
      </x:c>
      <x:c r="D1070" s="25" t="str">
        <x:v>材料</x:v>
      </x:c>
      <x:c r="E1070" s="25" t="str">
        <x:v>月潮忆珀</x:v>
      </x:c>
      <x:c r="F1070" s="25" t="n">
        <x:v>1</x:v>
      </x:c>
      <x:c r="G1070" s="25" t="str">
        <x:v>从C0至当前检查点累计需求；未扣自身未来产出，不代表已有库存</x:v>
      </x:c>
    </x:row>
    <x:row r="1071">
      <x:c r="A1071" s="25" t="str">
        <x:v>C07-G</x:v>
      </x:c>
      <x:c r="B1071" s="25" t="str">
        <x:v>化圣雪原</x:v>
      </x:c>
      <x:c r="C1071" s="25" t="str">
        <x:v>半急速毕业</x:v>
      </x:c>
      <x:c r="D1071" s="25" t="str">
        <x:v>材料</x:v>
      </x:c>
      <x:c r="E1071" s="25" t="str">
        <x:v>月蚀镜片</x:v>
      </x:c>
      <x:c r="F1071" s="25" t="n">
        <x:v>21</x:v>
      </x:c>
      <x:c r="G1071" s="25" t="str">
        <x:v>从C0至当前检查点累计需求；未扣自身未来产出，不代表已有库存</x:v>
      </x:c>
    </x:row>
    <x:row r="1072">
      <x:c r="A1072" s="25" t="str">
        <x:v>C07-G</x:v>
      </x:c>
      <x:c r="B1072" s="25" t="str">
        <x:v>化圣雪原</x:v>
      </x:c>
      <x:c r="C1072" s="25" t="str">
        <x:v>半急速毕业</x:v>
      </x:c>
      <x:c r="D1072" s="25" t="str">
        <x:v>材料</x:v>
      </x:c>
      <x:c r="E1072" s="25" t="str">
        <x:v>树卫枪穗</x:v>
      </x:c>
      <x:c r="F1072" s="25" t="n">
        <x:v>1</x:v>
      </x:c>
      <x:c r="G1072" s="25" t="str">
        <x:v>从C0至当前检查点累计需求；未扣自身未来产出，不代表已有库存</x:v>
      </x:c>
    </x:row>
    <x:row r="1073">
      <x:c r="A1073" s="25" t="str">
        <x:v>C07-G</x:v>
      </x:c>
      <x:c r="B1073" s="25" t="str">
        <x:v>化圣雪原</x:v>
      </x:c>
      <x:c r="C1073" s="25" t="str">
        <x:v>半急速毕业</x:v>
      </x:c>
      <x:c r="D1073" s="25" t="str">
        <x:v>材料</x:v>
      </x:c>
      <x:c r="E1073" s="25" t="str">
        <x:v>死亡仪羽</x:v>
      </x:c>
      <x:c r="F1073" s="25" t="n">
        <x:v>2</x:v>
      </x:c>
      <x:c r="G1073" s="25" t="str">
        <x:v>从C0至当前检查点累计需求；未扣自身未来产出，不代表已有库存</x:v>
      </x:c>
    </x:row>
    <x:row r="1074">
      <x:c r="A1074" s="25" t="str">
        <x:v>C07-G</x:v>
      </x:c>
      <x:c r="B1074" s="25" t="str">
        <x:v>化圣雪原</x:v>
      </x:c>
      <x:c r="C1074" s="25" t="str">
        <x:v>半急速毕业</x:v>
      </x:c>
      <x:c r="D1074" s="25" t="str">
        <x:v>材料</x:v>
      </x:c>
      <x:c r="E1074" s="25" t="str">
        <x:v>沉湖王印</x:v>
      </x:c>
      <x:c r="F1074" s="25" t="n">
        <x:v>16</x:v>
      </x:c>
      <x:c r="G1074" s="25" t="str">
        <x:v>从C0至当前检查点累计需求；未扣自身未来产出，不代表已有库存</x:v>
      </x:c>
    </x:row>
    <x:row r="1075">
      <x:c r="A1075" s="25" t="str">
        <x:v>C07-G</x:v>
      </x:c>
      <x:c r="B1075" s="25" t="str">
        <x:v>化圣雪原</x:v>
      </x:c>
      <x:c r="C1075" s="25" t="str">
        <x:v>半急速毕业</x:v>
      </x:c>
      <x:c r="D1075" s="25" t="str">
        <x:v>材料</x:v>
      </x:c>
      <x:c r="E1075" s="25" t="str">
        <x:v>沉船缆扣</x:v>
      </x:c>
      <x:c r="F1075" s="25" t="n">
        <x:v>12</x:v>
      </x:c>
      <x:c r="G1075" s="25" t="str">
        <x:v>从C0至当前检查点累计需求；未扣自身未来产出，不代表已有库存</x:v>
      </x:c>
    </x:row>
    <x:row r="1076">
      <x:c r="A1076" s="25" t="str">
        <x:v>C07-G</x:v>
      </x:c>
      <x:c r="B1076" s="25" t="str">
        <x:v>化圣雪原</x:v>
      </x:c>
      <x:c r="C1076" s="25" t="str">
        <x:v>半急速毕业</x:v>
      </x:c>
      <x:c r="D1076" s="25" t="str">
        <x:v>材料</x:v>
      </x:c>
      <x:c r="E1076" s="25" t="str">
        <x:v>海蚀铁片</x:v>
      </x:c>
      <x:c r="F1076" s="25" t="n">
        <x:v>160</x:v>
      </x:c>
      <x:c r="G1076" s="25" t="str">
        <x:v>从C0至当前检查点累计需求；未扣自身未来产出，不代表已有库存</x:v>
      </x:c>
    </x:row>
    <x:row r="1077">
      <x:c r="A1077" s="25" t="str">
        <x:v>C07-G</x:v>
      </x:c>
      <x:c r="B1077" s="25" t="str">
        <x:v>化圣雪原</x:v>
      </x:c>
      <x:c r="C1077" s="25" t="str">
        <x:v>半急速毕业</x:v>
      </x:c>
      <x:c r="D1077" s="25" t="str">
        <x:v>材料</x:v>
      </x:c>
      <x:c r="E1077" s="25" t="str">
        <x:v>湖底封门珠</x:v>
      </x:c>
      <x:c r="F1077" s="25" t="n">
        <x:v>8</x:v>
      </x:c>
      <x:c r="G1077" s="25" t="str">
        <x:v>从C0至当前检查点累计需求；未扣自身未来产出，不代表已有库存</x:v>
      </x:c>
    </x:row>
    <x:row r="1078">
      <x:c r="A1078" s="25" t="str">
        <x:v>C07-G</x:v>
      </x:c>
      <x:c r="B1078" s="25" t="str">
        <x:v>化圣雪原</x:v>
      </x:c>
      <x:c r="C1078" s="25" t="str">
        <x:v>半急速毕业</x:v>
      </x:c>
      <x:c r="D1078" s="25" t="str">
        <x:v>材料</x:v>
      </x:c>
      <x:c r="E1078" s="25" t="str">
        <x:v>湖心月谱残章</x:v>
      </x:c>
      <x:c r="F1078" s="25" t="n">
        <x:v>1</x:v>
      </x:c>
      <x:c r="G1078" s="25" t="str">
        <x:v>从C0至当前检查点累计需求；未扣自身未来产出，不代表已有库存</x:v>
      </x:c>
    </x:row>
    <x:row r="1079">
      <x:c r="A1079" s="25" t="str">
        <x:v>C07-G</x:v>
      </x:c>
      <x:c r="B1079" s="25" t="str">
        <x:v>化圣雪原</x:v>
      </x:c>
      <x:c r="C1079" s="25" t="str">
        <x:v>半急速毕业</x:v>
      </x:c>
      <x:c r="D1079" s="25" t="str">
        <x:v>材料</x:v>
      </x:c>
      <x:c r="E1079" s="25" t="str">
        <x:v>湖盐结晶</x:v>
      </x:c>
      <x:c r="F1079" s="25" t="n">
        <x:v>1647</x:v>
      </x:c>
      <x:c r="G1079" s="25" t="str">
        <x:v>从C0至当前检查点累计需求；未扣自身未来产出，不代表已有库存</x:v>
      </x:c>
    </x:row>
    <x:row r="1080">
      <x:c r="A1080" s="25" t="str">
        <x:v>C07-G</x:v>
      </x:c>
      <x:c r="B1080" s="25" t="str">
        <x:v>化圣雪原</x:v>
      </x:c>
      <x:c r="C1080" s="25" t="str">
        <x:v>半急速毕业</x:v>
      </x:c>
      <x:c r="D1080" s="25" t="str">
        <x:v>材料</x:v>
      </x:c>
      <x:c r="E1080" s="25" t="str">
        <x:v>溃烂树核</x:v>
      </x:c>
      <x:c r="F1080" s="25" t="n">
        <x:v>1</x:v>
      </x:c>
      <x:c r="G1080" s="25" t="str">
        <x:v>从C0至当前检查点累计需求；未扣自身未来产出，不代表已有库存</x:v>
      </x:c>
    </x:row>
    <x:row r="1081">
      <x:c r="A1081" s="25" t="str">
        <x:v>C07-G</x:v>
      </x:c>
      <x:c r="B1081" s="25" t="str">
        <x:v>化圣雪原</x:v>
      </x:c>
      <x:c r="C1081" s="25" t="str">
        <x:v>半急速毕业</x:v>
      </x:c>
      <x:c r="D1081" s="25" t="str">
        <x:v>材料</x:v>
      </x:c>
      <x:c r="E1081" s="25" t="str">
        <x:v>满月王室印</x:v>
      </x:c>
      <x:c r="F1081" s="25" t="n">
        <x:v>51</x:v>
      </x:c>
      <x:c r="G1081" s="25" t="str">
        <x:v>从C0至当前检查点累计需求；未扣自身未来产出，不代表已有库存</x:v>
      </x:c>
    </x:row>
    <x:row r="1082">
      <x:c r="A1082" s="25" t="str">
        <x:v>C07-G</x:v>
      </x:c>
      <x:c r="B1082" s="25" t="str">
        <x:v>化圣雪原</x:v>
      </x:c>
      <x:c r="C1082" s="25" t="str">
        <x:v>半急速毕业</x:v>
      </x:c>
      <x:c r="D1082" s="25" t="str">
        <x:v>材料</x:v>
      </x:c>
      <x:c r="E1082" s="25" t="str">
        <x:v>漂流大陆印记</x:v>
      </x:c>
      <x:c r="F1082" s="25" t="n">
        <x:v>11</x:v>
      </x:c>
      <x:c r="G1082" s="25" t="str">
        <x:v>从C0至当前检查点累计需求；未扣自身未来产出，不代表已有库存</x:v>
      </x:c>
    </x:row>
    <x:row r="1083">
      <x:c r="A1083" s="25" t="str">
        <x:v>C07-G</x:v>
      </x:c>
      <x:c r="B1083" s="25" t="str">
        <x:v>化圣雪原</x:v>
      </x:c>
      <x:c r="C1083" s="25" t="str">
        <x:v>半急速毕业</x:v>
      </x:c>
      <x:c r="D1083" s="25" t="str">
        <x:v>材料</x:v>
      </x:c>
      <x:c r="E1083" s="25" t="str">
        <x:v>漂流见证·潮</x:v>
      </x:c>
      <x:c r="F1083" s="25" t="n">
        <x:v>8</x:v>
      </x:c>
      <x:c r="G1083" s="25" t="str">
        <x:v>从C0至当前检查点累计需求；未扣自身未来产出，不代表已有库存</x:v>
      </x:c>
    </x:row>
    <x:row r="1084">
      <x:c r="A1084" s="25" t="str">
        <x:v>C07-G</x:v>
      </x:c>
      <x:c r="B1084" s="25" t="str">
        <x:v>化圣雪原</x:v>
      </x:c>
      <x:c r="C1084" s="25" t="str">
        <x:v>半急速毕业</x:v>
      </x:c>
      <x:c r="D1084" s="25" t="str">
        <x:v>材料</x:v>
      </x:c>
      <x:c r="E1084" s="25" t="str">
        <x:v>漂流见证·雷</x:v>
      </x:c>
      <x:c r="F1084" s="25" t="n">
        <x:v>8</x:v>
      </x:c>
      <x:c r="G1084" s="25" t="str">
        <x:v>从C0至当前检查点累计需求；未扣自身未来产出，不代表已有库存</x:v>
      </x:c>
    </x:row>
    <x:row r="1085">
      <x:c r="A1085" s="25" t="str">
        <x:v>C07-G</x:v>
      </x:c>
      <x:c r="B1085" s="25" t="str">
        <x:v>化圣雪原</x:v>
      </x:c>
      <x:c r="C1085" s="25" t="str">
        <x:v>半急速毕业</x:v>
      </x:c>
      <x:c r="D1085" s="25" t="str">
        <x:v>材料</x:v>
      </x:c>
      <x:c r="E1085" s="25" t="str">
        <x:v>潮痕结晶</x:v>
      </x:c>
      <x:c r="F1085" s="25" t="n">
        <x:v>16</x:v>
      </x:c>
      <x:c r="G1085" s="25" t="str">
        <x:v>从C0至当前检查点累计需求；未扣自身未来产出，不代表已有库存</x:v>
      </x:c>
    </x:row>
    <x:row r="1086">
      <x:c r="A1086" s="25" t="str">
        <x:v>C07-G</x:v>
      </x:c>
      <x:c r="B1086" s="25" t="str">
        <x:v>化圣雪原</x:v>
      </x:c>
      <x:c r="C1086" s="25" t="str">
        <x:v>半急速毕业</x:v>
      </x:c>
      <x:c r="D1086" s="25" t="str">
        <x:v>材料</x:v>
      </x:c>
      <x:c r="E1086" s="25" t="str">
        <x:v>熊王心脏</x:v>
      </x:c>
      <x:c r="F1086" s="25" t="n">
        <x:v>2</x:v>
      </x:c>
      <x:c r="G1086" s="25" t="str">
        <x:v>从C0至当前检查点累计需求；未扣自身未来产出，不代表已有库存</x:v>
      </x:c>
    </x:row>
    <x:row r="1087">
      <x:c r="A1087" s="25" t="str">
        <x:v>C07-G</x:v>
      </x:c>
      <x:c r="B1087" s="25" t="str">
        <x:v>化圣雪原</x:v>
      </x:c>
      <x:c r="C1087" s="25" t="str">
        <x:v>半急速毕业</x:v>
      </x:c>
      <x:c r="D1087" s="25" t="str">
        <x:v>材料</x:v>
      </x:c>
      <x:c r="E1087" s="25" t="str">
        <x:v>熔原罪火残章</x:v>
      </x:c>
      <x:c r="F1087" s="25" t="n">
        <x:v>1</x:v>
      </x:c>
      <x:c r="G1087" s="25" t="str">
        <x:v>从C0至当前检查点累计需求；未扣自身未来产出，不代表已有库存</x:v>
      </x:c>
    </x:row>
    <x:row r="1088">
      <x:c r="A1088" s="25" t="str">
        <x:v>C07-G</x:v>
      </x:c>
      <x:c r="B1088" s="25" t="str">
        <x:v>化圣雪原</x:v>
      </x:c>
      <x:c r="C1088" s="25" t="str">
        <x:v>半急速毕业</x:v>
      </x:c>
      <x:c r="D1088" s="25" t="str">
        <x:v>材料</x:v>
      </x:c>
      <x:c r="E1088" s="25" t="str">
        <x:v>熔炉角片</x:v>
      </x:c>
      <x:c r="F1088" s="25" t="n">
        <x:v>1</x:v>
      </x:c>
      <x:c r="G1088" s="25" t="str">
        <x:v>从C0至当前检查点累计需求；未扣自身未来产出，不代表已有库存</x:v>
      </x:c>
    </x:row>
    <x:row r="1089">
      <x:c r="A1089" s="25" t="str">
        <x:v>C07-G</x:v>
      </x:c>
      <x:c r="B1089" s="25" t="str">
        <x:v>化圣雪原</x:v>
      </x:c>
      <x:c r="C1089" s="25" t="str">
        <x:v>半急速毕业</x:v>
      </x:c>
      <x:c r="D1089" s="25" t="str">
        <x:v>材料</x:v>
      </x:c>
      <x:c r="E1089" s="25" t="str">
        <x:v>猩红矿渣</x:v>
      </x:c>
      <x:c r="F1089" s="25" t="n">
        <x:v>1737</x:v>
      </x:c>
      <x:c r="G1089" s="25" t="str">
        <x:v>从C0至当前检查点累计需求；未扣自身未来产出，不代表已有库存</x:v>
      </x:c>
    </x:row>
    <x:row r="1090">
      <x:c r="A1090" s="25" t="str">
        <x:v>C07-G</x:v>
      </x:c>
      <x:c r="B1090" s="25" t="str">
        <x:v>化圣雪原</x:v>
      </x:c>
      <x:c r="C1090" s="25" t="str">
        <x:v>半急速毕业</x:v>
      </x:c>
      <x:c r="D1090" s="25" t="str">
        <x:v>材料</x:v>
      </x:c>
      <x:c r="E1090" s="25" t="str">
        <x:v>王城军印</x:v>
      </x:c>
      <x:c r="F1090" s="25" t="n">
        <x:v>1</x:v>
      </x:c>
      <x:c r="G1090" s="25" t="str">
        <x:v>从C0至当前检查点累计需求；未扣自身未来产出，不代表已有库存</x:v>
      </x:c>
    </x:row>
    <x:row r="1091">
      <x:c r="A1091" s="25" t="str">
        <x:v>C07-G</x:v>
      </x:c>
      <x:c r="B1091" s="25" t="str">
        <x:v>化圣雪原</x:v>
      </x:c>
      <x:c r="C1091" s="25" t="str">
        <x:v>半急速毕业</x:v>
      </x:c>
      <x:c r="D1091" s="25" t="str">
        <x:v>材料</x:v>
      </x:c>
      <x:c r="E1091" s="25" t="str">
        <x:v>白金纺线</x:v>
      </x:c>
      <x:c r="F1091" s="25" t="n">
        <x:v>60</x:v>
      </x:c>
      <x:c r="G1091" s="25" t="str">
        <x:v>从C0至当前检查点累计需求；未扣自身未来产出，不代表已有库存</x:v>
      </x:c>
    </x:row>
    <x:row r="1092">
      <x:c r="A1092" s="25" t="str">
        <x:v>C07-G</x:v>
      </x:c>
      <x:c r="B1092" s="25" t="str">
        <x:v>化圣雪原</x:v>
      </x:c>
      <x:c r="C1092" s="25" t="str">
        <x:v>半急速毕业</x:v>
      </x:c>
      <x:c r="D1092" s="25" t="str">
        <x:v>材料</x:v>
      </x:c>
      <x:c r="E1092" s="25" t="str">
        <x:v>白金路标片</x:v>
      </x:c>
      <x:c r="F1092" s="25" t="n">
        <x:v>145</x:v>
      </x:c>
      <x:c r="G1092" s="25" t="str">
        <x:v>从C0至当前检查点累计需求；未扣自身未来产出，不代表已有库存</x:v>
      </x:c>
    </x:row>
    <x:row r="1093">
      <x:c r="A1093" s="25" t="str">
        <x:v>C07-G</x:v>
      </x:c>
      <x:c r="B1093" s="25" t="str">
        <x:v>化圣雪原</x:v>
      </x:c>
      <x:c r="C1093" s="25" t="str">
        <x:v>半急速毕业</x:v>
      </x:c>
      <x:c r="D1093" s="25" t="str">
        <x:v>材料</x:v>
      </x:c>
      <x:c r="E1093" s="25" t="str">
        <x:v>看门犬石心</x:v>
      </x:c>
      <x:c r="F1093" s="25" t="n">
        <x:v>2</x:v>
      </x:c>
      <x:c r="G1093" s="25" t="str">
        <x:v>从C0至当前检查点累计需求；未扣自身未来产出，不代表已有库存</x:v>
      </x:c>
    </x:row>
    <x:row r="1094">
      <x:c r="A1094" s="25" t="str">
        <x:v>C07-G</x:v>
      </x:c>
      <x:c r="B1094" s="25" t="str">
        <x:v>化圣雪原</x:v>
      </x:c>
      <x:c r="C1094" s="25" t="str">
        <x:v>半急速毕业</x:v>
      </x:c>
      <x:c r="D1094" s="25" t="str">
        <x:v>材料</x:v>
      </x:c>
      <x:c r="E1094" s="25" t="str">
        <x:v>碎星仪仗钉</x:v>
      </x:c>
      <x:c r="F1094" s="25" t="n">
        <x:v>2</x:v>
      </x:c>
      <x:c r="G1094" s="25" t="str">
        <x:v>从C0至当前检查点累计需求；未扣自身未来产出，不代表已有库存</x:v>
      </x:c>
    </x:row>
    <x:row r="1095">
      <x:c r="A1095" s="25" t="str">
        <x:v>C07-G</x:v>
      </x:c>
      <x:c r="B1095" s="25" t="str">
        <x:v>化圣雪原</x:v>
      </x:c>
      <x:c r="C1095" s="25" t="str">
        <x:v>半急速毕业</x:v>
      </x:c>
      <x:c r="D1095" s="25" t="str">
        <x:v>材料</x:v>
      </x:c>
      <x:c r="E1095" s="25" t="str">
        <x:v>神秘符文</x:v>
      </x:c>
      <x:c r="F1095" s="25" t="n">
        <x:v>400</x:v>
      </x:c>
      <x:c r="G1095" s="25" t="str">
        <x:v>从C0至当前检查点累计需求；未扣自身未来产出，不代表已有库存</x:v>
      </x:c>
    </x:row>
    <x:row r="1096">
      <x:c r="A1096" s="25" t="str">
        <x:v>C07-G</x:v>
      </x:c>
      <x:c r="B1096" s="25" t="str">
        <x:v>化圣雪原</x:v>
      </x:c>
      <x:c r="C1096" s="25" t="str">
        <x:v>半急速毕业</x:v>
      </x:c>
      <x:c r="D1096" s="25" t="str">
        <x:v>材料</x:v>
      </x:c>
      <x:c r="E1096" s="25" t="str">
        <x:v>禁域星钥</x:v>
      </x:c>
      <x:c r="F1096" s="25" t="n">
        <x:v>2</x:v>
      </x:c>
      <x:c r="G1096" s="25" t="str">
        <x:v>从C0至当前检查点累计需求；未扣自身未来产出，不代表已有库存</x:v>
      </x:c>
    </x:row>
    <x:row r="1097">
      <x:c r="A1097" s="25" t="str">
        <x:v>C07-G</x:v>
      </x:c>
      <x:c r="B1097" s="25" t="str">
        <x:v>化圣雪原</x:v>
      </x:c>
      <x:c r="C1097" s="25" t="str">
        <x:v>半急速毕业</x:v>
      </x:c>
      <x:c r="D1097" s="25" t="str">
        <x:v>材料</x:v>
      </x:c>
      <x:c r="E1097" s="25" t="str">
        <x:v>红狮战印</x:v>
      </x:c>
      <x:c r="F1097" s="25" t="n">
        <x:v>42</x:v>
      </x:c>
      <x:c r="G1097" s="25" t="str">
        <x:v>从C0至当前检查点累计需求；未扣自身未来产出，不代表已有库存</x:v>
      </x:c>
    </x:row>
    <x:row r="1098">
      <x:c r="A1098" s="25" t="str">
        <x:v>C07-G</x:v>
      </x:c>
      <x:c r="B1098" s="25" t="str">
        <x:v>化圣雪原</x:v>
      </x:c>
      <x:c r="C1098" s="25" t="str">
        <x:v>半急速毕业</x:v>
      </x:c>
      <x:c r="D1098" s="25" t="str">
        <x:v>材料</x:v>
      </x:c>
      <x:c r="E1098" s="25" t="str">
        <x:v>腐根魂结</x:v>
      </x:c>
      <x:c r="F1098" s="25" t="n">
        <x:v>2</x:v>
      </x:c>
      <x:c r="G1098" s="25" t="str">
        <x:v>从C0至当前检查点累计需求；未扣自身未来产出，不代表已有库存</x:v>
      </x:c>
    </x:row>
    <x:row r="1099">
      <x:c r="A1099" s="25" t="str">
        <x:v>C07-G</x:v>
      </x:c>
      <x:c r="B1099" s="25" t="str">
        <x:v>化圣雪原</x:v>
      </x:c>
      <x:c r="C1099" s="25" t="str">
        <x:v>半急速毕业</x:v>
      </x:c>
      <x:c r="D1099" s="25" t="str">
        <x:v>材料</x:v>
      </x:c>
      <x:c r="E1099" s="25" t="str">
        <x:v>裂风崖羽</x:v>
      </x:c>
      <x:c r="F1099" s="25" t="n">
        <x:v>80</x:v>
      </x:c>
      <x:c r="G1099" s="25" t="str">
        <x:v>从C0至当前检查点累计需求；未扣自身未来产出，不代表已有库存</x:v>
      </x:c>
    </x:row>
    <x:row r="1100">
      <x:c r="A1100" s="25" t="str">
        <x:v>C07-G</x:v>
      </x:c>
      <x:c r="B1100" s="25" t="str">
        <x:v>化圣雪原</x:v>
      </x:c>
      <x:c r="C1100" s="25" t="str">
        <x:v>半急速毕业</x:v>
      </x:c>
      <x:c r="D1100" s="25" t="str">
        <x:v>材料</x:v>
      </x:c>
      <x:c r="E1100" s="25" t="str">
        <x:v>西境战旗</x:v>
      </x:c>
      <x:c r="F1100" s="25" t="n">
        <x:v>20</x:v>
      </x:c>
      <x:c r="G1100" s="25" t="str">
        <x:v>从C0至当前检查点累计需求；未扣自身未来产出，不代表已有库存</x:v>
      </x:c>
    </x:row>
    <x:row r="1101">
      <x:c r="A1101" s="25" t="str">
        <x:v>C07-G</x:v>
      </x:c>
      <x:c r="B1101" s="25" t="str">
        <x:v>化圣雪原</x:v>
      </x:c>
      <x:c r="C1101" s="25" t="str">
        <x:v>半急速毕业</x:v>
      </x:c>
      <x:c r="D1101" s="25" t="str">
        <x:v>材料</x:v>
      </x:c>
      <x:c r="E1101" s="25" t="str">
        <x:v>西境战旗印</x:v>
      </x:c>
      <x:c r="F1101" s="25" t="n">
        <x:v>13</x:v>
      </x:c>
      <x:c r="G1101" s="25" t="str">
        <x:v>从C0至当前检查点累计需求；未扣自身未来产出，不代表已有库存</x:v>
      </x:c>
    </x:row>
    <x:row r="1102">
      <x:c r="A1102" s="25" t="str">
        <x:v>C07-G</x:v>
      </x:c>
      <x:c r="B1102" s="25" t="str">
        <x:v>化圣雪原</x:v>
      </x:c>
      <x:c r="C1102" s="25" t="str">
        <x:v>半急速毕业</x:v>
      </x:c>
      <x:c r="D1102" s="25" t="str">
        <x:v>材料</x:v>
      </x:c>
      <x:c r="E1102" s="25" t="str">
        <x:v>西境风痕碑拓</x:v>
      </x:c>
      <x:c r="F1102" s="25" t="n">
        <x:v>1</x:v>
      </x:c>
      <x:c r="G1102" s="25" t="str">
        <x:v>从C0至当前检查点累计需求；未扣自身未来产出，不代表已有库存</x:v>
      </x:c>
    </x:row>
    <x:row r="1103">
      <x:c r="A1103" s="25" t="str">
        <x:v>C07-G</x:v>
      </x:c>
      <x:c r="B1103" s="25" t="str">
        <x:v>化圣雪原</x:v>
      </x:c>
      <x:c r="C1103" s="25" t="str">
        <x:v>半急速毕业</x:v>
      </x:c>
      <x:c r="D1103" s="25" t="str">
        <x:v>材料</x:v>
      </x:c>
      <x:c r="E1103" s="25" t="str">
        <x:v>贵胄断指</x:v>
      </x:c>
      <x:c r="F1103" s="25" t="n">
        <x:v>1</x:v>
      </x:c>
      <x:c r="G1103" s="25" t="str">
        <x:v>从C0至当前检查点累计需求；未扣自身未来产出，不代表已有库存</x:v>
      </x:c>
    </x:row>
    <x:row r="1104">
      <x:c r="A1104" s="25" t="str">
        <x:v>C07-G</x:v>
      </x:c>
      <x:c r="B1104" s="25" t="str">
        <x:v>化圣雪原</x:v>
      </x:c>
      <x:c r="C1104" s="25" t="str">
        <x:v>半急速毕业</x:v>
      </x:c>
      <x:c r="D1104" s="25" t="str">
        <x:v>材料</x:v>
      </x:c>
      <x:c r="E1104" s="25" t="str">
        <x:v>辉石碎晶</x:v>
      </x:c>
      <x:c r="F1104" s="25" t="n">
        <x:v>1750</x:v>
      </x:c>
      <x:c r="G1104" s="25" t="str">
        <x:v>从C0至当前检查点累计需求；未扣自身未来产出，不代表已有库存</x:v>
      </x:c>
    </x:row>
    <x:row r="1105">
      <x:c r="A1105" s="25" t="str">
        <x:v>C07-G</x:v>
      </x:c>
      <x:c r="B1105" s="25" t="str">
        <x:v>化圣雪原</x:v>
      </x:c>
      <x:c r="C1105" s="25" t="str">
        <x:v>半急速毕业</x:v>
      </x:c>
      <x:c r="D1105" s="25" t="str">
        <x:v>材料</x:v>
      </x:c>
      <x:c r="E1105" s="25" t="str">
        <x:v>野兽骨片</x:v>
      </x:c>
      <x:c r="F1105" s="25" t="n">
        <x:v>38225</x:v>
      </x:c>
      <x:c r="G1105" s="25" t="str">
        <x:v>从C0至当前检查点累计需求；未扣自身未来产出，不代表已有库存</x:v>
      </x:c>
    </x:row>
    <x:row r="1106">
      <x:c r="A1106" s="25" t="str">
        <x:v>C07-G</x:v>
      </x:c>
      <x:c r="B1106" s="25" t="str">
        <x:v>化圣雪原</x:v>
      </x:c>
      <x:c r="C1106" s="25" t="str">
        <x:v>半急速毕业</x:v>
      </x:c>
      <x:c r="D1106" s="25" t="str">
        <x:v>材料</x:v>
      </x:c>
      <x:c r="E1106" s="25" t="str">
        <x:v>雾潮银鳞</x:v>
      </x:c>
      <x:c r="F1106" s="25" t="n">
        <x:v>272</x:v>
      </x:c>
      <x:c r="G1106" s="25" t="str">
        <x:v>从C0至当前检查点累计需求；未扣自身未来产出，不代表已有库存</x:v>
      </x:c>
    </x:row>
    <x:row r="1107">
      <x:c r="A1107" s="25" t="str">
        <x:v>C07-G</x:v>
      </x:c>
      <x:c r="B1107" s="25" t="str">
        <x:v>化圣雪原</x:v>
      </x:c>
      <x:c r="C1107" s="25" t="str">
        <x:v>半急速毕业</x:v>
      </x:c>
      <x:c r="D1107" s="25" t="str">
        <x:v>材料</x:v>
      </x:c>
      <x:c r="E1107" s="25" t="str">
        <x:v>风暴王核</x:v>
      </x:c>
      <x:c r="F1107" s="25" t="n">
        <x:v>1</x:v>
      </x:c>
      <x:c r="G1107" s="25" t="str">
        <x:v>从C0至当前检查点累计需求；未扣自身未来产出，不代表已有库存</x:v>
      </x:c>
    </x:row>
    <x:row r="1108">
      <x:c r="A1108" s="25" t="str">
        <x:v>C07-G</x:v>
      </x:c>
      <x:c r="B1108" s="25" t="str">
        <x:v>化圣雪原</x:v>
      </x:c>
      <x:c r="C1108" s="25" t="str">
        <x:v>半急速毕业</x:v>
      </x:c>
      <x:c r="D1108" s="25" t="str">
        <x:v>材料</x:v>
      </x:c>
      <x:c r="E1108" s="25" t="str">
        <x:v>风暴石片</x:v>
      </x:c>
      <x:c r="F1108" s="25" t="n">
        <x:v>370</x:v>
      </x:c>
      <x:c r="G1108" s="25" t="str">
        <x:v>从C0至当前检查点累计需求；未扣自身未来产出，不代表已有库存</x:v>
      </x:c>
    </x:row>
    <x:row r="1109">
      <x:c r="A1109" s="25" t="str">
        <x:v>C07-G</x:v>
      </x:c>
      <x:c r="B1109" s="25" t="str">
        <x:v>化圣雪原</x:v>
      </x:c>
      <x:c r="C1109" s="25" t="str">
        <x:v>半急速毕业</x:v>
      </x:c>
      <x:c r="D1109" s="25" t="str">
        <x:v>材料</x:v>
      </x:c>
      <x:c r="E1109" s="25" t="str">
        <x:v>风蚀铁片</x:v>
      </x:c>
      <x:c r="F1109" s="25" t="n">
        <x:v>710</x:v>
      </x:c>
      <x:c r="G1109" s="25" t="str">
        <x:v>从C0至当前检查点累计需求；未扣自身未来产出，不代表已有库存</x:v>
      </x:c>
    </x:row>
    <x:row r="1110">
      <x:c r="A1110" s="25" t="str">
        <x:v>C07-G</x:v>
      </x:c>
      <x:c r="B1110" s="25" t="str">
        <x:v>化圣雪原</x:v>
      </x:c>
      <x:c r="C1110" s="25" t="str">
        <x:v>半急速毕业</x:v>
      </x:c>
      <x:c r="D1110" s="25" t="str">
        <x:v>材料</x:v>
      </x:c>
      <x:c r="E1110" s="25" t="str">
        <x:v>黄金树碎核</x:v>
      </x:c>
      <x:c r="F1110" s="25" t="n">
        <x:v>2</x:v>
      </x:c>
      <x:c r="G1110" s="25" t="str">
        <x:v>从C0至当前检查点累计需求；未扣自身未来产出，不代表已有库存</x:v>
      </x:c>
    </x:row>
    <x:row r="1111">
      <x:c r="A1111" s="25" t="str">
        <x:v>C07-G</x:v>
      </x:c>
      <x:c r="B1111" s="25" t="str">
        <x:v>化圣雪原</x:v>
      </x:c>
      <x:c r="C1111" s="25" t="str">
        <x:v>半急速毕业</x:v>
      </x:c>
      <x:c r="D1111" s="25" t="str">
        <x:v>材料</x:v>
      </x:c>
      <x:c r="E1111" s="25" t="str">
        <x:v>黄金树芽</x:v>
      </x:c>
      <x:c r="F1111" s="25" t="n">
        <x:v>297</x:v>
      </x:c>
      <x:c r="G1111" s="25" t="str">
        <x:v>从C0至当前检查点累计需求；未扣自身未来产出，不代表已有库存</x:v>
      </x:c>
    </x:row>
    <x:row r="1112">
      <x:c r="A1112" s="25" t="str">
        <x:v>C07-G</x:v>
      </x:c>
      <x:c r="B1112" s="25" t="str">
        <x:v>化圣雪原</x:v>
      </x:c>
      <x:c r="C1112" s="25" t="str">
        <x:v>半急速毕业</x:v>
      </x:c>
      <x:c r="D1112" s="25" t="str">
        <x:v>材料</x:v>
      </x:c>
      <x:c r="E1112" s="25" t="str">
        <x:v>黄金骑徽</x:v>
      </x:c>
      <x:c r="F1112" s="25" t="n">
        <x:v>2</x:v>
      </x:c>
      <x:c r="G1112" s="25" t="str">
        <x:v>从C0至当前检查点累计需求；未扣自身未来产出，不代表已有库存</x:v>
      </x:c>
    </x:row>
    <x:row r="1113">
      <x:c r="A1113" s="25" t="str">
        <x:v>C07-G</x:v>
      </x:c>
      <x:c r="B1113" s="25" t="str">
        <x:v>化圣雪原</x:v>
      </x:c>
      <x:c r="C1113" s="25" t="str">
        <x:v>半急速毕业</x:v>
      </x:c>
      <x:c r="D1113" s="25" t="str">
        <x:v>材料</x:v>
      </x:c>
      <x:c r="E1113" s="25" t="str">
        <x:v>龙火鳞</x:v>
      </x:c>
      <x:c r="F1113" s="25" t="n">
        <x:v>38</x:v>
      </x:c>
      <x:c r="G1113" s="25" t="str">
        <x:v>从C0至当前检查点累计需求；未扣自身未来产出，不代表已有库存</x:v>
      </x:c>
    </x:row>
    <x:row r="1114">
      <x:c r="A1114" s="25" t="str">
        <x:v>C07-G</x:v>
      </x:c>
      <x:c r="B1114" s="25" t="str">
        <x:v>化圣雪原</x:v>
      </x:c>
      <x:c r="C1114" s="25" t="str">
        <x:v>半急速毕业</x:v>
      </x:c>
      <x:c r="D1114" s="25" t="str">
        <x:v>装备实物</x:v>
      </x:c>
      <x:c r="E1114" s="25" t="str">
        <x:v>共360个精确名称（明细见JSON）</x:v>
      </x:c>
      <x:c r="F1114" s="25" t="n">
        <x:v>476</x:v>
      </x:c>
      <x:c r="G1114" s="25" t="str">
        <x:v>含穿戴、重复试洗、图鉴登记与合成前置；完整数据未省略</x:v>
      </x:c>
    </x:row>
    <x:row r="1115">
      <x:c r="A1115" s="25" t="str">
        <x:v>C07-X</x:v>
      </x:c>
      <x:c r="B1115" s="25" t="str">
        <x:v>化圣雪原</x:v>
      </x:c>
      <x:c r="C1115" s="25" t="str">
        <x:v>极端压力</x:v>
      </x:c>
      <x:c r="D1115" s="25" t="str">
        <x:v>材料</x:v>
      </x:c>
      <x:c r="E1115" s="25" t="str">
        <x:v>兽将脊骨</x:v>
      </x:c>
      <x:c r="F1115" s="25" t="n">
        <x:v>1</x:v>
      </x:c>
      <x:c r="G1115" s="25" t="str">
        <x:v>从C0至当前检查点累计需求；未扣自身未来产出，不代表已有库存</x:v>
      </x:c>
    </x:row>
    <x:row r="1116">
      <x:c r="A1116" s="25" t="str">
        <x:v>C07-X</x:v>
      </x:c>
      <x:c r="B1116" s="25" t="str">
        <x:v>化圣雪原</x:v>
      </x:c>
      <x:c r="C1116" s="25" t="str">
        <x:v>极端压力</x:v>
      </x:c>
      <x:c r="D1116" s="25" t="str">
        <x:v>材料</x:v>
      </x:c>
      <x:c r="E1116" s="25" t="str">
        <x:v>冻原银角</x:v>
      </x:c>
      <x:c r="F1116" s="25" t="n">
        <x:v>30</x:v>
      </x:c>
      <x:c r="G1116" s="25" t="str">
        <x:v>从C0至当前检查点累计需求；未扣自身未来产出，不代表已有库存</x:v>
      </x:c>
    </x:row>
    <x:row r="1117">
      <x:c r="A1117" s="25" t="str">
        <x:v>C07-X</x:v>
      </x:c>
      <x:c r="B1117" s="25" t="str">
        <x:v>化圣雪原</x:v>
      </x:c>
      <x:c r="C1117" s="25" t="str">
        <x:v>极端压力</x:v>
      </x:c>
      <x:c r="D1117" s="25" t="str">
        <x:v>材料</x:v>
      </x:c>
      <x:c r="E1117" s="25" t="str">
        <x:v>冻晶尘</x:v>
      </x:c>
      <x:c r="F1117" s="25" t="n">
        <x:v>2440</x:v>
      </x:c>
      <x:c r="G1117" s="25" t="str">
        <x:v>从C0至当前检查点累计需求；未扣自身未来产出，不代表已有库存</x:v>
      </x:c>
    </x:row>
    <x:row r="1118">
      <x:c r="A1118" s="25" t="str">
        <x:v>C07-X</x:v>
      </x:c>
      <x:c r="B1118" s="25" t="str">
        <x:v>化圣雪原</x:v>
      </x:c>
      <x:c r="C1118" s="25" t="str">
        <x:v>极端压力</x:v>
      </x:c>
      <x:c r="D1118" s="25" t="str">
        <x:v>材料</x:v>
      </x:c>
      <x:c r="E1118" s="25" t="str">
        <x:v>净火腺囊</x:v>
      </x:c>
      <x:c r="F1118" s="25" t="n">
        <x:v>96</x:v>
      </x:c>
      <x:c r="G1118" s="25" t="str">
        <x:v>从C0至当前检查点累计需求；未扣自身未来产出，不代表已有库存</x:v>
      </x:c>
    </x:row>
    <x:row r="1119">
      <x:c r="A1119" s="25" t="str">
        <x:v>C07-X</x:v>
      </x:c>
      <x:c r="B1119" s="25" t="str">
        <x:v>化圣雪原</x:v>
      </x:c>
      <x:c r="C1119" s="25" t="str">
        <x:v>极端压力</x:v>
      </x:c>
      <x:c r="D1119" s="25" t="str">
        <x:v>材料</x:v>
      </x:c>
      <x:c r="E1119" s="25" t="str">
        <x:v>卡利亚月露</x:v>
      </x:c>
      <x:c r="F1119" s="25" t="n">
        <x:v>36</x:v>
      </x:c>
      <x:c r="G1119" s="25" t="str">
        <x:v>从C0至当前检查点累计需求；未扣自身未来产出，不代表已有库存</x:v>
      </x:c>
    </x:row>
    <x:row r="1120">
      <x:c r="A1120" s="25" t="str">
        <x:v>C07-X</x:v>
      </x:c>
      <x:c r="B1120" s="25" t="str">
        <x:v>化圣雪原</x:v>
      </x:c>
      <x:c r="C1120" s="25" t="str">
        <x:v>极端压力</x:v>
      </x:c>
      <x:c r="D1120" s="25" t="str">
        <x:v>材料</x:v>
      </x:c>
      <x:c r="E1120" s="25" t="str">
        <x:v>哨垒旗冠</x:v>
      </x:c>
      <x:c r="F1120" s="25" t="n">
        <x:v>3</x:v>
      </x:c>
      <x:c r="G1120" s="25" t="str">
        <x:v>从C0至当前检查点累计需求；未扣自身未来产出，不代表已有库存</x:v>
      </x:c>
    </x:row>
    <x:row r="1121">
      <x:c r="A1121" s="25" t="str">
        <x:v>C07-X</x:v>
      </x:c>
      <x:c r="B1121" s="25" t="str">
        <x:v>化圣雪原</x:v>
      </x:c>
      <x:c r="C1121" s="25" t="str">
        <x:v>极端压力</x:v>
      </x:c>
      <x:c r="D1121" s="25" t="str">
        <x:v>材料</x:v>
      </x:c>
      <x:c r="E1121" s="25" t="str">
        <x:v>唤船骨铃</x:v>
      </x:c>
      <x:c r="F1121" s="25" t="n">
        <x:v>1</x:v>
      </x:c>
      <x:c r="G1121" s="25" t="str">
        <x:v>从C0至当前检查点累计需求；未扣自身未来产出，不代表已有库存</x:v>
      </x:c>
    </x:row>
    <x:row r="1122">
      <x:c r="A1122" s="25" t="str">
        <x:v>C07-X</x:v>
      </x:c>
      <x:c r="B1122" s="25" t="str">
        <x:v>化圣雪原</x:v>
      </x:c>
      <x:c r="C1122" s="25" t="str">
        <x:v>极端压力</x:v>
      </x:c>
      <x:c r="D1122" s="25" t="str">
        <x:v>材料</x:v>
      </x:c>
      <x:c r="E1122" s="25" t="str">
        <x:v>商队火漆</x:v>
      </x:c>
      <x:c r="F1122" s="25" t="n">
        <x:v>20</x:v>
      </x:c>
      <x:c r="G1122" s="25" t="str">
        <x:v>从C0至当前检查点累计需求；未扣自身未来产出，不代表已有库存</x:v>
      </x:c>
    </x:row>
    <x:row r="1123">
      <x:c r="A1123" s="25" t="str">
        <x:v>C07-X</x:v>
      </x:c>
      <x:c r="B1123" s="25" t="str">
        <x:v>化圣雪原</x:v>
      </x:c>
      <x:c r="C1123" s="25" t="str">
        <x:v>极端压力</x:v>
      </x:c>
      <x:c r="D1123" s="25" t="str">
        <x:v>材料</x:v>
      </x:c>
      <x:c r="E1123" s="25" t="str">
        <x:v>圣雪誓印</x:v>
      </x:c>
      <x:c r="F1123" s="25" t="n">
        <x:v>53</x:v>
      </x:c>
      <x:c r="G1123" s="25" t="str">
        <x:v>从C0至当前检查点累计需求；未扣自身未来产出，不代表已有库存</x:v>
      </x:c>
    </x:row>
    <x:row r="1124">
      <x:c r="A1124" s="25" t="str">
        <x:v>C07-X</x:v>
      </x:c>
      <x:c r="B1124" s="25" t="str">
        <x:v>化圣雪原</x:v>
      </x:c>
      <x:c r="C1124" s="25" t="str">
        <x:v>极端压力</x:v>
      </x:c>
      <x:c r="D1124" s="25" t="str">
        <x:v>材料</x:v>
      </x:c>
      <x:c r="E1124" s="25" t="str">
        <x:v>圣雪门楔</x:v>
      </x:c>
      <x:c r="F1124" s="25" t="n">
        <x:v>8</x:v>
      </x:c>
      <x:c r="G1124" s="25" t="str">
        <x:v>从C0至当前检查点累计需求；未扣自身未来产出，不代表已有库存</x:v>
      </x:c>
    </x:row>
    <x:row r="1125">
      <x:c r="A1125" s="25" t="str">
        <x:v>C07-X</x:v>
      </x:c>
      <x:c r="B1125" s="25" t="str">
        <x:v>化圣雪原</x:v>
      </x:c>
      <x:c r="C1125" s="25" t="str">
        <x:v>极端压力</x:v>
      </x:c>
      <x:c r="D1125" s="25" t="str">
        <x:v>材料</x:v>
      </x:c>
      <x:c r="E1125" s="25" t="str">
        <x:v>夜骑黑印</x:v>
      </x:c>
      <x:c r="F1125" s="25" t="n">
        <x:v>1</x:v>
      </x:c>
      <x:c r="G1125" s="25" t="str">
        <x:v>从C0至当前检查点累计需求；未扣自身未来产出，不代表已有库存</x:v>
      </x:c>
    </x:row>
    <x:row r="1126">
      <x:c r="A1126" s="25" t="str">
        <x:v>C07-X</x:v>
      </x:c>
      <x:c r="B1126" s="25" t="str">
        <x:v>化圣雪原</x:v>
      </x:c>
      <x:c r="C1126" s="25" t="str">
        <x:v>极端压力</x:v>
      </x:c>
      <x:c r="D1126" s="25" t="str">
        <x:v>材料</x:v>
      </x:c>
      <x:c r="E1126" s="25" t="str">
        <x:v>大卢恩</x:v>
      </x:c>
      <x:c r="F1126" s="25" t="n">
        <x:v>350</x:v>
      </x:c>
      <x:c r="G1126" s="25" t="str">
        <x:v>从C0至当前检查点累计需求；未扣自身未来产出，不代表已有库存</x:v>
      </x:c>
    </x:row>
    <x:row r="1127">
      <x:c r="A1127" s="25" t="str">
        <x:v>C07-X</x:v>
      </x:c>
      <x:c r="B1127" s="25" t="str">
        <x:v>化圣雪原</x:v>
      </x:c>
      <x:c r="C1127" s="25" t="str">
        <x:v>极端压力</x:v>
      </x:c>
      <x:c r="D1127" s="25" t="str">
        <x:v>材料</x:v>
      </x:c>
      <x:c r="E1127" s="25" t="str">
        <x:v>失乡军令</x:v>
      </x:c>
      <x:c r="F1127" s="25" t="n">
        <x:v>2</x:v>
      </x:c>
      <x:c r="G1127" s="25" t="str">
        <x:v>从C0至当前检查点累计需求；未扣自身未来产出，不代表已有库存</x:v>
      </x:c>
    </x:row>
    <x:row r="1128">
      <x:c r="A1128" s="25" t="str">
        <x:v>C07-X</x:v>
      </x:c>
      <x:c r="B1128" s="25" t="str">
        <x:v>化圣雪原</x:v>
      </x:c>
      <x:c r="C1128" s="25" t="str">
        <x:v>极端压力</x:v>
      </x:c>
      <x:c r="D1128" s="25" t="str">
        <x:v>材料</x:v>
      </x:c>
      <x:c r="E1128" s="25" t="str">
        <x:v>失乡统帅徽</x:v>
      </x:c>
      <x:c r="F1128" s="25" t="n">
        <x:v>2</x:v>
      </x:c>
      <x:c r="G1128" s="25" t="str">
        <x:v>从C0至当前检查点累计需求；未扣自身未来产出，不代表已有库存</x:v>
      </x:c>
    </x:row>
    <x:row r="1129">
      <x:c r="A1129" s="25" t="str">
        <x:v>C07-X</x:v>
      </x:c>
      <x:c r="B1129" s="25" t="str">
        <x:v>化圣雪原</x:v>
      </x:c>
      <x:c r="C1129" s="25" t="str">
        <x:v>极端压力</x:v>
      </x:c>
      <x:c r="D1129" s="25" t="str">
        <x:v>材料</x:v>
      </x:c>
      <x:c r="E1129" s="25" t="str">
        <x:v>失色锻造石</x:v>
      </x:c>
      <x:c r="F1129" s="25" t="n">
        <x:v>48340</x:v>
      </x:c>
      <x:c r="G1129" s="25" t="str">
        <x:v>从C0至当前检查点累计需求；未扣自身未来产出，不代表已有库存</x:v>
      </x:c>
    </x:row>
    <x:row r="1130">
      <x:c r="A1130" s="25" t="str">
        <x:v>C07-X</x:v>
      </x:c>
      <x:c r="B1130" s="25" t="str">
        <x:v>化圣雪原</x:v>
      </x:c>
      <x:c r="C1130" s="25" t="str">
        <x:v>极端压力</x:v>
      </x:c>
      <x:c r="D1130" s="25" t="str">
        <x:v>材料</x:v>
      </x:c>
      <x:c r="E1130" s="25" t="str">
        <x:v>学院封蜡</x:v>
      </x:c>
      <x:c r="F1130" s="25" t="n">
        <x:v>24</x:v>
      </x:c>
      <x:c r="G1130" s="25" t="str">
        <x:v>从C0至当前检查点累计需求；未扣自身未来产出，不代表已有库存</x:v>
      </x:c>
    </x:row>
    <x:row r="1131">
      <x:c r="A1131" s="25" t="str">
        <x:v>C07-X</x:v>
      </x:c>
      <x:c r="B1131" s="25" t="str">
        <x:v>化圣雪原</x:v>
      </x:c>
      <x:c r="C1131" s="25" t="str">
        <x:v>极端压力</x:v>
      </x:c>
      <x:c r="D1131" s="25" t="str">
        <x:v>材料</x:v>
      </x:c>
      <x:c r="E1131" s="25" t="str">
        <x:v>宁姆格福誓页</x:v>
      </x:c>
      <x:c r="F1131" s="25" t="n">
        <x:v>90</x:v>
      </x:c>
      <x:c r="G1131" s="25" t="str">
        <x:v>从C0至当前检查点累计需求；未扣自身未来产出，不代表已有库存</x:v>
      </x:c>
    </x:row>
    <x:row r="1132">
      <x:c r="A1132" s="25" t="str">
        <x:v>C07-X</x:v>
      </x:c>
      <x:c r="B1132" s="25" t="str">
        <x:v>化圣雪原</x:v>
      </x:c>
      <x:c r="C1132" s="25" t="str">
        <x:v>极端压力</x:v>
      </x:c>
      <x:c r="D1132" s="25" t="str">
        <x:v>材料</x:v>
      </x:c>
      <x:c r="E1132" s="25" t="str">
        <x:v>小卢恩</x:v>
      </x:c>
      <x:c r="F1132" s="25" t="n">
        <x:v>250</x:v>
      </x:c>
      <x:c r="G1132" s="25" t="str">
        <x:v>从C0至当前检查点累计需求；未扣自身未来产出，不代表已有库存</x:v>
      </x:c>
    </x:row>
    <x:row r="1133">
      <x:c r="A1133" s="25" t="str">
        <x:v>C07-X</x:v>
      </x:c>
      <x:c r="B1133" s="25" t="str">
        <x:v>化圣雪原</x:v>
      </x:c>
      <x:c r="C1133" s="25" t="str">
        <x:v>极端压力</x:v>
      </x:c>
      <x:c r="D1133" s="25" t="str">
        <x:v>材料</x:v>
      </x:c>
      <x:c r="E1133" s="25" t="str">
        <x:v>山妖王角</x:v>
      </x:c>
      <x:c r="F1133" s="25" t="n">
        <x:v>2</x:v>
      </x:c>
      <x:c r="G1133" s="25" t="str">
        <x:v>从C0至当前检查点累计需求；未扣自身未来产出，不代表已有库存</x:v>
      </x:c>
    </x:row>
    <x:row r="1134">
      <x:c r="A1134" s="25" t="str">
        <x:v>C07-X</x:v>
      </x:c>
      <x:c r="B1134" s="25" t="str">
        <x:v>化圣雪原</x:v>
      </x:c>
      <x:c r="C1134" s="25" t="str">
        <x:v>极端压力</x:v>
      </x:c>
      <x:c r="D1134" s="25" t="str">
        <x:v>材料</x:v>
      </x:c>
      <x:c r="E1134" s="25" t="str">
        <x:v>幽船铆钉</x:v>
      </x:c>
      <x:c r="F1134" s="25" t="n">
        <x:v>21</x:v>
      </x:c>
      <x:c r="G1134" s="25" t="str">
        <x:v>从C0至当前检查点累计需求；未扣自身未来产出，不代表已有库存</x:v>
      </x:c>
    </x:row>
    <x:row r="1135">
      <x:c r="A1135" s="25" t="str">
        <x:v>C07-X</x:v>
      </x:c>
      <x:c r="B1135" s="25" t="str">
        <x:v>化圣雪原</x:v>
      </x:c>
      <x:c r="C1135" s="25" t="str">
        <x:v>极端压力</x:v>
      </x:c>
      <x:c r="D1135" s="25" t="str">
        <x:v>材料</x:v>
      </x:c>
      <x:c r="E1135" s="25" t="str">
        <x:v>恶兆残角</x:v>
      </x:c>
      <x:c r="F1135" s="25" t="n">
        <x:v>1</x:v>
      </x:c>
      <x:c r="G1135" s="25" t="str">
        <x:v>从C0至当前检查点累计需求；未扣自身未来产出，不代表已有库存</x:v>
      </x:c>
    </x:row>
    <x:row r="1136">
      <x:c r="A1136" s="25" t="str">
        <x:v>C07-X</x:v>
      </x:c>
      <x:c r="B1136" s="25" t="str">
        <x:v>化圣雪原</x:v>
      </x:c>
      <x:c r="C1136" s="25" t="str">
        <x:v>极端压力</x:v>
      </x:c>
      <x:c r="D1136" s="25" t="str">
        <x:v>材料</x:v>
      </x:c>
      <x:c r="E1136" s="25" t="str">
        <x:v>技能残页</x:v>
      </x:c>
      <x:c r="F1136" s="25" t="n">
        <x:v>1350</x:v>
      </x:c>
      <x:c r="G1136" s="25" t="str">
        <x:v>从C0至当前检查点累计需求；未扣自身未来产出，不代表已有库存</x:v>
      </x:c>
    </x:row>
    <x:row r="1137">
      <x:c r="A1137" s="25" t="str">
        <x:v>C07-X</x:v>
      </x:c>
      <x:c r="B1137" s="25" t="str">
        <x:v>化圣雪原</x:v>
      </x:c>
      <x:c r="C1137" s="25" t="str">
        <x:v>极端压力</x:v>
      </x:c>
      <x:c r="D1137" s="25" t="str">
        <x:v>材料</x:v>
      </x:c>
      <x:c r="E1137" s="25" t="str">
        <x:v>接肢兽心</x:v>
      </x:c>
      <x:c r="F1137" s="25" t="n">
        <x:v>2</x:v>
      </x:c>
      <x:c r="G1137" s="25" t="str">
        <x:v>从C0至当前检查点累计需求；未扣自身未来产出，不代表已有库存</x:v>
      </x:c>
    </x:row>
    <x:row r="1138">
      <x:c r="A1138" s="25" t="str">
        <x:v>C07-X</x:v>
      </x:c>
      <x:c r="B1138" s="25" t="str">
        <x:v>化圣雪原</x:v>
      </x:c>
      <x:c r="C1138" s="25" t="str">
        <x:v>极端压力</x:v>
      </x:c>
      <x:c r="D1138" s="25" t="str">
        <x:v>材料</x:v>
      </x:c>
      <x:c r="E1138" s="25" t="str">
        <x:v>接肢王印</x:v>
      </x:c>
      <x:c r="F1138" s="25" t="n">
        <x:v>13</x:v>
      </x:c>
      <x:c r="G1138" s="25" t="str">
        <x:v>从C0至当前检查点累计需求；未扣自身未来产出，不代表已有库存</x:v>
      </x:c>
    </x:row>
    <x:row r="1139">
      <x:c r="A1139" s="25" t="str">
        <x:v>C07-X</x:v>
      </x:c>
      <x:c r="B1139" s="25" t="str">
        <x:v>化圣雪原</x:v>
      </x:c>
      <x:c r="C1139" s="25" t="str">
        <x:v>极端压力</x:v>
      </x:c>
      <x:c r="D1139" s="25" t="str">
        <x:v>材料</x:v>
      </x:c>
      <x:c r="E1139" s="25" t="str">
        <x:v>接肢王魂</x:v>
      </x:c>
      <x:c r="F1139" s="25" t="n">
        <x:v>1</x:v>
      </x:c>
      <x:c r="G1139" s="25" t="str">
        <x:v>从C0至当前检查点累计需求；未扣自身未来产出，不代表已有库存</x:v>
      </x:c>
    </x:row>
    <x:row r="1140">
      <x:c r="A1140" s="25" t="str">
        <x:v>C07-X</x:v>
      </x:c>
      <x:c r="B1140" s="25" t="str">
        <x:v>化圣雪原</x:v>
      </x:c>
      <x:c r="C1140" s="25" t="str">
        <x:v>极端压力</x:v>
      </x:c>
      <x:c r="D1140" s="25" t="str">
        <x:v>材料</x:v>
      </x:c>
      <x:c r="E1140" s="25" t="str">
        <x:v>月潮忆珀</x:v>
      </x:c>
      <x:c r="F1140" s="25" t="n">
        <x:v>1</x:v>
      </x:c>
      <x:c r="G1140" s="25" t="str">
        <x:v>从C0至当前检查点累计需求；未扣自身未来产出，不代表已有库存</x:v>
      </x:c>
    </x:row>
    <x:row r="1141">
      <x:c r="A1141" s="25" t="str">
        <x:v>C07-X</x:v>
      </x:c>
      <x:c r="B1141" s="25" t="str">
        <x:v>化圣雪原</x:v>
      </x:c>
      <x:c r="C1141" s="25" t="str">
        <x:v>极端压力</x:v>
      </x:c>
      <x:c r="D1141" s="25" t="str">
        <x:v>材料</x:v>
      </x:c>
      <x:c r="E1141" s="25" t="str">
        <x:v>月蚀镜片</x:v>
      </x:c>
      <x:c r="F1141" s="25" t="n">
        <x:v>21</x:v>
      </x:c>
      <x:c r="G1141" s="25" t="str">
        <x:v>从C0至当前检查点累计需求；未扣自身未来产出，不代表已有库存</x:v>
      </x:c>
    </x:row>
    <x:row r="1142">
      <x:c r="A1142" s="25" t="str">
        <x:v>C07-X</x:v>
      </x:c>
      <x:c r="B1142" s="25" t="str">
        <x:v>化圣雪原</x:v>
      </x:c>
      <x:c r="C1142" s="25" t="str">
        <x:v>极端压力</x:v>
      </x:c>
      <x:c r="D1142" s="25" t="str">
        <x:v>材料</x:v>
      </x:c>
      <x:c r="E1142" s="25" t="str">
        <x:v>树卫枪穗</x:v>
      </x:c>
      <x:c r="F1142" s="25" t="n">
        <x:v>1</x:v>
      </x:c>
      <x:c r="G1142" s="25" t="str">
        <x:v>从C0至当前检查点累计需求；未扣自身未来产出，不代表已有库存</x:v>
      </x:c>
    </x:row>
    <x:row r="1143">
      <x:c r="A1143" s="25" t="str">
        <x:v>C07-X</x:v>
      </x:c>
      <x:c r="B1143" s="25" t="str">
        <x:v>化圣雪原</x:v>
      </x:c>
      <x:c r="C1143" s="25" t="str">
        <x:v>极端压力</x:v>
      </x:c>
      <x:c r="D1143" s="25" t="str">
        <x:v>材料</x:v>
      </x:c>
      <x:c r="E1143" s="25" t="str">
        <x:v>死亡仪羽</x:v>
      </x:c>
      <x:c r="F1143" s="25" t="n">
        <x:v>2</x:v>
      </x:c>
      <x:c r="G1143" s="25" t="str">
        <x:v>从C0至当前检查点累计需求；未扣自身未来产出，不代表已有库存</x:v>
      </x:c>
    </x:row>
    <x:row r="1144">
      <x:c r="A1144" s="25" t="str">
        <x:v>C07-X</x:v>
      </x:c>
      <x:c r="B1144" s="25" t="str">
        <x:v>化圣雪原</x:v>
      </x:c>
      <x:c r="C1144" s="25" t="str">
        <x:v>极端压力</x:v>
      </x:c>
      <x:c r="D1144" s="25" t="str">
        <x:v>材料</x:v>
      </x:c>
      <x:c r="E1144" s="25" t="str">
        <x:v>永霜朝圣痕</x:v>
      </x:c>
      <x:c r="F1144" s="25" t="n">
        <x:v>1</x:v>
      </x:c>
      <x:c r="G1144" s="25" t="str">
        <x:v>从C0至当前检查点累计需求；未扣自身未来产出，不代表已有库存</x:v>
      </x:c>
    </x:row>
    <x:row r="1145">
      <x:c r="A1145" s="25" t="str">
        <x:v>C07-X</x:v>
      </x:c>
      <x:c r="B1145" s="25" t="str">
        <x:v>化圣雪原</x:v>
      </x:c>
      <x:c r="C1145" s="25" t="str">
        <x:v>极端压力</x:v>
      </x:c>
      <x:c r="D1145" s="25" t="str">
        <x:v>材料</x:v>
      </x:c>
      <x:c r="E1145" s="25" t="str">
        <x:v>沉湖王印</x:v>
      </x:c>
      <x:c r="F1145" s="25" t="n">
        <x:v>25</x:v>
      </x:c>
      <x:c r="G1145" s="25" t="str">
        <x:v>从C0至当前检查点累计需求；未扣自身未来产出，不代表已有库存</x:v>
      </x:c>
    </x:row>
    <x:row r="1146">
      <x:c r="A1146" s="25" t="str">
        <x:v>C07-X</x:v>
      </x:c>
      <x:c r="B1146" s="25" t="str">
        <x:v>化圣雪原</x:v>
      </x:c>
      <x:c r="C1146" s="25" t="str">
        <x:v>极端压力</x:v>
      </x:c>
      <x:c r="D1146" s="25" t="str">
        <x:v>材料</x:v>
      </x:c>
      <x:c r="E1146" s="25" t="str">
        <x:v>沉船缆扣</x:v>
      </x:c>
      <x:c r="F1146" s="25" t="n">
        <x:v>12</x:v>
      </x:c>
      <x:c r="G1146" s="25" t="str">
        <x:v>从C0至当前检查点累计需求；未扣自身未来产出，不代表已有库存</x:v>
      </x:c>
    </x:row>
    <x:row r="1147">
      <x:c r="A1147" s="25" t="str">
        <x:v>C07-X</x:v>
      </x:c>
      <x:c r="B1147" s="25" t="str">
        <x:v>化圣雪原</x:v>
      </x:c>
      <x:c r="C1147" s="25" t="str">
        <x:v>极端压力</x:v>
      </x:c>
      <x:c r="D1147" s="25" t="str">
        <x:v>材料</x:v>
      </x:c>
      <x:c r="E1147" s="25" t="str">
        <x:v>海蚀铁片</x:v>
      </x:c>
      <x:c r="F1147" s="25" t="n">
        <x:v>160</x:v>
      </x:c>
      <x:c r="G1147" s="25" t="str">
        <x:v>从C0至当前检查点累计需求；未扣自身未来产出，不代表已有库存</x:v>
      </x:c>
    </x:row>
    <x:row r="1148">
      <x:c r="A1148" s="25" t="str">
        <x:v>C07-X</x:v>
      </x:c>
      <x:c r="B1148" s="25" t="str">
        <x:v>化圣雪原</x:v>
      </x:c>
      <x:c r="C1148" s="25" t="str">
        <x:v>极端压力</x:v>
      </x:c>
      <x:c r="D1148" s="25" t="str">
        <x:v>材料</x:v>
      </x:c>
      <x:c r="E1148" s="25" t="str">
        <x:v>深湖压舱印</x:v>
      </x:c>
      <x:c r="F1148" s="25" t="n">
        <x:v>6</x:v>
      </x:c>
      <x:c r="G1148" s="25" t="str">
        <x:v>从C0至当前检查点累计需求；未扣自身未来产出，不代表已有库存</x:v>
      </x:c>
    </x:row>
    <x:row r="1149">
      <x:c r="A1149" s="25" t="str">
        <x:v>C07-X</x:v>
      </x:c>
      <x:c r="B1149" s="25" t="str">
        <x:v>化圣雪原</x:v>
      </x:c>
      <x:c r="C1149" s="25" t="str">
        <x:v>极端压力</x:v>
      </x:c>
      <x:c r="D1149" s="25" t="str">
        <x:v>材料</x:v>
      </x:c>
      <x:c r="E1149" s="25" t="str">
        <x:v>湖底封门珠</x:v>
      </x:c>
      <x:c r="F1149" s="25" t="n">
        <x:v>8</x:v>
      </x:c>
      <x:c r="G1149" s="25" t="str">
        <x:v>从C0至当前检查点累计需求；未扣自身未来产出，不代表已有库存</x:v>
      </x:c>
    </x:row>
    <x:row r="1150">
      <x:c r="A1150" s="25" t="str">
        <x:v>C07-X</x:v>
      </x:c>
      <x:c r="B1150" s="25" t="str">
        <x:v>化圣雪原</x:v>
      </x:c>
      <x:c r="C1150" s="25" t="str">
        <x:v>极端压力</x:v>
      </x:c>
      <x:c r="D1150" s="25" t="str">
        <x:v>材料</x:v>
      </x:c>
      <x:c r="E1150" s="25" t="str">
        <x:v>湖心月谱残章</x:v>
      </x:c>
      <x:c r="F1150" s="25" t="n">
        <x:v>1</x:v>
      </x:c>
      <x:c r="G1150" s="25" t="str">
        <x:v>从C0至当前检查点累计需求；未扣自身未来产出，不代表已有库存</x:v>
      </x:c>
    </x:row>
    <x:row r="1151">
      <x:c r="A1151" s="25" t="str">
        <x:v>C07-X</x:v>
      </x:c>
      <x:c r="B1151" s="25" t="str">
        <x:v>化圣雪原</x:v>
      </x:c>
      <x:c r="C1151" s="25" t="str">
        <x:v>极端压力</x:v>
      </x:c>
      <x:c r="D1151" s="25" t="str">
        <x:v>材料</x:v>
      </x:c>
      <x:c r="E1151" s="25" t="str">
        <x:v>湖盐结晶</x:v>
      </x:c>
      <x:c r="F1151" s="25" t="n">
        <x:v>1957</x:v>
      </x:c>
      <x:c r="G1151" s="25" t="str">
        <x:v>从C0至当前检查点累计需求；未扣自身未来产出，不代表已有库存</x:v>
      </x:c>
    </x:row>
    <x:row r="1152">
      <x:c r="A1152" s="25" t="str">
        <x:v>C07-X</x:v>
      </x:c>
      <x:c r="B1152" s="25" t="str">
        <x:v>化圣雪原</x:v>
      </x:c>
      <x:c r="C1152" s="25" t="str">
        <x:v>极端压力</x:v>
      </x:c>
      <x:c r="D1152" s="25" t="str">
        <x:v>材料</x:v>
      </x:c>
      <x:c r="E1152" s="25" t="str">
        <x:v>溃烂树核</x:v>
      </x:c>
      <x:c r="F1152" s="25" t="n">
        <x:v>1</x:v>
      </x:c>
      <x:c r="G1152" s="25" t="str">
        <x:v>从C0至当前检查点累计需求；未扣自身未来产出，不代表已有库存</x:v>
      </x:c>
    </x:row>
    <x:row r="1153">
      <x:c r="A1153" s="25" t="str">
        <x:v>C07-X</x:v>
      </x:c>
      <x:c r="B1153" s="25" t="str">
        <x:v>化圣雪原</x:v>
      </x:c>
      <x:c r="C1153" s="25" t="str">
        <x:v>极端压力</x:v>
      </x:c>
      <x:c r="D1153" s="25" t="str">
        <x:v>材料</x:v>
      </x:c>
      <x:c r="E1153" s="25" t="str">
        <x:v>满月王室印</x:v>
      </x:c>
      <x:c r="F1153" s="25" t="n">
        <x:v>51</x:v>
      </x:c>
      <x:c r="G1153" s="25" t="str">
        <x:v>从C0至当前检查点累计需求；未扣自身未来产出，不代表已有库存</x:v>
      </x:c>
    </x:row>
    <x:row r="1154">
      <x:c r="A1154" s="25" t="str">
        <x:v>C07-X</x:v>
      </x:c>
      <x:c r="B1154" s="25" t="str">
        <x:v>化圣雪原</x:v>
      </x:c>
      <x:c r="C1154" s="25" t="str">
        <x:v>极端压力</x:v>
      </x:c>
      <x:c r="D1154" s="25" t="str">
        <x:v>材料</x:v>
      </x:c>
      <x:c r="E1154" s="25" t="str">
        <x:v>漂流大陆印记</x:v>
      </x:c>
      <x:c r="F1154" s="25" t="n">
        <x:v>11</x:v>
      </x:c>
      <x:c r="G1154" s="25" t="str">
        <x:v>从C0至当前检查点累计需求；未扣自身未来产出，不代表已有库存</x:v>
      </x:c>
    </x:row>
    <x:row r="1155">
      <x:c r="A1155" s="25" t="str">
        <x:v>C07-X</x:v>
      </x:c>
      <x:c r="B1155" s="25" t="str">
        <x:v>化圣雪原</x:v>
      </x:c>
      <x:c r="C1155" s="25" t="str">
        <x:v>极端压力</x:v>
      </x:c>
      <x:c r="D1155" s="25" t="str">
        <x:v>材料</x:v>
      </x:c>
      <x:c r="E1155" s="25" t="str">
        <x:v>漂流见证·潮</x:v>
      </x:c>
      <x:c r="F1155" s="25" t="n">
        <x:v>8</x:v>
      </x:c>
      <x:c r="G1155" s="25" t="str">
        <x:v>从C0至当前检查点累计需求；未扣自身未来产出，不代表已有库存</x:v>
      </x:c>
    </x:row>
    <x:row r="1156">
      <x:c r="A1156" s="25" t="str">
        <x:v>C07-X</x:v>
      </x:c>
      <x:c r="B1156" s="25" t="str">
        <x:v>化圣雪原</x:v>
      </x:c>
      <x:c r="C1156" s="25" t="str">
        <x:v>极端压力</x:v>
      </x:c>
      <x:c r="D1156" s="25" t="str">
        <x:v>材料</x:v>
      </x:c>
      <x:c r="E1156" s="25" t="str">
        <x:v>漂流见证·雷</x:v>
      </x:c>
      <x:c r="F1156" s="25" t="n">
        <x:v>8</x:v>
      </x:c>
      <x:c r="G1156" s="25" t="str">
        <x:v>从C0至当前检查点累计需求；未扣自身未来产出，不代表已有库存</x:v>
      </x:c>
    </x:row>
    <x:row r="1157">
      <x:c r="A1157" s="25" t="str">
        <x:v>C07-X</x:v>
      </x:c>
      <x:c r="B1157" s="25" t="str">
        <x:v>化圣雪原</x:v>
      </x:c>
      <x:c r="C1157" s="25" t="str">
        <x:v>极端压力</x:v>
      </x:c>
      <x:c r="D1157" s="25" t="str">
        <x:v>材料</x:v>
      </x:c>
      <x:c r="E1157" s="25" t="str">
        <x:v>潮痕结晶</x:v>
      </x:c>
      <x:c r="F1157" s="25" t="n">
        <x:v>16</x:v>
      </x:c>
      <x:c r="G1157" s="25" t="str">
        <x:v>从C0至当前检查点累计需求；未扣自身未来产出，不代表已有库存</x:v>
      </x:c>
    </x:row>
    <x:row r="1158">
      <x:c r="A1158" s="25" t="str">
        <x:v>C07-X</x:v>
      </x:c>
      <x:c r="B1158" s="25" t="str">
        <x:v>化圣雪原</x:v>
      </x:c>
      <x:c r="C1158" s="25" t="str">
        <x:v>极端压力</x:v>
      </x:c>
      <x:c r="D1158" s="25" t="str">
        <x:v>材料</x:v>
      </x:c>
      <x:c r="E1158" s="25" t="str">
        <x:v>熊王心脏</x:v>
      </x:c>
      <x:c r="F1158" s="25" t="n">
        <x:v>2</x:v>
      </x:c>
      <x:c r="G1158" s="25" t="str">
        <x:v>从C0至当前检查点累计需求；未扣自身未来产出，不代表已有库存</x:v>
      </x:c>
    </x:row>
    <x:row r="1159">
      <x:c r="A1159" s="25" t="str">
        <x:v>C07-X</x:v>
      </x:c>
      <x:c r="B1159" s="25" t="str">
        <x:v>化圣雪原</x:v>
      </x:c>
      <x:c r="C1159" s="25" t="str">
        <x:v>极端压力</x:v>
      </x:c>
      <x:c r="D1159" s="25" t="str">
        <x:v>材料</x:v>
      </x:c>
      <x:c r="E1159" s="25" t="str">
        <x:v>熔原罪火残章</x:v>
      </x:c>
      <x:c r="F1159" s="25" t="n">
        <x:v>1</x:v>
      </x:c>
      <x:c r="G1159" s="25" t="str">
        <x:v>从C0至当前检查点累计需求；未扣自身未来产出，不代表已有库存</x:v>
      </x:c>
    </x:row>
    <x:row r="1160">
      <x:c r="A1160" s="25" t="str">
        <x:v>C07-X</x:v>
      </x:c>
      <x:c r="B1160" s="25" t="str">
        <x:v>化圣雪原</x:v>
      </x:c>
      <x:c r="C1160" s="25" t="str">
        <x:v>极端压力</x:v>
      </x:c>
      <x:c r="D1160" s="25" t="str">
        <x:v>材料</x:v>
      </x:c>
      <x:c r="E1160" s="25" t="str">
        <x:v>熔炉角片</x:v>
      </x:c>
      <x:c r="F1160" s="25" t="n">
        <x:v>1</x:v>
      </x:c>
      <x:c r="G1160" s="25" t="str">
        <x:v>从C0至当前检查点累计需求；未扣自身未来产出，不代表已有库存</x:v>
      </x:c>
    </x:row>
    <x:row r="1161">
      <x:c r="A1161" s="25" t="str">
        <x:v>C07-X</x:v>
      </x:c>
      <x:c r="B1161" s="25" t="str">
        <x:v>化圣雪原</x:v>
      </x:c>
      <x:c r="C1161" s="25" t="str">
        <x:v>极端压力</x:v>
      </x:c>
      <x:c r="D1161" s="25" t="str">
        <x:v>材料</x:v>
      </x:c>
      <x:c r="E1161" s="25" t="str">
        <x:v>猩红矿渣</x:v>
      </x:c>
      <x:c r="F1161" s="25" t="n">
        <x:v>2577</x:v>
      </x:c>
      <x:c r="G1161" s="25" t="str">
        <x:v>从C0至当前检查点累计需求；未扣自身未来产出，不代表已有库存</x:v>
      </x:c>
    </x:row>
    <x:row r="1162">
      <x:c r="A1162" s="25" t="str">
        <x:v>C07-X</x:v>
      </x:c>
      <x:c r="B1162" s="25" t="str">
        <x:v>化圣雪原</x:v>
      </x:c>
      <x:c r="C1162" s="25" t="str">
        <x:v>极端压力</x:v>
      </x:c>
      <x:c r="D1162" s="25" t="str">
        <x:v>材料</x:v>
      </x:c>
      <x:c r="E1162" s="25" t="str">
        <x:v>王城军印</x:v>
      </x:c>
      <x:c r="F1162" s="25" t="n">
        <x:v>1</x:v>
      </x:c>
      <x:c r="G1162" s="25" t="str">
        <x:v>从C0至当前检查点累计需求；未扣自身未来产出，不代表已有库存</x:v>
      </x:c>
    </x:row>
    <x:row r="1163">
      <x:c r="A1163" s="25" t="str">
        <x:v>C07-X</x:v>
      </x:c>
      <x:c r="B1163" s="25" t="str">
        <x:v>化圣雪原</x:v>
      </x:c>
      <x:c r="C1163" s="25" t="str">
        <x:v>极端压力</x:v>
      </x:c>
      <x:c r="D1163" s="25" t="str">
        <x:v>材料</x:v>
      </x:c>
      <x:c r="E1163" s="25" t="str">
        <x:v>白金纺线</x:v>
      </x:c>
      <x:c r="F1163" s="25" t="n">
        <x:v>60</x:v>
      </x:c>
      <x:c r="G1163" s="25" t="str">
        <x:v>从C0至当前检查点累计需求；未扣自身未来产出，不代表已有库存</x:v>
      </x:c>
    </x:row>
    <x:row r="1164">
      <x:c r="A1164" s="25" t="str">
        <x:v>C07-X</x:v>
      </x:c>
      <x:c r="B1164" s="25" t="str">
        <x:v>化圣雪原</x:v>
      </x:c>
      <x:c r="C1164" s="25" t="str">
        <x:v>极端压力</x:v>
      </x:c>
      <x:c r="D1164" s="25" t="str">
        <x:v>材料</x:v>
      </x:c>
      <x:c r="E1164" s="25" t="str">
        <x:v>白金路标片</x:v>
      </x:c>
      <x:c r="F1164" s="25" t="n">
        <x:v>145</x:v>
      </x:c>
      <x:c r="G1164" s="25" t="str">
        <x:v>从C0至当前检查点累计需求；未扣自身未来产出，不代表已有库存</x:v>
      </x:c>
    </x:row>
    <x:row r="1165">
      <x:c r="A1165" s="25" t="str">
        <x:v>C07-X</x:v>
      </x:c>
      <x:c r="B1165" s="25" t="str">
        <x:v>化圣雪原</x:v>
      </x:c>
      <x:c r="C1165" s="25" t="str">
        <x:v>极端压力</x:v>
      </x:c>
      <x:c r="D1165" s="25" t="str">
        <x:v>材料</x:v>
      </x:c>
      <x:c r="E1165" s="25" t="str">
        <x:v>看门犬石心</x:v>
      </x:c>
      <x:c r="F1165" s="25" t="n">
        <x:v>2</x:v>
      </x:c>
      <x:c r="G1165" s="25" t="str">
        <x:v>从C0至当前检查点累计需求；未扣自身未来产出，不代表已有库存</x:v>
      </x:c>
    </x:row>
    <x:row r="1166">
      <x:c r="A1166" s="25" t="str">
        <x:v>C07-X</x:v>
      </x:c>
      <x:c r="B1166" s="25" t="str">
        <x:v>化圣雪原</x:v>
      </x:c>
      <x:c r="C1166" s="25" t="str">
        <x:v>极端压力</x:v>
      </x:c>
      <x:c r="D1166" s="25" t="str">
        <x:v>材料</x:v>
      </x:c>
      <x:c r="E1166" s="25" t="str">
        <x:v>碎星仪仗钉</x:v>
      </x:c>
      <x:c r="F1166" s="25" t="n">
        <x:v>2</x:v>
      </x:c>
      <x:c r="G1166" s="25" t="str">
        <x:v>从C0至当前检查点累计需求；未扣自身未来产出，不代表已有库存</x:v>
      </x:c>
    </x:row>
    <x:row r="1167">
      <x:c r="A1167" s="25" t="str">
        <x:v>C07-X</x:v>
      </x:c>
      <x:c r="B1167" s="25" t="str">
        <x:v>化圣雪原</x:v>
      </x:c>
      <x:c r="C1167" s="25" t="str">
        <x:v>极端压力</x:v>
      </x:c>
      <x:c r="D1167" s="25" t="str">
        <x:v>材料</x:v>
      </x:c>
      <x:c r="E1167" s="25" t="str">
        <x:v>神秘符文</x:v>
      </x:c>
      <x:c r="F1167" s="25" t="n">
        <x:v>400</x:v>
      </x:c>
      <x:c r="G1167" s="25" t="str">
        <x:v>从C0至当前检查点累计需求；未扣自身未来产出，不代表已有库存</x:v>
      </x:c>
    </x:row>
    <x:row r="1168">
      <x:c r="A1168" s="25" t="str">
        <x:v>C07-X</x:v>
      </x:c>
      <x:c r="B1168" s="25" t="str">
        <x:v>化圣雪原</x:v>
      </x:c>
      <x:c r="C1168" s="25" t="str">
        <x:v>极端压力</x:v>
      </x:c>
      <x:c r="D1168" s="25" t="str">
        <x:v>材料</x:v>
      </x:c>
      <x:c r="E1168" s="25" t="str">
        <x:v>禁域星钥</x:v>
      </x:c>
      <x:c r="F1168" s="25" t="n">
        <x:v>4</x:v>
      </x:c>
      <x:c r="G1168" s="25" t="str">
        <x:v>从C0至当前检查点累计需求；未扣自身未来产出，不代表已有库存</x:v>
      </x:c>
    </x:row>
    <x:row r="1169">
      <x:c r="A1169" s="25" t="str">
        <x:v>C07-X</x:v>
      </x:c>
      <x:c r="B1169" s="25" t="str">
        <x:v>化圣雪原</x:v>
      </x:c>
      <x:c r="C1169" s="25" t="str">
        <x:v>极端压力</x:v>
      </x:c>
      <x:c r="D1169" s="25" t="str">
        <x:v>材料</x:v>
      </x:c>
      <x:c r="E1169" s="25" t="str">
        <x:v>秘树霜芽</x:v>
      </x:c>
      <x:c r="F1169" s="25" t="n">
        <x:v>12</x:v>
      </x:c>
      <x:c r="G1169" s="25" t="str">
        <x:v>从C0至当前检查点累计需求；未扣自身未来产出，不代表已有库存</x:v>
      </x:c>
    </x:row>
    <x:row r="1170">
      <x:c r="A1170" s="25" t="str">
        <x:v>C07-X</x:v>
      </x:c>
      <x:c r="B1170" s="25" t="str">
        <x:v>化圣雪原</x:v>
      </x:c>
      <x:c r="C1170" s="25" t="str">
        <x:v>极端压力</x:v>
      </x:c>
      <x:c r="D1170" s="25" t="str">
        <x:v>材料</x:v>
      </x:c>
      <x:c r="E1170" s="25" t="str">
        <x:v>红狮战印</x:v>
      </x:c>
      <x:c r="F1170" s="25" t="n">
        <x:v>42</x:v>
      </x:c>
      <x:c r="G1170" s="25" t="str">
        <x:v>从C0至当前检查点累计需求；未扣自身未来产出，不代表已有库存</x:v>
      </x:c>
    </x:row>
    <x:row r="1171">
      <x:c r="A1171" s="25" t="str">
        <x:v>C07-X</x:v>
      </x:c>
      <x:c r="B1171" s="25" t="str">
        <x:v>化圣雪原</x:v>
      </x:c>
      <x:c r="C1171" s="25" t="str">
        <x:v>极端压力</x:v>
      </x:c>
      <x:c r="D1171" s="25" t="str">
        <x:v>材料</x:v>
      </x:c>
      <x:c r="E1171" s="25" t="str">
        <x:v>腐根魂结</x:v>
      </x:c>
      <x:c r="F1171" s="25" t="n">
        <x:v>2</x:v>
      </x:c>
      <x:c r="G1171" s="25" t="str">
        <x:v>从C0至当前检查点累计需求；未扣自身未来产出，不代表已有库存</x:v>
      </x:c>
    </x:row>
    <x:row r="1172">
      <x:c r="A1172" s="25" t="str">
        <x:v>C07-X</x:v>
      </x:c>
      <x:c r="B1172" s="25" t="str">
        <x:v>化圣雪原</x:v>
      </x:c>
      <x:c r="C1172" s="25" t="str">
        <x:v>极端压力</x:v>
      </x:c>
      <x:c r="D1172" s="25" t="str">
        <x:v>材料</x:v>
      </x:c>
      <x:c r="E1172" s="25" t="str">
        <x:v>裂风崖羽</x:v>
      </x:c>
      <x:c r="F1172" s="25" t="n">
        <x:v>80</x:v>
      </x:c>
      <x:c r="G1172" s="25" t="str">
        <x:v>从C0至当前检查点累计需求；未扣自身未来产出，不代表已有库存</x:v>
      </x:c>
    </x:row>
    <x:row r="1173">
      <x:c r="A1173" s="25" t="str">
        <x:v>C07-X</x:v>
      </x:c>
      <x:c r="B1173" s="25" t="str">
        <x:v>化圣雪原</x:v>
      </x:c>
      <x:c r="C1173" s="25" t="str">
        <x:v>极端压力</x:v>
      </x:c>
      <x:c r="D1173" s="25" t="str">
        <x:v>材料</x:v>
      </x:c>
      <x:c r="E1173" s="25" t="str">
        <x:v>西境战旗</x:v>
      </x:c>
      <x:c r="F1173" s="25" t="n">
        <x:v>20</x:v>
      </x:c>
      <x:c r="G1173" s="25" t="str">
        <x:v>从C0至当前检查点累计需求；未扣自身未来产出，不代表已有库存</x:v>
      </x:c>
    </x:row>
    <x:row r="1174">
      <x:c r="A1174" s="25" t="str">
        <x:v>C07-X</x:v>
      </x:c>
      <x:c r="B1174" s="25" t="str">
        <x:v>化圣雪原</x:v>
      </x:c>
      <x:c r="C1174" s="25" t="str">
        <x:v>极端压力</x:v>
      </x:c>
      <x:c r="D1174" s="25" t="str">
        <x:v>材料</x:v>
      </x:c>
      <x:c r="E1174" s="25" t="str">
        <x:v>西境战旗印</x:v>
      </x:c>
      <x:c r="F1174" s="25" t="n">
        <x:v>13</x:v>
      </x:c>
      <x:c r="G1174" s="25" t="str">
        <x:v>从C0至当前检查点累计需求；未扣自身未来产出，不代表已有库存</x:v>
      </x:c>
    </x:row>
    <x:row r="1175">
      <x:c r="A1175" s="25" t="str">
        <x:v>C07-X</x:v>
      </x:c>
      <x:c r="B1175" s="25" t="str">
        <x:v>化圣雪原</x:v>
      </x:c>
      <x:c r="C1175" s="25" t="str">
        <x:v>极端压力</x:v>
      </x:c>
      <x:c r="D1175" s="25" t="str">
        <x:v>材料</x:v>
      </x:c>
      <x:c r="E1175" s="25" t="str">
        <x:v>西境风痕碑拓</x:v>
      </x:c>
      <x:c r="F1175" s="25" t="n">
        <x:v>1</x:v>
      </x:c>
      <x:c r="G1175" s="25" t="str">
        <x:v>从C0至当前检查点累计需求；未扣自身未来产出，不代表已有库存</x:v>
      </x:c>
    </x:row>
    <x:row r="1176">
      <x:c r="A1176" s="25" t="str">
        <x:v>C07-X</x:v>
      </x:c>
      <x:c r="B1176" s="25" t="str">
        <x:v>化圣雪原</x:v>
      </x:c>
      <x:c r="C1176" s="25" t="str">
        <x:v>极端压力</x:v>
      </x:c>
      <x:c r="D1176" s="25" t="str">
        <x:v>材料</x:v>
      </x:c>
      <x:c r="E1176" s="25" t="str">
        <x:v>贵胄断指</x:v>
      </x:c>
      <x:c r="F1176" s="25" t="n">
        <x:v>1</x:v>
      </x:c>
      <x:c r="G1176" s="25" t="str">
        <x:v>从C0至当前检查点累计需求；未扣自身未来产出，不代表已有库存</x:v>
      </x:c>
    </x:row>
    <x:row r="1177">
      <x:c r="A1177" s="25" t="str">
        <x:v>C07-X</x:v>
      </x:c>
      <x:c r="B1177" s="25" t="str">
        <x:v>化圣雪原</x:v>
      </x:c>
      <x:c r="C1177" s="25" t="str">
        <x:v>极端压力</x:v>
      </x:c>
      <x:c r="D1177" s="25" t="str">
        <x:v>材料</x:v>
      </x:c>
      <x:c r="E1177" s="25" t="str">
        <x:v>辉石碎晶</x:v>
      </x:c>
      <x:c r="F1177" s="25" t="n">
        <x:v>2170</x:v>
      </x:c>
      <x:c r="G1177" s="25" t="str">
        <x:v>从C0至当前检查点累计需求；未扣自身未来产出，不代表已有库存</x:v>
      </x:c>
    </x:row>
    <x:row r="1178">
      <x:c r="A1178" s="25" t="str">
        <x:v>C07-X</x:v>
      </x:c>
      <x:c r="B1178" s="25" t="str">
        <x:v>化圣雪原</x:v>
      </x:c>
      <x:c r="C1178" s="25" t="str">
        <x:v>极端压力</x:v>
      </x:c>
      <x:c r="D1178" s="25" t="str">
        <x:v>材料</x:v>
      </x:c>
      <x:c r="E1178" s="25" t="str">
        <x:v>野兽骨片</x:v>
      </x:c>
      <x:c r="F1178" s="25" t="n">
        <x:v>38225</x:v>
      </x:c>
      <x:c r="G1178" s="25" t="str">
        <x:v>从C0至当前检查点累计需求；未扣自身未来产出，不代表已有库存</x:v>
      </x:c>
    </x:row>
    <x:row r="1179">
      <x:c r="A1179" s="25" t="str">
        <x:v>C07-X</x:v>
      </x:c>
      <x:c r="B1179" s="25" t="str">
        <x:v>化圣雪原</x:v>
      </x:c>
      <x:c r="C1179" s="25" t="str">
        <x:v>极端压力</x:v>
      </x:c>
      <x:c r="D1179" s="25" t="str">
        <x:v>材料</x:v>
      </x:c>
      <x:c r="E1179" s="25" t="str">
        <x:v>雾月星砂</x:v>
      </x:c>
      <x:c r="F1179" s="25" t="n">
        <x:v>90</x:v>
      </x:c>
      <x:c r="G1179" s="25" t="str">
        <x:v>从C0至当前检查点累计需求；未扣自身未来产出，不代表已有库存</x:v>
      </x:c>
    </x:row>
    <x:row r="1180">
      <x:c r="A1180" s="25" t="str">
        <x:v>C07-X</x:v>
      </x:c>
      <x:c r="B1180" s="25" t="str">
        <x:v>化圣雪原</x:v>
      </x:c>
      <x:c r="C1180" s="25" t="str">
        <x:v>极端压力</x:v>
      </x:c>
      <x:c r="D1180" s="25" t="str">
        <x:v>材料</x:v>
      </x:c>
      <x:c r="E1180" s="25" t="str">
        <x:v>雾潮银鳞</x:v>
      </x:c>
      <x:c r="F1180" s="25" t="n">
        <x:v>272</x:v>
      </x:c>
      <x:c r="G1180" s="25" t="str">
        <x:v>从C0至当前检查点累计需求；未扣自身未来产出，不代表已有库存</x:v>
      </x:c>
    </x:row>
    <x:row r="1181">
      <x:c r="A1181" s="25" t="str">
        <x:v>C07-X</x:v>
      </x:c>
      <x:c r="B1181" s="25" t="str">
        <x:v>化圣雪原</x:v>
      </x:c>
      <x:c r="C1181" s="25" t="str">
        <x:v>极端压力</x:v>
      </x:c>
      <x:c r="D1181" s="25" t="str">
        <x:v>材料</x:v>
      </x:c>
      <x:c r="E1181" s="25" t="str">
        <x:v>风暴王核</x:v>
      </x:c>
      <x:c r="F1181" s="25" t="n">
        <x:v>1</x:v>
      </x:c>
      <x:c r="G1181" s="25" t="str">
        <x:v>从C0至当前检查点累计需求；未扣自身未来产出，不代表已有库存</x:v>
      </x:c>
    </x:row>
    <x:row r="1182">
      <x:c r="A1182" s="25" t="str">
        <x:v>C07-X</x:v>
      </x:c>
      <x:c r="B1182" s="25" t="str">
        <x:v>化圣雪原</x:v>
      </x:c>
      <x:c r="C1182" s="25" t="str">
        <x:v>极端压力</x:v>
      </x:c>
      <x:c r="D1182" s="25" t="str">
        <x:v>材料</x:v>
      </x:c>
      <x:c r="E1182" s="25" t="str">
        <x:v>风暴石片</x:v>
      </x:c>
      <x:c r="F1182" s="25" t="n">
        <x:v>370</x:v>
      </x:c>
      <x:c r="G1182" s="25" t="str">
        <x:v>从C0至当前检查点累计需求；未扣自身未来产出，不代表已有库存</x:v>
      </x:c>
    </x:row>
    <x:row r="1183">
      <x:c r="A1183" s="25" t="str">
        <x:v>C07-X</x:v>
      </x:c>
      <x:c r="B1183" s="25" t="str">
        <x:v>化圣雪原</x:v>
      </x:c>
      <x:c r="C1183" s="25" t="str">
        <x:v>极端压力</x:v>
      </x:c>
      <x:c r="D1183" s="25" t="str">
        <x:v>材料</x:v>
      </x:c>
      <x:c r="E1183" s="25" t="str">
        <x:v>风蚀铁片</x:v>
      </x:c>
      <x:c r="F1183" s="25" t="n">
        <x:v>710</x:v>
      </x:c>
      <x:c r="G1183" s="25" t="str">
        <x:v>从C0至当前检查点累计需求；未扣自身未来产出，不代表已有库存</x:v>
      </x:c>
    </x:row>
    <x:row r="1184">
      <x:c r="A1184" s="25" t="str">
        <x:v>C07-X</x:v>
      </x:c>
      <x:c r="B1184" s="25" t="str">
        <x:v>化圣雪原</x:v>
      </x:c>
      <x:c r="C1184" s="25" t="str">
        <x:v>极端压力</x:v>
      </x:c>
      <x:c r="D1184" s="25" t="str">
        <x:v>材料</x:v>
      </x:c>
      <x:c r="E1184" s="25" t="str">
        <x:v>黄金树碎核</x:v>
      </x:c>
      <x:c r="F1184" s="25" t="n">
        <x:v>2</x:v>
      </x:c>
      <x:c r="G1184" s="25" t="str">
        <x:v>从C0至当前检查点累计需求；未扣自身未来产出，不代表已有库存</x:v>
      </x:c>
    </x:row>
    <x:row r="1185">
      <x:c r="A1185" s="25" t="str">
        <x:v>C07-X</x:v>
      </x:c>
      <x:c r="B1185" s="25" t="str">
        <x:v>化圣雪原</x:v>
      </x:c>
      <x:c r="C1185" s="25" t="str">
        <x:v>极端压力</x:v>
      </x:c>
      <x:c r="D1185" s="25" t="str">
        <x:v>材料</x:v>
      </x:c>
      <x:c r="E1185" s="25" t="str">
        <x:v>黄金树芽</x:v>
      </x:c>
      <x:c r="F1185" s="25" t="n">
        <x:v>297</x:v>
      </x:c>
      <x:c r="G1185" s="25" t="str">
        <x:v>从C0至当前检查点累计需求；未扣自身未来产出，不代表已有库存</x:v>
      </x:c>
    </x:row>
    <x:row r="1186">
      <x:c r="A1186" s="25" t="str">
        <x:v>C07-X</x:v>
      </x:c>
      <x:c r="B1186" s="25" t="str">
        <x:v>化圣雪原</x:v>
      </x:c>
      <x:c r="C1186" s="25" t="str">
        <x:v>极端压力</x:v>
      </x:c>
      <x:c r="D1186" s="25" t="str">
        <x:v>材料</x:v>
      </x:c>
      <x:c r="E1186" s="25" t="str">
        <x:v>黄金骑徽</x:v>
      </x:c>
      <x:c r="F1186" s="25" t="n">
        <x:v>2</x:v>
      </x:c>
      <x:c r="G1186" s="25" t="str">
        <x:v>从C0至当前检查点累计需求；未扣自身未来产出，不代表已有库存</x:v>
      </x:c>
    </x:row>
    <x:row r="1187">
      <x:c r="A1187" s="25" t="str">
        <x:v>C07-X</x:v>
      </x:c>
      <x:c r="B1187" s="25" t="str">
        <x:v>化圣雪原</x:v>
      </x:c>
      <x:c r="C1187" s="25" t="str">
        <x:v>极端压力</x:v>
      </x:c>
      <x:c r="D1187" s="25" t="str">
        <x:v>材料</x:v>
      </x:c>
      <x:c r="E1187" s="25" t="str">
        <x:v>龙火鳞</x:v>
      </x:c>
      <x:c r="F1187" s="25" t="n">
        <x:v>38</x:v>
      </x:c>
      <x:c r="G1187" s="25" t="str">
        <x:v>从C0至当前检查点累计需求；未扣自身未来产出，不代表已有库存</x:v>
      </x:c>
    </x:row>
    <x:row r="1188">
      <x:c r="A1188" s="25" t="str">
        <x:v>C07-X</x:v>
      </x:c>
      <x:c r="B1188" s="25" t="str">
        <x:v>化圣雪原</x:v>
      </x:c>
      <x:c r="C1188" s="25" t="str">
        <x:v>极端压力</x:v>
      </x:c>
      <x:c r="D1188" s="25" t="str">
        <x:v>材料</x:v>
      </x:c>
      <x:c r="E1188" s="25" t="str">
        <x:v>龙窟熔牙</x:v>
      </x:c>
      <x:c r="F1188" s="25" t="n">
        <x:v>16</x:v>
      </x:c>
      <x:c r="G1188" s="25" t="str">
        <x:v>从C0至当前检查点累计需求；未扣自身未来产出，不代表已有库存</x:v>
      </x:c>
    </x:row>
    <x:row r="1189">
      <x:c r="A1189" s="25" t="str">
        <x:v>C07-X</x:v>
      </x:c>
      <x:c r="B1189" s="25" t="str">
        <x:v>化圣雪原</x:v>
      </x:c>
      <x:c r="C1189" s="25" t="str">
        <x:v>极端压力</x:v>
      </x:c>
      <x:c r="D1189" s="25" t="str">
        <x:v>装备实物</x:v>
      </x:c>
      <x:c r="E1189" s="25" t="str">
        <x:v>共422个精确名称（明细见JSON）</x:v>
      </x:c>
      <x:c r="F1189" s="25" t="n">
        <x:v>598</x:v>
      </x:c>
      <x:c r="G1189" s="25" t="str">
        <x:v>含穿戴、重复试洗、图鉴登记与合成前置；完整数据未省略</x:v>
      </x:c>
    </x:row>
    <x:row r="1190">
      <x:c r="A1190" s="25" t="str">
        <x:v>C08-E</x:v>
      </x:c>
      <x:c r="B1190" s="25" t="str">
        <x:v>巨人山顶</x:v>
      </x:c>
      <x:c r="C1190" s="25" t="str">
        <x:v>半急速入场</x:v>
      </x:c>
      <x:c r="D1190" s="25" t="str">
        <x:v>材料</x:v>
      </x:c>
      <x:c r="E1190" s="25" t="str">
        <x:v>兽将脊骨</x:v>
      </x:c>
      <x:c r="F1190" s="25" t="n">
        <x:v>1</x:v>
      </x:c>
      <x:c r="G1190" s="25" t="str">
        <x:v>从C0至当前检查点累计需求；未扣自身未来产出，不代表已有库存</x:v>
      </x:c>
    </x:row>
    <x:row r="1191">
      <x:c r="A1191" s="25" t="str">
        <x:v>C08-E</x:v>
      </x:c>
      <x:c r="B1191" s="25" t="str">
        <x:v>巨人山顶</x:v>
      </x:c>
      <x:c r="C1191" s="25" t="str">
        <x:v>半急速入场</x:v>
      </x:c>
      <x:c r="D1191" s="25" t="str">
        <x:v>材料</x:v>
      </x:c>
      <x:c r="E1191" s="25" t="str">
        <x:v>冻原银角</x:v>
      </x:c>
      <x:c r="F1191" s="25" t="n">
        <x:v>30</x:v>
      </x:c>
      <x:c r="G1191" s="25" t="str">
        <x:v>从C0至当前检查点累计需求；未扣自身未来产出，不代表已有库存</x:v>
      </x:c>
    </x:row>
    <x:row r="1192">
      <x:c r="A1192" s="25" t="str">
        <x:v>C08-E</x:v>
      </x:c>
      <x:c r="B1192" s="25" t="str">
        <x:v>巨人山顶</x:v>
      </x:c>
      <x:c r="C1192" s="25" t="str">
        <x:v>半急速入场</x:v>
      </x:c>
      <x:c r="D1192" s="25" t="str">
        <x:v>材料</x:v>
      </x:c>
      <x:c r="E1192" s="25" t="str">
        <x:v>冻晶尘</x:v>
      </x:c>
      <x:c r="F1192" s="25" t="n">
        <x:v>1720</x:v>
      </x:c>
      <x:c r="G1192" s="25" t="str">
        <x:v>从C0至当前检查点累计需求；未扣自身未来产出，不代表已有库存</x:v>
      </x:c>
    </x:row>
    <x:row r="1193">
      <x:c r="A1193" s="25" t="str">
        <x:v>C08-E</x:v>
      </x:c>
      <x:c r="B1193" s="25" t="str">
        <x:v>巨人山顶</x:v>
      </x:c>
      <x:c r="C1193" s="25" t="str">
        <x:v>半急速入场</x:v>
      </x:c>
      <x:c r="D1193" s="25" t="str">
        <x:v>材料</x:v>
      </x:c>
      <x:c r="E1193" s="25" t="str">
        <x:v>净火腺囊</x:v>
      </x:c>
      <x:c r="F1193" s="25" t="n">
        <x:v>44</x:v>
      </x:c>
      <x:c r="G1193" s="25" t="str">
        <x:v>从C0至当前检查点累计需求；未扣自身未来产出，不代表已有库存</x:v>
      </x:c>
    </x:row>
    <x:row r="1194">
      <x:c r="A1194" s="25" t="str">
        <x:v>C08-E</x:v>
      </x:c>
      <x:c r="B1194" s="25" t="str">
        <x:v>巨人山顶</x:v>
      </x:c>
      <x:c r="C1194" s="25" t="str">
        <x:v>半急速入场</x:v>
      </x:c>
      <x:c r="D1194" s="25" t="str">
        <x:v>材料</x:v>
      </x:c>
      <x:c r="E1194" s="25" t="str">
        <x:v>卡利亚月露</x:v>
      </x:c>
      <x:c r="F1194" s="25" t="n">
        <x:v>36</x:v>
      </x:c>
      <x:c r="G1194" s="25" t="str">
        <x:v>从C0至当前检查点累计需求；未扣自身未来产出，不代表已有库存</x:v>
      </x:c>
    </x:row>
    <x:row r="1195">
      <x:c r="A1195" s="25" t="str">
        <x:v>C08-E</x:v>
      </x:c>
      <x:c r="B1195" s="25" t="str">
        <x:v>巨人山顶</x:v>
      </x:c>
      <x:c r="C1195" s="25" t="str">
        <x:v>半急速入场</x:v>
      </x:c>
      <x:c r="D1195" s="25" t="str">
        <x:v>材料</x:v>
      </x:c>
      <x:c r="E1195" s="25" t="str">
        <x:v>哨垒旗冠</x:v>
      </x:c>
      <x:c r="F1195" s="25" t="n">
        <x:v>3</x:v>
      </x:c>
      <x:c r="G1195" s="25" t="str">
        <x:v>从C0至当前检查点累计需求；未扣自身未来产出，不代表已有库存</x:v>
      </x:c>
    </x:row>
    <x:row r="1196">
      <x:c r="A1196" s="25" t="str">
        <x:v>C08-E</x:v>
      </x:c>
      <x:c r="B1196" s="25" t="str">
        <x:v>巨人山顶</x:v>
      </x:c>
      <x:c r="C1196" s="25" t="str">
        <x:v>半急速入场</x:v>
      </x:c>
      <x:c r="D1196" s="25" t="str">
        <x:v>材料</x:v>
      </x:c>
      <x:c r="E1196" s="25" t="str">
        <x:v>唤船骨铃</x:v>
      </x:c>
      <x:c r="F1196" s="25" t="n">
        <x:v>1</x:v>
      </x:c>
      <x:c r="G1196" s="25" t="str">
        <x:v>从C0至当前检查点累计需求；未扣自身未来产出，不代表已有库存</x:v>
      </x:c>
    </x:row>
    <x:row r="1197">
      <x:c r="A1197" s="25" t="str">
        <x:v>C08-E</x:v>
      </x:c>
      <x:c r="B1197" s="25" t="str">
        <x:v>巨人山顶</x:v>
      </x:c>
      <x:c r="C1197" s="25" t="str">
        <x:v>半急速入场</x:v>
      </x:c>
      <x:c r="D1197" s="25" t="str">
        <x:v>材料</x:v>
      </x:c>
      <x:c r="E1197" s="25" t="str">
        <x:v>商队火漆</x:v>
      </x:c>
      <x:c r="F1197" s="25" t="n">
        <x:v>20</x:v>
      </x:c>
      <x:c r="G1197" s="25" t="str">
        <x:v>从C0至当前检查点累计需求；未扣自身未来产出，不代表已有库存</x:v>
      </x:c>
    </x:row>
    <x:row r="1198">
      <x:c r="A1198" s="25" t="str">
        <x:v>C08-E</x:v>
      </x:c>
      <x:c r="B1198" s="25" t="str">
        <x:v>巨人山顶</x:v>
      </x:c>
      <x:c r="C1198" s="25" t="str">
        <x:v>半急速入场</x:v>
      </x:c>
      <x:c r="D1198" s="25" t="str">
        <x:v>材料</x:v>
      </x:c>
      <x:c r="E1198" s="25" t="str">
        <x:v>圣雪誓印</x:v>
      </x:c>
      <x:c r="F1198" s="25" t="n">
        <x:v>53</x:v>
      </x:c>
      <x:c r="G1198" s="25" t="str">
        <x:v>从C0至当前检查点累计需求；未扣自身未来产出，不代表已有库存</x:v>
      </x:c>
    </x:row>
    <x:row r="1199">
      <x:c r="A1199" s="25" t="str">
        <x:v>C08-E</x:v>
      </x:c>
      <x:c r="B1199" s="25" t="str">
        <x:v>巨人山顶</x:v>
      </x:c>
      <x:c r="C1199" s="25" t="str">
        <x:v>半急速入场</x:v>
      </x:c>
      <x:c r="D1199" s="25" t="str">
        <x:v>材料</x:v>
      </x:c>
      <x:c r="E1199" s="25" t="str">
        <x:v>圣雪门楔</x:v>
      </x:c>
      <x:c r="F1199" s="25" t="n">
        <x:v>4</x:v>
      </x:c>
      <x:c r="G1199" s="25" t="str">
        <x:v>从C0至当前检查点累计需求；未扣自身未来产出，不代表已有库存</x:v>
      </x:c>
    </x:row>
    <x:row r="1200">
      <x:c r="A1200" s="25" t="str">
        <x:v>C08-E</x:v>
      </x:c>
      <x:c r="B1200" s="25" t="str">
        <x:v>巨人山顶</x:v>
      </x:c>
      <x:c r="C1200" s="25" t="str">
        <x:v>半急速入场</x:v>
      </x:c>
      <x:c r="D1200" s="25" t="str">
        <x:v>材料</x:v>
      </x:c>
      <x:c r="E1200" s="25" t="str">
        <x:v>夜骑黑印</x:v>
      </x:c>
      <x:c r="F1200" s="25" t="n">
        <x:v>1</x:v>
      </x:c>
      <x:c r="G1200" s="25" t="str">
        <x:v>从C0至当前检查点累计需求；未扣自身未来产出，不代表已有库存</x:v>
      </x:c>
    </x:row>
    <x:row r="1201">
      <x:c r="A1201" s="25" t="str">
        <x:v>C08-E</x:v>
      </x:c>
      <x:c r="B1201" s="25" t="str">
        <x:v>巨人山顶</x:v>
      </x:c>
      <x:c r="C1201" s="25" t="str">
        <x:v>半急速入场</x:v>
      </x:c>
      <x:c r="D1201" s="25" t="str">
        <x:v>材料</x:v>
      </x:c>
      <x:c r="E1201" s="25" t="str">
        <x:v>大卢恩</x:v>
      </x:c>
      <x:c r="F1201" s="25" t="n">
        <x:v>350</x:v>
      </x:c>
      <x:c r="G1201" s="25" t="str">
        <x:v>从C0至当前检查点累计需求；未扣自身未来产出，不代表已有库存</x:v>
      </x:c>
    </x:row>
    <x:row r="1202">
      <x:c r="A1202" s="25" t="str">
        <x:v>C08-E</x:v>
      </x:c>
      <x:c r="B1202" s="25" t="str">
        <x:v>巨人山顶</x:v>
      </x:c>
      <x:c r="C1202" s="25" t="str">
        <x:v>半急速入场</x:v>
      </x:c>
      <x:c r="D1202" s="25" t="str">
        <x:v>材料</x:v>
      </x:c>
      <x:c r="E1202" s="25" t="str">
        <x:v>失乡军令</x:v>
      </x:c>
      <x:c r="F1202" s="25" t="n">
        <x:v>2</x:v>
      </x:c>
      <x:c r="G1202" s="25" t="str">
        <x:v>从C0至当前检查点累计需求；未扣自身未来产出，不代表已有库存</x:v>
      </x:c>
    </x:row>
    <x:row r="1203">
      <x:c r="A1203" s="25" t="str">
        <x:v>C08-E</x:v>
      </x:c>
      <x:c r="B1203" s="25" t="str">
        <x:v>巨人山顶</x:v>
      </x:c>
      <x:c r="C1203" s="25" t="str">
        <x:v>半急速入场</x:v>
      </x:c>
      <x:c r="D1203" s="25" t="str">
        <x:v>材料</x:v>
      </x:c>
      <x:c r="E1203" s="25" t="str">
        <x:v>失乡统帅徽</x:v>
      </x:c>
      <x:c r="F1203" s="25" t="n">
        <x:v>2</x:v>
      </x:c>
      <x:c r="G1203" s="25" t="str">
        <x:v>从C0至当前检查点累计需求；未扣自身未来产出，不代表已有库存</x:v>
      </x:c>
    </x:row>
    <x:row r="1204">
      <x:c r="A1204" s="25" t="str">
        <x:v>C08-E</x:v>
      </x:c>
      <x:c r="B1204" s="25" t="str">
        <x:v>巨人山顶</x:v>
      </x:c>
      <x:c r="C1204" s="25" t="str">
        <x:v>半急速入场</x:v>
      </x:c>
      <x:c r="D1204" s="25" t="str">
        <x:v>材料</x:v>
      </x:c>
      <x:c r="E1204" s="25" t="str">
        <x:v>失色锻造石</x:v>
      </x:c>
      <x:c r="F1204" s="25" t="n">
        <x:v>26020</x:v>
      </x:c>
      <x:c r="G1204" s="25" t="str">
        <x:v>从C0至当前检查点累计需求；未扣自身未来产出，不代表已有库存</x:v>
      </x:c>
    </x:row>
    <x:row r="1205">
      <x:c r="A1205" s="25" t="str">
        <x:v>C08-E</x:v>
      </x:c>
      <x:c r="B1205" s="25" t="str">
        <x:v>巨人山顶</x:v>
      </x:c>
      <x:c r="C1205" s="25" t="str">
        <x:v>半急速入场</x:v>
      </x:c>
      <x:c r="D1205" s="25" t="str">
        <x:v>材料</x:v>
      </x:c>
      <x:c r="E1205" s="25" t="str">
        <x:v>学院封蜡</x:v>
      </x:c>
      <x:c r="F1205" s="25" t="n">
        <x:v>24</x:v>
      </x:c>
      <x:c r="G1205" s="25" t="str">
        <x:v>从C0至当前检查点累计需求；未扣自身未来产出，不代表已有库存</x:v>
      </x:c>
    </x:row>
    <x:row r="1206">
      <x:c r="A1206" s="25" t="str">
        <x:v>C08-E</x:v>
      </x:c>
      <x:c r="B1206" s="25" t="str">
        <x:v>巨人山顶</x:v>
      </x:c>
      <x:c r="C1206" s="25" t="str">
        <x:v>半急速入场</x:v>
      </x:c>
      <x:c r="D1206" s="25" t="str">
        <x:v>材料</x:v>
      </x:c>
      <x:c r="E1206" s="25" t="str">
        <x:v>宁姆格福誓页</x:v>
      </x:c>
      <x:c r="F1206" s="25" t="n">
        <x:v>90</x:v>
      </x:c>
      <x:c r="G1206" s="25" t="str">
        <x:v>从C0至当前检查点累计需求；未扣自身未来产出，不代表已有库存</x:v>
      </x:c>
    </x:row>
    <x:row r="1207">
      <x:c r="A1207" s="25" t="str">
        <x:v>C08-E</x:v>
      </x:c>
      <x:c r="B1207" s="25" t="str">
        <x:v>巨人山顶</x:v>
      </x:c>
      <x:c r="C1207" s="25" t="str">
        <x:v>半急速入场</x:v>
      </x:c>
      <x:c r="D1207" s="25" t="str">
        <x:v>材料</x:v>
      </x:c>
      <x:c r="E1207" s="25" t="str">
        <x:v>小卢恩</x:v>
      </x:c>
      <x:c r="F1207" s="25" t="n">
        <x:v>250</x:v>
      </x:c>
      <x:c r="G1207" s="25" t="str">
        <x:v>从C0至当前检查点累计需求；未扣自身未来产出，不代表已有库存</x:v>
      </x:c>
    </x:row>
    <x:row r="1208">
      <x:c r="A1208" s="25" t="str">
        <x:v>C08-E</x:v>
      </x:c>
      <x:c r="B1208" s="25" t="str">
        <x:v>巨人山顶</x:v>
      </x:c>
      <x:c r="C1208" s="25" t="str">
        <x:v>半急速入场</x:v>
      </x:c>
      <x:c r="D1208" s="25" t="str">
        <x:v>材料</x:v>
      </x:c>
      <x:c r="E1208" s="25" t="str">
        <x:v>山妖王角</x:v>
      </x:c>
      <x:c r="F1208" s="25" t="n">
        <x:v>2</x:v>
      </x:c>
      <x:c r="G1208" s="25" t="str">
        <x:v>从C0至当前检查点累计需求；未扣自身未来产出，不代表已有库存</x:v>
      </x:c>
    </x:row>
    <x:row r="1209">
      <x:c r="A1209" s="25" t="str">
        <x:v>C08-E</x:v>
      </x:c>
      <x:c r="B1209" s="25" t="str">
        <x:v>巨人山顶</x:v>
      </x:c>
      <x:c r="C1209" s="25" t="str">
        <x:v>半急速入场</x:v>
      </x:c>
      <x:c r="D1209" s="25" t="str">
        <x:v>材料</x:v>
      </x:c>
      <x:c r="E1209" s="25" t="str">
        <x:v>幽船铆钉</x:v>
      </x:c>
      <x:c r="F1209" s="25" t="n">
        <x:v>21</x:v>
      </x:c>
      <x:c r="G1209" s="25" t="str">
        <x:v>从C0至当前检查点累计需求；未扣自身未来产出，不代表已有库存</x:v>
      </x:c>
    </x:row>
    <x:row r="1210">
      <x:c r="A1210" s="25" t="str">
        <x:v>C08-E</x:v>
      </x:c>
      <x:c r="B1210" s="25" t="str">
        <x:v>巨人山顶</x:v>
      </x:c>
      <x:c r="C1210" s="25" t="str">
        <x:v>半急速入场</x:v>
      </x:c>
      <x:c r="D1210" s="25" t="str">
        <x:v>材料</x:v>
      </x:c>
      <x:c r="E1210" s="25" t="str">
        <x:v>恶兆残角</x:v>
      </x:c>
      <x:c r="F1210" s="25" t="n">
        <x:v>1</x:v>
      </x:c>
      <x:c r="G1210" s="25" t="str">
        <x:v>从C0至当前检查点累计需求；未扣自身未来产出，不代表已有库存</x:v>
      </x:c>
    </x:row>
    <x:row r="1211">
      <x:c r="A1211" s="25" t="str">
        <x:v>C08-E</x:v>
      </x:c>
      <x:c r="B1211" s="25" t="str">
        <x:v>巨人山顶</x:v>
      </x:c>
      <x:c r="C1211" s="25" t="str">
        <x:v>半急速入场</x:v>
      </x:c>
      <x:c r="D1211" s="25" t="str">
        <x:v>材料</x:v>
      </x:c>
      <x:c r="E1211" s="25" t="str">
        <x:v>技能残页</x:v>
      </x:c>
      <x:c r="F1211" s="25" t="n">
        <x:v>1350</x:v>
      </x:c>
      <x:c r="G1211" s="25" t="str">
        <x:v>从C0至当前检查点累计需求；未扣自身未来产出，不代表已有库存</x:v>
      </x:c>
    </x:row>
    <x:row r="1212">
      <x:c r="A1212" s="25" t="str">
        <x:v>C08-E</x:v>
      </x:c>
      <x:c r="B1212" s="25" t="str">
        <x:v>巨人山顶</x:v>
      </x:c>
      <x:c r="C1212" s="25" t="str">
        <x:v>半急速入场</x:v>
      </x:c>
      <x:c r="D1212" s="25" t="str">
        <x:v>材料</x:v>
      </x:c>
      <x:c r="E1212" s="25" t="str">
        <x:v>接肢兽心</x:v>
      </x:c>
      <x:c r="F1212" s="25" t="n">
        <x:v>2</x:v>
      </x:c>
      <x:c r="G1212" s="25" t="str">
        <x:v>从C0至当前检查点累计需求；未扣自身未来产出，不代表已有库存</x:v>
      </x:c>
    </x:row>
    <x:row r="1213">
      <x:c r="A1213" s="25" t="str">
        <x:v>C08-E</x:v>
      </x:c>
      <x:c r="B1213" s="25" t="str">
        <x:v>巨人山顶</x:v>
      </x:c>
      <x:c r="C1213" s="25" t="str">
        <x:v>半急速入场</x:v>
      </x:c>
      <x:c r="D1213" s="25" t="str">
        <x:v>材料</x:v>
      </x:c>
      <x:c r="E1213" s="25" t="str">
        <x:v>接肢王印</x:v>
      </x:c>
      <x:c r="F1213" s="25" t="n">
        <x:v>13</x:v>
      </x:c>
      <x:c r="G1213" s="25" t="str">
        <x:v>从C0至当前检查点累计需求；未扣自身未来产出，不代表已有库存</x:v>
      </x:c>
    </x:row>
    <x:row r="1214">
      <x:c r="A1214" s="25" t="str">
        <x:v>C08-E</x:v>
      </x:c>
      <x:c r="B1214" s="25" t="str">
        <x:v>巨人山顶</x:v>
      </x:c>
      <x:c r="C1214" s="25" t="str">
        <x:v>半急速入场</x:v>
      </x:c>
      <x:c r="D1214" s="25" t="str">
        <x:v>材料</x:v>
      </x:c>
      <x:c r="E1214" s="25" t="str">
        <x:v>接肢王魂</x:v>
      </x:c>
      <x:c r="F1214" s="25" t="n">
        <x:v>1</x:v>
      </x:c>
      <x:c r="G1214" s="25" t="str">
        <x:v>从C0至当前检查点累计需求；未扣自身未来产出，不代表已有库存</x:v>
      </x:c>
    </x:row>
    <x:row r="1215">
      <x:c r="A1215" s="25" t="str">
        <x:v>C08-E</x:v>
      </x:c>
      <x:c r="B1215" s="25" t="str">
        <x:v>巨人山顶</x:v>
      </x:c>
      <x:c r="C1215" s="25" t="str">
        <x:v>半急速入场</x:v>
      </x:c>
      <x:c r="D1215" s="25" t="str">
        <x:v>材料</x:v>
      </x:c>
      <x:c r="E1215" s="25" t="str">
        <x:v>月潮忆珀</x:v>
      </x:c>
      <x:c r="F1215" s="25" t="n">
        <x:v>1</x:v>
      </x:c>
      <x:c r="G1215" s="25" t="str">
        <x:v>从C0至当前检查点累计需求；未扣自身未来产出，不代表已有库存</x:v>
      </x:c>
    </x:row>
    <x:row r="1216">
      <x:c r="A1216" s="25" t="str">
        <x:v>C08-E</x:v>
      </x:c>
      <x:c r="B1216" s="25" t="str">
        <x:v>巨人山顶</x:v>
      </x:c>
      <x:c r="C1216" s="25" t="str">
        <x:v>半急速入场</x:v>
      </x:c>
      <x:c r="D1216" s="25" t="str">
        <x:v>材料</x:v>
      </x:c>
      <x:c r="E1216" s="25" t="str">
        <x:v>月蚀镜片</x:v>
      </x:c>
      <x:c r="F1216" s="25" t="n">
        <x:v>21</x:v>
      </x:c>
      <x:c r="G1216" s="25" t="str">
        <x:v>从C0至当前检查点累计需求；未扣自身未来产出，不代表已有库存</x:v>
      </x:c>
    </x:row>
    <x:row r="1217">
      <x:c r="A1217" s="25" t="str">
        <x:v>C08-E</x:v>
      </x:c>
      <x:c r="B1217" s="25" t="str">
        <x:v>巨人山顶</x:v>
      </x:c>
      <x:c r="C1217" s="25" t="str">
        <x:v>半急速入场</x:v>
      </x:c>
      <x:c r="D1217" s="25" t="str">
        <x:v>材料</x:v>
      </x:c>
      <x:c r="E1217" s="25" t="str">
        <x:v>树卫枪穗</x:v>
      </x:c>
      <x:c r="F1217" s="25" t="n">
        <x:v>1</x:v>
      </x:c>
      <x:c r="G1217" s="25" t="str">
        <x:v>从C0至当前检查点累计需求；未扣自身未来产出，不代表已有库存</x:v>
      </x:c>
    </x:row>
    <x:row r="1218">
      <x:c r="A1218" s="25" t="str">
        <x:v>C08-E</x:v>
      </x:c>
      <x:c r="B1218" s="25" t="str">
        <x:v>巨人山顶</x:v>
      </x:c>
      <x:c r="C1218" s="25" t="str">
        <x:v>半急速入场</x:v>
      </x:c>
      <x:c r="D1218" s="25" t="str">
        <x:v>材料</x:v>
      </x:c>
      <x:c r="E1218" s="25" t="str">
        <x:v>死亡仪羽</x:v>
      </x:c>
      <x:c r="F1218" s="25" t="n">
        <x:v>2</x:v>
      </x:c>
      <x:c r="G1218" s="25" t="str">
        <x:v>从C0至当前检查点累计需求；未扣自身未来产出，不代表已有库存</x:v>
      </x:c>
    </x:row>
    <x:row r="1219">
      <x:c r="A1219" s="25" t="str">
        <x:v>C08-E</x:v>
      </x:c>
      <x:c r="B1219" s="25" t="str">
        <x:v>巨人山顶</x:v>
      </x:c>
      <x:c r="C1219" s="25" t="str">
        <x:v>半急速入场</x:v>
      </x:c>
      <x:c r="D1219" s="25" t="str">
        <x:v>材料</x:v>
      </x:c>
      <x:c r="E1219" s="25" t="str">
        <x:v>沉湖王印</x:v>
      </x:c>
      <x:c r="F1219" s="25" t="n">
        <x:v>16</x:v>
      </x:c>
      <x:c r="G1219" s="25" t="str">
        <x:v>从C0至当前检查点累计需求；未扣自身未来产出，不代表已有库存</x:v>
      </x:c>
    </x:row>
    <x:row r="1220">
      <x:c r="A1220" s="25" t="str">
        <x:v>C08-E</x:v>
      </x:c>
      <x:c r="B1220" s="25" t="str">
        <x:v>巨人山顶</x:v>
      </x:c>
      <x:c r="C1220" s="25" t="str">
        <x:v>半急速入场</x:v>
      </x:c>
      <x:c r="D1220" s="25" t="str">
        <x:v>材料</x:v>
      </x:c>
      <x:c r="E1220" s="25" t="str">
        <x:v>沉船缆扣</x:v>
      </x:c>
      <x:c r="F1220" s="25" t="n">
        <x:v>12</x:v>
      </x:c>
      <x:c r="G1220" s="25" t="str">
        <x:v>从C0至当前检查点累计需求；未扣自身未来产出，不代表已有库存</x:v>
      </x:c>
    </x:row>
    <x:row r="1221">
      <x:c r="A1221" s="25" t="str">
        <x:v>C08-E</x:v>
      </x:c>
      <x:c r="B1221" s="25" t="str">
        <x:v>巨人山顶</x:v>
      </x:c>
      <x:c r="C1221" s="25" t="str">
        <x:v>半急速入场</x:v>
      </x:c>
      <x:c r="D1221" s="25" t="str">
        <x:v>材料</x:v>
      </x:c>
      <x:c r="E1221" s="25" t="str">
        <x:v>海蚀铁片</x:v>
      </x:c>
      <x:c r="F1221" s="25" t="n">
        <x:v>160</x:v>
      </x:c>
      <x:c r="G1221" s="25" t="str">
        <x:v>从C0至当前检查点累计需求；未扣自身未来产出，不代表已有库存</x:v>
      </x:c>
    </x:row>
    <x:row r="1222">
      <x:c r="A1222" s="25" t="str">
        <x:v>C08-E</x:v>
      </x:c>
      <x:c r="B1222" s="25" t="str">
        <x:v>巨人山顶</x:v>
      </x:c>
      <x:c r="C1222" s="25" t="str">
        <x:v>半急速入场</x:v>
      </x:c>
      <x:c r="D1222" s="25" t="str">
        <x:v>材料</x:v>
      </x:c>
      <x:c r="E1222" s="25" t="str">
        <x:v>湖底封门珠</x:v>
      </x:c>
      <x:c r="F1222" s="25" t="n">
        <x:v>8</x:v>
      </x:c>
      <x:c r="G1222" s="25" t="str">
        <x:v>从C0至当前检查点累计需求；未扣自身未来产出，不代表已有库存</x:v>
      </x:c>
    </x:row>
    <x:row r="1223">
      <x:c r="A1223" s="25" t="str">
        <x:v>C08-E</x:v>
      </x:c>
      <x:c r="B1223" s="25" t="str">
        <x:v>巨人山顶</x:v>
      </x:c>
      <x:c r="C1223" s="25" t="str">
        <x:v>半急速入场</x:v>
      </x:c>
      <x:c r="D1223" s="25" t="str">
        <x:v>材料</x:v>
      </x:c>
      <x:c r="E1223" s="25" t="str">
        <x:v>湖心月谱残章</x:v>
      </x:c>
      <x:c r="F1223" s="25" t="n">
        <x:v>1</x:v>
      </x:c>
      <x:c r="G1223" s="25" t="str">
        <x:v>从C0至当前检查点累计需求；未扣自身未来产出，不代表已有库存</x:v>
      </x:c>
    </x:row>
    <x:row r="1224">
      <x:c r="A1224" s="25" t="str">
        <x:v>C08-E</x:v>
      </x:c>
      <x:c r="B1224" s="25" t="str">
        <x:v>巨人山顶</x:v>
      </x:c>
      <x:c r="C1224" s="25" t="str">
        <x:v>半急速入场</x:v>
      </x:c>
      <x:c r="D1224" s="25" t="str">
        <x:v>材料</x:v>
      </x:c>
      <x:c r="E1224" s="25" t="str">
        <x:v>湖盐结晶</x:v>
      </x:c>
      <x:c r="F1224" s="25" t="n">
        <x:v>1647</x:v>
      </x:c>
      <x:c r="G1224" s="25" t="str">
        <x:v>从C0至当前检查点累计需求；未扣自身未来产出，不代表已有库存</x:v>
      </x:c>
    </x:row>
    <x:row r="1225">
      <x:c r="A1225" s="25" t="str">
        <x:v>C08-E</x:v>
      </x:c>
      <x:c r="B1225" s="25" t="str">
        <x:v>巨人山顶</x:v>
      </x:c>
      <x:c r="C1225" s="25" t="str">
        <x:v>半急速入场</x:v>
      </x:c>
      <x:c r="D1225" s="25" t="str">
        <x:v>材料</x:v>
      </x:c>
      <x:c r="E1225" s="25" t="str">
        <x:v>溃烂树核</x:v>
      </x:c>
      <x:c r="F1225" s="25" t="n">
        <x:v>1</x:v>
      </x:c>
      <x:c r="G1225" s="25" t="str">
        <x:v>从C0至当前检查点累计需求；未扣自身未来产出，不代表已有库存</x:v>
      </x:c>
    </x:row>
    <x:row r="1226">
      <x:c r="A1226" s="25" t="str">
        <x:v>C08-E</x:v>
      </x:c>
      <x:c r="B1226" s="25" t="str">
        <x:v>巨人山顶</x:v>
      </x:c>
      <x:c r="C1226" s="25" t="str">
        <x:v>半急速入场</x:v>
      </x:c>
      <x:c r="D1226" s="25" t="str">
        <x:v>材料</x:v>
      </x:c>
      <x:c r="E1226" s="25" t="str">
        <x:v>满月王室印</x:v>
      </x:c>
      <x:c r="F1226" s="25" t="n">
        <x:v>51</x:v>
      </x:c>
      <x:c r="G1226" s="25" t="str">
        <x:v>从C0至当前检查点累计需求；未扣自身未来产出，不代表已有库存</x:v>
      </x:c>
    </x:row>
    <x:row r="1227">
      <x:c r="A1227" s="25" t="str">
        <x:v>C08-E</x:v>
      </x:c>
      <x:c r="B1227" s="25" t="str">
        <x:v>巨人山顶</x:v>
      </x:c>
      <x:c r="C1227" s="25" t="str">
        <x:v>半急速入场</x:v>
      </x:c>
      <x:c r="D1227" s="25" t="str">
        <x:v>材料</x:v>
      </x:c>
      <x:c r="E1227" s="25" t="str">
        <x:v>漂流大陆印记</x:v>
      </x:c>
      <x:c r="F1227" s="25" t="n">
        <x:v>11</x:v>
      </x:c>
      <x:c r="G1227" s="25" t="str">
        <x:v>从C0至当前检查点累计需求；未扣自身未来产出，不代表已有库存</x:v>
      </x:c>
    </x:row>
    <x:row r="1228">
      <x:c r="A1228" s="25" t="str">
        <x:v>C08-E</x:v>
      </x:c>
      <x:c r="B1228" s="25" t="str">
        <x:v>巨人山顶</x:v>
      </x:c>
      <x:c r="C1228" s="25" t="str">
        <x:v>半急速入场</x:v>
      </x:c>
      <x:c r="D1228" s="25" t="str">
        <x:v>材料</x:v>
      </x:c>
      <x:c r="E1228" s="25" t="str">
        <x:v>漂流见证·潮</x:v>
      </x:c>
      <x:c r="F1228" s="25" t="n">
        <x:v>8</x:v>
      </x:c>
      <x:c r="G1228" s="25" t="str">
        <x:v>从C0至当前检查点累计需求；未扣自身未来产出，不代表已有库存</x:v>
      </x:c>
    </x:row>
    <x:row r="1229">
      <x:c r="A1229" s="25" t="str">
        <x:v>C08-E</x:v>
      </x:c>
      <x:c r="B1229" s="25" t="str">
        <x:v>巨人山顶</x:v>
      </x:c>
      <x:c r="C1229" s="25" t="str">
        <x:v>半急速入场</x:v>
      </x:c>
      <x:c r="D1229" s="25" t="str">
        <x:v>材料</x:v>
      </x:c>
      <x:c r="E1229" s="25" t="str">
        <x:v>漂流见证·雷</x:v>
      </x:c>
      <x:c r="F1229" s="25" t="n">
        <x:v>8</x:v>
      </x:c>
      <x:c r="G1229" s="25" t="str">
        <x:v>从C0至当前检查点累计需求；未扣自身未来产出，不代表已有库存</x:v>
      </x:c>
    </x:row>
    <x:row r="1230">
      <x:c r="A1230" s="25" t="str">
        <x:v>C08-E</x:v>
      </x:c>
      <x:c r="B1230" s="25" t="str">
        <x:v>巨人山顶</x:v>
      </x:c>
      <x:c r="C1230" s="25" t="str">
        <x:v>半急速入场</x:v>
      </x:c>
      <x:c r="D1230" s="25" t="str">
        <x:v>材料</x:v>
      </x:c>
      <x:c r="E1230" s="25" t="str">
        <x:v>潮痕结晶</x:v>
      </x:c>
      <x:c r="F1230" s="25" t="n">
        <x:v>16</x:v>
      </x:c>
      <x:c r="G1230" s="25" t="str">
        <x:v>从C0至当前检查点累计需求；未扣自身未来产出，不代表已有库存</x:v>
      </x:c>
    </x:row>
    <x:row r="1231">
      <x:c r="A1231" s="25" t="str">
        <x:v>C08-E</x:v>
      </x:c>
      <x:c r="B1231" s="25" t="str">
        <x:v>巨人山顶</x:v>
      </x:c>
      <x:c r="C1231" s="25" t="str">
        <x:v>半急速入场</x:v>
      </x:c>
      <x:c r="D1231" s="25" t="str">
        <x:v>材料</x:v>
      </x:c>
      <x:c r="E1231" s="25" t="str">
        <x:v>熊王心脏</x:v>
      </x:c>
      <x:c r="F1231" s="25" t="n">
        <x:v>2</x:v>
      </x:c>
      <x:c r="G1231" s="25" t="str">
        <x:v>从C0至当前检查点累计需求；未扣自身未来产出，不代表已有库存</x:v>
      </x:c>
    </x:row>
    <x:row r="1232">
      <x:c r="A1232" s="25" t="str">
        <x:v>C08-E</x:v>
      </x:c>
      <x:c r="B1232" s="25" t="str">
        <x:v>巨人山顶</x:v>
      </x:c>
      <x:c r="C1232" s="25" t="str">
        <x:v>半急速入场</x:v>
      </x:c>
      <x:c r="D1232" s="25" t="str">
        <x:v>材料</x:v>
      </x:c>
      <x:c r="E1232" s="25" t="str">
        <x:v>熔原罪火残章</x:v>
      </x:c>
      <x:c r="F1232" s="25" t="n">
        <x:v>1</x:v>
      </x:c>
      <x:c r="G1232" s="25" t="str">
        <x:v>从C0至当前检查点累计需求；未扣自身未来产出，不代表已有库存</x:v>
      </x:c>
    </x:row>
    <x:row r="1233">
      <x:c r="A1233" s="25" t="str">
        <x:v>C08-E</x:v>
      </x:c>
      <x:c r="B1233" s="25" t="str">
        <x:v>巨人山顶</x:v>
      </x:c>
      <x:c r="C1233" s="25" t="str">
        <x:v>半急速入场</x:v>
      </x:c>
      <x:c r="D1233" s="25" t="str">
        <x:v>材料</x:v>
      </x:c>
      <x:c r="E1233" s="25" t="str">
        <x:v>熔炉角片</x:v>
      </x:c>
      <x:c r="F1233" s="25" t="n">
        <x:v>1</x:v>
      </x:c>
      <x:c r="G1233" s="25" t="str">
        <x:v>从C0至当前检查点累计需求；未扣自身未来产出，不代表已有库存</x:v>
      </x:c>
    </x:row>
    <x:row r="1234">
      <x:c r="A1234" s="25" t="str">
        <x:v>C08-E</x:v>
      </x:c>
      <x:c r="B1234" s="25" t="str">
        <x:v>巨人山顶</x:v>
      </x:c>
      <x:c r="C1234" s="25" t="str">
        <x:v>半急速入场</x:v>
      </x:c>
      <x:c r="D1234" s="25" t="str">
        <x:v>材料</x:v>
      </x:c>
      <x:c r="E1234" s="25" t="str">
        <x:v>猩红矿渣</x:v>
      </x:c>
      <x:c r="F1234" s="25" t="n">
        <x:v>1737</x:v>
      </x:c>
      <x:c r="G1234" s="25" t="str">
        <x:v>从C0至当前检查点累计需求；未扣自身未来产出，不代表已有库存</x:v>
      </x:c>
    </x:row>
    <x:row r="1235">
      <x:c r="A1235" s="25" t="str">
        <x:v>C08-E</x:v>
      </x:c>
      <x:c r="B1235" s="25" t="str">
        <x:v>巨人山顶</x:v>
      </x:c>
      <x:c r="C1235" s="25" t="str">
        <x:v>半急速入场</x:v>
      </x:c>
      <x:c r="D1235" s="25" t="str">
        <x:v>材料</x:v>
      </x:c>
      <x:c r="E1235" s="25" t="str">
        <x:v>王城军印</x:v>
      </x:c>
      <x:c r="F1235" s="25" t="n">
        <x:v>1</x:v>
      </x:c>
      <x:c r="G1235" s="25" t="str">
        <x:v>从C0至当前检查点累计需求；未扣自身未来产出，不代表已有库存</x:v>
      </x:c>
    </x:row>
    <x:row r="1236">
      <x:c r="A1236" s="25" t="str">
        <x:v>C08-E</x:v>
      </x:c>
      <x:c r="B1236" s="25" t="str">
        <x:v>巨人山顶</x:v>
      </x:c>
      <x:c r="C1236" s="25" t="str">
        <x:v>半急速入场</x:v>
      </x:c>
      <x:c r="D1236" s="25" t="str">
        <x:v>材料</x:v>
      </x:c>
      <x:c r="E1236" s="25" t="str">
        <x:v>白金纺线</x:v>
      </x:c>
      <x:c r="F1236" s="25" t="n">
        <x:v>60</x:v>
      </x:c>
      <x:c r="G1236" s="25" t="str">
        <x:v>从C0至当前检查点累计需求；未扣自身未来产出，不代表已有库存</x:v>
      </x:c>
    </x:row>
    <x:row r="1237">
      <x:c r="A1237" s="25" t="str">
        <x:v>C08-E</x:v>
      </x:c>
      <x:c r="B1237" s="25" t="str">
        <x:v>巨人山顶</x:v>
      </x:c>
      <x:c r="C1237" s="25" t="str">
        <x:v>半急速入场</x:v>
      </x:c>
      <x:c r="D1237" s="25" t="str">
        <x:v>材料</x:v>
      </x:c>
      <x:c r="E1237" s="25" t="str">
        <x:v>白金路标片</x:v>
      </x:c>
      <x:c r="F1237" s="25" t="n">
        <x:v>145</x:v>
      </x:c>
      <x:c r="G1237" s="25" t="str">
        <x:v>从C0至当前检查点累计需求；未扣自身未来产出，不代表已有库存</x:v>
      </x:c>
    </x:row>
    <x:row r="1238">
      <x:c r="A1238" s="25" t="str">
        <x:v>C08-E</x:v>
      </x:c>
      <x:c r="B1238" s="25" t="str">
        <x:v>巨人山顶</x:v>
      </x:c>
      <x:c r="C1238" s="25" t="str">
        <x:v>半急速入场</x:v>
      </x:c>
      <x:c r="D1238" s="25" t="str">
        <x:v>材料</x:v>
      </x:c>
      <x:c r="E1238" s="25" t="str">
        <x:v>看门犬石心</x:v>
      </x:c>
      <x:c r="F1238" s="25" t="n">
        <x:v>2</x:v>
      </x:c>
      <x:c r="G1238" s="25" t="str">
        <x:v>从C0至当前检查点累计需求；未扣自身未来产出，不代表已有库存</x:v>
      </x:c>
    </x:row>
    <x:row r="1239">
      <x:c r="A1239" s="25" t="str">
        <x:v>C08-E</x:v>
      </x:c>
      <x:c r="B1239" s="25" t="str">
        <x:v>巨人山顶</x:v>
      </x:c>
      <x:c r="C1239" s="25" t="str">
        <x:v>半急速入场</x:v>
      </x:c>
      <x:c r="D1239" s="25" t="str">
        <x:v>材料</x:v>
      </x:c>
      <x:c r="E1239" s="25" t="str">
        <x:v>碎星仪仗钉</x:v>
      </x:c>
      <x:c r="F1239" s="25" t="n">
        <x:v>2</x:v>
      </x:c>
      <x:c r="G1239" s="25" t="str">
        <x:v>从C0至当前检查点累计需求；未扣自身未来产出，不代表已有库存</x:v>
      </x:c>
    </x:row>
    <x:row r="1240">
      <x:c r="A1240" s="25" t="str">
        <x:v>C08-E</x:v>
      </x:c>
      <x:c r="B1240" s="25" t="str">
        <x:v>巨人山顶</x:v>
      </x:c>
      <x:c r="C1240" s="25" t="str">
        <x:v>半急速入场</x:v>
      </x:c>
      <x:c r="D1240" s="25" t="str">
        <x:v>材料</x:v>
      </x:c>
      <x:c r="E1240" s="25" t="str">
        <x:v>神秘符文</x:v>
      </x:c>
      <x:c r="F1240" s="25" t="n">
        <x:v>400</x:v>
      </x:c>
      <x:c r="G1240" s="25" t="str">
        <x:v>从C0至当前检查点累计需求；未扣自身未来产出，不代表已有库存</x:v>
      </x:c>
    </x:row>
    <x:row r="1241">
      <x:c r="A1241" s="25" t="str">
        <x:v>C08-E</x:v>
      </x:c>
      <x:c r="B1241" s="25" t="str">
        <x:v>巨人山顶</x:v>
      </x:c>
      <x:c r="C1241" s="25" t="str">
        <x:v>半急速入场</x:v>
      </x:c>
      <x:c r="D1241" s="25" t="str">
        <x:v>材料</x:v>
      </x:c>
      <x:c r="E1241" s="25" t="str">
        <x:v>禁域星钥</x:v>
      </x:c>
      <x:c r="F1241" s="25" t="n">
        <x:v>2</x:v>
      </x:c>
      <x:c r="G1241" s="25" t="str">
        <x:v>从C0至当前检查点累计需求；未扣自身未来产出，不代表已有库存</x:v>
      </x:c>
    </x:row>
    <x:row r="1242">
      <x:c r="A1242" s="25" t="str">
        <x:v>C08-E</x:v>
      </x:c>
      <x:c r="B1242" s="25" t="str">
        <x:v>巨人山顶</x:v>
      </x:c>
      <x:c r="C1242" s="25" t="str">
        <x:v>半急速入场</x:v>
      </x:c>
      <x:c r="D1242" s="25" t="str">
        <x:v>材料</x:v>
      </x:c>
      <x:c r="E1242" s="25" t="str">
        <x:v>红狮战印</x:v>
      </x:c>
      <x:c r="F1242" s="25" t="n">
        <x:v>42</x:v>
      </x:c>
      <x:c r="G1242" s="25" t="str">
        <x:v>从C0至当前检查点累计需求；未扣自身未来产出，不代表已有库存</x:v>
      </x:c>
    </x:row>
    <x:row r="1243">
      <x:c r="A1243" s="25" t="str">
        <x:v>C08-E</x:v>
      </x:c>
      <x:c r="B1243" s="25" t="str">
        <x:v>巨人山顶</x:v>
      </x:c>
      <x:c r="C1243" s="25" t="str">
        <x:v>半急速入场</x:v>
      </x:c>
      <x:c r="D1243" s="25" t="str">
        <x:v>材料</x:v>
      </x:c>
      <x:c r="E1243" s="25" t="str">
        <x:v>腐根魂结</x:v>
      </x:c>
      <x:c r="F1243" s="25" t="n">
        <x:v>2</x:v>
      </x:c>
      <x:c r="G1243" s="25" t="str">
        <x:v>从C0至当前检查点累计需求；未扣自身未来产出，不代表已有库存</x:v>
      </x:c>
    </x:row>
    <x:row r="1244">
      <x:c r="A1244" s="25" t="str">
        <x:v>C08-E</x:v>
      </x:c>
      <x:c r="B1244" s="25" t="str">
        <x:v>巨人山顶</x:v>
      </x:c>
      <x:c r="C1244" s="25" t="str">
        <x:v>半急速入场</x:v>
      </x:c>
      <x:c r="D1244" s="25" t="str">
        <x:v>材料</x:v>
      </x:c>
      <x:c r="E1244" s="25" t="str">
        <x:v>裂风崖羽</x:v>
      </x:c>
      <x:c r="F1244" s="25" t="n">
        <x:v>80</x:v>
      </x:c>
      <x:c r="G1244" s="25" t="str">
        <x:v>从C0至当前检查点累计需求；未扣自身未来产出，不代表已有库存</x:v>
      </x:c>
    </x:row>
    <x:row r="1245">
      <x:c r="A1245" s="25" t="str">
        <x:v>C08-E</x:v>
      </x:c>
      <x:c r="B1245" s="25" t="str">
        <x:v>巨人山顶</x:v>
      </x:c>
      <x:c r="C1245" s="25" t="str">
        <x:v>半急速入场</x:v>
      </x:c>
      <x:c r="D1245" s="25" t="str">
        <x:v>材料</x:v>
      </x:c>
      <x:c r="E1245" s="25" t="str">
        <x:v>西境战旗</x:v>
      </x:c>
      <x:c r="F1245" s="25" t="n">
        <x:v>20</x:v>
      </x:c>
      <x:c r="G1245" s="25" t="str">
        <x:v>从C0至当前检查点累计需求；未扣自身未来产出，不代表已有库存</x:v>
      </x:c>
    </x:row>
    <x:row r="1246">
      <x:c r="A1246" s="25" t="str">
        <x:v>C08-E</x:v>
      </x:c>
      <x:c r="B1246" s="25" t="str">
        <x:v>巨人山顶</x:v>
      </x:c>
      <x:c r="C1246" s="25" t="str">
        <x:v>半急速入场</x:v>
      </x:c>
      <x:c r="D1246" s="25" t="str">
        <x:v>材料</x:v>
      </x:c>
      <x:c r="E1246" s="25" t="str">
        <x:v>西境战旗印</x:v>
      </x:c>
      <x:c r="F1246" s="25" t="n">
        <x:v>13</x:v>
      </x:c>
      <x:c r="G1246" s="25" t="str">
        <x:v>从C0至当前检查点累计需求；未扣自身未来产出，不代表已有库存</x:v>
      </x:c>
    </x:row>
    <x:row r="1247">
      <x:c r="A1247" s="25" t="str">
        <x:v>C08-E</x:v>
      </x:c>
      <x:c r="B1247" s="25" t="str">
        <x:v>巨人山顶</x:v>
      </x:c>
      <x:c r="C1247" s="25" t="str">
        <x:v>半急速入场</x:v>
      </x:c>
      <x:c r="D1247" s="25" t="str">
        <x:v>材料</x:v>
      </x:c>
      <x:c r="E1247" s="25" t="str">
        <x:v>西境风痕碑拓</x:v>
      </x:c>
      <x:c r="F1247" s="25" t="n">
        <x:v>1</x:v>
      </x:c>
      <x:c r="G1247" s="25" t="str">
        <x:v>从C0至当前检查点累计需求；未扣自身未来产出，不代表已有库存</x:v>
      </x:c>
    </x:row>
    <x:row r="1248">
      <x:c r="A1248" s="25" t="str">
        <x:v>C08-E</x:v>
      </x:c>
      <x:c r="B1248" s="25" t="str">
        <x:v>巨人山顶</x:v>
      </x:c>
      <x:c r="C1248" s="25" t="str">
        <x:v>半急速入场</x:v>
      </x:c>
      <x:c r="D1248" s="25" t="str">
        <x:v>材料</x:v>
      </x:c>
      <x:c r="E1248" s="25" t="str">
        <x:v>贵胄断指</x:v>
      </x:c>
      <x:c r="F1248" s="25" t="n">
        <x:v>1</x:v>
      </x:c>
      <x:c r="G1248" s="25" t="str">
        <x:v>从C0至当前检查点累计需求；未扣自身未来产出，不代表已有库存</x:v>
      </x:c>
    </x:row>
    <x:row r="1249">
      <x:c r="A1249" s="25" t="str">
        <x:v>C08-E</x:v>
      </x:c>
      <x:c r="B1249" s="25" t="str">
        <x:v>巨人山顶</x:v>
      </x:c>
      <x:c r="C1249" s="25" t="str">
        <x:v>半急速入场</x:v>
      </x:c>
      <x:c r="D1249" s="25" t="str">
        <x:v>材料</x:v>
      </x:c>
      <x:c r="E1249" s="25" t="str">
        <x:v>辉石碎晶</x:v>
      </x:c>
      <x:c r="F1249" s="25" t="n">
        <x:v>1750</x:v>
      </x:c>
      <x:c r="G1249" s="25" t="str">
        <x:v>从C0至当前检查点累计需求；未扣自身未来产出，不代表已有库存</x:v>
      </x:c>
    </x:row>
    <x:row r="1250">
      <x:c r="A1250" s="25" t="str">
        <x:v>C08-E</x:v>
      </x:c>
      <x:c r="B1250" s="25" t="str">
        <x:v>巨人山顶</x:v>
      </x:c>
      <x:c r="C1250" s="25" t="str">
        <x:v>半急速入场</x:v>
      </x:c>
      <x:c r="D1250" s="25" t="str">
        <x:v>材料</x:v>
      </x:c>
      <x:c r="E1250" s="25" t="str">
        <x:v>野兽骨片</x:v>
      </x:c>
      <x:c r="F1250" s="25" t="n">
        <x:v>38225</x:v>
      </x:c>
      <x:c r="G1250" s="25" t="str">
        <x:v>从C0至当前检查点累计需求；未扣自身未来产出，不代表已有库存</x:v>
      </x:c>
    </x:row>
    <x:row r="1251">
      <x:c r="A1251" s="25" t="str">
        <x:v>C08-E</x:v>
      </x:c>
      <x:c r="B1251" s="25" t="str">
        <x:v>巨人山顶</x:v>
      </x:c>
      <x:c r="C1251" s="25" t="str">
        <x:v>半急速入场</x:v>
      </x:c>
      <x:c r="D1251" s="25" t="str">
        <x:v>材料</x:v>
      </x:c>
      <x:c r="E1251" s="25" t="str">
        <x:v>雾潮银鳞</x:v>
      </x:c>
      <x:c r="F1251" s="25" t="n">
        <x:v>272</x:v>
      </x:c>
      <x:c r="G1251" s="25" t="str">
        <x:v>从C0至当前检查点累计需求；未扣自身未来产出，不代表已有库存</x:v>
      </x:c>
    </x:row>
    <x:row r="1252">
      <x:c r="A1252" s="25" t="str">
        <x:v>C08-E</x:v>
      </x:c>
      <x:c r="B1252" s="25" t="str">
        <x:v>巨人山顶</x:v>
      </x:c>
      <x:c r="C1252" s="25" t="str">
        <x:v>半急速入场</x:v>
      </x:c>
      <x:c r="D1252" s="25" t="str">
        <x:v>材料</x:v>
      </x:c>
      <x:c r="E1252" s="25" t="str">
        <x:v>风暴王核</x:v>
      </x:c>
      <x:c r="F1252" s="25" t="n">
        <x:v>1</x:v>
      </x:c>
      <x:c r="G1252" s="25" t="str">
        <x:v>从C0至当前检查点累计需求；未扣自身未来产出，不代表已有库存</x:v>
      </x:c>
    </x:row>
    <x:row r="1253">
      <x:c r="A1253" s="25" t="str">
        <x:v>C08-E</x:v>
      </x:c>
      <x:c r="B1253" s="25" t="str">
        <x:v>巨人山顶</x:v>
      </x:c>
      <x:c r="C1253" s="25" t="str">
        <x:v>半急速入场</x:v>
      </x:c>
      <x:c r="D1253" s="25" t="str">
        <x:v>材料</x:v>
      </x:c>
      <x:c r="E1253" s="25" t="str">
        <x:v>风暴石片</x:v>
      </x:c>
      <x:c r="F1253" s="25" t="n">
        <x:v>370</x:v>
      </x:c>
      <x:c r="G1253" s="25" t="str">
        <x:v>从C0至当前检查点累计需求；未扣自身未来产出，不代表已有库存</x:v>
      </x:c>
    </x:row>
    <x:row r="1254">
      <x:c r="A1254" s="25" t="str">
        <x:v>C08-E</x:v>
      </x:c>
      <x:c r="B1254" s="25" t="str">
        <x:v>巨人山顶</x:v>
      </x:c>
      <x:c r="C1254" s="25" t="str">
        <x:v>半急速入场</x:v>
      </x:c>
      <x:c r="D1254" s="25" t="str">
        <x:v>材料</x:v>
      </x:c>
      <x:c r="E1254" s="25" t="str">
        <x:v>风蚀铁片</x:v>
      </x:c>
      <x:c r="F1254" s="25" t="n">
        <x:v>710</x:v>
      </x:c>
      <x:c r="G1254" s="25" t="str">
        <x:v>从C0至当前检查点累计需求；未扣自身未来产出，不代表已有库存</x:v>
      </x:c>
    </x:row>
    <x:row r="1255">
      <x:c r="A1255" s="25" t="str">
        <x:v>C08-E</x:v>
      </x:c>
      <x:c r="B1255" s="25" t="str">
        <x:v>巨人山顶</x:v>
      </x:c>
      <x:c r="C1255" s="25" t="str">
        <x:v>半急速入场</x:v>
      </x:c>
      <x:c r="D1255" s="25" t="str">
        <x:v>材料</x:v>
      </x:c>
      <x:c r="E1255" s="25" t="str">
        <x:v>黄金树碎核</x:v>
      </x:c>
      <x:c r="F1255" s="25" t="n">
        <x:v>2</x:v>
      </x:c>
      <x:c r="G1255" s="25" t="str">
        <x:v>从C0至当前检查点累计需求；未扣自身未来产出，不代表已有库存</x:v>
      </x:c>
    </x:row>
    <x:row r="1256">
      <x:c r="A1256" s="25" t="str">
        <x:v>C08-E</x:v>
      </x:c>
      <x:c r="B1256" s="25" t="str">
        <x:v>巨人山顶</x:v>
      </x:c>
      <x:c r="C1256" s="25" t="str">
        <x:v>半急速入场</x:v>
      </x:c>
      <x:c r="D1256" s="25" t="str">
        <x:v>材料</x:v>
      </x:c>
      <x:c r="E1256" s="25" t="str">
        <x:v>黄金树芽</x:v>
      </x:c>
      <x:c r="F1256" s="25" t="n">
        <x:v>297</x:v>
      </x:c>
      <x:c r="G1256" s="25" t="str">
        <x:v>从C0至当前检查点累计需求；未扣自身未来产出，不代表已有库存</x:v>
      </x:c>
    </x:row>
    <x:row r="1257">
      <x:c r="A1257" s="25" t="str">
        <x:v>C08-E</x:v>
      </x:c>
      <x:c r="B1257" s="25" t="str">
        <x:v>巨人山顶</x:v>
      </x:c>
      <x:c r="C1257" s="25" t="str">
        <x:v>半急速入场</x:v>
      </x:c>
      <x:c r="D1257" s="25" t="str">
        <x:v>材料</x:v>
      </x:c>
      <x:c r="E1257" s="25" t="str">
        <x:v>黄金骑徽</x:v>
      </x:c>
      <x:c r="F1257" s="25" t="n">
        <x:v>2</x:v>
      </x:c>
      <x:c r="G1257" s="25" t="str">
        <x:v>从C0至当前检查点累计需求；未扣自身未来产出，不代表已有库存</x:v>
      </x:c>
    </x:row>
    <x:row r="1258">
      <x:c r="A1258" s="25" t="str">
        <x:v>C08-E</x:v>
      </x:c>
      <x:c r="B1258" s="25" t="str">
        <x:v>巨人山顶</x:v>
      </x:c>
      <x:c r="C1258" s="25" t="str">
        <x:v>半急速入场</x:v>
      </x:c>
      <x:c r="D1258" s="25" t="str">
        <x:v>材料</x:v>
      </x:c>
      <x:c r="E1258" s="25" t="str">
        <x:v>龙火鳞</x:v>
      </x:c>
      <x:c r="F1258" s="25" t="n">
        <x:v>38</x:v>
      </x:c>
      <x:c r="G1258" s="25" t="str">
        <x:v>从C0至当前检查点累计需求；未扣自身未来产出，不代表已有库存</x:v>
      </x:c>
    </x:row>
    <x:row r="1259">
      <x:c r="A1259" s="25" t="str">
        <x:v>C08-E</x:v>
      </x:c>
      <x:c r="B1259" s="25" t="str">
        <x:v>巨人山顶</x:v>
      </x:c>
      <x:c r="C1259" s="25" t="str">
        <x:v>半急速入场</x:v>
      </x:c>
      <x:c r="D1259" s="25" t="str">
        <x:v>装备实物</x:v>
      </x:c>
      <x:c r="E1259" s="25" t="str">
        <x:v>共360个精确名称（明细见JSON）</x:v>
      </x:c>
      <x:c r="F1259" s="25" t="n">
        <x:v>476</x:v>
      </x:c>
      <x:c r="G1259" s="25" t="str">
        <x:v>含穿戴、重复试洗、图鉴登记与合成前置；完整数据未省略</x:v>
      </x:c>
    </x:row>
    <x:row r="1260">
      <x:c r="A1260" s="25" t="str">
        <x:v>C08-M</x:v>
      </x:c>
      <x:c r="B1260" s="25" t="str">
        <x:v>巨人山顶</x:v>
      </x:c>
      <x:c r="C1260" s="25" t="str">
        <x:v>半急速中期</x:v>
      </x:c>
      <x:c r="D1260" s="25" t="str">
        <x:v>材料</x:v>
      </x:c>
      <x:c r="E1260" s="25" t="str">
        <x:v>兽将脊骨</x:v>
      </x:c>
      <x:c r="F1260" s="25" t="n">
        <x:v>1</x:v>
      </x:c>
      <x:c r="G1260" s="25" t="str">
        <x:v>从C0至当前检查点累计需求；未扣自身未来产出，不代表已有库存</x:v>
      </x:c>
    </x:row>
    <x:row r="1261">
      <x:c r="A1261" s="25" t="str">
        <x:v>C08-M</x:v>
      </x:c>
      <x:c r="B1261" s="25" t="str">
        <x:v>巨人山顶</x:v>
      </x:c>
      <x:c r="C1261" s="25" t="str">
        <x:v>半急速中期</x:v>
      </x:c>
      <x:c r="D1261" s="25" t="str">
        <x:v>材料</x:v>
      </x:c>
      <x:c r="E1261" s="25" t="str">
        <x:v>冻原银角</x:v>
      </x:c>
      <x:c r="F1261" s="25" t="n">
        <x:v>30</x:v>
      </x:c>
      <x:c r="G1261" s="25" t="str">
        <x:v>从C0至当前检查点累计需求；未扣自身未来产出，不代表已有库存</x:v>
      </x:c>
    </x:row>
    <x:row r="1262">
      <x:c r="A1262" s="25" t="str">
        <x:v>C08-M</x:v>
      </x:c>
      <x:c r="B1262" s="25" t="str">
        <x:v>巨人山顶</x:v>
      </x:c>
      <x:c r="C1262" s="25" t="str">
        <x:v>半急速中期</x:v>
      </x:c>
      <x:c r="D1262" s="25" t="str">
        <x:v>材料</x:v>
      </x:c>
      <x:c r="E1262" s="25" t="str">
        <x:v>冻晶尘</x:v>
      </x:c>
      <x:c r="F1262" s="25" t="n">
        <x:v>1720</x:v>
      </x:c>
      <x:c r="G1262" s="25" t="str">
        <x:v>从C0至当前检查点累计需求；未扣自身未来产出，不代表已有库存</x:v>
      </x:c>
    </x:row>
    <x:row r="1263">
      <x:c r="A1263" s="25" t="str">
        <x:v>C08-M</x:v>
      </x:c>
      <x:c r="B1263" s="25" t="str">
        <x:v>巨人山顶</x:v>
      </x:c>
      <x:c r="C1263" s="25" t="str">
        <x:v>半急速中期</x:v>
      </x:c>
      <x:c r="D1263" s="25" t="str">
        <x:v>材料</x:v>
      </x:c>
      <x:c r="E1263" s="25" t="str">
        <x:v>净火腺囊</x:v>
      </x:c>
      <x:c r="F1263" s="25" t="n">
        <x:v>44</x:v>
      </x:c>
      <x:c r="G1263" s="25" t="str">
        <x:v>从C0至当前检查点累计需求；未扣自身未来产出，不代表已有库存</x:v>
      </x:c>
    </x:row>
    <x:row r="1264">
      <x:c r="A1264" s="25" t="str">
        <x:v>C08-M</x:v>
      </x:c>
      <x:c r="B1264" s="25" t="str">
        <x:v>巨人山顶</x:v>
      </x:c>
      <x:c r="C1264" s="25" t="str">
        <x:v>半急速中期</x:v>
      </x:c>
      <x:c r="D1264" s="25" t="str">
        <x:v>材料</x:v>
      </x:c>
      <x:c r="E1264" s="25" t="str">
        <x:v>卡利亚月露</x:v>
      </x:c>
      <x:c r="F1264" s="25" t="n">
        <x:v>36</x:v>
      </x:c>
      <x:c r="G1264" s="25" t="str">
        <x:v>从C0至当前检查点累计需求；未扣自身未来产出，不代表已有库存</x:v>
      </x:c>
    </x:row>
    <x:row r="1265">
      <x:c r="A1265" s="25" t="str">
        <x:v>C08-M</x:v>
      </x:c>
      <x:c r="B1265" s="25" t="str">
        <x:v>巨人山顶</x:v>
      </x:c>
      <x:c r="C1265" s="25" t="str">
        <x:v>半急速中期</x:v>
      </x:c>
      <x:c r="D1265" s="25" t="str">
        <x:v>材料</x:v>
      </x:c>
      <x:c r="E1265" s="25" t="str">
        <x:v>哨垒旗冠</x:v>
      </x:c>
      <x:c r="F1265" s="25" t="n">
        <x:v>3</x:v>
      </x:c>
      <x:c r="G1265" s="25" t="str">
        <x:v>从C0至当前检查点累计需求；未扣自身未来产出，不代表已有库存</x:v>
      </x:c>
    </x:row>
    <x:row r="1266">
      <x:c r="A1266" s="25" t="str">
        <x:v>C08-M</x:v>
      </x:c>
      <x:c r="B1266" s="25" t="str">
        <x:v>巨人山顶</x:v>
      </x:c>
      <x:c r="C1266" s="25" t="str">
        <x:v>半急速中期</x:v>
      </x:c>
      <x:c r="D1266" s="25" t="str">
        <x:v>材料</x:v>
      </x:c>
      <x:c r="E1266" s="25" t="str">
        <x:v>唤船骨铃</x:v>
      </x:c>
      <x:c r="F1266" s="25" t="n">
        <x:v>1</x:v>
      </x:c>
      <x:c r="G1266" s="25" t="str">
        <x:v>从C0至当前检查点累计需求；未扣自身未来产出，不代表已有库存</x:v>
      </x:c>
    </x:row>
    <x:row r="1267">
      <x:c r="A1267" s="25" t="str">
        <x:v>C08-M</x:v>
      </x:c>
      <x:c r="B1267" s="25" t="str">
        <x:v>巨人山顶</x:v>
      </x:c>
      <x:c r="C1267" s="25" t="str">
        <x:v>半急速中期</x:v>
      </x:c>
      <x:c r="D1267" s="25" t="str">
        <x:v>材料</x:v>
      </x:c>
      <x:c r="E1267" s="25" t="str">
        <x:v>商队火漆</x:v>
      </x:c>
      <x:c r="F1267" s="25" t="n">
        <x:v>20</x:v>
      </x:c>
      <x:c r="G1267" s="25" t="str">
        <x:v>从C0至当前检查点累计需求；未扣自身未来产出，不代表已有库存</x:v>
      </x:c>
    </x:row>
    <x:row r="1268">
      <x:c r="A1268" s="25" t="str">
        <x:v>C08-M</x:v>
      </x:c>
      <x:c r="B1268" s="25" t="str">
        <x:v>巨人山顶</x:v>
      </x:c>
      <x:c r="C1268" s="25" t="str">
        <x:v>半急速中期</x:v>
      </x:c>
      <x:c r="D1268" s="25" t="str">
        <x:v>材料</x:v>
      </x:c>
      <x:c r="E1268" s="25" t="str">
        <x:v>圣雪誓印</x:v>
      </x:c>
      <x:c r="F1268" s="25" t="n">
        <x:v>53</x:v>
      </x:c>
      <x:c r="G1268" s="25" t="str">
        <x:v>从C0至当前检查点累计需求；未扣自身未来产出，不代表已有库存</x:v>
      </x:c>
    </x:row>
    <x:row r="1269">
      <x:c r="A1269" s="25" t="str">
        <x:v>C08-M</x:v>
      </x:c>
      <x:c r="B1269" s="25" t="str">
        <x:v>巨人山顶</x:v>
      </x:c>
      <x:c r="C1269" s="25" t="str">
        <x:v>半急速中期</x:v>
      </x:c>
      <x:c r="D1269" s="25" t="str">
        <x:v>材料</x:v>
      </x:c>
      <x:c r="E1269" s="25" t="str">
        <x:v>圣雪门楔</x:v>
      </x:c>
      <x:c r="F1269" s="25" t="n">
        <x:v>4</x:v>
      </x:c>
      <x:c r="G1269" s="25" t="str">
        <x:v>从C0至当前检查点累计需求；未扣自身未来产出，不代表已有库存</x:v>
      </x:c>
    </x:row>
    <x:row r="1270">
      <x:c r="A1270" s="25" t="str">
        <x:v>C08-M</x:v>
      </x:c>
      <x:c r="B1270" s="25" t="str">
        <x:v>巨人山顶</x:v>
      </x:c>
      <x:c r="C1270" s="25" t="str">
        <x:v>半急速中期</x:v>
      </x:c>
      <x:c r="D1270" s="25" t="str">
        <x:v>材料</x:v>
      </x:c>
      <x:c r="E1270" s="25" t="str">
        <x:v>夜骑黑印</x:v>
      </x:c>
      <x:c r="F1270" s="25" t="n">
        <x:v>1</x:v>
      </x:c>
      <x:c r="G1270" s="25" t="str">
        <x:v>从C0至当前检查点累计需求；未扣自身未来产出，不代表已有库存</x:v>
      </x:c>
    </x:row>
    <x:row r="1271">
      <x:c r="A1271" s="25" t="str">
        <x:v>C08-M</x:v>
      </x:c>
      <x:c r="B1271" s="25" t="str">
        <x:v>巨人山顶</x:v>
      </x:c>
      <x:c r="C1271" s="25" t="str">
        <x:v>半急速中期</x:v>
      </x:c>
      <x:c r="D1271" s="25" t="str">
        <x:v>材料</x:v>
      </x:c>
      <x:c r="E1271" s="25" t="str">
        <x:v>大卢恩</x:v>
      </x:c>
      <x:c r="F1271" s="25" t="n">
        <x:v>350</x:v>
      </x:c>
      <x:c r="G1271" s="25" t="str">
        <x:v>从C0至当前检查点累计需求；未扣自身未来产出，不代表已有库存</x:v>
      </x:c>
    </x:row>
    <x:row r="1272">
      <x:c r="A1272" s="25" t="str">
        <x:v>C08-M</x:v>
      </x:c>
      <x:c r="B1272" s="25" t="str">
        <x:v>巨人山顶</x:v>
      </x:c>
      <x:c r="C1272" s="25" t="str">
        <x:v>半急速中期</x:v>
      </x:c>
      <x:c r="D1272" s="25" t="str">
        <x:v>材料</x:v>
      </x:c>
      <x:c r="E1272" s="25" t="str">
        <x:v>失乡军令</x:v>
      </x:c>
      <x:c r="F1272" s="25" t="n">
        <x:v>2</x:v>
      </x:c>
      <x:c r="G1272" s="25" t="str">
        <x:v>从C0至当前检查点累计需求；未扣自身未来产出，不代表已有库存</x:v>
      </x:c>
    </x:row>
    <x:row r="1273">
      <x:c r="A1273" s="25" t="str">
        <x:v>C08-M</x:v>
      </x:c>
      <x:c r="B1273" s="25" t="str">
        <x:v>巨人山顶</x:v>
      </x:c>
      <x:c r="C1273" s="25" t="str">
        <x:v>半急速中期</x:v>
      </x:c>
      <x:c r="D1273" s="25" t="str">
        <x:v>材料</x:v>
      </x:c>
      <x:c r="E1273" s="25" t="str">
        <x:v>失乡统帅徽</x:v>
      </x:c>
      <x:c r="F1273" s="25" t="n">
        <x:v>2</x:v>
      </x:c>
      <x:c r="G1273" s="25" t="str">
        <x:v>从C0至当前检查点累计需求；未扣自身未来产出，不代表已有库存</x:v>
      </x:c>
    </x:row>
    <x:row r="1274">
      <x:c r="A1274" s="25" t="str">
        <x:v>C08-M</x:v>
      </x:c>
      <x:c r="B1274" s="25" t="str">
        <x:v>巨人山顶</x:v>
      </x:c>
      <x:c r="C1274" s="25" t="str">
        <x:v>半急速中期</x:v>
      </x:c>
      <x:c r="D1274" s="25" t="str">
        <x:v>材料</x:v>
      </x:c>
      <x:c r="E1274" s="25" t="str">
        <x:v>失色锻造石</x:v>
      </x:c>
      <x:c r="F1274" s="25" t="n">
        <x:v>28200</x:v>
      </x:c>
      <x:c r="G1274" s="25" t="str">
        <x:v>从C0至当前检查点累计需求；未扣自身未来产出，不代表已有库存</x:v>
      </x:c>
    </x:row>
    <x:row r="1275">
      <x:c r="A1275" s="25" t="str">
        <x:v>C08-M</x:v>
      </x:c>
      <x:c r="B1275" s="25" t="str">
        <x:v>巨人山顶</x:v>
      </x:c>
      <x:c r="C1275" s="25" t="str">
        <x:v>半急速中期</x:v>
      </x:c>
      <x:c r="D1275" s="25" t="str">
        <x:v>材料</x:v>
      </x:c>
      <x:c r="E1275" s="25" t="str">
        <x:v>学院封蜡</x:v>
      </x:c>
      <x:c r="F1275" s="25" t="n">
        <x:v>24</x:v>
      </x:c>
      <x:c r="G1275" s="25" t="str">
        <x:v>从C0至当前检查点累计需求；未扣自身未来产出，不代表已有库存</x:v>
      </x:c>
    </x:row>
    <x:row r="1276">
      <x:c r="A1276" s="25" t="str">
        <x:v>C08-M</x:v>
      </x:c>
      <x:c r="B1276" s="25" t="str">
        <x:v>巨人山顶</x:v>
      </x:c>
      <x:c r="C1276" s="25" t="str">
        <x:v>半急速中期</x:v>
      </x:c>
      <x:c r="D1276" s="25" t="str">
        <x:v>材料</x:v>
      </x:c>
      <x:c r="E1276" s="25" t="str">
        <x:v>宁姆格福誓页</x:v>
      </x:c>
      <x:c r="F1276" s="25" t="n">
        <x:v>90</x:v>
      </x:c>
      <x:c r="G1276" s="25" t="str">
        <x:v>从C0至当前检查点累计需求；未扣自身未来产出，不代表已有库存</x:v>
      </x:c>
    </x:row>
    <x:row r="1277">
      <x:c r="A1277" s="25" t="str">
        <x:v>C08-M</x:v>
      </x:c>
      <x:c r="B1277" s="25" t="str">
        <x:v>巨人山顶</x:v>
      </x:c>
      <x:c r="C1277" s="25" t="str">
        <x:v>半急速中期</x:v>
      </x:c>
      <x:c r="D1277" s="25" t="str">
        <x:v>材料</x:v>
      </x:c>
      <x:c r="E1277" s="25" t="str">
        <x:v>小卢恩</x:v>
      </x:c>
      <x:c r="F1277" s="25" t="n">
        <x:v>250</x:v>
      </x:c>
      <x:c r="G1277" s="25" t="str">
        <x:v>从C0至当前检查点累计需求；未扣自身未来产出，不代表已有库存</x:v>
      </x:c>
    </x:row>
    <x:row r="1278">
      <x:c r="A1278" s="25" t="str">
        <x:v>C08-M</x:v>
      </x:c>
      <x:c r="B1278" s="25" t="str">
        <x:v>巨人山顶</x:v>
      </x:c>
      <x:c r="C1278" s="25" t="str">
        <x:v>半急速中期</x:v>
      </x:c>
      <x:c r="D1278" s="25" t="str">
        <x:v>材料</x:v>
      </x:c>
      <x:c r="E1278" s="25" t="str">
        <x:v>山妖王角</x:v>
      </x:c>
      <x:c r="F1278" s="25" t="n">
        <x:v>2</x:v>
      </x:c>
      <x:c r="G1278" s="25" t="str">
        <x:v>从C0至当前检查点累计需求；未扣自身未来产出，不代表已有库存</x:v>
      </x:c>
    </x:row>
    <x:row r="1279">
      <x:c r="A1279" s="25" t="str">
        <x:v>C08-M</x:v>
      </x:c>
      <x:c r="B1279" s="25" t="str">
        <x:v>巨人山顶</x:v>
      </x:c>
      <x:c r="C1279" s="25" t="str">
        <x:v>半急速中期</x:v>
      </x:c>
      <x:c r="D1279" s="25" t="str">
        <x:v>材料</x:v>
      </x:c>
      <x:c r="E1279" s="25" t="str">
        <x:v>巨人火印</x:v>
      </x:c>
      <x:c r="F1279" s="25" t="n">
        <x:v>14</x:v>
      </x:c>
      <x:c r="G1279" s="25" t="str">
        <x:v>从C0至当前检查点累计需求；未扣自身未来产出，不代表已有库存</x:v>
      </x:c>
    </x:row>
    <x:row r="1280">
      <x:c r="A1280" s="25" t="str">
        <x:v>C08-M</x:v>
      </x:c>
      <x:c r="B1280" s="25" t="str">
        <x:v>巨人山顶</x:v>
      </x:c>
      <x:c r="C1280" s="25" t="str">
        <x:v>半急速中期</x:v>
      </x:c>
      <x:c r="D1280" s="25" t="str">
        <x:v>材料</x:v>
      </x:c>
      <x:c r="E1280" s="25" t="str">
        <x:v>巨人火种</x:v>
      </x:c>
      <x:c r="F1280" s="25" t="n">
        <x:v>17</x:v>
      </x:c>
      <x:c r="G1280" s="25" t="str">
        <x:v>从C0至当前检查点累计需求；未扣自身未来产出，不代表已有库存</x:v>
      </x:c>
    </x:row>
    <x:row r="1281">
      <x:c r="A1281" s="25" t="str">
        <x:v>C08-M</x:v>
      </x:c>
      <x:c r="B1281" s="25" t="str">
        <x:v>巨人山顶</x:v>
      </x:c>
      <x:c r="C1281" s="25" t="str">
        <x:v>半急速中期</x:v>
      </x:c>
      <x:c r="D1281" s="25" t="str">
        <x:v>材料</x:v>
      </x:c>
      <x:c r="E1281" s="25" t="str">
        <x:v>巨人熔火卢恩</x:v>
      </x:c>
      <x:c r="F1281" s="25" t="n">
        <x:v>100</x:v>
      </x:c>
      <x:c r="G1281" s="25" t="str">
        <x:v>从C0至当前检查点累计需求；未扣自身未来产出，不代表已有库存</x:v>
      </x:c>
    </x:row>
    <x:row r="1282">
      <x:c r="A1282" s="25" t="str">
        <x:v>C08-M</x:v>
      </x:c>
      <x:c r="B1282" s="25" t="str">
        <x:v>巨人山顶</x:v>
      </x:c>
      <x:c r="C1282" s="25" t="str">
        <x:v>半急速中期</x:v>
      </x:c>
      <x:c r="D1282" s="25" t="str">
        <x:v>材料</x:v>
      </x:c>
      <x:c r="E1282" s="25" t="str">
        <x:v>幽船铆钉</x:v>
      </x:c>
      <x:c r="F1282" s="25" t="n">
        <x:v>21</x:v>
      </x:c>
      <x:c r="G1282" s="25" t="str">
        <x:v>从C0至当前检查点累计需求；未扣自身未来产出，不代表已有库存</x:v>
      </x:c>
    </x:row>
    <x:row r="1283">
      <x:c r="A1283" s="25" t="str">
        <x:v>C08-M</x:v>
      </x:c>
      <x:c r="B1283" s="25" t="str">
        <x:v>巨人山顶</x:v>
      </x:c>
      <x:c r="C1283" s="25" t="str">
        <x:v>半急速中期</x:v>
      </x:c>
      <x:c r="D1283" s="25" t="str">
        <x:v>材料</x:v>
      </x:c>
      <x:c r="E1283" s="25" t="str">
        <x:v>恶兆残角</x:v>
      </x:c>
      <x:c r="F1283" s="25" t="n">
        <x:v>1</x:v>
      </x:c>
      <x:c r="G1283" s="25" t="str">
        <x:v>从C0至当前检查点累计需求；未扣自身未来产出，不代表已有库存</x:v>
      </x:c>
    </x:row>
    <x:row r="1284">
      <x:c r="A1284" s="25" t="str">
        <x:v>C08-M</x:v>
      </x:c>
      <x:c r="B1284" s="25" t="str">
        <x:v>巨人山顶</x:v>
      </x:c>
      <x:c r="C1284" s="25" t="str">
        <x:v>半急速中期</x:v>
      </x:c>
      <x:c r="D1284" s="25" t="str">
        <x:v>材料</x:v>
      </x:c>
      <x:c r="E1284" s="25" t="str">
        <x:v>技能残页</x:v>
      </x:c>
      <x:c r="F1284" s="25" t="n">
        <x:v>1350</x:v>
      </x:c>
      <x:c r="G1284" s="25" t="str">
        <x:v>从C0至当前检查点累计需求；未扣自身未来产出，不代表已有库存</x:v>
      </x:c>
    </x:row>
    <x:row r="1285">
      <x:c r="A1285" s="25" t="str">
        <x:v>C08-M</x:v>
      </x:c>
      <x:c r="B1285" s="25" t="str">
        <x:v>巨人山顶</x:v>
      </x:c>
      <x:c r="C1285" s="25" t="str">
        <x:v>半急速中期</x:v>
      </x:c>
      <x:c r="D1285" s="25" t="str">
        <x:v>材料</x:v>
      </x:c>
      <x:c r="E1285" s="25" t="str">
        <x:v>接肢兽心</x:v>
      </x:c>
      <x:c r="F1285" s="25" t="n">
        <x:v>2</x:v>
      </x:c>
      <x:c r="G1285" s="25" t="str">
        <x:v>从C0至当前检查点累计需求；未扣自身未来产出，不代表已有库存</x:v>
      </x:c>
    </x:row>
    <x:row r="1286">
      <x:c r="A1286" s="25" t="str">
        <x:v>C08-M</x:v>
      </x:c>
      <x:c r="B1286" s="25" t="str">
        <x:v>巨人山顶</x:v>
      </x:c>
      <x:c r="C1286" s="25" t="str">
        <x:v>半急速中期</x:v>
      </x:c>
      <x:c r="D1286" s="25" t="str">
        <x:v>材料</x:v>
      </x:c>
      <x:c r="E1286" s="25" t="str">
        <x:v>接肢王印</x:v>
      </x:c>
      <x:c r="F1286" s="25" t="n">
        <x:v>13</x:v>
      </x:c>
      <x:c r="G1286" s="25" t="str">
        <x:v>从C0至当前检查点累计需求；未扣自身未来产出，不代表已有库存</x:v>
      </x:c>
    </x:row>
    <x:row r="1287">
      <x:c r="A1287" s="25" t="str">
        <x:v>C08-M</x:v>
      </x:c>
      <x:c r="B1287" s="25" t="str">
        <x:v>巨人山顶</x:v>
      </x:c>
      <x:c r="C1287" s="25" t="str">
        <x:v>半急速中期</x:v>
      </x:c>
      <x:c r="D1287" s="25" t="str">
        <x:v>材料</x:v>
      </x:c>
      <x:c r="E1287" s="25" t="str">
        <x:v>接肢王魂</x:v>
      </x:c>
      <x:c r="F1287" s="25" t="n">
        <x:v>1</x:v>
      </x:c>
      <x:c r="G1287" s="25" t="str">
        <x:v>从C0至当前检查点累计需求；未扣自身未来产出，不代表已有库存</x:v>
      </x:c>
    </x:row>
    <x:row r="1288">
      <x:c r="A1288" s="25" t="str">
        <x:v>C08-M</x:v>
      </x:c>
      <x:c r="B1288" s="25" t="str">
        <x:v>巨人山顶</x:v>
      </x:c>
      <x:c r="C1288" s="25" t="str">
        <x:v>半急速中期</x:v>
      </x:c>
      <x:c r="D1288" s="25" t="str">
        <x:v>材料</x:v>
      </x:c>
      <x:c r="E1288" s="25" t="str">
        <x:v>月潮忆珀</x:v>
      </x:c>
      <x:c r="F1288" s="25" t="n">
        <x:v>1</x:v>
      </x:c>
      <x:c r="G1288" s="25" t="str">
        <x:v>从C0至当前检查点累计需求；未扣自身未来产出，不代表已有库存</x:v>
      </x:c>
    </x:row>
    <x:row r="1289">
      <x:c r="A1289" s="25" t="str">
        <x:v>C08-M</x:v>
      </x:c>
      <x:c r="B1289" s="25" t="str">
        <x:v>巨人山顶</x:v>
      </x:c>
      <x:c r="C1289" s="25" t="str">
        <x:v>半急速中期</x:v>
      </x:c>
      <x:c r="D1289" s="25" t="str">
        <x:v>材料</x:v>
      </x:c>
      <x:c r="E1289" s="25" t="str">
        <x:v>月蚀镜片</x:v>
      </x:c>
      <x:c r="F1289" s="25" t="n">
        <x:v>21</x:v>
      </x:c>
      <x:c r="G1289" s="25" t="str">
        <x:v>从C0至当前检查点累计需求；未扣自身未来产出，不代表已有库存</x:v>
      </x:c>
    </x:row>
    <x:row r="1290">
      <x:c r="A1290" s="25" t="str">
        <x:v>C08-M</x:v>
      </x:c>
      <x:c r="B1290" s="25" t="str">
        <x:v>巨人山顶</x:v>
      </x:c>
      <x:c r="C1290" s="25" t="str">
        <x:v>半急速中期</x:v>
      </x:c>
      <x:c r="D1290" s="25" t="str">
        <x:v>材料</x:v>
      </x:c>
      <x:c r="E1290" s="25" t="str">
        <x:v>树卫枪穗</x:v>
      </x:c>
      <x:c r="F1290" s="25" t="n">
        <x:v>1</x:v>
      </x:c>
      <x:c r="G1290" s="25" t="str">
        <x:v>从C0至当前检查点累计需求；未扣自身未来产出，不代表已有库存</x:v>
      </x:c>
    </x:row>
    <x:row r="1291">
      <x:c r="A1291" s="25" t="str">
        <x:v>C08-M</x:v>
      </x:c>
      <x:c r="B1291" s="25" t="str">
        <x:v>巨人山顶</x:v>
      </x:c>
      <x:c r="C1291" s="25" t="str">
        <x:v>半急速中期</x:v>
      </x:c>
      <x:c r="D1291" s="25" t="str">
        <x:v>材料</x:v>
      </x:c>
      <x:c r="E1291" s="25" t="str">
        <x:v>死亡仪羽</x:v>
      </x:c>
      <x:c r="F1291" s="25" t="n">
        <x:v>2</x:v>
      </x:c>
      <x:c r="G1291" s="25" t="str">
        <x:v>从C0至当前检查点累计需求；未扣自身未来产出，不代表已有库存</x:v>
      </x:c>
    </x:row>
    <x:row r="1292">
      <x:c r="A1292" s="25" t="str">
        <x:v>C08-M</x:v>
      </x:c>
      <x:c r="B1292" s="25" t="str">
        <x:v>巨人山顶</x:v>
      </x:c>
      <x:c r="C1292" s="25" t="str">
        <x:v>半急速中期</x:v>
      </x:c>
      <x:c r="D1292" s="25" t="str">
        <x:v>材料</x:v>
      </x:c>
      <x:c r="E1292" s="25" t="str">
        <x:v>永霜朝圣痕</x:v>
      </x:c>
      <x:c r="F1292" s="25" t="n">
        <x:v>1</x:v>
      </x:c>
      <x:c r="G1292" s="25" t="str">
        <x:v>从C0至当前检查点累计需求；未扣自身未来产出，不代表已有库存</x:v>
      </x:c>
    </x:row>
    <x:row r="1293">
      <x:c r="A1293" s="25" t="str">
        <x:v>C08-M</x:v>
      </x:c>
      <x:c r="B1293" s="25" t="str">
        <x:v>巨人山顶</x:v>
      </x:c>
      <x:c r="C1293" s="25" t="str">
        <x:v>半急速中期</x:v>
      </x:c>
      <x:c r="D1293" s="25" t="str">
        <x:v>材料</x:v>
      </x:c>
      <x:c r="E1293" s="25" t="str">
        <x:v>沉湖王印</x:v>
      </x:c>
      <x:c r="F1293" s="25" t="n">
        <x:v>16</x:v>
      </x:c>
      <x:c r="G1293" s="25" t="str">
        <x:v>从C0至当前检查点累计需求；未扣自身未来产出，不代表已有库存</x:v>
      </x:c>
    </x:row>
    <x:row r="1294">
      <x:c r="A1294" s="25" t="str">
        <x:v>C08-M</x:v>
      </x:c>
      <x:c r="B1294" s="25" t="str">
        <x:v>巨人山顶</x:v>
      </x:c>
      <x:c r="C1294" s="25" t="str">
        <x:v>半急速中期</x:v>
      </x:c>
      <x:c r="D1294" s="25" t="str">
        <x:v>材料</x:v>
      </x:c>
      <x:c r="E1294" s="25" t="str">
        <x:v>沉船缆扣</x:v>
      </x:c>
      <x:c r="F1294" s="25" t="n">
        <x:v>12</x:v>
      </x:c>
      <x:c r="G1294" s="25" t="str">
        <x:v>从C0至当前检查点累计需求；未扣自身未来产出，不代表已有库存</x:v>
      </x:c>
    </x:row>
    <x:row r="1295">
      <x:c r="A1295" s="25" t="str">
        <x:v>C08-M</x:v>
      </x:c>
      <x:c r="B1295" s="25" t="str">
        <x:v>巨人山顶</x:v>
      </x:c>
      <x:c r="C1295" s="25" t="str">
        <x:v>半急速中期</x:v>
      </x:c>
      <x:c r="D1295" s="25" t="str">
        <x:v>材料</x:v>
      </x:c>
      <x:c r="E1295" s="25" t="str">
        <x:v>海蚀铁片</x:v>
      </x:c>
      <x:c r="F1295" s="25" t="n">
        <x:v>160</x:v>
      </x:c>
      <x:c r="G1295" s="25" t="str">
        <x:v>从C0至当前检查点累计需求；未扣自身未来产出，不代表已有库存</x:v>
      </x:c>
    </x:row>
    <x:row r="1296">
      <x:c r="A1296" s="25" t="str">
        <x:v>C08-M</x:v>
      </x:c>
      <x:c r="B1296" s="25" t="str">
        <x:v>巨人山顶</x:v>
      </x:c>
      <x:c r="C1296" s="25" t="str">
        <x:v>半急速中期</x:v>
      </x:c>
      <x:c r="D1296" s="25" t="str">
        <x:v>材料</x:v>
      </x:c>
      <x:c r="E1296" s="25" t="str">
        <x:v>湖底封门珠</x:v>
      </x:c>
      <x:c r="F1296" s="25" t="n">
        <x:v>8</x:v>
      </x:c>
      <x:c r="G1296" s="25" t="str">
        <x:v>从C0至当前检查点累计需求；未扣自身未来产出，不代表已有库存</x:v>
      </x:c>
    </x:row>
    <x:row r="1297">
      <x:c r="A1297" s="25" t="str">
        <x:v>C08-M</x:v>
      </x:c>
      <x:c r="B1297" s="25" t="str">
        <x:v>巨人山顶</x:v>
      </x:c>
      <x:c r="C1297" s="25" t="str">
        <x:v>半急速中期</x:v>
      </x:c>
      <x:c r="D1297" s="25" t="str">
        <x:v>材料</x:v>
      </x:c>
      <x:c r="E1297" s="25" t="str">
        <x:v>湖心月谱残章</x:v>
      </x:c>
      <x:c r="F1297" s="25" t="n">
        <x:v>1</x:v>
      </x:c>
      <x:c r="G1297" s="25" t="str">
        <x:v>从C0至当前检查点累计需求；未扣自身未来产出，不代表已有库存</x:v>
      </x:c>
    </x:row>
    <x:row r="1298">
      <x:c r="A1298" s="25" t="str">
        <x:v>C08-M</x:v>
      </x:c>
      <x:c r="B1298" s="25" t="str">
        <x:v>巨人山顶</x:v>
      </x:c>
      <x:c r="C1298" s="25" t="str">
        <x:v>半急速中期</x:v>
      </x:c>
      <x:c r="D1298" s="25" t="str">
        <x:v>材料</x:v>
      </x:c>
      <x:c r="E1298" s="25" t="str">
        <x:v>湖盐结晶</x:v>
      </x:c>
      <x:c r="F1298" s="25" t="n">
        <x:v>1647</x:v>
      </x:c>
      <x:c r="G1298" s="25" t="str">
        <x:v>从C0至当前检查点累计需求；未扣自身未来产出，不代表已有库存</x:v>
      </x:c>
    </x:row>
    <x:row r="1299">
      <x:c r="A1299" s="25" t="str">
        <x:v>C08-M</x:v>
      </x:c>
      <x:c r="B1299" s="25" t="str">
        <x:v>巨人山顶</x:v>
      </x:c>
      <x:c r="C1299" s="25" t="str">
        <x:v>半急速中期</x:v>
      </x:c>
      <x:c r="D1299" s="25" t="str">
        <x:v>材料</x:v>
      </x:c>
      <x:c r="E1299" s="25" t="str">
        <x:v>溃烂树核</x:v>
      </x:c>
      <x:c r="F1299" s="25" t="n">
        <x:v>1</x:v>
      </x:c>
      <x:c r="G1299" s="25" t="str">
        <x:v>从C0至当前检查点累计需求；未扣自身未来产出，不代表已有库存</x:v>
      </x:c>
    </x:row>
    <x:row r="1300">
      <x:c r="A1300" s="25" t="str">
        <x:v>C08-M</x:v>
      </x:c>
      <x:c r="B1300" s="25" t="str">
        <x:v>巨人山顶</x:v>
      </x:c>
      <x:c r="C1300" s="25" t="str">
        <x:v>半急速中期</x:v>
      </x:c>
      <x:c r="D1300" s="25" t="str">
        <x:v>材料</x:v>
      </x:c>
      <x:c r="E1300" s="25" t="str">
        <x:v>满月王室印</x:v>
      </x:c>
      <x:c r="F1300" s="25" t="n">
        <x:v>51</x:v>
      </x:c>
      <x:c r="G1300" s="25" t="str">
        <x:v>从C0至当前检查点累计需求；未扣自身未来产出，不代表已有库存</x:v>
      </x:c>
    </x:row>
    <x:row r="1301">
      <x:c r="A1301" s="25" t="str">
        <x:v>C08-M</x:v>
      </x:c>
      <x:c r="B1301" s="25" t="str">
        <x:v>巨人山顶</x:v>
      </x:c>
      <x:c r="C1301" s="25" t="str">
        <x:v>半急速中期</x:v>
      </x:c>
      <x:c r="D1301" s="25" t="str">
        <x:v>材料</x:v>
      </x:c>
      <x:c r="E1301" s="25" t="str">
        <x:v>漂流大陆印记</x:v>
      </x:c>
      <x:c r="F1301" s="25" t="n">
        <x:v>11</x:v>
      </x:c>
      <x:c r="G1301" s="25" t="str">
        <x:v>从C0至当前检查点累计需求；未扣自身未来产出，不代表已有库存</x:v>
      </x:c>
    </x:row>
    <x:row r="1302">
      <x:c r="A1302" s="25" t="str">
        <x:v>C08-M</x:v>
      </x:c>
      <x:c r="B1302" s="25" t="str">
        <x:v>巨人山顶</x:v>
      </x:c>
      <x:c r="C1302" s="25" t="str">
        <x:v>半急速中期</x:v>
      </x:c>
      <x:c r="D1302" s="25" t="str">
        <x:v>材料</x:v>
      </x:c>
      <x:c r="E1302" s="25" t="str">
        <x:v>漂流见证·潮</x:v>
      </x:c>
      <x:c r="F1302" s="25" t="n">
        <x:v>8</x:v>
      </x:c>
      <x:c r="G1302" s="25" t="str">
        <x:v>从C0至当前检查点累计需求；未扣自身未来产出，不代表已有库存</x:v>
      </x:c>
    </x:row>
    <x:row r="1303">
      <x:c r="A1303" s="25" t="str">
        <x:v>C08-M</x:v>
      </x:c>
      <x:c r="B1303" s="25" t="str">
        <x:v>巨人山顶</x:v>
      </x:c>
      <x:c r="C1303" s="25" t="str">
        <x:v>半急速中期</x:v>
      </x:c>
      <x:c r="D1303" s="25" t="str">
        <x:v>材料</x:v>
      </x:c>
      <x:c r="E1303" s="25" t="str">
        <x:v>漂流见证·雷</x:v>
      </x:c>
      <x:c r="F1303" s="25" t="n">
        <x:v>8</x:v>
      </x:c>
      <x:c r="G1303" s="25" t="str">
        <x:v>从C0至当前检查点累计需求；未扣自身未来产出，不代表已有库存</x:v>
      </x:c>
    </x:row>
    <x:row r="1304">
      <x:c r="A1304" s="25" t="str">
        <x:v>C08-M</x:v>
      </x:c>
      <x:c r="B1304" s="25" t="str">
        <x:v>巨人山顶</x:v>
      </x:c>
      <x:c r="C1304" s="25" t="str">
        <x:v>半急速中期</x:v>
      </x:c>
      <x:c r="D1304" s="25" t="str">
        <x:v>材料</x:v>
      </x:c>
      <x:c r="E1304" s="25" t="str">
        <x:v>潮痕结晶</x:v>
      </x:c>
      <x:c r="F1304" s="25" t="n">
        <x:v>16</x:v>
      </x:c>
      <x:c r="G1304" s="25" t="str">
        <x:v>从C0至当前检查点累计需求；未扣自身未来产出，不代表已有库存</x:v>
      </x:c>
    </x:row>
    <x:row r="1305">
      <x:c r="A1305" s="25" t="str">
        <x:v>C08-M</x:v>
      </x:c>
      <x:c r="B1305" s="25" t="str">
        <x:v>巨人山顶</x:v>
      </x:c>
      <x:c r="C1305" s="25" t="str">
        <x:v>半急速中期</x:v>
      </x:c>
      <x:c r="D1305" s="25" t="str">
        <x:v>材料</x:v>
      </x:c>
      <x:c r="E1305" s="25" t="str">
        <x:v>熊王心脏</x:v>
      </x:c>
      <x:c r="F1305" s="25" t="n">
        <x:v>2</x:v>
      </x:c>
      <x:c r="G1305" s="25" t="str">
        <x:v>从C0至当前检查点累计需求；未扣自身未来产出，不代表已有库存</x:v>
      </x:c>
    </x:row>
    <x:row r="1306">
      <x:c r="A1306" s="25" t="str">
        <x:v>C08-M</x:v>
      </x:c>
      <x:c r="B1306" s="25" t="str">
        <x:v>巨人山顶</x:v>
      </x:c>
      <x:c r="C1306" s="25" t="str">
        <x:v>半急速中期</x:v>
      </x:c>
      <x:c r="D1306" s="25" t="str">
        <x:v>材料</x:v>
      </x:c>
      <x:c r="E1306" s="25" t="str">
        <x:v>熔原罪火残章</x:v>
      </x:c>
      <x:c r="F1306" s="25" t="n">
        <x:v>1</x:v>
      </x:c>
      <x:c r="G1306" s="25" t="str">
        <x:v>从C0至当前检查点累计需求；未扣自身未来产出，不代表已有库存</x:v>
      </x:c>
    </x:row>
    <x:row r="1307">
      <x:c r="A1307" s="25" t="str">
        <x:v>C08-M</x:v>
      </x:c>
      <x:c r="B1307" s="25" t="str">
        <x:v>巨人山顶</x:v>
      </x:c>
      <x:c r="C1307" s="25" t="str">
        <x:v>半急速中期</x:v>
      </x:c>
      <x:c r="D1307" s="25" t="str">
        <x:v>材料</x:v>
      </x:c>
      <x:c r="E1307" s="25" t="str">
        <x:v>熔炉角片</x:v>
      </x:c>
      <x:c r="F1307" s="25" t="n">
        <x:v>1</x:v>
      </x:c>
      <x:c r="G1307" s="25" t="str">
        <x:v>从C0至当前检查点累计需求；未扣自身未来产出，不代表已有库存</x:v>
      </x:c>
    </x:row>
    <x:row r="1308">
      <x:c r="A1308" s="25" t="str">
        <x:v>C08-M</x:v>
      </x:c>
      <x:c r="B1308" s="25" t="str">
        <x:v>巨人山顶</x:v>
      </x:c>
      <x:c r="C1308" s="25" t="str">
        <x:v>半急速中期</x:v>
      </x:c>
      <x:c r="D1308" s="25" t="str">
        <x:v>材料</x:v>
      </x:c>
      <x:c r="E1308" s="25" t="str">
        <x:v>猩红矿渣</x:v>
      </x:c>
      <x:c r="F1308" s="25" t="n">
        <x:v>1737</x:v>
      </x:c>
      <x:c r="G1308" s="25" t="str">
        <x:v>从C0至当前检查点累计需求；未扣自身未来产出，不代表已有库存</x:v>
      </x:c>
    </x:row>
    <x:row r="1309">
      <x:c r="A1309" s="25" t="str">
        <x:v>C08-M</x:v>
      </x:c>
      <x:c r="B1309" s="25" t="str">
        <x:v>巨人山顶</x:v>
      </x:c>
      <x:c r="C1309" s="25" t="str">
        <x:v>半急速中期</x:v>
      </x:c>
      <x:c r="D1309" s="25" t="str">
        <x:v>材料</x:v>
      </x:c>
      <x:c r="E1309" s="25" t="str">
        <x:v>王城军印</x:v>
      </x:c>
      <x:c r="F1309" s="25" t="n">
        <x:v>1</x:v>
      </x:c>
      <x:c r="G1309" s="25" t="str">
        <x:v>从C0至当前检查点累计需求；未扣自身未来产出，不代表已有库存</x:v>
      </x:c>
    </x:row>
    <x:row r="1310">
      <x:c r="A1310" s="25" t="str">
        <x:v>C08-M</x:v>
      </x:c>
      <x:c r="B1310" s="25" t="str">
        <x:v>巨人山顶</x:v>
      </x:c>
      <x:c r="C1310" s="25" t="str">
        <x:v>半急速中期</x:v>
      </x:c>
      <x:c r="D1310" s="25" t="str">
        <x:v>材料</x:v>
      </x:c>
      <x:c r="E1310" s="25" t="str">
        <x:v>白金纺线</x:v>
      </x:c>
      <x:c r="F1310" s="25" t="n">
        <x:v>60</x:v>
      </x:c>
      <x:c r="G1310" s="25" t="str">
        <x:v>从C0至当前检查点累计需求；未扣自身未来产出，不代表已有库存</x:v>
      </x:c>
    </x:row>
    <x:row r="1311">
      <x:c r="A1311" s="25" t="str">
        <x:v>C08-M</x:v>
      </x:c>
      <x:c r="B1311" s="25" t="str">
        <x:v>巨人山顶</x:v>
      </x:c>
      <x:c r="C1311" s="25" t="str">
        <x:v>半急速中期</x:v>
      </x:c>
      <x:c r="D1311" s="25" t="str">
        <x:v>材料</x:v>
      </x:c>
      <x:c r="E1311" s="25" t="str">
        <x:v>白金路标片</x:v>
      </x:c>
      <x:c r="F1311" s="25" t="n">
        <x:v>145</x:v>
      </x:c>
      <x:c r="G1311" s="25" t="str">
        <x:v>从C0至当前检查点累计需求；未扣自身未来产出，不代表已有库存</x:v>
      </x:c>
    </x:row>
    <x:row r="1312">
      <x:c r="A1312" s="25" t="str">
        <x:v>C08-M</x:v>
      </x:c>
      <x:c r="B1312" s="25" t="str">
        <x:v>巨人山顶</x:v>
      </x:c>
      <x:c r="C1312" s="25" t="str">
        <x:v>半急速中期</x:v>
      </x:c>
      <x:c r="D1312" s="25" t="str">
        <x:v>材料</x:v>
      </x:c>
      <x:c r="E1312" s="25" t="str">
        <x:v>看门犬石心</x:v>
      </x:c>
      <x:c r="F1312" s="25" t="n">
        <x:v>2</x:v>
      </x:c>
      <x:c r="G1312" s="25" t="str">
        <x:v>从C0至当前检查点累计需求；未扣自身未来产出，不代表已有库存</x:v>
      </x:c>
    </x:row>
    <x:row r="1313">
      <x:c r="A1313" s="25" t="str">
        <x:v>C08-M</x:v>
      </x:c>
      <x:c r="B1313" s="25" t="str">
        <x:v>巨人山顶</x:v>
      </x:c>
      <x:c r="C1313" s="25" t="str">
        <x:v>半急速中期</x:v>
      </x:c>
      <x:c r="D1313" s="25" t="str">
        <x:v>材料</x:v>
      </x:c>
      <x:c r="E1313" s="25" t="str">
        <x:v>碎星仪仗钉</x:v>
      </x:c>
      <x:c r="F1313" s="25" t="n">
        <x:v>2</x:v>
      </x:c>
      <x:c r="G1313" s="25" t="str">
        <x:v>从C0至当前检查点累计需求；未扣自身未来产出，不代表已有库存</x:v>
      </x:c>
    </x:row>
    <x:row r="1314">
      <x:c r="A1314" s="25" t="str">
        <x:v>C08-M</x:v>
      </x:c>
      <x:c r="B1314" s="25" t="str">
        <x:v>巨人山顶</x:v>
      </x:c>
      <x:c r="C1314" s="25" t="str">
        <x:v>半急速中期</x:v>
      </x:c>
      <x:c r="D1314" s="25" t="str">
        <x:v>材料</x:v>
      </x:c>
      <x:c r="E1314" s="25" t="str">
        <x:v>神秘符文</x:v>
      </x:c>
      <x:c r="F1314" s="25" t="n">
        <x:v>500</x:v>
      </x:c>
      <x:c r="G1314" s="25" t="str">
        <x:v>从C0至当前检查点累计需求；未扣自身未来产出，不代表已有库存</x:v>
      </x:c>
    </x:row>
    <x:row r="1315">
      <x:c r="A1315" s="25" t="str">
        <x:v>C08-M</x:v>
      </x:c>
      <x:c r="B1315" s="25" t="str">
        <x:v>巨人山顶</x:v>
      </x:c>
      <x:c r="C1315" s="25" t="str">
        <x:v>半急速中期</x:v>
      </x:c>
      <x:c r="D1315" s="25" t="str">
        <x:v>材料</x:v>
      </x:c>
      <x:c r="E1315" s="25" t="str">
        <x:v>禁域星钥</x:v>
      </x:c>
      <x:c r="F1315" s="25" t="n">
        <x:v>2</x:v>
      </x:c>
      <x:c r="G1315" s="25" t="str">
        <x:v>从C0至当前检查点累计需求；未扣自身未来产出，不代表已有库存</x:v>
      </x:c>
    </x:row>
    <x:row r="1316">
      <x:c r="A1316" s="25" t="str">
        <x:v>C08-M</x:v>
      </x:c>
      <x:c r="B1316" s="25" t="str">
        <x:v>巨人山顶</x:v>
      </x:c>
      <x:c r="C1316" s="25" t="str">
        <x:v>半急速中期</x:v>
      </x:c>
      <x:c r="D1316" s="25" t="str">
        <x:v>材料</x:v>
      </x:c>
      <x:c r="E1316" s="25" t="str">
        <x:v>红狮战印</x:v>
      </x:c>
      <x:c r="F1316" s="25" t="n">
        <x:v>42</x:v>
      </x:c>
      <x:c r="G1316" s="25" t="str">
        <x:v>从C0至当前检查点累计需求；未扣自身未来产出，不代表已有库存</x:v>
      </x:c>
    </x:row>
    <x:row r="1317">
      <x:c r="A1317" s="25" t="str">
        <x:v>C08-M</x:v>
      </x:c>
      <x:c r="B1317" s="25" t="str">
        <x:v>巨人山顶</x:v>
      </x:c>
      <x:c r="C1317" s="25" t="str">
        <x:v>半急速中期</x:v>
      </x:c>
      <x:c r="D1317" s="25" t="str">
        <x:v>材料</x:v>
      </x:c>
      <x:c r="E1317" s="25" t="str">
        <x:v>腐根魂结</x:v>
      </x:c>
      <x:c r="F1317" s="25" t="n">
        <x:v>2</x:v>
      </x:c>
      <x:c r="G1317" s="25" t="str">
        <x:v>从C0至当前检查点累计需求；未扣自身未来产出，不代表已有库存</x:v>
      </x:c>
    </x:row>
    <x:row r="1318">
      <x:c r="A1318" s="25" t="str">
        <x:v>C08-M</x:v>
      </x:c>
      <x:c r="B1318" s="25" t="str">
        <x:v>巨人山顶</x:v>
      </x:c>
      <x:c r="C1318" s="25" t="str">
        <x:v>半急速中期</x:v>
      </x:c>
      <x:c r="D1318" s="25" t="str">
        <x:v>材料</x:v>
      </x:c>
      <x:c r="E1318" s="25" t="str">
        <x:v>裂峰号角片</x:v>
      </x:c>
      <x:c r="F1318" s="25" t="n">
        <x:v>34</x:v>
      </x:c>
      <x:c r="G1318" s="25" t="str">
        <x:v>从C0至当前检查点累计需求；未扣自身未来产出，不代表已有库存</x:v>
      </x:c>
    </x:row>
    <x:row r="1319">
      <x:c r="A1319" s="25" t="str">
        <x:v>C08-M</x:v>
      </x:c>
      <x:c r="B1319" s="25" t="str">
        <x:v>巨人山顶</x:v>
      </x:c>
      <x:c r="C1319" s="25" t="str">
        <x:v>半急速中期</x:v>
      </x:c>
      <x:c r="D1319" s="25" t="str">
        <x:v>材料</x:v>
      </x:c>
      <x:c r="E1319" s="25" t="str">
        <x:v>裂风崖羽</x:v>
      </x:c>
      <x:c r="F1319" s="25" t="n">
        <x:v>80</x:v>
      </x:c>
      <x:c r="G1319" s="25" t="str">
        <x:v>从C0至当前检查点累计需求；未扣自身未来产出，不代表已有库存</x:v>
      </x:c>
    </x:row>
    <x:row r="1320">
      <x:c r="A1320" s="25" t="str">
        <x:v>C08-M</x:v>
      </x:c>
      <x:c r="B1320" s="25" t="str">
        <x:v>巨人山顶</x:v>
      </x:c>
      <x:c r="C1320" s="25" t="str">
        <x:v>半急速中期</x:v>
      </x:c>
      <x:c r="D1320" s="25" t="str">
        <x:v>材料</x:v>
      </x:c>
      <x:c r="E1320" s="25" t="str">
        <x:v>西境战旗</x:v>
      </x:c>
      <x:c r="F1320" s="25" t="n">
        <x:v>20</x:v>
      </x:c>
      <x:c r="G1320" s="25" t="str">
        <x:v>从C0至当前检查点累计需求；未扣自身未来产出，不代表已有库存</x:v>
      </x:c>
    </x:row>
    <x:row r="1321">
      <x:c r="A1321" s="25" t="str">
        <x:v>C08-M</x:v>
      </x:c>
      <x:c r="B1321" s="25" t="str">
        <x:v>巨人山顶</x:v>
      </x:c>
      <x:c r="C1321" s="25" t="str">
        <x:v>半急速中期</x:v>
      </x:c>
      <x:c r="D1321" s="25" t="str">
        <x:v>材料</x:v>
      </x:c>
      <x:c r="E1321" s="25" t="str">
        <x:v>西境战旗印</x:v>
      </x:c>
      <x:c r="F1321" s="25" t="n">
        <x:v>13</x:v>
      </x:c>
      <x:c r="G1321" s="25" t="str">
        <x:v>从C0至当前检查点累计需求；未扣自身未来产出，不代表已有库存</x:v>
      </x:c>
    </x:row>
    <x:row r="1322">
      <x:c r="A1322" s="25" t="str">
        <x:v>C08-M</x:v>
      </x:c>
      <x:c r="B1322" s="25" t="str">
        <x:v>巨人山顶</x:v>
      </x:c>
      <x:c r="C1322" s="25" t="str">
        <x:v>半急速中期</x:v>
      </x:c>
      <x:c r="D1322" s="25" t="str">
        <x:v>材料</x:v>
      </x:c>
      <x:c r="E1322" s="25" t="str">
        <x:v>西境风痕碑拓</x:v>
      </x:c>
      <x:c r="F1322" s="25" t="n">
        <x:v>1</x:v>
      </x:c>
      <x:c r="G1322" s="25" t="str">
        <x:v>从C0至当前检查点累计需求；未扣自身未来产出，不代表已有库存</x:v>
      </x:c>
    </x:row>
    <x:row r="1323">
      <x:c r="A1323" s="25" t="str">
        <x:v>C08-M</x:v>
      </x:c>
      <x:c r="B1323" s="25" t="str">
        <x:v>巨人山顶</x:v>
      </x:c>
      <x:c r="C1323" s="25" t="str">
        <x:v>半急速中期</x:v>
      </x:c>
      <x:c r="D1323" s="25" t="str">
        <x:v>材料</x:v>
      </x:c>
      <x:c r="E1323" s="25" t="str">
        <x:v>贵胄断指</x:v>
      </x:c>
      <x:c r="F1323" s="25" t="n">
        <x:v>1</x:v>
      </x:c>
      <x:c r="G1323" s="25" t="str">
        <x:v>从C0至当前检查点累计需求；未扣自身未来产出，不代表已有库存</x:v>
      </x:c>
    </x:row>
    <x:row r="1324">
      <x:c r="A1324" s="25" t="str">
        <x:v>C08-M</x:v>
      </x:c>
      <x:c r="B1324" s="25" t="str">
        <x:v>巨人山顶</x:v>
      </x:c>
      <x:c r="C1324" s="25" t="str">
        <x:v>半急速中期</x:v>
      </x:c>
      <x:c r="D1324" s="25" t="str">
        <x:v>材料</x:v>
      </x:c>
      <x:c r="E1324" s="25" t="str">
        <x:v>辉石碎晶</x:v>
      </x:c>
      <x:c r="F1324" s="25" t="n">
        <x:v>1750</x:v>
      </x:c>
      <x:c r="G1324" s="25" t="str">
        <x:v>从C0至当前检查点累计需求；未扣自身未来产出，不代表已有库存</x:v>
      </x:c>
    </x:row>
    <x:row r="1325">
      <x:c r="A1325" s="25" t="str">
        <x:v>C08-M</x:v>
      </x:c>
      <x:c r="B1325" s="25" t="str">
        <x:v>巨人山顶</x:v>
      </x:c>
      <x:c r="C1325" s="25" t="str">
        <x:v>半急速中期</x:v>
      </x:c>
      <x:c r="D1325" s="25" t="str">
        <x:v>材料</x:v>
      </x:c>
      <x:c r="E1325" s="25" t="str">
        <x:v>野兽骨片</x:v>
      </x:c>
      <x:c r="F1325" s="25" t="n">
        <x:v>45743</x:v>
      </x:c>
      <x:c r="G1325" s="25" t="str">
        <x:v>从C0至当前检查点累计需求；未扣自身未来产出，不代表已有库存</x:v>
      </x:c>
    </x:row>
    <x:row r="1326">
      <x:c r="A1326" s="25" t="str">
        <x:v>C08-M</x:v>
      </x:c>
      <x:c r="B1326" s="25" t="str">
        <x:v>巨人山顶</x:v>
      </x:c>
      <x:c r="C1326" s="25" t="str">
        <x:v>半急速中期</x:v>
      </x:c>
      <x:c r="D1326" s="25" t="str">
        <x:v>材料</x:v>
      </x:c>
      <x:c r="E1326" s="25" t="str">
        <x:v>雾潮银鳞</x:v>
      </x:c>
      <x:c r="F1326" s="25" t="n">
        <x:v>272</x:v>
      </x:c>
      <x:c r="G1326" s="25" t="str">
        <x:v>从C0至当前检查点累计需求；未扣自身未来产出，不代表已有库存</x:v>
      </x:c>
    </x:row>
    <x:row r="1327">
      <x:c r="A1327" s="25" t="str">
        <x:v>C08-M</x:v>
      </x:c>
      <x:c r="B1327" s="25" t="str">
        <x:v>巨人山顶</x:v>
      </x:c>
      <x:c r="C1327" s="25" t="str">
        <x:v>半急速中期</x:v>
      </x:c>
      <x:c r="D1327" s="25" t="str">
        <x:v>材料</x:v>
      </x:c>
      <x:c r="E1327" s="25" t="str">
        <x:v>霜脊铁</x:v>
      </x:c>
      <x:c r="F1327" s="25" t="n">
        <x:v>1050</x:v>
      </x:c>
      <x:c r="G1327" s="25" t="str">
        <x:v>从C0至当前检查点累计需求；未扣自身未来产出，不代表已有库存</x:v>
      </x:c>
    </x:row>
    <x:row r="1328">
      <x:c r="A1328" s="25" t="str">
        <x:v>C08-M</x:v>
      </x:c>
      <x:c r="B1328" s="25" t="str">
        <x:v>巨人山顶</x:v>
      </x:c>
      <x:c r="C1328" s="25" t="str">
        <x:v>半急速中期</x:v>
      </x:c>
      <x:c r="D1328" s="25" t="str">
        <x:v>材料</x:v>
      </x:c>
      <x:c r="E1328" s="25" t="str">
        <x:v>风暴王核</x:v>
      </x:c>
      <x:c r="F1328" s="25" t="n">
        <x:v>1</x:v>
      </x:c>
      <x:c r="G1328" s="25" t="str">
        <x:v>从C0至当前检查点累计需求；未扣自身未来产出，不代表已有库存</x:v>
      </x:c>
    </x:row>
    <x:row r="1329">
      <x:c r="A1329" s="25" t="str">
        <x:v>C08-M</x:v>
      </x:c>
      <x:c r="B1329" s="25" t="str">
        <x:v>巨人山顶</x:v>
      </x:c>
      <x:c r="C1329" s="25" t="str">
        <x:v>半急速中期</x:v>
      </x:c>
      <x:c r="D1329" s="25" t="str">
        <x:v>材料</x:v>
      </x:c>
      <x:c r="E1329" s="25" t="str">
        <x:v>风暴石片</x:v>
      </x:c>
      <x:c r="F1329" s="25" t="n">
        <x:v>370</x:v>
      </x:c>
      <x:c r="G1329" s="25" t="str">
        <x:v>从C0至当前检查点累计需求；未扣自身未来产出，不代表已有库存</x:v>
      </x:c>
    </x:row>
    <x:row r="1330">
      <x:c r="A1330" s="25" t="str">
        <x:v>C08-M</x:v>
      </x:c>
      <x:c r="B1330" s="25" t="str">
        <x:v>巨人山顶</x:v>
      </x:c>
      <x:c r="C1330" s="25" t="str">
        <x:v>半急速中期</x:v>
      </x:c>
      <x:c r="D1330" s="25" t="str">
        <x:v>材料</x:v>
      </x:c>
      <x:c r="E1330" s="25" t="str">
        <x:v>风蚀铁片</x:v>
      </x:c>
      <x:c r="F1330" s="25" t="n">
        <x:v>710</x:v>
      </x:c>
      <x:c r="G1330" s="25" t="str">
        <x:v>从C0至当前检查点累计需求；未扣自身未来产出，不代表已有库存</x:v>
      </x:c>
    </x:row>
    <x:row r="1331">
      <x:c r="A1331" s="25" t="str">
        <x:v>C08-M</x:v>
      </x:c>
      <x:c r="B1331" s="25" t="str">
        <x:v>巨人山顶</x:v>
      </x:c>
      <x:c r="C1331" s="25" t="str">
        <x:v>半急速中期</x:v>
      </x:c>
      <x:c r="D1331" s="25" t="str">
        <x:v>材料</x:v>
      </x:c>
      <x:c r="E1331" s="25" t="str">
        <x:v>黄金树碎核</x:v>
      </x:c>
      <x:c r="F1331" s="25" t="n">
        <x:v>2</x:v>
      </x:c>
      <x:c r="G1331" s="25" t="str">
        <x:v>从C0至当前检查点累计需求；未扣自身未来产出，不代表已有库存</x:v>
      </x:c>
    </x:row>
    <x:row r="1332">
      <x:c r="A1332" s="25" t="str">
        <x:v>C08-M</x:v>
      </x:c>
      <x:c r="B1332" s="25" t="str">
        <x:v>巨人山顶</x:v>
      </x:c>
      <x:c r="C1332" s="25" t="str">
        <x:v>半急速中期</x:v>
      </x:c>
      <x:c r="D1332" s="25" t="str">
        <x:v>材料</x:v>
      </x:c>
      <x:c r="E1332" s="25" t="str">
        <x:v>黄金树芽</x:v>
      </x:c>
      <x:c r="F1332" s="25" t="n">
        <x:v>297</x:v>
      </x:c>
      <x:c r="G1332" s="25" t="str">
        <x:v>从C0至当前检查点累计需求；未扣自身未来产出，不代表已有库存</x:v>
      </x:c>
    </x:row>
    <x:row r="1333">
      <x:c r="A1333" s="25" t="str">
        <x:v>C08-M</x:v>
      </x:c>
      <x:c r="B1333" s="25" t="str">
        <x:v>巨人山顶</x:v>
      </x:c>
      <x:c r="C1333" s="25" t="str">
        <x:v>半急速中期</x:v>
      </x:c>
      <x:c r="D1333" s="25" t="str">
        <x:v>材料</x:v>
      </x:c>
      <x:c r="E1333" s="25" t="str">
        <x:v>黄金骑徽</x:v>
      </x:c>
      <x:c r="F1333" s="25" t="n">
        <x:v>2</x:v>
      </x:c>
      <x:c r="G1333" s="25" t="str">
        <x:v>从C0至当前检查点累计需求；未扣自身未来产出，不代表已有库存</x:v>
      </x:c>
    </x:row>
    <x:row r="1334">
      <x:c r="A1334" s="25" t="str">
        <x:v>C08-M</x:v>
      </x:c>
      <x:c r="B1334" s="25" t="str">
        <x:v>巨人山顶</x:v>
      </x:c>
      <x:c r="C1334" s="25" t="str">
        <x:v>半急速中期</x:v>
      </x:c>
      <x:c r="D1334" s="25" t="str">
        <x:v>材料</x:v>
      </x:c>
      <x:c r="E1334" s="25" t="str">
        <x:v>龙火鳞</x:v>
      </x:c>
      <x:c r="F1334" s="25" t="n">
        <x:v>38</x:v>
      </x:c>
      <x:c r="G1334" s="25" t="str">
        <x:v>从C0至当前检查点累计需求；未扣自身未来产出，不代表已有库存</x:v>
      </x:c>
    </x:row>
    <x:row r="1335">
      <x:c r="A1335" s="25" t="str">
        <x:v>C08-M</x:v>
      </x:c>
      <x:c r="B1335" s="25" t="str">
        <x:v>巨人山顶</x:v>
      </x:c>
      <x:c r="C1335" s="25" t="str">
        <x:v>半急速中期</x:v>
      </x:c>
      <x:c r="D1335" s="25" t="str">
        <x:v>装备实物</x:v>
      </x:c>
      <x:c r="E1335" s="25" t="str">
        <x:v>共387个精确名称（明细见JSON）</x:v>
      </x:c>
      <x:c r="F1335" s="25" t="n">
        <x:v>505</x:v>
      </x:c>
      <x:c r="G1335" s="25" t="str">
        <x:v>含穿戴、重复试洗、图鉴登记与合成前置；完整数据未省略</x:v>
      </x:c>
    </x:row>
    <x:row r="1336">
      <x:c r="A1336" s="25" t="str">
        <x:v>C08-G</x:v>
      </x:c>
      <x:c r="B1336" s="25" t="str">
        <x:v>巨人山顶</x:v>
      </x:c>
      <x:c r="C1336" s="25" t="str">
        <x:v>半急速毕业</x:v>
      </x:c>
      <x:c r="D1336" s="25" t="str">
        <x:v>材料</x:v>
      </x:c>
      <x:c r="E1336" s="25" t="str">
        <x:v>兽将脊骨</x:v>
      </x:c>
      <x:c r="F1336" s="25" t="n">
        <x:v>1</x:v>
      </x:c>
      <x:c r="G1336" s="25" t="str">
        <x:v>从C0至当前检查点累计需求；未扣自身未来产出，不代表已有库存</x:v>
      </x:c>
    </x:row>
    <x:row r="1337">
      <x:c r="A1337" s="25" t="str">
        <x:v>C08-G</x:v>
      </x:c>
      <x:c r="B1337" s="25" t="str">
        <x:v>巨人山顶</x:v>
      </x:c>
      <x:c r="C1337" s="25" t="str">
        <x:v>半急速毕业</x:v>
      </x:c>
      <x:c r="D1337" s="25" t="str">
        <x:v>材料</x:v>
      </x:c>
      <x:c r="E1337" s="25" t="str">
        <x:v>冰宫守门铃</x:v>
      </x:c>
      <x:c r="F1337" s="25" t="n">
        <x:v>12</x:v>
      </x:c>
      <x:c r="G1337" s="25" t="str">
        <x:v>从C0至当前检查点累计需求；未扣自身未来产出，不代表已有库存</x:v>
      </x:c>
    </x:row>
    <x:row r="1338">
      <x:c r="A1338" s="25" t="str">
        <x:v>C08-G</x:v>
      </x:c>
      <x:c r="B1338" s="25" t="str">
        <x:v>巨人山顶</x:v>
      </x:c>
      <x:c r="C1338" s="25" t="str">
        <x:v>半急速毕业</x:v>
      </x:c>
      <x:c r="D1338" s="25" t="str">
        <x:v>材料</x:v>
      </x:c>
      <x:c r="E1338" s="25" t="str">
        <x:v>冻原银角</x:v>
      </x:c>
      <x:c r="F1338" s="25" t="n">
        <x:v>30</x:v>
      </x:c>
      <x:c r="G1338" s="25" t="str">
        <x:v>从C0至当前检查点累计需求；未扣自身未来产出，不代表已有库存</x:v>
      </x:c>
    </x:row>
    <x:row r="1339">
      <x:c r="A1339" s="25" t="str">
        <x:v>C08-G</x:v>
      </x:c>
      <x:c r="B1339" s="25" t="str">
        <x:v>巨人山顶</x:v>
      </x:c>
      <x:c r="C1339" s="25" t="str">
        <x:v>半急速毕业</x:v>
      </x:c>
      <x:c r="D1339" s="25" t="str">
        <x:v>材料</x:v>
      </x:c>
      <x:c r="E1339" s="25" t="str">
        <x:v>冻晶尘</x:v>
      </x:c>
      <x:c r="F1339" s="25" t="n">
        <x:v>1720</x:v>
      </x:c>
      <x:c r="G1339" s="25" t="str">
        <x:v>从C0至当前检查点累计需求；未扣自身未来产出，不代表已有库存</x:v>
      </x:c>
    </x:row>
    <x:row r="1340">
      <x:c r="A1340" s="25" t="str">
        <x:v>C08-G</x:v>
      </x:c>
      <x:c r="B1340" s="25" t="str">
        <x:v>巨人山顶</x:v>
      </x:c>
      <x:c r="C1340" s="25" t="str">
        <x:v>半急速毕业</x:v>
      </x:c>
      <x:c r="D1340" s="25" t="str">
        <x:v>材料</x:v>
      </x:c>
      <x:c r="E1340" s="25" t="str">
        <x:v>净火腺囊</x:v>
      </x:c>
      <x:c r="F1340" s="25" t="n">
        <x:v>44</x:v>
      </x:c>
      <x:c r="G1340" s="25" t="str">
        <x:v>从C0至当前检查点累计需求；未扣自身未来产出，不代表已有库存</x:v>
      </x:c>
    </x:row>
    <x:row r="1341">
      <x:c r="A1341" s="25" t="str">
        <x:v>C08-G</x:v>
      </x:c>
      <x:c r="B1341" s="25" t="str">
        <x:v>巨人山顶</x:v>
      </x:c>
      <x:c r="C1341" s="25" t="str">
        <x:v>半急速毕业</x:v>
      </x:c>
      <x:c r="D1341" s="25" t="str">
        <x:v>材料</x:v>
      </x:c>
      <x:c r="E1341" s="25" t="str">
        <x:v>卡利亚月露</x:v>
      </x:c>
      <x:c r="F1341" s="25" t="n">
        <x:v>36</x:v>
      </x:c>
      <x:c r="G1341" s="25" t="str">
        <x:v>从C0至当前检查点累计需求；未扣自身未来产出，不代表已有库存</x:v>
      </x:c>
    </x:row>
    <x:row r="1342">
      <x:c r="A1342" s="25" t="str">
        <x:v>C08-G</x:v>
      </x:c>
      <x:c r="B1342" s="25" t="str">
        <x:v>巨人山顶</x:v>
      </x:c>
      <x:c r="C1342" s="25" t="str">
        <x:v>半急速毕业</x:v>
      </x:c>
      <x:c r="D1342" s="25" t="str">
        <x:v>材料</x:v>
      </x:c>
      <x:c r="E1342" s="25" t="str">
        <x:v>哨垒旗冠</x:v>
      </x:c>
      <x:c r="F1342" s="25" t="n">
        <x:v>3</x:v>
      </x:c>
      <x:c r="G1342" s="25" t="str">
        <x:v>从C0至当前检查点累计需求；未扣自身未来产出，不代表已有库存</x:v>
      </x:c>
    </x:row>
    <x:row r="1343">
      <x:c r="A1343" s="25" t="str">
        <x:v>C08-G</x:v>
      </x:c>
      <x:c r="B1343" s="25" t="str">
        <x:v>巨人山顶</x:v>
      </x:c>
      <x:c r="C1343" s="25" t="str">
        <x:v>半急速毕业</x:v>
      </x:c>
      <x:c r="D1343" s="25" t="str">
        <x:v>材料</x:v>
      </x:c>
      <x:c r="E1343" s="25" t="str">
        <x:v>唤船骨铃</x:v>
      </x:c>
      <x:c r="F1343" s="25" t="n">
        <x:v>1</x:v>
      </x:c>
      <x:c r="G1343" s="25" t="str">
        <x:v>从C0至当前检查点累计需求；未扣自身未来产出，不代表已有库存</x:v>
      </x:c>
    </x:row>
    <x:row r="1344">
      <x:c r="A1344" s="25" t="str">
        <x:v>C08-G</x:v>
      </x:c>
      <x:c r="B1344" s="25" t="str">
        <x:v>巨人山顶</x:v>
      </x:c>
      <x:c r="C1344" s="25" t="str">
        <x:v>半急速毕业</x:v>
      </x:c>
      <x:c r="D1344" s="25" t="str">
        <x:v>材料</x:v>
      </x:c>
      <x:c r="E1344" s="25" t="str">
        <x:v>商队火漆</x:v>
      </x:c>
      <x:c r="F1344" s="25" t="n">
        <x:v>20</x:v>
      </x:c>
      <x:c r="G1344" s="25" t="str">
        <x:v>从C0至当前检查点累计需求；未扣自身未来产出，不代表已有库存</x:v>
      </x:c>
    </x:row>
    <x:row r="1345">
      <x:c r="A1345" s="25" t="str">
        <x:v>C08-G</x:v>
      </x:c>
      <x:c r="B1345" s="25" t="str">
        <x:v>巨人山顶</x:v>
      </x:c>
      <x:c r="C1345" s="25" t="str">
        <x:v>半急速毕业</x:v>
      </x:c>
      <x:c r="D1345" s="25" t="str">
        <x:v>材料</x:v>
      </x:c>
      <x:c r="E1345" s="25" t="str">
        <x:v>圣雪誓印</x:v>
      </x:c>
      <x:c r="F1345" s="25" t="n">
        <x:v>53</x:v>
      </x:c>
      <x:c r="G1345" s="25" t="str">
        <x:v>从C0至当前检查点累计需求；未扣自身未来产出，不代表已有库存</x:v>
      </x:c>
    </x:row>
    <x:row r="1346">
      <x:c r="A1346" s="25" t="str">
        <x:v>C08-G</x:v>
      </x:c>
      <x:c r="B1346" s="25" t="str">
        <x:v>巨人山顶</x:v>
      </x:c>
      <x:c r="C1346" s="25" t="str">
        <x:v>半急速毕业</x:v>
      </x:c>
      <x:c r="D1346" s="25" t="str">
        <x:v>材料</x:v>
      </x:c>
      <x:c r="E1346" s="25" t="str">
        <x:v>圣雪门楔</x:v>
      </x:c>
      <x:c r="F1346" s="25" t="n">
        <x:v>4</x:v>
      </x:c>
      <x:c r="G1346" s="25" t="str">
        <x:v>从C0至当前检查点累计需求；未扣自身未来产出，不代表已有库存</x:v>
      </x:c>
    </x:row>
    <x:row r="1347">
      <x:c r="A1347" s="25" t="str">
        <x:v>C08-G</x:v>
      </x:c>
      <x:c r="B1347" s="25" t="str">
        <x:v>巨人山顶</x:v>
      </x:c>
      <x:c r="C1347" s="25" t="str">
        <x:v>半急速毕业</x:v>
      </x:c>
      <x:c r="D1347" s="25" t="str">
        <x:v>材料</x:v>
      </x:c>
      <x:c r="E1347" s="25" t="str">
        <x:v>夜骑黑印</x:v>
      </x:c>
      <x:c r="F1347" s="25" t="n">
        <x:v>1</x:v>
      </x:c>
      <x:c r="G1347" s="25" t="str">
        <x:v>从C0至当前检查点累计需求；未扣自身未来产出，不代表已有库存</x:v>
      </x:c>
    </x:row>
    <x:row r="1348">
      <x:c r="A1348" s="25" t="str">
        <x:v>C08-G</x:v>
      </x:c>
      <x:c r="B1348" s="25" t="str">
        <x:v>巨人山顶</x:v>
      </x:c>
      <x:c r="C1348" s="25" t="str">
        <x:v>半急速毕业</x:v>
      </x:c>
      <x:c r="D1348" s="25" t="str">
        <x:v>材料</x:v>
      </x:c>
      <x:c r="E1348" s="25" t="str">
        <x:v>大卢恩</x:v>
      </x:c>
      <x:c r="F1348" s="25" t="n">
        <x:v>350</x:v>
      </x:c>
      <x:c r="G1348" s="25" t="str">
        <x:v>从C0至当前检查点累计需求；未扣自身未来产出，不代表已有库存</x:v>
      </x:c>
    </x:row>
    <x:row r="1349">
      <x:c r="A1349" s="25" t="str">
        <x:v>C08-G</x:v>
      </x:c>
      <x:c r="B1349" s="25" t="str">
        <x:v>巨人山顶</x:v>
      </x:c>
      <x:c r="C1349" s="25" t="str">
        <x:v>半急速毕业</x:v>
      </x:c>
      <x:c r="D1349" s="25" t="str">
        <x:v>材料</x:v>
      </x:c>
      <x:c r="E1349" s="25" t="str">
        <x:v>失乡军令</x:v>
      </x:c>
      <x:c r="F1349" s="25" t="n">
        <x:v>2</x:v>
      </x:c>
      <x:c r="G1349" s="25" t="str">
        <x:v>从C0至当前检查点累计需求；未扣自身未来产出，不代表已有库存</x:v>
      </x:c>
    </x:row>
    <x:row r="1350">
      <x:c r="A1350" s="25" t="str">
        <x:v>C08-G</x:v>
      </x:c>
      <x:c r="B1350" s="25" t="str">
        <x:v>巨人山顶</x:v>
      </x:c>
      <x:c r="C1350" s="25" t="str">
        <x:v>半急速毕业</x:v>
      </x:c>
      <x:c r="D1350" s="25" t="str">
        <x:v>材料</x:v>
      </x:c>
      <x:c r="E1350" s="25" t="str">
        <x:v>失乡统帅徽</x:v>
      </x:c>
      <x:c r="F1350" s="25" t="n">
        <x:v>2</x:v>
      </x:c>
      <x:c r="G1350" s="25" t="str">
        <x:v>从C0至当前检查点累计需求；未扣自身未来产出，不代表已有库存</x:v>
      </x:c>
    </x:row>
    <x:row r="1351">
      <x:c r="A1351" s="25" t="str">
        <x:v>C08-G</x:v>
      </x:c>
      <x:c r="B1351" s="25" t="str">
        <x:v>巨人山顶</x:v>
      </x:c>
      <x:c r="C1351" s="25" t="str">
        <x:v>半急速毕业</x:v>
      </x:c>
      <x:c r="D1351" s="25" t="str">
        <x:v>材料</x:v>
      </x:c>
      <x:c r="E1351" s="25" t="str">
        <x:v>失色锻造石</x:v>
      </x:c>
      <x:c r="F1351" s="25" t="n">
        <x:v>37200</x:v>
      </x:c>
      <x:c r="G1351" s="25" t="str">
        <x:v>从C0至当前检查点累计需求；未扣自身未来产出，不代表已有库存</x:v>
      </x:c>
    </x:row>
    <x:row r="1352">
      <x:c r="A1352" s="25" t="str">
        <x:v>C08-G</x:v>
      </x:c>
      <x:c r="B1352" s="25" t="str">
        <x:v>巨人山顶</x:v>
      </x:c>
      <x:c r="C1352" s="25" t="str">
        <x:v>半急速毕业</x:v>
      </x:c>
      <x:c r="D1352" s="25" t="str">
        <x:v>材料</x:v>
      </x:c>
      <x:c r="E1352" s="25" t="str">
        <x:v>学院封蜡</x:v>
      </x:c>
      <x:c r="F1352" s="25" t="n">
        <x:v>24</x:v>
      </x:c>
      <x:c r="G1352" s="25" t="str">
        <x:v>从C0至当前检查点累计需求；未扣自身未来产出，不代表已有库存</x:v>
      </x:c>
    </x:row>
    <x:row r="1353">
      <x:c r="A1353" s="25" t="str">
        <x:v>C08-G</x:v>
      </x:c>
      <x:c r="B1353" s="25" t="str">
        <x:v>巨人山顶</x:v>
      </x:c>
      <x:c r="C1353" s="25" t="str">
        <x:v>半急速毕业</x:v>
      </x:c>
      <x:c r="D1353" s="25" t="str">
        <x:v>材料</x:v>
      </x:c>
      <x:c r="E1353" s="25" t="str">
        <x:v>宁姆格福誓页</x:v>
      </x:c>
      <x:c r="F1353" s="25" t="n">
        <x:v>90</x:v>
      </x:c>
      <x:c r="G1353" s="25" t="str">
        <x:v>从C0至当前检查点累计需求；未扣自身未来产出，不代表已有库存</x:v>
      </x:c>
    </x:row>
    <x:row r="1354">
      <x:c r="A1354" s="25" t="str">
        <x:v>C08-G</x:v>
      </x:c>
      <x:c r="B1354" s="25" t="str">
        <x:v>巨人山顶</x:v>
      </x:c>
      <x:c r="C1354" s="25" t="str">
        <x:v>半急速毕业</x:v>
      </x:c>
      <x:c r="D1354" s="25" t="str">
        <x:v>材料</x:v>
      </x:c>
      <x:c r="E1354" s="25" t="str">
        <x:v>小卢恩</x:v>
      </x:c>
      <x:c r="F1354" s="25" t="n">
        <x:v>250</x:v>
      </x:c>
      <x:c r="G1354" s="25" t="str">
        <x:v>从C0至当前检查点累计需求；未扣自身未来产出，不代表已有库存</x:v>
      </x:c>
    </x:row>
    <x:row r="1355">
      <x:c r="A1355" s="25" t="str">
        <x:v>C08-G</x:v>
      </x:c>
      <x:c r="B1355" s="25" t="str">
        <x:v>巨人山顶</x:v>
      </x:c>
      <x:c r="C1355" s="25" t="str">
        <x:v>半急速毕业</x:v>
      </x:c>
      <x:c r="D1355" s="25" t="str">
        <x:v>材料</x:v>
      </x:c>
      <x:c r="E1355" s="25" t="str">
        <x:v>山妖王角</x:v>
      </x:c>
      <x:c r="F1355" s="25" t="n">
        <x:v>2</x:v>
      </x:c>
      <x:c r="G1355" s="25" t="str">
        <x:v>从C0至当前检查点累计需求；未扣自身未来产出，不代表已有库存</x:v>
      </x:c>
    </x:row>
    <x:row r="1356">
      <x:c r="A1356" s="25" t="str">
        <x:v>C08-G</x:v>
      </x:c>
      <x:c r="B1356" s="25" t="str">
        <x:v>巨人山顶</x:v>
      </x:c>
      <x:c r="C1356" s="25" t="str">
        <x:v>半急速毕业</x:v>
      </x:c>
      <x:c r="D1356" s="25" t="str">
        <x:v>材料</x:v>
      </x:c>
      <x:c r="E1356" s="25" t="str">
        <x:v>巨人火印</x:v>
      </x:c>
      <x:c r="F1356" s="25" t="n">
        <x:v>41</x:v>
      </x:c>
      <x:c r="G1356" s="25" t="str">
        <x:v>从C0至当前检查点累计需求；未扣自身未来产出，不代表已有库存</x:v>
      </x:c>
    </x:row>
    <x:row r="1357">
      <x:c r="A1357" s="25" t="str">
        <x:v>C08-G</x:v>
      </x:c>
      <x:c r="B1357" s="25" t="str">
        <x:v>巨人山顶</x:v>
      </x:c>
      <x:c r="C1357" s="25" t="str">
        <x:v>半急速毕业</x:v>
      </x:c>
      <x:c r="D1357" s="25" t="str">
        <x:v>材料</x:v>
      </x:c>
      <x:c r="E1357" s="25" t="str">
        <x:v>巨人火种</x:v>
      </x:c>
      <x:c r="F1357" s="25" t="n">
        <x:v>65</x:v>
      </x:c>
      <x:c r="G1357" s="25" t="str">
        <x:v>从C0至当前检查点累计需求；未扣自身未来产出，不代表已有库存</x:v>
      </x:c>
    </x:row>
    <x:row r="1358">
      <x:c r="A1358" s="25" t="str">
        <x:v>C08-G</x:v>
      </x:c>
      <x:c r="B1358" s="25" t="str">
        <x:v>巨人山顶</x:v>
      </x:c>
      <x:c r="C1358" s="25" t="str">
        <x:v>半急速毕业</x:v>
      </x:c>
      <x:c r="D1358" s="25" t="str">
        <x:v>材料</x:v>
      </x:c>
      <x:c r="E1358" s="25" t="str">
        <x:v>巨人熔火卢恩</x:v>
      </x:c>
      <x:c r="F1358" s="25" t="n">
        <x:v>450</x:v>
      </x:c>
      <x:c r="G1358" s="25" t="str">
        <x:v>从C0至当前检查点累计需求；未扣自身未来产出，不代表已有库存</x:v>
      </x:c>
    </x:row>
    <x:row r="1359">
      <x:c r="A1359" s="25" t="str">
        <x:v>C08-G</x:v>
      </x:c>
      <x:c r="B1359" s="25" t="str">
        <x:v>巨人山顶</x:v>
      </x:c>
      <x:c r="C1359" s="25" t="str">
        <x:v>半急速毕业</x:v>
      </x:c>
      <x:c r="D1359" s="25" t="str">
        <x:v>材料</x:v>
      </x:c>
      <x:c r="E1359" s="25" t="str">
        <x:v>幽船铆钉</x:v>
      </x:c>
      <x:c r="F1359" s="25" t="n">
        <x:v>21</x:v>
      </x:c>
      <x:c r="G1359" s="25" t="str">
        <x:v>从C0至当前检查点累计需求；未扣自身未来产出，不代表已有库存</x:v>
      </x:c>
    </x:row>
    <x:row r="1360">
      <x:c r="A1360" s="25" t="str">
        <x:v>C08-G</x:v>
      </x:c>
      <x:c r="B1360" s="25" t="str">
        <x:v>巨人山顶</x:v>
      </x:c>
      <x:c r="C1360" s="25" t="str">
        <x:v>半急速毕业</x:v>
      </x:c>
      <x:c r="D1360" s="25" t="str">
        <x:v>材料</x:v>
      </x:c>
      <x:c r="E1360" s="25" t="str">
        <x:v>恶兆残角</x:v>
      </x:c>
      <x:c r="F1360" s="25" t="n">
        <x:v>1</x:v>
      </x:c>
      <x:c r="G1360" s="25" t="str">
        <x:v>从C0至当前检查点累计需求；未扣自身未来产出，不代表已有库存</x:v>
      </x:c>
    </x:row>
    <x:row r="1361">
      <x:c r="A1361" s="25" t="str">
        <x:v>C08-G</x:v>
      </x:c>
      <x:c r="B1361" s="25" t="str">
        <x:v>巨人山顶</x:v>
      </x:c>
      <x:c r="C1361" s="25" t="str">
        <x:v>半急速毕业</x:v>
      </x:c>
      <x:c r="D1361" s="25" t="str">
        <x:v>材料</x:v>
      </x:c>
      <x:c r="E1361" s="25" t="str">
        <x:v>技能残页</x:v>
      </x:c>
      <x:c r="F1361" s="25" t="n">
        <x:v>1350</x:v>
      </x:c>
      <x:c r="G1361" s="25" t="str">
        <x:v>从C0至当前检查点累计需求；未扣自身未来产出，不代表已有库存</x:v>
      </x:c>
    </x:row>
    <x:row r="1362">
      <x:c r="A1362" s="25" t="str">
        <x:v>C08-G</x:v>
      </x:c>
      <x:c r="B1362" s="25" t="str">
        <x:v>巨人山顶</x:v>
      </x:c>
      <x:c r="C1362" s="25" t="str">
        <x:v>半急速毕业</x:v>
      </x:c>
      <x:c r="D1362" s="25" t="str">
        <x:v>材料</x:v>
      </x:c>
      <x:c r="E1362" s="25" t="str">
        <x:v>接肢兽心</x:v>
      </x:c>
      <x:c r="F1362" s="25" t="n">
        <x:v>2</x:v>
      </x:c>
      <x:c r="G1362" s="25" t="str">
        <x:v>从C0至当前检查点累计需求；未扣自身未来产出，不代表已有库存</x:v>
      </x:c>
    </x:row>
    <x:row r="1363">
      <x:c r="A1363" s="25" t="str">
        <x:v>C08-G</x:v>
      </x:c>
      <x:c r="B1363" s="25" t="str">
        <x:v>巨人山顶</x:v>
      </x:c>
      <x:c r="C1363" s="25" t="str">
        <x:v>半急速毕业</x:v>
      </x:c>
      <x:c r="D1363" s="25" t="str">
        <x:v>材料</x:v>
      </x:c>
      <x:c r="E1363" s="25" t="str">
        <x:v>接肢王印</x:v>
      </x:c>
      <x:c r="F1363" s="25" t="n">
        <x:v>13</x:v>
      </x:c>
      <x:c r="G1363" s="25" t="str">
        <x:v>从C0至当前检查点累计需求；未扣自身未来产出，不代表已有库存</x:v>
      </x:c>
    </x:row>
    <x:row r="1364">
      <x:c r="A1364" s="25" t="str">
        <x:v>C08-G</x:v>
      </x:c>
      <x:c r="B1364" s="25" t="str">
        <x:v>巨人山顶</x:v>
      </x:c>
      <x:c r="C1364" s="25" t="str">
        <x:v>半急速毕业</x:v>
      </x:c>
      <x:c r="D1364" s="25" t="str">
        <x:v>材料</x:v>
      </x:c>
      <x:c r="E1364" s="25" t="str">
        <x:v>接肢王魂</x:v>
      </x:c>
      <x:c r="F1364" s="25" t="n">
        <x:v>1</x:v>
      </x:c>
      <x:c r="G1364" s="25" t="str">
        <x:v>从C0至当前检查点累计需求；未扣自身未来产出，不代表已有库存</x:v>
      </x:c>
    </x:row>
    <x:row r="1365">
      <x:c r="A1365" s="25" t="str">
        <x:v>C08-G</x:v>
      </x:c>
      <x:c r="B1365" s="25" t="str">
        <x:v>巨人山顶</x:v>
      </x:c>
      <x:c r="C1365" s="25" t="str">
        <x:v>半急速毕业</x:v>
      </x:c>
      <x:c r="D1365" s="25" t="str">
        <x:v>材料</x:v>
      </x:c>
      <x:c r="E1365" s="25" t="str">
        <x:v>月潮忆珀</x:v>
      </x:c>
      <x:c r="F1365" s="25" t="n">
        <x:v>1</x:v>
      </x:c>
      <x:c r="G1365" s="25" t="str">
        <x:v>从C0至当前检查点累计需求；未扣自身未来产出，不代表已有库存</x:v>
      </x:c>
    </x:row>
    <x:row r="1366">
      <x:c r="A1366" s="25" t="str">
        <x:v>C08-G</x:v>
      </x:c>
      <x:c r="B1366" s="25" t="str">
        <x:v>巨人山顶</x:v>
      </x:c>
      <x:c r="C1366" s="25" t="str">
        <x:v>半急速毕业</x:v>
      </x:c>
      <x:c r="D1366" s="25" t="str">
        <x:v>材料</x:v>
      </x:c>
      <x:c r="E1366" s="25" t="str">
        <x:v>月蚀镜片</x:v>
      </x:c>
      <x:c r="F1366" s="25" t="n">
        <x:v>21</x:v>
      </x:c>
      <x:c r="G1366" s="25" t="str">
        <x:v>从C0至当前检查点累计需求；未扣自身未来产出，不代表已有库存</x:v>
      </x:c>
    </x:row>
    <x:row r="1367">
      <x:c r="A1367" s="25" t="str">
        <x:v>C08-G</x:v>
      </x:c>
      <x:c r="B1367" s="25" t="str">
        <x:v>巨人山顶</x:v>
      </x:c>
      <x:c r="C1367" s="25" t="str">
        <x:v>半急速毕业</x:v>
      </x:c>
      <x:c r="D1367" s="25" t="str">
        <x:v>材料</x:v>
      </x:c>
      <x:c r="E1367" s="25" t="str">
        <x:v>树卫枪穗</x:v>
      </x:c>
      <x:c r="F1367" s="25" t="n">
        <x:v>1</x:v>
      </x:c>
      <x:c r="G1367" s="25" t="str">
        <x:v>从C0至当前检查点累计需求；未扣自身未来产出，不代表已有库存</x:v>
      </x:c>
    </x:row>
    <x:row r="1368">
      <x:c r="A1368" s="25" t="str">
        <x:v>C08-G</x:v>
      </x:c>
      <x:c r="B1368" s="25" t="str">
        <x:v>巨人山顶</x:v>
      </x:c>
      <x:c r="C1368" s="25" t="str">
        <x:v>半急速毕业</x:v>
      </x:c>
      <x:c r="D1368" s="25" t="str">
        <x:v>材料</x:v>
      </x:c>
      <x:c r="E1368" s="25" t="str">
        <x:v>死亡仪羽</x:v>
      </x:c>
      <x:c r="F1368" s="25" t="n">
        <x:v>2</x:v>
      </x:c>
      <x:c r="G1368" s="25" t="str">
        <x:v>从C0至当前检查点累计需求；未扣自身未来产出，不代表已有库存</x:v>
      </x:c>
    </x:row>
    <x:row r="1369">
      <x:c r="A1369" s="25" t="str">
        <x:v>C08-G</x:v>
      </x:c>
      <x:c r="B1369" s="25" t="str">
        <x:v>巨人山顶</x:v>
      </x:c>
      <x:c r="C1369" s="25" t="str">
        <x:v>半急速毕业</x:v>
      </x:c>
      <x:c r="D1369" s="25" t="str">
        <x:v>材料</x:v>
      </x:c>
      <x:c r="E1369" s="25" t="str">
        <x:v>永霜朝圣痕</x:v>
      </x:c>
      <x:c r="F1369" s="25" t="n">
        <x:v>1</x:v>
      </x:c>
      <x:c r="G1369" s="25" t="str">
        <x:v>从C0至当前检查点累计需求；未扣自身未来产出，不代表已有库存</x:v>
      </x:c>
    </x:row>
    <x:row r="1370">
      <x:c r="A1370" s="25" t="str">
        <x:v>C08-G</x:v>
      </x:c>
      <x:c r="B1370" s="25" t="str">
        <x:v>巨人山顶</x:v>
      </x:c>
      <x:c r="C1370" s="25" t="str">
        <x:v>半急速毕业</x:v>
      </x:c>
      <x:c r="D1370" s="25" t="str">
        <x:v>材料</x:v>
      </x:c>
      <x:c r="E1370" s="25" t="str">
        <x:v>沉湖王印</x:v>
      </x:c>
      <x:c r="F1370" s="25" t="n">
        <x:v>16</x:v>
      </x:c>
      <x:c r="G1370" s="25" t="str">
        <x:v>从C0至当前检查点累计需求；未扣自身未来产出，不代表已有库存</x:v>
      </x:c>
    </x:row>
    <x:row r="1371">
      <x:c r="A1371" s="25" t="str">
        <x:v>C08-G</x:v>
      </x:c>
      <x:c r="B1371" s="25" t="str">
        <x:v>巨人山顶</x:v>
      </x:c>
      <x:c r="C1371" s="25" t="str">
        <x:v>半急速毕业</x:v>
      </x:c>
      <x:c r="D1371" s="25" t="str">
        <x:v>材料</x:v>
      </x:c>
      <x:c r="E1371" s="25" t="str">
        <x:v>沉船缆扣</x:v>
      </x:c>
      <x:c r="F1371" s="25" t="n">
        <x:v>12</x:v>
      </x:c>
      <x:c r="G1371" s="25" t="str">
        <x:v>从C0至当前检查点累计需求；未扣自身未来产出，不代表已有库存</x:v>
      </x:c>
    </x:row>
    <x:row r="1372">
      <x:c r="A1372" s="25" t="str">
        <x:v>C08-G</x:v>
      </x:c>
      <x:c r="B1372" s="25" t="str">
        <x:v>巨人山顶</x:v>
      </x:c>
      <x:c r="C1372" s="25" t="str">
        <x:v>半急速毕业</x:v>
      </x:c>
      <x:c r="D1372" s="25" t="str">
        <x:v>材料</x:v>
      </x:c>
      <x:c r="E1372" s="25" t="str">
        <x:v>海蚀铁片</x:v>
      </x:c>
      <x:c r="F1372" s="25" t="n">
        <x:v>160</x:v>
      </x:c>
      <x:c r="G1372" s="25" t="str">
        <x:v>从C0至当前检查点累计需求；未扣自身未来产出，不代表已有库存</x:v>
      </x:c>
    </x:row>
    <x:row r="1373">
      <x:c r="A1373" s="25" t="str">
        <x:v>C08-G</x:v>
      </x:c>
      <x:c r="B1373" s="25" t="str">
        <x:v>巨人山顶</x:v>
      </x:c>
      <x:c r="C1373" s="25" t="str">
        <x:v>半急速毕业</x:v>
      </x:c>
      <x:c r="D1373" s="25" t="str">
        <x:v>材料</x:v>
      </x:c>
      <x:c r="E1373" s="25" t="str">
        <x:v>湖底封门珠</x:v>
      </x:c>
      <x:c r="F1373" s="25" t="n">
        <x:v>8</x:v>
      </x:c>
      <x:c r="G1373" s="25" t="str">
        <x:v>从C0至当前检查点累计需求；未扣自身未来产出，不代表已有库存</x:v>
      </x:c>
    </x:row>
    <x:row r="1374">
      <x:c r="A1374" s="25" t="str">
        <x:v>C08-G</x:v>
      </x:c>
      <x:c r="B1374" s="25" t="str">
        <x:v>巨人山顶</x:v>
      </x:c>
      <x:c r="C1374" s="25" t="str">
        <x:v>半急速毕业</x:v>
      </x:c>
      <x:c r="D1374" s="25" t="str">
        <x:v>材料</x:v>
      </x:c>
      <x:c r="E1374" s="25" t="str">
        <x:v>湖心月谱残章</x:v>
      </x:c>
      <x:c r="F1374" s="25" t="n">
        <x:v>1</x:v>
      </x:c>
      <x:c r="G1374" s="25" t="str">
        <x:v>从C0至当前检查点累计需求；未扣自身未来产出，不代表已有库存</x:v>
      </x:c>
    </x:row>
    <x:row r="1375">
      <x:c r="A1375" s="25" t="str">
        <x:v>C08-G</x:v>
      </x:c>
      <x:c r="B1375" s="25" t="str">
        <x:v>巨人山顶</x:v>
      </x:c>
      <x:c r="C1375" s="25" t="str">
        <x:v>半急速毕业</x:v>
      </x:c>
      <x:c r="D1375" s="25" t="str">
        <x:v>材料</x:v>
      </x:c>
      <x:c r="E1375" s="25" t="str">
        <x:v>湖盐结晶</x:v>
      </x:c>
      <x:c r="F1375" s="25" t="n">
        <x:v>1647</x:v>
      </x:c>
      <x:c r="G1375" s="25" t="str">
        <x:v>从C0至当前检查点累计需求；未扣自身未来产出，不代表已有库存</x:v>
      </x:c>
    </x:row>
    <x:row r="1376">
      <x:c r="A1376" s="25" t="str">
        <x:v>C08-G</x:v>
      </x:c>
      <x:c r="B1376" s="25" t="str">
        <x:v>巨人山顶</x:v>
      </x:c>
      <x:c r="C1376" s="25" t="str">
        <x:v>半急速毕业</x:v>
      </x:c>
      <x:c r="D1376" s="25" t="str">
        <x:v>材料</x:v>
      </x:c>
      <x:c r="E1376" s="25" t="str">
        <x:v>溃烂树核</x:v>
      </x:c>
      <x:c r="F1376" s="25" t="n">
        <x:v>1</x:v>
      </x:c>
      <x:c r="G1376" s="25" t="str">
        <x:v>从C0至当前检查点累计需求；未扣自身未来产出，不代表已有库存</x:v>
      </x:c>
    </x:row>
    <x:row r="1377">
      <x:c r="A1377" s="25" t="str">
        <x:v>C08-G</x:v>
      </x:c>
      <x:c r="B1377" s="25" t="str">
        <x:v>巨人山顶</x:v>
      </x:c>
      <x:c r="C1377" s="25" t="str">
        <x:v>半急速毕业</x:v>
      </x:c>
      <x:c r="D1377" s="25" t="str">
        <x:v>材料</x:v>
      </x:c>
      <x:c r="E1377" s="25" t="str">
        <x:v>满月王室印</x:v>
      </x:c>
      <x:c r="F1377" s="25" t="n">
        <x:v>51</x:v>
      </x:c>
      <x:c r="G1377" s="25" t="str">
        <x:v>从C0至当前检查点累计需求；未扣自身未来产出，不代表已有库存</x:v>
      </x:c>
    </x:row>
    <x:row r="1378">
      <x:c r="A1378" s="25" t="str">
        <x:v>C08-G</x:v>
      </x:c>
      <x:c r="B1378" s="25" t="str">
        <x:v>巨人山顶</x:v>
      </x:c>
      <x:c r="C1378" s="25" t="str">
        <x:v>半急速毕业</x:v>
      </x:c>
      <x:c r="D1378" s="25" t="str">
        <x:v>材料</x:v>
      </x:c>
      <x:c r="E1378" s="25" t="str">
        <x:v>漂流大陆印记</x:v>
      </x:c>
      <x:c r="F1378" s="25" t="n">
        <x:v>11</x:v>
      </x:c>
      <x:c r="G1378" s="25" t="str">
        <x:v>从C0至当前检查点累计需求；未扣自身未来产出，不代表已有库存</x:v>
      </x:c>
    </x:row>
    <x:row r="1379">
      <x:c r="A1379" s="25" t="str">
        <x:v>C08-G</x:v>
      </x:c>
      <x:c r="B1379" s="25" t="str">
        <x:v>巨人山顶</x:v>
      </x:c>
      <x:c r="C1379" s="25" t="str">
        <x:v>半急速毕业</x:v>
      </x:c>
      <x:c r="D1379" s="25" t="str">
        <x:v>材料</x:v>
      </x:c>
      <x:c r="E1379" s="25" t="str">
        <x:v>漂流见证·潮</x:v>
      </x:c>
      <x:c r="F1379" s="25" t="n">
        <x:v>8</x:v>
      </x:c>
      <x:c r="G1379" s="25" t="str">
        <x:v>从C0至当前检查点累计需求；未扣自身未来产出，不代表已有库存</x:v>
      </x:c>
    </x:row>
    <x:row r="1380">
      <x:c r="A1380" s="25" t="str">
        <x:v>C08-G</x:v>
      </x:c>
      <x:c r="B1380" s="25" t="str">
        <x:v>巨人山顶</x:v>
      </x:c>
      <x:c r="C1380" s="25" t="str">
        <x:v>半急速毕业</x:v>
      </x:c>
      <x:c r="D1380" s="25" t="str">
        <x:v>材料</x:v>
      </x:c>
      <x:c r="E1380" s="25" t="str">
        <x:v>漂流见证·雷</x:v>
      </x:c>
      <x:c r="F1380" s="25" t="n">
        <x:v>8</x:v>
      </x:c>
      <x:c r="G1380" s="25" t="str">
        <x:v>从C0至当前检查点累计需求；未扣自身未来产出，不代表已有库存</x:v>
      </x:c>
    </x:row>
    <x:row r="1381">
      <x:c r="A1381" s="25" t="str">
        <x:v>C08-G</x:v>
      </x:c>
      <x:c r="B1381" s="25" t="str">
        <x:v>巨人山顶</x:v>
      </x:c>
      <x:c r="C1381" s="25" t="str">
        <x:v>半急速毕业</x:v>
      </x:c>
      <x:c r="D1381" s="25" t="str">
        <x:v>材料</x:v>
      </x:c>
      <x:c r="E1381" s="25" t="str">
        <x:v>潮痕结晶</x:v>
      </x:c>
      <x:c r="F1381" s="25" t="n">
        <x:v>16</x:v>
      </x:c>
      <x:c r="G1381" s="25" t="str">
        <x:v>从C0至当前检查点累计需求；未扣自身未来产出，不代表已有库存</x:v>
      </x:c>
    </x:row>
    <x:row r="1382">
      <x:c r="A1382" s="25" t="str">
        <x:v>C08-G</x:v>
      </x:c>
      <x:c r="B1382" s="25" t="str">
        <x:v>巨人山顶</x:v>
      </x:c>
      <x:c r="C1382" s="25" t="str">
        <x:v>半急速毕业</x:v>
      </x:c>
      <x:c r="D1382" s="25" t="str">
        <x:v>材料</x:v>
      </x:c>
      <x:c r="E1382" s="25" t="str">
        <x:v>熊王心脏</x:v>
      </x:c>
      <x:c r="F1382" s="25" t="n">
        <x:v>2</x:v>
      </x:c>
      <x:c r="G1382" s="25" t="str">
        <x:v>从C0至当前检查点累计需求；未扣自身未来产出，不代表已有库存</x:v>
      </x:c>
    </x:row>
    <x:row r="1383">
      <x:c r="A1383" s="25" t="str">
        <x:v>C08-G</x:v>
      </x:c>
      <x:c r="B1383" s="25" t="str">
        <x:v>巨人山顶</x:v>
      </x:c>
      <x:c r="C1383" s="25" t="str">
        <x:v>半急速毕业</x:v>
      </x:c>
      <x:c r="D1383" s="25" t="str">
        <x:v>材料</x:v>
      </x:c>
      <x:c r="E1383" s="25" t="str">
        <x:v>熔原罪火残章</x:v>
      </x:c>
      <x:c r="F1383" s="25" t="n">
        <x:v>1</x:v>
      </x:c>
      <x:c r="G1383" s="25" t="str">
        <x:v>从C0至当前检查点累计需求；未扣自身未来产出，不代表已有库存</x:v>
      </x:c>
    </x:row>
    <x:row r="1384">
      <x:c r="A1384" s="25" t="str">
        <x:v>C08-G</x:v>
      </x:c>
      <x:c r="B1384" s="25" t="str">
        <x:v>巨人山顶</x:v>
      </x:c>
      <x:c r="C1384" s="25" t="str">
        <x:v>半急速毕业</x:v>
      </x:c>
      <x:c r="D1384" s="25" t="str">
        <x:v>材料</x:v>
      </x:c>
      <x:c r="E1384" s="25" t="str">
        <x:v>熔炉角片</x:v>
      </x:c>
      <x:c r="F1384" s="25" t="n">
        <x:v>1</x:v>
      </x:c>
      <x:c r="G1384" s="25" t="str">
        <x:v>从C0至当前检查点累计需求；未扣自身未来产出，不代表已有库存</x:v>
      </x:c>
    </x:row>
    <x:row r="1385">
      <x:c r="A1385" s="25" t="str">
        <x:v>C08-G</x:v>
      </x:c>
      <x:c r="B1385" s="25" t="str">
        <x:v>巨人山顶</x:v>
      </x:c>
      <x:c r="C1385" s="25" t="str">
        <x:v>半急速毕业</x:v>
      </x:c>
      <x:c r="D1385" s="25" t="str">
        <x:v>材料</x:v>
      </x:c>
      <x:c r="E1385" s="25" t="str">
        <x:v>猩红矿渣</x:v>
      </x:c>
      <x:c r="F1385" s="25" t="n">
        <x:v>1737</x:v>
      </x:c>
      <x:c r="G1385" s="25" t="str">
        <x:v>从C0至当前检查点累计需求；未扣自身未来产出，不代表已有库存</x:v>
      </x:c>
    </x:row>
    <x:row r="1386">
      <x:c r="A1386" s="25" t="str">
        <x:v>C08-G</x:v>
      </x:c>
      <x:c r="B1386" s="25" t="str">
        <x:v>巨人山顶</x:v>
      </x:c>
      <x:c r="C1386" s="25" t="str">
        <x:v>半急速毕业</x:v>
      </x:c>
      <x:c r="D1386" s="25" t="str">
        <x:v>材料</x:v>
      </x:c>
      <x:c r="E1386" s="25" t="str">
        <x:v>王城军印</x:v>
      </x:c>
      <x:c r="F1386" s="25" t="n">
        <x:v>1</x:v>
      </x:c>
      <x:c r="G1386" s="25" t="str">
        <x:v>从C0至当前检查点累计需求；未扣自身未来产出，不代表已有库存</x:v>
      </x:c>
    </x:row>
    <x:row r="1387">
      <x:c r="A1387" s="25" t="str">
        <x:v>C08-G</x:v>
      </x:c>
      <x:c r="B1387" s="25" t="str">
        <x:v>巨人山顶</x:v>
      </x:c>
      <x:c r="C1387" s="25" t="str">
        <x:v>半急速毕业</x:v>
      </x:c>
      <x:c r="D1387" s="25" t="str">
        <x:v>材料</x:v>
      </x:c>
      <x:c r="E1387" s="25" t="str">
        <x:v>白金纺线</x:v>
      </x:c>
      <x:c r="F1387" s="25" t="n">
        <x:v>60</x:v>
      </x:c>
      <x:c r="G1387" s="25" t="str">
        <x:v>从C0至当前检查点累计需求；未扣自身未来产出，不代表已有库存</x:v>
      </x:c>
    </x:row>
    <x:row r="1388">
      <x:c r="A1388" s="25" t="str">
        <x:v>C08-G</x:v>
      </x:c>
      <x:c r="B1388" s="25" t="str">
        <x:v>巨人山顶</x:v>
      </x:c>
      <x:c r="C1388" s="25" t="str">
        <x:v>半急速毕业</x:v>
      </x:c>
      <x:c r="D1388" s="25" t="str">
        <x:v>材料</x:v>
      </x:c>
      <x:c r="E1388" s="25" t="str">
        <x:v>白金路标片</x:v>
      </x:c>
      <x:c r="F1388" s="25" t="n">
        <x:v>145</x:v>
      </x:c>
      <x:c r="G1388" s="25" t="str">
        <x:v>从C0至当前检查点累计需求；未扣自身未来产出，不代表已有库存</x:v>
      </x:c>
    </x:row>
    <x:row r="1389">
      <x:c r="A1389" s="25" t="str">
        <x:v>C08-G</x:v>
      </x:c>
      <x:c r="B1389" s="25" t="str">
        <x:v>巨人山顶</x:v>
      </x:c>
      <x:c r="C1389" s="25" t="str">
        <x:v>半急速毕业</x:v>
      </x:c>
      <x:c r="D1389" s="25" t="str">
        <x:v>材料</x:v>
      </x:c>
      <x:c r="E1389" s="25" t="str">
        <x:v>看门犬石心</x:v>
      </x:c>
      <x:c r="F1389" s="25" t="n">
        <x:v>2</x:v>
      </x:c>
      <x:c r="G1389" s="25" t="str">
        <x:v>从C0至当前检查点累计需求；未扣自身未来产出，不代表已有库存</x:v>
      </x:c>
    </x:row>
    <x:row r="1390">
      <x:c r="A1390" s="25" t="str">
        <x:v>C08-G</x:v>
      </x:c>
      <x:c r="B1390" s="25" t="str">
        <x:v>巨人山顶</x:v>
      </x:c>
      <x:c r="C1390" s="25" t="str">
        <x:v>半急速毕业</x:v>
      </x:c>
      <x:c r="D1390" s="25" t="str">
        <x:v>材料</x:v>
      </x:c>
      <x:c r="E1390" s="25" t="str">
        <x:v>碎星仪仗钉</x:v>
      </x:c>
      <x:c r="F1390" s="25" t="n">
        <x:v>2</x:v>
      </x:c>
      <x:c r="G1390" s="25" t="str">
        <x:v>从C0至当前检查点累计需求；未扣自身未来产出，不代表已有库存</x:v>
      </x:c>
    </x:row>
    <x:row r="1391">
      <x:c r="A1391" s="25" t="str">
        <x:v>C08-G</x:v>
      </x:c>
      <x:c r="B1391" s="25" t="str">
        <x:v>巨人山顶</x:v>
      </x:c>
      <x:c r="C1391" s="25" t="str">
        <x:v>半急速毕业</x:v>
      </x:c>
      <x:c r="D1391" s="25" t="str">
        <x:v>材料</x:v>
      </x:c>
      <x:c r="E1391" s="25" t="str">
        <x:v>神秘符文</x:v>
      </x:c>
      <x:c r="F1391" s="25" t="n">
        <x:v>500</x:v>
      </x:c>
      <x:c r="G1391" s="25" t="str">
        <x:v>从C0至当前检查点累计需求；未扣自身未来产出，不代表已有库存</x:v>
      </x:c>
    </x:row>
    <x:row r="1392">
      <x:c r="A1392" s="25" t="str">
        <x:v>C08-G</x:v>
      </x:c>
      <x:c r="B1392" s="25" t="str">
        <x:v>巨人山顶</x:v>
      </x:c>
      <x:c r="C1392" s="25" t="str">
        <x:v>半急速毕业</x:v>
      </x:c>
      <x:c r="D1392" s="25" t="str">
        <x:v>材料</x:v>
      </x:c>
      <x:c r="E1392" s="25" t="str">
        <x:v>禁域星钥</x:v>
      </x:c>
      <x:c r="F1392" s="25" t="n">
        <x:v>2</x:v>
      </x:c>
      <x:c r="G1392" s="25" t="str">
        <x:v>从C0至当前检查点累计需求；未扣自身未来产出，不代表已有库存</x:v>
      </x:c>
    </x:row>
    <x:row r="1393">
      <x:c r="A1393" s="25" t="str">
        <x:v>C08-G</x:v>
      </x:c>
      <x:c r="B1393" s="25" t="str">
        <x:v>巨人山顶</x:v>
      </x:c>
      <x:c r="C1393" s="25" t="str">
        <x:v>半急速毕业</x:v>
      </x:c>
      <x:c r="D1393" s="25" t="str">
        <x:v>材料</x:v>
      </x:c>
      <x:c r="E1393" s="25" t="str">
        <x:v>红狮战印</x:v>
      </x:c>
      <x:c r="F1393" s="25" t="n">
        <x:v>42</x:v>
      </x:c>
      <x:c r="G1393" s="25" t="str">
        <x:v>从C0至当前检查点累计需求；未扣自身未来产出，不代表已有库存</x:v>
      </x:c>
    </x:row>
    <x:row r="1394">
      <x:c r="A1394" s="25" t="str">
        <x:v>C08-G</x:v>
      </x:c>
      <x:c r="B1394" s="25" t="str">
        <x:v>巨人山顶</x:v>
      </x:c>
      <x:c r="C1394" s="25" t="str">
        <x:v>半急速毕业</x:v>
      </x:c>
      <x:c r="D1394" s="25" t="str">
        <x:v>材料</x:v>
      </x:c>
      <x:c r="E1394" s="25" t="str">
        <x:v>腐根魂结</x:v>
      </x:c>
      <x:c r="F1394" s="25" t="n">
        <x:v>2</x:v>
      </x:c>
      <x:c r="G1394" s="25" t="str">
        <x:v>从C0至当前检查点累计需求；未扣自身未来产出，不代表已有库存</x:v>
      </x:c>
    </x:row>
    <x:row r="1395">
      <x:c r="A1395" s="25" t="str">
        <x:v>C08-G</x:v>
      </x:c>
      <x:c r="B1395" s="25" t="str">
        <x:v>巨人山顶</x:v>
      </x:c>
      <x:c r="C1395" s="25" t="str">
        <x:v>半急速毕业</x:v>
      </x:c>
      <x:c r="D1395" s="25" t="str">
        <x:v>材料</x:v>
      </x:c>
      <x:c r="E1395" s="25" t="str">
        <x:v>裂峰号角片</x:v>
      </x:c>
      <x:c r="F1395" s="25" t="n">
        <x:v>110</x:v>
      </x:c>
      <x:c r="G1395" s="25" t="str">
        <x:v>从C0至当前检查点累计需求；未扣自身未来产出，不代表已有库存</x:v>
      </x:c>
    </x:row>
    <x:row r="1396">
      <x:c r="A1396" s="25" t="str">
        <x:v>C08-G</x:v>
      </x:c>
      <x:c r="B1396" s="25" t="str">
        <x:v>巨人山顶</x:v>
      </x:c>
      <x:c r="C1396" s="25" t="str">
        <x:v>半急速毕业</x:v>
      </x:c>
      <x:c r="D1396" s="25" t="str">
        <x:v>材料</x:v>
      </x:c>
      <x:c r="E1396" s="25" t="str">
        <x:v>裂风崖羽</x:v>
      </x:c>
      <x:c r="F1396" s="25" t="n">
        <x:v>80</x:v>
      </x:c>
      <x:c r="G1396" s="25" t="str">
        <x:v>从C0至当前检查点累计需求；未扣自身未来产出，不代表已有库存</x:v>
      </x:c>
    </x:row>
    <x:row r="1397">
      <x:c r="A1397" s="25" t="str">
        <x:v>C08-G</x:v>
      </x:c>
      <x:c r="B1397" s="25" t="str">
        <x:v>巨人山顶</x:v>
      </x:c>
      <x:c r="C1397" s="25" t="str">
        <x:v>半急速毕业</x:v>
      </x:c>
      <x:c r="D1397" s="25" t="str">
        <x:v>材料</x:v>
      </x:c>
      <x:c r="E1397" s="25" t="str">
        <x:v>西境战旗</x:v>
      </x:c>
      <x:c r="F1397" s="25" t="n">
        <x:v>20</x:v>
      </x:c>
      <x:c r="G1397" s="25" t="str">
        <x:v>从C0至当前检查点累计需求；未扣自身未来产出，不代表已有库存</x:v>
      </x:c>
    </x:row>
    <x:row r="1398">
      <x:c r="A1398" s="25" t="str">
        <x:v>C08-G</x:v>
      </x:c>
      <x:c r="B1398" s="25" t="str">
        <x:v>巨人山顶</x:v>
      </x:c>
      <x:c r="C1398" s="25" t="str">
        <x:v>半急速毕业</x:v>
      </x:c>
      <x:c r="D1398" s="25" t="str">
        <x:v>材料</x:v>
      </x:c>
      <x:c r="E1398" s="25" t="str">
        <x:v>西境战旗印</x:v>
      </x:c>
      <x:c r="F1398" s="25" t="n">
        <x:v>13</x:v>
      </x:c>
      <x:c r="G1398" s="25" t="str">
        <x:v>从C0至当前检查点累计需求；未扣自身未来产出，不代表已有库存</x:v>
      </x:c>
    </x:row>
    <x:row r="1399">
      <x:c r="A1399" s="25" t="str">
        <x:v>C08-G</x:v>
      </x:c>
      <x:c r="B1399" s="25" t="str">
        <x:v>巨人山顶</x:v>
      </x:c>
      <x:c r="C1399" s="25" t="str">
        <x:v>半急速毕业</x:v>
      </x:c>
      <x:c r="D1399" s="25" t="str">
        <x:v>材料</x:v>
      </x:c>
      <x:c r="E1399" s="25" t="str">
        <x:v>西境风痕碑拓</x:v>
      </x:c>
      <x:c r="F1399" s="25" t="n">
        <x:v>1</x:v>
      </x:c>
      <x:c r="G1399" s="25" t="str">
        <x:v>从C0至当前检查点累计需求；未扣自身未来产出，不代表已有库存</x:v>
      </x:c>
    </x:row>
    <x:row r="1400">
      <x:c r="A1400" s="25" t="str">
        <x:v>C08-G</x:v>
      </x:c>
      <x:c r="B1400" s="25" t="str">
        <x:v>巨人山顶</x:v>
      </x:c>
      <x:c r="C1400" s="25" t="str">
        <x:v>半急速毕业</x:v>
      </x:c>
      <x:c r="D1400" s="25" t="str">
        <x:v>材料</x:v>
      </x:c>
      <x:c r="E1400" s="25" t="str">
        <x:v>贵胄断指</x:v>
      </x:c>
      <x:c r="F1400" s="25" t="n">
        <x:v>1</x:v>
      </x:c>
      <x:c r="G1400" s="25" t="str">
        <x:v>从C0至当前检查点累计需求；未扣自身未来产出，不代表已有库存</x:v>
      </x:c>
    </x:row>
    <x:row r="1401">
      <x:c r="A1401" s="25" t="str">
        <x:v>C08-G</x:v>
      </x:c>
      <x:c r="B1401" s="25" t="str">
        <x:v>巨人山顶</x:v>
      </x:c>
      <x:c r="C1401" s="25" t="str">
        <x:v>半急速毕业</x:v>
      </x:c>
      <x:c r="D1401" s="25" t="str">
        <x:v>材料</x:v>
      </x:c>
      <x:c r="E1401" s="25" t="str">
        <x:v>辉石碎晶</x:v>
      </x:c>
      <x:c r="F1401" s="25" t="n">
        <x:v>1750</x:v>
      </x:c>
      <x:c r="G1401" s="25" t="str">
        <x:v>从C0至当前检查点累计需求；未扣自身未来产出，不代表已有库存</x:v>
      </x:c>
    </x:row>
    <x:row r="1402">
      <x:c r="A1402" s="25" t="str">
        <x:v>C08-G</x:v>
      </x:c>
      <x:c r="B1402" s="25" t="str">
        <x:v>巨人山顶</x:v>
      </x:c>
      <x:c r="C1402" s="25" t="str">
        <x:v>半急速毕业</x:v>
      </x:c>
      <x:c r="D1402" s="25" t="str">
        <x:v>材料</x:v>
      </x:c>
      <x:c r="E1402" s="25" t="str">
        <x:v>野兽骨片</x:v>
      </x:c>
      <x:c r="F1402" s="25" t="n">
        <x:v>53855</x:v>
      </x:c>
      <x:c r="G1402" s="25" t="str">
        <x:v>从C0至当前检查点累计需求；未扣自身未来产出，不代表已有库存</x:v>
      </x:c>
    </x:row>
    <x:row r="1403">
      <x:c r="A1403" s="25" t="str">
        <x:v>C08-G</x:v>
      </x:c>
      <x:c r="B1403" s="25" t="str">
        <x:v>巨人山顶</x:v>
      </x:c>
      <x:c r="C1403" s="25" t="str">
        <x:v>半急速毕业</x:v>
      </x:c>
      <x:c r="D1403" s="25" t="str">
        <x:v>材料</x:v>
      </x:c>
      <x:c r="E1403" s="25" t="str">
        <x:v>雾潮银鳞</x:v>
      </x:c>
      <x:c r="F1403" s="25" t="n">
        <x:v>272</x:v>
      </x:c>
      <x:c r="G1403" s="25" t="str">
        <x:v>从C0至当前检查点累计需求；未扣自身未来产出，不代表已有库存</x:v>
      </x:c>
    </x:row>
    <x:row r="1404">
      <x:c r="A1404" s="25" t="str">
        <x:v>C08-G</x:v>
      </x:c>
      <x:c r="B1404" s="25" t="str">
        <x:v>巨人山顶</x:v>
      </x:c>
      <x:c r="C1404" s="25" t="str">
        <x:v>半急速毕业</x:v>
      </x:c>
      <x:c r="D1404" s="25" t="str">
        <x:v>材料</x:v>
      </x:c>
      <x:c r="E1404" s="25" t="str">
        <x:v>霜脊铁</x:v>
      </x:c>
      <x:c r="F1404" s="25" t="n">
        <x:v>2595</x:v>
      </x:c>
      <x:c r="G1404" s="25" t="str">
        <x:v>从C0至当前检查点累计需求；未扣自身未来产出，不代表已有库存</x:v>
      </x:c>
    </x:row>
    <x:row r="1405">
      <x:c r="A1405" s="25" t="str">
        <x:v>C08-G</x:v>
      </x:c>
      <x:c r="B1405" s="25" t="str">
        <x:v>巨人山顶</x:v>
      </x:c>
      <x:c r="C1405" s="25" t="str">
        <x:v>半急速毕业</x:v>
      </x:c>
      <x:c r="D1405" s="25" t="str">
        <x:v>材料</x:v>
      </x:c>
      <x:c r="E1405" s="25" t="str">
        <x:v>风暴王核</x:v>
      </x:c>
      <x:c r="F1405" s="25" t="n">
        <x:v>1</x:v>
      </x:c>
      <x:c r="G1405" s="25" t="str">
        <x:v>从C0至当前检查点累计需求；未扣自身未来产出，不代表已有库存</x:v>
      </x:c>
    </x:row>
    <x:row r="1406">
      <x:c r="A1406" s="25" t="str">
        <x:v>C08-G</x:v>
      </x:c>
      <x:c r="B1406" s="25" t="str">
        <x:v>巨人山顶</x:v>
      </x:c>
      <x:c r="C1406" s="25" t="str">
        <x:v>半急速毕业</x:v>
      </x:c>
      <x:c r="D1406" s="25" t="str">
        <x:v>材料</x:v>
      </x:c>
      <x:c r="E1406" s="25" t="str">
        <x:v>风暴石片</x:v>
      </x:c>
      <x:c r="F1406" s="25" t="n">
        <x:v>370</x:v>
      </x:c>
      <x:c r="G1406" s="25" t="str">
        <x:v>从C0至当前检查点累计需求；未扣自身未来产出，不代表已有库存</x:v>
      </x:c>
    </x:row>
    <x:row r="1407">
      <x:c r="A1407" s="25" t="str">
        <x:v>C08-G</x:v>
      </x:c>
      <x:c r="B1407" s="25" t="str">
        <x:v>巨人山顶</x:v>
      </x:c>
      <x:c r="C1407" s="25" t="str">
        <x:v>半急速毕业</x:v>
      </x:c>
      <x:c r="D1407" s="25" t="str">
        <x:v>材料</x:v>
      </x:c>
      <x:c r="E1407" s="25" t="str">
        <x:v>风蚀铁片</x:v>
      </x:c>
      <x:c r="F1407" s="25" t="n">
        <x:v>710</x:v>
      </x:c>
      <x:c r="G1407" s="25" t="str">
        <x:v>从C0至当前检查点累计需求；未扣自身未来产出，不代表已有库存</x:v>
      </x:c>
    </x:row>
    <x:row r="1408">
      <x:c r="A1408" s="25" t="str">
        <x:v>C08-G</x:v>
      </x:c>
      <x:c r="B1408" s="25" t="str">
        <x:v>巨人山顶</x:v>
      </x:c>
      <x:c r="C1408" s="25" t="str">
        <x:v>半急速毕业</x:v>
      </x:c>
      <x:c r="D1408" s="25" t="str">
        <x:v>材料</x:v>
      </x:c>
      <x:c r="E1408" s="25" t="str">
        <x:v>黄金树碎核</x:v>
      </x:c>
      <x:c r="F1408" s="25" t="n">
        <x:v>2</x:v>
      </x:c>
      <x:c r="G1408" s="25" t="str">
        <x:v>从C0至当前检查点累计需求；未扣自身未来产出，不代表已有库存</x:v>
      </x:c>
    </x:row>
    <x:row r="1409">
      <x:c r="A1409" s="25" t="str">
        <x:v>C08-G</x:v>
      </x:c>
      <x:c r="B1409" s="25" t="str">
        <x:v>巨人山顶</x:v>
      </x:c>
      <x:c r="C1409" s="25" t="str">
        <x:v>半急速毕业</x:v>
      </x:c>
      <x:c r="D1409" s="25" t="str">
        <x:v>材料</x:v>
      </x:c>
      <x:c r="E1409" s="25" t="str">
        <x:v>黄金树芽</x:v>
      </x:c>
      <x:c r="F1409" s="25" t="n">
        <x:v>297</x:v>
      </x:c>
      <x:c r="G1409" s="25" t="str">
        <x:v>从C0至当前检查点累计需求；未扣自身未来产出，不代表已有库存</x:v>
      </x:c>
    </x:row>
    <x:row r="1410">
      <x:c r="A1410" s="25" t="str">
        <x:v>C08-G</x:v>
      </x:c>
      <x:c r="B1410" s="25" t="str">
        <x:v>巨人山顶</x:v>
      </x:c>
      <x:c r="C1410" s="25" t="str">
        <x:v>半急速毕业</x:v>
      </x:c>
      <x:c r="D1410" s="25" t="str">
        <x:v>材料</x:v>
      </x:c>
      <x:c r="E1410" s="25" t="str">
        <x:v>黄金骑徽</x:v>
      </x:c>
      <x:c r="F1410" s="25" t="n">
        <x:v>2</x:v>
      </x:c>
      <x:c r="G1410" s="25" t="str">
        <x:v>从C0至当前检查点累计需求；未扣自身未来产出，不代表已有库存</x:v>
      </x:c>
    </x:row>
    <x:row r="1411">
      <x:c r="A1411" s="25" t="str">
        <x:v>C08-G</x:v>
      </x:c>
      <x:c r="B1411" s="25" t="str">
        <x:v>巨人山顶</x:v>
      </x:c>
      <x:c r="C1411" s="25" t="str">
        <x:v>半急速毕业</x:v>
      </x:c>
      <x:c r="D1411" s="25" t="str">
        <x:v>材料</x:v>
      </x:c>
      <x:c r="E1411" s="25" t="str">
        <x:v>龙火鳞</x:v>
      </x:c>
      <x:c r="F1411" s="25" t="n">
        <x:v>38</x:v>
      </x:c>
      <x:c r="G1411" s="25" t="str">
        <x:v>从C0至当前检查点累计需求；未扣自身未来产出，不代表已有库存</x:v>
      </x:c>
    </x:row>
    <x:row r="1412">
      <x:c r="A1412" s="25" t="str">
        <x:v>C08-G</x:v>
      </x:c>
      <x:c r="B1412" s="25" t="str">
        <x:v>巨人山顶</x:v>
      </x:c>
      <x:c r="C1412" s="25" t="str">
        <x:v>半急速毕业</x:v>
      </x:c>
      <x:c r="D1412" s="25" t="str">
        <x:v>装备实物</x:v>
      </x:c>
      <x:c r="E1412" s="25" t="str">
        <x:v>共400个精确名称（明细见JSON）</x:v>
      </x:c>
      <x:c r="F1412" s="25" t="n">
        <x:v>538</x:v>
      </x:c>
      <x:c r="G1412" s="25" t="str">
        <x:v>含穿戴、重复试洗、图鉴登记与合成前置；完整数据未省略</x:v>
      </x:c>
    </x:row>
    <x:row r="1413">
      <x:c r="A1413" s="25" t="str">
        <x:v>C08-X</x:v>
      </x:c>
      <x:c r="B1413" s="25" t="str">
        <x:v>巨人山顶</x:v>
      </x:c>
      <x:c r="C1413" s="25" t="str">
        <x:v>极端压力</x:v>
      </x:c>
      <x:c r="D1413" s="25" t="str">
        <x:v>材料</x:v>
      </x:c>
      <x:c r="E1413" s="25" t="str">
        <x:v>兽将脊骨</x:v>
      </x:c>
      <x:c r="F1413" s="25" t="n">
        <x:v>1</x:v>
      </x:c>
      <x:c r="G1413" s="25" t="str">
        <x:v>从C0至当前检查点累计需求；未扣自身未来产出，不代表已有库存</x:v>
      </x:c>
    </x:row>
    <x:row r="1414">
      <x:c r="A1414" s="25" t="str">
        <x:v>C08-X</x:v>
      </x:c>
      <x:c r="B1414" s="25" t="str">
        <x:v>巨人山顶</x:v>
      </x:c>
      <x:c r="C1414" s="25" t="str">
        <x:v>极端压力</x:v>
      </x:c>
      <x:c r="D1414" s="25" t="str">
        <x:v>材料</x:v>
      </x:c>
      <x:c r="E1414" s="25" t="str">
        <x:v>冰宫守门铃</x:v>
      </x:c>
      <x:c r="F1414" s="25" t="n">
        <x:v>12</x:v>
      </x:c>
      <x:c r="G1414" s="25" t="str">
        <x:v>从C0至当前检查点累计需求；未扣自身未来产出，不代表已有库存</x:v>
      </x:c>
    </x:row>
    <x:row r="1415">
      <x:c r="A1415" s="25" t="str">
        <x:v>C08-X</x:v>
      </x:c>
      <x:c r="B1415" s="25" t="str">
        <x:v>巨人山顶</x:v>
      </x:c>
      <x:c r="C1415" s="25" t="str">
        <x:v>极端压力</x:v>
      </x:c>
      <x:c r="D1415" s="25" t="str">
        <x:v>材料</x:v>
      </x:c>
      <x:c r="E1415" s="25" t="str">
        <x:v>冻原银角</x:v>
      </x:c>
      <x:c r="F1415" s="25" t="n">
        <x:v>30</x:v>
      </x:c>
      <x:c r="G1415" s="25" t="str">
        <x:v>从C0至当前检查点累计需求；未扣自身未来产出，不代表已有库存</x:v>
      </x:c>
    </x:row>
    <x:row r="1416">
      <x:c r="A1416" s="25" t="str">
        <x:v>C08-X</x:v>
      </x:c>
      <x:c r="B1416" s="25" t="str">
        <x:v>巨人山顶</x:v>
      </x:c>
      <x:c r="C1416" s="25" t="str">
        <x:v>极端压力</x:v>
      </x:c>
      <x:c r="D1416" s="25" t="str">
        <x:v>材料</x:v>
      </x:c>
      <x:c r="E1416" s="25" t="str">
        <x:v>冻晶尘</x:v>
      </x:c>
      <x:c r="F1416" s="25" t="n">
        <x:v>2440</x:v>
      </x:c>
      <x:c r="G1416" s="25" t="str">
        <x:v>从C0至当前检查点累计需求；未扣自身未来产出，不代表已有库存</x:v>
      </x:c>
    </x:row>
    <x:row r="1417">
      <x:c r="A1417" s="25" t="str">
        <x:v>C08-X</x:v>
      </x:c>
      <x:c r="B1417" s="25" t="str">
        <x:v>巨人山顶</x:v>
      </x:c>
      <x:c r="C1417" s="25" t="str">
        <x:v>极端压力</x:v>
      </x:c>
      <x:c r="D1417" s="25" t="str">
        <x:v>材料</x:v>
      </x:c>
      <x:c r="E1417" s="25" t="str">
        <x:v>净火腺囊</x:v>
      </x:c>
      <x:c r="F1417" s="25" t="n">
        <x:v>44</x:v>
      </x:c>
      <x:c r="G1417" s="25" t="str">
        <x:v>从C0至当前检查点累计需求；未扣自身未来产出，不代表已有库存</x:v>
      </x:c>
    </x:row>
    <x:row r="1418">
      <x:c r="A1418" s="25" t="str">
        <x:v>C08-X</x:v>
      </x:c>
      <x:c r="B1418" s="25" t="str">
        <x:v>巨人山顶</x:v>
      </x:c>
      <x:c r="C1418" s="25" t="str">
        <x:v>极端压力</x:v>
      </x:c>
      <x:c r="D1418" s="25" t="str">
        <x:v>材料</x:v>
      </x:c>
      <x:c r="E1418" s="25" t="str">
        <x:v>卡利亚月露</x:v>
      </x:c>
      <x:c r="F1418" s="25" t="n">
        <x:v>36</x:v>
      </x:c>
      <x:c r="G1418" s="25" t="str">
        <x:v>从C0至当前检查点累计需求；未扣自身未来产出，不代表已有库存</x:v>
      </x:c>
    </x:row>
    <x:row r="1419">
      <x:c r="A1419" s="25" t="str">
        <x:v>C08-X</x:v>
      </x:c>
      <x:c r="B1419" s="25" t="str">
        <x:v>巨人山顶</x:v>
      </x:c>
      <x:c r="C1419" s="25" t="str">
        <x:v>极端压力</x:v>
      </x:c>
      <x:c r="D1419" s="25" t="str">
        <x:v>材料</x:v>
      </x:c>
      <x:c r="E1419" s="25" t="str">
        <x:v>哨垒旗冠</x:v>
      </x:c>
      <x:c r="F1419" s="25" t="n">
        <x:v>3</x:v>
      </x:c>
      <x:c r="G1419" s="25" t="str">
        <x:v>从C0至当前检查点累计需求；未扣自身未来产出，不代表已有库存</x:v>
      </x:c>
    </x:row>
    <x:row r="1420">
      <x:c r="A1420" s="25" t="str">
        <x:v>C08-X</x:v>
      </x:c>
      <x:c r="B1420" s="25" t="str">
        <x:v>巨人山顶</x:v>
      </x:c>
      <x:c r="C1420" s="25" t="str">
        <x:v>极端压力</x:v>
      </x:c>
      <x:c r="D1420" s="25" t="str">
        <x:v>材料</x:v>
      </x:c>
      <x:c r="E1420" s="25" t="str">
        <x:v>唤船骨铃</x:v>
      </x:c>
      <x:c r="F1420" s="25" t="n">
        <x:v>1</x:v>
      </x:c>
      <x:c r="G1420" s="25" t="str">
        <x:v>从C0至当前检查点累计需求；未扣自身未来产出，不代表已有库存</x:v>
      </x:c>
    </x:row>
    <x:row r="1421">
      <x:c r="A1421" s="25" t="str">
        <x:v>C08-X</x:v>
      </x:c>
      <x:c r="B1421" s="25" t="str">
        <x:v>巨人山顶</x:v>
      </x:c>
      <x:c r="C1421" s="25" t="str">
        <x:v>极端压力</x:v>
      </x:c>
      <x:c r="D1421" s="25" t="str">
        <x:v>材料</x:v>
      </x:c>
      <x:c r="E1421" s="25" t="str">
        <x:v>商队火漆</x:v>
      </x:c>
      <x:c r="F1421" s="25" t="n">
        <x:v>20</x:v>
      </x:c>
      <x:c r="G1421" s="25" t="str">
        <x:v>从C0至当前检查点累计需求；未扣自身未来产出，不代表已有库存</x:v>
      </x:c>
    </x:row>
    <x:row r="1422">
      <x:c r="A1422" s="25" t="str">
        <x:v>C08-X</x:v>
      </x:c>
      <x:c r="B1422" s="25" t="str">
        <x:v>巨人山顶</x:v>
      </x:c>
      <x:c r="C1422" s="25" t="str">
        <x:v>极端压力</x:v>
      </x:c>
      <x:c r="D1422" s="25" t="str">
        <x:v>材料</x:v>
      </x:c>
      <x:c r="E1422" s="25" t="str">
        <x:v>圣雪誓印</x:v>
      </x:c>
      <x:c r="F1422" s="25" t="n">
        <x:v>53</x:v>
      </x:c>
      <x:c r="G1422" s="25" t="str">
        <x:v>从C0至当前检查点累计需求；未扣自身未来产出，不代表已有库存</x:v>
      </x:c>
    </x:row>
    <x:row r="1423">
      <x:c r="A1423" s="25" t="str">
        <x:v>C08-X</x:v>
      </x:c>
      <x:c r="B1423" s="25" t="str">
        <x:v>巨人山顶</x:v>
      </x:c>
      <x:c r="C1423" s="25" t="str">
        <x:v>极端压力</x:v>
      </x:c>
      <x:c r="D1423" s="25" t="str">
        <x:v>材料</x:v>
      </x:c>
      <x:c r="E1423" s="25" t="str">
        <x:v>圣雪门楔</x:v>
      </x:c>
      <x:c r="F1423" s="25" t="n">
        <x:v>8</x:v>
      </x:c>
      <x:c r="G1423" s="25" t="str">
        <x:v>从C0至当前检查点累计需求；未扣自身未来产出，不代表已有库存</x:v>
      </x:c>
    </x:row>
    <x:row r="1424">
      <x:c r="A1424" s="25" t="str">
        <x:v>C08-X</x:v>
      </x:c>
      <x:c r="B1424" s="25" t="str">
        <x:v>巨人山顶</x:v>
      </x:c>
      <x:c r="C1424" s="25" t="str">
        <x:v>极端压力</x:v>
      </x:c>
      <x:c r="D1424" s="25" t="str">
        <x:v>材料</x:v>
      </x:c>
      <x:c r="E1424" s="25" t="str">
        <x:v>夜骑黑印</x:v>
      </x:c>
      <x:c r="F1424" s="25" t="n">
        <x:v>1</x:v>
      </x:c>
      <x:c r="G1424" s="25" t="str">
        <x:v>从C0至当前检查点累计需求；未扣自身未来产出，不代表已有库存</x:v>
      </x:c>
    </x:row>
    <x:row r="1425">
      <x:c r="A1425" s="25" t="str">
        <x:v>C08-X</x:v>
      </x:c>
      <x:c r="B1425" s="25" t="str">
        <x:v>巨人山顶</x:v>
      </x:c>
      <x:c r="C1425" s="25" t="str">
        <x:v>极端压力</x:v>
      </x:c>
      <x:c r="D1425" s="25" t="str">
        <x:v>材料</x:v>
      </x:c>
      <x:c r="E1425" s="25" t="str">
        <x:v>大卢恩</x:v>
      </x:c>
      <x:c r="F1425" s="25" t="n">
        <x:v>350</x:v>
      </x:c>
      <x:c r="G1425" s="25" t="str">
        <x:v>从C0至当前检查点累计需求；未扣自身未来产出，不代表已有库存</x:v>
      </x:c>
    </x:row>
    <x:row r="1426">
      <x:c r="A1426" s="25" t="str">
        <x:v>C08-X</x:v>
      </x:c>
      <x:c r="B1426" s="25" t="str">
        <x:v>巨人山顶</x:v>
      </x:c>
      <x:c r="C1426" s="25" t="str">
        <x:v>极端压力</x:v>
      </x:c>
      <x:c r="D1426" s="25" t="str">
        <x:v>材料</x:v>
      </x:c>
      <x:c r="E1426" s="25" t="str">
        <x:v>失乡军令</x:v>
      </x:c>
      <x:c r="F1426" s="25" t="n">
        <x:v>2</x:v>
      </x:c>
      <x:c r="G1426" s="25" t="str">
        <x:v>从C0至当前检查点累计需求；未扣自身未来产出，不代表已有库存</x:v>
      </x:c>
    </x:row>
    <x:row r="1427">
      <x:c r="A1427" s="25" t="str">
        <x:v>C08-X</x:v>
      </x:c>
      <x:c r="B1427" s="25" t="str">
        <x:v>巨人山顶</x:v>
      </x:c>
      <x:c r="C1427" s="25" t="str">
        <x:v>极端压力</x:v>
      </x:c>
      <x:c r="D1427" s="25" t="str">
        <x:v>材料</x:v>
      </x:c>
      <x:c r="E1427" s="25" t="str">
        <x:v>失乡统帅徽</x:v>
      </x:c>
      <x:c r="F1427" s="25" t="n">
        <x:v>2</x:v>
      </x:c>
      <x:c r="G1427" s="25" t="str">
        <x:v>从C0至当前检查点累计需求；未扣自身未来产出，不代表已有库存</x:v>
      </x:c>
    </x:row>
    <x:row r="1428">
      <x:c r="A1428" s="25" t="str">
        <x:v>C08-X</x:v>
      </x:c>
      <x:c r="B1428" s="25" t="str">
        <x:v>巨人山顶</x:v>
      </x:c>
      <x:c r="C1428" s="25" t="str">
        <x:v>极端压力</x:v>
      </x:c>
      <x:c r="D1428" s="25" t="str">
        <x:v>材料</x:v>
      </x:c>
      <x:c r="E1428" s="25" t="str">
        <x:v>失色锻造石</x:v>
      </x:c>
      <x:c r="F1428" s="25" t="n">
        <x:v>71580</x:v>
      </x:c>
      <x:c r="G1428" s="25" t="str">
        <x:v>从C0至当前检查点累计需求；未扣自身未来产出，不代表已有库存</x:v>
      </x:c>
    </x:row>
    <x:row r="1429">
      <x:c r="A1429" s="25" t="str">
        <x:v>C08-X</x:v>
      </x:c>
      <x:c r="B1429" s="25" t="str">
        <x:v>巨人山顶</x:v>
      </x:c>
      <x:c r="C1429" s="25" t="str">
        <x:v>极端压力</x:v>
      </x:c>
      <x:c r="D1429" s="25" t="str">
        <x:v>材料</x:v>
      </x:c>
      <x:c r="E1429" s="25" t="str">
        <x:v>学院封蜡</x:v>
      </x:c>
      <x:c r="F1429" s="25" t="n">
        <x:v>24</x:v>
      </x:c>
      <x:c r="G1429" s="25" t="str">
        <x:v>从C0至当前检查点累计需求；未扣自身未来产出，不代表已有库存</x:v>
      </x:c>
    </x:row>
    <x:row r="1430">
      <x:c r="A1430" s="25" t="str">
        <x:v>C08-X</x:v>
      </x:c>
      <x:c r="B1430" s="25" t="str">
        <x:v>巨人山顶</x:v>
      </x:c>
      <x:c r="C1430" s="25" t="str">
        <x:v>极端压力</x:v>
      </x:c>
      <x:c r="D1430" s="25" t="str">
        <x:v>材料</x:v>
      </x:c>
      <x:c r="E1430" s="25" t="str">
        <x:v>宁姆格福誓页</x:v>
      </x:c>
      <x:c r="F1430" s="25" t="n">
        <x:v>90</x:v>
      </x:c>
      <x:c r="G1430" s="25" t="str">
        <x:v>从C0至当前检查点累计需求；未扣自身未来产出，不代表已有库存</x:v>
      </x:c>
    </x:row>
    <x:row r="1431">
      <x:c r="A1431" s="25" t="str">
        <x:v>C08-X</x:v>
      </x:c>
      <x:c r="B1431" s="25" t="str">
        <x:v>巨人山顶</x:v>
      </x:c>
      <x:c r="C1431" s="25" t="str">
        <x:v>极端压力</x:v>
      </x:c>
      <x:c r="D1431" s="25" t="str">
        <x:v>材料</x:v>
      </x:c>
      <x:c r="E1431" s="25" t="str">
        <x:v>小卢恩</x:v>
      </x:c>
      <x:c r="F1431" s="25" t="n">
        <x:v>250</x:v>
      </x:c>
      <x:c r="G1431" s="25" t="str">
        <x:v>从C0至当前检查点累计需求；未扣自身未来产出，不代表已有库存</x:v>
      </x:c>
    </x:row>
    <x:row r="1432">
      <x:c r="A1432" s="25" t="str">
        <x:v>C08-X</x:v>
      </x:c>
      <x:c r="B1432" s="25" t="str">
        <x:v>巨人山顶</x:v>
      </x:c>
      <x:c r="C1432" s="25" t="str">
        <x:v>极端压力</x:v>
      </x:c>
      <x:c r="D1432" s="25" t="str">
        <x:v>材料</x:v>
      </x:c>
      <x:c r="E1432" s="25" t="str">
        <x:v>山妖王角</x:v>
      </x:c>
      <x:c r="F1432" s="25" t="n">
        <x:v>2</x:v>
      </x:c>
      <x:c r="G1432" s="25" t="str">
        <x:v>从C0至当前检查点累计需求；未扣自身未来产出，不代表已有库存</x:v>
      </x:c>
    </x:row>
    <x:row r="1433">
      <x:c r="A1433" s="25" t="str">
        <x:v>C08-X</x:v>
      </x:c>
      <x:c r="B1433" s="25" t="str">
        <x:v>巨人山顶</x:v>
      </x:c>
      <x:c r="C1433" s="25" t="str">
        <x:v>极端压力</x:v>
      </x:c>
      <x:c r="D1433" s="25" t="str">
        <x:v>材料</x:v>
      </x:c>
      <x:c r="E1433" s="25" t="str">
        <x:v>巨人火印</x:v>
      </x:c>
      <x:c r="F1433" s="25" t="n">
        <x:v>105</x:v>
      </x:c>
      <x:c r="G1433" s="25" t="str">
        <x:v>从C0至当前检查点累计需求；未扣自身未来产出，不代表已有库存</x:v>
      </x:c>
    </x:row>
    <x:row r="1434">
      <x:c r="A1434" s="25" t="str">
        <x:v>C08-X</x:v>
      </x:c>
      <x:c r="B1434" s="25" t="str">
        <x:v>巨人山顶</x:v>
      </x:c>
      <x:c r="C1434" s="25" t="str">
        <x:v>极端压力</x:v>
      </x:c>
      <x:c r="D1434" s="25" t="str">
        <x:v>材料</x:v>
      </x:c>
      <x:c r="E1434" s="25" t="str">
        <x:v>巨人火种</x:v>
      </x:c>
      <x:c r="F1434" s="25" t="n">
        <x:v>65</x:v>
      </x:c>
      <x:c r="G1434" s="25" t="str">
        <x:v>从C0至当前检查点累计需求；未扣自身未来产出，不代表已有库存</x:v>
      </x:c>
    </x:row>
    <x:row r="1435">
      <x:c r="A1435" s="25" t="str">
        <x:v>C08-X</x:v>
      </x:c>
      <x:c r="B1435" s="25" t="str">
        <x:v>巨人山顶</x:v>
      </x:c>
      <x:c r="C1435" s="25" t="str">
        <x:v>极端压力</x:v>
      </x:c>
      <x:c r="D1435" s="25" t="str">
        <x:v>材料</x:v>
      </x:c>
      <x:c r="E1435" s="25" t="str">
        <x:v>巨人熔火卢恩</x:v>
      </x:c>
      <x:c r="F1435" s="25" t="n">
        <x:v>450</x:v>
      </x:c>
      <x:c r="G1435" s="25" t="str">
        <x:v>从C0至当前检查点累计需求；未扣自身未来产出，不代表已有库存</x:v>
      </x:c>
    </x:row>
    <x:row r="1436">
      <x:c r="A1436" s="25" t="str">
        <x:v>C08-X</x:v>
      </x:c>
      <x:c r="B1436" s="25" t="str">
        <x:v>巨人山顶</x:v>
      </x:c>
      <x:c r="C1436" s="25" t="str">
        <x:v>极端压力</x:v>
      </x:c>
      <x:c r="D1436" s="25" t="str">
        <x:v>材料</x:v>
      </x:c>
      <x:c r="E1436" s="25" t="str">
        <x:v>幽船铆钉</x:v>
      </x:c>
      <x:c r="F1436" s="25" t="n">
        <x:v>21</x:v>
      </x:c>
      <x:c r="G1436" s="25" t="str">
        <x:v>从C0至当前检查点累计需求；未扣自身未来产出，不代表已有库存</x:v>
      </x:c>
    </x:row>
    <x:row r="1437">
      <x:c r="A1437" s="25" t="str">
        <x:v>C08-X</x:v>
      </x:c>
      <x:c r="B1437" s="25" t="str">
        <x:v>巨人山顶</x:v>
      </x:c>
      <x:c r="C1437" s="25" t="str">
        <x:v>极端压力</x:v>
      </x:c>
      <x:c r="D1437" s="25" t="str">
        <x:v>材料</x:v>
      </x:c>
      <x:c r="E1437" s="25" t="str">
        <x:v>恶兆残角</x:v>
      </x:c>
      <x:c r="F1437" s="25" t="n">
        <x:v>1</x:v>
      </x:c>
      <x:c r="G1437" s="25" t="str">
        <x:v>从C0至当前检查点累计需求；未扣自身未来产出，不代表已有库存</x:v>
      </x:c>
    </x:row>
    <x:row r="1438">
      <x:c r="A1438" s="25" t="str">
        <x:v>C08-X</x:v>
      </x:c>
      <x:c r="B1438" s="25" t="str">
        <x:v>巨人山顶</x:v>
      </x:c>
      <x:c r="C1438" s="25" t="str">
        <x:v>极端压力</x:v>
      </x:c>
      <x:c r="D1438" s="25" t="str">
        <x:v>材料</x:v>
      </x:c>
      <x:c r="E1438" s="25" t="str">
        <x:v>技能残页</x:v>
      </x:c>
      <x:c r="F1438" s="25" t="n">
        <x:v>1350</x:v>
      </x:c>
      <x:c r="G1438" s="25" t="str">
        <x:v>从C0至当前检查点累计需求；未扣自身未来产出，不代表已有库存</x:v>
      </x:c>
    </x:row>
    <x:row r="1439">
      <x:c r="A1439" s="25" t="str">
        <x:v>C08-X</x:v>
      </x:c>
      <x:c r="B1439" s="25" t="str">
        <x:v>巨人山顶</x:v>
      </x:c>
      <x:c r="C1439" s="25" t="str">
        <x:v>极端压力</x:v>
      </x:c>
      <x:c r="D1439" s="25" t="str">
        <x:v>材料</x:v>
      </x:c>
      <x:c r="E1439" s="25" t="str">
        <x:v>接肢兽心</x:v>
      </x:c>
      <x:c r="F1439" s="25" t="n">
        <x:v>2</x:v>
      </x:c>
      <x:c r="G1439" s="25" t="str">
        <x:v>从C0至当前检查点累计需求；未扣自身未来产出，不代表已有库存</x:v>
      </x:c>
    </x:row>
    <x:row r="1440">
      <x:c r="A1440" s="25" t="str">
        <x:v>C08-X</x:v>
      </x:c>
      <x:c r="B1440" s="25" t="str">
        <x:v>巨人山顶</x:v>
      </x:c>
      <x:c r="C1440" s="25" t="str">
        <x:v>极端压力</x:v>
      </x:c>
      <x:c r="D1440" s="25" t="str">
        <x:v>材料</x:v>
      </x:c>
      <x:c r="E1440" s="25" t="str">
        <x:v>接肢王印</x:v>
      </x:c>
      <x:c r="F1440" s="25" t="n">
        <x:v>13</x:v>
      </x:c>
      <x:c r="G1440" s="25" t="str">
        <x:v>从C0至当前检查点累计需求；未扣自身未来产出，不代表已有库存</x:v>
      </x:c>
    </x:row>
    <x:row r="1441">
      <x:c r="A1441" s="25" t="str">
        <x:v>C08-X</x:v>
      </x:c>
      <x:c r="B1441" s="25" t="str">
        <x:v>巨人山顶</x:v>
      </x:c>
      <x:c r="C1441" s="25" t="str">
        <x:v>极端压力</x:v>
      </x:c>
      <x:c r="D1441" s="25" t="str">
        <x:v>材料</x:v>
      </x:c>
      <x:c r="E1441" s="25" t="str">
        <x:v>接肢王魂</x:v>
      </x:c>
      <x:c r="F1441" s="25" t="n">
        <x:v>1</x:v>
      </x:c>
      <x:c r="G1441" s="25" t="str">
        <x:v>从C0至当前检查点累计需求；未扣自身未来产出，不代表已有库存</x:v>
      </x:c>
    </x:row>
    <x:row r="1442">
      <x:c r="A1442" s="25" t="str">
        <x:v>C08-X</x:v>
      </x:c>
      <x:c r="B1442" s="25" t="str">
        <x:v>巨人山顶</x:v>
      </x:c>
      <x:c r="C1442" s="25" t="str">
        <x:v>极端压力</x:v>
      </x:c>
      <x:c r="D1442" s="25" t="str">
        <x:v>材料</x:v>
      </x:c>
      <x:c r="E1442" s="25" t="str">
        <x:v>月潮忆珀</x:v>
      </x:c>
      <x:c r="F1442" s="25" t="n">
        <x:v>1</x:v>
      </x:c>
      <x:c r="G1442" s="25" t="str">
        <x:v>从C0至当前检查点累计需求；未扣自身未来产出，不代表已有库存</x:v>
      </x:c>
    </x:row>
    <x:row r="1443">
      <x:c r="A1443" s="25" t="str">
        <x:v>C08-X</x:v>
      </x:c>
      <x:c r="B1443" s="25" t="str">
        <x:v>巨人山顶</x:v>
      </x:c>
      <x:c r="C1443" s="25" t="str">
        <x:v>极端压力</x:v>
      </x:c>
      <x:c r="D1443" s="25" t="str">
        <x:v>材料</x:v>
      </x:c>
      <x:c r="E1443" s="25" t="str">
        <x:v>月蚀镜片</x:v>
      </x:c>
      <x:c r="F1443" s="25" t="n">
        <x:v>21</x:v>
      </x:c>
      <x:c r="G1443" s="25" t="str">
        <x:v>从C0至当前检查点累计需求；未扣自身未来产出，不代表已有库存</x:v>
      </x:c>
    </x:row>
    <x:row r="1444">
      <x:c r="A1444" s="25" t="str">
        <x:v>C08-X</x:v>
      </x:c>
      <x:c r="B1444" s="25" t="str">
        <x:v>巨人山顶</x:v>
      </x:c>
      <x:c r="C1444" s="25" t="str">
        <x:v>极端压力</x:v>
      </x:c>
      <x:c r="D1444" s="25" t="str">
        <x:v>材料</x:v>
      </x:c>
      <x:c r="E1444" s="25" t="str">
        <x:v>树卫枪穗</x:v>
      </x:c>
      <x:c r="F1444" s="25" t="n">
        <x:v>1</x:v>
      </x:c>
      <x:c r="G1444" s="25" t="str">
        <x:v>从C0至当前检查点累计需求；未扣自身未来产出，不代表已有库存</x:v>
      </x:c>
    </x:row>
    <x:row r="1445">
      <x:c r="A1445" s="25" t="str">
        <x:v>C08-X</x:v>
      </x:c>
      <x:c r="B1445" s="25" t="str">
        <x:v>巨人山顶</x:v>
      </x:c>
      <x:c r="C1445" s="25" t="str">
        <x:v>极端压力</x:v>
      </x:c>
      <x:c r="D1445" s="25" t="str">
        <x:v>材料</x:v>
      </x:c>
      <x:c r="E1445" s="25" t="str">
        <x:v>死亡仪羽</x:v>
      </x:c>
      <x:c r="F1445" s="25" t="n">
        <x:v>2</x:v>
      </x:c>
      <x:c r="G1445" s="25" t="str">
        <x:v>从C0至当前检查点累计需求；未扣自身未来产出，不代表已有库存</x:v>
      </x:c>
    </x:row>
    <x:row r="1446">
      <x:c r="A1446" s="25" t="str">
        <x:v>C08-X</x:v>
      </x:c>
      <x:c r="B1446" s="25" t="str">
        <x:v>巨人山顶</x:v>
      </x:c>
      <x:c r="C1446" s="25" t="str">
        <x:v>极端压力</x:v>
      </x:c>
      <x:c r="D1446" s="25" t="str">
        <x:v>材料</x:v>
      </x:c>
      <x:c r="E1446" s="25" t="str">
        <x:v>永霜朝圣痕</x:v>
      </x:c>
      <x:c r="F1446" s="25" t="n">
        <x:v>1</x:v>
      </x:c>
      <x:c r="G1446" s="25" t="str">
        <x:v>从C0至当前检查点累计需求；未扣自身未来产出，不代表已有库存</x:v>
      </x:c>
    </x:row>
    <x:row r="1447">
      <x:c r="A1447" s="25" t="str">
        <x:v>C08-X</x:v>
      </x:c>
      <x:c r="B1447" s="25" t="str">
        <x:v>巨人山顶</x:v>
      </x:c>
      <x:c r="C1447" s="25" t="str">
        <x:v>极端压力</x:v>
      </x:c>
      <x:c r="D1447" s="25" t="str">
        <x:v>材料</x:v>
      </x:c>
      <x:c r="E1447" s="25" t="str">
        <x:v>沉湖王印</x:v>
      </x:c>
      <x:c r="F1447" s="25" t="n">
        <x:v>25</x:v>
      </x:c>
      <x:c r="G1447" s="25" t="str">
        <x:v>从C0至当前检查点累计需求；未扣自身未来产出，不代表已有库存</x:v>
      </x:c>
    </x:row>
    <x:row r="1448">
      <x:c r="A1448" s="25" t="str">
        <x:v>C08-X</x:v>
      </x:c>
      <x:c r="B1448" s="25" t="str">
        <x:v>巨人山顶</x:v>
      </x:c>
      <x:c r="C1448" s="25" t="str">
        <x:v>极端压力</x:v>
      </x:c>
      <x:c r="D1448" s="25" t="str">
        <x:v>材料</x:v>
      </x:c>
      <x:c r="E1448" s="25" t="str">
        <x:v>沉船缆扣</x:v>
      </x:c>
      <x:c r="F1448" s="25" t="n">
        <x:v>12</x:v>
      </x:c>
      <x:c r="G1448" s="25" t="str">
        <x:v>从C0至当前检查点累计需求；未扣自身未来产出，不代表已有库存</x:v>
      </x:c>
    </x:row>
    <x:row r="1449">
      <x:c r="A1449" s="25" t="str">
        <x:v>C08-X</x:v>
      </x:c>
      <x:c r="B1449" s="25" t="str">
        <x:v>巨人山顶</x:v>
      </x:c>
      <x:c r="C1449" s="25" t="str">
        <x:v>极端压力</x:v>
      </x:c>
      <x:c r="D1449" s="25" t="str">
        <x:v>材料</x:v>
      </x:c>
      <x:c r="E1449" s="25" t="str">
        <x:v>海蚀铁片</x:v>
      </x:c>
      <x:c r="F1449" s="25" t="n">
        <x:v>160</x:v>
      </x:c>
      <x:c r="G1449" s="25" t="str">
        <x:v>从C0至当前检查点累计需求；未扣自身未来产出，不代表已有库存</x:v>
      </x:c>
    </x:row>
    <x:row r="1450">
      <x:c r="A1450" s="25" t="str">
        <x:v>C08-X</x:v>
      </x:c>
      <x:c r="B1450" s="25" t="str">
        <x:v>巨人山顶</x:v>
      </x:c>
      <x:c r="C1450" s="25" t="str">
        <x:v>极端压力</x:v>
      </x:c>
      <x:c r="D1450" s="25" t="str">
        <x:v>材料</x:v>
      </x:c>
      <x:c r="E1450" s="25" t="str">
        <x:v>深湖压舱印</x:v>
      </x:c>
      <x:c r="F1450" s="25" t="n">
        <x:v>6</x:v>
      </x:c>
      <x:c r="G1450" s="25" t="str">
        <x:v>从C0至当前检查点累计需求；未扣自身未来产出，不代表已有库存</x:v>
      </x:c>
    </x:row>
    <x:row r="1451">
      <x:c r="A1451" s="25" t="str">
        <x:v>C08-X</x:v>
      </x:c>
      <x:c r="B1451" s="25" t="str">
        <x:v>巨人山顶</x:v>
      </x:c>
      <x:c r="C1451" s="25" t="str">
        <x:v>极端压力</x:v>
      </x:c>
      <x:c r="D1451" s="25" t="str">
        <x:v>材料</x:v>
      </x:c>
      <x:c r="E1451" s="25" t="str">
        <x:v>湖底封门珠</x:v>
      </x:c>
      <x:c r="F1451" s="25" t="n">
        <x:v>8</x:v>
      </x:c>
      <x:c r="G1451" s="25" t="str">
        <x:v>从C0至当前检查点累计需求；未扣自身未来产出，不代表已有库存</x:v>
      </x:c>
    </x:row>
    <x:row r="1452">
      <x:c r="A1452" s="25" t="str">
        <x:v>C08-X</x:v>
      </x:c>
      <x:c r="B1452" s="25" t="str">
        <x:v>巨人山顶</x:v>
      </x:c>
      <x:c r="C1452" s="25" t="str">
        <x:v>极端压力</x:v>
      </x:c>
      <x:c r="D1452" s="25" t="str">
        <x:v>材料</x:v>
      </x:c>
      <x:c r="E1452" s="25" t="str">
        <x:v>湖心月谱残章</x:v>
      </x:c>
      <x:c r="F1452" s="25" t="n">
        <x:v>1</x:v>
      </x:c>
      <x:c r="G1452" s="25" t="str">
        <x:v>从C0至当前检查点累计需求；未扣自身未来产出，不代表已有库存</x:v>
      </x:c>
    </x:row>
    <x:row r="1453">
      <x:c r="A1453" s="25" t="str">
        <x:v>C08-X</x:v>
      </x:c>
      <x:c r="B1453" s="25" t="str">
        <x:v>巨人山顶</x:v>
      </x:c>
      <x:c r="C1453" s="25" t="str">
        <x:v>极端压力</x:v>
      </x:c>
      <x:c r="D1453" s="25" t="str">
        <x:v>材料</x:v>
      </x:c>
      <x:c r="E1453" s="25" t="str">
        <x:v>湖盐结晶</x:v>
      </x:c>
      <x:c r="F1453" s="25" t="n">
        <x:v>1957</x:v>
      </x:c>
      <x:c r="G1453" s="25" t="str">
        <x:v>从C0至当前检查点累计需求；未扣自身未来产出，不代表已有库存</x:v>
      </x:c>
    </x:row>
    <x:row r="1454">
      <x:c r="A1454" s="25" t="str">
        <x:v>C08-X</x:v>
      </x:c>
      <x:c r="B1454" s="25" t="str">
        <x:v>巨人山顶</x:v>
      </x:c>
      <x:c r="C1454" s="25" t="str">
        <x:v>极端压力</x:v>
      </x:c>
      <x:c r="D1454" s="25" t="str">
        <x:v>材料</x:v>
      </x:c>
      <x:c r="E1454" s="25" t="str">
        <x:v>溃烂树核</x:v>
      </x:c>
      <x:c r="F1454" s="25" t="n">
        <x:v>1</x:v>
      </x:c>
      <x:c r="G1454" s="25" t="str">
        <x:v>从C0至当前检查点累计需求；未扣自身未来产出，不代表已有库存</x:v>
      </x:c>
    </x:row>
    <x:row r="1455">
      <x:c r="A1455" s="25" t="str">
        <x:v>C08-X</x:v>
      </x:c>
      <x:c r="B1455" s="25" t="str">
        <x:v>巨人山顶</x:v>
      </x:c>
      <x:c r="C1455" s="25" t="str">
        <x:v>极端压力</x:v>
      </x:c>
      <x:c r="D1455" s="25" t="str">
        <x:v>材料</x:v>
      </x:c>
      <x:c r="E1455" s="25" t="str">
        <x:v>满月王室印</x:v>
      </x:c>
      <x:c r="F1455" s="25" t="n">
        <x:v>51</x:v>
      </x:c>
      <x:c r="G1455" s="25" t="str">
        <x:v>从C0至当前检查点累计需求；未扣自身未来产出，不代表已有库存</x:v>
      </x:c>
    </x:row>
    <x:row r="1456">
      <x:c r="A1456" s="25" t="str">
        <x:v>C08-X</x:v>
      </x:c>
      <x:c r="B1456" s="25" t="str">
        <x:v>巨人山顶</x:v>
      </x:c>
      <x:c r="C1456" s="25" t="str">
        <x:v>极端压力</x:v>
      </x:c>
      <x:c r="D1456" s="25" t="str">
        <x:v>材料</x:v>
      </x:c>
      <x:c r="E1456" s="25" t="str">
        <x:v>漂流大陆印记</x:v>
      </x:c>
      <x:c r="F1456" s="25" t="n">
        <x:v>11</x:v>
      </x:c>
      <x:c r="G1456" s="25" t="str">
        <x:v>从C0至当前检查点累计需求；未扣自身未来产出，不代表已有库存</x:v>
      </x:c>
    </x:row>
    <x:row r="1457">
      <x:c r="A1457" s="25" t="str">
        <x:v>C08-X</x:v>
      </x:c>
      <x:c r="B1457" s="25" t="str">
        <x:v>巨人山顶</x:v>
      </x:c>
      <x:c r="C1457" s="25" t="str">
        <x:v>极端压力</x:v>
      </x:c>
      <x:c r="D1457" s="25" t="str">
        <x:v>材料</x:v>
      </x:c>
      <x:c r="E1457" s="25" t="str">
        <x:v>漂流见证·潮</x:v>
      </x:c>
      <x:c r="F1457" s="25" t="n">
        <x:v>8</x:v>
      </x:c>
      <x:c r="G1457" s="25" t="str">
        <x:v>从C0至当前检查点累计需求；未扣自身未来产出，不代表已有库存</x:v>
      </x:c>
    </x:row>
    <x:row r="1458">
      <x:c r="A1458" s="25" t="str">
        <x:v>C08-X</x:v>
      </x:c>
      <x:c r="B1458" s="25" t="str">
        <x:v>巨人山顶</x:v>
      </x:c>
      <x:c r="C1458" s="25" t="str">
        <x:v>极端压力</x:v>
      </x:c>
      <x:c r="D1458" s="25" t="str">
        <x:v>材料</x:v>
      </x:c>
      <x:c r="E1458" s="25" t="str">
        <x:v>漂流见证·雷</x:v>
      </x:c>
      <x:c r="F1458" s="25" t="n">
        <x:v>8</x:v>
      </x:c>
      <x:c r="G1458" s="25" t="str">
        <x:v>从C0至当前检查点累计需求；未扣自身未来产出，不代表已有库存</x:v>
      </x:c>
    </x:row>
    <x:row r="1459">
      <x:c r="A1459" s="25" t="str">
        <x:v>C08-X</x:v>
      </x:c>
      <x:c r="B1459" s="25" t="str">
        <x:v>巨人山顶</x:v>
      </x:c>
      <x:c r="C1459" s="25" t="str">
        <x:v>极端压力</x:v>
      </x:c>
      <x:c r="D1459" s="25" t="str">
        <x:v>材料</x:v>
      </x:c>
      <x:c r="E1459" s="25" t="str">
        <x:v>潮痕结晶</x:v>
      </x:c>
      <x:c r="F1459" s="25" t="n">
        <x:v>16</x:v>
      </x:c>
      <x:c r="G1459" s="25" t="str">
        <x:v>从C0至当前检查点累计需求；未扣自身未来产出，不代表已有库存</x:v>
      </x:c>
    </x:row>
    <x:row r="1460">
      <x:c r="A1460" s="25" t="str">
        <x:v>C08-X</x:v>
      </x:c>
      <x:c r="B1460" s="25" t="str">
        <x:v>巨人山顶</x:v>
      </x:c>
      <x:c r="C1460" s="25" t="str">
        <x:v>极端压力</x:v>
      </x:c>
      <x:c r="D1460" s="25" t="str">
        <x:v>材料</x:v>
      </x:c>
      <x:c r="E1460" s="25" t="str">
        <x:v>熊王心脏</x:v>
      </x:c>
      <x:c r="F1460" s="25" t="n">
        <x:v>2</x:v>
      </x:c>
      <x:c r="G1460" s="25" t="str">
        <x:v>从C0至当前检查点累计需求；未扣自身未来产出，不代表已有库存</x:v>
      </x:c>
    </x:row>
    <x:row r="1461">
      <x:c r="A1461" s="25" t="str">
        <x:v>C08-X</x:v>
      </x:c>
      <x:c r="B1461" s="25" t="str">
        <x:v>巨人山顶</x:v>
      </x:c>
      <x:c r="C1461" s="25" t="str">
        <x:v>极端压力</x:v>
      </x:c>
      <x:c r="D1461" s="25" t="str">
        <x:v>材料</x:v>
      </x:c>
      <x:c r="E1461" s="25" t="str">
        <x:v>熔原罪火残章</x:v>
      </x:c>
      <x:c r="F1461" s="25" t="n">
        <x:v>1</x:v>
      </x:c>
      <x:c r="G1461" s="25" t="str">
        <x:v>从C0至当前检查点累计需求；未扣自身未来产出，不代表已有库存</x:v>
      </x:c>
    </x:row>
    <x:row r="1462">
      <x:c r="A1462" s="25" t="str">
        <x:v>C08-X</x:v>
      </x:c>
      <x:c r="B1462" s="25" t="str">
        <x:v>巨人山顶</x:v>
      </x:c>
      <x:c r="C1462" s="25" t="str">
        <x:v>极端压力</x:v>
      </x:c>
      <x:c r="D1462" s="25" t="str">
        <x:v>材料</x:v>
      </x:c>
      <x:c r="E1462" s="25" t="str">
        <x:v>熔炉角片</x:v>
      </x:c>
      <x:c r="F1462" s="25" t="n">
        <x:v>1</x:v>
      </x:c>
      <x:c r="G1462" s="25" t="str">
        <x:v>从C0至当前检查点累计需求；未扣自身未来产出，不代表已有库存</x:v>
      </x:c>
    </x:row>
    <x:row r="1463">
      <x:c r="A1463" s="25" t="str">
        <x:v>C08-X</x:v>
      </x:c>
      <x:c r="B1463" s="25" t="str">
        <x:v>巨人山顶</x:v>
      </x:c>
      <x:c r="C1463" s="25" t="str">
        <x:v>极端压力</x:v>
      </x:c>
      <x:c r="D1463" s="25" t="str">
        <x:v>材料</x:v>
      </x:c>
      <x:c r="E1463" s="25" t="str">
        <x:v>猩红矿渣</x:v>
      </x:c>
      <x:c r="F1463" s="25" t="n">
        <x:v>1737</x:v>
      </x:c>
      <x:c r="G1463" s="25" t="str">
        <x:v>从C0至当前检查点累计需求；未扣自身未来产出，不代表已有库存</x:v>
      </x:c>
    </x:row>
    <x:row r="1464">
      <x:c r="A1464" s="25" t="str">
        <x:v>C08-X</x:v>
      </x:c>
      <x:c r="B1464" s="25" t="str">
        <x:v>巨人山顶</x:v>
      </x:c>
      <x:c r="C1464" s="25" t="str">
        <x:v>极端压力</x:v>
      </x:c>
      <x:c r="D1464" s="25" t="str">
        <x:v>材料</x:v>
      </x:c>
      <x:c r="E1464" s="25" t="str">
        <x:v>王城军印</x:v>
      </x:c>
      <x:c r="F1464" s="25" t="n">
        <x:v>1</x:v>
      </x:c>
      <x:c r="G1464" s="25" t="str">
        <x:v>从C0至当前检查点累计需求；未扣自身未来产出，不代表已有库存</x:v>
      </x:c>
    </x:row>
    <x:row r="1465">
      <x:c r="A1465" s="25" t="str">
        <x:v>C08-X</x:v>
      </x:c>
      <x:c r="B1465" s="25" t="str">
        <x:v>巨人山顶</x:v>
      </x:c>
      <x:c r="C1465" s="25" t="str">
        <x:v>极端压力</x:v>
      </x:c>
      <x:c r="D1465" s="25" t="str">
        <x:v>材料</x:v>
      </x:c>
      <x:c r="E1465" s="25" t="str">
        <x:v>王庭炉冠</x:v>
      </x:c>
      <x:c r="F1465" s="25" t="n">
        <x:v>4</x:v>
      </x:c>
      <x:c r="G1465" s="25" t="str">
        <x:v>从C0至当前检查点累计需求；未扣自身未来产出，不代表已有库存</x:v>
      </x:c>
    </x:row>
    <x:row r="1466">
      <x:c r="A1466" s="25" t="str">
        <x:v>C08-X</x:v>
      </x:c>
      <x:c r="B1466" s="25" t="str">
        <x:v>巨人山顶</x:v>
      </x:c>
      <x:c r="C1466" s="25" t="str">
        <x:v>极端压力</x:v>
      </x:c>
      <x:c r="D1466" s="25" t="str">
        <x:v>材料</x:v>
      </x:c>
      <x:c r="E1466" s="25" t="str">
        <x:v>登山铁楔</x:v>
      </x:c>
      <x:c r="F1466" s="25" t="n">
        <x:v>290</x:v>
      </x:c>
      <x:c r="G1466" s="25" t="str">
        <x:v>从C0至当前检查点累计需求；未扣自身未来产出，不代表已有库存</x:v>
      </x:c>
    </x:row>
    <x:row r="1467">
      <x:c r="A1467" s="25" t="str">
        <x:v>C08-X</x:v>
      </x:c>
      <x:c r="B1467" s="25" t="str">
        <x:v>巨人山顶</x:v>
      </x:c>
      <x:c r="C1467" s="25" t="str">
        <x:v>极端压力</x:v>
      </x:c>
      <x:c r="D1467" s="25" t="str">
        <x:v>材料</x:v>
      </x:c>
      <x:c r="E1467" s="25" t="str">
        <x:v>白金纺线</x:v>
      </x:c>
      <x:c r="F1467" s="25" t="n">
        <x:v>60</x:v>
      </x:c>
      <x:c r="G1467" s="25" t="str">
        <x:v>从C0至当前检查点累计需求；未扣自身未来产出，不代表已有库存</x:v>
      </x:c>
    </x:row>
    <x:row r="1468">
      <x:c r="A1468" s="25" t="str">
        <x:v>C08-X</x:v>
      </x:c>
      <x:c r="B1468" s="25" t="str">
        <x:v>巨人山顶</x:v>
      </x:c>
      <x:c r="C1468" s="25" t="str">
        <x:v>极端压力</x:v>
      </x:c>
      <x:c r="D1468" s="25" t="str">
        <x:v>材料</x:v>
      </x:c>
      <x:c r="E1468" s="25" t="str">
        <x:v>白金路标片</x:v>
      </x:c>
      <x:c r="F1468" s="25" t="n">
        <x:v>145</x:v>
      </x:c>
      <x:c r="G1468" s="25" t="str">
        <x:v>从C0至当前检查点累计需求；未扣自身未来产出，不代表已有库存</x:v>
      </x:c>
    </x:row>
    <x:row r="1469">
      <x:c r="A1469" s="25" t="str">
        <x:v>C08-X</x:v>
      </x:c>
      <x:c r="B1469" s="25" t="str">
        <x:v>巨人山顶</x:v>
      </x:c>
      <x:c r="C1469" s="25" t="str">
        <x:v>极端压力</x:v>
      </x:c>
      <x:c r="D1469" s="25" t="str">
        <x:v>材料</x:v>
      </x:c>
      <x:c r="E1469" s="25" t="str">
        <x:v>看门犬石心</x:v>
      </x:c>
      <x:c r="F1469" s="25" t="n">
        <x:v>2</x:v>
      </x:c>
      <x:c r="G1469" s="25" t="str">
        <x:v>从C0至当前检查点累计需求；未扣自身未来产出，不代表已有库存</x:v>
      </x:c>
    </x:row>
    <x:row r="1470">
      <x:c r="A1470" s="25" t="str">
        <x:v>C08-X</x:v>
      </x:c>
      <x:c r="B1470" s="25" t="str">
        <x:v>巨人山顶</x:v>
      </x:c>
      <x:c r="C1470" s="25" t="str">
        <x:v>极端压力</x:v>
      </x:c>
      <x:c r="D1470" s="25" t="str">
        <x:v>材料</x:v>
      </x:c>
      <x:c r="E1470" s="25" t="str">
        <x:v>碎星仪仗钉</x:v>
      </x:c>
      <x:c r="F1470" s="25" t="n">
        <x:v>2</x:v>
      </x:c>
      <x:c r="G1470" s="25" t="str">
        <x:v>从C0至当前检查点累计需求；未扣自身未来产出，不代表已有库存</x:v>
      </x:c>
    </x:row>
    <x:row r="1471">
      <x:c r="A1471" s="25" t="str">
        <x:v>C08-X</x:v>
      </x:c>
      <x:c r="B1471" s="25" t="str">
        <x:v>巨人山顶</x:v>
      </x:c>
      <x:c r="C1471" s="25" t="str">
        <x:v>极端压力</x:v>
      </x:c>
      <x:c r="D1471" s="25" t="str">
        <x:v>材料</x:v>
      </x:c>
      <x:c r="E1471" s="25" t="str">
        <x:v>神秘符文</x:v>
      </x:c>
      <x:c r="F1471" s="25" t="n">
        <x:v>500</x:v>
      </x:c>
      <x:c r="G1471" s="25" t="str">
        <x:v>从C0至当前检查点累计需求；未扣自身未来产出，不代表已有库存</x:v>
      </x:c>
    </x:row>
    <x:row r="1472">
      <x:c r="A1472" s="25" t="str">
        <x:v>C08-X</x:v>
      </x:c>
      <x:c r="B1472" s="25" t="str">
        <x:v>巨人山顶</x:v>
      </x:c>
      <x:c r="C1472" s="25" t="str">
        <x:v>极端压力</x:v>
      </x:c>
      <x:c r="D1472" s="25" t="str">
        <x:v>材料</x:v>
      </x:c>
      <x:c r="E1472" s="25" t="str">
        <x:v>禁域星钥</x:v>
      </x:c>
      <x:c r="F1472" s="25" t="n">
        <x:v>4</x:v>
      </x:c>
      <x:c r="G1472" s="25" t="str">
        <x:v>从C0至当前检查点累计需求；未扣自身未来产出，不代表已有库存</x:v>
      </x:c>
    </x:row>
    <x:row r="1473">
      <x:c r="A1473" s="25" t="str">
        <x:v>C08-X</x:v>
      </x:c>
      <x:c r="B1473" s="25" t="str">
        <x:v>巨人山顶</x:v>
      </x:c>
      <x:c r="C1473" s="25" t="str">
        <x:v>极端压力</x:v>
      </x:c>
      <x:c r="D1473" s="25" t="str">
        <x:v>材料</x:v>
      </x:c>
      <x:c r="E1473" s="25" t="str">
        <x:v>秘树霜芽</x:v>
      </x:c>
      <x:c r="F1473" s="25" t="n">
        <x:v>12</x:v>
      </x:c>
      <x:c r="G1473" s="25" t="str">
        <x:v>从C0至当前检查点累计需求；未扣自身未来产出，不代表已有库存</x:v>
      </x:c>
    </x:row>
    <x:row r="1474">
      <x:c r="A1474" s="25" t="str">
        <x:v>C08-X</x:v>
      </x:c>
      <x:c r="B1474" s="25" t="str">
        <x:v>巨人山顶</x:v>
      </x:c>
      <x:c r="C1474" s="25" t="str">
        <x:v>极端压力</x:v>
      </x:c>
      <x:c r="D1474" s="25" t="str">
        <x:v>材料</x:v>
      </x:c>
      <x:c r="E1474" s="25" t="str">
        <x:v>穹霜碑珀</x:v>
      </x:c>
      <x:c r="F1474" s="25" t="n">
        <x:v>1</x:v>
      </x:c>
      <x:c r="G1474" s="25" t="str">
        <x:v>从C0至当前检查点累计需求；未扣自身未来产出，不代表已有库存</x:v>
      </x:c>
    </x:row>
    <x:row r="1475">
      <x:c r="A1475" s="25" t="str">
        <x:v>C08-X</x:v>
      </x:c>
      <x:c r="B1475" s="25" t="str">
        <x:v>巨人山顶</x:v>
      </x:c>
      <x:c r="C1475" s="25" t="str">
        <x:v>极端压力</x:v>
      </x:c>
      <x:c r="D1475" s="25" t="str">
        <x:v>材料</x:v>
      </x:c>
      <x:c r="E1475" s="25" t="str">
        <x:v>红狮战印</x:v>
      </x:c>
      <x:c r="F1475" s="25" t="n">
        <x:v>42</x:v>
      </x:c>
      <x:c r="G1475" s="25" t="str">
        <x:v>从C0至当前检查点累计需求；未扣自身未来产出，不代表已有库存</x:v>
      </x:c>
    </x:row>
    <x:row r="1476">
      <x:c r="A1476" s="25" t="str">
        <x:v>C08-X</x:v>
      </x:c>
      <x:c r="B1476" s="25" t="str">
        <x:v>巨人山顶</x:v>
      </x:c>
      <x:c r="C1476" s="25" t="str">
        <x:v>极端压力</x:v>
      </x:c>
      <x:c r="D1476" s="25" t="str">
        <x:v>材料</x:v>
      </x:c>
      <x:c r="E1476" s="25" t="str">
        <x:v>腐根魂结</x:v>
      </x:c>
      <x:c r="F1476" s="25" t="n">
        <x:v>2</x:v>
      </x:c>
      <x:c r="G1476" s="25" t="str">
        <x:v>从C0至当前检查点累计需求；未扣自身未来产出，不代表已有库存</x:v>
      </x:c>
    </x:row>
    <x:row r="1477">
      <x:c r="A1477" s="25" t="str">
        <x:v>C08-X</x:v>
      </x:c>
      <x:c r="B1477" s="25" t="str">
        <x:v>巨人山顶</x:v>
      </x:c>
      <x:c r="C1477" s="25" t="str">
        <x:v>极端压力</x:v>
      </x:c>
      <x:c r="D1477" s="25" t="str">
        <x:v>材料</x:v>
      </x:c>
      <x:c r="E1477" s="25" t="str">
        <x:v>裂峰号角片</x:v>
      </x:c>
      <x:c r="F1477" s="25" t="n">
        <x:v>110</x:v>
      </x:c>
      <x:c r="G1477" s="25" t="str">
        <x:v>从C0至当前检查点累计需求；未扣自身未来产出，不代表已有库存</x:v>
      </x:c>
    </x:row>
    <x:row r="1478">
      <x:c r="A1478" s="25" t="str">
        <x:v>C08-X</x:v>
      </x:c>
      <x:c r="B1478" s="25" t="str">
        <x:v>巨人山顶</x:v>
      </x:c>
      <x:c r="C1478" s="25" t="str">
        <x:v>极端压力</x:v>
      </x:c>
      <x:c r="D1478" s="25" t="str">
        <x:v>材料</x:v>
      </x:c>
      <x:c r="E1478" s="25" t="str">
        <x:v>裂风崖羽</x:v>
      </x:c>
      <x:c r="F1478" s="25" t="n">
        <x:v>80</x:v>
      </x:c>
      <x:c r="G1478" s="25" t="str">
        <x:v>从C0至当前检查点累计需求；未扣自身未来产出，不代表已有库存</x:v>
      </x:c>
    </x:row>
    <x:row r="1479">
      <x:c r="A1479" s="25" t="str">
        <x:v>C08-X</x:v>
      </x:c>
      <x:c r="B1479" s="25" t="str">
        <x:v>巨人山顶</x:v>
      </x:c>
      <x:c r="C1479" s="25" t="str">
        <x:v>极端压力</x:v>
      </x:c>
      <x:c r="D1479" s="25" t="str">
        <x:v>材料</x:v>
      </x:c>
      <x:c r="E1479" s="25" t="str">
        <x:v>西境战旗</x:v>
      </x:c>
      <x:c r="F1479" s="25" t="n">
        <x:v>20</x:v>
      </x:c>
      <x:c r="G1479" s="25" t="str">
        <x:v>从C0至当前检查点累计需求；未扣自身未来产出，不代表已有库存</x:v>
      </x:c>
    </x:row>
    <x:row r="1480">
      <x:c r="A1480" s="25" t="str">
        <x:v>C08-X</x:v>
      </x:c>
      <x:c r="B1480" s="25" t="str">
        <x:v>巨人山顶</x:v>
      </x:c>
      <x:c r="C1480" s="25" t="str">
        <x:v>极端压力</x:v>
      </x:c>
      <x:c r="D1480" s="25" t="str">
        <x:v>材料</x:v>
      </x:c>
      <x:c r="E1480" s="25" t="str">
        <x:v>西境战旗印</x:v>
      </x:c>
      <x:c r="F1480" s="25" t="n">
        <x:v>13</x:v>
      </x:c>
      <x:c r="G1480" s="25" t="str">
        <x:v>从C0至当前检查点累计需求；未扣自身未来产出，不代表已有库存</x:v>
      </x:c>
    </x:row>
    <x:row r="1481">
      <x:c r="A1481" s="25" t="str">
        <x:v>C08-X</x:v>
      </x:c>
      <x:c r="B1481" s="25" t="str">
        <x:v>巨人山顶</x:v>
      </x:c>
      <x:c r="C1481" s="25" t="str">
        <x:v>极端压力</x:v>
      </x:c>
      <x:c r="D1481" s="25" t="str">
        <x:v>材料</x:v>
      </x:c>
      <x:c r="E1481" s="25" t="str">
        <x:v>西境风痕碑拓</x:v>
      </x:c>
      <x:c r="F1481" s="25" t="n">
        <x:v>1</x:v>
      </x:c>
      <x:c r="G1481" s="25" t="str">
        <x:v>从C0至当前检查点累计需求；未扣自身未来产出，不代表已有库存</x:v>
      </x:c>
    </x:row>
    <x:row r="1482">
      <x:c r="A1482" s="25" t="str">
        <x:v>C08-X</x:v>
      </x:c>
      <x:c r="B1482" s="25" t="str">
        <x:v>巨人山顶</x:v>
      </x:c>
      <x:c r="C1482" s="25" t="str">
        <x:v>极端压力</x:v>
      </x:c>
      <x:c r="D1482" s="25" t="str">
        <x:v>材料</x:v>
      </x:c>
      <x:c r="E1482" s="25" t="str">
        <x:v>贵胄断指</x:v>
      </x:c>
      <x:c r="F1482" s="25" t="n">
        <x:v>1</x:v>
      </x:c>
      <x:c r="G1482" s="25" t="str">
        <x:v>从C0至当前检查点累计需求；未扣自身未来产出，不代表已有库存</x:v>
      </x:c>
    </x:row>
    <x:row r="1483">
      <x:c r="A1483" s="25" t="str">
        <x:v>C08-X</x:v>
      </x:c>
      <x:c r="B1483" s="25" t="str">
        <x:v>巨人山顶</x:v>
      </x:c>
      <x:c r="C1483" s="25" t="str">
        <x:v>极端压力</x:v>
      </x:c>
      <x:c r="D1483" s="25" t="str">
        <x:v>材料</x:v>
      </x:c>
      <x:c r="E1483" s="25" t="str">
        <x:v>辉石碎晶</x:v>
      </x:c>
      <x:c r="F1483" s="25" t="n">
        <x:v>2170</x:v>
      </x:c>
      <x:c r="G1483" s="25" t="str">
        <x:v>从C0至当前检查点累计需求；未扣自身未来产出，不代表已有库存</x:v>
      </x:c>
    </x:row>
    <x:row r="1484">
      <x:c r="A1484" s="25" t="str">
        <x:v>C08-X</x:v>
      </x:c>
      <x:c r="B1484" s="25" t="str">
        <x:v>巨人山顶</x:v>
      </x:c>
      <x:c r="C1484" s="25" t="str">
        <x:v>极端压力</x:v>
      </x:c>
      <x:c r="D1484" s="25" t="str">
        <x:v>材料</x:v>
      </x:c>
      <x:c r="E1484" s="25" t="str">
        <x:v>野兽骨片</x:v>
      </x:c>
      <x:c r="F1484" s="25" t="n">
        <x:v>53855</x:v>
      </x:c>
      <x:c r="G1484" s="25" t="str">
        <x:v>从C0至当前检查点累计需求；未扣自身未来产出，不代表已有库存</x:v>
      </x:c>
    </x:row>
    <x:row r="1485">
      <x:c r="A1485" s="25" t="str">
        <x:v>C08-X</x:v>
      </x:c>
      <x:c r="B1485" s="25" t="str">
        <x:v>巨人山顶</x:v>
      </x:c>
      <x:c r="C1485" s="25" t="str">
        <x:v>极端压力</x:v>
      </x:c>
      <x:c r="D1485" s="25" t="str">
        <x:v>材料</x:v>
      </x:c>
      <x:c r="E1485" s="25" t="str">
        <x:v>雾月星砂</x:v>
      </x:c>
      <x:c r="F1485" s="25" t="n">
        <x:v>90</x:v>
      </x:c>
      <x:c r="G1485" s="25" t="str">
        <x:v>从C0至当前检查点累计需求；未扣自身未来产出，不代表已有库存</x:v>
      </x:c>
    </x:row>
    <x:row r="1486">
      <x:c r="A1486" s="25" t="str">
        <x:v>C08-X</x:v>
      </x:c>
      <x:c r="B1486" s="25" t="str">
        <x:v>巨人山顶</x:v>
      </x:c>
      <x:c r="C1486" s="25" t="str">
        <x:v>极端压力</x:v>
      </x:c>
      <x:c r="D1486" s="25" t="str">
        <x:v>材料</x:v>
      </x:c>
      <x:c r="E1486" s="25" t="str">
        <x:v>雾潮银鳞</x:v>
      </x:c>
      <x:c r="F1486" s="25" t="n">
        <x:v>272</x:v>
      </x:c>
      <x:c r="G1486" s="25" t="str">
        <x:v>从C0至当前检查点累计需求；未扣自身未来产出，不代表已有库存</x:v>
      </x:c>
    </x:row>
    <x:row r="1487">
      <x:c r="A1487" s="25" t="str">
        <x:v>C08-X</x:v>
      </x:c>
      <x:c r="B1487" s="25" t="str">
        <x:v>巨人山顶</x:v>
      </x:c>
      <x:c r="C1487" s="25" t="str">
        <x:v>极端压力</x:v>
      </x:c>
      <x:c r="D1487" s="25" t="str">
        <x:v>材料</x:v>
      </x:c>
      <x:c r="E1487" s="25" t="str">
        <x:v>霜脊铁</x:v>
      </x:c>
      <x:c r="F1487" s="25" t="n">
        <x:v>4905</x:v>
      </x:c>
      <x:c r="G1487" s="25" t="str">
        <x:v>从C0至当前检查点累计需求；未扣自身未来产出，不代表已有库存</x:v>
      </x:c>
    </x:row>
    <x:row r="1488">
      <x:c r="A1488" s="25" t="str">
        <x:v>C08-X</x:v>
      </x:c>
      <x:c r="B1488" s="25" t="str">
        <x:v>巨人山顶</x:v>
      </x:c>
      <x:c r="C1488" s="25" t="str">
        <x:v>极端压力</x:v>
      </x:c>
      <x:c r="D1488" s="25" t="str">
        <x:v>材料</x:v>
      </x:c>
      <x:c r="E1488" s="25" t="str">
        <x:v>风暴王核</x:v>
      </x:c>
      <x:c r="F1488" s="25" t="n">
        <x:v>1</x:v>
      </x:c>
      <x:c r="G1488" s="25" t="str">
        <x:v>从C0至当前检查点累计需求；未扣自身未来产出，不代表已有库存</x:v>
      </x:c>
    </x:row>
    <x:row r="1489">
      <x:c r="A1489" s="25" t="str">
        <x:v>C08-X</x:v>
      </x:c>
      <x:c r="B1489" s="25" t="str">
        <x:v>巨人山顶</x:v>
      </x:c>
      <x:c r="C1489" s="25" t="str">
        <x:v>极端压力</x:v>
      </x:c>
      <x:c r="D1489" s="25" t="str">
        <x:v>材料</x:v>
      </x:c>
      <x:c r="E1489" s="25" t="str">
        <x:v>风暴石片</x:v>
      </x:c>
      <x:c r="F1489" s="25" t="n">
        <x:v>370</x:v>
      </x:c>
      <x:c r="G1489" s="25" t="str">
        <x:v>从C0至当前检查点累计需求；未扣自身未来产出，不代表已有库存</x:v>
      </x:c>
    </x:row>
    <x:row r="1490">
      <x:c r="A1490" s="25" t="str">
        <x:v>C08-X</x:v>
      </x:c>
      <x:c r="B1490" s="25" t="str">
        <x:v>巨人山顶</x:v>
      </x:c>
      <x:c r="C1490" s="25" t="str">
        <x:v>极端压力</x:v>
      </x:c>
      <x:c r="D1490" s="25" t="str">
        <x:v>材料</x:v>
      </x:c>
      <x:c r="E1490" s="25" t="str">
        <x:v>风蚀铁片</x:v>
      </x:c>
      <x:c r="F1490" s="25" t="n">
        <x:v>710</x:v>
      </x:c>
      <x:c r="G1490" s="25" t="str">
        <x:v>从C0至当前检查点累计需求；未扣自身未来产出，不代表已有库存</x:v>
      </x:c>
    </x:row>
    <x:row r="1491">
      <x:c r="A1491" s="25" t="str">
        <x:v>C08-X</x:v>
      </x:c>
      <x:c r="B1491" s="25" t="str">
        <x:v>巨人山顶</x:v>
      </x:c>
      <x:c r="C1491" s="25" t="str">
        <x:v>极端压力</x:v>
      </x:c>
      <x:c r="D1491" s="25" t="str">
        <x:v>材料</x:v>
      </x:c>
      <x:c r="E1491" s="25" t="str">
        <x:v>黄金树碎核</x:v>
      </x:c>
      <x:c r="F1491" s="25" t="n">
        <x:v>2</x:v>
      </x:c>
      <x:c r="G1491" s="25" t="str">
        <x:v>从C0至当前检查点累计需求；未扣自身未来产出，不代表已有库存</x:v>
      </x:c>
    </x:row>
    <x:row r="1492">
      <x:c r="A1492" s="25" t="str">
        <x:v>C08-X</x:v>
      </x:c>
      <x:c r="B1492" s="25" t="str">
        <x:v>巨人山顶</x:v>
      </x:c>
      <x:c r="C1492" s="25" t="str">
        <x:v>极端压力</x:v>
      </x:c>
      <x:c r="D1492" s="25" t="str">
        <x:v>材料</x:v>
      </x:c>
      <x:c r="E1492" s="25" t="str">
        <x:v>黄金树芽</x:v>
      </x:c>
      <x:c r="F1492" s="25" t="n">
        <x:v>297</x:v>
      </x:c>
      <x:c r="G1492" s="25" t="str">
        <x:v>从C0至当前检查点累计需求；未扣自身未来产出，不代表已有库存</x:v>
      </x:c>
    </x:row>
    <x:row r="1493">
      <x:c r="A1493" s="25" t="str">
        <x:v>C08-X</x:v>
      </x:c>
      <x:c r="B1493" s="25" t="str">
        <x:v>巨人山顶</x:v>
      </x:c>
      <x:c r="C1493" s="25" t="str">
        <x:v>极端压力</x:v>
      </x:c>
      <x:c r="D1493" s="25" t="str">
        <x:v>材料</x:v>
      </x:c>
      <x:c r="E1493" s="25" t="str">
        <x:v>黄金骑徽</x:v>
      </x:c>
      <x:c r="F1493" s="25" t="n">
        <x:v>2</x:v>
      </x:c>
      <x:c r="G1493" s="25" t="str">
        <x:v>从C0至当前检查点累计需求；未扣自身未来产出，不代表已有库存</x:v>
      </x:c>
    </x:row>
    <x:row r="1494">
      <x:c r="A1494" s="25" t="str">
        <x:v>C08-X</x:v>
      </x:c>
      <x:c r="B1494" s="25" t="str">
        <x:v>巨人山顶</x:v>
      </x:c>
      <x:c r="C1494" s="25" t="str">
        <x:v>极端压力</x:v>
      </x:c>
      <x:c r="D1494" s="25" t="str">
        <x:v>材料</x:v>
      </x:c>
      <x:c r="E1494" s="25" t="str">
        <x:v>龙火鳞</x:v>
      </x:c>
      <x:c r="F1494" s="25" t="n">
        <x:v>38</x:v>
      </x:c>
      <x:c r="G1494" s="25" t="str">
        <x:v>从C0至当前检查点累计需求；未扣自身未来产出，不代表已有库存</x:v>
      </x:c>
    </x:row>
    <x:row r="1495">
      <x:c r="A1495" s="25" t="str">
        <x:v>C08-X</x:v>
      </x:c>
      <x:c r="B1495" s="25" t="str">
        <x:v>巨人山顶</x:v>
      </x:c>
      <x:c r="C1495" s="25" t="str">
        <x:v>极端压力</x:v>
      </x:c>
      <x:c r="D1495" s="25" t="str">
        <x:v>装备实物</x:v>
      </x:c>
      <x:c r="E1495" s="25" t="str">
        <x:v>共471个精确名称（明细见JSON）</x:v>
      </x:c>
      <x:c r="F1495" s="25" t="n">
        <x:v>671</x:v>
      </x:c>
      <x:c r="G1495" s="25" t="str">
        <x:v>含穿戴、重复试洗、图鉴登记与合成前置；完整数据未省略</x:v>
      </x:c>
    </x:row>
    <x:row r="1496">
      <x:c r="A1496" s="25" t="str">
        <x:v>C09-E</x:v>
      </x:c>
      <x:c r="B1496" s="25" t="str">
        <x:v>亚坛高原</x:v>
      </x:c>
      <x:c r="C1496" s="25" t="str">
        <x:v>半急速入场</x:v>
      </x:c>
      <x:c r="D1496" s="25" t="str">
        <x:v>材料</x:v>
      </x:c>
      <x:c r="E1496" s="25" t="str">
        <x:v>兽将脊骨</x:v>
      </x:c>
      <x:c r="F1496" s="25" t="n">
        <x:v>1</x:v>
      </x:c>
      <x:c r="G1496" s="25" t="str">
        <x:v>从C0至当前检查点累计需求；未扣自身未来产出，不代表已有库存</x:v>
      </x:c>
    </x:row>
    <x:row r="1497">
      <x:c r="A1497" s="25" t="str">
        <x:v>C09-E</x:v>
      </x:c>
      <x:c r="B1497" s="25" t="str">
        <x:v>亚坛高原</x:v>
      </x:c>
      <x:c r="C1497" s="25" t="str">
        <x:v>半急速入场</x:v>
      </x:c>
      <x:c r="D1497" s="25" t="str">
        <x:v>材料</x:v>
      </x:c>
      <x:c r="E1497" s="25" t="str">
        <x:v>冰宫守门铃</x:v>
      </x:c>
      <x:c r="F1497" s="25" t="n">
        <x:v>12</x:v>
      </x:c>
      <x:c r="G1497" s="25" t="str">
        <x:v>从C0至当前检查点累计需求；未扣自身未来产出，不代表已有库存</x:v>
      </x:c>
    </x:row>
    <x:row r="1498">
      <x:c r="A1498" s="25" t="str">
        <x:v>C09-E</x:v>
      </x:c>
      <x:c r="B1498" s="25" t="str">
        <x:v>亚坛高原</x:v>
      </x:c>
      <x:c r="C1498" s="25" t="str">
        <x:v>半急速入场</x:v>
      </x:c>
      <x:c r="D1498" s="25" t="str">
        <x:v>材料</x:v>
      </x:c>
      <x:c r="E1498" s="25" t="str">
        <x:v>冻原银角</x:v>
      </x:c>
      <x:c r="F1498" s="25" t="n">
        <x:v>30</x:v>
      </x:c>
      <x:c r="G1498" s="25" t="str">
        <x:v>从C0至当前检查点累计需求；未扣自身未来产出，不代表已有库存</x:v>
      </x:c>
    </x:row>
    <x:row r="1499">
      <x:c r="A1499" s="25" t="str">
        <x:v>C09-E</x:v>
      </x:c>
      <x:c r="B1499" s="25" t="str">
        <x:v>亚坛高原</x:v>
      </x:c>
      <x:c r="C1499" s="25" t="str">
        <x:v>半急速入场</x:v>
      </x:c>
      <x:c r="D1499" s="25" t="str">
        <x:v>材料</x:v>
      </x:c>
      <x:c r="E1499" s="25" t="str">
        <x:v>冻晶尘</x:v>
      </x:c>
      <x:c r="F1499" s="25" t="n">
        <x:v>1720</x:v>
      </x:c>
      <x:c r="G1499" s="25" t="str">
        <x:v>从C0至当前检查点累计需求；未扣自身未来产出，不代表已有库存</x:v>
      </x:c>
    </x:row>
    <x:row r="1500">
      <x:c r="A1500" s="25" t="str">
        <x:v>C09-E</x:v>
      </x:c>
      <x:c r="B1500" s="25" t="str">
        <x:v>亚坛高原</x:v>
      </x:c>
      <x:c r="C1500" s="25" t="str">
        <x:v>半急速入场</x:v>
      </x:c>
      <x:c r="D1500" s="25" t="str">
        <x:v>材料</x:v>
      </x:c>
      <x:c r="E1500" s="25" t="str">
        <x:v>净火腺囊</x:v>
      </x:c>
      <x:c r="F1500" s="25" t="n">
        <x:v>44</x:v>
      </x:c>
      <x:c r="G1500" s="25" t="str">
        <x:v>从C0至当前检查点累计需求；未扣自身未来产出，不代表已有库存</x:v>
      </x:c>
    </x:row>
    <x:row r="1501">
      <x:c r="A1501" s="25" t="str">
        <x:v>C09-E</x:v>
      </x:c>
      <x:c r="B1501" s="25" t="str">
        <x:v>亚坛高原</x:v>
      </x:c>
      <x:c r="C1501" s="25" t="str">
        <x:v>半急速入场</x:v>
      </x:c>
      <x:c r="D1501" s="25" t="str">
        <x:v>材料</x:v>
      </x:c>
      <x:c r="E1501" s="25" t="str">
        <x:v>卡利亚月露</x:v>
      </x:c>
      <x:c r="F1501" s="25" t="n">
        <x:v>36</x:v>
      </x:c>
      <x:c r="G1501" s="25" t="str">
        <x:v>从C0至当前检查点累计需求；未扣自身未来产出，不代表已有库存</x:v>
      </x:c>
    </x:row>
    <x:row r="1502">
      <x:c r="A1502" s="25" t="str">
        <x:v>C09-E</x:v>
      </x:c>
      <x:c r="B1502" s="25" t="str">
        <x:v>亚坛高原</x:v>
      </x:c>
      <x:c r="C1502" s="25" t="str">
        <x:v>半急速入场</x:v>
      </x:c>
      <x:c r="D1502" s="25" t="str">
        <x:v>材料</x:v>
      </x:c>
      <x:c r="E1502" s="25" t="str">
        <x:v>哨垒旗冠</x:v>
      </x:c>
      <x:c r="F1502" s="25" t="n">
        <x:v>3</x:v>
      </x:c>
      <x:c r="G1502" s="25" t="str">
        <x:v>从C0至当前检查点累计需求；未扣自身未来产出，不代表已有库存</x:v>
      </x:c>
    </x:row>
    <x:row r="1503">
      <x:c r="A1503" s="25" t="str">
        <x:v>C09-E</x:v>
      </x:c>
      <x:c r="B1503" s="25" t="str">
        <x:v>亚坛高原</x:v>
      </x:c>
      <x:c r="C1503" s="25" t="str">
        <x:v>半急速入场</x:v>
      </x:c>
      <x:c r="D1503" s="25" t="str">
        <x:v>材料</x:v>
      </x:c>
      <x:c r="E1503" s="25" t="str">
        <x:v>唤船骨铃</x:v>
      </x:c>
      <x:c r="F1503" s="25" t="n">
        <x:v>1</x:v>
      </x:c>
      <x:c r="G1503" s="25" t="str">
        <x:v>从C0至当前检查点累计需求；未扣自身未来产出，不代表已有库存</x:v>
      </x:c>
    </x:row>
    <x:row r="1504">
      <x:c r="A1504" s="25" t="str">
        <x:v>C09-E</x:v>
      </x:c>
      <x:c r="B1504" s="25" t="str">
        <x:v>亚坛高原</x:v>
      </x:c>
      <x:c r="C1504" s="25" t="str">
        <x:v>半急速入场</x:v>
      </x:c>
      <x:c r="D1504" s="25" t="str">
        <x:v>材料</x:v>
      </x:c>
      <x:c r="E1504" s="25" t="str">
        <x:v>商队火漆</x:v>
      </x:c>
      <x:c r="F1504" s="25" t="n">
        <x:v>20</x:v>
      </x:c>
      <x:c r="G1504" s="25" t="str">
        <x:v>从C0至当前检查点累计需求；未扣自身未来产出，不代表已有库存</x:v>
      </x:c>
    </x:row>
    <x:row r="1505">
      <x:c r="A1505" s="25" t="str">
        <x:v>C09-E</x:v>
      </x:c>
      <x:c r="B1505" s="25" t="str">
        <x:v>亚坛高原</x:v>
      </x:c>
      <x:c r="C1505" s="25" t="str">
        <x:v>半急速入场</x:v>
      </x:c>
      <x:c r="D1505" s="25" t="str">
        <x:v>材料</x:v>
      </x:c>
      <x:c r="E1505" s="25" t="str">
        <x:v>圣雪誓印</x:v>
      </x:c>
      <x:c r="F1505" s="25" t="n">
        <x:v>53</x:v>
      </x:c>
      <x:c r="G1505" s="25" t="str">
        <x:v>从C0至当前检查点累计需求；未扣自身未来产出，不代表已有库存</x:v>
      </x:c>
    </x:row>
    <x:row r="1506">
      <x:c r="A1506" s="25" t="str">
        <x:v>C09-E</x:v>
      </x:c>
      <x:c r="B1506" s="25" t="str">
        <x:v>亚坛高原</x:v>
      </x:c>
      <x:c r="C1506" s="25" t="str">
        <x:v>半急速入场</x:v>
      </x:c>
      <x:c r="D1506" s="25" t="str">
        <x:v>材料</x:v>
      </x:c>
      <x:c r="E1506" s="25" t="str">
        <x:v>圣雪门楔</x:v>
      </x:c>
      <x:c r="F1506" s="25" t="n">
        <x:v>4</x:v>
      </x:c>
      <x:c r="G1506" s="25" t="str">
        <x:v>从C0至当前检查点累计需求；未扣自身未来产出，不代表已有库存</x:v>
      </x:c>
    </x:row>
    <x:row r="1507">
      <x:c r="A1507" s="25" t="str">
        <x:v>C09-E</x:v>
      </x:c>
      <x:c r="B1507" s="25" t="str">
        <x:v>亚坛高原</x:v>
      </x:c>
      <x:c r="C1507" s="25" t="str">
        <x:v>半急速入场</x:v>
      </x:c>
      <x:c r="D1507" s="25" t="str">
        <x:v>材料</x:v>
      </x:c>
      <x:c r="E1507" s="25" t="str">
        <x:v>夜骑黑印</x:v>
      </x:c>
      <x:c r="F1507" s="25" t="n">
        <x:v>1</x:v>
      </x:c>
      <x:c r="G1507" s="25" t="str">
        <x:v>从C0至当前检查点累计需求；未扣自身未来产出，不代表已有库存</x:v>
      </x:c>
    </x:row>
    <x:row r="1508">
      <x:c r="A1508" s="25" t="str">
        <x:v>C09-E</x:v>
      </x:c>
      <x:c r="B1508" s="25" t="str">
        <x:v>亚坛高原</x:v>
      </x:c>
      <x:c r="C1508" s="25" t="str">
        <x:v>半急速入场</x:v>
      </x:c>
      <x:c r="D1508" s="25" t="str">
        <x:v>材料</x:v>
      </x:c>
      <x:c r="E1508" s="25" t="str">
        <x:v>大卢恩</x:v>
      </x:c>
      <x:c r="F1508" s="25" t="n">
        <x:v>350</x:v>
      </x:c>
      <x:c r="G1508" s="25" t="str">
        <x:v>从C0至当前检查点累计需求；未扣自身未来产出，不代表已有库存</x:v>
      </x:c>
    </x:row>
    <x:row r="1509">
      <x:c r="A1509" s="25" t="str">
        <x:v>C09-E</x:v>
      </x:c>
      <x:c r="B1509" s="25" t="str">
        <x:v>亚坛高原</x:v>
      </x:c>
      <x:c r="C1509" s="25" t="str">
        <x:v>半急速入场</x:v>
      </x:c>
      <x:c r="D1509" s="25" t="str">
        <x:v>材料</x:v>
      </x:c>
      <x:c r="E1509" s="25" t="str">
        <x:v>失乡军令</x:v>
      </x:c>
      <x:c r="F1509" s="25" t="n">
        <x:v>2</x:v>
      </x:c>
      <x:c r="G1509" s="25" t="str">
        <x:v>从C0至当前检查点累计需求；未扣自身未来产出，不代表已有库存</x:v>
      </x:c>
    </x:row>
    <x:row r="1510">
      <x:c r="A1510" s="25" t="str">
        <x:v>C09-E</x:v>
      </x:c>
      <x:c r="B1510" s="25" t="str">
        <x:v>亚坛高原</x:v>
      </x:c>
      <x:c r="C1510" s="25" t="str">
        <x:v>半急速入场</x:v>
      </x:c>
      <x:c r="D1510" s="25" t="str">
        <x:v>材料</x:v>
      </x:c>
      <x:c r="E1510" s="25" t="str">
        <x:v>失乡统帅徽</x:v>
      </x:c>
      <x:c r="F1510" s="25" t="n">
        <x:v>2</x:v>
      </x:c>
      <x:c r="G1510" s="25" t="str">
        <x:v>从C0至当前检查点累计需求；未扣自身未来产出，不代表已有库存</x:v>
      </x:c>
    </x:row>
    <x:row r="1511">
      <x:c r="A1511" s="25" t="str">
        <x:v>C09-E</x:v>
      </x:c>
      <x:c r="B1511" s="25" t="str">
        <x:v>亚坛高原</x:v>
      </x:c>
      <x:c r="C1511" s="25" t="str">
        <x:v>半急速入场</x:v>
      </x:c>
      <x:c r="D1511" s="25" t="str">
        <x:v>材料</x:v>
      </x:c>
      <x:c r="E1511" s="25" t="str">
        <x:v>失色锻造石</x:v>
      </x:c>
      <x:c r="F1511" s="25" t="n">
        <x:v>37200</x:v>
      </x:c>
      <x:c r="G1511" s="25" t="str">
        <x:v>从C0至当前检查点累计需求；未扣自身未来产出，不代表已有库存</x:v>
      </x:c>
    </x:row>
    <x:row r="1512">
      <x:c r="A1512" s="25" t="str">
        <x:v>C09-E</x:v>
      </x:c>
      <x:c r="B1512" s="25" t="str">
        <x:v>亚坛高原</x:v>
      </x:c>
      <x:c r="C1512" s="25" t="str">
        <x:v>半急速入场</x:v>
      </x:c>
      <x:c r="D1512" s="25" t="str">
        <x:v>材料</x:v>
      </x:c>
      <x:c r="E1512" s="25" t="str">
        <x:v>学院封蜡</x:v>
      </x:c>
      <x:c r="F1512" s="25" t="n">
        <x:v>24</x:v>
      </x:c>
      <x:c r="G1512" s="25" t="str">
        <x:v>从C0至当前检查点累计需求；未扣自身未来产出，不代表已有库存</x:v>
      </x:c>
    </x:row>
    <x:row r="1513">
      <x:c r="A1513" s="25" t="str">
        <x:v>C09-E</x:v>
      </x:c>
      <x:c r="B1513" s="25" t="str">
        <x:v>亚坛高原</x:v>
      </x:c>
      <x:c r="C1513" s="25" t="str">
        <x:v>半急速入场</x:v>
      </x:c>
      <x:c r="D1513" s="25" t="str">
        <x:v>材料</x:v>
      </x:c>
      <x:c r="E1513" s="25" t="str">
        <x:v>宁姆格福誓页</x:v>
      </x:c>
      <x:c r="F1513" s="25" t="n">
        <x:v>90</x:v>
      </x:c>
      <x:c r="G1513" s="25" t="str">
        <x:v>从C0至当前检查点累计需求；未扣自身未来产出，不代表已有库存</x:v>
      </x:c>
    </x:row>
    <x:row r="1514">
      <x:c r="A1514" s="25" t="str">
        <x:v>C09-E</x:v>
      </x:c>
      <x:c r="B1514" s="25" t="str">
        <x:v>亚坛高原</x:v>
      </x:c>
      <x:c r="C1514" s="25" t="str">
        <x:v>半急速入场</x:v>
      </x:c>
      <x:c r="D1514" s="25" t="str">
        <x:v>材料</x:v>
      </x:c>
      <x:c r="E1514" s="25" t="str">
        <x:v>小卢恩</x:v>
      </x:c>
      <x:c r="F1514" s="25" t="n">
        <x:v>250</x:v>
      </x:c>
      <x:c r="G1514" s="25" t="str">
        <x:v>从C0至当前检查点累计需求；未扣自身未来产出，不代表已有库存</x:v>
      </x:c>
    </x:row>
    <x:row r="1515">
      <x:c r="A1515" s="25" t="str">
        <x:v>C09-E</x:v>
      </x:c>
      <x:c r="B1515" s="25" t="str">
        <x:v>亚坛高原</x:v>
      </x:c>
      <x:c r="C1515" s="25" t="str">
        <x:v>半急速入场</x:v>
      </x:c>
      <x:c r="D1515" s="25" t="str">
        <x:v>材料</x:v>
      </x:c>
      <x:c r="E1515" s="25" t="str">
        <x:v>山妖王角</x:v>
      </x:c>
      <x:c r="F1515" s="25" t="n">
        <x:v>2</x:v>
      </x:c>
      <x:c r="G1515" s="25" t="str">
        <x:v>从C0至当前检查点累计需求；未扣自身未来产出，不代表已有库存</x:v>
      </x:c>
    </x:row>
    <x:row r="1516">
      <x:c r="A1516" s="25" t="str">
        <x:v>C09-E</x:v>
      </x:c>
      <x:c r="B1516" s="25" t="str">
        <x:v>亚坛高原</x:v>
      </x:c>
      <x:c r="C1516" s="25" t="str">
        <x:v>半急速入场</x:v>
      </x:c>
      <x:c r="D1516" s="25" t="str">
        <x:v>材料</x:v>
      </x:c>
      <x:c r="E1516" s="25" t="str">
        <x:v>巨人火印</x:v>
      </x:c>
      <x:c r="F1516" s="25" t="n">
        <x:v>41</x:v>
      </x:c>
      <x:c r="G1516" s="25" t="str">
        <x:v>从C0至当前检查点累计需求；未扣自身未来产出，不代表已有库存</x:v>
      </x:c>
    </x:row>
    <x:row r="1517">
      <x:c r="A1517" s="25" t="str">
        <x:v>C09-E</x:v>
      </x:c>
      <x:c r="B1517" s="25" t="str">
        <x:v>亚坛高原</x:v>
      </x:c>
      <x:c r="C1517" s="25" t="str">
        <x:v>半急速入场</x:v>
      </x:c>
      <x:c r="D1517" s="25" t="str">
        <x:v>材料</x:v>
      </x:c>
      <x:c r="E1517" s="25" t="str">
        <x:v>巨人火种</x:v>
      </x:c>
      <x:c r="F1517" s="25" t="n">
        <x:v>65</x:v>
      </x:c>
      <x:c r="G1517" s="25" t="str">
        <x:v>从C0至当前检查点累计需求；未扣自身未来产出，不代表已有库存</x:v>
      </x:c>
    </x:row>
    <x:row r="1518">
      <x:c r="A1518" s="25" t="str">
        <x:v>C09-E</x:v>
      </x:c>
      <x:c r="B1518" s="25" t="str">
        <x:v>亚坛高原</x:v>
      </x:c>
      <x:c r="C1518" s="25" t="str">
        <x:v>半急速入场</x:v>
      </x:c>
      <x:c r="D1518" s="25" t="str">
        <x:v>材料</x:v>
      </x:c>
      <x:c r="E1518" s="25" t="str">
        <x:v>巨人熔火卢恩</x:v>
      </x:c>
      <x:c r="F1518" s="25" t="n">
        <x:v>450</x:v>
      </x:c>
      <x:c r="G1518" s="25" t="str">
        <x:v>从C0至当前检查点累计需求；未扣自身未来产出，不代表已有库存</x:v>
      </x:c>
    </x:row>
    <x:row r="1519">
      <x:c r="A1519" s="25" t="str">
        <x:v>C09-E</x:v>
      </x:c>
      <x:c r="B1519" s="25" t="str">
        <x:v>亚坛高原</x:v>
      </x:c>
      <x:c r="C1519" s="25" t="str">
        <x:v>半急速入场</x:v>
      </x:c>
      <x:c r="D1519" s="25" t="str">
        <x:v>材料</x:v>
      </x:c>
      <x:c r="E1519" s="25" t="str">
        <x:v>幽船铆钉</x:v>
      </x:c>
      <x:c r="F1519" s="25" t="n">
        <x:v>21</x:v>
      </x:c>
      <x:c r="G1519" s="25" t="str">
        <x:v>从C0至当前检查点累计需求；未扣自身未来产出，不代表已有库存</x:v>
      </x:c>
    </x:row>
    <x:row r="1520">
      <x:c r="A1520" s="25" t="str">
        <x:v>C09-E</x:v>
      </x:c>
      <x:c r="B1520" s="25" t="str">
        <x:v>亚坛高原</x:v>
      </x:c>
      <x:c r="C1520" s="25" t="str">
        <x:v>半急速入场</x:v>
      </x:c>
      <x:c r="D1520" s="25" t="str">
        <x:v>材料</x:v>
      </x:c>
      <x:c r="E1520" s="25" t="str">
        <x:v>恶兆残角</x:v>
      </x:c>
      <x:c r="F1520" s="25" t="n">
        <x:v>1</x:v>
      </x:c>
      <x:c r="G1520" s="25" t="str">
        <x:v>从C0至当前检查点累计需求；未扣自身未来产出，不代表已有库存</x:v>
      </x:c>
    </x:row>
    <x:row r="1521">
      <x:c r="A1521" s="25" t="str">
        <x:v>C09-E</x:v>
      </x:c>
      <x:c r="B1521" s="25" t="str">
        <x:v>亚坛高原</x:v>
      </x:c>
      <x:c r="C1521" s="25" t="str">
        <x:v>半急速入场</x:v>
      </x:c>
      <x:c r="D1521" s="25" t="str">
        <x:v>材料</x:v>
      </x:c>
      <x:c r="E1521" s="25" t="str">
        <x:v>技能残页</x:v>
      </x:c>
      <x:c r="F1521" s="25" t="n">
        <x:v>1350</x:v>
      </x:c>
      <x:c r="G1521" s="25" t="str">
        <x:v>从C0至当前检查点累计需求；未扣自身未来产出，不代表已有库存</x:v>
      </x:c>
    </x:row>
    <x:row r="1522">
      <x:c r="A1522" s="25" t="str">
        <x:v>C09-E</x:v>
      </x:c>
      <x:c r="B1522" s="25" t="str">
        <x:v>亚坛高原</x:v>
      </x:c>
      <x:c r="C1522" s="25" t="str">
        <x:v>半急速入场</x:v>
      </x:c>
      <x:c r="D1522" s="25" t="str">
        <x:v>材料</x:v>
      </x:c>
      <x:c r="E1522" s="25" t="str">
        <x:v>接肢兽心</x:v>
      </x:c>
      <x:c r="F1522" s="25" t="n">
        <x:v>2</x:v>
      </x:c>
      <x:c r="G1522" s="25" t="str">
        <x:v>从C0至当前检查点累计需求；未扣自身未来产出，不代表已有库存</x:v>
      </x:c>
    </x:row>
    <x:row r="1523">
      <x:c r="A1523" s="25" t="str">
        <x:v>C09-E</x:v>
      </x:c>
      <x:c r="B1523" s="25" t="str">
        <x:v>亚坛高原</x:v>
      </x:c>
      <x:c r="C1523" s="25" t="str">
        <x:v>半急速入场</x:v>
      </x:c>
      <x:c r="D1523" s="25" t="str">
        <x:v>材料</x:v>
      </x:c>
      <x:c r="E1523" s="25" t="str">
        <x:v>接肢王印</x:v>
      </x:c>
      <x:c r="F1523" s="25" t="n">
        <x:v>13</x:v>
      </x:c>
      <x:c r="G1523" s="25" t="str">
        <x:v>从C0至当前检查点累计需求；未扣自身未来产出，不代表已有库存</x:v>
      </x:c>
    </x:row>
    <x:row r="1524">
      <x:c r="A1524" s="25" t="str">
        <x:v>C09-E</x:v>
      </x:c>
      <x:c r="B1524" s="25" t="str">
        <x:v>亚坛高原</x:v>
      </x:c>
      <x:c r="C1524" s="25" t="str">
        <x:v>半急速入场</x:v>
      </x:c>
      <x:c r="D1524" s="25" t="str">
        <x:v>材料</x:v>
      </x:c>
      <x:c r="E1524" s="25" t="str">
        <x:v>接肢王魂</x:v>
      </x:c>
      <x:c r="F1524" s="25" t="n">
        <x:v>1</x:v>
      </x:c>
      <x:c r="G1524" s="25" t="str">
        <x:v>从C0至当前检查点累计需求；未扣自身未来产出，不代表已有库存</x:v>
      </x:c>
    </x:row>
    <x:row r="1525">
      <x:c r="A1525" s="25" t="str">
        <x:v>C09-E</x:v>
      </x:c>
      <x:c r="B1525" s="25" t="str">
        <x:v>亚坛高原</x:v>
      </x:c>
      <x:c r="C1525" s="25" t="str">
        <x:v>半急速入场</x:v>
      </x:c>
      <x:c r="D1525" s="25" t="str">
        <x:v>材料</x:v>
      </x:c>
      <x:c r="E1525" s="25" t="str">
        <x:v>月潮忆珀</x:v>
      </x:c>
      <x:c r="F1525" s="25" t="n">
        <x:v>1</x:v>
      </x:c>
      <x:c r="G1525" s="25" t="str">
        <x:v>从C0至当前检查点累计需求；未扣自身未来产出，不代表已有库存</x:v>
      </x:c>
    </x:row>
    <x:row r="1526">
      <x:c r="A1526" s="25" t="str">
        <x:v>C09-E</x:v>
      </x:c>
      <x:c r="B1526" s="25" t="str">
        <x:v>亚坛高原</x:v>
      </x:c>
      <x:c r="C1526" s="25" t="str">
        <x:v>半急速入场</x:v>
      </x:c>
      <x:c r="D1526" s="25" t="str">
        <x:v>材料</x:v>
      </x:c>
      <x:c r="E1526" s="25" t="str">
        <x:v>月蚀镜片</x:v>
      </x:c>
      <x:c r="F1526" s="25" t="n">
        <x:v>21</x:v>
      </x:c>
      <x:c r="G1526" s="25" t="str">
        <x:v>从C0至当前检查点累计需求；未扣自身未来产出，不代表已有库存</x:v>
      </x:c>
    </x:row>
    <x:row r="1527">
      <x:c r="A1527" s="25" t="str">
        <x:v>C09-E</x:v>
      </x:c>
      <x:c r="B1527" s="25" t="str">
        <x:v>亚坛高原</x:v>
      </x:c>
      <x:c r="C1527" s="25" t="str">
        <x:v>半急速入场</x:v>
      </x:c>
      <x:c r="D1527" s="25" t="str">
        <x:v>材料</x:v>
      </x:c>
      <x:c r="E1527" s="25" t="str">
        <x:v>树卫枪穗</x:v>
      </x:c>
      <x:c r="F1527" s="25" t="n">
        <x:v>1</x:v>
      </x:c>
      <x:c r="G1527" s="25" t="str">
        <x:v>从C0至当前检查点累计需求；未扣自身未来产出，不代表已有库存</x:v>
      </x:c>
    </x:row>
    <x:row r="1528">
      <x:c r="A1528" s="25" t="str">
        <x:v>C09-E</x:v>
      </x:c>
      <x:c r="B1528" s="25" t="str">
        <x:v>亚坛高原</x:v>
      </x:c>
      <x:c r="C1528" s="25" t="str">
        <x:v>半急速入场</x:v>
      </x:c>
      <x:c r="D1528" s="25" t="str">
        <x:v>材料</x:v>
      </x:c>
      <x:c r="E1528" s="25" t="str">
        <x:v>死亡仪羽</x:v>
      </x:c>
      <x:c r="F1528" s="25" t="n">
        <x:v>2</x:v>
      </x:c>
      <x:c r="G1528" s="25" t="str">
        <x:v>从C0至当前检查点累计需求；未扣自身未来产出，不代表已有库存</x:v>
      </x:c>
    </x:row>
    <x:row r="1529">
      <x:c r="A1529" s="25" t="str">
        <x:v>C09-E</x:v>
      </x:c>
      <x:c r="B1529" s="25" t="str">
        <x:v>亚坛高原</x:v>
      </x:c>
      <x:c r="C1529" s="25" t="str">
        <x:v>半急速入场</x:v>
      </x:c>
      <x:c r="D1529" s="25" t="str">
        <x:v>材料</x:v>
      </x:c>
      <x:c r="E1529" s="25" t="str">
        <x:v>永霜朝圣痕</x:v>
      </x:c>
      <x:c r="F1529" s="25" t="n">
        <x:v>1</x:v>
      </x:c>
      <x:c r="G1529" s="25" t="str">
        <x:v>从C0至当前检查点累计需求；未扣自身未来产出，不代表已有库存</x:v>
      </x:c>
    </x:row>
    <x:row r="1530">
      <x:c r="A1530" s="25" t="str">
        <x:v>C09-E</x:v>
      </x:c>
      <x:c r="B1530" s="25" t="str">
        <x:v>亚坛高原</x:v>
      </x:c>
      <x:c r="C1530" s="25" t="str">
        <x:v>半急速入场</x:v>
      </x:c>
      <x:c r="D1530" s="25" t="str">
        <x:v>材料</x:v>
      </x:c>
      <x:c r="E1530" s="25" t="str">
        <x:v>沉湖王印</x:v>
      </x:c>
      <x:c r="F1530" s="25" t="n">
        <x:v>16</x:v>
      </x:c>
      <x:c r="G1530" s="25" t="str">
        <x:v>从C0至当前检查点累计需求；未扣自身未来产出，不代表已有库存</x:v>
      </x:c>
    </x:row>
    <x:row r="1531">
      <x:c r="A1531" s="25" t="str">
        <x:v>C09-E</x:v>
      </x:c>
      <x:c r="B1531" s="25" t="str">
        <x:v>亚坛高原</x:v>
      </x:c>
      <x:c r="C1531" s="25" t="str">
        <x:v>半急速入场</x:v>
      </x:c>
      <x:c r="D1531" s="25" t="str">
        <x:v>材料</x:v>
      </x:c>
      <x:c r="E1531" s="25" t="str">
        <x:v>沉船缆扣</x:v>
      </x:c>
      <x:c r="F1531" s="25" t="n">
        <x:v>12</x:v>
      </x:c>
      <x:c r="G1531" s="25" t="str">
        <x:v>从C0至当前检查点累计需求；未扣自身未来产出，不代表已有库存</x:v>
      </x:c>
    </x:row>
    <x:row r="1532">
      <x:c r="A1532" s="25" t="str">
        <x:v>C09-E</x:v>
      </x:c>
      <x:c r="B1532" s="25" t="str">
        <x:v>亚坛高原</x:v>
      </x:c>
      <x:c r="C1532" s="25" t="str">
        <x:v>半急速入场</x:v>
      </x:c>
      <x:c r="D1532" s="25" t="str">
        <x:v>材料</x:v>
      </x:c>
      <x:c r="E1532" s="25" t="str">
        <x:v>海蚀铁片</x:v>
      </x:c>
      <x:c r="F1532" s="25" t="n">
        <x:v>160</x:v>
      </x:c>
      <x:c r="G1532" s="25" t="str">
        <x:v>从C0至当前检查点累计需求；未扣自身未来产出，不代表已有库存</x:v>
      </x:c>
    </x:row>
    <x:row r="1533">
      <x:c r="A1533" s="25" t="str">
        <x:v>C09-E</x:v>
      </x:c>
      <x:c r="B1533" s="25" t="str">
        <x:v>亚坛高原</x:v>
      </x:c>
      <x:c r="C1533" s="25" t="str">
        <x:v>半急速入场</x:v>
      </x:c>
      <x:c r="D1533" s="25" t="str">
        <x:v>材料</x:v>
      </x:c>
      <x:c r="E1533" s="25" t="str">
        <x:v>湖底封门珠</x:v>
      </x:c>
      <x:c r="F1533" s="25" t="n">
        <x:v>8</x:v>
      </x:c>
      <x:c r="G1533" s="25" t="str">
        <x:v>从C0至当前检查点累计需求；未扣自身未来产出，不代表已有库存</x:v>
      </x:c>
    </x:row>
    <x:row r="1534">
      <x:c r="A1534" s="25" t="str">
        <x:v>C09-E</x:v>
      </x:c>
      <x:c r="B1534" s="25" t="str">
        <x:v>亚坛高原</x:v>
      </x:c>
      <x:c r="C1534" s="25" t="str">
        <x:v>半急速入场</x:v>
      </x:c>
      <x:c r="D1534" s="25" t="str">
        <x:v>材料</x:v>
      </x:c>
      <x:c r="E1534" s="25" t="str">
        <x:v>湖心月谱残章</x:v>
      </x:c>
      <x:c r="F1534" s="25" t="n">
        <x:v>1</x:v>
      </x:c>
      <x:c r="G1534" s="25" t="str">
        <x:v>从C0至当前检查点累计需求；未扣自身未来产出，不代表已有库存</x:v>
      </x:c>
    </x:row>
    <x:row r="1535">
      <x:c r="A1535" s="25" t="str">
        <x:v>C09-E</x:v>
      </x:c>
      <x:c r="B1535" s="25" t="str">
        <x:v>亚坛高原</x:v>
      </x:c>
      <x:c r="C1535" s="25" t="str">
        <x:v>半急速入场</x:v>
      </x:c>
      <x:c r="D1535" s="25" t="str">
        <x:v>材料</x:v>
      </x:c>
      <x:c r="E1535" s="25" t="str">
        <x:v>湖盐结晶</x:v>
      </x:c>
      <x:c r="F1535" s="25" t="n">
        <x:v>1647</x:v>
      </x:c>
      <x:c r="G1535" s="25" t="str">
        <x:v>从C0至当前检查点累计需求；未扣自身未来产出，不代表已有库存</x:v>
      </x:c>
    </x:row>
    <x:row r="1536">
      <x:c r="A1536" s="25" t="str">
        <x:v>C09-E</x:v>
      </x:c>
      <x:c r="B1536" s="25" t="str">
        <x:v>亚坛高原</x:v>
      </x:c>
      <x:c r="C1536" s="25" t="str">
        <x:v>半急速入场</x:v>
      </x:c>
      <x:c r="D1536" s="25" t="str">
        <x:v>材料</x:v>
      </x:c>
      <x:c r="E1536" s="25" t="str">
        <x:v>溃烂树核</x:v>
      </x:c>
      <x:c r="F1536" s="25" t="n">
        <x:v>1</x:v>
      </x:c>
      <x:c r="G1536" s="25" t="str">
        <x:v>从C0至当前检查点累计需求；未扣自身未来产出，不代表已有库存</x:v>
      </x:c>
    </x:row>
    <x:row r="1537">
      <x:c r="A1537" s="25" t="str">
        <x:v>C09-E</x:v>
      </x:c>
      <x:c r="B1537" s="25" t="str">
        <x:v>亚坛高原</x:v>
      </x:c>
      <x:c r="C1537" s="25" t="str">
        <x:v>半急速入场</x:v>
      </x:c>
      <x:c r="D1537" s="25" t="str">
        <x:v>材料</x:v>
      </x:c>
      <x:c r="E1537" s="25" t="str">
        <x:v>满月王室印</x:v>
      </x:c>
      <x:c r="F1537" s="25" t="n">
        <x:v>51</x:v>
      </x:c>
      <x:c r="G1537" s="25" t="str">
        <x:v>从C0至当前检查点累计需求；未扣自身未来产出，不代表已有库存</x:v>
      </x:c>
    </x:row>
    <x:row r="1538">
      <x:c r="A1538" s="25" t="str">
        <x:v>C09-E</x:v>
      </x:c>
      <x:c r="B1538" s="25" t="str">
        <x:v>亚坛高原</x:v>
      </x:c>
      <x:c r="C1538" s="25" t="str">
        <x:v>半急速入场</x:v>
      </x:c>
      <x:c r="D1538" s="25" t="str">
        <x:v>材料</x:v>
      </x:c>
      <x:c r="E1538" s="25" t="str">
        <x:v>漂流大陆印记</x:v>
      </x:c>
      <x:c r="F1538" s="25" t="n">
        <x:v>11</x:v>
      </x:c>
      <x:c r="G1538" s="25" t="str">
        <x:v>从C0至当前检查点累计需求；未扣自身未来产出，不代表已有库存</x:v>
      </x:c>
    </x:row>
    <x:row r="1539">
      <x:c r="A1539" s="25" t="str">
        <x:v>C09-E</x:v>
      </x:c>
      <x:c r="B1539" s="25" t="str">
        <x:v>亚坛高原</x:v>
      </x:c>
      <x:c r="C1539" s="25" t="str">
        <x:v>半急速入场</x:v>
      </x:c>
      <x:c r="D1539" s="25" t="str">
        <x:v>材料</x:v>
      </x:c>
      <x:c r="E1539" s="25" t="str">
        <x:v>漂流见证·潮</x:v>
      </x:c>
      <x:c r="F1539" s="25" t="n">
        <x:v>8</x:v>
      </x:c>
      <x:c r="G1539" s="25" t="str">
        <x:v>从C0至当前检查点累计需求；未扣自身未来产出，不代表已有库存</x:v>
      </x:c>
    </x:row>
    <x:row r="1540">
      <x:c r="A1540" s="25" t="str">
        <x:v>C09-E</x:v>
      </x:c>
      <x:c r="B1540" s="25" t="str">
        <x:v>亚坛高原</x:v>
      </x:c>
      <x:c r="C1540" s="25" t="str">
        <x:v>半急速入场</x:v>
      </x:c>
      <x:c r="D1540" s="25" t="str">
        <x:v>材料</x:v>
      </x:c>
      <x:c r="E1540" s="25" t="str">
        <x:v>漂流见证·雷</x:v>
      </x:c>
      <x:c r="F1540" s="25" t="n">
        <x:v>8</x:v>
      </x:c>
      <x:c r="G1540" s="25" t="str">
        <x:v>从C0至当前检查点累计需求；未扣自身未来产出，不代表已有库存</x:v>
      </x:c>
    </x:row>
    <x:row r="1541">
      <x:c r="A1541" s="25" t="str">
        <x:v>C09-E</x:v>
      </x:c>
      <x:c r="B1541" s="25" t="str">
        <x:v>亚坛高原</x:v>
      </x:c>
      <x:c r="C1541" s="25" t="str">
        <x:v>半急速入场</x:v>
      </x:c>
      <x:c r="D1541" s="25" t="str">
        <x:v>材料</x:v>
      </x:c>
      <x:c r="E1541" s="25" t="str">
        <x:v>潮痕结晶</x:v>
      </x:c>
      <x:c r="F1541" s="25" t="n">
        <x:v>16</x:v>
      </x:c>
      <x:c r="G1541" s="25" t="str">
        <x:v>从C0至当前检查点累计需求；未扣自身未来产出，不代表已有库存</x:v>
      </x:c>
    </x:row>
    <x:row r="1542">
      <x:c r="A1542" s="25" t="str">
        <x:v>C09-E</x:v>
      </x:c>
      <x:c r="B1542" s="25" t="str">
        <x:v>亚坛高原</x:v>
      </x:c>
      <x:c r="C1542" s="25" t="str">
        <x:v>半急速入场</x:v>
      </x:c>
      <x:c r="D1542" s="25" t="str">
        <x:v>材料</x:v>
      </x:c>
      <x:c r="E1542" s="25" t="str">
        <x:v>熊王心脏</x:v>
      </x:c>
      <x:c r="F1542" s="25" t="n">
        <x:v>2</x:v>
      </x:c>
      <x:c r="G1542" s="25" t="str">
        <x:v>从C0至当前检查点累计需求；未扣自身未来产出，不代表已有库存</x:v>
      </x:c>
    </x:row>
    <x:row r="1543">
      <x:c r="A1543" s="25" t="str">
        <x:v>C09-E</x:v>
      </x:c>
      <x:c r="B1543" s="25" t="str">
        <x:v>亚坛高原</x:v>
      </x:c>
      <x:c r="C1543" s="25" t="str">
        <x:v>半急速入场</x:v>
      </x:c>
      <x:c r="D1543" s="25" t="str">
        <x:v>材料</x:v>
      </x:c>
      <x:c r="E1543" s="25" t="str">
        <x:v>熔原罪火残章</x:v>
      </x:c>
      <x:c r="F1543" s="25" t="n">
        <x:v>1</x:v>
      </x:c>
      <x:c r="G1543" s="25" t="str">
        <x:v>从C0至当前检查点累计需求；未扣自身未来产出，不代表已有库存</x:v>
      </x:c>
    </x:row>
    <x:row r="1544">
      <x:c r="A1544" s="25" t="str">
        <x:v>C09-E</x:v>
      </x:c>
      <x:c r="B1544" s="25" t="str">
        <x:v>亚坛高原</x:v>
      </x:c>
      <x:c r="C1544" s="25" t="str">
        <x:v>半急速入场</x:v>
      </x:c>
      <x:c r="D1544" s="25" t="str">
        <x:v>材料</x:v>
      </x:c>
      <x:c r="E1544" s="25" t="str">
        <x:v>熔炉角片</x:v>
      </x:c>
      <x:c r="F1544" s="25" t="n">
        <x:v>1</x:v>
      </x:c>
      <x:c r="G1544" s="25" t="str">
        <x:v>从C0至当前检查点累计需求；未扣自身未来产出，不代表已有库存</x:v>
      </x:c>
    </x:row>
    <x:row r="1545">
      <x:c r="A1545" s="25" t="str">
        <x:v>C09-E</x:v>
      </x:c>
      <x:c r="B1545" s="25" t="str">
        <x:v>亚坛高原</x:v>
      </x:c>
      <x:c r="C1545" s="25" t="str">
        <x:v>半急速入场</x:v>
      </x:c>
      <x:c r="D1545" s="25" t="str">
        <x:v>材料</x:v>
      </x:c>
      <x:c r="E1545" s="25" t="str">
        <x:v>猩红矿渣</x:v>
      </x:c>
      <x:c r="F1545" s="25" t="n">
        <x:v>1737</x:v>
      </x:c>
      <x:c r="G1545" s="25" t="str">
        <x:v>从C0至当前检查点累计需求；未扣自身未来产出，不代表已有库存</x:v>
      </x:c>
    </x:row>
    <x:row r="1546">
      <x:c r="A1546" s="25" t="str">
        <x:v>C09-E</x:v>
      </x:c>
      <x:c r="B1546" s="25" t="str">
        <x:v>亚坛高原</x:v>
      </x:c>
      <x:c r="C1546" s="25" t="str">
        <x:v>半急速入场</x:v>
      </x:c>
      <x:c r="D1546" s="25" t="str">
        <x:v>材料</x:v>
      </x:c>
      <x:c r="E1546" s="25" t="str">
        <x:v>王城军印</x:v>
      </x:c>
      <x:c r="F1546" s="25" t="n">
        <x:v>1</x:v>
      </x:c>
      <x:c r="G1546" s="25" t="str">
        <x:v>从C0至当前检查点累计需求；未扣自身未来产出，不代表已有库存</x:v>
      </x:c>
    </x:row>
    <x:row r="1547">
      <x:c r="A1547" s="25" t="str">
        <x:v>C09-E</x:v>
      </x:c>
      <x:c r="B1547" s="25" t="str">
        <x:v>亚坛高原</x:v>
      </x:c>
      <x:c r="C1547" s="25" t="str">
        <x:v>半急速入场</x:v>
      </x:c>
      <x:c r="D1547" s="25" t="str">
        <x:v>材料</x:v>
      </x:c>
      <x:c r="E1547" s="25" t="str">
        <x:v>白金纺线</x:v>
      </x:c>
      <x:c r="F1547" s="25" t="n">
        <x:v>60</x:v>
      </x:c>
      <x:c r="G1547" s="25" t="str">
        <x:v>从C0至当前检查点累计需求；未扣自身未来产出，不代表已有库存</x:v>
      </x:c>
    </x:row>
    <x:row r="1548">
      <x:c r="A1548" s="25" t="str">
        <x:v>C09-E</x:v>
      </x:c>
      <x:c r="B1548" s="25" t="str">
        <x:v>亚坛高原</x:v>
      </x:c>
      <x:c r="C1548" s="25" t="str">
        <x:v>半急速入场</x:v>
      </x:c>
      <x:c r="D1548" s="25" t="str">
        <x:v>材料</x:v>
      </x:c>
      <x:c r="E1548" s="25" t="str">
        <x:v>白金路标片</x:v>
      </x:c>
      <x:c r="F1548" s="25" t="n">
        <x:v>145</x:v>
      </x:c>
      <x:c r="G1548" s="25" t="str">
        <x:v>从C0至当前检查点累计需求；未扣自身未来产出，不代表已有库存</x:v>
      </x:c>
    </x:row>
    <x:row r="1549">
      <x:c r="A1549" s="25" t="str">
        <x:v>C09-E</x:v>
      </x:c>
      <x:c r="B1549" s="25" t="str">
        <x:v>亚坛高原</x:v>
      </x:c>
      <x:c r="C1549" s="25" t="str">
        <x:v>半急速入场</x:v>
      </x:c>
      <x:c r="D1549" s="25" t="str">
        <x:v>材料</x:v>
      </x:c>
      <x:c r="E1549" s="25" t="str">
        <x:v>看门犬石心</x:v>
      </x:c>
      <x:c r="F1549" s="25" t="n">
        <x:v>2</x:v>
      </x:c>
      <x:c r="G1549" s="25" t="str">
        <x:v>从C0至当前检查点累计需求；未扣自身未来产出，不代表已有库存</x:v>
      </x:c>
    </x:row>
    <x:row r="1550">
      <x:c r="A1550" s="25" t="str">
        <x:v>C09-E</x:v>
      </x:c>
      <x:c r="B1550" s="25" t="str">
        <x:v>亚坛高原</x:v>
      </x:c>
      <x:c r="C1550" s="25" t="str">
        <x:v>半急速入场</x:v>
      </x:c>
      <x:c r="D1550" s="25" t="str">
        <x:v>材料</x:v>
      </x:c>
      <x:c r="E1550" s="25" t="str">
        <x:v>碎星仪仗钉</x:v>
      </x:c>
      <x:c r="F1550" s="25" t="n">
        <x:v>2</x:v>
      </x:c>
      <x:c r="G1550" s="25" t="str">
        <x:v>从C0至当前检查点累计需求；未扣自身未来产出，不代表已有库存</x:v>
      </x:c>
    </x:row>
    <x:row r="1551">
      <x:c r="A1551" s="25" t="str">
        <x:v>C09-E</x:v>
      </x:c>
      <x:c r="B1551" s="25" t="str">
        <x:v>亚坛高原</x:v>
      </x:c>
      <x:c r="C1551" s="25" t="str">
        <x:v>半急速入场</x:v>
      </x:c>
      <x:c r="D1551" s="25" t="str">
        <x:v>材料</x:v>
      </x:c>
      <x:c r="E1551" s="25" t="str">
        <x:v>神秘符文</x:v>
      </x:c>
      <x:c r="F1551" s="25" t="n">
        <x:v>500</x:v>
      </x:c>
      <x:c r="G1551" s="25" t="str">
        <x:v>从C0至当前检查点累计需求；未扣自身未来产出，不代表已有库存</x:v>
      </x:c>
    </x:row>
    <x:row r="1552">
      <x:c r="A1552" s="25" t="str">
        <x:v>C09-E</x:v>
      </x:c>
      <x:c r="B1552" s="25" t="str">
        <x:v>亚坛高原</x:v>
      </x:c>
      <x:c r="C1552" s="25" t="str">
        <x:v>半急速入场</x:v>
      </x:c>
      <x:c r="D1552" s="25" t="str">
        <x:v>材料</x:v>
      </x:c>
      <x:c r="E1552" s="25" t="str">
        <x:v>禁域星钥</x:v>
      </x:c>
      <x:c r="F1552" s="25" t="n">
        <x:v>2</x:v>
      </x:c>
      <x:c r="G1552" s="25" t="str">
        <x:v>从C0至当前检查点累计需求；未扣自身未来产出，不代表已有库存</x:v>
      </x:c>
    </x:row>
    <x:row r="1553">
      <x:c r="A1553" s="25" t="str">
        <x:v>C09-E</x:v>
      </x:c>
      <x:c r="B1553" s="25" t="str">
        <x:v>亚坛高原</x:v>
      </x:c>
      <x:c r="C1553" s="25" t="str">
        <x:v>半急速入场</x:v>
      </x:c>
      <x:c r="D1553" s="25" t="str">
        <x:v>材料</x:v>
      </x:c>
      <x:c r="E1553" s="25" t="str">
        <x:v>红狮战印</x:v>
      </x:c>
      <x:c r="F1553" s="25" t="n">
        <x:v>42</x:v>
      </x:c>
      <x:c r="G1553" s="25" t="str">
        <x:v>从C0至当前检查点累计需求；未扣自身未来产出，不代表已有库存</x:v>
      </x:c>
    </x:row>
    <x:row r="1554">
      <x:c r="A1554" s="25" t="str">
        <x:v>C09-E</x:v>
      </x:c>
      <x:c r="B1554" s="25" t="str">
        <x:v>亚坛高原</x:v>
      </x:c>
      <x:c r="C1554" s="25" t="str">
        <x:v>半急速入场</x:v>
      </x:c>
      <x:c r="D1554" s="25" t="str">
        <x:v>材料</x:v>
      </x:c>
      <x:c r="E1554" s="25" t="str">
        <x:v>腐根魂结</x:v>
      </x:c>
      <x:c r="F1554" s="25" t="n">
        <x:v>2</x:v>
      </x:c>
      <x:c r="G1554" s="25" t="str">
        <x:v>从C0至当前检查点累计需求；未扣自身未来产出，不代表已有库存</x:v>
      </x:c>
    </x:row>
    <x:row r="1555">
      <x:c r="A1555" s="25" t="str">
        <x:v>C09-E</x:v>
      </x:c>
      <x:c r="B1555" s="25" t="str">
        <x:v>亚坛高原</x:v>
      </x:c>
      <x:c r="C1555" s="25" t="str">
        <x:v>半急速入场</x:v>
      </x:c>
      <x:c r="D1555" s="25" t="str">
        <x:v>材料</x:v>
      </x:c>
      <x:c r="E1555" s="25" t="str">
        <x:v>裂峰号角片</x:v>
      </x:c>
      <x:c r="F1555" s="25" t="n">
        <x:v>110</x:v>
      </x:c>
      <x:c r="G1555" s="25" t="str">
        <x:v>从C0至当前检查点累计需求；未扣自身未来产出，不代表已有库存</x:v>
      </x:c>
    </x:row>
    <x:row r="1556">
      <x:c r="A1556" s="25" t="str">
        <x:v>C09-E</x:v>
      </x:c>
      <x:c r="B1556" s="25" t="str">
        <x:v>亚坛高原</x:v>
      </x:c>
      <x:c r="C1556" s="25" t="str">
        <x:v>半急速入场</x:v>
      </x:c>
      <x:c r="D1556" s="25" t="str">
        <x:v>材料</x:v>
      </x:c>
      <x:c r="E1556" s="25" t="str">
        <x:v>裂风崖羽</x:v>
      </x:c>
      <x:c r="F1556" s="25" t="n">
        <x:v>80</x:v>
      </x:c>
      <x:c r="G1556" s="25" t="str">
        <x:v>从C0至当前检查点累计需求；未扣自身未来产出，不代表已有库存</x:v>
      </x:c>
    </x:row>
    <x:row r="1557">
      <x:c r="A1557" s="25" t="str">
        <x:v>C09-E</x:v>
      </x:c>
      <x:c r="B1557" s="25" t="str">
        <x:v>亚坛高原</x:v>
      </x:c>
      <x:c r="C1557" s="25" t="str">
        <x:v>半急速入场</x:v>
      </x:c>
      <x:c r="D1557" s="25" t="str">
        <x:v>材料</x:v>
      </x:c>
      <x:c r="E1557" s="25" t="str">
        <x:v>西境战旗</x:v>
      </x:c>
      <x:c r="F1557" s="25" t="n">
        <x:v>20</x:v>
      </x:c>
      <x:c r="G1557" s="25" t="str">
        <x:v>从C0至当前检查点累计需求；未扣自身未来产出，不代表已有库存</x:v>
      </x:c>
    </x:row>
    <x:row r="1558">
      <x:c r="A1558" s="25" t="str">
        <x:v>C09-E</x:v>
      </x:c>
      <x:c r="B1558" s="25" t="str">
        <x:v>亚坛高原</x:v>
      </x:c>
      <x:c r="C1558" s="25" t="str">
        <x:v>半急速入场</x:v>
      </x:c>
      <x:c r="D1558" s="25" t="str">
        <x:v>材料</x:v>
      </x:c>
      <x:c r="E1558" s="25" t="str">
        <x:v>西境战旗印</x:v>
      </x:c>
      <x:c r="F1558" s="25" t="n">
        <x:v>13</x:v>
      </x:c>
      <x:c r="G1558" s="25" t="str">
        <x:v>从C0至当前检查点累计需求；未扣自身未来产出，不代表已有库存</x:v>
      </x:c>
    </x:row>
    <x:row r="1559">
      <x:c r="A1559" s="25" t="str">
        <x:v>C09-E</x:v>
      </x:c>
      <x:c r="B1559" s="25" t="str">
        <x:v>亚坛高原</x:v>
      </x:c>
      <x:c r="C1559" s="25" t="str">
        <x:v>半急速入场</x:v>
      </x:c>
      <x:c r="D1559" s="25" t="str">
        <x:v>材料</x:v>
      </x:c>
      <x:c r="E1559" s="25" t="str">
        <x:v>西境风痕碑拓</x:v>
      </x:c>
      <x:c r="F1559" s="25" t="n">
        <x:v>1</x:v>
      </x:c>
      <x:c r="G1559" s="25" t="str">
        <x:v>从C0至当前检查点累计需求；未扣自身未来产出，不代表已有库存</x:v>
      </x:c>
    </x:row>
    <x:row r="1560">
      <x:c r="A1560" s="25" t="str">
        <x:v>C09-E</x:v>
      </x:c>
      <x:c r="B1560" s="25" t="str">
        <x:v>亚坛高原</x:v>
      </x:c>
      <x:c r="C1560" s="25" t="str">
        <x:v>半急速入场</x:v>
      </x:c>
      <x:c r="D1560" s="25" t="str">
        <x:v>材料</x:v>
      </x:c>
      <x:c r="E1560" s="25" t="str">
        <x:v>贵胄断指</x:v>
      </x:c>
      <x:c r="F1560" s="25" t="n">
        <x:v>1</x:v>
      </x:c>
      <x:c r="G1560" s="25" t="str">
        <x:v>从C0至当前检查点累计需求；未扣自身未来产出，不代表已有库存</x:v>
      </x:c>
    </x:row>
    <x:row r="1561">
      <x:c r="A1561" s="25" t="str">
        <x:v>C09-E</x:v>
      </x:c>
      <x:c r="B1561" s="25" t="str">
        <x:v>亚坛高原</x:v>
      </x:c>
      <x:c r="C1561" s="25" t="str">
        <x:v>半急速入场</x:v>
      </x:c>
      <x:c r="D1561" s="25" t="str">
        <x:v>材料</x:v>
      </x:c>
      <x:c r="E1561" s="25" t="str">
        <x:v>辉石碎晶</x:v>
      </x:c>
      <x:c r="F1561" s="25" t="n">
        <x:v>1750</x:v>
      </x:c>
      <x:c r="G1561" s="25" t="str">
        <x:v>从C0至当前检查点累计需求；未扣自身未来产出，不代表已有库存</x:v>
      </x:c>
    </x:row>
    <x:row r="1562">
      <x:c r="A1562" s="25" t="str">
        <x:v>C09-E</x:v>
      </x:c>
      <x:c r="B1562" s="25" t="str">
        <x:v>亚坛高原</x:v>
      </x:c>
      <x:c r="C1562" s="25" t="str">
        <x:v>半急速入场</x:v>
      </x:c>
      <x:c r="D1562" s="25" t="str">
        <x:v>材料</x:v>
      </x:c>
      <x:c r="E1562" s="25" t="str">
        <x:v>野兽骨片</x:v>
      </x:c>
      <x:c r="F1562" s="25" t="n">
        <x:v>53855</x:v>
      </x:c>
      <x:c r="G1562" s="25" t="str">
        <x:v>从C0至当前检查点累计需求；未扣自身未来产出，不代表已有库存</x:v>
      </x:c>
    </x:row>
    <x:row r="1563">
      <x:c r="A1563" s="25" t="str">
        <x:v>C09-E</x:v>
      </x:c>
      <x:c r="B1563" s="25" t="str">
        <x:v>亚坛高原</x:v>
      </x:c>
      <x:c r="C1563" s="25" t="str">
        <x:v>半急速入场</x:v>
      </x:c>
      <x:c r="D1563" s="25" t="str">
        <x:v>材料</x:v>
      </x:c>
      <x:c r="E1563" s="25" t="str">
        <x:v>雾潮银鳞</x:v>
      </x:c>
      <x:c r="F1563" s="25" t="n">
        <x:v>272</x:v>
      </x:c>
      <x:c r="G1563" s="25" t="str">
        <x:v>从C0至当前检查点累计需求；未扣自身未来产出，不代表已有库存</x:v>
      </x:c>
    </x:row>
    <x:row r="1564">
      <x:c r="A1564" s="25" t="str">
        <x:v>C09-E</x:v>
      </x:c>
      <x:c r="B1564" s="25" t="str">
        <x:v>亚坛高原</x:v>
      </x:c>
      <x:c r="C1564" s="25" t="str">
        <x:v>半急速入场</x:v>
      </x:c>
      <x:c r="D1564" s="25" t="str">
        <x:v>材料</x:v>
      </x:c>
      <x:c r="E1564" s="25" t="str">
        <x:v>霜脊铁</x:v>
      </x:c>
      <x:c r="F1564" s="25" t="n">
        <x:v>2595</x:v>
      </x:c>
      <x:c r="G1564" s="25" t="str">
        <x:v>从C0至当前检查点累计需求；未扣自身未来产出，不代表已有库存</x:v>
      </x:c>
    </x:row>
    <x:row r="1565">
      <x:c r="A1565" s="25" t="str">
        <x:v>C09-E</x:v>
      </x:c>
      <x:c r="B1565" s="25" t="str">
        <x:v>亚坛高原</x:v>
      </x:c>
      <x:c r="C1565" s="25" t="str">
        <x:v>半急速入场</x:v>
      </x:c>
      <x:c r="D1565" s="25" t="str">
        <x:v>材料</x:v>
      </x:c>
      <x:c r="E1565" s="25" t="str">
        <x:v>风暴王核</x:v>
      </x:c>
      <x:c r="F1565" s="25" t="n">
        <x:v>1</x:v>
      </x:c>
      <x:c r="G1565" s="25" t="str">
        <x:v>从C0至当前检查点累计需求；未扣自身未来产出，不代表已有库存</x:v>
      </x:c>
    </x:row>
    <x:row r="1566">
      <x:c r="A1566" s="25" t="str">
        <x:v>C09-E</x:v>
      </x:c>
      <x:c r="B1566" s="25" t="str">
        <x:v>亚坛高原</x:v>
      </x:c>
      <x:c r="C1566" s="25" t="str">
        <x:v>半急速入场</x:v>
      </x:c>
      <x:c r="D1566" s="25" t="str">
        <x:v>材料</x:v>
      </x:c>
      <x:c r="E1566" s="25" t="str">
        <x:v>风暴石片</x:v>
      </x:c>
      <x:c r="F1566" s="25" t="n">
        <x:v>370</x:v>
      </x:c>
      <x:c r="G1566" s="25" t="str">
        <x:v>从C0至当前检查点累计需求；未扣自身未来产出，不代表已有库存</x:v>
      </x:c>
    </x:row>
    <x:row r="1567">
      <x:c r="A1567" s="25" t="str">
        <x:v>C09-E</x:v>
      </x:c>
      <x:c r="B1567" s="25" t="str">
        <x:v>亚坛高原</x:v>
      </x:c>
      <x:c r="C1567" s="25" t="str">
        <x:v>半急速入场</x:v>
      </x:c>
      <x:c r="D1567" s="25" t="str">
        <x:v>材料</x:v>
      </x:c>
      <x:c r="E1567" s="25" t="str">
        <x:v>风蚀铁片</x:v>
      </x:c>
      <x:c r="F1567" s="25" t="n">
        <x:v>710</x:v>
      </x:c>
      <x:c r="G1567" s="25" t="str">
        <x:v>从C0至当前检查点累计需求；未扣自身未来产出，不代表已有库存</x:v>
      </x:c>
    </x:row>
    <x:row r="1568">
      <x:c r="A1568" s="25" t="str">
        <x:v>C09-E</x:v>
      </x:c>
      <x:c r="B1568" s="25" t="str">
        <x:v>亚坛高原</x:v>
      </x:c>
      <x:c r="C1568" s="25" t="str">
        <x:v>半急速入场</x:v>
      </x:c>
      <x:c r="D1568" s="25" t="str">
        <x:v>材料</x:v>
      </x:c>
      <x:c r="E1568" s="25" t="str">
        <x:v>黄金树碎核</x:v>
      </x:c>
      <x:c r="F1568" s="25" t="n">
        <x:v>2</x:v>
      </x:c>
      <x:c r="G1568" s="25" t="str">
        <x:v>从C0至当前检查点累计需求；未扣自身未来产出，不代表已有库存</x:v>
      </x:c>
    </x:row>
    <x:row r="1569">
      <x:c r="A1569" s="25" t="str">
        <x:v>C09-E</x:v>
      </x:c>
      <x:c r="B1569" s="25" t="str">
        <x:v>亚坛高原</x:v>
      </x:c>
      <x:c r="C1569" s="25" t="str">
        <x:v>半急速入场</x:v>
      </x:c>
      <x:c r="D1569" s="25" t="str">
        <x:v>材料</x:v>
      </x:c>
      <x:c r="E1569" s="25" t="str">
        <x:v>黄金树芽</x:v>
      </x:c>
      <x:c r="F1569" s="25" t="n">
        <x:v>297</x:v>
      </x:c>
      <x:c r="G1569" s="25" t="str">
        <x:v>从C0至当前检查点累计需求；未扣自身未来产出，不代表已有库存</x:v>
      </x:c>
    </x:row>
    <x:row r="1570">
      <x:c r="A1570" s="25" t="str">
        <x:v>C09-E</x:v>
      </x:c>
      <x:c r="B1570" s="25" t="str">
        <x:v>亚坛高原</x:v>
      </x:c>
      <x:c r="C1570" s="25" t="str">
        <x:v>半急速入场</x:v>
      </x:c>
      <x:c r="D1570" s="25" t="str">
        <x:v>材料</x:v>
      </x:c>
      <x:c r="E1570" s="25" t="str">
        <x:v>黄金骑徽</x:v>
      </x:c>
      <x:c r="F1570" s="25" t="n">
        <x:v>2</x:v>
      </x:c>
      <x:c r="G1570" s="25" t="str">
        <x:v>从C0至当前检查点累计需求；未扣自身未来产出，不代表已有库存</x:v>
      </x:c>
    </x:row>
    <x:row r="1571">
      <x:c r="A1571" s="25" t="str">
        <x:v>C09-E</x:v>
      </x:c>
      <x:c r="B1571" s="25" t="str">
        <x:v>亚坛高原</x:v>
      </x:c>
      <x:c r="C1571" s="25" t="str">
        <x:v>半急速入场</x:v>
      </x:c>
      <x:c r="D1571" s="25" t="str">
        <x:v>材料</x:v>
      </x:c>
      <x:c r="E1571" s="25" t="str">
        <x:v>龙火鳞</x:v>
      </x:c>
      <x:c r="F1571" s="25" t="n">
        <x:v>38</x:v>
      </x:c>
      <x:c r="G1571" s="25" t="str">
        <x:v>从C0至当前检查点累计需求；未扣自身未来产出，不代表已有库存</x:v>
      </x:c>
    </x:row>
    <x:row r="1572">
      <x:c r="A1572" s="25" t="str">
        <x:v>C09-E</x:v>
      </x:c>
      <x:c r="B1572" s="25" t="str">
        <x:v>亚坛高原</x:v>
      </x:c>
      <x:c r="C1572" s="25" t="str">
        <x:v>半急速入场</x:v>
      </x:c>
      <x:c r="D1572" s="25" t="str">
        <x:v>装备实物</x:v>
      </x:c>
      <x:c r="E1572" s="25" t="str">
        <x:v>共400个精确名称（明细见JSON）</x:v>
      </x:c>
      <x:c r="F1572" s="25" t="n">
        <x:v>538</x:v>
      </x:c>
      <x:c r="G1572" s="25" t="str">
        <x:v>含穿戴、重复试洗、图鉴登记与合成前置；完整数据未省略</x:v>
      </x:c>
    </x:row>
    <x:row r="1573">
      <x:c r="A1573" s="25" t="str">
        <x:v>C09-M</x:v>
      </x:c>
      <x:c r="B1573" s="25" t="str">
        <x:v>亚坛高原</x:v>
      </x:c>
      <x:c r="C1573" s="25" t="str">
        <x:v>半急速中期</x:v>
      </x:c>
      <x:c r="D1573" s="25" t="str">
        <x:v>材料</x:v>
      </x:c>
      <x:c r="E1573" s="25" t="str">
        <x:v>兽将脊骨</x:v>
      </x:c>
      <x:c r="F1573" s="25" t="n">
        <x:v>1</x:v>
      </x:c>
      <x:c r="G1573" s="25" t="str">
        <x:v>从C0至当前检查点累计需求；未扣自身未来产出，不代表已有库存</x:v>
      </x:c>
    </x:row>
    <x:row r="1574">
      <x:c r="A1574" s="25" t="str">
        <x:v>C09-M</x:v>
      </x:c>
      <x:c r="B1574" s="25" t="str">
        <x:v>亚坛高原</x:v>
      </x:c>
      <x:c r="C1574" s="25" t="str">
        <x:v>半急速中期</x:v>
      </x:c>
      <x:c r="D1574" s="25" t="str">
        <x:v>材料</x:v>
      </x:c>
      <x:c r="E1574" s="25" t="str">
        <x:v>冰宫守门铃</x:v>
      </x:c>
      <x:c r="F1574" s="25" t="n">
        <x:v>12</x:v>
      </x:c>
      <x:c r="G1574" s="25" t="str">
        <x:v>从C0至当前检查点累计需求；未扣自身未来产出，不代表已有库存</x:v>
      </x:c>
    </x:row>
    <x:row r="1575">
      <x:c r="A1575" s="25" t="str">
        <x:v>C09-M</x:v>
      </x:c>
      <x:c r="B1575" s="25" t="str">
        <x:v>亚坛高原</x:v>
      </x:c>
      <x:c r="C1575" s="25" t="str">
        <x:v>半急速中期</x:v>
      </x:c>
      <x:c r="D1575" s="25" t="str">
        <x:v>材料</x:v>
      </x:c>
      <x:c r="E1575" s="25" t="str">
        <x:v>冻原银角</x:v>
      </x:c>
      <x:c r="F1575" s="25" t="n">
        <x:v>30</x:v>
      </x:c>
      <x:c r="G1575" s="25" t="str">
        <x:v>从C0至当前检查点累计需求；未扣自身未来产出，不代表已有库存</x:v>
      </x:c>
    </x:row>
    <x:row r="1576">
      <x:c r="A1576" s="25" t="str">
        <x:v>C09-M</x:v>
      </x:c>
      <x:c r="B1576" s="25" t="str">
        <x:v>亚坛高原</x:v>
      </x:c>
      <x:c r="C1576" s="25" t="str">
        <x:v>半急速中期</x:v>
      </x:c>
      <x:c r="D1576" s="25" t="str">
        <x:v>材料</x:v>
      </x:c>
      <x:c r="E1576" s="25" t="str">
        <x:v>冻晶尘</x:v>
      </x:c>
      <x:c r="F1576" s="25" t="n">
        <x:v>1720</x:v>
      </x:c>
      <x:c r="G1576" s="25" t="str">
        <x:v>从C0至当前检查点累计需求；未扣自身未来产出，不代表已有库存</x:v>
      </x:c>
    </x:row>
    <x:row r="1577">
      <x:c r="A1577" s="25" t="str">
        <x:v>C09-M</x:v>
      </x:c>
      <x:c r="B1577" s="25" t="str">
        <x:v>亚坛高原</x:v>
      </x:c>
      <x:c r="C1577" s="25" t="str">
        <x:v>半急速中期</x:v>
      </x:c>
      <x:c r="D1577" s="25" t="str">
        <x:v>材料</x:v>
      </x:c>
      <x:c r="E1577" s="25" t="str">
        <x:v>净火腺囊</x:v>
      </x:c>
      <x:c r="F1577" s="25" t="n">
        <x:v>44</x:v>
      </x:c>
      <x:c r="G1577" s="25" t="str">
        <x:v>从C0至当前检查点累计需求；未扣自身未来产出，不代表已有库存</x:v>
      </x:c>
    </x:row>
    <x:row r="1578">
      <x:c r="A1578" s="25" t="str">
        <x:v>C09-M</x:v>
      </x:c>
      <x:c r="B1578" s="25" t="str">
        <x:v>亚坛高原</x:v>
      </x:c>
      <x:c r="C1578" s="25" t="str">
        <x:v>半急速中期</x:v>
      </x:c>
      <x:c r="D1578" s="25" t="str">
        <x:v>材料</x:v>
      </x:c>
      <x:c r="E1578" s="25" t="str">
        <x:v>卡利亚月露</x:v>
      </x:c>
      <x:c r="F1578" s="25" t="n">
        <x:v>36</x:v>
      </x:c>
      <x:c r="G1578" s="25" t="str">
        <x:v>从C0至当前检查点累计需求；未扣自身未来产出，不代表已有库存</x:v>
      </x:c>
    </x:row>
    <x:row r="1579">
      <x:c r="A1579" s="25" t="str">
        <x:v>C09-M</x:v>
      </x:c>
      <x:c r="B1579" s="25" t="str">
        <x:v>亚坛高原</x:v>
      </x:c>
      <x:c r="C1579" s="25" t="str">
        <x:v>半急速中期</x:v>
      </x:c>
      <x:c r="D1579" s="25" t="str">
        <x:v>材料</x:v>
      </x:c>
      <x:c r="E1579" s="25" t="str">
        <x:v>哨垒旗冠</x:v>
      </x:c>
      <x:c r="F1579" s="25" t="n">
        <x:v>3</x:v>
      </x:c>
      <x:c r="G1579" s="25" t="str">
        <x:v>从C0至当前检查点累计需求；未扣自身未来产出，不代表已有库存</x:v>
      </x:c>
    </x:row>
    <x:row r="1580">
      <x:c r="A1580" s="25" t="str">
        <x:v>C09-M</x:v>
      </x:c>
      <x:c r="B1580" s="25" t="str">
        <x:v>亚坛高原</x:v>
      </x:c>
      <x:c r="C1580" s="25" t="str">
        <x:v>半急速中期</x:v>
      </x:c>
      <x:c r="D1580" s="25" t="str">
        <x:v>材料</x:v>
      </x:c>
      <x:c r="E1580" s="25" t="str">
        <x:v>唤船骨铃</x:v>
      </x:c>
      <x:c r="F1580" s="25" t="n">
        <x:v>1</x:v>
      </x:c>
      <x:c r="G1580" s="25" t="str">
        <x:v>从C0至当前检查点累计需求；未扣自身未来产出，不代表已有库存</x:v>
      </x:c>
    </x:row>
    <x:row r="1581">
      <x:c r="A1581" s="25" t="str">
        <x:v>C09-M</x:v>
      </x:c>
      <x:c r="B1581" s="25" t="str">
        <x:v>亚坛高原</x:v>
      </x:c>
      <x:c r="C1581" s="25" t="str">
        <x:v>半急速中期</x:v>
      </x:c>
      <x:c r="D1581" s="25" t="str">
        <x:v>材料</x:v>
      </x:c>
      <x:c r="E1581" s="25" t="str">
        <x:v>商队火漆</x:v>
      </x:c>
      <x:c r="F1581" s="25" t="n">
        <x:v>20</x:v>
      </x:c>
      <x:c r="G1581" s="25" t="str">
        <x:v>从C0至当前检查点累计需求；未扣自身未来产出，不代表已有库存</x:v>
      </x:c>
    </x:row>
    <x:row r="1582">
      <x:c r="A1582" s="25" t="str">
        <x:v>C09-M</x:v>
      </x:c>
      <x:c r="B1582" s="25" t="str">
        <x:v>亚坛高原</x:v>
      </x:c>
      <x:c r="C1582" s="25" t="str">
        <x:v>半急速中期</x:v>
      </x:c>
      <x:c r="D1582" s="25" t="str">
        <x:v>材料</x:v>
      </x:c>
      <x:c r="E1582" s="25" t="str">
        <x:v>圣雪誓印</x:v>
      </x:c>
      <x:c r="F1582" s="25" t="n">
        <x:v>53</x:v>
      </x:c>
      <x:c r="G1582" s="25" t="str">
        <x:v>从C0至当前检查点累计需求；未扣自身未来产出，不代表已有库存</x:v>
      </x:c>
    </x:row>
    <x:row r="1583">
      <x:c r="A1583" s="25" t="str">
        <x:v>C09-M</x:v>
      </x:c>
      <x:c r="B1583" s="25" t="str">
        <x:v>亚坛高原</x:v>
      </x:c>
      <x:c r="C1583" s="25" t="str">
        <x:v>半急速中期</x:v>
      </x:c>
      <x:c r="D1583" s="25" t="str">
        <x:v>材料</x:v>
      </x:c>
      <x:c r="E1583" s="25" t="str">
        <x:v>圣雪门楔</x:v>
      </x:c>
      <x:c r="F1583" s="25" t="n">
        <x:v>4</x:v>
      </x:c>
      <x:c r="G1583" s="25" t="str">
        <x:v>从C0至当前检查点累计需求；未扣自身未来产出，不代表已有库存</x:v>
      </x:c>
    </x:row>
    <x:row r="1584">
      <x:c r="A1584" s="25" t="str">
        <x:v>C09-M</x:v>
      </x:c>
      <x:c r="B1584" s="25" t="str">
        <x:v>亚坛高原</x:v>
      </x:c>
      <x:c r="C1584" s="25" t="str">
        <x:v>半急速中期</x:v>
      </x:c>
      <x:c r="D1584" s="25" t="str">
        <x:v>材料</x:v>
      </x:c>
      <x:c r="E1584" s="25" t="str">
        <x:v>夜骑黑印</x:v>
      </x:c>
      <x:c r="F1584" s="25" t="n">
        <x:v>1</x:v>
      </x:c>
      <x:c r="G1584" s="25" t="str">
        <x:v>从C0至当前检查点累计需求；未扣自身未来产出，不代表已有库存</x:v>
      </x:c>
    </x:row>
    <x:row r="1585">
      <x:c r="A1585" s="25" t="str">
        <x:v>C09-M</x:v>
      </x:c>
      <x:c r="B1585" s="25" t="str">
        <x:v>亚坛高原</x:v>
      </x:c>
      <x:c r="C1585" s="25" t="str">
        <x:v>半急速中期</x:v>
      </x:c>
      <x:c r="D1585" s="25" t="str">
        <x:v>材料</x:v>
      </x:c>
      <x:c r="E1585" s="25" t="str">
        <x:v>大卢恩</x:v>
      </x:c>
      <x:c r="F1585" s="25" t="n">
        <x:v>350</x:v>
      </x:c>
      <x:c r="G1585" s="25" t="str">
        <x:v>从C0至当前检查点累计需求；未扣自身未来产出，不代表已有库存</x:v>
      </x:c>
    </x:row>
    <x:row r="1586">
      <x:c r="A1586" s="25" t="str">
        <x:v>C09-M</x:v>
      </x:c>
      <x:c r="B1586" s="25" t="str">
        <x:v>亚坛高原</x:v>
      </x:c>
      <x:c r="C1586" s="25" t="str">
        <x:v>半急速中期</x:v>
      </x:c>
      <x:c r="D1586" s="25" t="str">
        <x:v>材料</x:v>
      </x:c>
      <x:c r="E1586" s="25" t="str">
        <x:v>失乡军令</x:v>
      </x:c>
      <x:c r="F1586" s="25" t="n">
        <x:v>2</x:v>
      </x:c>
      <x:c r="G1586" s="25" t="str">
        <x:v>从C0至当前检查点累计需求；未扣自身未来产出，不代表已有库存</x:v>
      </x:c>
    </x:row>
    <x:row r="1587">
      <x:c r="A1587" s="25" t="str">
        <x:v>C09-M</x:v>
      </x:c>
      <x:c r="B1587" s="25" t="str">
        <x:v>亚坛高原</x:v>
      </x:c>
      <x:c r="C1587" s="25" t="str">
        <x:v>半急速中期</x:v>
      </x:c>
      <x:c r="D1587" s="25" t="str">
        <x:v>材料</x:v>
      </x:c>
      <x:c r="E1587" s="25" t="str">
        <x:v>失乡统帅徽</x:v>
      </x:c>
      <x:c r="F1587" s="25" t="n">
        <x:v>2</x:v>
      </x:c>
      <x:c r="G1587" s="25" t="str">
        <x:v>从C0至当前检查点累计需求；未扣自身未来产出，不代表已有库存</x:v>
      </x:c>
    </x:row>
    <x:row r="1588">
      <x:c r="A1588" s="25" t="str">
        <x:v>C09-M</x:v>
      </x:c>
      <x:c r="B1588" s="25" t="str">
        <x:v>亚坛高原</x:v>
      </x:c>
      <x:c r="C1588" s="25" t="str">
        <x:v>半急速中期</x:v>
      </x:c>
      <x:c r="D1588" s="25" t="str">
        <x:v>材料</x:v>
      </x:c>
      <x:c r="E1588" s="25" t="str">
        <x:v>失色锻造石</x:v>
      </x:c>
      <x:c r="F1588" s="25" t="n">
        <x:v>42160</x:v>
      </x:c>
      <x:c r="G1588" s="25" t="str">
        <x:v>从C0至当前检查点累计需求；未扣自身未来产出，不代表已有库存</x:v>
      </x:c>
    </x:row>
    <x:row r="1589">
      <x:c r="A1589" s="25" t="str">
        <x:v>C09-M</x:v>
      </x:c>
      <x:c r="B1589" s="25" t="str">
        <x:v>亚坛高原</x:v>
      </x:c>
      <x:c r="C1589" s="25" t="str">
        <x:v>半急速中期</x:v>
      </x:c>
      <x:c r="D1589" s="25" t="str">
        <x:v>材料</x:v>
      </x:c>
      <x:c r="E1589" s="25" t="str">
        <x:v>学院封蜡</x:v>
      </x:c>
      <x:c r="F1589" s="25" t="n">
        <x:v>24</x:v>
      </x:c>
      <x:c r="G1589" s="25" t="str">
        <x:v>从C0至当前检查点累计需求；未扣自身未来产出，不代表已有库存</x:v>
      </x:c>
    </x:row>
    <x:row r="1590">
      <x:c r="A1590" s="25" t="str">
        <x:v>C09-M</x:v>
      </x:c>
      <x:c r="B1590" s="25" t="str">
        <x:v>亚坛高原</x:v>
      </x:c>
      <x:c r="C1590" s="25" t="str">
        <x:v>半急速中期</x:v>
      </x:c>
      <x:c r="D1590" s="25" t="str">
        <x:v>材料</x:v>
      </x:c>
      <x:c r="E1590" s="25" t="str">
        <x:v>宁姆格福誓页</x:v>
      </x:c>
      <x:c r="F1590" s="25" t="n">
        <x:v>90</x:v>
      </x:c>
      <x:c r="G1590" s="25" t="str">
        <x:v>从C0至当前检查点累计需求；未扣自身未来产出，不代表已有库存</x:v>
      </x:c>
    </x:row>
    <x:row r="1591">
      <x:c r="A1591" s="25" t="str">
        <x:v>C09-M</x:v>
      </x:c>
      <x:c r="B1591" s="25" t="str">
        <x:v>亚坛高原</x:v>
      </x:c>
      <x:c r="C1591" s="25" t="str">
        <x:v>半急速中期</x:v>
      </x:c>
      <x:c r="D1591" s="25" t="str">
        <x:v>材料</x:v>
      </x:c>
      <x:c r="E1591" s="25" t="str">
        <x:v>小卢恩</x:v>
      </x:c>
      <x:c r="F1591" s="25" t="n">
        <x:v>250</x:v>
      </x:c>
      <x:c r="G1591" s="25" t="str">
        <x:v>从C0至当前检查点累计需求；未扣自身未来产出，不代表已有库存</x:v>
      </x:c>
    </x:row>
    <x:row r="1592">
      <x:c r="A1592" s="25" t="str">
        <x:v>C09-M</x:v>
      </x:c>
      <x:c r="B1592" s="25" t="str">
        <x:v>亚坛高原</x:v>
      </x:c>
      <x:c r="C1592" s="25" t="str">
        <x:v>半急速中期</x:v>
      </x:c>
      <x:c r="D1592" s="25" t="str">
        <x:v>材料</x:v>
      </x:c>
      <x:c r="E1592" s="25" t="str">
        <x:v>山妖王角</x:v>
      </x:c>
      <x:c r="F1592" s="25" t="n">
        <x:v>2</x:v>
      </x:c>
      <x:c r="G1592" s="25" t="str">
        <x:v>从C0至当前检查点累计需求；未扣自身未来产出，不代表已有库存</x:v>
      </x:c>
    </x:row>
    <x:row r="1593">
      <x:c r="A1593" s="25" t="str">
        <x:v>C09-M</x:v>
      </x:c>
      <x:c r="B1593" s="25" t="str">
        <x:v>亚坛高原</x:v>
      </x:c>
      <x:c r="C1593" s="25" t="str">
        <x:v>半急速中期</x:v>
      </x:c>
      <x:c r="D1593" s="25" t="str">
        <x:v>材料</x:v>
      </x:c>
      <x:c r="E1593" s="25" t="str">
        <x:v>巨人火印</x:v>
      </x:c>
      <x:c r="F1593" s="25" t="n">
        <x:v>41</x:v>
      </x:c>
      <x:c r="G1593" s="25" t="str">
        <x:v>从C0至当前检查点累计需求；未扣自身未来产出，不代表已有库存</x:v>
      </x:c>
    </x:row>
    <x:row r="1594">
      <x:c r="A1594" s="25" t="str">
        <x:v>C09-M</x:v>
      </x:c>
      <x:c r="B1594" s="25" t="str">
        <x:v>亚坛高原</x:v>
      </x:c>
      <x:c r="C1594" s="25" t="str">
        <x:v>半急速中期</x:v>
      </x:c>
      <x:c r="D1594" s="25" t="str">
        <x:v>材料</x:v>
      </x:c>
      <x:c r="E1594" s="25" t="str">
        <x:v>巨人火种</x:v>
      </x:c>
      <x:c r="F1594" s="25" t="n">
        <x:v>65</x:v>
      </x:c>
      <x:c r="G1594" s="25" t="str">
        <x:v>从C0至当前检查点累计需求；未扣自身未来产出，不代表已有库存</x:v>
      </x:c>
    </x:row>
    <x:row r="1595">
      <x:c r="A1595" s="25" t="str">
        <x:v>C09-M</x:v>
      </x:c>
      <x:c r="B1595" s="25" t="str">
        <x:v>亚坛高原</x:v>
      </x:c>
      <x:c r="C1595" s="25" t="str">
        <x:v>半急速中期</x:v>
      </x:c>
      <x:c r="D1595" s="25" t="str">
        <x:v>材料</x:v>
      </x:c>
      <x:c r="E1595" s="25" t="str">
        <x:v>巨人熔火卢恩</x:v>
      </x:c>
      <x:c r="F1595" s="25" t="n">
        <x:v>450</x:v>
      </x:c>
      <x:c r="G1595" s="25" t="str">
        <x:v>从C0至当前检查点累计需求；未扣自身未来产出，不代表已有库存</x:v>
      </x:c>
    </x:row>
    <x:row r="1596">
      <x:c r="A1596" s="25" t="str">
        <x:v>C09-M</x:v>
      </x:c>
      <x:c r="B1596" s="25" t="str">
        <x:v>亚坛高原</x:v>
      </x:c>
      <x:c r="C1596" s="25" t="str">
        <x:v>半急速中期</x:v>
      </x:c>
      <x:c r="D1596" s="25" t="str">
        <x:v>材料</x:v>
      </x:c>
      <x:c r="E1596" s="25" t="str">
        <x:v>幽船铆钉</x:v>
      </x:c>
      <x:c r="F1596" s="25" t="n">
        <x:v>21</x:v>
      </x:c>
      <x:c r="G1596" s="25" t="str">
        <x:v>从C0至当前检查点累计需求；未扣自身未来产出，不代表已有库存</x:v>
      </x:c>
    </x:row>
    <x:row r="1597">
      <x:c r="A1597" s="25" t="str">
        <x:v>C09-M</x:v>
      </x:c>
      <x:c r="B1597" s="25" t="str">
        <x:v>亚坛高原</x:v>
      </x:c>
      <x:c r="C1597" s="25" t="str">
        <x:v>半急速中期</x:v>
      </x:c>
      <x:c r="D1597" s="25" t="str">
        <x:v>材料</x:v>
      </x:c>
      <x:c r="E1597" s="25" t="str">
        <x:v>恶兆残角</x:v>
      </x:c>
      <x:c r="F1597" s="25" t="n">
        <x:v>1</x:v>
      </x:c>
      <x:c r="G1597" s="25" t="str">
        <x:v>从C0至当前检查点累计需求；未扣自身未来产出，不代表已有库存</x:v>
      </x:c>
    </x:row>
    <x:row r="1598">
      <x:c r="A1598" s="25" t="str">
        <x:v>C09-M</x:v>
      </x:c>
      <x:c r="B1598" s="25" t="str">
        <x:v>亚坛高原</x:v>
      </x:c>
      <x:c r="C1598" s="25" t="str">
        <x:v>半急速中期</x:v>
      </x:c>
      <x:c r="D1598" s="25" t="str">
        <x:v>材料</x:v>
      </x:c>
      <x:c r="E1598" s="25" t="str">
        <x:v>技能残页</x:v>
      </x:c>
      <x:c r="F1598" s="25" t="n">
        <x:v>1350</x:v>
      </x:c>
      <x:c r="G1598" s="25" t="str">
        <x:v>从C0至当前检查点累计需求；未扣自身未来产出，不代表已有库存</x:v>
      </x:c>
    </x:row>
    <x:row r="1599">
      <x:c r="A1599" s="25" t="str">
        <x:v>C09-M</x:v>
      </x:c>
      <x:c r="B1599" s="25" t="str">
        <x:v>亚坛高原</x:v>
      </x:c>
      <x:c r="C1599" s="25" t="str">
        <x:v>半急速中期</x:v>
      </x:c>
      <x:c r="D1599" s="25" t="str">
        <x:v>材料</x:v>
      </x:c>
      <x:c r="E1599" s="25" t="str">
        <x:v>接肢兽心</x:v>
      </x:c>
      <x:c r="F1599" s="25" t="n">
        <x:v>2</x:v>
      </x:c>
      <x:c r="G1599" s="25" t="str">
        <x:v>从C0至当前检查点累计需求；未扣自身未来产出，不代表已有库存</x:v>
      </x:c>
    </x:row>
    <x:row r="1600">
      <x:c r="A1600" s="25" t="str">
        <x:v>C09-M</x:v>
      </x:c>
      <x:c r="B1600" s="25" t="str">
        <x:v>亚坛高原</x:v>
      </x:c>
      <x:c r="C1600" s="25" t="str">
        <x:v>半急速中期</x:v>
      </x:c>
      <x:c r="D1600" s="25" t="str">
        <x:v>材料</x:v>
      </x:c>
      <x:c r="E1600" s="25" t="str">
        <x:v>接肢王印</x:v>
      </x:c>
      <x:c r="F1600" s="25" t="n">
        <x:v>13</x:v>
      </x:c>
      <x:c r="G1600" s="25" t="str">
        <x:v>从C0至当前检查点累计需求；未扣自身未来产出，不代表已有库存</x:v>
      </x:c>
    </x:row>
    <x:row r="1601">
      <x:c r="A1601" s="25" t="str">
        <x:v>C09-M</x:v>
      </x:c>
      <x:c r="B1601" s="25" t="str">
        <x:v>亚坛高原</x:v>
      </x:c>
      <x:c r="C1601" s="25" t="str">
        <x:v>半急速中期</x:v>
      </x:c>
      <x:c r="D1601" s="25" t="str">
        <x:v>材料</x:v>
      </x:c>
      <x:c r="E1601" s="25" t="str">
        <x:v>接肢王魂</x:v>
      </x:c>
      <x:c r="F1601" s="25" t="n">
        <x:v>1</x:v>
      </x:c>
      <x:c r="G1601" s="25" t="str">
        <x:v>从C0至当前检查点累计需求；未扣自身未来产出，不代表已有库存</x:v>
      </x:c>
    </x:row>
    <x:row r="1602">
      <x:c r="A1602" s="25" t="str">
        <x:v>C09-M</x:v>
      </x:c>
      <x:c r="B1602" s="25" t="str">
        <x:v>亚坛高原</x:v>
      </x:c>
      <x:c r="C1602" s="25" t="str">
        <x:v>半急速中期</x:v>
      </x:c>
      <x:c r="D1602" s="25" t="str">
        <x:v>材料</x:v>
      </x:c>
      <x:c r="E1602" s="25" t="str">
        <x:v>月潮忆珀</x:v>
      </x:c>
      <x:c r="F1602" s="25" t="n">
        <x:v>1</x:v>
      </x:c>
      <x:c r="G1602" s="25" t="str">
        <x:v>从C0至当前检查点累计需求；未扣自身未来产出，不代表已有库存</x:v>
      </x:c>
    </x:row>
    <x:row r="1603">
      <x:c r="A1603" s="25" t="str">
        <x:v>C09-M</x:v>
      </x:c>
      <x:c r="B1603" s="25" t="str">
        <x:v>亚坛高原</x:v>
      </x:c>
      <x:c r="C1603" s="25" t="str">
        <x:v>半急速中期</x:v>
      </x:c>
      <x:c r="D1603" s="25" t="str">
        <x:v>材料</x:v>
      </x:c>
      <x:c r="E1603" s="25" t="str">
        <x:v>月蚀镜片</x:v>
      </x:c>
      <x:c r="F1603" s="25" t="n">
        <x:v>21</x:v>
      </x:c>
      <x:c r="G1603" s="25" t="str">
        <x:v>从C0至当前检查点累计需求；未扣自身未来产出，不代表已有库存</x:v>
      </x:c>
    </x:row>
    <x:row r="1604">
      <x:c r="A1604" s="25" t="str">
        <x:v>C09-M</x:v>
      </x:c>
      <x:c r="B1604" s="25" t="str">
        <x:v>亚坛高原</x:v>
      </x:c>
      <x:c r="C1604" s="25" t="str">
        <x:v>半急速中期</x:v>
      </x:c>
      <x:c r="D1604" s="25" t="str">
        <x:v>材料</x:v>
      </x:c>
      <x:c r="E1604" s="25" t="str">
        <x:v>树卫枪穗</x:v>
      </x:c>
      <x:c r="F1604" s="25" t="n">
        <x:v>1</x:v>
      </x:c>
      <x:c r="G1604" s="25" t="str">
        <x:v>从C0至当前检查点累计需求；未扣自身未来产出，不代表已有库存</x:v>
      </x:c>
    </x:row>
    <x:row r="1605">
      <x:c r="A1605" s="25" t="str">
        <x:v>C09-M</x:v>
      </x:c>
      <x:c r="B1605" s="25" t="str">
        <x:v>亚坛高原</x:v>
      </x:c>
      <x:c r="C1605" s="25" t="str">
        <x:v>半急速中期</x:v>
      </x:c>
      <x:c r="D1605" s="25" t="str">
        <x:v>材料</x:v>
      </x:c>
      <x:c r="E1605" s="25" t="str">
        <x:v>死亡仪羽</x:v>
      </x:c>
      <x:c r="F1605" s="25" t="n">
        <x:v>2</x:v>
      </x:c>
      <x:c r="G1605" s="25" t="str">
        <x:v>从C0至当前检查点累计需求；未扣自身未来产出，不代表已有库存</x:v>
      </x:c>
    </x:row>
    <x:row r="1606">
      <x:c r="A1606" s="25" t="str">
        <x:v>C09-M</x:v>
      </x:c>
      <x:c r="B1606" s="25" t="str">
        <x:v>亚坛高原</x:v>
      </x:c>
      <x:c r="C1606" s="25" t="str">
        <x:v>半急速中期</x:v>
      </x:c>
      <x:c r="D1606" s="25" t="str">
        <x:v>材料</x:v>
      </x:c>
      <x:c r="E1606" s="25" t="str">
        <x:v>永霜朝圣痕</x:v>
      </x:c>
      <x:c r="F1606" s="25" t="n">
        <x:v>1</x:v>
      </x:c>
      <x:c r="G1606" s="25" t="str">
        <x:v>从C0至当前检查点累计需求；未扣自身未来产出，不代表已有库存</x:v>
      </x:c>
    </x:row>
    <x:row r="1607">
      <x:c r="A1607" s="25" t="str">
        <x:v>C09-M</x:v>
      </x:c>
      <x:c r="B1607" s="25" t="str">
        <x:v>亚坛高原</x:v>
      </x:c>
      <x:c r="C1607" s="25" t="str">
        <x:v>半急速中期</x:v>
      </x:c>
      <x:c r="D1607" s="25" t="str">
        <x:v>材料</x:v>
      </x:c>
      <x:c r="E1607" s="25" t="str">
        <x:v>沉湖王印</x:v>
      </x:c>
      <x:c r="F1607" s="25" t="n">
        <x:v>16</x:v>
      </x:c>
      <x:c r="G1607" s="25" t="str">
        <x:v>从C0至当前检查点累计需求；未扣自身未来产出，不代表已有库存</x:v>
      </x:c>
    </x:row>
    <x:row r="1608">
      <x:c r="A1608" s="25" t="str">
        <x:v>C09-M</x:v>
      </x:c>
      <x:c r="B1608" s="25" t="str">
        <x:v>亚坛高原</x:v>
      </x:c>
      <x:c r="C1608" s="25" t="str">
        <x:v>半急速中期</x:v>
      </x:c>
      <x:c r="D1608" s="25" t="str">
        <x:v>材料</x:v>
      </x:c>
      <x:c r="E1608" s="25" t="str">
        <x:v>沉船缆扣</x:v>
      </x:c>
      <x:c r="F1608" s="25" t="n">
        <x:v>12</x:v>
      </x:c>
      <x:c r="G1608" s="25" t="str">
        <x:v>从C0至当前检查点累计需求；未扣自身未来产出，不代表已有库存</x:v>
      </x:c>
    </x:row>
    <x:row r="1609">
      <x:c r="A1609" s="25" t="str">
        <x:v>C09-M</x:v>
      </x:c>
      <x:c r="B1609" s="25" t="str">
        <x:v>亚坛高原</x:v>
      </x:c>
      <x:c r="C1609" s="25" t="str">
        <x:v>半急速中期</x:v>
      </x:c>
      <x:c r="D1609" s="25" t="str">
        <x:v>材料</x:v>
      </x:c>
      <x:c r="E1609" s="25" t="str">
        <x:v>海蚀铁片</x:v>
      </x:c>
      <x:c r="F1609" s="25" t="n">
        <x:v>160</x:v>
      </x:c>
      <x:c r="G1609" s="25" t="str">
        <x:v>从C0至当前检查点累计需求；未扣自身未来产出，不代表已有库存</x:v>
      </x:c>
    </x:row>
    <x:row r="1610">
      <x:c r="A1610" s="25" t="str">
        <x:v>C09-M</x:v>
      </x:c>
      <x:c r="B1610" s="25" t="str">
        <x:v>亚坛高原</x:v>
      </x:c>
      <x:c r="C1610" s="25" t="str">
        <x:v>半急速中期</x:v>
      </x:c>
      <x:c r="D1610" s="25" t="str">
        <x:v>材料</x:v>
      </x:c>
      <x:c r="E1610" s="25" t="str">
        <x:v>湖底封门珠</x:v>
      </x:c>
      <x:c r="F1610" s="25" t="n">
        <x:v>8</x:v>
      </x:c>
      <x:c r="G1610" s="25" t="str">
        <x:v>从C0至当前检查点累计需求；未扣自身未来产出，不代表已有库存</x:v>
      </x:c>
    </x:row>
    <x:row r="1611">
      <x:c r="A1611" s="25" t="str">
        <x:v>C09-M</x:v>
      </x:c>
      <x:c r="B1611" s="25" t="str">
        <x:v>亚坛高原</x:v>
      </x:c>
      <x:c r="C1611" s="25" t="str">
        <x:v>半急速中期</x:v>
      </x:c>
      <x:c r="D1611" s="25" t="str">
        <x:v>材料</x:v>
      </x:c>
      <x:c r="E1611" s="25" t="str">
        <x:v>湖心月谱残章</x:v>
      </x:c>
      <x:c r="F1611" s="25" t="n">
        <x:v>1</x:v>
      </x:c>
      <x:c r="G1611" s="25" t="str">
        <x:v>从C0至当前检查点累计需求；未扣自身未来产出，不代表已有库存</x:v>
      </x:c>
    </x:row>
    <x:row r="1612">
      <x:c r="A1612" s="25" t="str">
        <x:v>C09-M</x:v>
      </x:c>
      <x:c r="B1612" s="25" t="str">
        <x:v>亚坛高原</x:v>
      </x:c>
      <x:c r="C1612" s="25" t="str">
        <x:v>半急速中期</x:v>
      </x:c>
      <x:c r="D1612" s="25" t="str">
        <x:v>材料</x:v>
      </x:c>
      <x:c r="E1612" s="25" t="str">
        <x:v>湖盐结晶</x:v>
      </x:c>
      <x:c r="F1612" s="25" t="n">
        <x:v>1647</x:v>
      </x:c>
      <x:c r="G1612" s="25" t="str">
        <x:v>从C0至当前检查点累计需求；未扣自身未来产出，不代表已有库存</x:v>
      </x:c>
    </x:row>
    <x:row r="1613">
      <x:c r="A1613" s="25" t="str">
        <x:v>C09-M</x:v>
      </x:c>
      <x:c r="B1613" s="25" t="str">
        <x:v>亚坛高原</x:v>
      </x:c>
      <x:c r="C1613" s="25" t="str">
        <x:v>半急速中期</x:v>
      </x:c>
      <x:c r="D1613" s="25" t="str">
        <x:v>材料</x:v>
      </x:c>
      <x:c r="E1613" s="25" t="str">
        <x:v>溃烂树核</x:v>
      </x:c>
      <x:c r="F1613" s="25" t="n">
        <x:v>1</x:v>
      </x:c>
      <x:c r="G1613" s="25" t="str">
        <x:v>从C0至当前检查点累计需求；未扣自身未来产出，不代表已有库存</x:v>
      </x:c>
    </x:row>
    <x:row r="1614">
      <x:c r="A1614" s="25" t="str">
        <x:v>C09-M</x:v>
      </x:c>
      <x:c r="B1614" s="25" t="str">
        <x:v>亚坛高原</x:v>
      </x:c>
      <x:c r="C1614" s="25" t="str">
        <x:v>半急速中期</x:v>
      </x:c>
      <x:c r="D1614" s="25" t="str">
        <x:v>材料</x:v>
      </x:c>
      <x:c r="E1614" s="25" t="str">
        <x:v>满月王室印</x:v>
      </x:c>
      <x:c r="F1614" s="25" t="n">
        <x:v>51</x:v>
      </x:c>
      <x:c r="G1614" s="25" t="str">
        <x:v>从C0至当前检查点累计需求；未扣自身未来产出，不代表已有库存</x:v>
      </x:c>
    </x:row>
    <x:row r="1615">
      <x:c r="A1615" s="25" t="str">
        <x:v>C09-M</x:v>
      </x:c>
      <x:c r="B1615" s="25" t="str">
        <x:v>亚坛高原</x:v>
      </x:c>
      <x:c r="C1615" s="25" t="str">
        <x:v>半急速中期</x:v>
      </x:c>
      <x:c r="D1615" s="25" t="str">
        <x:v>材料</x:v>
      </x:c>
      <x:c r="E1615" s="25" t="str">
        <x:v>漂流大陆印记</x:v>
      </x:c>
      <x:c r="F1615" s="25" t="n">
        <x:v>11</x:v>
      </x:c>
      <x:c r="G1615" s="25" t="str">
        <x:v>从C0至当前检查点累计需求；未扣自身未来产出，不代表已有库存</x:v>
      </x:c>
    </x:row>
    <x:row r="1616">
      <x:c r="A1616" s="25" t="str">
        <x:v>C09-M</x:v>
      </x:c>
      <x:c r="B1616" s="25" t="str">
        <x:v>亚坛高原</x:v>
      </x:c>
      <x:c r="C1616" s="25" t="str">
        <x:v>半急速中期</x:v>
      </x:c>
      <x:c r="D1616" s="25" t="str">
        <x:v>材料</x:v>
      </x:c>
      <x:c r="E1616" s="25" t="str">
        <x:v>漂流见证·潮</x:v>
      </x:c>
      <x:c r="F1616" s="25" t="n">
        <x:v>8</x:v>
      </x:c>
      <x:c r="G1616" s="25" t="str">
        <x:v>从C0至当前检查点累计需求；未扣自身未来产出，不代表已有库存</x:v>
      </x:c>
    </x:row>
    <x:row r="1617">
      <x:c r="A1617" s="25" t="str">
        <x:v>C09-M</x:v>
      </x:c>
      <x:c r="B1617" s="25" t="str">
        <x:v>亚坛高原</x:v>
      </x:c>
      <x:c r="C1617" s="25" t="str">
        <x:v>半急速中期</x:v>
      </x:c>
      <x:c r="D1617" s="25" t="str">
        <x:v>材料</x:v>
      </x:c>
      <x:c r="E1617" s="25" t="str">
        <x:v>漂流见证·雷</x:v>
      </x:c>
      <x:c r="F1617" s="25" t="n">
        <x:v>8</x:v>
      </x:c>
      <x:c r="G1617" s="25" t="str">
        <x:v>从C0至当前检查点累计需求；未扣自身未来产出，不代表已有库存</x:v>
      </x:c>
    </x:row>
    <x:row r="1618">
      <x:c r="A1618" s="25" t="str">
        <x:v>C09-M</x:v>
      </x:c>
      <x:c r="B1618" s="25" t="str">
        <x:v>亚坛高原</x:v>
      </x:c>
      <x:c r="C1618" s="25" t="str">
        <x:v>半急速中期</x:v>
      </x:c>
      <x:c r="D1618" s="25" t="str">
        <x:v>材料</x:v>
      </x:c>
      <x:c r="E1618" s="25" t="str">
        <x:v>潮痕结晶</x:v>
      </x:c>
      <x:c r="F1618" s="25" t="n">
        <x:v>16</x:v>
      </x:c>
      <x:c r="G1618" s="25" t="str">
        <x:v>从C0至当前检查点累计需求；未扣自身未来产出，不代表已有库存</x:v>
      </x:c>
    </x:row>
    <x:row r="1619">
      <x:c r="A1619" s="25" t="str">
        <x:v>C09-M</x:v>
      </x:c>
      <x:c r="B1619" s="25" t="str">
        <x:v>亚坛高原</x:v>
      </x:c>
      <x:c r="C1619" s="25" t="str">
        <x:v>半急速中期</x:v>
      </x:c>
      <x:c r="D1619" s="25" t="str">
        <x:v>材料</x:v>
      </x:c>
      <x:c r="E1619" s="25" t="str">
        <x:v>熊王心脏</x:v>
      </x:c>
      <x:c r="F1619" s="25" t="n">
        <x:v>2</x:v>
      </x:c>
      <x:c r="G1619" s="25" t="str">
        <x:v>从C0至当前检查点累计需求；未扣自身未来产出，不代表已有库存</x:v>
      </x:c>
    </x:row>
    <x:row r="1620">
      <x:c r="A1620" s="25" t="str">
        <x:v>C09-M</x:v>
      </x:c>
      <x:c r="B1620" s="25" t="str">
        <x:v>亚坛高原</x:v>
      </x:c>
      <x:c r="C1620" s="25" t="str">
        <x:v>半急速中期</x:v>
      </x:c>
      <x:c r="D1620" s="25" t="str">
        <x:v>材料</x:v>
      </x:c>
      <x:c r="E1620" s="25" t="str">
        <x:v>熔原罪火残章</x:v>
      </x:c>
      <x:c r="F1620" s="25" t="n">
        <x:v>1</x:v>
      </x:c>
      <x:c r="G1620" s="25" t="str">
        <x:v>从C0至当前检查点累计需求；未扣自身未来产出，不代表已有库存</x:v>
      </x:c>
    </x:row>
    <x:row r="1621">
      <x:c r="A1621" s="25" t="str">
        <x:v>C09-M</x:v>
      </x:c>
      <x:c r="B1621" s="25" t="str">
        <x:v>亚坛高原</x:v>
      </x:c>
      <x:c r="C1621" s="25" t="str">
        <x:v>半急速中期</x:v>
      </x:c>
      <x:c r="D1621" s="25" t="str">
        <x:v>材料</x:v>
      </x:c>
      <x:c r="E1621" s="25" t="str">
        <x:v>熔炉角片</x:v>
      </x:c>
      <x:c r="F1621" s="25" t="n">
        <x:v>1</x:v>
      </x:c>
      <x:c r="G1621" s="25" t="str">
        <x:v>从C0至当前检查点累计需求；未扣自身未来产出，不代表已有库存</x:v>
      </x:c>
    </x:row>
    <x:row r="1622">
      <x:c r="A1622" s="25" t="str">
        <x:v>C09-M</x:v>
      </x:c>
      <x:c r="B1622" s="25" t="str">
        <x:v>亚坛高原</x:v>
      </x:c>
      <x:c r="C1622" s="25" t="str">
        <x:v>半急速中期</x:v>
      </x:c>
      <x:c r="D1622" s="25" t="str">
        <x:v>材料</x:v>
      </x:c>
      <x:c r="E1622" s="25" t="str">
        <x:v>猩红矿渣</x:v>
      </x:c>
      <x:c r="F1622" s="25" t="n">
        <x:v>1737</x:v>
      </x:c>
      <x:c r="G1622" s="25" t="str">
        <x:v>从C0至当前检查点累计需求；未扣自身未来产出，不代表已有库存</x:v>
      </x:c>
    </x:row>
    <x:row r="1623">
      <x:c r="A1623" s="25" t="str">
        <x:v>C09-M</x:v>
      </x:c>
      <x:c r="B1623" s="25" t="str">
        <x:v>亚坛高原</x:v>
      </x:c>
      <x:c r="C1623" s="25" t="str">
        <x:v>半急速中期</x:v>
      </x:c>
      <x:c r="D1623" s="25" t="str">
        <x:v>材料</x:v>
      </x:c>
      <x:c r="E1623" s="25" t="str">
        <x:v>王城军印</x:v>
      </x:c>
      <x:c r="F1623" s="25" t="n">
        <x:v>1</x:v>
      </x:c>
      <x:c r="G1623" s="25" t="str">
        <x:v>从C0至当前检查点累计需求；未扣自身未来产出，不代表已有库存</x:v>
      </x:c>
    </x:row>
    <x:row r="1624">
      <x:c r="A1624" s="25" t="str">
        <x:v>C09-M</x:v>
      </x:c>
      <x:c r="B1624" s="25" t="str">
        <x:v>亚坛高原</x:v>
      </x:c>
      <x:c r="C1624" s="25" t="str">
        <x:v>半急速中期</x:v>
      </x:c>
      <x:c r="D1624" s="25" t="str">
        <x:v>材料</x:v>
      </x:c>
      <x:c r="E1624" s="25" t="str">
        <x:v>白金纺线</x:v>
      </x:c>
      <x:c r="F1624" s="25" t="n">
        <x:v>60</x:v>
      </x:c>
      <x:c r="G1624" s="25" t="str">
        <x:v>从C0至当前检查点累计需求；未扣自身未来产出，不代表已有库存</x:v>
      </x:c>
    </x:row>
    <x:row r="1625">
      <x:c r="A1625" s="25" t="str">
        <x:v>C09-M</x:v>
      </x:c>
      <x:c r="B1625" s="25" t="str">
        <x:v>亚坛高原</x:v>
      </x:c>
      <x:c r="C1625" s="25" t="str">
        <x:v>半急速中期</x:v>
      </x:c>
      <x:c r="D1625" s="25" t="str">
        <x:v>材料</x:v>
      </x:c>
      <x:c r="E1625" s="25" t="str">
        <x:v>白金路标片</x:v>
      </x:c>
      <x:c r="F1625" s="25" t="n">
        <x:v>145</x:v>
      </x:c>
      <x:c r="G1625" s="25" t="str">
        <x:v>从C0至当前检查点累计需求；未扣自身未来产出，不代表已有库存</x:v>
      </x:c>
    </x:row>
    <x:row r="1626">
      <x:c r="A1626" s="25" t="str">
        <x:v>C09-M</x:v>
      </x:c>
      <x:c r="B1626" s="25" t="str">
        <x:v>亚坛高原</x:v>
      </x:c>
      <x:c r="C1626" s="25" t="str">
        <x:v>半急速中期</x:v>
      </x:c>
      <x:c r="D1626" s="25" t="str">
        <x:v>材料</x:v>
      </x:c>
      <x:c r="E1626" s="25" t="str">
        <x:v>看门犬石心</x:v>
      </x:c>
      <x:c r="F1626" s="25" t="n">
        <x:v>2</x:v>
      </x:c>
      <x:c r="G1626" s="25" t="str">
        <x:v>从C0至当前检查点累计需求；未扣自身未来产出，不代表已有库存</x:v>
      </x:c>
    </x:row>
    <x:row r="1627">
      <x:c r="A1627" s="25" t="str">
        <x:v>C09-M</x:v>
      </x:c>
      <x:c r="B1627" s="25" t="str">
        <x:v>亚坛高原</x:v>
      </x:c>
      <x:c r="C1627" s="25" t="str">
        <x:v>半急速中期</x:v>
      </x:c>
      <x:c r="D1627" s="25" t="str">
        <x:v>材料</x:v>
      </x:c>
      <x:c r="E1627" s="25" t="str">
        <x:v>矿脉灯芯</x:v>
      </x:c>
      <x:c r="F1627" s="25" t="n">
        <x:v>20</x:v>
      </x:c>
      <x:c r="G1627" s="25" t="str">
        <x:v>从C0至当前检查点累计需求；未扣自身未来产出，不代表已有库存</x:v>
      </x:c>
    </x:row>
    <x:row r="1628">
      <x:c r="A1628" s="25" t="str">
        <x:v>C09-M</x:v>
      </x:c>
      <x:c r="B1628" s="25" t="str">
        <x:v>亚坛高原</x:v>
      </x:c>
      <x:c r="C1628" s="25" t="str">
        <x:v>半急速中期</x:v>
      </x:c>
      <x:c r="D1628" s="25" t="str">
        <x:v>材料</x:v>
      </x:c>
      <x:c r="E1628" s="25" t="str">
        <x:v>碎星仪仗钉</x:v>
      </x:c>
      <x:c r="F1628" s="25" t="n">
        <x:v>2</x:v>
      </x:c>
      <x:c r="G1628" s="25" t="str">
        <x:v>从C0至当前检查点累计需求；未扣自身未来产出，不代表已有库存</x:v>
      </x:c>
    </x:row>
    <x:row r="1629">
      <x:c r="A1629" s="25" t="str">
        <x:v>C09-M</x:v>
      </x:c>
      <x:c r="B1629" s="25" t="str">
        <x:v>亚坛高原</x:v>
      </x:c>
      <x:c r="C1629" s="25" t="str">
        <x:v>半急速中期</x:v>
      </x:c>
      <x:c r="D1629" s="25" t="str">
        <x:v>材料</x:v>
      </x:c>
      <x:c r="E1629" s="25" t="str">
        <x:v>神秘符文</x:v>
      </x:c>
      <x:c r="F1629" s="25" t="n">
        <x:v>500</x:v>
      </x:c>
      <x:c r="G1629" s="25" t="str">
        <x:v>从C0至当前检查点累计需求；未扣自身未来产出，不代表已有库存</x:v>
      </x:c>
    </x:row>
    <x:row r="1630">
      <x:c r="A1630" s="25" t="str">
        <x:v>C09-M</x:v>
      </x:c>
      <x:c r="B1630" s="25" t="str">
        <x:v>亚坛高原</x:v>
      </x:c>
      <x:c r="C1630" s="25" t="str">
        <x:v>半急速中期</x:v>
      </x:c>
      <x:c r="D1630" s="25" t="str">
        <x:v>材料</x:v>
      </x:c>
      <x:c r="E1630" s="25" t="str">
        <x:v>禁域星钥</x:v>
      </x:c>
      <x:c r="F1630" s="25" t="n">
        <x:v>2</x:v>
      </x:c>
      <x:c r="G1630" s="25" t="str">
        <x:v>从C0至当前检查点累计需求；未扣自身未来产出，不代表已有库存</x:v>
      </x:c>
    </x:row>
    <x:row r="1631">
      <x:c r="A1631" s="25" t="str">
        <x:v>C09-M</x:v>
      </x:c>
      <x:c r="B1631" s="25" t="str">
        <x:v>亚坛高原</x:v>
      </x:c>
      <x:c r="C1631" s="25" t="str">
        <x:v>半急速中期</x:v>
      </x:c>
      <x:c r="D1631" s="25" t="str">
        <x:v>材料</x:v>
      </x:c>
      <x:c r="E1631" s="25" t="str">
        <x:v>穹霜碑珀</x:v>
      </x:c>
      <x:c r="F1631" s="25" t="n">
        <x:v>1</x:v>
      </x:c>
      <x:c r="G1631" s="25" t="str">
        <x:v>从C0至当前检查点累计需求；未扣自身未来产出，不代表已有库存</x:v>
      </x:c>
    </x:row>
    <x:row r="1632">
      <x:c r="A1632" s="25" t="str">
        <x:v>C09-M</x:v>
      </x:c>
      <x:c r="B1632" s="25" t="str">
        <x:v>亚坛高原</x:v>
      </x:c>
      <x:c r="C1632" s="25" t="str">
        <x:v>半急速中期</x:v>
      </x:c>
      <x:c r="D1632" s="25" t="str">
        <x:v>材料</x:v>
      </x:c>
      <x:c r="E1632" s="25" t="str">
        <x:v>红狮战印</x:v>
      </x:c>
      <x:c r="F1632" s="25" t="n">
        <x:v>42</x:v>
      </x:c>
      <x:c r="G1632" s="25" t="str">
        <x:v>从C0至当前检查点累计需求；未扣自身未来产出，不代表已有库存</x:v>
      </x:c>
    </x:row>
    <x:row r="1633">
      <x:c r="A1633" s="25" t="str">
        <x:v>C09-M</x:v>
      </x:c>
      <x:c r="B1633" s="25" t="str">
        <x:v>亚坛高原</x:v>
      </x:c>
      <x:c r="C1633" s="25" t="str">
        <x:v>半急速中期</x:v>
      </x:c>
      <x:c r="D1633" s="25" t="str">
        <x:v>材料</x:v>
      </x:c>
      <x:c r="E1633" s="25" t="str">
        <x:v>腐根魂结</x:v>
      </x:c>
      <x:c r="F1633" s="25" t="n">
        <x:v>2</x:v>
      </x:c>
      <x:c r="G1633" s="25" t="str">
        <x:v>从C0至当前检查点累计需求；未扣自身未来产出，不代表已有库存</x:v>
      </x:c>
    </x:row>
    <x:row r="1634">
      <x:c r="A1634" s="25" t="str">
        <x:v>C09-M</x:v>
      </x:c>
      <x:c r="B1634" s="25" t="str">
        <x:v>亚坛高原</x:v>
      </x:c>
      <x:c r="C1634" s="25" t="str">
        <x:v>半急速中期</x:v>
      </x:c>
      <x:c r="D1634" s="25" t="str">
        <x:v>材料</x:v>
      </x:c>
      <x:c r="E1634" s="25" t="str">
        <x:v>裂峰号角片</x:v>
      </x:c>
      <x:c r="F1634" s="25" t="n">
        <x:v>110</x:v>
      </x:c>
      <x:c r="G1634" s="25" t="str">
        <x:v>从C0至当前检查点累计需求；未扣自身未来产出，不代表已有库存</x:v>
      </x:c>
    </x:row>
    <x:row r="1635">
      <x:c r="A1635" s="25" t="str">
        <x:v>C09-M</x:v>
      </x:c>
      <x:c r="B1635" s="25" t="str">
        <x:v>亚坛高原</x:v>
      </x:c>
      <x:c r="C1635" s="25" t="str">
        <x:v>半急速中期</x:v>
      </x:c>
      <x:c r="D1635" s="25" t="str">
        <x:v>材料</x:v>
      </x:c>
      <x:c r="E1635" s="25" t="str">
        <x:v>裂风崖羽</x:v>
      </x:c>
      <x:c r="F1635" s="25" t="n">
        <x:v>80</x:v>
      </x:c>
      <x:c r="G1635" s="25" t="str">
        <x:v>从C0至当前检查点累计需求；未扣自身未来产出，不代表已有库存</x:v>
      </x:c>
    </x:row>
    <x:row r="1636">
      <x:c r="A1636" s="25" t="str">
        <x:v>C09-M</x:v>
      </x:c>
      <x:c r="B1636" s="25" t="str">
        <x:v>亚坛高原</x:v>
      </x:c>
      <x:c r="C1636" s="25" t="str">
        <x:v>半急速中期</x:v>
      </x:c>
      <x:c r="D1636" s="25" t="str">
        <x:v>材料</x:v>
      </x:c>
      <x:c r="E1636" s="25" t="str">
        <x:v>西境战旗</x:v>
      </x:c>
      <x:c r="F1636" s="25" t="n">
        <x:v>20</x:v>
      </x:c>
      <x:c r="G1636" s="25" t="str">
        <x:v>从C0至当前检查点累计需求；未扣自身未来产出，不代表已有库存</x:v>
      </x:c>
    </x:row>
    <x:row r="1637">
      <x:c r="A1637" s="25" t="str">
        <x:v>C09-M</x:v>
      </x:c>
      <x:c r="B1637" s="25" t="str">
        <x:v>亚坛高原</x:v>
      </x:c>
      <x:c r="C1637" s="25" t="str">
        <x:v>半急速中期</x:v>
      </x:c>
      <x:c r="D1637" s="25" t="str">
        <x:v>材料</x:v>
      </x:c>
      <x:c r="E1637" s="25" t="str">
        <x:v>西境战旗印</x:v>
      </x:c>
      <x:c r="F1637" s="25" t="n">
        <x:v>13</x:v>
      </x:c>
      <x:c r="G1637" s="25" t="str">
        <x:v>从C0至当前检查点累计需求；未扣自身未来产出，不代表已有库存</x:v>
      </x:c>
    </x:row>
    <x:row r="1638">
      <x:c r="A1638" s="25" t="str">
        <x:v>C09-M</x:v>
      </x:c>
      <x:c r="B1638" s="25" t="str">
        <x:v>亚坛高原</x:v>
      </x:c>
      <x:c r="C1638" s="25" t="str">
        <x:v>半急速中期</x:v>
      </x:c>
      <x:c r="D1638" s="25" t="str">
        <x:v>材料</x:v>
      </x:c>
      <x:c r="E1638" s="25" t="str">
        <x:v>西境风痕碑拓</x:v>
      </x:c>
      <x:c r="F1638" s="25" t="n">
        <x:v>1</x:v>
      </x:c>
      <x:c r="G1638" s="25" t="str">
        <x:v>从C0至当前检查点累计需求；未扣自身未来产出，不代表已有库存</x:v>
      </x:c>
    </x:row>
    <x:row r="1639">
      <x:c r="A1639" s="25" t="str">
        <x:v>C09-M</x:v>
      </x:c>
      <x:c r="B1639" s="25" t="str">
        <x:v>亚坛高原</x:v>
      </x:c>
      <x:c r="C1639" s="25" t="str">
        <x:v>半急速中期</x:v>
      </x:c>
      <x:c r="D1639" s="25" t="str">
        <x:v>材料</x:v>
      </x:c>
      <x:c r="E1639" s="25" t="str">
        <x:v>贵胄断指</x:v>
      </x:c>
      <x:c r="F1639" s="25" t="n">
        <x:v>1</x:v>
      </x:c>
      <x:c r="G1639" s="25" t="str">
        <x:v>从C0至当前检查点累计需求；未扣自身未来产出，不代表已有库存</x:v>
      </x:c>
    </x:row>
    <x:row r="1640">
      <x:c r="A1640" s="25" t="str">
        <x:v>C09-M</x:v>
      </x:c>
      <x:c r="B1640" s="25" t="str">
        <x:v>亚坛高原</x:v>
      </x:c>
      <x:c r="C1640" s="25" t="str">
        <x:v>半急速中期</x:v>
      </x:c>
      <x:c r="D1640" s="25" t="str">
        <x:v>材料</x:v>
      </x:c>
      <x:c r="E1640" s="25" t="str">
        <x:v>辉石碎晶</x:v>
      </x:c>
      <x:c r="F1640" s="25" t="n">
        <x:v>1750</x:v>
      </x:c>
      <x:c r="G1640" s="25" t="str">
        <x:v>从C0至当前检查点累计需求；未扣自身未来产出，不代表已有库存</x:v>
      </x:c>
    </x:row>
    <x:row r="1641">
      <x:c r="A1641" s="25" t="str">
        <x:v>C09-M</x:v>
      </x:c>
      <x:c r="B1641" s="25" t="str">
        <x:v>亚坛高原</x:v>
      </x:c>
      <x:c r="C1641" s="25" t="str">
        <x:v>半急速中期</x:v>
      </x:c>
      <x:c r="D1641" s="25" t="str">
        <x:v>材料</x:v>
      </x:c>
      <x:c r="E1641" s="25" t="str">
        <x:v>野兽骨片</x:v>
      </x:c>
      <x:c r="F1641" s="25" t="n">
        <x:v>61495</x:v>
      </x:c>
      <x:c r="G1641" s="25" t="str">
        <x:v>从C0至当前检查点累计需求；未扣自身未来产出，不代表已有库存</x:v>
      </x:c>
    </x:row>
    <x:row r="1642">
      <x:c r="A1642" s="25" t="str">
        <x:v>C09-M</x:v>
      </x:c>
      <x:c r="B1642" s="25" t="str">
        <x:v>亚坛高原</x:v>
      </x:c>
      <x:c r="C1642" s="25" t="str">
        <x:v>半急速中期</x:v>
      </x:c>
      <x:c r="D1642" s="25" t="str">
        <x:v>材料</x:v>
      </x:c>
      <x:c r="E1642" s="25" t="str">
        <x:v>金叶驿票</x:v>
      </x:c>
      <x:c r="F1642" s="25" t="n">
        <x:v>50</x:v>
      </x:c>
      <x:c r="G1642" s="25" t="str">
        <x:v>从C0至当前检查点累计需求；未扣自身未来产出，不代表已有库存</x:v>
      </x:c>
    </x:row>
    <x:row r="1643">
      <x:c r="A1643" s="25" t="str">
        <x:v>C09-M</x:v>
      </x:c>
      <x:c r="B1643" s="25" t="str">
        <x:v>亚坛高原</x:v>
      </x:c>
      <x:c r="C1643" s="25" t="str">
        <x:v>半急速中期</x:v>
      </x:c>
      <x:c r="D1643" s="25" t="str">
        <x:v>材料</x:v>
      </x:c>
      <x:c r="E1643" s="25" t="str">
        <x:v>雾潮银鳞</x:v>
      </x:c>
      <x:c r="F1643" s="25" t="n">
        <x:v>272</x:v>
      </x:c>
      <x:c r="G1643" s="25" t="str">
        <x:v>从C0至当前检查点累计需求；未扣自身未来产出，不代表已有库存</x:v>
      </x:c>
    </x:row>
    <x:row r="1644">
      <x:c r="A1644" s="25" t="str">
        <x:v>C09-M</x:v>
      </x:c>
      <x:c r="B1644" s="25" t="str">
        <x:v>亚坛高原</x:v>
      </x:c>
      <x:c r="C1644" s="25" t="str">
        <x:v>半急速中期</x:v>
      </x:c>
      <x:c r="D1644" s="25" t="str">
        <x:v>材料</x:v>
      </x:c>
      <x:c r="E1644" s="25" t="str">
        <x:v>霜脊铁</x:v>
      </x:c>
      <x:c r="F1644" s="25" t="n">
        <x:v>2595</x:v>
      </x:c>
      <x:c r="G1644" s="25" t="str">
        <x:v>从C0至当前检查点累计需求；未扣自身未来产出，不代表已有库存</x:v>
      </x:c>
    </x:row>
    <x:row r="1645">
      <x:c r="A1645" s="25" t="str">
        <x:v>C09-M</x:v>
      </x:c>
      <x:c r="B1645" s="25" t="str">
        <x:v>亚坛高原</x:v>
      </x:c>
      <x:c r="C1645" s="25" t="str">
        <x:v>半急速中期</x:v>
      </x:c>
      <x:c r="D1645" s="25" t="str">
        <x:v>材料</x:v>
      </x:c>
      <x:c r="E1645" s="25" t="str">
        <x:v>风暴王核</x:v>
      </x:c>
      <x:c r="F1645" s="25" t="n">
        <x:v>1</x:v>
      </x:c>
      <x:c r="G1645" s="25" t="str">
        <x:v>从C0至当前检查点累计需求；未扣自身未来产出，不代表已有库存</x:v>
      </x:c>
    </x:row>
    <x:row r="1646">
      <x:c r="A1646" s="25" t="str">
        <x:v>C09-M</x:v>
      </x:c>
      <x:c r="B1646" s="25" t="str">
        <x:v>亚坛高原</x:v>
      </x:c>
      <x:c r="C1646" s="25" t="str">
        <x:v>半急速中期</x:v>
      </x:c>
      <x:c r="D1646" s="25" t="str">
        <x:v>材料</x:v>
      </x:c>
      <x:c r="E1646" s="25" t="str">
        <x:v>风暴石片</x:v>
      </x:c>
      <x:c r="F1646" s="25" t="n">
        <x:v>370</x:v>
      </x:c>
      <x:c r="G1646" s="25" t="str">
        <x:v>从C0至当前检查点累计需求；未扣自身未来产出，不代表已有库存</x:v>
      </x:c>
    </x:row>
    <x:row r="1647">
      <x:c r="A1647" s="25" t="str">
        <x:v>C09-M</x:v>
      </x:c>
      <x:c r="B1647" s="25" t="str">
        <x:v>亚坛高原</x:v>
      </x:c>
      <x:c r="C1647" s="25" t="str">
        <x:v>半急速中期</x:v>
      </x:c>
      <x:c r="D1647" s="25" t="str">
        <x:v>材料</x:v>
      </x:c>
      <x:c r="E1647" s="25" t="str">
        <x:v>风蚀铁片</x:v>
      </x:c>
      <x:c r="F1647" s="25" t="n">
        <x:v>710</x:v>
      </x:c>
      <x:c r="G1647" s="25" t="str">
        <x:v>从C0至当前检查点累计需求；未扣自身未来产出，不代表已有库存</x:v>
      </x:c>
    </x:row>
    <x:row r="1648">
      <x:c r="A1648" s="25" t="str">
        <x:v>C09-M</x:v>
      </x:c>
      <x:c r="B1648" s="25" t="str">
        <x:v>亚坛高原</x:v>
      </x:c>
      <x:c r="C1648" s="25" t="str">
        <x:v>半急速中期</x:v>
      </x:c>
      <x:c r="D1648" s="25" t="str">
        <x:v>材料</x:v>
      </x:c>
      <x:c r="E1648" s="25" t="str">
        <x:v>黄金叶脉</x:v>
      </x:c>
      <x:c r="F1648" s="25" t="n">
        <x:v>1050</x:v>
      </x:c>
      <x:c r="G1648" s="25" t="str">
        <x:v>从C0至当前检查点累计需求；未扣自身未来产出，不代表已有库存</x:v>
      </x:c>
    </x:row>
    <x:row r="1649">
      <x:c r="A1649" s="25" t="str">
        <x:v>C09-M</x:v>
      </x:c>
      <x:c r="B1649" s="25" t="str">
        <x:v>亚坛高原</x:v>
      </x:c>
      <x:c r="C1649" s="25" t="str">
        <x:v>半急速中期</x:v>
      </x:c>
      <x:c r="D1649" s="25" t="str">
        <x:v>材料</x:v>
      </x:c>
      <x:c r="E1649" s="25" t="str">
        <x:v>黄金律印</x:v>
      </x:c>
      <x:c r="F1649" s="25" t="n">
        <x:v>10</x:v>
      </x:c>
      <x:c r="G1649" s="25" t="str">
        <x:v>从C0至当前检查点累计需求；未扣自身未来产出，不代表已有库存</x:v>
      </x:c>
    </x:row>
    <x:row r="1650">
      <x:c r="A1650" s="25" t="str">
        <x:v>C09-M</x:v>
      </x:c>
      <x:c r="B1650" s="25" t="str">
        <x:v>亚坛高原</x:v>
      </x:c>
      <x:c r="C1650" s="25" t="str">
        <x:v>半急速中期</x:v>
      </x:c>
      <x:c r="D1650" s="25" t="str">
        <x:v>材料</x:v>
      </x:c>
      <x:c r="E1650" s="25" t="str">
        <x:v>黄金树碎核</x:v>
      </x:c>
      <x:c r="F1650" s="25" t="n">
        <x:v>2</x:v>
      </x:c>
      <x:c r="G1650" s="25" t="str">
        <x:v>从C0至当前检查点累计需求；未扣自身未来产出，不代表已有库存</x:v>
      </x:c>
    </x:row>
    <x:row r="1651">
      <x:c r="A1651" s="25" t="str">
        <x:v>C09-M</x:v>
      </x:c>
      <x:c r="B1651" s="25" t="str">
        <x:v>亚坛高原</x:v>
      </x:c>
      <x:c r="C1651" s="25" t="str">
        <x:v>半急速中期</x:v>
      </x:c>
      <x:c r="D1651" s="25" t="str">
        <x:v>材料</x:v>
      </x:c>
      <x:c r="E1651" s="25" t="str">
        <x:v>黄金树芽</x:v>
      </x:c>
      <x:c r="F1651" s="25" t="n">
        <x:v>297</x:v>
      </x:c>
      <x:c r="G1651" s="25" t="str">
        <x:v>从C0至当前检查点累计需求；未扣自身未来产出，不代表已有库存</x:v>
      </x:c>
    </x:row>
    <x:row r="1652">
      <x:c r="A1652" s="25" t="str">
        <x:v>C09-M</x:v>
      </x:c>
      <x:c r="B1652" s="25" t="str">
        <x:v>亚坛高原</x:v>
      </x:c>
      <x:c r="C1652" s="25" t="str">
        <x:v>半急速中期</x:v>
      </x:c>
      <x:c r="D1652" s="25" t="str">
        <x:v>材料</x:v>
      </x:c>
      <x:c r="E1652" s="25" t="str">
        <x:v>黄金骑徽</x:v>
      </x:c>
      <x:c r="F1652" s="25" t="n">
        <x:v>2</x:v>
      </x:c>
      <x:c r="G1652" s="25" t="str">
        <x:v>从C0至当前检查点累计需求；未扣自身未来产出，不代表已有库存</x:v>
      </x:c>
    </x:row>
    <x:row r="1653">
      <x:c r="A1653" s="25" t="str">
        <x:v>C09-M</x:v>
      </x:c>
      <x:c r="B1653" s="25" t="str">
        <x:v>亚坛高原</x:v>
      </x:c>
      <x:c r="C1653" s="25" t="str">
        <x:v>半急速中期</x:v>
      </x:c>
      <x:c r="D1653" s="25" t="str">
        <x:v>材料</x:v>
      </x:c>
      <x:c r="E1653" s="25" t="str">
        <x:v>龙火鳞</x:v>
      </x:c>
      <x:c r="F1653" s="25" t="n">
        <x:v>38</x:v>
      </x:c>
      <x:c r="G1653" s="25" t="str">
        <x:v>从C0至当前检查点累计需求；未扣自身未来产出，不代表已有库存</x:v>
      </x:c>
    </x:row>
    <x:row r="1654">
      <x:c r="A1654" s="25" t="str">
        <x:v>C09-M</x:v>
      </x:c>
      <x:c r="B1654" s="25" t="str">
        <x:v>亚坛高原</x:v>
      </x:c>
      <x:c r="C1654" s="25" t="str">
        <x:v>半急速中期</x:v>
      </x:c>
      <x:c r="D1654" s="25" t="str">
        <x:v>装备实物</x:v>
      </x:c>
      <x:c r="E1654" s="25" t="str">
        <x:v>共425个精确名称（明细见JSON）</x:v>
      </x:c>
      <x:c r="F1654" s="25" t="n">
        <x:v>564</x:v>
      </x:c>
      <x:c r="G1654" s="25" t="str">
        <x:v>含穿戴、重复试洗、图鉴登记与合成前置；完整数据未省略</x:v>
      </x:c>
    </x:row>
    <x:row r="1655">
      <x:c r="A1655" s="25" t="str">
        <x:v>C09-G</x:v>
      </x:c>
      <x:c r="B1655" s="25" t="str">
        <x:v>亚坛高原</x:v>
      </x:c>
      <x:c r="C1655" s="25" t="str">
        <x:v>半急速毕业</x:v>
      </x:c>
      <x:c r="D1655" s="25" t="str">
        <x:v>材料</x:v>
      </x:c>
      <x:c r="E1655" s="25" t="str">
        <x:v>兽将脊骨</x:v>
      </x:c>
      <x:c r="F1655" s="25" t="n">
        <x:v>1</x:v>
      </x:c>
      <x:c r="G1655" s="25" t="str">
        <x:v>从C0至当前检查点累计需求；未扣自身未来产出，不代表已有库存</x:v>
      </x:c>
    </x:row>
    <x:row r="1656">
      <x:c r="A1656" s="25" t="str">
        <x:v>C09-G</x:v>
      </x:c>
      <x:c r="B1656" s="25" t="str">
        <x:v>亚坛高原</x:v>
      </x:c>
      <x:c r="C1656" s="25" t="str">
        <x:v>半急速毕业</x:v>
      </x:c>
      <x:c r="D1656" s="25" t="str">
        <x:v>材料</x:v>
      </x:c>
      <x:c r="E1656" s="25" t="str">
        <x:v>冰宫守门铃</x:v>
      </x:c>
      <x:c r="F1656" s="25" t="n">
        <x:v>12</x:v>
      </x:c>
      <x:c r="G1656" s="25" t="str">
        <x:v>从C0至当前检查点累计需求；未扣自身未来产出，不代表已有库存</x:v>
      </x:c>
    </x:row>
    <x:row r="1657">
      <x:c r="A1657" s="25" t="str">
        <x:v>C09-G</x:v>
      </x:c>
      <x:c r="B1657" s="25" t="str">
        <x:v>亚坛高原</x:v>
      </x:c>
      <x:c r="C1657" s="25" t="str">
        <x:v>半急速毕业</x:v>
      </x:c>
      <x:c r="D1657" s="25" t="str">
        <x:v>材料</x:v>
      </x:c>
      <x:c r="E1657" s="25" t="str">
        <x:v>冻原银角</x:v>
      </x:c>
      <x:c r="F1657" s="25" t="n">
        <x:v>30</x:v>
      </x:c>
      <x:c r="G1657" s="25" t="str">
        <x:v>从C0至当前检查点累计需求；未扣自身未来产出，不代表已有库存</x:v>
      </x:c>
    </x:row>
    <x:row r="1658">
      <x:c r="A1658" s="25" t="str">
        <x:v>C09-G</x:v>
      </x:c>
      <x:c r="B1658" s="25" t="str">
        <x:v>亚坛高原</x:v>
      </x:c>
      <x:c r="C1658" s="25" t="str">
        <x:v>半急速毕业</x:v>
      </x:c>
      <x:c r="D1658" s="25" t="str">
        <x:v>材料</x:v>
      </x:c>
      <x:c r="E1658" s="25" t="str">
        <x:v>冻晶尘</x:v>
      </x:c>
      <x:c r="F1658" s="25" t="n">
        <x:v>1720</x:v>
      </x:c>
      <x:c r="G1658" s="25" t="str">
        <x:v>从C0至当前检查点累计需求；未扣自身未来产出，不代表已有库存</x:v>
      </x:c>
    </x:row>
    <x:row r="1659">
      <x:c r="A1659" s="25" t="str">
        <x:v>C09-G</x:v>
      </x:c>
      <x:c r="B1659" s="25" t="str">
        <x:v>亚坛高原</x:v>
      </x:c>
      <x:c r="C1659" s="25" t="str">
        <x:v>半急速毕业</x:v>
      </x:c>
      <x:c r="D1659" s="25" t="str">
        <x:v>材料</x:v>
      </x:c>
      <x:c r="E1659" s="25" t="str">
        <x:v>净火腺囊</x:v>
      </x:c>
      <x:c r="F1659" s="25" t="n">
        <x:v>44</x:v>
      </x:c>
      <x:c r="G1659" s="25" t="str">
        <x:v>从C0至当前检查点累计需求；未扣自身未来产出，不代表已有库存</x:v>
      </x:c>
    </x:row>
    <x:row r="1660">
      <x:c r="A1660" s="25" t="str">
        <x:v>C09-G</x:v>
      </x:c>
      <x:c r="B1660" s="25" t="str">
        <x:v>亚坛高原</x:v>
      </x:c>
      <x:c r="C1660" s="25" t="str">
        <x:v>半急速毕业</x:v>
      </x:c>
      <x:c r="D1660" s="25" t="str">
        <x:v>材料</x:v>
      </x:c>
      <x:c r="E1660" s="25" t="str">
        <x:v>卡利亚月露</x:v>
      </x:c>
      <x:c r="F1660" s="25" t="n">
        <x:v>36</x:v>
      </x:c>
      <x:c r="G1660" s="25" t="str">
        <x:v>从C0至当前检查点累计需求；未扣自身未来产出，不代表已有库存</x:v>
      </x:c>
    </x:row>
    <x:row r="1661">
      <x:c r="A1661" s="25" t="str">
        <x:v>C09-G</x:v>
      </x:c>
      <x:c r="B1661" s="25" t="str">
        <x:v>亚坛高原</x:v>
      </x:c>
      <x:c r="C1661" s="25" t="str">
        <x:v>半急速毕业</x:v>
      </x:c>
      <x:c r="D1661" s="25" t="str">
        <x:v>材料</x:v>
      </x:c>
      <x:c r="E1661" s="25" t="str">
        <x:v>古王律页</x:v>
      </x:c>
      <x:c r="F1661" s="25" t="n">
        <x:v>105</x:v>
      </x:c>
      <x:c r="G1661" s="25" t="str">
        <x:v>从C0至当前检查点累计需求；未扣自身未来产出，不代表已有库存</x:v>
      </x:c>
    </x:row>
    <x:row r="1662">
      <x:c r="A1662" s="25" t="str">
        <x:v>C09-G</x:v>
      </x:c>
      <x:c r="B1662" s="25" t="str">
        <x:v>亚坛高原</x:v>
      </x:c>
      <x:c r="C1662" s="25" t="str">
        <x:v>半急速毕业</x:v>
      </x:c>
      <x:c r="D1662" s="25" t="str">
        <x:v>材料</x:v>
      </x:c>
      <x:c r="E1662" s="25" t="str">
        <x:v>哨垒旗冠</x:v>
      </x:c>
      <x:c r="F1662" s="25" t="n">
        <x:v>3</x:v>
      </x:c>
      <x:c r="G1662" s="25" t="str">
        <x:v>从C0至当前检查点累计需求；未扣自身未来产出，不代表已有库存</x:v>
      </x:c>
    </x:row>
    <x:row r="1663">
      <x:c r="A1663" s="25" t="str">
        <x:v>C09-G</x:v>
      </x:c>
      <x:c r="B1663" s="25" t="str">
        <x:v>亚坛高原</x:v>
      </x:c>
      <x:c r="C1663" s="25" t="str">
        <x:v>半急速毕业</x:v>
      </x:c>
      <x:c r="D1663" s="25" t="str">
        <x:v>材料</x:v>
      </x:c>
      <x:c r="E1663" s="25" t="str">
        <x:v>唤船骨铃</x:v>
      </x:c>
      <x:c r="F1663" s="25" t="n">
        <x:v>1</x:v>
      </x:c>
      <x:c r="G1663" s="25" t="str">
        <x:v>从C0至当前检查点累计需求；未扣自身未来产出，不代表已有库存</x:v>
      </x:c>
    </x:row>
    <x:row r="1664">
      <x:c r="A1664" s="25" t="str">
        <x:v>C09-G</x:v>
      </x:c>
      <x:c r="B1664" s="25" t="str">
        <x:v>亚坛高原</x:v>
      </x:c>
      <x:c r="C1664" s="25" t="str">
        <x:v>半急速毕业</x:v>
      </x:c>
      <x:c r="D1664" s="25" t="str">
        <x:v>材料</x:v>
      </x:c>
      <x:c r="E1664" s="25" t="str">
        <x:v>商队火漆</x:v>
      </x:c>
      <x:c r="F1664" s="25" t="n">
        <x:v>20</x:v>
      </x:c>
      <x:c r="G1664" s="25" t="str">
        <x:v>从C0至当前检查点累计需求；未扣自身未来产出，不代表已有库存</x:v>
      </x:c>
    </x:row>
    <x:row r="1665">
      <x:c r="A1665" s="25" t="str">
        <x:v>C09-G</x:v>
      </x:c>
      <x:c r="B1665" s="25" t="str">
        <x:v>亚坛高原</x:v>
      </x:c>
      <x:c r="C1665" s="25" t="str">
        <x:v>半急速毕业</x:v>
      </x:c>
      <x:c r="D1665" s="25" t="str">
        <x:v>材料</x:v>
      </x:c>
      <x:c r="E1665" s="25" t="str">
        <x:v>圣雪誓印</x:v>
      </x:c>
      <x:c r="F1665" s="25" t="n">
        <x:v>53</x:v>
      </x:c>
      <x:c r="G1665" s="25" t="str">
        <x:v>从C0至当前检查点累计需求；未扣自身未来产出，不代表已有库存</x:v>
      </x:c>
    </x:row>
    <x:row r="1666">
      <x:c r="A1666" s="25" t="str">
        <x:v>C09-G</x:v>
      </x:c>
      <x:c r="B1666" s="25" t="str">
        <x:v>亚坛高原</x:v>
      </x:c>
      <x:c r="C1666" s="25" t="str">
        <x:v>半急速毕业</x:v>
      </x:c>
      <x:c r="D1666" s="25" t="str">
        <x:v>材料</x:v>
      </x:c>
      <x:c r="E1666" s="25" t="str">
        <x:v>圣雪门楔</x:v>
      </x:c>
      <x:c r="F1666" s="25" t="n">
        <x:v>4</x:v>
      </x:c>
      <x:c r="G1666" s="25" t="str">
        <x:v>从C0至当前检查点累计需求；未扣自身未来产出，不代表已有库存</x:v>
      </x:c>
    </x:row>
    <x:row r="1667">
      <x:c r="A1667" s="25" t="str">
        <x:v>C09-G</x:v>
      </x:c>
      <x:c r="B1667" s="25" t="str">
        <x:v>亚坛高原</x:v>
      </x:c>
      <x:c r="C1667" s="25" t="str">
        <x:v>半急速毕业</x:v>
      </x:c>
      <x:c r="D1667" s="25" t="str">
        <x:v>材料</x:v>
      </x:c>
      <x:c r="E1667" s="25" t="str">
        <x:v>夜骑黑印</x:v>
      </x:c>
      <x:c r="F1667" s="25" t="n">
        <x:v>1</x:v>
      </x:c>
      <x:c r="G1667" s="25" t="str">
        <x:v>从C0至当前检查点累计需求；未扣自身未来产出，不代表已有库存</x:v>
      </x:c>
    </x:row>
    <x:row r="1668">
      <x:c r="A1668" s="25" t="str">
        <x:v>C09-G</x:v>
      </x:c>
      <x:c r="B1668" s="25" t="str">
        <x:v>亚坛高原</x:v>
      </x:c>
      <x:c r="C1668" s="25" t="str">
        <x:v>半急速毕业</x:v>
      </x:c>
      <x:c r="D1668" s="25" t="str">
        <x:v>材料</x:v>
      </x:c>
      <x:c r="E1668" s="25" t="str">
        <x:v>大卢恩</x:v>
      </x:c>
      <x:c r="F1668" s="25" t="n">
        <x:v>350</x:v>
      </x:c>
      <x:c r="G1668" s="25" t="str">
        <x:v>从C0至当前检查点累计需求；未扣自身未来产出，不代表已有库存</x:v>
      </x:c>
    </x:row>
    <x:row r="1669">
      <x:c r="A1669" s="25" t="str">
        <x:v>C09-G</x:v>
      </x:c>
      <x:c r="B1669" s="25" t="str">
        <x:v>亚坛高原</x:v>
      </x:c>
      <x:c r="C1669" s="25" t="str">
        <x:v>半急速毕业</x:v>
      </x:c>
      <x:c r="D1669" s="25" t="str">
        <x:v>材料</x:v>
      </x:c>
      <x:c r="E1669" s="25" t="str">
        <x:v>失乡军令</x:v>
      </x:c>
      <x:c r="F1669" s="25" t="n">
        <x:v>2</x:v>
      </x:c>
      <x:c r="G1669" s="25" t="str">
        <x:v>从C0至当前检查点累计需求；未扣自身未来产出，不代表已有库存</x:v>
      </x:c>
    </x:row>
    <x:row r="1670">
      <x:c r="A1670" s="25" t="str">
        <x:v>C09-G</x:v>
      </x:c>
      <x:c r="B1670" s="25" t="str">
        <x:v>亚坛高原</x:v>
      </x:c>
      <x:c r="C1670" s="25" t="str">
        <x:v>半急速毕业</x:v>
      </x:c>
      <x:c r="D1670" s="25" t="str">
        <x:v>材料</x:v>
      </x:c>
      <x:c r="E1670" s="25" t="str">
        <x:v>失乡统帅徽</x:v>
      </x:c>
      <x:c r="F1670" s="25" t="n">
        <x:v>2</x:v>
      </x:c>
      <x:c r="G1670" s="25" t="str">
        <x:v>从C0至当前检查点累计需求；未扣自身未来产出，不代表已有库存</x:v>
      </x:c>
    </x:row>
    <x:row r="1671">
      <x:c r="A1671" s="25" t="str">
        <x:v>C09-G</x:v>
      </x:c>
      <x:c r="B1671" s="25" t="str">
        <x:v>亚坛高原</x:v>
      </x:c>
      <x:c r="C1671" s="25" t="str">
        <x:v>半急速毕业</x:v>
      </x:c>
      <x:c r="D1671" s="25" t="str">
        <x:v>材料</x:v>
      </x:c>
      <x:c r="E1671" s="25" t="str">
        <x:v>失色锻造石</x:v>
      </x:c>
      <x:c r="F1671" s="25" t="n">
        <x:v>56460</x:v>
      </x:c>
      <x:c r="G1671" s="25" t="str">
        <x:v>从C0至当前检查点累计需求；未扣自身未来产出，不代表已有库存</x:v>
      </x:c>
    </x:row>
    <x:row r="1672">
      <x:c r="A1672" s="25" t="str">
        <x:v>C09-G</x:v>
      </x:c>
      <x:c r="B1672" s="25" t="str">
        <x:v>亚坛高原</x:v>
      </x:c>
      <x:c r="C1672" s="25" t="str">
        <x:v>半急速毕业</x:v>
      </x:c>
      <x:c r="D1672" s="25" t="str">
        <x:v>材料</x:v>
      </x:c>
      <x:c r="E1672" s="25" t="str">
        <x:v>学院封蜡</x:v>
      </x:c>
      <x:c r="F1672" s="25" t="n">
        <x:v>24</x:v>
      </x:c>
      <x:c r="G1672" s="25" t="str">
        <x:v>从C0至当前检查点累计需求；未扣自身未来产出，不代表已有库存</x:v>
      </x:c>
    </x:row>
    <x:row r="1673">
      <x:c r="A1673" s="25" t="str">
        <x:v>C09-G</x:v>
      </x:c>
      <x:c r="B1673" s="25" t="str">
        <x:v>亚坛高原</x:v>
      </x:c>
      <x:c r="C1673" s="25" t="str">
        <x:v>半急速毕业</x:v>
      </x:c>
      <x:c r="D1673" s="25" t="str">
        <x:v>材料</x:v>
      </x:c>
      <x:c r="E1673" s="25" t="str">
        <x:v>宁姆格福誓页</x:v>
      </x:c>
      <x:c r="F1673" s="25" t="n">
        <x:v>90</x:v>
      </x:c>
      <x:c r="G1673" s="25" t="str">
        <x:v>从C0至当前检查点累计需求；未扣自身未来产出，不代表已有库存</x:v>
      </x:c>
    </x:row>
    <x:row r="1674">
      <x:c r="A1674" s="25" t="str">
        <x:v>C09-G</x:v>
      </x:c>
      <x:c r="B1674" s="25" t="str">
        <x:v>亚坛高原</x:v>
      </x:c>
      <x:c r="C1674" s="25" t="str">
        <x:v>半急速毕业</x:v>
      </x:c>
      <x:c r="D1674" s="25" t="str">
        <x:v>材料</x:v>
      </x:c>
      <x:c r="E1674" s="25" t="str">
        <x:v>小卢恩</x:v>
      </x:c>
      <x:c r="F1674" s="25" t="n">
        <x:v>250</x:v>
      </x:c>
      <x:c r="G1674" s="25" t="str">
        <x:v>从C0至当前检查点累计需求；未扣自身未来产出，不代表已有库存</x:v>
      </x:c>
    </x:row>
    <x:row r="1675">
      <x:c r="A1675" s="25" t="str">
        <x:v>C09-G</x:v>
      </x:c>
      <x:c r="B1675" s="25" t="str">
        <x:v>亚坛高原</x:v>
      </x:c>
      <x:c r="C1675" s="25" t="str">
        <x:v>半急速毕业</x:v>
      </x:c>
      <x:c r="D1675" s="25" t="str">
        <x:v>材料</x:v>
      </x:c>
      <x:c r="E1675" s="25" t="str">
        <x:v>山妖王角</x:v>
      </x:c>
      <x:c r="F1675" s="25" t="n">
        <x:v>2</x:v>
      </x:c>
      <x:c r="G1675" s="25" t="str">
        <x:v>从C0至当前检查点累计需求；未扣自身未来产出，不代表已有库存</x:v>
      </x:c>
    </x:row>
    <x:row r="1676">
      <x:c r="A1676" s="25" t="str">
        <x:v>C09-G</x:v>
      </x:c>
      <x:c r="B1676" s="25" t="str">
        <x:v>亚坛高原</x:v>
      </x:c>
      <x:c r="C1676" s="25" t="str">
        <x:v>半急速毕业</x:v>
      </x:c>
      <x:c r="D1676" s="25" t="str">
        <x:v>材料</x:v>
      </x:c>
      <x:c r="E1676" s="25" t="str">
        <x:v>巨人火印</x:v>
      </x:c>
      <x:c r="F1676" s="25" t="n">
        <x:v>41</x:v>
      </x:c>
      <x:c r="G1676" s="25" t="str">
        <x:v>从C0至当前检查点累计需求；未扣自身未来产出，不代表已有库存</x:v>
      </x:c>
    </x:row>
    <x:row r="1677">
      <x:c r="A1677" s="25" t="str">
        <x:v>C09-G</x:v>
      </x:c>
      <x:c r="B1677" s="25" t="str">
        <x:v>亚坛高原</x:v>
      </x:c>
      <x:c r="C1677" s="25" t="str">
        <x:v>半急速毕业</x:v>
      </x:c>
      <x:c r="D1677" s="25" t="str">
        <x:v>材料</x:v>
      </x:c>
      <x:c r="E1677" s="25" t="str">
        <x:v>巨人火种</x:v>
      </x:c>
      <x:c r="F1677" s="25" t="n">
        <x:v>65</x:v>
      </x:c>
      <x:c r="G1677" s="25" t="str">
        <x:v>从C0至当前检查点累计需求；未扣自身未来产出，不代表已有库存</x:v>
      </x:c>
    </x:row>
    <x:row r="1678">
      <x:c r="A1678" s="25" t="str">
        <x:v>C09-G</x:v>
      </x:c>
      <x:c r="B1678" s="25" t="str">
        <x:v>亚坛高原</x:v>
      </x:c>
      <x:c r="C1678" s="25" t="str">
        <x:v>半急速毕业</x:v>
      </x:c>
      <x:c r="D1678" s="25" t="str">
        <x:v>材料</x:v>
      </x:c>
      <x:c r="E1678" s="25" t="str">
        <x:v>巨人熔火卢恩</x:v>
      </x:c>
      <x:c r="F1678" s="25" t="n">
        <x:v>450</x:v>
      </x:c>
      <x:c r="G1678" s="25" t="str">
        <x:v>从C0至当前检查点累计需求；未扣自身未来产出，不代表已有库存</x:v>
      </x:c>
    </x:row>
    <x:row r="1679">
      <x:c r="A1679" s="25" t="str">
        <x:v>C09-G</x:v>
      </x:c>
      <x:c r="B1679" s="25" t="str">
        <x:v>亚坛高原</x:v>
      </x:c>
      <x:c r="C1679" s="25" t="str">
        <x:v>半急速毕业</x:v>
      </x:c>
      <x:c r="D1679" s="25" t="str">
        <x:v>材料</x:v>
      </x:c>
      <x:c r="E1679" s="25" t="str">
        <x:v>幽船铆钉</x:v>
      </x:c>
      <x:c r="F1679" s="25" t="n">
        <x:v>21</x:v>
      </x:c>
      <x:c r="G1679" s="25" t="str">
        <x:v>从C0至当前检查点累计需求；未扣自身未来产出，不代表已有库存</x:v>
      </x:c>
    </x:row>
    <x:row r="1680">
      <x:c r="A1680" s="25" t="str">
        <x:v>C09-G</x:v>
      </x:c>
      <x:c r="B1680" s="25" t="str">
        <x:v>亚坛高原</x:v>
      </x:c>
      <x:c r="C1680" s="25" t="str">
        <x:v>半急速毕业</x:v>
      </x:c>
      <x:c r="D1680" s="25" t="str">
        <x:v>材料</x:v>
      </x:c>
      <x:c r="E1680" s="25" t="str">
        <x:v>恶兆残角</x:v>
      </x:c>
      <x:c r="F1680" s="25" t="n">
        <x:v>1</x:v>
      </x:c>
      <x:c r="G1680" s="25" t="str">
        <x:v>从C0至当前检查点累计需求；未扣自身未来产出，不代表已有库存</x:v>
      </x:c>
    </x:row>
    <x:row r="1681">
      <x:c r="A1681" s="25" t="str">
        <x:v>C09-G</x:v>
      </x:c>
      <x:c r="B1681" s="25" t="str">
        <x:v>亚坛高原</x:v>
      </x:c>
      <x:c r="C1681" s="25" t="str">
        <x:v>半急速毕业</x:v>
      </x:c>
      <x:c r="D1681" s="25" t="str">
        <x:v>材料</x:v>
      </x:c>
      <x:c r="E1681" s="25" t="str">
        <x:v>技能残页</x:v>
      </x:c>
      <x:c r="F1681" s="25" t="n">
        <x:v>1350</x:v>
      </x:c>
      <x:c r="G1681" s="25" t="str">
        <x:v>从C0至当前检查点累计需求；未扣自身未来产出，不代表已有库存</x:v>
      </x:c>
    </x:row>
    <x:row r="1682">
      <x:c r="A1682" s="25" t="str">
        <x:v>C09-G</x:v>
      </x:c>
      <x:c r="B1682" s="25" t="str">
        <x:v>亚坛高原</x:v>
      </x:c>
      <x:c r="C1682" s="25" t="str">
        <x:v>半急速毕业</x:v>
      </x:c>
      <x:c r="D1682" s="25" t="str">
        <x:v>材料</x:v>
      </x:c>
      <x:c r="E1682" s="25" t="str">
        <x:v>接肢兽心</x:v>
      </x:c>
      <x:c r="F1682" s="25" t="n">
        <x:v>2</x:v>
      </x:c>
      <x:c r="G1682" s="25" t="str">
        <x:v>从C0至当前检查点累计需求；未扣自身未来产出，不代表已有库存</x:v>
      </x:c>
    </x:row>
    <x:row r="1683">
      <x:c r="A1683" s="25" t="str">
        <x:v>C09-G</x:v>
      </x:c>
      <x:c r="B1683" s="25" t="str">
        <x:v>亚坛高原</x:v>
      </x:c>
      <x:c r="C1683" s="25" t="str">
        <x:v>半急速毕业</x:v>
      </x:c>
      <x:c r="D1683" s="25" t="str">
        <x:v>材料</x:v>
      </x:c>
      <x:c r="E1683" s="25" t="str">
        <x:v>接肢王印</x:v>
      </x:c>
      <x:c r="F1683" s="25" t="n">
        <x:v>13</x:v>
      </x:c>
      <x:c r="G1683" s="25" t="str">
        <x:v>从C0至当前检查点累计需求；未扣自身未来产出，不代表已有库存</x:v>
      </x:c>
    </x:row>
    <x:row r="1684">
      <x:c r="A1684" s="25" t="str">
        <x:v>C09-G</x:v>
      </x:c>
      <x:c r="B1684" s="25" t="str">
        <x:v>亚坛高原</x:v>
      </x:c>
      <x:c r="C1684" s="25" t="str">
        <x:v>半急速毕业</x:v>
      </x:c>
      <x:c r="D1684" s="25" t="str">
        <x:v>材料</x:v>
      </x:c>
      <x:c r="E1684" s="25" t="str">
        <x:v>接肢王魂</x:v>
      </x:c>
      <x:c r="F1684" s="25" t="n">
        <x:v>1</x:v>
      </x:c>
      <x:c r="G1684" s="25" t="str">
        <x:v>从C0至当前检查点累计需求；未扣自身未来产出，不代表已有库存</x:v>
      </x:c>
    </x:row>
    <x:row r="1685">
      <x:c r="A1685" s="25" t="str">
        <x:v>C09-G</x:v>
      </x:c>
      <x:c r="B1685" s="25" t="str">
        <x:v>亚坛高原</x:v>
      </x:c>
      <x:c r="C1685" s="25" t="str">
        <x:v>半急速毕业</x:v>
      </x:c>
      <x:c r="D1685" s="25" t="str">
        <x:v>材料</x:v>
      </x:c>
      <x:c r="E1685" s="25" t="str">
        <x:v>月潮忆珀</x:v>
      </x:c>
      <x:c r="F1685" s="25" t="n">
        <x:v>1</x:v>
      </x:c>
      <x:c r="G1685" s="25" t="str">
        <x:v>从C0至当前检查点累计需求；未扣自身未来产出，不代表已有库存</x:v>
      </x:c>
    </x:row>
    <x:row r="1686">
      <x:c r="A1686" s="25" t="str">
        <x:v>C09-G</x:v>
      </x:c>
      <x:c r="B1686" s="25" t="str">
        <x:v>亚坛高原</x:v>
      </x:c>
      <x:c r="C1686" s="25" t="str">
        <x:v>半急速毕业</x:v>
      </x:c>
      <x:c r="D1686" s="25" t="str">
        <x:v>材料</x:v>
      </x:c>
      <x:c r="E1686" s="25" t="str">
        <x:v>月蚀镜片</x:v>
      </x:c>
      <x:c r="F1686" s="25" t="n">
        <x:v>21</x:v>
      </x:c>
      <x:c r="G1686" s="25" t="str">
        <x:v>从C0至当前检查点累计需求；未扣自身未来产出，不代表已有库存</x:v>
      </x:c>
    </x:row>
    <x:row r="1687">
      <x:c r="A1687" s="25" t="str">
        <x:v>C09-G</x:v>
      </x:c>
      <x:c r="B1687" s="25" t="str">
        <x:v>亚坛高原</x:v>
      </x:c>
      <x:c r="C1687" s="25" t="str">
        <x:v>半急速毕业</x:v>
      </x:c>
      <x:c r="D1687" s="25" t="str">
        <x:v>材料</x:v>
      </x:c>
      <x:c r="E1687" s="25" t="str">
        <x:v>树卫枪穗</x:v>
      </x:c>
      <x:c r="F1687" s="25" t="n">
        <x:v>1</x:v>
      </x:c>
      <x:c r="G1687" s="25" t="str">
        <x:v>从C0至当前检查点累计需求；未扣自身未来产出，不代表已有库存</x:v>
      </x:c>
    </x:row>
    <x:row r="1688">
      <x:c r="A1688" s="25" t="str">
        <x:v>C09-G</x:v>
      </x:c>
      <x:c r="B1688" s="25" t="str">
        <x:v>亚坛高原</x:v>
      </x:c>
      <x:c r="C1688" s="25" t="str">
        <x:v>半急速毕业</x:v>
      </x:c>
      <x:c r="D1688" s="25" t="str">
        <x:v>材料</x:v>
      </x:c>
      <x:c r="E1688" s="25" t="str">
        <x:v>死亡仪羽</x:v>
      </x:c>
      <x:c r="F1688" s="25" t="n">
        <x:v>2</x:v>
      </x:c>
      <x:c r="G1688" s="25" t="str">
        <x:v>从C0至当前检查点累计需求；未扣自身未来产出，不代表已有库存</x:v>
      </x:c>
    </x:row>
    <x:row r="1689">
      <x:c r="A1689" s="25" t="str">
        <x:v>C09-G</x:v>
      </x:c>
      <x:c r="B1689" s="25" t="str">
        <x:v>亚坛高原</x:v>
      </x:c>
      <x:c r="C1689" s="25" t="str">
        <x:v>半急速毕业</x:v>
      </x:c>
      <x:c r="D1689" s="25" t="str">
        <x:v>材料</x:v>
      </x:c>
      <x:c r="E1689" s="25" t="str">
        <x:v>永霜朝圣痕</x:v>
      </x:c>
      <x:c r="F1689" s="25" t="n">
        <x:v>1</x:v>
      </x:c>
      <x:c r="G1689" s="25" t="str">
        <x:v>从C0至当前检查点累计需求；未扣自身未来产出，不代表已有库存</x:v>
      </x:c>
    </x:row>
    <x:row r="1690">
      <x:c r="A1690" s="25" t="str">
        <x:v>C09-G</x:v>
      </x:c>
      <x:c r="B1690" s="25" t="str">
        <x:v>亚坛高原</x:v>
      </x:c>
      <x:c r="C1690" s="25" t="str">
        <x:v>半急速毕业</x:v>
      </x:c>
      <x:c r="D1690" s="25" t="str">
        <x:v>材料</x:v>
      </x:c>
      <x:c r="E1690" s="25" t="str">
        <x:v>沉湖王印</x:v>
      </x:c>
      <x:c r="F1690" s="25" t="n">
        <x:v>16</x:v>
      </x:c>
      <x:c r="G1690" s="25" t="str">
        <x:v>从C0至当前检查点累计需求；未扣自身未来产出，不代表已有库存</x:v>
      </x:c>
    </x:row>
    <x:row r="1691">
      <x:c r="A1691" s="25" t="str">
        <x:v>C09-G</x:v>
      </x:c>
      <x:c r="B1691" s="25" t="str">
        <x:v>亚坛高原</x:v>
      </x:c>
      <x:c r="C1691" s="25" t="str">
        <x:v>半急速毕业</x:v>
      </x:c>
      <x:c r="D1691" s="25" t="str">
        <x:v>材料</x:v>
      </x:c>
      <x:c r="E1691" s="25" t="str">
        <x:v>沉船缆扣</x:v>
      </x:c>
      <x:c r="F1691" s="25" t="n">
        <x:v>12</x:v>
      </x:c>
      <x:c r="G1691" s="25" t="str">
        <x:v>从C0至当前检查点累计需求；未扣自身未来产出，不代表已有库存</x:v>
      </x:c>
    </x:row>
    <x:row r="1692">
      <x:c r="A1692" s="25" t="str">
        <x:v>C09-G</x:v>
      </x:c>
      <x:c r="B1692" s="25" t="str">
        <x:v>亚坛高原</x:v>
      </x:c>
      <x:c r="C1692" s="25" t="str">
        <x:v>半急速毕业</x:v>
      </x:c>
      <x:c r="D1692" s="25" t="str">
        <x:v>材料</x:v>
      </x:c>
      <x:c r="E1692" s="25" t="str">
        <x:v>海蚀铁片</x:v>
      </x:c>
      <x:c r="F1692" s="25" t="n">
        <x:v>160</x:v>
      </x:c>
      <x:c r="G1692" s="25" t="str">
        <x:v>从C0至当前检查点累计需求；未扣自身未来产出，不代表已有库存</x:v>
      </x:c>
    </x:row>
    <x:row r="1693">
      <x:c r="A1693" s="25" t="str">
        <x:v>C09-G</x:v>
      </x:c>
      <x:c r="B1693" s="25" t="str">
        <x:v>亚坛高原</x:v>
      </x:c>
      <x:c r="C1693" s="25" t="str">
        <x:v>半急速毕业</x:v>
      </x:c>
      <x:c r="D1693" s="25" t="str">
        <x:v>材料</x:v>
      </x:c>
      <x:c r="E1693" s="25" t="str">
        <x:v>湖底封门珠</x:v>
      </x:c>
      <x:c r="F1693" s="25" t="n">
        <x:v>8</x:v>
      </x:c>
      <x:c r="G1693" s="25" t="str">
        <x:v>从C0至当前检查点累计需求；未扣自身未来产出，不代表已有库存</x:v>
      </x:c>
    </x:row>
    <x:row r="1694">
      <x:c r="A1694" s="25" t="str">
        <x:v>C09-G</x:v>
      </x:c>
      <x:c r="B1694" s="25" t="str">
        <x:v>亚坛高原</x:v>
      </x:c>
      <x:c r="C1694" s="25" t="str">
        <x:v>半急速毕业</x:v>
      </x:c>
      <x:c r="D1694" s="25" t="str">
        <x:v>材料</x:v>
      </x:c>
      <x:c r="E1694" s="25" t="str">
        <x:v>湖心月谱残章</x:v>
      </x:c>
      <x:c r="F1694" s="25" t="n">
        <x:v>1</x:v>
      </x:c>
      <x:c r="G1694" s="25" t="str">
        <x:v>从C0至当前检查点累计需求；未扣自身未来产出，不代表已有库存</x:v>
      </x:c>
    </x:row>
    <x:row r="1695">
      <x:c r="A1695" s="25" t="str">
        <x:v>C09-G</x:v>
      </x:c>
      <x:c r="B1695" s="25" t="str">
        <x:v>亚坛高原</x:v>
      </x:c>
      <x:c r="C1695" s="25" t="str">
        <x:v>半急速毕业</x:v>
      </x:c>
      <x:c r="D1695" s="25" t="str">
        <x:v>材料</x:v>
      </x:c>
      <x:c r="E1695" s="25" t="str">
        <x:v>湖盐结晶</x:v>
      </x:c>
      <x:c r="F1695" s="25" t="n">
        <x:v>1647</x:v>
      </x:c>
      <x:c r="G1695" s="25" t="str">
        <x:v>从C0至当前检查点累计需求；未扣自身未来产出，不代表已有库存</x:v>
      </x:c>
    </x:row>
    <x:row r="1696">
      <x:c r="A1696" s="25" t="str">
        <x:v>C09-G</x:v>
      </x:c>
      <x:c r="B1696" s="25" t="str">
        <x:v>亚坛高原</x:v>
      </x:c>
      <x:c r="C1696" s="25" t="str">
        <x:v>半急速毕业</x:v>
      </x:c>
      <x:c r="D1696" s="25" t="str">
        <x:v>材料</x:v>
      </x:c>
      <x:c r="E1696" s="25" t="str">
        <x:v>溃烂树核</x:v>
      </x:c>
      <x:c r="F1696" s="25" t="n">
        <x:v>1</x:v>
      </x:c>
      <x:c r="G1696" s="25" t="str">
        <x:v>从C0至当前检查点累计需求；未扣自身未来产出，不代表已有库存</x:v>
      </x:c>
    </x:row>
    <x:row r="1697">
      <x:c r="A1697" s="25" t="str">
        <x:v>C09-G</x:v>
      </x:c>
      <x:c r="B1697" s="25" t="str">
        <x:v>亚坛高原</x:v>
      </x:c>
      <x:c r="C1697" s="25" t="str">
        <x:v>半急速毕业</x:v>
      </x:c>
      <x:c r="D1697" s="25" t="str">
        <x:v>材料</x:v>
      </x:c>
      <x:c r="E1697" s="25" t="str">
        <x:v>满月王室印</x:v>
      </x:c>
      <x:c r="F1697" s="25" t="n">
        <x:v>51</x:v>
      </x:c>
      <x:c r="G1697" s="25" t="str">
        <x:v>从C0至当前检查点累计需求；未扣自身未来产出，不代表已有库存</x:v>
      </x:c>
    </x:row>
    <x:row r="1698">
      <x:c r="A1698" s="25" t="str">
        <x:v>C09-G</x:v>
      </x:c>
      <x:c r="B1698" s="25" t="str">
        <x:v>亚坛高原</x:v>
      </x:c>
      <x:c r="C1698" s="25" t="str">
        <x:v>半急速毕业</x:v>
      </x:c>
      <x:c r="D1698" s="25" t="str">
        <x:v>材料</x:v>
      </x:c>
      <x:c r="E1698" s="25" t="str">
        <x:v>漂流大陆印记</x:v>
      </x:c>
      <x:c r="F1698" s="25" t="n">
        <x:v>11</x:v>
      </x:c>
      <x:c r="G1698" s="25" t="str">
        <x:v>从C0至当前检查点累计需求；未扣自身未来产出，不代表已有库存</x:v>
      </x:c>
    </x:row>
    <x:row r="1699">
      <x:c r="A1699" s="25" t="str">
        <x:v>C09-G</x:v>
      </x:c>
      <x:c r="B1699" s="25" t="str">
        <x:v>亚坛高原</x:v>
      </x:c>
      <x:c r="C1699" s="25" t="str">
        <x:v>半急速毕业</x:v>
      </x:c>
      <x:c r="D1699" s="25" t="str">
        <x:v>材料</x:v>
      </x:c>
      <x:c r="E1699" s="25" t="str">
        <x:v>漂流见证·潮</x:v>
      </x:c>
      <x:c r="F1699" s="25" t="n">
        <x:v>8</x:v>
      </x:c>
      <x:c r="G1699" s="25" t="str">
        <x:v>从C0至当前检查点累计需求；未扣自身未来产出，不代表已有库存</x:v>
      </x:c>
    </x:row>
    <x:row r="1700">
      <x:c r="A1700" s="25" t="str">
        <x:v>C09-G</x:v>
      </x:c>
      <x:c r="B1700" s="25" t="str">
        <x:v>亚坛高原</x:v>
      </x:c>
      <x:c r="C1700" s="25" t="str">
        <x:v>半急速毕业</x:v>
      </x:c>
      <x:c r="D1700" s="25" t="str">
        <x:v>材料</x:v>
      </x:c>
      <x:c r="E1700" s="25" t="str">
        <x:v>漂流见证·雷</x:v>
      </x:c>
      <x:c r="F1700" s="25" t="n">
        <x:v>8</x:v>
      </x:c>
      <x:c r="G1700" s="25" t="str">
        <x:v>从C0至当前检查点累计需求；未扣自身未来产出，不代表已有库存</x:v>
      </x:c>
    </x:row>
    <x:row r="1701">
      <x:c r="A1701" s="25" t="str">
        <x:v>C09-G</x:v>
      </x:c>
      <x:c r="B1701" s="25" t="str">
        <x:v>亚坛高原</x:v>
      </x:c>
      <x:c r="C1701" s="25" t="str">
        <x:v>半急速毕业</x:v>
      </x:c>
      <x:c r="D1701" s="25" t="str">
        <x:v>材料</x:v>
      </x:c>
      <x:c r="E1701" s="25" t="str">
        <x:v>潮痕结晶</x:v>
      </x:c>
      <x:c r="F1701" s="25" t="n">
        <x:v>16</x:v>
      </x:c>
      <x:c r="G1701" s="25" t="str">
        <x:v>从C0至当前检查点累计需求；未扣自身未来产出，不代表已有库存</x:v>
      </x:c>
    </x:row>
    <x:row r="1702">
      <x:c r="A1702" s="25" t="str">
        <x:v>C09-G</x:v>
      </x:c>
      <x:c r="B1702" s="25" t="str">
        <x:v>亚坛高原</x:v>
      </x:c>
      <x:c r="C1702" s="25" t="str">
        <x:v>半急速毕业</x:v>
      </x:c>
      <x:c r="D1702" s="25" t="str">
        <x:v>材料</x:v>
      </x:c>
      <x:c r="E1702" s="25" t="str">
        <x:v>熊王心脏</x:v>
      </x:c>
      <x:c r="F1702" s="25" t="n">
        <x:v>2</x:v>
      </x:c>
      <x:c r="G1702" s="25" t="str">
        <x:v>从C0至当前检查点累计需求；未扣自身未来产出，不代表已有库存</x:v>
      </x:c>
    </x:row>
    <x:row r="1703">
      <x:c r="A1703" s="25" t="str">
        <x:v>C09-G</x:v>
      </x:c>
      <x:c r="B1703" s="25" t="str">
        <x:v>亚坛高原</x:v>
      </x:c>
      <x:c r="C1703" s="25" t="str">
        <x:v>半急速毕业</x:v>
      </x:c>
      <x:c r="D1703" s="25" t="str">
        <x:v>材料</x:v>
      </x:c>
      <x:c r="E1703" s="25" t="str">
        <x:v>熔原罪火残章</x:v>
      </x:c>
      <x:c r="F1703" s="25" t="n">
        <x:v>1</x:v>
      </x:c>
      <x:c r="G1703" s="25" t="str">
        <x:v>从C0至当前检查点累计需求；未扣自身未来产出，不代表已有库存</x:v>
      </x:c>
    </x:row>
    <x:row r="1704">
      <x:c r="A1704" s="25" t="str">
        <x:v>C09-G</x:v>
      </x:c>
      <x:c r="B1704" s="25" t="str">
        <x:v>亚坛高原</x:v>
      </x:c>
      <x:c r="C1704" s="25" t="str">
        <x:v>半急速毕业</x:v>
      </x:c>
      <x:c r="D1704" s="25" t="str">
        <x:v>材料</x:v>
      </x:c>
      <x:c r="E1704" s="25" t="str">
        <x:v>熔炉角片</x:v>
      </x:c>
      <x:c r="F1704" s="25" t="n">
        <x:v>1</x:v>
      </x:c>
      <x:c r="G1704" s="25" t="str">
        <x:v>从C0至当前检查点累计需求；未扣自身未来产出，不代表已有库存</x:v>
      </x:c>
    </x:row>
    <x:row r="1705">
      <x:c r="A1705" s="25" t="str">
        <x:v>C09-G</x:v>
      </x:c>
      <x:c r="B1705" s="25" t="str">
        <x:v>亚坛高原</x:v>
      </x:c>
      <x:c r="C1705" s="25" t="str">
        <x:v>半急速毕业</x:v>
      </x:c>
      <x:c r="D1705" s="25" t="str">
        <x:v>材料</x:v>
      </x:c>
      <x:c r="E1705" s="25" t="str">
        <x:v>猩红矿渣</x:v>
      </x:c>
      <x:c r="F1705" s="25" t="n">
        <x:v>1737</x:v>
      </x:c>
      <x:c r="G1705" s="25" t="str">
        <x:v>从C0至当前检查点累计需求；未扣自身未来产出，不代表已有库存</x:v>
      </x:c>
    </x:row>
    <x:row r="1706">
      <x:c r="A1706" s="25" t="str">
        <x:v>C09-G</x:v>
      </x:c>
      <x:c r="B1706" s="25" t="str">
        <x:v>亚坛高原</x:v>
      </x:c>
      <x:c r="C1706" s="25" t="str">
        <x:v>半急速毕业</x:v>
      </x:c>
      <x:c r="D1706" s="25" t="str">
        <x:v>材料</x:v>
      </x:c>
      <x:c r="E1706" s="25" t="str">
        <x:v>王城军印</x:v>
      </x:c>
      <x:c r="F1706" s="25" t="n">
        <x:v>1</x:v>
      </x:c>
      <x:c r="G1706" s="25" t="str">
        <x:v>从C0至当前检查点累计需求；未扣自身未来产出，不代表已有库存</x:v>
      </x:c>
    </x:row>
    <x:row r="1707">
      <x:c r="A1707" s="25" t="str">
        <x:v>C09-G</x:v>
      </x:c>
      <x:c r="B1707" s="25" t="str">
        <x:v>亚坛高原</x:v>
      </x:c>
      <x:c r="C1707" s="25" t="str">
        <x:v>半急速毕业</x:v>
      </x:c>
      <x:c r="D1707" s="25" t="str">
        <x:v>材料</x:v>
      </x:c>
      <x:c r="E1707" s="25" t="str">
        <x:v>白金纺线</x:v>
      </x:c>
      <x:c r="F1707" s="25" t="n">
        <x:v>60</x:v>
      </x:c>
      <x:c r="G1707" s="25" t="str">
        <x:v>从C0至当前检查点累计需求；未扣自身未来产出，不代表已有库存</x:v>
      </x:c>
    </x:row>
    <x:row r="1708">
      <x:c r="A1708" s="25" t="str">
        <x:v>C09-G</x:v>
      </x:c>
      <x:c r="B1708" s="25" t="str">
        <x:v>亚坛高原</x:v>
      </x:c>
      <x:c r="C1708" s="25" t="str">
        <x:v>半急速毕业</x:v>
      </x:c>
      <x:c r="D1708" s="25" t="str">
        <x:v>材料</x:v>
      </x:c>
      <x:c r="E1708" s="25" t="str">
        <x:v>白金路标片</x:v>
      </x:c>
      <x:c r="F1708" s="25" t="n">
        <x:v>145</x:v>
      </x:c>
      <x:c r="G1708" s="25" t="str">
        <x:v>从C0至当前检查点累计需求；未扣自身未来产出，不代表已有库存</x:v>
      </x:c>
    </x:row>
    <x:row r="1709">
      <x:c r="A1709" s="25" t="str">
        <x:v>C09-G</x:v>
      </x:c>
      <x:c r="B1709" s="25" t="str">
        <x:v>亚坛高原</x:v>
      </x:c>
      <x:c r="C1709" s="25" t="str">
        <x:v>半急速毕业</x:v>
      </x:c>
      <x:c r="D1709" s="25" t="str">
        <x:v>材料</x:v>
      </x:c>
      <x:c r="E1709" s="25" t="str">
        <x:v>看门犬石心</x:v>
      </x:c>
      <x:c r="F1709" s="25" t="n">
        <x:v>2</x:v>
      </x:c>
      <x:c r="G1709" s="25" t="str">
        <x:v>从C0至当前检查点累计需求；未扣自身未来产出，不代表已有库存</x:v>
      </x:c>
    </x:row>
    <x:row r="1710">
      <x:c r="A1710" s="25" t="str">
        <x:v>C09-G</x:v>
      </x:c>
      <x:c r="B1710" s="25" t="str">
        <x:v>亚坛高原</x:v>
      </x:c>
      <x:c r="C1710" s="25" t="str">
        <x:v>半急速毕业</x:v>
      </x:c>
      <x:c r="D1710" s="25" t="str">
        <x:v>材料</x:v>
      </x:c>
      <x:c r="E1710" s="25" t="str">
        <x:v>矿脉灯芯</x:v>
      </x:c>
      <x:c r="F1710" s="25" t="n">
        <x:v>20</x:v>
      </x:c>
      <x:c r="G1710" s="25" t="str">
        <x:v>从C0至当前检查点累计需求；未扣自身未来产出，不代表已有库存</x:v>
      </x:c>
    </x:row>
    <x:row r="1711">
      <x:c r="A1711" s="25" t="str">
        <x:v>C09-G</x:v>
      </x:c>
      <x:c r="B1711" s="25" t="str">
        <x:v>亚坛高原</x:v>
      </x:c>
      <x:c r="C1711" s="25" t="str">
        <x:v>半急速毕业</x:v>
      </x:c>
      <x:c r="D1711" s="25" t="str">
        <x:v>材料</x:v>
      </x:c>
      <x:c r="E1711" s="25" t="str">
        <x:v>碎星仪仗钉</x:v>
      </x:c>
      <x:c r="F1711" s="25" t="n">
        <x:v>2</x:v>
      </x:c>
      <x:c r="G1711" s="25" t="str">
        <x:v>从C0至当前检查点累计需求；未扣自身未来产出，不代表已有库存</x:v>
      </x:c>
    </x:row>
    <x:row r="1712">
      <x:c r="A1712" s="25" t="str">
        <x:v>C09-G</x:v>
      </x:c>
      <x:c r="B1712" s="25" t="str">
        <x:v>亚坛高原</x:v>
      </x:c>
      <x:c r="C1712" s="25" t="str">
        <x:v>半急速毕业</x:v>
      </x:c>
      <x:c r="D1712" s="25" t="str">
        <x:v>材料</x:v>
      </x:c>
      <x:c r="E1712" s="25" t="str">
        <x:v>神秘符文</x:v>
      </x:c>
      <x:c r="F1712" s="25" t="n">
        <x:v>500</x:v>
      </x:c>
      <x:c r="G1712" s="25" t="str">
        <x:v>从C0至当前检查点累计需求；未扣自身未来产出，不代表已有库存</x:v>
      </x:c>
    </x:row>
    <x:row r="1713">
      <x:c r="A1713" s="25" t="str">
        <x:v>C09-G</x:v>
      </x:c>
      <x:c r="B1713" s="25" t="str">
        <x:v>亚坛高原</x:v>
      </x:c>
      <x:c r="C1713" s="25" t="str">
        <x:v>半急速毕业</x:v>
      </x:c>
      <x:c r="D1713" s="25" t="str">
        <x:v>材料</x:v>
      </x:c>
      <x:c r="E1713" s="25" t="str">
        <x:v>禁域星钥</x:v>
      </x:c>
      <x:c r="F1713" s="25" t="n">
        <x:v>2</x:v>
      </x:c>
      <x:c r="G1713" s="25" t="str">
        <x:v>从C0至当前检查点累计需求；未扣自身未来产出，不代表已有库存</x:v>
      </x:c>
    </x:row>
    <x:row r="1714">
      <x:c r="A1714" s="25" t="str">
        <x:v>C09-G</x:v>
      </x:c>
      <x:c r="B1714" s="25" t="str">
        <x:v>亚坛高原</x:v>
      </x:c>
      <x:c r="C1714" s="25" t="str">
        <x:v>半急速毕业</x:v>
      </x:c>
      <x:c r="D1714" s="25" t="str">
        <x:v>材料</x:v>
      </x:c>
      <x:c r="E1714" s="25" t="str">
        <x:v>穹霜碑珀</x:v>
      </x:c>
      <x:c r="F1714" s="25" t="n">
        <x:v>1</x:v>
      </x:c>
      <x:c r="G1714" s="25" t="str">
        <x:v>从C0至当前检查点累计需求；未扣自身未来产出，不代表已有库存</x:v>
      </x:c>
    </x:row>
    <x:row r="1715">
      <x:c r="A1715" s="25" t="str">
        <x:v>C09-G</x:v>
      </x:c>
      <x:c r="B1715" s="25" t="str">
        <x:v>亚坛高原</x:v>
      </x:c>
      <x:c r="C1715" s="25" t="str">
        <x:v>半急速毕业</x:v>
      </x:c>
      <x:c r="D1715" s="25" t="str">
        <x:v>材料</x:v>
      </x:c>
      <x:c r="E1715" s="25" t="str">
        <x:v>红狮战印</x:v>
      </x:c>
      <x:c r="F1715" s="25" t="n">
        <x:v>42</x:v>
      </x:c>
      <x:c r="G1715" s="25" t="str">
        <x:v>从C0至当前检查点累计需求；未扣自身未来产出，不代表已有库存</x:v>
      </x:c>
    </x:row>
    <x:row r="1716">
      <x:c r="A1716" s="25" t="str">
        <x:v>C09-G</x:v>
      </x:c>
      <x:c r="B1716" s="25" t="str">
        <x:v>亚坛高原</x:v>
      </x:c>
      <x:c r="C1716" s="25" t="str">
        <x:v>半急速毕业</x:v>
      </x:c>
      <x:c r="D1716" s="25" t="str">
        <x:v>材料</x:v>
      </x:c>
      <x:c r="E1716" s="25" t="str">
        <x:v>腐根魂结</x:v>
      </x:c>
      <x:c r="F1716" s="25" t="n">
        <x:v>2</x:v>
      </x:c>
      <x:c r="G1716" s="25" t="str">
        <x:v>从C0至当前检查点累计需求；未扣自身未来产出，不代表已有库存</x:v>
      </x:c>
    </x:row>
    <x:row r="1717">
      <x:c r="A1717" s="25" t="str">
        <x:v>C09-G</x:v>
      </x:c>
      <x:c r="B1717" s="25" t="str">
        <x:v>亚坛高原</x:v>
      </x:c>
      <x:c r="C1717" s="25" t="str">
        <x:v>半急速毕业</x:v>
      </x:c>
      <x:c r="D1717" s="25" t="str">
        <x:v>材料</x:v>
      </x:c>
      <x:c r="E1717" s="25" t="str">
        <x:v>裁文蜡封</x:v>
      </x:c>
      <x:c r="F1717" s="25" t="n">
        <x:v>36</x:v>
      </x:c>
      <x:c r="G1717" s="25" t="str">
        <x:v>从C0至当前检查点累计需求；未扣自身未来产出，不代表已有库存</x:v>
      </x:c>
    </x:row>
    <x:row r="1718">
      <x:c r="A1718" s="25" t="str">
        <x:v>C09-G</x:v>
      </x:c>
      <x:c r="B1718" s="25" t="str">
        <x:v>亚坛高原</x:v>
      </x:c>
      <x:c r="C1718" s="25" t="str">
        <x:v>半急速毕业</x:v>
      </x:c>
      <x:c r="D1718" s="25" t="str">
        <x:v>材料</x:v>
      </x:c>
      <x:c r="E1718" s="25" t="str">
        <x:v>裂峰号角片</x:v>
      </x:c>
      <x:c r="F1718" s="25" t="n">
        <x:v>110</x:v>
      </x:c>
      <x:c r="G1718" s="25" t="str">
        <x:v>从C0至当前检查点累计需求；未扣自身未来产出，不代表已有库存</x:v>
      </x:c>
    </x:row>
    <x:row r="1719">
      <x:c r="A1719" s="25" t="str">
        <x:v>C09-G</x:v>
      </x:c>
      <x:c r="B1719" s="25" t="str">
        <x:v>亚坛高原</x:v>
      </x:c>
      <x:c r="C1719" s="25" t="str">
        <x:v>半急速毕业</x:v>
      </x:c>
      <x:c r="D1719" s="25" t="str">
        <x:v>材料</x:v>
      </x:c>
      <x:c r="E1719" s="25" t="str">
        <x:v>裂风崖羽</x:v>
      </x:c>
      <x:c r="F1719" s="25" t="n">
        <x:v>80</x:v>
      </x:c>
      <x:c r="G1719" s="25" t="str">
        <x:v>从C0至当前检查点累计需求；未扣自身未来产出，不代表已有库存</x:v>
      </x:c>
    </x:row>
    <x:row r="1720">
      <x:c r="A1720" s="25" t="str">
        <x:v>C09-G</x:v>
      </x:c>
      <x:c r="B1720" s="25" t="str">
        <x:v>亚坛高原</x:v>
      </x:c>
      <x:c r="C1720" s="25" t="str">
        <x:v>半急速毕业</x:v>
      </x:c>
      <x:c r="D1720" s="25" t="str">
        <x:v>材料</x:v>
      </x:c>
      <x:c r="E1720" s="25" t="str">
        <x:v>西境战旗</x:v>
      </x:c>
      <x:c r="F1720" s="25" t="n">
        <x:v>20</x:v>
      </x:c>
      <x:c r="G1720" s="25" t="str">
        <x:v>从C0至当前检查点累计需求；未扣自身未来产出，不代表已有库存</x:v>
      </x:c>
    </x:row>
    <x:row r="1721">
      <x:c r="A1721" s="25" t="str">
        <x:v>C09-G</x:v>
      </x:c>
      <x:c r="B1721" s="25" t="str">
        <x:v>亚坛高原</x:v>
      </x:c>
      <x:c r="C1721" s="25" t="str">
        <x:v>半急速毕业</x:v>
      </x:c>
      <x:c r="D1721" s="25" t="str">
        <x:v>材料</x:v>
      </x:c>
      <x:c r="E1721" s="25" t="str">
        <x:v>西境战旗印</x:v>
      </x:c>
      <x:c r="F1721" s="25" t="n">
        <x:v>13</x:v>
      </x:c>
      <x:c r="G1721" s="25" t="str">
        <x:v>从C0至当前检查点累计需求；未扣自身未来产出，不代表已有库存</x:v>
      </x:c>
    </x:row>
    <x:row r="1722">
      <x:c r="A1722" s="25" t="str">
        <x:v>C09-G</x:v>
      </x:c>
      <x:c r="B1722" s="25" t="str">
        <x:v>亚坛高原</x:v>
      </x:c>
      <x:c r="C1722" s="25" t="str">
        <x:v>半急速毕业</x:v>
      </x:c>
      <x:c r="D1722" s="25" t="str">
        <x:v>材料</x:v>
      </x:c>
      <x:c r="E1722" s="25" t="str">
        <x:v>西境风痕碑拓</x:v>
      </x:c>
      <x:c r="F1722" s="25" t="n">
        <x:v>1</x:v>
      </x:c>
      <x:c r="G1722" s="25" t="str">
        <x:v>从C0至当前检查点累计需求；未扣自身未来产出，不代表已有库存</x:v>
      </x:c>
    </x:row>
    <x:row r="1723">
      <x:c r="A1723" s="25" t="str">
        <x:v>C09-G</x:v>
      </x:c>
      <x:c r="B1723" s="25" t="str">
        <x:v>亚坛高原</x:v>
      </x:c>
      <x:c r="C1723" s="25" t="str">
        <x:v>半急速毕业</x:v>
      </x:c>
      <x:c r="D1723" s="25" t="str">
        <x:v>材料</x:v>
      </x:c>
      <x:c r="E1723" s="25" t="str">
        <x:v>贵胄断指</x:v>
      </x:c>
      <x:c r="F1723" s="25" t="n">
        <x:v>1</x:v>
      </x:c>
      <x:c r="G1723" s="25" t="str">
        <x:v>从C0至当前检查点累计需求；未扣自身未来产出，不代表已有库存</x:v>
      </x:c>
    </x:row>
    <x:row r="1724">
      <x:c r="A1724" s="25" t="str">
        <x:v>C09-G</x:v>
      </x:c>
      <x:c r="B1724" s="25" t="str">
        <x:v>亚坛高原</x:v>
      </x:c>
      <x:c r="C1724" s="25" t="str">
        <x:v>半急速毕业</x:v>
      </x:c>
      <x:c r="D1724" s="25" t="str">
        <x:v>材料</x:v>
      </x:c>
      <x:c r="E1724" s="25" t="str">
        <x:v>辉石碎晶</x:v>
      </x:c>
      <x:c r="F1724" s="25" t="n">
        <x:v>1750</x:v>
      </x:c>
      <x:c r="G1724" s="25" t="str">
        <x:v>从C0至当前检查点累计需求；未扣自身未来产出，不代表已有库存</x:v>
      </x:c>
    </x:row>
    <x:row r="1725">
      <x:c r="A1725" s="25" t="str">
        <x:v>C09-G</x:v>
      </x:c>
      <x:c r="B1725" s="25" t="str">
        <x:v>亚坛高原</x:v>
      </x:c>
      <x:c r="C1725" s="25" t="str">
        <x:v>半急速毕业</x:v>
      </x:c>
      <x:c r="D1725" s="25" t="str">
        <x:v>材料</x:v>
      </x:c>
      <x:c r="E1725" s="25" t="str">
        <x:v>野兽骨片</x:v>
      </x:c>
      <x:c r="F1725" s="25" t="n">
        <x:v>69935</x:v>
      </x:c>
      <x:c r="G1725" s="25" t="str">
        <x:v>从C0至当前检查点累计需求；未扣自身未来产出，不代表已有库存</x:v>
      </x:c>
    </x:row>
    <x:row r="1726">
      <x:c r="A1726" s="25" t="str">
        <x:v>C09-G</x:v>
      </x:c>
      <x:c r="B1726" s="25" t="str">
        <x:v>亚坛高原</x:v>
      </x:c>
      <x:c r="C1726" s="25" t="str">
        <x:v>半急速毕业</x:v>
      </x:c>
      <x:c r="D1726" s="25" t="str">
        <x:v>材料</x:v>
      </x:c>
      <x:c r="E1726" s="25" t="str">
        <x:v>金叶驿票</x:v>
      </x:c>
      <x:c r="F1726" s="25" t="n">
        <x:v>50</x:v>
      </x:c>
      <x:c r="G1726" s="25" t="str">
        <x:v>从C0至当前检查点累计需求；未扣自身未来产出，不代表已有库存</x:v>
      </x:c>
    </x:row>
    <x:row r="1727">
      <x:c r="A1727" s="25" t="str">
        <x:v>C09-G</x:v>
      </x:c>
      <x:c r="B1727" s="25" t="str">
        <x:v>亚坛高原</x:v>
      </x:c>
      <x:c r="C1727" s="25" t="str">
        <x:v>半急速毕业</x:v>
      </x:c>
      <x:c r="D1727" s="25" t="str">
        <x:v>材料</x:v>
      </x:c>
      <x:c r="E1727" s="25" t="str">
        <x:v>雾潮银鳞</x:v>
      </x:c>
      <x:c r="F1727" s="25" t="n">
        <x:v>272</x:v>
      </x:c>
      <x:c r="G1727" s="25" t="str">
        <x:v>从C0至当前检查点累计需求；未扣自身未来产出，不代表已有库存</x:v>
      </x:c>
    </x:row>
    <x:row r="1728">
      <x:c r="A1728" s="25" t="str">
        <x:v>C09-G</x:v>
      </x:c>
      <x:c r="B1728" s="25" t="str">
        <x:v>亚坛高原</x:v>
      </x:c>
      <x:c r="C1728" s="25" t="str">
        <x:v>半急速毕业</x:v>
      </x:c>
      <x:c r="D1728" s="25" t="str">
        <x:v>材料</x:v>
      </x:c>
      <x:c r="E1728" s="25" t="str">
        <x:v>霜脊铁</x:v>
      </x:c>
      <x:c r="F1728" s="25" t="n">
        <x:v>2595</x:v>
      </x:c>
      <x:c r="G1728" s="25" t="str">
        <x:v>从C0至当前检查点累计需求；未扣自身未来产出，不代表已有库存</x:v>
      </x:c>
    </x:row>
    <x:row r="1729">
      <x:c r="A1729" s="25" t="str">
        <x:v>C09-G</x:v>
      </x:c>
      <x:c r="B1729" s="25" t="str">
        <x:v>亚坛高原</x:v>
      </x:c>
      <x:c r="C1729" s="25" t="str">
        <x:v>半急速毕业</x:v>
      </x:c>
      <x:c r="D1729" s="25" t="str">
        <x:v>材料</x:v>
      </x:c>
      <x:c r="E1729" s="25" t="str">
        <x:v>风暴王核</x:v>
      </x:c>
      <x:c r="F1729" s="25" t="n">
        <x:v>1</x:v>
      </x:c>
      <x:c r="G1729" s="25" t="str">
        <x:v>从C0至当前检查点累计需求；未扣自身未来产出，不代表已有库存</x:v>
      </x:c>
    </x:row>
    <x:row r="1730">
      <x:c r="A1730" s="25" t="str">
        <x:v>C09-G</x:v>
      </x:c>
      <x:c r="B1730" s="25" t="str">
        <x:v>亚坛高原</x:v>
      </x:c>
      <x:c r="C1730" s="25" t="str">
        <x:v>半急速毕业</x:v>
      </x:c>
      <x:c r="D1730" s="25" t="str">
        <x:v>材料</x:v>
      </x:c>
      <x:c r="E1730" s="25" t="str">
        <x:v>风暴石片</x:v>
      </x:c>
      <x:c r="F1730" s="25" t="n">
        <x:v>370</x:v>
      </x:c>
      <x:c r="G1730" s="25" t="str">
        <x:v>从C0至当前检查点累计需求；未扣自身未来产出，不代表已有库存</x:v>
      </x:c>
    </x:row>
    <x:row r="1731">
      <x:c r="A1731" s="25" t="str">
        <x:v>C09-G</x:v>
      </x:c>
      <x:c r="B1731" s="25" t="str">
        <x:v>亚坛高原</x:v>
      </x:c>
      <x:c r="C1731" s="25" t="str">
        <x:v>半急速毕业</x:v>
      </x:c>
      <x:c r="D1731" s="25" t="str">
        <x:v>材料</x:v>
      </x:c>
      <x:c r="E1731" s="25" t="str">
        <x:v>风蚀铁片</x:v>
      </x:c>
      <x:c r="F1731" s="25" t="n">
        <x:v>710</x:v>
      </x:c>
      <x:c r="G1731" s="25" t="str">
        <x:v>从C0至当前检查点累计需求；未扣自身未来产出，不代表已有库存</x:v>
      </x:c>
    </x:row>
    <x:row r="1732">
      <x:c r="A1732" s="25" t="str">
        <x:v>C09-G</x:v>
      </x:c>
      <x:c r="B1732" s="25" t="str">
        <x:v>亚坛高原</x:v>
      </x:c>
      <x:c r="C1732" s="25" t="str">
        <x:v>半急速毕业</x:v>
      </x:c>
      <x:c r="D1732" s="25" t="str">
        <x:v>材料</x:v>
      </x:c>
      <x:c r="E1732" s="25" t="str">
        <x:v>高原王诏金版</x:v>
      </x:c>
      <x:c r="F1732" s="25" t="n">
        <x:v>5</x:v>
      </x:c>
      <x:c r="G1732" s="25" t="str">
        <x:v>从C0至当前检查点累计需求；未扣自身未来产出，不代表已有库存</x:v>
      </x:c>
    </x:row>
    <x:row r="1733">
      <x:c r="A1733" s="25" t="str">
        <x:v>C09-G</x:v>
      </x:c>
      <x:c r="B1733" s="25" t="str">
        <x:v>亚坛高原</x:v>
      </x:c>
      <x:c r="C1733" s="25" t="str">
        <x:v>半急速毕业</x:v>
      </x:c>
      <x:c r="D1733" s="25" t="str">
        <x:v>材料</x:v>
      </x:c>
      <x:c r="E1733" s="25" t="str">
        <x:v>黄金叶脉</x:v>
      </x:c>
      <x:c r="F1733" s="25" t="n">
        <x:v>3470</x:v>
      </x:c>
      <x:c r="G1733" s="25" t="str">
        <x:v>从C0至当前检查点累计需求；未扣自身未来产出，不代表已有库存</x:v>
      </x:c>
    </x:row>
    <x:row r="1734">
      <x:c r="A1734" s="25" t="str">
        <x:v>C09-G</x:v>
      </x:c>
      <x:c r="B1734" s="25" t="str">
        <x:v>亚坛高原</x:v>
      </x:c>
      <x:c r="C1734" s="25" t="str">
        <x:v>半急速毕业</x:v>
      </x:c>
      <x:c r="D1734" s="25" t="str">
        <x:v>材料</x:v>
      </x:c>
      <x:c r="E1734" s="25" t="str">
        <x:v>黄金律印</x:v>
      </x:c>
      <x:c r="F1734" s="25" t="n">
        <x:v>112</x:v>
      </x:c>
      <x:c r="G1734" s="25" t="str">
        <x:v>从C0至当前检查点累计需求；未扣自身未来产出，不代表已有库存</x:v>
      </x:c>
    </x:row>
    <x:row r="1735">
      <x:c r="A1735" s="25" t="str">
        <x:v>C09-G</x:v>
      </x:c>
      <x:c r="B1735" s="25" t="str">
        <x:v>亚坛高原</x:v>
      </x:c>
      <x:c r="C1735" s="25" t="str">
        <x:v>半急速毕业</x:v>
      </x:c>
      <x:c r="D1735" s="25" t="str">
        <x:v>材料</x:v>
      </x:c>
      <x:c r="E1735" s="25" t="str">
        <x:v>黄金树碎核</x:v>
      </x:c>
      <x:c r="F1735" s="25" t="n">
        <x:v>2</x:v>
      </x:c>
      <x:c r="G1735" s="25" t="str">
        <x:v>从C0至当前检查点累计需求；未扣自身未来产出，不代表已有库存</x:v>
      </x:c>
    </x:row>
    <x:row r="1736">
      <x:c r="A1736" s="25" t="str">
        <x:v>C09-G</x:v>
      </x:c>
      <x:c r="B1736" s="25" t="str">
        <x:v>亚坛高原</x:v>
      </x:c>
      <x:c r="C1736" s="25" t="str">
        <x:v>半急速毕业</x:v>
      </x:c>
      <x:c r="D1736" s="25" t="str">
        <x:v>材料</x:v>
      </x:c>
      <x:c r="E1736" s="25" t="str">
        <x:v>黄金树芽</x:v>
      </x:c>
      <x:c r="F1736" s="25" t="n">
        <x:v>297</x:v>
      </x:c>
      <x:c r="G1736" s="25" t="str">
        <x:v>从C0至当前检查点累计需求；未扣自身未来产出，不代表已有库存</x:v>
      </x:c>
    </x:row>
    <x:row r="1737">
      <x:c r="A1737" s="25" t="str">
        <x:v>C09-G</x:v>
      </x:c>
      <x:c r="B1737" s="25" t="str">
        <x:v>亚坛高原</x:v>
      </x:c>
      <x:c r="C1737" s="25" t="str">
        <x:v>半急速毕业</x:v>
      </x:c>
      <x:c r="D1737" s="25" t="str">
        <x:v>材料</x:v>
      </x:c>
      <x:c r="E1737" s="25" t="str">
        <x:v>黄金骑徽</x:v>
      </x:c>
      <x:c r="F1737" s="25" t="n">
        <x:v>2</x:v>
      </x:c>
      <x:c r="G1737" s="25" t="str">
        <x:v>从C0至当前检查点累计需求；未扣自身未来产出，不代表已有库存</x:v>
      </x:c>
    </x:row>
    <x:row r="1738">
      <x:c r="A1738" s="25" t="str">
        <x:v>C09-G</x:v>
      </x:c>
      <x:c r="B1738" s="25" t="str">
        <x:v>亚坛高原</x:v>
      </x:c>
      <x:c r="C1738" s="25" t="str">
        <x:v>半急速毕业</x:v>
      </x:c>
      <x:c r="D1738" s="25" t="str">
        <x:v>材料</x:v>
      </x:c>
      <x:c r="E1738" s="25" t="str">
        <x:v>龙火鳞</x:v>
      </x:c>
      <x:c r="F1738" s="25" t="n">
        <x:v>38</x:v>
      </x:c>
      <x:c r="G1738" s="25" t="str">
        <x:v>从C0至当前检查点累计需求；未扣自身未来产出，不代表已有库存</x:v>
      </x:c>
    </x:row>
    <x:row r="1739">
      <x:c r="A1739" s="25" t="str">
        <x:v>C09-G</x:v>
      </x:c>
      <x:c r="B1739" s="25" t="str">
        <x:v>亚坛高原</x:v>
      </x:c>
      <x:c r="C1739" s="25" t="str">
        <x:v>半急速毕业</x:v>
      </x:c>
      <x:c r="D1739" s="25" t="str">
        <x:v>装备实物</x:v>
      </x:c>
      <x:c r="E1739" s="25" t="str">
        <x:v>共455个精确名称（明细见JSON）</x:v>
      </x:c>
      <x:c r="F1739" s="25" t="n">
        <x:v>617</x:v>
      </x:c>
      <x:c r="G1739" s="25" t="str">
        <x:v>含穿戴、重复试洗、图鉴登记与合成前置；完整数据未省略</x:v>
      </x:c>
    </x:row>
    <x:row r="1740">
      <x:c r="A1740" s="25" t="str">
        <x:v>C09-X</x:v>
      </x:c>
      <x:c r="B1740" s="25" t="str">
        <x:v>亚坛高原</x:v>
      </x:c>
      <x:c r="C1740" s="25" t="str">
        <x:v>极端压力</x:v>
      </x:c>
      <x:c r="D1740" s="25" t="str">
        <x:v>材料</x:v>
      </x:c>
      <x:c r="E1740" s="25" t="str">
        <x:v>兽将脊骨</x:v>
      </x:c>
      <x:c r="F1740" s="25" t="n">
        <x:v>1</x:v>
      </x:c>
      <x:c r="G1740" s="25" t="str">
        <x:v>从C0至当前检查点累计需求；未扣自身未来产出，不代表已有库存</x:v>
      </x:c>
    </x:row>
    <x:row r="1741">
      <x:c r="A1741" s="25" t="str">
        <x:v>C09-X</x:v>
      </x:c>
      <x:c r="B1741" s="25" t="str">
        <x:v>亚坛高原</x:v>
      </x:c>
      <x:c r="C1741" s="25" t="str">
        <x:v>极端压力</x:v>
      </x:c>
      <x:c r="D1741" s="25" t="str">
        <x:v>材料</x:v>
      </x:c>
      <x:c r="E1741" s="25" t="str">
        <x:v>冰宫守门铃</x:v>
      </x:c>
      <x:c r="F1741" s="25" t="n">
        <x:v>12</x:v>
      </x:c>
      <x:c r="G1741" s="25" t="str">
        <x:v>从C0至当前检查点累计需求；未扣自身未来产出，不代表已有库存</x:v>
      </x:c>
    </x:row>
    <x:row r="1742">
      <x:c r="A1742" s="25" t="str">
        <x:v>C09-X</x:v>
      </x:c>
      <x:c r="B1742" s="25" t="str">
        <x:v>亚坛高原</x:v>
      </x:c>
      <x:c r="C1742" s="25" t="str">
        <x:v>极端压力</x:v>
      </x:c>
      <x:c r="D1742" s="25" t="str">
        <x:v>材料</x:v>
      </x:c>
      <x:c r="E1742" s="25" t="str">
        <x:v>冻原银角</x:v>
      </x:c>
      <x:c r="F1742" s="25" t="n">
        <x:v>30</x:v>
      </x:c>
      <x:c r="G1742" s="25" t="str">
        <x:v>从C0至当前检查点累计需求；未扣自身未来产出，不代表已有库存</x:v>
      </x:c>
    </x:row>
    <x:row r="1743">
      <x:c r="A1743" s="25" t="str">
        <x:v>C09-X</x:v>
      </x:c>
      <x:c r="B1743" s="25" t="str">
        <x:v>亚坛高原</x:v>
      </x:c>
      <x:c r="C1743" s="25" t="str">
        <x:v>极端压力</x:v>
      </x:c>
      <x:c r="D1743" s="25" t="str">
        <x:v>材料</x:v>
      </x:c>
      <x:c r="E1743" s="25" t="str">
        <x:v>冻晶尘</x:v>
      </x:c>
      <x:c r="F1743" s="25" t="n">
        <x:v>1720</x:v>
      </x:c>
      <x:c r="G1743" s="25" t="str">
        <x:v>从C0至当前检查点累计需求；未扣自身未来产出，不代表已有库存</x:v>
      </x:c>
    </x:row>
    <x:row r="1744">
      <x:c r="A1744" s="25" t="str">
        <x:v>C09-X</x:v>
      </x:c>
      <x:c r="B1744" s="25" t="str">
        <x:v>亚坛高原</x:v>
      </x:c>
      <x:c r="C1744" s="25" t="str">
        <x:v>极端压力</x:v>
      </x:c>
      <x:c r="D1744" s="25" t="str">
        <x:v>材料</x:v>
      </x:c>
      <x:c r="E1744" s="25" t="str">
        <x:v>净火腺囊</x:v>
      </x:c>
      <x:c r="F1744" s="25" t="n">
        <x:v>44</x:v>
      </x:c>
      <x:c r="G1744" s="25" t="str">
        <x:v>从C0至当前检查点累计需求；未扣自身未来产出，不代表已有库存</x:v>
      </x:c>
    </x:row>
    <x:row r="1745">
      <x:c r="A1745" s="25" t="str">
        <x:v>C09-X</x:v>
      </x:c>
      <x:c r="B1745" s="25" t="str">
        <x:v>亚坛高原</x:v>
      </x:c>
      <x:c r="C1745" s="25" t="str">
        <x:v>极端压力</x:v>
      </x:c>
      <x:c r="D1745" s="25" t="str">
        <x:v>材料</x:v>
      </x:c>
      <x:c r="E1745" s="25" t="str">
        <x:v>卡利亚月露</x:v>
      </x:c>
      <x:c r="F1745" s="25" t="n">
        <x:v>36</x:v>
      </x:c>
      <x:c r="G1745" s="25" t="str">
        <x:v>从C0至当前检查点累计需求；未扣自身未来产出，不代表已有库存</x:v>
      </x:c>
    </x:row>
    <x:row r="1746">
      <x:c r="A1746" s="25" t="str">
        <x:v>C09-X</x:v>
      </x:c>
      <x:c r="B1746" s="25" t="str">
        <x:v>亚坛高原</x:v>
      </x:c>
      <x:c r="C1746" s="25" t="str">
        <x:v>极端压力</x:v>
      </x:c>
      <x:c r="D1746" s="25" t="str">
        <x:v>材料</x:v>
      </x:c>
      <x:c r="E1746" s="25" t="str">
        <x:v>古坛鎏叶髓</x:v>
      </x:c>
      <x:c r="F1746" s="25" t="n">
        <x:v>1</x:v>
      </x:c>
      <x:c r="G1746" s="25" t="str">
        <x:v>从C0至当前检查点累计需求；未扣自身未来产出，不代表已有库存</x:v>
      </x:c>
    </x:row>
    <x:row r="1747">
      <x:c r="A1747" s="25" t="str">
        <x:v>C09-X</x:v>
      </x:c>
      <x:c r="B1747" s="25" t="str">
        <x:v>亚坛高原</x:v>
      </x:c>
      <x:c r="C1747" s="25" t="str">
        <x:v>极端压力</x:v>
      </x:c>
      <x:c r="D1747" s="25" t="str">
        <x:v>材料</x:v>
      </x:c>
      <x:c r="E1747" s="25" t="str">
        <x:v>古王律页</x:v>
      </x:c>
      <x:c r="F1747" s="25" t="n">
        <x:v>105</x:v>
      </x:c>
      <x:c r="G1747" s="25" t="str">
        <x:v>从C0至当前检查点累计需求；未扣自身未来产出，不代表已有库存</x:v>
      </x:c>
    </x:row>
    <x:row r="1748">
      <x:c r="A1748" s="25" t="str">
        <x:v>C09-X</x:v>
      </x:c>
      <x:c r="B1748" s="25" t="str">
        <x:v>亚坛高原</x:v>
      </x:c>
      <x:c r="C1748" s="25" t="str">
        <x:v>极端压力</x:v>
      </x:c>
      <x:c r="D1748" s="25" t="str">
        <x:v>材料</x:v>
      </x:c>
      <x:c r="E1748" s="25" t="str">
        <x:v>哨垒旗冠</x:v>
      </x:c>
      <x:c r="F1748" s="25" t="n">
        <x:v>3</x:v>
      </x:c>
      <x:c r="G1748" s="25" t="str">
        <x:v>从C0至当前检查点累计需求；未扣自身未来产出，不代表已有库存</x:v>
      </x:c>
    </x:row>
    <x:row r="1749">
      <x:c r="A1749" s="25" t="str">
        <x:v>C09-X</x:v>
      </x:c>
      <x:c r="B1749" s="25" t="str">
        <x:v>亚坛高原</x:v>
      </x:c>
      <x:c r="C1749" s="25" t="str">
        <x:v>极端压力</x:v>
      </x:c>
      <x:c r="D1749" s="25" t="str">
        <x:v>材料</x:v>
      </x:c>
      <x:c r="E1749" s="25" t="str">
        <x:v>唤船骨铃</x:v>
      </x:c>
      <x:c r="F1749" s="25" t="n">
        <x:v>1</x:v>
      </x:c>
      <x:c r="G1749" s="25" t="str">
        <x:v>从C0至当前检查点累计需求；未扣自身未来产出，不代表已有库存</x:v>
      </x:c>
    </x:row>
    <x:row r="1750">
      <x:c r="A1750" s="25" t="str">
        <x:v>C09-X</x:v>
      </x:c>
      <x:c r="B1750" s="25" t="str">
        <x:v>亚坛高原</x:v>
      </x:c>
      <x:c r="C1750" s="25" t="str">
        <x:v>极端压力</x:v>
      </x:c>
      <x:c r="D1750" s="25" t="str">
        <x:v>材料</x:v>
      </x:c>
      <x:c r="E1750" s="25" t="str">
        <x:v>商队火漆</x:v>
      </x:c>
      <x:c r="F1750" s="25" t="n">
        <x:v>20</x:v>
      </x:c>
      <x:c r="G1750" s="25" t="str">
        <x:v>从C0至当前检查点累计需求；未扣自身未来产出，不代表已有库存</x:v>
      </x:c>
    </x:row>
    <x:row r="1751">
      <x:c r="A1751" s="25" t="str">
        <x:v>C09-X</x:v>
      </x:c>
      <x:c r="B1751" s="25" t="str">
        <x:v>亚坛高原</x:v>
      </x:c>
      <x:c r="C1751" s="25" t="str">
        <x:v>极端压力</x:v>
      </x:c>
      <x:c r="D1751" s="25" t="str">
        <x:v>材料</x:v>
      </x:c>
      <x:c r="E1751" s="25" t="str">
        <x:v>圣雪誓印</x:v>
      </x:c>
      <x:c r="F1751" s="25" t="n">
        <x:v>53</x:v>
      </x:c>
      <x:c r="G1751" s="25" t="str">
        <x:v>从C0至当前检查点累计需求；未扣自身未来产出，不代表已有库存</x:v>
      </x:c>
    </x:row>
    <x:row r="1752">
      <x:c r="A1752" s="25" t="str">
        <x:v>C09-X</x:v>
      </x:c>
      <x:c r="B1752" s="25" t="str">
        <x:v>亚坛高原</x:v>
      </x:c>
      <x:c r="C1752" s="25" t="str">
        <x:v>极端压力</x:v>
      </x:c>
      <x:c r="D1752" s="25" t="str">
        <x:v>材料</x:v>
      </x:c>
      <x:c r="E1752" s="25" t="str">
        <x:v>圣雪门楔</x:v>
      </x:c>
      <x:c r="F1752" s="25" t="n">
        <x:v>4</x:v>
      </x:c>
      <x:c r="G1752" s="25" t="str">
        <x:v>从C0至当前检查点累计需求；未扣自身未来产出，不代表已有库存</x:v>
      </x:c>
    </x:row>
    <x:row r="1753">
      <x:c r="A1753" s="25" t="str">
        <x:v>C09-X</x:v>
      </x:c>
      <x:c r="B1753" s="25" t="str">
        <x:v>亚坛高原</x:v>
      </x:c>
      <x:c r="C1753" s="25" t="str">
        <x:v>极端压力</x:v>
      </x:c>
      <x:c r="D1753" s="25" t="str">
        <x:v>材料</x:v>
      </x:c>
      <x:c r="E1753" s="25" t="str">
        <x:v>夜骑黑印</x:v>
      </x:c>
      <x:c r="F1753" s="25" t="n">
        <x:v>1</x:v>
      </x:c>
      <x:c r="G1753" s="25" t="str">
        <x:v>从C0至当前检查点累计需求；未扣自身未来产出，不代表已有库存</x:v>
      </x:c>
    </x:row>
    <x:row r="1754">
      <x:c r="A1754" s="25" t="str">
        <x:v>C09-X</x:v>
      </x:c>
      <x:c r="B1754" s="25" t="str">
        <x:v>亚坛高原</x:v>
      </x:c>
      <x:c r="C1754" s="25" t="str">
        <x:v>极端压力</x:v>
      </x:c>
      <x:c r="D1754" s="25" t="str">
        <x:v>材料</x:v>
      </x:c>
      <x:c r="E1754" s="25" t="str">
        <x:v>大卢恩</x:v>
      </x:c>
      <x:c r="F1754" s="25" t="n">
        <x:v>350</x:v>
      </x:c>
      <x:c r="G1754" s="25" t="str">
        <x:v>从C0至当前检查点累计需求；未扣自身未来产出，不代表已有库存</x:v>
      </x:c>
    </x:row>
    <x:row r="1755">
      <x:c r="A1755" s="25" t="str">
        <x:v>C09-X</x:v>
      </x:c>
      <x:c r="B1755" s="25" t="str">
        <x:v>亚坛高原</x:v>
      </x:c>
      <x:c r="C1755" s="25" t="str">
        <x:v>极端压力</x:v>
      </x:c>
      <x:c r="D1755" s="25" t="str">
        <x:v>材料</x:v>
      </x:c>
      <x:c r="E1755" s="25" t="str">
        <x:v>失乡军令</x:v>
      </x:c>
      <x:c r="F1755" s="25" t="n">
        <x:v>2</x:v>
      </x:c>
      <x:c r="G1755" s="25" t="str">
        <x:v>从C0至当前检查点累计需求；未扣自身未来产出，不代表已有库存</x:v>
      </x:c>
    </x:row>
    <x:row r="1756">
      <x:c r="A1756" s="25" t="str">
        <x:v>C09-X</x:v>
      </x:c>
      <x:c r="B1756" s="25" t="str">
        <x:v>亚坛高原</x:v>
      </x:c>
      <x:c r="C1756" s="25" t="str">
        <x:v>极端压力</x:v>
      </x:c>
      <x:c r="D1756" s="25" t="str">
        <x:v>材料</x:v>
      </x:c>
      <x:c r="E1756" s="25" t="str">
        <x:v>失乡统帅徽</x:v>
      </x:c>
      <x:c r="F1756" s="25" t="n">
        <x:v>2</x:v>
      </x:c>
      <x:c r="G1756" s="25" t="str">
        <x:v>从C0至当前检查点累计需求；未扣自身未来产出，不代表已有库存</x:v>
      </x:c>
    </x:row>
    <x:row r="1757">
      <x:c r="A1757" s="25" t="str">
        <x:v>C09-X</x:v>
      </x:c>
      <x:c r="B1757" s="25" t="str">
        <x:v>亚坛高原</x:v>
      </x:c>
      <x:c r="C1757" s="25" t="str">
        <x:v>极端压力</x:v>
      </x:c>
      <x:c r="D1757" s="25" t="str">
        <x:v>材料</x:v>
      </x:c>
      <x:c r="E1757" s="25" t="str">
        <x:v>失色锻造石</x:v>
      </x:c>
      <x:c r="F1757" s="25" t="n">
        <x:v>105970</x:v>
      </x:c>
      <x:c r="G1757" s="25" t="str">
        <x:v>从C0至当前检查点累计需求；未扣自身未来产出，不代表已有库存</x:v>
      </x:c>
    </x:row>
    <x:row r="1758">
      <x:c r="A1758" s="25" t="str">
        <x:v>C09-X</x:v>
      </x:c>
      <x:c r="B1758" s="25" t="str">
        <x:v>亚坛高原</x:v>
      </x:c>
      <x:c r="C1758" s="25" t="str">
        <x:v>极端压力</x:v>
      </x:c>
      <x:c r="D1758" s="25" t="str">
        <x:v>材料</x:v>
      </x:c>
      <x:c r="E1758" s="25" t="str">
        <x:v>学院封蜡</x:v>
      </x:c>
      <x:c r="F1758" s="25" t="n">
        <x:v>24</x:v>
      </x:c>
      <x:c r="G1758" s="25" t="str">
        <x:v>从C0至当前检查点累计需求；未扣自身未来产出，不代表已有库存</x:v>
      </x:c>
    </x:row>
    <x:row r="1759">
      <x:c r="A1759" s="25" t="str">
        <x:v>C09-X</x:v>
      </x:c>
      <x:c r="B1759" s="25" t="str">
        <x:v>亚坛高原</x:v>
      </x:c>
      <x:c r="C1759" s="25" t="str">
        <x:v>极端压力</x:v>
      </x:c>
      <x:c r="D1759" s="25" t="str">
        <x:v>材料</x:v>
      </x:c>
      <x:c r="E1759" s="25" t="str">
        <x:v>宁姆格福誓页</x:v>
      </x:c>
      <x:c r="F1759" s="25" t="n">
        <x:v>90</x:v>
      </x:c>
      <x:c r="G1759" s="25" t="str">
        <x:v>从C0至当前检查点累计需求；未扣自身未来产出，不代表已有库存</x:v>
      </x:c>
    </x:row>
    <x:row r="1760">
      <x:c r="A1760" s="25" t="str">
        <x:v>C09-X</x:v>
      </x:c>
      <x:c r="B1760" s="25" t="str">
        <x:v>亚坛高原</x:v>
      </x:c>
      <x:c r="C1760" s="25" t="str">
        <x:v>极端压力</x:v>
      </x:c>
      <x:c r="D1760" s="25" t="str">
        <x:v>材料</x:v>
      </x:c>
      <x:c r="E1760" s="25" t="str">
        <x:v>小卢恩</x:v>
      </x:c>
      <x:c r="F1760" s="25" t="n">
        <x:v>250</x:v>
      </x:c>
      <x:c r="G1760" s="25" t="str">
        <x:v>从C0至当前检查点累计需求；未扣自身未来产出，不代表已有库存</x:v>
      </x:c>
    </x:row>
    <x:row r="1761">
      <x:c r="A1761" s="25" t="str">
        <x:v>C09-X</x:v>
      </x:c>
      <x:c r="B1761" s="25" t="str">
        <x:v>亚坛高原</x:v>
      </x:c>
      <x:c r="C1761" s="25" t="str">
        <x:v>极端压力</x:v>
      </x:c>
      <x:c r="D1761" s="25" t="str">
        <x:v>材料</x:v>
      </x:c>
      <x:c r="E1761" s="25" t="str">
        <x:v>山妖王角</x:v>
      </x:c>
      <x:c r="F1761" s="25" t="n">
        <x:v>2</x:v>
      </x:c>
      <x:c r="G1761" s="25" t="str">
        <x:v>从C0至当前检查点累计需求；未扣自身未来产出，不代表已有库存</x:v>
      </x:c>
    </x:row>
    <x:row r="1762">
      <x:c r="A1762" s="25" t="str">
        <x:v>C09-X</x:v>
      </x:c>
      <x:c r="B1762" s="25" t="str">
        <x:v>亚坛高原</x:v>
      </x:c>
      <x:c r="C1762" s="25" t="str">
        <x:v>极端压力</x:v>
      </x:c>
      <x:c r="D1762" s="25" t="str">
        <x:v>材料</x:v>
      </x:c>
      <x:c r="E1762" s="25" t="str">
        <x:v>巨人火印</x:v>
      </x:c>
      <x:c r="F1762" s="25" t="n">
        <x:v>105</x:v>
      </x:c>
      <x:c r="G1762" s="25" t="str">
        <x:v>从C0至当前检查点累计需求；未扣自身未来产出，不代表已有库存</x:v>
      </x:c>
    </x:row>
    <x:row r="1763">
      <x:c r="A1763" s="25" t="str">
        <x:v>C09-X</x:v>
      </x:c>
      <x:c r="B1763" s="25" t="str">
        <x:v>亚坛高原</x:v>
      </x:c>
      <x:c r="C1763" s="25" t="str">
        <x:v>极端压力</x:v>
      </x:c>
      <x:c r="D1763" s="25" t="str">
        <x:v>材料</x:v>
      </x:c>
      <x:c r="E1763" s="25" t="str">
        <x:v>巨人火种</x:v>
      </x:c>
      <x:c r="F1763" s="25" t="n">
        <x:v>65</x:v>
      </x:c>
      <x:c r="G1763" s="25" t="str">
        <x:v>从C0至当前检查点累计需求；未扣自身未来产出，不代表已有库存</x:v>
      </x:c>
    </x:row>
    <x:row r="1764">
      <x:c r="A1764" s="25" t="str">
        <x:v>C09-X</x:v>
      </x:c>
      <x:c r="B1764" s="25" t="str">
        <x:v>亚坛高原</x:v>
      </x:c>
      <x:c r="C1764" s="25" t="str">
        <x:v>极端压力</x:v>
      </x:c>
      <x:c r="D1764" s="25" t="str">
        <x:v>材料</x:v>
      </x:c>
      <x:c r="E1764" s="25" t="str">
        <x:v>巨人熔火卢恩</x:v>
      </x:c>
      <x:c r="F1764" s="25" t="n">
        <x:v>450</x:v>
      </x:c>
      <x:c r="G1764" s="25" t="str">
        <x:v>从C0至当前检查点累计需求；未扣自身未来产出，不代表已有库存</x:v>
      </x:c>
    </x:row>
    <x:row r="1765">
      <x:c r="A1765" s="25" t="str">
        <x:v>C09-X</x:v>
      </x:c>
      <x:c r="B1765" s="25" t="str">
        <x:v>亚坛高原</x:v>
      </x:c>
      <x:c r="C1765" s="25" t="str">
        <x:v>极端压力</x:v>
      </x:c>
      <x:c r="D1765" s="25" t="str">
        <x:v>材料</x:v>
      </x:c>
      <x:c r="E1765" s="25" t="str">
        <x:v>幽船铆钉</x:v>
      </x:c>
      <x:c r="F1765" s="25" t="n">
        <x:v>21</x:v>
      </x:c>
      <x:c r="G1765" s="25" t="str">
        <x:v>从C0至当前检查点累计需求；未扣自身未来产出，不代表已有库存</x:v>
      </x:c>
    </x:row>
    <x:row r="1766">
      <x:c r="A1766" s="25" t="str">
        <x:v>C09-X</x:v>
      </x:c>
      <x:c r="B1766" s="25" t="str">
        <x:v>亚坛高原</x:v>
      </x:c>
      <x:c r="C1766" s="25" t="str">
        <x:v>极端压力</x:v>
      </x:c>
      <x:c r="D1766" s="25" t="str">
        <x:v>材料</x:v>
      </x:c>
      <x:c r="E1766" s="25" t="str">
        <x:v>恶兆残角</x:v>
      </x:c>
      <x:c r="F1766" s="25" t="n">
        <x:v>1</x:v>
      </x:c>
      <x:c r="G1766" s="25" t="str">
        <x:v>从C0至当前检查点累计需求；未扣自身未来产出，不代表已有库存</x:v>
      </x:c>
    </x:row>
    <x:row r="1767">
      <x:c r="A1767" s="25" t="str">
        <x:v>C09-X</x:v>
      </x:c>
      <x:c r="B1767" s="25" t="str">
        <x:v>亚坛高原</x:v>
      </x:c>
      <x:c r="C1767" s="25" t="str">
        <x:v>极端压力</x:v>
      </x:c>
      <x:c r="D1767" s="25" t="str">
        <x:v>材料</x:v>
      </x:c>
      <x:c r="E1767" s="25" t="str">
        <x:v>技能残页</x:v>
      </x:c>
      <x:c r="F1767" s="25" t="n">
        <x:v>1350</x:v>
      </x:c>
      <x:c r="G1767" s="25" t="str">
        <x:v>从C0至当前检查点累计需求；未扣自身未来产出，不代表已有库存</x:v>
      </x:c>
    </x:row>
    <x:row r="1768">
      <x:c r="A1768" s="25" t="str">
        <x:v>C09-X</x:v>
      </x:c>
      <x:c r="B1768" s="25" t="str">
        <x:v>亚坛高原</x:v>
      </x:c>
      <x:c r="C1768" s="25" t="str">
        <x:v>极端压力</x:v>
      </x:c>
      <x:c r="D1768" s="25" t="str">
        <x:v>材料</x:v>
      </x:c>
      <x:c r="E1768" s="25" t="str">
        <x:v>接肢兽心</x:v>
      </x:c>
      <x:c r="F1768" s="25" t="n">
        <x:v>2</x:v>
      </x:c>
      <x:c r="G1768" s="25" t="str">
        <x:v>从C0至当前检查点累计需求；未扣自身未来产出，不代表已有库存</x:v>
      </x:c>
    </x:row>
    <x:row r="1769">
      <x:c r="A1769" s="25" t="str">
        <x:v>C09-X</x:v>
      </x:c>
      <x:c r="B1769" s="25" t="str">
        <x:v>亚坛高原</x:v>
      </x:c>
      <x:c r="C1769" s="25" t="str">
        <x:v>极端压力</x:v>
      </x:c>
      <x:c r="D1769" s="25" t="str">
        <x:v>材料</x:v>
      </x:c>
      <x:c r="E1769" s="25" t="str">
        <x:v>接肢王印</x:v>
      </x:c>
      <x:c r="F1769" s="25" t="n">
        <x:v>13</x:v>
      </x:c>
      <x:c r="G1769" s="25" t="str">
        <x:v>从C0至当前检查点累计需求；未扣自身未来产出，不代表已有库存</x:v>
      </x:c>
    </x:row>
    <x:row r="1770">
      <x:c r="A1770" s="25" t="str">
        <x:v>C09-X</x:v>
      </x:c>
      <x:c r="B1770" s="25" t="str">
        <x:v>亚坛高原</x:v>
      </x:c>
      <x:c r="C1770" s="25" t="str">
        <x:v>极端压力</x:v>
      </x:c>
      <x:c r="D1770" s="25" t="str">
        <x:v>材料</x:v>
      </x:c>
      <x:c r="E1770" s="25" t="str">
        <x:v>接肢王魂</x:v>
      </x:c>
      <x:c r="F1770" s="25" t="n">
        <x:v>1</x:v>
      </x:c>
      <x:c r="G1770" s="25" t="str">
        <x:v>从C0至当前检查点累计需求；未扣自身未来产出，不代表已有库存</x:v>
      </x:c>
    </x:row>
    <x:row r="1771">
      <x:c r="A1771" s="25" t="str">
        <x:v>C09-X</x:v>
      </x:c>
      <x:c r="B1771" s="25" t="str">
        <x:v>亚坛高原</x:v>
      </x:c>
      <x:c r="C1771" s="25" t="str">
        <x:v>极端压力</x:v>
      </x:c>
      <x:c r="D1771" s="25" t="str">
        <x:v>材料</x:v>
      </x:c>
      <x:c r="E1771" s="25" t="str">
        <x:v>月潮忆珀</x:v>
      </x:c>
      <x:c r="F1771" s="25" t="n">
        <x:v>1</x:v>
      </x:c>
      <x:c r="G1771" s="25" t="str">
        <x:v>从C0至当前检查点累计需求；未扣自身未来产出，不代表已有库存</x:v>
      </x:c>
    </x:row>
    <x:row r="1772">
      <x:c r="A1772" s="25" t="str">
        <x:v>C09-X</x:v>
      </x:c>
      <x:c r="B1772" s="25" t="str">
        <x:v>亚坛高原</x:v>
      </x:c>
      <x:c r="C1772" s="25" t="str">
        <x:v>极端压力</x:v>
      </x:c>
      <x:c r="D1772" s="25" t="str">
        <x:v>材料</x:v>
      </x:c>
      <x:c r="E1772" s="25" t="str">
        <x:v>月蚀镜片</x:v>
      </x:c>
      <x:c r="F1772" s="25" t="n">
        <x:v>21</x:v>
      </x:c>
      <x:c r="G1772" s="25" t="str">
        <x:v>从C0至当前检查点累计需求；未扣自身未来产出，不代表已有库存</x:v>
      </x:c>
    </x:row>
    <x:row r="1773">
      <x:c r="A1773" s="25" t="str">
        <x:v>C09-X</x:v>
      </x:c>
      <x:c r="B1773" s="25" t="str">
        <x:v>亚坛高原</x:v>
      </x:c>
      <x:c r="C1773" s="25" t="str">
        <x:v>极端压力</x:v>
      </x:c>
      <x:c r="D1773" s="25" t="str">
        <x:v>材料</x:v>
      </x:c>
      <x:c r="E1773" s="25" t="str">
        <x:v>树卫枪穗</x:v>
      </x:c>
      <x:c r="F1773" s="25" t="n">
        <x:v>1</x:v>
      </x:c>
      <x:c r="G1773" s="25" t="str">
        <x:v>从C0至当前检查点累计需求；未扣自身未来产出，不代表已有库存</x:v>
      </x:c>
    </x:row>
    <x:row r="1774">
      <x:c r="A1774" s="25" t="str">
        <x:v>C09-X</x:v>
      </x:c>
      <x:c r="B1774" s="25" t="str">
        <x:v>亚坛高原</x:v>
      </x:c>
      <x:c r="C1774" s="25" t="str">
        <x:v>极端压力</x:v>
      </x:c>
      <x:c r="D1774" s="25" t="str">
        <x:v>材料</x:v>
      </x:c>
      <x:c r="E1774" s="25" t="str">
        <x:v>死亡仪羽</x:v>
      </x:c>
      <x:c r="F1774" s="25" t="n">
        <x:v>2</x:v>
      </x:c>
      <x:c r="G1774" s="25" t="str">
        <x:v>从C0至当前检查点累计需求；未扣自身未来产出，不代表已有库存</x:v>
      </x:c>
    </x:row>
    <x:row r="1775">
      <x:c r="A1775" s="25" t="str">
        <x:v>C09-X</x:v>
      </x:c>
      <x:c r="B1775" s="25" t="str">
        <x:v>亚坛高原</x:v>
      </x:c>
      <x:c r="C1775" s="25" t="str">
        <x:v>极端压力</x:v>
      </x:c>
      <x:c r="D1775" s="25" t="str">
        <x:v>材料</x:v>
      </x:c>
      <x:c r="E1775" s="25" t="str">
        <x:v>永霜朝圣痕</x:v>
      </x:c>
      <x:c r="F1775" s="25" t="n">
        <x:v>1</x:v>
      </x:c>
      <x:c r="G1775" s="25" t="str">
        <x:v>从C0至当前检查点累计需求；未扣自身未来产出，不代表已有库存</x:v>
      </x:c>
    </x:row>
    <x:row r="1776">
      <x:c r="A1776" s="25" t="str">
        <x:v>C09-X</x:v>
      </x:c>
      <x:c r="B1776" s="25" t="str">
        <x:v>亚坛高原</x:v>
      </x:c>
      <x:c r="C1776" s="25" t="str">
        <x:v>极端压力</x:v>
      </x:c>
      <x:c r="D1776" s="25" t="str">
        <x:v>材料</x:v>
      </x:c>
      <x:c r="E1776" s="25" t="str">
        <x:v>沉湖王印</x:v>
      </x:c>
      <x:c r="F1776" s="25" t="n">
        <x:v>25</x:v>
      </x:c>
      <x:c r="G1776" s="25" t="str">
        <x:v>从C0至当前检查点累计需求；未扣自身未来产出，不代表已有库存</x:v>
      </x:c>
    </x:row>
    <x:row r="1777">
      <x:c r="A1777" s="25" t="str">
        <x:v>C09-X</x:v>
      </x:c>
      <x:c r="B1777" s="25" t="str">
        <x:v>亚坛高原</x:v>
      </x:c>
      <x:c r="C1777" s="25" t="str">
        <x:v>极端压力</x:v>
      </x:c>
      <x:c r="D1777" s="25" t="str">
        <x:v>材料</x:v>
      </x:c>
      <x:c r="E1777" s="25" t="str">
        <x:v>沉船缆扣</x:v>
      </x:c>
      <x:c r="F1777" s="25" t="n">
        <x:v>12</x:v>
      </x:c>
      <x:c r="G1777" s="25" t="str">
        <x:v>从C0至当前检查点累计需求；未扣自身未来产出，不代表已有库存</x:v>
      </x:c>
    </x:row>
    <x:row r="1778">
      <x:c r="A1778" s="25" t="str">
        <x:v>C09-X</x:v>
      </x:c>
      <x:c r="B1778" s="25" t="str">
        <x:v>亚坛高原</x:v>
      </x:c>
      <x:c r="C1778" s="25" t="str">
        <x:v>极端压力</x:v>
      </x:c>
      <x:c r="D1778" s="25" t="str">
        <x:v>材料</x:v>
      </x:c>
      <x:c r="E1778" s="25" t="str">
        <x:v>海蚀铁片</x:v>
      </x:c>
      <x:c r="F1778" s="25" t="n">
        <x:v>160</x:v>
      </x:c>
      <x:c r="G1778" s="25" t="str">
        <x:v>从C0至当前检查点累计需求；未扣自身未来产出，不代表已有库存</x:v>
      </x:c>
    </x:row>
    <x:row r="1779">
      <x:c r="A1779" s="25" t="str">
        <x:v>C09-X</x:v>
      </x:c>
      <x:c r="B1779" s="25" t="str">
        <x:v>亚坛高原</x:v>
      </x:c>
      <x:c r="C1779" s="25" t="str">
        <x:v>极端压力</x:v>
      </x:c>
      <x:c r="D1779" s="25" t="str">
        <x:v>材料</x:v>
      </x:c>
      <x:c r="E1779" s="25" t="str">
        <x:v>深湖压舱印</x:v>
      </x:c>
      <x:c r="F1779" s="25" t="n">
        <x:v>6</x:v>
      </x:c>
      <x:c r="G1779" s="25" t="str">
        <x:v>从C0至当前检查点累计需求；未扣自身未来产出，不代表已有库存</x:v>
      </x:c>
    </x:row>
    <x:row r="1780">
      <x:c r="A1780" s="25" t="str">
        <x:v>C09-X</x:v>
      </x:c>
      <x:c r="B1780" s="25" t="str">
        <x:v>亚坛高原</x:v>
      </x:c>
      <x:c r="C1780" s="25" t="str">
        <x:v>极端压力</x:v>
      </x:c>
      <x:c r="D1780" s="25" t="str">
        <x:v>材料</x:v>
      </x:c>
      <x:c r="E1780" s="25" t="str">
        <x:v>湖底封门珠</x:v>
      </x:c>
      <x:c r="F1780" s="25" t="n">
        <x:v>8</x:v>
      </x:c>
      <x:c r="G1780" s="25" t="str">
        <x:v>从C0至当前检查点累计需求；未扣自身未来产出，不代表已有库存</x:v>
      </x:c>
    </x:row>
    <x:row r="1781">
      <x:c r="A1781" s="25" t="str">
        <x:v>C09-X</x:v>
      </x:c>
      <x:c r="B1781" s="25" t="str">
        <x:v>亚坛高原</x:v>
      </x:c>
      <x:c r="C1781" s="25" t="str">
        <x:v>极端压力</x:v>
      </x:c>
      <x:c r="D1781" s="25" t="str">
        <x:v>材料</x:v>
      </x:c>
      <x:c r="E1781" s="25" t="str">
        <x:v>湖心月谱残章</x:v>
      </x:c>
      <x:c r="F1781" s="25" t="n">
        <x:v>1</x:v>
      </x:c>
      <x:c r="G1781" s="25" t="str">
        <x:v>从C0至当前检查点累计需求；未扣自身未来产出，不代表已有库存</x:v>
      </x:c>
    </x:row>
    <x:row r="1782">
      <x:c r="A1782" s="25" t="str">
        <x:v>C09-X</x:v>
      </x:c>
      <x:c r="B1782" s="25" t="str">
        <x:v>亚坛高原</x:v>
      </x:c>
      <x:c r="C1782" s="25" t="str">
        <x:v>极端压力</x:v>
      </x:c>
      <x:c r="D1782" s="25" t="str">
        <x:v>材料</x:v>
      </x:c>
      <x:c r="E1782" s="25" t="str">
        <x:v>湖盐结晶</x:v>
      </x:c>
      <x:c r="F1782" s="25" t="n">
        <x:v>1957</x:v>
      </x:c>
      <x:c r="G1782" s="25" t="str">
        <x:v>从C0至当前检查点累计需求；未扣自身未来产出，不代表已有库存</x:v>
      </x:c>
    </x:row>
    <x:row r="1783">
      <x:c r="A1783" s="25" t="str">
        <x:v>C09-X</x:v>
      </x:c>
      <x:c r="B1783" s="25" t="str">
        <x:v>亚坛高原</x:v>
      </x:c>
      <x:c r="C1783" s="25" t="str">
        <x:v>极端压力</x:v>
      </x:c>
      <x:c r="D1783" s="25" t="str">
        <x:v>材料</x:v>
      </x:c>
      <x:c r="E1783" s="25" t="str">
        <x:v>溃烂树核</x:v>
      </x:c>
      <x:c r="F1783" s="25" t="n">
        <x:v>1</x:v>
      </x:c>
      <x:c r="G1783" s="25" t="str">
        <x:v>从C0至当前检查点累计需求；未扣自身未来产出，不代表已有库存</x:v>
      </x:c>
    </x:row>
    <x:row r="1784">
      <x:c r="A1784" s="25" t="str">
        <x:v>C09-X</x:v>
      </x:c>
      <x:c r="B1784" s="25" t="str">
        <x:v>亚坛高原</x:v>
      </x:c>
      <x:c r="C1784" s="25" t="str">
        <x:v>极端压力</x:v>
      </x:c>
      <x:c r="D1784" s="25" t="str">
        <x:v>材料</x:v>
      </x:c>
      <x:c r="E1784" s="25" t="str">
        <x:v>满月王室印</x:v>
      </x:c>
      <x:c r="F1784" s="25" t="n">
        <x:v>51</x:v>
      </x:c>
      <x:c r="G1784" s="25" t="str">
        <x:v>从C0至当前检查点累计需求；未扣自身未来产出，不代表已有库存</x:v>
      </x:c>
    </x:row>
    <x:row r="1785">
      <x:c r="A1785" s="25" t="str">
        <x:v>C09-X</x:v>
      </x:c>
      <x:c r="B1785" s="25" t="str">
        <x:v>亚坛高原</x:v>
      </x:c>
      <x:c r="C1785" s="25" t="str">
        <x:v>极端压力</x:v>
      </x:c>
      <x:c r="D1785" s="25" t="str">
        <x:v>材料</x:v>
      </x:c>
      <x:c r="E1785" s="25" t="str">
        <x:v>漂流大陆印记</x:v>
      </x:c>
      <x:c r="F1785" s="25" t="n">
        <x:v>11</x:v>
      </x:c>
      <x:c r="G1785" s="25" t="str">
        <x:v>从C0至当前检查点累计需求；未扣自身未来产出，不代表已有库存</x:v>
      </x:c>
    </x:row>
    <x:row r="1786">
      <x:c r="A1786" s="25" t="str">
        <x:v>C09-X</x:v>
      </x:c>
      <x:c r="B1786" s="25" t="str">
        <x:v>亚坛高原</x:v>
      </x:c>
      <x:c r="C1786" s="25" t="str">
        <x:v>极端压力</x:v>
      </x:c>
      <x:c r="D1786" s="25" t="str">
        <x:v>材料</x:v>
      </x:c>
      <x:c r="E1786" s="25" t="str">
        <x:v>漂流见证·潮</x:v>
      </x:c>
      <x:c r="F1786" s="25" t="n">
        <x:v>8</x:v>
      </x:c>
      <x:c r="G1786" s="25" t="str">
        <x:v>从C0至当前检查点累计需求；未扣自身未来产出，不代表已有库存</x:v>
      </x:c>
    </x:row>
    <x:row r="1787">
      <x:c r="A1787" s="25" t="str">
        <x:v>C09-X</x:v>
      </x:c>
      <x:c r="B1787" s="25" t="str">
        <x:v>亚坛高原</x:v>
      </x:c>
      <x:c r="C1787" s="25" t="str">
        <x:v>极端压力</x:v>
      </x:c>
      <x:c r="D1787" s="25" t="str">
        <x:v>材料</x:v>
      </x:c>
      <x:c r="E1787" s="25" t="str">
        <x:v>漂流见证·雷</x:v>
      </x:c>
      <x:c r="F1787" s="25" t="n">
        <x:v>8</x:v>
      </x:c>
      <x:c r="G1787" s="25" t="str">
        <x:v>从C0至当前检查点累计需求；未扣自身未来产出，不代表已有库存</x:v>
      </x:c>
    </x:row>
    <x:row r="1788">
      <x:c r="A1788" s="25" t="str">
        <x:v>C09-X</x:v>
      </x:c>
      <x:c r="B1788" s="25" t="str">
        <x:v>亚坛高原</x:v>
      </x:c>
      <x:c r="C1788" s="25" t="str">
        <x:v>极端压力</x:v>
      </x:c>
      <x:c r="D1788" s="25" t="str">
        <x:v>材料</x:v>
      </x:c>
      <x:c r="E1788" s="25" t="str">
        <x:v>潮痕结晶</x:v>
      </x:c>
      <x:c r="F1788" s="25" t="n">
        <x:v>16</x:v>
      </x:c>
      <x:c r="G1788" s="25" t="str">
        <x:v>从C0至当前检查点累计需求；未扣自身未来产出，不代表已有库存</x:v>
      </x:c>
    </x:row>
    <x:row r="1789">
      <x:c r="A1789" s="25" t="str">
        <x:v>C09-X</x:v>
      </x:c>
      <x:c r="B1789" s="25" t="str">
        <x:v>亚坛高原</x:v>
      </x:c>
      <x:c r="C1789" s="25" t="str">
        <x:v>极端压力</x:v>
      </x:c>
      <x:c r="D1789" s="25" t="str">
        <x:v>材料</x:v>
      </x:c>
      <x:c r="E1789" s="25" t="str">
        <x:v>熊王心脏</x:v>
      </x:c>
      <x:c r="F1789" s="25" t="n">
        <x:v>2</x:v>
      </x:c>
      <x:c r="G1789" s="25" t="str">
        <x:v>从C0至当前检查点累计需求；未扣自身未来产出，不代表已有库存</x:v>
      </x:c>
    </x:row>
    <x:row r="1790">
      <x:c r="A1790" s="25" t="str">
        <x:v>C09-X</x:v>
      </x:c>
      <x:c r="B1790" s="25" t="str">
        <x:v>亚坛高原</x:v>
      </x:c>
      <x:c r="C1790" s="25" t="str">
        <x:v>极端压力</x:v>
      </x:c>
      <x:c r="D1790" s="25" t="str">
        <x:v>材料</x:v>
      </x:c>
      <x:c r="E1790" s="25" t="str">
        <x:v>熔原罪火残章</x:v>
      </x:c>
      <x:c r="F1790" s="25" t="n">
        <x:v>1</x:v>
      </x:c>
      <x:c r="G1790" s="25" t="str">
        <x:v>从C0至当前检查点累计需求；未扣自身未来产出，不代表已有库存</x:v>
      </x:c>
    </x:row>
    <x:row r="1791">
      <x:c r="A1791" s="25" t="str">
        <x:v>C09-X</x:v>
      </x:c>
      <x:c r="B1791" s="25" t="str">
        <x:v>亚坛高原</x:v>
      </x:c>
      <x:c r="C1791" s="25" t="str">
        <x:v>极端压力</x:v>
      </x:c>
      <x:c r="D1791" s="25" t="str">
        <x:v>材料</x:v>
      </x:c>
      <x:c r="E1791" s="25" t="str">
        <x:v>熔炉角片</x:v>
      </x:c>
      <x:c r="F1791" s="25" t="n">
        <x:v>1</x:v>
      </x:c>
      <x:c r="G1791" s="25" t="str">
        <x:v>从C0至当前检查点累计需求；未扣自身未来产出，不代表已有库存</x:v>
      </x:c>
    </x:row>
    <x:row r="1792">
      <x:c r="A1792" s="25" t="str">
        <x:v>C09-X</x:v>
      </x:c>
      <x:c r="B1792" s="25" t="str">
        <x:v>亚坛高原</x:v>
      </x:c>
      <x:c r="C1792" s="25" t="str">
        <x:v>极端压力</x:v>
      </x:c>
      <x:c r="D1792" s="25" t="str">
        <x:v>材料</x:v>
      </x:c>
      <x:c r="E1792" s="25" t="str">
        <x:v>猩红矿渣</x:v>
      </x:c>
      <x:c r="F1792" s="25" t="n">
        <x:v>1737</x:v>
      </x:c>
      <x:c r="G1792" s="25" t="str">
        <x:v>从C0至当前检查点累计需求；未扣自身未来产出，不代表已有库存</x:v>
      </x:c>
    </x:row>
    <x:row r="1793">
      <x:c r="A1793" s="25" t="str">
        <x:v>C09-X</x:v>
      </x:c>
      <x:c r="B1793" s="25" t="str">
        <x:v>亚坛高原</x:v>
      </x:c>
      <x:c r="C1793" s="25" t="str">
        <x:v>极端压力</x:v>
      </x:c>
      <x:c r="D1793" s="25" t="str">
        <x:v>材料</x:v>
      </x:c>
      <x:c r="E1793" s="25" t="str">
        <x:v>王城军印</x:v>
      </x:c>
      <x:c r="F1793" s="25" t="n">
        <x:v>1</x:v>
      </x:c>
      <x:c r="G1793" s="25" t="str">
        <x:v>从C0至当前检查点累计需求；未扣自身未来产出，不代表已有库存</x:v>
      </x:c>
    </x:row>
    <x:row r="1794">
      <x:c r="A1794" s="25" t="str">
        <x:v>C09-X</x:v>
      </x:c>
      <x:c r="B1794" s="25" t="str">
        <x:v>亚坛高原</x:v>
      </x:c>
      <x:c r="C1794" s="25" t="str">
        <x:v>极端压力</x:v>
      </x:c>
      <x:c r="D1794" s="25" t="str">
        <x:v>材料</x:v>
      </x:c>
      <x:c r="E1794" s="25" t="str">
        <x:v>王庭炉冠</x:v>
      </x:c>
      <x:c r="F1794" s="25" t="n">
        <x:v>4</x:v>
      </x:c>
      <x:c r="G1794" s="25" t="str">
        <x:v>从C0至当前检查点累计需求；未扣自身未来产出，不代表已有库存</x:v>
      </x:c>
    </x:row>
    <x:row r="1795">
      <x:c r="A1795" s="25" t="str">
        <x:v>C09-X</x:v>
      </x:c>
      <x:c r="B1795" s="25" t="str">
        <x:v>亚坛高原</x:v>
      </x:c>
      <x:c r="C1795" s="25" t="str">
        <x:v>极端压力</x:v>
      </x:c>
      <x:c r="D1795" s="25" t="str">
        <x:v>材料</x:v>
      </x:c>
      <x:c r="E1795" s="25" t="str">
        <x:v>登山铁楔</x:v>
      </x:c>
      <x:c r="F1795" s="25" t="n">
        <x:v>290</x:v>
      </x:c>
      <x:c r="G1795" s="25" t="str">
        <x:v>从C0至当前检查点累计需求；未扣自身未来产出，不代表已有库存</x:v>
      </x:c>
    </x:row>
    <x:row r="1796">
      <x:c r="A1796" s="25" t="str">
        <x:v>C09-X</x:v>
      </x:c>
      <x:c r="B1796" s="25" t="str">
        <x:v>亚坛高原</x:v>
      </x:c>
      <x:c r="C1796" s="25" t="str">
        <x:v>极端压力</x:v>
      </x:c>
      <x:c r="D1796" s="25" t="str">
        <x:v>材料</x:v>
      </x:c>
      <x:c r="E1796" s="25" t="str">
        <x:v>白金纺线</x:v>
      </x:c>
      <x:c r="F1796" s="25" t="n">
        <x:v>60</x:v>
      </x:c>
      <x:c r="G1796" s="25" t="str">
        <x:v>从C0至当前检查点累计需求；未扣自身未来产出，不代表已有库存</x:v>
      </x:c>
    </x:row>
    <x:row r="1797">
      <x:c r="A1797" s="25" t="str">
        <x:v>C09-X</x:v>
      </x:c>
      <x:c r="B1797" s="25" t="str">
        <x:v>亚坛高原</x:v>
      </x:c>
      <x:c r="C1797" s="25" t="str">
        <x:v>极端压力</x:v>
      </x:c>
      <x:c r="D1797" s="25" t="str">
        <x:v>材料</x:v>
      </x:c>
      <x:c r="E1797" s="25" t="str">
        <x:v>白金路标片</x:v>
      </x:c>
      <x:c r="F1797" s="25" t="n">
        <x:v>145</x:v>
      </x:c>
      <x:c r="G1797" s="25" t="str">
        <x:v>从C0至当前检查点累计需求；未扣自身未来产出，不代表已有库存</x:v>
      </x:c>
    </x:row>
    <x:row r="1798">
      <x:c r="A1798" s="25" t="str">
        <x:v>C09-X</x:v>
      </x:c>
      <x:c r="B1798" s="25" t="str">
        <x:v>亚坛高原</x:v>
      </x:c>
      <x:c r="C1798" s="25" t="str">
        <x:v>极端压力</x:v>
      </x:c>
      <x:c r="D1798" s="25" t="str">
        <x:v>材料</x:v>
      </x:c>
      <x:c r="E1798" s="25" t="str">
        <x:v>看门犬石心</x:v>
      </x:c>
      <x:c r="F1798" s="25" t="n">
        <x:v>2</x:v>
      </x:c>
      <x:c r="G1798" s="25" t="str">
        <x:v>从C0至当前检查点累计需求；未扣自身未来产出，不代表已有库存</x:v>
      </x:c>
    </x:row>
    <x:row r="1799">
      <x:c r="A1799" s="25" t="str">
        <x:v>C09-X</x:v>
      </x:c>
      <x:c r="B1799" s="25" t="str">
        <x:v>亚坛高原</x:v>
      </x:c>
      <x:c r="C1799" s="25" t="str">
        <x:v>极端压力</x:v>
      </x:c>
      <x:c r="D1799" s="25" t="str">
        <x:v>材料</x:v>
      </x:c>
      <x:c r="E1799" s="25" t="str">
        <x:v>矿脉灯芯</x:v>
      </x:c>
      <x:c r="F1799" s="25" t="n">
        <x:v>20</x:v>
      </x:c>
      <x:c r="G1799" s="25" t="str">
        <x:v>从C0至当前检查点累计需求；未扣自身未来产出，不代表已有库存</x:v>
      </x:c>
    </x:row>
    <x:row r="1800">
      <x:c r="A1800" s="25" t="str">
        <x:v>C09-X</x:v>
      </x:c>
      <x:c r="B1800" s="25" t="str">
        <x:v>亚坛高原</x:v>
      </x:c>
      <x:c r="C1800" s="25" t="str">
        <x:v>极端压力</x:v>
      </x:c>
      <x:c r="D1800" s="25" t="str">
        <x:v>材料</x:v>
      </x:c>
      <x:c r="E1800" s="25" t="str">
        <x:v>碎星仪仗钉</x:v>
      </x:c>
      <x:c r="F1800" s="25" t="n">
        <x:v>2</x:v>
      </x:c>
      <x:c r="G1800" s="25" t="str">
        <x:v>从C0至当前检查点累计需求；未扣自身未来产出，不代表已有库存</x:v>
      </x:c>
    </x:row>
    <x:row r="1801">
      <x:c r="A1801" s="25" t="str">
        <x:v>C09-X</x:v>
      </x:c>
      <x:c r="B1801" s="25" t="str">
        <x:v>亚坛高原</x:v>
      </x:c>
      <x:c r="C1801" s="25" t="str">
        <x:v>极端压力</x:v>
      </x:c>
      <x:c r="D1801" s="25" t="str">
        <x:v>材料</x:v>
      </x:c>
      <x:c r="E1801" s="25" t="str">
        <x:v>神秘符文</x:v>
      </x:c>
      <x:c r="F1801" s="25" t="n">
        <x:v>500</x:v>
      </x:c>
      <x:c r="G1801" s="25" t="str">
        <x:v>从C0至当前检查点累计需求；未扣自身未来产出，不代表已有库存</x:v>
      </x:c>
    </x:row>
    <x:row r="1802">
      <x:c r="A1802" s="25" t="str">
        <x:v>C09-X</x:v>
      </x:c>
      <x:c r="B1802" s="25" t="str">
        <x:v>亚坛高原</x:v>
      </x:c>
      <x:c r="C1802" s="25" t="str">
        <x:v>极端压力</x:v>
      </x:c>
      <x:c r="D1802" s="25" t="str">
        <x:v>材料</x:v>
      </x:c>
      <x:c r="E1802" s="25" t="str">
        <x:v>禁域星钥</x:v>
      </x:c>
      <x:c r="F1802" s="25" t="n">
        <x:v>4</x:v>
      </x:c>
      <x:c r="G1802" s="25" t="str">
        <x:v>从C0至当前检查点累计需求；未扣自身未来产出，不代表已有库存</x:v>
      </x:c>
    </x:row>
    <x:row r="1803">
      <x:c r="A1803" s="25" t="str">
        <x:v>C09-X</x:v>
      </x:c>
      <x:c r="B1803" s="25" t="str">
        <x:v>亚坛高原</x:v>
      </x:c>
      <x:c r="C1803" s="25" t="str">
        <x:v>极端压力</x:v>
      </x:c>
      <x:c r="D1803" s="25" t="str">
        <x:v>材料</x:v>
      </x:c>
      <x:c r="E1803" s="25" t="str">
        <x:v>穹霜碑珀</x:v>
      </x:c>
      <x:c r="F1803" s="25" t="n">
        <x:v>1</x:v>
      </x:c>
      <x:c r="G1803" s="25" t="str">
        <x:v>从C0至当前检查点累计需求；未扣自身未来产出，不代表已有库存</x:v>
      </x:c>
    </x:row>
    <x:row r="1804">
      <x:c r="A1804" s="25" t="str">
        <x:v>C09-X</x:v>
      </x:c>
      <x:c r="B1804" s="25" t="str">
        <x:v>亚坛高原</x:v>
      </x:c>
      <x:c r="C1804" s="25" t="str">
        <x:v>极端压力</x:v>
      </x:c>
      <x:c r="D1804" s="25" t="str">
        <x:v>材料</x:v>
      </x:c>
      <x:c r="E1804" s="25" t="str">
        <x:v>红狮战印</x:v>
      </x:c>
      <x:c r="F1804" s="25" t="n">
        <x:v>42</x:v>
      </x:c>
      <x:c r="G1804" s="25" t="str">
        <x:v>从C0至当前检查点累计需求；未扣自身未来产出，不代表已有库存</x:v>
      </x:c>
    </x:row>
    <x:row r="1805">
      <x:c r="A1805" s="25" t="str">
        <x:v>C09-X</x:v>
      </x:c>
      <x:c r="B1805" s="25" t="str">
        <x:v>亚坛高原</x:v>
      </x:c>
      <x:c r="C1805" s="25" t="str">
        <x:v>极端压力</x:v>
      </x:c>
      <x:c r="D1805" s="25" t="str">
        <x:v>材料</x:v>
      </x:c>
      <x:c r="E1805" s="25" t="str">
        <x:v>腐根魂结</x:v>
      </x:c>
      <x:c r="F1805" s="25" t="n">
        <x:v>2</x:v>
      </x:c>
      <x:c r="G1805" s="25" t="str">
        <x:v>从C0至当前检查点累计需求；未扣自身未来产出，不代表已有库存</x:v>
      </x:c>
    </x:row>
    <x:row r="1806">
      <x:c r="A1806" s="25" t="str">
        <x:v>C09-X</x:v>
      </x:c>
      <x:c r="B1806" s="25" t="str">
        <x:v>亚坛高原</x:v>
      </x:c>
      <x:c r="C1806" s="25" t="str">
        <x:v>极端压力</x:v>
      </x:c>
      <x:c r="D1806" s="25" t="str">
        <x:v>材料</x:v>
      </x:c>
      <x:c r="E1806" s="25" t="str">
        <x:v>裁文蜡封</x:v>
      </x:c>
      <x:c r="F1806" s="25" t="n">
        <x:v>54</x:v>
      </x:c>
      <x:c r="G1806" s="25" t="str">
        <x:v>从C0至当前检查点累计需求；未扣自身未来产出，不代表已有库存</x:v>
      </x:c>
    </x:row>
    <x:row r="1807">
      <x:c r="A1807" s="25" t="str">
        <x:v>C09-X</x:v>
      </x:c>
      <x:c r="B1807" s="25" t="str">
        <x:v>亚坛高原</x:v>
      </x:c>
      <x:c r="C1807" s="25" t="str">
        <x:v>极端压力</x:v>
      </x:c>
      <x:c r="D1807" s="25" t="str">
        <x:v>材料</x:v>
      </x:c>
      <x:c r="E1807" s="25" t="str">
        <x:v>裂峰号角片</x:v>
      </x:c>
      <x:c r="F1807" s="25" t="n">
        <x:v>110</x:v>
      </x:c>
      <x:c r="G1807" s="25" t="str">
        <x:v>从C0至当前检查点累计需求；未扣自身未来产出，不代表已有库存</x:v>
      </x:c>
    </x:row>
    <x:row r="1808">
      <x:c r="A1808" s="25" t="str">
        <x:v>C09-X</x:v>
      </x:c>
      <x:c r="B1808" s="25" t="str">
        <x:v>亚坛高原</x:v>
      </x:c>
      <x:c r="C1808" s="25" t="str">
        <x:v>极端压力</x:v>
      </x:c>
      <x:c r="D1808" s="25" t="str">
        <x:v>材料</x:v>
      </x:c>
      <x:c r="E1808" s="25" t="str">
        <x:v>裂风崖羽</x:v>
      </x:c>
      <x:c r="F1808" s="25" t="n">
        <x:v>80</x:v>
      </x:c>
      <x:c r="G1808" s="25" t="str">
        <x:v>从C0至当前检查点累计需求；未扣自身未来产出，不代表已有库存</x:v>
      </x:c>
    </x:row>
    <x:row r="1809">
      <x:c r="A1809" s="25" t="str">
        <x:v>C09-X</x:v>
      </x:c>
      <x:c r="B1809" s="25" t="str">
        <x:v>亚坛高原</x:v>
      </x:c>
      <x:c r="C1809" s="25" t="str">
        <x:v>极端压力</x:v>
      </x:c>
      <x:c r="D1809" s="25" t="str">
        <x:v>材料</x:v>
      </x:c>
      <x:c r="E1809" s="25" t="str">
        <x:v>西境战旗</x:v>
      </x:c>
      <x:c r="F1809" s="25" t="n">
        <x:v>20</x:v>
      </x:c>
      <x:c r="G1809" s="25" t="str">
        <x:v>从C0至当前检查点累计需求；未扣自身未来产出，不代表已有库存</x:v>
      </x:c>
    </x:row>
    <x:row r="1810">
      <x:c r="A1810" s="25" t="str">
        <x:v>C09-X</x:v>
      </x:c>
      <x:c r="B1810" s="25" t="str">
        <x:v>亚坛高原</x:v>
      </x:c>
      <x:c r="C1810" s="25" t="str">
        <x:v>极端压力</x:v>
      </x:c>
      <x:c r="D1810" s="25" t="str">
        <x:v>材料</x:v>
      </x:c>
      <x:c r="E1810" s="25" t="str">
        <x:v>西境战旗印</x:v>
      </x:c>
      <x:c r="F1810" s="25" t="n">
        <x:v>13</x:v>
      </x:c>
      <x:c r="G1810" s="25" t="str">
        <x:v>从C0至当前检查点累计需求；未扣自身未来产出，不代表已有库存</x:v>
      </x:c>
    </x:row>
    <x:row r="1811">
      <x:c r="A1811" s="25" t="str">
        <x:v>C09-X</x:v>
      </x:c>
      <x:c r="B1811" s="25" t="str">
        <x:v>亚坛高原</x:v>
      </x:c>
      <x:c r="C1811" s="25" t="str">
        <x:v>极端压力</x:v>
      </x:c>
      <x:c r="D1811" s="25" t="str">
        <x:v>材料</x:v>
      </x:c>
      <x:c r="E1811" s="25" t="str">
        <x:v>西境风痕碑拓</x:v>
      </x:c>
      <x:c r="F1811" s="25" t="n">
        <x:v>1</x:v>
      </x:c>
      <x:c r="G1811" s="25" t="str">
        <x:v>从C0至当前检查点累计需求；未扣自身未来产出，不代表已有库存</x:v>
      </x:c>
    </x:row>
    <x:row r="1812">
      <x:c r="A1812" s="25" t="str">
        <x:v>C09-X</x:v>
      </x:c>
      <x:c r="B1812" s="25" t="str">
        <x:v>亚坛高原</x:v>
      </x:c>
      <x:c r="C1812" s="25" t="str">
        <x:v>极端压力</x:v>
      </x:c>
      <x:c r="D1812" s="25" t="str">
        <x:v>材料</x:v>
      </x:c>
      <x:c r="E1812" s="25" t="str">
        <x:v>贵胄断指</x:v>
      </x:c>
      <x:c r="F1812" s="25" t="n">
        <x:v>1</x:v>
      </x:c>
      <x:c r="G1812" s="25" t="str">
        <x:v>从C0至当前检查点累计需求；未扣自身未来产出，不代表已有库存</x:v>
      </x:c>
    </x:row>
    <x:row r="1813">
      <x:c r="A1813" s="25" t="str">
        <x:v>C09-X</x:v>
      </x:c>
      <x:c r="B1813" s="25" t="str">
        <x:v>亚坛高原</x:v>
      </x:c>
      <x:c r="C1813" s="25" t="str">
        <x:v>极端压力</x:v>
      </x:c>
      <x:c r="D1813" s="25" t="str">
        <x:v>材料</x:v>
      </x:c>
      <x:c r="E1813" s="25" t="str">
        <x:v>辉石碎晶</x:v>
      </x:c>
      <x:c r="F1813" s="25" t="n">
        <x:v>2170</x:v>
      </x:c>
      <x:c r="G1813" s="25" t="str">
        <x:v>从C0至当前检查点累计需求；未扣自身未来产出，不代表已有库存</x:v>
      </x:c>
    </x:row>
    <x:row r="1814">
      <x:c r="A1814" s="25" t="str">
        <x:v>C09-X</x:v>
      </x:c>
      <x:c r="B1814" s="25" t="str">
        <x:v>亚坛高原</x:v>
      </x:c>
      <x:c r="C1814" s="25" t="str">
        <x:v>极端压力</x:v>
      </x:c>
      <x:c r="D1814" s="25" t="str">
        <x:v>材料</x:v>
      </x:c>
      <x:c r="E1814" s="25" t="str">
        <x:v>野兽骨片</x:v>
      </x:c>
      <x:c r="F1814" s="25" t="n">
        <x:v>69935</x:v>
      </x:c>
      <x:c r="G1814" s="25" t="str">
        <x:v>从C0至当前检查点累计需求；未扣自身未来产出，不代表已有库存</x:v>
      </x:c>
    </x:row>
    <x:row r="1815">
      <x:c r="A1815" s="25" t="str">
        <x:v>C09-X</x:v>
      </x:c>
      <x:c r="B1815" s="25" t="str">
        <x:v>亚坛高原</x:v>
      </x:c>
      <x:c r="C1815" s="25" t="str">
        <x:v>极端压力</x:v>
      </x:c>
      <x:c r="D1815" s="25" t="str">
        <x:v>材料</x:v>
      </x:c>
      <x:c r="E1815" s="25" t="str">
        <x:v>金叶驿票</x:v>
      </x:c>
      <x:c r="F1815" s="25" t="n">
        <x:v>50</x:v>
      </x:c>
      <x:c r="G1815" s="25" t="str">
        <x:v>从C0至当前检查点累计需求；未扣自身未来产出，不代表已有库存</x:v>
      </x:c>
    </x:row>
    <x:row r="1816">
      <x:c r="A1816" s="25" t="str">
        <x:v>C09-X</x:v>
      </x:c>
      <x:c r="B1816" s="25" t="str">
        <x:v>亚坛高原</x:v>
      </x:c>
      <x:c r="C1816" s="25" t="str">
        <x:v>极端压力</x:v>
      </x:c>
      <x:c r="D1816" s="25" t="str">
        <x:v>材料</x:v>
      </x:c>
      <x:c r="E1816" s="25" t="str">
        <x:v>雾月星砂</x:v>
      </x:c>
      <x:c r="F1816" s="25" t="n">
        <x:v>90</x:v>
      </x:c>
      <x:c r="G1816" s="25" t="str">
        <x:v>从C0至当前检查点累计需求；未扣自身未来产出，不代表已有库存</x:v>
      </x:c>
    </x:row>
    <x:row r="1817">
      <x:c r="A1817" s="25" t="str">
        <x:v>C09-X</x:v>
      </x:c>
      <x:c r="B1817" s="25" t="str">
        <x:v>亚坛高原</x:v>
      </x:c>
      <x:c r="C1817" s="25" t="str">
        <x:v>极端压力</x:v>
      </x:c>
      <x:c r="D1817" s="25" t="str">
        <x:v>材料</x:v>
      </x:c>
      <x:c r="E1817" s="25" t="str">
        <x:v>雾潮银鳞</x:v>
      </x:c>
      <x:c r="F1817" s="25" t="n">
        <x:v>272</x:v>
      </x:c>
      <x:c r="G1817" s="25" t="str">
        <x:v>从C0至当前检查点累计需求；未扣自身未来产出，不代表已有库存</x:v>
      </x:c>
    </x:row>
    <x:row r="1818">
      <x:c r="A1818" s="25" t="str">
        <x:v>C09-X</x:v>
      </x:c>
      <x:c r="B1818" s="25" t="str">
        <x:v>亚坛高原</x:v>
      </x:c>
      <x:c r="C1818" s="25" t="str">
        <x:v>极端压力</x:v>
      </x:c>
      <x:c r="D1818" s="25" t="str">
        <x:v>材料</x:v>
      </x:c>
      <x:c r="E1818" s="25" t="str">
        <x:v>霜脊铁</x:v>
      </x:c>
      <x:c r="F1818" s="25" t="n">
        <x:v>4905</x:v>
      </x:c>
      <x:c r="G1818" s="25" t="str">
        <x:v>从C0至当前检查点累计需求；未扣自身未来产出，不代表已有库存</x:v>
      </x:c>
    </x:row>
    <x:row r="1819">
      <x:c r="A1819" s="25" t="str">
        <x:v>C09-X</x:v>
      </x:c>
      <x:c r="B1819" s="25" t="str">
        <x:v>亚坛高原</x:v>
      </x:c>
      <x:c r="C1819" s="25" t="str">
        <x:v>极端压力</x:v>
      </x:c>
      <x:c r="D1819" s="25" t="str">
        <x:v>材料</x:v>
      </x:c>
      <x:c r="E1819" s="25" t="str">
        <x:v>风暴王核</x:v>
      </x:c>
      <x:c r="F1819" s="25" t="n">
        <x:v>1</x:v>
      </x:c>
      <x:c r="G1819" s="25" t="str">
        <x:v>从C0至当前检查点累计需求；未扣自身未来产出，不代表已有库存</x:v>
      </x:c>
    </x:row>
    <x:row r="1820">
      <x:c r="A1820" s="25" t="str">
        <x:v>C09-X</x:v>
      </x:c>
      <x:c r="B1820" s="25" t="str">
        <x:v>亚坛高原</x:v>
      </x:c>
      <x:c r="C1820" s="25" t="str">
        <x:v>极端压力</x:v>
      </x:c>
      <x:c r="D1820" s="25" t="str">
        <x:v>材料</x:v>
      </x:c>
      <x:c r="E1820" s="25" t="str">
        <x:v>风暴石片</x:v>
      </x:c>
      <x:c r="F1820" s="25" t="n">
        <x:v>370</x:v>
      </x:c>
      <x:c r="G1820" s="25" t="str">
        <x:v>从C0至当前检查点累计需求；未扣自身未来产出，不代表已有库存</x:v>
      </x:c>
    </x:row>
    <x:row r="1821">
      <x:c r="A1821" s="25" t="str">
        <x:v>C09-X</x:v>
      </x:c>
      <x:c r="B1821" s="25" t="str">
        <x:v>亚坛高原</x:v>
      </x:c>
      <x:c r="C1821" s="25" t="str">
        <x:v>极端压力</x:v>
      </x:c>
      <x:c r="D1821" s="25" t="str">
        <x:v>材料</x:v>
      </x:c>
      <x:c r="E1821" s="25" t="str">
        <x:v>风蚀铁片</x:v>
      </x:c>
      <x:c r="F1821" s="25" t="n">
        <x:v>710</x:v>
      </x:c>
      <x:c r="G1821" s="25" t="str">
        <x:v>从C0至当前检查点累计需求；未扣自身未来产出，不代表已有库存</x:v>
      </x:c>
    </x:row>
    <x:row r="1822">
      <x:c r="A1822" s="25" t="str">
        <x:v>C09-X</x:v>
      </x:c>
      <x:c r="B1822" s="25" t="str">
        <x:v>亚坛高原</x:v>
      </x:c>
      <x:c r="C1822" s="25" t="str">
        <x:v>极端压力</x:v>
      </x:c>
      <x:c r="D1822" s="25" t="str">
        <x:v>材料</x:v>
      </x:c>
      <x:c r="E1822" s="25" t="str">
        <x:v>高原王诏金版</x:v>
      </x:c>
      <x:c r="F1822" s="25" t="n">
        <x:v>10</x:v>
      </x:c>
      <x:c r="G1822" s="25" t="str">
        <x:v>从C0至当前检查点累计需求；未扣自身未来产出，不代表已有库存</x:v>
      </x:c>
    </x:row>
    <x:row r="1823">
      <x:c r="A1823" s="25" t="str">
        <x:v>C09-X</x:v>
      </x:c>
      <x:c r="B1823" s="25" t="str">
        <x:v>亚坛高原</x:v>
      </x:c>
      <x:c r="C1823" s="25" t="str">
        <x:v>极端压力</x:v>
      </x:c>
      <x:c r="D1823" s="25" t="str">
        <x:v>材料</x:v>
      </x:c>
      <x:c r="E1823" s="25" t="str">
        <x:v>黄金叶脉</x:v>
      </x:c>
      <x:c r="F1823" s="25" t="n">
        <x:v>5570</x:v>
      </x:c>
      <x:c r="G1823" s="25" t="str">
        <x:v>从C0至当前检查点累计需求；未扣自身未来产出，不代表已有库存</x:v>
      </x:c>
    </x:row>
    <x:row r="1824">
      <x:c r="A1824" s="25" t="str">
        <x:v>C09-X</x:v>
      </x:c>
      <x:c r="B1824" s="25" t="str">
        <x:v>亚坛高原</x:v>
      </x:c>
      <x:c r="C1824" s="25" t="str">
        <x:v>极端压力</x:v>
      </x:c>
      <x:c r="D1824" s="25" t="str">
        <x:v>材料</x:v>
      </x:c>
      <x:c r="E1824" s="25" t="str">
        <x:v>黄金律印</x:v>
      </x:c>
      <x:c r="F1824" s="25" t="n">
        <x:v>172</x:v>
      </x:c>
      <x:c r="G1824" s="25" t="str">
        <x:v>从C0至当前检查点累计需求；未扣自身未来产出，不代表已有库存</x:v>
      </x:c>
    </x:row>
    <x:row r="1825">
      <x:c r="A1825" s="25" t="str">
        <x:v>C09-X</x:v>
      </x:c>
      <x:c r="B1825" s="25" t="str">
        <x:v>亚坛高原</x:v>
      </x:c>
      <x:c r="C1825" s="25" t="str">
        <x:v>极端压力</x:v>
      </x:c>
      <x:c r="D1825" s="25" t="str">
        <x:v>材料</x:v>
      </x:c>
      <x:c r="E1825" s="25" t="str">
        <x:v>黄金树碎核</x:v>
      </x:c>
      <x:c r="F1825" s="25" t="n">
        <x:v>2</x:v>
      </x:c>
      <x:c r="G1825" s="25" t="str">
        <x:v>从C0至当前检查点累计需求；未扣自身未来产出，不代表已有库存</x:v>
      </x:c>
    </x:row>
    <x:row r="1826">
      <x:c r="A1826" s="25" t="str">
        <x:v>C09-X</x:v>
      </x:c>
      <x:c r="B1826" s="25" t="str">
        <x:v>亚坛高原</x:v>
      </x:c>
      <x:c r="C1826" s="25" t="str">
        <x:v>极端压力</x:v>
      </x:c>
      <x:c r="D1826" s="25" t="str">
        <x:v>材料</x:v>
      </x:c>
      <x:c r="E1826" s="25" t="str">
        <x:v>黄金树芽</x:v>
      </x:c>
      <x:c r="F1826" s="25" t="n">
        <x:v>297</x:v>
      </x:c>
      <x:c r="G1826" s="25" t="str">
        <x:v>从C0至当前检查点累计需求；未扣自身未来产出，不代表已有库存</x:v>
      </x:c>
    </x:row>
    <x:row r="1827">
      <x:c r="A1827" s="25" t="str">
        <x:v>C09-X</x:v>
      </x:c>
      <x:c r="B1827" s="25" t="str">
        <x:v>亚坛高原</x:v>
      </x:c>
      <x:c r="C1827" s="25" t="str">
        <x:v>极端压力</x:v>
      </x:c>
      <x:c r="D1827" s="25" t="str">
        <x:v>材料</x:v>
      </x:c>
      <x:c r="E1827" s="25" t="str">
        <x:v>黄金骑徽</x:v>
      </x:c>
      <x:c r="F1827" s="25" t="n">
        <x:v>2</x:v>
      </x:c>
      <x:c r="G1827" s="25" t="str">
        <x:v>从C0至当前检查点累计需求；未扣自身未来产出，不代表已有库存</x:v>
      </x:c>
    </x:row>
    <x:row r="1828">
      <x:c r="A1828" s="25" t="str">
        <x:v>C09-X</x:v>
      </x:c>
      <x:c r="B1828" s="25" t="str">
        <x:v>亚坛高原</x:v>
      </x:c>
      <x:c r="C1828" s="25" t="str">
        <x:v>极端压力</x:v>
      </x:c>
      <x:c r="D1828" s="25" t="str">
        <x:v>材料</x:v>
      </x:c>
      <x:c r="E1828" s="25" t="str">
        <x:v>龙火鳞</x:v>
      </x:c>
      <x:c r="F1828" s="25" t="n">
        <x:v>38</x:v>
      </x:c>
      <x:c r="G1828" s="25" t="str">
        <x:v>从C0至当前检查点累计需求；未扣自身未来产出，不代表已有库存</x:v>
      </x:c>
    </x:row>
    <x:row r="1829">
      <x:c r="A1829" s="25" t="str">
        <x:v>C09-X</x:v>
      </x:c>
      <x:c r="B1829" s="25" t="str">
        <x:v>亚坛高原</x:v>
      </x:c>
      <x:c r="C1829" s="25" t="str">
        <x:v>极端压力</x:v>
      </x:c>
      <x:c r="D1829" s="25" t="str">
        <x:v>装备实物</x:v>
      </x:c>
      <x:c r="E1829" s="25" t="str">
        <x:v>共532个精确名称（明细见JSON）</x:v>
      </x:c>
      <x:c r="F1829" s="25" t="n">
        <x:v>759</x:v>
      </x:c>
      <x:c r="G1829" s="25" t="str">
        <x:v>含穿戴、重复试洗、图鉴登记与合成前置；完整数据未省略</x:v>
      </x:c>
    </x:row>
    <x:row r="1830">
      <x:c r="A1830" s="25" t="str">
        <x:v>C10-E</x:v>
      </x:c>
      <x:c r="B1830" s="25" t="str">
        <x:v>王城罗德尔</x:v>
      </x:c>
      <x:c r="C1830" s="25" t="str">
        <x:v>半急速入场</x:v>
      </x:c>
      <x:c r="D1830" s="25" t="str">
        <x:v>材料</x:v>
      </x:c>
      <x:c r="E1830" s="25" t="str">
        <x:v>兽将脊骨</x:v>
      </x:c>
      <x:c r="F1830" s="25" t="n">
        <x:v>1</x:v>
      </x:c>
      <x:c r="G1830" s="25" t="str">
        <x:v>从C0至当前检查点累计需求；未扣自身未来产出，不代表已有库存</x:v>
      </x:c>
    </x:row>
    <x:row r="1831">
      <x:c r="A1831" s="25" t="str">
        <x:v>C10-E</x:v>
      </x:c>
      <x:c r="B1831" s="25" t="str">
        <x:v>王城罗德尔</x:v>
      </x:c>
      <x:c r="C1831" s="25" t="str">
        <x:v>半急速入场</x:v>
      </x:c>
      <x:c r="D1831" s="25" t="str">
        <x:v>材料</x:v>
      </x:c>
      <x:c r="E1831" s="25" t="str">
        <x:v>冰宫守门铃</x:v>
      </x:c>
      <x:c r="F1831" s="25" t="n">
        <x:v>12</x:v>
      </x:c>
      <x:c r="G1831" s="25" t="str">
        <x:v>从C0至当前检查点累计需求；未扣自身未来产出，不代表已有库存</x:v>
      </x:c>
    </x:row>
    <x:row r="1832">
      <x:c r="A1832" s="25" t="str">
        <x:v>C10-E</x:v>
      </x:c>
      <x:c r="B1832" s="25" t="str">
        <x:v>王城罗德尔</x:v>
      </x:c>
      <x:c r="C1832" s="25" t="str">
        <x:v>半急速入场</x:v>
      </x:c>
      <x:c r="D1832" s="25" t="str">
        <x:v>材料</x:v>
      </x:c>
      <x:c r="E1832" s="25" t="str">
        <x:v>冻原银角</x:v>
      </x:c>
      <x:c r="F1832" s="25" t="n">
        <x:v>30</x:v>
      </x:c>
      <x:c r="G1832" s="25" t="str">
        <x:v>从C0至当前检查点累计需求；未扣自身未来产出，不代表已有库存</x:v>
      </x:c>
    </x:row>
    <x:row r="1833">
      <x:c r="A1833" s="25" t="str">
        <x:v>C10-E</x:v>
      </x:c>
      <x:c r="B1833" s="25" t="str">
        <x:v>王城罗德尔</x:v>
      </x:c>
      <x:c r="C1833" s="25" t="str">
        <x:v>半急速入场</x:v>
      </x:c>
      <x:c r="D1833" s="25" t="str">
        <x:v>材料</x:v>
      </x:c>
      <x:c r="E1833" s="25" t="str">
        <x:v>冻晶尘</x:v>
      </x:c>
      <x:c r="F1833" s="25" t="n">
        <x:v>1720</x:v>
      </x:c>
      <x:c r="G1833" s="25" t="str">
        <x:v>从C0至当前检查点累计需求；未扣自身未来产出，不代表已有库存</x:v>
      </x:c>
    </x:row>
    <x:row r="1834">
      <x:c r="A1834" s="25" t="str">
        <x:v>C10-E</x:v>
      </x:c>
      <x:c r="B1834" s="25" t="str">
        <x:v>王城罗德尔</x:v>
      </x:c>
      <x:c r="C1834" s="25" t="str">
        <x:v>半急速入场</x:v>
      </x:c>
      <x:c r="D1834" s="25" t="str">
        <x:v>材料</x:v>
      </x:c>
      <x:c r="E1834" s="25" t="str">
        <x:v>净火腺囊</x:v>
      </x:c>
      <x:c r="F1834" s="25" t="n">
        <x:v>44</x:v>
      </x:c>
      <x:c r="G1834" s="25" t="str">
        <x:v>从C0至当前检查点累计需求；未扣自身未来产出，不代表已有库存</x:v>
      </x:c>
    </x:row>
    <x:row r="1835">
      <x:c r="A1835" s="25" t="str">
        <x:v>C10-E</x:v>
      </x:c>
      <x:c r="B1835" s="25" t="str">
        <x:v>王城罗德尔</x:v>
      </x:c>
      <x:c r="C1835" s="25" t="str">
        <x:v>半急速入场</x:v>
      </x:c>
      <x:c r="D1835" s="25" t="str">
        <x:v>材料</x:v>
      </x:c>
      <x:c r="E1835" s="25" t="str">
        <x:v>卡利亚月露</x:v>
      </x:c>
      <x:c r="F1835" s="25" t="n">
        <x:v>36</x:v>
      </x:c>
      <x:c r="G1835" s="25" t="str">
        <x:v>从C0至当前检查点累计需求；未扣自身未来产出，不代表已有库存</x:v>
      </x:c>
    </x:row>
    <x:row r="1836">
      <x:c r="A1836" s="25" t="str">
        <x:v>C10-E</x:v>
      </x:c>
      <x:c r="B1836" s="25" t="str">
        <x:v>王城罗德尔</x:v>
      </x:c>
      <x:c r="C1836" s="25" t="str">
        <x:v>半急速入场</x:v>
      </x:c>
      <x:c r="D1836" s="25" t="str">
        <x:v>材料</x:v>
      </x:c>
      <x:c r="E1836" s="25" t="str">
        <x:v>古王律页</x:v>
      </x:c>
      <x:c r="F1836" s="25" t="n">
        <x:v>105</x:v>
      </x:c>
      <x:c r="G1836" s="25" t="str">
        <x:v>从C0至当前检查点累计需求；未扣自身未来产出，不代表已有库存</x:v>
      </x:c>
    </x:row>
    <x:row r="1837">
      <x:c r="A1837" s="25" t="str">
        <x:v>C10-E</x:v>
      </x:c>
      <x:c r="B1837" s="25" t="str">
        <x:v>王城罗德尔</x:v>
      </x:c>
      <x:c r="C1837" s="25" t="str">
        <x:v>半急速入场</x:v>
      </x:c>
      <x:c r="D1837" s="25" t="str">
        <x:v>材料</x:v>
      </x:c>
      <x:c r="E1837" s="25" t="str">
        <x:v>哨垒旗冠</x:v>
      </x:c>
      <x:c r="F1837" s="25" t="n">
        <x:v>3</x:v>
      </x:c>
      <x:c r="G1837" s="25" t="str">
        <x:v>从C0至当前检查点累计需求；未扣自身未来产出，不代表已有库存</x:v>
      </x:c>
    </x:row>
    <x:row r="1838">
      <x:c r="A1838" s="25" t="str">
        <x:v>C10-E</x:v>
      </x:c>
      <x:c r="B1838" s="25" t="str">
        <x:v>王城罗德尔</x:v>
      </x:c>
      <x:c r="C1838" s="25" t="str">
        <x:v>半急速入场</x:v>
      </x:c>
      <x:c r="D1838" s="25" t="str">
        <x:v>材料</x:v>
      </x:c>
      <x:c r="E1838" s="25" t="str">
        <x:v>唤船骨铃</x:v>
      </x:c>
      <x:c r="F1838" s="25" t="n">
        <x:v>1</x:v>
      </x:c>
      <x:c r="G1838" s="25" t="str">
        <x:v>从C0至当前检查点累计需求；未扣自身未来产出，不代表已有库存</x:v>
      </x:c>
    </x:row>
    <x:row r="1839">
      <x:c r="A1839" s="25" t="str">
        <x:v>C10-E</x:v>
      </x:c>
      <x:c r="B1839" s="25" t="str">
        <x:v>王城罗德尔</x:v>
      </x:c>
      <x:c r="C1839" s="25" t="str">
        <x:v>半急速入场</x:v>
      </x:c>
      <x:c r="D1839" s="25" t="str">
        <x:v>材料</x:v>
      </x:c>
      <x:c r="E1839" s="25" t="str">
        <x:v>商队火漆</x:v>
      </x:c>
      <x:c r="F1839" s="25" t="n">
        <x:v>20</x:v>
      </x:c>
      <x:c r="G1839" s="25" t="str">
        <x:v>从C0至当前检查点累计需求；未扣自身未来产出，不代表已有库存</x:v>
      </x:c>
    </x:row>
    <x:row r="1840">
      <x:c r="A1840" s="25" t="str">
        <x:v>C10-E</x:v>
      </x:c>
      <x:c r="B1840" s="25" t="str">
        <x:v>王城罗德尔</x:v>
      </x:c>
      <x:c r="C1840" s="25" t="str">
        <x:v>半急速入场</x:v>
      </x:c>
      <x:c r="D1840" s="25" t="str">
        <x:v>材料</x:v>
      </x:c>
      <x:c r="E1840" s="25" t="str">
        <x:v>圣雪誓印</x:v>
      </x:c>
      <x:c r="F1840" s="25" t="n">
        <x:v>53</x:v>
      </x:c>
      <x:c r="G1840" s="25" t="str">
        <x:v>从C0至当前检查点累计需求；未扣自身未来产出，不代表已有库存</x:v>
      </x:c>
    </x:row>
    <x:row r="1841">
      <x:c r="A1841" s="25" t="str">
        <x:v>C10-E</x:v>
      </x:c>
      <x:c r="B1841" s="25" t="str">
        <x:v>王城罗德尔</x:v>
      </x:c>
      <x:c r="C1841" s="25" t="str">
        <x:v>半急速入场</x:v>
      </x:c>
      <x:c r="D1841" s="25" t="str">
        <x:v>材料</x:v>
      </x:c>
      <x:c r="E1841" s="25" t="str">
        <x:v>圣雪门楔</x:v>
      </x:c>
      <x:c r="F1841" s="25" t="n">
        <x:v>4</x:v>
      </x:c>
      <x:c r="G1841" s="25" t="str">
        <x:v>从C0至当前检查点累计需求；未扣自身未来产出，不代表已有库存</x:v>
      </x:c>
    </x:row>
    <x:row r="1842">
      <x:c r="A1842" s="25" t="str">
        <x:v>C10-E</x:v>
      </x:c>
      <x:c r="B1842" s="25" t="str">
        <x:v>王城罗德尔</x:v>
      </x:c>
      <x:c r="C1842" s="25" t="str">
        <x:v>半急速入场</x:v>
      </x:c>
      <x:c r="D1842" s="25" t="str">
        <x:v>材料</x:v>
      </x:c>
      <x:c r="E1842" s="25" t="str">
        <x:v>夜骑黑印</x:v>
      </x:c>
      <x:c r="F1842" s="25" t="n">
        <x:v>1</x:v>
      </x:c>
      <x:c r="G1842" s="25" t="str">
        <x:v>从C0至当前检查点累计需求；未扣自身未来产出，不代表已有库存</x:v>
      </x:c>
    </x:row>
    <x:row r="1843">
      <x:c r="A1843" s="25" t="str">
        <x:v>C10-E</x:v>
      </x:c>
      <x:c r="B1843" s="25" t="str">
        <x:v>王城罗德尔</x:v>
      </x:c>
      <x:c r="C1843" s="25" t="str">
        <x:v>半急速入场</x:v>
      </x:c>
      <x:c r="D1843" s="25" t="str">
        <x:v>材料</x:v>
      </x:c>
      <x:c r="E1843" s="25" t="str">
        <x:v>大卢恩</x:v>
      </x:c>
      <x:c r="F1843" s="25" t="n">
        <x:v>350</x:v>
      </x:c>
      <x:c r="G1843" s="25" t="str">
        <x:v>从C0至当前检查点累计需求；未扣自身未来产出，不代表已有库存</x:v>
      </x:c>
    </x:row>
    <x:row r="1844">
      <x:c r="A1844" s="25" t="str">
        <x:v>C10-E</x:v>
      </x:c>
      <x:c r="B1844" s="25" t="str">
        <x:v>王城罗德尔</x:v>
      </x:c>
      <x:c r="C1844" s="25" t="str">
        <x:v>半急速入场</x:v>
      </x:c>
      <x:c r="D1844" s="25" t="str">
        <x:v>材料</x:v>
      </x:c>
      <x:c r="E1844" s="25" t="str">
        <x:v>失乡军令</x:v>
      </x:c>
      <x:c r="F1844" s="25" t="n">
        <x:v>2</x:v>
      </x:c>
      <x:c r="G1844" s="25" t="str">
        <x:v>从C0至当前检查点累计需求；未扣自身未来产出，不代表已有库存</x:v>
      </x:c>
    </x:row>
    <x:row r="1845">
      <x:c r="A1845" s="25" t="str">
        <x:v>C10-E</x:v>
      </x:c>
      <x:c r="B1845" s="25" t="str">
        <x:v>王城罗德尔</x:v>
      </x:c>
      <x:c r="C1845" s="25" t="str">
        <x:v>半急速入场</x:v>
      </x:c>
      <x:c r="D1845" s="25" t="str">
        <x:v>材料</x:v>
      </x:c>
      <x:c r="E1845" s="25" t="str">
        <x:v>失乡统帅徽</x:v>
      </x:c>
      <x:c r="F1845" s="25" t="n">
        <x:v>2</x:v>
      </x:c>
      <x:c r="G1845" s="25" t="str">
        <x:v>从C0至当前检查点累计需求；未扣自身未来产出，不代表已有库存</x:v>
      </x:c>
    </x:row>
    <x:row r="1846">
      <x:c r="A1846" s="25" t="str">
        <x:v>C10-E</x:v>
      </x:c>
      <x:c r="B1846" s="25" t="str">
        <x:v>王城罗德尔</x:v>
      </x:c>
      <x:c r="C1846" s="25" t="str">
        <x:v>半急速入场</x:v>
      </x:c>
      <x:c r="D1846" s="25" t="str">
        <x:v>材料</x:v>
      </x:c>
      <x:c r="E1846" s="25" t="str">
        <x:v>失色锻造石</x:v>
      </x:c>
      <x:c r="F1846" s="25" t="n">
        <x:v>56460</x:v>
      </x:c>
      <x:c r="G1846" s="25" t="str">
        <x:v>从C0至当前检查点累计需求；未扣自身未来产出，不代表已有库存</x:v>
      </x:c>
    </x:row>
    <x:row r="1847">
      <x:c r="A1847" s="25" t="str">
        <x:v>C10-E</x:v>
      </x:c>
      <x:c r="B1847" s="25" t="str">
        <x:v>王城罗德尔</x:v>
      </x:c>
      <x:c r="C1847" s="25" t="str">
        <x:v>半急速入场</x:v>
      </x:c>
      <x:c r="D1847" s="25" t="str">
        <x:v>材料</x:v>
      </x:c>
      <x:c r="E1847" s="25" t="str">
        <x:v>学院封蜡</x:v>
      </x:c>
      <x:c r="F1847" s="25" t="n">
        <x:v>24</x:v>
      </x:c>
      <x:c r="G1847" s="25" t="str">
        <x:v>从C0至当前检查点累计需求；未扣自身未来产出，不代表已有库存</x:v>
      </x:c>
    </x:row>
    <x:row r="1848">
      <x:c r="A1848" s="25" t="str">
        <x:v>C10-E</x:v>
      </x:c>
      <x:c r="B1848" s="25" t="str">
        <x:v>王城罗德尔</x:v>
      </x:c>
      <x:c r="C1848" s="25" t="str">
        <x:v>半急速入场</x:v>
      </x:c>
      <x:c r="D1848" s="25" t="str">
        <x:v>材料</x:v>
      </x:c>
      <x:c r="E1848" s="25" t="str">
        <x:v>宁姆格福誓页</x:v>
      </x:c>
      <x:c r="F1848" s="25" t="n">
        <x:v>90</x:v>
      </x:c>
      <x:c r="G1848" s="25" t="str">
        <x:v>从C0至当前检查点累计需求；未扣自身未来产出，不代表已有库存</x:v>
      </x:c>
    </x:row>
    <x:row r="1849">
      <x:c r="A1849" s="25" t="str">
        <x:v>C10-E</x:v>
      </x:c>
      <x:c r="B1849" s="25" t="str">
        <x:v>王城罗德尔</x:v>
      </x:c>
      <x:c r="C1849" s="25" t="str">
        <x:v>半急速入场</x:v>
      </x:c>
      <x:c r="D1849" s="25" t="str">
        <x:v>材料</x:v>
      </x:c>
      <x:c r="E1849" s="25" t="str">
        <x:v>小卢恩</x:v>
      </x:c>
      <x:c r="F1849" s="25" t="n">
        <x:v>250</x:v>
      </x:c>
      <x:c r="G1849" s="25" t="str">
        <x:v>从C0至当前检查点累计需求；未扣自身未来产出，不代表已有库存</x:v>
      </x:c>
    </x:row>
    <x:row r="1850">
      <x:c r="A1850" s="25" t="str">
        <x:v>C10-E</x:v>
      </x:c>
      <x:c r="B1850" s="25" t="str">
        <x:v>王城罗德尔</x:v>
      </x:c>
      <x:c r="C1850" s="25" t="str">
        <x:v>半急速入场</x:v>
      </x:c>
      <x:c r="D1850" s="25" t="str">
        <x:v>材料</x:v>
      </x:c>
      <x:c r="E1850" s="25" t="str">
        <x:v>山妖王角</x:v>
      </x:c>
      <x:c r="F1850" s="25" t="n">
        <x:v>2</x:v>
      </x:c>
      <x:c r="G1850" s="25" t="str">
        <x:v>从C0至当前检查点累计需求；未扣自身未来产出，不代表已有库存</x:v>
      </x:c>
    </x:row>
    <x:row r="1851">
      <x:c r="A1851" s="25" t="str">
        <x:v>C10-E</x:v>
      </x:c>
      <x:c r="B1851" s="25" t="str">
        <x:v>王城罗德尔</x:v>
      </x:c>
      <x:c r="C1851" s="25" t="str">
        <x:v>半急速入场</x:v>
      </x:c>
      <x:c r="D1851" s="25" t="str">
        <x:v>材料</x:v>
      </x:c>
      <x:c r="E1851" s="25" t="str">
        <x:v>巨人火印</x:v>
      </x:c>
      <x:c r="F1851" s="25" t="n">
        <x:v>41</x:v>
      </x:c>
      <x:c r="G1851" s="25" t="str">
        <x:v>从C0至当前检查点累计需求；未扣自身未来产出，不代表已有库存</x:v>
      </x:c>
    </x:row>
    <x:row r="1852">
      <x:c r="A1852" s="25" t="str">
        <x:v>C10-E</x:v>
      </x:c>
      <x:c r="B1852" s="25" t="str">
        <x:v>王城罗德尔</x:v>
      </x:c>
      <x:c r="C1852" s="25" t="str">
        <x:v>半急速入场</x:v>
      </x:c>
      <x:c r="D1852" s="25" t="str">
        <x:v>材料</x:v>
      </x:c>
      <x:c r="E1852" s="25" t="str">
        <x:v>巨人火种</x:v>
      </x:c>
      <x:c r="F1852" s="25" t="n">
        <x:v>65</x:v>
      </x:c>
      <x:c r="G1852" s="25" t="str">
        <x:v>从C0至当前检查点累计需求；未扣自身未来产出，不代表已有库存</x:v>
      </x:c>
    </x:row>
    <x:row r="1853">
      <x:c r="A1853" s="25" t="str">
        <x:v>C10-E</x:v>
      </x:c>
      <x:c r="B1853" s="25" t="str">
        <x:v>王城罗德尔</x:v>
      </x:c>
      <x:c r="C1853" s="25" t="str">
        <x:v>半急速入场</x:v>
      </x:c>
      <x:c r="D1853" s="25" t="str">
        <x:v>材料</x:v>
      </x:c>
      <x:c r="E1853" s="25" t="str">
        <x:v>巨人熔火卢恩</x:v>
      </x:c>
      <x:c r="F1853" s="25" t="n">
        <x:v>450</x:v>
      </x:c>
      <x:c r="G1853" s="25" t="str">
        <x:v>从C0至当前检查点累计需求；未扣自身未来产出，不代表已有库存</x:v>
      </x:c>
    </x:row>
    <x:row r="1854">
      <x:c r="A1854" s="25" t="str">
        <x:v>C10-E</x:v>
      </x:c>
      <x:c r="B1854" s="25" t="str">
        <x:v>王城罗德尔</x:v>
      </x:c>
      <x:c r="C1854" s="25" t="str">
        <x:v>半急速入场</x:v>
      </x:c>
      <x:c r="D1854" s="25" t="str">
        <x:v>材料</x:v>
      </x:c>
      <x:c r="E1854" s="25" t="str">
        <x:v>幽船铆钉</x:v>
      </x:c>
      <x:c r="F1854" s="25" t="n">
        <x:v>21</x:v>
      </x:c>
      <x:c r="G1854" s="25" t="str">
        <x:v>从C0至当前检查点累计需求；未扣自身未来产出，不代表已有库存</x:v>
      </x:c>
    </x:row>
    <x:row r="1855">
      <x:c r="A1855" s="25" t="str">
        <x:v>C10-E</x:v>
      </x:c>
      <x:c r="B1855" s="25" t="str">
        <x:v>王城罗德尔</x:v>
      </x:c>
      <x:c r="C1855" s="25" t="str">
        <x:v>半急速入场</x:v>
      </x:c>
      <x:c r="D1855" s="25" t="str">
        <x:v>材料</x:v>
      </x:c>
      <x:c r="E1855" s="25" t="str">
        <x:v>恶兆残角</x:v>
      </x:c>
      <x:c r="F1855" s="25" t="n">
        <x:v>1</x:v>
      </x:c>
      <x:c r="G1855" s="25" t="str">
        <x:v>从C0至当前检查点累计需求；未扣自身未来产出，不代表已有库存</x:v>
      </x:c>
    </x:row>
    <x:row r="1856">
      <x:c r="A1856" s="25" t="str">
        <x:v>C10-E</x:v>
      </x:c>
      <x:c r="B1856" s="25" t="str">
        <x:v>王城罗德尔</x:v>
      </x:c>
      <x:c r="C1856" s="25" t="str">
        <x:v>半急速入场</x:v>
      </x:c>
      <x:c r="D1856" s="25" t="str">
        <x:v>材料</x:v>
      </x:c>
      <x:c r="E1856" s="25" t="str">
        <x:v>技能残页</x:v>
      </x:c>
      <x:c r="F1856" s="25" t="n">
        <x:v>1350</x:v>
      </x:c>
      <x:c r="G1856" s="25" t="str">
        <x:v>从C0至当前检查点累计需求；未扣自身未来产出，不代表已有库存</x:v>
      </x:c>
    </x:row>
    <x:row r="1857">
      <x:c r="A1857" s="25" t="str">
        <x:v>C10-E</x:v>
      </x:c>
      <x:c r="B1857" s="25" t="str">
        <x:v>王城罗德尔</x:v>
      </x:c>
      <x:c r="C1857" s="25" t="str">
        <x:v>半急速入场</x:v>
      </x:c>
      <x:c r="D1857" s="25" t="str">
        <x:v>材料</x:v>
      </x:c>
      <x:c r="E1857" s="25" t="str">
        <x:v>接肢兽心</x:v>
      </x:c>
      <x:c r="F1857" s="25" t="n">
        <x:v>2</x:v>
      </x:c>
      <x:c r="G1857" s="25" t="str">
        <x:v>从C0至当前检查点累计需求；未扣自身未来产出，不代表已有库存</x:v>
      </x:c>
    </x:row>
    <x:row r="1858">
      <x:c r="A1858" s="25" t="str">
        <x:v>C10-E</x:v>
      </x:c>
      <x:c r="B1858" s="25" t="str">
        <x:v>王城罗德尔</x:v>
      </x:c>
      <x:c r="C1858" s="25" t="str">
        <x:v>半急速入场</x:v>
      </x:c>
      <x:c r="D1858" s="25" t="str">
        <x:v>材料</x:v>
      </x:c>
      <x:c r="E1858" s="25" t="str">
        <x:v>接肢王印</x:v>
      </x:c>
      <x:c r="F1858" s="25" t="n">
        <x:v>13</x:v>
      </x:c>
      <x:c r="G1858" s="25" t="str">
        <x:v>从C0至当前检查点累计需求；未扣自身未来产出，不代表已有库存</x:v>
      </x:c>
    </x:row>
    <x:row r="1859">
      <x:c r="A1859" s="25" t="str">
        <x:v>C10-E</x:v>
      </x:c>
      <x:c r="B1859" s="25" t="str">
        <x:v>王城罗德尔</x:v>
      </x:c>
      <x:c r="C1859" s="25" t="str">
        <x:v>半急速入场</x:v>
      </x:c>
      <x:c r="D1859" s="25" t="str">
        <x:v>材料</x:v>
      </x:c>
      <x:c r="E1859" s="25" t="str">
        <x:v>接肢王魂</x:v>
      </x:c>
      <x:c r="F1859" s="25" t="n">
        <x:v>1</x:v>
      </x:c>
      <x:c r="G1859" s="25" t="str">
        <x:v>从C0至当前检查点累计需求；未扣自身未来产出，不代表已有库存</x:v>
      </x:c>
    </x:row>
    <x:row r="1860">
      <x:c r="A1860" s="25" t="str">
        <x:v>C10-E</x:v>
      </x:c>
      <x:c r="B1860" s="25" t="str">
        <x:v>王城罗德尔</x:v>
      </x:c>
      <x:c r="C1860" s="25" t="str">
        <x:v>半急速入场</x:v>
      </x:c>
      <x:c r="D1860" s="25" t="str">
        <x:v>材料</x:v>
      </x:c>
      <x:c r="E1860" s="25" t="str">
        <x:v>月潮忆珀</x:v>
      </x:c>
      <x:c r="F1860" s="25" t="n">
        <x:v>1</x:v>
      </x:c>
      <x:c r="G1860" s="25" t="str">
        <x:v>从C0至当前检查点累计需求；未扣自身未来产出，不代表已有库存</x:v>
      </x:c>
    </x:row>
    <x:row r="1861">
      <x:c r="A1861" s="25" t="str">
        <x:v>C10-E</x:v>
      </x:c>
      <x:c r="B1861" s="25" t="str">
        <x:v>王城罗德尔</x:v>
      </x:c>
      <x:c r="C1861" s="25" t="str">
        <x:v>半急速入场</x:v>
      </x:c>
      <x:c r="D1861" s="25" t="str">
        <x:v>材料</x:v>
      </x:c>
      <x:c r="E1861" s="25" t="str">
        <x:v>月蚀镜片</x:v>
      </x:c>
      <x:c r="F1861" s="25" t="n">
        <x:v>21</x:v>
      </x:c>
      <x:c r="G1861" s="25" t="str">
        <x:v>从C0至当前检查点累计需求；未扣自身未来产出，不代表已有库存</x:v>
      </x:c>
    </x:row>
    <x:row r="1862">
      <x:c r="A1862" s="25" t="str">
        <x:v>C10-E</x:v>
      </x:c>
      <x:c r="B1862" s="25" t="str">
        <x:v>王城罗德尔</x:v>
      </x:c>
      <x:c r="C1862" s="25" t="str">
        <x:v>半急速入场</x:v>
      </x:c>
      <x:c r="D1862" s="25" t="str">
        <x:v>材料</x:v>
      </x:c>
      <x:c r="E1862" s="25" t="str">
        <x:v>树卫枪穗</x:v>
      </x:c>
      <x:c r="F1862" s="25" t="n">
        <x:v>1</x:v>
      </x:c>
      <x:c r="G1862" s="25" t="str">
        <x:v>从C0至当前检查点累计需求；未扣自身未来产出，不代表已有库存</x:v>
      </x:c>
    </x:row>
    <x:row r="1863">
      <x:c r="A1863" s="25" t="str">
        <x:v>C10-E</x:v>
      </x:c>
      <x:c r="B1863" s="25" t="str">
        <x:v>王城罗德尔</x:v>
      </x:c>
      <x:c r="C1863" s="25" t="str">
        <x:v>半急速入场</x:v>
      </x:c>
      <x:c r="D1863" s="25" t="str">
        <x:v>材料</x:v>
      </x:c>
      <x:c r="E1863" s="25" t="str">
        <x:v>死亡仪羽</x:v>
      </x:c>
      <x:c r="F1863" s="25" t="n">
        <x:v>2</x:v>
      </x:c>
      <x:c r="G1863" s="25" t="str">
        <x:v>从C0至当前检查点累计需求；未扣自身未来产出，不代表已有库存</x:v>
      </x:c>
    </x:row>
    <x:row r="1864">
      <x:c r="A1864" s="25" t="str">
        <x:v>C10-E</x:v>
      </x:c>
      <x:c r="B1864" s="25" t="str">
        <x:v>王城罗德尔</x:v>
      </x:c>
      <x:c r="C1864" s="25" t="str">
        <x:v>半急速入场</x:v>
      </x:c>
      <x:c r="D1864" s="25" t="str">
        <x:v>材料</x:v>
      </x:c>
      <x:c r="E1864" s="25" t="str">
        <x:v>永霜朝圣痕</x:v>
      </x:c>
      <x:c r="F1864" s="25" t="n">
        <x:v>1</x:v>
      </x:c>
      <x:c r="G1864" s="25" t="str">
        <x:v>从C0至当前检查点累计需求；未扣自身未来产出，不代表已有库存</x:v>
      </x:c>
    </x:row>
    <x:row r="1865">
      <x:c r="A1865" s="25" t="str">
        <x:v>C10-E</x:v>
      </x:c>
      <x:c r="B1865" s="25" t="str">
        <x:v>王城罗德尔</x:v>
      </x:c>
      <x:c r="C1865" s="25" t="str">
        <x:v>半急速入场</x:v>
      </x:c>
      <x:c r="D1865" s="25" t="str">
        <x:v>材料</x:v>
      </x:c>
      <x:c r="E1865" s="25" t="str">
        <x:v>沉湖王印</x:v>
      </x:c>
      <x:c r="F1865" s="25" t="n">
        <x:v>16</x:v>
      </x:c>
      <x:c r="G1865" s="25" t="str">
        <x:v>从C0至当前检查点累计需求；未扣自身未来产出，不代表已有库存</x:v>
      </x:c>
    </x:row>
    <x:row r="1866">
      <x:c r="A1866" s="25" t="str">
        <x:v>C10-E</x:v>
      </x:c>
      <x:c r="B1866" s="25" t="str">
        <x:v>王城罗德尔</x:v>
      </x:c>
      <x:c r="C1866" s="25" t="str">
        <x:v>半急速入场</x:v>
      </x:c>
      <x:c r="D1866" s="25" t="str">
        <x:v>材料</x:v>
      </x:c>
      <x:c r="E1866" s="25" t="str">
        <x:v>沉船缆扣</x:v>
      </x:c>
      <x:c r="F1866" s="25" t="n">
        <x:v>12</x:v>
      </x:c>
      <x:c r="G1866" s="25" t="str">
        <x:v>从C0至当前检查点累计需求；未扣自身未来产出，不代表已有库存</x:v>
      </x:c>
    </x:row>
    <x:row r="1867">
      <x:c r="A1867" s="25" t="str">
        <x:v>C10-E</x:v>
      </x:c>
      <x:c r="B1867" s="25" t="str">
        <x:v>王城罗德尔</x:v>
      </x:c>
      <x:c r="C1867" s="25" t="str">
        <x:v>半急速入场</x:v>
      </x:c>
      <x:c r="D1867" s="25" t="str">
        <x:v>材料</x:v>
      </x:c>
      <x:c r="E1867" s="25" t="str">
        <x:v>海蚀铁片</x:v>
      </x:c>
      <x:c r="F1867" s="25" t="n">
        <x:v>160</x:v>
      </x:c>
      <x:c r="G1867" s="25" t="str">
        <x:v>从C0至当前检查点累计需求；未扣自身未来产出，不代表已有库存</x:v>
      </x:c>
    </x:row>
    <x:row r="1868">
      <x:c r="A1868" s="25" t="str">
        <x:v>C10-E</x:v>
      </x:c>
      <x:c r="B1868" s="25" t="str">
        <x:v>王城罗德尔</x:v>
      </x:c>
      <x:c r="C1868" s="25" t="str">
        <x:v>半急速入场</x:v>
      </x:c>
      <x:c r="D1868" s="25" t="str">
        <x:v>材料</x:v>
      </x:c>
      <x:c r="E1868" s="25" t="str">
        <x:v>湖底封门珠</x:v>
      </x:c>
      <x:c r="F1868" s="25" t="n">
        <x:v>8</x:v>
      </x:c>
      <x:c r="G1868" s="25" t="str">
        <x:v>从C0至当前检查点累计需求；未扣自身未来产出，不代表已有库存</x:v>
      </x:c>
    </x:row>
    <x:row r="1869">
      <x:c r="A1869" s="25" t="str">
        <x:v>C10-E</x:v>
      </x:c>
      <x:c r="B1869" s="25" t="str">
        <x:v>王城罗德尔</x:v>
      </x:c>
      <x:c r="C1869" s="25" t="str">
        <x:v>半急速入场</x:v>
      </x:c>
      <x:c r="D1869" s="25" t="str">
        <x:v>材料</x:v>
      </x:c>
      <x:c r="E1869" s="25" t="str">
        <x:v>湖心月谱残章</x:v>
      </x:c>
      <x:c r="F1869" s="25" t="n">
        <x:v>1</x:v>
      </x:c>
      <x:c r="G1869" s="25" t="str">
        <x:v>从C0至当前检查点累计需求；未扣自身未来产出，不代表已有库存</x:v>
      </x:c>
    </x:row>
    <x:row r="1870">
      <x:c r="A1870" s="25" t="str">
        <x:v>C10-E</x:v>
      </x:c>
      <x:c r="B1870" s="25" t="str">
        <x:v>王城罗德尔</x:v>
      </x:c>
      <x:c r="C1870" s="25" t="str">
        <x:v>半急速入场</x:v>
      </x:c>
      <x:c r="D1870" s="25" t="str">
        <x:v>材料</x:v>
      </x:c>
      <x:c r="E1870" s="25" t="str">
        <x:v>湖盐结晶</x:v>
      </x:c>
      <x:c r="F1870" s="25" t="n">
        <x:v>1647</x:v>
      </x:c>
      <x:c r="G1870" s="25" t="str">
        <x:v>从C0至当前检查点累计需求；未扣自身未来产出，不代表已有库存</x:v>
      </x:c>
    </x:row>
    <x:row r="1871">
      <x:c r="A1871" s="25" t="str">
        <x:v>C10-E</x:v>
      </x:c>
      <x:c r="B1871" s="25" t="str">
        <x:v>王城罗德尔</x:v>
      </x:c>
      <x:c r="C1871" s="25" t="str">
        <x:v>半急速入场</x:v>
      </x:c>
      <x:c r="D1871" s="25" t="str">
        <x:v>材料</x:v>
      </x:c>
      <x:c r="E1871" s="25" t="str">
        <x:v>溃烂树核</x:v>
      </x:c>
      <x:c r="F1871" s="25" t="n">
        <x:v>1</x:v>
      </x:c>
      <x:c r="G1871" s="25" t="str">
        <x:v>从C0至当前检查点累计需求；未扣自身未来产出，不代表已有库存</x:v>
      </x:c>
    </x:row>
    <x:row r="1872">
      <x:c r="A1872" s="25" t="str">
        <x:v>C10-E</x:v>
      </x:c>
      <x:c r="B1872" s="25" t="str">
        <x:v>王城罗德尔</x:v>
      </x:c>
      <x:c r="C1872" s="25" t="str">
        <x:v>半急速入场</x:v>
      </x:c>
      <x:c r="D1872" s="25" t="str">
        <x:v>材料</x:v>
      </x:c>
      <x:c r="E1872" s="25" t="str">
        <x:v>满月王室印</x:v>
      </x:c>
      <x:c r="F1872" s="25" t="n">
        <x:v>51</x:v>
      </x:c>
      <x:c r="G1872" s="25" t="str">
        <x:v>从C0至当前检查点累计需求；未扣自身未来产出，不代表已有库存</x:v>
      </x:c>
    </x:row>
    <x:row r="1873">
      <x:c r="A1873" s="25" t="str">
        <x:v>C10-E</x:v>
      </x:c>
      <x:c r="B1873" s="25" t="str">
        <x:v>王城罗德尔</x:v>
      </x:c>
      <x:c r="C1873" s="25" t="str">
        <x:v>半急速入场</x:v>
      </x:c>
      <x:c r="D1873" s="25" t="str">
        <x:v>材料</x:v>
      </x:c>
      <x:c r="E1873" s="25" t="str">
        <x:v>漂流大陆印记</x:v>
      </x:c>
      <x:c r="F1873" s="25" t="n">
        <x:v>11</x:v>
      </x:c>
      <x:c r="G1873" s="25" t="str">
        <x:v>从C0至当前检查点累计需求；未扣自身未来产出，不代表已有库存</x:v>
      </x:c>
    </x:row>
    <x:row r="1874">
      <x:c r="A1874" s="25" t="str">
        <x:v>C10-E</x:v>
      </x:c>
      <x:c r="B1874" s="25" t="str">
        <x:v>王城罗德尔</x:v>
      </x:c>
      <x:c r="C1874" s="25" t="str">
        <x:v>半急速入场</x:v>
      </x:c>
      <x:c r="D1874" s="25" t="str">
        <x:v>材料</x:v>
      </x:c>
      <x:c r="E1874" s="25" t="str">
        <x:v>漂流见证·潮</x:v>
      </x:c>
      <x:c r="F1874" s="25" t="n">
        <x:v>8</x:v>
      </x:c>
      <x:c r="G1874" s="25" t="str">
        <x:v>从C0至当前检查点累计需求；未扣自身未来产出，不代表已有库存</x:v>
      </x:c>
    </x:row>
    <x:row r="1875">
      <x:c r="A1875" s="25" t="str">
        <x:v>C10-E</x:v>
      </x:c>
      <x:c r="B1875" s="25" t="str">
        <x:v>王城罗德尔</x:v>
      </x:c>
      <x:c r="C1875" s="25" t="str">
        <x:v>半急速入场</x:v>
      </x:c>
      <x:c r="D1875" s="25" t="str">
        <x:v>材料</x:v>
      </x:c>
      <x:c r="E1875" s="25" t="str">
        <x:v>漂流见证·雷</x:v>
      </x:c>
      <x:c r="F1875" s="25" t="n">
        <x:v>8</x:v>
      </x:c>
      <x:c r="G1875" s="25" t="str">
        <x:v>从C0至当前检查点累计需求；未扣自身未来产出，不代表已有库存</x:v>
      </x:c>
    </x:row>
    <x:row r="1876">
      <x:c r="A1876" s="25" t="str">
        <x:v>C10-E</x:v>
      </x:c>
      <x:c r="B1876" s="25" t="str">
        <x:v>王城罗德尔</x:v>
      </x:c>
      <x:c r="C1876" s="25" t="str">
        <x:v>半急速入场</x:v>
      </x:c>
      <x:c r="D1876" s="25" t="str">
        <x:v>材料</x:v>
      </x:c>
      <x:c r="E1876" s="25" t="str">
        <x:v>潮痕结晶</x:v>
      </x:c>
      <x:c r="F1876" s="25" t="n">
        <x:v>16</x:v>
      </x:c>
      <x:c r="G1876" s="25" t="str">
        <x:v>从C0至当前检查点累计需求；未扣自身未来产出，不代表已有库存</x:v>
      </x:c>
    </x:row>
    <x:row r="1877">
      <x:c r="A1877" s="25" t="str">
        <x:v>C10-E</x:v>
      </x:c>
      <x:c r="B1877" s="25" t="str">
        <x:v>王城罗德尔</x:v>
      </x:c>
      <x:c r="C1877" s="25" t="str">
        <x:v>半急速入场</x:v>
      </x:c>
      <x:c r="D1877" s="25" t="str">
        <x:v>材料</x:v>
      </x:c>
      <x:c r="E1877" s="25" t="str">
        <x:v>熊王心脏</x:v>
      </x:c>
      <x:c r="F1877" s="25" t="n">
        <x:v>2</x:v>
      </x:c>
      <x:c r="G1877" s="25" t="str">
        <x:v>从C0至当前检查点累计需求；未扣自身未来产出，不代表已有库存</x:v>
      </x:c>
    </x:row>
    <x:row r="1878">
      <x:c r="A1878" s="25" t="str">
        <x:v>C10-E</x:v>
      </x:c>
      <x:c r="B1878" s="25" t="str">
        <x:v>王城罗德尔</x:v>
      </x:c>
      <x:c r="C1878" s="25" t="str">
        <x:v>半急速入场</x:v>
      </x:c>
      <x:c r="D1878" s="25" t="str">
        <x:v>材料</x:v>
      </x:c>
      <x:c r="E1878" s="25" t="str">
        <x:v>熔原罪火残章</x:v>
      </x:c>
      <x:c r="F1878" s="25" t="n">
        <x:v>1</x:v>
      </x:c>
      <x:c r="G1878" s="25" t="str">
        <x:v>从C0至当前检查点累计需求；未扣自身未来产出，不代表已有库存</x:v>
      </x:c>
    </x:row>
    <x:row r="1879">
      <x:c r="A1879" s="25" t="str">
        <x:v>C10-E</x:v>
      </x:c>
      <x:c r="B1879" s="25" t="str">
        <x:v>王城罗德尔</x:v>
      </x:c>
      <x:c r="C1879" s="25" t="str">
        <x:v>半急速入场</x:v>
      </x:c>
      <x:c r="D1879" s="25" t="str">
        <x:v>材料</x:v>
      </x:c>
      <x:c r="E1879" s="25" t="str">
        <x:v>熔炉角片</x:v>
      </x:c>
      <x:c r="F1879" s="25" t="n">
        <x:v>1</x:v>
      </x:c>
      <x:c r="G1879" s="25" t="str">
        <x:v>从C0至当前检查点累计需求；未扣自身未来产出，不代表已有库存</x:v>
      </x:c>
    </x:row>
    <x:row r="1880">
      <x:c r="A1880" s="25" t="str">
        <x:v>C10-E</x:v>
      </x:c>
      <x:c r="B1880" s="25" t="str">
        <x:v>王城罗德尔</x:v>
      </x:c>
      <x:c r="C1880" s="25" t="str">
        <x:v>半急速入场</x:v>
      </x:c>
      <x:c r="D1880" s="25" t="str">
        <x:v>材料</x:v>
      </x:c>
      <x:c r="E1880" s="25" t="str">
        <x:v>猩红矿渣</x:v>
      </x:c>
      <x:c r="F1880" s="25" t="n">
        <x:v>1737</x:v>
      </x:c>
      <x:c r="G1880" s="25" t="str">
        <x:v>从C0至当前检查点累计需求；未扣自身未来产出，不代表已有库存</x:v>
      </x:c>
    </x:row>
    <x:row r="1881">
      <x:c r="A1881" s="25" t="str">
        <x:v>C10-E</x:v>
      </x:c>
      <x:c r="B1881" s="25" t="str">
        <x:v>王城罗德尔</x:v>
      </x:c>
      <x:c r="C1881" s="25" t="str">
        <x:v>半急速入场</x:v>
      </x:c>
      <x:c r="D1881" s="25" t="str">
        <x:v>材料</x:v>
      </x:c>
      <x:c r="E1881" s="25" t="str">
        <x:v>王城军印</x:v>
      </x:c>
      <x:c r="F1881" s="25" t="n">
        <x:v>1</x:v>
      </x:c>
      <x:c r="G1881" s="25" t="str">
        <x:v>从C0至当前检查点累计需求；未扣自身未来产出，不代表已有库存</x:v>
      </x:c>
    </x:row>
    <x:row r="1882">
      <x:c r="A1882" s="25" t="str">
        <x:v>C10-E</x:v>
      </x:c>
      <x:c r="B1882" s="25" t="str">
        <x:v>王城罗德尔</x:v>
      </x:c>
      <x:c r="C1882" s="25" t="str">
        <x:v>半急速入场</x:v>
      </x:c>
      <x:c r="D1882" s="25" t="str">
        <x:v>材料</x:v>
      </x:c>
      <x:c r="E1882" s="25" t="str">
        <x:v>白金纺线</x:v>
      </x:c>
      <x:c r="F1882" s="25" t="n">
        <x:v>60</x:v>
      </x:c>
      <x:c r="G1882" s="25" t="str">
        <x:v>从C0至当前检查点累计需求；未扣自身未来产出，不代表已有库存</x:v>
      </x:c>
    </x:row>
    <x:row r="1883">
      <x:c r="A1883" s="25" t="str">
        <x:v>C10-E</x:v>
      </x:c>
      <x:c r="B1883" s="25" t="str">
        <x:v>王城罗德尔</x:v>
      </x:c>
      <x:c r="C1883" s="25" t="str">
        <x:v>半急速入场</x:v>
      </x:c>
      <x:c r="D1883" s="25" t="str">
        <x:v>材料</x:v>
      </x:c>
      <x:c r="E1883" s="25" t="str">
        <x:v>白金路标片</x:v>
      </x:c>
      <x:c r="F1883" s="25" t="n">
        <x:v>145</x:v>
      </x:c>
      <x:c r="G1883" s="25" t="str">
        <x:v>从C0至当前检查点累计需求；未扣自身未来产出，不代表已有库存</x:v>
      </x:c>
    </x:row>
    <x:row r="1884">
      <x:c r="A1884" s="25" t="str">
        <x:v>C10-E</x:v>
      </x:c>
      <x:c r="B1884" s="25" t="str">
        <x:v>王城罗德尔</x:v>
      </x:c>
      <x:c r="C1884" s="25" t="str">
        <x:v>半急速入场</x:v>
      </x:c>
      <x:c r="D1884" s="25" t="str">
        <x:v>材料</x:v>
      </x:c>
      <x:c r="E1884" s="25" t="str">
        <x:v>看门犬石心</x:v>
      </x:c>
      <x:c r="F1884" s="25" t="n">
        <x:v>2</x:v>
      </x:c>
      <x:c r="G1884" s="25" t="str">
        <x:v>从C0至当前检查点累计需求；未扣自身未来产出，不代表已有库存</x:v>
      </x:c>
    </x:row>
    <x:row r="1885">
      <x:c r="A1885" s="25" t="str">
        <x:v>C10-E</x:v>
      </x:c>
      <x:c r="B1885" s="25" t="str">
        <x:v>王城罗德尔</x:v>
      </x:c>
      <x:c r="C1885" s="25" t="str">
        <x:v>半急速入场</x:v>
      </x:c>
      <x:c r="D1885" s="25" t="str">
        <x:v>材料</x:v>
      </x:c>
      <x:c r="E1885" s="25" t="str">
        <x:v>矿脉灯芯</x:v>
      </x:c>
      <x:c r="F1885" s="25" t="n">
        <x:v>20</x:v>
      </x:c>
      <x:c r="G1885" s="25" t="str">
        <x:v>从C0至当前检查点累计需求；未扣自身未来产出，不代表已有库存</x:v>
      </x:c>
    </x:row>
    <x:row r="1886">
      <x:c r="A1886" s="25" t="str">
        <x:v>C10-E</x:v>
      </x:c>
      <x:c r="B1886" s="25" t="str">
        <x:v>王城罗德尔</x:v>
      </x:c>
      <x:c r="C1886" s="25" t="str">
        <x:v>半急速入场</x:v>
      </x:c>
      <x:c r="D1886" s="25" t="str">
        <x:v>材料</x:v>
      </x:c>
      <x:c r="E1886" s="25" t="str">
        <x:v>碎星仪仗钉</x:v>
      </x:c>
      <x:c r="F1886" s="25" t="n">
        <x:v>2</x:v>
      </x:c>
      <x:c r="G1886" s="25" t="str">
        <x:v>从C0至当前检查点累计需求；未扣自身未来产出，不代表已有库存</x:v>
      </x:c>
    </x:row>
    <x:row r="1887">
      <x:c r="A1887" s="25" t="str">
        <x:v>C10-E</x:v>
      </x:c>
      <x:c r="B1887" s="25" t="str">
        <x:v>王城罗德尔</x:v>
      </x:c>
      <x:c r="C1887" s="25" t="str">
        <x:v>半急速入场</x:v>
      </x:c>
      <x:c r="D1887" s="25" t="str">
        <x:v>材料</x:v>
      </x:c>
      <x:c r="E1887" s="25" t="str">
        <x:v>神秘符文</x:v>
      </x:c>
      <x:c r="F1887" s="25" t="n">
        <x:v>500</x:v>
      </x:c>
      <x:c r="G1887" s="25" t="str">
        <x:v>从C0至当前检查点累计需求；未扣自身未来产出，不代表已有库存</x:v>
      </x:c>
    </x:row>
    <x:row r="1888">
      <x:c r="A1888" s="25" t="str">
        <x:v>C10-E</x:v>
      </x:c>
      <x:c r="B1888" s="25" t="str">
        <x:v>王城罗德尔</x:v>
      </x:c>
      <x:c r="C1888" s="25" t="str">
        <x:v>半急速入场</x:v>
      </x:c>
      <x:c r="D1888" s="25" t="str">
        <x:v>材料</x:v>
      </x:c>
      <x:c r="E1888" s="25" t="str">
        <x:v>禁域星钥</x:v>
      </x:c>
      <x:c r="F1888" s="25" t="n">
        <x:v>2</x:v>
      </x:c>
      <x:c r="G1888" s="25" t="str">
        <x:v>从C0至当前检查点累计需求；未扣自身未来产出，不代表已有库存</x:v>
      </x:c>
    </x:row>
    <x:row r="1889">
      <x:c r="A1889" s="25" t="str">
        <x:v>C10-E</x:v>
      </x:c>
      <x:c r="B1889" s="25" t="str">
        <x:v>王城罗德尔</x:v>
      </x:c>
      <x:c r="C1889" s="25" t="str">
        <x:v>半急速入场</x:v>
      </x:c>
      <x:c r="D1889" s="25" t="str">
        <x:v>材料</x:v>
      </x:c>
      <x:c r="E1889" s="25" t="str">
        <x:v>穹霜碑珀</x:v>
      </x:c>
      <x:c r="F1889" s="25" t="n">
        <x:v>1</x:v>
      </x:c>
      <x:c r="G1889" s="25" t="str">
        <x:v>从C0至当前检查点累计需求；未扣自身未来产出，不代表已有库存</x:v>
      </x:c>
    </x:row>
    <x:row r="1890">
      <x:c r="A1890" s="25" t="str">
        <x:v>C10-E</x:v>
      </x:c>
      <x:c r="B1890" s="25" t="str">
        <x:v>王城罗德尔</x:v>
      </x:c>
      <x:c r="C1890" s="25" t="str">
        <x:v>半急速入场</x:v>
      </x:c>
      <x:c r="D1890" s="25" t="str">
        <x:v>材料</x:v>
      </x:c>
      <x:c r="E1890" s="25" t="str">
        <x:v>红狮战印</x:v>
      </x:c>
      <x:c r="F1890" s="25" t="n">
        <x:v>42</x:v>
      </x:c>
      <x:c r="G1890" s="25" t="str">
        <x:v>从C0至当前检查点累计需求；未扣自身未来产出，不代表已有库存</x:v>
      </x:c>
    </x:row>
    <x:row r="1891">
      <x:c r="A1891" s="25" t="str">
        <x:v>C10-E</x:v>
      </x:c>
      <x:c r="B1891" s="25" t="str">
        <x:v>王城罗德尔</x:v>
      </x:c>
      <x:c r="C1891" s="25" t="str">
        <x:v>半急速入场</x:v>
      </x:c>
      <x:c r="D1891" s="25" t="str">
        <x:v>材料</x:v>
      </x:c>
      <x:c r="E1891" s="25" t="str">
        <x:v>腐根魂结</x:v>
      </x:c>
      <x:c r="F1891" s="25" t="n">
        <x:v>2</x:v>
      </x:c>
      <x:c r="G1891" s="25" t="str">
        <x:v>从C0至当前检查点累计需求；未扣自身未来产出，不代表已有库存</x:v>
      </x:c>
    </x:row>
    <x:row r="1892">
      <x:c r="A1892" s="25" t="str">
        <x:v>C10-E</x:v>
      </x:c>
      <x:c r="B1892" s="25" t="str">
        <x:v>王城罗德尔</x:v>
      </x:c>
      <x:c r="C1892" s="25" t="str">
        <x:v>半急速入场</x:v>
      </x:c>
      <x:c r="D1892" s="25" t="str">
        <x:v>材料</x:v>
      </x:c>
      <x:c r="E1892" s="25" t="str">
        <x:v>裁文蜡封</x:v>
      </x:c>
      <x:c r="F1892" s="25" t="n">
        <x:v>36</x:v>
      </x:c>
      <x:c r="G1892" s="25" t="str">
        <x:v>从C0至当前检查点累计需求；未扣自身未来产出，不代表已有库存</x:v>
      </x:c>
    </x:row>
    <x:row r="1893">
      <x:c r="A1893" s="25" t="str">
        <x:v>C10-E</x:v>
      </x:c>
      <x:c r="B1893" s="25" t="str">
        <x:v>王城罗德尔</x:v>
      </x:c>
      <x:c r="C1893" s="25" t="str">
        <x:v>半急速入场</x:v>
      </x:c>
      <x:c r="D1893" s="25" t="str">
        <x:v>材料</x:v>
      </x:c>
      <x:c r="E1893" s="25" t="str">
        <x:v>裂峰号角片</x:v>
      </x:c>
      <x:c r="F1893" s="25" t="n">
        <x:v>110</x:v>
      </x:c>
      <x:c r="G1893" s="25" t="str">
        <x:v>从C0至当前检查点累计需求；未扣自身未来产出，不代表已有库存</x:v>
      </x:c>
    </x:row>
    <x:row r="1894">
      <x:c r="A1894" s="25" t="str">
        <x:v>C10-E</x:v>
      </x:c>
      <x:c r="B1894" s="25" t="str">
        <x:v>王城罗德尔</x:v>
      </x:c>
      <x:c r="C1894" s="25" t="str">
        <x:v>半急速入场</x:v>
      </x:c>
      <x:c r="D1894" s="25" t="str">
        <x:v>材料</x:v>
      </x:c>
      <x:c r="E1894" s="25" t="str">
        <x:v>裂风崖羽</x:v>
      </x:c>
      <x:c r="F1894" s="25" t="n">
        <x:v>80</x:v>
      </x:c>
      <x:c r="G1894" s="25" t="str">
        <x:v>从C0至当前检查点累计需求；未扣自身未来产出，不代表已有库存</x:v>
      </x:c>
    </x:row>
    <x:row r="1895">
      <x:c r="A1895" s="25" t="str">
        <x:v>C10-E</x:v>
      </x:c>
      <x:c r="B1895" s="25" t="str">
        <x:v>王城罗德尔</x:v>
      </x:c>
      <x:c r="C1895" s="25" t="str">
        <x:v>半急速入场</x:v>
      </x:c>
      <x:c r="D1895" s="25" t="str">
        <x:v>材料</x:v>
      </x:c>
      <x:c r="E1895" s="25" t="str">
        <x:v>西境战旗</x:v>
      </x:c>
      <x:c r="F1895" s="25" t="n">
        <x:v>20</x:v>
      </x:c>
      <x:c r="G1895" s="25" t="str">
        <x:v>从C0至当前检查点累计需求；未扣自身未来产出，不代表已有库存</x:v>
      </x:c>
    </x:row>
    <x:row r="1896">
      <x:c r="A1896" s="25" t="str">
        <x:v>C10-E</x:v>
      </x:c>
      <x:c r="B1896" s="25" t="str">
        <x:v>王城罗德尔</x:v>
      </x:c>
      <x:c r="C1896" s="25" t="str">
        <x:v>半急速入场</x:v>
      </x:c>
      <x:c r="D1896" s="25" t="str">
        <x:v>材料</x:v>
      </x:c>
      <x:c r="E1896" s="25" t="str">
        <x:v>西境战旗印</x:v>
      </x:c>
      <x:c r="F1896" s="25" t="n">
        <x:v>13</x:v>
      </x:c>
      <x:c r="G1896" s="25" t="str">
        <x:v>从C0至当前检查点累计需求；未扣自身未来产出，不代表已有库存</x:v>
      </x:c>
    </x:row>
    <x:row r="1897">
      <x:c r="A1897" s="25" t="str">
        <x:v>C10-E</x:v>
      </x:c>
      <x:c r="B1897" s="25" t="str">
        <x:v>王城罗德尔</x:v>
      </x:c>
      <x:c r="C1897" s="25" t="str">
        <x:v>半急速入场</x:v>
      </x:c>
      <x:c r="D1897" s="25" t="str">
        <x:v>材料</x:v>
      </x:c>
      <x:c r="E1897" s="25" t="str">
        <x:v>西境风痕碑拓</x:v>
      </x:c>
      <x:c r="F1897" s="25" t="n">
        <x:v>1</x:v>
      </x:c>
      <x:c r="G1897" s="25" t="str">
        <x:v>从C0至当前检查点累计需求；未扣自身未来产出，不代表已有库存</x:v>
      </x:c>
    </x:row>
    <x:row r="1898">
      <x:c r="A1898" s="25" t="str">
        <x:v>C10-E</x:v>
      </x:c>
      <x:c r="B1898" s="25" t="str">
        <x:v>王城罗德尔</x:v>
      </x:c>
      <x:c r="C1898" s="25" t="str">
        <x:v>半急速入场</x:v>
      </x:c>
      <x:c r="D1898" s="25" t="str">
        <x:v>材料</x:v>
      </x:c>
      <x:c r="E1898" s="25" t="str">
        <x:v>贵胄断指</x:v>
      </x:c>
      <x:c r="F1898" s="25" t="n">
        <x:v>1</x:v>
      </x:c>
      <x:c r="G1898" s="25" t="str">
        <x:v>从C0至当前检查点累计需求；未扣自身未来产出，不代表已有库存</x:v>
      </x:c>
    </x:row>
    <x:row r="1899">
      <x:c r="A1899" s="25" t="str">
        <x:v>C10-E</x:v>
      </x:c>
      <x:c r="B1899" s="25" t="str">
        <x:v>王城罗德尔</x:v>
      </x:c>
      <x:c r="C1899" s="25" t="str">
        <x:v>半急速入场</x:v>
      </x:c>
      <x:c r="D1899" s="25" t="str">
        <x:v>材料</x:v>
      </x:c>
      <x:c r="E1899" s="25" t="str">
        <x:v>辉石碎晶</x:v>
      </x:c>
      <x:c r="F1899" s="25" t="n">
        <x:v>1750</x:v>
      </x:c>
      <x:c r="G1899" s="25" t="str">
        <x:v>从C0至当前检查点累计需求；未扣自身未来产出，不代表已有库存</x:v>
      </x:c>
    </x:row>
    <x:row r="1900">
      <x:c r="A1900" s="25" t="str">
        <x:v>C10-E</x:v>
      </x:c>
      <x:c r="B1900" s="25" t="str">
        <x:v>王城罗德尔</x:v>
      </x:c>
      <x:c r="C1900" s="25" t="str">
        <x:v>半急速入场</x:v>
      </x:c>
      <x:c r="D1900" s="25" t="str">
        <x:v>材料</x:v>
      </x:c>
      <x:c r="E1900" s="25" t="str">
        <x:v>野兽骨片</x:v>
      </x:c>
      <x:c r="F1900" s="25" t="n">
        <x:v>69935</x:v>
      </x:c>
      <x:c r="G1900" s="25" t="str">
        <x:v>从C0至当前检查点累计需求；未扣自身未来产出，不代表已有库存</x:v>
      </x:c>
    </x:row>
    <x:row r="1901">
      <x:c r="A1901" s="25" t="str">
        <x:v>C10-E</x:v>
      </x:c>
      <x:c r="B1901" s="25" t="str">
        <x:v>王城罗德尔</x:v>
      </x:c>
      <x:c r="C1901" s="25" t="str">
        <x:v>半急速入场</x:v>
      </x:c>
      <x:c r="D1901" s="25" t="str">
        <x:v>材料</x:v>
      </x:c>
      <x:c r="E1901" s="25" t="str">
        <x:v>金叶驿票</x:v>
      </x:c>
      <x:c r="F1901" s="25" t="n">
        <x:v>50</x:v>
      </x:c>
      <x:c r="G1901" s="25" t="str">
        <x:v>从C0至当前检查点累计需求；未扣自身未来产出，不代表已有库存</x:v>
      </x:c>
    </x:row>
    <x:row r="1902">
      <x:c r="A1902" s="25" t="str">
        <x:v>C10-E</x:v>
      </x:c>
      <x:c r="B1902" s="25" t="str">
        <x:v>王城罗德尔</x:v>
      </x:c>
      <x:c r="C1902" s="25" t="str">
        <x:v>半急速入场</x:v>
      </x:c>
      <x:c r="D1902" s="25" t="str">
        <x:v>材料</x:v>
      </x:c>
      <x:c r="E1902" s="25" t="str">
        <x:v>雾潮银鳞</x:v>
      </x:c>
      <x:c r="F1902" s="25" t="n">
        <x:v>272</x:v>
      </x:c>
      <x:c r="G1902" s="25" t="str">
        <x:v>从C0至当前检查点累计需求；未扣自身未来产出，不代表已有库存</x:v>
      </x:c>
    </x:row>
    <x:row r="1903">
      <x:c r="A1903" s="25" t="str">
        <x:v>C10-E</x:v>
      </x:c>
      <x:c r="B1903" s="25" t="str">
        <x:v>王城罗德尔</x:v>
      </x:c>
      <x:c r="C1903" s="25" t="str">
        <x:v>半急速入场</x:v>
      </x:c>
      <x:c r="D1903" s="25" t="str">
        <x:v>材料</x:v>
      </x:c>
      <x:c r="E1903" s="25" t="str">
        <x:v>霜脊铁</x:v>
      </x:c>
      <x:c r="F1903" s="25" t="n">
        <x:v>2595</x:v>
      </x:c>
      <x:c r="G1903" s="25" t="str">
        <x:v>从C0至当前检查点累计需求；未扣自身未来产出，不代表已有库存</x:v>
      </x:c>
    </x:row>
    <x:row r="1904">
      <x:c r="A1904" s="25" t="str">
        <x:v>C10-E</x:v>
      </x:c>
      <x:c r="B1904" s="25" t="str">
        <x:v>王城罗德尔</x:v>
      </x:c>
      <x:c r="C1904" s="25" t="str">
        <x:v>半急速入场</x:v>
      </x:c>
      <x:c r="D1904" s="25" t="str">
        <x:v>材料</x:v>
      </x:c>
      <x:c r="E1904" s="25" t="str">
        <x:v>风暴王核</x:v>
      </x:c>
      <x:c r="F1904" s="25" t="n">
        <x:v>1</x:v>
      </x:c>
      <x:c r="G1904" s="25" t="str">
        <x:v>从C0至当前检查点累计需求；未扣自身未来产出，不代表已有库存</x:v>
      </x:c>
    </x:row>
    <x:row r="1905">
      <x:c r="A1905" s="25" t="str">
        <x:v>C10-E</x:v>
      </x:c>
      <x:c r="B1905" s="25" t="str">
        <x:v>王城罗德尔</x:v>
      </x:c>
      <x:c r="C1905" s="25" t="str">
        <x:v>半急速入场</x:v>
      </x:c>
      <x:c r="D1905" s="25" t="str">
        <x:v>材料</x:v>
      </x:c>
      <x:c r="E1905" s="25" t="str">
        <x:v>风暴石片</x:v>
      </x:c>
      <x:c r="F1905" s="25" t="n">
        <x:v>370</x:v>
      </x:c>
      <x:c r="G1905" s="25" t="str">
        <x:v>从C0至当前检查点累计需求；未扣自身未来产出，不代表已有库存</x:v>
      </x:c>
    </x:row>
    <x:row r="1906">
      <x:c r="A1906" s="25" t="str">
        <x:v>C10-E</x:v>
      </x:c>
      <x:c r="B1906" s="25" t="str">
        <x:v>王城罗德尔</x:v>
      </x:c>
      <x:c r="C1906" s="25" t="str">
        <x:v>半急速入场</x:v>
      </x:c>
      <x:c r="D1906" s="25" t="str">
        <x:v>材料</x:v>
      </x:c>
      <x:c r="E1906" s="25" t="str">
        <x:v>风蚀铁片</x:v>
      </x:c>
      <x:c r="F1906" s="25" t="n">
        <x:v>710</x:v>
      </x:c>
      <x:c r="G1906" s="25" t="str">
        <x:v>从C0至当前检查点累计需求；未扣自身未来产出，不代表已有库存</x:v>
      </x:c>
    </x:row>
    <x:row r="1907">
      <x:c r="A1907" s="25" t="str">
        <x:v>C10-E</x:v>
      </x:c>
      <x:c r="B1907" s="25" t="str">
        <x:v>王城罗德尔</x:v>
      </x:c>
      <x:c r="C1907" s="25" t="str">
        <x:v>半急速入场</x:v>
      </x:c>
      <x:c r="D1907" s="25" t="str">
        <x:v>材料</x:v>
      </x:c>
      <x:c r="E1907" s="25" t="str">
        <x:v>高原王诏金版</x:v>
      </x:c>
      <x:c r="F1907" s="25" t="n">
        <x:v>5</x:v>
      </x:c>
      <x:c r="G1907" s="25" t="str">
        <x:v>从C0至当前检查点累计需求；未扣自身未来产出，不代表已有库存</x:v>
      </x:c>
    </x:row>
    <x:row r="1908">
      <x:c r="A1908" s="25" t="str">
        <x:v>C10-E</x:v>
      </x:c>
      <x:c r="B1908" s="25" t="str">
        <x:v>王城罗德尔</x:v>
      </x:c>
      <x:c r="C1908" s="25" t="str">
        <x:v>半急速入场</x:v>
      </x:c>
      <x:c r="D1908" s="25" t="str">
        <x:v>材料</x:v>
      </x:c>
      <x:c r="E1908" s="25" t="str">
        <x:v>黄金叶脉</x:v>
      </x:c>
      <x:c r="F1908" s="25" t="n">
        <x:v>3470</x:v>
      </x:c>
      <x:c r="G1908" s="25" t="str">
        <x:v>从C0至当前检查点累计需求；未扣自身未来产出，不代表已有库存</x:v>
      </x:c>
    </x:row>
    <x:row r="1909">
      <x:c r="A1909" s="25" t="str">
        <x:v>C10-E</x:v>
      </x:c>
      <x:c r="B1909" s="25" t="str">
        <x:v>王城罗德尔</x:v>
      </x:c>
      <x:c r="C1909" s="25" t="str">
        <x:v>半急速入场</x:v>
      </x:c>
      <x:c r="D1909" s="25" t="str">
        <x:v>材料</x:v>
      </x:c>
      <x:c r="E1909" s="25" t="str">
        <x:v>黄金律印</x:v>
      </x:c>
      <x:c r="F1909" s="25" t="n">
        <x:v>112</x:v>
      </x:c>
      <x:c r="G1909" s="25" t="str">
        <x:v>从C0至当前检查点累计需求；未扣自身未来产出，不代表已有库存</x:v>
      </x:c>
    </x:row>
    <x:row r="1910">
      <x:c r="A1910" s="25" t="str">
        <x:v>C10-E</x:v>
      </x:c>
      <x:c r="B1910" s="25" t="str">
        <x:v>王城罗德尔</x:v>
      </x:c>
      <x:c r="C1910" s="25" t="str">
        <x:v>半急速入场</x:v>
      </x:c>
      <x:c r="D1910" s="25" t="str">
        <x:v>材料</x:v>
      </x:c>
      <x:c r="E1910" s="25" t="str">
        <x:v>黄金树碎核</x:v>
      </x:c>
      <x:c r="F1910" s="25" t="n">
        <x:v>2</x:v>
      </x:c>
      <x:c r="G1910" s="25" t="str">
        <x:v>从C0至当前检查点累计需求；未扣自身未来产出，不代表已有库存</x:v>
      </x:c>
    </x:row>
    <x:row r="1911">
      <x:c r="A1911" s="25" t="str">
        <x:v>C10-E</x:v>
      </x:c>
      <x:c r="B1911" s="25" t="str">
        <x:v>王城罗德尔</x:v>
      </x:c>
      <x:c r="C1911" s="25" t="str">
        <x:v>半急速入场</x:v>
      </x:c>
      <x:c r="D1911" s="25" t="str">
        <x:v>材料</x:v>
      </x:c>
      <x:c r="E1911" s="25" t="str">
        <x:v>黄金树芽</x:v>
      </x:c>
      <x:c r="F1911" s="25" t="n">
        <x:v>297</x:v>
      </x:c>
      <x:c r="G1911" s="25" t="str">
        <x:v>从C0至当前检查点累计需求；未扣自身未来产出，不代表已有库存</x:v>
      </x:c>
    </x:row>
    <x:row r="1912">
      <x:c r="A1912" s="25" t="str">
        <x:v>C10-E</x:v>
      </x:c>
      <x:c r="B1912" s="25" t="str">
        <x:v>王城罗德尔</x:v>
      </x:c>
      <x:c r="C1912" s="25" t="str">
        <x:v>半急速入场</x:v>
      </x:c>
      <x:c r="D1912" s="25" t="str">
        <x:v>材料</x:v>
      </x:c>
      <x:c r="E1912" s="25" t="str">
        <x:v>黄金骑徽</x:v>
      </x:c>
      <x:c r="F1912" s="25" t="n">
        <x:v>2</x:v>
      </x:c>
      <x:c r="G1912" s="25" t="str">
        <x:v>从C0至当前检查点累计需求；未扣自身未来产出，不代表已有库存</x:v>
      </x:c>
    </x:row>
    <x:row r="1913">
      <x:c r="A1913" s="25" t="str">
        <x:v>C10-E</x:v>
      </x:c>
      <x:c r="B1913" s="25" t="str">
        <x:v>王城罗德尔</x:v>
      </x:c>
      <x:c r="C1913" s="25" t="str">
        <x:v>半急速入场</x:v>
      </x:c>
      <x:c r="D1913" s="25" t="str">
        <x:v>材料</x:v>
      </x:c>
      <x:c r="E1913" s="25" t="str">
        <x:v>龙火鳞</x:v>
      </x:c>
      <x:c r="F1913" s="25" t="n">
        <x:v>38</x:v>
      </x:c>
      <x:c r="G1913" s="25" t="str">
        <x:v>从C0至当前检查点累计需求；未扣自身未来产出，不代表已有库存</x:v>
      </x:c>
    </x:row>
    <x:row r="1914">
      <x:c r="A1914" s="25" t="str">
        <x:v>C10-E</x:v>
      </x:c>
      <x:c r="B1914" s="25" t="str">
        <x:v>王城罗德尔</x:v>
      </x:c>
      <x:c r="C1914" s="25" t="str">
        <x:v>半急速入场</x:v>
      </x:c>
      <x:c r="D1914" s="25" t="str">
        <x:v>装备实物</x:v>
      </x:c>
      <x:c r="E1914" s="25" t="str">
        <x:v>共455个精确名称（明细见JSON）</x:v>
      </x:c>
      <x:c r="F1914" s="25" t="n">
        <x:v>617</x:v>
      </x:c>
      <x:c r="G1914" s="25" t="str">
        <x:v>含穿戴、重复试洗、图鉴登记与合成前置；完整数据未省略</x:v>
      </x:c>
    </x:row>
    <x:row r="1915">
      <x:c r="A1915" s="25" t="str">
        <x:v>C10-M</x:v>
      </x:c>
      <x:c r="B1915" s="25" t="str">
        <x:v>王城罗德尔</x:v>
      </x:c>
      <x:c r="C1915" s="25" t="str">
        <x:v>半急速中期</x:v>
      </x:c>
      <x:c r="D1915" s="25" t="str">
        <x:v>材料</x:v>
      </x:c>
      <x:c r="E1915" s="25" t="str">
        <x:v>兽将脊骨</x:v>
      </x:c>
      <x:c r="F1915" s="25" t="n">
        <x:v>1</x:v>
      </x:c>
      <x:c r="G1915" s="25" t="str">
        <x:v>从C0至当前检查点累计需求；未扣自身未来产出，不代表已有库存</x:v>
      </x:c>
    </x:row>
    <x:row r="1916">
      <x:c r="A1916" s="25" t="str">
        <x:v>C10-M</x:v>
      </x:c>
      <x:c r="B1916" s="25" t="str">
        <x:v>王城罗德尔</x:v>
      </x:c>
      <x:c r="C1916" s="25" t="str">
        <x:v>半急速中期</x:v>
      </x:c>
      <x:c r="D1916" s="25" t="str">
        <x:v>材料</x:v>
      </x:c>
      <x:c r="E1916" s="25" t="str">
        <x:v>冰宫守门铃</x:v>
      </x:c>
      <x:c r="F1916" s="25" t="n">
        <x:v>12</x:v>
      </x:c>
      <x:c r="G1916" s="25" t="str">
        <x:v>从C0至当前检查点累计需求；未扣自身未来产出，不代表已有库存</x:v>
      </x:c>
    </x:row>
    <x:row r="1917">
      <x:c r="A1917" s="25" t="str">
        <x:v>C10-M</x:v>
      </x:c>
      <x:c r="B1917" s="25" t="str">
        <x:v>王城罗德尔</x:v>
      </x:c>
      <x:c r="C1917" s="25" t="str">
        <x:v>半急速中期</x:v>
      </x:c>
      <x:c r="D1917" s="25" t="str">
        <x:v>材料</x:v>
      </x:c>
      <x:c r="E1917" s="25" t="str">
        <x:v>冻原银角</x:v>
      </x:c>
      <x:c r="F1917" s="25" t="n">
        <x:v>30</x:v>
      </x:c>
      <x:c r="G1917" s="25" t="str">
        <x:v>从C0至当前检查点累计需求；未扣自身未来产出，不代表已有库存</x:v>
      </x:c>
    </x:row>
    <x:row r="1918">
      <x:c r="A1918" s="25" t="str">
        <x:v>C10-M</x:v>
      </x:c>
      <x:c r="B1918" s="25" t="str">
        <x:v>王城罗德尔</x:v>
      </x:c>
      <x:c r="C1918" s="25" t="str">
        <x:v>半急速中期</x:v>
      </x:c>
      <x:c r="D1918" s="25" t="str">
        <x:v>材料</x:v>
      </x:c>
      <x:c r="E1918" s="25" t="str">
        <x:v>冻晶尘</x:v>
      </x:c>
      <x:c r="F1918" s="25" t="n">
        <x:v>1720</x:v>
      </x:c>
      <x:c r="G1918" s="25" t="str">
        <x:v>从C0至当前检查点累计需求；未扣自身未来产出，不代表已有库存</x:v>
      </x:c>
    </x:row>
    <x:row r="1919">
      <x:c r="A1919" s="25" t="str">
        <x:v>C10-M</x:v>
      </x:c>
      <x:c r="B1919" s="25" t="str">
        <x:v>王城罗德尔</x:v>
      </x:c>
      <x:c r="C1919" s="25" t="str">
        <x:v>半急速中期</x:v>
      </x:c>
      <x:c r="D1919" s="25" t="str">
        <x:v>材料</x:v>
      </x:c>
      <x:c r="E1919" s="25" t="str">
        <x:v>净火腺囊</x:v>
      </x:c>
      <x:c r="F1919" s="25" t="n">
        <x:v>44</x:v>
      </x:c>
      <x:c r="G1919" s="25" t="str">
        <x:v>从C0至当前检查点累计需求；未扣自身未来产出，不代表已有库存</x:v>
      </x:c>
    </x:row>
    <x:row r="1920">
      <x:c r="A1920" s="25" t="str">
        <x:v>C10-M</x:v>
      </x:c>
      <x:c r="B1920" s="25" t="str">
        <x:v>王城罗德尔</x:v>
      </x:c>
      <x:c r="C1920" s="25" t="str">
        <x:v>半急速中期</x:v>
      </x:c>
      <x:c r="D1920" s="25" t="str">
        <x:v>材料</x:v>
      </x:c>
      <x:c r="E1920" s="25" t="str">
        <x:v>卡利亚月露</x:v>
      </x:c>
      <x:c r="F1920" s="25" t="n">
        <x:v>36</x:v>
      </x:c>
      <x:c r="G1920" s="25" t="str">
        <x:v>从C0至当前检查点累计需求；未扣自身未来产出，不代表已有库存</x:v>
      </x:c>
    </x:row>
    <x:row r="1921">
      <x:c r="A1921" s="25" t="str">
        <x:v>C10-M</x:v>
      </x:c>
      <x:c r="B1921" s="25" t="str">
        <x:v>王城罗德尔</x:v>
      </x:c>
      <x:c r="C1921" s="25" t="str">
        <x:v>半急速中期</x:v>
      </x:c>
      <x:c r="D1921" s="25" t="str">
        <x:v>材料</x:v>
      </x:c>
      <x:c r="E1921" s="25" t="str">
        <x:v>古坛鎏叶髓</x:v>
      </x:c>
      <x:c r="F1921" s="25" t="n">
        <x:v>1</x:v>
      </x:c>
      <x:c r="G1921" s="25" t="str">
        <x:v>从C0至当前检查点累计需求；未扣自身未来产出，不代表已有库存</x:v>
      </x:c>
    </x:row>
    <x:row r="1922">
      <x:c r="A1922" s="25" t="str">
        <x:v>C10-M</x:v>
      </x:c>
      <x:c r="B1922" s="25" t="str">
        <x:v>王城罗德尔</x:v>
      </x:c>
      <x:c r="C1922" s="25" t="str">
        <x:v>半急速中期</x:v>
      </x:c>
      <x:c r="D1922" s="25" t="str">
        <x:v>材料</x:v>
      </x:c>
      <x:c r="E1922" s="25" t="str">
        <x:v>古王律页</x:v>
      </x:c>
      <x:c r="F1922" s="25" t="n">
        <x:v>105</x:v>
      </x:c>
      <x:c r="G1922" s="25" t="str">
        <x:v>从C0至当前检查点累计需求；未扣自身未来产出，不代表已有库存</x:v>
      </x:c>
    </x:row>
    <x:row r="1923">
      <x:c r="A1923" s="25" t="str">
        <x:v>C10-M</x:v>
      </x:c>
      <x:c r="B1923" s="25" t="str">
        <x:v>王城罗德尔</x:v>
      </x:c>
      <x:c r="C1923" s="25" t="str">
        <x:v>半急速中期</x:v>
      </x:c>
      <x:c r="D1923" s="25" t="str">
        <x:v>材料</x:v>
      </x:c>
      <x:c r="E1923" s="25" t="str">
        <x:v>哨垒旗冠</x:v>
      </x:c>
      <x:c r="F1923" s="25" t="n">
        <x:v>3</x:v>
      </x:c>
      <x:c r="G1923" s="25" t="str">
        <x:v>从C0至当前检查点累计需求；未扣自身未来产出，不代表已有库存</x:v>
      </x:c>
    </x:row>
    <x:row r="1924">
      <x:c r="A1924" s="25" t="str">
        <x:v>C10-M</x:v>
      </x:c>
      <x:c r="B1924" s="25" t="str">
        <x:v>王城罗德尔</x:v>
      </x:c>
      <x:c r="C1924" s="25" t="str">
        <x:v>半急速中期</x:v>
      </x:c>
      <x:c r="D1924" s="25" t="str">
        <x:v>材料</x:v>
      </x:c>
      <x:c r="E1924" s="25" t="str">
        <x:v>唤船骨铃</x:v>
      </x:c>
      <x:c r="F1924" s="25" t="n">
        <x:v>1</x:v>
      </x:c>
      <x:c r="G1924" s="25" t="str">
        <x:v>从C0至当前检查点累计需求；未扣自身未来产出，不代表已有库存</x:v>
      </x:c>
    </x:row>
    <x:row r="1925">
      <x:c r="A1925" s="25" t="str">
        <x:v>C10-M</x:v>
      </x:c>
      <x:c r="B1925" s="25" t="str">
        <x:v>王城罗德尔</x:v>
      </x:c>
      <x:c r="C1925" s="25" t="str">
        <x:v>半急速中期</x:v>
      </x:c>
      <x:c r="D1925" s="25" t="str">
        <x:v>材料</x:v>
      </x:c>
      <x:c r="E1925" s="25" t="str">
        <x:v>商队火漆</x:v>
      </x:c>
      <x:c r="F1925" s="25" t="n">
        <x:v>20</x:v>
      </x:c>
      <x:c r="G1925" s="25" t="str">
        <x:v>从C0至当前检查点累计需求；未扣自身未来产出，不代表已有库存</x:v>
      </x:c>
    </x:row>
    <x:row r="1926">
      <x:c r="A1926" s="25" t="str">
        <x:v>C10-M</x:v>
      </x:c>
      <x:c r="B1926" s="25" t="str">
        <x:v>王城罗德尔</x:v>
      </x:c>
      <x:c r="C1926" s="25" t="str">
        <x:v>半急速中期</x:v>
      </x:c>
      <x:c r="D1926" s="25" t="str">
        <x:v>材料</x:v>
      </x:c>
      <x:c r="E1926" s="25" t="str">
        <x:v>圣雪誓印</x:v>
      </x:c>
      <x:c r="F1926" s="25" t="n">
        <x:v>53</x:v>
      </x:c>
      <x:c r="G1926" s="25" t="str">
        <x:v>从C0至当前检查点累计需求；未扣自身未来产出，不代表已有库存</x:v>
      </x:c>
    </x:row>
    <x:row r="1927">
      <x:c r="A1927" s="25" t="str">
        <x:v>C10-M</x:v>
      </x:c>
      <x:c r="B1927" s="25" t="str">
        <x:v>王城罗德尔</x:v>
      </x:c>
      <x:c r="C1927" s="25" t="str">
        <x:v>半急速中期</x:v>
      </x:c>
      <x:c r="D1927" s="25" t="str">
        <x:v>材料</x:v>
      </x:c>
      <x:c r="E1927" s="25" t="str">
        <x:v>圣雪门楔</x:v>
      </x:c>
      <x:c r="F1927" s="25" t="n">
        <x:v>4</x:v>
      </x:c>
      <x:c r="G1927" s="25" t="str">
        <x:v>从C0至当前检查点累计需求；未扣自身未来产出，不代表已有库存</x:v>
      </x:c>
    </x:row>
    <x:row r="1928">
      <x:c r="A1928" s="25" t="str">
        <x:v>C10-M</x:v>
      </x:c>
      <x:c r="B1928" s="25" t="str">
        <x:v>王城罗德尔</x:v>
      </x:c>
      <x:c r="C1928" s="25" t="str">
        <x:v>半急速中期</x:v>
      </x:c>
      <x:c r="D1928" s="25" t="str">
        <x:v>材料</x:v>
      </x:c>
      <x:c r="E1928" s="25" t="str">
        <x:v>夜骑黑印</x:v>
      </x:c>
      <x:c r="F1928" s="25" t="n">
        <x:v>1</x:v>
      </x:c>
      <x:c r="G1928" s="25" t="str">
        <x:v>从C0至当前检查点累计需求；未扣自身未来产出，不代表已有库存</x:v>
      </x:c>
    </x:row>
    <x:row r="1929">
      <x:c r="A1929" s="25" t="str">
        <x:v>C10-M</x:v>
      </x:c>
      <x:c r="B1929" s="25" t="str">
        <x:v>王城罗德尔</x:v>
      </x:c>
      <x:c r="C1929" s="25" t="str">
        <x:v>半急速中期</x:v>
      </x:c>
      <x:c r="D1929" s="25" t="str">
        <x:v>材料</x:v>
      </x:c>
      <x:c r="E1929" s="25" t="str">
        <x:v>大卢恩</x:v>
      </x:c>
      <x:c r="F1929" s="25" t="n">
        <x:v>350</x:v>
      </x:c>
      <x:c r="G1929" s="25" t="str">
        <x:v>从C0至当前检查点累计需求；未扣自身未来产出，不代表已有库存</x:v>
      </x:c>
    </x:row>
    <x:row r="1930">
      <x:c r="A1930" s="25" t="str">
        <x:v>C10-M</x:v>
      </x:c>
      <x:c r="B1930" s="25" t="str">
        <x:v>王城罗德尔</x:v>
      </x:c>
      <x:c r="C1930" s="25" t="str">
        <x:v>半急速中期</x:v>
      </x:c>
      <x:c r="D1930" s="25" t="str">
        <x:v>材料</x:v>
      </x:c>
      <x:c r="E1930" s="25" t="str">
        <x:v>失乡军令</x:v>
      </x:c>
      <x:c r="F1930" s="25" t="n">
        <x:v>2</x:v>
      </x:c>
      <x:c r="G1930" s="25" t="str">
        <x:v>从C0至当前检查点累计需求；未扣自身未来产出，不代表已有库存</x:v>
      </x:c>
    </x:row>
    <x:row r="1931">
      <x:c r="A1931" s="25" t="str">
        <x:v>C10-M</x:v>
      </x:c>
      <x:c r="B1931" s="25" t="str">
        <x:v>王城罗德尔</x:v>
      </x:c>
      <x:c r="C1931" s="25" t="str">
        <x:v>半急速中期</x:v>
      </x:c>
      <x:c r="D1931" s="25" t="str">
        <x:v>材料</x:v>
      </x:c>
      <x:c r="E1931" s="25" t="str">
        <x:v>失乡统帅徽</x:v>
      </x:c>
      <x:c r="F1931" s="25" t="n">
        <x:v>2</x:v>
      </x:c>
      <x:c r="G1931" s="25" t="str">
        <x:v>从C0至当前检查点累计需求；未扣自身未来产出，不代表已有库存</x:v>
      </x:c>
    </x:row>
    <x:row r="1932">
      <x:c r="A1932" s="25" t="str">
        <x:v>C10-M</x:v>
      </x:c>
      <x:c r="B1932" s="25" t="str">
        <x:v>王城罗德尔</x:v>
      </x:c>
      <x:c r="C1932" s="25" t="str">
        <x:v>半急速中期</x:v>
      </x:c>
      <x:c r="D1932" s="25" t="str">
        <x:v>材料</x:v>
      </x:c>
      <x:c r="E1932" s="25" t="str">
        <x:v>失色锻造石</x:v>
      </x:c>
      <x:c r="F1932" s="25" t="n">
        <x:v>64420</x:v>
      </x:c>
      <x:c r="G1932" s="25" t="str">
        <x:v>从C0至当前检查点累计需求；未扣自身未来产出，不代表已有库存</x:v>
      </x:c>
    </x:row>
    <x:row r="1933">
      <x:c r="A1933" s="25" t="str">
        <x:v>C10-M</x:v>
      </x:c>
      <x:c r="B1933" s="25" t="str">
        <x:v>王城罗德尔</x:v>
      </x:c>
      <x:c r="C1933" s="25" t="str">
        <x:v>半急速中期</x:v>
      </x:c>
      <x:c r="D1933" s="25" t="str">
        <x:v>材料</x:v>
      </x:c>
      <x:c r="E1933" s="25" t="str">
        <x:v>学院封蜡</x:v>
      </x:c>
      <x:c r="F1933" s="25" t="n">
        <x:v>24</x:v>
      </x:c>
      <x:c r="G1933" s="25" t="str">
        <x:v>从C0至当前检查点累计需求；未扣自身未来产出，不代表已有库存</x:v>
      </x:c>
    </x:row>
    <x:row r="1934">
      <x:c r="A1934" s="25" t="str">
        <x:v>C10-M</x:v>
      </x:c>
      <x:c r="B1934" s="25" t="str">
        <x:v>王城罗德尔</x:v>
      </x:c>
      <x:c r="C1934" s="25" t="str">
        <x:v>半急速中期</x:v>
      </x:c>
      <x:c r="D1934" s="25" t="str">
        <x:v>材料</x:v>
      </x:c>
      <x:c r="E1934" s="25" t="str">
        <x:v>宁姆格福誓页</x:v>
      </x:c>
      <x:c r="F1934" s="25" t="n">
        <x:v>90</x:v>
      </x:c>
      <x:c r="G1934" s="25" t="str">
        <x:v>从C0至当前检查点累计需求；未扣自身未来产出，不代表已有库存</x:v>
      </x:c>
    </x:row>
    <x:row r="1935">
      <x:c r="A1935" s="25" t="str">
        <x:v>C10-M</x:v>
      </x:c>
      <x:c r="B1935" s="25" t="str">
        <x:v>王城罗德尔</x:v>
      </x:c>
      <x:c r="C1935" s="25" t="str">
        <x:v>半急速中期</x:v>
      </x:c>
      <x:c r="D1935" s="25" t="str">
        <x:v>材料</x:v>
      </x:c>
      <x:c r="E1935" s="25" t="str">
        <x:v>小卢恩</x:v>
      </x:c>
      <x:c r="F1935" s="25" t="n">
        <x:v>250</x:v>
      </x:c>
      <x:c r="G1935" s="25" t="str">
        <x:v>从C0至当前检查点累计需求；未扣自身未来产出，不代表已有库存</x:v>
      </x:c>
    </x:row>
    <x:row r="1936">
      <x:c r="A1936" s="25" t="str">
        <x:v>C10-M</x:v>
      </x:c>
      <x:c r="B1936" s="25" t="str">
        <x:v>王城罗德尔</x:v>
      </x:c>
      <x:c r="C1936" s="25" t="str">
        <x:v>半急速中期</x:v>
      </x:c>
      <x:c r="D1936" s="25" t="str">
        <x:v>材料</x:v>
      </x:c>
      <x:c r="E1936" s="25" t="str">
        <x:v>山妖王角</x:v>
      </x:c>
      <x:c r="F1936" s="25" t="n">
        <x:v>2</x:v>
      </x:c>
      <x:c r="G1936" s="25" t="str">
        <x:v>从C0至当前检查点累计需求；未扣自身未来产出，不代表已有库存</x:v>
      </x:c>
    </x:row>
    <x:row r="1937">
      <x:c r="A1937" s="25" t="str">
        <x:v>C10-M</x:v>
      </x:c>
      <x:c r="B1937" s="25" t="str">
        <x:v>王城罗德尔</x:v>
      </x:c>
      <x:c r="C1937" s="25" t="str">
        <x:v>半急速中期</x:v>
      </x:c>
      <x:c r="D1937" s="25" t="str">
        <x:v>材料</x:v>
      </x:c>
      <x:c r="E1937" s="25" t="str">
        <x:v>巨人火印</x:v>
      </x:c>
      <x:c r="F1937" s="25" t="n">
        <x:v>41</x:v>
      </x:c>
      <x:c r="G1937" s="25" t="str">
        <x:v>从C0至当前检查点累计需求；未扣自身未来产出，不代表已有库存</x:v>
      </x:c>
    </x:row>
    <x:row r="1938">
      <x:c r="A1938" s="25" t="str">
        <x:v>C10-M</x:v>
      </x:c>
      <x:c r="B1938" s="25" t="str">
        <x:v>王城罗德尔</x:v>
      </x:c>
      <x:c r="C1938" s="25" t="str">
        <x:v>半急速中期</x:v>
      </x:c>
      <x:c r="D1938" s="25" t="str">
        <x:v>材料</x:v>
      </x:c>
      <x:c r="E1938" s="25" t="str">
        <x:v>巨人火种</x:v>
      </x:c>
      <x:c r="F1938" s="25" t="n">
        <x:v>65</x:v>
      </x:c>
      <x:c r="G1938" s="25" t="str">
        <x:v>从C0至当前检查点累计需求；未扣自身未来产出，不代表已有库存</x:v>
      </x:c>
    </x:row>
    <x:row r="1939">
      <x:c r="A1939" s="25" t="str">
        <x:v>C10-M</x:v>
      </x:c>
      <x:c r="B1939" s="25" t="str">
        <x:v>王城罗德尔</x:v>
      </x:c>
      <x:c r="C1939" s="25" t="str">
        <x:v>半急速中期</x:v>
      </x:c>
      <x:c r="D1939" s="25" t="str">
        <x:v>材料</x:v>
      </x:c>
      <x:c r="E1939" s="25" t="str">
        <x:v>巨人熔火卢恩</x:v>
      </x:c>
      <x:c r="F1939" s="25" t="n">
        <x:v>450</x:v>
      </x:c>
      <x:c r="G1939" s="25" t="str">
        <x:v>从C0至当前检查点累计需求；未扣自身未来产出，不代表已有库存</x:v>
      </x:c>
    </x:row>
    <x:row r="1940">
      <x:c r="A1940" s="25" t="str">
        <x:v>C10-M</x:v>
      </x:c>
      <x:c r="B1940" s="25" t="str">
        <x:v>王城罗德尔</x:v>
      </x:c>
      <x:c r="C1940" s="25" t="str">
        <x:v>半急速中期</x:v>
      </x:c>
      <x:c r="D1940" s="25" t="str">
        <x:v>材料</x:v>
      </x:c>
      <x:c r="E1940" s="25" t="str">
        <x:v>幽船铆钉</x:v>
      </x:c>
      <x:c r="F1940" s="25" t="n">
        <x:v>21</x:v>
      </x:c>
      <x:c r="G1940" s="25" t="str">
        <x:v>从C0至当前检查点累计需求；未扣自身未来产出，不代表已有库存</x:v>
      </x:c>
    </x:row>
    <x:row r="1941">
      <x:c r="A1941" s="25" t="str">
        <x:v>C10-M</x:v>
      </x:c>
      <x:c r="B1941" s="25" t="str">
        <x:v>王城罗德尔</x:v>
      </x:c>
      <x:c r="C1941" s="25" t="str">
        <x:v>半急速中期</x:v>
      </x:c>
      <x:c r="D1941" s="25" t="str">
        <x:v>材料</x:v>
      </x:c>
      <x:c r="E1941" s="25" t="str">
        <x:v>恶兆残角</x:v>
      </x:c>
      <x:c r="F1941" s="25" t="n">
        <x:v>1</x:v>
      </x:c>
      <x:c r="G1941" s="25" t="str">
        <x:v>从C0至当前检查点累计需求；未扣自身未来产出，不代表已有库存</x:v>
      </x:c>
    </x:row>
    <x:row r="1942">
      <x:c r="A1942" s="25" t="str">
        <x:v>C10-M</x:v>
      </x:c>
      <x:c r="B1942" s="25" t="str">
        <x:v>王城罗德尔</x:v>
      </x:c>
      <x:c r="C1942" s="25" t="str">
        <x:v>半急速中期</x:v>
      </x:c>
      <x:c r="D1942" s="25" t="str">
        <x:v>材料</x:v>
      </x:c>
      <x:c r="E1942" s="25" t="str">
        <x:v>技能残页</x:v>
      </x:c>
      <x:c r="F1942" s="25" t="n">
        <x:v>1350</x:v>
      </x:c>
      <x:c r="G1942" s="25" t="str">
        <x:v>从C0至当前检查点累计需求；未扣自身未来产出，不代表已有库存</x:v>
      </x:c>
    </x:row>
    <x:row r="1943">
      <x:c r="A1943" s="25" t="str">
        <x:v>C10-M</x:v>
      </x:c>
      <x:c r="B1943" s="25" t="str">
        <x:v>王城罗德尔</x:v>
      </x:c>
      <x:c r="C1943" s="25" t="str">
        <x:v>半急速中期</x:v>
      </x:c>
      <x:c r="D1943" s="25" t="str">
        <x:v>材料</x:v>
      </x:c>
      <x:c r="E1943" s="25" t="str">
        <x:v>接肢兽心</x:v>
      </x:c>
      <x:c r="F1943" s="25" t="n">
        <x:v>2</x:v>
      </x:c>
      <x:c r="G1943" s="25" t="str">
        <x:v>从C0至当前检查点累计需求；未扣自身未来产出，不代表已有库存</x:v>
      </x:c>
    </x:row>
    <x:row r="1944">
      <x:c r="A1944" s="25" t="str">
        <x:v>C10-M</x:v>
      </x:c>
      <x:c r="B1944" s="25" t="str">
        <x:v>王城罗德尔</x:v>
      </x:c>
      <x:c r="C1944" s="25" t="str">
        <x:v>半急速中期</x:v>
      </x:c>
      <x:c r="D1944" s="25" t="str">
        <x:v>材料</x:v>
      </x:c>
      <x:c r="E1944" s="25" t="str">
        <x:v>接肢王印</x:v>
      </x:c>
      <x:c r="F1944" s="25" t="n">
        <x:v>13</x:v>
      </x:c>
      <x:c r="G1944" s="25" t="str">
        <x:v>从C0至当前检查点累计需求；未扣自身未来产出，不代表已有库存</x:v>
      </x:c>
    </x:row>
    <x:row r="1945">
      <x:c r="A1945" s="25" t="str">
        <x:v>C10-M</x:v>
      </x:c>
      <x:c r="B1945" s="25" t="str">
        <x:v>王城罗德尔</x:v>
      </x:c>
      <x:c r="C1945" s="25" t="str">
        <x:v>半急速中期</x:v>
      </x:c>
      <x:c r="D1945" s="25" t="str">
        <x:v>材料</x:v>
      </x:c>
      <x:c r="E1945" s="25" t="str">
        <x:v>接肢王魂</x:v>
      </x:c>
      <x:c r="F1945" s="25" t="n">
        <x:v>1</x:v>
      </x:c>
      <x:c r="G1945" s="25" t="str">
        <x:v>从C0至当前检查点累计需求；未扣自身未来产出，不代表已有库存</x:v>
      </x:c>
    </x:row>
    <x:row r="1946">
      <x:c r="A1946" s="25" t="str">
        <x:v>C10-M</x:v>
      </x:c>
      <x:c r="B1946" s="25" t="str">
        <x:v>王城罗德尔</x:v>
      </x:c>
      <x:c r="C1946" s="25" t="str">
        <x:v>半急速中期</x:v>
      </x:c>
      <x:c r="D1946" s="25" t="str">
        <x:v>材料</x:v>
      </x:c>
      <x:c r="E1946" s="25" t="str">
        <x:v>旧渠阀芯</x:v>
      </x:c>
      <x:c r="F1946" s="25" t="n">
        <x:v>30</x:v>
      </x:c>
      <x:c r="G1946" s="25" t="str">
        <x:v>从C0至当前检查点累计需求；未扣自身未来产出，不代表已有库存</x:v>
      </x:c>
    </x:row>
    <x:row r="1947">
      <x:c r="A1947" s="25" t="str">
        <x:v>C10-M</x:v>
      </x:c>
      <x:c r="B1947" s="25" t="str">
        <x:v>王城罗德尔</x:v>
      </x:c>
      <x:c r="C1947" s="25" t="str">
        <x:v>半急速中期</x:v>
      </x:c>
      <x:c r="D1947" s="25" t="str">
        <x:v>材料</x:v>
      </x:c>
      <x:c r="E1947" s="25" t="str">
        <x:v>月潮忆珀</x:v>
      </x:c>
      <x:c r="F1947" s="25" t="n">
        <x:v>1</x:v>
      </x:c>
      <x:c r="G1947" s="25" t="str">
        <x:v>从C0至当前检查点累计需求；未扣自身未来产出，不代表已有库存</x:v>
      </x:c>
    </x:row>
    <x:row r="1948">
      <x:c r="A1948" s="25" t="str">
        <x:v>C10-M</x:v>
      </x:c>
      <x:c r="B1948" s="25" t="str">
        <x:v>王城罗德尔</x:v>
      </x:c>
      <x:c r="C1948" s="25" t="str">
        <x:v>半急速中期</x:v>
      </x:c>
      <x:c r="D1948" s="25" t="str">
        <x:v>材料</x:v>
      </x:c>
      <x:c r="E1948" s="25" t="str">
        <x:v>月蚀镜片</x:v>
      </x:c>
      <x:c r="F1948" s="25" t="n">
        <x:v>21</x:v>
      </x:c>
      <x:c r="G1948" s="25" t="str">
        <x:v>从C0至当前检查点累计需求；未扣自身未来产出，不代表已有库存</x:v>
      </x:c>
    </x:row>
    <x:row r="1949">
      <x:c r="A1949" s="25" t="str">
        <x:v>C10-M</x:v>
      </x:c>
      <x:c r="B1949" s="25" t="str">
        <x:v>王城罗德尔</x:v>
      </x:c>
      <x:c r="C1949" s="25" t="str">
        <x:v>半急速中期</x:v>
      </x:c>
      <x:c r="D1949" s="25" t="str">
        <x:v>材料</x:v>
      </x:c>
      <x:c r="E1949" s="25" t="str">
        <x:v>树卫枪穗</x:v>
      </x:c>
      <x:c r="F1949" s="25" t="n">
        <x:v>1</x:v>
      </x:c>
      <x:c r="G1949" s="25" t="str">
        <x:v>从C0至当前检查点累计需求；未扣自身未来产出，不代表已有库存</x:v>
      </x:c>
    </x:row>
    <x:row r="1950">
      <x:c r="A1950" s="25" t="str">
        <x:v>C10-M</x:v>
      </x:c>
      <x:c r="B1950" s="25" t="str">
        <x:v>王城罗德尔</x:v>
      </x:c>
      <x:c r="C1950" s="25" t="str">
        <x:v>半急速中期</x:v>
      </x:c>
      <x:c r="D1950" s="25" t="str">
        <x:v>材料</x:v>
      </x:c>
      <x:c r="E1950" s="25" t="str">
        <x:v>死亡仪羽</x:v>
      </x:c>
      <x:c r="F1950" s="25" t="n">
        <x:v>2</x:v>
      </x:c>
      <x:c r="G1950" s="25" t="str">
        <x:v>从C0至当前检查点累计需求；未扣自身未来产出，不代表已有库存</x:v>
      </x:c>
    </x:row>
    <x:row r="1951">
      <x:c r="A1951" s="25" t="str">
        <x:v>C10-M</x:v>
      </x:c>
      <x:c r="B1951" s="25" t="str">
        <x:v>王城罗德尔</x:v>
      </x:c>
      <x:c r="C1951" s="25" t="str">
        <x:v>半急速中期</x:v>
      </x:c>
      <x:c r="D1951" s="25" t="str">
        <x:v>材料</x:v>
      </x:c>
      <x:c r="E1951" s="25" t="str">
        <x:v>永霜朝圣痕</x:v>
      </x:c>
      <x:c r="F1951" s="25" t="n">
        <x:v>1</x:v>
      </x:c>
      <x:c r="G1951" s="25" t="str">
        <x:v>从C0至当前检查点累计需求；未扣自身未来产出，不代表已有库存</x:v>
      </x:c>
    </x:row>
    <x:row r="1952">
      <x:c r="A1952" s="25" t="str">
        <x:v>C10-M</x:v>
      </x:c>
      <x:c r="B1952" s="25" t="str">
        <x:v>王城罗德尔</x:v>
      </x:c>
      <x:c r="C1952" s="25" t="str">
        <x:v>半急速中期</x:v>
      </x:c>
      <x:c r="D1952" s="25" t="str">
        <x:v>材料</x:v>
      </x:c>
      <x:c r="E1952" s="25" t="str">
        <x:v>沉湖王印</x:v>
      </x:c>
      <x:c r="F1952" s="25" t="n">
        <x:v>16</x:v>
      </x:c>
      <x:c r="G1952" s="25" t="str">
        <x:v>从C0至当前检查点累计需求；未扣自身未来产出，不代表已有库存</x:v>
      </x:c>
    </x:row>
    <x:row r="1953">
      <x:c r="A1953" s="25" t="str">
        <x:v>C10-M</x:v>
      </x:c>
      <x:c r="B1953" s="25" t="str">
        <x:v>王城罗德尔</x:v>
      </x:c>
      <x:c r="C1953" s="25" t="str">
        <x:v>半急速中期</x:v>
      </x:c>
      <x:c r="D1953" s="25" t="str">
        <x:v>材料</x:v>
      </x:c>
      <x:c r="E1953" s="25" t="str">
        <x:v>沉船缆扣</x:v>
      </x:c>
      <x:c r="F1953" s="25" t="n">
        <x:v>12</x:v>
      </x:c>
      <x:c r="G1953" s="25" t="str">
        <x:v>从C0至当前检查点累计需求；未扣自身未来产出，不代表已有库存</x:v>
      </x:c>
    </x:row>
    <x:row r="1954">
      <x:c r="A1954" s="25" t="str">
        <x:v>C10-M</x:v>
      </x:c>
      <x:c r="B1954" s="25" t="str">
        <x:v>王城罗德尔</x:v>
      </x:c>
      <x:c r="C1954" s="25" t="str">
        <x:v>半急速中期</x:v>
      </x:c>
      <x:c r="D1954" s="25" t="str">
        <x:v>材料</x:v>
      </x:c>
      <x:c r="E1954" s="25" t="str">
        <x:v>海蚀铁片</x:v>
      </x:c>
      <x:c r="F1954" s="25" t="n">
        <x:v>160</x:v>
      </x:c>
      <x:c r="G1954" s="25" t="str">
        <x:v>从C0至当前检查点累计需求；未扣自身未来产出，不代表已有库存</x:v>
      </x:c>
    </x:row>
    <x:row r="1955">
      <x:c r="A1955" s="25" t="str">
        <x:v>C10-M</x:v>
      </x:c>
      <x:c r="B1955" s="25" t="str">
        <x:v>王城罗德尔</x:v>
      </x:c>
      <x:c r="C1955" s="25" t="str">
        <x:v>半急速中期</x:v>
      </x:c>
      <x:c r="D1955" s="25" t="str">
        <x:v>材料</x:v>
      </x:c>
      <x:c r="E1955" s="25" t="str">
        <x:v>湖底封门珠</x:v>
      </x:c>
      <x:c r="F1955" s="25" t="n">
        <x:v>8</x:v>
      </x:c>
      <x:c r="G1955" s="25" t="str">
        <x:v>从C0至当前检查点累计需求；未扣自身未来产出，不代表已有库存</x:v>
      </x:c>
    </x:row>
    <x:row r="1956">
      <x:c r="A1956" s="25" t="str">
        <x:v>C10-M</x:v>
      </x:c>
      <x:c r="B1956" s="25" t="str">
        <x:v>王城罗德尔</x:v>
      </x:c>
      <x:c r="C1956" s="25" t="str">
        <x:v>半急速中期</x:v>
      </x:c>
      <x:c r="D1956" s="25" t="str">
        <x:v>材料</x:v>
      </x:c>
      <x:c r="E1956" s="25" t="str">
        <x:v>湖心月谱残章</x:v>
      </x:c>
      <x:c r="F1956" s="25" t="n">
        <x:v>1</x:v>
      </x:c>
      <x:c r="G1956" s="25" t="str">
        <x:v>从C0至当前检查点累计需求；未扣自身未来产出，不代表已有库存</x:v>
      </x:c>
    </x:row>
    <x:row r="1957">
      <x:c r="A1957" s="25" t="str">
        <x:v>C10-M</x:v>
      </x:c>
      <x:c r="B1957" s="25" t="str">
        <x:v>王城罗德尔</x:v>
      </x:c>
      <x:c r="C1957" s="25" t="str">
        <x:v>半急速中期</x:v>
      </x:c>
      <x:c r="D1957" s="25" t="str">
        <x:v>材料</x:v>
      </x:c>
      <x:c r="E1957" s="25" t="str">
        <x:v>湖盐结晶</x:v>
      </x:c>
      <x:c r="F1957" s="25" t="n">
        <x:v>1647</x:v>
      </x:c>
      <x:c r="G1957" s="25" t="str">
        <x:v>从C0至当前检查点累计需求；未扣自身未来产出，不代表已有库存</x:v>
      </x:c>
    </x:row>
    <x:row r="1958">
      <x:c r="A1958" s="25" t="str">
        <x:v>C10-M</x:v>
      </x:c>
      <x:c r="B1958" s="25" t="str">
        <x:v>王城罗德尔</x:v>
      </x:c>
      <x:c r="C1958" s="25" t="str">
        <x:v>半急速中期</x:v>
      </x:c>
      <x:c r="D1958" s="25" t="str">
        <x:v>材料</x:v>
      </x:c>
      <x:c r="E1958" s="25" t="str">
        <x:v>溃烂树核</x:v>
      </x:c>
      <x:c r="F1958" s="25" t="n">
        <x:v>1</x:v>
      </x:c>
      <x:c r="G1958" s="25" t="str">
        <x:v>从C0至当前检查点累计需求；未扣自身未来产出，不代表已有库存</x:v>
      </x:c>
    </x:row>
    <x:row r="1959">
      <x:c r="A1959" s="25" t="str">
        <x:v>C10-M</x:v>
      </x:c>
      <x:c r="B1959" s="25" t="str">
        <x:v>王城罗德尔</x:v>
      </x:c>
      <x:c r="C1959" s="25" t="str">
        <x:v>半急速中期</x:v>
      </x:c>
      <x:c r="D1959" s="25" t="str">
        <x:v>材料</x:v>
      </x:c>
      <x:c r="E1959" s="25" t="str">
        <x:v>满月王室印</x:v>
      </x:c>
      <x:c r="F1959" s="25" t="n">
        <x:v>51</x:v>
      </x:c>
      <x:c r="G1959" s="25" t="str">
        <x:v>从C0至当前检查点累计需求；未扣自身未来产出，不代表已有库存</x:v>
      </x:c>
    </x:row>
    <x:row r="1960">
      <x:c r="A1960" s="25" t="str">
        <x:v>C10-M</x:v>
      </x:c>
      <x:c r="B1960" s="25" t="str">
        <x:v>王城罗德尔</x:v>
      </x:c>
      <x:c r="C1960" s="25" t="str">
        <x:v>半急速中期</x:v>
      </x:c>
      <x:c r="D1960" s="25" t="str">
        <x:v>材料</x:v>
      </x:c>
      <x:c r="E1960" s="25" t="str">
        <x:v>漂流大陆印记</x:v>
      </x:c>
      <x:c r="F1960" s="25" t="n">
        <x:v>11</x:v>
      </x:c>
      <x:c r="G1960" s="25" t="str">
        <x:v>从C0至当前检查点累计需求；未扣自身未来产出，不代表已有库存</x:v>
      </x:c>
    </x:row>
    <x:row r="1961">
      <x:c r="A1961" s="25" t="str">
        <x:v>C10-M</x:v>
      </x:c>
      <x:c r="B1961" s="25" t="str">
        <x:v>王城罗德尔</x:v>
      </x:c>
      <x:c r="C1961" s="25" t="str">
        <x:v>半急速中期</x:v>
      </x:c>
      <x:c r="D1961" s="25" t="str">
        <x:v>材料</x:v>
      </x:c>
      <x:c r="E1961" s="25" t="str">
        <x:v>漂流见证·潮</x:v>
      </x:c>
      <x:c r="F1961" s="25" t="n">
        <x:v>8</x:v>
      </x:c>
      <x:c r="G1961" s="25" t="str">
        <x:v>从C0至当前检查点累计需求；未扣自身未来产出，不代表已有库存</x:v>
      </x:c>
    </x:row>
    <x:row r="1962">
      <x:c r="A1962" s="25" t="str">
        <x:v>C10-M</x:v>
      </x:c>
      <x:c r="B1962" s="25" t="str">
        <x:v>王城罗德尔</x:v>
      </x:c>
      <x:c r="C1962" s="25" t="str">
        <x:v>半急速中期</x:v>
      </x:c>
      <x:c r="D1962" s="25" t="str">
        <x:v>材料</x:v>
      </x:c>
      <x:c r="E1962" s="25" t="str">
        <x:v>漂流见证·雷</x:v>
      </x:c>
      <x:c r="F1962" s="25" t="n">
        <x:v>8</x:v>
      </x:c>
      <x:c r="G1962" s="25" t="str">
        <x:v>从C0至当前检查点累计需求；未扣自身未来产出，不代表已有库存</x:v>
      </x:c>
    </x:row>
    <x:row r="1963">
      <x:c r="A1963" s="25" t="str">
        <x:v>C10-M</x:v>
      </x:c>
      <x:c r="B1963" s="25" t="str">
        <x:v>王城罗德尔</x:v>
      </x:c>
      <x:c r="C1963" s="25" t="str">
        <x:v>半急速中期</x:v>
      </x:c>
      <x:c r="D1963" s="25" t="str">
        <x:v>材料</x:v>
      </x:c>
      <x:c r="E1963" s="25" t="str">
        <x:v>潮痕结晶</x:v>
      </x:c>
      <x:c r="F1963" s="25" t="n">
        <x:v>16</x:v>
      </x:c>
      <x:c r="G1963" s="25" t="str">
        <x:v>从C0至当前检查点累计需求；未扣自身未来产出，不代表已有库存</x:v>
      </x:c>
    </x:row>
    <x:row r="1964">
      <x:c r="A1964" s="25" t="str">
        <x:v>C10-M</x:v>
      </x:c>
      <x:c r="B1964" s="25" t="str">
        <x:v>王城罗德尔</x:v>
      </x:c>
      <x:c r="C1964" s="25" t="str">
        <x:v>半急速中期</x:v>
      </x:c>
      <x:c r="D1964" s="25" t="str">
        <x:v>材料</x:v>
      </x:c>
      <x:c r="E1964" s="25" t="str">
        <x:v>熊王心脏</x:v>
      </x:c>
      <x:c r="F1964" s="25" t="n">
        <x:v>2</x:v>
      </x:c>
      <x:c r="G1964" s="25" t="str">
        <x:v>从C0至当前检查点累计需求；未扣自身未来产出，不代表已有库存</x:v>
      </x:c>
    </x:row>
    <x:row r="1965">
      <x:c r="A1965" s="25" t="str">
        <x:v>C10-M</x:v>
      </x:c>
      <x:c r="B1965" s="25" t="str">
        <x:v>王城罗德尔</x:v>
      </x:c>
      <x:c r="C1965" s="25" t="str">
        <x:v>半急速中期</x:v>
      </x:c>
      <x:c r="D1965" s="25" t="str">
        <x:v>材料</x:v>
      </x:c>
      <x:c r="E1965" s="25" t="str">
        <x:v>熔原罪火残章</x:v>
      </x:c>
      <x:c r="F1965" s="25" t="n">
        <x:v>1</x:v>
      </x:c>
      <x:c r="G1965" s="25" t="str">
        <x:v>从C0至当前检查点累计需求；未扣自身未来产出，不代表已有库存</x:v>
      </x:c>
    </x:row>
    <x:row r="1966">
      <x:c r="A1966" s="25" t="str">
        <x:v>C10-M</x:v>
      </x:c>
      <x:c r="B1966" s="25" t="str">
        <x:v>王城罗德尔</x:v>
      </x:c>
      <x:c r="C1966" s="25" t="str">
        <x:v>半急速中期</x:v>
      </x:c>
      <x:c r="D1966" s="25" t="str">
        <x:v>材料</x:v>
      </x:c>
      <x:c r="E1966" s="25" t="str">
        <x:v>熔炉角片</x:v>
      </x:c>
      <x:c r="F1966" s="25" t="n">
        <x:v>1</x:v>
      </x:c>
      <x:c r="G1966" s="25" t="str">
        <x:v>从C0至当前检查点累计需求；未扣自身未来产出，不代表已有库存</x:v>
      </x:c>
    </x:row>
    <x:row r="1967">
      <x:c r="A1967" s="25" t="str">
        <x:v>C10-M</x:v>
      </x:c>
      <x:c r="B1967" s="25" t="str">
        <x:v>王城罗德尔</x:v>
      </x:c>
      <x:c r="C1967" s="25" t="str">
        <x:v>半急速中期</x:v>
      </x:c>
      <x:c r="D1967" s="25" t="str">
        <x:v>材料</x:v>
      </x:c>
      <x:c r="E1967" s="25" t="str">
        <x:v>猩红矿渣</x:v>
      </x:c>
      <x:c r="F1967" s="25" t="n">
        <x:v>1737</x:v>
      </x:c>
      <x:c r="G1967" s="25" t="str">
        <x:v>从C0至当前检查点累计需求；未扣自身未来产出，不代表已有库存</x:v>
      </x:c>
    </x:row>
    <x:row r="1968">
      <x:c r="A1968" s="25" t="str">
        <x:v>C10-M</x:v>
      </x:c>
      <x:c r="B1968" s="25" t="str">
        <x:v>王城罗德尔</x:v>
      </x:c>
      <x:c r="C1968" s="25" t="str">
        <x:v>半急速中期</x:v>
      </x:c>
      <x:c r="D1968" s="25" t="str">
        <x:v>材料</x:v>
      </x:c>
      <x:c r="E1968" s="25" t="str">
        <x:v>王城军印</x:v>
      </x:c>
      <x:c r="F1968" s="25" t="n">
        <x:v>1</x:v>
      </x:c>
      <x:c r="G1968" s="25" t="str">
        <x:v>从C0至当前检查点累计需求；未扣自身未来产出，不代表已有库存</x:v>
      </x:c>
    </x:row>
    <x:row r="1969">
      <x:c r="A1969" s="25" t="str">
        <x:v>C10-M</x:v>
      </x:c>
      <x:c r="B1969" s="25" t="str">
        <x:v>王城罗德尔</x:v>
      </x:c>
      <x:c r="C1969" s="25" t="str">
        <x:v>半急速中期</x:v>
      </x:c>
      <x:c r="D1969" s="25" t="str">
        <x:v>材料</x:v>
      </x:c>
      <x:c r="E1969" s="25" t="str">
        <x:v>王城金屑</x:v>
      </x:c>
      <x:c r="F1969" s="25" t="n">
        <x:v>1465</x:v>
      </x:c>
      <x:c r="G1969" s="25" t="str">
        <x:v>从C0至当前检查点累计需求；未扣自身未来产出，不代表已有库存</x:v>
      </x:c>
    </x:row>
    <x:row r="1970">
      <x:c r="A1970" s="25" t="str">
        <x:v>C10-M</x:v>
      </x:c>
      <x:c r="B1970" s="25" t="str">
        <x:v>王城罗德尔</x:v>
      </x:c>
      <x:c r="C1970" s="25" t="str">
        <x:v>半急速中期</x:v>
      </x:c>
      <x:c r="D1970" s="25" t="str">
        <x:v>材料</x:v>
      </x:c>
      <x:c r="E1970" s="25" t="str">
        <x:v>王宫律文</x:v>
      </x:c>
      <x:c r="F1970" s="25" t="n">
        <x:v>28</x:v>
      </x:c>
      <x:c r="G1970" s="25" t="str">
        <x:v>从C0至当前检查点累计需求；未扣自身未来产出，不代表已有库存</x:v>
      </x:c>
    </x:row>
    <x:row r="1971">
      <x:c r="A1971" s="25" t="str">
        <x:v>C10-M</x:v>
      </x:c>
      <x:c r="B1971" s="25" t="str">
        <x:v>王城罗德尔</x:v>
      </x:c>
      <x:c r="C1971" s="25" t="str">
        <x:v>半急速中期</x:v>
      </x:c>
      <x:c r="D1971" s="25" t="str">
        <x:v>材料</x:v>
      </x:c>
      <x:c r="E1971" s="25" t="str">
        <x:v>王宫断冠片</x:v>
      </x:c>
      <x:c r="F1971" s="25" t="n">
        <x:v>2</x:v>
      </x:c>
      <x:c r="G1971" s="25" t="str">
        <x:v>从C0至当前检查点累计需求；未扣自身未来产出，不代表已有库存</x:v>
      </x:c>
    </x:row>
    <x:row r="1972">
      <x:c r="A1972" s="25" t="str">
        <x:v>C10-M</x:v>
      </x:c>
      <x:c r="B1972" s="25" t="str">
        <x:v>王城罗德尔</x:v>
      </x:c>
      <x:c r="C1972" s="25" t="str">
        <x:v>半急速中期</x:v>
      </x:c>
      <x:c r="D1972" s="25" t="str">
        <x:v>材料</x:v>
      </x:c>
      <x:c r="E1972" s="25" t="str">
        <x:v>白金纺线</x:v>
      </x:c>
      <x:c r="F1972" s="25" t="n">
        <x:v>60</x:v>
      </x:c>
      <x:c r="G1972" s="25" t="str">
        <x:v>从C0至当前检查点累计需求；未扣自身未来产出，不代表已有库存</x:v>
      </x:c>
    </x:row>
    <x:row r="1973">
      <x:c r="A1973" s="25" t="str">
        <x:v>C10-M</x:v>
      </x:c>
      <x:c r="B1973" s="25" t="str">
        <x:v>王城罗德尔</x:v>
      </x:c>
      <x:c r="C1973" s="25" t="str">
        <x:v>半急速中期</x:v>
      </x:c>
      <x:c r="D1973" s="25" t="str">
        <x:v>材料</x:v>
      </x:c>
      <x:c r="E1973" s="25" t="str">
        <x:v>白金路标片</x:v>
      </x:c>
      <x:c r="F1973" s="25" t="n">
        <x:v>145</x:v>
      </x:c>
      <x:c r="G1973" s="25" t="str">
        <x:v>从C0至当前检查点累计需求；未扣自身未来产出，不代表已有库存</x:v>
      </x:c>
    </x:row>
    <x:row r="1974">
      <x:c r="A1974" s="25" t="str">
        <x:v>C10-M</x:v>
      </x:c>
      <x:c r="B1974" s="25" t="str">
        <x:v>王城罗德尔</x:v>
      </x:c>
      <x:c r="C1974" s="25" t="str">
        <x:v>半急速中期</x:v>
      </x:c>
      <x:c r="D1974" s="25" t="str">
        <x:v>材料</x:v>
      </x:c>
      <x:c r="E1974" s="25" t="str">
        <x:v>看门犬石心</x:v>
      </x:c>
      <x:c r="F1974" s="25" t="n">
        <x:v>2</x:v>
      </x:c>
      <x:c r="G1974" s="25" t="str">
        <x:v>从C0至当前检查点累计需求；未扣自身未来产出，不代表已有库存</x:v>
      </x:c>
    </x:row>
    <x:row r="1975">
      <x:c r="A1975" s="25" t="str">
        <x:v>C10-M</x:v>
      </x:c>
      <x:c r="B1975" s="25" t="str">
        <x:v>王城罗德尔</x:v>
      </x:c>
      <x:c r="C1975" s="25" t="str">
        <x:v>半急速中期</x:v>
      </x:c>
      <x:c r="D1975" s="25" t="str">
        <x:v>材料</x:v>
      </x:c>
      <x:c r="E1975" s="25" t="str">
        <x:v>矿脉灯芯</x:v>
      </x:c>
      <x:c r="F1975" s="25" t="n">
        <x:v>20</x:v>
      </x:c>
      <x:c r="G1975" s="25" t="str">
        <x:v>从C0至当前检查点累计需求；未扣自身未来产出，不代表已有库存</x:v>
      </x:c>
    </x:row>
    <x:row r="1976">
      <x:c r="A1976" s="25" t="str">
        <x:v>C10-M</x:v>
      </x:c>
      <x:c r="B1976" s="25" t="str">
        <x:v>王城罗德尔</x:v>
      </x:c>
      <x:c r="C1976" s="25" t="str">
        <x:v>半急速中期</x:v>
      </x:c>
      <x:c r="D1976" s="25" t="str">
        <x:v>材料</x:v>
      </x:c>
      <x:c r="E1976" s="25" t="str">
        <x:v>碎星仪仗钉</x:v>
      </x:c>
      <x:c r="F1976" s="25" t="n">
        <x:v>2</x:v>
      </x:c>
      <x:c r="G1976" s="25" t="str">
        <x:v>从C0至当前检查点累计需求；未扣自身未来产出，不代表已有库存</x:v>
      </x:c>
    </x:row>
    <x:row r="1977">
      <x:c r="A1977" s="25" t="str">
        <x:v>C10-M</x:v>
      </x:c>
      <x:c r="B1977" s="25" t="str">
        <x:v>王城罗德尔</x:v>
      </x:c>
      <x:c r="C1977" s="25" t="str">
        <x:v>半急速中期</x:v>
      </x:c>
      <x:c r="D1977" s="25" t="str">
        <x:v>材料</x:v>
      </x:c>
      <x:c r="E1977" s="25" t="str">
        <x:v>神秘符文</x:v>
      </x:c>
      <x:c r="F1977" s="25" t="n">
        <x:v>600</x:v>
      </x:c>
      <x:c r="G1977" s="25" t="str">
        <x:v>从C0至当前检查点累计需求；未扣自身未来产出，不代表已有库存</x:v>
      </x:c>
    </x:row>
    <x:row r="1978">
      <x:c r="A1978" s="25" t="str">
        <x:v>C10-M</x:v>
      </x:c>
      <x:c r="B1978" s="25" t="str">
        <x:v>王城罗德尔</x:v>
      </x:c>
      <x:c r="C1978" s="25" t="str">
        <x:v>半急速中期</x:v>
      </x:c>
      <x:c r="D1978" s="25" t="str">
        <x:v>材料</x:v>
      </x:c>
      <x:c r="E1978" s="25" t="str">
        <x:v>禁域星钥</x:v>
      </x:c>
      <x:c r="F1978" s="25" t="n">
        <x:v>2</x:v>
      </x:c>
      <x:c r="G1978" s="25" t="str">
        <x:v>从C0至当前检查点累计需求；未扣自身未来产出，不代表已有库存</x:v>
      </x:c>
    </x:row>
    <x:row r="1979">
      <x:c r="A1979" s="25" t="str">
        <x:v>C10-M</x:v>
      </x:c>
      <x:c r="B1979" s="25" t="str">
        <x:v>王城罗德尔</x:v>
      </x:c>
      <x:c r="C1979" s="25" t="str">
        <x:v>半急速中期</x:v>
      </x:c>
      <x:c r="D1979" s="25" t="str">
        <x:v>材料</x:v>
      </x:c>
      <x:c r="E1979" s="25" t="str">
        <x:v>穹霜碑珀</x:v>
      </x:c>
      <x:c r="F1979" s="25" t="n">
        <x:v>1</x:v>
      </x:c>
      <x:c r="G1979" s="25" t="str">
        <x:v>从C0至当前检查点累计需求；未扣自身未来产出，不代表已有库存</x:v>
      </x:c>
    </x:row>
    <x:row r="1980">
      <x:c r="A1980" s="25" t="str">
        <x:v>C10-M</x:v>
      </x:c>
      <x:c r="B1980" s="25" t="str">
        <x:v>王城罗德尔</x:v>
      </x:c>
      <x:c r="C1980" s="25" t="str">
        <x:v>半急速中期</x:v>
      </x:c>
      <x:c r="D1980" s="25" t="str">
        <x:v>材料</x:v>
      </x:c>
      <x:c r="E1980" s="25" t="str">
        <x:v>红狮战印</x:v>
      </x:c>
      <x:c r="F1980" s="25" t="n">
        <x:v>42</x:v>
      </x:c>
      <x:c r="G1980" s="25" t="str">
        <x:v>从C0至当前检查点累计需求；未扣自身未来产出，不代表已有库存</x:v>
      </x:c>
    </x:row>
    <x:row r="1981">
      <x:c r="A1981" s="25" t="str">
        <x:v>C10-M</x:v>
      </x:c>
      <x:c r="B1981" s="25" t="str">
        <x:v>王城罗德尔</x:v>
      </x:c>
      <x:c r="C1981" s="25" t="str">
        <x:v>半急速中期</x:v>
      </x:c>
      <x:c r="D1981" s="25" t="str">
        <x:v>材料</x:v>
      </x:c>
      <x:c r="E1981" s="25" t="str">
        <x:v>腐根魂结</x:v>
      </x:c>
      <x:c r="F1981" s="25" t="n">
        <x:v>2</x:v>
      </x:c>
      <x:c r="G1981" s="25" t="str">
        <x:v>从C0至当前检查点累计需求；未扣自身未来产出，不代表已有库存</x:v>
      </x:c>
    </x:row>
    <x:row r="1982">
      <x:c r="A1982" s="25" t="str">
        <x:v>C10-M</x:v>
      </x:c>
      <x:c r="B1982" s="25" t="str">
        <x:v>王城罗德尔</x:v>
      </x:c>
      <x:c r="C1982" s="25" t="str">
        <x:v>半急速中期</x:v>
      </x:c>
      <x:c r="D1982" s="25" t="str">
        <x:v>材料</x:v>
      </x:c>
      <x:c r="E1982" s="25" t="str">
        <x:v>艾尔登王印</x:v>
      </x:c>
      <x:c r="F1982" s="25" t="n">
        <x:v>19</x:v>
      </x:c>
      <x:c r="G1982" s="25" t="str">
        <x:v>从C0至当前检查点累计需求；未扣自身未来产出，不代表已有库存</x:v>
      </x:c>
    </x:row>
    <x:row r="1983">
      <x:c r="A1983" s="25" t="str">
        <x:v>C10-M</x:v>
      </x:c>
      <x:c r="B1983" s="25" t="str">
        <x:v>王城罗德尔</x:v>
      </x:c>
      <x:c r="C1983" s="25" t="str">
        <x:v>半急速中期</x:v>
      </x:c>
      <x:c r="D1983" s="25" t="str">
        <x:v>材料</x:v>
      </x:c>
      <x:c r="E1983" s="25" t="str">
        <x:v>裁文蜡封</x:v>
      </x:c>
      <x:c r="F1983" s="25" t="n">
        <x:v>54</x:v>
      </x:c>
      <x:c r="G1983" s="25" t="str">
        <x:v>从C0至当前检查点累计需求；未扣自身未来产出，不代表已有库存</x:v>
      </x:c>
    </x:row>
    <x:row r="1984">
      <x:c r="A1984" s="25" t="str">
        <x:v>C10-M</x:v>
      </x:c>
      <x:c r="B1984" s="25" t="str">
        <x:v>王城罗德尔</x:v>
      </x:c>
      <x:c r="C1984" s="25" t="str">
        <x:v>半急速中期</x:v>
      </x:c>
      <x:c r="D1984" s="25" t="str">
        <x:v>材料</x:v>
      </x:c>
      <x:c r="E1984" s="25" t="str">
        <x:v>裂峰号角片</x:v>
      </x:c>
      <x:c r="F1984" s="25" t="n">
        <x:v>110</x:v>
      </x:c>
      <x:c r="G1984" s="25" t="str">
        <x:v>从C0至当前检查点累计需求；未扣自身未来产出，不代表已有库存</x:v>
      </x:c>
    </x:row>
    <x:row r="1985">
      <x:c r="A1985" s="25" t="str">
        <x:v>C10-M</x:v>
      </x:c>
      <x:c r="B1985" s="25" t="str">
        <x:v>王城罗德尔</x:v>
      </x:c>
      <x:c r="C1985" s="25" t="str">
        <x:v>半急速中期</x:v>
      </x:c>
      <x:c r="D1985" s="25" t="str">
        <x:v>材料</x:v>
      </x:c>
      <x:c r="E1985" s="25" t="str">
        <x:v>裂风崖羽</x:v>
      </x:c>
      <x:c r="F1985" s="25" t="n">
        <x:v>80</x:v>
      </x:c>
      <x:c r="G1985" s="25" t="str">
        <x:v>从C0至当前检查点累计需求；未扣自身未来产出，不代表已有库存</x:v>
      </x:c>
    </x:row>
    <x:row r="1986">
      <x:c r="A1986" s="25" t="str">
        <x:v>C10-M</x:v>
      </x:c>
      <x:c r="B1986" s="25" t="str">
        <x:v>王城罗德尔</x:v>
      </x:c>
      <x:c r="C1986" s="25" t="str">
        <x:v>半急速中期</x:v>
      </x:c>
      <x:c r="D1986" s="25" t="str">
        <x:v>材料</x:v>
      </x:c>
      <x:c r="E1986" s="25" t="str">
        <x:v>西境战旗</x:v>
      </x:c>
      <x:c r="F1986" s="25" t="n">
        <x:v>20</x:v>
      </x:c>
      <x:c r="G1986" s="25" t="str">
        <x:v>从C0至当前检查点累计需求；未扣自身未来产出，不代表已有库存</x:v>
      </x:c>
    </x:row>
    <x:row r="1987">
      <x:c r="A1987" s="25" t="str">
        <x:v>C10-M</x:v>
      </x:c>
      <x:c r="B1987" s="25" t="str">
        <x:v>王城罗德尔</x:v>
      </x:c>
      <x:c r="C1987" s="25" t="str">
        <x:v>半急速中期</x:v>
      </x:c>
      <x:c r="D1987" s="25" t="str">
        <x:v>材料</x:v>
      </x:c>
      <x:c r="E1987" s="25" t="str">
        <x:v>西境战旗印</x:v>
      </x:c>
      <x:c r="F1987" s="25" t="n">
        <x:v>13</x:v>
      </x:c>
      <x:c r="G1987" s="25" t="str">
        <x:v>从C0至当前检查点累计需求；未扣自身未来产出，不代表已有库存</x:v>
      </x:c>
    </x:row>
    <x:row r="1988">
      <x:c r="A1988" s="25" t="str">
        <x:v>C10-M</x:v>
      </x:c>
      <x:c r="B1988" s="25" t="str">
        <x:v>王城罗德尔</x:v>
      </x:c>
      <x:c r="C1988" s="25" t="str">
        <x:v>半急速中期</x:v>
      </x:c>
      <x:c r="D1988" s="25" t="str">
        <x:v>材料</x:v>
      </x:c>
      <x:c r="E1988" s="25" t="str">
        <x:v>西境风痕碑拓</x:v>
      </x:c>
      <x:c r="F1988" s="25" t="n">
        <x:v>1</x:v>
      </x:c>
      <x:c r="G1988" s="25" t="str">
        <x:v>从C0至当前检查点累计需求；未扣自身未来产出，不代表已有库存</x:v>
      </x:c>
    </x:row>
    <x:row r="1989">
      <x:c r="A1989" s="25" t="str">
        <x:v>C10-M</x:v>
      </x:c>
      <x:c r="B1989" s="25" t="str">
        <x:v>王城罗德尔</x:v>
      </x:c>
      <x:c r="C1989" s="25" t="str">
        <x:v>半急速中期</x:v>
      </x:c>
      <x:c r="D1989" s="25" t="str">
        <x:v>材料</x:v>
      </x:c>
      <x:c r="E1989" s="25" t="str">
        <x:v>贵胄断指</x:v>
      </x:c>
      <x:c r="F1989" s="25" t="n">
        <x:v>1</x:v>
      </x:c>
      <x:c r="G1989" s="25" t="str">
        <x:v>从C0至当前检查点累计需求；未扣自身未来产出，不代表已有库存</x:v>
      </x:c>
    </x:row>
    <x:row r="1990">
      <x:c r="A1990" s="25" t="str">
        <x:v>C10-M</x:v>
      </x:c>
      <x:c r="B1990" s="25" t="str">
        <x:v>王城罗德尔</x:v>
      </x:c>
      <x:c r="C1990" s="25" t="str">
        <x:v>半急速中期</x:v>
      </x:c>
      <x:c r="D1990" s="25" t="str">
        <x:v>材料</x:v>
      </x:c>
      <x:c r="E1990" s="25" t="str">
        <x:v>辉石碎晶</x:v>
      </x:c>
      <x:c r="F1990" s="25" t="n">
        <x:v>1750</x:v>
      </x:c>
      <x:c r="G1990" s="25" t="str">
        <x:v>从C0至当前检查点累计需求；未扣自身未来产出，不代表已有库存</x:v>
      </x:c>
    </x:row>
    <x:row r="1991">
      <x:c r="A1991" s="25" t="str">
        <x:v>C10-M</x:v>
      </x:c>
      <x:c r="B1991" s="25" t="str">
        <x:v>王城罗德尔</x:v>
      </x:c>
      <x:c r="C1991" s="25" t="str">
        <x:v>半急速中期</x:v>
      </x:c>
      <x:c r="D1991" s="25" t="str">
        <x:v>材料</x:v>
      </x:c>
      <x:c r="E1991" s="25" t="str">
        <x:v>野兽骨片</x:v>
      </x:c>
      <x:c r="F1991" s="25" t="n">
        <x:v>77263</x:v>
      </x:c>
      <x:c r="G1991" s="25" t="str">
        <x:v>从C0至当前检查点累计需求；未扣自身未来产出，不代表已有库存</x:v>
      </x:c>
    </x:row>
    <x:row r="1992">
      <x:c r="A1992" s="25" t="str">
        <x:v>C10-M</x:v>
      </x:c>
      <x:c r="B1992" s="25" t="str">
        <x:v>王城罗德尔</x:v>
      </x:c>
      <x:c r="C1992" s="25" t="str">
        <x:v>半急速中期</x:v>
      </x:c>
      <x:c r="D1992" s="25" t="str">
        <x:v>材料</x:v>
      </x:c>
      <x:c r="E1992" s="25" t="str">
        <x:v>金叶驿票</x:v>
      </x:c>
      <x:c r="F1992" s="25" t="n">
        <x:v>50</x:v>
      </x:c>
      <x:c r="G1992" s="25" t="str">
        <x:v>从C0至当前检查点累计需求；未扣自身未来产出，不代表已有库存</x:v>
      </x:c>
    </x:row>
    <x:row r="1993">
      <x:c r="A1993" s="25" t="str">
        <x:v>C10-M</x:v>
      </x:c>
      <x:c r="B1993" s="25" t="str">
        <x:v>王城罗德尔</x:v>
      </x:c>
      <x:c r="C1993" s="25" t="str">
        <x:v>半急速中期</x:v>
      </x:c>
      <x:c r="D1993" s="25" t="str">
        <x:v>材料</x:v>
      </x:c>
      <x:c r="E1993" s="25" t="str">
        <x:v>雾潮银鳞</x:v>
      </x:c>
      <x:c r="F1993" s="25" t="n">
        <x:v>272</x:v>
      </x:c>
      <x:c r="G1993" s="25" t="str">
        <x:v>从C0至当前检查点累计需求；未扣自身未来产出，不代表已有库存</x:v>
      </x:c>
    </x:row>
    <x:row r="1994">
      <x:c r="A1994" s="25" t="str">
        <x:v>C10-M</x:v>
      </x:c>
      <x:c r="B1994" s="25" t="str">
        <x:v>王城罗德尔</x:v>
      </x:c>
      <x:c r="C1994" s="25" t="str">
        <x:v>半急速中期</x:v>
      </x:c>
      <x:c r="D1994" s="25" t="str">
        <x:v>材料</x:v>
      </x:c>
      <x:c r="E1994" s="25" t="str">
        <x:v>霜脊铁</x:v>
      </x:c>
      <x:c r="F1994" s="25" t="n">
        <x:v>2595</x:v>
      </x:c>
      <x:c r="G1994" s="25" t="str">
        <x:v>从C0至当前检查点累计需求；未扣自身未来产出，不代表已有库存</x:v>
      </x:c>
    </x:row>
    <x:row r="1995">
      <x:c r="A1995" s="25" t="str">
        <x:v>C10-M</x:v>
      </x:c>
      <x:c r="B1995" s="25" t="str">
        <x:v>王城罗德尔</x:v>
      </x:c>
      <x:c r="C1995" s="25" t="str">
        <x:v>半急速中期</x:v>
      </x:c>
      <x:c r="D1995" s="25" t="str">
        <x:v>材料</x:v>
      </x:c>
      <x:c r="E1995" s="25" t="str">
        <x:v>风暴王核</x:v>
      </x:c>
      <x:c r="F1995" s="25" t="n">
        <x:v>1</x:v>
      </x:c>
      <x:c r="G1995" s="25" t="str">
        <x:v>从C0至当前检查点累计需求；未扣自身未来产出，不代表已有库存</x:v>
      </x:c>
    </x:row>
    <x:row r="1996">
      <x:c r="A1996" s="25" t="str">
        <x:v>C10-M</x:v>
      </x:c>
      <x:c r="B1996" s="25" t="str">
        <x:v>王城罗德尔</x:v>
      </x:c>
      <x:c r="C1996" s="25" t="str">
        <x:v>半急速中期</x:v>
      </x:c>
      <x:c r="D1996" s="25" t="str">
        <x:v>材料</x:v>
      </x:c>
      <x:c r="E1996" s="25" t="str">
        <x:v>风暴石片</x:v>
      </x:c>
      <x:c r="F1996" s="25" t="n">
        <x:v>370</x:v>
      </x:c>
      <x:c r="G1996" s="25" t="str">
        <x:v>从C0至当前检查点累计需求；未扣自身未来产出，不代表已有库存</x:v>
      </x:c>
    </x:row>
    <x:row r="1997">
      <x:c r="A1997" s="25" t="str">
        <x:v>C10-M</x:v>
      </x:c>
      <x:c r="B1997" s="25" t="str">
        <x:v>王城罗德尔</x:v>
      </x:c>
      <x:c r="C1997" s="25" t="str">
        <x:v>半急速中期</x:v>
      </x:c>
      <x:c r="D1997" s="25" t="str">
        <x:v>材料</x:v>
      </x:c>
      <x:c r="E1997" s="25" t="str">
        <x:v>风蚀铁片</x:v>
      </x:c>
      <x:c r="F1997" s="25" t="n">
        <x:v>710</x:v>
      </x:c>
      <x:c r="G1997" s="25" t="str">
        <x:v>从C0至当前检查点累计需求；未扣自身未来产出，不代表已有库存</x:v>
      </x:c>
    </x:row>
    <x:row r="1998">
      <x:c r="A1998" s="25" t="str">
        <x:v>C10-M</x:v>
      </x:c>
      <x:c r="B1998" s="25" t="str">
        <x:v>王城罗德尔</x:v>
      </x:c>
      <x:c r="C1998" s="25" t="str">
        <x:v>半急速中期</x:v>
      </x:c>
      <x:c r="D1998" s="25" t="str">
        <x:v>材料</x:v>
      </x:c>
      <x:c r="E1998" s="25" t="str">
        <x:v>高原王诏金版</x:v>
      </x:c>
      <x:c r="F1998" s="25" t="n">
        <x:v>5</x:v>
      </x:c>
      <x:c r="G1998" s="25" t="str">
        <x:v>从C0至当前检查点累计需求；未扣自身未来产出，不代表已有库存</x:v>
      </x:c>
    </x:row>
    <x:row r="1999">
      <x:c r="A1999" s="25" t="str">
        <x:v>C10-M</x:v>
      </x:c>
      <x:c r="B1999" s="25" t="str">
        <x:v>王城罗德尔</x:v>
      </x:c>
      <x:c r="C1999" s="25" t="str">
        <x:v>半急速中期</x:v>
      </x:c>
      <x:c r="D1999" s="25" t="str">
        <x:v>材料</x:v>
      </x:c>
      <x:c r="E1999" s="25" t="str">
        <x:v>黄金叶脉</x:v>
      </x:c>
      <x:c r="F1999" s="25" t="n">
        <x:v>4470</x:v>
      </x:c>
      <x:c r="G1999" s="25" t="str">
        <x:v>从C0至当前检查点累计需求；未扣自身未来产出，不代表已有库存</x:v>
      </x:c>
    </x:row>
    <x:row r="2000">
      <x:c r="A2000" s="25" t="str">
        <x:v>C10-M</x:v>
      </x:c>
      <x:c r="B2000" s="25" t="str">
        <x:v>王城罗德尔</x:v>
      </x:c>
      <x:c r="C2000" s="25" t="str">
        <x:v>半急速中期</x:v>
      </x:c>
      <x:c r="D2000" s="25" t="str">
        <x:v>材料</x:v>
      </x:c>
      <x:c r="E2000" s="25" t="str">
        <x:v>黄金律印</x:v>
      </x:c>
      <x:c r="F2000" s="25" t="n">
        <x:v>140</x:v>
      </x:c>
      <x:c r="G2000" s="25" t="str">
        <x:v>从C0至当前检查点累计需求；未扣自身未来产出，不代表已有库存</x:v>
      </x:c>
    </x:row>
    <x:row r="2001">
      <x:c r="A2001" s="25" t="str">
        <x:v>C10-M</x:v>
      </x:c>
      <x:c r="B2001" s="25" t="str">
        <x:v>王城罗德尔</x:v>
      </x:c>
      <x:c r="C2001" s="25" t="str">
        <x:v>半急速中期</x:v>
      </x:c>
      <x:c r="D2001" s="25" t="str">
        <x:v>材料</x:v>
      </x:c>
      <x:c r="E2001" s="25" t="str">
        <x:v>黄金律法卢恩</x:v>
      </x:c>
      <x:c r="F2001" s="25" t="n">
        <x:v>125</x:v>
      </x:c>
      <x:c r="G2001" s="25" t="str">
        <x:v>从C0至当前检查点累计需求；未扣自身未来产出，不代表已有库存</x:v>
      </x:c>
    </x:row>
    <x:row r="2002">
      <x:c r="A2002" s="25" t="str">
        <x:v>C10-M</x:v>
      </x:c>
      <x:c r="B2002" s="25" t="str">
        <x:v>王城罗德尔</x:v>
      </x:c>
      <x:c r="C2002" s="25" t="str">
        <x:v>半急速中期</x:v>
      </x:c>
      <x:c r="D2002" s="25" t="str">
        <x:v>材料</x:v>
      </x:c>
      <x:c r="E2002" s="25" t="str">
        <x:v>黄金树碎核</x:v>
      </x:c>
      <x:c r="F2002" s="25" t="n">
        <x:v>2</x:v>
      </x:c>
      <x:c r="G2002" s="25" t="str">
        <x:v>从C0至当前检查点累计需求；未扣自身未来产出，不代表已有库存</x:v>
      </x:c>
    </x:row>
    <x:row r="2003">
      <x:c r="A2003" s="25" t="str">
        <x:v>C10-M</x:v>
      </x:c>
      <x:c r="B2003" s="25" t="str">
        <x:v>王城罗德尔</x:v>
      </x:c>
      <x:c r="C2003" s="25" t="str">
        <x:v>半急速中期</x:v>
      </x:c>
      <x:c r="D2003" s="25" t="str">
        <x:v>材料</x:v>
      </x:c>
      <x:c r="E2003" s="25" t="str">
        <x:v>黄金树芽</x:v>
      </x:c>
      <x:c r="F2003" s="25" t="n">
        <x:v>297</x:v>
      </x:c>
      <x:c r="G2003" s="25" t="str">
        <x:v>从C0至当前检查点累计需求；未扣自身未来产出，不代表已有库存</x:v>
      </x:c>
    </x:row>
    <x:row r="2004">
      <x:c r="A2004" s="25" t="str">
        <x:v>C10-M</x:v>
      </x:c>
      <x:c r="B2004" s="25" t="str">
        <x:v>王城罗德尔</x:v>
      </x:c>
      <x:c r="C2004" s="25" t="str">
        <x:v>半急速中期</x:v>
      </x:c>
      <x:c r="D2004" s="25" t="str">
        <x:v>材料</x:v>
      </x:c>
      <x:c r="E2004" s="25" t="str">
        <x:v>黄金骑徽</x:v>
      </x:c>
      <x:c r="F2004" s="25" t="n">
        <x:v>2</x:v>
      </x:c>
      <x:c r="G2004" s="25" t="str">
        <x:v>从C0至当前检查点累计需求；未扣自身未来产出，不代表已有库存</x:v>
      </x:c>
    </x:row>
    <x:row r="2005">
      <x:c r="A2005" s="25" t="str">
        <x:v>C10-M</x:v>
      </x:c>
      <x:c r="B2005" s="25" t="str">
        <x:v>王城罗德尔</x:v>
      </x:c>
      <x:c r="C2005" s="25" t="str">
        <x:v>半急速中期</x:v>
      </x:c>
      <x:c r="D2005" s="25" t="str">
        <x:v>材料</x:v>
      </x:c>
      <x:c r="E2005" s="25" t="str">
        <x:v>龙火鳞</x:v>
      </x:c>
      <x:c r="F2005" s="25" t="n">
        <x:v>38</x:v>
      </x:c>
      <x:c r="G2005" s="25" t="str">
        <x:v>从C0至当前检查点累计需求；未扣自身未来产出，不代表已有库存</x:v>
      </x:c>
    </x:row>
    <x:row r="2006">
      <x:c r="A2006" s="25" t="str">
        <x:v>C10-M</x:v>
      </x:c>
      <x:c r="B2006" s="25" t="str">
        <x:v>王城罗德尔</x:v>
      </x:c>
      <x:c r="C2006" s="25" t="str">
        <x:v>半急速中期</x:v>
      </x:c>
      <x:c r="D2006" s="25" t="str">
        <x:v>装备实物</x:v>
      </x:c>
      <x:c r="E2006" s="25" t="str">
        <x:v>共483个精确名称（明细见JSON）</x:v>
      </x:c>
      <x:c r="F2006" s="25" t="n">
        <x:v>652</x:v>
      </x:c>
      <x:c r="G2006" s="25" t="str">
        <x:v>含穿戴、重复试洗、图鉴登记与合成前置；完整数据未省略</x:v>
      </x:c>
    </x:row>
    <x:row r="2007">
      <x:c r="A2007" s="25" t="str">
        <x:v>C10-G</x:v>
      </x:c>
      <x:c r="B2007" s="25" t="str">
        <x:v>王城罗德尔</x:v>
      </x:c>
      <x:c r="C2007" s="25" t="str">
        <x:v>半急速毕业</x:v>
      </x:c>
      <x:c r="D2007" s="25" t="str">
        <x:v>材料</x:v>
      </x:c>
      <x:c r="E2007" s="25" t="str">
        <x:v>兽将脊骨</x:v>
      </x:c>
      <x:c r="F2007" s="25" t="n">
        <x:v>1</x:v>
      </x:c>
      <x:c r="G2007" s="25" t="str">
        <x:v>从C0至当前检查点累计需求；未扣自身未来产出，不代表已有库存</x:v>
      </x:c>
    </x:row>
    <x:row r="2008">
      <x:c r="A2008" s="25" t="str">
        <x:v>C10-G</x:v>
      </x:c>
      <x:c r="B2008" s="25" t="str">
        <x:v>王城罗德尔</x:v>
      </x:c>
      <x:c r="C2008" s="25" t="str">
        <x:v>半急速毕业</x:v>
      </x:c>
      <x:c r="D2008" s="25" t="str">
        <x:v>材料</x:v>
      </x:c>
      <x:c r="E2008" s="25" t="str">
        <x:v>冰宫守门铃</x:v>
      </x:c>
      <x:c r="F2008" s="25" t="n">
        <x:v>12</x:v>
      </x:c>
      <x:c r="G2008" s="25" t="str">
        <x:v>从C0至当前检查点累计需求；未扣自身未来产出，不代表已有库存</x:v>
      </x:c>
    </x:row>
    <x:row r="2009">
      <x:c r="A2009" s="25" t="str">
        <x:v>C10-G</x:v>
      </x:c>
      <x:c r="B2009" s="25" t="str">
        <x:v>王城罗德尔</x:v>
      </x:c>
      <x:c r="C2009" s="25" t="str">
        <x:v>半急速毕业</x:v>
      </x:c>
      <x:c r="D2009" s="25" t="str">
        <x:v>材料</x:v>
      </x:c>
      <x:c r="E2009" s="25" t="str">
        <x:v>冻原银角</x:v>
      </x:c>
      <x:c r="F2009" s="25" t="n">
        <x:v>30</x:v>
      </x:c>
      <x:c r="G2009" s="25" t="str">
        <x:v>从C0至当前检查点累计需求；未扣自身未来产出，不代表已有库存</x:v>
      </x:c>
    </x:row>
    <x:row r="2010">
      <x:c r="A2010" s="25" t="str">
        <x:v>C10-G</x:v>
      </x:c>
      <x:c r="B2010" s="25" t="str">
        <x:v>王城罗德尔</x:v>
      </x:c>
      <x:c r="C2010" s="25" t="str">
        <x:v>半急速毕业</x:v>
      </x:c>
      <x:c r="D2010" s="25" t="str">
        <x:v>材料</x:v>
      </x:c>
      <x:c r="E2010" s="25" t="str">
        <x:v>冻晶尘</x:v>
      </x:c>
      <x:c r="F2010" s="25" t="n">
        <x:v>1720</x:v>
      </x:c>
      <x:c r="G2010" s="25" t="str">
        <x:v>从C0至当前检查点累计需求；未扣自身未来产出，不代表已有库存</x:v>
      </x:c>
    </x:row>
    <x:row r="2011">
      <x:c r="A2011" s="25" t="str">
        <x:v>C10-G</x:v>
      </x:c>
      <x:c r="B2011" s="25" t="str">
        <x:v>王城罗德尔</x:v>
      </x:c>
      <x:c r="C2011" s="25" t="str">
        <x:v>半急速毕业</x:v>
      </x:c>
      <x:c r="D2011" s="25" t="str">
        <x:v>材料</x:v>
      </x:c>
      <x:c r="E2011" s="25" t="str">
        <x:v>净火腺囊</x:v>
      </x:c>
      <x:c r="F2011" s="25" t="n">
        <x:v>44</x:v>
      </x:c>
      <x:c r="G2011" s="25" t="str">
        <x:v>从C0至当前检查点累计需求；未扣自身未来产出，不代表已有库存</x:v>
      </x:c>
    </x:row>
    <x:row r="2012">
      <x:c r="A2012" s="25" t="str">
        <x:v>C10-G</x:v>
      </x:c>
      <x:c r="B2012" s="25" t="str">
        <x:v>王城罗德尔</x:v>
      </x:c>
      <x:c r="C2012" s="25" t="str">
        <x:v>半急速毕业</x:v>
      </x:c>
      <x:c r="D2012" s="25" t="str">
        <x:v>材料</x:v>
      </x:c>
      <x:c r="E2012" s="25" t="str">
        <x:v>卡利亚月露</x:v>
      </x:c>
      <x:c r="F2012" s="25" t="n">
        <x:v>36</x:v>
      </x:c>
      <x:c r="G2012" s="25" t="str">
        <x:v>从C0至当前检查点累计需求；未扣自身未来产出，不代表已有库存</x:v>
      </x:c>
    </x:row>
    <x:row r="2013">
      <x:c r="A2013" s="25" t="str">
        <x:v>C10-G</x:v>
      </x:c>
      <x:c r="B2013" s="25" t="str">
        <x:v>王城罗德尔</x:v>
      </x:c>
      <x:c r="C2013" s="25" t="str">
        <x:v>半急速毕业</x:v>
      </x:c>
      <x:c r="D2013" s="25" t="str">
        <x:v>材料</x:v>
      </x:c>
      <x:c r="E2013" s="25" t="str">
        <x:v>古坛鎏叶髓</x:v>
      </x:c>
      <x:c r="F2013" s="25" t="n">
        <x:v>1</x:v>
      </x:c>
      <x:c r="G2013" s="25" t="str">
        <x:v>从C0至当前检查点累计需求；未扣自身未来产出，不代表已有库存</x:v>
      </x:c>
    </x:row>
    <x:row r="2014">
      <x:c r="A2014" s="25" t="str">
        <x:v>C10-G</x:v>
      </x:c>
      <x:c r="B2014" s="25" t="str">
        <x:v>王城罗德尔</x:v>
      </x:c>
      <x:c r="C2014" s="25" t="str">
        <x:v>半急速毕业</x:v>
      </x:c>
      <x:c r="D2014" s="25" t="str">
        <x:v>材料</x:v>
      </x:c>
      <x:c r="E2014" s="25" t="str">
        <x:v>古王律页</x:v>
      </x:c>
      <x:c r="F2014" s="25" t="n">
        <x:v>105</x:v>
      </x:c>
      <x:c r="G2014" s="25" t="str">
        <x:v>从C0至当前检查点累计需求；未扣自身未来产出，不代表已有库存</x:v>
      </x:c>
    </x:row>
    <x:row r="2015">
      <x:c r="A2015" s="25" t="str">
        <x:v>C10-G</x:v>
      </x:c>
      <x:c r="B2015" s="25" t="str">
        <x:v>王城罗德尔</x:v>
      </x:c>
      <x:c r="C2015" s="25" t="str">
        <x:v>半急速毕业</x:v>
      </x:c>
      <x:c r="D2015" s="25" t="str">
        <x:v>材料</x:v>
      </x:c>
      <x:c r="E2015" s="25" t="str">
        <x:v>哨垒旗冠</x:v>
      </x:c>
      <x:c r="F2015" s="25" t="n">
        <x:v>3</x:v>
      </x:c>
      <x:c r="G2015" s="25" t="str">
        <x:v>从C0至当前检查点累计需求；未扣自身未来产出，不代表已有库存</x:v>
      </x:c>
    </x:row>
    <x:row r="2016">
      <x:c r="A2016" s="25" t="str">
        <x:v>C10-G</x:v>
      </x:c>
      <x:c r="B2016" s="25" t="str">
        <x:v>王城罗德尔</x:v>
      </x:c>
      <x:c r="C2016" s="25" t="str">
        <x:v>半急速毕业</x:v>
      </x:c>
      <x:c r="D2016" s="25" t="str">
        <x:v>材料</x:v>
      </x:c>
      <x:c r="E2016" s="25" t="str">
        <x:v>唤船骨铃</x:v>
      </x:c>
      <x:c r="F2016" s="25" t="n">
        <x:v>1</x:v>
      </x:c>
      <x:c r="G2016" s="25" t="str">
        <x:v>从C0至当前检查点累计需求；未扣自身未来产出，不代表已有库存</x:v>
      </x:c>
    </x:row>
    <x:row r="2017">
      <x:c r="A2017" s="25" t="str">
        <x:v>C10-G</x:v>
      </x:c>
      <x:c r="B2017" s="25" t="str">
        <x:v>王城罗德尔</x:v>
      </x:c>
      <x:c r="C2017" s="25" t="str">
        <x:v>半急速毕业</x:v>
      </x:c>
      <x:c r="D2017" s="25" t="str">
        <x:v>材料</x:v>
      </x:c>
      <x:c r="E2017" s="25" t="str">
        <x:v>商队火漆</x:v>
      </x:c>
      <x:c r="F2017" s="25" t="n">
        <x:v>20</x:v>
      </x:c>
      <x:c r="G2017" s="25" t="str">
        <x:v>从C0至当前检查点累计需求；未扣自身未来产出，不代表已有库存</x:v>
      </x:c>
    </x:row>
    <x:row r="2018">
      <x:c r="A2018" s="25" t="str">
        <x:v>C10-G</x:v>
      </x:c>
      <x:c r="B2018" s="25" t="str">
        <x:v>王城罗德尔</x:v>
      </x:c>
      <x:c r="C2018" s="25" t="str">
        <x:v>半急速毕业</x:v>
      </x:c>
      <x:c r="D2018" s="25" t="str">
        <x:v>材料</x:v>
      </x:c>
      <x:c r="E2018" s="25" t="str">
        <x:v>圣雪誓印</x:v>
      </x:c>
      <x:c r="F2018" s="25" t="n">
        <x:v>53</x:v>
      </x:c>
      <x:c r="G2018" s="25" t="str">
        <x:v>从C0至当前检查点累计需求；未扣自身未来产出，不代表已有库存</x:v>
      </x:c>
    </x:row>
    <x:row r="2019">
      <x:c r="A2019" s="25" t="str">
        <x:v>C10-G</x:v>
      </x:c>
      <x:c r="B2019" s="25" t="str">
        <x:v>王城罗德尔</x:v>
      </x:c>
      <x:c r="C2019" s="25" t="str">
        <x:v>半急速毕业</x:v>
      </x:c>
      <x:c r="D2019" s="25" t="str">
        <x:v>材料</x:v>
      </x:c>
      <x:c r="E2019" s="25" t="str">
        <x:v>圣雪门楔</x:v>
      </x:c>
      <x:c r="F2019" s="25" t="n">
        <x:v>4</x:v>
      </x:c>
      <x:c r="G2019" s="25" t="str">
        <x:v>从C0至当前检查点累计需求；未扣自身未来产出，不代表已有库存</x:v>
      </x:c>
    </x:row>
    <x:row r="2020">
      <x:c r="A2020" s="25" t="str">
        <x:v>C10-G</x:v>
      </x:c>
      <x:c r="B2020" s="25" t="str">
        <x:v>王城罗德尔</x:v>
      </x:c>
      <x:c r="C2020" s="25" t="str">
        <x:v>半急速毕业</x:v>
      </x:c>
      <x:c r="D2020" s="25" t="str">
        <x:v>材料</x:v>
      </x:c>
      <x:c r="E2020" s="25" t="str">
        <x:v>夜骑黑印</x:v>
      </x:c>
      <x:c r="F2020" s="25" t="n">
        <x:v>1</x:v>
      </x:c>
      <x:c r="G2020" s="25" t="str">
        <x:v>从C0至当前检查点累计需求；未扣自身未来产出，不代表已有库存</x:v>
      </x:c>
    </x:row>
    <x:row r="2021">
      <x:c r="A2021" s="25" t="str">
        <x:v>C10-G</x:v>
      </x:c>
      <x:c r="B2021" s="25" t="str">
        <x:v>王城罗德尔</x:v>
      </x:c>
      <x:c r="C2021" s="25" t="str">
        <x:v>半急速毕业</x:v>
      </x:c>
      <x:c r="D2021" s="25" t="str">
        <x:v>材料</x:v>
      </x:c>
      <x:c r="E2021" s="25" t="str">
        <x:v>大卢恩</x:v>
      </x:c>
      <x:c r="F2021" s="25" t="n">
        <x:v>350</x:v>
      </x:c>
      <x:c r="G2021" s="25" t="str">
        <x:v>从C0至当前检查点累计需求；未扣自身未来产出，不代表已有库存</x:v>
      </x:c>
    </x:row>
    <x:row r="2022">
      <x:c r="A2022" s="25" t="str">
        <x:v>C10-G</x:v>
      </x:c>
      <x:c r="B2022" s="25" t="str">
        <x:v>王城罗德尔</x:v>
      </x:c>
      <x:c r="C2022" s="25" t="str">
        <x:v>半急速毕业</x:v>
      </x:c>
      <x:c r="D2022" s="25" t="str">
        <x:v>材料</x:v>
      </x:c>
      <x:c r="E2022" s="25" t="str">
        <x:v>失乡军令</x:v>
      </x:c>
      <x:c r="F2022" s="25" t="n">
        <x:v>2</x:v>
      </x:c>
      <x:c r="G2022" s="25" t="str">
        <x:v>从C0至当前检查点累计需求；未扣自身未来产出，不代表已有库存</x:v>
      </x:c>
    </x:row>
    <x:row r="2023">
      <x:c r="A2023" s="25" t="str">
        <x:v>C10-G</x:v>
      </x:c>
      <x:c r="B2023" s="25" t="str">
        <x:v>王城罗德尔</x:v>
      </x:c>
      <x:c r="C2023" s="25" t="str">
        <x:v>半急速毕业</x:v>
      </x:c>
      <x:c r="D2023" s="25" t="str">
        <x:v>材料</x:v>
      </x:c>
      <x:c r="E2023" s="25" t="str">
        <x:v>失乡统帅徽</x:v>
      </x:c>
      <x:c r="F2023" s="25" t="n">
        <x:v>2</x:v>
      </x:c>
      <x:c r="G2023" s="25" t="str">
        <x:v>从C0至当前检查点累计需求；未扣自身未来产出，不代表已有库存</x:v>
      </x:c>
    </x:row>
    <x:row r="2024">
      <x:c r="A2024" s="25" t="str">
        <x:v>C10-G</x:v>
      </x:c>
      <x:c r="B2024" s="25" t="str">
        <x:v>王城罗德尔</x:v>
      </x:c>
      <x:c r="C2024" s="25" t="str">
        <x:v>半急速毕业</x:v>
      </x:c>
      <x:c r="D2024" s="25" t="str">
        <x:v>材料</x:v>
      </x:c>
      <x:c r="E2024" s="25" t="str">
        <x:v>失温熔炉楔</x:v>
      </x:c>
      <x:c r="F2024" s="25" t="n">
        <x:v>22</x:v>
      </x:c>
      <x:c r="G2024" s="25" t="str">
        <x:v>从C0至当前检查点累计需求；未扣自身未来产出，不代表已有库存</x:v>
      </x:c>
    </x:row>
    <x:row r="2025">
      <x:c r="A2025" s="25" t="str">
        <x:v>C10-G</x:v>
      </x:c>
      <x:c r="B2025" s="25" t="str">
        <x:v>王城罗德尔</x:v>
      </x:c>
      <x:c r="C2025" s="25" t="str">
        <x:v>半急速毕业</x:v>
      </x:c>
      <x:c r="D2025" s="25" t="str">
        <x:v>材料</x:v>
      </x:c>
      <x:c r="E2025" s="25" t="str">
        <x:v>失色锻造石</x:v>
      </x:c>
      <x:c r="F2025" s="25" t="n">
        <x:v>85990</x:v>
      </x:c>
      <x:c r="G2025" s="25" t="str">
        <x:v>从C0至当前检查点累计需求；未扣自身未来产出，不代表已有库存</x:v>
      </x:c>
    </x:row>
    <x:row r="2026">
      <x:c r="A2026" s="25" t="str">
        <x:v>C10-G</x:v>
      </x:c>
      <x:c r="B2026" s="25" t="str">
        <x:v>王城罗德尔</x:v>
      </x:c>
      <x:c r="C2026" s="25" t="str">
        <x:v>半急速毕业</x:v>
      </x:c>
      <x:c r="D2026" s="25" t="str">
        <x:v>材料</x:v>
      </x:c>
      <x:c r="E2026" s="25" t="str">
        <x:v>学院封蜡</x:v>
      </x:c>
      <x:c r="F2026" s="25" t="n">
        <x:v>24</x:v>
      </x:c>
      <x:c r="G2026" s="25" t="str">
        <x:v>从C0至当前检查点累计需求；未扣自身未来产出，不代表已有库存</x:v>
      </x:c>
    </x:row>
    <x:row r="2027">
      <x:c r="A2027" s="25" t="str">
        <x:v>C10-G</x:v>
      </x:c>
      <x:c r="B2027" s="25" t="str">
        <x:v>王城罗德尔</x:v>
      </x:c>
      <x:c r="C2027" s="25" t="str">
        <x:v>半急速毕业</x:v>
      </x:c>
      <x:c r="D2027" s="25" t="str">
        <x:v>材料</x:v>
      </x:c>
      <x:c r="E2027" s="25" t="str">
        <x:v>宁姆格福誓页</x:v>
      </x:c>
      <x:c r="F2027" s="25" t="n">
        <x:v>90</x:v>
      </x:c>
      <x:c r="G2027" s="25" t="str">
        <x:v>从C0至当前检查点累计需求；未扣自身未来产出，不代表已有库存</x:v>
      </x:c>
    </x:row>
    <x:row r="2028">
      <x:c r="A2028" s="25" t="str">
        <x:v>C10-G</x:v>
      </x:c>
      <x:c r="B2028" s="25" t="str">
        <x:v>王城罗德尔</x:v>
      </x:c>
      <x:c r="C2028" s="25" t="str">
        <x:v>半急速毕业</x:v>
      </x:c>
      <x:c r="D2028" s="25" t="str">
        <x:v>材料</x:v>
      </x:c>
      <x:c r="E2028" s="25" t="str">
        <x:v>小卢恩</x:v>
      </x:c>
      <x:c r="F2028" s="25" t="n">
        <x:v>250</x:v>
      </x:c>
      <x:c r="G2028" s="25" t="str">
        <x:v>从C0至当前检查点累计需求；未扣自身未来产出，不代表已有库存</x:v>
      </x:c>
    </x:row>
    <x:row r="2029">
      <x:c r="A2029" s="25" t="str">
        <x:v>C10-G</x:v>
      </x:c>
      <x:c r="B2029" s="25" t="str">
        <x:v>王城罗德尔</x:v>
      </x:c>
      <x:c r="C2029" s="25" t="str">
        <x:v>半急速毕业</x:v>
      </x:c>
      <x:c r="D2029" s="25" t="str">
        <x:v>材料</x:v>
      </x:c>
      <x:c r="E2029" s="25" t="str">
        <x:v>山妖王角</x:v>
      </x:c>
      <x:c r="F2029" s="25" t="n">
        <x:v>2</x:v>
      </x:c>
      <x:c r="G2029" s="25" t="str">
        <x:v>从C0至当前检查点累计需求；未扣自身未来产出，不代表已有库存</x:v>
      </x:c>
    </x:row>
    <x:row r="2030">
      <x:c r="A2030" s="25" t="str">
        <x:v>C10-G</x:v>
      </x:c>
      <x:c r="B2030" s="25" t="str">
        <x:v>王城罗德尔</x:v>
      </x:c>
      <x:c r="C2030" s="25" t="str">
        <x:v>半急速毕业</x:v>
      </x:c>
      <x:c r="D2030" s="25" t="str">
        <x:v>材料</x:v>
      </x:c>
      <x:c r="E2030" s="25" t="str">
        <x:v>巨人火印</x:v>
      </x:c>
      <x:c r="F2030" s="25" t="n">
        <x:v>41</x:v>
      </x:c>
      <x:c r="G2030" s="25" t="str">
        <x:v>从C0至当前检查点累计需求；未扣自身未来产出，不代表已有库存</x:v>
      </x:c>
    </x:row>
    <x:row r="2031">
      <x:c r="A2031" s="25" t="str">
        <x:v>C10-G</x:v>
      </x:c>
      <x:c r="B2031" s="25" t="str">
        <x:v>王城罗德尔</x:v>
      </x:c>
      <x:c r="C2031" s="25" t="str">
        <x:v>半急速毕业</x:v>
      </x:c>
      <x:c r="D2031" s="25" t="str">
        <x:v>材料</x:v>
      </x:c>
      <x:c r="E2031" s="25" t="str">
        <x:v>巨人火种</x:v>
      </x:c>
      <x:c r="F2031" s="25" t="n">
        <x:v>65</x:v>
      </x:c>
      <x:c r="G2031" s="25" t="str">
        <x:v>从C0至当前检查点累计需求；未扣自身未来产出，不代表已有库存</x:v>
      </x:c>
    </x:row>
    <x:row r="2032">
      <x:c r="A2032" s="25" t="str">
        <x:v>C10-G</x:v>
      </x:c>
      <x:c r="B2032" s="25" t="str">
        <x:v>王城罗德尔</x:v>
      </x:c>
      <x:c r="C2032" s="25" t="str">
        <x:v>半急速毕业</x:v>
      </x:c>
      <x:c r="D2032" s="25" t="str">
        <x:v>材料</x:v>
      </x:c>
      <x:c r="E2032" s="25" t="str">
        <x:v>巨人熔火卢恩</x:v>
      </x:c>
      <x:c r="F2032" s="25" t="n">
        <x:v>450</x:v>
      </x:c>
      <x:c r="G2032" s="25" t="str">
        <x:v>从C0至当前检查点累计需求；未扣自身未来产出，不代表已有库存</x:v>
      </x:c>
    </x:row>
    <x:row r="2033">
      <x:c r="A2033" s="25" t="str">
        <x:v>C10-G</x:v>
      </x:c>
      <x:c r="B2033" s="25" t="str">
        <x:v>王城罗德尔</x:v>
      </x:c>
      <x:c r="C2033" s="25" t="str">
        <x:v>半急速毕业</x:v>
      </x:c>
      <x:c r="D2033" s="25" t="str">
        <x:v>材料</x:v>
      </x:c>
      <x:c r="E2033" s="25" t="str">
        <x:v>幽船铆钉</x:v>
      </x:c>
      <x:c r="F2033" s="25" t="n">
        <x:v>21</x:v>
      </x:c>
      <x:c r="G2033" s="25" t="str">
        <x:v>从C0至当前检查点累计需求；未扣自身未来产出，不代表已有库存</x:v>
      </x:c>
    </x:row>
    <x:row r="2034">
      <x:c r="A2034" s="25" t="str">
        <x:v>C10-G</x:v>
      </x:c>
      <x:c r="B2034" s="25" t="str">
        <x:v>王城罗德尔</x:v>
      </x:c>
      <x:c r="C2034" s="25" t="str">
        <x:v>半急速毕业</x:v>
      </x:c>
      <x:c r="D2034" s="25" t="str">
        <x:v>材料</x:v>
      </x:c>
      <x:c r="E2034" s="25" t="str">
        <x:v>恶兆残角</x:v>
      </x:c>
      <x:c r="F2034" s="25" t="n">
        <x:v>1</x:v>
      </x:c>
      <x:c r="G2034" s="25" t="str">
        <x:v>从C0至当前检查点累计需求；未扣自身未来产出，不代表已有库存</x:v>
      </x:c>
    </x:row>
    <x:row r="2035">
      <x:c r="A2035" s="25" t="str">
        <x:v>C10-G</x:v>
      </x:c>
      <x:c r="B2035" s="25" t="str">
        <x:v>王城罗德尔</x:v>
      </x:c>
      <x:c r="C2035" s="25" t="str">
        <x:v>半急速毕业</x:v>
      </x:c>
      <x:c r="D2035" s="25" t="str">
        <x:v>材料</x:v>
      </x:c>
      <x:c r="E2035" s="25" t="str">
        <x:v>技能残页</x:v>
      </x:c>
      <x:c r="F2035" s="25" t="n">
        <x:v>1350</x:v>
      </x:c>
      <x:c r="G2035" s="25" t="str">
        <x:v>从C0至当前检查点累计需求；未扣自身未来产出，不代表已有库存</x:v>
      </x:c>
    </x:row>
    <x:row r="2036">
      <x:c r="A2036" s="25" t="str">
        <x:v>C10-G</x:v>
      </x:c>
      <x:c r="B2036" s="25" t="str">
        <x:v>王城罗德尔</x:v>
      </x:c>
      <x:c r="C2036" s="25" t="str">
        <x:v>半急速毕业</x:v>
      </x:c>
      <x:c r="D2036" s="25" t="str">
        <x:v>材料</x:v>
      </x:c>
      <x:c r="E2036" s="25" t="str">
        <x:v>接肢兽心</x:v>
      </x:c>
      <x:c r="F2036" s="25" t="n">
        <x:v>2</x:v>
      </x:c>
      <x:c r="G2036" s="25" t="str">
        <x:v>从C0至当前检查点累计需求；未扣自身未来产出，不代表已有库存</x:v>
      </x:c>
    </x:row>
    <x:row r="2037">
      <x:c r="A2037" s="25" t="str">
        <x:v>C10-G</x:v>
      </x:c>
      <x:c r="B2037" s="25" t="str">
        <x:v>王城罗德尔</x:v>
      </x:c>
      <x:c r="C2037" s="25" t="str">
        <x:v>半急速毕业</x:v>
      </x:c>
      <x:c r="D2037" s="25" t="str">
        <x:v>材料</x:v>
      </x:c>
      <x:c r="E2037" s="25" t="str">
        <x:v>接肢王印</x:v>
      </x:c>
      <x:c r="F2037" s="25" t="n">
        <x:v>13</x:v>
      </x:c>
      <x:c r="G2037" s="25" t="str">
        <x:v>从C0至当前检查点累计需求；未扣自身未来产出，不代表已有库存</x:v>
      </x:c>
    </x:row>
    <x:row r="2038">
      <x:c r="A2038" s="25" t="str">
        <x:v>C10-G</x:v>
      </x:c>
      <x:c r="B2038" s="25" t="str">
        <x:v>王城罗德尔</x:v>
      </x:c>
      <x:c r="C2038" s="25" t="str">
        <x:v>半急速毕业</x:v>
      </x:c>
      <x:c r="D2038" s="25" t="str">
        <x:v>材料</x:v>
      </x:c>
      <x:c r="E2038" s="25" t="str">
        <x:v>接肢王魂</x:v>
      </x:c>
      <x:c r="F2038" s="25" t="n">
        <x:v>1</x:v>
      </x:c>
      <x:c r="G2038" s="25" t="str">
        <x:v>从C0至当前检查点累计需求；未扣自身未来产出，不代表已有库存</x:v>
      </x:c>
    </x:row>
    <x:row r="2039">
      <x:c r="A2039" s="25" t="str">
        <x:v>C10-G</x:v>
      </x:c>
      <x:c r="B2039" s="25" t="str">
        <x:v>王城罗德尔</x:v>
      </x:c>
      <x:c r="C2039" s="25" t="str">
        <x:v>半急速毕业</x:v>
      </x:c>
      <x:c r="D2039" s="25" t="str">
        <x:v>材料</x:v>
      </x:c>
      <x:c r="E2039" s="25" t="str">
        <x:v>旧渠阀芯</x:v>
      </x:c>
      <x:c r="F2039" s="25" t="n">
        <x:v>30</x:v>
      </x:c>
      <x:c r="G2039" s="25" t="str">
        <x:v>从C0至当前检查点累计需求；未扣自身未来产出，不代表已有库存</x:v>
      </x:c>
    </x:row>
    <x:row r="2040">
      <x:c r="A2040" s="25" t="str">
        <x:v>C10-G</x:v>
      </x:c>
      <x:c r="B2040" s="25" t="str">
        <x:v>王城罗德尔</x:v>
      </x:c>
      <x:c r="C2040" s="25" t="str">
        <x:v>半急速毕业</x:v>
      </x:c>
      <x:c r="D2040" s="25" t="str">
        <x:v>材料</x:v>
      </x:c>
      <x:c r="E2040" s="25" t="str">
        <x:v>月潮忆珀</x:v>
      </x:c>
      <x:c r="F2040" s="25" t="n">
        <x:v>1</x:v>
      </x:c>
      <x:c r="G2040" s="25" t="str">
        <x:v>从C0至当前检查点累计需求；未扣自身未来产出，不代表已有库存</x:v>
      </x:c>
    </x:row>
    <x:row r="2041">
      <x:c r="A2041" s="25" t="str">
        <x:v>C10-G</x:v>
      </x:c>
      <x:c r="B2041" s="25" t="str">
        <x:v>王城罗德尔</x:v>
      </x:c>
      <x:c r="C2041" s="25" t="str">
        <x:v>半急速毕业</x:v>
      </x:c>
      <x:c r="D2041" s="25" t="str">
        <x:v>材料</x:v>
      </x:c>
      <x:c r="E2041" s="25" t="str">
        <x:v>月蚀镜片</x:v>
      </x:c>
      <x:c r="F2041" s="25" t="n">
        <x:v>21</x:v>
      </x:c>
      <x:c r="G2041" s="25" t="str">
        <x:v>从C0至当前检查点累计需求；未扣自身未来产出，不代表已有库存</x:v>
      </x:c>
    </x:row>
    <x:row r="2042">
      <x:c r="A2042" s="25" t="str">
        <x:v>C10-G</x:v>
      </x:c>
      <x:c r="B2042" s="25" t="str">
        <x:v>王城罗德尔</x:v>
      </x:c>
      <x:c r="C2042" s="25" t="str">
        <x:v>半急速毕业</x:v>
      </x:c>
      <x:c r="D2042" s="25" t="str">
        <x:v>材料</x:v>
      </x:c>
      <x:c r="E2042" s="25" t="str">
        <x:v>树卫枪穗</x:v>
      </x:c>
      <x:c r="F2042" s="25" t="n">
        <x:v>1</x:v>
      </x:c>
      <x:c r="G2042" s="25" t="str">
        <x:v>从C0至当前检查点累计需求；未扣自身未来产出，不代表已有库存</x:v>
      </x:c>
    </x:row>
    <x:row r="2043">
      <x:c r="A2043" s="25" t="str">
        <x:v>C10-G</x:v>
      </x:c>
      <x:c r="B2043" s="25" t="str">
        <x:v>王城罗德尔</x:v>
      </x:c>
      <x:c r="C2043" s="25" t="str">
        <x:v>半急速毕业</x:v>
      </x:c>
      <x:c r="D2043" s="25" t="str">
        <x:v>材料</x:v>
      </x:c>
      <x:c r="E2043" s="25" t="str">
        <x:v>死亡仪羽</x:v>
      </x:c>
      <x:c r="F2043" s="25" t="n">
        <x:v>2</x:v>
      </x:c>
      <x:c r="G2043" s="25" t="str">
        <x:v>从C0至当前检查点累计需求；未扣自身未来产出，不代表已有库存</x:v>
      </x:c>
    </x:row>
    <x:row r="2044">
      <x:c r="A2044" s="25" t="str">
        <x:v>C10-G</x:v>
      </x:c>
      <x:c r="B2044" s="25" t="str">
        <x:v>王城罗德尔</x:v>
      </x:c>
      <x:c r="C2044" s="25" t="str">
        <x:v>半急速毕业</x:v>
      </x:c>
      <x:c r="D2044" s="25" t="str">
        <x:v>材料</x:v>
      </x:c>
      <x:c r="E2044" s="25" t="str">
        <x:v>永霜朝圣痕</x:v>
      </x:c>
      <x:c r="F2044" s="25" t="n">
        <x:v>1</x:v>
      </x:c>
      <x:c r="G2044" s="25" t="str">
        <x:v>从C0至当前检查点累计需求；未扣自身未来产出，不代表已有库存</x:v>
      </x:c>
    </x:row>
    <x:row r="2045">
      <x:c r="A2045" s="25" t="str">
        <x:v>C10-G</x:v>
      </x:c>
      <x:c r="B2045" s="25" t="str">
        <x:v>王城罗德尔</x:v>
      </x:c>
      <x:c r="C2045" s="25" t="str">
        <x:v>半急速毕业</x:v>
      </x:c>
      <x:c r="D2045" s="25" t="str">
        <x:v>材料</x:v>
      </x:c>
      <x:c r="E2045" s="25" t="str">
        <x:v>沉湖王印</x:v>
      </x:c>
      <x:c r="F2045" s="25" t="n">
        <x:v>16</x:v>
      </x:c>
      <x:c r="G2045" s="25" t="str">
        <x:v>从C0至当前检查点累计需求；未扣自身未来产出，不代表已有库存</x:v>
      </x:c>
    </x:row>
    <x:row r="2046">
      <x:c r="A2046" s="25" t="str">
        <x:v>C10-G</x:v>
      </x:c>
      <x:c r="B2046" s="25" t="str">
        <x:v>王城罗德尔</x:v>
      </x:c>
      <x:c r="C2046" s="25" t="str">
        <x:v>半急速毕业</x:v>
      </x:c>
      <x:c r="D2046" s="25" t="str">
        <x:v>材料</x:v>
      </x:c>
      <x:c r="E2046" s="25" t="str">
        <x:v>沉船缆扣</x:v>
      </x:c>
      <x:c r="F2046" s="25" t="n">
        <x:v>12</x:v>
      </x:c>
      <x:c r="G2046" s="25" t="str">
        <x:v>从C0至当前检查点累计需求；未扣自身未来产出，不代表已有库存</x:v>
      </x:c>
    </x:row>
    <x:row r="2047">
      <x:c r="A2047" s="25" t="str">
        <x:v>C10-G</x:v>
      </x:c>
      <x:c r="B2047" s="25" t="str">
        <x:v>王城罗德尔</x:v>
      </x:c>
      <x:c r="C2047" s="25" t="str">
        <x:v>半急速毕业</x:v>
      </x:c>
      <x:c r="D2047" s="25" t="str">
        <x:v>材料</x:v>
      </x:c>
      <x:c r="E2047" s="25" t="str">
        <x:v>海蚀铁片</x:v>
      </x:c>
      <x:c r="F2047" s="25" t="n">
        <x:v>160</x:v>
      </x:c>
      <x:c r="G2047" s="25" t="str">
        <x:v>从C0至当前检查点累计需求；未扣自身未来产出，不代表已有库存</x:v>
      </x:c>
    </x:row>
    <x:row r="2048">
      <x:c r="A2048" s="25" t="str">
        <x:v>C10-G</x:v>
      </x:c>
      <x:c r="B2048" s="25" t="str">
        <x:v>王城罗德尔</x:v>
      </x:c>
      <x:c r="C2048" s="25" t="str">
        <x:v>半急速毕业</x:v>
      </x:c>
      <x:c r="D2048" s="25" t="str">
        <x:v>材料</x:v>
      </x:c>
      <x:c r="E2048" s="25" t="str">
        <x:v>湖底封门珠</x:v>
      </x:c>
      <x:c r="F2048" s="25" t="n">
        <x:v>8</x:v>
      </x:c>
      <x:c r="G2048" s="25" t="str">
        <x:v>从C0至当前检查点累计需求；未扣自身未来产出，不代表已有库存</x:v>
      </x:c>
    </x:row>
    <x:row r="2049">
      <x:c r="A2049" s="25" t="str">
        <x:v>C10-G</x:v>
      </x:c>
      <x:c r="B2049" s="25" t="str">
        <x:v>王城罗德尔</x:v>
      </x:c>
      <x:c r="C2049" s="25" t="str">
        <x:v>半急速毕业</x:v>
      </x:c>
      <x:c r="D2049" s="25" t="str">
        <x:v>材料</x:v>
      </x:c>
      <x:c r="E2049" s="25" t="str">
        <x:v>湖心月谱残章</x:v>
      </x:c>
      <x:c r="F2049" s="25" t="n">
        <x:v>1</x:v>
      </x:c>
      <x:c r="G2049" s="25" t="str">
        <x:v>从C0至当前检查点累计需求；未扣自身未来产出，不代表已有库存</x:v>
      </x:c>
    </x:row>
    <x:row r="2050">
      <x:c r="A2050" s="25" t="str">
        <x:v>C10-G</x:v>
      </x:c>
      <x:c r="B2050" s="25" t="str">
        <x:v>王城罗德尔</x:v>
      </x:c>
      <x:c r="C2050" s="25" t="str">
        <x:v>半急速毕业</x:v>
      </x:c>
      <x:c r="D2050" s="25" t="str">
        <x:v>材料</x:v>
      </x:c>
      <x:c r="E2050" s="25" t="str">
        <x:v>湖盐结晶</x:v>
      </x:c>
      <x:c r="F2050" s="25" t="n">
        <x:v>1647</x:v>
      </x:c>
      <x:c r="G2050" s="25" t="str">
        <x:v>从C0至当前检查点累计需求；未扣自身未来产出，不代表已有库存</x:v>
      </x:c>
    </x:row>
    <x:row r="2051">
      <x:c r="A2051" s="25" t="str">
        <x:v>C10-G</x:v>
      </x:c>
      <x:c r="B2051" s="25" t="str">
        <x:v>王城罗德尔</x:v>
      </x:c>
      <x:c r="C2051" s="25" t="str">
        <x:v>半急速毕业</x:v>
      </x:c>
      <x:c r="D2051" s="25" t="str">
        <x:v>材料</x:v>
      </x:c>
      <x:c r="E2051" s="25" t="str">
        <x:v>溃烂树核</x:v>
      </x:c>
      <x:c r="F2051" s="25" t="n">
        <x:v>1</x:v>
      </x:c>
      <x:c r="G2051" s="25" t="str">
        <x:v>从C0至当前检查点累计需求；未扣自身未来产出，不代表已有库存</x:v>
      </x:c>
    </x:row>
    <x:row r="2052">
      <x:c r="A2052" s="25" t="str">
        <x:v>C10-G</x:v>
      </x:c>
      <x:c r="B2052" s="25" t="str">
        <x:v>王城罗德尔</x:v>
      </x:c>
      <x:c r="C2052" s="25" t="str">
        <x:v>半急速毕业</x:v>
      </x:c>
      <x:c r="D2052" s="25" t="str">
        <x:v>材料</x:v>
      </x:c>
      <x:c r="E2052" s="25" t="str">
        <x:v>满月王室印</x:v>
      </x:c>
      <x:c r="F2052" s="25" t="n">
        <x:v>51</x:v>
      </x:c>
      <x:c r="G2052" s="25" t="str">
        <x:v>从C0至当前检查点累计需求；未扣自身未来产出，不代表已有库存</x:v>
      </x:c>
    </x:row>
    <x:row r="2053">
      <x:c r="A2053" s="25" t="str">
        <x:v>C10-G</x:v>
      </x:c>
      <x:c r="B2053" s="25" t="str">
        <x:v>王城罗德尔</x:v>
      </x:c>
      <x:c r="C2053" s="25" t="str">
        <x:v>半急速毕业</x:v>
      </x:c>
      <x:c r="D2053" s="25" t="str">
        <x:v>材料</x:v>
      </x:c>
      <x:c r="E2053" s="25" t="str">
        <x:v>漂流大陆印记</x:v>
      </x:c>
      <x:c r="F2053" s="25" t="n">
        <x:v>11</x:v>
      </x:c>
      <x:c r="G2053" s="25" t="str">
        <x:v>从C0至当前检查点累计需求；未扣自身未来产出，不代表已有库存</x:v>
      </x:c>
    </x:row>
    <x:row r="2054">
      <x:c r="A2054" s="25" t="str">
        <x:v>C10-G</x:v>
      </x:c>
      <x:c r="B2054" s="25" t="str">
        <x:v>王城罗德尔</x:v>
      </x:c>
      <x:c r="C2054" s="25" t="str">
        <x:v>半急速毕业</x:v>
      </x:c>
      <x:c r="D2054" s="25" t="str">
        <x:v>材料</x:v>
      </x:c>
      <x:c r="E2054" s="25" t="str">
        <x:v>漂流见证·潮</x:v>
      </x:c>
      <x:c r="F2054" s="25" t="n">
        <x:v>8</x:v>
      </x:c>
      <x:c r="G2054" s="25" t="str">
        <x:v>从C0至当前检查点累计需求；未扣自身未来产出，不代表已有库存</x:v>
      </x:c>
    </x:row>
    <x:row r="2055">
      <x:c r="A2055" s="25" t="str">
        <x:v>C10-G</x:v>
      </x:c>
      <x:c r="B2055" s="25" t="str">
        <x:v>王城罗德尔</x:v>
      </x:c>
      <x:c r="C2055" s="25" t="str">
        <x:v>半急速毕业</x:v>
      </x:c>
      <x:c r="D2055" s="25" t="str">
        <x:v>材料</x:v>
      </x:c>
      <x:c r="E2055" s="25" t="str">
        <x:v>漂流见证·雷</x:v>
      </x:c>
      <x:c r="F2055" s="25" t="n">
        <x:v>8</x:v>
      </x:c>
      <x:c r="G2055" s="25" t="str">
        <x:v>从C0至当前检查点累计需求；未扣自身未来产出，不代表已有库存</x:v>
      </x:c>
    </x:row>
    <x:row r="2056">
      <x:c r="A2056" s="25" t="str">
        <x:v>C10-G</x:v>
      </x:c>
      <x:c r="B2056" s="25" t="str">
        <x:v>王城罗德尔</x:v>
      </x:c>
      <x:c r="C2056" s="25" t="str">
        <x:v>半急速毕业</x:v>
      </x:c>
      <x:c r="D2056" s="25" t="str">
        <x:v>材料</x:v>
      </x:c>
      <x:c r="E2056" s="25" t="str">
        <x:v>潮痕结晶</x:v>
      </x:c>
      <x:c r="F2056" s="25" t="n">
        <x:v>16</x:v>
      </x:c>
      <x:c r="G2056" s="25" t="str">
        <x:v>从C0至当前检查点累计需求；未扣自身未来产出，不代表已有库存</x:v>
      </x:c>
    </x:row>
    <x:row r="2057">
      <x:c r="A2057" s="25" t="str">
        <x:v>C10-G</x:v>
      </x:c>
      <x:c r="B2057" s="25" t="str">
        <x:v>王城罗德尔</x:v>
      </x:c>
      <x:c r="C2057" s="25" t="str">
        <x:v>半急速毕业</x:v>
      </x:c>
      <x:c r="D2057" s="25" t="str">
        <x:v>材料</x:v>
      </x:c>
      <x:c r="E2057" s="25" t="str">
        <x:v>熊王心脏</x:v>
      </x:c>
      <x:c r="F2057" s="25" t="n">
        <x:v>2</x:v>
      </x:c>
      <x:c r="G2057" s="25" t="str">
        <x:v>从C0至当前检查点累计需求；未扣自身未来产出，不代表已有库存</x:v>
      </x:c>
    </x:row>
    <x:row r="2058">
      <x:c r="A2058" s="25" t="str">
        <x:v>C10-G</x:v>
      </x:c>
      <x:c r="B2058" s="25" t="str">
        <x:v>王城罗德尔</x:v>
      </x:c>
      <x:c r="C2058" s="25" t="str">
        <x:v>半急速毕业</x:v>
      </x:c>
      <x:c r="D2058" s="25" t="str">
        <x:v>材料</x:v>
      </x:c>
      <x:c r="E2058" s="25" t="str">
        <x:v>熔原罪火残章</x:v>
      </x:c>
      <x:c r="F2058" s="25" t="n">
        <x:v>1</x:v>
      </x:c>
      <x:c r="G2058" s="25" t="str">
        <x:v>从C0至当前检查点累计需求；未扣自身未来产出，不代表已有库存</x:v>
      </x:c>
    </x:row>
    <x:row r="2059">
      <x:c r="A2059" s="25" t="str">
        <x:v>C10-G</x:v>
      </x:c>
      <x:c r="B2059" s="25" t="str">
        <x:v>王城罗德尔</x:v>
      </x:c>
      <x:c r="C2059" s="25" t="str">
        <x:v>半急速毕业</x:v>
      </x:c>
      <x:c r="D2059" s="25" t="str">
        <x:v>材料</x:v>
      </x:c>
      <x:c r="E2059" s="25" t="str">
        <x:v>熔炉角片</x:v>
      </x:c>
      <x:c r="F2059" s="25" t="n">
        <x:v>1</x:v>
      </x:c>
      <x:c r="G2059" s="25" t="str">
        <x:v>从C0至当前检查点累计需求；未扣自身未来产出，不代表已有库存</x:v>
      </x:c>
    </x:row>
    <x:row r="2060">
      <x:c r="A2060" s="25" t="str">
        <x:v>C10-G</x:v>
      </x:c>
      <x:c r="B2060" s="25" t="str">
        <x:v>王城罗德尔</x:v>
      </x:c>
      <x:c r="C2060" s="25" t="str">
        <x:v>半急速毕业</x:v>
      </x:c>
      <x:c r="D2060" s="25" t="str">
        <x:v>材料</x:v>
      </x:c>
      <x:c r="E2060" s="25" t="str">
        <x:v>猩红矿渣</x:v>
      </x:c>
      <x:c r="F2060" s="25" t="n">
        <x:v>1737</x:v>
      </x:c>
      <x:c r="G2060" s="25" t="str">
        <x:v>从C0至当前检查点累计需求；未扣自身未来产出，不代表已有库存</x:v>
      </x:c>
    </x:row>
    <x:row r="2061">
      <x:c r="A2061" s="25" t="str">
        <x:v>C10-G</x:v>
      </x:c>
      <x:c r="B2061" s="25" t="str">
        <x:v>王城罗德尔</x:v>
      </x:c>
      <x:c r="C2061" s="25" t="str">
        <x:v>半急速毕业</x:v>
      </x:c>
      <x:c r="D2061" s="25" t="str">
        <x:v>材料</x:v>
      </x:c>
      <x:c r="E2061" s="25" t="str">
        <x:v>王城军印</x:v>
      </x:c>
      <x:c r="F2061" s="25" t="n">
        <x:v>1</x:v>
      </x:c>
      <x:c r="G2061" s="25" t="str">
        <x:v>从C0至当前检查点累计需求；未扣自身未来产出，不代表已有库存</x:v>
      </x:c>
    </x:row>
    <x:row r="2062">
      <x:c r="A2062" s="25" t="str">
        <x:v>C10-G</x:v>
      </x:c>
      <x:c r="B2062" s="25" t="str">
        <x:v>王城罗德尔</x:v>
      </x:c>
      <x:c r="C2062" s="25" t="str">
        <x:v>半急速毕业</x:v>
      </x:c>
      <x:c r="D2062" s="25" t="str">
        <x:v>材料</x:v>
      </x:c>
      <x:c r="E2062" s="25" t="str">
        <x:v>王城金屑</x:v>
      </x:c>
      <x:c r="F2062" s="25" t="n">
        <x:v>4755</x:v>
      </x:c>
      <x:c r="G2062" s="25" t="str">
        <x:v>从C0至当前检查点累计需求；未扣自身未来产出，不代表已有库存</x:v>
      </x:c>
    </x:row>
    <x:row r="2063">
      <x:c r="A2063" s="25" t="str">
        <x:v>C10-G</x:v>
      </x:c>
      <x:c r="B2063" s="25" t="str">
        <x:v>王城罗德尔</x:v>
      </x:c>
      <x:c r="C2063" s="25" t="str">
        <x:v>半急速毕业</x:v>
      </x:c>
      <x:c r="D2063" s="25" t="str">
        <x:v>材料</x:v>
      </x:c>
      <x:c r="E2063" s="25" t="str">
        <x:v>王宫律文</x:v>
      </x:c>
      <x:c r="F2063" s="25" t="n">
        <x:v>236</x:v>
      </x:c>
      <x:c r="G2063" s="25" t="str">
        <x:v>从C0至当前检查点累计需求；未扣自身未来产出，不代表已有库存</x:v>
      </x:c>
    </x:row>
    <x:row r="2064">
      <x:c r="A2064" s="25" t="str">
        <x:v>C10-G</x:v>
      </x:c>
      <x:c r="B2064" s="25" t="str">
        <x:v>王城罗德尔</x:v>
      </x:c>
      <x:c r="C2064" s="25" t="str">
        <x:v>半急速毕业</x:v>
      </x:c>
      <x:c r="D2064" s="25" t="str">
        <x:v>材料</x:v>
      </x:c>
      <x:c r="E2064" s="25" t="str">
        <x:v>王宫断冠片</x:v>
      </x:c>
      <x:c r="F2064" s="25" t="n">
        <x:v>24</x:v>
      </x:c>
      <x:c r="G2064" s="25" t="str">
        <x:v>从C0至当前检查点累计需求；未扣自身未来产出，不代表已有库存</x:v>
      </x:c>
    </x:row>
    <x:row r="2065">
      <x:c r="A2065" s="25" t="str">
        <x:v>C10-G</x:v>
      </x:c>
      <x:c r="B2065" s="25" t="str">
        <x:v>王城罗德尔</x:v>
      </x:c>
      <x:c r="C2065" s="25" t="str">
        <x:v>半急速毕业</x:v>
      </x:c>
      <x:c r="D2065" s="25" t="str">
        <x:v>材料</x:v>
      </x:c>
      <x:c r="E2065" s="25" t="str">
        <x:v>白金纺线</x:v>
      </x:c>
      <x:c r="F2065" s="25" t="n">
        <x:v>60</x:v>
      </x:c>
      <x:c r="G2065" s="25" t="str">
        <x:v>从C0至当前检查点累计需求；未扣自身未来产出，不代表已有库存</x:v>
      </x:c>
    </x:row>
    <x:row r="2066">
      <x:c r="A2066" s="25" t="str">
        <x:v>C10-G</x:v>
      </x:c>
      <x:c r="B2066" s="25" t="str">
        <x:v>王城罗德尔</x:v>
      </x:c>
      <x:c r="C2066" s="25" t="str">
        <x:v>半急速毕业</x:v>
      </x:c>
      <x:c r="D2066" s="25" t="str">
        <x:v>材料</x:v>
      </x:c>
      <x:c r="E2066" s="25" t="str">
        <x:v>白金路标片</x:v>
      </x:c>
      <x:c r="F2066" s="25" t="n">
        <x:v>145</x:v>
      </x:c>
      <x:c r="G2066" s="25" t="str">
        <x:v>从C0至当前检查点累计需求；未扣自身未来产出，不代表已有库存</x:v>
      </x:c>
    </x:row>
    <x:row r="2067">
      <x:c r="A2067" s="25" t="str">
        <x:v>C10-G</x:v>
      </x:c>
      <x:c r="B2067" s="25" t="str">
        <x:v>王城罗德尔</x:v>
      </x:c>
      <x:c r="C2067" s="25" t="str">
        <x:v>半急速毕业</x:v>
      </x:c>
      <x:c r="D2067" s="25" t="str">
        <x:v>材料</x:v>
      </x:c>
      <x:c r="E2067" s="25" t="str">
        <x:v>看门犬石心</x:v>
      </x:c>
      <x:c r="F2067" s="25" t="n">
        <x:v>2</x:v>
      </x:c>
      <x:c r="G2067" s="25" t="str">
        <x:v>从C0至当前检查点累计需求；未扣自身未来产出，不代表已有库存</x:v>
      </x:c>
    </x:row>
    <x:row r="2068">
      <x:c r="A2068" s="25" t="str">
        <x:v>C10-G</x:v>
      </x:c>
      <x:c r="B2068" s="25" t="str">
        <x:v>王城罗德尔</x:v>
      </x:c>
      <x:c r="C2068" s="25" t="str">
        <x:v>半急速毕业</x:v>
      </x:c>
      <x:c r="D2068" s="25" t="str">
        <x:v>材料</x:v>
      </x:c>
      <x:c r="E2068" s="25" t="str">
        <x:v>矿脉灯芯</x:v>
      </x:c>
      <x:c r="F2068" s="25" t="n">
        <x:v>20</x:v>
      </x:c>
      <x:c r="G2068" s="25" t="str">
        <x:v>从C0至当前检查点累计需求；未扣自身未来产出，不代表已有库存</x:v>
      </x:c>
    </x:row>
    <x:row r="2069">
      <x:c r="A2069" s="25" t="str">
        <x:v>C10-G</x:v>
      </x:c>
      <x:c r="B2069" s="25" t="str">
        <x:v>王城罗德尔</x:v>
      </x:c>
      <x:c r="C2069" s="25" t="str">
        <x:v>半急速毕业</x:v>
      </x:c>
      <x:c r="D2069" s="25" t="str">
        <x:v>材料</x:v>
      </x:c>
      <x:c r="E2069" s="25" t="str">
        <x:v>碎星仪仗钉</x:v>
      </x:c>
      <x:c r="F2069" s="25" t="n">
        <x:v>2</x:v>
      </x:c>
      <x:c r="G2069" s="25" t="str">
        <x:v>从C0至当前检查点累计需求；未扣自身未来产出，不代表已有库存</x:v>
      </x:c>
    </x:row>
    <x:row r="2070">
      <x:c r="A2070" s="25" t="str">
        <x:v>C10-G</x:v>
      </x:c>
      <x:c r="B2070" s="25" t="str">
        <x:v>王城罗德尔</x:v>
      </x:c>
      <x:c r="C2070" s="25" t="str">
        <x:v>半急速毕业</x:v>
      </x:c>
      <x:c r="D2070" s="25" t="str">
        <x:v>材料</x:v>
      </x:c>
      <x:c r="E2070" s="25" t="str">
        <x:v>神秘符文</x:v>
      </x:c>
      <x:c r="F2070" s="25" t="n">
        <x:v>600</x:v>
      </x:c>
      <x:c r="G2070" s="25" t="str">
        <x:v>从C0至当前检查点累计需求；未扣自身未来产出，不代表已有库存</x:v>
      </x:c>
    </x:row>
    <x:row r="2071">
      <x:c r="A2071" s="25" t="str">
        <x:v>C10-G</x:v>
      </x:c>
      <x:c r="B2071" s="25" t="str">
        <x:v>王城罗德尔</x:v>
      </x:c>
      <x:c r="C2071" s="25" t="str">
        <x:v>半急速毕业</x:v>
      </x:c>
      <x:c r="D2071" s="25" t="str">
        <x:v>材料</x:v>
      </x:c>
      <x:c r="E2071" s="25" t="str">
        <x:v>禁域星钥</x:v>
      </x:c>
      <x:c r="F2071" s="25" t="n">
        <x:v>2</x:v>
      </x:c>
      <x:c r="G2071" s="25" t="str">
        <x:v>从C0至当前检查点累计需求；未扣自身未来产出，不代表已有库存</x:v>
      </x:c>
    </x:row>
    <x:row r="2072">
      <x:c r="A2072" s="25" t="str">
        <x:v>C10-G</x:v>
      </x:c>
      <x:c r="B2072" s="25" t="str">
        <x:v>王城罗德尔</x:v>
      </x:c>
      <x:c r="C2072" s="25" t="str">
        <x:v>半急速毕业</x:v>
      </x:c>
      <x:c r="D2072" s="25" t="str">
        <x:v>材料</x:v>
      </x:c>
      <x:c r="E2072" s="25" t="str">
        <x:v>穹霜碑珀</x:v>
      </x:c>
      <x:c r="F2072" s="25" t="n">
        <x:v>1</x:v>
      </x:c>
      <x:c r="G2072" s="25" t="str">
        <x:v>从C0至当前检查点累计需求；未扣自身未来产出，不代表已有库存</x:v>
      </x:c>
    </x:row>
    <x:row r="2073">
      <x:c r="A2073" s="25" t="str">
        <x:v>C10-G</x:v>
      </x:c>
      <x:c r="B2073" s="25" t="str">
        <x:v>王城罗德尔</x:v>
      </x:c>
      <x:c r="C2073" s="25" t="str">
        <x:v>半急速毕业</x:v>
      </x:c>
      <x:c r="D2073" s="25" t="str">
        <x:v>材料</x:v>
      </x:c>
      <x:c r="E2073" s="25" t="str">
        <x:v>红狮战印</x:v>
      </x:c>
      <x:c r="F2073" s="25" t="n">
        <x:v>42</x:v>
      </x:c>
      <x:c r="G2073" s="25" t="str">
        <x:v>从C0至当前检查点累计需求；未扣自身未来产出，不代表已有库存</x:v>
      </x:c>
    </x:row>
    <x:row r="2074">
      <x:c r="A2074" s="25" t="str">
        <x:v>C10-G</x:v>
      </x:c>
      <x:c r="B2074" s="25" t="str">
        <x:v>王城罗德尔</x:v>
      </x:c>
      <x:c r="C2074" s="25" t="str">
        <x:v>半急速毕业</x:v>
      </x:c>
      <x:c r="D2074" s="25" t="str">
        <x:v>材料</x:v>
      </x:c>
      <x:c r="E2074" s="25" t="str">
        <x:v>腐根魂结</x:v>
      </x:c>
      <x:c r="F2074" s="25" t="n">
        <x:v>2</x:v>
      </x:c>
      <x:c r="G2074" s="25" t="str">
        <x:v>从C0至当前检查点累计需求；未扣自身未来产出，不代表已有库存</x:v>
      </x:c>
    </x:row>
    <x:row r="2075">
      <x:c r="A2075" s="25" t="str">
        <x:v>C10-G</x:v>
      </x:c>
      <x:c r="B2075" s="25" t="str">
        <x:v>王城罗德尔</x:v>
      </x:c>
      <x:c r="C2075" s="25" t="str">
        <x:v>半急速毕业</x:v>
      </x:c>
      <x:c r="D2075" s="25" t="str">
        <x:v>材料</x:v>
      </x:c>
      <x:c r="E2075" s="25" t="str">
        <x:v>艾尔登王印</x:v>
      </x:c>
      <x:c r="F2075" s="25" t="n">
        <x:v>172</x:v>
      </x:c>
      <x:c r="G2075" s="25" t="str">
        <x:v>从C0至当前检查点累计需求；未扣自身未来产出，不代表已有库存</x:v>
      </x:c>
    </x:row>
    <x:row r="2076">
      <x:c r="A2076" s="25" t="str">
        <x:v>C10-G</x:v>
      </x:c>
      <x:c r="B2076" s="25" t="str">
        <x:v>王城罗德尔</x:v>
      </x:c>
      <x:c r="C2076" s="25" t="str">
        <x:v>半急速毕业</x:v>
      </x:c>
      <x:c r="D2076" s="25" t="str">
        <x:v>材料</x:v>
      </x:c>
      <x:c r="E2076" s="25" t="str">
        <x:v>裁文蜡封</x:v>
      </x:c>
      <x:c r="F2076" s="25" t="n">
        <x:v>54</x:v>
      </x:c>
      <x:c r="G2076" s="25" t="str">
        <x:v>从C0至当前检查点累计需求；未扣自身未来产出，不代表已有库存</x:v>
      </x:c>
    </x:row>
    <x:row r="2077">
      <x:c r="A2077" s="25" t="str">
        <x:v>C10-G</x:v>
      </x:c>
      <x:c r="B2077" s="25" t="str">
        <x:v>王城罗德尔</x:v>
      </x:c>
      <x:c r="C2077" s="25" t="str">
        <x:v>半急速毕业</x:v>
      </x:c>
      <x:c r="D2077" s="25" t="str">
        <x:v>材料</x:v>
      </x:c>
      <x:c r="E2077" s="25" t="str">
        <x:v>裂峰号角片</x:v>
      </x:c>
      <x:c r="F2077" s="25" t="n">
        <x:v>110</x:v>
      </x:c>
      <x:c r="G2077" s="25" t="str">
        <x:v>从C0至当前检查点累计需求；未扣自身未来产出，不代表已有库存</x:v>
      </x:c>
    </x:row>
    <x:row r="2078">
      <x:c r="A2078" s="25" t="str">
        <x:v>C10-G</x:v>
      </x:c>
      <x:c r="B2078" s="25" t="str">
        <x:v>王城罗德尔</x:v>
      </x:c>
      <x:c r="C2078" s="25" t="str">
        <x:v>半急速毕业</x:v>
      </x:c>
      <x:c r="D2078" s="25" t="str">
        <x:v>材料</x:v>
      </x:c>
      <x:c r="E2078" s="25" t="str">
        <x:v>裂风崖羽</x:v>
      </x:c>
      <x:c r="F2078" s="25" t="n">
        <x:v>80</x:v>
      </x:c>
      <x:c r="G2078" s="25" t="str">
        <x:v>从C0至当前检查点累计需求；未扣自身未来产出，不代表已有库存</x:v>
      </x:c>
    </x:row>
    <x:row r="2079">
      <x:c r="A2079" s="25" t="str">
        <x:v>C10-G</x:v>
      </x:c>
      <x:c r="B2079" s="25" t="str">
        <x:v>王城罗德尔</x:v>
      </x:c>
      <x:c r="C2079" s="25" t="str">
        <x:v>半急速毕业</x:v>
      </x:c>
      <x:c r="D2079" s="25" t="str">
        <x:v>材料</x:v>
      </x:c>
      <x:c r="E2079" s="25" t="str">
        <x:v>西境战旗</x:v>
      </x:c>
      <x:c r="F2079" s="25" t="n">
        <x:v>20</x:v>
      </x:c>
      <x:c r="G2079" s="25" t="str">
        <x:v>从C0至当前检查点累计需求；未扣自身未来产出，不代表已有库存</x:v>
      </x:c>
    </x:row>
    <x:row r="2080">
      <x:c r="A2080" s="25" t="str">
        <x:v>C10-G</x:v>
      </x:c>
      <x:c r="B2080" s="25" t="str">
        <x:v>王城罗德尔</x:v>
      </x:c>
      <x:c r="C2080" s="25" t="str">
        <x:v>半急速毕业</x:v>
      </x:c>
      <x:c r="D2080" s="25" t="str">
        <x:v>材料</x:v>
      </x:c>
      <x:c r="E2080" s="25" t="str">
        <x:v>西境战旗印</x:v>
      </x:c>
      <x:c r="F2080" s="25" t="n">
        <x:v>13</x:v>
      </x:c>
      <x:c r="G2080" s="25" t="str">
        <x:v>从C0至当前检查点累计需求；未扣自身未来产出，不代表已有库存</x:v>
      </x:c>
    </x:row>
    <x:row r="2081">
      <x:c r="A2081" s="25" t="str">
        <x:v>C10-G</x:v>
      </x:c>
      <x:c r="B2081" s="25" t="str">
        <x:v>王城罗德尔</x:v>
      </x:c>
      <x:c r="C2081" s="25" t="str">
        <x:v>半急速毕业</x:v>
      </x:c>
      <x:c r="D2081" s="25" t="str">
        <x:v>材料</x:v>
      </x:c>
      <x:c r="E2081" s="25" t="str">
        <x:v>西境风痕碑拓</x:v>
      </x:c>
      <x:c r="F2081" s="25" t="n">
        <x:v>1</x:v>
      </x:c>
      <x:c r="G2081" s="25" t="str">
        <x:v>从C0至当前检查点累计需求；未扣自身未来产出，不代表已有库存</x:v>
      </x:c>
    </x:row>
    <x:row r="2082">
      <x:c r="A2082" s="25" t="str">
        <x:v>C10-G</x:v>
      </x:c>
      <x:c r="B2082" s="25" t="str">
        <x:v>王城罗德尔</x:v>
      </x:c>
      <x:c r="C2082" s="25" t="str">
        <x:v>半急速毕业</x:v>
      </x:c>
      <x:c r="D2082" s="25" t="str">
        <x:v>材料</x:v>
      </x:c>
      <x:c r="E2082" s="25" t="str">
        <x:v>贵胄断指</x:v>
      </x:c>
      <x:c r="F2082" s="25" t="n">
        <x:v>1</x:v>
      </x:c>
      <x:c r="G2082" s="25" t="str">
        <x:v>从C0至当前检查点累计需求；未扣自身未来产出，不代表已有库存</x:v>
      </x:c>
    </x:row>
    <x:row r="2083">
      <x:c r="A2083" s="25" t="str">
        <x:v>C10-G</x:v>
      </x:c>
      <x:c r="B2083" s="25" t="str">
        <x:v>王城罗德尔</x:v>
      </x:c>
      <x:c r="C2083" s="25" t="str">
        <x:v>半急速毕业</x:v>
      </x:c>
      <x:c r="D2083" s="25" t="str">
        <x:v>材料</x:v>
      </x:c>
      <x:c r="E2083" s="25" t="str">
        <x:v>辉石碎晶</x:v>
      </x:c>
      <x:c r="F2083" s="25" t="n">
        <x:v>1750</x:v>
      </x:c>
      <x:c r="G2083" s="25" t="str">
        <x:v>从C0至当前检查点累计需求；未扣自身未来产出，不代表已有库存</x:v>
      </x:c>
    </x:row>
    <x:row r="2084">
      <x:c r="A2084" s="25" t="str">
        <x:v>C10-G</x:v>
      </x:c>
      <x:c r="B2084" s="25" t="str">
        <x:v>王城罗德尔</x:v>
      </x:c>
      <x:c r="C2084" s="25" t="str">
        <x:v>半急速毕业</x:v>
      </x:c>
      <x:c r="D2084" s="25" t="str">
        <x:v>材料</x:v>
      </x:c>
      <x:c r="E2084" s="25" t="str">
        <x:v>野兽骨片</x:v>
      </x:c>
      <x:c r="F2084" s="25" t="n">
        <x:v>84095</x:v>
      </x:c>
      <x:c r="G2084" s="25" t="str">
        <x:v>从C0至当前检查点累计需求；未扣自身未来产出，不代表已有库存</x:v>
      </x:c>
    </x:row>
    <x:row r="2085">
      <x:c r="A2085" s="25" t="str">
        <x:v>C10-G</x:v>
      </x:c>
      <x:c r="B2085" s="25" t="str">
        <x:v>王城罗德尔</x:v>
      </x:c>
      <x:c r="C2085" s="25" t="str">
        <x:v>半急速毕业</x:v>
      </x:c>
      <x:c r="D2085" s="25" t="str">
        <x:v>材料</x:v>
      </x:c>
      <x:c r="E2085" s="25" t="str">
        <x:v>金叶驿票</x:v>
      </x:c>
      <x:c r="F2085" s="25" t="n">
        <x:v>50</x:v>
      </x:c>
      <x:c r="G2085" s="25" t="str">
        <x:v>从C0至当前检查点累计需求；未扣自身未来产出，不代表已有库存</x:v>
      </x:c>
    </x:row>
    <x:row r="2086">
      <x:c r="A2086" s="25" t="str">
        <x:v>C10-G</x:v>
      </x:c>
      <x:c r="B2086" s="25" t="str">
        <x:v>王城罗德尔</x:v>
      </x:c>
      <x:c r="C2086" s="25" t="str">
        <x:v>半急速毕业</x:v>
      </x:c>
      <x:c r="D2086" s="25" t="str">
        <x:v>材料</x:v>
      </x:c>
      <x:c r="E2086" s="25" t="str">
        <x:v>雾潮银鳞</x:v>
      </x:c>
      <x:c r="F2086" s="25" t="n">
        <x:v>272</x:v>
      </x:c>
      <x:c r="G2086" s="25" t="str">
        <x:v>从C0至当前检查点累计需求；未扣自身未来产出，不代表已有库存</x:v>
      </x:c>
    </x:row>
    <x:row r="2087">
      <x:c r="A2087" s="25" t="str">
        <x:v>C10-G</x:v>
      </x:c>
      <x:c r="B2087" s="25" t="str">
        <x:v>王城罗德尔</x:v>
      </x:c>
      <x:c r="C2087" s="25" t="str">
        <x:v>半急速毕业</x:v>
      </x:c>
      <x:c r="D2087" s="25" t="str">
        <x:v>材料</x:v>
      </x:c>
      <x:c r="E2087" s="25" t="str">
        <x:v>霜脊铁</x:v>
      </x:c>
      <x:c r="F2087" s="25" t="n">
        <x:v>2595</x:v>
      </x:c>
      <x:c r="G2087" s="25" t="str">
        <x:v>从C0至当前检查点累计需求；未扣自身未来产出，不代表已有库存</x:v>
      </x:c>
    </x:row>
    <x:row r="2088">
      <x:c r="A2088" s="25" t="str">
        <x:v>C10-G</x:v>
      </x:c>
      <x:c r="B2088" s="25" t="str">
        <x:v>王城罗德尔</x:v>
      </x:c>
      <x:c r="C2088" s="25" t="str">
        <x:v>半急速毕业</x:v>
      </x:c>
      <x:c r="D2088" s="25" t="str">
        <x:v>材料</x:v>
      </x:c>
      <x:c r="E2088" s="25" t="str">
        <x:v>风暴王核</x:v>
      </x:c>
      <x:c r="F2088" s="25" t="n">
        <x:v>1</x:v>
      </x:c>
      <x:c r="G2088" s="25" t="str">
        <x:v>从C0至当前检查点累计需求；未扣自身未来产出，不代表已有库存</x:v>
      </x:c>
    </x:row>
    <x:row r="2089">
      <x:c r="A2089" s="25" t="str">
        <x:v>C10-G</x:v>
      </x:c>
      <x:c r="B2089" s="25" t="str">
        <x:v>王城罗德尔</x:v>
      </x:c>
      <x:c r="C2089" s="25" t="str">
        <x:v>半急速毕业</x:v>
      </x:c>
      <x:c r="D2089" s="25" t="str">
        <x:v>材料</x:v>
      </x:c>
      <x:c r="E2089" s="25" t="str">
        <x:v>风暴石片</x:v>
      </x:c>
      <x:c r="F2089" s="25" t="n">
        <x:v>370</x:v>
      </x:c>
      <x:c r="G2089" s="25" t="str">
        <x:v>从C0至当前检查点累计需求；未扣自身未来产出，不代表已有库存</x:v>
      </x:c>
    </x:row>
    <x:row r="2090">
      <x:c r="A2090" s="25" t="str">
        <x:v>C10-G</x:v>
      </x:c>
      <x:c r="B2090" s="25" t="str">
        <x:v>王城罗德尔</x:v>
      </x:c>
      <x:c r="C2090" s="25" t="str">
        <x:v>半急速毕业</x:v>
      </x:c>
      <x:c r="D2090" s="25" t="str">
        <x:v>材料</x:v>
      </x:c>
      <x:c r="E2090" s="25" t="str">
        <x:v>风蚀铁片</x:v>
      </x:c>
      <x:c r="F2090" s="25" t="n">
        <x:v>710</x:v>
      </x:c>
      <x:c r="G2090" s="25" t="str">
        <x:v>从C0至当前检查点累计需求；未扣自身未来产出，不代表已有库存</x:v>
      </x:c>
    </x:row>
    <x:row r="2091">
      <x:c r="A2091" s="25" t="str">
        <x:v>C10-G</x:v>
      </x:c>
      <x:c r="B2091" s="25" t="str">
        <x:v>王城罗德尔</x:v>
      </x:c>
      <x:c r="C2091" s="25" t="str">
        <x:v>半急速毕业</x:v>
      </x:c>
      <x:c r="D2091" s="25" t="str">
        <x:v>材料</x:v>
      </x:c>
      <x:c r="E2091" s="25" t="str">
        <x:v>高原王诏金版</x:v>
      </x:c>
      <x:c r="F2091" s="25" t="n">
        <x:v>5</x:v>
      </x:c>
      <x:c r="G2091" s="25" t="str">
        <x:v>从C0至当前检查点累计需求；未扣自身未来产出，不代表已有库存</x:v>
      </x:c>
    </x:row>
    <x:row r="2092">
      <x:c r="A2092" s="25" t="str">
        <x:v>C10-G</x:v>
      </x:c>
      <x:c r="B2092" s="25" t="str">
        <x:v>王城罗德尔</x:v>
      </x:c>
      <x:c r="C2092" s="25" t="str">
        <x:v>半急速毕业</x:v>
      </x:c>
      <x:c r="D2092" s="25" t="str">
        <x:v>材料</x:v>
      </x:c>
      <x:c r="E2092" s="25" t="str">
        <x:v>黄金叶脉</x:v>
      </x:c>
      <x:c r="F2092" s="25" t="n">
        <x:v>4470</x:v>
      </x:c>
      <x:c r="G2092" s="25" t="str">
        <x:v>从C0至当前检查点累计需求；未扣自身未来产出，不代表已有库存</x:v>
      </x:c>
    </x:row>
    <x:row r="2093">
      <x:c r="A2093" s="25" t="str">
        <x:v>C10-G</x:v>
      </x:c>
      <x:c r="B2093" s="25" t="str">
        <x:v>王城罗德尔</x:v>
      </x:c>
      <x:c r="C2093" s="25" t="str">
        <x:v>半急速毕业</x:v>
      </x:c>
      <x:c r="D2093" s="25" t="str">
        <x:v>材料</x:v>
      </x:c>
      <x:c r="E2093" s="25" t="str">
        <x:v>黄金律印</x:v>
      </x:c>
      <x:c r="F2093" s="25" t="n">
        <x:v>140</x:v>
      </x:c>
      <x:c r="G2093" s="25" t="str">
        <x:v>从C0至当前检查点累计需求；未扣自身未来产出，不代表已有库存</x:v>
      </x:c>
    </x:row>
    <x:row r="2094">
      <x:c r="A2094" s="25" t="str">
        <x:v>C10-G</x:v>
      </x:c>
      <x:c r="B2094" s="25" t="str">
        <x:v>王城罗德尔</x:v>
      </x:c>
      <x:c r="C2094" s="25" t="str">
        <x:v>半急速毕业</x:v>
      </x:c>
      <x:c r="D2094" s="25" t="str">
        <x:v>材料</x:v>
      </x:c>
      <x:c r="E2094" s="25" t="str">
        <x:v>黄金律法卢恩</x:v>
      </x:c>
      <x:c r="F2094" s="25" t="n">
        <x:v>550</x:v>
      </x:c>
      <x:c r="G2094" s="25" t="str">
        <x:v>从C0至当前检查点累计需求；未扣自身未来产出，不代表已有库存</x:v>
      </x:c>
    </x:row>
    <x:row r="2095">
      <x:c r="A2095" s="25" t="str">
        <x:v>C10-G</x:v>
      </x:c>
      <x:c r="B2095" s="25" t="str">
        <x:v>王城罗德尔</x:v>
      </x:c>
      <x:c r="C2095" s="25" t="str">
        <x:v>半急速毕业</x:v>
      </x:c>
      <x:c r="D2095" s="25" t="str">
        <x:v>材料</x:v>
      </x:c>
      <x:c r="E2095" s="25" t="str">
        <x:v>黄金树碎核</x:v>
      </x:c>
      <x:c r="F2095" s="25" t="n">
        <x:v>2</x:v>
      </x:c>
      <x:c r="G2095" s="25" t="str">
        <x:v>从C0至当前检查点累计需求；未扣自身未来产出，不代表已有库存</x:v>
      </x:c>
    </x:row>
    <x:row r="2096">
      <x:c r="A2096" s="25" t="str">
        <x:v>C10-G</x:v>
      </x:c>
      <x:c r="B2096" s="25" t="str">
        <x:v>王城罗德尔</x:v>
      </x:c>
      <x:c r="C2096" s="25" t="str">
        <x:v>半急速毕业</x:v>
      </x:c>
      <x:c r="D2096" s="25" t="str">
        <x:v>材料</x:v>
      </x:c>
      <x:c r="E2096" s="25" t="str">
        <x:v>黄金树芽</x:v>
      </x:c>
      <x:c r="F2096" s="25" t="n">
        <x:v>297</x:v>
      </x:c>
      <x:c r="G2096" s="25" t="str">
        <x:v>从C0至当前检查点累计需求；未扣自身未来产出，不代表已有库存</x:v>
      </x:c>
    </x:row>
    <x:row r="2097">
      <x:c r="A2097" s="25" t="str">
        <x:v>C10-G</x:v>
      </x:c>
      <x:c r="B2097" s="25" t="str">
        <x:v>王城罗德尔</x:v>
      </x:c>
      <x:c r="C2097" s="25" t="str">
        <x:v>半急速毕业</x:v>
      </x:c>
      <x:c r="D2097" s="25" t="str">
        <x:v>材料</x:v>
      </x:c>
      <x:c r="E2097" s="25" t="str">
        <x:v>黄金骑徽</x:v>
      </x:c>
      <x:c r="F2097" s="25" t="n">
        <x:v>2</x:v>
      </x:c>
      <x:c r="G2097" s="25" t="str">
        <x:v>从C0至当前检查点累计需求；未扣自身未来产出，不代表已有库存</x:v>
      </x:c>
    </x:row>
    <x:row r="2098">
      <x:c r="A2098" s="25" t="str">
        <x:v>C10-G</x:v>
      </x:c>
      <x:c r="B2098" s="25" t="str">
        <x:v>王城罗德尔</x:v>
      </x:c>
      <x:c r="C2098" s="25" t="str">
        <x:v>半急速毕业</x:v>
      </x:c>
      <x:c r="D2098" s="25" t="str">
        <x:v>材料</x:v>
      </x:c>
      <x:c r="E2098" s="25" t="str">
        <x:v>龙火鳞</x:v>
      </x:c>
      <x:c r="F2098" s="25" t="n">
        <x:v>38</x:v>
      </x:c>
      <x:c r="G2098" s="25" t="str">
        <x:v>从C0至当前检查点累计需求；未扣自身未来产出，不代表已有库存</x:v>
      </x:c>
    </x:row>
    <x:row r="2099">
      <x:c r="A2099" s="25" t="str">
        <x:v>C10-G</x:v>
      </x:c>
      <x:c r="B2099" s="25" t="str">
        <x:v>王城罗德尔</x:v>
      </x:c>
      <x:c r="C2099" s="25" t="str">
        <x:v>半急速毕业</x:v>
      </x:c>
      <x:c r="D2099" s="25" t="str">
        <x:v>装备实物</x:v>
      </x:c>
      <x:c r="E2099" s="25" t="str">
        <x:v>共511个精确名称（明细见JSON）</x:v>
      </x:c>
      <x:c r="F2099" s="25" t="n">
        <x:v>703</x:v>
      </x:c>
      <x:c r="G2099" s="25" t="str">
        <x:v>含穿戴、重复试洗、图鉴登记与合成前置；完整数据未省略</x:v>
      </x:c>
    </x:row>
    <x:row r="2100">
      <x:c r="A2100" s="25" t="str">
        <x:v>C10-X</x:v>
      </x:c>
      <x:c r="B2100" s="25" t="str">
        <x:v>王城罗德尔</x:v>
      </x:c>
      <x:c r="C2100" s="25" t="str">
        <x:v>极端压力</x:v>
      </x:c>
      <x:c r="D2100" s="25" t="str">
        <x:v>材料</x:v>
      </x:c>
      <x:c r="E2100" s="25" t="str">
        <x:v>兽将脊骨</x:v>
      </x:c>
      <x:c r="F2100" s="25" t="n">
        <x:v>1</x:v>
      </x:c>
      <x:c r="G2100" s="25" t="str">
        <x:v>从C0至当前检查点累计需求；未扣自身未来产出，不代表已有库存</x:v>
      </x:c>
    </x:row>
    <x:row r="2101">
      <x:c r="A2101" s="25" t="str">
        <x:v>C10-X</x:v>
      </x:c>
      <x:c r="B2101" s="25" t="str">
        <x:v>王城罗德尔</x:v>
      </x:c>
      <x:c r="C2101" s="25" t="str">
        <x:v>极端压力</x:v>
      </x:c>
      <x:c r="D2101" s="25" t="str">
        <x:v>材料</x:v>
      </x:c>
      <x:c r="E2101" s="25" t="str">
        <x:v>冰宫守门铃</x:v>
      </x:c>
      <x:c r="F2101" s="25" t="n">
        <x:v>12</x:v>
      </x:c>
      <x:c r="G2101" s="25" t="str">
        <x:v>从C0至当前检查点累计需求；未扣自身未来产出，不代表已有库存</x:v>
      </x:c>
    </x:row>
    <x:row r="2102">
      <x:c r="A2102" s="25" t="str">
        <x:v>C10-X</x:v>
      </x:c>
      <x:c r="B2102" s="25" t="str">
        <x:v>王城罗德尔</x:v>
      </x:c>
      <x:c r="C2102" s="25" t="str">
        <x:v>极端压力</x:v>
      </x:c>
      <x:c r="D2102" s="25" t="str">
        <x:v>材料</x:v>
      </x:c>
      <x:c r="E2102" s="25" t="str">
        <x:v>冻原银角</x:v>
      </x:c>
      <x:c r="F2102" s="25" t="n">
        <x:v>30</x:v>
      </x:c>
      <x:c r="G2102" s="25" t="str">
        <x:v>从C0至当前检查点累计需求；未扣自身未来产出，不代表已有库存</x:v>
      </x:c>
    </x:row>
    <x:row r="2103">
      <x:c r="A2103" s="25" t="str">
        <x:v>C10-X</x:v>
      </x:c>
      <x:c r="B2103" s="25" t="str">
        <x:v>王城罗德尔</x:v>
      </x:c>
      <x:c r="C2103" s="25" t="str">
        <x:v>极端压力</x:v>
      </x:c>
      <x:c r="D2103" s="25" t="str">
        <x:v>材料</x:v>
      </x:c>
      <x:c r="E2103" s="25" t="str">
        <x:v>冻晶尘</x:v>
      </x:c>
      <x:c r="F2103" s="25" t="n">
        <x:v>1720</x:v>
      </x:c>
      <x:c r="G2103" s="25" t="str">
        <x:v>从C0至当前检查点累计需求；未扣自身未来产出，不代表已有库存</x:v>
      </x:c>
    </x:row>
    <x:row r="2104">
      <x:c r="A2104" s="25" t="str">
        <x:v>C10-X</x:v>
      </x:c>
      <x:c r="B2104" s="25" t="str">
        <x:v>王城罗德尔</x:v>
      </x:c>
      <x:c r="C2104" s="25" t="str">
        <x:v>极端压力</x:v>
      </x:c>
      <x:c r="D2104" s="25" t="str">
        <x:v>材料</x:v>
      </x:c>
      <x:c r="E2104" s="25" t="str">
        <x:v>净火腺囊</x:v>
      </x:c>
      <x:c r="F2104" s="25" t="n">
        <x:v>44</x:v>
      </x:c>
      <x:c r="G2104" s="25" t="str">
        <x:v>从C0至当前检查点累计需求；未扣自身未来产出，不代表已有库存</x:v>
      </x:c>
    </x:row>
    <x:row r="2105">
      <x:c r="A2105" s="25" t="str">
        <x:v>C10-X</x:v>
      </x:c>
      <x:c r="B2105" s="25" t="str">
        <x:v>王城罗德尔</x:v>
      </x:c>
      <x:c r="C2105" s="25" t="str">
        <x:v>极端压力</x:v>
      </x:c>
      <x:c r="D2105" s="25" t="str">
        <x:v>材料</x:v>
      </x:c>
      <x:c r="E2105" s="25" t="str">
        <x:v>卡利亚月露</x:v>
      </x:c>
      <x:c r="F2105" s="25" t="n">
        <x:v>36</x:v>
      </x:c>
      <x:c r="G2105" s="25" t="str">
        <x:v>从C0至当前检查点累计需求；未扣自身未来产出，不代表已有库存</x:v>
      </x:c>
    </x:row>
    <x:row r="2106">
      <x:c r="A2106" s="25" t="str">
        <x:v>C10-X</x:v>
      </x:c>
      <x:c r="B2106" s="25" t="str">
        <x:v>王城罗德尔</x:v>
      </x:c>
      <x:c r="C2106" s="25" t="str">
        <x:v>极端压力</x:v>
      </x:c>
      <x:c r="D2106" s="25" t="str">
        <x:v>材料</x:v>
      </x:c>
      <x:c r="E2106" s="25" t="str">
        <x:v>古坛鎏叶髓</x:v>
      </x:c>
      <x:c r="F2106" s="25" t="n">
        <x:v>1</x:v>
      </x:c>
      <x:c r="G2106" s="25" t="str">
        <x:v>从C0至当前检查点累计需求；未扣自身未来产出，不代表已有库存</x:v>
      </x:c>
    </x:row>
    <x:row r="2107">
      <x:c r="A2107" s="25" t="str">
        <x:v>C10-X</x:v>
      </x:c>
      <x:c r="B2107" s="25" t="str">
        <x:v>王城罗德尔</x:v>
      </x:c>
      <x:c r="C2107" s="25" t="str">
        <x:v>极端压力</x:v>
      </x:c>
      <x:c r="D2107" s="25" t="str">
        <x:v>材料</x:v>
      </x:c>
      <x:c r="E2107" s="25" t="str">
        <x:v>古王律页</x:v>
      </x:c>
      <x:c r="F2107" s="25" t="n">
        <x:v>105</x:v>
      </x:c>
      <x:c r="G2107" s="25" t="str">
        <x:v>从C0至当前检查点累计需求；未扣自身未来产出，不代表已有库存</x:v>
      </x:c>
    </x:row>
    <x:row r="2108">
      <x:c r="A2108" s="25" t="str">
        <x:v>C10-X</x:v>
      </x:c>
      <x:c r="B2108" s="25" t="str">
        <x:v>王城罗德尔</x:v>
      </x:c>
      <x:c r="C2108" s="25" t="str">
        <x:v>极端压力</x:v>
      </x:c>
      <x:c r="D2108" s="25" t="str">
        <x:v>材料</x:v>
      </x:c>
      <x:c r="E2108" s="25" t="str">
        <x:v>哨垒旗冠</x:v>
      </x:c>
      <x:c r="F2108" s="25" t="n">
        <x:v>3</x:v>
      </x:c>
      <x:c r="G2108" s="25" t="str">
        <x:v>从C0至当前检查点累计需求；未扣自身未来产出，不代表已有库存</x:v>
      </x:c>
    </x:row>
    <x:row r="2109">
      <x:c r="A2109" s="25" t="str">
        <x:v>C10-X</x:v>
      </x:c>
      <x:c r="B2109" s="25" t="str">
        <x:v>王城罗德尔</x:v>
      </x:c>
      <x:c r="C2109" s="25" t="str">
        <x:v>极端压力</x:v>
      </x:c>
      <x:c r="D2109" s="25" t="str">
        <x:v>材料</x:v>
      </x:c>
      <x:c r="E2109" s="25" t="str">
        <x:v>唤船骨铃</x:v>
      </x:c>
      <x:c r="F2109" s="25" t="n">
        <x:v>1</x:v>
      </x:c>
      <x:c r="G2109" s="25" t="str">
        <x:v>从C0至当前检查点累计需求；未扣自身未来产出，不代表已有库存</x:v>
      </x:c>
    </x:row>
    <x:row r="2110">
      <x:c r="A2110" s="25" t="str">
        <x:v>C10-X</x:v>
      </x:c>
      <x:c r="B2110" s="25" t="str">
        <x:v>王城罗德尔</x:v>
      </x:c>
      <x:c r="C2110" s="25" t="str">
        <x:v>极端压力</x:v>
      </x:c>
      <x:c r="D2110" s="25" t="str">
        <x:v>材料</x:v>
      </x:c>
      <x:c r="E2110" s="25" t="str">
        <x:v>商队火漆</x:v>
      </x:c>
      <x:c r="F2110" s="25" t="n">
        <x:v>20</x:v>
      </x:c>
      <x:c r="G2110" s="25" t="str">
        <x:v>从C0至当前检查点累计需求；未扣自身未来产出，不代表已有库存</x:v>
      </x:c>
    </x:row>
    <x:row r="2111">
      <x:c r="A2111" s="25" t="str">
        <x:v>C10-X</x:v>
      </x:c>
      <x:c r="B2111" s="25" t="str">
        <x:v>王城罗德尔</x:v>
      </x:c>
      <x:c r="C2111" s="25" t="str">
        <x:v>极端压力</x:v>
      </x:c>
      <x:c r="D2111" s="25" t="str">
        <x:v>材料</x:v>
      </x:c>
      <x:c r="E2111" s="25" t="str">
        <x:v>圣雪誓印</x:v>
      </x:c>
      <x:c r="F2111" s="25" t="n">
        <x:v>53</x:v>
      </x:c>
      <x:c r="G2111" s="25" t="str">
        <x:v>从C0至当前检查点累计需求；未扣自身未来产出，不代表已有库存</x:v>
      </x:c>
    </x:row>
    <x:row r="2112">
      <x:c r="A2112" s="25" t="str">
        <x:v>C10-X</x:v>
      </x:c>
      <x:c r="B2112" s="25" t="str">
        <x:v>王城罗德尔</x:v>
      </x:c>
      <x:c r="C2112" s="25" t="str">
        <x:v>极端压力</x:v>
      </x:c>
      <x:c r="D2112" s="25" t="str">
        <x:v>材料</x:v>
      </x:c>
      <x:c r="E2112" s="25" t="str">
        <x:v>圣雪门楔</x:v>
      </x:c>
      <x:c r="F2112" s="25" t="n">
        <x:v>4</x:v>
      </x:c>
      <x:c r="G2112" s="25" t="str">
        <x:v>从C0至当前检查点累计需求；未扣自身未来产出，不代表已有库存</x:v>
      </x:c>
    </x:row>
    <x:row r="2113">
      <x:c r="A2113" s="25" t="str">
        <x:v>C10-X</x:v>
      </x:c>
      <x:c r="B2113" s="25" t="str">
        <x:v>王城罗德尔</x:v>
      </x:c>
      <x:c r="C2113" s="25" t="str">
        <x:v>极端压力</x:v>
      </x:c>
      <x:c r="D2113" s="25" t="str">
        <x:v>材料</x:v>
      </x:c>
      <x:c r="E2113" s="25" t="str">
        <x:v>夜骑黑印</x:v>
      </x:c>
      <x:c r="F2113" s="25" t="n">
        <x:v>1</x:v>
      </x:c>
      <x:c r="G2113" s="25" t="str">
        <x:v>从C0至当前检查点累计需求；未扣自身未来产出，不代表已有库存</x:v>
      </x:c>
    </x:row>
    <x:row r="2114">
      <x:c r="A2114" s="25" t="str">
        <x:v>C10-X</x:v>
      </x:c>
      <x:c r="B2114" s="25" t="str">
        <x:v>王城罗德尔</x:v>
      </x:c>
      <x:c r="C2114" s="25" t="str">
        <x:v>极端压力</x:v>
      </x:c>
      <x:c r="D2114" s="25" t="str">
        <x:v>材料</x:v>
      </x:c>
      <x:c r="E2114" s="25" t="str">
        <x:v>大卢恩</x:v>
      </x:c>
      <x:c r="F2114" s="25" t="n">
        <x:v>350</x:v>
      </x:c>
      <x:c r="G2114" s="25" t="str">
        <x:v>从C0至当前检查点累计需求；未扣自身未来产出，不代表已有库存</x:v>
      </x:c>
    </x:row>
    <x:row r="2115">
      <x:c r="A2115" s="25" t="str">
        <x:v>C10-X</x:v>
      </x:c>
      <x:c r="B2115" s="25" t="str">
        <x:v>王城罗德尔</x:v>
      </x:c>
      <x:c r="C2115" s="25" t="str">
        <x:v>极端压力</x:v>
      </x:c>
      <x:c r="D2115" s="25" t="str">
        <x:v>材料</x:v>
      </x:c>
      <x:c r="E2115" s="25" t="str">
        <x:v>失乡军令</x:v>
      </x:c>
      <x:c r="F2115" s="25" t="n">
        <x:v>2</x:v>
      </x:c>
      <x:c r="G2115" s="25" t="str">
        <x:v>从C0至当前检查点累计需求；未扣自身未来产出，不代表已有库存</x:v>
      </x:c>
    </x:row>
    <x:row r="2116">
      <x:c r="A2116" s="25" t="str">
        <x:v>C10-X</x:v>
      </x:c>
      <x:c r="B2116" s="25" t="str">
        <x:v>王城罗德尔</x:v>
      </x:c>
      <x:c r="C2116" s="25" t="str">
        <x:v>极端压力</x:v>
      </x:c>
      <x:c r="D2116" s="25" t="str">
        <x:v>材料</x:v>
      </x:c>
      <x:c r="E2116" s="25" t="str">
        <x:v>失乡统帅徽</x:v>
      </x:c>
      <x:c r="F2116" s="25" t="n">
        <x:v>2</x:v>
      </x:c>
      <x:c r="G2116" s="25" t="str">
        <x:v>从C0至当前检查点累计需求；未扣自身未来产出，不代表已有库存</x:v>
      </x:c>
    </x:row>
    <x:row r="2117">
      <x:c r="A2117" s="25" t="str">
        <x:v>C10-X</x:v>
      </x:c>
      <x:c r="B2117" s="25" t="str">
        <x:v>王城罗德尔</x:v>
      </x:c>
      <x:c r="C2117" s="25" t="str">
        <x:v>极端压力</x:v>
      </x:c>
      <x:c r="D2117" s="25" t="str">
        <x:v>材料</x:v>
      </x:c>
      <x:c r="E2117" s="25" t="str">
        <x:v>失温熔炉楔</x:v>
      </x:c>
      <x:c r="F2117" s="25" t="n">
        <x:v>44</x:v>
      </x:c>
      <x:c r="G2117" s="25" t="str">
        <x:v>从C0至当前检查点累计需求；未扣自身未来产出，不代表已有库存</x:v>
      </x:c>
    </x:row>
    <x:row r="2118">
      <x:c r="A2118" s="25" t="str">
        <x:v>C10-X</x:v>
      </x:c>
      <x:c r="B2118" s="25" t="str">
        <x:v>王城罗德尔</x:v>
      </x:c>
      <x:c r="C2118" s="25" t="str">
        <x:v>极端压力</x:v>
      </x:c>
      <x:c r="D2118" s="25" t="str">
        <x:v>材料</x:v>
      </x:c>
      <x:c r="E2118" s="25" t="str">
        <x:v>失色锻造石</x:v>
      </x:c>
      <x:c r="F2118" s="25" t="n">
        <x:v>155200</x:v>
      </x:c>
      <x:c r="G2118" s="25" t="str">
        <x:v>从C0至当前检查点累计需求；未扣自身未来产出，不代表已有库存</x:v>
      </x:c>
    </x:row>
    <x:row r="2119">
      <x:c r="A2119" s="25" t="str">
        <x:v>C10-X</x:v>
      </x:c>
      <x:c r="B2119" s="25" t="str">
        <x:v>王城罗德尔</x:v>
      </x:c>
      <x:c r="C2119" s="25" t="str">
        <x:v>极端压力</x:v>
      </x:c>
      <x:c r="D2119" s="25" t="str">
        <x:v>材料</x:v>
      </x:c>
      <x:c r="E2119" s="25" t="str">
        <x:v>学院封蜡</x:v>
      </x:c>
      <x:c r="F2119" s="25" t="n">
        <x:v>24</x:v>
      </x:c>
      <x:c r="G2119" s="25" t="str">
        <x:v>从C0至当前检查点累计需求；未扣自身未来产出，不代表已有库存</x:v>
      </x:c>
    </x:row>
    <x:row r="2120">
      <x:c r="A2120" s="25" t="str">
        <x:v>C10-X</x:v>
      </x:c>
      <x:c r="B2120" s="25" t="str">
        <x:v>王城罗德尔</x:v>
      </x:c>
      <x:c r="C2120" s="25" t="str">
        <x:v>极端压力</x:v>
      </x:c>
      <x:c r="D2120" s="25" t="str">
        <x:v>材料</x:v>
      </x:c>
      <x:c r="E2120" s="25" t="str">
        <x:v>宁姆格福誓页</x:v>
      </x:c>
      <x:c r="F2120" s="25" t="n">
        <x:v>90</x:v>
      </x:c>
      <x:c r="G2120" s="25" t="str">
        <x:v>从C0至当前检查点累计需求；未扣自身未来产出，不代表已有库存</x:v>
      </x:c>
    </x:row>
    <x:row r="2121">
      <x:c r="A2121" s="25" t="str">
        <x:v>C10-X</x:v>
      </x:c>
      <x:c r="B2121" s="25" t="str">
        <x:v>王城罗德尔</x:v>
      </x:c>
      <x:c r="C2121" s="25" t="str">
        <x:v>极端压力</x:v>
      </x:c>
      <x:c r="D2121" s="25" t="str">
        <x:v>材料</x:v>
      </x:c>
      <x:c r="E2121" s="25" t="str">
        <x:v>小卢恩</x:v>
      </x:c>
      <x:c r="F2121" s="25" t="n">
        <x:v>250</x:v>
      </x:c>
      <x:c r="G2121" s="25" t="str">
        <x:v>从C0至当前检查点累计需求；未扣自身未来产出，不代表已有库存</x:v>
      </x:c>
    </x:row>
    <x:row r="2122">
      <x:c r="A2122" s="25" t="str">
        <x:v>C10-X</x:v>
      </x:c>
      <x:c r="B2122" s="25" t="str">
        <x:v>王城罗德尔</x:v>
      </x:c>
      <x:c r="C2122" s="25" t="str">
        <x:v>极端压力</x:v>
      </x:c>
      <x:c r="D2122" s="25" t="str">
        <x:v>材料</x:v>
      </x:c>
      <x:c r="E2122" s="25" t="str">
        <x:v>山妖王角</x:v>
      </x:c>
      <x:c r="F2122" s="25" t="n">
        <x:v>2</x:v>
      </x:c>
      <x:c r="G2122" s="25" t="str">
        <x:v>从C0至当前检查点累计需求；未扣自身未来产出，不代表已有库存</x:v>
      </x:c>
    </x:row>
    <x:row r="2123">
      <x:c r="A2123" s="25" t="str">
        <x:v>C10-X</x:v>
      </x:c>
      <x:c r="B2123" s="25" t="str">
        <x:v>王城罗德尔</x:v>
      </x:c>
      <x:c r="C2123" s="25" t="str">
        <x:v>极端压力</x:v>
      </x:c>
      <x:c r="D2123" s="25" t="str">
        <x:v>材料</x:v>
      </x:c>
      <x:c r="E2123" s="25" t="str">
        <x:v>巨人火印</x:v>
      </x:c>
      <x:c r="F2123" s="25" t="n">
        <x:v>65</x:v>
      </x:c>
      <x:c r="G2123" s="25" t="str">
        <x:v>从C0至当前检查点累计需求；未扣自身未来产出，不代表已有库存</x:v>
      </x:c>
    </x:row>
    <x:row r="2124">
      <x:c r="A2124" s="25" t="str">
        <x:v>C10-X</x:v>
      </x:c>
      <x:c r="B2124" s="25" t="str">
        <x:v>王城罗德尔</x:v>
      </x:c>
      <x:c r="C2124" s="25" t="str">
        <x:v>极端压力</x:v>
      </x:c>
      <x:c r="D2124" s="25" t="str">
        <x:v>材料</x:v>
      </x:c>
      <x:c r="E2124" s="25" t="str">
        <x:v>巨人火种</x:v>
      </x:c>
      <x:c r="F2124" s="25" t="n">
        <x:v>65</x:v>
      </x:c>
      <x:c r="G2124" s="25" t="str">
        <x:v>从C0至当前检查点累计需求；未扣自身未来产出，不代表已有库存</x:v>
      </x:c>
    </x:row>
    <x:row r="2125">
      <x:c r="A2125" s="25" t="str">
        <x:v>C10-X</x:v>
      </x:c>
      <x:c r="B2125" s="25" t="str">
        <x:v>王城罗德尔</x:v>
      </x:c>
      <x:c r="C2125" s="25" t="str">
        <x:v>极端压力</x:v>
      </x:c>
      <x:c r="D2125" s="25" t="str">
        <x:v>材料</x:v>
      </x:c>
      <x:c r="E2125" s="25" t="str">
        <x:v>巨人熔火卢恩</x:v>
      </x:c>
      <x:c r="F2125" s="25" t="n">
        <x:v>450</x:v>
      </x:c>
      <x:c r="G2125" s="25" t="str">
        <x:v>从C0至当前检查点累计需求；未扣自身未来产出，不代表已有库存</x:v>
      </x:c>
    </x:row>
    <x:row r="2126">
      <x:c r="A2126" s="25" t="str">
        <x:v>C10-X</x:v>
      </x:c>
      <x:c r="B2126" s="25" t="str">
        <x:v>王城罗德尔</x:v>
      </x:c>
      <x:c r="C2126" s="25" t="str">
        <x:v>极端压力</x:v>
      </x:c>
      <x:c r="D2126" s="25" t="str">
        <x:v>材料</x:v>
      </x:c>
      <x:c r="E2126" s="25" t="str">
        <x:v>幽船铆钉</x:v>
      </x:c>
      <x:c r="F2126" s="25" t="n">
        <x:v>21</x:v>
      </x:c>
      <x:c r="G2126" s="25" t="str">
        <x:v>从C0至当前检查点累计需求；未扣自身未来产出，不代表已有库存</x:v>
      </x:c>
    </x:row>
    <x:row r="2127">
      <x:c r="A2127" s="25" t="str">
        <x:v>C10-X</x:v>
      </x:c>
      <x:c r="B2127" s="25" t="str">
        <x:v>王城罗德尔</x:v>
      </x:c>
      <x:c r="C2127" s="25" t="str">
        <x:v>极端压力</x:v>
      </x:c>
      <x:c r="D2127" s="25" t="str">
        <x:v>材料</x:v>
      </x:c>
      <x:c r="E2127" s="25" t="str">
        <x:v>恶兆残角</x:v>
      </x:c>
      <x:c r="F2127" s="25" t="n">
        <x:v>1</x:v>
      </x:c>
      <x:c r="G2127" s="25" t="str">
        <x:v>从C0至当前检查点累计需求；未扣自身未来产出，不代表已有库存</x:v>
      </x:c>
    </x:row>
    <x:row r="2128">
      <x:c r="A2128" s="25" t="str">
        <x:v>C10-X</x:v>
      </x:c>
      <x:c r="B2128" s="25" t="str">
        <x:v>王城罗德尔</x:v>
      </x:c>
      <x:c r="C2128" s="25" t="str">
        <x:v>极端压力</x:v>
      </x:c>
      <x:c r="D2128" s="25" t="str">
        <x:v>材料</x:v>
      </x:c>
      <x:c r="E2128" s="25" t="str">
        <x:v>技能残页</x:v>
      </x:c>
      <x:c r="F2128" s="25" t="n">
        <x:v>1350</x:v>
      </x:c>
      <x:c r="G2128" s="25" t="str">
        <x:v>从C0至当前检查点累计需求；未扣自身未来产出，不代表已有库存</x:v>
      </x:c>
    </x:row>
    <x:row r="2129">
      <x:c r="A2129" s="25" t="str">
        <x:v>C10-X</x:v>
      </x:c>
      <x:c r="B2129" s="25" t="str">
        <x:v>王城罗德尔</x:v>
      </x:c>
      <x:c r="C2129" s="25" t="str">
        <x:v>极端压力</x:v>
      </x:c>
      <x:c r="D2129" s="25" t="str">
        <x:v>材料</x:v>
      </x:c>
      <x:c r="E2129" s="25" t="str">
        <x:v>接肢兽心</x:v>
      </x:c>
      <x:c r="F2129" s="25" t="n">
        <x:v>2</x:v>
      </x:c>
      <x:c r="G2129" s="25" t="str">
        <x:v>从C0至当前检查点累计需求；未扣自身未来产出，不代表已有库存</x:v>
      </x:c>
    </x:row>
    <x:row r="2130">
      <x:c r="A2130" s="25" t="str">
        <x:v>C10-X</x:v>
      </x:c>
      <x:c r="B2130" s="25" t="str">
        <x:v>王城罗德尔</x:v>
      </x:c>
      <x:c r="C2130" s="25" t="str">
        <x:v>极端压力</x:v>
      </x:c>
      <x:c r="D2130" s="25" t="str">
        <x:v>材料</x:v>
      </x:c>
      <x:c r="E2130" s="25" t="str">
        <x:v>接肢王印</x:v>
      </x:c>
      <x:c r="F2130" s="25" t="n">
        <x:v>13</x:v>
      </x:c>
      <x:c r="G2130" s="25" t="str">
        <x:v>从C0至当前检查点累计需求；未扣自身未来产出，不代表已有库存</x:v>
      </x:c>
    </x:row>
    <x:row r="2131">
      <x:c r="A2131" s="25" t="str">
        <x:v>C10-X</x:v>
      </x:c>
      <x:c r="B2131" s="25" t="str">
        <x:v>王城罗德尔</x:v>
      </x:c>
      <x:c r="C2131" s="25" t="str">
        <x:v>极端压力</x:v>
      </x:c>
      <x:c r="D2131" s="25" t="str">
        <x:v>材料</x:v>
      </x:c>
      <x:c r="E2131" s="25" t="str">
        <x:v>接肢王魂</x:v>
      </x:c>
      <x:c r="F2131" s="25" t="n">
        <x:v>1</x:v>
      </x:c>
      <x:c r="G2131" s="25" t="str">
        <x:v>从C0至当前检查点累计需求；未扣自身未来产出，不代表已有库存</x:v>
      </x:c>
    </x:row>
    <x:row r="2132">
      <x:c r="A2132" s="25" t="str">
        <x:v>C10-X</x:v>
      </x:c>
      <x:c r="B2132" s="25" t="str">
        <x:v>王城罗德尔</x:v>
      </x:c>
      <x:c r="C2132" s="25" t="str">
        <x:v>极端压力</x:v>
      </x:c>
      <x:c r="D2132" s="25" t="str">
        <x:v>材料</x:v>
      </x:c>
      <x:c r="E2132" s="25" t="str">
        <x:v>无名墓钉</x:v>
      </x:c>
      <x:c r="F2132" s="25" t="n">
        <x:v>290</x:v>
      </x:c>
      <x:c r="G2132" s="25" t="str">
        <x:v>从C0至当前检查点累计需求；未扣自身未来产出，不代表已有库存</x:v>
      </x:c>
    </x:row>
    <x:row r="2133">
      <x:c r="A2133" s="25" t="str">
        <x:v>C10-X</x:v>
      </x:c>
      <x:c r="B2133" s="25" t="str">
        <x:v>王城罗德尔</x:v>
      </x:c>
      <x:c r="C2133" s="25" t="str">
        <x:v>极端压力</x:v>
      </x:c>
      <x:c r="D2133" s="25" t="str">
        <x:v>材料</x:v>
      </x:c>
      <x:c r="E2133" s="25" t="str">
        <x:v>旧渠阀芯</x:v>
      </x:c>
      <x:c r="F2133" s="25" t="n">
        <x:v>120</x:v>
      </x:c>
      <x:c r="G2133" s="25" t="str">
        <x:v>从C0至当前检查点累计需求；未扣自身未来产出，不代表已有库存</x:v>
      </x:c>
    </x:row>
    <x:row r="2134">
      <x:c r="A2134" s="25" t="str">
        <x:v>C10-X</x:v>
      </x:c>
      <x:c r="B2134" s="25" t="str">
        <x:v>王城罗德尔</x:v>
      </x:c>
      <x:c r="C2134" s="25" t="str">
        <x:v>极端压力</x:v>
      </x:c>
      <x:c r="D2134" s="25" t="str">
        <x:v>材料</x:v>
      </x:c>
      <x:c r="E2134" s="25" t="str">
        <x:v>月潮忆珀</x:v>
      </x:c>
      <x:c r="F2134" s="25" t="n">
        <x:v>1</x:v>
      </x:c>
      <x:c r="G2134" s="25" t="str">
        <x:v>从C0至当前检查点累计需求；未扣自身未来产出，不代表已有库存</x:v>
      </x:c>
    </x:row>
    <x:row r="2135">
      <x:c r="A2135" s="25" t="str">
        <x:v>C10-X</x:v>
      </x:c>
      <x:c r="B2135" s="25" t="str">
        <x:v>王城罗德尔</x:v>
      </x:c>
      <x:c r="C2135" s="25" t="str">
        <x:v>极端压力</x:v>
      </x:c>
      <x:c r="D2135" s="25" t="str">
        <x:v>材料</x:v>
      </x:c>
      <x:c r="E2135" s="25" t="str">
        <x:v>月蚀镜片</x:v>
      </x:c>
      <x:c r="F2135" s="25" t="n">
        <x:v>21</x:v>
      </x:c>
      <x:c r="G2135" s="25" t="str">
        <x:v>从C0至当前检查点累计需求；未扣自身未来产出，不代表已有库存</x:v>
      </x:c>
    </x:row>
    <x:row r="2136">
      <x:c r="A2136" s="25" t="str">
        <x:v>C10-X</x:v>
      </x:c>
      <x:c r="B2136" s="25" t="str">
        <x:v>王城罗德尔</x:v>
      </x:c>
      <x:c r="C2136" s="25" t="str">
        <x:v>极端压力</x:v>
      </x:c>
      <x:c r="D2136" s="25" t="str">
        <x:v>材料</x:v>
      </x:c>
      <x:c r="E2136" s="25" t="str">
        <x:v>树卫枪穗</x:v>
      </x:c>
      <x:c r="F2136" s="25" t="n">
        <x:v>1</x:v>
      </x:c>
      <x:c r="G2136" s="25" t="str">
        <x:v>从C0至当前检查点累计需求；未扣自身未来产出，不代表已有库存</x:v>
      </x:c>
    </x:row>
    <x:row r="2137">
      <x:c r="A2137" s="25" t="str">
        <x:v>C10-X</x:v>
      </x:c>
      <x:c r="B2137" s="25" t="str">
        <x:v>王城罗德尔</x:v>
      </x:c>
      <x:c r="C2137" s="25" t="str">
        <x:v>极端压力</x:v>
      </x:c>
      <x:c r="D2137" s="25" t="str">
        <x:v>材料</x:v>
      </x:c>
      <x:c r="E2137" s="25" t="str">
        <x:v>死亡仪羽</x:v>
      </x:c>
      <x:c r="F2137" s="25" t="n">
        <x:v>2</x:v>
      </x:c>
      <x:c r="G2137" s="25" t="str">
        <x:v>从C0至当前检查点累计需求；未扣自身未来产出，不代表已有库存</x:v>
      </x:c>
    </x:row>
    <x:row r="2138">
      <x:c r="A2138" s="25" t="str">
        <x:v>C10-X</x:v>
      </x:c>
      <x:c r="B2138" s="25" t="str">
        <x:v>王城罗德尔</x:v>
      </x:c>
      <x:c r="C2138" s="25" t="str">
        <x:v>极端压力</x:v>
      </x:c>
      <x:c r="D2138" s="25" t="str">
        <x:v>材料</x:v>
      </x:c>
      <x:c r="E2138" s="25" t="str">
        <x:v>永霜朝圣痕</x:v>
      </x:c>
      <x:c r="F2138" s="25" t="n">
        <x:v>1</x:v>
      </x:c>
      <x:c r="G2138" s="25" t="str">
        <x:v>从C0至当前检查点累计需求；未扣自身未来产出，不代表已有库存</x:v>
      </x:c>
    </x:row>
    <x:row r="2139">
      <x:c r="A2139" s="25" t="str">
        <x:v>C10-X</x:v>
      </x:c>
      <x:c r="B2139" s="25" t="str">
        <x:v>王城罗德尔</x:v>
      </x:c>
      <x:c r="C2139" s="25" t="str">
        <x:v>极端压力</x:v>
      </x:c>
      <x:c r="D2139" s="25" t="str">
        <x:v>材料</x:v>
      </x:c>
      <x:c r="E2139" s="25" t="str">
        <x:v>沉湖王印</x:v>
      </x:c>
      <x:c r="F2139" s="25" t="n">
        <x:v>25</x:v>
      </x:c>
      <x:c r="G2139" s="25" t="str">
        <x:v>从C0至当前检查点累计需求；未扣自身未来产出，不代表已有库存</x:v>
      </x:c>
    </x:row>
    <x:row r="2140">
      <x:c r="A2140" s="25" t="str">
        <x:v>C10-X</x:v>
      </x:c>
      <x:c r="B2140" s="25" t="str">
        <x:v>王城罗德尔</x:v>
      </x:c>
      <x:c r="C2140" s="25" t="str">
        <x:v>极端压力</x:v>
      </x:c>
      <x:c r="D2140" s="25" t="str">
        <x:v>材料</x:v>
      </x:c>
      <x:c r="E2140" s="25" t="str">
        <x:v>沉船缆扣</x:v>
      </x:c>
      <x:c r="F2140" s="25" t="n">
        <x:v>12</x:v>
      </x:c>
      <x:c r="G2140" s="25" t="str">
        <x:v>从C0至当前检查点累计需求；未扣自身未来产出，不代表已有库存</x:v>
      </x:c>
    </x:row>
    <x:row r="2141">
      <x:c r="A2141" s="25" t="str">
        <x:v>C10-X</x:v>
      </x:c>
      <x:c r="B2141" s="25" t="str">
        <x:v>王城罗德尔</x:v>
      </x:c>
      <x:c r="C2141" s="25" t="str">
        <x:v>极端压力</x:v>
      </x:c>
      <x:c r="D2141" s="25" t="str">
        <x:v>材料</x:v>
      </x:c>
      <x:c r="E2141" s="25" t="str">
        <x:v>海蚀铁片</x:v>
      </x:c>
      <x:c r="F2141" s="25" t="n">
        <x:v>160</x:v>
      </x:c>
      <x:c r="G2141" s="25" t="str">
        <x:v>从C0至当前检查点累计需求；未扣自身未来产出，不代表已有库存</x:v>
      </x:c>
    </x:row>
    <x:row r="2142">
      <x:c r="A2142" s="25" t="str">
        <x:v>C10-X</x:v>
      </x:c>
      <x:c r="B2142" s="25" t="str">
        <x:v>王城罗德尔</x:v>
      </x:c>
      <x:c r="C2142" s="25" t="str">
        <x:v>极端压力</x:v>
      </x:c>
      <x:c r="D2142" s="25" t="str">
        <x:v>材料</x:v>
      </x:c>
      <x:c r="E2142" s="25" t="str">
        <x:v>深湖压舱印</x:v>
      </x:c>
      <x:c r="F2142" s="25" t="n">
        <x:v>6</x:v>
      </x:c>
      <x:c r="G2142" s="25" t="str">
        <x:v>从C0至当前检查点累计需求；未扣自身未来产出，不代表已有库存</x:v>
      </x:c>
    </x:row>
    <x:row r="2143">
      <x:c r="A2143" s="25" t="str">
        <x:v>C10-X</x:v>
      </x:c>
      <x:c r="B2143" s="25" t="str">
        <x:v>王城罗德尔</x:v>
      </x:c>
      <x:c r="C2143" s="25" t="str">
        <x:v>极端压力</x:v>
      </x:c>
      <x:c r="D2143" s="25" t="str">
        <x:v>材料</x:v>
      </x:c>
      <x:c r="E2143" s="25" t="str">
        <x:v>湖底封门珠</x:v>
      </x:c>
      <x:c r="F2143" s="25" t="n">
        <x:v>8</x:v>
      </x:c>
      <x:c r="G2143" s="25" t="str">
        <x:v>从C0至当前检查点累计需求；未扣自身未来产出，不代表已有库存</x:v>
      </x:c>
    </x:row>
    <x:row r="2144">
      <x:c r="A2144" s="25" t="str">
        <x:v>C10-X</x:v>
      </x:c>
      <x:c r="B2144" s="25" t="str">
        <x:v>王城罗德尔</x:v>
      </x:c>
      <x:c r="C2144" s="25" t="str">
        <x:v>极端压力</x:v>
      </x:c>
      <x:c r="D2144" s="25" t="str">
        <x:v>材料</x:v>
      </x:c>
      <x:c r="E2144" s="25" t="str">
        <x:v>湖心月谱残章</x:v>
      </x:c>
      <x:c r="F2144" s="25" t="n">
        <x:v>1</x:v>
      </x:c>
      <x:c r="G2144" s="25" t="str">
        <x:v>从C0至当前检查点累计需求；未扣自身未来产出，不代表已有库存</x:v>
      </x:c>
    </x:row>
    <x:row r="2145">
      <x:c r="A2145" s="25" t="str">
        <x:v>C10-X</x:v>
      </x:c>
      <x:c r="B2145" s="25" t="str">
        <x:v>王城罗德尔</x:v>
      </x:c>
      <x:c r="C2145" s="25" t="str">
        <x:v>极端压力</x:v>
      </x:c>
      <x:c r="D2145" s="25" t="str">
        <x:v>材料</x:v>
      </x:c>
      <x:c r="E2145" s="25" t="str">
        <x:v>湖盐结晶</x:v>
      </x:c>
      <x:c r="F2145" s="25" t="n">
        <x:v>1957</x:v>
      </x:c>
      <x:c r="G2145" s="25" t="str">
        <x:v>从C0至当前检查点累计需求；未扣自身未来产出，不代表已有库存</x:v>
      </x:c>
    </x:row>
    <x:row r="2146">
      <x:c r="A2146" s="25" t="str">
        <x:v>C10-X</x:v>
      </x:c>
      <x:c r="B2146" s="25" t="str">
        <x:v>王城罗德尔</x:v>
      </x:c>
      <x:c r="C2146" s="25" t="str">
        <x:v>极端压力</x:v>
      </x:c>
      <x:c r="D2146" s="25" t="str">
        <x:v>材料</x:v>
      </x:c>
      <x:c r="E2146" s="25" t="str">
        <x:v>溃烂树核</x:v>
      </x:c>
      <x:c r="F2146" s="25" t="n">
        <x:v>1</x:v>
      </x:c>
      <x:c r="G2146" s="25" t="str">
        <x:v>从C0至当前检查点累计需求；未扣自身未来产出，不代表已有库存</x:v>
      </x:c>
    </x:row>
    <x:row r="2147">
      <x:c r="A2147" s="25" t="str">
        <x:v>C10-X</x:v>
      </x:c>
      <x:c r="B2147" s="25" t="str">
        <x:v>王城罗德尔</x:v>
      </x:c>
      <x:c r="C2147" s="25" t="str">
        <x:v>极端压力</x:v>
      </x:c>
      <x:c r="D2147" s="25" t="str">
        <x:v>材料</x:v>
      </x:c>
      <x:c r="E2147" s="25" t="str">
        <x:v>满月王室印</x:v>
      </x:c>
      <x:c r="F2147" s="25" t="n">
        <x:v>51</x:v>
      </x:c>
      <x:c r="G2147" s="25" t="str">
        <x:v>从C0至当前检查点累计需求；未扣自身未来产出，不代表已有库存</x:v>
      </x:c>
    </x:row>
    <x:row r="2148">
      <x:c r="A2148" s="25" t="str">
        <x:v>C10-X</x:v>
      </x:c>
      <x:c r="B2148" s="25" t="str">
        <x:v>王城罗德尔</x:v>
      </x:c>
      <x:c r="C2148" s="25" t="str">
        <x:v>极端压力</x:v>
      </x:c>
      <x:c r="D2148" s="25" t="str">
        <x:v>材料</x:v>
      </x:c>
      <x:c r="E2148" s="25" t="str">
        <x:v>漂流大陆印记</x:v>
      </x:c>
      <x:c r="F2148" s="25" t="n">
        <x:v>11</x:v>
      </x:c>
      <x:c r="G2148" s="25" t="str">
        <x:v>从C0至当前检查点累计需求；未扣自身未来产出，不代表已有库存</x:v>
      </x:c>
    </x:row>
    <x:row r="2149">
      <x:c r="A2149" s="25" t="str">
        <x:v>C10-X</x:v>
      </x:c>
      <x:c r="B2149" s="25" t="str">
        <x:v>王城罗德尔</x:v>
      </x:c>
      <x:c r="C2149" s="25" t="str">
        <x:v>极端压力</x:v>
      </x:c>
      <x:c r="D2149" s="25" t="str">
        <x:v>材料</x:v>
      </x:c>
      <x:c r="E2149" s="25" t="str">
        <x:v>漂流见证·潮</x:v>
      </x:c>
      <x:c r="F2149" s="25" t="n">
        <x:v>8</x:v>
      </x:c>
      <x:c r="G2149" s="25" t="str">
        <x:v>从C0至当前检查点累计需求；未扣自身未来产出，不代表已有库存</x:v>
      </x:c>
    </x:row>
    <x:row r="2150">
      <x:c r="A2150" s="25" t="str">
        <x:v>C10-X</x:v>
      </x:c>
      <x:c r="B2150" s="25" t="str">
        <x:v>王城罗德尔</x:v>
      </x:c>
      <x:c r="C2150" s="25" t="str">
        <x:v>极端压力</x:v>
      </x:c>
      <x:c r="D2150" s="25" t="str">
        <x:v>材料</x:v>
      </x:c>
      <x:c r="E2150" s="25" t="str">
        <x:v>漂流见证·雷</x:v>
      </x:c>
      <x:c r="F2150" s="25" t="n">
        <x:v>8</x:v>
      </x:c>
      <x:c r="G2150" s="25" t="str">
        <x:v>从C0至当前检查点累计需求；未扣自身未来产出，不代表已有库存</x:v>
      </x:c>
    </x:row>
    <x:row r="2151">
      <x:c r="A2151" s="25" t="str">
        <x:v>C10-X</x:v>
      </x:c>
      <x:c r="B2151" s="25" t="str">
        <x:v>王城罗德尔</x:v>
      </x:c>
      <x:c r="C2151" s="25" t="str">
        <x:v>极端压力</x:v>
      </x:c>
      <x:c r="D2151" s="25" t="str">
        <x:v>材料</x:v>
      </x:c>
      <x:c r="E2151" s="25" t="str">
        <x:v>潮痕结晶</x:v>
      </x:c>
      <x:c r="F2151" s="25" t="n">
        <x:v>16</x:v>
      </x:c>
      <x:c r="G2151" s="25" t="str">
        <x:v>从C0至当前检查点累计需求；未扣自身未来产出，不代表已有库存</x:v>
      </x:c>
    </x:row>
    <x:row r="2152">
      <x:c r="A2152" s="25" t="str">
        <x:v>C10-X</x:v>
      </x:c>
      <x:c r="B2152" s="25" t="str">
        <x:v>王城罗德尔</x:v>
      </x:c>
      <x:c r="C2152" s="25" t="str">
        <x:v>极端压力</x:v>
      </x:c>
      <x:c r="D2152" s="25" t="str">
        <x:v>材料</x:v>
      </x:c>
      <x:c r="E2152" s="25" t="str">
        <x:v>熊王心脏</x:v>
      </x:c>
      <x:c r="F2152" s="25" t="n">
        <x:v>2</x:v>
      </x:c>
      <x:c r="G2152" s="25" t="str">
        <x:v>从C0至当前检查点累计需求；未扣自身未来产出，不代表已有库存</x:v>
      </x:c>
    </x:row>
    <x:row r="2153">
      <x:c r="A2153" s="25" t="str">
        <x:v>C10-X</x:v>
      </x:c>
      <x:c r="B2153" s="25" t="str">
        <x:v>王城罗德尔</x:v>
      </x:c>
      <x:c r="C2153" s="25" t="str">
        <x:v>极端压力</x:v>
      </x:c>
      <x:c r="D2153" s="25" t="str">
        <x:v>材料</x:v>
      </x:c>
      <x:c r="E2153" s="25" t="str">
        <x:v>熔原罪火残章</x:v>
      </x:c>
      <x:c r="F2153" s="25" t="n">
        <x:v>1</x:v>
      </x:c>
      <x:c r="G2153" s="25" t="str">
        <x:v>从C0至当前检查点累计需求；未扣自身未来产出，不代表已有库存</x:v>
      </x:c>
    </x:row>
    <x:row r="2154">
      <x:c r="A2154" s="25" t="str">
        <x:v>C10-X</x:v>
      </x:c>
      <x:c r="B2154" s="25" t="str">
        <x:v>王城罗德尔</x:v>
      </x:c>
      <x:c r="C2154" s="25" t="str">
        <x:v>极端压力</x:v>
      </x:c>
      <x:c r="D2154" s="25" t="str">
        <x:v>材料</x:v>
      </x:c>
      <x:c r="E2154" s="25" t="str">
        <x:v>熔炉角片</x:v>
      </x:c>
      <x:c r="F2154" s="25" t="n">
        <x:v>1</x:v>
      </x:c>
      <x:c r="G2154" s="25" t="str">
        <x:v>从C0至当前检查点累计需求；未扣自身未来产出，不代表已有库存</x:v>
      </x:c>
    </x:row>
    <x:row r="2155">
      <x:c r="A2155" s="25" t="str">
        <x:v>C10-X</x:v>
      </x:c>
      <x:c r="B2155" s="25" t="str">
        <x:v>王城罗德尔</x:v>
      </x:c>
      <x:c r="C2155" s="25" t="str">
        <x:v>极端压力</x:v>
      </x:c>
      <x:c r="D2155" s="25" t="str">
        <x:v>材料</x:v>
      </x:c>
      <x:c r="E2155" s="25" t="str">
        <x:v>猩红矿渣</x:v>
      </x:c>
      <x:c r="F2155" s="25" t="n">
        <x:v>1737</x:v>
      </x:c>
      <x:c r="G2155" s="25" t="str">
        <x:v>从C0至当前检查点累计需求；未扣自身未来产出，不代表已有库存</x:v>
      </x:c>
    </x:row>
    <x:row r="2156">
      <x:c r="A2156" s="25" t="str">
        <x:v>C10-X</x:v>
      </x:c>
      <x:c r="B2156" s="25" t="str">
        <x:v>王城罗德尔</x:v>
      </x:c>
      <x:c r="C2156" s="25" t="str">
        <x:v>极端压力</x:v>
      </x:c>
      <x:c r="D2156" s="25" t="str">
        <x:v>材料</x:v>
      </x:c>
      <x:c r="E2156" s="25" t="str">
        <x:v>王城军印</x:v>
      </x:c>
      <x:c r="F2156" s="25" t="n">
        <x:v>1</x:v>
      </x:c>
      <x:c r="G2156" s="25" t="str">
        <x:v>从C0至当前检查点累计需求；未扣自身未来产出，不代表已有库存</x:v>
      </x:c>
    </x:row>
    <x:row r="2157">
      <x:c r="A2157" s="25" t="str">
        <x:v>C10-X</x:v>
      </x:c>
      <x:c r="B2157" s="25" t="str">
        <x:v>王城罗德尔</x:v>
      </x:c>
      <x:c r="C2157" s="25" t="str">
        <x:v>极端压力</x:v>
      </x:c>
      <x:c r="D2157" s="25" t="str">
        <x:v>材料</x:v>
      </x:c>
      <x:c r="E2157" s="25" t="str">
        <x:v>王城金屑</x:v>
      </x:c>
      <x:c r="F2157" s="25" t="n">
        <x:v>8155</x:v>
      </x:c>
      <x:c r="G2157" s="25" t="str">
        <x:v>从C0至当前检查点累计需求；未扣自身未来产出，不代表已有库存</x:v>
      </x:c>
    </x:row>
    <x:row r="2158">
      <x:c r="A2158" s="25" t="str">
        <x:v>C10-X</x:v>
      </x:c>
      <x:c r="B2158" s="25" t="str">
        <x:v>王城罗德尔</x:v>
      </x:c>
      <x:c r="C2158" s="25" t="str">
        <x:v>极端压力</x:v>
      </x:c>
      <x:c r="D2158" s="25" t="str">
        <x:v>材料</x:v>
      </x:c>
      <x:c r="E2158" s="25" t="str">
        <x:v>王宫律文</x:v>
      </x:c>
      <x:c r="F2158" s="25" t="n">
        <x:v>236</x:v>
      </x:c>
      <x:c r="G2158" s="25" t="str">
        <x:v>从C0至当前检查点累计需求；未扣自身未来产出，不代表已有库存</x:v>
      </x:c>
    </x:row>
    <x:row r="2159">
      <x:c r="A2159" s="25" t="str">
        <x:v>C10-X</x:v>
      </x:c>
      <x:c r="B2159" s="25" t="str">
        <x:v>王城罗德尔</x:v>
      </x:c>
      <x:c r="C2159" s="25" t="str">
        <x:v>极端压力</x:v>
      </x:c>
      <x:c r="D2159" s="25" t="str">
        <x:v>材料</x:v>
      </x:c>
      <x:c r="E2159" s="25" t="str">
        <x:v>王宫断冠片</x:v>
      </x:c>
      <x:c r="F2159" s="25" t="n">
        <x:v>30</x:v>
      </x:c>
      <x:c r="G2159" s="25" t="str">
        <x:v>从C0至当前检查点累计需求；未扣自身未来产出，不代表已有库存</x:v>
      </x:c>
    </x:row>
    <x:row r="2160">
      <x:c r="A2160" s="25" t="str">
        <x:v>C10-X</x:v>
      </x:c>
      <x:c r="B2160" s="25" t="str">
        <x:v>王城罗德尔</x:v>
      </x:c>
      <x:c r="C2160" s="25" t="str">
        <x:v>极端压力</x:v>
      </x:c>
      <x:c r="D2160" s="25" t="str">
        <x:v>材料</x:v>
      </x:c>
      <x:c r="E2160" s="25" t="str">
        <x:v>王庭炉冠</x:v>
      </x:c>
      <x:c r="F2160" s="25" t="n">
        <x:v>4</x:v>
      </x:c>
      <x:c r="G2160" s="25" t="str">
        <x:v>从C0至当前检查点累计需求；未扣自身未来产出，不代表已有库存</x:v>
      </x:c>
    </x:row>
    <x:row r="2161">
      <x:c r="A2161" s="25" t="str">
        <x:v>C10-X</x:v>
      </x:c>
      <x:c r="B2161" s="25" t="str">
        <x:v>王城罗德尔</x:v>
      </x:c>
      <x:c r="C2161" s="25" t="str">
        <x:v>极端压力</x:v>
      </x:c>
      <x:c r="D2161" s="25" t="str">
        <x:v>材料</x:v>
      </x:c>
      <x:c r="E2161" s="25" t="str">
        <x:v>白金纺线</x:v>
      </x:c>
      <x:c r="F2161" s="25" t="n">
        <x:v>60</x:v>
      </x:c>
      <x:c r="G2161" s="25" t="str">
        <x:v>从C0至当前检查点累计需求；未扣自身未来产出，不代表已有库存</x:v>
      </x:c>
    </x:row>
    <x:row r="2162">
      <x:c r="A2162" s="25" t="str">
        <x:v>C10-X</x:v>
      </x:c>
      <x:c r="B2162" s="25" t="str">
        <x:v>王城罗德尔</x:v>
      </x:c>
      <x:c r="C2162" s="25" t="str">
        <x:v>极端压力</x:v>
      </x:c>
      <x:c r="D2162" s="25" t="str">
        <x:v>材料</x:v>
      </x:c>
      <x:c r="E2162" s="25" t="str">
        <x:v>白金路标片</x:v>
      </x:c>
      <x:c r="F2162" s="25" t="n">
        <x:v>145</x:v>
      </x:c>
      <x:c r="G2162" s="25" t="str">
        <x:v>从C0至当前检查点累计需求；未扣自身未来产出，不代表已有库存</x:v>
      </x:c>
    </x:row>
    <x:row r="2163">
      <x:c r="A2163" s="25" t="str">
        <x:v>C10-X</x:v>
      </x:c>
      <x:c r="B2163" s="25" t="str">
        <x:v>王城罗德尔</x:v>
      </x:c>
      <x:c r="C2163" s="25" t="str">
        <x:v>极端压力</x:v>
      </x:c>
      <x:c r="D2163" s="25" t="str">
        <x:v>材料</x:v>
      </x:c>
      <x:c r="E2163" s="25" t="str">
        <x:v>看门犬石心</x:v>
      </x:c>
      <x:c r="F2163" s="25" t="n">
        <x:v>2</x:v>
      </x:c>
      <x:c r="G2163" s="25" t="str">
        <x:v>从C0至当前检查点累计需求；未扣自身未来产出，不代表已有库存</x:v>
      </x:c>
    </x:row>
    <x:row r="2164">
      <x:c r="A2164" s="25" t="str">
        <x:v>C10-X</x:v>
      </x:c>
      <x:c r="B2164" s="25" t="str">
        <x:v>王城罗德尔</x:v>
      </x:c>
      <x:c r="C2164" s="25" t="str">
        <x:v>极端压力</x:v>
      </x:c>
      <x:c r="D2164" s="25" t="str">
        <x:v>材料</x:v>
      </x:c>
      <x:c r="E2164" s="25" t="str">
        <x:v>矿脉灯芯</x:v>
      </x:c>
      <x:c r="F2164" s="25" t="n">
        <x:v>20</x:v>
      </x:c>
      <x:c r="G2164" s="25" t="str">
        <x:v>从C0至当前检查点累计需求；未扣自身未来产出，不代表已有库存</x:v>
      </x:c>
    </x:row>
    <x:row r="2165">
      <x:c r="A2165" s="25" t="str">
        <x:v>C10-X</x:v>
      </x:c>
      <x:c r="B2165" s="25" t="str">
        <x:v>王城罗德尔</x:v>
      </x:c>
      <x:c r="C2165" s="25" t="str">
        <x:v>极端压力</x:v>
      </x:c>
      <x:c r="D2165" s="25" t="str">
        <x:v>材料</x:v>
      </x:c>
      <x:c r="E2165" s="25" t="str">
        <x:v>碎星仪仗钉</x:v>
      </x:c>
      <x:c r="F2165" s="25" t="n">
        <x:v>2</x:v>
      </x:c>
      <x:c r="G2165" s="25" t="str">
        <x:v>从C0至当前检查点累计需求；未扣自身未来产出，不代表已有库存</x:v>
      </x:c>
    </x:row>
    <x:row r="2166">
      <x:c r="A2166" s="25" t="str">
        <x:v>C10-X</x:v>
      </x:c>
      <x:c r="B2166" s="25" t="str">
        <x:v>王城罗德尔</x:v>
      </x:c>
      <x:c r="C2166" s="25" t="str">
        <x:v>极端压力</x:v>
      </x:c>
      <x:c r="D2166" s="25" t="str">
        <x:v>材料</x:v>
      </x:c>
      <x:c r="E2166" s="25" t="str">
        <x:v>神秘符文</x:v>
      </x:c>
      <x:c r="F2166" s="25" t="n">
        <x:v>600</x:v>
      </x:c>
      <x:c r="G2166" s="25" t="str">
        <x:v>从C0至当前检查点累计需求；未扣自身未来产出，不代表已有库存</x:v>
      </x:c>
    </x:row>
    <x:row r="2167">
      <x:c r="A2167" s="25" t="str">
        <x:v>C10-X</x:v>
      </x:c>
      <x:c r="B2167" s="25" t="str">
        <x:v>王城罗德尔</x:v>
      </x:c>
      <x:c r="C2167" s="25" t="str">
        <x:v>极端压力</x:v>
      </x:c>
      <x:c r="D2167" s="25" t="str">
        <x:v>材料</x:v>
      </x:c>
      <x:c r="E2167" s="25" t="str">
        <x:v>禁域星钥</x:v>
      </x:c>
      <x:c r="F2167" s="25" t="n">
        <x:v>4</x:v>
      </x:c>
      <x:c r="G2167" s="25" t="str">
        <x:v>从C0至当前检查点累计需求；未扣自身未来产出，不代表已有库存</x:v>
      </x:c>
    </x:row>
    <x:row r="2168">
      <x:c r="A2168" s="25" t="str">
        <x:v>C10-X</x:v>
      </x:c>
      <x:c r="B2168" s="25" t="str">
        <x:v>王城罗德尔</x:v>
      </x:c>
      <x:c r="C2168" s="25" t="str">
        <x:v>极端压力</x:v>
      </x:c>
      <x:c r="D2168" s="25" t="str">
        <x:v>材料</x:v>
      </x:c>
      <x:c r="E2168" s="25" t="str">
        <x:v>穹律鎏痕拓片</x:v>
      </x:c>
      <x:c r="F2168" s="25" t="n">
        <x:v>1</x:v>
      </x:c>
      <x:c r="G2168" s="25" t="str">
        <x:v>从C0至当前检查点累计需求；未扣自身未来产出，不代表已有库存</x:v>
      </x:c>
    </x:row>
    <x:row r="2169">
      <x:c r="A2169" s="25" t="str">
        <x:v>C10-X</x:v>
      </x:c>
      <x:c r="B2169" s="25" t="str">
        <x:v>王城罗德尔</x:v>
      </x:c>
      <x:c r="C2169" s="25" t="str">
        <x:v>极端压力</x:v>
      </x:c>
      <x:c r="D2169" s="25" t="str">
        <x:v>材料</x:v>
      </x:c>
      <x:c r="E2169" s="25" t="str">
        <x:v>穹霜碑珀</x:v>
      </x:c>
      <x:c r="F2169" s="25" t="n">
        <x:v>1</x:v>
      </x:c>
      <x:c r="G2169" s="25" t="str">
        <x:v>从C0至当前检查点累计需求；未扣自身未来产出，不代表已有库存</x:v>
      </x:c>
    </x:row>
    <x:row r="2170">
      <x:c r="A2170" s="25" t="str">
        <x:v>C10-X</x:v>
      </x:c>
      <x:c r="B2170" s="25" t="str">
        <x:v>王城罗德尔</x:v>
      </x:c>
      <x:c r="C2170" s="25" t="str">
        <x:v>极端压力</x:v>
      </x:c>
      <x:c r="D2170" s="25" t="str">
        <x:v>材料</x:v>
      </x:c>
      <x:c r="E2170" s="25" t="str">
        <x:v>红狮战印</x:v>
      </x:c>
      <x:c r="F2170" s="25" t="n">
        <x:v>42</x:v>
      </x:c>
      <x:c r="G2170" s="25" t="str">
        <x:v>从C0至当前检查点累计需求；未扣自身未来产出，不代表已有库存</x:v>
      </x:c>
    </x:row>
    <x:row r="2171">
      <x:c r="A2171" s="25" t="str">
        <x:v>C10-X</x:v>
      </x:c>
      <x:c r="B2171" s="25" t="str">
        <x:v>王城罗德尔</x:v>
      </x:c>
      <x:c r="C2171" s="25" t="str">
        <x:v>极端压力</x:v>
      </x:c>
      <x:c r="D2171" s="25" t="str">
        <x:v>材料</x:v>
      </x:c>
      <x:c r="E2171" s="25" t="str">
        <x:v>腐根魂结</x:v>
      </x:c>
      <x:c r="F2171" s="25" t="n">
        <x:v>2</x:v>
      </x:c>
      <x:c r="G2171" s="25" t="str">
        <x:v>从C0至当前检查点累计需求；未扣自身未来产出，不代表已有库存</x:v>
      </x:c>
    </x:row>
    <x:row r="2172">
      <x:c r="A2172" s="25" t="str">
        <x:v>C10-X</x:v>
      </x:c>
      <x:c r="B2172" s="25" t="str">
        <x:v>王城罗德尔</x:v>
      </x:c>
      <x:c r="C2172" s="25" t="str">
        <x:v>极端压力</x:v>
      </x:c>
      <x:c r="D2172" s="25" t="str">
        <x:v>材料</x:v>
      </x:c>
      <x:c r="E2172" s="25" t="str">
        <x:v>艾尔登王印</x:v>
      </x:c>
      <x:c r="F2172" s="25" t="n">
        <x:v>288</x:v>
      </x:c>
      <x:c r="G2172" s="25" t="str">
        <x:v>从C0至当前检查点累计需求；未扣自身未来产出，不代表已有库存</x:v>
      </x:c>
    </x:row>
    <x:row r="2173">
      <x:c r="A2173" s="25" t="str">
        <x:v>C10-X</x:v>
      </x:c>
      <x:c r="B2173" s="25" t="str">
        <x:v>王城罗德尔</x:v>
      </x:c>
      <x:c r="C2173" s="25" t="str">
        <x:v>极端压力</x:v>
      </x:c>
      <x:c r="D2173" s="25" t="str">
        <x:v>材料</x:v>
      </x:c>
      <x:c r="E2173" s="25" t="str">
        <x:v>裁文蜡封</x:v>
      </x:c>
      <x:c r="F2173" s="25" t="n">
        <x:v>54</x:v>
      </x:c>
      <x:c r="G2173" s="25" t="str">
        <x:v>从C0至当前检查点累计需求；未扣自身未来产出，不代表已有库存</x:v>
      </x:c>
    </x:row>
    <x:row r="2174">
      <x:c r="A2174" s="25" t="str">
        <x:v>C10-X</x:v>
      </x:c>
      <x:c r="B2174" s="25" t="str">
        <x:v>王城罗德尔</x:v>
      </x:c>
      <x:c r="C2174" s="25" t="str">
        <x:v>极端压力</x:v>
      </x:c>
      <x:c r="D2174" s="25" t="str">
        <x:v>材料</x:v>
      </x:c>
      <x:c r="E2174" s="25" t="str">
        <x:v>裂峰号角片</x:v>
      </x:c>
      <x:c r="F2174" s="25" t="n">
        <x:v>110</x:v>
      </x:c>
      <x:c r="G2174" s="25" t="str">
        <x:v>从C0至当前检查点累计需求；未扣自身未来产出，不代表已有库存</x:v>
      </x:c>
    </x:row>
    <x:row r="2175">
      <x:c r="A2175" s="25" t="str">
        <x:v>C10-X</x:v>
      </x:c>
      <x:c r="B2175" s="25" t="str">
        <x:v>王城罗德尔</x:v>
      </x:c>
      <x:c r="C2175" s="25" t="str">
        <x:v>极端压力</x:v>
      </x:c>
      <x:c r="D2175" s="25" t="str">
        <x:v>材料</x:v>
      </x:c>
      <x:c r="E2175" s="25" t="str">
        <x:v>裂风崖羽</x:v>
      </x:c>
      <x:c r="F2175" s="25" t="n">
        <x:v>80</x:v>
      </x:c>
      <x:c r="G2175" s="25" t="str">
        <x:v>从C0至当前检查点累计需求；未扣自身未来产出，不代表已有库存</x:v>
      </x:c>
    </x:row>
    <x:row r="2176">
      <x:c r="A2176" s="25" t="str">
        <x:v>C10-X</x:v>
      </x:c>
      <x:c r="B2176" s="25" t="str">
        <x:v>王城罗德尔</x:v>
      </x:c>
      <x:c r="C2176" s="25" t="str">
        <x:v>极端压力</x:v>
      </x:c>
      <x:c r="D2176" s="25" t="str">
        <x:v>材料</x:v>
      </x:c>
      <x:c r="E2176" s="25" t="str">
        <x:v>西境战旗</x:v>
      </x:c>
      <x:c r="F2176" s="25" t="n">
        <x:v>20</x:v>
      </x:c>
      <x:c r="G2176" s="25" t="str">
        <x:v>从C0至当前检查点累计需求；未扣自身未来产出，不代表已有库存</x:v>
      </x:c>
    </x:row>
    <x:row r="2177">
      <x:c r="A2177" s="25" t="str">
        <x:v>C10-X</x:v>
      </x:c>
      <x:c r="B2177" s="25" t="str">
        <x:v>王城罗德尔</x:v>
      </x:c>
      <x:c r="C2177" s="25" t="str">
        <x:v>极端压力</x:v>
      </x:c>
      <x:c r="D2177" s="25" t="str">
        <x:v>材料</x:v>
      </x:c>
      <x:c r="E2177" s="25" t="str">
        <x:v>西境战旗印</x:v>
      </x:c>
      <x:c r="F2177" s="25" t="n">
        <x:v>13</x:v>
      </x:c>
      <x:c r="G2177" s="25" t="str">
        <x:v>从C0至当前检查点累计需求；未扣自身未来产出，不代表已有库存</x:v>
      </x:c>
    </x:row>
    <x:row r="2178">
      <x:c r="A2178" s="25" t="str">
        <x:v>C10-X</x:v>
      </x:c>
      <x:c r="B2178" s="25" t="str">
        <x:v>王城罗德尔</x:v>
      </x:c>
      <x:c r="C2178" s="25" t="str">
        <x:v>极端压力</x:v>
      </x:c>
      <x:c r="D2178" s="25" t="str">
        <x:v>材料</x:v>
      </x:c>
      <x:c r="E2178" s="25" t="str">
        <x:v>西境风痕碑拓</x:v>
      </x:c>
      <x:c r="F2178" s="25" t="n">
        <x:v>1</x:v>
      </x:c>
      <x:c r="G2178" s="25" t="str">
        <x:v>从C0至当前检查点累计需求；未扣自身未来产出，不代表已有库存</x:v>
      </x:c>
    </x:row>
    <x:row r="2179">
      <x:c r="A2179" s="25" t="str">
        <x:v>C10-X</x:v>
      </x:c>
      <x:c r="B2179" s="25" t="str">
        <x:v>王城罗德尔</x:v>
      </x:c>
      <x:c r="C2179" s="25" t="str">
        <x:v>极端压力</x:v>
      </x:c>
      <x:c r="D2179" s="25" t="str">
        <x:v>材料</x:v>
      </x:c>
      <x:c r="E2179" s="25" t="str">
        <x:v>贵胄断指</x:v>
      </x:c>
      <x:c r="F2179" s="25" t="n">
        <x:v>1</x:v>
      </x:c>
      <x:c r="G2179" s="25" t="str">
        <x:v>从C0至当前检查点累计需求；未扣自身未来产出，不代表已有库存</x:v>
      </x:c>
    </x:row>
    <x:row r="2180">
      <x:c r="A2180" s="25" t="str">
        <x:v>C10-X</x:v>
      </x:c>
      <x:c r="B2180" s="25" t="str">
        <x:v>王城罗德尔</x:v>
      </x:c>
      <x:c r="C2180" s="25" t="str">
        <x:v>极端压力</x:v>
      </x:c>
      <x:c r="D2180" s="25" t="str">
        <x:v>材料</x:v>
      </x:c>
      <x:c r="E2180" s="25" t="str">
        <x:v>辉石碎晶</x:v>
      </x:c>
      <x:c r="F2180" s="25" t="n">
        <x:v>2170</x:v>
      </x:c>
      <x:c r="G2180" s="25" t="str">
        <x:v>从C0至当前检查点累计需求；未扣自身未来产出，不代表已有库存</x:v>
      </x:c>
    </x:row>
    <x:row r="2181">
      <x:c r="A2181" s="25" t="str">
        <x:v>C10-X</x:v>
      </x:c>
      <x:c r="B2181" s="25" t="str">
        <x:v>王城罗德尔</x:v>
      </x:c>
      <x:c r="C2181" s="25" t="str">
        <x:v>极端压力</x:v>
      </x:c>
      <x:c r="D2181" s="25" t="str">
        <x:v>材料</x:v>
      </x:c>
      <x:c r="E2181" s="25" t="str">
        <x:v>野兽骨片</x:v>
      </x:c>
      <x:c r="F2181" s="25" t="n">
        <x:v>84095</x:v>
      </x:c>
      <x:c r="G2181" s="25" t="str">
        <x:v>从C0至当前检查点累计需求；未扣自身未来产出，不代表已有库存</x:v>
      </x:c>
    </x:row>
    <x:row r="2182">
      <x:c r="A2182" s="25" t="str">
        <x:v>C10-X</x:v>
      </x:c>
      <x:c r="B2182" s="25" t="str">
        <x:v>王城罗德尔</x:v>
      </x:c>
      <x:c r="C2182" s="25" t="str">
        <x:v>极端压力</x:v>
      </x:c>
      <x:c r="D2182" s="25" t="str">
        <x:v>材料</x:v>
      </x:c>
      <x:c r="E2182" s="25" t="str">
        <x:v>金叶驿票</x:v>
      </x:c>
      <x:c r="F2182" s="25" t="n">
        <x:v>50</x:v>
      </x:c>
      <x:c r="G2182" s="25" t="str">
        <x:v>从C0至当前检查点累计需求；未扣自身未来产出，不代表已有库存</x:v>
      </x:c>
    </x:row>
    <x:row r="2183">
      <x:c r="A2183" s="25" t="str">
        <x:v>C10-X</x:v>
      </x:c>
      <x:c r="B2183" s="25" t="str">
        <x:v>王城罗德尔</x:v>
      </x:c>
      <x:c r="C2183" s="25" t="str">
        <x:v>极端压力</x:v>
      </x:c>
      <x:c r="D2183" s="25" t="str">
        <x:v>材料</x:v>
      </x:c>
      <x:c r="E2183" s="25" t="str">
        <x:v>雾月星砂</x:v>
      </x:c>
      <x:c r="F2183" s="25" t="n">
        <x:v>90</x:v>
      </x:c>
      <x:c r="G2183" s="25" t="str">
        <x:v>从C0至当前检查点累计需求；未扣自身未来产出，不代表已有库存</x:v>
      </x:c>
    </x:row>
    <x:row r="2184">
      <x:c r="A2184" s="25" t="str">
        <x:v>C10-X</x:v>
      </x:c>
      <x:c r="B2184" s="25" t="str">
        <x:v>王城罗德尔</x:v>
      </x:c>
      <x:c r="C2184" s="25" t="str">
        <x:v>极端压力</x:v>
      </x:c>
      <x:c r="D2184" s="25" t="str">
        <x:v>材料</x:v>
      </x:c>
      <x:c r="E2184" s="25" t="str">
        <x:v>雾潮银鳞</x:v>
      </x:c>
      <x:c r="F2184" s="25" t="n">
        <x:v>272</x:v>
      </x:c>
      <x:c r="G2184" s="25" t="str">
        <x:v>从C0至当前检查点累计需求；未扣自身未来产出，不代表已有库存</x:v>
      </x:c>
    </x:row>
    <x:row r="2185">
      <x:c r="A2185" s="25" t="str">
        <x:v>C10-X</x:v>
      </x:c>
      <x:c r="B2185" s="25" t="str">
        <x:v>王城罗德尔</x:v>
      </x:c>
      <x:c r="C2185" s="25" t="str">
        <x:v>极端压力</x:v>
      </x:c>
      <x:c r="D2185" s="25" t="str">
        <x:v>材料</x:v>
      </x:c>
      <x:c r="E2185" s="25" t="str">
        <x:v>霜脊铁</x:v>
      </x:c>
      <x:c r="F2185" s="25" t="n">
        <x:v>3505</x:v>
      </x:c>
      <x:c r="G2185" s="25" t="str">
        <x:v>从C0至当前检查点累计需求；未扣自身未来产出，不代表已有库存</x:v>
      </x:c>
    </x:row>
    <x:row r="2186">
      <x:c r="A2186" s="25" t="str">
        <x:v>C10-X</x:v>
      </x:c>
      <x:c r="B2186" s="25" t="str">
        <x:v>王城罗德尔</x:v>
      </x:c>
      <x:c r="C2186" s="25" t="str">
        <x:v>极端压力</x:v>
      </x:c>
      <x:c r="D2186" s="25" t="str">
        <x:v>材料</x:v>
      </x:c>
      <x:c r="E2186" s="25" t="str">
        <x:v>风暴王核</x:v>
      </x:c>
      <x:c r="F2186" s="25" t="n">
        <x:v>1</x:v>
      </x:c>
      <x:c r="G2186" s="25" t="str">
        <x:v>从C0至当前检查点累计需求；未扣自身未来产出，不代表已有库存</x:v>
      </x:c>
    </x:row>
    <x:row r="2187">
      <x:c r="A2187" s="25" t="str">
        <x:v>C10-X</x:v>
      </x:c>
      <x:c r="B2187" s="25" t="str">
        <x:v>王城罗德尔</x:v>
      </x:c>
      <x:c r="C2187" s="25" t="str">
        <x:v>极端压力</x:v>
      </x:c>
      <x:c r="D2187" s="25" t="str">
        <x:v>材料</x:v>
      </x:c>
      <x:c r="E2187" s="25" t="str">
        <x:v>风暴石片</x:v>
      </x:c>
      <x:c r="F2187" s="25" t="n">
        <x:v>370</x:v>
      </x:c>
      <x:c r="G2187" s="25" t="str">
        <x:v>从C0至当前检查点累计需求；未扣自身未来产出，不代表已有库存</x:v>
      </x:c>
    </x:row>
    <x:row r="2188">
      <x:c r="A2188" s="25" t="str">
        <x:v>C10-X</x:v>
      </x:c>
      <x:c r="B2188" s="25" t="str">
        <x:v>王城罗德尔</x:v>
      </x:c>
      <x:c r="C2188" s="25" t="str">
        <x:v>极端压力</x:v>
      </x:c>
      <x:c r="D2188" s="25" t="str">
        <x:v>材料</x:v>
      </x:c>
      <x:c r="E2188" s="25" t="str">
        <x:v>风蚀铁片</x:v>
      </x:c>
      <x:c r="F2188" s="25" t="n">
        <x:v>710</x:v>
      </x:c>
      <x:c r="G2188" s="25" t="str">
        <x:v>从C0至当前检查点累计需求；未扣自身未来产出，不代表已有库存</x:v>
      </x:c>
    </x:row>
    <x:row r="2189">
      <x:c r="A2189" s="25" t="str">
        <x:v>C10-X</x:v>
      </x:c>
      <x:c r="B2189" s="25" t="str">
        <x:v>王城罗德尔</x:v>
      </x:c>
      <x:c r="C2189" s="25" t="str">
        <x:v>极端压力</x:v>
      </x:c>
      <x:c r="D2189" s="25" t="str">
        <x:v>材料</x:v>
      </x:c>
      <x:c r="E2189" s="25" t="str">
        <x:v>高原王诏金版</x:v>
      </x:c>
      <x:c r="F2189" s="25" t="n">
        <x:v>5</x:v>
      </x:c>
      <x:c r="G2189" s="25" t="str">
        <x:v>从C0至当前检查点累计需求；未扣自身未来产出，不代表已有库存</x:v>
      </x:c>
    </x:row>
    <x:row r="2190">
      <x:c r="A2190" s="25" t="str">
        <x:v>C10-X</x:v>
      </x:c>
      <x:c r="B2190" s="25" t="str">
        <x:v>王城罗德尔</x:v>
      </x:c>
      <x:c r="C2190" s="25" t="str">
        <x:v>极端压力</x:v>
      </x:c>
      <x:c r="D2190" s="25" t="str">
        <x:v>材料</x:v>
      </x:c>
      <x:c r="E2190" s="25" t="str">
        <x:v>黄金叶脉</x:v>
      </x:c>
      <x:c r="F2190" s="25" t="n">
        <x:v>4470</x:v>
      </x:c>
      <x:c r="G2190" s="25" t="str">
        <x:v>从C0至当前检查点累计需求；未扣自身未来产出，不代表已有库存</x:v>
      </x:c>
    </x:row>
    <x:row r="2191">
      <x:c r="A2191" s="25" t="str">
        <x:v>C10-X</x:v>
      </x:c>
      <x:c r="B2191" s="25" t="str">
        <x:v>王城罗德尔</x:v>
      </x:c>
      <x:c r="C2191" s="25" t="str">
        <x:v>极端压力</x:v>
      </x:c>
      <x:c r="D2191" s="25" t="str">
        <x:v>材料</x:v>
      </x:c>
      <x:c r="E2191" s="25" t="str">
        <x:v>黄金律印</x:v>
      </x:c>
      <x:c r="F2191" s="25" t="n">
        <x:v>140</x:v>
      </x:c>
      <x:c r="G2191" s="25" t="str">
        <x:v>从C0至当前检查点累计需求；未扣自身未来产出，不代表已有库存</x:v>
      </x:c>
    </x:row>
    <x:row r="2192">
      <x:c r="A2192" s="25" t="str">
        <x:v>C10-X</x:v>
      </x:c>
      <x:c r="B2192" s="25" t="str">
        <x:v>王城罗德尔</x:v>
      </x:c>
      <x:c r="C2192" s="25" t="str">
        <x:v>极端压力</x:v>
      </x:c>
      <x:c r="D2192" s="25" t="str">
        <x:v>材料</x:v>
      </x:c>
      <x:c r="E2192" s="25" t="str">
        <x:v>黄金律法卢恩</x:v>
      </x:c>
      <x:c r="F2192" s="25" t="n">
        <x:v>550</x:v>
      </x:c>
      <x:c r="G2192" s="25" t="str">
        <x:v>从C0至当前检查点累计需求；未扣自身未来产出，不代表已有库存</x:v>
      </x:c>
    </x:row>
    <x:row r="2193">
      <x:c r="A2193" s="25" t="str">
        <x:v>C10-X</x:v>
      </x:c>
      <x:c r="B2193" s="25" t="str">
        <x:v>王城罗德尔</x:v>
      </x:c>
      <x:c r="C2193" s="25" t="str">
        <x:v>极端压力</x:v>
      </x:c>
      <x:c r="D2193" s="25" t="str">
        <x:v>材料</x:v>
      </x:c>
      <x:c r="E2193" s="25" t="str">
        <x:v>黄金树碎核</x:v>
      </x:c>
      <x:c r="F2193" s="25" t="n">
        <x:v>2</x:v>
      </x:c>
      <x:c r="G2193" s="25" t="str">
        <x:v>从C0至当前检查点累计需求；未扣自身未来产出，不代表已有库存</x:v>
      </x:c>
    </x:row>
    <x:row r="2194">
      <x:c r="A2194" s="25" t="str">
        <x:v>C10-X</x:v>
      </x:c>
      <x:c r="B2194" s="25" t="str">
        <x:v>王城罗德尔</x:v>
      </x:c>
      <x:c r="C2194" s="25" t="str">
        <x:v>极端压力</x:v>
      </x:c>
      <x:c r="D2194" s="25" t="str">
        <x:v>材料</x:v>
      </x:c>
      <x:c r="E2194" s="25" t="str">
        <x:v>黄金树芽</x:v>
      </x:c>
      <x:c r="F2194" s="25" t="n">
        <x:v>297</x:v>
      </x:c>
      <x:c r="G2194" s="25" t="str">
        <x:v>从C0至当前检查点累计需求；未扣自身未来产出，不代表已有库存</x:v>
      </x:c>
    </x:row>
    <x:row r="2195">
      <x:c r="A2195" s="25" t="str">
        <x:v>C10-X</x:v>
      </x:c>
      <x:c r="B2195" s="25" t="str">
        <x:v>王城罗德尔</x:v>
      </x:c>
      <x:c r="C2195" s="25" t="str">
        <x:v>极端压力</x:v>
      </x:c>
      <x:c r="D2195" s="25" t="str">
        <x:v>材料</x:v>
      </x:c>
      <x:c r="E2195" s="25" t="str">
        <x:v>黄金骑徽</x:v>
      </x:c>
      <x:c r="F2195" s="25" t="n">
        <x:v>2</x:v>
      </x:c>
      <x:c r="G2195" s="25" t="str">
        <x:v>从C0至当前检查点累计需求；未扣自身未来产出，不代表已有库存</x:v>
      </x:c>
    </x:row>
    <x:row r="2196">
      <x:c r="A2196" s="25" t="str">
        <x:v>C10-X</x:v>
      </x:c>
      <x:c r="B2196" s="25" t="str">
        <x:v>王城罗德尔</x:v>
      </x:c>
      <x:c r="C2196" s="25" t="str">
        <x:v>极端压力</x:v>
      </x:c>
      <x:c r="D2196" s="25" t="str">
        <x:v>材料</x:v>
      </x:c>
      <x:c r="E2196" s="25" t="str">
        <x:v>龙火鳞</x:v>
      </x:c>
      <x:c r="F2196" s="25" t="n">
        <x:v>38</x:v>
      </x:c>
      <x:c r="G2196" s="25" t="str">
        <x:v>从C0至当前检查点累计需求；未扣自身未来产出，不代表已有库存</x:v>
      </x:c>
    </x:row>
    <x:row r="2197">
      <x:c r="A2197" s="25" t="str">
        <x:v>C10-X</x:v>
      </x:c>
      <x:c r="B2197" s="25" t="str">
        <x:v>王城罗德尔</x:v>
      </x:c>
      <x:c r="C2197" s="25" t="str">
        <x:v>极端压力</x:v>
      </x:c>
      <x:c r="D2197" s="25" t="str">
        <x:v>装备实物</x:v>
      </x:c>
      <x:c r="E2197" s="25" t="str">
        <x:v>共593个精确名称（明细见JSON）</x:v>
      </x:c>
      <x:c r="F2197" s="25" t="n">
        <x:v>852</x:v>
      </x:c>
      <x:c r="G2197" s="25" t="str">
        <x:v>含穿戴、重复试洗、图鉴登记与合成前置；完整数据未省略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4" hidden="0" customWidth="1"/>
    <x:col min="5" max="5" width="42" hidden="0" customWidth="1"/>
    <x:col min="6" max="6" width="13" hidden="0" customWidth="1"/>
    <x:col min="7" max="7" width="16" hidden="0" customWidth="1"/>
    <x:col min="8" max="8" width="22" hidden="0" customWidth="1"/>
    <x:col min="9" max="9" width="22" hidden="0" customWidth="1"/>
    <x:col min="10" max="10" width="80" hidden="0" customWidth="1"/>
    <x:col min="11" max="11" width="70" hidden="0" customWidth="1"/>
  </x:cols>
  <x:sheetData>
    <x:row r="1" ht="29" customHeight="1">
      <x:c r="A1" s="4" t="str">
        <x:v>操作支付路线｜灵符与自产分开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3" customHeight="1">
      <x:c r="A2" s="11" t="str">
        <x:v>按同一人物、执行大陆、支付路径汇总。0游戏货币的灵符行不代表免费，未知灵符分项价格没有伪造。不可把全部40组费用相加。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执行大陆</x:v>
      </x:c>
      <x:c r="E4" s="19" t="str">
        <x:v>操作</x:v>
      </x:c>
      <x:c r="F4" s="19" t="str">
        <x:v>路线</x:v>
      </x:c>
      <x:c r="G4" s="19" t="str">
        <x:v>操作记录数</x:v>
      </x:c>
      <x:c r="H4" s="19" t="str">
        <x:v>自产金币</x:v>
      </x:c>
      <x:c r="I4" s="19" t="str">
        <x:v>自产元宝</x:v>
      </x:c>
      <x:c r="J4" s="19" t="str">
        <x:v>材料合计</x:v>
      </x:c>
      <x:c r="K4" s="19" t="str">
        <x:v>依据/备注</x:v>
      </x:c>
    </x:row>
    <x:row r="5">
      <x:c r="A5" s="25" t="str">
        <x:v>C01-E</x:v>
      </x:c>
      <x:c r="B5" s="25" t="str">
        <x:v>漂流群岛</x:v>
      </x:c>
      <x:c r="C5" s="25" t="str">
        <x:v>半急速入场</x:v>
      </x:c>
      <x:c r="D5" s="25" t="n">
        <x:v>0</x:v>
      </x:c>
      <x:c r="E5" s="25" t="str">
        <x:v>本大陆动作汇总</x:v>
      </x:c>
      <x:c r="F5" s="25" t="str">
        <x:v>灵符</x:v>
      </x:c>
      <x:c r="G5" s="25" t="n">
        <x:v>2</x:v>
      </x:c>
      <x:c r="H5" s="25" t="n">
        <x:v>0</x:v>
      </x:c>
      <x:c r="I5" s="25" t="n">
        <x:v>0</x:v>
      </x:c>
      <x:c r="J5" s="25" t="str"/>
      <x:c r="K5" s="25" t="str">
        <x:v>逐操作及每次费用见完整JSON/payments</x:v>
      </x:c>
    </x:row>
    <x:row r="6">
      <x:c r="A6" s="25" t="str">
        <x:v>C01-M</x:v>
      </x:c>
      <x:c r="B6" s="25" t="str">
        <x:v>漂流群岛</x:v>
      </x:c>
      <x:c r="C6" s="25" t="str">
        <x:v>半急速中期</x:v>
      </x:c>
      <x:c r="D6" s="25" t="n">
        <x:v>0</x:v>
      </x:c>
      <x:c r="E6" s="25" t="str">
        <x:v>本大陆动作汇总</x:v>
      </x:c>
      <x:c r="F6" s="25" t="str">
        <x:v>灵符</x:v>
      </x:c>
      <x:c r="G6" s="25" t="n">
        <x:v>2</x:v>
      </x:c>
      <x:c r="H6" s="25" t="n">
        <x:v>0</x:v>
      </x:c>
      <x:c r="I6" s="25" t="n">
        <x:v>0</x:v>
      </x:c>
      <x:c r="J6" s="25" t="str"/>
      <x:c r="K6" s="25" t="str">
        <x:v>逐操作及每次费用见完整JSON/payments</x:v>
      </x:c>
    </x:row>
    <x:row r="7">
      <x:c r="A7" s="25" t="str">
        <x:v>C01-M</x:v>
      </x:c>
      <x:c r="B7" s="25" t="str">
        <x:v>漂流群岛</x:v>
      </x:c>
      <x:c r="C7" s="25" t="str">
        <x:v>半急速中期</x:v>
      </x:c>
      <x:c r="D7" s="25" t="n">
        <x:v>1</x:v>
      </x:c>
      <x:c r="E7" s="25" t="str">
        <x:v>本大陆动作汇总</x:v>
      </x:c>
      <x:c r="F7" s="25" t="str">
        <x:v>自产</x:v>
      </x:c>
      <x:c r="G7" s="25" t="n">
        <x:v>1</x:v>
      </x:c>
      <x:c r="H7" s="25" t="n">
        <x:v>0</x:v>
      </x:c>
      <x:c r="I7" s="25" t="n">
        <x:v>18000000</x:v>
      </x:c>
      <x:c r="J7" s="25" t="str">
        <x:v>技能残页×180</x:v>
      </x:c>
      <x:c r="K7" s="25" t="str">
        <x:v>逐操作及每次费用见完整JSON/payments</x:v>
      </x:c>
    </x:row>
    <x:row r="8">
      <x:c r="A8" s="25" t="str">
        <x:v>C01-G</x:v>
      </x:c>
      <x:c r="B8" s="25" t="str">
        <x:v>漂流群岛</x:v>
      </x:c>
      <x:c r="C8" s="25" t="str">
        <x:v>半急速毕业</x:v>
      </x:c>
      <x:c r="D8" s="25" t="n">
        <x:v>0</x:v>
      </x:c>
      <x:c r="E8" s="25" t="str">
        <x:v>本大陆动作汇总</x:v>
      </x:c>
      <x:c r="F8" s="25" t="str">
        <x:v>灵符</x:v>
      </x:c>
      <x:c r="G8" s="25" t="n">
        <x:v>2</x:v>
      </x:c>
      <x:c r="H8" s="25" t="n">
        <x:v>0</x:v>
      </x:c>
      <x:c r="I8" s="25" t="n">
        <x:v>0</x:v>
      </x:c>
      <x:c r="J8" s="25" t="str"/>
      <x:c r="K8" s="25" t="str">
        <x:v>逐操作及每次费用见完整JSON/payments</x:v>
      </x:c>
    </x:row>
    <x:row r="9">
      <x:c r="A9" s="25" t="str">
        <x:v>C01-G</x:v>
      </x:c>
      <x:c r="B9" s="25" t="str">
        <x:v>漂流群岛</x:v>
      </x:c>
      <x:c r="C9" s="25" t="str">
        <x:v>半急速毕业</x:v>
      </x:c>
      <x:c r="D9" s="25" t="n">
        <x:v>1</x:v>
      </x:c>
      <x:c r="E9" s="25" t="str">
        <x:v>本大陆动作汇总</x:v>
      </x:c>
      <x:c r="F9" s="25" t="str">
        <x:v>自产</x:v>
      </x:c>
      <x:c r="G9" s="25" t="n">
        <x:v>4</x:v>
      </x:c>
      <x:c r="H9" s="25" t="n">
        <x:v>2800000000</x:v>
      </x:c>
      <x:c r="I9" s="25" t="n">
        <x:v>74500000</x:v>
      </x:c>
      <x:c r="J9" s="25" t="str">
        <x:v>技能残页×630；海蚀铁片×80；潮痕结晶×8；漂流大陆印记×8；失色锻造石×100；漂流见证·潮×8；漂流见证·雷×8</x:v>
      </x:c>
      <x:c r="K9" s="25" t="str">
        <x:v>逐操作及每次费用见完整JSON/payments</x:v>
      </x:c>
    </x:row>
    <x:row r="10">
      <x:c r="A10" s="25" t="str">
        <x:v>C01-X</x:v>
      </x:c>
      <x:c r="B10" s="25" t="str">
        <x:v>漂流群岛</x:v>
      </x:c>
      <x:c r="C10" s="25" t="str">
        <x:v>极端压力</x:v>
      </x:c>
      <x:c r="D10" s="25" t="n">
        <x:v>0</x:v>
      </x:c>
      <x:c r="E10" s="25" t="str">
        <x:v>本大陆动作汇总</x:v>
      </x:c>
      <x:c r="F10" s="25" t="str">
        <x:v>灵符</x:v>
      </x:c>
      <x:c r="G10" s="25" t="n">
        <x:v>2</x:v>
      </x:c>
      <x:c r="H10" s="25" t="n">
        <x:v>0</x:v>
      </x:c>
      <x:c r="I10" s="25" t="n">
        <x:v>0</x:v>
      </x:c>
      <x:c r="J10" s="25" t="str"/>
      <x:c r="K10" s="25" t="str">
        <x:v>逐操作及每次费用见完整JSON/payments</x:v>
      </x:c>
    </x:row>
    <x:row r="11">
      <x:c r="A11" s="25" t="str">
        <x:v>C01-X</x:v>
      </x:c>
      <x:c r="B11" s="25" t="str">
        <x:v>漂流群岛</x:v>
      </x:c>
      <x:c r="C11" s="25" t="str">
        <x:v>极端压力</x:v>
      </x:c>
      <x:c r="D11" s="25" t="n">
        <x:v>1</x:v>
      </x:c>
      <x:c r="E11" s="25" t="str">
        <x:v>本大陆动作汇总</x:v>
      </x:c>
      <x:c r="F11" s="25" t="str">
        <x:v>自产</x:v>
      </x:c>
      <x:c r="G11" s="25" t="n">
        <x:v>5</x:v>
      </x:c>
      <x:c r="H11" s="25" t="n">
        <x:v>4400000000</x:v>
      </x:c>
      <x:c r="I11" s="25" t="n">
        <x:v>74500000</x:v>
      </x:c>
      <x:c r="J11" s="25" t="str">
        <x:v>技能残页×630；海蚀铁片×160；潮痕结晶×16；漂流大陆印记×11；失色锻造石×200；漂流见证·潮×8；漂流见证·雷×8</x:v>
      </x:c>
      <x:c r="K11" s="25" t="str">
        <x:v>逐操作及每次费用见完整JSON/payments</x:v>
      </x:c>
    </x:row>
    <x:row r="12">
      <x:c r="A12" s="25" t="str">
        <x:v>C02-E</x:v>
      </x:c>
      <x:c r="B12" s="25" t="str">
        <x:v>宁姆格福</x:v>
      </x:c>
      <x:c r="C12" s="25" t="str">
        <x:v>半急速入场</x:v>
      </x:c>
      <x:c r="D12" s="25" t="n">
        <x:v>0</x:v>
      </x:c>
      <x:c r="E12" s="25" t="str">
        <x:v>本大陆动作汇总</x:v>
      </x:c>
      <x:c r="F12" s="25" t="str">
        <x:v>灵符</x:v>
      </x:c>
      <x:c r="G12" s="25" t="n">
        <x:v>2</x:v>
      </x:c>
      <x:c r="H12" s="25" t="n">
        <x:v>0</x:v>
      </x:c>
      <x:c r="I12" s="25" t="n">
        <x:v>0</x:v>
      </x:c>
      <x:c r="J12" s="25" t="str"/>
      <x:c r="K12" s="25" t="str">
        <x:v>逐操作及每次费用见完整JSON/payments</x:v>
      </x:c>
    </x:row>
    <x:row r="13">
      <x:c r="A13" s="25" t="str">
        <x:v>C02-E</x:v>
      </x:c>
      <x:c r="B13" s="25" t="str">
        <x:v>宁姆格福</x:v>
      </x:c>
      <x:c r="C13" s="25" t="str">
        <x:v>半急速入场</x:v>
      </x:c>
      <x:c r="D13" s="25" t="n">
        <x:v>1</x:v>
      </x:c>
      <x:c r="E13" s="25" t="str">
        <x:v>本大陆动作汇总</x:v>
      </x:c>
      <x:c r="F13" s="25" t="str">
        <x:v>自产</x:v>
      </x:c>
      <x:c r="G13" s="25" t="n">
        <x:v>4</x:v>
      </x:c>
      <x:c r="H13" s="25" t="n">
        <x:v>2800000000</x:v>
      </x:c>
      <x:c r="I13" s="25" t="n">
        <x:v>74500000</x:v>
      </x:c>
      <x:c r="J13" s="25" t="str">
        <x:v>技能残页×630；海蚀铁片×80；潮痕结晶×8；漂流大陆印记×8；失色锻造石×100；漂流见证·潮×8；漂流见证·雷×8</x:v>
      </x:c>
      <x:c r="K13" s="25" t="str">
        <x:v>逐操作及每次费用见完整JSON/payments</x:v>
      </x:c>
    </x:row>
    <x:row r="14">
      <x:c r="A14" s="25" t="str">
        <x:v>C02-E</x:v>
      </x:c>
      <x:c r="B14" s="25" t="str">
        <x:v>宁姆格福</x:v>
      </x:c>
      <x:c r="C14" s="25" t="str">
        <x:v>半急速入场</x:v>
      </x:c>
      <x:c r="D14" s="25" t="n">
        <x:v>2</x:v>
      </x:c>
      <x:c r="E14" s="25" t="str">
        <x:v>本大陆动作汇总</x:v>
      </x:c>
      <x:c r="F14" s="25" t="str">
        <x:v>灵符</x:v>
      </x:c>
      <x:c r="G14" s="25" t="n">
        <x:v>2</x:v>
      </x:c>
      <x:c r="H14" s="25" t="n">
        <x:v>0</x:v>
      </x:c>
      <x:c r="I14" s="25" t="n">
        <x:v>0</x:v>
      </x:c>
      <x:c r="J14" s="25" t="str"/>
      <x:c r="K14" s="25" t="str">
        <x:v>逐操作及每次费用见完整JSON/payments</x:v>
      </x:c>
    </x:row>
    <x:row r="15">
      <x:c r="A15" s="25" t="str">
        <x:v>C02-M</x:v>
      </x:c>
      <x:c r="B15" s="25" t="str">
        <x:v>宁姆格福</x:v>
      </x:c>
      <x:c r="C15" s="25" t="str">
        <x:v>半急速中期</x:v>
      </x:c>
      <x:c r="D15" s="25" t="n">
        <x:v>0</x:v>
      </x:c>
      <x:c r="E15" s="25" t="str">
        <x:v>本大陆动作汇总</x:v>
      </x:c>
      <x:c r="F15" s="25" t="str">
        <x:v>灵符</x:v>
      </x:c>
      <x:c r="G15" s="25" t="n">
        <x:v>2</x:v>
      </x:c>
      <x:c r="H15" s="25" t="n">
        <x:v>0</x:v>
      </x:c>
      <x:c r="I15" s="25" t="n">
        <x:v>0</x:v>
      </x:c>
      <x:c r="J15" s="25" t="str"/>
      <x:c r="K15" s="25" t="str">
        <x:v>逐操作及每次费用见完整JSON/payments</x:v>
      </x:c>
    </x:row>
    <x:row r="16">
      <x:c r="A16" s="25" t="str">
        <x:v>C02-M</x:v>
      </x:c>
      <x:c r="B16" s="25" t="str">
        <x:v>宁姆格福</x:v>
      </x:c>
      <x:c r="C16" s="25" t="str">
        <x:v>半急速中期</x:v>
      </x:c>
      <x:c r="D16" s="25" t="n">
        <x:v>1</x:v>
      </x:c>
      <x:c r="E16" s="25" t="str">
        <x:v>本大陆动作汇总</x:v>
      </x:c>
      <x:c r="F16" s="25" t="str">
        <x:v>自产</x:v>
      </x:c>
      <x:c r="G16" s="25" t="n">
        <x:v>4</x:v>
      </x:c>
      <x:c r="H16" s="25" t="n">
        <x:v>2800000000</x:v>
      </x:c>
      <x:c r="I16" s="25" t="n">
        <x:v>74500000</x:v>
      </x:c>
      <x:c r="J16" s="25" t="str">
        <x:v>技能残页×630；海蚀铁片×80；潮痕结晶×8；漂流大陆印记×8；失色锻造石×100；漂流见证·潮×8；漂流见证·雷×8</x:v>
      </x:c>
      <x:c r="K16" s="25" t="str">
        <x:v>逐操作及每次费用见完整JSON/payments</x:v>
      </x:c>
    </x:row>
    <x:row r="17">
      <x:c r="A17" s="25" t="str">
        <x:v>C02-M</x:v>
      </x:c>
      <x:c r="B17" s="25" t="str">
        <x:v>宁姆格福</x:v>
      </x:c>
      <x:c r="C17" s="25" t="str">
        <x:v>半急速中期</x:v>
      </x:c>
      <x:c r="D17" s="25" t="n">
        <x:v>2</x:v>
      </x:c>
      <x:c r="E17" s="25" t="str">
        <x:v>本大陆动作汇总</x:v>
      </x:c>
      <x:c r="F17" s="25" t="str">
        <x:v>灵符</x:v>
      </x:c>
      <x:c r="G17" s="25" t="n">
        <x:v>2</x:v>
      </x:c>
      <x:c r="H17" s="25" t="n">
        <x:v>0</x:v>
      </x:c>
      <x:c r="I17" s="25" t="n">
        <x:v>0</x:v>
      </x:c>
      <x:c r="J17" s="25" t="str"/>
      <x:c r="K17" s="25" t="str">
        <x:v>逐操作及每次费用见完整JSON/payments</x:v>
      </x:c>
    </x:row>
    <x:row r="18">
      <x:c r="A18" s="25" t="str">
        <x:v>C02-M</x:v>
      </x:c>
      <x:c r="B18" s="25" t="str">
        <x:v>宁姆格福</x:v>
      </x:c>
      <x:c r="C18" s="25" t="str">
        <x:v>半急速中期</x:v>
      </x:c>
      <x:c r="D18" s="25" t="n">
        <x:v>2</x:v>
      </x:c>
      <x:c r="E18" s="25" t="str">
        <x:v>本大陆动作汇总</x:v>
      </x:c>
      <x:c r="F18" s="25" t="str">
        <x:v>自产</x:v>
      </x:c>
      <x:c r="G18" s="25" t="n">
        <x:v>54</x:v>
      </x:c>
      <x:c r="H18" s="25" t="n">
        <x:v>4940000000</x:v>
      </x:c>
      <x:c r="I18" s="25" t="n">
        <x:v>193000000</x:v>
      </x:c>
      <x:c r="J18" s="25" t="str">
        <x:v>失色锻造石×580；海蚀铁片×80；潮痕结晶×8；漂流大陆印记×3；野兽骨片×550；看门犬石心×2；腐根魂结×2；溃烂树核×1；贵胄断指×1；黄金骑徽×2；失乡军令×2；树卫枪穗×1；夜骑黑印×1；技能残页×450；黄金树芽×100</x:v>
      </x:c>
      <x:c r="K18" s="25" t="str">
        <x:v>逐操作及每次费用见完整JSON/payments</x:v>
      </x:c>
    </x:row>
    <x:row r="19">
      <x:c r="A19" s="25" t="str">
        <x:v>C02-G</x:v>
      </x:c>
      <x:c r="B19" s="25" t="str">
        <x:v>宁姆格福</x:v>
      </x:c>
      <x:c r="C19" s="25" t="str">
        <x:v>半急速毕业</x:v>
      </x:c>
      <x:c r="D19" s="25" t="n">
        <x:v>0</x:v>
      </x:c>
      <x:c r="E19" s="25" t="str">
        <x:v>本大陆动作汇总</x:v>
      </x:c>
      <x:c r="F19" s="25" t="str">
        <x:v>灵符</x:v>
      </x:c>
      <x:c r="G19" s="25" t="n">
        <x:v>2</x:v>
      </x:c>
      <x:c r="H19" s="25" t="n">
        <x:v>0</x:v>
      </x:c>
      <x:c r="I19" s="25" t="n">
        <x:v>0</x:v>
      </x:c>
      <x:c r="J19" s="25" t="str"/>
      <x:c r="K19" s="25" t="str">
        <x:v>逐操作及每次费用见完整JSON/payments</x:v>
      </x:c>
    </x:row>
    <x:row r="20">
      <x:c r="A20" s="25" t="str">
        <x:v>C02-G</x:v>
      </x:c>
      <x:c r="B20" s="25" t="str">
        <x:v>宁姆格福</x:v>
      </x:c>
      <x:c r="C20" s="25" t="str">
        <x:v>半急速毕业</x:v>
      </x:c>
      <x:c r="D20" s="25" t="n">
        <x:v>1</x:v>
      </x:c>
      <x:c r="E20" s="25" t="str">
        <x:v>本大陆动作汇总</x:v>
      </x:c>
      <x:c r="F20" s="25" t="str">
        <x:v>自产</x:v>
      </x:c>
      <x:c r="G20" s="25" t="n">
        <x:v>4</x:v>
      </x:c>
      <x:c r="H20" s="25" t="n">
        <x:v>2800000000</x:v>
      </x:c>
      <x:c r="I20" s="25" t="n">
        <x:v>74500000</x:v>
      </x:c>
      <x:c r="J20" s="25" t="str">
        <x:v>技能残页×630；海蚀铁片×80；潮痕结晶×8；漂流大陆印记×8；失色锻造石×100；漂流见证·潮×8；漂流见证·雷×8</x:v>
      </x:c>
      <x:c r="K20" s="25" t="str">
        <x:v>逐操作及每次费用见完整JSON/payments</x:v>
      </x:c>
    </x:row>
    <x:row r="21">
      <x:c r="A21" s="25" t="str">
        <x:v>C02-G</x:v>
      </x:c>
      <x:c r="B21" s="25" t="str">
        <x:v>宁姆格福</x:v>
      </x:c>
      <x:c r="C21" s="25" t="str">
        <x:v>半急速毕业</x:v>
      </x:c>
      <x:c r="D21" s="25" t="n">
        <x:v>2</x:v>
      </x:c>
      <x:c r="E21" s="25" t="str">
        <x:v>本大陆动作汇总</x:v>
      </x:c>
      <x:c r="F21" s="25" t="str">
        <x:v>灵符</x:v>
      </x:c>
      <x:c r="G21" s="25" t="n">
        <x:v>2</x:v>
      </x:c>
      <x:c r="H21" s="25" t="n">
        <x:v>0</x:v>
      </x:c>
      <x:c r="I21" s="25" t="n">
        <x:v>0</x:v>
      </x:c>
      <x:c r="J21" s="25" t="str"/>
      <x:c r="K21" s="25" t="str">
        <x:v>逐操作及每次费用见完整JSON/payments</x:v>
      </x:c>
    </x:row>
    <x:row r="22">
      <x:c r="A22" s="25" t="str">
        <x:v>C02-G</x:v>
      </x:c>
      <x:c r="B22" s="25" t="str">
        <x:v>宁姆格福</x:v>
      </x:c>
      <x:c r="C22" s="25" t="str">
        <x:v>半急速毕业</x:v>
      </x:c>
      <x:c r="D22" s="25" t="n">
        <x:v>2</x:v>
      </x:c>
      <x:c r="E22" s="25" t="str">
        <x:v>本大陆动作汇总</x:v>
      </x:c>
      <x:c r="F22" s="25" t="str">
        <x:v>自产</x:v>
      </x:c>
      <x:c r="G22" s="25" t="n">
        <x:v>138</x:v>
      </x:c>
      <x:c r="H22" s="25" t="n">
        <x:v>21870000000</x:v>
      </x:c>
      <x:c r="I22" s="25" t="n">
        <x:v>765500000</x:v>
      </x:c>
      <x:c r="J22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2" s="25" t="str">
        <x:v>逐操作及每次费用见完整JSON/payments</x:v>
      </x:c>
    </x:row>
    <x:row r="23">
      <x:c r="A23" s="25" t="str">
        <x:v>C02-X</x:v>
      </x:c>
      <x:c r="B23" s="25" t="str">
        <x:v>宁姆格福</x:v>
      </x:c>
      <x:c r="C23" s="25" t="str">
        <x:v>极端压力</x:v>
      </x:c>
      <x:c r="D23" s="25" t="n">
        <x:v>0</x:v>
      </x:c>
      <x:c r="E23" s="25" t="str">
        <x:v>本大陆动作汇总</x:v>
      </x:c>
      <x:c r="F23" s="25" t="str">
        <x:v>灵符</x:v>
      </x:c>
      <x:c r="G23" s="25" t="n">
        <x:v>2</x:v>
      </x:c>
      <x:c r="H23" s="25" t="n">
        <x:v>0</x:v>
      </x:c>
      <x:c r="I23" s="25" t="n">
        <x:v>0</x:v>
      </x:c>
      <x:c r="J23" s="25" t="str"/>
      <x:c r="K23" s="25" t="str">
        <x:v>逐操作及每次费用见完整JSON/payments</x:v>
      </x:c>
    </x:row>
    <x:row r="24">
      <x:c r="A24" s="25" t="str">
        <x:v>C02-X</x:v>
      </x:c>
      <x:c r="B24" s="25" t="str">
        <x:v>宁姆格福</x:v>
      </x:c>
      <x:c r="C24" s="25" t="str">
        <x:v>极端压力</x:v>
      </x:c>
      <x:c r="D24" s="25" t="n">
        <x:v>1</x:v>
      </x:c>
      <x:c r="E24" s="25" t="str">
        <x:v>本大陆动作汇总</x:v>
      </x:c>
      <x:c r="F24" s="25" t="str">
        <x:v>自产</x:v>
      </x:c>
      <x:c r="G24" s="25" t="n">
        <x:v>4</x:v>
      </x:c>
      <x:c r="H24" s="25" t="n">
        <x:v>2800000000</x:v>
      </x:c>
      <x:c r="I24" s="25" t="n">
        <x:v>74500000</x:v>
      </x:c>
      <x:c r="J24" s="25" t="str">
        <x:v>技能残页×630；海蚀铁片×80；潮痕结晶×8；漂流大陆印记×8；失色锻造石×100；漂流见证·潮×8；漂流见证·雷×8</x:v>
      </x:c>
      <x:c r="K24" s="25" t="str">
        <x:v>逐操作及每次费用见完整JSON/payments</x:v>
      </x:c>
    </x:row>
    <x:row r="25">
      <x:c r="A25" s="25" t="str">
        <x:v>C02-X</x:v>
      </x:c>
      <x:c r="B25" s="25" t="str">
        <x:v>宁姆格福</x:v>
      </x:c>
      <x:c r="C25" s="25" t="str">
        <x:v>极端压力</x:v>
      </x:c>
      <x:c r="D25" s="25" t="n">
        <x:v>2</x:v>
      </x:c>
      <x:c r="E25" s="25" t="str">
        <x:v>本大陆动作汇总</x:v>
      </x:c>
      <x:c r="F25" s="25" t="str">
        <x:v>灵符</x:v>
      </x:c>
      <x:c r="G25" s="25" t="n">
        <x:v>2</x:v>
      </x:c>
      <x:c r="H25" s="25" t="n">
        <x:v>0</x:v>
      </x:c>
      <x:c r="I25" s="25" t="n">
        <x:v>0</x:v>
      </x:c>
      <x:c r="J25" s="25" t="str"/>
      <x:c r="K25" s="25" t="str">
        <x:v>逐操作及每次费用见完整JSON/payments</x:v>
      </x:c>
    </x:row>
    <x:row r="26">
      <x:c r="A26" s="25" t="str">
        <x:v>C02-X</x:v>
      </x:c>
      <x:c r="B26" s="25" t="str">
        <x:v>宁姆格福</x:v>
      </x:c>
      <x:c r="C26" s="25" t="str">
        <x:v>极端压力</x:v>
      </x:c>
      <x:c r="D26" s="25" t="n">
        <x:v>2</x:v>
      </x:c>
      <x:c r="E26" s="25" t="str">
        <x:v>本大陆动作汇总</x:v>
      </x:c>
      <x:c r="F26" s="25" t="str">
        <x:v>自产</x:v>
      </x:c>
      <x:c r="G26" s="25" t="n">
        <x:v>395</x:v>
      </x:c>
      <x:c r="H26" s="25" t="n">
        <x:v>21870000000</x:v>
      </x:c>
      <x:c r="I26" s="25" t="n">
        <x:v>1195500000</x:v>
      </x:c>
      <x:c r="J26" s="25" t="str">
        <x:v>失色锻造石×5090；海蚀铁片×80；潮痕结晶×8；漂流大陆印记×3；野兽骨片×1725；看门犬石心×2；腐根魂结×2；溃烂树核×1；贵胄断指×1；黄金骑徽×2；失乡军令×2；树卫枪穗×1；夜骑黑印×1；技能残页×720；黄金树芽×321；风暴石片×610；接肢王印×21；熊王心脏×2；黄金树碎核×2；唤船骨铃×1；熔炉角片×1；山妖王角×2；死亡仪羽×2；风暴王核×1；恶兆残角×1；宁姆格福誓页×90</x:v>
      </x:c>
      <x:c r="K26" s="25" t="str">
        <x:v>逐操作及每次费用见完整JSON/payments</x:v>
      </x:c>
    </x:row>
    <x:row r="27">
      <x:c r="A27" s="25" t="str">
        <x:v>C03-E</x:v>
      </x:c>
      <x:c r="B27" s="25" t="str">
        <x:v>宁姆格福西域</x:v>
      </x:c>
      <x:c r="C27" s="25" t="str">
        <x:v>半急速入场</x:v>
      </x:c>
      <x:c r="D27" s="25" t="n">
        <x:v>0</x:v>
      </x:c>
      <x:c r="E27" s="25" t="str">
        <x:v>本大陆动作汇总</x:v>
      </x:c>
      <x:c r="F27" s="25" t="str">
        <x:v>灵符</x:v>
      </x:c>
      <x:c r="G27" s="25" t="n">
        <x:v>2</x:v>
      </x:c>
      <x:c r="H27" s="25" t="n">
        <x:v>0</x:v>
      </x:c>
      <x:c r="I27" s="25" t="n">
        <x:v>0</x:v>
      </x:c>
      <x:c r="J27" s="25" t="str"/>
      <x:c r="K27" s="25" t="str">
        <x:v>逐操作及每次费用见完整JSON/payments</x:v>
      </x:c>
    </x:row>
    <x:row r="28">
      <x:c r="A28" s="25" t="str">
        <x:v>C03-E</x:v>
      </x:c>
      <x:c r="B28" s="25" t="str">
        <x:v>宁姆格福西域</x:v>
      </x:c>
      <x:c r="C28" s="25" t="str">
        <x:v>半急速入场</x:v>
      </x:c>
      <x:c r="D28" s="25" t="n">
        <x:v>1</x:v>
      </x:c>
      <x:c r="E28" s="25" t="str">
        <x:v>本大陆动作汇总</x:v>
      </x:c>
      <x:c r="F28" s="25" t="str">
        <x:v>自产</x:v>
      </x:c>
      <x:c r="G28" s="25" t="n">
        <x:v>4</x:v>
      </x:c>
      <x:c r="H28" s="25" t="n">
        <x:v>2800000000</x:v>
      </x:c>
      <x:c r="I28" s="25" t="n">
        <x:v>74500000</x:v>
      </x:c>
      <x:c r="J28" s="25" t="str">
        <x:v>技能残页×630；海蚀铁片×80；潮痕结晶×8；漂流大陆印记×8；失色锻造石×100；漂流见证·潮×8；漂流见证·雷×8</x:v>
      </x:c>
      <x:c r="K28" s="25" t="str">
        <x:v>逐操作及每次费用见完整JSON/payments</x:v>
      </x:c>
    </x:row>
    <x:row r="29">
      <x:c r="A29" s="25" t="str">
        <x:v>C03-E</x:v>
      </x:c>
      <x:c r="B29" s="25" t="str">
        <x:v>宁姆格福西域</x:v>
      </x:c>
      <x:c r="C29" s="25" t="str">
        <x:v>半急速入场</x:v>
      </x:c>
      <x:c r="D29" s="25" t="n">
        <x:v>2</x:v>
      </x:c>
      <x:c r="E29" s="25" t="str">
        <x:v>本大陆动作汇总</x:v>
      </x:c>
      <x:c r="F29" s="25" t="str">
        <x:v>灵符</x:v>
      </x:c>
      <x:c r="G29" s="25" t="n">
        <x:v>2</x:v>
      </x:c>
      <x:c r="H29" s="25" t="n">
        <x:v>0</x:v>
      </x:c>
      <x:c r="I29" s="25" t="n">
        <x:v>0</x:v>
      </x:c>
      <x:c r="J29" s="25" t="str"/>
      <x:c r="K29" s="25" t="str">
        <x:v>逐操作及每次费用见完整JSON/payments</x:v>
      </x:c>
    </x:row>
    <x:row r="30">
      <x:c r="A30" s="25" t="str">
        <x:v>C03-E</x:v>
      </x:c>
      <x:c r="B30" s="25" t="str">
        <x:v>宁姆格福西域</x:v>
      </x:c>
      <x:c r="C30" s="25" t="str">
        <x:v>半急速入场</x:v>
      </x:c>
      <x:c r="D30" s="25" t="n">
        <x:v>2</x:v>
      </x:c>
      <x:c r="E30" s="25" t="str">
        <x:v>本大陆动作汇总</x:v>
      </x:c>
      <x:c r="F30" s="25" t="str">
        <x:v>自产</x:v>
      </x:c>
      <x:c r="G30" s="25" t="n">
        <x:v>138</x:v>
      </x:c>
      <x:c r="H30" s="25" t="n">
        <x:v>21870000000</x:v>
      </x:c>
      <x:c r="I30" s="25" t="n">
        <x:v>765500000</x:v>
      </x:c>
      <x:c r="J30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30" s="25" t="str">
        <x:v>逐操作及每次费用见完整JSON/payments</x:v>
      </x:c>
    </x:row>
    <x:row r="31">
      <x:c r="A31" s="25" t="str">
        <x:v>C03-M</x:v>
      </x:c>
      <x:c r="B31" s="25" t="str">
        <x:v>宁姆格福西域</x:v>
      </x:c>
      <x:c r="C31" s="25" t="str">
        <x:v>半急速中期</x:v>
      </x:c>
      <x:c r="D31" s="25" t="n">
        <x:v>0</x:v>
      </x:c>
      <x:c r="E31" s="25" t="str">
        <x:v>本大陆动作汇总</x:v>
      </x:c>
      <x:c r="F31" s="25" t="str">
        <x:v>灵符</x:v>
      </x:c>
      <x:c r="G31" s="25" t="n">
        <x:v>2</x:v>
      </x:c>
      <x:c r="H31" s="25" t="n">
        <x:v>0</x:v>
      </x:c>
      <x:c r="I31" s="25" t="n">
        <x:v>0</x:v>
      </x:c>
      <x:c r="J31" s="25" t="str"/>
      <x:c r="K31" s="25" t="str">
        <x:v>逐操作及每次费用见完整JSON/payments</x:v>
      </x:c>
    </x:row>
    <x:row r="32">
      <x:c r="A32" s="25" t="str">
        <x:v>C03-M</x:v>
      </x:c>
      <x:c r="B32" s="25" t="str">
        <x:v>宁姆格福西域</x:v>
      </x:c>
      <x:c r="C32" s="25" t="str">
        <x:v>半急速中期</x:v>
      </x:c>
      <x:c r="D32" s="25" t="n">
        <x:v>1</x:v>
      </x:c>
      <x:c r="E32" s="25" t="str">
        <x:v>本大陆动作汇总</x:v>
      </x:c>
      <x:c r="F32" s="25" t="str">
        <x:v>自产</x:v>
      </x:c>
      <x:c r="G32" s="25" t="n">
        <x:v>4</x:v>
      </x:c>
      <x:c r="H32" s="25" t="n">
        <x:v>2800000000</x:v>
      </x:c>
      <x:c r="I32" s="25" t="n">
        <x:v>74500000</x:v>
      </x:c>
      <x:c r="J32" s="25" t="str">
        <x:v>技能残页×630；海蚀铁片×80；潮痕结晶×8；漂流大陆印记×8；失色锻造石×100；漂流见证·潮×8；漂流见证·雷×8</x:v>
      </x:c>
      <x:c r="K32" s="25" t="str">
        <x:v>逐操作及每次费用见完整JSON/payments</x:v>
      </x:c>
    </x:row>
    <x:row r="33">
      <x:c r="A33" s="25" t="str">
        <x:v>C03-M</x:v>
      </x:c>
      <x:c r="B33" s="25" t="str">
        <x:v>宁姆格福西域</x:v>
      </x:c>
      <x:c r="C33" s="25" t="str">
        <x:v>半急速中期</x:v>
      </x:c>
      <x:c r="D33" s="25" t="n">
        <x:v>2</x:v>
      </x:c>
      <x:c r="E33" s="25" t="str">
        <x:v>本大陆动作汇总</x:v>
      </x:c>
      <x:c r="F33" s="25" t="str">
        <x:v>灵符</x:v>
      </x:c>
      <x:c r="G33" s="25" t="n">
        <x:v>2</x:v>
      </x:c>
      <x:c r="H33" s="25" t="n">
        <x:v>0</x:v>
      </x:c>
      <x:c r="I33" s="25" t="n">
        <x:v>0</x:v>
      </x:c>
      <x:c r="J33" s="25" t="str"/>
      <x:c r="K33" s="25" t="str">
        <x:v>逐操作及每次费用见完整JSON/payments</x:v>
      </x:c>
    </x:row>
    <x:row r="34">
      <x:c r="A34" s="25" t="str">
        <x:v>C03-M</x:v>
      </x:c>
      <x:c r="B34" s="25" t="str">
        <x:v>宁姆格福西域</x:v>
      </x:c>
      <x:c r="C34" s="25" t="str">
        <x:v>半急速中期</x:v>
      </x:c>
      <x:c r="D34" s="25" t="n">
        <x:v>2</x:v>
      </x:c>
      <x:c r="E34" s="25" t="str">
        <x:v>本大陆动作汇总</x:v>
      </x:c>
      <x:c r="F34" s="25" t="str">
        <x:v>自产</x:v>
      </x:c>
      <x:c r="G34" s="25" t="n">
        <x:v>138</x:v>
      </x:c>
      <x:c r="H34" s="25" t="n">
        <x:v>21870000000</x:v>
      </x:c>
      <x:c r="I34" s="25" t="n">
        <x:v>765500000</x:v>
      </x:c>
      <x:c r="J3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34" s="25" t="str">
        <x:v>逐操作及每次费用见完整JSON/payments</x:v>
      </x:c>
    </x:row>
    <x:row r="35">
      <x:c r="A35" s="25" t="str">
        <x:v>C03-M</x:v>
      </x:c>
      <x:c r="B35" s="25" t="str">
        <x:v>宁姆格福西域</x:v>
      </x:c>
      <x:c r="C35" s="25" t="str">
        <x:v>半急速中期</x:v>
      </x:c>
      <x:c r="D35" s="25" t="n">
        <x:v>3</x:v>
      </x:c>
      <x:c r="E35" s="25" t="str">
        <x:v>本大陆动作汇总</x:v>
      </x:c>
      <x:c r="F35" s="25" t="str">
        <x:v>自产</x:v>
      </x:c>
      <x:c r="G35" s="25" t="n">
        <x:v>68</x:v>
      </x:c>
      <x:c r="H35" s="25" t="n">
        <x:v>13200000000</x:v>
      </x:c>
      <x:c r="I35" s="25" t="n">
        <x:v>166000000</x:v>
      </x:c>
      <x:c r="J35" s="25" t="str">
        <x:v>失色锻造石×640；野兽骨片×1140；风蚀铁片×260；西境战旗印×4；商队火漆×20；神秘符文×100；失乡统帅徽×2；接肢兽心×2；兽将脊骨×1；王城军印×1；接肢王魂×1</x:v>
      </x:c>
      <x:c r="K35" s="25" t="str">
        <x:v>逐操作及每次费用见完整JSON/payments</x:v>
      </x:c>
    </x:row>
    <x:row r="36">
      <x:c r="A36" s="25" t="str">
        <x:v>C03-G</x:v>
      </x:c>
      <x:c r="B36" s="25" t="str">
        <x:v>宁姆格福西域</x:v>
      </x:c>
      <x:c r="C36" s="25" t="str">
        <x:v>半急速毕业</x:v>
      </x:c>
      <x:c r="D36" s="25" t="n">
        <x:v>0</x:v>
      </x:c>
      <x:c r="E36" s="25" t="str">
        <x:v>本大陆动作汇总</x:v>
      </x:c>
      <x:c r="F36" s="25" t="str">
        <x:v>灵符</x:v>
      </x:c>
      <x:c r="G36" s="25" t="n">
        <x:v>2</x:v>
      </x:c>
      <x:c r="H36" s="25" t="n">
        <x:v>0</x:v>
      </x:c>
      <x:c r="I36" s="25" t="n">
        <x:v>0</x:v>
      </x:c>
      <x:c r="J36" s="25" t="str"/>
      <x:c r="K36" s="25" t="str">
        <x:v>逐操作及每次费用见完整JSON/payments</x:v>
      </x:c>
    </x:row>
    <x:row r="37">
      <x:c r="A37" s="25" t="str">
        <x:v>C03-G</x:v>
      </x:c>
      <x:c r="B37" s="25" t="str">
        <x:v>宁姆格福西域</x:v>
      </x:c>
      <x:c r="C37" s="25" t="str">
        <x:v>半急速毕业</x:v>
      </x:c>
      <x:c r="D37" s="25" t="n">
        <x:v>1</x:v>
      </x:c>
      <x:c r="E37" s="25" t="str">
        <x:v>本大陆动作汇总</x:v>
      </x:c>
      <x:c r="F37" s="25" t="str">
        <x:v>自产</x:v>
      </x:c>
      <x:c r="G37" s="25" t="n">
        <x:v>4</x:v>
      </x:c>
      <x:c r="H37" s="25" t="n">
        <x:v>2800000000</x:v>
      </x:c>
      <x:c r="I37" s="25" t="n">
        <x:v>74500000</x:v>
      </x:c>
      <x:c r="J37" s="25" t="str">
        <x:v>技能残页×630；海蚀铁片×80；潮痕结晶×8；漂流大陆印记×8；失色锻造石×100；漂流见证·潮×8；漂流见证·雷×8</x:v>
      </x:c>
      <x:c r="K37" s="25" t="str">
        <x:v>逐操作及每次费用见完整JSON/payments</x:v>
      </x:c>
    </x:row>
    <x:row r="38">
      <x:c r="A38" s="25" t="str">
        <x:v>C03-G</x:v>
      </x:c>
      <x:c r="B38" s="25" t="str">
        <x:v>宁姆格福西域</x:v>
      </x:c>
      <x:c r="C38" s="25" t="str">
        <x:v>半急速毕业</x:v>
      </x:c>
      <x:c r="D38" s="25" t="n">
        <x:v>2</x:v>
      </x:c>
      <x:c r="E38" s="25" t="str">
        <x:v>本大陆动作汇总</x:v>
      </x:c>
      <x:c r="F38" s="25" t="str">
        <x:v>灵符</x:v>
      </x:c>
      <x:c r="G38" s="25" t="n">
        <x:v>2</x:v>
      </x:c>
      <x:c r="H38" s="25" t="n">
        <x:v>0</x:v>
      </x:c>
      <x:c r="I38" s="25" t="n">
        <x:v>0</x:v>
      </x:c>
      <x:c r="J38" s="25" t="str"/>
      <x:c r="K38" s="25" t="str">
        <x:v>逐操作及每次费用见完整JSON/payments</x:v>
      </x:c>
    </x:row>
    <x:row r="39">
      <x:c r="A39" s="25" t="str">
        <x:v>C03-G</x:v>
      </x:c>
      <x:c r="B39" s="25" t="str">
        <x:v>宁姆格福西域</x:v>
      </x:c>
      <x:c r="C39" s="25" t="str">
        <x:v>半急速毕业</x:v>
      </x:c>
      <x:c r="D39" s="25" t="n">
        <x:v>2</x:v>
      </x:c>
      <x:c r="E39" s="25" t="str">
        <x:v>本大陆动作汇总</x:v>
      </x:c>
      <x:c r="F39" s="25" t="str">
        <x:v>自产</x:v>
      </x:c>
      <x:c r="G39" s="25" t="n">
        <x:v>138</x:v>
      </x:c>
      <x:c r="H39" s="25" t="n">
        <x:v>21870000000</x:v>
      </x:c>
      <x:c r="I39" s="25" t="n">
        <x:v>765500000</x:v>
      </x:c>
      <x:c r="J39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39" s="25" t="str">
        <x:v>逐操作及每次费用见完整JSON/payments</x:v>
      </x:c>
    </x:row>
    <x:row r="40">
      <x:c r="A40" s="25" t="str">
        <x:v>C03-G</x:v>
      </x:c>
      <x:c r="B40" s="25" t="str">
        <x:v>宁姆格福西域</x:v>
      </x:c>
      <x:c r="C40" s="25" t="str">
        <x:v>半急速毕业</x:v>
      </x:c>
      <x:c r="D40" s="25" t="n">
        <x:v>3</x:v>
      </x:c>
      <x:c r="E40" s="25" t="str">
        <x:v>本大陆动作汇总</x:v>
      </x:c>
      <x:c r="F40" s="25" t="str">
        <x:v>自产</x:v>
      </x:c>
      <x:c r="G40" s="25" t="n">
        <x:v>169</x:v>
      </x:c>
      <x:c r="H40" s="25" t="n">
        <x:v>86720000000</x:v>
      </x:c>
      <x:c r="I40" s="25" t="n">
        <x:v>288100000</x:v>
      </x:c>
      <x:c r="J40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40" s="25" t="str">
        <x:v>逐操作及每次费用见完整JSON/payments</x:v>
      </x:c>
    </x:row>
    <x:row r="41">
      <x:c r="A41" s="25" t="str">
        <x:v>C03-X</x:v>
      </x:c>
      <x:c r="B41" s="25" t="str">
        <x:v>宁姆格福西域</x:v>
      </x:c>
      <x:c r="C41" s="25" t="str">
        <x:v>极端压力</x:v>
      </x:c>
      <x:c r="D41" s="25" t="n">
        <x:v>0</x:v>
      </x:c>
      <x:c r="E41" s="25" t="str">
        <x:v>本大陆动作汇总</x:v>
      </x:c>
      <x:c r="F41" s="25" t="str">
        <x:v>灵符</x:v>
      </x:c>
      <x:c r="G41" s="25" t="n">
        <x:v>2</x:v>
      </x:c>
      <x:c r="H41" s="25" t="n">
        <x:v>0</x:v>
      </x:c>
      <x:c r="I41" s="25" t="n">
        <x:v>0</x:v>
      </x:c>
      <x:c r="J41" s="25" t="str"/>
      <x:c r="K41" s="25" t="str">
        <x:v>逐操作及每次费用见完整JSON/payments</x:v>
      </x:c>
    </x:row>
    <x:row r="42">
      <x:c r="A42" s="25" t="str">
        <x:v>C03-X</x:v>
      </x:c>
      <x:c r="B42" s="25" t="str">
        <x:v>宁姆格福西域</x:v>
      </x:c>
      <x:c r="C42" s="25" t="str">
        <x:v>极端压力</x:v>
      </x:c>
      <x:c r="D42" s="25" t="n">
        <x:v>1</x:v>
      </x:c>
      <x:c r="E42" s="25" t="str">
        <x:v>本大陆动作汇总</x:v>
      </x:c>
      <x:c r="F42" s="25" t="str">
        <x:v>自产</x:v>
      </x:c>
      <x:c r="G42" s="25" t="n">
        <x:v>4</x:v>
      </x:c>
      <x:c r="H42" s="25" t="n">
        <x:v>2800000000</x:v>
      </x:c>
      <x:c r="I42" s="25" t="n">
        <x:v>74500000</x:v>
      </x:c>
      <x:c r="J42" s="25" t="str">
        <x:v>技能残页×630；海蚀铁片×80；潮痕结晶×8；漂流大陆印记×8；失色锻造石×100；漂流见证·潮×8；漂流见证·雷×8</x:v>
      </x:c>
      <x:c r="K42" s="25" t="str">
        <x:v>逐操作及每次费用见完整JSON/payments</x:v>
      </x:c>
    </x:row>
    <x:row r="43">
      <x:c r="A43" s="25" t="str">
        <x:v>C03-X</x:v>
      </x:c>
      <x:c r="B43" s="25" t="str">
        <x:v>宁姆格福西域</x:v>
      </x:c>
      <x:c r="C43" s="25" t="str">
        <x:v>极端压力</x:v>
      </x:c>
      <x:c r="D43" s="25" t="n">
        <x:v>2</x:v>
      </x:c>
      <x:c r="E43" s="25" t="str">
        <x:v>本大陆动作汇总</x:v>
      </x:c>
      <x:c r="F43" s="25" t="str">
        <x:v>灵符</x:v>
      </x:c>
      <x:c r="G43" s="25" t="n">
        <x:v>2</x:v>
      </x:c>
      <x:c r="H43" s="25" t="n">
        <x:v>0</x:v>
      </x:c>
      <x:c r="I43" s="25" t="n">
        <x:v>0</x:v>
      </x:c>
      <x:c r="J43" s="25" t="str"/>
      <x:c r="K43" s="25" t="str">
        <x:v>逐操作及每次费用见完整JSON/payments</x:v>
      </x:c>
    </x:row>
    <x:row r="44">
      <x:c r="A44" s="25" t="str">
        <x:v>C03-X</x:v>
      </x:c>
      <x:c r="B44" s="25" t="str">
        <x:v>宁姆格福西域</x:v>
      </x:c>
      <x:c r="C44" s="25" t="str">
        <x:v>极端压力</x:v>
      </x:c>
      <x:c r="D44" s="25" t="n">
        <x:v>2</x:v>
      </x:c>
      <x:c r="E44" s="25" t="str">
        <x:v>本大陆动作汇总</x:v>
      </x:c>
      <x:c r="F44" s="25" t="str">
        <x:v>自产</x:v>
      </x:c>
      <x:c r="G44" s="25" t="n">
        <x:v>138</x:v>
      </x:c>
      <x:c r="H44" s="25" t="n">
        <x:v>21870000000</x:v>
      </x:c>
      <x:c r="I44" s="25" t="n">
        <x:v>765500000</x:v>
      </x:c>
      <x:c r="J4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44" s="25" t="str">
        <x:v>逐操作及每次费用见完整JSON/payments</x:v>
      </x:c>
    </x:row>
    <x:row r="45">
      <x:c r="A45" s="25" t="str">
        <x:v>C03-X</x:v>
      </x:c>
      <x:c r="B45" s="25" t="str">
        <x:v>宁姆格福西域</x:v>
      </x:c>
      <x:c r="C45" s="25" t="str">
        <x:v>极端压力</x:v>
      </x:c>
      <x:c r="D45" s="25" t="n">
        <x:v>3</x:v>
      </x:c>
      <x:c r="E45" s="25" t="str">
        <x:v>本大陆动作汇总</x:v>
      </x:c>
      <x:c r="F45" s="25" t="str">
        <x:v>自产</x:v>
      </x:c>
      <x:c r="G45" s="25" t="n">
        <x:v>518</x:v>
      </x:c>
      <x:c r="H45" s="25" t="n">
        <x:v>118720000000</x:v>
      </x:c>
      <x:c r="I45" s="25" t="n">
        <x:v>1012300000</x:v>
      </x:c>
      <x:c r="J45" s="25" t="str">
        <x:v>失色锻造石×7400；野兽骨片×2730；风蚀铁片×1070；西境战旗印×23；商队火漆×20；神秘符文×100；失乡统帅徽×2；接肢兽心×2；兽将脊骨×1；王城军印×1；接肢王魂×1；裂风崖羽×80；哨垒旗冠×3；西境战旗×20；守垒铜钥×8；风暴石片×240；黄金树芽×24；接肢王印×8；西境风痕碑拓×1</x:v>
      </x:c>
      <x:c r="K45" s="25" t="str">
        <x:v>逐操作及每次费用见完整JSON/payments</x:v>
      </x:c>
    </x:row>
    <x:row r="46">
      <x:c r="A46" s="25" t="str">
        <x:v>C04-E</x:v>
      </x:c>
      <x:c r="B46" s="25" t="str">
        <x:v>利耶尼亚海域</x:v>
      </x:c>
      <x:c r="C46" s="25" t="str">
        <x:v>半急速入场</x:v>
      </x:c>
      <x:c r="D46" s="25" t="n">
        <x:v>0</x:v>
      </x:c>
      <x:c r="E46" s="25" t="str">
        <x:v>本大陆动作汇总</x:v>
      </x:c>
      <x:c r="F46" s="25" t="str">
        <x:v>灵符</x:v>
      </x:c>
      <x:c r="G46" s="25" t="n">
        <x:v>2</x:v>
      </x:c>
      <x:c r="H46" s="25" t="n">
        <x:v>0</x:v>
      </x:c>
      <x:c r="I46" s="25" t="n">
        <x:v>0</x:v>
      </x:c>
      <x:c r="J46" s="25" t="str"/>
      <x:c r="K46" s="25" t="str">
        <x:v>逐操作及每次费用见完整JSON/payments</x:v>
      </x:c>
    </x:row>
    <x:row r="47">
      <x:c r="A47" s="25" t="str">
        <x:v>C04-E</x:v>
      </x:c>
      <x:c r="B47" s="25" t="str">
        <x:v>利耶尼亚海域</x:v>
      </x:c>
      <x:c r="C47" s="25" t="str">
        <x:v>半急速入场</x:v>
      </x:c>
      <x:c r="D47" s="25" t="n">
        <x:v>1</x:v>
      </x:c>
      <x:c r="E47" s="25" t="str">
        <x:v>本大陆动作汇总</x:v>
      </x:c>
      <x:c r="F47" s="25" t="str">
        <x:v>自产</x:v>
      </x:c>
      <x:c r="G47" s="25" t="n">
        <x:v>4</x:v>
      </x:c>
      <x:c r="H47" s="25" t="n">
        <x:v>2800000000</x:v>
      </x:c>
      <x:c r="I47" s="25" t="n">
        <x:v>74500000</x:v>
      </x:c>
      <x:c r="J47" s="25" t="str">
        <x:v>技能残页×630；海蚀铁片×80；潮痕结晶×8；漂流大陆印记×8；失色锻造石×100；漂流见证·潮×8；漂流见证·雷×8</x:v>
      </x:c>
      <x:c r="K47" s="25" t="str">
        <x:v>逐操作及每次费用见完整JSON/payments</x:v>
      </x:c>
    </x:row>
    <x:row r="48">
      <x:c r="A48" s="25" t="str">
        <x:v>C04-E</x:v>
      </x:c>
      <x:c r="B48" s="25" t="str">
        <x:v>利耶尼亚海域</x:v>
      </x:c>
      <x:c r="C48" s="25" t="str">
        <x:v>半急速入场</x:v>
      </x:c>
      <x:c r="D48" s="25" t="n">
        <x:v>2</x:v>
      </x:c>
      <x:c r="E48" s="25" t="str">
        <x:v>本大陆动作汇总</x:v>
      </x:c>
      <x:c r="F48" s="25" t="str">
        <x:v>灵符</x:v>
      </x:c>
      <x:c r="G48" s="25" t="n">
        <x:v>2</x:v>
      </x:c>
      <x:c r="H48" s="25" t="n">
        <x:v>0</x:v>
      </x:c>
      <x:c r="I48" s="25" t="n">
        <x:v>0</x:v>
      </x:c>
      <x:c r="J48" s="25" t="str"/>
      <x:c r="K48" s="25" t="str">
        <x:v>逐操作及每次费用见完整JSON/payments</x:v>
      </x:c>
    </x:row>
    <x:row r="49">
      <x:c r="A49" s="25" t="str">
        <x:v>C04-E</x:v>
      </x:c>
      <x:c r="B49" s="25" t="str">
        <x:v>利耶尼亚海域</x:v>
      </x:c>
      <x:c r="C49" s="25" t="str">
        <x:v>半急速入场</x:v>
      </x:c>
      <x:c r="D49" s="25" t="n">
        <x:v>2</x:v>
      </x:c>
      <x:c r="E49" s="25" t="str">
        <x:v>本大陆动作汇总</x:v>
      </x:c>
      <x:c r="F49" s="25" t="str">
        <x:v>自产</x:v>
      </x:c>
      <x:c r="G49" s="25" t="n">
        <x:v>138</x:v>
      </x:c>
      <x:c r="H49" s="25" t="n">
        <x:v>21870000000</x:v>
      </x:c>
      <x:c r="I49" s="25" t="n">
        <x:v>765500000</x:v>
      </x:c>
      <x:c r="J49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49" s="25" t="str">
        <x:v>逐操作及每次费用见完整JSON/payments</x:v>
      </x:c>
    </x:row>
    <x:row r="50">
      <x:c r="A50" s="25" t="str">
        <x:v>C04-E</x:v>
      </x:c>
      <x:c r="B50" s="25" t="str">
        <x:v>利耶尼亚海域</x:v>
      </x:c>
      <x:c r="C50" s="25" t="str">
        <x:v>半急速入场</x:v>
      </x:c>
      <x:c r="D50" s="25" t="n">
        <x:v>3</x:v>
      </x:c>
      <x:c r="E50" s="25" t="str">
        <x:v>本大陆动作汇总</x:v>
      </x:c>
      <x:c r="F50" s="25" t="str">
        <x:v>自产</x:v>
      </x:c>
      <x:c r="G50" s="25" t="n">
        <x:v>169</x:v>
      </x:c>
      <x:c r="H50" s="25" t="n">
        <x:v>86720000000</x:v>
      </x:c>
      <x:c r="I50" s="25" t="n">
        <x:v>288100000</x:v>
      </x:c>
      <x:c r="J50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50" s="25" t="str">
        <x:v>逐操作及每次费用见完整JSON/payments</x:v>
      </x:c>
    </x:row>
    <x:row r="51">
      <x:c r="A51" s="25" t="str">
        <x:v>C04-M</x:v>
      </x:c>
      <x:c r="B51" s="25" t="str">
        <x:v>利耶尼亚海域</x:v>
      </x:c>
      <x:c r="C51" s="25" t="str">
        <x:v>半急速中期</x:v>
      </x:c>
      <x:c r="D51" s="25" t="n">
        <x:v>0</x:v>
      </x:c>
      <x:c r="E51" s="25" t="str">
        <x:v>本大陆动作汇总</x:v>
      </x:c>
      <x:c r="F51" s="25" t="str">
        <x:v>灵符</x:v>
      </x:c>
      <x:c r="G51" s="25" t="n">
        <x:v>2</x:v>
      </x:c>
      <x:c r="H51" s="25" t="n">
        <x:v>0</x:v>
      </x:c>
      <x:c r="I51" s="25" t="n">
        <x:v>0</x:v>
      </x:c>
      <x:c r="J51" s="25" t="str"/>
      <x:c r="K51" s="25" t="str">
        <x:v>逐操作及每次费用见完整JSON/payments</x:v>
      </x:c>
    </x:row>
    <x:row r="52">
      <x:c r="A52" s="25" t="str">
        <x:v>C04-M</x:v>
      </x:c>
      <x:c r="B52" s="25" t="str">
        <x:v>利耶尼亚海域</x:v>
      </x:c>
      <x:c r="C52" s="25" t="str">
        <x:v>半急速中期</x:v>
      </x:c>
      <x:c r="D52" s="25" t="n">
        <x:v>1</x:v>
      </x:c>
      <x:c r="E52" s="25" t="str">
        <x:v>本大陆动作汇总</x:v>
      </x:c>
      <x:c r="F52" s="25" t="str">
        <x:v>自产</x:v>
      </x:c>
      <x:c r="G52" s="25" t="n">
        <x:v>4</x:v>
      </x:c>
      <x:c r="H52" s="25" t="n">
        <x:v>2800000000</x:v>
      </x:c>
      <x:c r="I52" s="25" t="n">
        <x:v>74500000</x:v>
      </x:c>
      <x:c r="J52" s="25" t="str">
        <x:v>技能残页×630；海蚀铁片×80；潮痕结晶×8；漂流大陆印记×8；失色锻造石×100；漂流见证·潮×8；漂流见证·雷×8</x:v>
      </x:c>
      <x:c r="K52" s="25" t="str">
        <x:v>逐操作及每次费用见完整JSON/payments</x:v>
      </x:c>
    </x:row>
    <x:row r="53">
      <x:c r="A53" s="25" t="str">
        <x:v>C04-M</x:v>
      </x:c>
      <x:c r="B53" s="25" t="str">
        <x:v>利耶尼亚海域</x:v>
      </x:c>
      <x:c r="C53" s="25" t="str">
        <x:v>半急速中期</x:v>
      </x:c>
      <x:c r="D53" s="25" t="n">
        <x:v>2</x:v>
      </x:c>
      <x:c r="E53" s="25" t="str">
        <x:v>本大陆动作汇总</x:v>
      </x:c>
      <x:c r="F53" s="25" t="str">
        <x:v>灵符</x:v>
      </x:c>
      <x:c r="G53" s="25" t="n">
        <x:v>2</x:v>
      </x:c>
      <x:c r="H53" s="25" t="n">
        <x:v>0</x:v>
      </x:c>
      <x:c r="I53" s="25" t="n">
        <x:v>0</x:v>
      </x:c>
      <x:c r="J53" s="25" t="str"/>
      <x:c r="K53" s="25" t="str">
        <x:v>逐操作及每次费用见完整JSON/payments</x:v>
      </x:c>
    </x:row>
    <x:row r="54">
      <x:c r="A54" s="25" t="str">
        <x:v>C04-M</x:v>
      </x:c>
      <x:c r="B54" s="25" t="str">
        <x:v>利耶尼亚海域</x:v>
      </x:c>
      <x:c r="C54" s="25" t="str">
        <x:v>半急速中期</x:v>
      </x:c>
      <x:c r="D54" s="25" t="n">
        <x:v>2</x:v>
      </x:c>
      <x:c r="E54" s="25" t="str">
        <x:v>本大陆动作汇总</x:v>
      </x:c>
      <x:c r="F54" s="25" t="str">
        <x:v>自产</x:v>
      </x:c>
      <x:c r="G54" s="25" t="n">
        <x:v>138</x:v>
      </x:c>
      <x:c r="H54" s="25" t="n">
        <x:v>21870000000</x:v>
      </x:c>
      <x:c r="I54" s="25" t="n">
        <x:v>765500000</x:v>
      </x:c>
      <x:c r="J5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54" s="25" t="str">
        <x:v>逐操作及每次费用见完整JSON/payments</x:v>
      </x:c>
    </x:row>
    <x:row r="55">
      <x:c r="A55" s="25" t="str">
        <x:v>C04-M</x:v>
      </x:c>
      <x:c r="B55" s="25" t="str">
        <x:v>利耶尼亚海域</x:v>
      </x:c>
      <x:c r="C55" s="25" t="str">
        <x:v>半急速中期</x:v>
      </x:c>
      <x:c r="D55" s="25" t="n">
        <x:v>3</x:v>
      </x:c>
      <x:c r="E55" s="25" t="str">
        <x:v>本大陆动作汇总</x:v>
      </x:c>
      <x:c r="F55" s="25" t="str">
        <x:v>自产</x:v>
      </x:c>
      <x:c r="G55" s="25" t="n">
        <x:v>169</x:v>
      </x:c>
      <x:c r="H55" s="25" t="n">
        <x:v>86720000000</x:v>
      </x:c>
      <x:c r="I55" s="25" t="n">
        <x:v>288100000</x:v>
      </x:c>
      <x:c r="J5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55" s="25" t="str">
        <x:v>逐操作及每次费用见完整JSON/payments</x:v>
      </x:c>
    </x:row>
    <x:row r="56">
      <x:c r="A56" s="25" t="str">
        <x:v>C04-M</x:v>
      </x:c>
      <x:c r="B56" s="25" t="str">
        <x:v>利耶尼亚海域</x:v>
      </x:c>
      <x:c r="C56" s="25" t="str">
        <x:v>半急速中期</x:v>
      </x:c>
      <x:c r="D56" s="25" t="n">
        <x:v>4</x:v>
      </x:c>
      <x:c r="E56" s="25" t="str">
        <x:v>本大陆动作汇总</x:v>
      </x:c>
      <x:c r="F56" s="25" t="str">
        <x:v>自产</x:v>
      </x:c>
      <x:c r="G56" s="25" t="n">
        <x:v>90</x:v>
      </x:c>
      <x:c r="H56" s="25" t="n">
        <x:v>29540000000</x:v>
      </x:c>
      <x:c r="I56" s="25" t="n">
        <x:v>389800000</x:v>
      </x:c>
      <x:c r="J56" s="25" t="str">
        <x:v>失色锻造石×1040；野兽骨片×2040；湖盐结晶×398；雾潮银鳞×14；幽船铆钉×5；沉湖王印×7；小卢恩×50；沉船缆扣×12；神秘符文×100；西境风痕碑拓×1</x:v>
      </x:c>
      <x:c r="K56" s="25" t="str">
        <x:v>逐操作及每次费用见完整JSON/payments</x:v>
      </x:c>
    </x:row>
    <x:row r="57">
      <x:c r="A57" s="25" t="str">
        <x:v>C04-G</x:v>
      </x:c>
      <x:c r="B57" s="25" t="str">
        <x:v>利耶尼亚海域</x:v>
      </x:c>
      <x:c r="C57" s="25" t="str">
        <x:v>半急速毕业</x:v>
      </x:c>
      <x:c r="D57" s="25" t="n">
        <x:v>0</x:v>
      </x:c>
      <x:c r="E57" s="25" t="str">
        <x:v>本大陆动作汇总</x:v>
      </x:c>
      <x:c r="F57" s="25" t="str">
        <x:v>灵符</x:v>
      </x:c>
      <x:c r="G57" s="25" t="n">
        <x:v>2</x:v>
      </x:c>
      <x:c r="H57" s="25" t="n">
        <x:v>0</x:v>
      </x:c>
      <x:c r="I57" s="25" t="n">
        <x:v>0</x:v>
      </x:c>
      <x:c r="J57" s="25" t="str"/>
      <x:c r="K57" s="25" t="str">
        <x:v>逐操作及每次费用见完整JSON/payments</x:v>
      </x:c>
    </x:row>
    <x:row r="58">
      <x:c r="A58" s="25" t="str">
        <x:v>C04-G</x:v>
      </x:c>
      <x:c r="B58" s="25" t="str">
        <x:v>利耶尼亚海域</x:v>
      </x:c>
      <x:c r="C58" s="25" t="str">
        <x:v>半急速毕业</x:v>
      </x:c>
      <x:c r="D58" s="25" t="n">
        <x:v>1</x:v>
      </x:c>
      <x:c r="E58" s="25" t="str">
        <x:v>本大陆动作汇总</x:v>
      </x:c>
      <x:c r="F58" s="25" t="str">
        <x:v>自产</x:v>
      </x:c>
      <x:c r="G58" s="25" t="n">
        <x:v>4</x:v>
      </x:c>
      <x:c r="H58" s="25" t="n">
        <x:v>2800000000</x:v>
      </x:c>
      <x:c r="I58" s="25" t="n">
        <x:v>74500000</x:v>
      </x:c>
      <x:c r="J58" s="25" t="str">
        <x:v>技能残页×630；海蚀铁片×80；潮痕结晶×8；漂流大陆印记×8；失色锻造石×100；漂流见证·潮×8；漂流见证·雷×8</x:v>
      </x:c>
      <x:c r="K58" s="25" t="str">
        <x:v>逐操作及每次费用见完整JSON/payments</x:v>
      </x:c>
    </x:row>
    <x:row r="59">
      <x:c r="A59" s="25" t="str">
        <x:v>C04-G</x:v>
      </x:c>
      <x:c r="B59" s="25" t="str">
        <x:v>利耶尼亚海域</x:v>
      </x:c>
      <x:c r="C59" s="25" t="str">
        <x:v>半急速毕业</x:v>
      </x:c>
      <x:c r="D59" s="25" t="n">
        <x:v>2</x:v>
      </x:c>
      <x:c r="E59" s="25" t="str">
        <x:v>本大陆动作汇总</x:v>
      </x:c>
      <x:c r="F59" s="25" t="str">
        <x:v>灵符</x:v>
      </x:c>
      <x:c r="G59" s="25" t="n">
        <x:v>2</x:v>
      </x:c>
      <x:c r="H59" s="25" t="n">
        <x:v>0</x:v>
      </x:c>
      <x:c r="I59" s="25" t="n">
        <x:v>0</x:v>
      </x:c>
      <x:c r="J59" s="25" t="str"/>
      <x:c r="K59" s="25" t="str">
        <x:v>逐操作及每次费用见完整JSON/payments</x:v>
      </x:c>
    </x:row>
    <x:row r="60">
      <x:c r="A60" s="25" t="str">
        <x:v>C04-G</x:v>
      </x:c>
      <x:c r="B60" s="25" t="str">
        <x:v>利耶尼亚海域</x:v>
      </x:c>
      <x:c r="C60" s="25" t="str">
        <x:v>半急速毕业</x:v>
      </x:c>
      <x:c r="D60" s="25" t="n">
        <x:v>2</x:v>
      </x:c>
      <x:c r="E60" s="25" t="str">
        <x:v>本大陆动作汇总</x:v>
      </x:c>
      <x:c r="F60" s="25" t="str">
        <x:v>自产</x:v>
      </x:c>
      <x:c r="G60" s="25" t="n">
        <x:v>138</x:v>
      </x:c>
      <x:c r="H60" s="25" t="n">
        <x:v>21870000000</x:v>
      </x:c>
      <x:c r="I60" s="25" t="n">
        <x:v>765500000</x:v>
      </x:c>
      <x:c r="J60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60" s="25" t="str">
        <x:v>逐操作及每次费用见完整JSON/payments</x:v>
      </x:c>
    </x:row>
    <x:row r="61">
      <x:c r="A61" s="25" t="str">
        <x:v>C04-G</x:v>
      </x:c>
      <x:c r="B61" s="25" t="str">
        <x:v>利耶尼亚海域</x:v>
      </x:c>
      <x:c r="C61" s="25" t="str">
        <x:v>半急速毕业</x:v>
      </x:c>
      <x:c r="D61" s="25" t="n">
        <x:v>3</x:v>
      </x:c>
      <x:c r="E61" s="25" t="str">
        <x:v>本大陆动作汇总</x:v>
      </x:c>
      <x:c r="F61" s="25" t="str">
        <x:v>自产</x:v>
      </x:c>
      <x:c r="G61" s="25" t="n">
        <x:v>169</x:v>
      </x:c>
      <x:c r="H61" s="25" t="n">
        <x:v>86720000000</x:v>
      </x:c>
      <x:c r="I61" s="25" t="n">
        <x:v>288100000</x:v>
      </x:c>
      <x:c r="J61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61" s="25" t="str">
        <x:v>逐操作及每次费用见完整JSON/payments</x:v>
      </x:c>
    </x:row>
    <x:row r="62">
      <x:c r="A62" s="25" t="str">
        <x:v>C04-G</x:v>
      </x:c>
      <x:c r="B62" s="25" t="str">
        <x:v>利耶尼亚海域</x:v>
      </x:c>
      <x:c r="C62" s="25" t="str">
        <x:v>半急速毕业</x:v>
      </x:c>
      <x:c r="D62" s="25" t="n">
        <x:v>4</x:v>
      </x:c>
      <x:c r="E62" s="25" t="str">
        <x:v>本大陆动作汇总</x:v>
      </x:c>
      <x:c r="F62" s="25" t="str">
        <x:v>自产</x:v>
      </x:c>
      <x:c r="G62" s="25" t="n">
        <x:v>223</x:v>
      </x:c>
      <x:c r="H62" s="25" t="n">
        <x:v>104770000000</x:v>
      </x:c>
      <x:c r="I62" s="25" t="n">
        <x:v>1255900000</x:v>
      </x:c>
      <x:c r="J62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62" s="25" t="str">
        <x:v>逐操作及每次费用见完整JSON/payments</x:v>
      </x:c>
    </x:row>
    <x:row r="63">
      <x:c r="A63" s="25" t="str">
        <x:v>C04-X</x:v>
      </x:c>
      <x:c r="B63" s="25" t="str">
        <x:v>利耶尼亚海域</x:v>
      </x:c>
      <x:c r="C63" s="25" t="str">
        <x:v>极端压力</x:v>
      </x:c>
      <x:c r="D63" s="25" t="n">
        <x:v>0</x:v>
      </x:c>
      <x:c r="E63" s="25" t="str">
        <x:v>本大陆动作汇总</x:v>
      </x:c>
      <x:c r="F63" s="25" t="str">
        <x:v>灵符</x:v>
      </x:c>
      <x:c r="G63" s="25" t="n">
        <x:v>2</x:v>
      </x:c>
      <x:c r="H63" s="25" t="n">
        <x:v>0</x:v>
      </x:c>
      <x:c r="I63" s="25" t="n">
        <x:v>0</x:v>
      </x:c>
      <x:c r="J63" s="25" t="str"/>
      <x:c r="K63" s="25" t="str">
        <x:v>逐操作及每次费用见完整JSON/payments</x:v>
      </x:c>
    </x:row>
    <x:row r="64">
      <x:c r="A64" s="25" t="str">
        <x:v>C04-X</x:v>
      </x:c>
      <x:c r="B64" s="25" t="str">
        <x:v>利耶尼亚海域</x:v>
      </x:c>
      <x:c r="C64" s="25" t="str">
        <x:v>极端压力</x:v>
      </x:c>
      <x:c r="D64" s="25" t="n">
        <x:v>1</x:v>
      </x:c>
      <x:c r="E64" s="25" t="str">
        <x:v>本大陆动作汇总</x:v>
      </x:c>
      <x:c r="F64" s="25" t="str">
        <x:v>自产</x:v>
      </x:c>
      <x:c r="G64" s="25" t="n">
        <x:v>4</x:v>
      </x:c>
      <x:c r="H64" s="25" t="n">
        <x:v>2800000000</x:v>
      </x:c>
      <x:c r="I64" s="25" t="n">
        <x:v>74500000</x:v>
      </x:c>
      <x:c r="J64" s="25" t="str">
        <x:v>技能残页×630；海蚀铁片×80；潮痕结晶×8；漂流大陆印记×8；失色锻造石×100；漂流见证·潮×8；漂流见证·雷×8</x:v>
      </x:c>
      <x:c r="K64" s="25" t="str">
        <x:v>逐操作及每次费用见完整JSON/payments</x:v>
      </x:c>
    </x:row>
    <x:row r="65">
      <x:c r="A65" s="25" t="str">
        <x:v>C04-X</x:v>
      </x:c>
      <x:c r="B65" s="25" t="str">
        <x:v>利耶尼亚海域</x:v>
      </x:c>
      <x:c r="C65" s="25" t="str">
        <x:v>极端压力</x:v>
      </x:c>
      <x:c r="D65" s="25" t="n">
        <x:v>2</x:v>
      </x:c>
      <x:c r="E65" s="25" t="str">
        <x:v>本大陆动作汇总</x:v>
      </x:c>
      <x:c r="F65" s="25" t="str">
        <x:v>灵符</x:v>
      </x:c>
      <x:c r="G65" s="25" t="n">
        <x:v>2</x:v>
      </x:c>
      <x:c r="H65" s="25" t="n">
        <x:v>0</x:v>
      </x:c>
      <x:c r="I65" s="25" t="n">
        <x:v>0</x:v>
      </x:c>
      <x:c r="J65" s="25" t="str"/>
      <x:c r="K65" s="25" t="str">
        <x:v>逐操作及每次费用见完整JSON/payments</x:v>
      </x:c>
    </x:row>
    <x:row r="66">
      <x:c r="A66" s="25" t="str">
        <x:v>C04-X</x:v>
      </x:c>
      <x:c r="B66" s="25" t="str">
        <x:v>利耶尼亚海域</x:v>
      </x:c>
      <x:c r="C66" s="25" t="str">
        <x:v>极端压力</x:v>
      </x:c>
      <x:c r="D66" s="25" t="n">
        <x:v>2</x:v>
      </x:c>
      <x:c r="E66" s="25" t="str">
        <x:v>本大陆动作汇总</x:v>
      </x:c>
      <x:c r="F66" s="25" t="str">
        <x:v>自产</x:v>
      </x:c>
      <x:c r="G66" s="25" t="n">
        <x:v>138</x:v>
      </x:c>
      <x:c r="H66" s="25" t="n">
        <x:v>21870000000</x:v>
      </x:c>
      <x:c r="I66" s="25" t="n">
        <x:v>765500000</x:v>
      </x:c>
      <x:c r="J66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66" s="25" t="str">
        <x:v>逐操作及每次费用见完整JSON/payments</x:v>
      </x:c>
    </x:row>
    <x:row r="67">
      <x:c r="A67" s="25" t="str">
        <x:v>C04-X</x:v>
      </x:c>
      <x:c r="B67" s="25" t="str">
        <x:v>利耶尼亚海域</x:v>
      </x:c>
      <x:c r="C67" s="25" t="str">
        <x:v>极端压力</x:v>
      </x:c>
      <x:c r="D67" s="25" t="n">
        <x:v>3</x:v>
      </x:c>
      <x:c r="E67" s="25" t="str">
        <x:v>本大陆动作汇总</x:v>
      </x:c>
      <x:c r="F67" s="25" t="str">
        <x:v>自产</x:v>
      </x:c>
      <x:c r="G67" s="25" t="n">
        <x:v>169</x:v>
      </x:c>
      <x:c r="H67" s="25" t="n">
        <x:v>86720000000</x:v>
      </x:c>
      <x:c r="I67" s="25" t="n">
        <x:v>288100000</x:v>
      </x:c>
      <x:c r="J67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67" s="25" t="str">
        <x:v>逐操作及每次费用见完整JSON/payments</x:v>
      </x:c>
    </x:row>
    <x:row r="68">
      <x:c r="A68" s="25" t="str">
        <x:v>C04-X</x:v>
      </x:c>
      <x:c r="B68" s="25" t="str">
        <x:v>利耶尼亚海域</x:v>
      </x:c>
      <x:c r="C68" s="25" t="str">
        <x:v>极端压力</x:v>
      </x:c>
      <x:c r="D68" s="25" t="n">
        <x:v>4</x:v>
      </x:c>
      <x:c r="E68" s="25" t="str">
        <x:v>本大陆动作汇总</x:v>
      </x:c>
      <x:c r="F68" s="25" t="str">
        <x:v>自产</x:v>
      </x:c>
      <x:c r="G68" s="25" t="n">
        <x:v>651</x:v>
      </x:c>
      <x:c r="H68" s="25" t="n">
        <x:v>180770000000</x:v>
      </x:c>
      <x:c r="I68" s="25" t="n">
        <x:v>3187900000</x:v>
      </x:c>
      <x:c r="J68" s="25" t="str">
        <x:v>失色锻造石×11160；野兽骨片×4585；湖盐结晶×2437；雾潮银鳞×272；幽船铆钉×21；沉湖王印×39；小卢恩×250；沉船缆扣×44；神秘符文×100；西境风痕碑拓×1；湖底封门珠×8；深湖压舱印×6；风蚀铁片×360；西境战旗印×10；守垒铜钥×8；月潮忆珀×1</x:v>
      </x:c>
      <x:c r="K68" s="25" t="str">
        <x:v>逐操作及每次费用见完整JSON/payments</x:v>
      </x:c>
    </x:row>
    <x:row r="69">
      <x:c r="A69" s="25" t="str">
        <x:v>C05-E</x:v>
      </x:c>
      <x:c r="B69" s="25" t="str">
        <x:v>湖之利耶尼亚</x:v>
      </x:c>
      <x:c r="C69" s="25" t="str">
        <x:v>半急速入场</x:v>
      </x:c>
      <x:c r="D69" s="25" t="n">
        <x:v>0</x:v>
      </x:c>
      <x:c r="E69" s="25" t="str">
        <x:v>本大陆动作汇总</x:v>
      </x:c>
      <x:c r="F69" s="25" t="str">
        <x:v>灵符</x:v>
      </x:c>
      <x:c r="G69" s="25" t="n">
        <x:v>2</x:v>
      </x:c>
      <x:c r="H69" s="25" t="n">
        <x:v>0</x:v>
      </x:c>
      <x:c r="I69" s="25" t="n">
        <x:v>0</x:v>
      </x:c>
      <x:c r="J69" s="25" t="str"/>
      <x:c r="K69" s="25" t="str">
        <x:v>逐操作及每次费用见完整JSON/payments</x:v>
      </x:c>
    </x:row>
    <x:row r="70">
      <x:c r="A70" s="25" t="str">
        <x:v>C05-E</x:v>
      </x:c>
      <x:c r="B70" s="25" t="str">
        <x:v>湖之利耶尼亚</x:v>
      </x:c>
      <x:c r="C70" s="25" t="str">
        <x:v>半急速入场</x:v>
      </x:c>
      <x:c r="D70" s="25" t="n">
        <x:v>1</x:v>
      </x:c>
      <x:c r="E70" s="25" t="str">
        <x:v>本大陆动作汇总</x:v>
      </x:c>
      <x:c r="F70" s="25" t="str">
        <x:v>自产</x:v>
      </x:c>
      <x:c r="G70" s="25" t="n">
        <x:v>4</x:v>
      </x:c>
      <x:c r="H70" s="25" t="n">
        <x:v>2800000000</x:v>
      </x:c>
      <x:c r="I70" s="25" t="n">
        <x:v>74500000</x:v>
      </x:c>
      <x:c r="J70" s="25" t="str">
        <x:v>技能残页×630；海蚀铁片×80；潮痕结晶×8；漂流大陆印记×8；失色锻造石×100；漂流见证·潮×8；漂流见证·雷×8</x:v>
      </x:c>
      <x:c r="K70" s="25" t="str">
        <x:v>逐操作及每次费用见完整JSON/payments</x:v>
      </x:c>
    </x:row>
    <x:row r="71">
      <x:c r="A71" s="25" t="str">
        <x:v>C05-E</x:v>
      </x:c>
      <x:c r="B71" s="25" t="str">
        <x:v>湖之利耶尼亚</x:v>
      </x:c>
      <x:c r="C71" s="25" t="str">
        <x:v>半急速入场</x:v>
      </x:c>
      <x:c r="D71" s="25" t="n">
        <x:v>2</x:v>
      </x:c>
      <x:c r="E71" s="25" t="str">
        <x:v>本大陆动作汇总</x:v>
      </x:c>
      <x:c r="F71" s="25" t="str">
        <x:v>灵符</x:v>
      </x:c>
      <x:c r="G71" s="25" t="n">
        <x:v>2</x:v>
      </x:c>
      <x:c r="H71" s="25" t="n">
        <x:v>0</x:v>
      </x:c>
      <x:c r="I71" s="25" t="n">
        <x:v>0</x:v>
      </x:c>
      <x:c r="J71" s="25" t="str"/>
      <x:c r="K71" s="25" t="str">
        <x:v>逐操作及每次费用见完整JSON/payments</x:v>
      </x:c>
    </x:row>
    <x:row r="72">
      <x:c r="A72" s="25" t="str">
        <x:v>C05-E</x:v>
      </x:c>
      <x:c r="B72" s="25" t="str">
        <x:v>湖之利耶尼亚</x:v>
      </x:c>
      <x:c r="C72" s="25" t="str">
        <x:v>半急速入场</x:v>
      </x:c>
      <x:c r="D72" s="25" t="n">
        <x:v>2</x:v>
      </x:c>
      <x:c r="E72" s="25" t="str">
        <x:v>本大陆动作汇总</x:v>
      </x:c>
      <x:c r="F72" s="25" t="str">
        <x:v>自产</x:v>
      </x:c>
      <x:c r="G72" s="25" t="n">
        <x:v>138</x:v>
      </x:c>
      <x:c r="H72" s="25" t="n">
        <x:v>21870000000</x:v>
      </x:c>
      <x:c r="I72" s="25" t="n">
        <x:v>765500000</x:v>
      </x:c>
      <x:c r="J72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72" s="25" t="str">
        <x:v>逐操作及每次费用见完整JSON/payments</x:v>
      </x:c>
    </x:row>
    <x:row r="73">
      <x:c r="A73" s="25" t="str">
        <x:v>C05-E</x:v>
      </x:c>
      <x:c r="B73" s="25" t="str">
        <x:v>湖之利耶尼亚</x:v>
      </x:c>
      <x:c r="C73" s="25" t="str">
        <x:v>半急速入场</x:v>
      </x:c>
      <x:c r="D73" s="25" t="n">
        <x:v>3</x:v>
      </x:c>
      <x:c r="E73" s="25" t="str">
        <x:v>本大陆动作汇总</x:v>
      </x:c>
      <x:c r="F73" s="25" t="str">
        <x:v>自产</x:v>
      </x:c>
      <x:c r="G73" s="25" t="n">
        <x:v>169</x:v>
      </x:c>
      <x:c r="H73" s="25" t="n">
        <x:v>86720000000</x:v>
      </x:c>
      <x:c r="I73" s="25" t="n">
        <x:v>288100000</x:v>
      </x:c>
      <x:c r="J73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73" s="25" t="str">
        <x:v>逐操作及每次费用见完整JSON/payments</x:v>
      </x:c>
    </x:row>
    <x:row r="74">
      <x:c r="A74" s="25" t="str">
        <x:v>C05-E</x:v>
      </x:c>
      <x:c r="B74" s="25" t="str">
        <x:v>湖之利耶尼亚</x:v>
      </x:c>
      <x:c r="C74" s="25" t="str">
        <x:v>半急速入场</x:v>
      </x:c>
      <x:c r="D74" s="25" t="n">
        <x:v>4</x:v>
      </x:c>
      <x:c r="E74" s="25" t="str">
        <x:v>本大陆动作汇总</x:v>
      </x:c>
      <x:c r="F74" s="25" t="str">
        <x:v>自产</x:v>
      </x:c>
      <x:c r="G74" s="25" t="n">
        <x:v>223</x:v>
      </x:c>
      <x:c r="H74" s="25" t="n">
        <x:v>104770000000</x:v>
      </x:c>
      <x:c r="I74" s="25" t="n">
        <x:v>1255900000</x:v>
      </x:c>
      <x:c r="J74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74" s="25" t="str">
        <x:v>逐操作及每次费用见完整JSON/payments</x:v>
      </x:c>
    </x:row>
    <x:row r="75">
      <x:c r="A75" s="25" t="str">
        <x:v>C05-M</x:v>
      </x:c>
      <x:c r="B75" s="25" t="str">
        <x:v>湖之利耶尼亚</x:v>
      </x:c>
      <x:c r="C75" s="25" t="str">
        <x:v>半急速中期</x:v>
      </x:c>
      <x:c r="D75" s="25" t="n">
        <x:v>0</x:v>
      </x:c>
      <x:c r="E75" s="25" t="str">
        <x:v>本大陆动作汇总</x:v>
      </x:c>
      <x:c r="F75" s="25" t="str">
        <x:v>灵符</x:v>
      </x:c>
      <x:c r="G75" s="25" t="n">
        <x:v>2</x:v>
      </x:c>
      <x:c r="H75" s="25" t="n">
        <x:v>0</x:v>
      </x:c>
      <x:c r="I75" s="25" t="n">
        <x:v>0</x:v>
      </x:c>
      <x:c r="J75" s="25" t="str"/>
      <x:c r="K75" s="25" t="str">
        <x:v>逐操作及每次费用见完整JSON/payments</x:v>
      </x:c>
    </x:row>
    <x:row r="76">
      <x:c r="A76" s="25" t="str">
        <x:v>C05-M</x:v>
      </x:c>
      <x:c r="B76" s="25" t="str">
        <x:v>湖之利耶尼亚</x:v>
      </x:c>
      <x:c r="C76" s="25" t="str">
        <x:v>半急速中期</x:v>
      </x:c>
      <x:c r="D76" s="25" t="n">
        <x:v>1</x:v>
      </x:c>
      <x:c r="E76" s="25" t="str">
        <x:v>本大陆动作汇总</x:v>
      </x:c>
      <x:c r="F76" s="25" t="str">
        <x:v>自产</x:v>
      </x:c>
      <x:c r="G76" s="25" t="n">
        <x:v>4</x:v>
      </x:c>
      <x:c r="H76" s="25" t="n">
        <x:v>2800000000</x:v>
      </x:c>
      <x:c r="I76" s="25" t="n">
        <x:v>74500000</x:v>
      </x:c>
      <x:c r="J76" s="25" t="str">
        <x:v>技能残页×630；海蚀铁片×80；潮痕结晶×8；漂流大陆印记×8；失色锻造石×100；漂流见证·潮×8；漂流见证·雷×8</x:v>
      </x:c>
      <x:c r="K76" s="25" t="str">
        <x:v>逐操作及每次费用见完整JSON/payments</x:v>
      </x:c>
    </x:row>
    <x:row r="77">
      <x:c r="A77" s="25" t="str">
        <x:v>C05-M</x:v>
      </x:c>
      <x:c r="B77" s="25" t="str">
        <x:v>湖之利耶尼亚</x:v>
      </x:c>
      <x:c r="C77" s="25" t="str">
        <x:v>半急速中期</x:v>
      </x:c>
      <x:c r="D77" s="25" t="n">
        <x:v>2</x:v>
      </x:c>
      <x:c r="E77" s="25" t="str">
        <x:v>本大陆动作汇总</x:v>
      </x:c>
      <x:c r="F77" s="25" t="str">
        <x:v>灵符</x:v>
      </x:c>
      <x:c r="G77" s="25" t="n">
        <x:v>2</x:v>
      </x:c>
      <x:c r="H77" s="25" t="n">
        <x:v>0</x:v>
      </x:c>
      <x:c r="I77" s="25" t="n">
        <x:v>0</x:v>
      </x:c>
      <x:c r="J77" s="25" t="str"/>
      <x:c r="K77" s="25" t="str">
        <x:v>逐操作及每次费用见完整JSON/payments</x:v>
      </x:c>
    </x:row>
    <x:row r="78">
      <x:c r="A78" s="25" t="str">
        <x:v>C05-M</x:v>
      </x:c>
      <x:c r="B78" s="25" t="str">
        <x:v>湖之利耶尼亚</x:v>
      </x:c>
      <x:c r="C78" s="25" t="str">
        <x:v>半急速中期</x:v>
      </x:c>
      <x:c r="D78" s="25" t="n">
        <x:v>2</x:v>
      </x:c>
      <x:c r="E78" s="25" t="str">
        <x:v>本大陆动作汇总</x:v>
      </x:c>
      <x:c r="F78" s="25" t="str">
        <x:v>自产</x:v>
      </x:c>
      <x:c r="G78" s="25" t="n">
        <x:v>138</x:v>
      </x:c>
      <x:c r="H78" s="25" t="n">
        <x:v>21870000000</x:v>
      </x:c>
      <x:c r="I78" s="25" t="n">
        <x:v>765500000</x:v>
      </x:c>
      <x:c r="J78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78" s="25" t="str">
        <x:v>逐操作及每次费用见完整JSON/payments</x:v>
      </x:c>
    </x:row>
    <x:row r="79">
      <x:c r="A79" s="25" t="str">
        <x:v>C05-M</x:v>
      </x:c>
      <x:c r="B79" s="25" t="str">
        <x:v>湖之利耶尼亚</x:v>
      </x:c>
      <x:c r="C79" s="25" t="str">
        <x:v>半急速中期</x:v>
      </x:c>
      <x:c r="D79" s="25" t="n">
        <x:v>3</x:v>
      </x:c>
      <x:c r="E79" s="25" t="str">
        <x:v>本大陆动作汇总</x:v>
      </x:c>
      <x:c r="F79" s="25" t="str">
        <x:v>自产</x:v>
      </x:c>
      <x:c r="G79" s="25" t="n">
        <x:v>169</x:v>
      </x:c>
      <x:c r="H79" s="25" t="n">
        <x:v>86720000000</x:v>
      </x:c>
      <x:c r="I79" s="25" t="n">
        <x:v>288100000</x:v>
      </x:c>
      <x:c r="J79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79" s="25" t="str">
        <x:v>逐操作及每次费用见完整JSON/payments</x:v>
      </x:c>
    </x:row>
    <x:row r="80">
      <x:c r="A80" s="25" t="str">
        <x:v>C05-M</x:v>
      </x:c>
      <x:c r="B80" s="25" t="str">
        <x:v>湖之利耶尼亚</x:v>
      </x:c>
      <x:c r="C80" s="25" t="str">
        <x:v>半急速中期</x:v>
      </x:c>
      <x:c r="D80" s="25" t="n">
        <x:v>4</x:v>
      </x:c>
      <x:c r="E80" s="25" t="str">
        <x:v>本大陆动作汇总</x:v>
      </x:c>
      <x:c r="F80" s="25" t="str">
        <x:v>自产</x:v>
      </x:c>
      <x:c r="G80" s="25" t="n">
        <x:v>223</x:v>
      </x:c>
      <x:c r="H80" s="25" t="n">
        <x:v>104770000000</x:v>
      </x:c>
      <x:c r="I80" s="25" t="n">
        <x:v>1255900000</x:v>
      </x:c>
      <x:c r="J80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80" s="25" t="str">
        <x:v>逐操作及每次费用见完整JSON/payments</x:v>
      </x:c>
    </x:row>
    <x:row r="81">
      <x:c r="A81" s="25" t="str">
        <x:v>C05-M</x:v>
      </x:c>
      <x:c r="B81" s="25" t="str">
        <x:v>湖之利耶尼亚</x:v>
      </x:c>
      <x:c r="C81" s="25" t="str">
        <x:v>半急速中期</x:v>
      </x:c>
      <x:c r="D81" s="25" t="n">
        <x:v>5</x:v>
      </x:c>
      <x:c r="E81" s="25" t="str">
        <x:v>本大陆动作汇总</x:v>
      </x:c>
      <x:c r="F81" s="25" t="str">
        <x:v>自产</x:v>
      </x:c>
      <x:c r="G81" s="25" t="n">
        <x:v>106</x:v>
      </x:c>
      <x:c r="H81" s="25" t="n">
        <x:v>39150000000</x:v>
      </x:c>
      <x:c r="I81" s="25" t="n">
        <x:v>550300000</x:v>
      </x:c>
      <x:c r="J81" s="25" t="str">
        <x:v>失色锻造石×1640；湖盐结晶×240；雾潮银鳞×55；湖底封门珠×2；野兽骨片×3210；辉石碎晶×450；满月王室印×6；学院封蜡×24；神秘符文×100；月潮忆珀×1</x:v>
      </x:c>
      <x:c r="K81" s="25" t="str">
        <x:v>逐操作及每次费用见完整JSON/payments</x:v>
      </x:c>
    </x:row>
    <x:row r="82">
      <x:c r="A82" s="25" t="str">
        <x:v>C05-G</x:v>
      </x:c>
      <x:c r="B82" s="25" t="str">
        <x:v>湖之利耶尼亚</x:v>
      </x:c>
      <x:c r="C82" s="25" t="str">
        <x:v>半急速毕业</x:v>
      </x:c>
      <x:c r="D82" s="25" t="n">
        <x:v>0</x:v>
      </x:c>
      <x:c r="E82" s="25" t="str">
        <x:v>本大陆动作汇总</x:v>
      </x:c>
      <x:c r="F82" s="25" t="str">
        <x:v>灵符</x:v>
      </x:c>
      <x:c r="G82" s="25" t="n">
        <x:v>2</x:v>
      </x:c>
      <x:c r="H82" s="25" t="n">
        <x:v>0</x:v>
      </x:c>
      <x:c r="I82" s="25" t="n">
        <x:v>0</x:v>
      </x:c>
      <x:c r="J82" s="25" t="str"/>
      <x:c r="K82" s="25" t="str">
        <x:v>逐操作及每次费用见完整JSON/payments</x:v>
      </x:c>
    </x:row>
    <x:row r="83">
      <x:c r="A83" s="25" t="str">
        <x:v>C05-G</x:v>
      </x:c>
      <x:c r="B83" s="25" t="str">
        <x:v>湖之利耶尼亚</x:v>
      </x:c>
      <x:c r="C83" s="25" t="str">
        <x:v>半急速毕业</x:v>
      </x:c>
      <x:c r="D83" s="25" t="n">
        <x:v>1</x:v>
      </x:c>
      <x:c r="E83" s="25" t="str">
        <x:v>本大陆动作汇总</x:v>
      </x:c>
      <x:c r="F83" s="25" t="str">
        <x:v>自产</x:v>
      </x:c>
      <x:c r="G83" s="25" t="n">
        <x:v>4</x:v>
      </x:c>
      <x:c r="H83" s="25" t="n">
        <x:v>2800000000</x:v>
      </x:c>
      <x:c r="I83" s="25" t="n">
        <x:v>74500000</x:v>
      </x:c>
      <x:c r="J83" s="25" t="str">
        <x:v>技能残页×630；海蚀铁片×80；潮痕结晶×8；漂流大陆印记×8；失色锻造石×100；漂流见证·潮×8；漂流见证·雷×8</x:v>
      </x:c>
      <x:c r="K83" s="25" t="str">
        <x:v>逐操作及每次费用见完整JSON/payments</x:v>
      </x:c>
    </x:row>
    <x:row r="84">
      <x:c r="A84" s="25" t="str">
        <x:v>C05-G</x:v>
      </x:c>
      <x:c r="B84" s="25" t="str">
        <x:v>湖之利耶尼亚</x:v>
      </x:c>
      <x:c r="C84" s="25" t="str">
        <x:v>半急速毕业</x:v>
      </x:c>
      <x:c r="D84" s="25" t="n">
        <x:v>2</x:v>
      </x:c>
      <x:c r="E84" s="25" t="str">
        <x:v>本大陆动作汇总</x:v>
      </x:c>
      <x:c r="F84" s="25" t="str">
        <x:v>灵符</x:v>
      </x:c>
      <x:c r="G84" s="25" t="n">
        <x:v>2</x:v>
      </x:c>
      <x:c r="H84" s="25" t="n">
        <x:v>0</x:v>
      </x:c>
      <x:c r="I84" s="25" t="n">
        <x:v>0</x:v>
      </x:c>
      <x:c r="J84" s="25" t="str"/>
      <x:c r="K84" s="25" t="str">
        <x:v>逐操作及每次费用见完整JSON/payments</x:v>
      </x:c>
    </x:row>
    <x:row r="85">
      <x:c r="A85" s="25" t="str">
        <x:v>C05-G</x:v>
      </x:c>
      <x:c r="B85" s="25" t="str">
        <x:v>湖之利耶尼亚</x:v>
      </x:c>
      <x:c r="C85" s="25" t="str">
        <x:v>半急速毕业</x:v>
      </x:c>
      <x:c r="D85" s="25" t="n">
        <x:v>2</x:v>
      </x:c>
      <x:c r="E85" s="25" t="str">
        <x:v>本大陆动作汇总</x:v>
      </x:c>
      <x:c r="F85" s="25" t="str">
        <x:v>自产</x:v>
      </x:c>
      <x:c r="G85" s="25" t="n">
        <x:v>138</x:v>
      </x:c>
      <x:c r="H85" s="25" t="n">
        <x:v>21870000000</x:v>
      </x:c>
      <x:c r="I85" s="25" t="n">
        <x:v>765500000</x:v>
      </x:c>
      <x:c r="J85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85" s="25" t="str">
        <x:v>逐操作及每次费用见完整JSON/payments</x:v>
      </x:c>
    </x:row>
    <x:row r="86">
      <x:c r="A86" s="25" t="str">
        <x:v>C05-G</x:v>
      </x:c>
      <x:c r="B86" s="25" t="str">
        <x:v>湖之利耶尼亚</x:v>
      </x:c>
      <x:c r="C86" s="25" t="str">
        <x:v>半急速毕业</x:v>
      </x:c>
      <x:c r="D86" s="25" t="n">
        <x:v>3</x:v>
      </x:c>
      <x:c r="E86" s="25" t="str">
        <x:v>本大陆动作汇总</x:v>
      </x:c>
      <x:c r="F86" s="25" t="str">
        <x:v>自产</x:v>
      </x:c>
      <x:c r="G86" s="25" t="n">
        <x:v>169</x:v>
      </x:c>
      <x:c r="H86" s="25" t="n">
        <x:v>86720000000</x:v>
      </x:c>
      <x:c r="I86" s="25" t="n">
        <x:v>288100000</x:v>
      </x:c>
      <x:c r="J86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86" s="25" t="str">
        <x:v>逐操作及每次费用见完整JSON/payments</x:v>
      </x:c>
    </x:row>
    <x:row r="87">
      <x:c r="A87" s="25" t="str">
        <x:v>C05-G</x:v>
      </x:c>
      <x:c r="B87" s="25" t="str">
        <x:v>湖之利耶尼亚</x:v>
      </x:c>
      <x:c r="C87" s="25" t="str">
        <x:v>半急速毕业</x:v>
      </x:c>
      <x:c r="D87" s="25" t="n">
        <x:v>4</x:v>
      </x:c>
      <x:c r="E87" s="25" t="str">
        <x:v>本大陆动作汇总</x:v>
      </x:c>
      <x:c r="F87" s="25" t="str">
        <x:v>自产</x:v>
      </x:c>
      <x:c r="G87" s="25" t="n">
        <x:v>223</x:v>
      </x:c>
      <x:c r="H87" s="25" t="n">
        <x:v>104770000000</x:v>
      </x:c>
      <x:c r="I87" s="25" t="n">
        <x:v>1255900000</x:v>
      </x:c>
      <x:c r="J87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87" s="25" t="str">
        <x:v>逐操作及每次费用见完整JSON/payments</x:v>
      </x:c>
    </x:row>
    <x:row r="88">
      <x:c r="A88" s="25" t="str">
        <x:v>C05-G</x:v>
      </x:c>
      <x:c r="B88" s="25" t="str">
        <x:v>湖之利耶尼亚</x:v>
      </x:c>
      <x:c r="C88" s="25" t="str">
        <x:v>半急速毕业</x:v>
      </x:c>
      <x:c r="D88" s="25" t="n">
        <x:v>5</x:v>
      </x:c>
      <x:c r="E88" s="25" t="str">
        <x:v>本大陆动作汇总</x:v>
      </x:c>
      <x:c r="F88" s="25" t="str">
        <x:v>自产</x:v>
      </x:c>
      <x:c r="G88" s="25" t="n">
        <x:v>262</x:v>
      </x:c>
      <x:c r="H88" s="25" t="n">
        <x:v>60750000000</x:v>
      </x:c>
      <x:c r="I88" s="25" t="n">
        <x:v>2965900000</x:v>
      </x:c>
      <x:c r="J88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88" s="25" t="str">
        <x:v>逐操作及每次费用见完整JSON/payments</x:v>
      </x:c>
    </x:row>
    <x:row r="89">
      <x:c r="A89" s="25" t="str">
        <x:v>C05-X</x:v>
      </x:c>
      <x:c r="B89" s="25" t="str">
        <x:v>湖之利耶尼亚</x:v>
      </x:c>
      <x:c r="C89" s="25" t="str">
        <x:v>极端压力</x:v>
      </x:c>
      <x:c r="D89" s="25" t="n">
        <x:v>0</x:v>
      </x:c>
      <x:c r="E89" s="25" t="str">
        <x:v>本大陆动作汇总</x:v>
      </x:c>
      <x:c r="F89" s="25" t="str">
        <x:v>灵符</x:v>
      </x:c>
      <x:c r="G89" s="25" t="n">
        <x:v>2</x:v>
      </x:c>
      <x:c r="H89" s="25" t="n">
        <x:v>0</x:v>
      </x:c>
      <x:c r="I89" s="25" t="n">
        <x:v>0</x:v>
      </x:c>
      <x:c r="J89" s="25" t="str"/>
      <x:c r="K89" s="25" t="str">
        <x:v>逐操作及每次费用见完整JSON/payments</x:v>
      </x:c>
    </x:row>
    <x:row r="90">
      <x:c r="A90" s="25" t="str">
        <x:v>C05-X</x:v>
      </x:c>
      <x:c r="B90" s="25" t="str">
        <x:v>湖之利耶尼亚</x:v>
      </x:c>
      <x:c r="C90" s="25" t="str">
        <x:v>极端压力</x:v>
      </x:c>
      <x:c r="D90" s="25" t="n">
        <x:v>1</x:v>
      </x:c>
      <x:c r="E90" s="25" t="str">
        <x:v>本大陆动作汇总</x:v>
      </x:c>
      <x:c r="F90" s="25" t="str">
        <x:v>自产</x:v>
      </x:c>
      <x:c r="G90" s="25" t="n">
        <x:v>4</x:v>
      </x:c>
      <x:c r="H90" s="25" t="n">
        <x:v>2800000000</x:v>
      </x:c>
      <x:c r="I90" s="25" t="n">
        <x:v>74500000</x:v>
      </x:c>
      <x:c r="J90" s="25" t="str">
        <x:v>技能残页×630；海蚀铁片×80；潮痕结晶×8；漂流大陆印记×8；失色锻造石×100；漂流见证·潮×8；漂流见证·雷×8</x:v>
      </x:c>
      <x:c r="K90" s="25" t="str">
        <x:v>逐操作及每次费用见完整JSON/payments</x:v>
      </x:c>
    </x:row>
    <x:row r="91">
      <x:c r="A91" s="25" t="str">
        <x:v>C05-X</x:v>
      </x:c>
      <x:c r="B91" s="25" t="str">
        <x:v>湖之利耶尼亚</x:v>
      </x:c>
      <x:c r="C91" s="25" t="str">
        <x:v>极端压力</x:v>
      </x:c>
      <x:c r="D91" s="25" t="n">
        <x:v>2</x:v>
      </x:c>
      <x:c r="E91" s="25" t="str">
        <x:v>本大陆动作汇总</x:v>
      </x:c>
      <x:c r="F91" s="25" t="str">
        <x:v>灵符</x:v>
      </x:c>
      <x:c r="G91" s="25" t="n">
        <x:v>2</x:v>
      </x:c>
      <x:c r="H91" s="25" t="n">
        <x:v>0</x:v>
      </x:c>
      <x:c r="I91" s="25" t="n">
        <x:v>0</x:v>
      </x:c>
      <x:c r="J91" s="25" t="str"/>
      <x:c r="K91" s="25" t="str">
        <x:v>逐操作及每次费用见完整JSON/payments</x:v>
      </x:c>
    </x:row>
    <x:row r="92">
      <x:c r="A92" s="25" t="str">
        <x:v>C05-X</x:v>
      </x:c>
      <x:c r="B92" s="25" t="str">
        <x:v>湖之利耶尼亚</x:v>
      </x:c>
      <x:c r="C92" s="25" t="str">
        <x:v>极端压力</x:v>
      </x:c>
      <x:c r="D92" s="25" t="n">
        <x:v>2</x:v>
      </x:c>
      <x:c r="E92" s="25" t="str">
        <x:v>本大陆动作汇总</x:v>
      </x:c>
      <x:c r="F92" s="25" t="str">
        <x:v>自产</x:v>
      </x:c>
      <x:c r="G92" s="25" t="n">
        <x:v>138</x:v>
      </x:c>
      <x:c r="H92" s="25" t="n">
        <x:v>21870000000</x:v>
      </x:c>
      <x:c r="I92" s="25" t="n">
        <x:v>765500000</x:v>
      </x:c>
      <x:c r="J92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92" s="25" t="str">
        <x:v>逐操作及每次费用见完整JSON/payments</x:v>
      </x:c>
    </x:row>
    <x:row r="93">
      <x:c r="A93" s="25" t="str">
        <x:v>C05-X</x:v>
      </x:c>
      <x:c r="B93" s="25" t="str">
        <x:v>湖之利耶尼亚</x:v>
      </x:c>
      <x:c r="C93" s="25" t="str">
        <x:v>极端压力</x:v>
      </x:c>
      <x:c r="D93" s="25" t="n">
        <x:v>3</x:v>
      </x:c>
      <x:c r="E93" s="25" t="str">
        <x:v>本大陆动作汇总</x:v>
      </x:c>
      <x:c r="F93" s="25" t="str">
        <x:v>自产</x:v>
      </x:c>
      <x:c r="G93" s="25" t="n">
        <x:v>169</x:v>
      </x:c>
      <x:c r="H93" s="25" t="n">
        <x:v>86720000000</x:v>
      </x:c>
      <x:c r="I93" s="25" t="n">
        <x:v>288100000</x:v>
      </x:c>
      <x:c r="J93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93" s="25" t="str">
        <x:v>逐操作及每次费用见完整JSON/payments</x:v>
      </x:c>
    </x:row>
    <x:row r="94">
      <x:c r="A94" s="25" t="str">
        <x:v>C05-X</x:v>
      </x:c>
      <x:c r="B94" s="25" t="str">
        <x:v>湖之利耶尼亚</x:v>
      </x:c>
      <x:c r="C94" s="25" t="str">
        <x:v>极端压力</x:v>
      </x:c>
      <x:c r="D94" s="25" t="n">
        <x:v>4</x:v>
      </x:c>
      <x:c r="E94" s="25" t="str">
        <x:v>本大陆动作汇总</x:v>
      </x:c>
      <x:c r="F94" s="25" t="str">
        <x:v>自产</x:v>
      </x:c>
      <x:c r="G94" s="25" t="n">
        <x:v>223</x:v>
      </x:c>
      <x:c r="H94" s="25" t="n">
        <x:v>104770000000</x:v>
      </x:c>
      <x:c r="I94" s="25" t="n">
        <x:v>1255900000</x:v>
      </x:c>
      <x:c r="J94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94" s="25" t="str">
        <x:v>逐操作及每次费用见完整JSON/payments</x:v>
      </x:c>
    </x:row>
    <x:row r="95">
      <x:c r="A95" s="25" t="str">
        <x:v>C05-X</x:v>
      </x:c>
      <x:c r="B95" s="25" t="str">
        <x:v>湖之利耶尼亚</x:v>
      </x:c>
      <x:c r="C95" s="25" t="str">
        <x:v>极端压力</x:v>
      </x:c>
      <x:c r="D95" s="25" t="n">
        <x:v>5</x:v>
      </x:c>
      <x:c r="E95" s="25" t="str">
        <x:v>本大陆动作汇总</x:v>
      </x:c>
      <x:c r="F95" s="25" t="str">
        <x:v>自产</x:v>
      </x:c>
      <x:c r="G95" s="25" t="n">
        <x:v>748</x:v>
      </x:c>
      <x:c r="H95" s="25" t="n">
        <x:v>93750000000</x:v>
      </x:c>
      <x:c r="I95" s="25" t="n">
        <x:v>5962600000</x:v>
      </x:c>
      <x:c r="J95" s="25" t="str">
        <x:v>失色锻造石×14310；湖盐结晶×1270；雾潮银鳞×110；湖底封门珠×4；野兽骨片×7095；辉石碎晶×1790；满月王室印×41；学院封蜡×24；神秘符文×100；月潮忆珀×1；月蚀镜片×14；卡利亚月露×36；禁域星钥×4；雾月星砂×90；沉船缆扣×32；沉湖王印×23；深湖压舱印×6；湖心月谱残章×1</x:v>
      </x:c>
      <x:c r="K95" s="25" t="str">
        <x:v>逐操作及每次费用见完整JSON/payments</x:v>
      </x:c>
    </x:row>
    <x:row r="96">
      <x:c r="A96" s="25" t="str">
        <x:v>C06-E</x:v>
      </x:c>
      <x:c r="B96" s="25" t="str">
        <x:v>盖利德</x:v>
      </x:c>
      <x:c r="C96" s="25" t="str">
        <x:v>半急速入场</x:v>
      </x:c>
      <x:c r="D96" s="25" t="n">
        <x:v>0</x:v>
      </x:c>
      <x:c r="E96" s="25" t="str">
        <x:v>本大陆动作汇总</x:v>
      </x:c>
      <x:c r="F96" s="25" t="str">
        <x:v>灵符</x:v>
      </x:c>
      <x:c r="G96" s="25" t="n">
        <x:v>2</x:v>
      </x:c>
      <x:c r="H96" s="25" t="n">
        <x:v>0</x:v>
      </x:c>
      <x:c r="I96" s="25" t="n">
        <x:v>0</x:v>
      </x:c>
      <x:c r="J96" s="25" t="str"/>
      <x:c r="K96" s="25" t="str">
        <x:v>逐操作及每次费用见完整JSON/payments</x:v>
      </x:c>
    </x:row>
    <x:row r="97">
      <x:c r="A97" s="25" t="str">
        <x:v>C06-E</x:v>
      </x:c>
      <x:c r="B97" s="25" t="str">
        <x:v>盖利德</x:v>
      </x:c>
      <x:c r="C97" s="25" t="str">
        <x:v>半急速入场</x:v>
      </x:c>
      <x:c r="D97" s="25" t="n">
        <x:v>1</x:v>
      </x:c>
      <x:c r="E97" s="25" t="str">
        <x:v>本大陆动作汇总</x:v>
      </x:c>
      <x:c r="F97" s="25" t="str">
        <x:v>自产</x:v>
      </x:c>
      <x:c r="G97" s="25" t="n">
        <x:v>4</x:v>
      </x:c>
      <x:c r="H97" s="25" t="n">
        <x:v>2800000000</x:v>
      </x:c>
      <x:c r="I97" s="25" t="n">
        <x:v>74500000</x:v>
      </x:c>
      <x:c r="J97" s="25" t="str">
        <x:v>技能残页×630；海蚀铁片×80；潮痕结晶×8；漂流大陆印记×8；失色锻造石×100；漂流见证·潮×8；漂流见证·雷×8</x:v>
      </x:c>
      <x:c r="K97" s="25" t="str">
        <x:v>逐操作及每次费用见完整JSON/payments</x:v>
      </x:c>
    </x:row>
    <x:row r="98">
      <x:c r="A98" s="25" t="str">
        <x:v>C06-E</x:v>
      </x:c>
      <x:c r="B98" s="25" t="str">
        <x:v>盖利德</x:v>
      </x:c>
      <x:c r="C98" s="25" t="str">
        <x:v>半急速入场</x:v>
      </x:c>
      <x:c r="D98" s="25" t="n">
        <x:v>2</x:v>
      </x:c>
      <x:c r="E98" s="25" t="str">
        <x:v>本大陆动作汇总</x:v>
      </x:c>
      <x:c r="F98" s="25" t="str">
        <x:v>灵符</x:v>
      </x:c>
      <x:c r="G98" s="25" t="n">
        <x:v>2</x:v>
      </x:c>
      <x:c r="H98" s="25" t="n">
        <x:v>0</x:v>
      </x:c>
      <x:c r="I98" s="25" t="n">
        <x:v>0</x:v>
      </x:c>
      <x:c r="J98" s="25" t="str"/>
      <x:c r="K98" s="25" t="str">
        <x:v>逐操作及每次费用见完整JSON/payments</x:v>
      </x:c>
    </x:row>
    <x:row r="99">
      <x:c r="A99" s="25" t="str">
        <x:v>C06-E</x:v>
      </x:c>
      <x:c r="B99" s="25" t="str">
        <x:v>盖利德</x:v>
      </x:c>
      <x:c r="C99" s="25" t="str">
        <x:v>半急速入场</x:v>
      </x:c>
      <x:c r="D99" s="25" t="n">
        <x:v>2</x:v>
      </x:c>
      <x:c r="E99" s="25" t="str">
        <x:v>本大陆动作汇总</x:v>
      </x:c>
      <x:c r="F99" s="25" t="str">
        <x:v>自产</x:v>
      </x:c>
      <x:c r="G99" s="25" t="n">
        <x:v>138</x:v>
      </x:c>
      <x:c r="H99" s="25" t="n">
        <x:v>21870000000</x:v>
      </x:c>
      <x:c r="I99" s="25" t="n">
        <x:v>765500000</x:v>
      </x:c>
      <x:c r="J99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99" s="25" t="str">
        <x:v>逐操作及每次费用见完整JSON/payments</x:v>
      </x:c>
    </x:row>
    <x:row r="100">
      <x:c r="A100" s="25" t="str">
        <x:v>C06-E</x:v>
      </x:c>
      <x:c r="B100" s="25" t="str">
        <x:v>盖利德</x:v>
      </x:c>
      <x:c r="C100" s="25" t="str">
        <x:v>半急速入场</x:v>
      </x:c>
      <x:c r="D100" s="25" t="n">
        <x:v>3</x:v>
      </x:c>
      <x:c r="E100" s="25" t="str">
        <x:v>本大陆动作汇总</x:v>
      </x:c>
      <x:c r="F100" s="25" t="str">
        <x:v>自产</x:v>
      </x:c>
      <x:c r="G100" s="25" t="n">
        <x:v>169</x:v>
      </x:c>
      <x:c r="H100" s="25" t="n">
        <x:v>86720000000</x:v>
      </x:c>
      <x:c r="I100" s="25" t="n">
        <x:v>288100000</x:v>
      </x:c>
      <x:c r="J100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00" s="25" t="str">
        <x:v>逐操作及每次费用见完整JSON/payments</x:v>
      </x:c>
    </x:row>
    <x:row r="101">
      <x:c r="A101" s="25" t="str">
        <x:v>C06-E</x:v>
      </x:c>
      <x:c r="B101" s="25" t="str">
        <x:v>盖利德</x:v>
      </x:c>
      <x:c r="C101" s="25" t="str">
        <x:v>半急速入场</x:v>
      </x:c>
      <x:c r="D101" s="25" t="n">
        <x:v>4</x:v>
      </x:c>
      <x:c r="E101" s="25" t="str">
        <x:v>本大陆动作汇总</x:v>
      </x:c>
      <x:c r="F101" s="25" t="str">
        <x:v>自产</x:v>
      </x:c>
      <x:c r="G101" s="25" t="n">
        <x:v>223</x:v>
      </x:c>
      <x:c r="H101" s="25" t="n">
        <x:v>104770000000</x:v>
      </x:c>
      <x:c r="I101" s="25" t="n">
        <x:v>1255900000</x:v>
      </x:c>
      <x:c r="J101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01" s="25" t="str">
        <x:v>逐操作及每次费用见完整JSON/payments</x:v>
      </x:c>
    </x:row>
    <x:row r="102">
      <x:c r="A102" s="25" t="str">
        <x:v>C06-E</x:v>
      </x:c>
      <x:c r="B102" s="25" t="str">
        <x:v>盖利德</x:v>
      </x:c>
      <x:c r="C102" s="25" t="str">
        <x:v>半急速入场</x:v>
      </x:c>
      <x:c r="D102" s="25" t="n">
        <x:v>5</x:v>
      </x:c>
      <x:c r="E102" s="25" t="str">
        <x:v>本大陆动作汇总</x:v>
      </x:c>
      <x:c r="F102" s="25" t="str">
        <x:v>自产</x:v>
      </x:c>
      <x:c r="G102" s="25" t="n">
        <x:v>262</x:v>
      </x:c>
      <x:c r="H102" s="25" t="n">
        <x:v>60750000000</x:v>
      </x:c>
      <x:c r="I102" s="25" t="n">
        <x:v>2965900000</x:v>
      </x:c>
      <x:c r="J102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02" s="25" t="str">
        <x:v>逐操作及每次费用见完整JSON/payments</x:v>
      </x:c>
    </x:row>
    <x:row r="103">
      <x:c r="A103" s="25" t="str">
        <x:v>C06-M</x:v>
      </x:c>
      <x:c r="B103" s="25" t="str">
        <x:v>盖利德</x:v>
      </x:c>
      <x:c r="C103" s="25" t="str">
        <x:v>半急速中期</x:v>
      </x:c>
      <x:c r="D103" s="25" t="n">
        <x:v>0</x:v>
      </x:c>
      <x:c r="E103" s="25" t="str">
        <x:v>本大陆动作汇总</x:v>
      </x:c>
      <x:c r="F103" s="25" t="str">
        <x:v>灵符</x:v>
      </x:c>
      <x:c r="G103" s="25" t="n">
        <x:v>2</x:v>
      </x:c>
      <x:c r="H103" s="25" t="n">
        <x:v>0</x:v>
      </x:c>
      <x:c r="I103" s="25" t="n">
        <x:v>0</x:v>
      </x:c>
      <x:c r="J103" s="25" t="str"/>
      <x:c r="K103" s="25" t="str">
        <x:v>逐操作及每次费用见完整JSON/payments</x:v>
      </x:c>
    </x:row>
    <x:row r="104">
      <x:c r="A104" s="25" t="str">
        <x:v>C06-M</x:v>
      </x:c>
      <x:c r="B104" s="25" t="str">
        <x:v>盖利德</x:v>
      </x:c>
      <x:c r="C104" s="25" t="str">
        <x:v>半急速中期</x:v>
      </x:c>
      <x:c r="D104" s="25" t="n">
        <x:v>1</x:v>
      </x:c>
      <x:c r="E104" s="25" t="str">
        <x:v>本大陆动作汇总</x:v>
      </x:c>
      <x:c r="F104" s="25" t="str">
        <x:v>自产</x:v>
      </x:c>
      <x:c r="G104" s="25" t="n">
        <x:v>4</x:v>
      </x:c>
      <x:c r="H104" s="25" t="n">
        <x:v>2800000000</x:v>
      </x:c>
      <x:c r="I104" s="25" t="n">
        <x:v>74500000</x:v>
      </x:c>
      <x:c r="J104" s="25" t="str">
        <x:v>技能残页×630；海蚀铁片×80；潮痕结晶×8；漂流大陆印记×8；失色锻造石×100；漂流见证·潮×8；漂流见证·雷×8</x:v>
      </x:c>
      <x:c r="K104" s="25" t="str">
        <x:v>逐操作及每次费用见完整JSON/payments</x:v>
      </x:c>
    </x:row>
    <x:row r="105">
      <x:c r="A105" s="25" t="str">
        <x:v>C06-M</x:v>
      </x:c>
      <x:c r="B105" s="25" t="str">
        <x:v>盖利德</x:v>
      </x:c>
      <x:c r="C105" s="25" t="str">
        <x:v>半急速中期</x:v>
      </x:c>
      <x:c r="D105" s="25" t="n">
        <x:v>2</x:v>
      </x:c>
      <x:c r="E105" s="25" t="str">
        <x:v>本大陆动作汇总</x:v>
      </x:c>
      <x:c r="F105" s="25" t="str">
        <x:v>灵符</x:v>
      </x:c>
      <x:c r="G105" s="25" t="n">
        <x:v>2</x:v>
      </x:c>
      <x:c r="H105" s="25" t="n">
        <x:v>0</x:v>
      </x:c>
      <x:c r="I105" s="25" t="n">
        <x:v>0</x:v>
      </x:c>
      <x:c r="J105" s="25" t="str"/>
      <x:c r="K105" s="25" t="str">
        <x:v>逐操作及每次费用见完整JSON/payments</x:v>
      </x:c>
    </x:row>
    <x:row r="106">
      <x:c r="A106" s="25" t="str">
        <x:v>C06-M</x:v>
      </x:c>
      <x:c r="B106" s="25" t="str">
        <x:v>盖利德</x:v>
      </x:c>
      <x:c r="C106" s="25" t="str">
        <x:v>半急速中期</x:v>
      </x:c>
      <x:c r="D106" s="25" t="n">
        <x:v>2</x:v>
      </x:c>
      <x:c r="E106" s="25" t="str">
        <x:v>本大陆动作汇总</x:v>
      </x:c>
      <x:c r="F106" s="25" t="str">
        <x:v>自产</x:v>
      </x:c>
      <x:c r="G106" s="25" t="n">
        <x:v>138</x:v>
      </x:c>
      <x:c r="H106" s="25" t="n">
        <x:v>21870000000</x:v>
      </x:c>
      <x:c r="I106" s="25" t="n">
        <x:v>765500000</x:v>
      </x:c>
      <x:c r="J106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06" s="25" t="str">
        <x:v>逐操作及每次费用见完整JSON/payments</x:v>
      </x:c>
    </x:row>
    <x:row r="107">
      <x:c r="A107" s="25" t="str">
        <x:v>C06-M</x:v>
      </x:c>
      <x:c r="B107" s="25" t="str">
        <x:v>盖利德</x:v>
      </x:c>
      <x:c r="C107" s="25" t="str">
        <x:v>半急速中期</x:v>
      </x:c>
      <x:c r="D107" s="25" t="n">
        <x:v>3</x:v>
      </x:c>
      <x:c r="E107" s="25" t="str">
        <x:v>本大陆动作汇总</x:v>
      </x:c>
      <x:c r="F107" s="25" t="str">
        <x:v>自产</x:v>
      </x:c>
      <x:c r="G107" s="25" t="n">
        <x:v>169</x:v>
      </x:c>
      <x:c r="H107" s="25" t="n">
        <x:v>86720000000</x:v>
      </x:c>
      <x:c r="I107" s="25" t="n">
        <x:v>288100000</x:v>
      </x:c>
      <x:c r="J107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07" s="25" t="str">
        <x:v>逐操作及每次费用见完整JSON/payments</x:v>
      </x:c>
    </x:row>
    <x:row r="108">
      <x:c r="A108" s="25" t="str">
        <x:v>C06-M</x:v>
      </x:c>
      <x:c r="B108" s="25" t="str">
        <x:v>盖利德</x:v>
      </x:c>
      <x:c r="C108" s="25" t="str">
        <x:v>半急速中期</x:v>
      </x:c>
      <x:c r="D108" s="25" t="n">
        <x:v>4</x:v>
      </x:c>
      <x:c r="E108" s="25" t="str">
        <x:v>本大陆动作汇总</x:v>
      </x:c>
      <x:c r="F108" s="25" t="str">
        <x:v>自产</x:v>
      </x:c>
      <x:c r="G108" s="25" t="n">
        <x:v>223</x:v>
      </x:c>
      <x:c r="H108" s="25" t="n">
        <x:v>104770000000</x:v>
      </x:c>
      <x:c r="I108" s="25" t="n">
        <x:v>1255900000</x:v>
      </x:c>
      <x:c r="J108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08" s="25" t="str">
        <x:v>逐操作及每次费用见完整JSON/payments</x:v>
      </x:c>
    </x:row>
    <x:row r="109">
      <x:c r="A109" s="25" t="str">
        <x:v>C06-M</x:v>
      </x:c>
      <x:c r="B109" s="25" t="str">
        <x:v>盖利德</x:v>
      </x:c>
      <x:c r="C109" s="25" t="str">
        <x:v>半急速中期</x:v>
      </x:c>
      <x:c r="D109" s="25" t="n">
        <x:v>5</x:v>
      </x:c>
      <x:c r="E109" s="25" t="str">
        <x:v>本大陆动作汇总</x:v>
      </x:c>
      <x:c r="F109" s="25" t="str">
        <x:v>自产</x:v>
      </x:c>
      <x:c r="G109" s="25" t="n">
        <x:v>262</x:v>
      </x:c>
      <x:c r="H109" s="25" t="n">
        <x:v>60750000000</x:v>
      </x:c>
      <x:c r="I109" s="25" t="n">
        <x:v>2965900000</x:v>
      </x:c>
      <x:c r="J109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09" s="25" t="str">
        <x:v>逐操作及每次费用见完整JSON/payments</x:v>
      </x:c>
    </x:row>
    <x:row r="110">
      <x:c r="A110" s="25" t="str">
        <x:v>C06-M</x:v>
      </x:c>
      <x:c r="B110" s="25" t="str">
        <x:v>盖利德</x:v>
      </x:c>
      <x:c r="C110" s="25" t="str">
        <x:v>半急速中期</x:v>
      </x:c>
      <x:c r="D110" s="25" t="n">
        <x:v>6</x:v>
      </x:c>
      <x:c r="E110" s="25" t="str">
        <x:v>本大陆动作汇总</x:v>
      </x:c>
      <x:c r="F110" s="25" t="str">
        <x:v>自产</x:v>
      </x:c>
      <x:c r="G110" s="25" t="n">
        <x:v>124</x:v>
      </x:c>
      <x:c r="H110" s="25" t="n">
        <x:v>97480000000</x:v>
      </x:c>
      <x:c r="I110" s="25" t="n">
        <x:v>779800000</x:v>
      </x:c>
      <x:c r="J110" s="25" t="str">
        <x:v>失色锻造石×2040；野兽骨片×4590；猩红矿渣×682；净火腺囊×25；龙火鳞×10；红狮战印×10；大卢恩×75；神秘符文×100；湖心月谱残章×1</x:v>
      </x:c>
      <x:c r="K110" s="25" t="str">
        <x:v>逐操作及每次费用见完整JSON/payments</x:v>
      </x:c>
    </x:row>
    <x:row r="111">
      <x:c r="A111" s="25" t="str">
        <x:v>C06-G</x:v>
      </x:c>
      <x:c r="B111" s="25" t="str">
        <x:v>盖利德</x:v>
      </x:c>
      <x:c r="C111" s="25" t="str">
        <x:v>半急速毕业</x:v>
      </x:c>
      <x:c r="D111" s="25" t="n">
        <x:v>0</x:v>
      </x:c>
      <x:c r="E111" s="25" t="str">
        <x:v>本大陆动作汇总</x:v>
      </x:c>
      <x:c r="F111" s="25" t="str">
        <x:v>灵符</x:v>
      </x:c>
      <x:c r="G111" s="25" t="n">
        <x:v>2</x:v>
      </x:c>
      <x:c r="H111" s="25" t="n">
        <x:v>0</x:v>
      </x:c>
      <x:c r="I111" s="25" t="n">
        <x:v>0</x:v>
      </x:c>
      <x:c r="J111" s="25" t="str"/>
      <x:c r="K111" s="25" t="str">
        <x:v>逐操作及每次费用见完整JSON/payments</x:v>
      </x:c>
    </x:row>
    <x:row r="112">
      <x:c r="A112" s="25" t="str">
        <x:v>C06-G</x:v>
      </x:c>
      <x:c r="B112" s="25" t="str">
        <x:v>盖利德</x:v>
      </x:c>
      <x:c r="C112" s="25" t="str">
        <x:v>半急速毕业</x:v>
      </x:c>
      <x:c r="D112" s="25" t="n">
        <x:v>1</x:v>
      </x:c>
      <x:c r="E112" s="25" t="str">
        <x:v>本大陆动作汇总</x:v>
      </x:c>
      <x:c r="F112" s="25" t="str">
        <x:v>自产</x:v>
      </x:c>
      <x:c r="G112" s="25" t="n">
        <x:v>4</x:v>
      </x:c>
      <x:c r="H112" s="25" t="n">
        <x:v>2800000000</x:v>
      </x:c>
      <x:c r="I112" s="25" t="n">
        <x:v>74500000</x:v>
      </x:c>
      <x:c r="J112" s="25" t="str">
        <x:v>技能残页×630；海蚀铁片×80；潮痕结晶×8；漂流大陆印记×8；失色锻造石×100；漂流见证·潮×8；漂流见证·雷×8</x:v>
      </x:c>
      <x:c r="K112" s="25" t="str">
        <x:v>逐操作及每次费用见完整JSON/payments</x:v>
      </x:c>
    </x:row>
    <x:row r="113">
      <x:c r="A113" s="25" t="str">
        <x:v>C06-G</x:v>
      </x:c>
      <x:c r="B113" s="25" t="str">
        <x:v>盖利德</x:v>
      </x:c>
      <x:c r="C113" s="25" t="str">
        <x:v>半急速毕业</x:v>
      </x:c>
      <x:c r="D113" s="25" t="n">
        <x:v>2</x:v>
      </x:c>
      <x:c r="E113" s="25" t="str">
        <x:v>本大陆动作汇总</x:v>
      </x:c>
      <x:c r="F113" s="25" t="str">
        <x:v>灵符</x:v>
      </x:c>
      <x:c r="G113" s="25" t="n">
        <x:v>2</x:v>
      </x:c>
      <x:c r="H113" s="25" t="n">
        <x:v>0</x:v>
      </x:c>
      <x:c r="I113" s="25" t="n">
        <x:v>0</x:v>
      </x:c>
      <x:c r="J113" s="25" t="str"/>
      <x:c r="K113" s="25" t="str">
        <x:v>逐操作及每次费用见完整JSON/payments</x:v>
      </x:c>
    </x:row>
    <x:row r="114">
      <x:c r="A114" s="25" t="str">
        <x:v>C06-G</x:v>
      </x:c>
      <x:c r="B114" s="25" t="str">
        <x:v>盖利德</x:v>
      </x:c>
      <x:c r="C114" s="25" t="str">
        <x:v>半急速毕业</x:v>
      </x:c>
      <x:c r="D114" s="25" t="n">
        <x:v>2</x:v>
      </x:c>
      <x:c r="E114" s="25" t="str">
        <x:v>本大陆动作汇总</x:v>
      </x:c>
      <x:c r="F114" s="25" t="str">
        <x:v>自产</x:v>
      </x:c>
      <x:c r="G114" s="25" t="n">
        <x:v>138</x:v>
      </x:c>
      <x:c r="H114" s="25" t="n">
        <x:v>21870000000</x:v>
      </x:c>
      <x:c r="I114" s="25" t="n">
        <x:v>765500000</x:v>
      </x:c>
      <x:c r="J11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14" s="25" t="str">
        <x:v>逐操作及每次费用见完整JSON/payments</x:v>
      </x:c>
    </x:row>
    <x:row r="115">
      <x:c r="A115" s="25" t="str">
        <x:v>C06-G</x:v>
      </x:c>
      <x:c r="B115" s="25" t="str">
        <x:v>盖利德</x:v>
      </x:c>
      <x:c r="C115" s="25" t="str">
        <x:v>半急速毕业</x:v>
      </x:c>
      <x:c r="D115" s="25" t="n">
        <x:v>3</x:v>
      </x:c>
      <x:c r="E115" s="25" t="str">
        <x:v>本大陆动作汇总</x:v>
      </x:c>
      <x:c r="F115" s="25" t="str">
        <x:v>自产</x:v>
      </x:c>
      <x:c r="G115" s="25" t="n">
        <x:v>169</x:v>
      </x:c>
      <x:c r="H115" s="25" t="n">
        <x:v>86720000000</x:v>
      </x:c>
      <x:c r="I115" s="25" t="n">
        <x:v>288100000</x:v>
      </x:c>
      <x:c r="J11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15" s="25" t="str">
        <x:v>逐操作及每次费用见完整JSON/payments</x:v>
      </x:c>
    </x:row>
    <x:row r="116">
      <x:c r="A116" s="25" t="str">
        <x:v>C06-G</x:v>
      </x:c>
      <x:c r="B116" s="25" t="str">
        <x:v>盖利德</x:v>
      </x:c>
      <x:c r="C116" s="25" t="str">
        <x:v>半急速毕业</x:v>
      </x:c>
      <x:c r="D116" s="25" t="n">
        <x:v>4</x:v>
      </x:c>
      <x:c r="E116" s="25" t="str">
        <x:v>本大陆动作汇总</x:v>
      </x:c>
      <x:c r="F116" s="25" t="str">
        <x:v>自产</x:v>
      </x:c>
      <x:c r="G116" s="25" t="n">
        <x:v>223</x:v>
      </x:c>
      <x:c r="H116" s="25" t="n">
        <x:v>104770000000</x:v>
      </x:c>
      <x:c r="I116" s="25" t="n">
        <x:v>1255900000</x:v>
      </x:c>
      <x:c r="J116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16" s="25" t="str">
        <x:v>逐操作及每次费用见完整JSON/payments</x:v>
      </x:c>
    </x:row>
    <x:row r="117">
      <x:c r="A117" s="25" t="str">
        <x:v>C06-G</x:v>
      </x:c>
      <x:c r="B117" s="25" t="str">
        <x:v>盖利德</x:v>
      </x:c>
      <x:c r="C117" s="25" t="str">
        <x:v>半急速毕业</x:v>
      </x:c>
      <x:c r="D117" s="25" t="n">
        <x:v>5</x:v>
      </x:c>
      <x:c r="E117" s="25" t="str">
        <x:v>本大陆动作汇总</x:v>
      </x:c>
      <x:c r="F117" s="25" t="str">
        <x:v>自产</x:v>
      </x:c>
      <x:c r="G117" s="25" t="n">
        <x:v>262</x:v>
      </x:c>
      <x:c r="H117" s="25" t="n">
        <x:v>60750000000</x:v>
      </x:c>
      <x:c r="I117" s="25" t="n">
        <x:v>2965900000</x:v>
      </x:c>
      <x:c r="J117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17" s="25" t="str">
        <x:v>逐操作及每次费用见完整JSON/payments</x:v>
      </x:c>
    </x:row>
    <x:row r="118">
      <x:c r="A118" s="25" t="str">
        <x:v>C06-G</x:v>
      </x:c>
      <x:c r="B118" s="25" t="str">
        <x:v>盖利德</x:v>
      </x:c>
      <x:c r="C118" s="25" t="str">
        <x:v>半急速毕业</x:v>
      </x:c>
      <x:c r="D118" s="25" t="n">
        <x:v>6</x:v>
      </x:c>
      <x:c r="E118" s="25" t="str">
        <x:v>本大陆动作汇总</x:v>
      </x:c>
      <x:c r="F118" s="25" t="str">
        <x:v>自产</x:v>
      </x:c>
      <x:c r="G118" s="25" t="n">
        <x:v>307</x:v>
      </x:c>
      <x:c r="H118" s="25" t="n">
        <x:v>361480000000</x:v>
      </x:c>
      <x:c r="I118" s="25" t="n">
        <x:v>2124000000</x:v>
      </x:c>
      <x:c r="J118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18" s="25" t="str">
        <x:v>逐操作及每次费用见完整JSON/payments</x:v>
      </x:c>
    </x:row>
    <x:row r="119">
      <x:c r="A119" s="25" t="str">
        <x:v>C06-X</x:v>
      </x:c>
      <x:c r="B119" s="25" t="str">
        <x:v>盖利德</x:v>
      </x:c>
      <x:c r="C119" s="25" t="str">
        <x:v>极端压力</x:v>
      </x:c>
      <x:c r="D119" s="25" t="n">
        <x:v>0</x:v>
      </x:c>
      <x:c r="E119" s="25" t="str">
        <x:v>本大陆动作汇总</x:v>
      </x:c>
      <x:c r="F119" s="25" t="str">
        <x:v>灵符</x:v>
      </x:c>
      <x:c r="G119" s="25" t="n">
        <x:v>2</x:v>
      </x:c>
      <x:c r="H119" s="25" t="n">
        <x:v>0</x:v>
      </x:c>
      <x:c r="I119" s="25" t="n">
        <x:v>0</x:v>
      </x:c>
      <x:c r="J119" s="25" t="str"/>
      <x:c r="K119" s="25" t="str">
        <x:v>逐操作及每次费用见完整JSON/payments</x:v>
      </x:c>
    </x:row>
    <x:row r="120">
      <x:c r="A120" s="25" t="str">
        <x:v>C06-X</x:v>
      </x:c>
      <x:c r="B120" s="25" t="str">
        <x:v>盖利德</x:v>
      </x:c>
      <x:c r="C120" s="25" t="str">
        <x:v>极端压力</x:v>
      </x:c>
      <x:c r="D120" s="25" t="n">
        <x:v>1</x:v>
      </x:c>
      <x:c r="E120" s="25" t="str">
        <x:v>本大陆动作汇总</x:v>
      </x:c>
      <x:c r="F120" s="25" t="str">
        <x:v>自产</x:v>
      </x:c>
      <x:c r="G120" s="25" t="n">
        <x:v>4</x:v>
      </x:c>
      <x:c r="H120" s="25" t="n">
        <x:v>2800000000</x:v>
      </x:c>
      <x:c r="I120" s="25" t="n">
        <x:v>74500000</x:v>
      </x:c>
      <x:c r="J120" s="25" t="str">
        <x:v>技能残页×630；海蚀铁片×80；潮痕结晶×8；漂流大陆印记×8；失色锻造石×100；漂流见证·潮×8；漂流见证·雷×8</x:v>
      </x:c>
      <x:c r="K120" s="25" t="str">
        <x:v>逐操作及每次费用见完整JSON/payments</x:v>
      </x:c>
    </x:row>
    <x:row r="121">
      <x:c r="A121" s="25" t="str">
        <x:v>C06-X</x:v>
      </x:c>
      <x:c r="B121" s="25" t="str">
        <x:v>盖利德</x:v>
      </x:c>
      <x:c r="C121" s="25" t="str">
        <x:v>极端压力</x:v>
      </x:c>
      <x:c r="D121" s="25" t="n">
        <x:v>2</x:v>
      </x:c>
      <x:c r="E121" s="25" t="str">
        <x:v>本大陆动作汇总</x:v>
      </x:c>
      <x:c r="F121" s="25" t="str">
        <x:v>灵符</x:v>
      </x:c>
      <x:c r="G121" s="25" t="n">
        <x:v>2</x:v>
      </x:c>
      <x:c r="H121" s="25" t="n">
        <x:v>0</x:v>
      </x:c>
      <x:c r="I121" s="25" t="n">
        <x:v>0</x:v>
      </x:c>
      <x:c r="J121" s="25" t="str"/>
      <x:c r="K121" s="25" t="str">
        <x:v>逐操作及每次费用见完整JSON/payments</x:v>
      </x:c>
    </x:row>
    <x:row r="122">
      <x:c r="A122" s="25" t="str">
        <x:v>C06-X</x:v>
      </x:c>
      <x:c r="B122" s="25" t="str">
        <x:v>盖利德</x:v>
      </x:c>
      <x:c r="C122" s="25" t="str">
        <x:v>极端压力</x:v>
      </x:c>
      <x:c r="D122" s="25" t="n">
        <x:v>2</x:v>
      </x:c>
      <x:c r="E122" s="25" t="str">
        <x:v>本大陆动作汇总</x:v>
      </x:c>
      <x:c r="F122" s="25" t="str">
        <x:v>自产</x:v>
      </x:c>
      <x:c r="G122" s="25" t="n">
        <x:v>138</x:v>
      </x:c>
      <x:c r="H122" s="25" t="n">
        <x:v>21870000000</x:v>
      </x:c>
      <x:c r="I122" s="25" t="n">
        <x:v>765500000</x:v>
      </x:c>
      <x:c r="J122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22" s="25" t="str">
        <x:v>逐操作及每次费用见完整JSON/payments</x:v>
      </x:c>
    </x:row>
    <x:row r="123">
      <x:c r="A123" s="25" t="str">
        <x:v>C06-X</x:v>
      </x:c>
      <x:c r="B123" s="25" t="str">
        <x:v>盖利德</x:v>
      </x:c>
      <x:c r="C123" s="25" t="str">
        <x:v>极端压力</x:v>
      </x:c>
      <x:c r="D123" s="25" t="n">
        <x:v>3</x:v>
      </x:c>
      <x:c r="E123" s="25" t="str">
        <x:v>本大陆动作汇总</x:v>
      </x:c>
      <x:c r="F123" s="25" t="str">
        <x:v>自产</x:v>
      </x:c>
      <x:c r="G123" s="25" t="n">
        <x:v>169</x:v>
      </x:c>
      <x:c r="H123" s="25" t="n">
        <x:v>86720000000</x:v>
      </x:c>
      <x:c r="I123" s="25" t="n">
        <x:v>288100000</x:v>
      </x:c>
      <x:c r="J123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23" s="25" t="str">
        <x:v>逐操作及每次费用见完整JSON/payments</x:v>
      </x:c>
    </x:row>
    <x:row r="124">
      <x:c r="A124" s="25" t="str">
        <x:v>C06-X</x:v>
      </x:c>
      <x:c r="B124" s="25" t="str">
        <x:v>盖利德</x:v>
      </x:c>
      <x:c r="C124" s="25" t="str">
        <x:v>极端压力</x:v>
      </x:c>
      <x:c r="D124" s="25" t="n">
        <x:v>4</x:v>
      </x:c>
      <x:c r="E124" s="25" t="str">
        <x:v>本大陆动作汇总</x:v>
      </x:c>
      <x:c r="F124" s="25" t="str">
        <x:v>自产</x:v>
      </x:c>
      <x:c r="G124" s="25" t="n">
        <x:v>223</x:v>
      </x:c>
      <x:c r="H124" s="25" t="n">
        <x:v>104770000000</x:v>
      </x:c>
      <x:c r="I124" s="25" t="n">
        <x:v>1255900000</x:v>
      </x:c>
      <x:c r="J124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24" s="25" t="str">
        <x:v>逐操作及每次费用见完整JSON/payments</x:v>
      </x:c>
    </x:row>
    <x:row r="125">
      <x:c r="A125" s="25" t="str">
        <x:v>C06-X</x:v>
      </x:c>
      <x:c r="B125" s="25" t="str">
        <x:v>盖利德</x:v>
      </x:c>
      <x:c r="C125" s="25" t="str">
        <x:v>极端压力</x:v>
      </x:c>
      <x:c r="D125" s="25" t="n">
        <x:v>5</x:v>
      </x:c>
      <x:c r="E125" s="25" t="str">
        <x:v>本大陆动作汇总</x:v>
      </x:c>
      <x:c r="F125" s="25" t="str">
        <x:v>自产</x:v>
      </x:c>
      <x:c r="G125" s="25" t="n">
        <x:v>262</x:v>
      </x:c>
      <x:c r="H125" s="25" t="n">
        <x:v>60750000000</x:v>
      </x:c>
      <x:c r="I125" s="25" t="n">
        <x:v>2965900000</x:v>
      </x:c>
      <x:c r="J125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25" s="25" t="str">
        <x:v>逐操作及每次费用见完整JSON/payments</x:v>
      </x:c>
    </x:row>
    <x:row r="126">
      <x:c r="A126" s="25" t="str">
        <x:v>C06-X</x:v>
      </x:c>
      <x:c r="B126" s="25" t="str">
        <x:v>盖利德</x:v>
      </x:c>
      <x:c r="C126" s="25" t="str">
        <x:v>极端压力</x:v>
      </x:c>
      <x:c r="D126" s="25" t="n">
        <x:v>6</x:v>
      </x:c>
      <x:c r="E126" s="25" t="str">
        <x:v>本大陆动作汇总</x:v>
      </x:c>
      <x:c r="F126" s="25" t="str">
        <x:v>自产</x:v>
      </x:c>
      <x:c r="G126" s="25" t="n">
        <x:v>902</x:v>
      </x:c>
      <x:c r="H126" s="25" t="n">
        <x:v>555480000000</x:v>
      </x:c>
      <x:c r="I126" s="25" t="n">
        <x:v>7521600000</x:v>
      </x:c>
      <x:c r="J126" s="25" t="str">
        <x:v>失色锻造石×24000；野兽骨片×10215；猩红矿渣×3417；净火腺囊×96；龙火鳞×38；红狮战印×66；大卢恩×350；神秘符文×100；湖心月谱残章×1；碎星仪仗钉×2；湖盐结晶×550；雾潮银鳞×55；湖底封门珠×2；红狮断箭×180；龙窟熔牙×16；深湖压舱印×6；沉湖王印×9；辉石碎晶×420；雾月星砂×90；禁域星钥×2；熔原罪火残章×1</x:v>
      </x:c>
      <x:c r="K126" s="25" t="str">
        <x:v>逐操作及每次费用见完整JSON/payments</x:v>
      </x:c>
    </x:row>
    <x:row r="127">
      <x:c r="A127" s="25" t="str">
        <x:v>C07-E</x:v>
      </x:c>
      <x:c r="B127" s="25" t="str">
        <x:v>化圣雪原</x:v>
      </x:c>
      <x:c r="C127" s="25" t="str">
        <x:v>半急速入场</x:v>
      </x:c>
      <x:c r="D127" s="25" t="n">
        <x:v>0</x:v>
      </x:c>
      <x:c r="E127" s="25" t="str">
        <x:v>本大陆动作汇总</x:v>
      </x:c>
      <x:c r="F127" s="25" t="str">
        <x:v>灵符</x:v>
      </x:c>
      <x:c r="G127" s="25" t="n">
        <x:v>2</x:v>
      </x:c>
      <x:c r="H127" s="25" t="n">
        <x:v>0</x:v>
      </x:c>
      <x:c r="I127" s="25" t="n">
        <x:v>0</x:v>
      </x:c>
      <x:c r="J127" s="25" t="str"/>
      <x:c r="K127" s="25" t="str">
        <x:v>逐操作及每次费用见完整JSON/payments</x:v>
      </x:c>
    </x:row>
    <x:row r="128">
      <x:c r="A128" s="25" t="str">
        <x:v>C07-E</x:v>
      </x:c>
      <x:c r="B128" s="25" t="str">
        <x:v>化圣雪原</x:v>
      </x:c>
      <x:c r="C128" s="25" t="str">
        <x:v>半急速入场</x:v>
      </x:c>
      <x:c r="D128" s="25" t="n">
        <x:v>1</x:v>
      </x:c>
      <x:c r="E128" s="25" t="str">
        <x:v>本大陆动作汇总</x:v>
      </x:c>
      <x:c r="F128" s="25" t="str">
        <x:v>自产</x:v>
      </x:c>
      <x:c r="G128" s="25" t="n">
        <x:v>4</x:v>
      </x:c>
      <x:c r="H128" s="25" t="n">
        <x:v>2800000000</x:v>
      </x:c>
      <x:c r="I128" s="25" t="n">
        <x:v>74500000</x:v>
      </x:c>
      <x:c r="J128" s="25" t="str">
        <x:v>技能残页×630；海蚀铁片×80；潮痕结晶×8；漂流大陆印记×8；失色锻造石×100；漂流见证·潮×8；漂流见证·雷×8</x:v>
      </x:c>
      <x:c r="K128" s="25" t="str">
        <x:v>逐操作及每次费用见完整JSON/payments</x:v>
      </x:c>
    </x:row>
    <x:row r="129">
      <x:c r="A129" s="25" t="str">
        <x:v>C07-E</x:v>
      </x:c>
      <x:c r="B129" s="25" t="str">
        <x:v>化圣雪原</x:v>
      </x:c>
      <x:c r="C129" s="25" t="str">
        <x:v>半急速入场</x:v>
      </x:c>
      <x:c r="D129" s="25" t="n">
        <x:v>2</x:v>
      </x:c>
      <x:c r="E129" s="25" t="str">
        <x:v>本大陆动作汇总</x:v>
      </x:c>
      <x:c r="F129" s="25" t="str">
        <x:v>灵符</x:v>
      </x:c>
      <x:c r="G129" s="25" t="n">
        <x:v>2</x:v>
      </x:c>
      <x:c r="H129" s="25" t="n">
        <x:v>0</x:v>
      </x:c>
      <x:c r="I129" s="25" t="n">
        <x:v>0</x:v>
      </x:c>
      <x:c r="J129" s="25" t="str"/>
      <x:c r="K129" s="25" t="str">
        <x:v>逐操作及每次费用见完整JSON/payments</x:v>
      </x:c>
    </x:row>
    <x:row r="130">
      <x:c r="A130" s="25" t="str">
        <x:v>C07-E</x:v>
      </x:c>
      <x:c r="B130" s="25" t="str">
        <x:v>化圣雪原</x:v>
      </x:c>
      <x:c r="C130" s="25" t="str">
        <x:v>半急速入场</x:v>
      </x:c>
      <x:c r="D130" s="25" t="n">
        <x:v>2</x:v>
      </x:c>
      <x:c r="E130" s="25" t="str">
        <x:v>本大陆动作汇总</x:v>
      </x:c>
      <x:c r="F130" s="25" t="str">
        <x:v>自产</x:v>
      </x:c>
      <x:c r="G130" s="25" t="n">
        <x:v>138</x:v>
      </x:c>
      <x:c r="H130" s="25" t="n">
        <x:v>21870000000</x:v>
      </x:c>
      <x:c r="I130" s="25" t="n">
        <x:v>765500000</x:v>
      </x:c>
      <x:c r="J130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30" s="25" t="str">
        <x:v>逐操作及每次费用见完整JSON/payments</x:v>
      </x:c>
    </x:row>
    <x:row r="131">
      <x:c r="A131" s="25" t="str">
        <x:v>C07-E</x:v>
      </x:c>
      <x:c r="B131" s="25" t="str">
        <x:v>化圣雪原</x:v>
      </x:c>
      <x:c r="C131" s="25" t="str">
        <x:v>半急速入场</x:v>
      </x:c>
      <x:c r="D131" s="25" t="n">
        <x:v>3</x:v>
      </x:c>
      <x:c r="E131" s="25" t="str">
        <x:v>本大陆动作汇总</x:v>
      </x:c>
      <x:c r="F131" s="25" t="str">
        <x:v>自产</x:v>
      </x:c>
      <x:c r="G131" s="25" t="n">
        <x:v>169</x:v>
      </x:c>
      <x:c r="H131" s="25" t="n">
        <x:v>86720000000</x:v>
      </x:c>
      <x:c r="I131" s="25" t="n">
        <x:v>288100000</x:v>
      </x:c>
      <x:c r="J131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31" s="25" t="str">
        <x:v>逐操作及每次费用见完整JSON/payments</x:v>
      </x:c>
    </x:row>
    <x:row r="132">
      <x:c r="A132" s="25" t="str">
        <x:v>C07-E</x:v>
      </x:c>
      <x:c r="B132" s="25" t="str">
        <x:v>化圣雪原</x:v>
      </x:c>
      <x:c r="C132" s="25" t="str">
        <x:v>半急速入场</x:v>
      </x:c>
      <x:c r="D132" s="25" t="n">
        <x:v>4</x:v>
      </x:c>
      <x:c r="E132" s="25" t="str">
        <x:v>本大陆动作汇总</x:v>
      </x:c>
      <x:c r="F132" s="25" t="str">
        <x:v>自产</x:v>
      </x:c>
      <x:c r="G132" s="25" t="n">
        <x:v>223</x:v>
      </x:c>
      <x:c r="H132" s="25" t="n">
        <x:v>104770000000</x:v>
      </x:c>
      <x:c r="I132" s="25" t="n">
        <x:v>1255900000</x:v>
      </x:c>
      <x:c r="J132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32" s="25" t="str">
        <x:v>逐操作及每次费用见完整JSON/payments</x:v>
      </x:c>
    </x:row>
    <x:row r="133">
      <x:c r="A133" s="25" t="str">
        <x:v>C07-E</x:v>
      </x:c>
      <x:c r="B133" s="25" t="str">
        <x:v>化圣雪原</x:v>
      </x:c>
      <x:c r="C133" s="25" t="str">
        <x:v>半急速入场</x:v>
      </x:c>
      <x:c r="D133" s="25" t="n">
        <x:v>5</x:v>
      </x:c>
      <x:c r="E133" s="25" t="str">
        <x:v>本大陆动作汇总</x:v>
      </x:c>
      <x:c r="F133" s="25" t="str">
        <x:v>自产</x:v>
      </x:c>
      <x:c r="G133" s="25" t="n">
        <x:v>262</x:v>
      </x:c>
      <x:c r="H133" s="25" t="n">
        <x:v>60750000000</x:v>
      </x:c>
      <x:c r="I133" s="25" t="n">
        <x:v>2965900000</x:v>
      </x:c>
      <x:c r="J133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33" s="25" t="str">
        <x:v>逐操作及每次费用见完整JSON/payments</x:v>
      </x:c>
    </x:row>
    <x:row r="134">
      <x:c r="A134" s="25" t="str">
        <x:v>C07-E</x:v>
      </x:c>
      <x:c r="B134" s="25" t="str">
        <x:v>化圣雪原</x:v>
      </x:c>
      <x:c r="C134" s="25" t="str">
        <x:v>半急速入场</x:v>
      </x:c>
      <x:c r="D134" s="25" t="n">
        <x:v>6</x:v>
      </x:c>
      <x:c r="E134" s="25" t="str">
        <x:v>本大陆动作汇总</x:v>
      </x:c>
      <x:c r="F134" s="25" t="str">
        <x:v>自产</x:v>
      </x:c>
      <x:c r="G134" s="25" t="n">
        <x:v>307</x:v>
      </x:c>
      <x:c r="H134" s="25" t="n">
        <x:v>361480000000</x:v>
      </x:c>
      <x:c r="I134" s="25" t="n">
        <x:v>2124000000</x:v>
      </x:c>
      <x:c r="J134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34" s="25" t="str">
        <x:v>逐操作及每次费用见完整JSON/payments</x:v>
      </x:c>
    </x:row>
    <x:row r="135">
      <x:c r="A135" s="25" t="str">
        <x:v>C07-M</x:v>
      </x:c>
      <x:c r="B135" s="25" t="str">
        <x:v>化圣雪原</x:v>
      </x:c>
      <x:c r="C135" s="25" t="str">
        <x:v>半急速中期</x:v>
      </x:c>
      <x:c r="D135" s="25" t="n">
        <x:v>0</x:v>
      </x:c>
      <x:c r="E135" s="25" t="str">
        <x:v>本大陆动作汇总</x:v>
      </x:c>
      <x:c r="F135" s="25" t="str">
        <x:v>灵符</x:v>
      </x:c>
      <x:c r="G135" s="25" t="n">
        <x:v>2</x:v>
      </x:c>
      <x:c r="H135" s="25" t="n">
        <x:v>0</x:v>
      </x:c>
      <x:c r="I135" s="25" t="n">
        <x:v>0</x:v>
      </x:c>
      <x:c r="J135" s="25" t="str"/>
      <x:c r="K135" s="25" t="str">
        <x:v>逐操作及每次费用见完整JSON/payments</x:v>
      </x:c>
    </x:row>
    <x:row r="136">
      <x:c r="A136" s="25" t="str">
        <x:v>C07-M</x:v>
      </x:c>
      <x:c r="B136" s="25" t="str">
        <x:v>化圣雪原</x:v>
      </x:c>
      <x:c r="C136" s="25" t="str">
        <x:v>半急速中期</x:v>
      </x:c>
      <x:c r="D136" s="25" t="n">
        <x:v>1</x:v>
      </x:c>
      <x:c r="E136" s="25" t="str">
        <x:v>本大陆动作汇总</x:v>
      </x:c>
      <x:c r="F136" s="25" t="str">
        <x:v>自产</x:v>
      </x:c>
      <x:c r="G136" s="25" t="n">
        <x:v>4</x:v>
      </x:c>
      <x:c r="H136" s="25" t="n">
        <x:v>2800000000</x:v>
      </x:c>
      <x:c r="I136" s="25" t="n">
        <x:v>74500000</x:v>
      </x:c>
      <x:c r="J136" s="25" t="str">
        <x:v>技能残页×630；海蚀铁片×80；潮痕结晶×8；漂流大陆印记×8；失色锻造石×100；漂流见证·潮×8；漂流见证·雷×8</x:v>
      </x:c>
      <x:c r="K136" s="25" t="str">
        <x:v>逐操作及每次费用见完整JSON/payments</x:v>
      </x:c>
    </x:row>
    <x:row r="137">
      <x:c r="A137" s="25" t="str">
        <x:v>C07-M</x:v>
      </x:c>
      <x:c r="B137" s="25" t="str">
        <x:v>化圣雪原</x:v>
      </x:c>
      <x:c r="C137" s="25" t="str">
        <x:v>半急速中期</x:v>
      </x:c>
      <x:c r="D137" s="25" t="n">
        <x:v>2</x:v>
      </x:c>
      <x:c r="E137" s="25" t="str">
        <x:v>本大陆动作汇总</x:v>
      </x:c>
      <x:c r="F137" s="25" t="str">
        <x:v>灵符</x:v>
      </x:c>
      <x:c r="G137" s="25" t="n">
        <x:v>2</x:v>
      </x:c>
      <x:c r="H137" s="25" t="n">
        <x:v>0</x:v>
      </x:c>
      <x:c r="I137" s="25" t="n">
        <x:v>0</x:v>
      </x:c>
      <x:c r="J137" s="25" t="str"/>
      <x:c r="K137" s="25" t="str">
        <x:v>逐操作及每次费用见完整JSON/payments</x:v>
      </x:c>
    </x:row>
    <x:row r="138">
      <x:c r="A138" s="25" t="str">
        <x:v>C07-M</x:v>
      </x:c>
      <x:c r="B138" s="25" t="str">
        <x:v>化圣雪原</x:v>
      </x:c>
      <x:c r="C138" s="25" t="str">
        <x:v>半急速中期</x:v>
      </x:c>
      <x:c r="D138" s="25" t="n">
        <x:v>2</x:v>
      </x:c>
      <x:c r="E138" s="25" t="str">
        <x:v>本大陆动作汇总</x:v>
      </x:c>
      <x:c r="F138" s="25" t="str">
        <x:v>自产</x:v>
      </x:c>
      <x:c r="G138" s="25" t="n">
        <x:v>138</x:v>
      </x:c>
      <x:c r="H138" s="25" t="n">
        <x:v>21870000000</x:v>
      </x:c>
      <x:c r="I138" s="25" t="n">
        <x:v>765500000</x:v>
      </x:c>
      <x:c r="J138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38" s="25" t="str">
        <x:v>逐操作及每次费用见完整JSON/payments</x:v>
      </x:c>
    </x:row>
    <x:row r="139">
      <x:c r="A139" s="25" t="str">
        <x:v>C07-M</x:v>
      </x:c>
      <x:c r="B139" s="25" t="str">
        <x:v>化圣雪原</x:v>
      </x:c>
      <x:c r="C139" s="25" t="str">
        <x:v>半急速中期</x:v>
      </x:c>
      <x:c r="D139" s="25" t="n">
        <x:v>3</x:v>
      </x:c>
      <x:c r="E139" s="25" t="str">
        <x:v>本大陆动作汇总</x:v>
      </x:c>
      <x:c r="F139" s="25" t="str">
        <x:v>自产</x:v>
      </x:c>
      <x:c r="G139" s="25" t="n">
        <x:v>169</x:v>
      </x:c>
      <x:c r="H139" s="25" t="n">
        <x:v>86720000000</x:v>
      </x:c>
      <x:c r="I139" s="25" t="n">
        <x:v>288100000</x:v>
      </x:c>
      <x:c r="J139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39" s="25" t="str">
        <x:v>逐操作及每次费用见完整JSON/payments</x:v>
      </x:c>
    </x:row>
    <x:row r="140">
      <x:c r="A140" s="25" t="str">
        <x:v>C07-M</x:v>
      </x:c>
      <x:c r="B140" s="25" t="str">
        <x:v>化圣雪原</x:v>
      </x:c>
      <x:c r="C140" s="25" t="str">
        <x:v>半急速中期</x:v>
      </x:c>
      <x:c r="D140" s="25" t="n">
        <x:v>4</x:v>
      </x:c>
      <x:c r="E140" s="25" t="str">
        <x:v>本大陆动作汇总</x:v>
      </x:c>
      <x:c r="F140" s="25" t="str">
        <x:v>自产</x:v>
      </x:c>
      <x:c r="G140" s="25" t="n">
        <x:v>223</x:v>
      </x:c>
      <x:c r="H140" s="25" t="n">
        <x:v>104770000000</x:v>
      </x:c>
      <x:c r="I140" s="25" t="n">
        <x:v>1255900000</x:v>
      </x:c>
      <x:c r="J140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40" s="25" t="str">
        <x:v>逐操作及每次费用见完整JSON/payments</x:v>
      </x:c>
    </x:row>
    <x:row r="141">
      <x:c r="A141" s="25" t="str">
        <x:v>C07-M</x:v>
      </x:c>
      <x:c r="B141" s="25" t="str">
        <x:v>化圣雪原</x:v>
      </x:c>
      <x:c r="C141" s="25" t="str">
        <x:v>半急速中期</x:v>
      </x:c>
      <x:c r="D141" s="25" t="n">
        <x:v>5</x:v>
      </x:c>
      <x:c r="E141" s="25" t="str">
        <x:v>本大陆动作汇总</x:v>
      </x:c>
      <x:c r="F141" s="25" t="str">
        <x:v>自产</x:v>
      </x:c>
      <x:c r="G141" s="25" t="n">
        <x:v>262</x:v>
      </x:c>
      <x:c r="H141" s="25" t="n">
        <x:v>60750000000</x:v>
      </x:c>
      <x:c r="I141" s="25" t="n">
        <x:v>2965900000</x:v>
      </x:c>
      <x:c r="J141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41" s="25" t="str">
        <x:v>逐操作及每次费用见完整JSON/payments</x:v>
      </x:c>
    </x:row>
    <x:row r="142">
      <x:c r="A142" s="25" t="str">
        <x:v>C07-M</x:v>
      </x:c>
      <x:c r="B142" s="25" t="str">
        <x:v>化圣雪原</x:v>
      </x:c>
      <x:c r="C142" s="25" t="str">
        <x:v>半急速中期</x:v>
      </x:c>
      <x:c r="D142" s="25" t="n">
        <x:v>6</x:v>
      </x:c>
      <x:c r="E142" s="25" t="str">
        <x:v>本大陆动作汇总</x:v>
      </x:c>
      <x:c r="F142" s="25" t="str">
        <x:v>自产</x:v>
      </x:c>
      <x:c r="G142" s="25" t="n">
        <x:v>307</x:v>
      </x:c>
      <x:c r="H142" s="25" t="n">
        <x:v>361480000000</x:v>
      </x:c>
      <x:c r="I142" s="25" t="n">
        <x:v>2124000000</x:v>
      </x:c>
      <x:c r="J142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42" s="25" t="str">
        <x:v>逐操作及每次费用见完整JSON/payments</x:v>
      </x:c>
    </x:row>
    <x:row r="143">
      <x:c r="A143" s="25" t="str">
        <x:v>C07-M</x:v>
      </x:c>
      <x:c r="B143" s="25" t="str">
        <x:v>化圣雪原</x:v>
      </x:c>
      <x:c r="C143" s="25" t="str">
        <x:v>半急速中期</x:v>
      </x:c>
      <x:c r="D143" s="25" t="n">
        <x:v>7</x:v>
      </x:c>
      <x:c r="E143" s="25" t="str">
        <x:v>本大陆动作汇总</x:v>
      </x:c>
      <x:c r="F143" s="25" t="str">
        <x:v>自产</x:v>
      </x:c>
      <x:c r="G143" s="25" t="n">
        <x:v>137</x:v>
      </x:c>
      <x:c r="H143" s="25" t="n">
        <x:v>66100000000</x:v>
      </x:c>
      <x:c r="I143" s="25" t="n">
        <x:v>1032100000</x:v>
      </x:c>
      <x:c r="J143" s="25" t="str">
        <x:v>失色锻造石×2330；野兽骨片×5310；冻晶尘×720；圣雪誓印×8；冻原银角×30；熔原罪火残章×1</x:v>
      </x:c>
      <x:c r="K143" s="25" t="str">
        <x:v>逐操作及每次费用见完整JSON/payments</x:v>
      </x:c>
    </x:row>
    <x:row r="144">
      <x:c r="A144" s="25" t="str">
        <x:v>C07-G</x:v>
      </x:c>
      <x:c r="B144" s="25" t="str">
        <x:v>化圣雪原</x:v>
      </x:c>
      <x:c r="C144" s="25" t="str">
        <x:v>半急速毕业</x:v>
      </x:c>
      <x:c r="D144" s="25" t="n">
        <x:v>0</x:v>
      </x:c>
      <x:c r="E144" s="25" t="str">
        <x:v>本大陆动作汇总</x:v>
      </x:c>
      <x:c r="F144" s="25" t="str">
        <x:v>灵符</x:v>
      </x:c>
      <x:c r="G144" s="25" t="n">
        <x:v>2</x:v>
      </x:c>
      <x:c r="H144" s="25" t="n">
        <x:v>0</x:v>
      </x:c>
      <x:c r="I144" s="25" t="n">
        <x:v>0</x:v>
      </x:c>
      <x:c r="J144" s="25" t="str"/>
      <x:c r="K144" s="25" t="str">
        <x:v>逐操作及每次费用见完整JSON/payments</x:v>
      </x:c>
    </x:row>
    <x:row r="145">
      <x:c r="A145" s="25" t="str">
        <x:v>C07-G</x:v>
      </x:c>
      <x:c r="B145" s="25" t="str">
        <x:v>化圣雪原</x:v>
      </x:c>
      <x:c r="C145" s="25" t="str">
        <x:v>半急速毕业</x:v>
      </x:c>
      <x:c r="D145" s="25" t="n">
        <x:v>1</x:v>
      </x:c>
      <x:c r="E145" s="25" t="str">
        <x:v>本大陆动作汇总</x:v>
      </x:c>
      <x:c r="F145" s="25" t="str">
        <x:v>自产</x:v>
      </x:c>
      <x:c r="G145" s="25" t="n">
        <x:v>4</x:v>
      </x:c>
      <x:c r="H145" s="25" t="n">
        <x:v>2800000000</x:v>
      </x:c>
      <x:c r="I145" s="25" t="n">
        <x:v>74500000</x:v>
      </x:c>
      <x:c r="J145" s="25" t="str">
        <x:v>技能残页×630；海蚀铁片×80；潮痕结晶×8；漂流大陆印记×8；失色锻造石×100；漂流见证·潮×8；漂流见证·雷×8</x:v>
      </x:c>
      <x:c r="K145" s="25" t="str">
        <x:v>逐操作及每次费用见完整JSON/payments</x:v>
      </x:c>
    </x:row>
    <x:row r="146">
      <x:c r="A146" s="25" t="str">
        <x:v>C07-G</x:v>
      </x:c>
      <x:c r="B146" s="25" t="str">
        <x:v>化圣雪原</x:v>
      </x:c>
      <x:c r="C146" s="25" t="str">
        <x:v>半急速毕业</x:v>
      </x:c>
      <x:c r="D146" s="25" t="n">
        <x:v>2</x:v>
      </x:c>
      <x:c r="E146" s="25" t="str">
        <x:v>本大陆动作汇总</x:v>
      </x:c>
      <x:c r="F146" s="25" t="str">
        <x:v>灵符</x:v>
      </x:c>
      <x:c r="G146" s="25" t="n">
        <x:v>2</x:v>
      </x:c>
      <x:c r="H146" s="25" t="n">
        <x:v>0</x:v>
      </x:c>
      <x:c r="I146" s="25" t="n">
        <x:v>0</x:v>
      </x:c>
      <x:c r="J146" s="25" t="str"/>
      <x:c r="K146" s="25" t="str">
        <x:v>逐操作及每次费用见完整JSON/payments</x:v>
      </x:c>
    </x:row>
    <x:row r="147">
      <x:c r="A147" s="25" t="str">
        <x:v>C07-G</x:v>
      </x:c>
      <x:c r="B147" s="25" t="str">
        <x:v>化圣雪原</x:v>
      </x:c>
      <x:c r="C147" s="25" t="str">
        <x:v>半急速毕业</x:v>
      </x:c>
      <x:c r="D147" s="25" t="n">
        <x:v>2</x:v>
      </x:c>
      <x:c r="E147" s="25" t="str">
        <x:v>本大陆动作汇总</x:v>
      </x:c>
      <x:c r="F147" s="25" t="str">
        <x:v>自产</x:v>
      </x:c>
      <x:c r="G147" s="25" t="n">
        <x:v>138</x:v>
      </x:c>
      <x:c r="H147" s="25" t="n">
        <x:v>21870000000</x:v>
      </x:c>
      <x:c r="I147" s="25" t="n">
        <x:v>765500000</x:v>
      </x:c>
      <x:c r="J147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47" s="25" t="str">
        <x:v>逐操作及每次费用见完整JSON/payments</x:v>
      </x:c>
    </x:row>
    <x:row r="148">
      <x:c r="A148" s="25" t="str">
        <x:v>C07-G</x:v>
      </x:c>
      <x:c r="B148" s="25" t="str">
        <x:v>化圣雪原</x:v>
      </x:c>
      <x:c r="C148" s="25" t="str">
        <x:v>半急速毕业</x:v>
      </x:c>
      <x:c r="D148" s="25" t="n">
        <x:v>3</x:v>
      </x:c>
      <x:c r="E148" s="25" t="str">
        <x:v>本大陆动作汇总</x:v>
      </x:c>
      <x:c r="F148" s="25" t="str">
        <x:v>自产</x:v>
      </x:c>
      <x:c r="G148" s="25" t="n">
        <x:v>169</x:v>
      </x:c>
      <x:c r="H148" s="25" t="n">
        <x:v>86720000000</x:v>
      </x:c>
      <x:c r="I148" s="25" t="n">
        <x:v>288100000</x:v>
      </x:c>
      <x:c r="J148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48" s="25" t="str">
        <x:v>逐操作及每次费用见完整JSON/payments</x:v>
      </x:c>
    </x:row>
    <x:row r="149">
      <x:c r="A149" s="25" t="str">
        <x:v>C07-G</x:v>
      </x:c>
      <x:c r="B149" s="25" t="str">
        <x:v>化圣雪原</x:v>
      </x:c>
      <x:c r="C149" s="25" t="str">
        <x:v>半急速毕业</x:v>
      </x:c>
      <x:c r="D149" s="25" t="n">
        <x:v>4</x:v>
      </x:c>
      <x:c r="E149" s="25" t="str">
        <x:v>本大陆动作汇总</x:v>
      </x:c>
      <x:c r="F149" s="25" t="str">
        <x:v>自产</x:v>
      </x:c>
      <x:c r="G149" s="25" t="n">
        <x:v>223</x:v>
      </x:c>
      <x:c r="H149" s="25" t="n">
        <x:v>104770000000</x:v>
      </x:c>
      <x:c r="I149" s="25" t="n">
        <x:v>1255900000</x:v>
      </x:c>
      <x:c r="J149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49" s="25" t="str">
        <x:v>逐操作及每次费用见完整JSON/payments</x:v>
      </x:c>
    </x:row>
    <x:row r="150">
      <x:c r="A150" s="25" t="str">
        <x:v>C07-G</x:v>
      </x:c>
      <x:c r="B150" s="25" t="str">
        <x:v>化圣雪原</x:v>
      </x:c>
      <x:c r="C150" s="25" t="str">
        <x:v>半急速毕业</x:v>
      </x:c>
      <x:c r="D150" s="25" t="n">
        <x:v>5</x:v>
      </x:c>
      <x:c r="E150" s="25" t="str">
        <x:v>本大陆动作汇总</x:v>
      </x:c>
      <x:c r="F150" s="25" t="str">
        <x:v>自产</x:v>
      </x:c>
      <x:c r="G150" s="25" t="n">
        <x:v>262</x:v>
      </x:c>
      <x:c r="H150" s="25" t="n">
        <x:v>60750000000</x:v>
      </x:c>
      <x:c r="I150" s="25" t="n">
        <x:v>2965900000</x:v>
      </x:c>
      <x:c r="J150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50" s="25" t="str">
        <x:v>逐操作及每次费用见完整JSON/payments</x:v>
      </x:c>
    </x:row>
    <x:row r="151">
      <x:c r="A151" s="25" t="str">
        <x:v>C07-G</x:v>
      </x:c>
      <x:c r="B151" s="25" t="str">
        <x:v>化圣雪原</x:v>
      </x:c>
      <x:c r="C151" s="25" t="str">
        <x:v>半急速毕业</x:v>
      </x:c>
      <x:c r="D151" s="25" t="n">
        <x:v>6</x:v>
      </x:c>
      <x:c r="E151" s="25" t="str">
        <x:v>本大陆动作汇总</x:v>
      </x:c>
      <x:c r="F151" s="25" t="str">
        <x:v>自产</x:v>
      </x:c>
      <x:c r="G151" s="25" t="n">
        <x:v>307</x:v>
      </x:c>
      <x:c r="H151" s="25" t="n">
        <x:v>361480000000</x:v>
      </x:c>
      <x:c r="I151" s="25" t="n">
        <x:v>2124000000</x:v>
      </x:c>
      <x:c r="J151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51" s="25" t="str">
        <x:v>逐操作及每次费用见完整JSON/payments</x:v>
      </x:c>
    </x:row>
    <x:row r="152">
      <x:c r="A152" s="25" t="str">
        <x:v>C07-G</x:v>
      </x:c>
      <x:c r="B152" s="25" t="str">
        <x:v>化圣雪原</x:v>
      </x:c>
      <x:c r="C152" s="25" t="str">
        <x:v>半急速毕业</x:v>
      </x:c>
      <x:c r="D152" s="25" t="n">
        <x:v>7</x:v>
      </x:c>
      <x:c r="E152" s="25" t="str">
        <x:v>本大陆动作汇总</x:v>
      </x:c>
      <x:c r="F152" s="25" t="str">
        <x:v>自产</x:v>
      </x:c>
      <x:c r="G152" s="25" t="n">
        <x:v>334</x:v>
      </x:c>
      <x:c r="H152" s="25" t="n">
        <x:v>284300000000</x:v>
      </x:c>
      <x:c r="I152" s="25" t="n">
        <x:v>3945200000</x:v>
      </x:c>
      <x:c r="J152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152" s="25" t="str">
        <x:v>逐操作及每次费用见完整JSON/payments</x:v>
      </x:c>
    </x:row>
    <x:row r="153">
      <x:c r="A153" s="25" t="str">
        <x:v>C07-X</x:v>
      </x:c>
      <x:c r="B153" s="25" t="str">
        <x:v>化圣雪原</x:v>
      </x:c>
      <x:c r="C153" s="25" t="str">
        <x:v>极端压力</x:v>
      </x:c>
      <x:c r="D153" s="25" t="n">
        <x:v>0</x:v>
      </x:c>
      <x:c r="E153" s="25" t="str">
        <x:v>本大陆动作汇总</x:v>
      </x:c>
      <x:c r="F153" s="25" t="str">
        <x:v>灵符</x:v>
      </x:c>
      <x:c r="G153" s="25" t="n">
        <x:v>2</x:v>
      </x:c>
      <x:c r="H153" s="25" t="n">
        <x:v>0</x:v>
      </x:c>
      <x:c r="I153" s="25" t="n">
        <x:v>0</x:v>
      </x:c>
      <x:c r="J153" s="25" t="str"/>
      <x:c r="K153" s="25" t="str">
        <x:v>逐操作及每次费用见完整JSON/payments</x:v>
      </x:c>
    </x:row>
    <x:row r="154">
      <x:c r="A154" s="25" t="str">
        <x:v>C07-X</x:v>
      </x:c>
      <x:c r="B154" s="25" t="str">
        <x:v>化圣雪原</x:v>
      </x:c>
      <x:c r="C154" s="25" t="str">
        <x:v>极端压力</x:v>
      </x:c>
      <x:c r="D154" s="25" t="n">
        <x:v>1</x:v>
      </x:c>
      <x:c r="E154" s="25" t="str">
        <x:v>本大陆动作汇总</x:v>
      </x:c>
      <x:c r="F154" s="25" t="str">
        <x:v>自产</x:v>
      </x:c>
      <x:c r="G154" s="25" t="n">
        <x:v>4</x:v>
      </x:c>
      <x:c r="H154" s="25" t="n">
        <x:v>2800000000</x:v>
      </x:c>
      <x:c r="I154" s="25" t="n">
        <x:v>74500000</x:v>
      </x:c>
      <x:c r="J154" s="25" t="str">
        <x:v>技能残页×630；海蚀铁片×80；潮痕结晶×8；漂流大陆印记×8；失色锻造石×100；漂流见证·潮×8；漂流见证·雷×8</x:v>
      </x:c>
      <x:c r="K154" s="25" t="str">
        <x:v>逐操作及每次费用见完整JSON/payments</x:v>
      </x:c>
    </x:row>
    <x:row r="155">
      <x:c r="A155" s="25" t="str">
        <x:v>C07-X</x:v>
      </x:c>
      <x:c r="B155" s="25" t="str">
        <x:v>化圣雪原</x:v>
      </x:c>
      <x:c r="C155" s="25" t="str">
        <x:v>极端压力</x:v>
      </x:c>
      <x:c r="D155" s="25" t="n">
        <x:v>2</x:v>
      </x:c>
      <x:c r="E155" s="25" t="str">
        <x:v>本大陆动作汇总</x:v>
      </x:c>
      <x:c r="F155" s="25" t="str">
        <x:v>灵符</x:v>
      </x:c>
      <x:c r="G155" s="25" t="n">
        <x:v>2</x:v>
      </x:c>
      <x:c r="H155" s="25" t="n">
        <x:v>0</x:v>
      </x:c>
      <x:c r="I155" s="25" t="n">
        <x:v>0</x:v>
      </x:c>
      <x:c r="J155" s="25" t="str"/>
      <x:c r="K155" s="25" t="str">
        <x:v>逐操作及每次费用见完整JSON/payments</x:v>
      </x:c>
    </x:row>
    <x:row r="156">
      <x:c r="A156" s="25" t="str">
        <x:v>C07-X</x:v>
      </x:c>
      <x:c r="B156" s="25" t="str">
        <x:v>化圣雪原</x:v>
      </x:c>
      <x:c r="C156" s="25" t="str">
        <x:v>极端压力</x:v>
      </x:c>
      <x:c r="D156" s="25" t="n">
        <x:v>2</x:v>
      </x:c>
      <x:c r="E156" s="25" t="str">
        <x:v>本大陆动作汇总</x:v>
      </x:c>
      <x:c r="F156" s="25" t="str">
        <x:v>自产</x:v>
      </x:c>
      <x:c r="G156" s="25" t="n">
        <x:v>138</x:v>
      </x:c>
      <x:c r="H156" s="25" t="n">
        <x:v>21870000000</x:v>
      </x:c>
      <x:c r="I156" s="25" t="n">
        <x:v>765500000</x:v>
      </x:c>
      <x:c r="J156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56" s="25" t="str">
        <x:v>逐操作及每次费用见完整JSON/payments</x:v>
      </x:c>
    </x:row>
    <x:row r="157">
      <x:c r="A157" s="25" t="str">
        <x:v>C07-X</x:v>
      </x:c>
      <x:c r="B157" s="25" t="str">
        <x:v>化圣雪原</x:v>
      </x:c>
      <x:c r="C157" s="25" t="str">
        <x:v>极端压力</x:v>
      </x:c>
      <x:c r="D157" s="25" t="n">
        <x:v>3</x:v>
      </x:c>
      <x:c r="E157" s="25" t="str">
        <x:v>本大陆动作汇总</x:v>
      </x:c>
      <x:c r="F157" s="25" t="str">
        <x:v>自产</x:v>
      </x:c>
      <x:c r="G157" s="25" t="n">
        <x:v>169</x:v>
      </x:c>
      <x:c r="H157" s="25" t="n">
        <x:v>86720000000</x:v>
      </x:c>
      <x:c r="I157" s="25" t="n">
        <x:v>288100000</x:v>
      </x:c>
      <x:c r="J157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57" s="25" t="str">
        <x:v>逐操作及每次费用见完整JSON/payments</x:v>
      </x:c>
    </x:row>
    <x:row r="158">
      <x:c r="A158" s="25" t="str">
        <x:v>C07-X</x:v>
      </x:c>
      <x:c r="B158" s="25" t="str">
        <x:v>化圣雪原</x:v>
      </x:c>
      <x:c r="C158" s="25" t="str">
        <x:v>极端压力</x:v>
      </x:c>
      <x:c r="D158" s="25" t="n">
        <x:v>4</x:v>
      </x:c>
      <x:c r="E158" s="25" t="str">
        <x:v>本大陆动作汇总</x:v>
      </x:c>
      <x:c r="F158" s="25" t="str">
        <x:v>自产</x:v>
      </x:c>
      <x:c r="G158" s="25" t="n">
        <x:v>223</x:v>
      </x:c>
      <x:c r="H158" s="25" t="n">
        <x:v>104770000000</x:v>
      </x:c>
      <x:c r="I158" s="25" t="n">
        <x:v>1255900000</x:v>
      </x:c>
      <x:c r="J158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58" s="25" t="str">
        <x:v>逐操作及每次费用见完整JSON/payments</x:v>
      </x:c>
    </x:row>
    <x:row r="159">
      <x:c r="A159" s="25" t="str">
        <x:v>C07-X</x:v>
      </x:c>
      <x:c r="B159" s="25" t="str">
        <x:v>化圣雪原</x:v>
      </x:c>
      <x:c r="C159" s="25" t="str">
        <x:v>极端压力</x:v>
      </x:c>
      <x:c r="D159" s="25" t="n">
        <x:v>5</x:v>
      </x:c>
      <x:c r="E159" s="25" t="str">
        <x:v>本大陆动作汇总</x:v>
      </x:c>
      <x:c r="F159" s="25" t="str">
        <x:v>自产</x:v>
      </x:c>
      <x:c r="G159" s="25" t="n">
        <x:v>262</x:v>
      </x:c>
      <x:c r="H159" s="25" t="n">
        <x:v>60750000000</x:v>
      </x:c>
      <x:c r="I159" s="25" t="n">
        <x:v>2965900000</x:v>
      </x:c>
      <x:c r="J159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59" s="25" t="str">
        <x:v>逐操作及每次费用见完整JSON/payments</x:v>
      </x:c>
    </x:row>
    <x:row r="160">
      <x:c r="A160" s="25" t="str">
        <x:v>C07-X</x:v>
      </x:c>
      <x:c r="B160" s="25" t="str">
        <x:v>化圣雪原</x:v>
      </x:c>
      <x:c r="C160" s="25" t="str">
        <x:v>极端压力</x:v>
      </x:c>
      <x:c r="D160" s="25" t="n">
        <x:v>6</x:v>
      </x:c>
      <x:c r="E160" s="25" t="str">
        <x:v>本大陆动作汇总</x:v>
      </x:c>
      <x:c r="F160" s="25" t="str">
        <x:v>自产</x:v>
      </x:c>
      <x:c r="G160" s="25" t="n">
        <x:v>307</x:v>
      </x:c>
      <x:c r="H160" s="25" t="n">
        <x:v>361480000000</x:v>
      </x:c>
      <x:c r="I160" s="25" t="n">
        <x:v>2124000000</x:v>
      </x:c>
      <x:c r="J160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60" s="25" t="str">
        <x:v>逐操作及每次费用见完整JSON/payments</x:v>
      </x:c>
    </x:row>
    <x:row r="161">
      <x:c r="A161" s="25" t="str">
        <x:v>C07-X</x:v>
      </x:c>
      <x:c r="B161" s="25" t="str">
        <x:v>化圣雪原</x:v>
      </x:c>
      <x:c r="C161" s="25" t="str">
        <x:v>极端压力</x:v>
      </x:c>
      <x:c r="D161" s="25" t="n">
        <x:v>7</x:v>
      </x:c>
      <x:c r="E161" s="25" t="str">
        <x:v>本大陆动作汇总</x:v>
      </x:c>
      <x:c r="F161" s="25" t="str">
        <x:v>自产</x:v>
      </x:c>
      <x:c r="G161" s="25" t="n">
        <x:v>980</x:v>
      </x:c>
      <x:c r="H161" s="25" t="n">
        <x:v>456300000000</x:v>
      </x:c>
      <x:c r="I161" s="25" t="n">
        <x:v>13804400000</x:v>
      </x:c>
      <x:c r="J161" s="25" t="str">
        <x:v>失色锻造石×29390；野兽骨片×11875；冻晶尘×2440；圣雪誓印×53；冻原银角×30；熔原罪火残章×1；白金路标片×145；辉石碎晶×800；月蚀镜片×7；满月王室印×10；白金纺线×60；圣雪门楔×8；秘树霜芽×12；湖盐结晶×310；深湖压舱印×6；沉湖王印×9；雾月星砂×90；禁域星钥×2；猩红矿渣×840；净火腺囊×52；龙窟熔牙×16；永霜朝圣痕×1</x:v>
      </x:c>
      <x:c r="K161" s="25" t="str">
        <x:v>逐操作及每次费用见完整JSON/payments</x:v>
      </x:c>
    </x:row>
    <x:row r="162">
      <x:c r="A162" s="25" t="str">
        <x:v>C08-E</x:v>
      </x:c>
      <x:c r="B162" s="25" t="str">
        <x:v>巨人山顶</x:v>
      </x:c>
      <x:c r="C162" s="25" t="str">
        <x:v>半急速入场</x:v>
      </x:c>
      <x:c r="D162" s="25" t="n">
        <x:v>0</x:v>
      </x:c>
      <x:c r="E162" s="25" t="str">
        <x:v>本大陆动作汇总</x:v>
      </x:c>
      <x:c r="F162" s="25" t="str">
        <x:v>灵符</x:v>
      </x:c>
      <x:c r="G162" s="25" t="n">
        <x:v>2</x:v>
      </x:c>
      <x:c r="H162" s="25" t="n">
        <x:v>0</x:v>
      </x:c>
      <x:c r="I162" s="25" t="n">
        <x:v>0</x:v>
      </x:c>
      <x:c r="J162" s="25" t="str"/>
      <x:c r="K162" s="25" t="str">
        <x:v>逐操作及每次费用见完整JSON/payments</x:v>
      </x:c>
    </x:row>
    <x:row r="163">
      <x:c r="A163" s="25" t="str">
        <x:v>C08-E</x:v>
      </x:c>
      <x:c r="B163" s="25" t="str">
        <x:v>巨人山顶</x:v>
      </x:c>
      <x:c r="C163" s="25" t="str">
        <x:v>半急速入场</x:v>
      </x:c>
      <x:c r="D163" s="25" t="n">
        <x:v>1</x:v>
      </x:c>
      <x:c r="E163" s="25" t="str">
        <x:v>本大陆动作汇总</x:v>
      </x:c>
      <x:c r="F163" s="25" t="str">
        <x:v>自产</x:v>
      </x:c>
      <x:c r="G163" s="25" t="n">
        <x:v>4</x:v>
      </x:c>
      <x:c r="H163" s="25" t="n">
        <x:v>2800000000</x:v>
      </x:c>
      <x:c r="I163" s="25" t="n">
        <x:v>74500000</x:v>
      </x:c>
      <x:c r="J163" s="25" t="str">
        <x:v>技能残页×630；海蚀铁片×80；潮痕结晶×8；漂流大陆印记×8；失色锻造石×100；漂流见证·潮×8；漂流见证·雷×8</x:v>
      </x:c>
      <x:c r="K163" s="25" t="str">
        <x:v>逐操作及每次费用见完整JSON/payments</x:v>
      </x:c>
    </x:row>
    <x:row r="164">
      <x:c r="A164" s="25" t="str">
        <x:v>C08-E</x:v>
      </x:c>
      <x:c r="B164" s="25" t="str">
        <x:v>巨人山顶</x:v>
      </x:c>
      <x:c r="C164" s="25" t="str">
        <x:v>半急速入场</x:v>
      </x:c>
      <x:c r="D164" s="25" t="n">
        <x:v>2</x:v>
      </x:c>
      <x:c r="E164" s="25" t="str">
        <x:v>本大陆动作汇总</x:v>
      </x:c>
      <x:c r="F164" s="25" t="str">
        <x:v>灵符</x:v>
      </x:c>
      <x:c r="G164" s="25" t="n">
        <x:v>2</x:v>
      </x:c>
      <x:c r="H164" s="25" t="n">
        <x:v>0</x:v>
      </x:c>
      <x:c r="I164" s="25" t="n">
        <x:v>0</x:v>
      </x:c>
      <x:c r="J164" s="25" t="str"/>
      <x:c r="K164" s="25" t="str">
        <x:v>逐操作及每次费用见完整JSON/payments</x:v>
      </x:c>
    </x:row>
    <x:row r="165">
      <x:c r="A165" s="25" t="str">
        <x:v>C08-E</x:v>
      </x:c>
      <x:c r="B165" s="25" t="str">
        <x:v>巨人山顶</x:v>
      </x:c>
      <x:c r="C165" s="25" t="str">
        <x:v>半急速入场</x:v>
      </x:c>
      <x:c r="D165" s="25" t="n">
        <x:v>2</x:v>
      </x:c>
      <x:c r="E165" s="25" t="str">
        <x:v>本大陆动作汇总</x:v>
      </x:c>
      <x:c r="F165" s="25" t="str">
        <x:v>自产</x:v>
      </x:c>
      <x:c r="G165" s="25" t="n">
        <x:v>138</x:v>
      </x:c>
      <x:c r="H165" s="25" t="n">
        <x:v>21870000000</x:v>
      </x:c>
      <x:c r="I165" s="25" t="n">
        <x:v>765500000</x:v>
      </x:c>
      <x:c r="J165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65" s="25" t="str">
        <x:v>逐操作及每次费用见完整JSON/payments</x:v>
      </x:c>
    </x:row>
    <x:row r="166">
      <x:c r="A166" s="25" t="str">
        <x:v>C08-E</x:v>
      </x:c>
      <x:c r="B166" s="25" t="str">
        <x:v>巨人山顶</x:v>
      </x:c>
      <x:c r="C166" s="25" t="str">
        <x:v>半急速入场</x:v>
      </x:c>
      <x:c r="D166" s="25" t="n">
        <x:v>3</x:v>
      </x:c>
      <x:c r="E166" s="25" t="str">
        <x:v>本大陆动作汇总</x:v>
      </x:c>
      <x:c r="F166" s="25" t="str">
        <x:v>自产</x:v>
      </x:c>
      <x:c r="G166" s="25" t="n">
        <x:v>169</x:v>
      </x:c>
      <x:c r="H166" s="25" t="n">
        <x:v>86720000000</x:v>
      </x:c>
      <x:c r="I166" s="25" t="n">
        <x:v>288100000</x:v>
      </x:c>
      <x:c r="J166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66" s="25" t="str">
        <x:v>逐操作及每次费用见完整JSON/payments</x:v>
      </x:c>
    </x:row>
    <x:row r="167">
      <x:c r="A167" s="25" t="str">
        <x:v>C08-E</x:v>
      </x:c>
      <x:c r="B167" s="25" t="str">
        <x:v>巨人山顶</x:v>
      </x:c>
      <x:c r="C167" s="25" t="str">
        <x:v>半急速入场</x:v>
      </x:c>
      <x:c r="D167" s="25" t="n">
        <x:v>4</x:v>
      </x:c>
      <x:c r="E167" s="25" t="str">
        <x:v>本大陆动作汇总</x:v>
      </x:c>
      <x:c r="F167" s="25" t="str">
        <x:v>自产</x:v>
      </x:c>
      <x:c r="G167" s="25" t="n">
        <x:v>223</x:v>
      </x:c>
      <x:c r="H167" s="25" t="n">
        <x:v>104770000000</x:v>
      </x:c>
      <x:c r="I167" s="25" t="n">
        <x:v>1255900000</x:v>
      </x:c>
      <x:c r="J167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67" s="25" t="str">
        <x:v>逐操作及每次费用见完整JSON/payments</x:v>
      </x:c>
    </x:row>
    <x:row r="168">
      <x:c r="A168" s="25" t="str">
        <x:v>C08-E</x:v>
      </x:c>
      <x:c r="B168" s="25" t="str">
        <x:v>巨人山顶</x:v>
      </x:c>
      <x:c r="C168" s="25" t="str">
        <x:v>半急速入场</x:v>
      </x:c>
      <x:c r="D168" s="25" t="n">
        <x:v>5</x:v>
      </x:c>
      <x:c r="E168" s="25" t="str">
        <x:v>本大陆动作汇总</x:v>
      </x:c>
      <x:c r="F168" s="25" t="str">
        <x:v>自产</x:v>
      </x:c>
      <x:c r="G168" s="25" t="n">
        <x:v>262</x:v>
      </x:c>
      <x:c r="H168" s="25" t="n">
        <x:v>60750000000</x:v>
      </x:c>
      <x:c r="I168" s="25" t="n">
        <x:v>2965900000</x:v>
      </x:c>
      <x:c r="J168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68" s="25" t="str">
        <x:v>逐操作及每次费用见完整JSON/payments</x:v>
      </x:c>
    </x:row>
    <x:row r="169">
      <x:c r="A169" s="25" t="str">
        <x:v>C08-E</x:v>
      </x:c>
      <x:c r="B169" s="25" t="str">
        <x:v>巨人山顶</x:v>
      </x:c>
      <x:c r="C169" s="25" t="str">
        <x:v>半急速入场</x:v>
      </x:c>
      <x:c r="D169" s="25" t="n">
        <x:v>6</x:v>
      </x:c>
      <x:c r="E169" s="25" t="str">
        <x:v>本大陆动作汇总</x:v>
      </x:c>
      <x:c r="F169" s="25" t="str">
        <x:v>自产</x:v>
      </x:c>
      <x:c r="G169" s="25" t="n">
        <x:v>307</x:v>
      </x:c>
      <x:c r="H169" s="25" t="n">
        <x:v>361480000000</x:v>
      </x:c>
      <x:c r="I169" s="25" t="n">
        <x:v>2124000000</x:v>
      </x:c>
      <x:c r="J169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69" s="25" t="str">
        <x:v>逐操作及每次费用见完整JSON/payments</x:v>
      </x:c>
    </x:row>
    <x:row r="170">
      <x:c r="A170" s="25" t="str">
        <x:v>C08-E</x:v>
      </x:c>
      <x:c r="B170" s="25" t="str">
        <x:v>巨人山顶</x:v>
      </x:c>
      <x:c r="C170" s="25" t="str">
        <x:v>半急速入场</x:v>
      </x:c>
      <x:c r="D170" s="25" t="n">
        <x:v>7</x:v>
      </x:c>
      <x:c r="E170" s="25" t="str">
        <x:v>本大陆动作汇总</x:v>
      </x:c>
      <x:c r="F170" s="25" t="str">
        <x:v>自产</x:v>
      </x:c>
      <x:c r="G170" s="25" t="n">
        <x:v>334</x:v>
      </x:c>
      <x:c r="H170" s="25" t="n">
        <x:v>284300000000</x:v>
      </x:c>
      <x:c r="I170" s="25" t="n">
        <x:v>3945200000</x:v>
      </x:c>
      <x:c r="J170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170" s="25" t="str">
        <x:v>逐操作及每次费用见完整JSON/payments</x:v>
      </x:c>
    </x:row>
    <x:row r="171">
      <x:c r="A171" s="25" t="str">
        <x:v>C08-M</x:v>
      </x:c>
      <x:c r="B171" s="25" t="str">
        <x:v>巨人山顶</x:v>
      </x:c>
      <x:c r="C171" s="25" t="str">
        <x:v>半急速中期</x:v>
      </x:c>
      <x:c r="D171" s="25" t="n">
        <x:v>0</x:v>
      </x:c>
      <x:c r="E171" s="25" t="str">
        <x:v>本大陆动作汇总</x:v>
      </x:c>
      <x:c r="F171" s="25" t="str">
        <x:v>灵符</x:v>
      </x:c>
      <x:c r="G171" s="25" t="n">
        <x:v>2</x:v>
      </x:c>
      <x:c r="H171" s="25" t="n">
        <x:v>0</x:v>
      </x:c>
      <x:c r="I171" s="25" t="n">
        <x:v>0</x:v>
      </x:c>
      <x:c r="J171" s="25" t="str"/>
      <x:c r="K171" s="25" t="str">
        <x:v>逐操作及每次费用见完整JSON/payments</x:v>
      </x:c>
    </x:row>
    <x:row r="172">
      <x:c r="A172" s="25" t="str">
        <x:v>C08-M</x:v>
      </x:c>
      <x:c r="B172" s="25" t="str">
        <x:v>巨人山顶</x:v>
      </x:c>
      <x:c r="C172" s="25" t="str">
        <x:v>半急速中期</x:v>
      </x:c>
      <x:c r="D172" s="25" t="n">
        <x:v>1</x:v>
      </x:c>
      <x:c r="E172" s="25" t="str">
        <x:v>本大陆动作汇总</x:v>
      </x:c>
      <x:c r="F172" s="25" t="str">
        <x:v>自产</x:v>
      </x:c>
      <x:c r="G172" s="25" t="n">
        <x:v>4</x:v>
      </x:c>
      <x:c r="H172" s="25" t="n">
        <x:v>2800000000</x:v>
      </x:c>
      <x:c r="I172" s="25" t="n">
        <x:v>74500000</x:v>
      </x:c>
      <x:c r="J172" s="25" t="str">
        <x:v>技能残页×630；海蚀铁片×80；潮痕结晶×8；漂流大陆印记×8；失色锻造石×100；漂流见证·潮×8；漂流见证·雷×8</x:v>
      </x:c>
      <x:c r="K172" s="25" t="str">
        <x:v>逐操作及每次费用见完整JSON/payments</x:v>
      </x:c>
    </x:row>
    <x:row r="173">
      <x:c r="A173" s="25" t="str">
        <x:v>C08-M</x:v>
      </x:c>
      <x:c r="B173" s="25" t="str">
        <x:v>巨人山顶</x:v>
      </x:c>
      <x:c r="C173" s="25" t="str">
        <x:v>半急速中期</x:v>
      </x:c>
      <x:c r="D173" s="25" t="n">
        <x:v>2</x:v>
      </x:c>
      <x:c r="E173" s="25" t="str">
        <x:v>本大陆动作汇总</x:v>
      </x:c>
      <x:c r="F173" s="25" t="str">
        <x:v>灵符</x:v>
      </x:c>
      <x:c r="G173" s="25" t="n">
        <x:v>2</x:v>
      </x:c>
      <x:c r="H173" s="25" t="n">
        <x:v>0</x:v>
      </x:c>
      <x:c r="I173" s="25" t="n">
        <x:v>0</x:v>
      </x:c>
      <x:c r="J173" s="25" t="str"/>
      <x:c r="K173" s="25" t="str">
        <x:v>逐操作及每次费用见完整JSON/payments</x:v>
      </x:c>
    </x:row>
    <x:row r="174">
      <x:c r="A174" s="25" t="str">
        <x:v>C08-M</x:v>
      </x:c>
      <x:c r="B174" s="25" t="str">
        <x:v>巨人山顶</x:v>
      </x:c>
      <x:c r="C174" s="25" t="str">
        <x:v>半急速中期</x:v>
      </x:c>
      <x:c r="D174" s="25" t="n">
        <x:v>2</x:v>
      </x:c>
      <x:c r="E174" s="25" t="str">
        <x:v>本大陆动作汇总</x:v>
      </x:c>
      <x:c r="F174" s="25" t="str">
        <x:v>自产</x:v>
      </x:c>
      <x:c r="G174" s="25" t="n">
        <x:v>138</x:v>
      </x:c>
      <x:c r="H174" s="25" t="n">
        <x:v>21870000000</x:v>
      </x:c>
      <x:c r="I174" s="25" t="n">
        <x:v>765500000</x:v>
      </x:c>
      <x:c r="J17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74" s="25" t="str">
        <x:v>逐操作及每次费用见完整JSON/payments</x:v>
      </x:c>
    </x:row>
    <x:row r="175">
      <x:c r="A175" s="25" t="str">
        <x:v>C08-M</x:v>
      </x:c>
      <x:c r="B175" s="25" t="str">
        <x:v>巨人山顶</x:v>
      </x:c>
      <x:c r="C175" s="25" t="str">
        <x:v>半急速中期</x:v>
      </x:c>
      <x:c r="D175" s="25" t="n">
        <x:v>3</x:v>
      </x:c>
      <x:c r="E175" s="25" t="str">
        <x:v>本大陆动作汇总</x:v>
      </x:c>
      <x:c r="F175" s="25" t="str">
        <x:v>自产</x:v>
      </x:c>
      <x:c r="G175" s="25" t="n">
        <x:v>169</x:v>
      </x:c>
      <x:c r="H175" s="25" t="n">
        <x:v>86720000000</x:v>
      </x:c>
      <x:c r="I175" s="25" t="n">
        <x:v>288100000</x:v>
      </x:c>
      <x:c r="J17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75" s="25" t="str">
        <x:v>逐操作及每次费用见完整JSON/payments</x:v>
      </x:c>
    </x:row>
    <x:row r="176">
      <x:c r="A176" s="25" t="str">
        <x:v>C08-M</x:v>
      </x:c>
      <x:c r="B176" s="25" t="str">
        <x:v>巨人山顶</x:v>
      </x:c>
      <x:c r="C176" s="25" t="str">
        <x:v>半急速中期</x:v>
      </x:c>
      <x:c r="D176" s="25" t="n">
        <x:v>4</x:v>
      </x:c>
      <x:c r="E176" s="25" t="str">
        <x:v>本大陆动作汇总</x:v>
      </x:c>
      <x:c r="F176" s="25" t="str">
        <x:v>自产</x:v>
      </x:c>
      <x:c r="G176" s="25" t="n">
        <x:v>223</x:v>
      </x:c>
      <x:c r="H176" s="25" t="n">
        <x:v>104770000000</x:v>
      </x:c>
      <x:c r="I176" s="25" t="n">
        <x:v>1255900000</x:v>
      </x:c>
      <x:c r="J176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76" s="25" t="str">
        <x:v>逐操作及每次费用见完整JSON/payments</x:v>
      </x:c>
    </x:row>
    <x:row r="177">
      <x:c r="A177" s="25" t="str">
        <x:v>C08-M</x:v>
      </x:c>
      <x:c r="B177" s="25" t="str">
        <x:v>巨人山顶</x:v>
      </x:c>
      <x:c r="C177" s="25" t="str">
        <x:v>半急速中期</x:v>
      </x:c>
      <x:c r="D177" s="25" t="n">
        <x:v>5</x:v>
      </x:c>
      <x:c r="E177" s="25" t="str">
        <x:v>本大陆动作汇总</x:v>
      </x:c>
      <x:c r="F177" s="25" t="str">
        <x:v>自产</x:v>
      </x:c>
      <x:c r="G177" s="25" t="n">
        <x:v>262</x:v>
      </x:c>
      <x:c r="H177" s="25" t="n">
        <x:v>60750000000</x:v>
      </x:c>
      <x:c r="I177" s="25" t="n">
        <x:v>2965900000</x:v>
      </x:c>
      <x:c r="J177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77" s="25" t="str">
        <x:v>逐操作及每次费用见完整JSON/payments</x:v>
      </x:c>
    </x:row>
    <x:row r="178">
      <x:c r="A178" s="25" t="str">
        <x:v>C08-M</x:v>
      </x:c>
      <x:c r="B178" s="25" t="str">
        <x:v>巨人山顶</x:v>
      </x:c>
      <x:c r="C178" s="25" t="str">
        <x:v>半急速中期</x:v>
      </x:c>
      <x:c r="D178" s="25" t="n">
        <x:v>6</x:v>
      </x:c>
      <x:c r="E178" s="25" t="str">
        <x:v>本大陆动作汇总</x:v>
      </x:c>
      <x:c r="F178" s="25" t="str">
        <x:v>自产</x:v>
      </x:c>
      <x:c r="G178" s="25" t="n">
        <x:v>307</x:v>
      </x:c>
      <x:c r="H178" s="25" t="n">
        <x:v>361480000000</x:v>
      </x:c>
      <x:c r="I178" s="25" t="n">
        <x:v>2124000000</x:v>
      </x:c>
      <x:c r="J178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78" s="25" t="str">
        <x:v>逐操作及每次费用见完整JSON/payments</x:v>
      </x:c>
    </x:row>
    <x:row r="179">
      <x:c r="A179" s="25" t="str">
        <x:v>C08-M</x:v>
      </x:c>
      <x:c r="B179" s="25" t="str">
        <x:v>巨人山顶</x:v>
      </x:c>
      <x:c r="C179" s="25" t="str">
        <x:v>半急速中期</x:v>
      </x:c>
      <x:c r="D179" s="25" t="n">
        <x:v>7</x:v>
      </x:c>
      <x:c r="E179" s="25" t="str">
        <x:v>本大陆动作汇总</x:v>
      </x:c>
      <x:c r="F179" s="25" t="str">
        <x:v>自产</x:v>
      </x:c>
      <x:c r="G179" s="25" t="n">
        <x:v>334</x:v>
      </x:c>
      <x:c r="H179" s="25" t="n">
        <x:v>284300000000</x:v>
      </x:c>
      <x:c r="I179" s="25" t="n">
        <x:v>3945200000</x:v>
      </x:c>
      <x:c r="J179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179" s="25" t="str">
        <x:v>逐操作及每次费用见完整JSON/payments</x:v>
      </x:c>
    </x:row>
    <x:row r="180">
      <x:c r="A180" s="25" t="str">
        <x:v>C08-M</x:v>
      </x:c>
      <x:c r="B180" s="25" t="str">
        <x:v>巨人山顶</x:v>
      </x:c>
      <x:c r="C180" s="25" t="str">
        <x:v>半急速中期</x:v>
      </x:c>
      <x:c r="D180" s="25" t="n">
        <x:v>8</x:v>
      </x:c>
      <x:c r="E180" s="25" t="str">
        <x:v>本大陆动作汇总</x:v>
      </x:c>
      <x:c r="F180" s="25" t="str">
        <x:v>自产</x:v>
      </x:c>
      <x:c r="G180" s="25" t="n">
        <x:v>150</x:v>
      </x:c>
      <x:c r="H180" s="25" t="n">
        <x:v>147600000000</x:v>
      </x:c>
      <x:c r="I180" s="25" t="n">
        <x:v>1587600000</x:v>
      </x:c>
      <x:c r="J180" s="25" t="str">
        <x:v>失色锻造石×2180；野兽骨片×7518；霜脊铁×1050；裂峰号角片×34；巨人火种×17；巨人火印×14；巨人熔火卢恩×100；神秘符文×100；永霜朝圣痕×1</x:v>
      </x:c>
      <x:c r="K180" s="25" t="str">
        <x:v>逐操作及每次费用见完整JSON/payments</x:v>
      </x:c>
    </x:row>
    <x:row r="181">
      <x:c r="A181" s="25" t="str">
        <x:v>C08-G</x:v>
      </x:c>
      <x:c r="B181" s="25" t="str">
        <x:v>巨人山顶</x:v>
      </x:c>
      <x:c r="C181" s="25" t="str">
        <x:v>半急速毕业</x:v>
      </x:c>
      <x:c r="D181" s="25" t="n">
        <x:v>0</x:v>
      </x:c>
      <x:c r="E181" s="25" t="str">
        <x:v>本大陆动作汇总</x:v>
      </x:c>
      <x:c r="F181" s="25" t="str">
        <x:v>灵符</x:v>
      </x:c>
      <x:c r="G181" s="25" t="n">
        <x:v>2</x:v>
      </x:c>
      <x:c r="H181" s="25" t="n">
        <x:v>0</x:v>
      </x:c>
      <x:c r="I181" s="25" t="n">
        <x:v>0</x:v>
      </x:c>
      <x:c r="J181" s="25" t="str"/>
      <x:c r="K181" s="25" t="str">
        <x:v>逐操作及每次费用见完整JSON/payments</x:v>
      </x:c>
    </x:row>
    <x:row r="182">
      <x:c r="A182" s="25" t="str">
        <x:v>C08-G</x:v>
      </x:c>
      <x:c r="B182" s="25" t="str">
        <x:v>巨人山顶</x:v>
      </x:c>
      <x:c r="C182" s="25" t="str">
        <x:v>半急速毕业</x:v>
      </x:c>
      <x:c r="D182" s="25" t="n">
        <x:v>1</x:v>
      </x:c>
      <x:c r="E182" s="25" t="str">
        <x:v>本大陆动作汇总</x:v>
      </x:c>
      <x:c r="F182" s="25" t="str">
        <x:v>自产</x:v>
      </x:c>
      <x:c r="G182" s="25" t="n">
        <x:v>4</x:v>
      </x:c>
      <x:c r="H182" s="25" t="n">
        <x:v>2800000000</x:v>
      </x:c>
      <x:c r="I182" s="25" t="n">
        <x:v>74500000</x:v>
      </x:c>
      <x:c r="J182" s="25" t="str">
        <x:v>技能残页×630；海蚀铁片×80；潮痕结晶×8；漂流大陆印记×8；失色锻造石×100；漂流见证·潮×8；漂流见证·雷×8</x:v>
      </x:c>
      <x:c r="K182" s="25" t="str">
        <x:v>逐操作及每次费用见完整JSON/payments</x:v>
      </x:c>
    </x:row>
    <x:row r="183">
      <x:c r="A183" s="25" t="str">
        <x:v>C08-G</x:v>
      </x:c>
      <x:c r="B183" s="25" t="str">
        <x:v>巨人山顶</x:v>
      </x:c>
      <x:c r="C183" s="25" t="str">
        <x:v>半急速毕业</x:v>
      </x:c>
      <x:c r="D183" s="25" t="n">
        <x:v>2</x:v>
      </x:c>
      <x:c r="E183" s="25" t="str">
        <x:v>本大陆动作汇总</x:v>
      </x:c>
      <x:c r="F183" s="25" t="str">
        <x:v>灵符</x:v>
      </x:c>
      <x:c r="G183" s="25" t="n">
        <x:v>2</x:v>
      </x:c>
      <x:c r="H183" s="25" t="n">
        <x:v>0</x:v>
      </x:c>
      <x:c r="I183" s="25" t="n">
        <x:v>0</x:v>
      </x:c>
      <x:c r="J183" s="25" t="str"/>
      <x:c r="K183" s="25" t="str">
        <x:v>逐操作及每次费用见完整JSON/payments</x:v>
      </x:c>
    </x:row>
    <x:row r="184">
      <x:c r="A184" s="25" t="str">
        <x:v>C08-G</x:v>
      </x:c>
      <x:c r="B184" s="25" t="str">
        <x:v>巨人山顶</x:v>
      </x:c>
      <x:c r="C184" s="25" t="str">
        <x:v>半急速毕业</x:v>
      </x:c>
      <x:c r="D184" s="25" t="n">
        <x:v>2</x:v>
      </x:c>
      <x:c r="E184" s="25" t="str">
        <x:v>本大陆动作汇总</x:v>
      </x:c>
      <x:c r="F184" s="25" t="str">
        <x:v>自产</x:v>
      </x:c>
      <x:c r="G184" s="25" t="n">
        <x:v>138</x:v>
      </x:c>
      <x:c r="H184" s="25" t="n">
        <x:v>21870000000</x:v>
      </x:c>
      <x:c r="I184" s="25" t="n">
        <x:v>765500000</x:v>
      </x:c>
      <x:c r="J18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84" s="25" t="str">
        <x:v>逐操作及每次费用见完整JSON/payments</x:v>
      </x:c>
    </x:row>
    <x:row r="185">
      <x:c r="A185" s="25" t="str">
        <x:v>C08-G</x:v>
      </x:c>
      <x:c r="B185" s="25" t="str">
        <x:v>巨人山顶</x:v>
      </x:c>
      <x:c r="C185" s="25" t="str">
        <x:v>半急速毕业</x:v>
      </x:c>
      <x:c r="D185" s="25" t="n">
        <x:v>3</x:v>
      </x:c>
      <x:c r="E185" s="25" t="str">
        <x:v>本大陆动作汇总</x:v>
      </x:c>
      <x:c r="F185" s="25" t="str">
        <x:v>自产</x:v>
      </x:c>
      <x:c r="G185" s="25" t="n">
        <x:v>169</x:v>
      </x:c>
      <x:c r="H185" s="25" t="n">
        <x:v>86720000000</x:v>
      </x:c>
      <x:c r="I185" s="25" t="n">
        <x:v>288100000</x:v>
      </x:c>
      <x:c r="J18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85" s="25" t="str">
        <x:v>逐操作及每次费用见完整JSON/payments</x:v>
      </x:c>
    </x:row>
    <x:row r="186">
      <x:c r="A186" s="25" t="str">
        <x:v>C08-G</x:v>
      </x:c>
      <x:c r="B186" s="25" t="str">
        <x:v>巨人山顶</x:v>
      </x:c>
      <x:c r="C186" s="25" t="str">
        <x:v>半急速毕业</x:v>
      </x:c>
      <x:c r="D186" s="25" t="n">
        <x:v>4</x:v>
      </x:c>
      <x:c r="E186" s="25" t="str">
        <x:v>本大陆动作汇总</x:v>
      </x:c>
      <x:c r="F186" s="25" t="str">
        <x:v>自产</x:v>
      </x:c>
      <x:c r="G186" s="25" t="n">
        <x:v>223</x:v>
      </x:c>
      <x:c r="H186" s="25" t="n">
        <x:v>104770000000</x:v>
      </x:c>
      <x:c r="I186" s="25" t="n">
        <x:v>1255900000</x:v>
      </x:c>
      <x:c r="J186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86" s="25" t="str">
        <x:v>逐操作及每次费用见完整JSON/payments</x:v>
      </x:c>
    </x:row>
    <x:row r="187">
      <x:c r="A187" s="25" t="str">
        <x:v>C08-G</x:v>
      </x:c>
      <x:c r="B187" s="25" t="str">
        <x:v>巨人山顶</x:v>
      </x:c>
      <x:c r="C187" s="25" t="str">
        <x:v>半急速毕业</x:v>
      </x:c>
      <x:c r="D187" s="25" t="n">
        <x:v>5</x:v>
      </x:c>
      <x:c r="E187" s="25" t="str">
        <x:v>本大陆动作汇总</x:v>
      </x:c>
      <x:c r="F187" s="25" t="str">
        <x:v>自产</x:v>
      </x:c>
      <x:c r="G187" s="25" t="n">
        <x:v>262</x:v>
      </x:c>
      <x:c r="H187" s="25" t="n">
        <x:v>60750000000</x:v>
      </x:c>
      <x:c r="I187" s="25" t="n">
        <x:v>2965900000</x:v>
      </x:c>
      <x:c r="J187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87" s="25" t="str">
        <x:v>逐操作及每次费用见完整JSON/payments</x:v>
      </x:c>
    </x:row>
    <x:row r="188">
      <x:c r="A188" s="25" t="str">
        <x:v>C08-G</x:v>
      </x:c>
      <x:c r="B188" s="25" t="str">
        <x:v>巨人山顶</x:v>
      </x:c>
      <x:c r="C188" s="25" t="str">
        <x:v>半急速毕业</x:v>
      </x:c>
      <x:c r="D188" s="25" t="n">
        <x:v>6</x:v>
      </x:c>
      <x:c r="E188" s="25" t="str">
        <x:v>本大陆动作汇总</x:v>
      </x:c>
      <x:c r="F188" s="25" t="str">
        <x:v>自产</x:v>
      </x:c>
      <x:c r="G188" s="25" t="n">
        <x:v>307</x:v>
      </x:c>
      <x:c r="H188" s="25" t="n">
        <x:v>361480000000</x:v>
      </x:c>
      <x:c r="I188" s="25" t="n">
        <x:v>2124000000</x:v>
      </x:c>
      <x:c r="J188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88" s="25" t="str">
        <x:v>逐操作及每次费用见完整JSON/payments</x:v>
      </x:c>
    </x:row>
    <x:row r="189">
      <x:c r="A189" s="25" t="str">
        <x:v>C08-G</x:v>
      </x:c>
      <x:c r="B189" s="25" t="str">
        <x:v>巨人山顶</x:v>
      </x:c>
      <x:c r="C189" s="25" t="str">
        <x:v>半急速毕业</x:v>
      </x:c>
      <x:c r="D189" s="25" t="n">
        <x:v>7</x:v>
      </x:c>
      <x:c r="E189" s="25" t="str">
        <x:v>本大陆动作汇总</x:v>
      </x:c>
      <x:c r="F189" s="25" t="str">
        <x:v>自产</x:v>
      </x:c>
      <x:c r="G189" s="25" t="n">
        <x:v>334</x:v>
      </x:c>
      <x:c r="H189" s="25" t="n">
        <x:v>284300000000</x:v>
      </x:c>
      <x:c r="I189" s="25" t="n">
        <x:v>3945200000</x:v>
      </x:c>
      <x:c r="J189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189" s="25" t="str">
        <x:v>逐操作及每次费用见完整JSON/payments</x:v>
      </x:c>
    </x:row>
    <x:row r="190">
      <x:c r="A190" s="25" t="str">
        <x:v>C08-G</x:v>
      </x:c>
      <x:c r="B190" s="25" t="str">
        <x:v>巨人山顶</x:v>
      </x:c>
      <x:c r="C190" s="25" t="str">
        <x:v>半急速毕业</x:v>
      </x:c>
      <x:c r="D190" s="25" t="n">
        <x:v>8</x:v>
      </x:c>
      <x:c r="E190" s="25" t="str">
        <x:v>本大陆动作汇总</x:v>
      </x:c>
      <x:c r="F190" s="25" t="str">
        <x:v>自产</x:v>
      </x:c>
      <x:c r="G190" s="25" t="n">
        <x:v>390</x:v>
      </x:c>
      <x:c r="H190" s="25" t="n">
        <x:v>536500000000</x:v>
      </x:c>
      <x:c r="I190" s="25" t="n">
        <x:v>6285200000</x:v>
      </x:c>
      <x:c r="J190" s="25" t="str">
        <x:v>失色锻造石×11180；野兽骨片×15630；霜脊铁×2595；裂峰号角片×110；巨人火种×65；巨人火印×41；巨人熔火卢恩×450；神秘符文×100；永霜朝圣痕×1；冰宫守门铃×12</x:v>
      </x:c>
      <x:c r="K190" s="25" t="str">
        <x:v>逐操作及每次费用见完整JSON/payments</x:v>
      </x:c>
    </x:row>
    <x:row r="191">
      <x:c r="A191" s="25" t="str">
        <x:v>C08-X</x:v>
      </x:c>
      <x:c r="B191" s="25" t="str">
        <x:v>巨人山顶</x:v>
      </x:c>
      <x:c r="C191" s="25" t="str">
        <x:v>极端压力</x:v>
      </x:c>
      <x:c r="D191" s="25" t="n">
        <x:v>0</x:v>
      </x:c>
      <x:c r="E191" s="25" t="str">
        <x:v>本大陆动作汇总</x:v>
      </x:c>
      <x:c r="F191" s="25" t="str">
        <x:v>灵符</x:v>
      </x:c>
      <x:c r="G191" s="25" t="n">
        <x:v>2</x:v>
      </x:c>
      <x:c r="H191" s="25" t="n">
        <x:v>0</x:v>
      </x:c>
      <x:c r="I191" s="25" t="n">
        <x:v>0</x:v>
      </x:c>
      <x:c r="J191" s="25" t="str"/>
      <x:c r="K191" s="25" t="str">
        <x:v>逐操作及每次费用见完整JSON/payments</x:v>
      </x:c>
    </x:row>
    <x:row r="192">
      <x:c r="A192" s="25" t="str">
        <x:v>C08-X</x:v>
      </x:c>
      <x:c r="B192" s="25" t="str">
        <x:v>巨人山顶</x:v>
      </x:c>
      <x:c r="C192" s="25" t="str">
        <x:v>极端压力</x:v>
      </x:c>
      <x:c r="D192" s="25" t="n">
        <x:v>1</x:v>
      </x:c>
      <x:c r="E192" s="25" t="str">
        <x:v>本大陆动作汇总</x:v>
      </x:c>
      <x:c r="F192" s="25" t="str">
        <x:v>自产</x:v>
      </x:c>
      <x:c r="G192" s="25" t="n">
        <x:v>4</x:v>
      </x:c>
      <x:c r="H192" s="25" t="n">
        <x:v>2800000000</x:v>
      </x:c>
      <x:c r="I192" s="25" t="n">
        <x:v>74500000</x:v>
      </x:c>
      <x:c r="J192" s="25" t="str">
        <x:v>技能残页×630；海蚀铁片×80；潮痕结晶×8；漂流大陆印记×8；失色锻造石×100；漂流见证·潮×8；漂流见证·雷×8</x:v>
      </x:c>
      <x:c r="K192" s="25" t="str">
        <x:v>逐操作及每次费用见完整JSON/payments</x:v>
      </x:c>
    </x:row>
    <x:row r="193">
      <x:c r="A193" s="25" t="str">
        <x:v>C08-X</x:v>
      </x:c>
      <x:c r="B193" s="25" t="str">
        <x:v>巨人山顶</x:v>
      </x:c>
      <x:c r="C193" s="25" t="str">
        <x:v>极端压力</x:v>
      </x:c>
      <x:c r="D193" s="25" t="n">
        <x:v>2</x:v>
      </x:c>
      <x:c r="E193" s="25" t="str">
        <x:v>本大陆动作汇总</x:v>
      </x:c>
      <x:c r="F193" s="25" t="str">
        <x:v>灵符</x:v>
      </x:c>
      <x:c r="G193" s="25" t="n">
        <x:v>2</x:v>
      </x:c>
      <x:c r="H193" s="25" t="n">
        <x:v>0</x:v>
      </x:c>
      <x:c r="I193" s="25" t="n">
        <x:v>0</x:v>
      </x:c>
      <x:c r="J193" s="25" t="str"/>
      <x:c r="K193" s="25" t="str">
        <x:v>逐操作及每次费用见完整JSON/payments</x:v>
      </x:c>
    </x:row>
    <x:row r="194">
      <x:c r="A194" s="25" t="str">
        <x:v>C08-X</x:v>
      </x:c>
      <x:c r="B194" s="25" t="str">
        <x:v>巨人山顶</x:v>
      </x:c>
      <x:c r="C194" s="25" t="str">
        <x:v>极端压力</x:v>
      </x:c>
      <x:c r="D194" s="25" t="n">
        <x:v>2</x:v>
      </x:c>
      <x:c r="E194" s="25" t="str">
        <x:v>本大陆动作汇总</x:v>
      </x:c>
      <x:c r="F194" s="25" t="str">
        <x:v>自产</x:v>
      </x:c>
      <x:c r="G194" s="25" t="n">
        <x:v>138</x:v>
      </x:c>
      <x:c r="H194" s="25" t="n">
        <x:v>21870000000</x:v>
      </x:c>
      <x:c r="I194" s="25" t="n">
        <x:v>765500000</x:v>
      </x:c>
      <x:c r="J19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194" s="25" t="str">
        <x:v>逐操作及每次费用见完整JSON/payments</x:v>
      </x:c>
    </x:row>
    <x:row r="195">
      <x:c r="A195" s="25" t="str">
        <x:v>C08-X</x:v>
      </x:c>
      <x:c r="B195" s="25" t="str">
        <x:v>巨人山顶</x:v>
      </x:c>
      <x:c r="C195" s="25" t="str">
        <x:v>极端压力</x:v>
      </x:c>
      <x:c r="D195" s="25" t="n">
        <x:v>3</x:v>
      </x:c>
      <x:c r="E195" s="25" t="str">
        <x:v>本大陆动作汇总</x:v>
      </x:c>
      <x:c r="F195" s="25" t="str">
        <x:v>自产</x:v>
      </x:c>
      <x:c r="G195" s="25" t="n">
        <x:v>169</x:v>
      </x:c>
      <x:c r="H195" s="25" t="n">
        <x:v>86720000000</x:v>
      </x:c>
      <x:c r="I195" s="25" t="n">
        <x:v>288100000</x:v>
      </x:c>
      <x:c r="J19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195" s="25" t="str">
        <x:v>逐操作及每次费用见完整JSON/payments</x:v>
      </x:c>
    </x:row>
    <x:row r="196">
      <x:c r="A196" s="25" t="str">
        <x:v>C08-X</x:v>
      </x:c>
      <x:c r="B196" s="25" t="str">
        <x:v>巨人山顶</x:v>
      </x:c>
      <x:c r="C196" s="25" t="str">
        <x:v>极端压力</x:v>
      </x:c>
      <x:c r="D196" s="25" t="n">
        <x:v>4</x:v>
      </x:c>
      <x:c r="E196" s="25" t="str">
        <x:v>本大陆动作汇总</x:v>
      </x:c>
      <x:c r="F196" s="25" t="str">
        <x:v>自产</x:v>
      </x:c>
      <x:c r="G196" s="25" t="n">
        <x:v>223</x:v>
      </x:c>
      <x:c r="H196" s="25" t="n">
        <x:v>104770000000</x:v>
      </x:c>
      <x:c r="I196" s="25" t="n">
        <x:v>1255900000</x:v>
      </x:c>
      <x:c r="J196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196" s="25" t="str">
        <x:v>逐操作及每次费用见完整JSON/payments</x:v>
      </x:c>
    </x:row>
    <x:row r="197">
      <x:c r="A197" s="25" t="str">
        <x:v>C08-X</x:v>
      </x:c>
      <x:c r="B197" s="25" t="str">
        <x:v>巨人山顶</x:v>
      </x:c>
      <x:c r="C197" s="25" t="str">
        <x:v>极端压力</x:v>
      </x:c>
      <x:c r="D197" s="25" t="n">
        <x:v>5</x:v>
      </x:c>
      <x:c r="E197" s="25" t="str">
        <x:v>本大陆动作汇总</x:v>
      </x:c>
      <x:c r="F197" s="25" t="str">
        <x:v>自产</x:v>
      </x:c>
      <x:c r="G197" s="25" t="n">
        <x:v>262</x:v>
      </x:c>
      <x:c r="H197" s="25" t="n">
        <x:v>60750000000</x:v>
      </x:c>
      <x:c r="I197" s="25" t="n">
        <x:v>2965900000</x:v>
      </x:c>
      <x:c r="J197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197" s="25" t="str">
        <x:v>逐操作及每次费用见完整JSON/payments</x:v>
      </x:c>
    </x:row>
    <x:row r="198">
      <x:c r="A198" s="25" t="str">
        <x:v>C08-X</x:v>
      </x:c>
      <x:c r="B198" s="25" t="str">
        <x:v>巨人山顶</x:v>
      </x:c>
      <x:c r="C198" s="25" t="str">
        <x:v>极端压力</x:v>
      </x:c>
      <x:c r="D198" s="25" t="n">
        <x:v>6</x:v>
      </x:c>
      <x:c r="E198" s="25" t="str">
        <x:v>本大陆动作汇总</x:v>
      </x:c>
      <x:c r="F198" s="25" t="str">
        <x:v>自产</x:v>
      </x:c>
      <x:c r="G198" s="25" t="n">
        <x:v>307</x:v>
      </x:c>
      <x:c r="H198" s="25" t="n">
        <x:v>361480000000</x:v>
      </x:c>
      <x:c r="I198" s="25" t="n">
        <x:v>2124000000</x:v>
      </x:c>
      <x:c r="J198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198" s="25" t="str">
        <x:v>逐操作及每次费用见完整JSON/payments</x:v>
      </x:c>
    </x:row>
    <x:row r="199">
      <x:c r="A199" s="25" t="str">
        <x:v>C08-X</x:v>
      </x:c>
      <x:c r="B199" s="25" t="str">
        <x:v>巨人山顶</x:v>
      </x:c>
      <x:c r="C199" s="25" t="str">
        <x:v>极端压力</x:v>
      </x:c>
      <x:c r="D199" s="25" t="n">
        <x:v>7</x:v>
      </x:c>
      <x:c r="E199" s="25" t="str">
        <x:v>本大陆动作汇总</x:v>
      </x:c>
      <x:c r="F199" s="25" t="str">
        <x:v>自产</x:v>
      </x:c>
      <x:c r="G199" s="25" t="n">
        <x:v>334</x:v>
      </x:c>
      <x:c r="H199" s="25" t="n">
        <x:v>284300000000</x:v>
      </x:c>
      <x:c r="I199" s="25" t="n">
        <x:v>3945200000</x:v>
      </x:c>
      <x:c r="J199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199" s="25" t="str">
        <x:v>逐操作及每次费用见完整JSON/payments</x:v>
      </x:c>
    </x:row>
    <x:row r="200">
      <x:c r="A200" s="25" t="str">
        <x:v>C08-X</x:v>
      </x:c>
      <x:c r="B200" s="25" t="str">
        <x:v>巨人山顶</x:v>
      </x:c>
      <x:c r="C200" s="25" t="str">
        <x:v>极端压力</x:v>
      </x:c>
      <x:c r="D200" s="25" t="n">
        <x:v>8</x:v>
      </x:c>
      <x:c r="E200" s="25" t="str">
        <x:v>本大陆动作汇总</x:v>
      </x:c>
      <x:c r="F200" s="25" t="str">
        <x:v>自产</x:v>
      </x:c>
      <x:c r="G200" s="25" t="n">
        <x:v>1153</x:v>
      </x:c>
      <x:c r="H200" s="25" t="n">
        <x:v>900500000000</x:v>
      </x:c>
      <x:c r="I200" s="25" t="n">
        <x:v>21348200000</x:v>
      </x:c>
      <x:c r="J200" s="25" t="str">
        <x:v>失色锻造石×45560；野兽骨片×15630；霜脊铁×4905；裂峰号角片×110；巨人火种×65；巨人火印×105；巨人熔火卢恩×450；神秘符文×100；永霜朝圣痕×1；冰宫守门铃×12；登山铁楔×290；王庭炉冠×4；湖盐结晶×310；深湖压舱印×6；沉湖王印×9；辉石碎晶×420；雾月星砂×90；禁域星钥×2；冻晶尘×720；秘树霜芽×12；圣雪门楔×4；穹霜碑珀×1</x:v>
      </x:c>
      <x:c r="K200" s="25" t="str">
        <x:v>逐操作及每次费用见完整JSON/payments</x:v>
      </x:c>
    </x:row>
    <x:row r="201">
      <x:c r="A201" s="25" t="str">
        <x:v>C09-E</x:v>
      </x:c>
      <x:c r="B201" s="25" t="str">
        <x:v>亚坛高原</x:v>
      </x:c>
      <x:c r="C201" s="25" t="str">
        <x:v>半急速入场</x:v>
      </x:c>
      <x:c r="D201" s="25" t="n">
        <x:v>0</x:v>
      </x:c>
      <x:c r="E201" s="25" t="str">
        <x:v>本大陆动作汇总</x:v>
      </x:c>
      <x:c r="F201" s="25" t="str">
        <x:v>灵符</x:v>
      </x:c>
      <x:c r="G201" s="25" t="n">
        <x:v>2</x:v>
      </x:c>
      <x:c r="H201" s="25" t="n">
        <x:v>0</x:v>
      </x:c>
      <x:c r="I201" s="25" t="n">
        <x:v>0</x:v>
      </x:c>
      <x:c r="J201" s="25" t="str"/>
      <x:c r="K201" s="25" t="str">
        <x:v>逐操作及每次费用见完整JSON/payments</x:v>
      </x:c>
    </x:row>
    <x:row r="202">
      <x:c r="A202" s="25" t="str">
        <x:v>C09-E</x:v>
      </x:c>
      <x:c r="B202" s="25" t="str">
        <x:v>亚坛高原</x:v>
      </x:c>
      <x:c r="C202" s="25" t="str">
        <x:v>半急速入场</x:v>
      </x:c>
      <x:c r="D202" s="25" t="n">
        <x:v>1</x:v>
      </x:c>
      <x:c r="E202" s="25" t="str">
        <x:v>本大陆动作汇总</x:v>
      </x:c>
      <x:c r="F202" s="25" t="str">
        <x:v>自产</x:v>
      </x:c>
      <x:c r="G202" s="25" t="n">
        <x:v>4</x:v>
      </x:c>
      <x:c r="H202" s="25" t="n">
        <x:v>2800000000</x:v>
      </x:c>
      <x:c r="I202" s="25" t="n">
        <x:v>74500000</x:v>
      </x:c>
      <x:c r="J202" s="25" t="str">
        <x:v>技能残页×630；海蚀铁片×80；潮痕结晶×8；漂流大陆印记×8；失色锻造石×100；漂流见证·潮×8；漂流见证·雷×8</x:v>
      </x:c>
      <x:c r="K202" s="25" t="str">
        <x:v>逐操作及每次费用见完整JSON/payments</x:v>
      </x:c>
    </x:row>
    <x:row r="203">
      <x:c r="A203" s="25" t="str">
        <x:v>C09-E</x:v>
      </x:c>
      <x:c r="B203" s="25" t="str">
        <x:v>亚坛高原</x:v>
      </x:c>
      <x:c r="C203" s="25" t="str">
        <x:v>半急速入场</x:v>
      </x:c>
      <x:c r="D203" s="25" t="n">
        <x:v>2</x:v>
      </x:c>
      <x:c r="E203" s="25" t="str">
        <x:v>本大陆动作汇总</x:v>
      </x:c>
      <x:c r="F203" s="25" t="str">
        <x:v>灵符</x:v>
      </x:c>
      <x:c r="G203" s="25" t="n">
        <x:v>2</x:v>
      </x:c>
      <x:c r="H203" s="25" t="n">
        <x:v>0</x:v>
      </x:c>
      <x:c r="I203" s="25" t="n">
        <x:v>0</x:v>
      </x:c>
      <x:c r="J203" s="25" t="str"/>
      <x:c r="K203" s="25" t="str">
        <x:v>逐操作及每次费用见完整JSON/payments</x:v>
      </x:c>
    </x:row>
    <x:row r="204">
      <x:c r="A204" s="25" t="str">
        <x:v>C09-E</x:v>
      </x:c>
      <x:c r="B204" s="25" t="str">
        <x:v>亚坛高原</x:v>
      </x:c>
      <x:c r="C204" s="25" t="str">
        <x:v>半急速入场</x:v>
      </x:c>
      <x:c r="D204" s="25" t="n">
        <x:v>2</x:v>
      </x:c>
      <x:c r="E204" s="25" t="str">
        <x:v>本大陆动作汇总</x:v>
      </x:c>
      <x:c r="F204" s="25" t="str">
        <x:v>自产</x:v>
      </x:c>
      <x:c r="G204" s="25" t="n">
        <x:v>138</x:v>
      </x:c>
      <x:c r="H204" s="25" t="n">
        <x:v>21870000000</x:v>
      </x:c>
      <x:c r="I204" s="25" t="n">
        <x:v>765500000</x:v>
      </x:c>
      <x:c r="J20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04" s="25" t="str">
        <x:v>逐操作及每次费用见完整JSON/payments</x:v>
      </x:c>
    </x:row>
    <x:row r="205">
      <x:c r="A205" s="25" t="str">
        <x:v>C09-E</x:v>
      </x:c>
      <x:c r="B205" s="25" t="str">
        <x:v>亚坛高原</x:v>
      </x:c>
      <x:c r="C205" s="25" t="str">
        <x:v>半急速入场</x:v>
      </x:c>
      <x:c r="D205" s="25" t="n">
        <x:v>3</x:v>
      </x:c>
      <x:c r="E205" s="25" t="str">
        <x:v>本大陆动作汇总</x:v>
      </x:c>
      <x:c r="F205" s="25" t="str">
        <x:v>自产</x:v>
      </x:c>
      <x:c r="G205" s="25" t="n">
        <x:v>169</x:v>
      </x:c>
      <x:c r="H205" s="25" t="n">
        <x:v>86720000000</x:v>
      </x:c>
      <x:c r="I205" s="25" t="n">
        <x:v>288100000</x:v>
      </x:c>
      <x:c r="J20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05" s="25" t="str">
        <x:v>逐操作及每次费用见完整JSON/payments</x:v>
      </x:c>
    </x:row>
    <x:row r="206">
      <x:c r="A206" s="25" t="str">
        <x:v>C09-E</x:v>
      </x:c>
      <x:c r="B206" s="25" t="str">
        <x:v>亚坛高原</x:v>
      </x:c>
      <x:c r="C206" s="25" t="str">
        <x:v>半急速入场</x:v>
      </x:c>
      <x:c r="D206" s="25" t="n">
        <x:v>4</x:v>
      </x:c>
      <x:c r="E206" s="25" t="str">
        <x:v>本大陆动作汇总</x:v>
      </x:c>
      <x:c r="F206" s="25" t="str">
        <x:v>自产</x:v>
      </x:c>
      <x:c r="G206" s="25" t="n">
        <x:v>223</x:v>
      </x:c>
      <x:c r="H206" s="25" t="n">
        <x:v>104770000000</x:v>
      </x:c>
      <x:c r="I206" s="25" t="n">
        <x:v>1255900000</x:v>
      </x:c>
      <x:c r="J206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06" s="25" t="str">
        <x:v>逐操作及每次费用见完整JSON/payments</x:v>
      </x:c>
    </x:row>
    <x:row r="207">
      <x:c r="A207" s="25" t="str">
        <x:v>C09-E</x:v>
      </x:c>
      <x:c r="B207" s="25" t="str">
        <x:v>亚坛高原</x:v>
      </x:c>
      <x:c r="C207" s="25" t="str">
        <x:v>半急速入场</x:v>
      </x:c>
      <x:c r="D207" s="25" t="n">
        <x:v>5</x:v>
      </x:c>
      <x:c r="E207" s="25" t="str">
        <x:v>本大陆动作汇总</x:v>
      </x:c>
      <x:c r="F207" s="25" t="str">
        <x:v>自产</x:v>
      </x:c>
      <x:c r="G207" s="25" t="n">
        <x:v>262</x:v>
      </x:c>
      <x:c r="H207" s="25" t="n">
        <x:v>60750000000</x:v>
      </x:c>
      <x:c r="I207" s="25" t="n">
        <x:v>2965900000</x:v>
      </x:c>
      <x:c r="J207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07" s="25" t="str">
        <x:v>逐操作及每次费用见完整JSON/payments</x:v>
      </x:c>
    </x:row>
    <x:row r="208">
      <x:c r="A208" s="25" t="str">
        <x:v>C09-E</x:v>
      </x:c>
      <x:c r="B208" s="25" t="str">
        <x:v>亚坛高原</x:v>
      </x:c>
      <x:c r="C208" s="25" t="str">
        <x:v>半急速入场</x:v>
      </x:c>
      <x:c r="D208" s="25" t="n">
        <x:v>6</x:v>
      </x:c>
      <x:c r="E208" s="25" t="str">
        <x:v>本大陆动作汇总</x:v>
      </x:c>
      <x:c r="F208" s="25" t="str">
        <x:v>自产</x:v>
      </x:c>
      <x:c r="G208" s="25" t="n">
        <x:v>307</x:v>
      </x:c>
      <x:c r="H208" s="25" t="n">
        <x:v>361480000000</x:v>
      </x:c>
      <x:c r="I208" s="25" t="n">
        <x:v>2124000000</x:v>
      </x:c>
      <x:c r="J208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08" s="25" t="str">
        <x:v>逐操作及每次费用见完整JSON/payments</x:v>
      </x:c>
    </x:row>
    <x:row r="209">
      <x:c r="A209" s="25" t="str">
        <x:v>C09-E</x:v>
      </x:c>
      <x:c r="B209" s="25" t="str">
        <x:v>亚坛高原</x:v>
      </x:c>
      <x:c r="C209" s="25" t="str">
        <x:v>半急速入场</x:v>
      </x:c>
      <x:c r="D209" s="25" t="n">
        <x:v>7</x:v>
      </x:c>
      <x:c r="E209" s="25" t="str">
        <x:v>本大陆动作汇总</x:v>
      </x:c>
      <x:c r="F209" s="25" t="str">
        <x:v>自产</x:v>
      </x:c>
      <x:c r="G209" s="25" t="n">
        <x:v>334</x:v>
      </x:c>
      <x:c r="H209" s="25" t="n">
        <x:v>284300000000</x:v>
      </x:c>
      <x:c r="I209" s="25" t="n">
        <x:v>3945200000</x:v>
      </x:c>
      <x:c r="J209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09" s="25" t="str">
        <x:v>逐操作及每次费用见完整JSON/payments</x:v>
      </x:c>
    </x:row>
    <x:row r="210">
      <x:c r="A210" s="25" t="str">
        <x:v>C09-E</x:v>
      </x:c>
      <x:c r="B210" s="25" t="str">
        <x:v>亚坛高原</x:v>
      </x:c>
      <x:c r="C210" s="25" t="str">
        <x:v>半急速入场</x:v>
      </x:c>
      <x:c r="D210" s="25" t="n">
        <x:v>8</x:v>
      </x:c>
      <x:c r="E210" s="25" t="str">
        <x:v>本大陆动作汇总</x:v>
      </x:c>
      <x:c r="F210" s="25" t="str">
        <x:v>自产</x:v>
      </x:c>
      <x:c r="G210" s="25" t="n">
        <x:v>390</x:v>
      </x:c>
      <x:c r="H210" s="25" t="n">
        <x:v>536500000000</x:v>
      </x:c>
      <x:c r="I210" s="25" t="n">
        <x:v>6285200000</x:v>
      </x:c>
      <x:c r="J210" s="25" t="str">
        <x:v>失色锻造石×11180；野兽骨片×15630；霜脊铁×2595；裂峰号角片×110；巨人火种×65；巨人火印×41；巨人熔火卢恩×450；神秘符文×100；永霜朝圣痕×1；冰宫守门铃×12</x:v>
      </x:c>
      <x:c r="K210" s="25" t="str">
        <x:v>逐操作及每次费用见完整JSON/payments</x:v>
      </x:c>
    </x:row>
    <x:row r="211">
      <x:c r="A211" s="25" t="str">
        <x:v>C09-M</x:v>
      </x:c>
      <x:c r="B211" s="25" t="str">
        <x:v>亚坛高原</x:v>
      </x:c>
      <x:c r="C211" s="25" t="str">
        <x:v>半急速中期</x:v>
      </x:c>
      <x:c r="D211" s="25" t="n">
        <x:v>0</x:v>
      </x:c>
      <x:c r="E211" s="25" t="str">
        <x:v>本大陆动作汇总</x:v>
      </x:c>
      <x:c r="F211" s="25" t="str">
        <x:v>灵符</x:v>
      </x:c>
      <x:c r="G211" s="25" t="n">
        <x:v>2</x:v>
      </x:c>
      <x:c r="H211" s="25" t="n">
        <x:v>0</x:v>
      </x:c>
      <x:c r="I211" s="25" t="n">
        <x:v>0</x:v>
      </x:c>
      <x:c r="J211" s="25" t="str"/>
      <x:c r="K211" s="25" t="str">
        <x:v>逐操作及每次费用见完整JSON/payments</x:v>
      </x:c>
    </x:row>
    <x:row r="212">
      <x:c r="A212" s="25" t="str">
        <x:v>C09-M</x:v>
      </x:c>
      <x:c r="B212" s="25" t="str">
        <x:v>亚坛高原</x:v>
      </x:c>
      <x:c r="C212" s="25" t="str">
        <x:v>半急速中期</x:v>
      </x:c>
      <x:c r="D212" s="25" t="n">
        <x:v>1</x:v>
      </x:c>
      <x:c r="E212" s="25" t="str">
        <x:v>本大陆动作汇总</x:v>
      </x:c>
      <x:c r="F212" s="25" t="str">
        <x:v>自产</x:v>
      </x:c>
      <x:c r="G212" s="25" t="n">
        <x:v>4</x:v>
      </x:c>
      <x:c r="H212" s="25" t="n">
        <x:v>2800000000</x:v>
      </x:c>
      <x:c r="I212" s="25" t="n">
        <x:v>74500000</x:v>
      </x:c>
      <x:c r="J212" s="25" t="str">
        <x:v>技能残页×630；海蚀铁片×80；潮痕结晶×8；漂流大陆印记×8；失色锻造石×100；漂流见证·潮×8；漂流见证·雷×8</x:v>
      </x:c>
      <x:c r="K212" s="25" t="str">
        <x:v>逐操作及每次费用见完整JSON/payments</x:v>
      </x:c>
    </x:row>
    <x:row r="213">
      <x:c r="A213" s="25" t="str">
        <x:v>C09-M</x:v>
      </x:c>
      <x:c r="B213" s="25" t="str">
        <x:v>亚坛高原</x:v>
      </x:c>
      <x:c r="C213" s="25" t="str">
        <x:v>半急速中期</x:v>
      </x:c>
      <x:c r="D213" s="25" t="n">
        <x:v>2</x:v>
      </x:c>
      <x:c r="E213" s="25" t="str">
        <x:v>本大陆动作汇总</x:v>
      </x:c>
      <x:c r="F213" s="25" t="str">
        <x:v>灵符</x:v>
      </x:c>
      <x:c r="G213" s="25" t="n">
        <x:v>2</x:v>
      </x:c>
      <x:c r="H213" s="25" t="n">
        <x:v>0</x:v>
      </x:c>
      <x:c r="I213" s="25" t="n">
        <x:v>0</x:v>
      </x:c>
      <x:c r="J213" s="25" t="str"/>
      <x:c r="K213" s="25" t="str">
        <x:v>逐操作及每次费用见完整JSON/payments</x:v>
      </x:c>
    </x:row>
    <x:row r="214">
      <x:c r="A214" s="25" t="str">
        <x:v>C09-M</x:v>
      </x:c>
      <x:c r="B214" s="25" t="str">
        <x:v>亚坛高原</x:v>
      </x:c>
      <x:c r="C214" s="25" t="str">
        <x:v>半急速中期</x:v>
      </x:c>
      <x:c r="D214" s="25" t="n">
        <x:v>2</x:v>
      </x:c>
      <x:c r="E214" s="25" t="str">
        <x:v>本大陆动作汇总</x:v>
      </x:c>
      <x:c r="F214" s="25" t="str">
        <x:v>自产</x:v>
      </x:c>
      <x:c r="G214" s="25" t="n">
        <x:v>138</x:v>
      </x:c>
      <x:c r="H214" s="25" t="n">
        <x:v>21870000000</x:v>
      </x:c>
      <x:c r="I214" s="25" t="n">
        <x:v>765500000</x:v>
      </x:c>
      <x:c r="J214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14" s="25" t="str">
        <x:v>逐操作及每次费用见完整JSON/payments</x:v>
      </x:c>
    </x:row>
    <x:row r="215">
      <x:c r="A215" s="25" t="str">
        <x:v>C09-M</x:v>
      </x:c>
      <x:c r="B215" s="25" t="str">
        <x:v>亚坛高原</x:v>
      </x:c>
      <x:c r="C215" s="25" t="str">
        <x:v>半急速中期</x:v>
      </x:c>
      <x:c r="D215" s="25" t="n">
        <x:v>3</x:v>
      </x:c>
      <x:c r="E215" s="25" t="str">
        <x:v>本大陆动作汇总</x:v>
      </x:c>
      <x:c r="F215" s="25" t="str">
        <x:v>自产</x:v>
      </x:c>
      <x:c r="G215" s="25" t="n">
        <x:v>169</x:v>
      </x:c>
      <x:c r="H215" s="25" t="n">
        <x:v>86720000000</x:v>
      </x:c>
      <x:c r="I215" s="25" t="n">
        <x:v>288100000</x:v>
      </x:c>
      <x:c r="J215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15" s="25" t="str">
        <x:v>逐操作及每次费用见完整JSON/payments</x:v>
      </x:c>
    </x:row>
    <x:row r="216">
      <x:c r="A216" s="25" t="str">
        <x:v>C09-M</x:v>
      </x:c>
      <x:c r="B216" s="25" t="str">
        <x:v>亚坛高原</x:v>
      </x:c>
      <x:c r="C216" s="25" t="str">
        <x:v>半急速中期</x:v>
      </x:c>
      <x:c r="D216" s="25" t="n">
        <x:v>4</x:v>
      </x:c>
      <x:c r="E216" s="25" t="str">
        <x:v>本大陆动作汇总</x:v>
      </x:c>
      <x:c r="F216" s="25" t="str">
        <x:v>自产</x:v>
      </x:c>
      <x:c r="G216" s="25" t="n">
        <x:v>223</x:v>
      </x:c>
      <x:c r="H216" s="25" t="n">
        <x:v>104770000000</x:v>
      </x:c>
      <x:c r="I216" s="25" t="n">
        <x:v>1255900000</x:v>
      </x:c>
      <x:c r="J216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16" s="25" t="str">
        <x:v>逐操作及每次费用见完整JSON/payments</x:v>
      </x:c>
    </x:row>
    <x:row r="217">
      <x:c r="A217" s="25" t="str">
        <x:v>C09-M</x:v>
      </x:c>
      <x:c r="B217" s="25" t="str">
        <x:v>亚坛高原</x:v>
      </x:c>
      <x:c r="C217" s="25" t="str">
        <x:v>半急速中期</x:v>
      </x:c>
      <x:c r="D217" s="25" t="n">
        <x:v>5</x:v>
      </x:c>
      <x:c r="E217" s="25" t="str">
        <x:v>本大陆动作汇总</x:v>
      </x:c>
      <x:c r="F217" s="25" t="str">
        <x:v>自产</x:v>
      </x:c>
      <x:c r="G217" s="25" t="n">
        <x:v>262</x:v>
      </x:c>
      <x:c r="H217" s="25" t="n">
        <x:v>60750000000</x:v>
      </x:c>
      <x:c r="I217" s="25" t="n">
        <x:v>2965900000</x:v>
      </x:c>
      <x:c r="J217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17" s="25" t="str">
        <x:v>逐操作及每次费用见完整JSON/payments</x:v>
      </x:c>
    </x:row>
    <x:row r="218">
      <x:c r="A218" s="25" t="str">
        <x:v>C09-M</x:v>
      </x:c>
      <x:c r="B218" s="25" t="str">
        <x:v>亚坛高原</x:v>
      </x:c>
      <x:c r="C218" s="25" t="str">
        <x:v>半急速中期</x:v>
      </x:c>
      <x:c r="D218" s="25" t="n">
        <x:v>6</x:v>
      </x:c>
      <x:c r="E218" s="25" t="str">
        <x:v>本大陆动作汇总</x:v>
      </x:c>
      <x:c r="F218" s="25" t="str">
        <x:v>自产</x:v>
      </x:c>
      <x:c r="G218" s="25" t="n">
        <x:v>307</x:v>
      </x:c>
      <x:c r="H218" s="25" t="n">
        <x:v>361480000000</x:v>
      </x:c>
      <x:c r="I218" s="25" t="n">
        <x:v>2124000000</x:v>
      </x:c>
      <x:c r="J218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18" s="25" t="str">
        <x:v>逐操作及每次费用见完整JSON/payments</x:v>
      </x:c>
    </x:row>
    <x:row r="219">
      <x:c r="A219" s="25" t="str">
        <x:v>C09-M</x:v>
      </x:c>
      <x:c r="B219" s="25" t="str">
        <x:v>亚坛高原</x:v>
      </x:c>
      <x:c r="C219" s="25" t="str">
        <x:v>半急速中期</x:v>
      </x:c>
      <x:c r="D219" s="25" t="n">
        <x:v>7</x:v>
      </x:c>
      <x:c r="E219" s="25" t="str">
        <x:v>本大陆动作汇总</x:v>
      </x:c>
      <x:c r="F219" s="25" t="str">
        <x:v>自产</x:v>
      </x:c>
      <x:c r="G219" s="25" t="n">
        <x:v>334</x:v>
      </x:c>
      <x:c r="H219" s="25" t="n">
        <x:v>284300000000</x:v>
      </x:c>
      <x:c r="I219" s="25" t="n">
        <x:v>3945200000</x:v>
      </x:c>
      <x:c r="J219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19" s="25" t="str">
        <x:v>逐操作及每次费用见完整JSON/payments</x:v>
      </x:c>
    </x:row>
    <x:row r="220">
      <x:c r="A220" s="25" t="str">
        <x:v>C09-M</x:v>
      </x:c>
      <x:c r="B220" s="25" t="str">
        <x:v>亚坛高原</x:v>
      </x:c>
      <x:c r="C220" s="25" t="str">
        <x:v>半急速中期</x:v>
      </x:c>
      <x:c r="D220" s="25" t="n">
        <x:v>8</x:v>
      </x:c>
      <x:c r="E220" s="25" t="str">
        <x:v>本大陆动作汇总</x:v>
      </x:c>
      <x:c r="F220" s="25" t="str">
        <x:v>自产</x:v>
      </x:c>
      <x:c r="G220" s="25" t="n">
        <x:v>390</x:v>
      </x:c>
      <x:c r="H220" s="25" t="n">
        <x:v>536500000000</x:v>
      </x:c>
      <x:c r="I220" s="25" t="n">
        <x:v>6285200000</x:v>
      </x:c>
      <x:c r="J220" s="25" t="str">
        <x:v>失色锻造石×11180；野兽骨片×15630；霜脊铁×2595；裂峰号角片×110；巨人火种×65；巨人火印×41；巨人熔火卢恩×450；神秘符文×100；永霜朝圣痕×1；冰宫守门铃×12</x:v>
      </x:c>
      <x:c r="K220" s="25" t="str">
        <x:v>逐操作及每次费用见完整JSON/payments</x:v>
      </x:c>
    </x:row>
    <x:row r="221">
      <x:c r="A221" s="25" t="str">
        <x:v>C09-M</x:v>
      </x:c>
      <x:c r="B221" s="25" t="str">
        <x:v>亚坛高原</x:v>
      </x:c>
      <x:c r="C221" s="25" t="str">
        <x:v>半急速中期</x:v>
      </x:c>
      <x:c r="D221" s="25" t="n">
        <x:v>9</x:v>
      </x:c>
      <x:c r="E221" s="25" t="str">
        <x:v>本大陆动作汇总</x:v>
      </x:c>
      <x:c r="F221" s="25" t="str">
        <x:v>自产</x:v>
      </x:c>
      <x:c r="G221" s="25" t="n">
        <x:v>171</x:v>
      </x:c>
      <x:c r="H221" s="25" t="n">
        <x:v>127500000000</x:v>
      </x:c>
      <x:c r="I221" s="25" t="n">
        <x:v>3065000000</x:v>
      </x:c>
      <x:c r="J221" s="25" t="str">
        <x:v>失色锻造石×4960；野兽骨片×7640；黄金叶脉×1050；黄金律印×10；金叶驿票×50；矿脉灯芯×20；穹霜碑珀×1</x:v>
      </x:c>
      <x:c r="K221" s="25" t="str">
        <x:v>逐操作及每次费用见完整JSON/payments</x:v>
      </x:c>
    </x:row>
    <x:row r="222">
      <x:c r="A222" s="25" t="str">
        <x:v>C09-G</x:v>
      </x:c>
      <x:c r="B222" s="25" t="str">
        <x:v>亚坛高原</x:v>
      </x:c>
      <x:c r="C222" s="25" t="str">
        <x:v>半急速毕业</x:v>
      </x:c>
      <x:c r="D222" s="25" t="n">
        <x:v>0</x:v>
      </x:c>
      <x:c r="E222" s="25" t="str">
        <x:v>本大陆动作汇总</x:v>
      </x:c>
      <x:c r="F222" s="25" t="str">
        <x:v>灵符</x:v>
      </x:c>
      <x:c r="G222" s="25" t="n">
        <x:v>2</x:v>
      </x:c>
      <x:c r="H222" s="25" t="n">
        <x:v>0</x:v>
      </x:c>
      <x:c r="I222" s="25" t="n">
        <x:v>0</x:v>
      </x:c>
      <x:c r="J222" s="25" t="str"/>
      <x:c r="K222" s="25" t="str">
        <x:v>逐操作及每次费用见完整JSON/payments</x:v>
      </x:c>
    </x:row>
    <x:row r="223">
      <x:c r="A223" s="25" t="str">
        <x:v>C09-G</x:v>
      </x:c>
      <x:c r="B223" s="25" t="str">
        <x:v>亚坛高原</x:v>
      </x:c>
      <x:c r="C223" s="25" t="str">
        <x:v>半急速毕业</x:v>
      </x:c>
      <x:c r="D223" s="25" t="n">
        <x:v>1</x:v>
      </x:c>
      <x:c r="E223" s="25" t="str">
        <x:v>本大陆动作汇总</x:v>
      </x:c>
      <x:c r="F223" s="25" t="str">
        <x:v>自产</x:v>
      </x:c>
      <x:c r="G223" s="25" t="n">
        <x:v>4</x:v>
      </x:c>
      <x:c r="H223" s="25" t="n">
        <x:v>2800000000</x:v>
      </x:c>
      <x:c r="I223" s="25" t="n">
        <x:v>74500000</x:v>
      </x:c>
      <x:c r="J223" s="25" t="str">
        <x:v>技能残页×630；海蚀铁片×80；潮痕结晶×8；漂流大陆印记×8；失色锻造石×100；漂流见证·潮×8；漂流见证·雷×8</x:v>
      </x:c>
      <x:c r="K223" s="25" t="str">
        <x:v>逐操作及每次费用见完整JSON/payments</x:v>
      </x:c>
    </x:row>
    <x:row r="224">
      <x:c r="A224" s="25" t="str">
        <x:v>C09-G</x:v>
      </x:c>
      <x:c r="B224" s="25" t="str">
        <x:v>亚坛高原</x:v>
      </x:c>
      <x:c r="C224" s="25" t="str">
        <x:v>半急速毕业</x:v>
      </x:c>
      <x:c r="D224" s="25" t="n">
        <x:v>2</x:v>
      </x:c>
      <x:c r="E224" s="25" t="str">
        <x:v>本大陆动作汇总</x:v>
      </x:c>
      <x:c r="F224" s="25" t="str">
        <x:v>灵符</x:v>
      </x:c>
      <x:c r="G224" s="25" t="n">
        <x:v>2</x:v>
      </x:c>
      <x:c r="H224" s="25" t="n">
        <x:v>0</x:v>
      </x:c>
      <x:c r="I224" s="25" t="n">
        <x:v>0</x:v>
      </x:c>
      <x:c r="J224" s="25" t="str"/>
      <x:c r="K224" s="25" t="str">
        <x:v>逐操作及每次费用见完整JSON/payments</x:v>
      </x:c>
    </x:row>
    <x:row r="225">
      <x:c r="A225" s="25" t="str">
        <x:v>C09-G</x:v>
      </x:c>
      <x:c r="B225" s="25" t="str">
        <x:v>亚坛高原</x:v>
      </x:c>
      <x:c r="C225" s="25" t="str">
        <x:v>半急速毕业</x:v>
      </x:c>
      <x:c r="D225" s="25" t="n">
        <x:v>2</x:v>
      </x:c>
      <x:c r="E225" s="25" t="str">
        <x:v>本大陆动作汇总</x:v>
      </x:c>
      <x:c r="F225" s="25" t="str">
        <x:v>自产</x:v>
      </x:c>
      <x:c r="G225" s="25" t="n">
        <x:v>138</x:v>
      </x:c>
      <x:c r="H225" s="25" t="n">
        <x:v>21870000000</x:v>
      </x:c>
      <x:c r="I225" s="25" t="n">
        <x:v>765500000</x:v>
      </x:c>
      <x:c r="J225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25" s="25" t="str">
        <x:v>逐操作及每次费用见完整JSON/payments</x:v>
      </x:c>
    </x:row>
    <x:row r="226">
      <x:c r="A226" s="25" t="str">
        <x:v>C09-G</x:v>
      </x:c>
      <x:c r="B226" s="25" t="str">
        <x:v>亚坛高原</x:v>
      </x:c>
      <x:c r="C226" s="25" t="str">
        <x:v>半急速毕业</x:v>
      </x:c>
      <x:c r="D226" s="25" t="n">
        <x:v>3</x:v>
      </x:c>
      <x:c r="E226" s="25" t="str">
        <x:v>本大陆动作汇总</x:v>
      </x:c>
      <x:c r="F226" s="25" t="str">
        <x:v>自产</x:v>
      </x:c>
      <x:c r="G226" s="25" t="n">
        <x:v>169</x:v>
      </x:c>
      <x:c r="H226" s="25" t="n">
        <x:v>86720000000</x:v>
      </x:c>
      <x:c r="I226" s="25" t="n">
        <x:v>288100000</x:v>
      </x:c>
      <x:c r="J226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26" s="25" t="str">
        <x:v>逐操作及每次费用见完整JSON/payments</x:v>
      </x:c>
    </x:row>
    <x:row r="227">
      <x:c r="A227" s="25" t="str">
        <x:v>C09-G</x:v>
      </x:c>
      <x:c r="B227" s="25" t="str">
        <x:v>亚坛高原</x:v>
      </x:c>
      <x:c r="C227" s="25" t="str">
        <x:v>半急速毕业</x:v>
      </x:c>
      <x:c r="D227" s="25" t="n">
        <x:v>4</x:v>
      </x:c>
      <x:c r="E227" s="25" t="str">
        <x:v>本大陆动作汇总</x:v>
      </x:c>
      <x:c r="F227" s="25" t="str">
        <x:v>自产</x:v>
      </x:c>
      <x:c r="G227" s="25" t="n">
        <x:v>223</x:v>
      </x:c>
      <x:c r="H227" s="25" t="n">
        <x:v>104770000000</x:v>
      </x:c>
      <x:c r="I227" s="25" t="n">
        <x:v>1255900000</x:v>
      </x:c>
      <x:c r="J227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27" s="25" t="str">
        <x:v>逐操作及每次费用见完整JSON/payments</x:v>
      </x:c>
    </x:row>
    <x:row r="228">
      <x:c r="A228" s="25" t="str">
        <x:v>C09-G</x:v>
      </x:c>
      <x:c r="B228" s="25" t="str">
        <x:v>亚坛高原</x:v>
      </x:c>
      <x:c r="C228" s="25" t="str">
        <x:v>半急速毕业</x:v>
      </x:c>
      <x:c r="D228" s="25" t="n">
        <x:v>5</x:v>
      </x:c>
      <x:c r="E228" s="25" t="str">
        <x:v>本大陆动作汇总</x:v>
      </x:c>
      <x:c r="F228" s="25" t="str">
        <x:v>自产</x:v>
      </x:c>
      <x:c r="G228" s="25" t="n">
        <x:v>262</x:v>
      </x:c>
      <x:c r="H228" s="25" t="n">
        <x:v>60750000000</x:v>
      </x:c>
      <x:c r="I228" s="25" t="n">
        <x:v>2965900000</x:v>
      </x:c>
      <x:c r="J228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28" s="25" t="str">
        <x:v>逐操作及每次费用见完整JSON/payments</x:v>
      </x:c>
    </x:row>
    <x:row r="229">
      <x:c r="A229" s="25" t="str">
        <x:v>C09-G</x:v>
      </x:c>
      <x:c r="B229" s="25" t="str">
        <x:v>亚坛高原</x:v>
      </x:c>
      <x:c r="C229" s="25" t="str">
        <x:v>半急速毕业</x:v>
      </x:c>
      <x:c r="D229" s="25" t="n">
        <x:v>6</x:v>
      </x:c>
      <x:c r="E229" s="25" t="str">
        <x:v>本大陆动作汇总</x:v>
      </x:c>
      <x:c r="F229" s="25" t="str">
        <x:v>自产</x:v>
      </x:c>
      <x:c r="G229" s="25" t="n">
        <x:v>307</x:v>
      </x:c>
      <x:c r="H229" s="25" t="n">
        <x:v>361480000000</x:v>
      </x:c>
      <x:c r="I229" s="25" t="n">
        <x:v>2124000000</x:v>
      </x:c>
      <x:c r="J229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29" s="25" t="str">
        <x:v>逐操作及每次费用见完整JSON/payments</x:v>
      </x:c>
    </x:row>
    <x:row r="230">
      <x:c r="A230" s="25" t="str">
        <x:v>C09-G</x:v>
      </x:c>
      <x:c r="B230" s="25" t="str">
        <x:v>亚坛高原</x:v>
      </x:c>
      <x:c r="C230" s="25" t="str">
        <x:v>半急速毕业</x:v>
      </x:c>
      <x:c r="D230" s="25" t="n">
        <x:v>7</x:v>
      </x:c>
      <x:c r="E230" s="25" t="str">
        <x:v>本大陆动作汇总</x:v>
      </x:c>
      <x:c r="F230" s="25" t="str">
        <x:v>自产</x:v>
      </x:c>
      <x:c r="G230" s="25" t="n">
        <x:v>334</x:v>
      </x:c>
      <x:c r="H230" s="25" t="n">
        <x:v>284300000000</x:v>
      </x:c>
      <x:c r="I230" s="25" t="n">
        <x:v>3945200000</x:v>
      </x:c>
      <x:c r="J230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30" s="25" t="str">
        <x:v>逐操作及每次费用见完整JSON/payments</x:v>
      </x:c>
    </x:row>
    <x:row r="231">
      <x:c r="A231" s="25" t="str">
        <x:v>C09-G</x:v>
      </x:c>
      <x:c r="B231" s="25" t="str">
        <x:v>亚坛高原</x:v>
      </x:c>
      <x:c r="C231" s="25" t="str">
        <x:v>半急速毕业</x:v>
      </x:c>
      <x:c r="D231" s="25" t="n">
        <x:v>8</x:v>
      </x:c>
      <x:c r="E231" s="25" t="str">
        <x:v>本大陆动作汇总</x:v>
      </x:c>
      <x:c r="F231" s="25" t="str">
        <x:v>自产</x:v>
      </x:c>
      <x:c r="G231" s="25" t="n">
        <x:v>390</x:v>
      </x:c>
      <x:c r="H231" s="25" t="n">
        <x:v>536500000000</x:v>
      </x:c>
      <x:c r="I231" s="25" t="n">
        <x:v>6285200000</x:v>
      </x:c>
      <x:c r="J231" s="25" t="str">
        <x:v>失色锻造石×11180；野兽骨片×15630；霜脊铁×2595；裂峰号角片×110；巨人火种×65；巨人火印×41；巨人熔火卢恩×450；神秘符文×100；永霜朝圣痕×1；冰宫守门铃×12</x:v>
      </x:c>
      <x:c r="K231" s="25" t="str">
        <x:v>逐操作及每次费用见完整JSON/payments</x:v>
      </x:c>
    </x:row>
    <x:row r="232">
      <x:c r="A232" s="25" t="str">
        <x:v>C09-G</x:v>
      </x:c>
      <x:c r="B232" s="25" t="str">
        <x:v>亚坛高原</x:v>
      </x:c>
      <x:c r="C232" s="25" t="str">
        <x:v>半急速毕业</x:v>
      </x:c>
      <x:c r="D232" s="25" t="n">
        <x:v>9</x:v>
      </x:c>
      <x:c r="E232" s="25" t="str">
        <x:v>本大陆动作汇总</x:v>
      </x:c>
      <x:c r="F232" s="25" t="str">
        <x:v>自产</x:v>
      </x:c>
      <x:c r="G232" s="25" t="n">
        <x:v>428</x:v>
      </x:c>
      <x:c r="H232" s="25" t="n">
        <x:v>224900000000</x:v>
      </x:c>
      <x:c r="I232" s="25" t="n">
        <x:v>18835000000</x:v>
      </x:c>
      <x:c r="J232" s="25" t="str">
        <x:v>失色锻造石×19260；野兽骨片×16080；黄金叶脉×3470；黄金律印×112；金叶驿票×50；矿脉灯芯×20；穹霜碑珀×1；裁文蜡封×36；古王律页×105；高原王诏金版×5</x:v>
      </x:c>
      <x:c r="K232" s="25" t="str">
        <x:v>逐操作及每次费用见完整JSON/payments</x:v>
      </x:c>
    </x:row>
    <x:row r="233">
      <x:c r="A233" s="25" t="str">
        <x:v>C09-X</x:v>
      </x:c>
      <x:c r="B233" s="25" t="str">
        <x:v>亚坛高原</x:v>
      </x:c>
      <x:c r="C233" s="25" t="str">
        <x:v>极端压力</x:v>
      </x:c>
      <x:c r="D233" s="25" t="n">
        <x:v>0</x:v>
      </x:c>
      <x:c r="E233" s="25" t="str">
        <x:v>本大陆动作汇总</x:v>
      </x:c>
      <x:c r="F233" s="25" t="str">
        <x:v>灵符</x:v>
      </x:c>
      <x:c r="G233" s="25" t="n">
        <x:v>2</x:v>
      </x:c>
      <x:c r="H233" s="25" t="n">
        <x:v>0</x:v>
      </x:c>
      <x:c r="I233" s="25" t="n">
        <x:v>0</x:v>
      </x:c>
      <x:c r="J233" s="25" t="str"/>
      <x:c r="K233" s="25" t="str">
        <x:v>逐操作及每次费用见完整JSON/payments</x:v>
      </x:c>
    </x:row>
    <x:row r="234">
      <x:c r="A234" s="25" t="str">
        <x:v>C09-X</x:v>
      </x:c>
      <x:c r="B234" s="25" t="str">
        <x:v>亚坛高原</x:v>
      </x:c>
      <x:c r="C234" s="25" t="str">
        <x:v>极端压力</x:v>
      </x:c>
      <x:c r="D234" s="25" t="n">
        <x:v>1</x:v>
      </x:c>
      <x:c r="E234" s="25" t="str">
        <x:v>本大陆动作汇总</x:v>
      </x:c>
      <x:c r="F234" s="25" t="str">
        <x:v>自产</x:v>
      </x:c>
      <x:c r="G234" s="25" t="n">
        <x:v>4</x:v>
      </x:c>
      <x:c r="H234" s="25" t="n">
        <x:v>2800000000</x:v>
      </x:c>
      <x:c r="I234" s="25" t="n">
        <x:v>74500000</x:v>
      </x:c>
      <x:c r="J234" s="25" t="str">
        <x:v>技能残页×630；海蚀铁片×80；潮痕结晶×8；漂流大陆印记×8；失色锻造石×100；漂流见证·潮×8；漂流见证·雷×8</x:v>
      </x:c>
      <x:c r="K234" s="25" t="str">
        <x:v>逐操作及每次费用见完整JSON/payments</x:v>
      </x:c>
    </x:row>
    <x:row r="235">
      <x:c r="A235" s="25" t="str">
        <x:v>C09-X</x:v>
      </x:c>
      <x:c r="B235" s="25" t="str">
        <x:v>亚坛高原</x:v>
      </x:c>
      <x:c r="C235" s="25" t="str">
        <x:v>极端压力</x:v>
      </x:c>
      <x:c r="D235" s="25" t="n">
        <x:v>2</x:v>
      </x:c>
      <x:c r="E235" s="25" t="str">
        <x:v>本大陆动作汇总</x:v>
      </x:c>
      <x:c r="F235" s="25" t="str">
        <x:v>灵符</x:v>
      </x:c>
      <x:c r="G235" s="25" t="n">
        <x:v>2</x:v>
      </x:c>
      <x:c r="H235" s="25" t="n">
        <x:v>0</x:v>
      </x:c>
      <x:c r="I235" s="25" t="n">
        <x:v>0</x:v>
      </x:c>
      <x:c r="J235" s="25" t="str"/>
      <x:c r="K235" s="25" t="str">
        <x:v>逐操作及每次费用见完整JSON/payments</x:v>
      </x:c>
    </x:row>
    <x:row r="236">
      <x:c r="A236" s="25" t="str">
        <x:v>C09-X</x:v>
      </x:c>
      <x:c r="B236" s="25" t="str">
        <x:v>亚坛高原</x:v>
      </x:c>
      <x:c r="C236" s="25" t="str">
        <x:v>极端压力</x:v>
      </x:c>
      <x:c r="D236" s="25" t="n">
        <x:v>2</x:v>
      </x:c>
      <x:c r="E236" s="25" t="str">
        <x:v>本大陆动作汇总</x:v>
      </x:c>
      <x:c r="F236" s="25" t="str">
        <x:v>自产</x:v>
      </x:c>
      <x:c r="G236" s="25" t="n">
        <x:v>138</x:v>
      </x:c>
      <x:c r="H236" s="25" t="n">
        <x:v>21870000000</x:v>
      </x:c>
      <x:c r="I236" s="25" t="n">
        <x:v>765500000</x:v>
      </x:c>
      <x:c r="J236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36" s="25" t="str">
        <x:v>逐操作及每次费用见完整JSON/payments</x:v>
      </x:c>
    </x:row>
    <x:row r="237">
      <x:c r="A237" s="25" t="str">
        <x:v>C09-X</x:v>
      </x:c>
      <x:c r="B237" s="25" t="str">
        <x:v>亚坛高原</x:v>
      </x:c>
      <x:c r="C237" s="25" t="str">
        <x:v>极端压力</x:v>
      </x:c>
      <x:c r="D237" s="25" t="n">
        <x:v>3</x:v>
      </x:c>
      <x:c r="E237" s="25" t="str">
        <x:v>本大陆动作汇总</x:v>
      </x:c>
      <x:c r="F237" s="25" t="str">
        <x:v>自产</x:v>
      </x:c>
      <x:c r="G237" s="25" t="n">
        <x:v>169</x:v>
      </x:c>
      <x:c r="H237" s="25" t="n">
        <x:v>86720000000</x:v>
      </x:c>
      <x:c r="I237" s="25" t="n">
        <x:v>288100000</x:v>
      </x:c>
      <x:c r="J237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37" s="25" t="str">
        <x:v>逐操作及每次费用见完整JSON/payments</x:v>
      </x:c>
    </x:row>
    <x:row r="238">
      <x:c r="A238" s="25" t="str">
        <x:v>C09-X</x:v>
      </x:c>
      <x:c r="B238" s="25" t="str">
        <x:v>亚坛高原</x:v>
      </x:c>
      <x:c r="C238" s="25" t="str">
        <x:v>极端压力</x:v>
      </x:c>
      <x:c r="D238" s="25" t="n">
        <x:v>4</x:v>
      </x:c>
      <x:c r="E238" s="25" t="str">
        <x:v>本大陆动作汇总</x:v>
      </x:c>
      <x:c r="F238" s="25" t="str">
        <x:v>自产</x:v>
      </x:c>
      <x:c r="G238" s="25" t="n">
        <x:v>223</x:v>
      </x:c>
      <x:c r="H238" s="25" t="n">
        <x:v>104770000000</x:v>
      </x:c>
      <x:c r="I238" s="25" t="n">
        <x:v>1255900000</x:v>
      </x:c>
      <x:c r="J238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38" s="25" t="str">
        <x:v>逐操作及每次费用见完整JSON/payments</x:v>
      </x:c>
    </x:row>
    <x:row r="239">
      <x:c r="A239" s="25" t="str">
        <x:v>C09-X</x:v>
      </x:c>
      <x:c r="B239" s="25" t="str">
        <x:v>亚坛高原</x:v>
      </x:c>
      <x:c r="C239" s="25" t="str">
        <x:v>极端压力</x:v>
      </x:c>
      <x:c r="D239" s="25" t="n">
        <x:v>5</x:v>
      </x:c>
      <x:c r="E239" s="25" t="str">
        <x:v>本大陆动作汇总</x:v>
      </x:c>
      <x:c r="F239" s="25" t="str">
        <x:v>自产</x:v>
      </x:c>
      <x:c r="G239" s="25" t="n">
        <x:v>262</x:v>
      </x:c>
      <x:c r="H239" s="25" t="n">
        <x:v>60750000000</x:v>
      </x:c>
      <x:c r="I239" s="25" t="n">
        <x:v>2965900000</x:v>
      </x:c>
      <x:c r="J239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39" s="25" t="str">
        <x:v>逐操作及每次费用见完整JSON/payments</x:v>
      </x:c>
    </x:row>
    <x:row r="240">
      <x:c r="A240" s="25" t="str">
        <x:v>C09-X</x:v>
      </x:c>
      <x:c r="B240" s="25" t="str">
        <x:v>亚坛高原</x:v>
      </x:c>
      <x:c r="C240" s="25" t="str">
        <x:v>极端压力</x:v>
      </x:c>
      <x:c r="D240" s="25" t="n">
        <x:v>6</x:v>
      </x:c>
      <x:c r="E240" s="25" t="str">
        <x:v>本大陆动作汇总</x:v>
      </x:c>
      <x:c r="F240" s="25" t="str">
        <x:v>自产</x:v>
      </x:c>
      <x:c r="G240" s="25" t="n">
        <x:v>307</x:v>
      </x:c>
      <x:c r="H240" s="25" t="n">
        <x:v>361480000000</x:v>
      </x:c>
      <x:c r="I240" s="25" t="n">
        <x:v>2124000000</x:v>
      </x:c>
      <x:c r="J240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40" s="25" t="str">
        <x:v>逐操作及每次费用见完整JSON/payments</x:v>
      </x:c>
    </x:row>
    <x:row r="241">
      <x:c r="A241" s="25" t="str">
        <x:v>C09-X</x:v>
      </x:c>
      <x:c r="B241" s="25" t="str">
        <x:v>亚坛高原</x:v>
      </x:c>
      <x:c r="C241" s="25" t="str">
        <x:v>极端压力</x:v>
      </x:c>
      <x:c r="D241" s="25" t="n">
        <x:v>7</x:v>
      </x:c>
      <x:c r="E241" s="25" t="str">
        <x:v>本大陆动作汇总</x:v>
      </x:c>
      <x:c r="F241" s="25" t="str">
        <x:v>自产</x:v>
      </x:c>
      <x:c r="G241" s="25" t="n">
        <x:v>334</x:v>
      </x:c>
      <x:c r="H241" s="25" t="n">
        <x:v>284300000000</x:v>
      </x:c>
      <x:c r="I241" s="25" t="n">
        <x:v>3945200000</x:v>
      </x:c>
      <x:c r="J241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41" s="25" t="str">
        <x:v>逐操作及每次费用见完整JSON/payments</x:v>
      </x:c>
    </x:row>
    <x:row r="242">
      <x:c r="A242" s="25" t="str">
        <x:v>C09-X</x:v>
      </x:c>
      <x:c r="B242" s="25" t="str">
        <x:v>亚坛高原</x:v>
      </x:c>
      <x:c r="C242" s="25" t="str">
        <x:v>极端压力</x:v>
      </x:c>
      <x:c r="D242" s="25" t="n">
        <x:v>8</x:v>
      </x:c>
      <x:c r="E242" s="25" t="str">
        <x:v>本大陆动作汇总</x:v>
      </x:c>
      <x:c r="F242" s="25" t="str">
        <x:v>自产</x:v>
      </x:c>
      <x:c r="G242" s="25" t="n">
        <x:v>390</x:v>
      </x:c>
      <x:c r="H242" s="25" t="n">
        <x:v>536500000000</x:v>
      </x:c>
      <x:c r="I242" s="25" t="n">
        <x:v>6285200000</x:v>
      </x:c>
      <x:c r="J242" s="25" t="str">
        <x:v>失色锻造石×11180；野兽骨片×15630；霜脊铁×2595；裂峰号角片×110；巨人火种×65；巨人火印×41；巨人熔火卢恩×450；神秘符文×100；永霜朝圣痕×1；冰宫守门铃×12</x:v>
      </x:c>
      <x:c r="K242" s="25" t="str">
        <x:v>逐操作及每次费用见完整JSON/payments</x:v>
      </x:c>
    </x:row>
    <x:row r="243">
      <x:c r="A243" s="25" t="str">
        <x:v>C09-X</x:v>
      </x:c>
      <x:c r="B243" s="25" t="str">
        <x:v>亚坛高原</x:v>
      </x:c>
      <x:c r="C243" s="25" t="str">
        <x:v>极端压力</x:v>
      </x:c>
      <x:c r="D243" s="25" t="n">
        <x:v>9</x:v>
      </x:c>
      <x:c r="E243" s="25" t="str">
        <x:v>本大陆动作汇总</x:v>
      </x:c>
      <x:c r="F243" s="25" t="str">
        <x:v>自产</x:v>
      </x:c>
      <x:c r="G243" s="25" t="n">
        <x:v>1276</x:v>
      </x:c>
      <x:c r="H243" s="25" t="n">
        <x:v>513900000000</x:v>
      </x:c>
      <x:c r="I243" s="25" t="n">
        <x:v>60716000000</x:v>
      </x:c>
      <x:c r="J243" s="25" t="str">
        <x:v>失色锻造石×68770；野兽骨片×16080；黄金叶脉×5570；黄金律印×172；金叶驿票×50；矿脉灯芯×20；穹霜碑珀×1；裁文蜡封×54；古王律页×105；高原王诏金版×10；湖盐结晶×310；深湖压舱印×6；沉湖王印×9；辉石碎晶×420；雾月星砂×90；禁域星钥×2；霜脊铁×2310；登山铁楔×290；巨人火印×64；王庭炉冠×4；古坛鎏叶髓×1</x:v>
      </x:c>
      <x:c r="K243" s="25" t="str">
        <x:v>逐操作及每次费用见完整JSON/payments</x:v>
      </x:c>
    </x:row>
    <x:row r="244">
      <x:c r="A244" s="25" t="str">
        <x:v>C10-E</x:v>
      </x:c>
      <x:c r="B244" s="25" t="str">
        <x:v>王城罗德尔</x:v>
      </x:c>
      <x:c r="C244" s="25" t="str">
        <x:v>半急速入场</x:v>
      </x:c>
      <x:c r="D244" s="25" t="n">
        <x:v>0</x:v>
      </x:c>
      <x:c r="E244" s="25" t="str">
        <x:v>本大陆动作汇总</x:v>
      </x:c>
      <x:c r="F244" s="25" t="str">
        <x:v>灵符</x:v>
      </x:c>
      <x:c r="G244" s="25" t="n">
        <x:v>2</x:v>
      </x:c>
      <x:c r="H244" s="25" t="n">
        <x:v>0</x:v>
      </x:c>
      <x:c r="I244" s="25" t="n">
        <x:v>0</x:v>
      </x:c>
      <x:c r="J244" s="25" t="str"/>
      <x:c r="K244" s="25" t="str">
        <x:v>逐操作及每次费用见完整JSON/payments</x:v>
      </x:c>
    </x:row>
    <x:row r="245">
      <x:c r="A245" s="25" t="str">
        <x:v>C10-E</x:v>
      </x:c>
      <x:c r="B245" s="25" t="str">
        <x:v>王城罗德尔</x:v>
      </x:c>
      <x:c r="C245" s="25" t="str">
        <x:v>半急速入场</x:v>
      </x:c>
      <x:c r="D245" s="25" t="n">
        <x:v>1</x:v>
      </x:c>
      <x:c r="E245" s="25" t="str">
        <x:v>本大陆动作汇总</x:v>
      </x:c>
      <x:c r="F245" s="25" t="str">
        <x:v>自产</x:v>
      </x:c>
      <x:c r="G245" s="25" t="n">
        <x:v>4</x:v>
      </x:c>
      <x:c r="H245" s="25" t="n">
        <x:v>2800000000</x:v>
      </x:c>
      <x:c r="I245" s="25" t="n">
        <x:v>74500000</x:v>
      </x:c>
      <x:c r="J245" s="25" t="str">
        <x:v>技能残页×630；海蚀铁片×80；潮痕结晶×8；漂流大陆印记×8；失色锻造石×100；漂流见证·潮×8；漂流见证·雷×8</x:v>
      </x:c>
      <x:c r="K245" s="25" t="str">
        <x:v>逐操作及每次费用见完整JSON/payments</x:v>
      </x:c>
    </x:row>
    <x:row r="246">
      <x:c r="A246" s="25" t="str">
        <x:v>C10-E</x:v>
      </x:c>
      <x:c r="B246" s="25" t="str">
        <x:v>王城罗德尔</x:v>
      </x:c>
      <x:c r="C246" s="25" t="str">
        <x:v>半急速入场</x:v>
      </x:c>
      <x:c r="D246" s="25" t="n">
        <x:v>2</x:v>
      </x:c>
      <x:c r="E246" s="25" t="str">
        <x:v>本大陆动作汇总</x:v>
      </x:c>
      <x:c r="F246" s="25" t="str">
        <x:v>灵符</x:v>
      </x:c>
      <x:c r="G246" s="25" t="n">
        <x:v>2</x:v>
      </x:c>
      <x:c r="H246" s="25" t="n">
        <x:v>0</x:v>
      </x:c>
      <x:c r="I246" s="25" t="n">
        <x:v>0</x:v>
      </x:c>
      <x:c r="J246" s="25" t="str"/>
      <x:c r="K246" s="25" t="str">
        <x:v>逐操作及每次费用见完整JSON/payments</x:v>
      </x:c>
    </x:row>
    <x:row r="247">
      <x:c r="A247" s="25" t="str">
        <x:v>C10-E</x:v>
      </x:c>
      <x:c r="B247" s="25" t="str">
        <x:v>王城罗德尔</x:v>
      </x:c>
      <x:c r="C247" s="25" t="str">
        <x:v>半急速入场</x:v>
      </x:c>
      <x:c r="D247" s="25" t="n">
        <x:v>2</x:v>
      </x:c>
      <x:c r="E247" s="25" t="str">
        <x:v>本大陆动作汇总</x:v>
      </x:c>
      <x:c r="F247" s="25" t="str">
        <x:v>自产</x:v>
      </x:c>
      <x:c r="G247" s="25" t="n">
        <x:v>138</x:v>
      </x:c>
      <x:c r="H247" s="25" t="n">
        <x:v>21870000000</x:v>
      </x:c>
      <x:c r="I247" s="25" t="n">
        <x:v>765500000</x:v>
      </x:c>
      <x:c r="J247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47" s="25" t="str">
        <x:v>逐操作及每次费用见完整JSON/payments</x:v>
      </x:c>
    </x:row>
    <x:row r="248">
      <x:c r="A248" s="25" t="str">
        <x:v>C10-E</x:v>
      </x:c>
      <x:c r="B248" s="25" t="str">
        <x:v>王城罗德尔</x:v>
      </x:c>
      <x:c r="C248" s="25" t="str">
        <x:v>半急速入场</x:v>
      </x:c>
      <x:c r="D248" s="25" t="n">
        <x:v>3</x:v>
      </x:c>
      <x:c r="E248" s="25" t="str">
        <x:v>本大陆动作汇总</x:v>
      </x:c>
      <x:c r="F248" s="25" t="str">
        <x:v>自产</x:v>
      </x:c>
      <x:c r="G248" s="25" t="n">
        <x:v>169</x:v>
      </x:c>
      <x:c r="H248" s="25" t="n">
        <x:v>86720000000</x:v>
      </x:c>
      <x:c r="I248" s="25" t="n">
        <x:v>288100000</x:v>
      </x:c>
      <x:c r="J248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48" s="25" t="str">
        <x:v>逐操作及每次费用见完整JSON/payments</x:v>
      </x:c>
    </x:row>
    <x:row r="249">
      <x:c r="A249" s="25" t="str">
        <x:v>C10-E</x:v>
      </x:c>
      <x:c r="B249" s="25" t="str">
        <x:v>王城罗德尔</x:v>
      </x:c>
      <x:c r="C249" s="25" t="str">
        <x:v>半急速入场</x:v>
      </x:c>
      <x:c r="D249" s="25" t="n">
        <x:v>4</x:v>
      </x:c>
      <x:c r="E249" s="25" t="str">
        <x:v>本大陆动作汇总</x:v>
      </x:c>
      <x:c r="F249" s="25" t="str">
        <x:v>自产</x:v>
      </x:c>
      <x:c r="G249" s="25" t="n">
        <x:v>223</x:v>
      </x:c>
      <x:c r="H249" s="25" t="n">
        <x:v>104770000000</x:v>
      </x:c>
      <x:c r="I249" s="25" t="n">
        <x:v>1255900000</x:v>
      </x:c>
      <x:c r="J249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49" s="25" t="str">
        <x:v>逐操作及每次费用见完整JSON/payments</x:v>
      </x:c>
    </x:row>
    <x:row r="250">
      <x:c r="A250" s="25" t="str">
        <x:v>C10-E</x:v>
      </x:c>
      <x:c r="B250" s="25" t="str">
        <x:v>王城罗德尔</x:v>
      </x:c>
      <x:c r="C250" s="25" t="str">
        <x:v>半急速入场</x:v>
      </x:c>
      <x:c r="D250" s="25" t="n">
        <x:v>5</x:v>
      </x:c>
      <x:c r="E250" s="25" t="str">
        <x:v>本大陆动作汇总</x:v>
      </x:c>
      <x:c r="F250" s="25" t="str">
        <x:v>自产</x:v>
      </x:c>
      <x:c r="G250" s="25" t="n">
        <x:v>262</x:v>
      </x:c>
      <x:c r="H250" s="25" t="n">
        <x:v>60750000000</x:v>
      </x:c>
      <x:c r="I250" s="25" t="n">
        <x:v>2965900000</x:v>
      </x:c>
      <x:c r="J250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50" s="25" t="str">
        <x:v>逐操作及每次费用见完整JSON/payments</x:v>
      </x:c>
    </x:row>
    <x:row r="251">
      <x:c r="A251" s="25" t="str">
        <x:v>C10-E</x:v>
      </x:c>
      <x:c r="B251" s="25" t="str">
        <x:v>王城罗德尔</x:v>
      </x:c>
      <x:c r="C251" s="25" t="str">
        <x:v>半急速入场</x:v>
      </x:c>
      <x:c r="D251" s="25" t="n">
        <x:v>6</x:v>
      </x:c>
      <x:c r="E251" s="25" t="str">
        <x:v>本大陆动作汇总</x:v>
      </x:c>
      <x:c r="F251" s="25" t="str">
        <x:v>自产</x:v>
      </x:c>
      <x:c r="G251" s="25" t="n">
        <x:v>307</x:v>
      </x:c>
      <x:c r="H251" s="25" t="n">
        <x:v>361480000000</x:v>
      </x:c>
      <x:c r="I251" s="25" t="n">
        <x:v>2124000000</x:v>
      </x:c>
      <x:c r="J251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51" s="25" t="str">
        <x:v>逐操作及每次费用见完整JSON/payments</x:v>
      </x:c>
    </x:row>
    <x:row r="252">
      <x:c r="A252" s="25" t="str">
        <x:v>C10-E</x:v>
      </x:c>
      <x:c r="B252" s="25" t="str">
        <x:v>王城罗德尔</x:v>
      </x:c>
      <x:c r="C252" s="25" t="str">
        <x:v>半急速入场</x:v>
      </x:c>
      <x:c r="D252" s="25" t="n">
        <x:v>7</x:v>
      </x:c>
      <x:c r="E252" s="25" t="str">
        <x:v>本大陆动作汇总</x:v>
      </x:c>
      <x:c r="F252" s="25" t="str">
        <x:v>自产</x:v>
      </x:c>
      <x:c r="G252" s="25" t="n">
        <x:v>334</x:v>
      </x:c>
      <x:c r="H252" s="25" t="n">
        <x:v>284300000000</x:v>
      </x:c>
      <x:c r="I252" s="25" t="n">
        <x:v>3945200000</x:v>
      </x:c>
      <x:c r="J252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52" s="25" t="str">
        <x:v>逐操作及每次费用见完整JSON/payments</x:v>
      </x:c>
    </x:row>
    <x:row r="253">
      <x:c r="A253" s="25" t="str">
        <x:v>C10-E</x:v>
      </x:c>
      <x:c r="B253" s="25" t="str">
        <x:v>王城罗德尔</x:v>
      </x:c>
      <x:c r="C253" s="25" t="str">
        <x:v>半急速入场</x:v>
      </x:c>
      <x:c r="D253" s="25" t="n">
        <x:v>8</x:v>
      </x:c>
      <x:c r="E253" s="25" t="str">
        <x:v>本大陆动作汇总</x:v>
      </x:c>
      <x:c r="F253" s="25" t="str">
        <x:v>自产</x:v>
      </x:c>
      <x:c r="G253" s="25" t="n">
        <x:v>390</x:v>
      </x:c>
      <x:c r="H253" s="25" t="n">
        <x:v>536500000000</x:v>
      </x:c>
      <x:c r="I253" s="25" t="n">
        <x:v>6285200000</x:v>
      </x:c>
      <x:c r="J253" s="25" t="str">
        <x:v>失色锻造石×11180；野兽骨片×15630；霜脊铁×2595；裂峰号角片×110；巨人火种×65；巨人火印×41；巨人熔火卢恩×450；神秘符文×100；永霜朝圣痕×1；冰宫守门铃×12</x:v>
      </x:c>
      <x:c r="K253" s="25" t="str">
        <x:v>逐操作及每次费用见完整JSON/payments</x:v>
      </x:c>
    </x:row>
    <x:row r="254">
      <x:c r="A254" s="25" t="str">
        <x:v>C10-E</x:v>
      </x:c>
      <x:c r="B254" s="25" t="str">
        <x:v>王城罗德尔</x:v>
      </x:c>
      <x:c r="C254" s="25" t="str">
        <x:v>半急速入场</x:v>
      </x:c>
      <x:c r="D254" s="25" t="n">
        <x:v>9</x:v>
      </x:c>
      <x:c r="E254" s="25" t="str">
        <x:v>本大陆动作汇总</x:v>
      </x:c>
      <x:c r="F254" s="25" t="str">
        <x:v>自产</x:v>
      </x:c>
      <x:c r="G254" s="25" t="n">
        <x:v>428</x:v>
      </x:c>
      <x:c r="H254" s="25" t="n">
        <x:v>224900000000</x:v>
      </x:c>
      <x:c r="I254" s="25" t="n">
        <x:v>18835000000</x:v>
      </x:c>
      <x:c r="J254" s="25" t="str">
        <x:v>失色锻造石×19260；野兽骨片×16080；黄金叶脉×3470；黄金律印×112；金叶驿票×50；矿脉灯芯×20；穹霜碑珀×1；裁文蜡封×36；古王律页×105；高原王诏金版×5</x:v>
      </x:c>
      <x:c r="K254" s="25" t="str">
        <x:v>逐操作及每次费用见完整JSON/payments</x:v>
      </x:c>
    </x:row>
    <x:row r="255">
      <x:c r="A255" s="25" t="str">
        <x:v>C10-M</x:v>
      </x:c>
      <x:c r="B255" s="25" t="str">
        <x:v>王城罗德尔</x:v>
      </x:c>
      <x:c r="C255" s="25" t="str">
        <x:v>半急速中期</x:v>
      </x:c>
      <x:c r="D255" s="25" t="n">
        <x:v>0</x:v>
      </x:c>
      <x:c r="E255" s="25" t="str">
        <x:v>本大陆动作汇总</x:v>
      </x:c>
      <x:c r="F255" s="25" t="str">
        <x:v>灵符</x:v>
      </x:c>
      <x:c r="G255" s="25" t="n">
        <x:v>2</x:v>
      </x:c>
      <x:c r="H255" s="25" t="n">
        <x:v>0</x:v>
      </x:c>
      <x:c r="I255" s="25" t="n">
        <x:v>0</x:v>
      </x:c>
      <x:c r="J255" s="25" t="str"/>
      <x:c r="K255" s="25" t="str">
        <x:v>逐操作及每次费用见完整JSON/payments</x:v>
      </x:c>
    </x:row>
    <x:row r="256">
      <x:c r="A256" s="25" t="str">
        <x:v>C10-M</x:v>
      </x:c>
      <x:c r="B256" s="25" t="str">
        <x:v>王城罗德尔</x:v>
      </x:c>
      <x:c r="C256" s="25" t="str">
        <x:v>半急速中期</x:v>
      </x:c>
      <x:c r="D256" s="25" t="n">
        <x:v>1</x:v>
      </x:c>
      <x:c r="E256" s="25" t="str">
        <x:v>本大陆动作汇总</x:v>
      </x:c>
      <x:c r="F256" s="25" t="str">
        <x:v>自产</x:v>
      </x:c>
      <x:c r="G256" s="25" t="n">
        <x:v>4</x:v>
      </x:c>
      <x:c r="H256" s="25" t="n">
        <x:v>2800000000</x:v>
      </x:c>
      <x:c r="I256" s="25" t="n">
        <x:v>74500000</x:v>
      </x:c>
      <x:c r="J256" s="25" t="str">
        <x:v>技能残页×630；海蚀铁片×80；潮痕结晶×8；漂流大陆印记×8；失色锻造石×100；漂流见证·潮×8；漂流见证·雷×8</x:v>
      </x:c>
      <x:c r="K256" s="25" t="str">
        <x:v>逐操作及每次费用见完整JSON/payments</x:v>
      </x:c>
    </x:row>
    <x:row r="257">
      <x:c r="A257" s="25" t="str">
        <x:v>C10-M</x:v>
      </x:c>
      <x:c r="B257" s="25" t="str">
        <x:v>王城罗德尔</x:v>
      </x:c>
      <x:c r="C257" s="25" t="str">
        <x:v>半急速中期</x:v>
      </x:c>
      <x:c r="D257" s="25" t="n">
        <x:v>2</x:v>
      </x:c>
      <x:c r="E257" s="25" t="str">
        <x:v>本大陆动作汇总</x:v>
      </x:c>
      <x:c r="F257" s="25" t="str">
        <x:v>灵符</x:v>
      </x:c>
      <x:c r="G257" s="25" t="n">
        <x:v>2</x:v>
      </x:c>
      <x:c r="H257" s="25" t="n">
        <x:v>0</x:v>
      </x:c>
      <x:c r="I257" s="25" t="n">
        <x:v>0</x:v>
      </x:c>
      <x:c r="J257" s="25" t="str"/>
      <x:c r="K257" s="25" t="str">
        <x:v>逐操作及每次费用见完整JSON/payments</x:v>
      </x:c>
    </x:row>
    <x:row r="258">
      <x:c r="A258" s="25" t="str">
        <x:v>C10-M</x:v>
      </x:c>
      <x:c r="B258" s="25" t="str">
        <x:v>王城罗德尔</x:v>
      </x:c>
      <x:c r="C258" s="25" t="str">
        <x:v>半急速中期</x:v>
      </x:c>
      <x:c r="D258" s="25" t="n">
        <x:v>2</x:v>
      </x:c>
      <x:c r="E258" s="25" t="str">
        <x:v>本大陆动作汇总</x:v>
      </x:c>
      <x:c r="F258" s="25" t="str">
        <x:v>自产</x:v>
      </x:c>
      <x:c r="G258" s="25" t="n">
        <x:v>138</x:v>
      </x:c>
      <x:c r="H258" s="25" t="n">
        <x:v>21870000000</x:v>
      </x:c>
      <x:c r="I258" s="25" t="n">
        <x:v>765500000</x:v>
      </x:c>
      <x:c r="J258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58" s="25" t="str">
        <x:v>逐操作及每次费用见完整JSON/payments</x:v>
      </x:c>
    </x:row>
    <x:row r="259">
      <x:c r="A259" s="25" t="str">
        <x:v>C10-M</x:v>
      </x:c>
      <x:c r="B259" s="25" t="str">
        <x:v>王城罗德尔</x:v>
      </x:c>
      <x:c r="C259" s="25" t="str">
        <x:v>半急速中期</x:v>
      </x:c>
      <x:c r="D259" s="25" t="n">
        <x:v>3</x:v>
      </x:c>
      <x:c r="E259" s="25" t="str">
        <x:v>本大陆动作汇总</x:v>
      </x:c>
      <x:c r="F259" s="25" t="str">
        <x:v>自产</x:v>
      </x:c>
      <x:c r="G259" s="25" t="n">
        <x:v>169</x:v>
      </x:c>
      <x:c r="H259" s="25" t="n">
        <x:v>86720000000</x:v>
      </x:c>
      <x:c r="I259" s="25" t="n">
        <x:v>288100000</x:v>
      </x:c>
      <x:c r="J259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59" s="25" t="str">
        <x:v>逐操作及每次费用见完整JSON/payments</x:v>
      </x:c>
    </x:row>
    <x:row r="260">
      <x:c r="A260" s="25" t="str">
        <x:v>C10-M</x:v>
      </x:c>
      <x:c r="B260" s="25" t="str">
        <x:v>王城罗德尔</x:v>
      </x:c>
      <x:c r="C260" s="25" t="str">
        <x:v>半急速中期</x:v>
      </x:c>
      <x:c r="D260" s="25" t="n">
        <x:v>4</x:v>
      </x:c>
      <x:c r="E260" s="25" t="str">
        <x:v>本大陆动作汇总</x:v>
      </x:c>
      <x:c r="F260" s="25" t="str">
        <x:v>自产</x:v>
      </x:c>
      <x:c r="G260" s="25" t="n">
        <x:v>223</x:v>
      </x:c>
      <x:c r="H260" s="25" t="n">
        <x:v>104770000000</x:v>
      </x:c>
      <x:c r="I260" s="25" t="n">
        <x:v>1255900000</x:v>
      </x:c>
      <x:c r="J260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60" s="25" t="str">
        <x:v>逐操作及每次费用见完整JSON/payments</x:v>
      </x:c>
    </x:row>
    <x:row r="261">
      <x:c r="A261" s="25" t="str">
        <x:v>C10-M</x:v>
      </x:c>
      <x:c r="B261" s="25" t="str">
        <x:v>王城罗德尔</x:v>
      </x:c>
      <x:c r="C261" s="25" t="str">
        <x:v>半急速中期</x:v>
      </x:c>
      <x:c r="D261" s="25" t="n">
        <x:v>5</x:v>
      </x:c>
      <x:c r="E261" s="25" t="str">
        <x:v>本大陆动作汇总</x:v>
      </x:c>
      <x:c r="F261" s="25" t="str">
        <x:v>自产</x:v>
      </x:c>
      <x:c r="G261" s="25" t="n">
        <x:v>262</x:v>
      </x:c>
      <x:c r="H261" s="25" t="n">
        <x:v>60750000000</x:v>
      </x:c>
      <x:c r="I261" s="25" t="n">
        <x:v>2965900000</x:v>
      </x:c>
      <x:c r="J261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61" s="25" t="str">
        <x:v>逐操作及每次费用见完整JSON/payments</x:v>
      </x:c>
    </x:row>
    <x:row r="262">
      <x:c r="A262" s="25" t="str">
        <x:v>C10-M</x:v>
      </x:c>
      <x:c r="B262" s="25" t="str">
        <x:v>王城罗德尔</x:v>
      </x:c>
      <x:c r="C262" s="25" t="str">
        <x:v>半急速中期</x:v>
      </x:c>
      <x:c r="D262" s="25" t="n">
        <x:v>6</x:v>
      </x:c>
      <x:c r="E262" s="25" t="str">
        <x:v>本大陆动作汇总</x:v>
      </x:c>
      <x:c r="F262" s="25" t="str">
        <x:v>自产</x:v>
      </x:c>
      <x:c r="G262" s="25" t="n">
        <x:v>307</x:v>
      </x:c>
      <x:c r="H262" s="25" t="n">
        <x:v>361480000000</x:v>
      </x:c>
      <x:c r="I262" s="25" t="n">
        <x:v>2124000000</x:v>
      </x:c>
      <x:c r="J262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62" s="25" t="str">
        <x:v>逐操作及每次费用见完整JSON/payments</x:v>
      </x:c>
    </x:row>
    <x:row r="263">
      <x:c r="A263" s="25" t="str">
        <x:v>C10-M</x:v>
      </x:c>
      <x:c r="B263" s="25" t="str">
        <x:v>王城罗德尔</x:v>
      </x:c>
      <x:c r="C263" s="25" t="str">
        <x:v>半急速中期</x:v>
      </x:c>
      <x:c r="D263" s="25" t="n">
        <x:v>7</x:v>
      </x:c>
      <x:c r="E263" s="25" t="str">
        <x:v>本大陆动作汇总</x:v>
      </x:c>
      <x:c r="F263" s="25" t="str">
        <x:v>自产</x:v>
      </x:c>
      <x:c r="G263" s="25" t="n">
        <x:v>334</x:v>
      </x:c>
      <x:c r="H263" s="25" t="n">
        <x:v>284300000000</x:v>
      </x:c>
      <x:c r="I263" s="25" t="n">
        <x:v>3945200000</x:v>
      </x:c>
      <x:c r="J263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63" s="25" t="str">
        <x:v>逐操作及每次费用见完整JSON/payments</x:v>
      </x:c>
    </x:row>
    <x:row r="264">
      <x:c r="A264" s="25" t="str">
        <x:v>C10-M</x:v>
      </x:c>
      <x:c r="B264" s="25" t="str">
        <x:v>王城罗德尔</x:v>
      </x:c>
      <x:c r="C264" s="25" t="str">
        <x:v>半急速中期</x:v>
      </x:c>
      <x:c r="D264" s="25" t="n">
        <x:v>8</x:v>
      </x:c>
      <x:c r="E264" s="25" t="str">
        <x:v>本大陆动作汇总</x:v>
      </x:c>
      <x:c r="F264" s="25" t="str">
        <x:v>自产</x:v>
      </x:c>
      <x:c r="G264" s="25" t="n">
        <x:v>390</x:v>
      </x:c>
      <x:c r="H264" s="25" t="n">
        <x:v>536500000000</x:v>
      </x:c>
      <x:c r="I264" s="25" t="n">
        <x:v>6285200000</x:v>
      </x:c>
      <x:c r="J264" s="25" t="str">
        <x:v>失色锻造石×11180；野兽骨片×15630；霜脊铁×2595；裂峰号角片×110；巨人火种×65；巨人火印×41；巨人熔火卢恩×450；神秘符文×100；永霜朝圣痕×1；冰宫守门铃×12</x:v>
      </x:c>
      <x:c r="K264" s="25" t="str">
        <x:v>逐操作及每次费用见完整JSON/payments</x:v>
      </x:c>
    </x:row>
    <x:row r="265">
      <x:c r="A265" s="25" t="str">
        <x:v>C10-M</x:v>
      </x:c>
      <x:c r="B265" s="25" t="str">
        <x:v>王城罗德尔</x:v>
      </x:c>
      <x:c r="C265" s="25" t="str">
        <x:v>半急速中期</x:v>
      </x:c>
      <x:c r="D265" s="25" t="n">
        <x:v>9</x:v>
      </x:c>
      <x:c r="E265" s="25" t="str">
        <x:v>本大陆动作汇总</x:v>
      </x:c>
      <x:c r="F265" s="25" t="str">
        <x:v>自产</x:v>
      </x:c>
      <x:c r="G265" s="25" t="n">
        <x:v>428</x:v>
      </x:c>
      <x:c r="H265" s="25" t="n">
        <x:v>224900000000</x:v>
      </x:c>
      <x:c r="I265" s="25" t="n">
        <x:v>18835000000</x:v>
      </x:c>
      <x:c r="J265" s="25" t="str">
        <x:v>失色锻造石×19260；野兽骨片×16080；黄金叶脉×3470；黄金律印×112；金叶驿票×50；矿脉灯芯×20；穹霜碑珀×1；裁文蜡封×36；古王律页×105；高原王诏金版×5</x:v>
      </x:c>
      <x:c r="K265" s="25" t="str">
        <x:v>逐操作及每次费用见完整JSON/payments</x:v>
      </x:c>
    </x:row>
    <x:row r="266">
      <x:c r="A266" s="25" t="str">
        <x:v>C10-M</x:v>
      </x:c>
      <x:c r="B266" s="25" t="str">
        <x:v>王城罗德尔</x:v>
      </x:c>
      <x:c r="C266" s="25" t="str">
        <x:v>半急速中期</x:v>
      </x:c>
      <x:c r="D266" s="25" t="n">
        <x:v>10</x:v>
      </x:c>
      <x:c r="E266" s="25" t="str">
        <x:v>本大陆动作汇总</x:v>
      </x:c>
      <x:c r="F266" s="25" t="str">
        <x:v>自产</x:v>
      </x:c>
      <x:c r="G266" s="25" t="n">
        <x:v>187</x:v>
      </x:c>
      <x:c r="H266" s="25" t="n">
        <x:v>278300000000</x:v>
      </x:c>
      <x:c r="I266" s="25" t="n">
        <x:v>8579000000</x:v>
      </x:c>
      <x:c r="J266" s="25" t="str">
        <x:v>失色锻造石×7960；黄金叶脉×1000；裁文蜡封×18；黄金律印×28；野兽骨片×7328；王城金屑×1465；王宫律文×28；王宫断冠片×2；艾尔登王印×19；黄金律法卢恩×125；旧渠阀芯×30；神秘符文×100；古坛鎏叶髓×1</x:v>
      </x:c>
      <x:c r="K266" s="25" t="str">
        <x:v>逐操作及每次费用见完整JSON/payments</x:v>
      </x:c>
    </x:row>
    <x:row r="267">
      <x:c r="A267" s="25" t="str">
        <x:v>C10-G</x:v>
      </x:c>
      <x:c r="B267" s="25" t="str">
        <x:v>王城罗德尔</x:v>
      </x:c>
      <x:c r="C267" s="25" t="str">
        <x:v>半急速毕业</x:v>
      </x:c>
      <x:c r="D267" s="25" t="n">
        <x:v>0</x:v>
      </x:c>
      <x:c r="E267" s="25" t="str">
        <x:v>本大陆动作汇总</x:v>
      </x:c>
      <x:c r="F267" s="25" t="str">
        <x:v>灵符</x:v>
      </x:c>
      <x:c r="G267" s="25" t="n">
        <x:v>2</x:v>
      </x:c>
      <x:c r="H267" s="25" t="n">
        <x:v>0</x:v>
      </x:c>
      <x:c r="I267" s="25" t="n">
        <x:v>0</x:v>
      </x:c>
      <x:c r="J267" s="25" t="str"/>
      <x:c r="K267" s="25" t="str">
        <x:v>逐操作及每次费用见完整JSON/payments</x:v>
      </x:c>
    </x:row>
    <x:row r="268">
      <x:c r="A268" s="25" t="str">
        <x:v>C10-G</x:v>
      </x:c>
      <x:c r="B268" s="25" t="str">
        <x:v>王城罗德尔</x:v>
      </x:c>
      <x:c r="C268" s="25" t="str">
        <x:v>半急速毕业</x:v>
      </x:c>
      <x:c r="D268" s="25" t="n">
        <x:v>1</x:v>
      </x:c>
      <x:c r="E268" s="25" t="str">
        <x:v>本大陆动作汇总</x:v>
      </x:c>
      <x:c r="F268" s="25" t="str">
        <x:v>自产</x:v>
      </x:c>
      <x:c r="G268" s="25" t="n">
        <x:v>4</x:v>
      </x:c>
      <x:c r="H268" s="25" t="n">
        <x:v>2800000000</x:v>
      </x:c>
      <x:c r="I268" s="25" t="n">
        <x:v>74500000</x:v>
      </x:c>
      <x:c r="J268" s="25" t="str">
        <x:v>技能残页×630；海蚀铁片×80；潮痕结晶×8；漂流大陆印记×8；失色锻造石×100；漂流见证·潮×8；漂流见证·雷×8</x:v>
      </x:c>
      <x:c r="K268" s="25" t="str">
        <x:v>逐操作及每次费用见完整JSON/payments</x:v>
      </x:c>
    </x:row>
    <x:row r="269">
      <x:c r="A269" s="25" t="str">
        <x:v>C10-G</x:v>
      </x:c>
      <x:c r="B269" s="25" t="str">
        <x:v>王城罗德尔</x:v>
      </x:c>
      <x:c r="C269" s="25" t="str">
        <x:v>半急速毕业</x:v>
      </x:c>
      <x:c r="D269" s="25" t="n">
        <x:v>2</x:v>
      </x:c>
      <x:c r="E269" s="25" t="str">
        <x:v>本大陆动作汇总</x:v>
      </x:c>
      <x:c r="F269" s="25" t="str">
        <x:v>灵符</x:v>
      </x:c>
      <x:c r="G269" s="25" t="n">
        <x:v>2</x:v>
      </x:c>
      <x:c r="H269" s="25" t="n">
        <x:v>0</x:v>
      </x:c>
      <x:c r="I269" s="25" t="n">
        <x:v>0</x:v>
      </x:c>
      <x:c r="J269" s="25" t="str"/>
      <x:c r="K269" s="25" t="str">
        <x:v>逐操作及每次费用见完整JSON/payments</x:v>
      </x:c>
    </x:row>
    <x:row r="270">
      <x:c r="A270" s="25" t="str">
        <x:v>C10-G</x:v>
      </x:c>
      <x:c r="B270" s="25" t="str">
        <x:v>王城罗德尔</x:v>
      </x:c>
      <x:c r="C270" s="25" t="str">
        <x:v>半急速毕业</x:v>
      </x:c>
      <x:c r="D270" s="25" t="n">
        <x:v>2</x:v>
      </x:c>
      <x:c r="E270" s="25" t="str">
        <x:v>本大陆动作汇总</x:v>
      </x:c>
      <x:c r="F270" s="25" t="str">
        <x:v>自产</x:v>
      </x:c>
      <x:c r="G270" s="25" t="n">
        <x:v>138</x:v>
      </x:c>
      <x:c r="H270" s="25" t="n">
        <x:v>21870000000</x:v>
      </x:c>
      <x:c r="I270" s="25" t="n">
        <x:v>765500000</x:v>
      </x:c>
      <x:c r="J270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70" s="25" t="str">
        <x:v>逐操作及每次费用见完整JSON/payments</x:v>
      </x:c>
    </x:row>
    <x:row r="271">
      <x:c r="A271" s="25" t="str">
        <x:v>C10-G</x:v>
      </x:c>
      <x:c r="B271" s="25" t="str">
        <x:v>王城罗德尔</x:v>
      </x:c>
      <x:c r="C271" s="25" t="str">
        <x:v>半急速毕业</x:v>
      </x:c>
      <x:c r="D271" s="25" t="n">
        <x:v>3</x:v>
      </x:c>
      <x:c r="E271" s="25" t="str">
        <x:v>本大陆动作汇总</x:v>
      </x:c>
      <x:c r="F271" s="25" t="str">
        <x:v>自产</x:v>
      </x:c>
      <x:c r="G271" s="25" t="n">
        <x:v>169</x:v>
      </x:c>
      <x:c r="H271" s="25" t="n">
        <x:v>86720000000</x:v>
      </x:c>
      <x:c r="I271" s="25" t="n">
        <x:v>288100000</x:v>
      </x:c>
      <x:c r="J271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71" s="25" t="str">
        <x:v>逐操作及每次费用见完整JSON/payments</x:v>
      </x:c>
    </x:row>
    <x:row r="272">
      <x:c r="A272" s="25" t="str">
        <x:v>C10-G</x:v>
      </x:c>
      <x:c r="B272" s="25" t="str">
        <x:v>王城罗德尔</x:v>
      </x:c>
      <x:c r="C272" s="25" t="str">
        <x:v>半急速毕业</x:v>
      </x:c>
      <x:c r="D272" s="25" t="n">
        <x:v>4</x:v>
      </x:c>
      <x:c r="E272" s="25" t="str">
        <x:v>本大陆动作汇总</x:v>
      </x:c>
      <x:c r="F272" s="25" t="str">
        <x:v>自产</x:v>
      </x:c>
      <x:c r="G272" s="25" t="n">
        <x:v>223</x:v>
      </x:c>
      <x:c r="H272" s="25" t="n">
        <x:v>104770000000</x:v>
      </x:c>
      <x:c r="I272" s="25" t="n">
        <x:v>1255900000</x:v>
      </x:c>
      <x:c r="J272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72" s="25" t="str">
        <x:v>逐操作及每次费用见完整JSON/payments</x:v>
      </x:c>
    </x:row>
    <x:row r="273">
      <x:c r="A273" s="25" t="str">
        <x:v>C10-G</x:v>
      </x:c>
      <x:c r="B273" s="25" t="str">
        <x:v>王城罗德尔</x:v>
      </x:c>
      <x:c r="C273" s="25" t="str">
        <x:v>半急速毕业</x:v>
      </x:c>
      <x:c r="D273" s="25" t="n">
        <x:v>5</x:v>
      </x:c>
      <x:c r="E273" s="25" t="str">
        <x:v>本大陆动作汇总</x:v>
      </x:c>
      <x:c r="F273" s="25" t="str">
        <x:v>自产</x:v>
      </x:c>
      <x:c r="G273" s="25" t="n">
        <x:v>262</x:v>
      </x:c>
      <x:c r="H273" s="25" t="n">
        <x:v>60750000000</x:v>
      </x:c>
      <x:c r="I273" s="25" t="n">
        <x:v>2965900000</x:v>
      </x:c>
      <x:c r="J273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73" s="25" t="str">
        <x:v>逐操作及每次费用见完整JSON/payments</x:v>
      </x:c>
    </x:row>
    <x:row r="274">
      <x:c r="A274" s="25" t="str">
        <x:v>C10-G</x:v>
      </x:c>
      <x:c r="B274" s="25" t="str">
        <x:v>王城罗德尔</x:v>
      </x:c>
      <x:c r="C274" s="25" t="str">
        <x:v>半急速毕业</x:v>
      </x:c>
      <x:c r="D274" s="25" t="n">
        <x:v>6</x:v>
      </x:c>
      <x:c r="E274" s="25" t="str">
        <x:v>本大陆动作汇总</x:v>
      </x:c>
      <x:c r="F274" s="25" t="str">
        <x:v>自产</x:v>
      </x:c>
      <x:c r="G274" s="25" t="n">
        <x:v>307</x:v>
      </x:c>
      <x:c r="H274" s="25" t="n">
        <x:v>361480000000</x:v>
      </x:c>
      <x:c r="I274" s="25" t="n">
        <x:v>2124000000</x:v>
      </x:c>
      <x:c r="J274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74" s="25" t="str">
        <x:v>逐操作及每次费用见完整JSON/payments</x:v>
      </x:c>
    </x:row>
    <x:row r="275">
      <x:c r="A275" s="25" t="str">
        <x:v>C10-G</x:v>
      </x:c>
      <x:c r="B275" s="25" t="str">
        <x:v>王城罗德尔</x:v>
      </x:c>
      <x:c r="C275" s="25" t="str">
        <x:v>半急速毕业</x:v>
      </x:c>
      <x:c r="D275" s="25" t="n">
        <x:v>7</x:v>
      </x:c>
      <x:c r="E275" s="25" t="str">
        <x:v>本大陆动作汇总</x:v>
      </x:c>
      <x:c r="F275" s="25" t="str">
        <x:v>自产</x:v>
      </x:c>
      <x:c r="G275" s="25" t="n">
        <x:v>334</x:v>
      </x:c>
      <x:c r="H275" s="25" t="n">
        <x:v>284300000000</x:v>
      </x:c>
      <x:c r="I275" s="25" t="n">
        <x:v>3945200000</x:v>
      </x:c>
      <x:c r="J275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75" s="25" t="str">
        <x:v>逐操作及每次费用见完整JSON/payments</x:v>
      </x:c>
    </x:row>
    <x:row r="276">
      <x:c r="A276" s="25" t="str">
        <x:v>C10-G</x:v>
      </x:c>
      <x:c r="B276" s="25" t="str">
        <x:v>王城罗德尔</x:v>
      </x:c>
      <x:c r="C276" s="25" t="str">
        <x:v>半急速毕业</x:v>
      </x:c>
      <x:c r="D276" s="25" t="n">
        <x:v>8</x:v>
      </x:c>
      <x:c r="E276" s="25" t="str">
        <x:v>本大陆动作汇总</x:v>
      </x:c>
      <x:c r="F276" s="25" t="str">
        <x:v>自产</x:v>
      </x:c>
      <x:c r="G276" s="25" t="n">
        <x:v>390</x:v>
      </x:c>
      <x:c r="H276" s="25" t="n">
        <x:v>536500000000</x:v>
      </x:c>
      <x:c r="I276" s="25" t="n">
        <x:v>6285200000</x:v>
      </x:c>
      <x:c r="J276" s="25" t="str">
        <x:v>失色锻造石×11180；野兽骨片×15630；霜脊铁×2595；裂峰号角片×110；巨人火种×65；巨人火印×41；巨人熔火卢恩×450；神秘符文×100；永霜朝圣痕×1；冰宫守门铃×12</x:v>
      </x:c>
      <x:c r="K276" s="25" t="str">
        <x:v>逐操作及每次费用见完整JSON/payments</x:v>
      </x:c>
    </x:row>
    <x:row r="277">
      <x:c r="A277" s="25" t="str">
        <x:v>C10-G</x:v>
      </x:c>
      <x:c r="B277" s="25" t="str">
        <x:v>王城罗德尔</x:v>
      </x:c>
      <x:c r="C277" s="25" t="str">
        <x:v>半急速毕业</x:v>
      </x:c>
      <x:c r="D277" s="25" t="n">
        <x:v>9</x:v>
      </x:c>
      <x:c r="E277" s="25" t="str">
        <x:v>本大陆动作汇总</x:v>
      </x:c>
      <x:c r="F277" s="25" t="str">
        <x:v>自产</x:v>
      </x:c>
      <x:c r="G277" s="25" t="n">
        <x:v>428</x:v>
      </x:c>
      <x:c r="H277" s="25" t="n">
        <x:v>224900000000</x:v>
      </x:c>
      <x:c r="I277" s="25" t="n">
        <x:v>18835000000</x:v>
      </x:c>
      <x:c r="J277" s="25" t="str">
        <x:v>失色锻造石×19260；野兽骨片×16080；黄金叶脉×3470；黄金律印×112；金叶驿票×50；矿脉灯芯×20；穹霜碑珀×1；裁文蜡封×36；古王律页×105；高原王诏金版×5</x:v>
      </x:c>
      <x:c r="K277" s="25" t="str">
        <x:v>逐操作及每次费用见完整JSON/payments</x:v>
      </x:c>
    </x:row>
    <x:row r="278">
      <x:c r="A278" s="25" t="str">
        <x:v>C10-G</x:v>
      </x:c>
      <x:c r="B278" s="25" t="str">
        <x:v>王城罗德尔</x:v>
      </x:c>
      <x:c r="C278" s="25" t="str">
        <x:v>半急速毕业</x:v>
      </x:c>
      <x:c r="D278" s="25" t="n">
        <x:v>10</x:v>
      </x:c>
      <x:c r="E278" s="25" t="str">
        <x:v>本大陆动作汇总</x:v>
      </x:c>
      <x:c r="F278" s="25" t="str">
        <x:v>自产</x:v>
      </x:c>
      <x:c r="G278" s="25" t="n">
        <x:v>489</x:v>
      </x:c>
      <x:c r="H278" s="25" t="n">
        <x:v>1171800000000</x:v>
      </x:c>
      <x:c r="I278" s="25" t="n">
        <x:v>29491500000</x:v>
      </x:c>
      <x:c r="J278" s="25" t="str">
        <x:v>失色锻造石×29530；黄金叶脉×1000；裁文蜡封×18；黄金律印×28；野兽骨片×14160；王城金屑×4755；王宫律文×236；王宫断冠片×24；艾尔登王印×172；黄金律法卢恩×550；旧渠阀芯×30；神秘符文×100；古坛鎏叶髓×1；失温熔炉楔×22</x:v>
      </x:c>
      <x:c r="K278" s="25" t="str">
        <x:v>逐操作及每次费用见完整JSON/payments</x:v>
      </x:c>
    </x:row>
    <x:row r="279">
      <x:c r="A279" s="25" t="str">
        <x:v>C10-X</x:v>
      </x:c>
      <x:c r="B279" s="25" t="str">
        <x:v>王城罗德尔</x:v>
      </x:c>
      <x:c r="C279" s="25" t="str">
        <x:v>极端压力</x:v>
      </x:c>
      <x:c r="D279" s="25" t="n">
        <x:v>0</x:v>
      </x:c>
      <x:c r="E279" s="25" t="str">
        <x:v>本大陆动作汇总</x:v>
      </x:c>
      <x:c r="F279" s="25" t="str">
        <x:v>灵符</x:v>
      </x:c>
      <x:c r="G279" s="25" t="n">
        <x:v>2</x:v>
      </x:c>
      <x:c r="H279" s="25" t="n">
        <x:v>0</x:v>
      </x:c>
      <x:c r="I279" s="25" t="n">
        <x:v>0</x:v>
      </x:c>
      <x:c r="J279" s="25" t="str"/>
      <x:c r="K279" s="25" t="str">
        <x:v>逐操作及每次费用见完整JSON/payments</x:v>
      </x:c>
    </x:row>
    <x:row r="280">
      <x:c r="A280" s="25" t="str">
        <x:v>C10-X</x:v>
      </x:c>
      <x:c r="B280" s="25" t="str">
        <x:v>王城罗德尔</x:v>
      </x:c>
      <x:c r="C280" s="25" t="str">
        <x:v>极端压力</x:v>
      </x:c>
      <x:c r="D280" s="25" t="n">
        <x:v>1</x:v>
      </x:c>
      <x:c r="E280" s="25" t="str">
        <x:v>本大陆动作汇总</x:v>
      </x:c>
      <x:c r="F280" s="25" t="str">
        <x:v>自产</x:v>
      </x:c>
      <x:c r="G280" s="25" t="n">
        <x:v>4</x:v>
      </x:c>
      <x:c r="H280" s="25" t="n">
        <x:v>2800000000</x:v>
      </x:c>
      <x:c r="I280" s="25" t="n">
        <x:v>74500000</x:v>
      </x:c>
      <x:c r="J280" s="25" t="str">
        <x:v>技能残页×630；海蚀铁片×80；潮痕结晶×8；漂流大陆印记×8；失色锻造石×100；漂流见证·潮×8；漂流见证·雷×8</x:v>
      </x:c>
      <x:c r="K280" s="25" t="str">
        <x:v>逐操作及每次费用见完整JSON/payments</x:v>
      </x:c>
    </x:row>
    <x:row r="281">
      <x:c r="A281" s="25" t="str">
        <x:v>C10-X</x:v>
      </x:c>
      <x:c r="B281" s="25" t="str">
        <x:v>王城罗德尔</x:v>
      </x:c>
      <x:c r="C281" s="25" t="str">
        <x:v>极端压力</x:v>
      </x:c>
      <x:c r="D281" s="25" t="n">
        <x:v>2</x:v>
      </x:c>
      <x:c r="E281" s="25" t="str">
        <x:v>本大陆动作汇总</x:v>
      </x:c>
      <x:c r="F281" s="25" t="str">
        <x:v>灵符</x:v>
      </x:c>
      <x:c r="G281" s="25" t="n">
        <x:v>2</x:v>
      </x:c>
      <x:c r="H281" s="25" t="n">
        <x:v>0</x:v>
      </x:c>
      <x:c r="I281" s="25" t="n">
        <x:v>0</x:v>
      </x:c>
      <x:c r="J281" s="25" t="str"/>
      <x:c r="K281" s="25" t="str">
        <x:v>逐操作及每次费用见完整JSON/payments</x:v>
      </x:c>
    </x:row>
    <x:row r="282">
      <x:c r="A282" s="25" t="str">
        <x:v>C10-X</x:v>
      </x:c>
      <x:c r="B282" s="25" t="str">
        <x:v>王城罗德尔</x:v>
      </x:c>
      <x:c r="C282" s="25" t="str">
        <x:v>极端压力</x:v>
      </x:c>
      <x:c r="D282" s="25" t="n">
        <x:v>2</x:v>
      </x:c>
      <x:c r="E282" s="25" t="str">
        <x:v>本大陆动作汇总</x:v>
      </x:c>
      <x:c r="F282" s="25" t="str">
        <x:v>自产</x:v>
      </x:c>
      <x:c r="G282" s="25" t="n">
        <x:v>138</x:v>
      </x:c>
      <x:c r="H282" s="25" t="n">
        <x:v>21870000000</x:v>
      </x:c>
      <x:c r="I282" s="25" t="n">
        <x:v>765500000</x:v>
      </x:c>
      <x:c r="J282" s="25" t="str">
        <x:v>失色锻造石×1620；海蚀铁片×80；潮痕结晶×8；漂流大陆印记×3；野兽骨片×1725；看门犬石心×2；腐根魂结×2；溃烂树核×1；贵胄断指×1；黄金骑徽×2；失乡军令×2；树卫枪穗×1；夜骑黑印×1；技能残页×720；黄金树芽×297；风暴石片×370；接肢王印×13；熊王心脏×2；黄金树碎核×2；唤船骨铃×1；熔炉角片×1；山妖王角×2；死亡仪羽×2；风暴王核×1；恶兆残角×1；宁姆格福誓页×90</x:v>
      </x:c>
      <x:c r="K282" s="25" t="str">
        <x:v>逐操作及每次费用见完整JSON/payments</x:v>
      </x:c>
    </x:row>
    <x:row r="283">
      <x:c r="A283" s="25" t="str">
        <x:v>C10-X</x:v>
      </x:c>
      <x:c r="B283" s="25" t="str">
        <x:v>王城罗德尔</x:v>
      </x:c>
      <x:c r="C283" s="25" t="str">
        <x:v>极端压力</x:v>
      </x:c>
      <x:c r="D283" s="25" t="n">
        <x:v>3</x:v>
      </x:c>
      <x:c r="E283" s="25" t="str">
        <x:v>本大陆动作汇总</x:v>
      </x:c>
      <x:c r="F283" s="25" t="str">
        <x:v>自产</x:v>
      </x:c>
      <x:c r="G283" s="25" t="n">
        <x:v>169</x:v>
      </x:c>
      <x:c r="H283" s="25" t="n">
        <x:v>86720000000</x:v>
      </x:c>
      <x:c r="I283" s="25" t="n">
        <x:v>288100000</x:v>
      </x:c>
      <x:c r="J283" s="25" t="str">
        <x:v>失色锻造石×2080；野兽骨片×2730；风蚀铁片×710；西境战旗印×13；商队火漆×20；神秘符文×100；失乡统帅徽×2；接肢兽心×2；兽将脊骨×1；王城军印×1；接肢王魂×1；裂风崖羽×80；哨垒旗冠×3；西境战旗×20</x:v>
      </x:c>
      <x:c r="K283" s="25" t="str">
        <x:v>逐操作及每次费用见完整JSON/payments</x:v>
      </x:c>
    </x:row>
    <x:row r="284">
      <x:c r="A284" s="25" t="str">
        <x:v>C10-X</x:v>
      </x:c>
      <x:c r="B284" s="25" t="str">
        <x:v>王城罗德尔</x:v>
      </x:c>
      <x:c r="C284" s="25" t="str">
        <x:v>极端压力</x:v>
      </x:c>
      <x:c r="D284" s="25" t="n">
        <x:v>4</x:v>
      </x:c>
      <x:c r="E284" s="25" t="str">
        <x:v>本大陆动作汇总</x:v>
      </x:c>
      <x:c r="F284" s="25" t="str">
        <x:v>自产</x:v>
      </x:c>
      <x:c r="G284" s="25" t="n">
        <x:v>223</x:v>
      </x:c>
      <x:c r="H284" s="25" t="n">
        <x:v>104770000000</x:v>
      </x:c>
      <x:c r="I284" s="25" t="n">
        <x:v>1255900000</x:v>
      </x:c>
      <x:c r="J284" s="25" t="str">
        <x:v>失色锻造石×3380；野兽骨片×4585；湖盐结晶×1167；雾潮银鳞×162；幽船铆钉×21；沉湖王印×16；小卢恩×250；沉船缆扣×12；神秘符文×100；西境风痕碑拓×1；湖底封门珠×4</x:v>
      </x:c>
      <x:c r="K284" s="25" t="str">
        <x:v>逐操作及每次费用见完整JSON/payments</x:v>
      </x:c>
    </x:row>
    <x:row r="285">
      <x:c r="A285" s="25" t="str">
        <x:v>C10-X</x:v>
      </x:c>
      <x:c r="B285" s="25" t="str">
        <x:v>王城罗德尔</x:v>
      </x:c>
      <x:c r="C285" s="25" t="str">
        <x:v>极端压力</x:v>
      </x:c>
      <x:c r="D285" s="25" t="n">
        <x:v>5</x:v>
      </x:c>
      <x:c r="E285" s="25" t="str">
        <x:v>本大陆动作汇总</x:v>
      </x:c>
      <x:c r="F285" s="25" t="str">
        <x:v>自产</x:v>
      </x:c>
      <x:c r="G285" s="25" t="n">
        <x:v>262</x:v>
      </x:c>
      <x:c r="H285" s="25" t="n">
        <x:v>60750000000</x:v>
      </x:c>
      <x:c r="I285" s="25" t="n">
        <x:v>2965900000</x:v>
      </x:c>
      <x:c r="J285" s="25" t="str">
        <x:v>失色锻造石×5400；湖盐结晶×240；雾潮银鳞×55；湖底封门珠×2；野兽骨片×7095；辉石碎晶×1370；满月王室印×41；学院封蜡×24；神秘符文×100；月潮忆珀×1；月蚀镜片×14；卡利亚月露×36；禁域星钥×2</x:v>
      </x:c>
      <x:c r="K285" s="25" t="str">
        <x:v>逐操作及每次费用见完整JSON/payments</x:v>
      </x:c>
    </x:row>
    <x:row r="286">
      <x:c r="A286" s="25" t="str">
        <x:v>C10-X</x:v>
      </x:c>
      <x:c r="B286" s="25" t="str">
        <x:v>王城罗德尔</x:v>
      </x:c>
      <x:c r="C286" s="25" t="str">
        <x:v>极端压力</x:v>
      </x:c>
      <x:c r="D286" s="25" t="n">
        <x:v>6</x:v>
      </x:c>
      <x:c r="E286" s="25" t="str">
        <x:v>本大陆动作汇总</x:v>
      </x:c>
      <x:c r="F286" s="25" t="str">
        <x:v>自产</x:v>
      </x:c>
      <x:c r="G286" s="25" t="n">
        <x:v>307</x:v>
      </x:c>
      <x:c r="H286" s="25" t="n">
        <x:v>361480000000</x:v>
      </x:c>
      <x:c r="I286" s="25" t="n">
        <x:v>2124000000</x:v>
      </x:c>
      <x:c r="J286" s="25" t="str">
        <x:v>失色锻造石×6370；野兽骨片×10215；猩红矿渣×1737；净火腺囊×44；龙火鳞×38；红狮战印×42；大卢恩×350；神秘符文×100；湖心月谱残章×1；碎星仪仗钉×2；湖盐结晶×240；雾潮银鳞×55；湖底封门珠×2</x:v>
      </x:c>
      <x:c r="K286" s="25" t="str">
        <x:v>逐操作及每次费用见完整JSON/payments</x:v>
      </x:c>
    </x:row>
    <x:row r="287">
      <x:c r="A287" s="25" t="str">
        <x:v>C10-X</x:v>
      </x:c>
      <x:c r="B287" s="25" t="str">
        <x:v>王城罗德尔</x:v>
      </x:c>
      <x:c r="C287" s="25" t="str">
        <x:v>极端压力</x:v>
      </x:c>
      <x:c r="D287" s="25" t="n">
        <x:v>7</x:v>
      </x:c>
      <x:c r="E287" s="25" t="str">
        <x:v>本大陆动作汇总</x:v>
      </x:c>
      <x:c r="F287" s="25" t="str">
        <x:v>自产</x:v>
      </x:c>
      <x:c r="G287" s="25" t="n">
        <x:v>334</x:v>
      </x:c>
      <x:c r="H287" s="25" t="n">
        <x:v>284300000000</x:v>
      </x:c>
      <x:c r="I287" s="25" t="n">
        <x:v>3945200000</x:v>
      </x:c>
      <x:c r="J287" s="25" t="str">
        <x:v>失色锻造石×7070；野兽骨片×11875；冻晶尘×1720；圣雪誓印×53；冻原银角×30；熔原罪火残章×1；白金路标片×145；辉石碎晶×380；月蚀镜片×7；满月王室印×10；白金纺线×60；圣雪门楔×4</x:v>
      </x:c>
      <x:c r="K287" s="25" t="str">
        <x:v>逐操作及每次费用见完整JSON/payments</x:v>
      </x:c>
    </x:row>
    <x:row r="288">
      <x:c r="A288" s="25" t="str">
        <x:v>C10-X</x:v>
      </x:c>
      <x:c r="B288" s="25" t="str">
        <x:v>王城罗德尔</x:v>
      </x:c>
      <x:c r="C288" s="25" t="str">
        <x:v>极端压力</x:v>
      </x:c>
      <x:c r="D288" s="25" t="n">
        <x:v>8</x:v>
      </x:c>
      <x:c r="E288" s="25" t="str">
        <x:v>本大陆动作汇总</x:v>
      </x:c>
      <x:c r="F288" s="25" t="str">
        <x:v>自产</x:v>
      </x:c>
      <x:c r="G288" s="25" t="n">
        <x:v>390</x:v>
      </x:c>
      <x:c r="H288" s="25" t="n">
        <x:v>536500000000</x:v>
      </x:c>
      <x:c r="I288" s="25" t="n">
        <x:v>6285200000</x:v>
      </x:c>
      <x:c r="J288" s="25" t="str">
        <x:v>失色锻造石×11180；野兽骨片×15630；霜脊铁×2595；裂峰号角片×110；巨人火种×65；巨人火印×41；巨人熔火卢恩×450；神秘符文×100；永霜朝圣痕×1；冰宫守门铃×12</x:v>
      </x:c>
      <x:c r="K288" s="25" t="str">
        <x:v>逐操作及每次费用见完整JSON/payments</x:v>
      </x:c>
    </x:row>
    <x:row r="289">
      <x:c r="A289" s="25" t="str">
        <x:v>C10-X</x:v>
      </x:c>
      <x:c r="B289" s="25" t="str">
        <x:v>王城罗德尔</x:v>
      </x:c>
      <x:c r="C289" s="25" t="str">
        <x:v>极端压力</x:v>
      </x:c>
      <x:c r="D289" s="25" t="n">
        <x:v>9</x:v>
      </x:c>
      <x:c r="E289" s="25" t="str">
        <x:v>本大陆动作汇总</x:v>
      </x:c>
      <x:c r="F289" s="25" t="str">
        <x:v>自产</x:v>
      </x:c>
      <x:c r="G289" s="25" t="n">
        <x:v>428</x:v>
      </x:c>
      <x:c r="H289" s="25" t="n">
        <x:v>224900000000</x:v>
      </x:c>
      <x:c r="I289" s="25" t="n">
        <x:v>18835000000</x:v>
      </x:c>
      <x:c r="J289" s="25" t="str">
        <x:v>失色锻造石×19260；野兽骨片×16080；黄金叶脉×3470；黄金律印×112；金叶驿票×50；矿脉灯芯×20；穹霜碑珀×1；裁文蜡封×36；古王律页×105；高原王诏金版×5</x:v>
      </x:c>
      <x:c r="K289" s="25" t="str">
        <x:v>逐操作及每次费用见完整JSON/payments</x:v>
      </x:c>
    </x:row>
    <x:row r="290">
      <x:c r="A290" s="25" t="str">
        <x:v>C10-X</x:v>
      </x:c>
      <x:c r="B290" s="25" t="str">
        <x:v>王城罗德尔</x:v>
      </x:c>
      <x:c r="C290" s="25" t="str">
        <x:v>极端压力</x:v>
      </x:c>
      <x:c r="D290" s="25" t="n">
        <x:v>10</x:v>
      </x:c>
      <x:c r="E290" s="25" t="str">
        <x:v>本大陆动作汇总</x:v>
      </x:c>
      <x:c r="F290" s="25" t="str">
        <x:v>自产</x:v>
      </x:c>
      <x:c r="G290" s="25" t="n">
        <x:v>1444</x:v>
      </x:c>
      <x:c r="H290" s="25" t="n">
        <x:v>1738800000000</x:v>
      </x:c>
      <x:c r="I290" s="25" t="n">
        <x:v>78994500000</x:v>
      </x:c>
      <x:c r="J290" s="25" t="str">
        <x:v>失色锻造石×98740；黄金叶脉×1000；裁文蜡封×18；黄金律印×28；野兽骨片×14160；王城金屑×8155；王宫律文×236；王宫断冠片×30；艾尔登王印×288；黄金律法卢恩×550；旧渠阀芯×120；神秘符文×100；古坛鎏叶髓×1；失温熔炉楔×44；无名墓钉×290；湖盐结晶×310；深湖压舱印×6；沉湖王印×9；辉石碎晶×420；雾月星砂×90；禁域星钥×2；霜脊铁×910；王庭炉冠×4；巨人火印×24；穹律鎏痕拓片×1</x:v>
      </x:c>
      <x:c r="K290" s="25" t="str">
        <x:v>逐操作及每次费用见完整JSON/payments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28" hidden="0" customWidth="1"/>
    <x:col min="5" max="5" width="20" hidden="0" customWidth="1"/>
    <x:col min="6" max="6" width="22" hidden="0" customWidth="1"/>
    <x:col min="7" max="7" width="24" hidden="0" customWidth="1"/>
    <x:col min="8" max="8" width="17" hidden="0" customWidth="1"/>
    <x:col min="9" max="9" width="17" hidden="0" customWidth="1"/>
    <x:col min="10" max="10" width="17" hidden="0" customWidth="1"/>
    <x:col min="11" max="11" width="58" hidden="0" customWidth="1"/>
  </x:cols>
  <x:sheetData>
    <x:row r="1" ht="29" customHeight="1">
      <x:c r="A1" s="4" t="str">
        <x:v>400组单变量对照｜重点看结论是否依赖未知系数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3" customHeight="1">
      <x:c r="A2" s="11" t="str">
        <x:v>只改变指定条件，不暗改原件。C2神印255和未灵符升满二阶段成长装备是对照，不是本批已实现功能。+突破压力不代表实际取得概率。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42" customHeight="1">
      <x:c r="A4" s="19" t="str">
        <x:v>人物ID</x:v>
      </x:c>
      <x:c r="B4" s="19" t="str">
        <x:v>大陆</x:v>
      </x:c>
      <x:c r="C4" s="19" t="str">
        <x:v>状态</x:v>
      </x:c>
      <x:c r="D4" s="19" t="str">
        <x:v>改变条件</x:v>
      </x:c>
      <x:c r="E4" s="42" t="str">
        <x:v>攻击上限</x:v>
      </x:c>
      <x:c r="F4" s="42" t="str">
        <x:v>HP</x:v>
      </x:c>
      <x:c r="G4" s="42" t="str">
        <x:v>有效常规DPS</x:v>
      </x:c>
      <x:c r="H4" s="46" t="str">
        <x:v>相对主情景</x:v>
      </x:c>
      <x:c r="I4" s="19" t="str">
        <x:v>爆率倍数</x:v>
      </x:c>
      <x:c r="J4" s="19" t="str">
        <x:v>刀每秒</x:v>
      </x:c>
      <x:c r="K4" s="19" t="str">
        <x:v>解释</x:v>
      </x:c>
    </x:row>
    <x:row r="5">
      <x:c r="E5" s="43"/>
      <x:c r="F5" s="43"/>
      <x:c r="G5" s="43"/>
      <x:c r="H5" s="47"/>
    </x:row>
  </x:sheetData>
  <x:mergeCells>
    <x:mergeCell ref="A1:K1"/>
    <x:mergeCell ref="A2:K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76" hidden="0" customWidth="1"/>
    <x:col min="4" max="4" width="68" hidden="0" customWidth="1"/>
  </x:cols>
  <x:sheetData>
    <x:row r="1" ht="29" customHeight="1">
      <x:c r="A1" s="4" t="str">
        <x:v>本轮发现与解释边界</x:v>
      </x:c>
      <x:c r="B1" s="4"/>
      <x:c r="C1" s="4"/>
      <x:c r="D1" s="4"/>
    </x:row>
    <x:row r="2" ht="43" customHeight="1">
      <x:c r="A2" s="11" t="str">
        <x:v>不能把文件通过校验等同游戏平衡通过；把来源事实、推定参数和情景结果分开。</x:v>
      </x:c>
      <x:c r="B2" s="11"/>
      <x:c r="C2" s="11"/>
      <x:c r="D2" s="11"/>
    </x:row>
    <x:row r="4" ht="42" customHeight="1">
      <x:c r="A4" s="19" t="str">
        <x:v>编号</x:v>
      </x:c>
      <x:c r="B4" s="19" t="str">
        <x:v>问题</x:v>
      </x:c>
      <x:c r="C4" s="19" t="str">
        <x:v>解释</x:v>
      </x:c>
      <x:c r="D4" s="19" t="str">
        <x:v>处理</x:v>
      </x:c>
    </x:row>
    <x:row r="5" ht="62" customHeight="1">
      <x:c r="A5" s="30" t="str">
        <x:v>F01</x:v>
      </x:c>
      <x:c r="B5" s="30" t="str">
        <x:v>爆率不是补差得到</x:v>
      </x:c>
      <x:c r="C5" s="30" t="str">
        <x:v>本批464件后续专属＋38合成无原生爆率词条；实际由称号、命格、洗练聚合。中间大陆不强行等于旧锚值。</x:v>
      </x:c>
      <x:c r="D5" s="30" t="str">
        <x:v>先用实际结果定掉率；若要修改装备投放，应另出明确修改表。</x:v>
      </x:c>
    </x:row>
    <x:row r="6" ht="62" customHeight="1">
      <x:c r="A6" s="30" t="str">
        <x:v>F02</x:v>
      </x:c>
      <x:c r="B6" s="30" t="str">
        <x:v>攻击加成跨位累计很高</x:v>
      </x:c>
      <x:c r="C6" s="30" t="str">
        <x:v>C10半急速毕业原始攻击上限391721，攻击加成941%；最终攻击上限4077815.61。不是将每件百分比连乘。</x:v>
      </x:c>
      <x:c r="D6" s="30" t="str">
        <x:v>后续怪物按完整角色计算，旧单件/简化S0不能直接比。</x:v>
      </x:c>
    </x:row>
    <x:row r="7" ht="62" customHeight="1">
      <x:c r="A7" s="30" t="str">
        <x:v>F03</x:v>
      </x:c>
      <x:c r="B7" s="30" t="str">
        <x:v>压力档不是绝对上限</x:v>
      </x:c>
      <x:c r="C7" s="30" t="str">
        <x:v>本批不预装用户修改后的6追梦和16称号卷；极端是已知来源高投入对照。</x:v>
      </x:c>
      <x:c r="D7" s="30" t="str">
        <x:v>不宣称一套数据穷尽所有构筑；未知原件后续加入同结构。</x:v>
      </x:c>
    </x:row>
    <x:row r="8" ht="62" customHeight="1">
      <x:c r="A8" s="30" t="str">
        <x:v>F04</x:v>
      </x:c>
      <x:c r="B8" s="30" t="str">
        <x:v>命格全彩不等于保底特定名称</x:v>
      </x:c>
      <x:c r="C8" s="30" t="str">
        <x:v>主情景选定均衡彩色组合用于战斗代表；100次仅保证某彩色。</x:v>
      </x:c>
      <x:c r="D8" s="30" t="str">
        <x:v>实际支付次数需要进一步按候选池和保留策略计算；本批不推免费取得时长。</x:v>
      </x:c>
    </x:row>
    <x:row r="9" ht="62" customHeight="1">
      <x:c r="A9" s="30" t="str">
        <x:v>F05</x:v>
      </x:c>
      <x:c r="B9" s="30" t="str">
        <x:v>场景DPS不是净伤害</x:v>
      </x:c>
      <x:c r="C9" s="30" t="str">
        <x:v>表中有效常规DPS不含怪物防御/回复、地图处决抵扣或首尾斩杀。</x:v>
      </x:c>
      <x:c r="D9" s="30" t="str">
        <x:v>怪物HP与低刀数目标后续逐刀反算；条件处决DPS在04单列。</x:v>
      </x:c>
    </x:row>
    <x:row r="10" ht="62" customHeight="1">
      <x:c r="A10" s="30" t="str">
        <x:v>F06</x:v>
      </x:c>
      <x:c r="B10" s="30" t="str">
        <x:v>吸血理论上限高</x:v>
      </x:c>
      <x:c r="C10" s="30" t="str">
        <x:v>有些组合理论木桩回血很高；真实有效伤害、尾刀、过杀和控制断档影响回血。</x:v>
      </x:c>
      <x:c r="D10" s="30" t="str">
        <x:v>不能拿持续木桩回血直接断言怪群无威胁。</x:v>
      </x:c>
    </x:row>
    <x:row r="11" ht="62" customHeight="1">
      <x:c r="A11" s="30" t="str">
        <x:v>F07</x:v>
      </x:c>
      <x:c r="B11" s="30" t="str">
        <x:v>自给是数量约束，不是生产验收</x:v>
      </x:c>
      <x:c r="C11" s="30" t="str">
        <x:v>每组都有实物与材料需求账，但本轮没定最终爆率，未证明12小时或某个时长内完成。</x:v>
      </x:c>
      <x:c r="D11" s="30" t="str">
        <x:v>严禁恢复21765灵符≈12小时或480/528小时硬线。</x:v>
      </x:c>
    </x:row>
    <x:row r="12" ht="62" customHeight="1">
      <x:c r="A12" s="30" t="str">
        <x:v>F08</x:v>
      </x:c>
      <x:c r="B12" s="30" t="str">
        <x:v>输入未被修改，GitHub未写</x:v>
      </x:c>
      <x:c r="C12" s="30" t="str">
        <x:v>本批只创建角色方案、公式表和校验。</x:v>
      </x:c>
      <x:c r="D12" s="30" t="str">
        <x:v>后续根据用户统一归档指令再写仓库。</x:v>
      </x:c>
    </x:row>
    <x:row r="16">
      <x:c r="A16" s="19" t="str">
        <x:v>人物ID</x:v>
      </x:c>
      <x:c r="B16" s="19" t="str">
        <x:v>大陆</x:v>
      </x:c>
      <x:c r="C16" s="19" t="str">
        <x:v>状态</x:v>
      </x:c>
      <x:c r="D16" s="19" t="str">
        <x:v>触发提醒</x:v>
      </x:c>
      <x:c r="E16" s="19" t="str">
        <x:v>解释</x:v>
      </x:c>
    </x:row>
    <x:row r="17">
      <x:c r="A17" s="25" t="str">
        <x:v>C01-X</x:v>
      </x:c>
      <x:c r="B17" s="25" t="str">
        <x:v>漂流群岛</x:v>
      </x:c>
      <x:c r="C17" s="25" t="str">
        <x:v>极端压力</x:v>
      </x:c>
      <x:c r="D17" s="25" t="str">
        <x:v>角色吸血超10%；武器本体上限与人物总和分开</x:v>
      </x:c>
      <x:c r="E17" s="25" t="str">
        <x:v>模型已保留该情景；不隐性裁剪或改写原值</x:v>
      </x:c>
    </x:row>
    <x:row r="18">
      <x:c r="A18" s="25" t="str">
        <x:v>C01-X</x:v>
      </x:c>
      <x:c r="B18" s="25" t="str">
        <x:v>漂流群岛</x:v>
      </x:c>
      <x:c r="C18" s="25" t="str">
        <x:v>极端压力</x:v>
      </x:c>
      <x:c r="D18" s="25" t="str">
        <x:v>压力组合不是绝对极限；6件已修改追梦不强行冒充</x:v>
      </x:c>
      <x:c r="E18" s="25" t="str">
        <x:v>模型已保留该情景；不隐性裁剪或改写原值</x:v>
      </x:c>
    </x:row>
    <x:row r="19">
      <x:c r="A19" s="25" t="str">
        <x:v>C02-E</x:v>
      </x:c>
      <x:c r="B19" s="25" t="str">
        <x:v>宁姆格福</x:v>
      </x:c>
      <x:c r="C19" s="25" t="str">
        <x:v>半急速入场</x:v>
      </x:c>
      <x:c r="D19" s="25" t="str">
        <x:v>C2成长装备灵符路线为假设</x:v>
      </x:c>
      <x:c r="E19" s="25" t="str">
        <x:v>模型已保留该情景；不隐性裁剪或改写原值</x:v>
      </x:c>
    </x:row>
    <x:row r="20">
      <x:c r="A20" s="25" t="str">
        <x:v>C02-M</x:v>
      </x:c>
      <x:c r="B20" s="25" t="str">
        <x:v>宁姆格福</x:v>
      </x:c>
      <x:c r="C20" s="25" t="str">
        <x:v>半急速中期</x:v>
      </x:c>
      <x:c r="D20" s="25" t="str">
        <x:v>角色吸血超10%；武器本体上限与人物总和分开</x:v>
      </x:c>
      <x:c r="E20" s="25" t="str">
        <x:v>模型已保留该情景；不隐性裁剪或改写原值</x:v>
      </x:c>
    </x:row>
    <x:row r="21">
      <x:c r="A21" s="25" t="str">
        <x:v>C02-M</x:v>
      </x:c>
      <x:c r="B21" s="25" t="str">
        <x:v>宁姆格福</x:v>
      </x:c>
      <x:c r="C21" s="25" t="str">
        <x:v>半急速中期</x:v>
      </x:c>
      <x:c r="D21" s="25" t="str">
        <x:v>C2成长装备灵符路线为假设</x:v>
      </x:c>
      <x:c r="E21" s="25" t="str">
        <x:v>模型已保留该情景；不隐性裁剪或改写原值</x:v>
      </x:c>
    </x:row>
    <x:row r="22">
      <x:c r="A22" s="25" t="str">
        <x:v>C02-G</x:v>
      </x:c>
      <x:c r="B22" s="25" t="str">
        <x:v>宁姆格福</x:v>
      </x:c>
      <x:c r="C22" s="25" t="str">
        <x:v>半急速毕业</x:v>
      </x:c>
      <x:c r="D22" s="25" t="str">
        <x:v>C2成长装备灵符路线为假设</x:v>
      </x:c>
      <x:c r="E22" s="25" t="str">
        <x:v>模型已保留该情景；不隐性裁剪或改写原值</x:v>
      </x:c>
    </x:row>
    <x:row r="23">
      <x:c r="A23" s="25" t="str">
        <x:v>C02-X</x:v>
      </x:c>
      <x:c r="B23" s="25" t="str">
        <x:v>宁姆格福</x:v>
      </x:c>
      <x:c r="C23" s="25" t="str">
        <x:v>极端压力</x:v>
      </x:c>
      <x:c r="D23" s="25" t="str">
        <x:v>角色吸血超10%；武器本体上限与人物总和分开</x:v>
      </x:c>
      <x:c r="E23" s="25" t="str">
        <x:v>模型已保留该情景；不隐性裁剪或改写原值</x:v>
      </x:c>
    </x:row>
    <x:row r="24">
      <x:c r="A24" s="25" t="str">
        <x:v>C02-X</x:v>
      </x:c>
      <x:c r="B24" s="25" t="str">
        <x:v>宁姆格福</x:v>
      </x:c>
      <x:c r="C24" s="25" t="str">
        <x:v>极端压力</x:v>
      </x:c>
      <x:c r="D24" s="25" t="str">
        <x:v>C2成长装备灵符路线为假设</x:v>
      </x:c>
      <x:c r="E24" s="25" t="str">
        <x:v>模型已保留该情景；不隐性裁剪或改写原值</x:v>
      </x:c>
    </x:row>
    <x:row r="25">
      <x:c r="A25" s="25" t="str">
        <x:v>C02-X</x:v>
      </x:c>
      <x:c r="B25" s="25" t="str">
        <x:v>宁姆格福</x:v>
      </x:c>
      <x:c r="C25" s="25" t="str">
        <x:v>极端压力</x:v>
      </x:c>
      <x:c r="D25" s="25" t="str">
        <x:v>压力组合不是绝对极限；6件已修改追梦不强行冒充</x:v>
      </x:c>
      <x:c r="E25" s="25" t="str">
        <x:v>模型已保留该情景；不隐性裁剪或改写原值</x:v>
      </x:c>
    </x:row>
    <x:row r="26">
      <x:c r="A26" s="25" t="str">
        <x:v>C03-E</x:v>
      </x:c>
      <x:c r="B26" s="25" t="str">
        <x:v>宁姆格福西域</x:v>
      </x:c>
      <x:c r="C26" s="25" t="str">
        <x:v>半急速入场</x:v>
      </x:c>
      <x:c r="D26" s="25" t="str">
        <x:v>C2成长装备灵符路线为假设</x:v>
      </x:c>
      <x:c r="E26" s="25" t="str">
        <x:v>模型已保留该情景；不隐性裁剪或改写原值</x:v>
      </x:c>
    </x:row>
    <x:row r="27">
      <x:c r="A27" s="25" t="str">
        <x:v>C03-M</x:v>
      </x:c>
      <x:c r="B27" s="25" t="str">
        <x:v>宁姆格福西域</x:v>
      </x:c>
      <x:c r="C27" s="25" t="str">
        <x:v>半急速中期</x:v>
      </x:c>
      <x:c r="D27" s="25" t="str">
        <x:v>角色吸血超10%；武器本体上限与人物总和分开</x:v>
      </x:c>
      <x:c r="E27" s="25" t="str">
        <x:v>模型已保留该情景；不隐性裁剪或改写原值</x:v>
      </x:c>
    </x:row>
    <x:row r="28">
      <x:c r="A28" s="25" t="str">
        <x:v>C03-M</x:v>
      </x:c>
      <x:c r="B28" s="25" t="str">
        <x:v>宁姆格福西域</x:v>
      </x:c>
      <x:c r="C28" s="25" t="str">
        <x:v>半急速中期</x:v>
      </x:c>
      <x:c r="D28" s="25" t="str">
        <x:v>C2成长装备灵符路线为假设</x:v>
      </x:c>
      <x:c r="E28" s="25" t="str">
        <x:v>模型已保留该情景；不隐性裁剪或改写原值</x:v>
      </x:c>
    </x:row>
    <x:row r="29">
      <x:c r="A29" s="25" t="str">
        <x:v>C03-G</x:v>
      </x:c>
      <x:c r="B29" s="25" t="str">
        <x:v>宁姆格福西域</x:v>
      </x:c>
      <x:c r="C29" s="25" t="str">
        <x:v>半急速毕业</x:v>
      </x:c>
      <x:c r="D29" s="25" t="str">
        <x:v>C2成长装备灵符路线为假设</x:v>
      </x:c>
      <x:c r="E29" s="25" t="str">
        <x:v>模型已保留该情景；不隐性裁剪或改写原值</x:v>
      </x:c>
    </x:row>
    <x:row r="30">
      <x:c r="A30" s="25" t="str">
        <x:v>C03-X</x:v>
      </x:c>
      <x:c r="B30" s="25" t="str">
        <x:v>宁姆格福西域</x:v>
      </x:c>
      <x:c r="C30" s="25" t="str">
        <x:v>极端压力</x:v>
      </x:c>
      <x:c r="D30" s="25" t="str">
        <x:v>角色吸血超10%；武器本体上限与人物总和分开</x:v>
      </x:c>
      <x:c r="E30" s="25" t="str">
        <x:v>模型已保留该情景；不隐性裁剪或改写原值</x:v>
      </x:c>
    </x:row>
    <x:row r="31">
      <x:c r="A31" s="25" t="str">
        <x:v>C03-X</x:v>
      </x:c>
      <x:c r="B31" s="25" t="str">
        <x:v>宁姆格福西域</x:v>
      </x:c>
      <x:c r="C31" s="25" t="str">
        <x:v>极端压力</x:v>
      </x:c>
      <x:c r="D31" s="25" t="str">
        <x:v>C2成长装备灵符路线为假设</x:v>
      </x:c>
      <x:c r="E31" s="25" t="str">
        <x:v>模型已保留该情景；不隐性裁剪或改写原值</x:v>
      </x:c>
    </x:row>
    <x:row r="32">
      <x:c r="A32" s="25" t="str">
        <x:v>C03-X</x:v>
      </x:c>
      <x:c r="B32" s="25" t="str">
        <x:v>宁姆格福西域</x:v>
      </x:c>
      <x:c r="C32" s="25" t="str">
        <x:v>极端压力</x:v>
      </x:c>
      <x:c r="D32" s="25" t="str">
        <x:v>压力组合不是绝对极限；6件已修改追梦不强行冒充</x:v>
      </x:c>
      <x:c r="E32" s="25" t="str">
        <x:v>模型已保留该情景；不隐性裁剪或改写原值</x:v>
      </x:c>
    </x:row>
    <x:row r="33">
      <x:c r="A33" s="25" t="str">
        <x:v>C04-E</x:v>
      </x:c>
      <x:c r="B33" s="25" t="str">
        <x:v>利耶尼亚海域</x:v>
      </x:c>
      <x:c r="C33" s="25" t="str">
        <x:v>半急速入场</x:v>
      </x:c>
      <x:c r="D33" s="25" t="str">
        <x:v>C2成长装备灵符路线为假设</x:v>
      </x:c>
      <x:c r="E33" s="25" t="str">
        <x:v>模型已保留该情景；不隐性裁剪或改写原值</x:v>
      </x:c>
    </x:row>
    <x:row r="34">
      <x:c r="A34" s="25" t="str">
        <x:v>C04-M</x:v>
      </x:c>
      <x:c r="B34" s="25" t="str">
        <x:v>利耶尼亚海域</x:v>
      </x:c>
      <x:c r="C34" s="25" t="str">
        <x:v>半急速中期</x:v>
      </x:c>
      <x:c r="D34" s="25" t="str">
        <x:v>C2成长装备灵符路线为假设</x:v>
      </x:c>
      <x:c r="E34" s="25" t="str">
        <x:v>模型已保留该情景；不隐性裁剪或改写原值</x:v>
      </x:c>
    </x:row>
    <x:row r="35">
      <x:c r="A35" s="25" t="str">
        <x:v>C04-G</x:v>
      </x:c>
      <x:c r="B35" s="25" t="str">
        <x:v>利耶尼亚海域</x:v>
      </x:c>
      <x:c r="C35" s="25" t="str">
        <x:v>半急速毕业</x:v>
      </x:c>
      <x:c r="D35" s="25" t="str">
        <x:v>C2成长装备灵符路线为假设</x:v>
      </x:c>
      <x:c r="E35" s="25" t="str">
        <x:v>模型已保留该情景；不隐性裁剪或改写原值</x:v>
      </x:c>
    </x:row>
    <x:row r="36">
      <x:c r="A36" s="25" t="str">
        <x:v>C04-X</x:v>
      </x:c>
      <x:c r="B36" s="25" t="str">
        <x:v>利耶尼亚海域</x:v>
      </x:c>
      <x:c r="C36" s="25" t="str">
        <x:v>极端压力</x:v>
      </x:c>
      <x:c r="D36" s="25" t="str">
        <x:v>C2成长装备灵符路线为假设</x:v>
      </x:c>
      <x:c r="E36" s="25" t="str">
        <x:v>模型已保留该情景；不隐性裁剪或改写原值</x:v>
      </x:c>
    </x:row>
    <x:row r="37">
      <x:c r="A37" s="25" t="str">
        <x:v>C04-X</x:v>
      </x:c>
      <x:c r="B37" s="25" t="str">
        <x:v>利耶尼亚海域</x:v>
      </x:c>
      <x:c r="C37" s="25" t="str">
        <x:v>极端压力</x:v>
      </x:c>
      <x:c r="D37" s="25" t="str">
        <x:v>压力组合不是绝对极限；6件已修改追梦不强行冒充</x:v>
      </x:c>
      <x:c r="E37" s="25" t="str">
        <x:v>模型已保留该情景；不隐性裁剪或改写原值</x:v>
      </x:c>
    </x:row>
    <x:row r="38">
      <x:c r="A38" s="25" t="str">
        <x:v>C05-E</x:v>
      </x:c>
      <x:c r="B38" s="25" t="str">
        <x:v>湖之利耶尼亚</x:v>
      </x:c>
      <x:c r="C38" s="25" t="str">
        <x:v>半急速入场</x:v>
      </x:c>
      <x:c r="D38" s="25" t="str">
        <x:v>C2成长装备灵符路线为假设</x:v>
      </x:c>
      <x:c r="E38" s="25" t="str">
        <x:v>模型已保留该情景；不隐性裁剪或改写原值</x:v>
      </x:c>
    </x:row>
    <x:row r="39">
      <x:c r="A39" s="25" t="str">
        <x:v>C05-M</x:v>
      </x:c>
      <x:c r="B39" s="25" t="str">
        <x:v>湖之利耶尼亚</x:v>
      </x:c>
      <x:c r="C39" s="25" t="str">
        <x:v>半急速中期</x:v>
      </x:c>
      <x:c r="D39" s="25" t="str">
        <x:v>C2成长装备灵符路线为假设</x:v>
      </x:c>
      <x:c r="E39" s="25" t="str">
        <x:v>模型已保留该情景；不隐性裁剪或改写原值</x:v>
      </x:c>
    </x:row>
    <x:row r="40">
      <x:c r="A40" s="25" t="str">
        <x:v>C05-G</x:v>
      </x:c>
      <x:c r="B40" s="25" t="str">
        <x:v>湖之利耶尼亚</x:v>
      </x:c>
      <x:c r="C40" s="25" t="str">
        <x:v>半急速毕业</x:v>
      </x:c>
      <x:c r="D40" s="25" t="str">
        <x:v>C2成长装备灵符路线为假设</x:v>
      </x:c>
      <x:c r="E40" s="25" t="str">
        <x:v>模型已保留该情景；不隐性裁剪或改写原值</x:v>
      </x:c>
    </x:row>
    <x:row r="41">
      <x:c r="A41" s="25" t="str">
        <x:v>C05-X</x:v>
      </x:c>
      <x:c r="B41" s="25" t="str">
        <x:v>湖之利耶尼亚</x:v>
      </x:c>
      <x:c r="C41" s="25" t="str">
        <x:v>极端压力</x:v>
      </x:c>
      <x:c r="D41" s="25" t="str">
        <x:v>C2成长装备灵符路线为假设</x:v>
      </x:c>
      <x:c r="E41" s="25" t="str">
        <x:v>模型已保留该情景；不隐性裁剪或改写原值</x:v>
      </x:c>
    </x:row>
    <x:row r="42">
      <x:c r="A42" s="25" t="str">
        <x:v>C05-X</x:v>
      </x:c>
      <x:c r="B42" s="25" t="str">
        <x:v>湖之利耶尼亚</x:v>
      </x:c>
      <x:c r="C42" s="25" t="str">
        <x:v>极端压力</x:v>
      </x:c>
      <x:c r="D42" s="25" t="str">
        <x:v>压力组合不是绝对极限；6件已修改追梦不强行冒充</x:v>
      </x:c>
      <x:c r="E42" s="25" t="str">
        <x:v>模型已保留该情景；不隐性裁剪或改写原值</x:v>
      </x:c>
    </x:row>
    <x:row r="43">
      <x:c r="A43" s="25" t="str">
        <x:v>C06-E</x:v>
      </x:c>
      <x:c r="B43" s="25" t="str">
        <x:v>盖利德</x:v>
      </x:c>
      <x:c r="C43" s="25" t="str">
        <x:v>半急速入场</x:v>
      </x:c>
      <x:c r="D43" s="25" t="str">
        <x:v>C2成长装备灵符路线为假设</x:v>
      </x:c>
      <x:c r="E43" s="25" t="str">
        <x:v>模型已保留该情景；不隐性裁剪或改写原值</x:v>
      </x:c>
    </x:row>
    <x:row r="44">
      <x:c r="A44" s="25" t="str">
        <x:v>C06-M</x:v>
      </x:c>
      <x:c r="B44" s="25" t="str">
        <x:v>盖利德</x:v>
      </x:c>
      <x:c r="C44" s="25" t="str">
        <x:v>半急速中期</x:v>
      </x:c>
      <x:c r="D44" s="25" t="str">
        <x:v>C2成长装备灵符路线为假设</x:v>
      </x:c>
      <x:c r="E44" s="25" t="str">
        <x:v>模型已保留该情景；不隐性裁剪或改写原值</x:v>
      </x:c>
    </x:row>
    <x:row r="45">
      <x:c r="A45" s="25" t="str">
        <x:v>C06-G</x:v>
      </x:c>
      <x:c r="B45" s="25" t="str">
        <x:v>盖利德</x:v>
      </x:c>
      <x:c r="C45" s="25" t="str">
        <x:v>半急速毕业</x:v>
      </x:c>
      <x:c r="D45" s="25" t="str">
        <x:v>C2成长装备灵符路线为假设</x:v>
      </x:c>
      <x:c r="E45" s="25" t="str">
        <x:v>模型已保留该情景；不隐性裁剪或改写原值</x:v>
      </x:c>
    </x:row>
    <x:row r="46">
      <x:c r="A46" s="25" t="str">
        <x:v>C06-X</x:v>
      </x:c>
      <x:c r="B46" s="25" t="str">
        <x:v>盖利德</x:v>
      </x:c>
      <x:c r="C46" s="25" t="str">
        <x:v>极端压力</x:v>
      </x:c>
      <x:c r="D46" s="25" t="str">
        <x:v>角色吸血超10%；武器本体上限与人物总和分开</x:v>
      </x:c>
      <x:c r="E46" s="25" t="str">
        <x:v>模型已保留该情景；不隐性裁剪或改写原值</x:v>
      </x:c>
    </x:row>
    <x:row r="47">
      <x:c r="A47" s="25" t="str">
        <x:v>C06-X</x:v>
      </x:c>
      <x:c r="B47" s="25" t="str">
        <x:v>盖利德</x:v>
      </x:c>
      <x:c r="C47" s="25" t="str">
        <x:v>极端压力</x:v>
      </x:c>
      <x:c r="D47" s="25" t="str">
        <x:v>C2成长装备灵符路线为假设</x:v>
      </x:c>
      <x:c r="E47" s="25" t="str">
        <x:v>模型已保留该情景；不隐性裁剪或改写原值</x:v>
      </x:c>
    </x:row>
    <x:row r="48">
      <x:c r="A48" s="25" t="str">
        <x:v>C06-X</x:v>
      </x:c>
      <x:c r="B48" s="25" t="str">
        <x:v>盖利德</x:v>
      </x:c>
      <x:c r="C48" s="25" t="str">
        <x:v>极端压力</x:v>
      </x:c>
      <x:c r="D48" s="25" t="str">
        <x:v>压力组合不是绝对极限；6件已修改追梦不强行冒充</x:v>
      </x:c>
      <x:c r="E48" s="25" t="str">
        <x:v>模型已保留该情景；不隐性裁剪或改写原值</x:v>
      </x:c>
    </x:row>
    <x:row r="49">
      <x:c r="A49" s="25" t="str">
        <x:v>C07-E</x:v>
      </x:c>
      <x:c r="B49" s="25" t="str">
        <x:v>化圣雪原</x:v>
      </x:c>
      <x:c r="C49" s="25" t="str">
        <x:v>半急速入场</x:v>
      </x:c>
      <x:c r="D49" s="25" t="str">
        <x:v>C2成长装备灵符路线为假设</x:v>
      </x:c>
      <x:c r="E49" s="25" t="str">
        <x:v>模型已保留该情景；不隐性裁剪或改写原值</x:v>
      </x:c>
    </x:row>
    <x:row r="50">
      <x:c r="A50" s="25" t="str">
        <x:v>C07-M</x:v>
      </x:c>
      <x:c r="B50" s="25" t="str">
        <x:v>化圣雪原</x:v>
      </x:c>
      <x:c r="C50" s="25" t="str">
        <x:v>半急速中期</x:v>
      </x:c>
      <x:c r="D50" s="25" t="str">
        <x:v>C2成长装备灵符路线为假设</x:v>
      </x:c>
      <x:c r="E50" s="25" t="str">
        <x:v>模型已保留该情景；不隐性裁剪或改写原值</x:v>
      </x:c>
    </x:row>
    <x:row r="51">
      <x:c r="A51" s="25" t="str">
        <x:v>C07-G</x:v>
      </x:c>
      <x:c r="B51" s="25" t="str">
        <x:v>化圣雪原</x:v>
      </x:c>
      <x:c r="C51" s="25" t="str">
        <x:v>半急速毕业</x:v>
      </x:c>
      <x:c r="D51" s="25" t="str">
        <x:v>角色吸血超10%；武器本体上限与人物总和分开</x:v>
      </x:c>
      <x:c r="E51" s="25" t="str">
        <x:v>模型已保留该情景；不隐性裁剪或改写原值</x:v>
      </x:c>
    </x:row>
    <x:row r="52">
      <x:c r="A52" s="25" t="str">
        <x:v>C07-G</x:v>
      </x:c>
      <x:c r="B52" s="25" t="str">
        <x:v>化圣雪原</x:v>
      </x:c>
      <x:c r="C52" s="25" t="str">
        <x:v>半急速毕业</x:v>
      </x:c>
      <x:c r="D52" s="25" t="str">
        <x:v>C2成长装备灵符路线为假设</x:v>
      </x:c>
      <x:c r="E52" s="25" t="str">
        <x:v>模型已保留该情景；不隐性裁剪或改写原值</x:v>
      </x:c>
    </x:row>
    <x:row r="53">
      <x:c r="A53" s="25" t="str">
        <x:v>C07-X</x:v>
      </x:c>
      <x:c r="B53" s="25" t="str">
        <x:v>化圣雪原</x:v>
      </x:c>
      <x:c r="C53" s="25" t="str">
        <x:v>极端压力</x:v>
      </x:c>
      <x:c r="D53" s="25" t="str">
        <x:v>角色吸血超10%；武器本体上限与人物总和分开</x:v>
      </x:c>
      <x:c r="E53" s="25" t="str">
        <x:v>模型已保留该情景；不隐性裁剪或改写原值</x:v>
      </x:c>
    </x:row>
    <x:row r="54">
      <x:c r="A54" s="25" t="str">
        <x:v>C07-X</x:v>
      </x:c>
      <x:c r="B54" s="25" t="str">
        <x:v>化圣雪原</x:v>
      </x:c>
      <x:c r="C54" s="25" t="str">
        <x:v>极端压力</x:v>
      </x:c>
      <x:c r="D54" s="25" t="str">
        <x:v>C2成长装备灵符路线为假设</x:v>
      </x:c>
      <x:c r="E54" s="25" t="str">
        <x:v>模型已保留该情景；不隐性裁剪或改写原值</x:v>
      </x:c>
    </x:row>
    <x:row r="55">
      <x:c r="A55" s="25" t="str">
        <x:v>C07-X</x:v>
      </x:c>
      <x:c r="B55" s="25" t="str">
        <x:v>化圣雪原</x:v>
      </x:c>
      <x:c r="C55" s="25" t="str">
        <x:v>极端压力</x:v>
      </x:c>
      <x:c r="D55" s="25" t="str">
        <x:v>压力组合不是绝对极限；6件已修改追梦不强行冒充</x:v>
      </x:c>
      <x:c r="E55" s="25" t="str">
        <x:v>模型已保留该情景；不隐性裁剪或改写原值</x:v>
      </x:c>
    </x:row>
    <x:row r="56">
      <x:c r="A56" s="25" t="str">
        <x:v>C08-E</x:v>
      </x:c>
      <x:c r="B56" s="25" t="str">
        <x:v>巨人山顶</x:v>
      </x:c>
      <x:c r="C56" s="25" t="str">
        <x:v>半急速入场</x:v>
      </x:c>
      <x:c r="D56" s="25" t="str">
        <x:v>角色吸血超10%；武器本体上限与人物总和分开</x:v>
      </x:c>
      <x:c r="E56" s="25" t="str">
        <x:v>模型已保留该情景；不隐性裁剪或改写原值</x:v>
      </x:c>
    </x:row>
    <x:row r="57">
      <x:c r="A57" s="25" t="str">
        <x:v>C08-E</x:v>
      </x:c>
      <x:c r="B57" s="25" t="str">
        <x:v>巨人山顶</x:v>
      </x:c>
      <x:c r="C57" s="25" t="str">
        <x:v>半急速入场</x:v>
      </x:c>
      <x:c r="D57" s="25" t="str">
        <x:v>C2成长装备灵符路线为假设</x:v>
      </x:c>
      <x:c r="E57" s="25" t="str">
        <x:v>模型已保留该情景；不隐性裁剪或改写原值</x:v>
      </x:c>
    </x:row>
    <x:row r="58">
      <x:c r="A58" s="25" t="str">
        <x:v>C08-M</x:v>
      </x:c>
      <x:c r="B58" s="25" t="str">
        <x:v>巨人山顶</x:v>
      </x:c>
      <x:c r="C58" s="25" t="str">
        <x:v>半急速中期</x:v>
      </x:c>
      <x:c r="D58" s="25" t="str">
        <x:v>角色吸血超10%；武器本体上限与人物总和分开</x:v>
      </x:c>
      <x:c r="E58" s="25" t="str">
        <x:v>模型已保留该情景；不隐性裁剪或改写原值</x:v>
      </x:c>
    </x:row>
    <x:row r="59">
      <x:c r="A59" s="25" t="str">
        <x:v>C08-M</x:v>
      </x:c>
      <x:c r="B59" s="25" t="str">
        <x:v>巨人山顶</x:v>
      </x:c>
      <x:c r="C59" s="25" t="str">
        <x:v>半急速中期</x:v>
      </x:c>
      <x:c r="D59" s="25" t="str">
        <x:v>C2成长装备灵符路线为假设</x:v>
      </x:c>
      <x:c r="E59" s="25" t="str">
        <x:v>模型已保留该情景；不隐性裁剪或改写原值</x:v>
      </x:c>
    </x:row>
    <x:row r="60">
      <x:c r="A60" s="25" t="str">
        <x:v>C08-G</x:v>
      </x:c>
      <x:c r="B60" s="25" t="str">
        <x:v>巨人山顶</x:v>
      </x:c>
      <x:c r="C60" s="25" t="str">
        <x:v>半急速毕业</x:v>
      </x:c>
      <x:c r="D60" s="25" t="str">
        <x:v>角色吸血超10%；武器本体上限与人物总和分开</x:v>
      </x:c>
      <x:c r="E60" s="25" t="str">
        <x:v>模型已保留该情景；不隐性裁剪或改写原值</x:v>
      </x:c>
    </x:row>
    <x:row r="61">
      <x:c r="A61" s="25" t="str">
        <x:v>C08-G</x:v>
      </x:c>
      <x:c r="B61" s="25" t="str">
        <x:v>巨人山顶</x:v>
      </x:c>
      <x:c r="C61" s="25" t="str">
        <x:v>半急速毕业</x:v>
      </x:c>
      <x:c r="D61" s="25" t="str">
        <x:v>C2成长装备灵符路线为假设</x:v>
      </x:c>
      <x:c r="E61" s="25" t="str">
        <x:v>模型已保留该情景；不隐性裁剪或改写原值</x:v>
      </x:c>
    </x:row>
    <x:row r="62">
      <x:c r="A62" s="25" t="str">
        <x:v>C08-X</x:v>
      </x:c>
      <x:c r="B62" s="25" t="str">
        <x:v>巨人山顶</x:v>
      </x:c>
      <x:c r="C62" s="25" t="str">
        <x:v>极端压力</x:v>
      </x:c>
      <x:c r="D62" s="25" t="str">
        <x:v>角色吸血超10%；武器本体上限与人物总和分开</x:v>
      </x:c>
      <x:c r="E62" s="25" t="str">
        <x:v>模型已保留该情景；不隐性裁剪或改写原值</x:v>
      </x:c>
    </x:row>
    <x:row r="63">
      <x:c r="A63" s="25" t="str">
        <x:v>C08-X</x:v>
      </x:c>
      <x:c r="B63" s="25" t="str">
        <x:v>巨人山顶</x:v>
      </x:c>
      <x:c r="C63" s="25" t="str">
        <x:v>极端压力</x:v>
      </x:c>
      <x:c r="D63" s="25" t="str">
        <x:v>C2成长装备灵符路线为假设</x:v>
      </x:c>
      <x:c r="E63" s="25" t="str">
        <x:v>模型已保留该情景；不隐性裁剪或改写原值</x:v>
      </x:c>
    </x:row>
    <x:row r="64">
      <x:c r="A64" s="25" t="str">
        <x:v>C08-X</x:v>
      </x:c>
      <x:c r="B64" s="25" t="str">
        <x:v>巨人山顶</x:v>
      </x:c>
      <x:c r="C64" s="25" t="str">
        <x:v>极端压力</x:v>
      </x:c>
      <x:c r="D64" s="25" t="str">
        <x:v>压力组合不是绝对极限；6件已修改追梦不强行冒充</x:v>
      </x:c>
      <x:c r="E64" s="25" t="str">
        <x:v>模型已保留该情景；不隐性裁剪或改写原值</x:v>
      </x:c>
    </x:row>
    <x:row r="65">
      <x:c r="A65" s="25" t="str">
        <x:v>C09-E</x:v>
      </x:c>
      <x:c r="B65" s="25" t="str">
        <x:v>亚坛高原</x:v>
      </x:c>
      <x:c r="C65" s="25" t="str">
        <x:v>半急速入场</x:v>
      </x:c>
      <x:c r="D65" s="25" t="str">
        <x:v>角色吸血超10%；武器本体上限与人物总和分开</x:v>
      </x:c>
      <x:c r="E65" s="25" t="str">
        <x:v>模型已保留该情景；不隐性裁剪或改写原值</x:v>
      </x:c>
    </x:row>
    <x:row r="66">
      <x:c r="A66" s="25" t="str">
        <x:v>C09-E</x:v>
      </x:c>
      <x:c r="B66" s="25" t="str">
        <x:v>亚坛高原</x:v>
      </x:c>
      <x:c r="C66" s="25" t="str">
        <x:v>半急速入场</x:v>
      </x:c>
      <x:c r="D66" s="25" t="str">
        <x:v>C2成长装备灵符路线为假设</x:v>
      </x:c>
      <x:c r="E66" s="25" t="str">
        <x:v>模型已保留该情景；不隐性裁剪或改写原值</x:v>
      </x:c>
    </x:row>
    <x:row r="67">
      <x:c r="A67" s="25" t="str">
        <x:v>C09-M</x:v>
      </x:c>
      <x:c r="B67" s="25" t="str">
        <x:v>亚坛高原</x:v>
      </x:c>
      <x:c r="C67" s="25" t="str">
        <x:v>半急速中期</x:v>
      </x:c>
      <x:c r="D67" s="25" t="str">
        <x:v>角色吸血超10%；武器本体上限与人物总和分开</x:v>
      </x:c>
      <x:c r="E67" s="25" t="str">
        <x:v>模型已保留该情景；不隐性裁剪或改写原值</x:v>
      </x:c>
    </x:row>
    <x:row r="68">
      <x:c r="A68" s="25" t="str">
        <x:v>C09-M</x:v>
      </x:c>
      <x:c r="B68" s="25" t="str">
        <x:v>亚坛高原</x:v>
      </x:c>
      <x:c r="C68" s="25" t="str">
        <x:v>半急速中期</x:v>
      </x:c>
      <x:c r="D68" s="25" t="str">
        <x:v>C2成长装备灵符路线为假设</x:v>
      </x:c>
      <x:c r="E68" s="25" t="str">
        <x:v>模型已保留该情景；不隐性裁剪或改写原值</x:v>
      </x:c>
    </x:row>
    <x:row r="69">
      <x:c r="A69" s="25" t="str">
        <x:v>C09-G</x:v>
      </x:c>
      <x:c r="B69" s="25" t="str">
        <x:v>亚坛高原</x:v>
      </x:c>
      <x:c r="C69" s="25" t="str">
        <x:v>半急速毕业</x:v>
      </x:c>
      <x:c r="D69" s="25" t="str">
        <x:v>角色吸血超10%；武器本体上限与人物总和分开</x:v>
      </x:c>
      <x:c r="E69" s="25" t="str">
        <x:v>模型已保留该情景；不隐性裁剪或改写原值</x:v>
      </x:c>
    </x:row>
    <x:row r="70">
      <x:c r="A70" s="25" t="str">
        <x:v>C09-G</x:v>
      </x:c>
      <x:c r="B70" s="25" t="str">
        <x:v>亚坛高原</x:v>
      </x:c>
      <x:c r="C70" s="25" t="str">
        <x:v>半急速毕业</x:v>
      </x:c>
      <x:c r="D70" s="25" t="str">
        <x:v>C2成长装备灵符路线为假设</x:v>
      </x:c>
      <x:c r="E70" s="25" t="str">
        <x:v>模型已保留该情景；不隐性裁剪或改写原值</x:v>
      </x:c>
    </x:row>
    <x:row r="71">
      <x:c r="A71" s="25" t="str">
        <x:v>C09-X</x:v>
      </x:c>
      <x:c r="B71" s="25" t="str">
        <x:v>亚坛高原</x:v>
      </x:c>
      <x:c r="C71" s="25" t="str">
        <x:v>极端压力</x:v>
      </x:c>
      <x:c r="D71" s="25" t="str">
        <x:v>角色吸血超10%；武器本体上限与人物总和分开</x:v>
      </x:c>
      <x:c r="E71" s="25" t="str">
        <x:v>模型已保留该情景；不隐性裁剪或改写原值</x:v>
      </x:c>
    </x:row>
    <x:row r="72">
      <x:c r="A72" s="25" t="str">
        <x:v>C09-X</x:v>
      </x:c>
      <x:c r="B72" s="25" t="str">
        <x:v>亚坛高原</x:v>
      </x:c>
      <x:c r="C72" s="25" t="str">
        <x:v>极端压力</x:v>
      </x:c>
      <x:c r="D72" s="25" t="str">
        <x:v>C2成长装备灵符路线为假设</x:v>
      </x:c>
      <x:c r="E72" s="25" t="str">
        <x:v>模型已保留该情景；不隐性裁剪或改写原值</x:v>
      </x:c>
    </x:row>
    <x:row r="73">
      <x:c r="A73" s="25" t="str">
        <x:v>C09-X</x:v>
      </x:c>
      <x:c r="B73" s="25" t="str">
        <x:v>亚坛高原</x:v>
      </x:c>
      <x:c r="C73" s="25" t="str">
        <x:v>极端压力</x:v>
      </x:c>
      <x:c r="D73" s="25" t="str">
        <x:v>压力组合不是绝对极限；6件已修改追梦不强行冒充</x:v>
      </x:c>
      <x:c r="E73" s="25" t="str">
        <x:v>模型已保留该情景；不隐性裁剪或改写原值</x:v>
      </x:c>
    </x:row>
    <x:row r="74">
      <x:c r="A74" s="25" t="str">
        <x:v>C10-E</x:v>
      </x:c>
      <x:c r="B74" s="25" t="str">
        <x:v>王城罗德尔</x:v>
      </x:c>
      <x:c r="C74" s="25" t="str">
        <x:v>半急速入场</x:v>
      </x:c>
      <x:c r="D74" s="25" t="str">
        <x:v>角色吸血超10%；武器本体上限与人物总和分开</x:v>
      </x:c>
      <x:c r="E74" s="25" t="str">
        <x:v>模型已保留该情景；不隐性裁剪或改写原值</x:v>
      </x:c>
    </x:row>
    <x:row r="75">
      <x:c r="A75" s="25" t="str">
        <x:v>C10-E</x:v>
      </x:c>
      <x:c r="B75" s="25" t="str">
        <x:v>王城罗德尔</x:v>
      </x:c>
      <x:c r="C75" s="25" t="str">
        <x:v>半急速入场</x:v>
      </x:c>
      <x:c r="D75" s="25" t="str">
        <x:v>C2成长装备灵符路线为假设</x:v>
      </x:c>
      <x:c r="E75" s="25" t="str">
        <x:v>模型已保留该情景；不隐性裁剪或改写原值</x:v>
      </x:c>
    </x:row>
    <x:row r="76">
      <x:c r="A76" s="25" t="str">
        <x:v>C10-M</x:v>
      </x:c>
      <x:c r="B76" s="25" t="str">
        <x:v>王城罗德尔</x:v>
      </x:c>
      <x:c r="C76" s="25" t="str">
        <x:v>半急速中期</x:v>
      </x:c>
      <x:c r="D76" s="25" t="str">
        <x:v>角色吸血超10%；武器本体上限与人物总和分开</x:v>
      </x:c>
      <x:c r="E76" s="25" t="str">
        <x:v>模型已保留该情景；不隐性裁剪或改写原值</x:v>
      </x:c>
    </x:row>
    <x:row r="77">
      <x:c r="A77" s="25" t="str">
        <x:v>C10-M</x:v>
      </x:c>
      <x:c r="B77" s="25" t="str">
        <x:v>王城罗德尔</x:v>
      </x:c>
      <x:c r="C77" s="25" t="str">
        <x:v>半急速中期</x:v>
      </x:c>
      <x:c r="D77" s="25" t="str">
        <x:v>C2成长装备灵符路线为假设</x:v>
      </x:c>
      <x:c r="E77" s="25" t="str">
        <x:v>模型已保留该情景；不隐性裁剪或改写原值</x:v>
      </x:c>
    </x:row>
    <x:row r="78">
      <x:c r="A78" s="25" t="str">
        <x:v>C10-G</x:v>
      </x:c>
      <x:c r="B78" s="25" t="str">
        <x:v>王城罗德尔</x:v>
      </x:c>
      <x:c r="C78" s="25" t="str">
        <x:v>半急速毕业</x:v>
      </x:c>
      <x:c r="D78" s="25" t="str">
        <x:v>角色吸血超10%；武器本体上限与人物总和分开</x:v>
      </x:c>
      <x:c r="E78" s="25" t="str">
        <x:v>模型已保留该情景；不隐性裁剪或改写原值</x:v>
      </x:c>
    </x:row>
    <x:row r="79">
      <x:c r="A79" s="25" t="str">
        <x:v>C10-G</x:v>
      </x:c>
      <x:c r="B79" s="25" t="str">
        <x:v>王城罗德尔</x:v>
      </x:c>
      <x:c r="C79" s="25" t="str">
        <x:v>半急速毕业</x:v>
      </x:c>
      <x:c r="D79" s="25" t="str">
        <x:v>C2成长装备灵符路线为假设</x:v>
      </x:c>
      <x:c r="E79" s="25" t="str">
        <x:v>模型已保留该情景；不隐性裁剪或改写原值</x:v>
      </x:c>
    </x:row>
    <x:row r="80">
      <x:c r="A80" s="25" t="str">
        <x:v>C10-X</x:v>
      </x:c>
      <x:c r="B80" s="25" t="str">
        <x:v>王城罗德尔</x:v>
      </x:c>
      <x:c r="C80" s="25" t="str">
        <x:v>极端压力</x:v>
      </x:c>
      <x:c r="D80" s="25" t="str">
        <x:v>角色吸血超10%；武器本体上限与人物总和分开</x:v>
      </x:c>
      <x:c r="E80" s="25" t="str">
        <x:v>模型已保留该情景；不隐性裁剪或改写原值</x:v>
      </x:c>
    </x:row>
    <x:row r="81">
      <x:c r="A81" s="25" t="str">
        <x:v>C10-X</x:v>
      </x:c>
      <x:c r="B81" s="25" t="str">
        <x:v>王城罗德尔</x:v>
      </x:c>
      <x:c r="C81" s="25" t="str">
        <x:v>极端压力</x:v>
      </x:c>
      <x:c r="D81" s="25" t="str">
        <x:v>C2成长装备灵符路线为假设</x:v>
      </x:c>
      <x:c r="E81" s="25" t="str">
        <x:v>模型已保留该情景；不隐性裁剪或改写原值</x:v>
      </x:c>
    </x:row>
    <x:row r="82">
      <x:c r="A82" s="25" t="str">
        <x:v>C10-X</x:v>
      </x:c>
      <x:c r="B82" s="25" t="str">
        <x:v>王城罗德尔</x:v>
      </x:c>
      <x:c r="C82" s="25" t="str">
        <x:v>极端压力</x:v>
      </x:c>
      <x:c r="D82" s="25" t="str">
        <x:v>压力组合不是绝对极限；6件已修改追梦不强行冒充</x:v>
      </x:c>
      <x:c r="E82" s="25" t="str">
        <x:v>模型已保留该情景；不隐性裁剪或改写原值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4" hidden="0" customWidth="1"/>
    <x:col min="3" max="3" width="54" hidden="0" customWidth="1"/>
    <x:col min="4" max="4" width="76" hidden="0" customWidth="1"/>
    <x:col min="5" max="5" width="90" hidden="0" customWidth="1"/>
  </x:cols>
  <x:sheetData>
    <x:row r="1" ht="29" customHeight="1">
      <x:c r="A1" s="4" t="str">
        <x:v>来源与新运行校验</x:v>
      </x:c>
      <x:c r="B1" s="4"/>
      <x:c r="C1" s="4"/>
      <x:c r="D1" s="4"/>
      <x:c r="E1" s="4"/>
    </x:row>
    <x:row r="2" ht="43" customHeight="1">
      <x:c r="A2" s="11" t="str">
        <x:v>原件SHA256记录用于追溯；本轮不上传GitHub、不修改来源表。项链幸运按人物永久进度修正；游戏货币×100、失色×10仅改变数值尺度。</x:v>
      </x:c>
      <x:c r="B2" s="11"/>
      <x:c r="C2" s="11"/>
      <x:c r="D2" s="11"/>
      <x:c r="E2" s="11"/>
    </x:row>
    <x:row r="4" ht="42" customHeight="1">
      <x:c r="A4" s="19" t="str">
        <x:v>ID</x:v>
      </x:c>
      <x:c r="B4" s="19" t="str">
        <x:v>来源文件</x:v>
      </x:c>
      <x:c r="C4" s="19" t="str">
        <x:v>使用范围</x:v>
      </x:c>
      <x:c r="D4" s="19" t="str">
        <x:v>SHA256</x:v>
      </x:c>
      <x:c r="E4" s="19" t="str">
        <x:v>本地输入路径</x:v>
      </x:c>
    </x:row>
    <x:row r="5">
      <x:c r="A5" s="25" t="str">
        <x:v>S01</x:v>
      </x:c>
      <x:c r="B5" s="25" t="str">
        <x:v>03_第一二大陆20套制式装备_69列平台表.xlsx</x:v>
      </x:c>
      <x:c r="C5" s="25" t="str">
        <x:v>原始输入，只读</x:v>
      </x:c>
      <x:c r="D5" s="25" t="str">
        <x:v>8ea65f3f6b375d41b72a49c65347b6c9f5396914abed78135e36511bd90b5145</x:v>
      </x:c>
      <x:c r="E5" s="25" t="str">
        <x:v>/mnt/data/recycle_audit/03_第一二大陆20套制式装备_69列平台表.xlsx</x:v>
      </x:c>
    </x:row>
    <x:row r="6">
      <x:c r="A6" s="25" t="str">
        <x:v>S02</x:v>
      </x:c>
      <x:c r="B6" s="25" t="str">
        <x:v>04_第一二大陆105件专属装备_69列平台表.xlsx</x:v>
      </x:c>
      <x:c r="C6" s="25" t="str">
        <x:v>原始输入，只读</x:v>
      </x:c>
      <x:c r="D6" s="25" t="str">
        <x:v>b62450a6eb5c3c50eb387cd28f8566ed82709c8a2b6f17e115702707eed946a1</x:v>
      </x:c>
      <x:c r="E6" s="25" t="str">
        <x:v>/mnt/data/recycle_audit/04_第一二大陆105件专属装备_69列平台表.xlsx</x:v>
      </x:c>
    </x:row>
    <x:row r="7">
      <x:c r="A7" s="25" t="str">
        <x:v>S03</x:v>
      </x:c>
      <x:c r="B7" s="25" t="str">
        <x:v>41_命格内容与多色属性.xlsx</x:v>
      </x:c>
      <x:c r="C7" s="25" t="str">
        <x:v>原始输入，只读</x:v>
      </x:c>
      <x:c r="D7" s="25" t="str">
        <x:v>93f6a48fe5de59aa9db386df75a69b2825655c23fcc796030cf4ff3e1d7ef38d</x:v>
      </x:c>
      <x:c r="E7" s="25" t="str">
        <x:v>/mnt/data/nonmonster_sources/41_命格内容与多色属性.xlsx</x:v>
      </x:c>
    </x:row>
    <x:row r="8">
      <x:c r="A8" s="25" t="str">
        <x:v>S04</x:v>
      </x:c>
      <x:c r="B8" s="25" t="str">
        <x:v>03_NPC奖励与永久成长数值总控_V1.2.xlsx</x:v>
      </x:c>
      <x:c r="C8" s="25" t="str">
        <x:v>原始输入，只读</x:v>
      </x:c>
      <x:c r="D8" s="25" t="str">
        <x:v>e404fc10243ed8d178d9dcdd7f6091d5aa89fb310736a274c175676da398ceeb</x:v>
      </x:c>
      <x:c r="E8" s="25" t="str">
        <x:v>/mnt/data/profiles_inputs/audit/03_NPC奖励与永久成长数值总控_V1.2.xlsx</x:v>
      </x:c>
    </x:row>
    <x:row r="9">
      <x:c r="A9" s="25" t="str">
        <x:v>S05</x:v>
      </x:c>
      <x:c r="B9" s="25" t="str">
        <x:v>艾尔登法环_十大陆经济与回收完整规划_V1.2.xlsx</x:v>
      </x:c>
      <x:c r="C9" s="25" t="str">
        <x:v>原始输入，只读</x:v>
      </x:c>
      <x:c r="D9" s="25" t="str">
        <x:v>10505bceb8e28388db105c3a3c2287b3f32f5400254ca18a5b6ae9d70d50787f</x:v>
      </x:c>
      <x:c r="E9" s="25" t="str">
        <x:v>/mnt/data/profiles_inputs/audit/艾尔登法环_十大陆经济与回收完整规划_V1.2.xlsx</x:v>
      </x:c>
    </x:row>
    <x:row r="10">
      <x:c r="A10" s="25" t="str">
        <x:v>S06</x:v>
      </x:c>
      <x:c r="B10" s="25" t="str">
        <x:v>艾尔登法环_洗练_标准角色_爆率基线_V1.1.xlsx</x:v>
      </x:c>
      <x:c r="C10" s="25" t="str">
        <x:v>原始输入，只读</x:v>
      </x:c>
      <x:c r="D10" s="25" t="str">
        <x:v>868d6c9dead870011fd5e32a4ee673b41ad9a60df6271c48529b6e8d2f98c1e6</x:v>
      </x:c>
      <x:c r="E10" s="25" t="str">
        <x:v>/mnt/data/profiles_inputs/audit/艾尔登法环_洗练_标准角色_爆率基线_V1.1.xlsx</x:v>
      </x:c>
    </x:row>
    <x:row r="11">
      <x:c r="A11" s="25" t="str">
        <x:v>S07</x:v>
      </x:c>
      <x:c r="B11" s="25" t="str">
        <x:v>数值原始数据.json</x:v>
      </x:c>
      <x:c r="C11" s="25" t="str">
        <x:v>原始输入，只读</x:v>
      </x:c>
      <x:c r="D11" s="25" t="str">
        <x:v>b3891af23b354df486bf537d6dcbea69240e2cdf0f079c7f3ab6b5a9c2fbe7b8</x:v>
      </x:c>
      <x:c r="E11" s="25" t="str">
        <x:v>/mnt/data/profiles_inputs/nonmonster/codex_tasks/艾尔登法环_非怪物数值先行_20260905/数值原始数据.json</x:v>
      </x:c>
    </x:row>
    <x:row r="12">
      <x:c r="A12" s="25" t="str">
        <x:v>S08</x:v>
      </x:c>
      <x:c r="B12" s="25" t="str">
        <x:v>洗练属性.txt</x:v>
      </x:c>
      <x:c r="C12" s="25" t="str">
        <x:v>原始输入，只读</x:v>
      </x:c>
      <x:c r="D12" s="25" t="str">
        <x:v>74a57625a30853295c4856eb58ebd2ad69d2d06274a2aae0712a4bfa64af9551</x:v>
      </x:c>
      <x:c r="E12" s="25" t="str">
        <x:v>/mnt/data/洗练属性.txt</x:v>
      </x:c>
    </x:row>
    <x:row r="20">
      <x:c r="A20" s="19" t="str">
        <x:v>校验</x:v>
      </x:c>
      <x:c r="B20" s="19" t="str">
        <x:v>结果</x:v>
      </x:c>
      <x:c r="C20" s="19" t="str">
        <x:v>范围</x:v>
      </x:c>
      <x:c r="D20" s="19" t="str">
        <x:v>备注</x:v>
      </x:c>
    </x:row>
    <x:row r="21">
      <x:c r="A21" t="str">
        <x:v>模型新运行断言</x:v>
      </x:c>
      <x:c r="B21" t="str">
        <x:v>见数值与结构校验.json</x:v>
      </x:c>
      <x:c r="C21" t="str">
        <x:v>来源/槽位/支付/图鉴/幸运/随机范围/40组继承</x:v>
      </x:c>
      <x:c r="D21" t="str">
        <x:v>每项明细见数值与结构校验.json；逐项来源在完整JSON</x:v>
      </x:c>
    </x:row>
    <x:row r="22">
      <x:c r="A22" t="str">
        <x:v>失败</x:v>
      </x:c>
      <x:c r="B22" t="n">
        <x:v>0</x:v>
      </x:c>
      <x:c r="C22" t="str">
        <x:v>上述模型断言</x:v>
      </x:c>
      <x:c r="D22" t="str">
        <x:v>本表不是进服测试</x:v>
      </x:c>
    </x:row>
    <x:row r="23">
      <x:c r="A23" t="str">
        <x:v>Excel公式对照</x:v>
      </x:c>
      <x:c r="B23" t="str">
        <x:v>导出前执行</x:v>
      </x:c>
      <x:c r="C23" t="str">
        <x:v>40组×45源属性＋33派生字段＋处决160场景</x:v>
      </x:c>
      <x:c r="D23" t="str">
        <x:v>另存工作簿核验.json</x:v>
      </x:c>
    </x:row>
    <x:row r="24">
      <x:c r="A24" t="str">
        <x:v>GitHub写入</x:v>
      </x:c>
      <x:c r="B24" t="str">
        <x:v>未执行</x:v>
      </x:c>
      <x:c r="C24" t="str">
        <x:v>用户暂缓归档</x:v>
      </x:c>
      <x:c r="D24" t="str">
        <x:v>只读输入</x:v>
      </x:c>
    </x:row>
    <x:row r="25">
      <x:c r="A25" t="str">
        <x:v>服务器变更</x:v>
      </x:c>
      <x:c r="B25" t="str">
        <x:v>未执行</x:v>
      </x:c>
      <x:c r="C25" t="str">
        <x:v>没有写正式库、脚本、客户端</x:v>
      </x:c>
      <x:c r="D25" t="str">
        <x:v>模型文件不能直接当服务端导入表</x:v>
      </x:c>
    </x:row>
    <x:row r="26">
      <x:c r="A26" t="str">
        <x:v>最终爆率与产消</x:v>
      </x:c>
      <x:c r="B26" t="str">
        <x:v>本批未执行</x:v>
      </x:c>
      <x:c r="C26" t="str">
        <x:v>只输出后续需要的物料/装备量</x:v>
      </x:c>
      <x:c r="D26" t="str">
        <x:v>561TXT随后完成</x:v>
      </x:c>
    </x:row>
  </x:sheetData>
  <x:mergeCells>
    <x:mergeCell ref="A1:E1"/>
    <x:mergeCell ref="A2:E2"/>
  </x:mergeCells>
  <x:pageMargins left="0.7" right="0.7" top="0.75" bottom="0.75" header="0.3" footer="0.3"/>
</x:worksheet>
</file>