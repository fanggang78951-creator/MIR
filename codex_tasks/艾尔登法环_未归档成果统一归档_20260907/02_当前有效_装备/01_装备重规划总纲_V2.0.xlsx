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e16a00eca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重规划摘要" sheetId="1" r:id="Rc1c6f2051c554e91"/>
    <x:sheet xmlns:r="http://schemas.openxmlformats.org/officeDocument/2006/relationships" name="01_新旧规则替代" sheetId="2" r:id="R56ebbc50a95940ab"/>
    <x:sheet xmlns:r="http://schemas.openxmlformats.org/officeDocument/2006/relationships" name="02_跨大陆标尺" sheetId="3" r:id="R160a5eb3c873443e"/>
    <x:sheet xmlns:r="http://schemas.openxmlformats.org/officeDocument/2006/relationships" name="03_补充来源与部位" sheetId="4" r:id="R5b852ce521a1468a"/>
    <x:sheet xmlns:r="http://schemas.openxmlformats.org/officeDocument/2006/relationships" name="04_攻速预算与来源" sheetId="5" r:id="Ra5cd0274cefb4ceb"/>
    <x:sheet xmlns:r="http://schemas.openxmlformats.org/officeDocument/2006/relationships" name="05_吸收预算与来源" sheetId="6" r:id="Red79e5a091fa4f5f"/>
    <x:sheet xmlns:r="http://schemas.openxmlformats.org/officeDocument/2006/relationships" name="05b_防御配装明细" sheetId="7" r:id="Reb485651c4be46d4"/>
    <x:sheet xmlns:r="http://schemas.openxmlformats.org/officeDocument/2006/relationships" name="06_合成边际比较" sheetId="8" r:id="R83e2a25c712546ea"/>
    <x:sheet xmlns:r="http://schemas.openxmlformats.org/officeDocument/2006/relationships" name="07_称号命格配套" sheetId="9" r:id="R1340844ff7df49bd"/>
    <x:sheet xmlns:r="http://schemas.openxmlformats.org/officeDocument/2006/relationships" name="08_C1必要修订" sheetId="10" r:id="Rc39f19400af44144"/>
    <x:sheet xmlns:r="http://schemas.openxmlformats.org/officeDocument/2006/relationships" name="09_依赖与部署状态" sheetId="11" r:id="Rbfa283e5f751434b"/>
    <x:sheet xmlns:r="http://schemas.openxmlformats.org/officeDocument/2006/relationships" name="10_来源与优先级" sheetId="12" r:id="R09c95886ba594d67"/>
    <x:sheet xmlns:r="http://schemas.openxmlformats.org/officeDocument/2006/relationships" name="11_校验摘要" sheetId="13" r:id="R58301c80f675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x&quot;"/>
    <x:numFmt numFmtId="201" formatCode="#,##0"/>
  </x:numFmts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314A5B"/>
      <x:name val="Carlito"/>
    </x:font>
    <x:font>
      <x:b/>
      <x:sz val="10"/>
      <x:color rgb="FFFFFFFF"/>
      <x:name val="Carlito"/>
    </x:font>
    <x:font>
      <x:b/>
      <x:sz val="20"/>
      <x:color rgb="FF244B42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A55"/>
      </x:patternFill>
    </x:fill>
    <x:fill>
      <x:patternFill patternType="solid">
        <x:fgColor rgb="FFE7EFF5"/>
      </x:patternFill>
    </x:fill>
    <x:fill>
      <x:patternFill patternType="solid">
        <x:fgColor rgb="FF315E7C"/>
      </x:patternFill>
    </x:fill>
    <x:fill>
      <x:patternFill patternType="solid">
        <x:fgColor rgb="FFE6F1EB"/>
      </x:patternFill>
    </x:fill>
  </x:fills>
  <x:borders count="4">
    <x:border/>
    <x:border/>
    <x:border>
      <x:bottom style="hair">
        <x:color rgb="FFDFE5EB"/>
      </x:bottom>
    </x:border>
    <x:border>
      <x:bottom style="hair">
        <x:color rgb="FFDFE5E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ff3e7f8d24d3c" /><Relationship Type="http://schemas.openxmlformats.org/officeDocument/2006/relationships/theme" Target="/xl/theme/theme1.xml" Id="R4ffc92af956942af" /><Relationship Type="http://schemas.openxmlformats.org/officeDocument/2006/relationships/sharedStrings" Target="/xl/sharedStrings.xml" Id="R6e7c30c87a3e4d5a" /><Relationship Type="http://schemas.openxmlformats.org/officeDocument/2006/relationships/worksheet" Target="/xl/worksheets/sheet1.xml" Id="Rc1c6f2051c554e91" /><Relationship Type="http://schemas.openxmlformats.org/officeDocument/2006/relationships/worksheet" Target="/xl/worksheets/sheet2.xml" Id="R56ebbc50a95940ab" /><Relationship Type="http://schemas.openxmlformats.org/officeDocument/2006/relationships/worksheet" Target="/xl/worksheets/sheet3.xml" Id="R160a5eb3c873443e" /><Relationship Type="http://schemas.openxmlformats.org/officeDocument/2006/relationships/worksheet" Target="/xl/worksheets/sheet4.xml" Id="R5b852ce521a1468a" /><Relationship Type="http://schemas.openxmlformats.org/officeDocument/2006/relationships/worksheet" Target="/xl/worksheets/sheet5.xml" Id="Ra5cd0274cefb4ceb" /><Relationship Type="http://schemas.openxmlformats.org/officeDocument/2006/relationships/worksheet" Target="/xl/worksheets/sheet6.xml" Id="Red79e5a091fa4f5f" /><Relationship Type="http://schemas.openxmlformats.org/officeDocument/2006/relationships/worksheet" Target="/xl/worksheets/sheet7.xml" Id="Reb485651c4be46d4" /><Relationship Type="http://schemas.openxmlformats.org/officeDocument/2006/relationships/worksheet" Target="/xl/worksheets/sheet8.xml" Id="R83e2a25c712546ea" /><Relationship Type="http://schemas.openxmlformats.org/officeDocument/2006/relationships/worksheet" Target="/xl/worksheets/sheet9.xml" Id="R1340844ff7df49bd" /><Relationship Type="http://schemas.openxmlformats.org/officeDocument/2006/relationships/worksheet" Target="/xl/worksheets/sheet10.xml" Id="Rc39f19400af44144" /><Relationship Type="http://schemas.openxmlformats.org/officeDocument/2006/relationships/worksheet" Target="/xl/worksheets/sheet11.xml" Id="Rbfa283e5f751434b" /><Relationship Type="http://schemas.openxmlformats.org/officeDocument/2006/relationships/worksheet" Target="/xl/worksheets/sheet12.xml" Id="R09c95886ba594d67" /><Relationship Type="http://schemas.openxmlformats.org/officeDocument/2006/relationships/worksheet" Target="/xl/worksheets/sheet13.xml" Id="R58301c80f675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4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4" t="str">
        <x:v>装备规则重规划 V2.0｜第一大陆参照 → C3–C10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" customHeight="1">
      <x:c r="A2" s="11" t="str">
        <x:v>设计审核稿：原464件身份不动，另列56补充候选，38合成重算。命格与称号的配套计划尚未接入引擎；旧40人物、最终掉落和生产资源仍需随后更新。本轮不写GitHub。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1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>
      <x:c r="A5" s="19" t="str">
        <x:v>原定向专属</x:v>
      </x:c>
      <x:c r="B5" s="19" t="str">
        <x:v>补充候选</x:v>
      </x:c>
      <x:c r="C5" s="19" t="str">
        <x:v>C3–C10新总量</x:v>
      </x:c>
      <x:c r="D5" s="19" t="str">
        <x:v>合成装备</x:v>
      </x:c>
      <x:c r="E5" s="19" t="str">
        <x:v>C1修改格数</x:v>
      </x:c>
      <x:c r="F5" s="19" t="str">
        <x:v>GitHub写入</x:v>
      </x:c>
    </x:row>
    <x:row r="6" ht="40" customHeight="1">
      <x:c r="A6" s="26" t="n">
        <x:v>464</x:v>
      </x:c>
      <x:c r="B6" s="26" t="n">
        <x:v>56</x:v>
      </x:c>
      <x:c r="C6" s="26" t="n">
        <x:f>A6+B6</x:f>
        <x:v>520</x:v>
      </x:c>
      <x:c r="D6" s="26" t="n">
        <x:v>38</x:v>
      </x:c>
      <x:c r="E6" s="26" t="n">
        <x:v>6</x:v>
      </x:c>
      <x:c r="F6" s="26" t="str">
        <x:v>未写入</x:v>
      </x:c>
    </x:row>
    <x:row r="9">
      <x:c r="A9" s="19" t="str">
        <x:v>先看什么</x:v>
      </x:c>
      <x:c r="B9" s="19" t="str">
        <x:v>本轮决定</x:v>
      </x:c>
      <x:c r="C9" s="19" t="str">
        <x:v>不是哪种结论</x:v>
      </x:c>
      <x:c r="D9" s="19" t="str">
        <x:v>去哪里核对</x:v>
      </x:c>
    </x:row>
    <x:row r="10" ht="54" customHeight="1">
      <x:c r="A10" s="34" t="str">
        <x:v>跨大陆保值</x:v>
      </x:c>
      <x:c r="B10" s="34" t="str">
        <x:v>BOSS≈下大陆2—3图稀有≈隔一大陆首图普通；稀有功能另有价值</x:v>
      </x:c>
      <x:c r="C10" s="34" t="str">
        <x:v>不是后一件每个词条都更高</x:v>
      </x:c>
      <x:c r="D10" s="34" t="str">
        <x:v>02_跨大陆标尺</x:v>
      </x:c>
    </x:row>
    <x:row r="11" ht="54" customHeight="1">
      <x:c r="A11" s="34" t="str">
        <x:v>合成价值</x:v>
      </x:c>
      <x:c r="B11" s="34" t="str">
        <x:v>攻击约1.5倍；同槽常规输出边际贡献约2.3倍</x:v>
      </x:c>
      <x:c r="C11" s="34" t="str">
        <x:v>不是角色总DPS直接乘2—3</x:v>
      </x:c>
      <x:c r="D11" s="34" t="str">
        <x:v>06_合成边际比较</x:v>
      </x:c>
    </x:row>
    <x:row r="12" ht="54" customHeight="1">
      <x:c r="A12" s="34" t="str">
        <x:v>攻速预算</x:v>
      </x:c>
      <x:c r="B12" s="34" t="str">
        <x:v>命格5＋装备最优常用槽5＋五个独立称号5，计划S_eff35</x:v>
      </x:c>
      <x:c r="C12" s="34" t="str">
        <x:v>命格/称号补丁尚未进引擎；不把20点旧预算当硬封顶</x:v>
      </x:c>
      <x:c r="D12" s="34" t="str">
        <x:v>04_攻速预算与来源</x:v>
      </x:c>
    </x:row>
    <x:row r="13" ht="54" customHeight="1">
      <x:c r="A13" s="34" t="str">
        <x:v>吸收预算</x:v>
      </x:c>
      <x:c r="B13" s="34" t="str">
        <x:v>单件上限1—3；C5防御样例无洗练有效70</x:v>
      </x:c>
      <x:c r="C13" s="34" t="str">
        <x:v>不是任一件装备+10；不是加上限就自动有减伤</x:v>
      </x:c>
      <x:c r="D13" s="34" t="str">
        <x:v>05_吸收预算与来源</x:v>
      </x:c>
    </x:row>
    <x:row r="14" ht="54" customHeight="1">
      <x:c r="A14" s="34" t="str">
        <x:v>槽位</x:v>
      </x:c>
      <x:c r="B14" s="34" t="str">
        <x:v>原464保留；新增时装武器/衣/首饰/时装生肖56候选</x:v>
      </x:c>
      <x:c r="C14" s="34" t="str">
        <x:v>不是直接挪用原普通装备的资源码</x:v>
      </x:c>
      <x:c r="D14" s="34" t="str">
        <x:v>03_补充来源与部位</x:v>
      </x:c>
    </x:row>
    <x:row r="15" ht="54" customHeight="1">
      <x:c r="A15" s="35" t="str">
        <x:v>后续依赖</x:v>
      </x:c>
      <x:c r="B15" s="35" t="str">
        <x:v>旧40人物、图鉴、回收/失色与掉率必须换新输入再算</x:v>
      </x:c>
      <x:c r="C15" s="35" t="str">
        <x:v>旧统计不再代表新装备；本轮不冒充全闭环</x:v>
      </x:c>
      <x:c r="D15" s="35" t="str">
        <x:v>09_依赖与部署状态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5" hidden="0" customWidth="1"/>
    <x:col min="4" max="4" width="16" hidden="0" customWidth="1"/>
    <x:col min="5" max="5" width="48" hidden="0" customWidth="1"/>
    <x:col min="6" max="6" width="24" hidden="0" customWidth="1"/>
  </x:cols>
  <x:sheetData>
    <x:row r="1" ht="30" customHeight="1">
      <x:c r="A1" s="4" t="str">
        <x:v>新规则如何改变旧方案</x:v>
      </x:c>
      <x:c r="B1" s="4"/>
      <x:c r="C1" s="4"/>
      <x:c r="D1" s="4"/>
      <x:c r="E1" s="4"/>
      <x:c r="F1" s="4"/>
    </x:row>
    <x:row r="2" ht="42" customHeight="1">
      <x:c r="A2" s="11" t="str">
        <x:v>依据以用户《装备规则.txt》为主；‘本轮编排/模型’是助手在授权范围内给出的设计，不是伪称原文件已写出的数值。</x:v>
      </x:c>
      <x:c r="B2" s="11"/>
      <x:c r="C2" s="11"/>
      <x:c r="D2" s="11"/>
      <x:c r="E2" s="11"/>
      <x:c r="F2" s="11"/>
    </x:row>
    <x:row r="4" ht="34" customHeight="1">
      <x:c r="A4" s="19" t="str">
        <x:v>ID</x:v>
      </x:c>
      <x:c r="B4" s="19" t="str">
        <x:v>旧口径</x:v>
      </x:c>
      <x:c r="C4" s="19" t="str">
        <x:v>现行口径</x:v>
      </x:c>
      <x:c r="D4" s="19" t="str">
        <x:v>规则行</x:v>
      </x:c>
      <x:c r="E4" s="19" t="str">
        <x:v>本轮落实</x:v>
      </x:c>
      <x:c r="F4" s="19" t="str">
        <x:v>性质</x:v>
      </x:c>
    </x:row>
    <x:row r="5" ht="42" customHeight="1">
      <x:c r="A5" s="34" t="str">
        <x:v>R01</x:v>
      </x:c>
      <x:c r="B5" s="34" t="str">
        <x:v>精确一怪一件</x:v>
      </x:c>
      <x:c r="C5" s="34" t="str">
        <x:v>可一怪多件，但自身定向候选不重复部位</x:v>
      </x:c>
      <x:c r="D5" s="34" t="str">
        <x:v>L2–L3,L27</x:v>
      </x:c>
      <x:c r="E5" s="34" t="str">
        <x:v>保留464主件，新增56不同槽候选</x:v>
      </x:c>
      <x:c r="F5" s="34" t="str">
        <x:v>本轮编排</x:v>
      </x:c>
    </x:row>
    <x:row r="6" ht="42" customHeight="1">
      <x:c r="A6" s="34" t="str">
        <x:v>R02</x:v>
      </x:c>
      <x:c r="B6" s="34" t="str">
        <x:v>只许11类普通槽</x:v>
      </x:c>
      <x:c r="C6" s="34" t="str">
        <x:v>允许时装武器/衣/首饰和时装生肖</x:v>
      </x:c>
      <x:c r="D6" s="34" t="str">
        <x:v>L24</x:v>
      </x:c>
      <x:c r="E6" s="34" t="str">
        <x:v>新增56件独立候选，原件不改部位或编号</x:v>
      </x:c>
      <x:c r="F6" s="34" t="str">
        <x:v>用户确认＋本轮分配</x:v>
      </x:c>
    </x:row>
    <x:row r="7" ht="42" customHeight="1">
      <x:c r="A7" s="34" t="str">
        <x:v>R03</x:v>
      </x:c>
      <x:c r="B7" s="34" t="str">
        <x:v>时装武器强制普通攻速</x:v>
      </x:c>
      <x:c r="C7" s="34" t="str">
        <x:v>主手武器与时装武器分开</x:v>
      </x:c>
      <x:c r="D7" s="34" t="str">
        <x:v>L7–L9</x:v>
      </x:c>
      <x:c r="E7" s="34" t="str">
        <x:v>只补沉没王权；潮葬礼剑普通攻速仍空，仅补突破1</x:v>
      </x:c>
      <x:c r="F7" s="34" t="str">
        <x:v>用户确认</x:v>
      </x:c>
    </x:row>
    <x:row r="8" ht="42" customHeight="1">
      <x:c r="A8" s="34" t="str">
        <x:v>R04</x:v>
      </x:c>
      <x:c r="B8" s="34" t="str">
        <x:v>第五大陆才给普通专属致命伤害</x:v>
      </x:c>
      <x:c r="C8" s="34" t="str">
        <x:v>第三大陆起即可少量出现</x:v>
      </x:c>
      <x:c r="D8" s="34" t="str">
        <x:v>L11–L12</x:v>
      </x:c>
      <x:c r="E8" s="34" t="str">
        <x:v>C3起普通专属稀疏投放致命伤害，不放大量致命几率</x:v>
      </x:c>
      <x:c r="F8" s="34" t="str">
        <x:v>用户确认</x:v>
      </x:c>
    </x:row>
    <x:row r="9" ht="42" customHeight="1">
      <x:c r="A9" s="34" t="str">
        <x:v>R05</x:v>
      </x:c>
      <x:c r="B9" s="34" t="str">
        <x:v>单件吸收上限5/8/10</x:v>
      </x:c>
      <x:c r="C9" s="34" t="str">
        <x:v>高质量衣服/盾牌每件1—3</x:v>
      </x:c>
      <x:c r="D9" s="34" t="str">
        <x:v>L14</x:v>
      </x:c>
      <x:c r="E9" s="34" t="str">
        <x:v>C1四件降上限；后续单件均≤3；C5全源例70</x:v>
      </x:c>
      <x:c r="F9" s="34" t="str">
        <x:v>用户确认</x:v>
      </x:c>
    </x:row>
    <x:row r="10" ht="42" customHeight="1">
      <x:c r="A10" s="34" t="str">
        <x:v>R06</x:v>
      </x:c>
      <x:c r="B10" s="34" t="str">
        <x:v>约20突破留额</x:v>
      </x:c>
      <x:c r="C10" s="34" t="str">
        <x:v>命格约5；装备/稀有称号陆续达35有效攻速</x:v>
      </x:c>
      <x:c r="D10" s="34" t="str">
        <x:v>L10</x:v>
      </x:c>
      <x:c r="E10" s="34" t="str">
        <x:v>确定已有命格与5称号配套，逐槽防重复</x:v>
      </x:c>
      <x:c r="F10" s="34" t="str">
        <x:v>用户方向＋本轮来源</x:v>
      </x:c>
    </x:row>
    <x:row r="11" ht="42" customHeight="1">
      <x:c r="A11" s="34" t="str">
        <x:v>R07</x:v>
      </x:c>
      <x:c r="B11" s="34" t="str">
        <x:v>合成按阶段底板1.6倍</x:v>
      </x:c>
      <x:c r="C11" s="34" t="str">
        <x:v>对应BOSS面板攻击约1.5倍；单件贡献2—3倍</x:v>
      </x:c>
      <x:c r="D11" s="34" t="str">
        <x:v>L4</x:v>
      </x:c>
      <x:c r="E11" s="34" t="str">
        <x:v>33件属性型合成逐件检验；5群攻等级按效果替换</x:v>
      </x:c>
      <x:c r="F11" s="34" t="str">
        <x:v>用户确认＋本轮模型</x:v>
      </x:c>
    </x:row>
    <x:row r="12" ht="42" customHeight="1">
      <x:c r="A12" s="34" t="str">
        <x:v>R08</x:v>
      </x:c>
      <x:c r="B12" s="34" t="str">
        <x:v>任意递增大攻击</x:v>
      </x:c>
      <x:c r="C12" s="34" t="str">
        <x:v>压基础、放乘区，常见武器约半数走高攻击加成</x:v>
      </x:c>
      <x:c r="D12" s="34" t="str">
        <x:v>L16,L26</x:v>
      </x:c>
      <x:c r="E12" s="34" t="str">
        <x:v>79主手中40件高加成，39件高基础/均衡</x:v>
      </x:c>
      <x:c r="F12" s="34" t="str">
        <x:v>本轮按‘一半’字面规划</x:v>
      </x:c>
    </x:row>
    <x:row r="13" ht="42" customHeight="1">
      <x:c r="A13" s="34" t="str">
        <x:v>R09</x:v>
      </x:c>
      <x:c r="B13" s="34" t="str">
        <x:v>把全部同部位高阶值强制提高</x:v>
      </x:c>
      <x:c r="C13" s="34" t="str">
        <x:v>跨大陆约等价且BOSS稀有词条保值</x:v>
      </x:c>
      <x:c r="D13" s="34" t="str">
        <x:v>L4–L5</x:v>
      </x:c>
      <x:c r="E13" s="34" t="str">
        <x:v>使用统一面板标尺与多路线，不把旧BOSS立刻清零</x:v>
      </x:c>
      <x:c r="F13" s="34" t="str">
        <x:v>用户确认</x:v>
      </x:c>
    </x:row>
    <x:row r="14" ht="42" customHeight="1">
      <x:c r="A14" s="34" t="str">
        <x:v>R10</x:v>
      </x:c>
      <x:c r="B14" s="34" t="str">
        <x:v>幸运随项链换装清零</x:v>
      </x:c>
      <x:c r="C14" s="34" t="str">
        <x:v>人物幸运8永久；武器7成本忽略</x:v>
      </x:c>
      <x:c r="D14" s="34" t="str">
        <x:v>L20–L22</x:v>
      </x:c>
      <x:c r="E14" s="34" t="str">
        <x:v>本轮继续继承，未把幸运写入新装备本体</x:v>
      </x:c>
      <x:c r="F14" s="34" t="str">
        <x:v>用户确认</x:v>
      </x:c>
    </x:row>
    <x:row r="15" ht="42" customHeight="1">
      <x:c r="A15" s="34" t="str">
        <x:v>R11</x:v>
      </x:c>
      <x:c r="B15" s="34" t="str">
        <x:v>合成/装备有空位就随便占</x:v>
      </x:c>
      <x:c r="C15" s="34" t="str">
        <x:v>同槽互斥，追梦六槽不扩成九槽</x:v>
      </x:c>
      <x:c r="D15" s="34" t="str">
        <x:v>L23–L25</x:v>
      </x:c>
      <x:c r="E15" s="34" t="str">
        <x:v>新增时装生肖用对应80–91逻辑槽，不混普通生肖</x:v>
      </x:c>
      <x:c r="F15" s="34" t="str">
        <x:v>用户确认</x:v>
      </x:c>
    </x:row>
    <x:row r="16" ht="42" customHeight="1">
      <x:c r="A16" s="34" t="str">
        <x:v>R12</x:v>
      </x:c>
      <x:c r="B16" s="34" t="str">
        <x:v>第一大陆也放追梦</x:v>
      </x:c>
      <x:c r="C16" s="34" t="str">
        <x:v>追梦仅C2–C10所有怪极低概率；大陆点亮物仅本大陆</x:v>
      </x:c>
      <x:c r="D16" s="34" t="str">
        <x:v>L23</x:v>
      </x:c>
      <x:c r="E16" s="34" t="str">
        <x:v>本轮只登记边界，不生成最终TXT</x:v>
      </x:c>
      <x:c r="F16" s="34" t="str">
        <x:v>用户确认</x:v>
      </x:c>
    </x:row>
    <x:row r="17" ht="42" customHeight="1">
      <x:c r="A17" s="34" t="str">
        <x:v>R13</x:v>
      </x:c>
      <x:c r="B17" s="34" t="str">
        <x:v>继续使用旧40人强度</x:v>
      </x:c>
      <x:c r="C17" s="34" t="str">
        <x:v>新装备/槽位改变全身贡献</x:v>
      </x:c>
      <x:c r="D17" s="34" t="str">
        <x:v>L26</x:v>
      </x:c>
      <x:c r="E17" s="34" t="str">
        <x:v>旧40面板列为需重算，不作为本批已经验算的结果</x:v>
      </x:c>
      <x:c r="F17" s="34" t="str">
        <x:v>本轮工程依赖</x:v>
      </x:c>
    </x:row>
    <x:row r="18" ht="42" customHeight="1">
      <x:c r="A18" s="35" t="str">
        <x:v>R14</x:v>
      </x:c>
      <x:c r="B18" s="35" t="str">
        <x:v>需要再放大一次金币/失色</x:v>
      </x:c>
      <x:c r="C18" s="35" t="str">
        <x:v>已有金币×100、失色×10是既成尺度</x:v>
      </x:c>
      <x:c r="D18" s="35" t="str">
        <x:v>L28</x:v>
      </x:c>
      <x:c r="E18" s="35" t="str">
        <x:v>本轮不动经济金额；新56回收候选直接写放大后数量</x:v>
      </x:c>
      <x:c r="F18" s="35" t="str">
        <x:v>用户确认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40" hidden="0" customWidth="1"/>
  </x:cols>
  <x:sheetData>
    <x:row r="1" ht="30" customHeight="1">
      <x:c r="A1" s="4" t="str">
        <x:v>跨大陆面板接棒标尺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比较的是同部位/同路线的基础攻击刻度，不把不同槽位原始点数混比。C1=600为用户参照；其余是本轮设计，约等于关系允许路线差异。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19" t="str">
        <x:v>大陆</x:v>
      </x:c>
      <x:c r="B4" s="19" t="str">
        <x:v>名称</x:v>
      </x:c>
      <x:c r="C4" s="19" t="str">
        <x:v>本大陆BOSS主手标尺</x:v>
      </x:c>
      <x:c r="D4" s="19" t="str">
        <x:v>下一大陆图2稀有参照</x:v>
      </x:c>
      <x:c r="E4" s="19" t="str">
        <x:v>下一大陆图3稀有参照</x:v>
      </x:c>
      <x:c r="F4" s="19" t="str">
        <x:v>隔一大陆首图普通参照</x:v>
      </x:c>
      <x:c r="G4" s="19" t="str">
        <x:v>旧表本大陆主手最大</x:v>
      </x:c>
      <x:c r="H4" s="19" t="str">
        <x:v>新表本大陆主手最大</x:v>
      </x:c>
      <x:c r="I4" s="19" t="str">
        <x:v>状态</x:v>
      </x:c>
    </x:row>
    <x:row r="5" ht="42" customHeight="1">
      <x:c r="A5" s="34" t="str">
        <x:v>C01</x:v>
      </x:c>
      <x:c r="B5" s="34" t="str">
        <x:v>漂流群岛</x:v>
      </x:c>
      <x:c r="C5" s="34" t="n">
        <x:v>600</x:v>
      </x:c>
      <x:c r="D5" s="34" t="n">
        <x:v>585</x:v>
      </x:c>
      <x:c r="E5" s="34" t="n">
        <x:v>630</x:v>
      </x:c>
      <x:c r="F5" s="34" t="n">
        <x:v>600</x:v>
      </x:c>
      <x:c r="G5" s="34"/>
      <x:c r="H5" s="34"/>
      <x:c r="I5" s="34" t="str">
        <x:v>C1真实600；C2桥接刻度待装备重排</x:v>
      </x:c>
    </x:row>
    <x:row r="6" ht="42" customHeight="1">
      <x:c r="A6" s="34" t="str">
        <x:v>C02</x:v>
      </x:c>
      <x:c r="B6" s="34" t="str">
        <x:v>宁姆格福</x:v>
      </x:c>
      <x:c r="C6" s="34" t="n">
        <x:v>800</x:v>
      </x:c>
      <x:c r="D6" s="34" t="n">
        <x:v>780</x:v>
      </x:c>
      <x:c r="E6" s="34" t="n">
        <x:v>840</x:v>
      </x:c>
      <x:c r="F6" s="34" t="n">
        <x:v>800</x:v>
      </x:c>
      <x:c r="G6" s="34"/>
      <x:c r="H6" s="34"/>
      <x:c r="I6" s="34" t="str">
        <x:v>C1真实600；C2桥接刻度待装备重排</x:v>
      </x:c>
    </x:row>
    <x:row r="7" ht="42" customHeight="1">
      <x:c r="A7" s="34" t="str">
        <x:v>C03</x:v>
      </x:c>
      <x:c r="B7" s="34" t="str">
        <x:v>宁姆格福西域</x:v>
      </x:c>
      <x:c r="C7" s="34" t="n">
        <x:v>1100</x:v>
      </x:c>
      <x:c r="D7" s="34" t="n">
        <x:v>1072.5</x:v>
      </x:c>
      <x:c r="E7" s="34" t="n">
        <x:v>1155</x:v>
      </x:c>
      <x:c r="F7" s="34" t="n">
        <x:v>1100</x:v>
      </x:c>
      <x:c r="G7" s="34" t="n">
        <x:v>1500</x:v>
      </x:c>
      <x:c r="H7" s="34" t="n">
        <x:v>1130</x:v>
      </x:c>
      <x:c r="I7" s="34" t="str">
        <x:v>本轮464已按标尺填表；实际数值有路线浮动</x:v>
      </x:c>
    </x:row>
    <x:row r="8" ht="42" customHeight="1">
      <x:c r="A8" s="34" t="str">
        <x:v>C04</x:v>
      </x:c>
      <x:c r="B8" s="34" t="str">
        <x:v>利耶尼亚海域</x:v>
      </x:c>
      <x:c r="C8" s="34" t="n">
        <x:v>1450</x:v>
      </x:c>
      <x:c r="D8" s="34" t="n">
        <x:v>1413.75</x:v>
      </x:c>
      <x:c r="E8" s="34" t="n">
        <x:v>1522.5</x:v>
      </x:c>
      <x:c r="F8" s="34" t="n">
        <x:v>1450</x:v>
      </x:c>
      <x:c r="G8" s="34" t="n">
        <x:v>2800</x:v>
      </x:c>
      <x:c r="H8" s="34" t="n">
        <x:v>1550</x:v>
      </x:c>
      <x:c r="I8" s="34" t="str">
        <x:v>本轮464已按标尺填表；实际数值有路线浮动</x:v>
      </x:c>
    </x:row>
    <x:row r="9" ht="42" customHeight="1">
      <x:c r="A9" s="34" t="str">
        <x:v>C05</x:v>
      </x:c>
      <x:c r="B9" s="34" t="str">
        <x:v>湖之利耶尼亚</x:v>
      </x:c>
      <x:c r="C9" s="34" t="n">
        <x:v>1900</x:v>
      </x:c>
      <x:c r="D9" s="34" t="n">
        <x:v>1852.5</x:v>
      </x:c>
      <x:c r="E9" s="34" t="n">
        <x:v>1995</x:v>
      </x:c>
      <x:c r="F9" s="34" t="n">
        <x:v>1900</x:v>
      </x:c>
      <x:c r="G9" s="34" t="n">
        <x:v>5000</x:v>
      </x:c>
      <x:c r="H9" s="34" t="n">
        <x:v>1950</x:v>
      </x:c>
      <x:c r="I9" s="34" t="str">
        <x:v>本轮464已按标尺填表；实际数值有路线浮动</x:v>
      </x:c>
    </x:row>
    <x:row r="10" ht="42" customHeight="1">
      <x:c r="A10" s="34" t="str">
        <x:v>C06</x:v>
      </x:c>
      <x:c r="B10" s="34" t="str">
        <x:v>盖利德</x:v>
      </x:c>
      <x:c r="C10" s="34" t="n">
        <x:v>2550</x:v>
      </x:c>
      <x:c r="D10" s="34" t="n">
        <x:v>2486.25</x:v>
      </x:c>
      <x:c r="E10" s="34" t="n">
        <x:v>2677.5</x:v>
      </x:c>
      <x:c r="F10" s="34" t="n">
        <x:v>2550</x:v>
      </x:c>
      <x:c r="G10" s="34" t="n">
        <x:v>8800</x:v>
      </x:c>
      <x:c r="H10" s="34" t="n">
        <x:v>2700</x:v>
      </x:c>
      <x:c r="I10" s="34" t="str">
        <x:v>本轮464已按标尺填表；实际数值有路线浮动</x:v>
      </x:c>
    </x:row>
    <x:row r="11" ht="42" customHeight="1">
      <x:c r="A11" s="34" t="str">
        <x:v>C07</x:v>
      </x:c>
      <x:c r="B11" s="34" t="str">
        <x:v>化圣雪原</x:v>
      </x:c>
      <x:c r="C11" s="34" t="n">
        <x:v>3400</x:v>
      </x:c>
      <x:c r="D11" s="34" t="n">
        <x:v>3315</x:v>
      </x:c>
      <x:c r="E11" s="34" t="n">
        <x:v>3570</x:v>
      </x:c>
      <x:c r="F11" s="34" t="n">
        <x:v>3400</x:v>
      </x:c>
      <x:c r="G11" s="34" t="n">
        <x:v>15000</x:v>
      </x:c>
      <x:c r="H11" s="34" t="n">
        <x:v>3100</x:v>
      </x:c>
      <x:c r="I11" s="34" t="str">
        <x:v>本轮464已按标尺填表；实际数值有路线浮动</x:v>
      </x:c>
    </x:row>
    <x:row r="12" ht="42" customHeight="1">
      <x:c r="A12" s="34" t="str">
        <x:v>C08</x:v>
      </x:c>
      <x:c r="B12" s="34" t="str">
        <x:v>巨人山顶</x:v>
      </x:c>
      <x:c r="C12" s="34" t="n">
        <x:v>4500</x:v>
      </x:c>
      <x:c r="D12" s="34" t="n">
        <x:v>4387.5</x:v>
      </x:c>
      <x:c r="E12" s="34" t="n">
        <x:v>4725</x:v>
      </x:c>
      <x:c r="F12" s="34" t="n">
        <x:v>4500</x:v>
      </x:c>
      <x:c r="G12" s="34" t="n">
        <x:v>28000</x:v>
      </x:c>
      <x:c r="H12" s="34" t="n">
        <x:v>4750</x:v>
      </x:c>
      <x:c r="I12" s="34" t="str">
        <x:v>本轮464已按标尺填表；实际数值有路线浮动</x:v>
      </x:c>
    </x:row>
    <x:row r="13" ht="42" customHeight="1">
      <x:c r="A13" s="34" t="str">
        <x:v>C09</x:v>
      </x:c>
      <x:c r="B13" s="34" t="str">
        <x:v>亚坛高原</x:v>
      </x:c>
      <x:c r="C13" s="34" t="n">
        <x:v>6000</x:v>
      </x:c>
      <x:c r="D13" s="34" t="n">
        <x:v>5850</x:v>
      </x:c>
      <x:c r="E13" s="34" t="n">
        <x:v>6300</x:v>
      </x:c>
      <x:c r="F13" s="34"/>
      <x:c r="G13" s="34" t="n">
        <x:v>50000</x:v>
      </x:c>
      <x:c r="H13" s="34" t="n">
        <x:v>6200</x:v>
      </x:c>
      <x:c r="I13" s="34" t="str">
        <x:v>本轮464已按标尺填表；实际数值有路线浮动</x:v>
      </x:c>
    </x:row>
    <x:row r="14" ht="42" customHeight="1">
      <x:c r="A14" s="35" t="str">
        <x:v>C10</x:v>
      </x:c>
      <x:c r="B14" s="35" t="str">
        <x:v>王城罗德尔</x:v>
      </x:c>
      <x:c r="C14" s="35" t="n">
        <x:v>8000</x:v>
      </x:c>
      <x:c r="D14" s="35"/>
      <x:c r="E14" s="35"/>
      <x:c r="F14" s="35"/>
      <x:c r="G14" s="35" t="n">
        <x:v>88000</x:v>
      </x:c>
      <x:c r="H14" s="35" t="n">
        <x:v>7800</x:v>
      </x:c>
      <x:c r="I14" s="35" t="str">
        <x:v>本轮464已按标尺填表；实际数值有路线浮动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22" hidden="0" customWidth="1"/>
    <x:col min="4" max="4" width="26" hidden="0" customWidth="1"/>
    <x:col min="5" max="5" width="26" hidden="0" customWidth="1"/>
    <x:col min="6" max="6" width="22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扩展槽位但不破坏原464身份</x:v>
      </x:c>
      <x:c r="B1" s="4"/>
      <x:c r="C1" s="4"/>
      <x:c r="D1" s="4"/>
      <x:c r="E1" s="4"/>
      <x:c r="F1" s="4"/>
      <x:c r="G1" s="4"/>
      <x:c r="H1" s="4"/>
    </x:row>
    <x:row r="2" ht="42" customHeight="1">
      <x:c r="A2" s="11" t="str">
        <x:v>56是本轮建议的具体编排，不是用户硬性要求的数量。每大陆7候选：时装武器、时装衣、四类时装首饰及一件时装生肖。无新增怪物。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19" t="str">
        <x:v>补充装备</x:v>
      </x:c>
      <x:c r="B4" s="19" t="str">
        <x:v>大陆</x:v>
      </x:c>
      <x:c r="C4" s="19" t="str">
        <x:v>地图</x:v>
      </x:c>
      <x:c r="D4" s="19" t="str">
        <x:v>来源BOSS</x:v>
      </x:c>
      <x:c r="E4" s="19" t="str">
        <x:v>原定向装备</x:v>
      </x:c>
      <x:c r="F4" s="19" t="str">
        <x:v>补充部位</x:v>
      </x:c>
      <x:c r="G4" s="19" t="str">
        <x:v>资源状态</x:v>
      </x:c>
      <x:c r="H4" s="19" t="str">
        <x:v>原怪物ID</x:v>
      </x:c>
    </x:row>
    <x:row r="5" ht="42" customHeight="1">
      <x:c r="A5" s="34" t="str">
        <x:v>征风仪刃</x:v>
      </x:c>
      <x:c r="B5" s="34" t="str">
        <x:v>C03</x:v>
      </x:c>
      <x:c r="C5" s="34" t="str">
        <x:v>黄金树哨垒</x:v>
      </x:c>
      <x:c r="D5" s="34" t="str">
        <x:v>西境征服者·戈德里安</x:v>
      </x:c>
      <x:c r="E5" s="34" t="str">
        <x:v>西境征服冠</x:v>
      </x:c>
      <x:c r="F5" s="34" t="str">
        <x:v>时装武器</x:v>
      </x:c>
      <x:c r="G5" s="34" t="str">
        <x:v>外观编号待核</x:v>
      </x:c>
      <x:c r="H5" s="34" t="str">
        <x:v>C03-M073</x:v>
      </x:c>
    </x:row>
    <x:row r="6" ht="42" customHeight="1">
      <x:c r="A6" s="34" t="str">
        <x:v>失旗王袍</x:v>
      </x:c>
      <x:c r="B6" s="34" t="str">
        <x:v>C03</x:v>
      </x:c>
      <x:c r="C6" s="34" t="str">
        <x:v>黄金树哨垒</x:v>
      </x:c>
      <x:c r="D6" s="34" t="str">
        <x:v>西境征服者·戈德里安</x:v>
      </x:c>
      <x:c r="E6" s="34" t="str">
        <x:v>西境征服冠</x:v>
      </x:c>
      <x:c r="F6" s="34" t="str">
        <x:v>时装衣服</x:v>
      </x:c>
      <x:c r="G6" s="34" t="str">
        <x:v>外观编号待核</x:v>
      </x:c>
      <x:c r="H6" s="34" t="str">
        <x:v>C03-M073</x:v>
      </x:c>
    </x:row>
    <x:row r="7" ht="42" customHeight="1">
      <x:c r="A7" s="34" t="str">
        <x:v>荒原誓冠</x:v>
      </x:c>
      <x:c r="B7" s="34" t="str">
        <x:v>C03</x:v>
      </x:c>
      <x:c r="C7" s="34" t="str">
        <x:v>西境荒原</x:v>
      </x:c>
      <x:c r="D7" s="34" t="str">
        <x:v>荒原巨犀·莫赫</x:v>
      </x:c>
      <x:c r="E7" s="34" t="str">
        <x:v>巨犀荒铠</x:v>
      </x:c>
      <x:c r="F7" s="34" t="str">
        <x:v>时装头盔</x:v>
      </x:c>
      <x:c r="G7" s="34" t="str">
        <x:v>外观编号待核</x:v>
      </x:c>
      <x:c r="H7" s="34" t="str">
        <x:v>C03-M012</x:v>
      </x:c>
    </x:row>
    <x:row r="8" ht="42" customHeight="1">
      <x:c r="A8" s="34" t="str">
        <x:v>断途风铃</x:v>
      </x:c>
      <x:c r="B8" s="34" t="str">
        <x:v>C03</x:v>
      </x:c>
      <x:c r="C8" s="34" t="str">
        <x:v>海风断崖</x:v>
      </x:c>
      <x:c r="D8" s="34" t="str">
        <x:v>啸海古翼·塞洛</x:v>
      </x:c>
      <x:c r="E8" s="34" t="str">
        <x:v>啸海翼铠</x:v>
      </x:c>
      <x:c r="F8" s="34" t="str">
        <x:v>时装项链</x:v>
      </x:c>
      <x:c r="G8" s="34" t="str">
        <x:v>外观编号待核</x:v>
      </x:c>
      <x:c r="H8" s="34" t="str">
        <x:v>C03-M024</x:v>
      </x:c>
    </x:row>
    <x:row r="9" ht="42" customHeight="1">
      <x:c r="A9" s="34" t="str">
        <x:v>古垒余烬腕</x:v>
      </x:c>
      <x:c r="B9" s="34" t="str">
        <x:v>C03</x:v>
      </x:c>
      <x:c r="C9" s="34" t="str">
        <x:v>失落驿道</x:v>
      </x:c>
      <x:c r="D9" s="34" t="str">
        <x:v>赤篷巨像·马尔</x:v>
      </x:c>
      <x:c r="E9" s="34" t="str">
        <x:v>赤篷铁衣</x:v>
      </x:c>
      <x:c r="F9" s="34" t="str">
        <x:v>时装手镯</x:v>
      </x:c>
      <x:c r="G9" s="34" t="str">
        <x:v>外观编号待核</x:v>
      </x:c>
      <x:c r="H9" s="34" t="str">
        <x:v>C03-M036</x:v>
      </x:c>
    </x:row>
    <x:row r="10" ht="42" customHeight="1">
      <x:c r="A10" s="34" t="str">
        <x:v>哨光誓戒</x:v>
      </x:c>
      <x:c r="B10" s="34" t="str">
        <x:v>C03</x:v>
      </x:c>
      <x:c r="C10" s="34" t="str">
        <x:v>黄金树哨垒</x:v>
      </x:c>
      <x:c r="D10" s="34" t="str">
        <x:v>金叶统帅·艾德</x:v>
      </x:c>
      <x:c r="E10" s="34" t="str">
        <x:v>艾德统帅剑</x:v>
      </x:c>
      <x:c r="F10" s="34" t="str">
        <x:v>时装戒指</x:v>
      </x:c>
      <x:c r="G10" s="34" t="str">
        <x:v>外观编号待核</x:v>
      </x:c>
      <x:c r="H10" s="34" t="str">
        <x:v>C03-M071</x:v>
      </x:c>
    </x:row>
    <x:row r="11" ht="42" customHeight="1">
      <x:c r="A11" s="34" t="str">
        <x:v>追风辰鳞</x:v>
      </x:c>
      <x:c r="B11" s="34" t="str">
        <x:v>C03</x:v>
      </x:c>
      <x:c r="C11" s="34" t="str">
        <x:v>黄金树哨垒</x:v>
      </x:c>
      <x:c r="D11" s="34" t="str">
        <x:v>黄金树化身·洛恩</x:v>
      </x:c>
      <x:c r="E11" s="34" t="str">
        <x:v>洛恩树心甲</x:v>
      </x:c>
      <x:c r="F11" s="34" t="str">
        <x:v>时装生肖5</x:v>
      </x:c>
      <x:c r="G11" s="34" t="str">
        <x:v>外观编号待核</x:v>
      </x:c>
      <x:c r="H11" s="34" t="str">
        <x:v>C03-M072</x:v>
      </x:c>
    </x:row>
    <x:row r="12" ht="42" customHeight="1">
      <x:c r="A12" s="34" t="str">
        <x:v>封潮祭刃</x:v>
      </x:c>
      <x:c r="B12" s="34" t="str">
        <x:v>C04</x:v>
      </x:c>
      <x:c r="C12" s="34" t="str">
        <x:v>湖底密道</x:v>
      </x:c>
      <x:c r="D12" s="34" t="str">
        <x:v>闭潮王·莱弥恩</x:v>
      </x:c>
      <x:c r="E12" s="34" t="str">
        <x:v>莱弥恩的封湖巨剑</x:v>
      </x:c>
      <x:c r="F12" s="34" t="str">
        <x:v>时装武器</x:v>
      </x:c>
      <x:c r="G12" s="34" t="str">
        <x:v>外观编号待核</x:v>
      </x:c>
      <x:c r="H12" s="34" t="str">
        <x:v>C04-M073</x:v>
      </x:c>
    </x:row>
    <x:row r="13" ht="42" customHeight="1">
      <x:c r="A13" s="34" t="str">
        <x:v>沉月纱衣</x:v>
      </x:c>
      <x:c r="B13" s="34" t="str">
        <x:v>C04</x:v>
      </x:c>
      <x:c r="C13" s="34" t="str">
        <x:v>湖底密道</x:v>
      </x:c>
      <x:c r="D13" s="34" t="str">
        <x:v>闭潮王·莱弥恩</x:v>
      </x:c>
      <x:c r="E13" s="34" t="str">
        <x:v>莱弥恩的封湖巨剑</x:v>
      </x:c>
      <x:c r="F13" s="34" t="str">
        <x:v>时装衣服</x:v>
      </x:c>
      <x:c r="G13" s="34" t="str">
        <x:v>外观编号待核</x:v>
      </x:c>
      <x:c r="H13" s="34" t="str">
        <x:v>C04-M073</x:v>
      </x:c>
    </x:row>
    <x:row r="14" ht="42" customHeight="1">
      <x:c r="A14" s="34" t="str">
        <x:v>幽舵三重冠</x:v>
      </x:c>
      <x:c r="B14" s="34" t="str">
        <x:v>C04</x:v>
      </x:c>
      <x:c r="C14" s="34" t="str">
        <x:v>雾潮湿地</x:v>
      </x:c>
      <x:c r="D14" s="34" t="str">
        <x:v>沼冠腐龙·弥瑟</x:v>
      </x:c>
      <x:c r="E14" s="34" t="str">
        <x:v>弥瑟腐鳞衣</x:v>
      </x:c>
      <x:c r="F14" s="34" t="str">
        <x:v>时装头盔</x:v>
      </x:c>
      <x:c r="G14" s="34" t="str">
        <x:v>外观编号待核</x:v>
      </x:c>
      <x:c r="H14" s="34" t="str">
        <x:v>C04-M012</x:v>
      </x:c>
    </x:row>
    <x:row r="15" ht="42" customHeight="1">
      <x:c r="A15" s="34" t="str">
        <x:v>无声潮坠</x:v>
      </x:c>
      <x:c r="B15" s="34" t="str">
        <x:v>C04</x:v>
      </x:c>
      <x:c r="C15" s="34" t="str">
        <x:v>沉湖遗迹</x:v>
      </x:c>
      <x:c r="D15" s="34" t="str">
        <x:v>无声湖后·塞芙拉</x:v>
      </x:c>
      <x:c r="E15" s="34" t="str">
        <x:v>塞芙拉无声衣</x:v>
      </x:c>
      <x:c r="F15" s="34" t="str">
        <x:v>时装项链</x:v>
      </x:c>
      <x:c r="G15" s="34" t="str">
        <x:v>外观编号待核</x:v>
      </x:c>
      <x:c r="H15" s="34" t="str">
        <x:v>C04-M024</x:v>
      </x:c>
    </x:row>
    <x:row r="16" ht="42" customHeight="1">
      <x:c r="A16" s="34" t="str">
        <x:v>回流锁腕</x:v>
      </x:c>
      <x:c r="B16" s="34" t="str">
        <x:v>C04</x:v>
      </x:c>
      <x:c r="C16" s="34" t="str">
        <x:v>湖心沉船</x:v>
      </x:c>
      <x:c r="D16" s="34" t="str">
        <x:v>亡舟新娘·伊蕾莎</x:v>
      </x:c>
      <x:c r="E16" s="34" t="str">
        <x:v>伊蕾莎潮婚衣</x:v>
      </x:c>
      <x:c r="F16" s="34" t="str">
        <x:v>时装手镯</x:v>
      </x:c>
      <x:c r="G16" s="34" t="str">
        <x:v>外观编号待核</x:v>
      </x:c>
      <x:c r="H16" s="34" t="str">
        <x:v>C04-M036</x:v>
      </x:c>
    </x:row>
    <x:row r="17" ht="42" customHeight="1">
      <x:c r="A17" s="34" t="str">
        <x:v>雾镜月戒</x:v>
      </x:c>
      <x:c r="B17" s="34" t="str">
        <x:v>C04</x:v>
      </x:c>
      <x:c r="C17" s="34" t="str">
        <x:v>湖底密道</x:v>
      </x:c>
      <x:c r="D17" s="34" t="str">
        <x:v>沉渠守誓者·阿涅</x:v>
      </x:c>
      <x:c r="E17" s="34" t="str">
        <x:v>阿涅的誓渠枪</x:v>
      </x:c>
      <x:c r="F17" s="34" t="str">
        <x:v>时装戒指</x:v>
      </x:c>
      <x:c r="G17" s="34" t="str">
        <x:v>外观编号待核</x:v>
      </x:c>
      <x:c r="H17" s="34" t="str">
        <x:v>C04-M071</x:v>
      </x:c>
    </x:row>
    <x:row r="18" ht="42" customHeight="1">
      <x:c r="A18" s="34" t="str">
        <x:v>缠月灵蜕</x:v>
      </x:c>
      <x:c r="B18" s="34" t="str">
        <x:v>C04</x:v>
      </x:c>
      <x:c r="C18" s="34" t="str">
        <x:v>湖底密道</x:v>
      </x:c>
      <x:c r="D18" s="34" t="str">
        <x:v>封室水镜姬·弥洛</x:v>
      </x:c>
      <x:c r="E18" s="34" t="str">
        <x:v>弥洛镜水衣</x:v>
      </x:c>
      <x:c r="F18" s="34" t="str">
        <x:v>时装生肖6</x:v>
      </x:c>
      <x:c r="G18" s="34" t="str">
        <x:v>外观编号待核</x:v>
      </x:c>
      <x:c r="H18" s="34" t="str">
        <x:v>C04-M072</x:v>
      </x:c>
    </x:row>
    <x:row r="19" ht="42" customHeight="1">
      <x:c r="A19" s="34" t="str">
        <x:v>残月仪剑</x:v>
      </x:c>
      <x:c r="B19" s="34" t="str">
        <x:v>C05</x:v>
      </x:c>
      <x:c r="C19" s="34" t="str">
        <x:v>卡利亚禁域</x:v>
      </x:c>
      <x:c r="D19" s="34" t="str">
        <x:v>寒镜终誓王</x:v>
      </x:c>
      <x:c r="E19" s="34" t="str">
        <x:v>终誓月裁剑</x:v>
      </x:c>
      <x:c r="F19" s="34" t="str">
        <x:v>时装武器</x:v>
      </x:c>
      <x:c r="G19" s="34" t="str">
        <x:v>外观编号待核</x:v>
      </x:c>
      <x:c r="H19" s="34" t="str">
        <x:v>C05-M073</x:v>
      </x:c>
    </x:row>
    <x:row r="20" ht="42" customHeight="1">
      <x:c r="A20" s="34" t="str">
        <x:v>镜宫月袍</x:v>
      </x:c>
      <x:c r="B20" s="34" t="str">
        <x:v>C05</x:v>
      </x:c>
      <x:c r="C20" s="34" t="str">
        <x:v>卡利亚禁域</x:v>
      </x:c>
      <x:c r="D20" s="34" t="str">
        <x:v>寒镜终誓王</x:v>
      </x:c>
      <x:c r="E20" s="34" t="str">
        <x:v>终誓月裁剑</x:v>
      </x:c>
      <x:c r="F20" s="34" t="str">
        <x:v>时装衣服</x:v>
      </x:c>
      <x:c r="G20" s="34" t="str">
        <x:v>外观编号待核</x:v>
      </x:c>
      <x:c r="H20" s="34" t="str">
        <x:v>C05-M073</x:v>
      </x:c>
    </x:row>
    <x:row r="21" ht="42" customHeight="1">
      <x:c r="A21" s="34" t="str">
        <x:v>辉石司仪冠</x:v>
      </x:c>
      <x:c r="B21" s="34" t="str">
        <x:v>C05</x:v>
      </x:c>
      <x:c r="C21" s="34" t="str">
        <x:v>雾月水庭</x:v>
      </x:c>
      <x:c r="D21" s="34" t="str">
        <x:v>沉月镜池圣母</x:v>
      </x:c>
      <x:c r="E21" s="34" t="str">
        <x:v>沉月镜池华服</x:v>
      </x:c>
      <x:c r="F21" s="34" t="str">
        <x:v>时装头盔</x:v>
      </x:c>
      <x:c r="G21" s="34" t="str">
        <x:v>外观编号待核</x:v>
      </x:c>
      <x:c r="H21" s="34" t="str">
        <x:v>C05-M012</x:v>
      </x:c>
    </x:row>
    <x:row r="22" ht="42" customHeight="1">
      <x:c r="A22" s="34" t="str">
        <x:v>星泪誓链</x:v>
      </x:c>
      <x:c r="B22" s="34" t="str">
        <x:v>C05</x:v>
      </x:c>
      <x:c r="C22" s="34" t="str">
        <x:v>辉石遗迹</x:v>
      </x:c>
      <x:c r="D22" s="34" t="str">
        <x:v>万棱圣坛龙蜥</x:v>
      </x:c>
      <x:c r="E22" s="34" t="str">
        <x:v>万棱圣坛鳞衣</x:v>
      </x:c>
      <x:c r="F22" s="34" t="str">
        <x:v>时装项链</x:v>
      </x:c>
      <x:c r="G22" s="34" t="str">
        <x:v>外观编号待核</x:v>
      </x:c>
      <x:c r="H22" s="34" t="str">
        <x:v>C05-M024</x:v>
      </x:c>
    </x:row>
    <x:row r="23" ht="42" customHeight="1">
      <x:c r="A23" s="34" t="str">
        <x:v>月蚀镜镯</x:v>
      </x:c>
      <x:c r="B23" s="34" t="str">
        <x:v>C05</x:v>
      </x:c>
      <x:c r="C23" s="34" t="str">
        <x:v>学院回廊</x:v>
      </x:c>
      <x:c r="D23" s="34" t="str">
        <x:v>逆页密室导师</x:v>
      </x:c>
      <x:c r="E23" s="34" t="str">
        <x:v>逆页导师长衣</x:v>
      </x:c>
      <x:c r="F23" s="34" t="str">
        <x:v>时装手镯</x:v>
      </x:c>
      <x:c r="G23" s="34" t="str">
        <x:v>外观编号待核</x:v>
      </x:c>
      <x:c r="H23" s="34" t="str">
        <x:v>C05-M036</x:v>
      </x:c>
    </x:row>
    <x:row r="24" ht="42" customHeight="1">
      <x:c r="A24" s="34" t="str">
        <x:v>满月祷戒</x:v>
      </x:c>
      <x:c r="B24" s="34" t="str">
        <x:v>C05</x:v>
      </x:c>
      <x:c r="C24" s="34" t="str">
        <x:v>卡利亚禁域</x:v>
      </x:c>
      <x:c r="D24" s="34" t="str">
        <x:v>月蚀密殿司冕</x:v>
      </x:c>
      <x:c r="E24" s="34" t="str">
        <x:v>司冕月蚀礼衣</x:v>
      </x:c>
      <x:c r="F24" s="34" t="str">
        <x:v>时装戒指</x:v>
      </x:c>
      <x:c r="G24" s="34" t="str">
        <x:v>外观编号待核</x:v>
      </x:c>
      <x:c r="H24" s="34" t="str">
        <x:v>C05-M071</x:v>
      </x:c>
    </x:row>
    <x:row r="25" ht="42" customHeight="1">
      <x:c r="A25" s="34" t="str">
        <x:v>映辉玉兔</x:v>
      </x:c>
      <x:c r="B25" s="34" t="str">
        <x:v>C05</x:v>
      </x:c>
      <x:c r="C25" s="34" t="str">
        <x:v>卡利亚禁域</x:v>
      </x:c>
      <x:c r="D25" s="34" t="str">
        <x:v>卡利亚圣所摄政灵</x:v>
      </x:c>
      <x:c r="E25" s="34" t="str">
        <x:v>摄政灵辉杖</x:v>
      </x:c>
      <x:c r="F25" s="34" t="str">
        <x:v>时装生肖4</x:v>
      </x:c>
      <x:c r="G25" s="34" t="str">
        <x:v>外观编号待核</x:v>
      </x:c>
      <x:c r="H25" s="34" t="str">
        <x:v>C05-M072</x:v>
      </x:c>
    </x:row>
    <x:row r="26" ht="42" customHeight="1">
      <x:c r="A26" s="34" t="str">
        <x:v>陨星礼锋</x:v>
      </x:c>
      <x:c r="B26" s="34" t="str">
        <x:v>C06</x:v>
      </x:c>
      <x:c r="C26" s="34" t="str">
        <x:v>红狮龙窟</x:v>
      </x:c>
      <x:c r="D26" s="34" t="str">
        <x:v>碎星狮王·拉塔恩</x:v>
      </x:c>
      <x:c r="E26" s="34" t="str">
        <x:v>拉塔恩碎星巨刃</x:v>
      </x:c>
      <x:c r="F26" s="34" t="str">
        <x:v>时装武器</x:v>
      </x:c>
      <x:c r="G26" s="34" t="str">
        <x:v>外观编号待核</x:v>
      </x:c>
      <x:c r="H26" s="34" t="str">
        <x:v>C06-M037</x:v>
      </x:c>
    </x:row>
    <x:row r="27" ht="42" customHeight="1">
      <x:c r="A27" s="34" t="str">
        <x:v>赤狮葬衣</x:v>
      </x:c>
      <x:c r="B27" s="34" t="str">
        <x:v>C06</x:v>
      </x:c>
      <x:c r="C27" s="34" t="str">
        <x:v>红狮龙窟</x:v>
      </x:c>
      <x:c r="D27" s="34" t="str">
        <x:v>碎星狮王·拉塔恩</x:v>
      </x:c>
      <x:c r="E27" s="34" t="str">
        <x:v>拉塔恩碎星巨刃</x:v>
      </x:c>
      <x:c r="F27" s="34" t="str">
        <x:v>时装衣服</x:v>
      </x:c>
      <x:c r="G27" s="34" t="str">
        <x:v>外观编号待核</x:v>
      </x:c>
      <x:c r="H27" s="34" t="str">
        <x:v>C06-M037</x:v>
      </x:c>
    </x:row>
    <x:row r="28" ht="42" customHeight="1">
      <x:c r="A28" s="34" t="str">
        <x:v>龙焰流冠</x:v>
      </x:c>
      <x:c r="B28" s="34" t="str">
        <x:v>C06</x:v>
      </x:c>
      <x:c r="C28" s="34" t="str">
        <x:v>猩红熔原</x:v>
      </x:c>
      <x:c r="D28" s="34" t="str">
        <x:v>猩红熔母·瑟芮</x:v>
      </x:c>
      <x:c r="E28" s="34" t="str">
        <x:v>瑟芮血衣</x:v>
      </x:c>
      <x:c r="F28" s="34" t="str">
        <x:v>时装头盔</x:v>
      </x:c>
      <x:c r="G28" s="34" t="str">
        <x:v>外观编号待核</x:v>
      </x:c>
      <x:c r="H28" s="34" t="str">
        <x:v>C06-M012</x:v>
      </x:c>
    </x:row>
    <x:row r="29" ht="42" customHeight="1">
      <x:c r="A29" s="34" t="str">
        <x:v>血原骨坠</x:v>
      </x:c>
      <x:c r="B29" s="34" t="str">
        <x:v>C06</x:v>
      </x:c>
      <x:c r="C29" s="34" t="str">
        <x:v>腐败火狱</x:v>
      </x:c>
      <x:c r="D29" s="34" t="str">
        <x:v>熔心狱主·塞维拉</x:v>
      </x:c>
      <x:c r="E29" s="34" t="str">
        <x:v>塞维拉狱衣</x:v>
      </x:c>
      <x:c r="F29" s="34" t="str">
        <x:v>时装项链</x:v>
      </x:c>
      <x:c r="G29" s="34" t="str">
        <x:v>外观编号待核</x:v>
      </x:c>
      <x:c r="H29" s="34" t="str">
        <x:v>C06-M024</x:v>
      </x:c>
    </x:row>
    <x:row r="30" ht="42" customHeight="1">
      <x:c r="A30" s="34" t="str">
        <x:v>狱火断铐</x:v>
      </x:c>
      <x:c r="B30" s="34" t="str">
        <x:v>C06</x:v>
      </x:c>
      <x:c r="C30" s="34" t="str">
        <x:v>红狮龙窟</x:v>
      </x:c>
      <x:c r="D30" s="34" t="str">
        <x:v>红狮圣兽·雷奥尼斯</x:v>
      </x:c>
      <x:c r="E30" s="34" t="str">
        <x:v>雷奥尼斯狮铠</x:v>
      </x:c>
      <x:c r="F30" s="34" t="str">
        <x:v>时装手镯</x:v>
      </x:c>
      <x:c r="G30" s="34" t="str">
        <x:v>外观编号待核</x:v>
      </x:c>
      <x:c r="H30" s="34" t="str">
        <x:v>C06-M036</x:v>
      </x:c>
    </x:row>
    <x:row r="31" ht="42" customHeight="1">
      <x:c r="A31" s="34" t="str">
        <x:v>红沙王戒</x:v>
      </x:c>
      <x:c r="B31" s="34" t="str">
        <x:v>C06</x:v>
      </x:c>
      <x:c r="C31" s="34" t="str">
        <x:v>红狮龙窟</x:v>
      </x:c>
      <x:c r="D31" s="34" t="str">
        <x:v>焚翼古龙·阿格纳</x:v>
      </x:c>
      <x:c r="E31" s="34" t="str">
        <x:v>阿格纳龙牙</x:v>
      </x:c>
      <x:c r="F31" s="34" t="str">
        <x:v>时装戒指</x:v>
      </x:c>
      <x:c r="G31" s="34" t="str">
        <x:v>外观编号待核</x:v>
      </x:c>
      <x:c r="H31" s="34" t="str">
        <x:v>C06-M035</x:v>
      </x:c>
    </x:row>
    <x:row r="32" ht="42" customHeight="1">
      <x:c r="A32" s="34" t="str">
        <x:v>炎鬃寅魄</x:v>
      </x:c>
      <x:c r="B32" s="34" t="str">
        <x:v>C06</x:v>
      </x:c>
      <x:c r="C32" s="34" t="str">
        <x:v>红狮龙窟</x:v>
      </x:c>
      <x:c r="D32" s="34" t="str">
        <x:v>红狮圣兽·雷奥尼斯</x:v>
      </x:c>
      <x:c r="E32" s="34" t="str">
        <x:v>雷奥尼斯狮铠</x:v>
      </x:c>
      <x:c r="F32" s="34" t="str">
        <x:v>时装生肖3</x:v>
      </x:c>
      <x:c r="G32" s="34" t="str">
        <x:v>外观编号待核</x:v>
      </x:c>
      <x:c r="H32" s="34" t="str">
        <x:v>C06-M036</x:v>
      </x:c>
    </x:row>
    <x:row r="33" ht="42" customHeight="1">
      <x:c r="A33" s="34" t="str">
        <x:v>霜誓仪镰</x:v>
      </x:c>
      <x:c r="B33" s="34" t="str">
        <x:v>C07</x:v>
      </x:c>
      <x:c r="C33" s="34" t="str">
        <x:v>极寒禁域</x:v>
      </x:c>
      <x:c r="D33" s="34" t="str">
        <x:v>化圣霜王·埃琉斯</x:v>
      </x:c>
      <x:c r="E33" s="34" t="str">
        <x:v>埃琉斯永霜铠</x:v>
      </x:c>
      <x:c r="F33" s="34" t="str">
        <x:v>时装武器</x:v>
      </x:c>
      <x:c r="G33" s="34" t="str">
        <x:v>外观编号待核</x:v>
      </x:c>
      <x:c r="H33" s="34" t="str">
        <x:v>C07-M037</x:v>
      </x:c>
    </x:row>
    <x:row r="34" ht="42" customHeight="1">
      <x:c r="A34" s="34" t="str">
        <x:v>朝圣雪衣</x:v>
      </x:c>
      <x:c r="B34" s="34" t="str">
        <x:v>C07</x:v>
      </x:c>
      <x:c r="C34" s="34" t="str">
        <x:v>极寒禁域</x:v>
      </x:c>
      <x:c r="D34" s="34" t="str">
        <x:v>化圣霜王·埃琉斯</x:v>
      </x:c>
      <x:c r="E34" s="34" t="str">
        <x:v>埃琉斯永霜铠</x:v>
      </x:c>
      <x:c r="F34" s="34" t="str">
        <x:v>时装衣服</x:v>
      </x:c>
      <x:c r="G34" s="34" t="str">
        <x:v>外观编号待核</x:v>
      </x:c>
      <x:c r="H34" s="34" t="str">
        <x:v>C07-M037</x:v>
      </x:c>
    </x:row>
    <x:row r="35" ht="42" customHeight="1">
      <x:c r="A35" s="34" t="str">
        <x:v>无火圣冠</x:v>
      </x:c>
      <x:c r="B35" s="34" t="str">
        <x:v>C07</x:v>
      </x:c>
      <x:c r="C35" s="34" t="str">
        <x:v>苍白雪原</x:v>
      </x:c>
      <x:c r="D35" s="34" t="str">
        <x:v>苍白鹿王·艾尔维</x:v>
      </x:c>
      <x:c r="E35" s="34" t="str">
        <x:v>艾尔维霜冠</x:v>
      </x:c>
      <x:c r="F35" s="34" t="str">
        <x:v>时装头盔</x:v>
      </x:c>
      <x:c r="G35" s="34" t="str">
        <x:v>外观编号待核</x:v>
      </x:c>
      <x:c r="H35" s="34" t="str">
        <x:v>C07-M012</x:v>
      </x:c>
    </x:row>
    <x:row r="36" ht="42" customHeight="1">
      <x:c r="A36" s="34" t="str">
        <x:v>白金雪坠</x:v>
      </x:c>
      <x:c r="B36" s="34" t="str">
        <x:v>C07</x:v>
      </x:c>
      <x:c r="C36" s="34" t="str">
        <x:v>永冻荒境</x:v>
      </x:c>
      <x:c r="D36" s="34" t="str">
        <x:v>永冻圣兽·乌尔</x:v>
      </x:c>
      <x:c r="E36" s="34" t="str">
        <x:v>乌尔寒铠</x:v>
      </x:c>
      <x:c r="F36" s="34" t="str">
        <x:v>时装项链</x:v>
      </x:c>
      <x:c r="G36" s="34" t="str">
        <x:v>外观编号待核</x:v>
      </x:c>
      <x:c r="H36" s="34" t="str">
        <x:v>C07-M024</x:v>
      </x:c>
    </x:row>
    <x:row r="37" ht="42" customHeight="1">
      <x:c r="A37" s="34" t="str">
        <x:v>长眠霜镯</x:v>
      </x:c>
      <x:c r="B37" s="34" t="str">
        <x:v>C07</x:v>
      </x:c>
      <x:c r="C37" s="34" t="str">
        <x:v>极寒禁域</x:v>
      </x:c>
      <x:c r="D37" s="34" t="str">
        <x:v>极寒圣女·希尔达</x:v>
      </x:c>
      <x:c r="E37" s="34" t="str">
        <x:v>希尔达圣冠</x:v>
      </x:c>
      <x:c r="F37" s="34" t="str">
        <x:v>时装手镯</x:v>
      </x:c>
      <x:c r="G37" s="34" t="str">
        <x:v>外观编号待核</x:v>
      </x:c>
      <x:c r="H37" s="34" t="str">
        <x:v>C07-M036</x:v>
      </x:c>
    </x:row>
    <x:row r="38" ht="42" customHeight="1">
      <x:c r="A38" s="34" t="str">
        <x:v>永雪祈戒</x:v>
      </x:c>
      <x:c r="B38" s="34" t="str">
        <x:v>C07</x:v>
      </x:c>
      <x:c r="C38" s="34" t="str">
        <x:v>极寒禁域</x:v>
      </x:c>
      <x:c r="D38" s="34" t="str">
        <x:v>冰祭审判者·诺薇</x:v>
      </x:c>
      <x:c r="E38" s="34" t="str">
        <x:v>诺薇霜镰</x:v>
      </x:c>
      <x:c r="F38" s="34" t="str">
        <x:v>时装戒指</x:v>
      </x:c>
      <x:c r="G38" s="34" t="str">
        <x:v>外观编号待核</x:v>
      </x:c>
      <x:c r="H38" s="34" t="str">
        <x:v>C07-M035</x:v>
      </x:c>
    </x:row>
    <x:row r="39" ht="42" customHeight="1">
      <x:c r="A39" s="34" t="str">
        <x:v>寒枝羊魂</x:v>
      </x:c>
      <x:c r="B39" s="34" t="str">
        <x:v>C07</x:v>
      </x:c>
      <x:c r="C39" s="34" t="str">
        <x:v>极寒禁域</x:v>
      </x:c>
      <x:c r="D39" s="34" t="str">
        <x:v>极寒圣女·希尔达</x:v>
      </x:c>
      <x:c r="E39" s="34" t="str">
        <x:v>希尔达圣冠</x:v>
      </x:c>
      <x:c r="F39" s="34" t="str">
        <x:v>时装生肖8</x:v>
      </x:c>
      <x:c r="G39" s="34" t="str">
        <x:v>外观编号待核</x:v>
      </x:c>
      <x:c r="H39" s="34" t="str">
        <x:v>C07-M036</x:v>
      </x:c>
    </x:row>
    <x:row r="40" ht="42" customHeight="1">
      <x:c r="A40" s="34" t="str">
        <x:v>吞日礼戟</x:v>
      </x:c>
      <x:c r="B40" s="34" t="str">
        <x:v>C08</x:v>
      </x:c>
      <x:c r="C40" s="34" t="str">
        <x:v>巨人王庭</x:v>
      </x:c>
      <x:c r="D40" s="34" t="str">
        <x:v>吞日霜王·乌尔迈</x:v>
      </x:c>
      <x:c r="E40" s="34" t="str">
        <x:v>乌尔迈吞日巨剑</x:v>
      </x:c>
      <x:c r="F40" s="34" t="str">
        <x:v>时装武器</x:v>
      </x:c>
      <x:c r="G40" s="34" t="str">
        <x:v>外观编号待核</x:v>
      </x:c>
      <x:c r="H40" s="34" t="str">
        <x:v>C08-M049</x:v>
      </x:c>
    </x:row>
    <x:row r="41" ht="42" customHeight="1">
      <x:c r="A41" s="34" t="str">
        <x:v>熔雪王袍</x:v>
      </x:c>
      <x:c r="B41" s="34" t="str">
        <x:v>C08</x:v>
      </x:c>
      <x:c r="C41" s="34" t="str">
        <x:v>巨人王庭</x:v>
      </x:c>
      <x:c r="D41" s="34" t="str">
        <x:v>吞日霜王·乌尔迈</x:v>
      </x:c>
      <x:c r="E41" s="34" t="str">
        <x:v>乌尔迈吞日巨剑</x:v>
      </x:c>
      <x:c r="F41" s="34" t="str">
        <x:v>时装衣服</x:v>
      </x:c>
      <x:c r="G41" s="34" t="str">
        <x:v>外观编号待核</x:v>
      </x:c>
      <x:c r="H41" s="34" t="str">
        <x:v>C08-M049</x:v>
      </x:c>
    </x:row>
    <x:row r="42" ht="42" customHeight="1">
      <x:c r="A42" s="34" t="str">
        <x:v>穹霜祷冠</x:v>
      </x:c>
      <x:c r="B42" s="34" t="str">
        <x:v>C08</x:v>
      </x:c>
      <x:c r="C42" s="34" t="str">
        <x:v>寒霜山径</x:v>
      </x:c>
      <x:c r="D42" s="34" t="str">
        <x:v>山巅霜祀·伊芙迦</x:v>
      </x:c>
      <x:c r="E42" s="34" t="str">
        <x:v>伊芙迦霜祀衣</x:v>
      </x:c>
      <x:c r="F42" s="34" t="str">
        <x:v>时装头盔</x:v>
      </x:c>
      <x:c r="G42" s="34" t="str">
        <x:v>外观编号待核</x:v>
      </x:c>
      <x:c r="H42" s="34" t="str">
        <x:v>C08-M012</x:v>
      </x:c>
    </x:row>
    <x:row r="43" ht="42" customHeight="1">
      <x:c r="A43" s="34" t="str">
        <x:v>冰宫残铃</x:v>
      </x:c>
      <x:c r="B43" s="34" t="str">
        <x:v>C08</x:v>
      </x:c>
      <x:c r="C43" s="34" t="str">
        <x:v>断冰峰群</x:v>
      </x:c>
      <x:c r="D43" s="34" t="str">
        <x:v>断峰献祭者·维瑟娅</x:v>
      </x:c>
      <x:c r="E43" s="34" t="str">
        <x:v>维瑟娅霜祭衣</x:v>
      </x:c>
      <x:c r="F43" s="34" t="str">
        <x:v>时装项链</x:v>
      </x:c>
      <x:c r="G43" s="34" t="str">
        <x:v>外观编号待核</x:v>
      </x:c>
      <x:c r="H43" s="34" t="str">
        <x:v>C08-M024</x:v>
      </x:c>
    </x:row>
    <x:row r="44" ht="42" customHeight="1">
      <x:c r="A44" s="34" t="str">
        <x:v>炉心锁镯</x:v>
      </x:c>
      <x:c r="B44" s="34" t="str">
        <x:v>C08</x:v>
      </x:c>
      <x:c r="C44" s="34" t="str">
        <x:v>冰宫王庭</x:v>
      </x:c>
      <x:c r="D44" s="34" t="str">
        <x:v>冰宫摄政后·伊瑟芮</x:v>
      </x:c>
      <x:c r="E44" s="34" t="str">
        <x:v>伊瑟芮冰绡袍</x:v>
      </x:c>
      <x:c r="F44" s="34" t="str">
        <x:v>时装手镯</x:v>
      </x:c>
      <x:c r="G44" s="34" t="str">
        <x:v>外观编号待核</x:v>
      </x:c>
      <x:c r="H44" s="34" t="str">
        <x:v>C08-M036</x:v>
      </x:c>
    </x:row>
    <x:row r="45" ht="42" customHeight="1">
      <x:c r="A45" s="34" t="str">
        <x:v>终冬戒印</x:v>
      </x:c>
      <x:c r="B45" s="34" t="str">
        <x:v>C08</x:v>
      </x:c>
      <x:c r="C45" s="34" t="str">
        <x:v>巨人王庭</x:v>
      </x:c>
      <x:c r="D45" s="34" t="str">
        <x:v>内宫冬眠王·格罗尔</x:v>
      </x:c>
      <x:c r="E45" s="34" t="str">
        <x:v>格罗尔冬眠刃</x:v>
      </x:c>
      <x:c r="F45" s="34" t="str">
        <x:v>时装戒指</x:v>
      </x:c>
      <x:c r="G45" s="34" t="str">
        <x:v>外观编号待核</x:v>
      </x:c>
      <x:c r="H45" s="34" t="str">
        <x:v>C08-M047</x:v>
      </x:c>
    </x:row>
    <x:row r="46" ht="42" customHeight="1">
      <x:c r="A46" s="34" t="str">
        <x:v>踏霜天驹</x:v>
      </x:c>
      <x:c r="B46" s="34" t="str">
        <x:v>C08</x:v>
      </x:c>
      <x:c r="C46" s="34" t="str">
        <x:v>巨人王庭</x:v>
      </x:c>
      <x:c r="D46" s="34" t="str">
        <x:v>巨人女王·赫芮迦</x:v>
      </x:c>
      <x:c r="E46" s="34" t="str">
        <x:v>赫芮迦穹霜王衣</x:v>
      </x:c>
      <x:c r="F46" s="34" t="str">
        <x:v>时装生肖7</x:v>
      </x:c>
      <x:c r="G46" s="34" t="str">
        <x:v>外观编号待核</x:v>
      </x:c>
      <x:c r="H46" s="34" t="str">
        <x:v>C08-M048</x:v>
      </x:c>
    </x:row>
    <x:row r="47" ht="42" customHeight="1">
      <x:c r="A47" s="34" t="str">
        <x:v>裁阳仪刃</x:v>
      </x:c>
      <x:c r="B47" s="34" t="str">
        <x:v>C09</x:v>
      </x:c>
      <x:c r="C47" s="34" t="str">
        <x:v>王城前垒</x:v>
      </x:c>
      <x:c r="D47" s="34" t="str">
        <x:v>鎏日王城之影·阿尔维萨</x:v>
      </x:c>
      <x:c r="E47" s="34" t="str">
        <x:v>阿尔维萨蚀日王刃</x:v>
      </x:c>
      <x:c r="F47" s="34" t="str">
        <x:v>时装武器</x:v>
      </x:c>
      <x:c r="G47" s="34" t="str">
        <x:v>外观编号待核</x:v>
      </x:c>
      <x:c r="H47" s="34" t="str">
        <x:v>C09-M061</x:v>
      </x:c>
    </x:row>
    <x:row r="48" ht="42" customHeight="1">
      <x:c r="A48" s="34" t="str">
        <x:v>鎏叶王袍</x:v>
      </x:c>
      <x:c r="B48" s="34" t="str">
        <x:v>C09</x:v>
      </x:c>
      <x:c r="C48" s="34" t="str">
        <x:v>王城前垒</x:v>
      </x:c>
      <x:c r="D48" s="34" t="str">
        <x:v>鎏日王城之影·阿尔维萨</x:v>
      </x:c>
      <x:c r="E48" s="34" t="str">
        <x:v>阿尔维萨蚀日王刃</x:v>
      </x:c>
      <x:c r="F48" s="34" t="str">
        <x:v>时装衣服</x:v>
      </x:c>
      <x:c r="G48" s="34" t="str">
        <x:v>外观编号待核</x:v>
      </x:c>
      <x:c r="H48" s="34" t="str">
        <x:v>C09-M061</x:v>
      </x:c>
    </x:row>
    <x:row r="49" ht="42" customHeight="1">
      <x:c r="A49" s="34" t="str">
        <x:v>高原日冠</x:v>
      </x:c>
      <x:c r="B49" s="34" t="str">
        <x:v>C09</x:v>
      </x:c>
      <x:c r="C49" s="34" t="str">
        <x:v>金叶古道</x:v>
      </x:c>
      <x:c r="D49" s="34" t="str">
        <x:v>金叶祭王·萨鲁恩</x:v>
      </x:c>
      <x:c r="E49" s="34" t="str">
        <x:v>萨鲁恩金叶祭衣</x:v>
      </x:c>
      <x:c r="F49" s="34" t="str">
        <x:v>时装头盔</x:v>
      </x:c>
      <x:c r="G49" s="34" t="str">
        <x:v>外观编号待核</x:v>
      </x:c>
      <x:c r="H49" s="34" t="str">
        <x:v>C09-M012</x:v>
      </x:c>
    </x:row>
    <x:row r="50" ht="42" customHeight="1">
      <x:c r="A50" s="34" t="str">
        <x:v>黄金回音坠</x:v>
      </x:c>
      <x:c r="B50" s="34" t="str">
        <x:v>C09</x:v>
      </x:c>
      <x:c r="C50" s="34" t="str">
        <x:v>高原矿脉</x:v>
      </x:c>
      <x:c r="D50" s="34" t="str">
        <x:v>矿心鎏金母·奥莉莎</x:v>
      </x:c>
      <x:c r="E50" s="34" t="str">
        <x:v>奥莉莎矿心甲</x:v>
      </x:c>
      <x:c r="F50" s="34" t="str">
        <x:v>时装项链</x:v>
      </x:c>
      <x:c r="G50" s="34" t="str">
        <x:v>外观编号待核</x:v>
      </x:c>
      <x:c r="H50" s="34" t="str">
        <x:v>C09-M024</x:v>
      </x:c>
    </x:row>
    <x:row r="51" ht="42" customHeight="1">
      <x:c r="A51" s="34" t="str">
        <x:v>誓印日轮镯</x:v>
      </x:c>
      <x:c r="B51" s="34" t="str">
        <x:v>C09</x:v>
      </x:c>
      <x:c r="C51" s="34" t="str">
        <x:v>古王陵园</x:v>
      </x:c>
      <x:c r="D51" s="34" t="str">
        <x:v>不醒古王·奥瑞昂</x:v>
      </x:c>
      <x:c r="E51" s="34" t="str">
        <x:v>奥瑞昂不醒王衣</x:v>
      </x:c>
      <x:c r="F51" s="34" t="str">
        <x:v>时装手镯</x:v>
      </x:c>
      <x:c r="G51" s="34" t="str">
        <x:v>外观编号待核</x:v>
      </x:c>
      <x:c r="H51" s="34" t="str">
        <x:v>C09-M036</x:v>
      </x:c>
    </x:row>
    <x:row r="52" ht="42" customHeight="1">
      <x:c r="A52" s="34" t="str">
        <x:v>无暮金戒</x:v>
      </x:c>
      <x:c r="B52" s="34" t="str">
        <x:v>C09</x:v>
      </x:c>
      <x:c r="C52" s="34" t="str">
        <x:v>王城前垒</x:v>
      </x:c>
      <x:c r="D52" s="34" t="str">
        <x:v>黄金壁垒统帅·罗梵迪</x:v>
      </x:c>
      <x:c r="E52" s="34" t="str">
        <x:v>罗梵迪壁垒长戟</x:v>
      </x:c>
      <x:c r="F52" s="34" t="str">
        <x:v>时装戒指</x:v>
      </x:c>
      <x:c r="G52" s="34" t="str">
        <x:v>外观编号待核</x:v>
      </x:c>
      <x:c r="H52" s="34" t="str">
        <x:v>C09-M059</x:v>
      </x:c>
    </x:row>
    <x:row r="53" ht="42" customHeight="1">
      <x:c r="A53" s="34" t="str">
        <x:v>报晓金翎</x:v>
      </x:c>
      <x:c r="B53" s="34" t="str">
        <x:v>C09</x:v>
      </x:c>
      <x:c r="C53" s="34" t="str">
        <x:v>王城前垒</x:v>
      </x:c>
      <x:c r="D53" s="34" t="str">
        <x:v>王门执宪者·赫桑达</x:v>
      </x:c>
      <x:c r="E53" s="34" t="str">
        <x:v>赫桑达执宪战衣</x:v>
      </x:c>
      <x:c r="F53" s="34" t="str">
        <x:v>时装生肖10</x:v>
      </x:c>
      <x:c r="G53" s="34" t="str">
        <x:v>外观编号待核</x:v>
      </x:c>
      <x:c r="H53" s="34" t="str">
        <x:v>C09-M060</x:v>
      </x:c>
    </x:row>
    <x:row r="54" ht="42" customHeight="1">
      <x:c r="A54" s="34" t="str">
        <x:v>无冕仪剑</x:v>
      </x:c>
      <x:c r="B54" s="34" t="str">
        <x:v>C10</x:v>
      </x:c>
      <x:c r="C54" s="34" t="str">
        <x:v>黄金王宫</x:v>
      </x:c>
      <x:c r="D54" s="34" t="str">
        <x:v>万冠终审者·萨洛恩</x:v>
      </x:c>
      <x:c r="E54" s="34" t="str">
        <x:v>万冠终律圣刃</x:v>
      </x:c>
      <x:c r="F54" s="34" t="str">
        <x:v>时装武器</x:v>
      </x:c>
      <x:c r="G54" s="34" t="str">
        <x:v>外观编号待核</x:v>
      </x:c>
      <x:c r="H54" s="34" t="str">
        <x:v>C10-M061</x:v>
      </x:c>
    </x:row>
    <x:row r="55" ht="42" customHeight="1">
      <x:c r="A55" s="34" t="str">
        <x:v>余律圣衣</x:v>
      </x:c>
      <x:c r="B55" s="34" t="str">
        <x:v>C10</x:v>
      </x:c>
      <x:c r="C55" s="34" t="str">
        <x:v>黄金王宫</x:v>
      </x:c>
      <x:c r="D55" s="34" t="str">
        <x:v>万冠终审者·萨洛恩</x:v>
      </x:c>
      <x:c r="E55" s="34" t="str">
        <x:v>万冠终律圣刃</x:v>
      </x:c>
      <x:c r="F55" s="34" t="str">
        <x:v>时装衣服</x:v>
      </x:c>
      <x:c r="G55" s="34" t="str">
        <x:v>外观编号待核</x:v>
      </x:c>
      <x:c r="H55" s="34" t="str">
        <x:v>C10-M061</x:v>
      </x:c>
    </x:row>
    <x:row r="56" ht="42" customHeight="1">
      <x:c r="A56" s="34" t="str">
        <x:v>万冠司仪冠</x:v>
      </x:c>
      <x:c r="B56" s="34" t="str">
        <x:v>C10</x:v>
      </x:c>
      <x:c r="C56" s="34" t="str">
        <x:v>王城下城区</x:v>
      </x:c>
      <x:c r="D56" s="34" t="str">
        <x:v>千锁闸门统领</x:v>
      </x:c>
      <x:c r="E56" s="34" t="str">
        <x:v>千锁断流铡</x:v>
      </x:c>
      <x:c r="F56" s="34" t="str">
        <x:v>时装头盔</x:v>
      </x:c>
      <x:c r="G56" s="34" t="str">
        <x:v>外观编号待核</x:v>
      </x:c>
      <x:c r="H56" s="34" t="str">
        <x:v>C10-M012</x:v>
      </x:c>
    </x:row>
    <x:row r="57" ht="42" customHeight="1">
      <x:c r="A57" s="34" t="str">
        <x:v>终律心坠</x:v>
      </x:c>
      <x:c r="B57" s="34" t="str">
        <x:v>C10</x:v>
      </x:c>
      <x:c r="C57" s="34" t="str">
        <x:v>黄金排水道</x:v>
      </x:c>
      <x:c r="D57" s="34" t="str">
        <x:v>鎏污大司闸</x:v>
      </x:c>
      <x:c r="E57" s="34" t="str">
        <x:v>鎏污司闸战袍</x:v>
      </x:c>
      <x:c r="F57" s="34" t="str">
        <x:v>时装项链</x:v>
      </x:c>
      <x:c r="G57" s="34" t="str">
        <x:v>外观编号待核</x:v>
      </x:c>
      <x:c r="H57" s="34" t="str">
        <x:v>C10-M024</x:v>
      </x:c>
    </x:row>
    <x:row r="58" ht="42" customHeight="1">
      <x:c r="A58" s="34" t="str">
        <x:v>王座缄誓镯</x:v>
      </x:c>
      <x:c r="B58" s="34" t="str">
        <x:v>C10</x:v>
      </x:c>
      <x:c r="C58" s="34" t="str">
        <x:v>王城矿井</x:v>
      </x:c>
      <x:c r="D58" s="34" t="str">
        <x:v>地脉熔冠巨像</x:v>
      </x:c>
      <x:c r="E58" s="34" t="str">
        <x:v>熔冠镇脉巨锤</x:v>
      </x:c>
      <x:c r="F58" s="34" t="str">
        <x:v>时装手镯</x:v>
      </x:c>
      <x:c r="G58" s="34" t="str">
        <x:v>外观编号待核</x:v>
      </x:c>
      <x:c r="H58" s="34" t="str">
        <x:v>C10-M036</x:v>
      </x:c>
    </x:row>
    <x:row r="59" ht="42" customHeight="1">
      <x:c r="A59" s="34" t="str">
        <x:v>诸王归寂戒</x:v>
      </x:c>
      <x:c r="B59" s="34" t="str">
        <x:v>C10</x:v>
      </x:c>
      <x:c r="C59" s="34" t="str">
        <x:v>黄金王宫</x:v>
      </x:c>
      <x:c r="D59" s="34" t="str">
        <x:v>碎日门的黄金禁卫</x:v>
      </x:c>
      <x:c r="E59" s="34" t="str">
        <x:v>碎日禁卫斗笠</x:v>
      </x:c>
      <x:c r="F59" s="34" t="str">
        <x:v>时装戒指</x:v>
      </x:c>
      <x:c r="G59" s="34" t="str">
        <x:v>外观编号待核</x:v>
      </x:c>
      <x:c r="H59" s="34" t="str">
        <x:v>C10-M059</x:v>
      </x:c>
    </x:row>
    <x:row r="60" ht="42" customHeight="1">
      <x:c r="A60" s="35" t="str">
        <x:v>守律玄犬</x:v>
      </x:c>
      <x:c r="B60" s="35" t="str">
        <x:v>C10</x:v>
      </x:c>
      <x:c r="C60" s="35" t="str">
        <x:v>黄金王宫</x:v>
      </x:c>
      <x:c r="D60" s="35" t="str">
        <x:v>永辉帷后的空王</x:v>
      </x:c>
      <x:c r="E60" s="35" t="str">
        <x:v>永辉空王礼服</x:v>
      </x:c>
      <x:c r="F60" s="35" t="str">
        <x:v>时装生肖11</x:v>
      </x:c>
      <x:c r="G60" s="35" t="str">
        <x:v>外观编号待核</x:v>
      </x:c>
      <x:c r="H60" s="35" t="str">
        <x:v>C10-M060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2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8" hidden="0" customWidth="1"/>
    <x:col min="12" max="12" width="18" hidden="0" customWidth="1"/>
    <x:col min="13" max="13" width="16" hidden="0" customWidth="1"/>
    <x:col min="14" max="14" width="48" hidden="0" customWidth="1"/>
  </x:cols>
  <x:sheetData>
    <x:row r="1" ht="30" customHeight="1">
      <x:c r="A1" s="4" t="str">
        <x:v>从命格25攻速到后续35的来源预算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2" customHeight="1">
      <x:c r="A2" s="11" t="str">
        <x:v>配套前提：彩色【快人三步】保留普通攻速3并新增突破5；本轮主配置只选一次。重复命格仍需压力测试，不新增全局硬封顶。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19" t="str">
        <x:v>大陆</x:v>
      </x:c>
      <x:c r="B4" s="19" t="str">
        <x:v>名称</x:v>
      </x:c>
      <x:c r="C4" s="19" t="str">
        <x:v>主手选择</x:v>
      </x:c>
      <x:c r="D4" s="19" t="str">
        <x:v>时装武器选择</x:v>
      </x:c>
      <x:c r="E4" s="19" t="str">
        <x:v>主手普通攻速</x:v>
      </x:c>
      <x:c r="F4" s="19" t="str">
        <x:v>命格普通攻速</x:v>
      </x:c>
      <x:c r="G4" s="19" t="str">
        <x:v>命格突破</x:v>
      </x:c>
      <x:c r="H4" s="19" t="str">
        <x:v>主手突破</x:v>
      </x:c>
      <x:c r="I4" s="19" t="str">
        <x:v>时装突破</x:v>
      </x:c>
      <x:c r="J4" s="19" t="str">
        <x:v>独立称号累计突破</x:v>
      </x:c>
      <x:c r="K4" s="19" t="str">
        <x:v>普通攻速合计</x:v>
      </x:c>
      <x:c r="L4" s="19" t="str">
        <x:v>突破开放上限</x:v>
      </x:c>
      <x:c r="M4" s="19" t="str">
        <x:v>实际S_eff</x:v>
      </x:c>
      <x:c r="N4" s="19" t="str">
        <x:v>状态</x:v>
      </x:c>
    </x:row>
    <x:row r="5" ht="42" customHeight="1">
      <x:c r="A5" s="34" t="str">
        <x:v>C03</x:v>
      </x:c>
      <x:c r="B5" s="34" t="str">
        <x:v>宁姆格福西域</x:v>
      </x:c>
      <x:c r="C5" s="34" t="str">
        <x:v>艾德统帅剑</x:v>
      </x:c>
      <x:c r="D5" s="34" t="str">
        <x:v>征风仪刃</x:v>
      </x:c>
      <x:c r="E5" s="34" t="n">
        <x:v>25</x:v>
      </x:c>
      <x:c r="F5" s="34" t="n">
        <x:v>3</x:v>
      </x:c>
      <x:c r="G5" s="34" t="n">
        <x:v>5</x:v>
      </x:c>
      <x:c r="H5" s="34" t="n">
        <x:v>1</x:v>
      </x:c>
      <x:c r="I5" s="34" t="n">
        <x:v>1</x:v>
      </x:c>
      <x:c r="J5" s="34" t="n">
        <x:v>1</x:v>
      </x:c>
      <x:c r="K5" s="34" t="n">
        <x:f>E5+F5</x:f>
        <x:v>28</x:v>
      </x:c>
      <x:c r="L5" s="34" t="n">
        <x:f>20+G5+H5+I5+J5</x:f>
        <x:v>28</x:v>
      </x:c>
      <x:c r="M5" s="34" t="n">
        <x:f>MIN(K5,L5,50)</x:f>
        <x:v>28</x:v>
      </x:c>
      <x:c r="N5" s="34" t="str">
        <x:v>需采用快人三步新增5突破及本轮称号计划；非现服已经全生效</x:v>
      </x:c>
    </x:row>
    <x:row r="6" ht="42" customHeight="1">
      <x:c r="A6" s="34" t="str">
        <x:v>C04</x:v>
      </x:c>
      <x:c r="B6" s="34" t="str">
        <x:v>利耶尼亚海域</x:v>
      </x:c>
      <x:c r="C6" s="34" t="str">
        <x:v>莱弥恩的封湖巨剑</x:v>
      </x:c>
      <x:c r="D6" s="34" t="str">
        <x:v>封潮祭刃</x:v>
      </x:c>
      <x:c r="E6" s="34" t="n">
        <x:v>26</x:v>
      </x:c>
      <x:c r="F6" s="34" t="n">
        <x:v>3</x:v>
      </x:c>
      <x:c r="G6" s="34" t="n">
        <x:v>5</x:v>
      </x:c>
      <x:c r="H6" s="34" t="n">
        <x:v>1</x:v>
      </x:c>
      <x:c r="I6" s="34" t="n">
        <x:v>1</x:v>
      </x:c>
      <x:c r="J6" s="34" t="n">
        <x:v>1</x:v>
      </x:c>
      <x:c r="K6" s="34" t="n">
        <x:f>E6+F6</x:f>
        <x:v>29</x:v>
      </x:c>
      <x:c r="L6" s="34" t="n">
        <x:f>20+G6+H6+I6+J6</x:f>
        <x:v>28</x:v>
      </x:c>
      <x:c r="M6" s="34" t="n">
        <x:f>MIN(K6,L6,50)</x:f>
        <x:v>28</x:v>
      </x:c>
      <x:c r="N6" s="34" t="str">
        <x:v>需采用快人三步新增5突破及本轮称号计划；非现服已经全生效</x:v>
      </x:c>
    </x:row>
    <x:row r="7" ht="42" customHeight="1">
      <x:c r="A7" s="34" t="str">
        <x:v>C05</x:v>
      </x:c>
      <x:c r="B7" s="34" t="str">
        <x:v>湖之利耶尼亚</x:v>
      </x:c>
      <x:c r="C7" s="34" t="str">
        <x:v>卡利亚月裁长刃</x:v>
      </x:c>
      <x:c r="D7" s="34" t="str">
        <x:v>残月仪剑</x:v>
      </x:c>
      <x:c r="E7" s="34" t="n">
        <x:v>28</x:v>
      </x:c>
      <x:c r="F7" s="34" t="n">
        <x:v>3</x:v>
      </x:c>
      <x:c r="G7" s="34" t="n">
        <x:v>5</x:v>
      </x:c>
      <x:c r="H7" s="34" t="n">
        <x:v>2</x:v>
      </x:c>
      <x:c r="I7" s="34" t="n">
        <x:v>1</x:v>
      </x:c>
      <x:c r="J7" s="34" t="n">
        <x:v>2</x:v>
      </x:c>
      <x:c r="K7" s="34" t="n">
        <x:f>E7+F7</x:f>
        <x:v>31</x:v>
      </x:c>
      <x:c r="L7" s="34" t="n">
        <x:f>20+G7+H7+I7+J7</x:f>
        <x:v>30</x:v>
      </x:c>
      <x:c r="M7" s="34" t="n">
        <x:f>MIN(K7,L7,50)</x:f>
        <x:v>30</x:v>
      </x:c>
      <x:c r="N7" s="34" t="str">
        <x:v>需采用快人三步新增5突破及本轮称号计划；非现服已经全生效</x:v>
      </x:c>
    </x:row>
    <x:row r="8" ht="42" customHeight="1">
      <x:c r="A8" s="34" t="str">
        <x:v>C06</x:v>
      </x:c>
      <x:c r="B8" s="34" t="str">
        <x:v>盖利德</x:v>
      </x:c>
      <x:c r="C8" s="34" t="str">
        <x:v>卡利亚月裁长刃</x:v>
      </x:c>
      <x:c r="D8" s="34" t="str">
        <x:v>陨星礼锋</x:v>
      </x:c>
      <x:c r="E8" s="34" t="n">
        <x:v>28</x:v>
      </x:c>
      <x:c r="F8" s="34" t="n">
        <x:v>3</x:v>
      </x:c>
      <x:c r="G8" s="34" t="n">
        <x:v>5</x:v>
      </x:c>
      <x:c r="H8" s="34" t="n">
        <x:v>2</x:v>
      </x:c>
      <x:c r="I8" s="34" t="n">
        <x:v>1</x:v>
      </x:c>
      <x:c r="J8" s="34" t="n">
        <x:v>2</x:v>
      </x:c>
      <x:c r="K8" s="34" t="n">
        <x:f>E8+F8</x:f>
        <x:v>31</x:v>
      </x:c>
      <x:c r="L8" s="34" t="n">
        <x:f>20+G8+H8+I8+J8</x:f>
        <x:v>30</x:v>
      </x:c>
      <x:c r="M8" s="34" t="n">
        <x:f>MIN(K8,L8,50)</x:f>
        <x:v>30</x:v>
      </x:c>
      <x:c r="N8" s="34" t="str">
        <x:v>需采用快人三步新增5突破及本轮称号计划；非现服已经全生效</x:v>
      </x:c>
    </x:row>
    <x:row r="9" ht="42" customHeight="1">
      <x:c r="A9" s="34" t="str">
        <x:v>C07</x:v>
      </x:c>
      <x:c r="B9" s="34" t="str">
        <x:v>化圣雪原</x:v>
      </x:c>
      <x:c r="C9" s="34" t="str">
        <x:v>赫洛冻拳</x:v>
      </x:c>
      <x:c r="D9" s="34" t="str">
        <x:v>永霜白金刃</x:v>
      </x:c>
      <x:c r="E9" s="34" t="n">
        <x:v>29</x:v>
      </x:c>
      <x:c r="F9" s="34" t="n">
        <x:v>3</x:v>
      </x:c>
      <x:c r="G9" s="34" t="n">
        <x:v>5</x:v>
      </x:c>
      <x:c r="H9" s="34" t="n">
        <x:v>2</x:v>
      </x:c>
      <x:c r="I9" s="34" t="n">
        <x:v>2</x:v>
      </x:c>
      <x:c r="J9" s="34" t="n">
        <x:v>3</x:v>
      </x:c>
      <x:c r="K9" s="34" t="n">
        <x:f>E9+F9</x:f>
        <x:v>32</x:v>
      </x:c>
      <x:c r="L9" s="34" t="n">
        <x:f>20+G9+H9+I9+J9</x:f>
        <x:v>32</x:v>
      </x:c>
      <x:c r="M9" s="34" t="n">
        <x:f>MIN(K9,L9,50)</x:f>
        <x:v>32</x:v>
      </x:c>
      <x:c r="N9" s="34" t="str">
        <x:v>需采用快人三步新增5突破及本轮称号计划；非现服已经全生效</x:v>
      </x:c>
    </x:row>
    <x:row r="10" ht="42" customHeight="1">
      <x:c r="A10" s="34" t="str">
        <x:v>C08</x:v>
      </x:c>
      <x:c r="B10" s="34" t="str">
        <x:v>巨人山顶</x:v>
      </x:c>
      <x:c r="C10" s="34" t="str">
        <x:v>乌尔迈吞日巨剑</x:v>
      </x:c>
      <x:c r="D10" s="34" t="str">
        <x:v>永霜白金刃</x:v>
      </x:c>
      <x:c r="E10" s="34" t="n">
        <x:v>30</x:v>
      </x:c>
      <x:c r="F10" s="34" t="n">
        <x:v>3</x:v>
      </x:c>
      <x:c r="G10" s="34" t="n">
        <x:v>5</x:v>
      </x:c>
      <x:c r="H10" s="34" t="n">
        <x:v>2</x:v>
      </x:c>
      <x:c r="I10" s="34" t="n">
        <x:v>2</x:v>
      </x:c>
      <x:c r="J10" s="34" t="n">
        <x:v>3</x:v>
      </x:c>
      <x:c r="K10" s="34" t="n">
        <x:f>E10+F10</x:f>
        <x:v>33</x:v>
      </x:c>
      <x:c r="L10" s="34" t="n">
        <x:f>20+G10+H10+I10+J10</x:f>
        <x:v>32</x:v>
      </x:c>
      <x:c r="M10" s="34" t="n">
        <x:f>MIN(K10,L10,50)</x:f>
        <x:v>32</x:v>
      </x:c>
      <x:c r="N10" s="34" t="str">
        <x:v>需采用快人三步新增5突破及本轮称号计划；非现服已经全生效</x:v>
      </x:c>
    </x:row>
    <x:row r="11" ht="42" customHeight="1">
      <x:c r="A11" s="34" t="str">
        <x:v>C09</x:v>
      </x:c>
      <x:c r="B11" s="34" t="str">
        <x:v>亚坛高原</x:v>
      </x:c>
      <x:c r="C11" s="34" t="str">
        <x:v>黄金律裁阳刃</x:v>
      </x:c>
      <x:c r="D11" s="34" t="str">
        <x:v>永霜白金刃</x:v>
      </x:c>
      <x:c r="E11" s="34" t="n">
        <x:v>32</x:v>
      </x:c>
      <x:c r="F11" s="34" t="n">
        <x:v>3</x:v>
      </x:c>
      <x:c r="G11" s="34" t="n">
        <x:v>5</x:v>
      </x:c>
      <x:c r="H11" s="34" t="n">
        <x:v>3</x:v>
      </x:c>
      <x:c r="I11" s="34" t="n">
        <x:v>2</x:v>
      </x:c>
      <x:c r="J11" s="34" t="n">
        <x:v>4</x:v>
      </x:c>
      <x:c r="K11" s="34" t="n">
        <x:f>E11+F11</x:f>
        <x:v>35</x:v>
      </x:c>
      <x:c r="L11" s="34" t="n">
        <x:f>20+G11+H11+I11+J11</x:f>
        <x:v>34</x:v>
      </x:c>
      <x:c r="M11" s="34" t="n">
        <x:f>MIN(K11,L11,50)</x:f>
        <x:v>34</x:v>
      </x:c>
      <x:c r="N11" s="34" t="str">
        <x:v>需采用快人三步新增5突破及本轮称号计划；非现服已经全生效</x:v>
      </x:c>
    </x:row>
    <x:row r="12" ht="42" customHeight="1">
      <x:c r="A12" s="35" t="str">
        <x:v>C10</x:v>
      </x:c>
      <x:c r="B12" s="35" t="str">
        <x:v>王城罗德尔</x:v>
      </x:c>
      <x:c r="C12" s="35" t="str">
        <x:v>王座终裁圣刃</x:v>
      </x:c>
      <x:c r="D12" s="35" t="str">
        <x:v>永霜白金刃</x:v>
      </x:c>
      <x:c r="E12" s="35" t="n">
        <x:v>32</x:v>
      </x:c>
      <x:c r="F12" s="35" t="n">
        <x:v>3</x:v>
      </x:c>
      <x:c r="G12" s="35" t="n">
        <x:v>5</x:v>
      </x:c>
      <x:c r="H12" s="35" t="n">
        <x:v>3</x:v>
      </x:c>
      <x:c r="I12" s="35" t="n">
        <x:v>2</x:v>
      </x:c>
      <x:c r="J12" s="35" t="n">
        <x:v>5</x:v>
      </x:c>
      <x:c r="K12" s="35" t="n">
        <x:f>E12+F12</x:f>
        <x:v>35</x:v>
      </x:c>
      <x:c r="L12" s="35" t="n">
        <x:f>20+G12+H12+I12+J12</x:f>
        <x:v>35</x:v>
      </x:c>
      <x:c r="M12" s="35" t="n">
        <x:f>MIN(K12,L12,50)</x:f>
        <x:v>35</x:v>
      </x:c>
      <x:c r="N12" s="35" t="str">
        <x:v>需采用快人三步新增5突破及本轮称号计划；非现服已经全生效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48" hidden="0" customWidth="1"/>
  </x:cols>
  <x:sheetData>
    <x:row r="1" ht="30" customHeight="1">
      <x:c r="A1" s="4" t="str">
        <x:v>C5无洗练约70有效吸收的分账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2" customHeight="1">
      <x:c r="A2" s="11" t="str">
        <x:v>本页为防御向选装参考，不是所有半急速人物必然同时拥有这些物品。实际吸收和吸收上限分开；全身40人需下一轮重算。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19" t="str">
        <x:v>大陆</x:v>
      </x:c>
      <x:c r="B4" s="19" t="str">
        <x:v>名称</x:v>
      </x:c>
      <x:c r="C4" s="19" t="str">
        <x:v>装备实际吸收</x:v>
      </x:c>
      <x:c r="D4" s="19" t="str">
        <x:v>命格实际吸收</x:v>
      </x:c>
      <x:c r="E4" s="19" t="str">
        <x:v>基础上限</x:v>
      </x:c>
      <x:c r="F4" s="19" t="str">
        <x:v>装备上限增加</x:v>
      </x:c>
      <x:c r="G4" s="19" t="str">
        <x:v>命格上限增加</x:v>
      </x:c>
      <x:c r="H4" s="19" t="str">
        <x:v>独立称号上限增加</x:v>
      </x:c>
      <x:c r="I4" s="19" t="str">
        <x:v>有效上限</x:v>
      </x:c>
      <x:c r="J4" s="19" t="str">
        <x:v>有效吸收</x:v>
      </x:c>
      <x:c r="K4" s="19" t="str">
        <x:v>条件</x:v>
      </x:c>
    </x:row>
    <x:row r="5" ht="42" customHeight="1">
      <x:c r="A5" s="34" t="str">
        <x:v>C03</x:v>
      </x:c>
      <x:c r="B5" s="34" t="str">
        <x:v>宁姆格福西域</x:v>
      </x:c>
      <x:c r="C5" s="34" t="n">
        <x:v>60</x:v>
      </x:c>
      <x:c r="D5" s="34" t="n">
        <x:v>6</x:v>
      </x:c>
      <x:c r="E5" s="34" t="n">
        <x:v>60</x:v>
      </x:c>
      <x:c r="F5" s="34" t="n">
        <x:v>2</x:v>
      </x:c>
      <x:c r="G5" s="34" t="n">
        <x:v>3</x:v>
      </x:c>
      <x:c r="H5" s="34" t="n">
        <x:v>1</x:v>
      </x:c>
      <x:c r="I5" s="34" t="n">
        <x:f>E5+F5+G5+H5</x:f>
        <x:v>66</x:v>
      </x:c>
      <x:c r="J5" s="34" t="n">
        <x:f>MIN(C5+D5,I5,85)</x:f>
        <x:v>66</x:v>
      </x:c>
      <x:c r="K5" s="34" t="str">
        <x:v>无洗练；防御向选装示例，含【万法不侵】一次及本轮独立称号配套</x:v>
      </x:c>
    </x:row>
    <x:row r="6" ht="42" customHeight="1">
      <x:c r="A6" s="34" t="str">
        <x:v>C04</x:v>
      </x:c>
      <x:c r="B6" s="34" t="str">
        <x:v>利耶尼亚海域</x:v>
      </x:c>
      <x:c r="C6" s="34" t="n">
        <x:v>62</x:v>
      </x:c>
      <x:c r="D6" s="34" t="n">
        <x:v>6</x:v>
      </x:c>
      <x:c r="E6" s="34" t="n">
        <x:v>60</x:v>
      </x:c>
      <x:c r="F6" s="34" t="n">
        <x:v>2</x:v>
      </x:c>
      <x:c r="G6" s="34" t="n">
        <x:v>3</x:v>
      </x:c>
      <x:c r="H6" s="34" t="n">
        <x:v>1</x:v>
      </x:c>
      <x:c r="I6" s="34" t="n">
        <x:f>E6+F6+G6+H6</x:f>
        <x:v>66</x:v>
      </x:c>
      <x:c r="J6" s="34" t="n">
        <x:f>MIN(C6+D6,I6,85)</x:f>
        <x:v>66</x:v>
      </x:c>
      <x:c r="K6" s="34" t="str">
        <x:v>无洗练；防御向选装示例，含【万法不侵】一次及本轮独立称号配套</x:v>
      </x:c>
    </x:row>
    <x:row r="7" ht="42" customHeight="1">
      <x:c r="A7" s="34" t="str">
        <x:v>C05</x:v>
      </x:c>
      <x:c r="B7" s="34" t="str">
        <x:v>湖之利耶尼亚</x:v>
      </x:c>
      <x:c r="C7" s="34" t="n">
        <x:v>64</x:v>
      </x:c>
      <x:c r="D7" s="34" t="n">
        <x:v>6</x:v>
      </x:c>
      <x:c r="E7" s="34" t="n">
        <x:v>60</x:v>
      </x:c>
      <x:c r="F7" s="34" t="n">
        <x:v>4</x:v>
      </x:c>
      <x:c r="G7" s="34" t="n">
        <x:v>3</x:v>
      </x:c>
      <x:c r="H7" s="34" t="n">
        <x:v>3</x:v>
      </x:c>
      <x:c r="I7" s="34" t="n">
        <x:f>E7+F7+G7+H7</x:f>
        <x:v>70</x:v>
      </x:c>
      <x:c r="J7" s="34" t="n">
        <x:f>MIN(C7+D7,I7,85)</x:f>
        <x:v>70</x:v>
      </x:c>
      <x:c r="K7" s="34" t="str">
        <x:v>无洗练；防御向选装示例，含【万法不侵】一次及本轮独立称号配套</x:v>
      </x:c>
    </x:row>
    <x:row r="8" ht="42" customHeight="1">
      <x:c r="A8" s="34" t="str">
        <x:v>C06</x:v>
      </x:c>
      <x:c r="B8" s="34" t="str">
        <x:v>盖利德</x:v>
      </x:c>
      <x:c r="C8" s="34" t="n">
        <x:v>64</x:v>
      </x:c>
      <x:c r="D8" s="34" t="n">
        <x:v>6</x:v>
      </x:c>
      <x:c r="E8" s="34" t="n">
        <x:v>60</x:v>
      </x:c>
      <x:c r="F8" s="34" t="n">
        <x:v>4</x:v>
      </x:c>
      <x:c r="G8" s="34" t="n">
        <x:v>3</x:v>
      </x:c>
      <x:c r="H8" s="34" t="n">
        <x:v>3</x:v>
      </x:c>
      <x:c r="I8" s="34" t="n">
        <x:f>E8+F8+G8+H8</x:f>
        <x:v>70</x:v>
      </x:c>
      <x:c r="J8" s="34" t="n">
        <x:f>MIN(C8+D8,I8,85)</x:f>
        <x:v>70</x:v>
      </x:c>
      <x:c r="K8" s="34" t="str">
        <x:v>无洗练；防御向选装示例，含【万法不侵】一次及本轮独立称号配套</x:v>
      </x:c>
    </x:row>
    <x:row r="9" ht="42" customHeight="1">
      <x:c r="A9" s="34" t="str">
        <x:v>C07</x:v>
      </x:c>
      <x:c r="B9" s="34" t="str">
        <x:v>化圣雪原</x:v>
      </x:c>
      <x:c r="C9" s="34" t="n">
        <x:v>64</x:v>
      </x:c>
      <x:c r="D9" s="34" t="n">
        <x:v>6</x:v>
      </x:c>
      <x:c r="E9" s="34" t="n">
        <x:v>60</x:v>
      </x:c>
      <x:c r="F9" s="34" t="n">
        <x:v>4</x:v>
      </x:c>
      <x:c r="G9" s="34" t="n">
        <x:v>3</x:v>
      </x:c>
      <x:c r="H9" s="34" t="n">
        <x:v>3</x:v>
      </x:c>
      <x:c r="I9" s="34" t="n">
        <x:f>E9+F9+G9+H9</x:f>
        <x:v>70</x:v>
      </x:c>
      <x:c r="J9" s="34" t="n">
        <x:f>MIN(C9+D9,I9,85)</x:f>
        <x:v>70</x:v>
      </x:c>
      <x:c r="K9" s="34" t="str">
        <x:v>无洗练；防御向选装示例，含【万法不侵】一次及本轮独立称号配套</x:v>
      </x:c>
    </x:row>
    <x:row r="10" ht="42" customHeight="1">
      <x:c r="A10" s="34" t="str">
        <x:v>C08</x:v>
      </x:c>
      <x:c r="B10" s="34" t="str">
        <x:v>巨人山顶</x:v>
      </x:c>
      <x:c r="C10" s="34" t="n">
        <x:v>67</x:v>
      </x:c>
      <x:c r="D10" s="34" t="n">
        <x:v>6</x:v>
      </x:c>
      <x:c r="E10" s="34" t="n">
        <x:v>60</x:v>
      </x:c>
      <x:c r="F10" s="34" t="n">
        <x:v>9</x:v>
      </x:c>
      <x:c r="G10" s="34" t="n">
        <x:v>3</x:v>
      </x:c>
      <x:c r="H10" s="34" t="n">
        <x:v>3</x:v>
      </x:c>
      <x:c r="I10" s="34" t="n">
        <x:f>E10+F10+G10+H10</x:f>
        <x:v>75</x:v>
      </x:c>
      <x:c r="J10" s="34" t="n">
        <x:f>MIN(C10+D10,I10,85)</x:f>
        <x:v>73</x:v>
      </x:c>
      <x:c r="K10" s="34" t="str">
        <x:v>无洗练；防御向选装示例，含【万法不侵】一次及本轮独立称号配套</x:v>
      </x:c>
    </x:row>
    <x:row r="11" ht="42" customHeight="1">
      <x:c r="A11" s="34" t="str">
        <x:v>C09</x:v>
      </x:c>
      <x:c r="B11" s="34" t="str">
        <x:v>亚坛高原</x:v>
      </x:c>
      <x:c r="C11" s="34" t="n">
        <x:v>67</x:v>
      </x:c>
      <x:c r="D11" s="34" t="n">
        <x:v>6</x:v>
      </x:c>
      <x:c r="E11" s="34" t="n">
        <x:v>60</x:v>
      </x:c>
      <x:c r="F11" s="34" t="n">
        <x:v>9</x:v>
      </x:c>
      <x:c r="G11" s="34" t="n">
        <x:v>3</x:v>
      </x:c>
      <x:c r="H11" s="34" t="n">
        <x:v>3</x:v>
      </x:c>
      <x:c r="I11" s="34" t="n">
        <x:f>E11+F11+G11+H11</x:f>
        <x:v>75</x:v>
      </x:c>
      <x:c r="J11" s="34" t="n">
        <x:f>MIN(C11+D11,I11,85)</x:f>
        <x:v>73</x:v>
      </x:c>
      <x:c r="K11" s="34" t="str">
        <x:v>无洗练；防御向选装示例，含【万法不侵】一次及本轮独立称号配套</x:v>
      </x:c>
    </x:row>
    <x:row r="12" ht="42" customHeight="1">
      <x:c r="A12" s="35" t="str">
        <x:v>C10</x:v>
      </x:c>
      <x:c r="B12" s="35" t="str">
        <x:v>王城罗德尔</x:v>
      </x:c>
      <x:c r="C12" s="35" t="n">
        <x:v>67</x:v>
      </x:c>
      <x:c r="D12" s="35" t="n">
        <x:v>6</x:v>
      </x:c>
      <x:c r="E12" s="35" t="n">
        <x:v>60</x:v>
      </x:c>
      <x:c r="F12" s="35" t="n">
        <x:v>9</x:v>
      </x:c>
      <x:c r="G12" s="35" t="n">
        <x:v>3</x:v>
      </x:c>
      <x:c r="H12" s="35" t="n">
        <x:v>3</x:v>
      </x:c>
      <x:c r="I12" s="35" t="n">
        <x:f>E12+F12+G12+H12</x:f>
        <x:v>75</x:v>
      </x:c>
      <x:c r="J12" s="35" t="n">
        <x:f>MIN(C12+D12,I12,85)</x:f>
        <x:v>73</x:v>
      </x:c>
      <x:c r="K12" s="35" t="str">
        <x:v>无洗练；防御向选装示例，含【万法不侵】一次及本轮独立称号配套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6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防御预算逐件依据</x:v>
      </x:c>
      <x:c r="B1" s="4"/>
      <x:c r="C1" s="4"/>
      <x:c r="D1" s="4"/>
      <x:c r="E1" s="4"/>
      <x:c r="F1" s="4"/>
    </x:row>
    <x:row r="2" ht="42" customHeight="1">
      <x:c r="A2" s="11" t="str">
        <x:v>左右手镯/戒指按2个实物计算；同槽升级替换。这里只有防御核算，不是完整人物。</x:v>
      </x:c>
      <x:c r="B2" s="11"/>
      <x:c r="C2" s="11"/>
      <x:c r="D2" s="11"/>
      <x:c r="E2" s="11"/>
      <x:c r="F2" s="11"/>
    </x:row>
    <x:row r="4" ht="34" customHeight="1">
      <x:c r="A4" s="19" t="str">
        <x:v>大陆</x:v>
      </x:c>
      <x:c r="B4" s="19" t="str">
        <x:v>部位</x:v>
      </x:c>
      <x:c r="C4" s="19" t="str">
        <x:v>具体物品</x:v>
      </x:c>
      <x:c r="D4" s="19" t="str">
        <x:v>实物数量</x:v>
      </x:c>
      <x:c r="E4" s="19" t="str">
        <x:v>单件实际吸收</x:v>
      </x:c>
      <x:c r="F4" s="19" t="str">
        <x:v>单件上限增加</x:v>
      </x:c>
    </x:row>
    <x:row r="5" ht="42" customHeight="1">
      <x:c r="A5" s="34" t="n">
        <x:v>3</x:v>
      </x:c>
      <x:c r="B5" s="34" t="str">
        <x:v>衣服</x:v>
      </x:c>
      <x:c r="C5" s="34" t="str">
        <x:v>洛恩树心甲</x:v>
      </x:c>
      <x:c r="D5" s="34" t="n">
        <x:v>1</x:v>
      </x:c>
      <x:c r="E5" s="34" t="n">
        <x:v>20</x:v>
      </x:c>
      <x:c r="F5" s="34" t="n">
        <x:v>1</x:v>
      </x:c>
    </x:row>
    <x:row r="6" ht="42" customHeight="1">
      <x:c r="A6" s="34" t="n">
        <x:v>3</x:v>
      </x:c>
      <x:c r="B6" s="34" t="str">
        <x:v>盾牌</x:v>
      </x:c>
      <x:c r="C6" s="34" t="str">
        <x:v>守门王盾</x:v>
      </x:c>
      <x:c r="D6" s="34" t="n">
        <x:v>1</x:v>
      </x:c>
      <x:c r="E6" s="34" t="n">
        <x:v>9</x:v>
      </x:c>
      <x:c r="F6" s="34" t="n">
        <x:v>0</x:v>
      </x:c>
    </x:row>
    <x:row r="7" ht="42" customHeight="1">
      <x:c r="A7" s="34" t="n">
        <x:v>3</x:v>
      </x:c>
      <x:c r="B7" s="34" t="str">
        <x:v>头盔</x:v>
      </x:c>
      <x:c r="C7" s="34" t="str">
        <x:v>断途战冠</x:v>
      </x:c>
      <x:c r="D7" s="34" t="n">
        <x:v>1</x:v>
      </x:c>
      <x:c r="E7" s="34" t="n">
        <x:v>4</x:v>
      </x:c>
      <x:c r="F7" s="34" t="n">
        <x:v>0</x:v>
      </x:c>
    </x:row>
    <x:row r="8" ht="42" customHeight="1">
      <x:c r="A8" s="34" t="n">
        <x:v>3</x:v>
      </x:c>
      <x:c r="B8" s="34" t="str">
        <x:v>腰带</x:v>
      </x:c>
      <x:c r="C8" s="34" t="str">
        <x:v>铜门束带</x:v>
      </x:c>
      <x:c r="D8" s="34" t="n">
        <x:v>1</x:v>
      </x:c>
      <x:c r="E8" s="34" t="n">
        <x:v>2</x:v>
      </x:c>
      <x:c r="F8" s="34" t="n">
        <x:v>0</x:v>
      </x:c>
    </x:row>
    <x:row r="9" ht="42" customHeight="1">
      <x:c r="A9" s="34" t="n">
        <x:v>3</x:v>
      </x:c>
      <x:c r="B9" s="34" t="str">
        <x:v>鞋子</x:v>
      </x:c>
      <x:c r="C9" s="34" t="str">
        <x:v>逐风征靴</x:v>
      </x:c>
      <x:c r="D9" s="34" t="n">
        <x:v>1</x:v>
      </x:c>
      <x:c r="E9" s="34" t="n">
        <x:v>3</x:v>
      </x:c>
      <x:c r="F9" s="34" t="n">
        <x:v>0</x:v>
      </x:c>
    </x:row>
    <x:row r="10" ht="42" customHeight="1">
      <x:c r="A10" s="34" t="n">
        <x:v>3</x:v>
      </x:c>
      <x:c r="B10" s="34" t="str">
        <x:v>斗笠</x:v>
      </x:c>
      <x:c r="C10" s="34" t="str">
        <x:v>灰篷面巾</x:v>
      </x:c>
      <x:c r="D10" s="34" t="n">
        <x:v>1</x:v>
      </x:c>
      <x:c r="E10" s="34" t="n">
        <x:v>1</x:v>
      </x:c>
      <x:c r="F10" s="34" t="n">
        <x:v>0</x:v>
      </x:c>
    </x:row>
    <x:row r="11" ht="42" customHeight="1">
      <x:c r="A11" s="34" t="n">
        <x:v>3</x:v>
      </x:c>
      <x:c r="B11" s="34" t="str">
        <x:v>手镯</x:v>
      </x:c>
      <x:c r="C11" s="34" t="str">
        <x:v>百指接肢腕</x:v>
      </x:c>
      <x:c r="D11" s="34" t="n">
        <x:v>2</x:v>
      </x:c>
      <x:c r="E11" s="34" t="n">
        <x:v>2</x:v>
      </x:c>
      <x:c r="F11" s="34" t="n">
        <x:v>0</x:v>
      </x:c>
    </x:row>
    <x:row r="12" ht="42" customHeight="1">
      <x:c r="A12" s="34" t="n">
        <x:v>3</x:v>
      </x:c>
      <x:c r="B12" s="34" t="str">
        <x:v>戒指</x:v>
      </x:c>
      <x:c r="C12" s="34" t="str">
        <x:v>圣律戒印</x:v>
      </x:c>
      <x:c r="D12" s="34" t="n">
        <x:v>2</x:v>
      </x:c>
      <x:c r="E12" s="34" t="n">
        <x:v>1</x:v>
      </x:c>
      <x:c r="F12" s="34" t="n">
        <x:v>0</x:v>
      </x:c>
    </x:row>
    <x:row r="13" ht="42" customHeight="1">
      <x:c r="A13" s="34" t="n">
        <x:v>3</x:v>
      </x:c>
      <x:c r="B13" s="34" t="str">
        <x:v>勋章</x:v>
      </x:c>
      <x:c r="C13" s="34" t="str">
        <x:v>镇魂勋章</x:v>
      </x:c>
      <x:c r="D13" s="34" t="n">
        <x:v>1</x:v>
      </x:c>
      <x:c r="E13" s="34" t="n">
        <x:v>0</x:v>
      </x:c>
      <x:c r="F13" s="34" t="n">
        <x:v>0</x:v>
      </x:c>
    </x:row>
    <x:row r="14" ht="42" customHeight="1">
      <x:c r="A14" s="34" t="n">
        <x:v>3</x:v>
      </x:c>
      <x:c r="B14" s="34" t="str">
        <x:v>时装衣服</x:v>
      </x:c>
      <x:c r="C14" s="34" t="str">
        <x:v>失旗王袍</x:v>
      </x:c>
      <x:c r="D14" s="34" t="n">
        <x:v>1</x:v>
      </x:c>
      <x:c r="E14" s="34" t="n">
        <x:v>12</x:v>
      </x:c>
      <x:c r="F14" s="34" t="n">
        <x:v>1</x:v>
      </x:c>
    </x:row>
    <x:row r="15" ht="42" customHeight="1">
      <x:c r="A15" s="34" t="n">
        <x:v>3</x:v>
      </x:c>
      <x:c r="B15" s="34" t="str">
        <x:v>时装头盔</x:v>
      </x:c>
      <x:c r="C15" s="34" t="str">
        <x:v>荒原誓冠</x:v>
      </x:c>
      <x:c r="D15" s="34" t="n">
        <x:v>1</x:v>
      </x:c>
      <x:c r="E15" s="34" t="n">
        <x:v>1</x:v>
      </x:c>
      <x:c r="F15" s="34" t="n">
        <x:v>0</x:v>
      </x:c>
    </x:row>
    <x:row r="16" ht="42" customHeight="1">
      <x:c r="A16" s="34" t="n">
        <x:v>3</x:v>
      </x:c>
      <x:c r="B16" s="34" t="str">
        <x:v>时装项链</x:v>
      </x:c>
      <x:c r="C16" s="34" t="str">
        <x:v>断途风铃</x:v>
      </x:c>
      <x:c r="D16" s="34" t="n">
        <x:v>1</x:v>
      </x:c>
      <x:c r="E16" s="34" t="n">
        <x:v>0</x:v>
      </x:c>
      <x:c r="F16" s="34" t="n">
        <x:v>0</x:v>
      </x:c>
    </x:row>
    <x:row r="17" ht="42" customHeight="1">
      <x:c r="A17" s="34" t="n">
        <x:v>3</x:v>
      </x:c>
      <x:c r="B17" s="34" t="str">
        <x:v>时装手镯</x:v>
      </x:c>
      <x:c r="C17" s="34" t="str">
        <x:v>古垒余烬腕</x:v>
      </x:c>
      <x:c r="D17" s="34" t="n">
        <x:v>2</x:v>
      </x:c>
      <x:c r="E17" s="34" t="n">
        <x:v>1</x:v>
      </x:c>
      <x:c r="F17" s="34" t="n">
        <x:v>0</x:v>
      </x:c>
    </x:row>
    <x:row r="18" ht="42" customHeight="1">
      <x:c r="A18" s="34" t="n">
        <x:v>3</x:v>
      </x:c>
      <x:c r="B18" s="34" t="str">
        <x:v>时装戒指</x:v>
      </x:c>
      <x:c r="C18" s="34" t="str">
        <x:v>哨光誓戒</x:v>
      </x:c>
      <x:c r="D18" s="34" t="n">
        <x:v>2</x:v>
      </x:c>
      <x:c r="E18" s="34" t="n">
        <x:v>0</x:v>
      </x:c>
      <x:c r="F18" s="34" t="n">
        <x:v>0</x:v>
      </x:c>
    </x:row>
    <x:row r="19" ht="42" customHeight="1">
      <x:c r="A19" s="34" t="n">
        <x:v>4</x:v>
      </x:c>
      <x:c r="B19" s="34" t="str">
        <x:v>衣服</x:v>
      </x:c>
      <x:c r="C19" s="34" t="str">
        <x:v>弥洛镜水衣</x:v>
      </x:c>
      <x:c r="D19" s="34" t="n">
        <x:v>1</x:v>
      </x:c>
      <x:c r="E19" s="34" t="n">
        <x:v>20</x:v>
      </x:c>
      <x:c r="F19" s="34" t="n">
        <x:v>1</x:v>
      </x:c>
    </x:row>
    <x:row r="20" ht="42" customHeight="1">
      <x:c r="A20" s="34" t="n">
        <x:v>4</x:v>
      </x:c>
      <x:c r="B20" s="34" t="str">
        <x:v>盾牌</x:v>
      </x:c>
      <x:c r="C20" s="34" t="str">
        <x:v>桨官铁盾</x:v>
      </x:c>
      <x:c r="D20" s="34" t="n">
        <x:v>1</x:v>
      </x:c>
      <x:c r="E20" s="34" t="n">
        <x:v>9</x:v>
      </x:c>
      <x:c r="F20" s="34" t="n">
        <x:v>0</x:v>
      </x:c>
    </x:row>
    <x:row r="21" ht="42" customHeight="1">
      <x:c r="A21" s="34" t="n">
        <x:v>4</x:v>
      </x:c>
      <x:c r="B21" s="34" t="str">
        <x:v>头盔</x:v>
      </x:c>
      <x:c r="C21" s="34" t="str">
        <x:v>断途战冠</x:v>
      </x:c>
      <x:c r="D21" s="34" t="n">
        <x:v>1</x:v>
      </x:c>
      <x:c r="E21" s="34" t="n">
        <x:v>4</x:v>
      </x:c>
      <x:c r="F21" s="34" t="n">
        <x:v>0</x:v>
      </x:c>
    </x:row>
    <x:row r="22" ht="42" customHeight="1">
      <x:c r="A22" s="34" t="n">
        <x:v>4</x:v>
      </x:c>
      <x:c r="B22" s="34" t="str">
        <x:v>腰带</x:v>
      </x:c>
      <x:c r="C22" s="34" t="str">
        <x:v>闭潮王带</x:v>
      </x:c>
      <x:c r="D22" s="34" t="n">
        <x:v>1</x:v>
      </x:c>
      <x:c r="E22" s="34" t="n">
        <x:v>3</x:v>
      </x:c>
      <x:c r="F22" s="34" t="n">
        <x:v>0</x:v>
      </x:c>
    </x:row>
    <x:row r="23" ht="42" customHeight="1">
      <x:c r="A23" s="34" t="n">
        <x:v>4</x:v>
      </x:c>
      <x:c r="B23" s="34" t="str">
        <x:v>鞋子</x:v>
      </x:c>
      <x:c r="C23" s="34" t="str">
        <x:v>逐风征靴</x:v>
      </x:c>
      <x:c r="D23" s="34" t="n">
        <x:v>1</x:v>
      </x:c>
      <x:c r="E23" s="34" t="n">
        <x:v>3</x:v>
      </x:c>
      <x:c r="F23" s="34" t="n">
        <x:v>0</x:v>
      </x:c>
    </x:row>
    <x:row r="24" ht="42" customHeight="1">
      <x:c r="A24" s="34" t="n">
        <x:v>4</x:v>
      </x:c>
      <x:c r="B24" s="34" t="str">
        <x:v>斗笠</x:v>
      </x:c>
      <x:c r="C24" s="34" t="str">
        <x:v>回声盗墓笠</x:v>
      </x:c>
      <x:c r="D24" s="34" t="n">
        <x:v>1</x:v>
      </x:c>
      <x:c r="E24" s="34" t="n">
        <x:v>2</x:v>
      </x:c>
      <x:c r="F24" s="34" t="n">
        <x:v>0</x:v>
      </x:c>
    </x:row>
    <x:row r="25" ht="42" customHeight="1">
      <x:c r="A25" s="34" t="n">
        <x:v>4</x:v>
      </x:c>
      <x:c r="B25" s="34" t="str">
        <x:v>手镯</x:v>
      </x:c>
      <x:c r="C25" s="34" t="str">
        <x:v>缚链僧镯</x:v>
      </x:c>
      <x:c r="D25" s="34" t="n">
        <x:v>2</x:v>
      </x:c>
      <x:c r="E25" s="34" t="n">
        <x:v>2</x:v>
      </x:c>
      <x:c r="F25" s="34" t="n">
        <x:v>0</x:v>
      </x:c>
    </x:row>
    <x:row r="26" ht="42" customHeight="1">
      <x:c r="A26" s="34" t="n">
        <x:v>4</x:v>
      </x:c>
      <x:c r="B26" s="34" t="str">
        <x:v>戒指</x:v>
      </x:c>
      <x:c r="C26" s="34" t="str">
        <x:v>月渊秘戒</x:v>
      </x:c>
      <x:c r="D26" s="34" t="n">
        <x:v>2</x:v>
      </x:c>
      <x:c r="E26" s="34" t="n">
        <x:v>1</x:v>
      </x:c>
      <x:c r="F26" s="34" t="n">
        <x:v>0</x:v>
      </x:c>
    </x:row>
    <x:row r="27" ht="42" customHeight="1">
      <x:c r="A27" s="34" t="n">
        <x:v>4</x:v>
      </x:c>
      <x:c r="B27" s="34" t="str">
        <x:v>勋章</x:v>
      </x:c>
      <x:c r="C27" s="34" t="str">
        <x:v>镇魂勋章</x:v>
      </x:c>
      <x:c r="D27" s="34" t="n">
        <x:v>1</x:v>
      </x:c>
      <x:c r="E27" s="34" t="n">
        <x:v>0</x:v>
      </x:c>
      <x:c r="F27" s="34" t="n">
        <x:v>0</x:v>
      </x:c>
    </x:row>
    <x:row r="28" ht="42" customHeight="1">
      <x:c r="A28" s="34" t="n">
        <x:v>4</x:v>
      </x:c>
      <x:c r="B28" s="34" t="str">
        <x:v>时装衣服</x:v>
      </x:c>
      <x:c r="C28" s="34" t="str">
        <x:v>沉月纱衣</x:v>
      </x:c>
      <x:c r="D28" s="34" t="n">
        <x:v>1</x:v>
      </x:c>
      <x:c r="E28" s="34" t="n">
        <x:v>12</x:v>
      </x:c>
      <x:c r="F28" s="34" t="n">
        <x:v>1</x:v>
      </x:c>
    </x:row>
    <x:row r="29" ht="42" customHeight="1">
      <x:c r="A29" s="34" t="n">
        <x:v>4</x:v>
      </x:c>
      <x:c r="B29" s="34" t="str">
        <x:v>时装头盔</x:v>
      </x:c>
      <x:c r="C29" s="34" t="str">
        <x:v>幽舵三重冠</x:v>
      </x:c>
      <x:c r="D29" s="34" t="n">
        <x:v>1</x:v>
      </x:c>
      <x:c r="E29" s="34" t="n">
        <x:v>1</x:v>
      </x:c>
      <x:c r="F29" s="34" t="n">
        <x:v>0</x:v>
      </x:c>
    </x:row>
    <x:row r="30" ht="42" customHeight="1">
      <x:c r="A30" s="34" t="n">
        <x:v>4</x:v>
      </x:c>
      <x:c r="B30" s="34" t="str">
        <x:v>时装项链</x:v>
      </x:c>
      <x:c r="C30" s="34" t="str">
        <x:v>无声潮坠</x:v>
      </x:c>
      <x:c r="D30" s="34" t="n">
        <x:v>1</x:v>
      </x:c>
      <x:c r="E30" s="34" t="n">
        <x:v>0</x:v>
      </x:c>
      <x:c r="F30" s="34" t="n">
        <x:v>0</x:v>
      </x:c>
    </x:row>
    <x:row r="31" ht="42" customHeight="1">
      <x:c r="A31" s="34" t="n">
        <x:v>4</x:v>
      </x:c>
      <x:c r="B31" s="34" t="str">
        <x:v>时装手镯</x:v>
      </x:c>
      <x:c r="C31" s="34" t="str">
        <x:v>回流锁腕</x:v>
      </x:c>
      <x:c r="D31" s="34" t="n">
        <x:v>2</x:v>
      </x:c>
      <x:c r="E31" s="34" t="n">
        <x:v>1</x:v>
      </x:c>
      <x:c r="F31" s="34" t="n">
        <x:v>0</x:v>
      </x:c>
    </x:row>
    <x:row r="32" ht="42" customHeight="1">
      <x:c r="A32" s="34" t="n">
        <x:v>4</x:v>
      </x:c>
      <x:c r="B32" s="34" t="str">
        <x:v>时装戒指</x:v>
      </x:c>
      <x:c r="C32" s="34" t="str">
        <x:v>雾镜月戒</x:v>
      </x:c>
      <x:c r="D32" s="34" t="n">
        <x:v>2</x:v>
      </x:c>
      <x:c r="E32" s="34" t="n">
        <x:v>0</x:v>
      </x:c>
      <x:c r="F32" s="34" t="n">
        <x:v>0</x:v>
      </x:c>
    </x:row>
    <x:row r="33" ht="42" customHeight="1">
      <x:c r="A33" s="34" t="n">
        <x:v>5</x:v>
      </x:c>
      <x:c r="B33" s="34" t="str">
        <x:v>衣服</x:v>
      </x:c>
      <x:c r="C33" s="34" t="str">
        <x:v>司冕月蚀礼衣</x:v>
      </x:c>
      <x:c r="D33" s="34" t="n">
        <x:v>1</x:v>
      </x:c>
      <x:c r="E33" s="34" t="n">
        <x:v>22</x:v>
      </x:c>
      <x:c r="F33" s="34" t="n">
        <x:v>2</x:v>
      </x:c>
    </x:row>
    <x:row r="34" ht="42" customHeight="1">
      <x:c r="A34" s="34" t="n">
        <x:v>5</x:v>
      </x:c>
      <x:c r="B34" s="34" t="str">
        <x:v>盾牌</x:v>
      </x:c>
      <x:c r="C34" s="34" t="str">
        <x:v>桨官铁盾</x:v>
      </x:c>
      <x:c r="D34" s="34" t="n">
        <x:v>1</x:v>
      </x:c>
      <x:c r="E34" s="34" t="n">
        <x:v>9</x:v>
      </x:c>
      <x:c r="F34" s="34" t="n">
        <x:v>0</x:v>
      </x:c>
    </x:row>
    <x:row r="35" ht="42" customHeight="1">
      <x:c r="A35" s="34" t="n">
        <x:v>5</x:v>
      </x:c>
      <x:c r="B35" s="34" t="str">
        <x:v>头盔</x:v>
      </x:c>
      <x:c r="C35" s="34" t="str">
        <x:v>断途战冠</x:v>
      </x:c>
      <x:c r="D35" s="34" t="n">
        <x:v>1</x:v>
      </x:c>
      <x:c r="E35" s="34" t="n">
        <x:v>4</x:v>
      </x:c>
      <x:c r="F35" s="34" t="n">
        <x:v>0</x:v>
      </x:c>
    </x:row>
    <x:row r="36" ht="42" customHeight="1">
      <x:c r="A36" s="34" t="n">
        <x:v>5</x:v>
      </x:c>
      <x:c r="B36" s="34" t="str">
        <x:v>腰带</x:v>
      </x:c>
      <x:c r="C36" s="34" t="str">
        <x:v>闭潮王带</x:v>
      </x:c>
      <x:c r="D36" s="34" t="n">
        <x:v>1</x:v>
      </x:c>
      <x:c r="E36" s="34" t="n">
        <x:v>3</x:v>
      </x:c>
      <x:c r="F36" s="34" t="n">
        <x:v>0</x:v>
      </x:c>
    </x:row>
    <x:row r="37" ht="42" customHeight="1">
      <x:c r="A37" s="34" t="n">
        <x:v>5</x:v>
      </x:c>
      <x:c r="B37" s="34" t="str">
        <x:v>鞋子</x:v>
      </x:c>
      <x:c r="C37" s="34" t="str">
        <x:v>逐风征靴</x:v>
      </x:c>
      <x:c r="D37" s="34" t="n">
        <x:v>1</x:v>
      </x:c>
      <x:c r="E37" s="34" t="n">
        <x:v>3</x:v>
      </x:c>
      <x:c r="F37" s="34" t="n">
        <x:v>0</x:v>
      </x:c>
    </x:row>
    <x:row r="38" ht="42" customHeight="1">
      <x:c r="A38" s="34" t="n">
        <x:v>5</x:v>
      </x:c>
      <x:c r="B38" s="34" t="str">
        <x:v>斗笠</x:v>
      </x:c>
      <x:c r="C38" s="34" t="str">
        <x:v>回声盗墓笠</x:v>
      </x:c>
      <x:c r="D38" s="34" t="n">
        <x:v>1</x:v>
      </x:c>
      <x:c r="E38" s="34" t="n">
        <x:v>2</x:v>
      </x:c>
      <x:c r="F38" s="34" t="n">
        <x:v>0</x:v>
      </x:c>
    </x:row>
    <x:row r="39" ht="42" customHeight="1">
      <x:c r="A39" s="34" t="n">
        <x:v>5</x:v>
      </x:c>
      <x:c r="B39" s="34" t="str">
        <x:v>手镯</x:v>
      </x:c>
      <x:c r="C39" s="34" t="str">
        <x:v>缚链僧镯</x:v>
      </x:c>
      <x:c r="D39" s="34" t="n">
        <x:v>2</x:v>
      </x:c>
      <x:c r="E39" s="34" t="n">
        <x:v>2</x:v>
      </x:c>
      <x:c r="F39" s="34" t="n">
        <x:v>0</x:v>
      </x:c>
    </x:row>
    <x:row r="40" ht="42" customHeight="1">
      <x:c r="A40" s="34" t="n">
        <x:v>5</x:v>
      </x:c>
      <x:c r="B40" s="34" t="str">
        <x:v>戒指</x:v>
      </x:c>
      <x:c r="C40" s="34" t="str">
        <x:v>月渊秘戒</x:v>
      </x:c>
      <x:c r="D40" s="34" t="n">
        <x:v>2</x:v>
      </x:c>
      <x:c r="E40" s="34" t="n">
        <x:v>1</x:v>
      </x:c>
      <x:c r="F40" s="34" t="n">
        <x:v>0</x:v>
      </x:c>
    </x:row>
    <x:row r="41" ht="42" customHeight="1">
      <x:c r="A41" s="34" t="n">
        <x:v>5</x:v>
      </x:c>
      <x:c r="B41" s="34" t="str">
        <x:v>勋章</x:v>
      </x:c>
      <x:c r="C41" s="34" t="str">
        <x:v>蚀冠密殿章</x:v>
      </x:c>
      <x:c r="D41" s="34" t="n">
        <x:v>1</x:v>
      </x:c>
      <x:c r="E41" s="34" t="n">
        <x:v>0</x:v>
      </x:c>
      <x:c r="F41" s="34" t="n">
        <x:v>0</x:v>
      </x:c>
    </x:row>
    <x:row r="42" ht="42" customHeight="1">
      <x:c r="A42" s="34" t="n">
        <x:v>5</x:v>
      </x:c>
      <x:c r="B42" s="34" t="str">
        <x:v>时装衣服</x:v>
      </x:c>
      <x:c r="C42" s="34" t="str">
        <x:v>镜宫月袍</x:v>
      </x:c>
      <x:c r="D42" s="34" t="n">
        <x:v>1</x:v>
      </x:c>
      <x:c r="E42" s="34" t="n">
        <x:v>12</x:v>
      </x:c>
      <x:c r="F42" s="34" t="n">
        <x:v>2</x:v>
      </x:c>
    </x:row>
    <x:row r="43" ht="42" customHeight="1">
      <x:c r="A43" s="34" t="n">
        <x:v>5</x:v>
      </x:c>
      <x:c r="B43" s="34" t="str">
        <x:v>时装头盔</x:v>
      </x:c>
      <x:c r="C43" s="34" t="str">
        <x:v>辉石司仪冠</x:v>
      </x:c>
      <x:c r="D43" s="34" t="n">
        <x:v>1</x:v>
      </x:c>
      <x:c r="E43" s="34" t="n">
        <x:v>1</x:v>
      </x:c>
      <x:c r="F43" s="34" t="n">
        <x:v>0</x:v>
      </x:c>
    </x:row>
    <x:row r="44" ht="42" customHeight="1">
      <x:c r="A44" s="34" t="n">
        <x:v>5</x:v>
      </x:c>
      <x:c r="B44" s="34" t="str">
        <x:v>时装项链</x:v>
      </x:c>
      <x:c r="C44" s="34" t="str">
        <x:v>星泪誓链</x:v>
      </x:c>
      <x:c r="D44" s="34" t="n">
        <x:v>1</x:v>
      </x:c>
      <x:c r="E44" s="34" t="n">
        <x:v>0</x:v>
      </x:c>
      <x:c r="F44" s="34" t="n">
        <x:v>0</x:v>
      </x:c>
    </x:row>
    <x:row r="45" ht="42" customHeight="1">
      <x:c r="A45" s="34" t="n">
        <x:v>5</x:v>
      </x:c>
      <x:c r="B45" s="34" t="str">
        <x:v>时装手镯</x:v>
      </x:c>
      <x:c r="C45" s="34" t="str">
        <x:v>月蚀镜镯</x:v>
      </x:c>
      <x:c r="D45" s="34" t="n">
        <x:v>2</x:v>
      </x:c>
      <x:c r="E45" s="34" t="n">
        <x:v>1</x:v>
      </x:c>
      <x:c r="F45" s="34" t="n">
        <x:v>0</x:v>
      </x:c>
    </x:row>
    <x:row r="46" ht="42" customHeight="1">
      <x:c r="A46" s="34" t="n">
        <x:v>5</x:v>
      </x:c>
      <x:c r="B46" s="34" t="str">
        <x:v>时装戒指</x:v>
      </x:c>
      <x:c r="C46" s="34" t="str">
        <x:v>辉月镜戒</x:v>
      </x:c>
      <x:c r="D46" s="34" t="n">
        <x:v>2</x:v>
      </x:c>
      <x:c r="E46" s="34" t="n">
        <x:v>0</x:v>
      </x:c>
      <x:c r="F46" s="34" t="n">
        <x:v>0</x:v>
      </x:c>
    </x:row>
    <x:row r="47" ht="42" customHeight="1">
      <x:c r="A47" s="34" t="n">
        <x:v>6</x:v>
      </x:c>
      <x:c r="B47" s="34" t="str">
        <x:v>衣服</x:v>
      </x:c>
      <x:c r="C47" s="34" t="str">
        <x:v>碎星红狮战甲</x:v>
      </x:c>
      <x:c r="D47" s="34" t="n">
        <x:v>1</x:v>
      </x:c>
      <x:c r="E47" s="34" t="n">
        <x:v>22</x:v>
      </x:c>
      <x:c r="F47" s="34" t="n">
        <x:v>2</x:v>
      </x:c>
    </x:row>
    <x:row r="48" ht="42" customHeight="1">
      <x:c r="A48" s="34" t="n">
        <x:v>6</x:v>
      </x:c>
      <x:c r="B48" s="34" t="str">
        <x:v>盾牌</x:v>
      </x:c>
      <x:c r="C48" s="34" t="str">
        <x:v>赤焰塔盾</x:v>
      </x:c>
      <x:c r="D48" s="34" t="n">
        <x:v>1</x:v>
      </x:c>
      <x:c r="E48" s="34" t="n">
        <x:v>9</x:v>
      </x:c>
      <x:c r="F48" s="34" t="n">
        <x:v>0</x:v>
      </x:c>
    </x:row>
    <x:row r="49" ht="42" customHeight="1">
      <x:c r="A49" s="34" t="n">
        <x:v>6</x:v>
      </x:c>
      <x:c r="B49" s="34" t="str">
        <x:v>头盔</x:v>
      </x:c>
      <x:c r="C49" s="34" t="str">
        <x:v>伊弗腐冠</x:v>
      </x:c>
      <x:c r="D49" s="34" t="n">
        <x:v>1</x:v>
      </x:c>
      <x:c r="E49" s="34" t="n">
        <x:v>4</x:v>
      </x:c>
      <x:c r="F49" s="34" t="n">
        <x:v>0</x:v>
      </x:c>
    </x:row>
    <x:row r="50" ht="42" customHeight="1">
      <x:c r="A50" s="34" t="n">
        <x:v>6</x:v>
      </x:c>
      <x:c r="B50" s="34" t="str">
        <x:v>腰带</x:v>
      </x:c>
      <x:c r="C50" s="34" t="str">
        <x:v>闭潮王带</x:v>
      </x:c>
      <x:c r="D50" s="34" t="n">
        <x:v>1</x:v>
      </x:c>
      <x:c r="E50" s="34" t="n">
        <x:v>3</x:v>
      </x:c>
      <x:c r="F50" s="34" t="n">
        <x:v>0</x:v>
      </x:c>
    </x:row>
    <x:row r="51" ht="42" customHeight="1">
      <x:c r="A51" s="34" t="n">
        <x:v>6</x:v>
      </x:c>
      <x:c r="B51" s="34" t="str">
        <x:v>鞋子</x:v>
      </x:c>
      <x:c r="C51" s="34" t="str">
        <x:v>逐风征靴</x:v>
      </x:c>
      <x:c r="D51" s="34" t="n">
        <x:v>1</x:v>
      </x:c>
      <x:c r="E51" s="34" t="n">
        <x:v>3</x:v>
      </x:c>
      <x:c r="F51" s="34" t="n">
        <x:v>0</x:v>
      </x:c>
    </x:row>
    <x:row r="52" ht="42" customHeight="1">
      <x:c r="A52" s="34" t="n">
        <x:v>6</x:v>
      </x:c>
      <x:c r="B52" s="34" t="str">
        <x:v>斗笠</x:v>
      </x:c>
      <x:c r="C52" s="34" t="str">
        <x:v>回声盗墓笠</x:v>
      </x:c>
      <x:c r="D52" s="34" t="n">
        <x:v>1</x:v>
      </x:c>
      <x:c r="E52" s="34" t="n">
        <x:v>2</x:v>
      </x:c>
      <x:c r="F52" s="34" t="n">
        <x:v>0</x:v>
      </x:c>
    </x:row>
    <x:row r="53" ht="42" customHeight="1">
      <x:c r="A53" s="34" t="n">
        <x:v>6</x:v>
      </x:c>
      <x:c r="B53" s="34" t="str">
        <x:v>手镯</x:v>
      </x:c>
      <x:c r="C53" s="34" t="str">
        <x:v>龙火刑腕</x:v>
      </x:c>
      <x:c r="D53" s="34" t="n">
        <x:v>2</x:v>
      </x:c>
      <x:c r="E53" s="34" t="n">
        <x:v>2</x:v>
      </x:c>
      <x:c r="F53" s="34" t="n">
        <x:v>0</x:v>
      </x:c>
    </x:row>
    <x:row r="54" ht="42" customHeight="1">
      <x:c r="A54" s="34" t="n">
        <x:v>6</x:v>
      </x:c>
      <x:c r="B54" s="34" t="str">
        <x:v>戒指</x:v>
      </x:c>
      <x:c r="C54" s="34" t="str">
        <x:v>月渊秘戒</x:v>
      </x:c>
      <x:c r="D54" s="34" t="n">
        <x:v>2</x:v>
      </x:c>
      <x:c r="E54" s="34" t="n">
        <x:v>1</x:v>
      </x:c>
      <x:c r="F54" s="34" t="n">
        <x:v>0</x:v>
      </x:c>
    </x:row>
    <x:row r="55" ht="42" customHeight="1">
      <x:c r="A55" s="34" t="n">
        <x:v>6</x:v>
      </x:c>
      <x:c r="B55" s="34" t="str">
        <x:v>勋章</x:v>
      </x:c>
      <x:c r="C55" s="34" t="str">
        <x:v>血祭徽章</x:v>
      </x:c>
      <x:c r="D55" s="34" t="n">
        <x:v>1</x:v>
      </x:c>
      <x:c r="E55" s="34" t="n">
        <x:v>0</x:v>
      </x:c>
      <x:c r="F55" s="34" t="n">
        <x:v>0</x:v>
      </x:c>
    </x:row>
    <x:row r="56" ht="42" customHeight="1">
      <x:c r="A56" s="34" t="n">
        <x:v>6</x:v>
      </x:c>
      <x:c r="B56" s="34" t="str">
        <x:v>时装衣服</x:v>
      </x:c>
      <x:c r="C56" s="34" t="str">
        <x:v>红狮余烬王衣</x:v>
      </x:c>
      <x:c r="D56" s="34" t="n">
        <x:v>1</x:v>
      </x:c>
      <x:c r="E56" s="34" t="n">
        <x:v>12</x:v>
      </x:c>
      <x:c r="F56" s="34" t="n">
        <x:v>2</x:v>
      </x:c>
    </x:row>
    <x:row r="57" ht="42" customHeight="1">
      <x:c r="A57" s="34" t="n">
        <x:v>6</x:v>
      </x:c>
      <x:c r="B57" s="34" t="str">
        <x:v>时装头盔</x:v>
      </x:c>
      <x:c r="C57" s="34" t="str">
        <x:v>龙焰流冠</x:v>
      </x:c>
      <x:c r="D57" s="34" t="n">
        <x:v>1</x:v>
      </x:c>
      <x:c r="E57" s="34" t="n">
        <x:v>1</x:v>
      </x:c>
      <x:c r="F57" s="34" t="n">
        <x:v>0</x:v>
      </x:c>
    </x:row>
    <x:row r="58" ht="42" customHeight="1">
      <x:c r="A58" s="34" t="n">
        <x:v>6</x:v>
      </x:c>
      <x:c r="B58" s="34" t="str">
        <x:v>时装项链</x:v>
      </x:c>
      <x:c r="C58" s="34" t="str">
        <x:v>血原骨坠</x:v>
      </x:c>
      <x:c r="D58" s="34" t="n">
        <x:v>1</x:v>
      </x:c>
      <x:c r="E58" s="34" t="n">
        <x:v>0</x:v>
      </x:c>
      <x:c r="F58" s="34" t="n">
        <x:v>0</x:v>
      </x:c>
    </x:row>
    <x:row r="59" ht="42" customHeight="1">
      <x:c r="A59" s="34" t="n">
        <x:v>6</x:v>
      </x:c>
      <x:c r="B59" s="34" t="str">
        <x:v>时装手镯</x:v>
      </x:c>
      <x:c r="C59" s="34" t="str">
        <x:v>狱火断铐</x:v>
      </x:c>
      <x:c r="D59" s="34" t="n">
        <x:v>2</x:v>
      </x:c>
      <x:c r="E59" s="34" t="n">
        <x:v>1</x:v>
      </x:c>
      <x:c r="F59" s="34" t="n">
        <x:v>0</x:v>
      </x:c>
    </x:row>
    <x:row r="60" ht="42" customHeight="1">
      <x:c r="A60" s="34" t="n">
        <x:v>6</x:v>
      </x:c>
      <x:c r="B60" s="34" t="str">
        <x:v>时装戒指</x:v>
      </x:c>
      <x:c r="C60" s="34" t="str">
        <x:v>红沙王戒</x:v>
      </x:c>
      <x:c r="D60" s="34" t="n">
        <x:v>2</x:v>
      </x:c>
      <x:c r="E60" s="34" t="n">
        <x:v>0</x:v>
      </x:c>
      <x:c r="F60" s="34" t="n">
        <x:v>0</x:v>
      </x:c>
    </x:row>
    <x:row r="61" ht="42" customHeight="1">
      <x:c r="A61" s="34" t="n">
        <x:v>7</x:v>
      </x:c>
      <x:c r="B61" s="34" t="str">
        <x:v>衣服</x:v>
      </x:c>
      <x:c r="C61" s="34" t="str">
        <x:v>埃琉斯永霜铠</x:v>
      </x:c>
      <x:c r="D61" s="34" t="n">
        <x:v>1</x:v>
      </x:c>
      <x:c r="E61" s="34" t="n">
        <x:v>22</x:v>
      </x:c>
      <x:c r="F61" s="34" t="n">
        <x:v>2</x:v>
      </x:c>
    </x:row>
    <x:row r="62" ht="42" customHeight="1">
      <x:c r="A62" s="34" t="n">
        <x:v>7</x:v>
      </x:c>
      <x:c r="B62" s="34" t="str">
        <x:v>盾牌</x:v>
      </x:c>
      <x:c r="C62" s="34" t="str">
        <x:v>银角塔盾</x:v>
      </x:c>
      <x:c r="D62" s="34" t="n">
        <x:v>1</x:v>
      </x:c>
      <x:c r="E62" s="34" t="n">
        <x:v>9</x:v>
      </x:c>
      <x:c r="F62" s="34" t="n">
        <x:v>0</x:v>
      </x:c>
    </x:row>
    <x:row r="63" ht="42" customHeight="1">
      <x:c r="A63" s="34" t="n">
        <x:v>7</x:v>
      </x:c>
      <x:c r="B63" s="34" t="str">
        <x:v>头盔</x:v>
      </x:c>
      <x:c r="C63" s="34" t="str">
        <x:v>希尔达圣冠</x:v>
      </x:c>
      <x:c r="D63" s="34" t="n">
        <x:v>1</x:v>
      </x:c>
      <x:c r="E63" s="34" t="n">
        <x:v>4</x:v>
      </x:c>
      <x:c r="F63" s="34" t="n">
        <x:v>0</x:v>
      </x:c>
    </x:row>
    <x:row r="64" ht="42" customHeight="1">
      <x:c r="A64" s="34" t="n">
        <x:v>7</x:v>
      </x:c>
      <x:c r="B64" s="34" t="str">
        <x:v>腰带</x:v>
      </x:c>
      <x:c r="C64" s="34" t="str">
        <x:v>闭潮王带</x:v>
      </x:c>
      <x:c r="D64" s="34" t="n">
        <x:v>1</x:v>
      </x:c>
      <x:c r="E64" s="34" t="n">
        <x:v>3</x:v>
      </x:c>
      <x:c r="F64" s="34" t="n">
        <x:v>0</x:v>
      </x:c>
    </x:row>
    <x:row r="65" ht="42" customHeight="1">
      <x:c r="A65" s="34" t="n">
        <x:v>7</x:v>
      </x:c>
      <x:c r="B65" s="34" t="str">
        <x:v>鞋子</x:v>
      </x:c>
      <x:c r="C65" s="34" t="str">
        <x:v>逐风征靴</x:v>
      </x:c>
      <x:c r="D65" s="34" t="n">
        <x:v>1</x:v>
      </x:c>
      <x:c r="E65" s="34" t="n">
        <x:v>3</x:v>
      </x:c>
      <x:c r="F65" s="34" t="n">
        <x:v>0</x:v>
      </x:c>
    </x:row>
    <x:row r="66" ht="42" customHeight="1">
      <x:c r="A66" s="34" t="n">
        <x:v>7</x:v>
      </x:c>
      <x:c r="B66" s="34" t="str">
        <x:v>斗笠</x:v>
      </x:c>
      <x:c r="C66" s="34" t="str">
        <x:v>回声盗墓笠</x:v>
      </x:c>
      <x:c r="D66" s="34" t="n">
        <x:v>1</x:v>
      </x:c>
      <x:c r="E66" s="34" t="n">
        <x:v>2</x:v>
      </x:c>
      <x:c r="F66" s="34" t="n">
        <x:v>0</x:v>
      </x:c>
    </x:row>
    <x:row r="67" ht="42" customHeight="1">
      <x:c r="A67" s="34" t="n">
        <x:v>7</x:v>
      </x:c>
      <x:c r="B67" s="34" t="str">
        <x:v>手镯</x:v>
      </x:c>
      <x:c r="C67" s="34" t="str">
        <x:v>龙火刑腕</x:v>
      </x:c>
      <x:c r="D67" s="34" t="n">
        <x:v>2</x:v>
      </x:c>
      <x:c r="E67" s="34" t="n">
        <x:v>2</x:v>
      </x:c>
      <x:c r="F67" s="34" t="n">
        <x:v>0</x:v>
      </x:c>
    </x:row>
    <x:row r="68" ht="42" customHeight="1">
      <x:c r="A68" s="34" t="n">
        <x:v>7</x:v>
      </x:c>
      <x:c r="B68" s="34" t="str">
        <x:v>戒指</x:v>
      </x:c>
      <x:c r="C68" s="34" t="str">
        <x:v>巡界牙戒</x:v>
      </x:c>
      <x:c r="D68" s="34" t="n">
        <x:v>2</x:v>
      </x:c>
      <x:c r="E68" s="34" t="n">
        <x:v>1</x:v>
      </x:c>
      <x:c r="F68" s="34" t="n">
        <x:v>0</x:v>
      </x:c>
    </x:row>
    <x:row r="69" ht="42" customHeight="1">
      <x:c r="A69" s="34" t="n">
        <x:v>7</x:v>
      </x:c>
      <x:c r="B69" s="34" t="str">
        <x:v>勋章</x:v>
      </x:c>
      <x:c r="C69" s="34" t="str">
        <x:v>霜钟罪章</x:v>
      </x:c>
      <x:c r="D69" s="34" t="n">
        <x:v>1</x:v>
      </x:c>
      <x:c r="E69" s="34" t="n">
        <x:v>0</x:v>
      </x:c>
      <x:c r="F69" s="34" t="n">
        <x:v>0</x:v>
      </x:c>
    </x:row>
    <x:row r="70" ht="42" customHeight="1">
      <x:c r="A70" s="34" t="n">
        <x:v>7</x:v>
      </x:c>
      <x:c r="B70" s="34" t="str">
        <x:v>时装衣服</x:v>
      </x:c>
      <x:c r="C70" s="34" t="str">
        <x:v>圣雪无火礼衣</x:v>
      </x:c>
      <x:c r="D70" s="34" t="n">
        <x:v>1</x:v>
      </x:c>
      <x:c r="E70" s="34" t="n">
        <x:v>12</x:v>
      </x:c>
      <x:c r="F70" s="34" t="n">
        <x:v>2</x:v>
      </x:c>
    </x:row>
    <x:row r="71" ht="42" customHeight="1">
      <x:c r="A71" s="34" t="n">
        <x:v>7</x:v>
      </x:c>
      <x:c r="B71" s="34" t="str">
        <x:v>时装头盔</x:v>
      </x:c>
      <x:c r="C71" s="34" t="str">
        <x:v>无火圣冠</x:v>
      </x:c>
      <x:c r="D71" s="34" t="n">
        <x:v>1</x:v>
      </x:c>
      <x:c r="E71" s="34" t="n">
        <x:v>1</x:v>
      </x:c>
      <x:c r="F71" s="34" t="n">
        <x:v>0</x:v>
      </x:c>
    </x:row>
    <x:row r="72" ht="42" customHeight="1">
      <x:c r="A72" s="34" t="n">
        <x:v>7</x:v>
      </x:c>
      <x:c r="B72" s="34" t="str">
        <x:v>时装项链</x:v>
      </x:c>
      <x:c r="C72" s="34" t="str">
        <x:v>白金雪坠</x:v>
      </x:c>
      <x:c r="D72" s="34" t="n">
        <x:v>1</x:v>
      </x:c>
      <x:c r="E72" s="34" t="n">
        <x:v>0</x:v>
      </x:c>
      <x:c r="F72" s="34" t="n">
        <x:v>0</x:v>
      </x:c>
    </x:row>
    <x:row r="73" ht="42" customHeight="1">
      <x:c r="A73" s="34" t="n">
        <x:v>7</x:v>
      </x:c>
      <x:c r="B73" s="34" t="str">
        <x:v>时装手镯</x:v>
      </x:c>
      <x:c r="C73" s="34" t="str">
        <x:v>长眠霜镯</x:v>
      </x:c>
      <x:c r="D73" s="34" t="n">
        <x:v>2</x:v>
      </x:c>
      <x:c r="E73" s="34" t="n">
        <x:v>1</x:v>
      </x:c>
      <x:c r="F73" s="34" t="n">
        <x:v>0</x:v>
      </x:c>
    </x:row>
    <x:row r="74" ht="42" customHeight="1">
      <x:c r="A74" s="34" t="n">
        <x:v>7</x:v>
      </x:c>
      <x:c r="B74" s="34" t="str">
        <x:v>时装戒指</x:v>
      </x:c>
      <x:c r="C74" s="34" t="str">
        <x:v>永雪祈戒</x:v>
      </x:c>
      <x:c r="D74" s="34" t="n">
        <x:v>2</x:v>
      </x:c>
      <x:c r="E74" s="34" t="n">
        <x:v>0</x:v>
      </x:c>
      <x:c r="F74" s="34" t="n">
        <x:v>0</x:v>
      </x:c>
    </x:row>
    <x:row r="75" ht="42" customHeight="1">
      <x:c r="A75" s="34" t="n">
        <x:v>8</x:v>
      </x:c>
      <x:c r="B75" s="34" t="str">
        <x:v>衣服</x:v>
      </x:c>
      <x:c r="C75" s="34" t="str">
        <x:v>赫芮迦穹霜王衣</x:v>
      </x:c>
      <x:c r="D75" s="34" t="n">
        <x:v>1</x:v>
      </x:c>
      <x:c r="E75" s="34" t="n">
        <x:v>23</x:v>
      </x:c>
      <x:c r="F75" s="34" t="n">
        <x:v>3</x:v>
      </x:c>
    </x:row>
    <x:row r="76" ht="42" customHeight="1">
      <x:c r="A76" s="34" t="n">
        <x:v>8</x:v>
      </x:c>
      <x:c r="B76" s="34" t="str">
        <x:v>盾牌</x:v>
      </x:c>
      <x:c r="C76" s="34" t="str">
        <x:v>吞日霜壁</x:v>
      </x:c>
      <x:c r="D76" s="34" t="n">
        <x:v>1</x:v>
      </x:c>
      <x:c r="E76" s="34" t="n">
        <x:v>11</x:v>
      </x:c>
      <x:c r="F76" s="34" t="n">
        <x:v>3</x:v>
      </x:c>
    </x:row>
    <x:row r="77" ht="42" customHeight="1">
      <x:c r="A77" s="34" t="n">
        <x:v>8</x:v>
      </x:c>
      <x:c r="B77" s="34" t="str">
        <x:v>头盔</x:v>
      </x:c>
      <x:c r="C77" s="34" t="str">
        <x:v>希尔达圣冠</x:v>
      </x:c>
      <x:c r="D77" s="34" t="n">
        <x:v>1</x:v>
      </x:c>
      <x:c r="E77" s="34" t="n">
        <x:v>4</x:v>
      </x:c>
      <x:c r="F77" s="34" t="n">
        <x:v>0</x:v>
      </x:c>
    </x:row>
    <x:row r="78" ht="42" customHeight="1">
      <x:c r="A78" s="34" t="n">
        <x:v>8</x:v>
      </x:c>
      <x:c r="B78" s="34" t="str">
        <x:v>腰带</x:v>
      </x:c>
      <x:c r="C78" s="34" t="str">
        <x:v>闭潮王带</x:v>
      </x:c>
      <x:c r="D78" s="34" t="n">
        <x:v>1</x:v>
      </x:c>
      <x:c r="E78" s="34" t="n">
        <x:v>3</x:v>
      </x:c>
      <x:c r="F78" s="34" t="n">
        <x:v>0</x:v>
      </x:c>
    </x:row>
    <x:row r="79" ht="42" customHeight="1">
      <x:c r="A79" s="34" t="n">
        <x:v>8</x:v>
      </x:c>
      <x:c r="B79" s="34" t="str">
        <x:v>鞋子</x:v>
      </x:c>
      <x:c r="C79" s="34" t="str">
        <x:v>逐风征靴</x:v>
      </x:c>
      <x:c r="D79" s="34" t="n">
        <x:v>1</x:v>
      </x:c>
      <x:c r="E79" s="34" t="n">
        <x:v>3</x:v>
      </x:c>
      <x:c r="F79" s="34" t="n">
        <x:v>0</x:v>
      </x:c>
    </x:row>
    <x:row r="80" ht="42" customHeight="1">
      <x:c r="A80" s="34" t="n">
        <x:v>8</x:v>
      </x:c>
      <x:c r="B80" s="34" t="str">
        <x:v>斗笠</x:v>
      </x:c>
      <x:c r="C80" s="34" t="str">
        <x:v>织雪白绒笠</x:v>
      </x:c>
      <x:c r="D80" s="34" t="n">
        <x:v>1</x:v>
      </x:c>
      <x:c r="E80" s="34" t="n">
        <x:v>2</x:v>
      </x:c>
      <x:c r="F80" s="34" t="n">
        <x:v>0</x:v>
      </x:c>
    </x:row>
    <x:row r="81" ht="42" customHeight="1">
      <x:c r="A81" s="34" t="n">
        <x:v>8</x:v>
      </x:c>
      <x:c r="B81" s="34" t="str">
        <x:v>手镯</x:v>
      </x:c>
      <x:c r="C81" s="34" t="str">
        <x:v>龙火刑腕</x:v>
      </x:c>
      <x:c r="D81" s="34" t="n">
        <x:v>2</x:v>
      </x:c>
      <x:c r="E81" s="34" t="n">
        <x:v>2</x:v>
      </x:c>
      <x:c r="F81" s="34" t="n">
        <x:v>0</x:v>
      </x:c>
    </x:row>
    <x:row r="82" ht="42" customHeight="1">
      <x:c r="A82" s="34" t="n">
        <x:v>8</x:v>
      </x:c>
      <x:c r="B82" s="34" t="str">
        <x:v>戒指</x:v>
      </x:c>
      <x:c r="C82" s="34" t="str">
        <x:v>守梦霜瞳戒</x:v>
      </x:c>
      <x:c r="D82" s="34" t="n">
        <x:v>2</x:v>
      </x:c>
      <x:c r="E82" s="34" t="n">
        <x:v>1</x:v>
      </x:c>
      <x:c r="F82" s="34" t="n">
        <x:v>0</x:v>
      </x:c>
    </x:row>
    <x:row r="83" ht="42" customHeight="1">
      <x:c r="A83" s="34" t="n">
        <x:v>8</x:v>
      </x:c>
      <x:c r="B83" s="34" t="str">
        <x:v>勋章</x:v>
      </x:c>
      <x:c r="C83" s="34" t="str">
        <x:v>霜钟罪章</x:v>
      </x:c>
      <x:c r="D83" s="34" t="n">
        <x:v>1</x:v>
      </x:c>
      <x:c r="E83" s="34" t="n">
        <x:v>0</x:v>
      </x:c>
      <x:c r="F83" s="34" t="n">
        <x:v>0</x:v>
      </x:c>
    </x:row>
    <x:row r="84" ht="42" customHeight="1">
      <x:c r="A84" s="34" t="n">
        <x:v>8</x:v>
      </x:c>
      <x:c r="B84" s="34" t="str">
        <x:v>时装衣服</x:v>
      </x:c>
      <x:c r="C84" s="34" t="str">
        <x:v>熔雪王袍</x:v>
      </x:c>
      <x:c r="D84" s="34" t="n">
        <x:v>1</x:v>
      </x:c>
      <x:c r="E84" s="34" t="n">
        <x:v>12</x:v>
      </x:c>
      <x:c r="F84" s="34" t="n">
        <x:v>3</x:v>
      </x:c>
    </x:row>
    <x:row r="85" ht="42" customHeight="1">
      <x:c r="A85" s="34" t="n">
        <x:v>8</x:v>
      </x:c>
      <x:c r="B85" s="34" t="str">
        <x:v>时装头盔</x:v>
      </x:c>
      <x:c r="C85" s="34" t="str">
        <x:v>穹霜祷冠</x:v>
      </x:c>
      <x:c r="D85" s="34" t="n">
        <x:v>1</x:v>
      </x:c>
      <x:c r="E85" s="34" t="n">
        <x:v>1</x:v>
      </x:c>
      <x:c r="F85" s="34" t="n">
        <x:v>0</x:v>
      </x:c>
    </x:row>
    <x:row r="86" ht="42" customHeight="1">
      <x:c r="A86" s="34" t="n">
        <x:v>8</x:v>
      </x:c>
      <x:c r="B86" s="34" t="str">
        <x:v>时装项链</x:v>
      </x:c>
      <x:c r="C86" s="34" t="str">
        <x:v>冰宫残铃</x:v>
      </x:c>
      <x:c r="D86" s="34" t="n">
        <x:v>1</x:v>
      </x:c>
      <x:c r="E86" s="34" t="n">
        <x:v>0</x:v>
      </x:c>
      <x:c r="F86" s="34" t="n">
        <x:v>0</x:v>
      </x:c>
    </x:row>
    <x:row r="87" ht="42" customHeight="1">
      <x:c r="A87" s="34" t="n">
        <x:v>8</x:v>
      </x:c>
      <x:c r="B87" s="34" t="str">
        <x:v>时装手镯</x:v>
      </x:c>
      <x:c r="C87" s="34" t="str">
        <x:v>炉心锁镯</x:v>
      </x:c>
      <x:c r="D87" s="34" t="n">
        <x:v>2</x:v>
      </x:c>
      <x:c r="E87" s="34" t="n">
        <x:v>1</x:v>
      </x:c>
      <x:c r="F87" s="34" t="n">
        <x:v>0</x:v>
      </x:c>
    </x:row>
    <x:row r="88" ht="42" customHeight="1">
      <x:c r="A88" s="34" t="n">
        <x:v>8</x:v>
      </x:c>
      <x:c r="B88" s="34" t="str">
        <x:v>时装戒指</x:v>
      </x:c>
      <x:c r="C88" s="34" t="str">
        <x:v>终冬戒印</x:v>
      </x:c>
      <x:c r="D88" s="34" t="n">
        <x:v>2</x:v>
      </x:c>
      <x:c r="E88" s="34" t="n">
        <x:v>0</x:v>
      </x:c>
      <x:c r="F88" s="34" t="n">
        <x:v>0</x:v>
      </x:c>
    </x:row>
    <x:row r="89" ht="42" customHeight="1">
      <x:c r="A89" s="34" t="n">
        <x:v>9</x:v>
      </x:c>
      <x:c r="B89" s="34" t="str">
        <x:v>衣服</x:v>
      </x:c>
      <x:c r="C89" s="34" t="str">
        <x:v>赫桑达执宪战衣</x:v>
      </x:c>
      <x:c r="D89" s="34" t="n">
        <x:v>1</x:v>
      </x:c>
      <x:c r="E89" s="34" t="n">
        <x:v>23</x:v>
      </x:c>
      <x:c r="F89" s="34" t="n">
        <x:v>3</x:v>
      </x:c>
    </x:row>
    <x:row r="90" ht="42" customHeight="1">
      <x:c r="A90" s="34" t="n">
        <x:v>9</x:v>
      </x:c>
      <x:c r="B90" s="34" t="str">
        <x:v>盾牌</x:v>
      </x:c>
      <x:c r="C90" s="34" t="str">
        <x:v>吞日霜壁</x:v>
      </x:c>
      <x:c r="D90" s="34" t="n">
        <x:v>1</x:v>
      </x:c>
      <x:c r="E90" s="34" t="n">
        <x:v>11</x:v>
      </x:c>
      <x:c r="F90" s="34" t="n">
        <x:v>3</x:v>
      </x:c>
    </x:row>
    <x:row r="91" ht="42" customHeight="1">
      <x:c r="A91" s="34" t="n">
        <x:v>9</x:v>
      </x:c>
      <x:c r="B91" s="34" t="str">
        <x:v>头盔</x:v>
      </x:c>
      <x:c r="C91" s="34" t="str">
        <x:v>希尔达圣冠</x:v>
      </x:c>
      <x:c r="D91" s="34" t="n">
        <x:v>1</x:v>
      </x:c>
      <x:c r="E91" s="34" t="n">
        <x:v>4</x:v>
      </x:c>
      <x:c r="F91" s="34" t="n">
        <x:v>0</x:v>
      </x:c>
    </x:row>
    <x:row r="92" ht="42" customHeight="1">
      <x:c r="A92" s="34" t="n">
        <x:v>9</x:v>
      </x:c>
      <x:c r="B92" s="34" t="str">
        <x:v>腰带</x:v>
      </x:c>
      <x:c r="C92" s="34" t="str">
        <x:v>闭潮王带</x:v>
      </x:c>
      <x:c r="D92" s="34" t="n">
        <x:v>1</x:v>
      </x:c>
      <x:c r="E92" s="34" t="n">
        <x:v>3</x:v>
      </x:c>
      <x:c r="F92" s="34" t="n">
        <x:v>0</x:v>
      </x:c>
    </x:row>
    <x:row r="93" ht="42" customHeight="1">
      <x:c r="A93" s="34" t="n">
        <x:v>9</x:v>
      </x:c>
      <x:c r="B93" s="34" t="str">
        <x:v>鞋子</x:v>
      </x:c>
      <x:c r="C93" s="34" t="str">
        <x:v>逐风征靴</x:v>
      </x:c>
      <x:c r="D93" s="34" t="n">
        <x:v>1</x:v>
      </x:c>
      <x:c r="E93" s="34" t="n">
        <x:v>3</x:v>
      </x:c>
      <x:c r="F93" s="34" t="n">
        <x:v>0</x:v>
      </x:c>
    </x:row>
    <x:row r="94" ht="42" customHeight="1">
      <x:c r="A94" s="34" t="n">
        <x:v>9</x:v>
      </x:c>
      <x:c r="B94" s="34" t="str">
        <x:v>斗笠</x:v>
      </x:c>
      <x:c r="C94" s="34" t="str">
        <x:v>潜旗客灰翎笠</x:v>
      </x:c>
      <x:c r="D94" s="34" t="n">
        <x:v>1</x:v>
      </x:c>
      <x:c r="E94" s="34" t="n">
        <x:v>2</x:v>
      </x:c>
      <x:c r="F94" s="34" t="n">
        <x:v>0</x:v>
      </x:c>
    </x:row>
    <x:row r="95" ht="42" customHeight="1">
      <x:c r="A95" s="34" t="n">
        <x:v>9</x:v>
      </x:c>
      <x:c r="B95" s="34" t="str">
        <x:v>手镯</x:v>
      </x:c>
      <x:c r="C95" s="34" t="str">
        <x:v>熔勺婆铜镯</x:v>
      </x:c>
      <x:c r="D95" s="34" t="n">
        <x:v>2</x:v>
      </x:c>
      <x:c r="E95" s="34" t="n">
        <x:v>2</x:v>
      </x:c>
      <x:c r="F95" s="34" t="n">
        <x:v>0</x:v>
      </x:c>
    </x:row>
    <x:row r="96" ht="42" customHeight="1">
      <x:c r="A96" s="34" t="n">
        <x:v>9</x:v>
      </x:c>
      <x:c r="B96" s="34" t="str">
        <x:v>戒指</x:v>
      </x:c>
      <x:c r="C96" s="34" t="str">
        <x:v>守门卜者戒</x:v>
      </x:c>
      <x:c r="D96" s="34" t="n">
        <x:v>2</x:v>
      </x:c>
      <x:c r="E96" s="34" t="n">
        <x:v>1</x:v>
      </x:c>
      <x:c r="F96" s="34" t="n">
        <x:v>0</x:v>
      </x:c>
    </x:row>
    <x:row r="97" ht="42" customHeight="1">
      <x:c r="A97" s="34" t="n">
        <x:v>9</x:v>
      </x:c>
      <x:c r="B97" s="34" t="str">
        <x:v>勋章</x:v>
      </x:c>
      <x:c r="C97" s="34" t="str">
        <x:v>霜钟罪章</x:v>
      </x:c>
      <x:c r="D97" s="34" t="n">
        <x:v>1</x:v>
      </x:c>
      <x:c r="E97" s="34" t="n">
        <x:v>0</x:v>
      </x:c>
      <x:c r="F97" s="34" t="n">
        <x:v>0</x:v>
      </x:c>
    </x:row>
    <x:row r="98" ht="42" customHeight="1">
      <x:c r="A98" s="34" t="n">
        <x:v>9</x:v>
      </x:c>
      <x:c r="B98" s="34" t="str">
        <x:v>时装衣服</x:v>
      </x:c>
      <x:c r="C98" s="34" t="str">
        <x:v>鎏日王仪战衣</x:v>
      </x:c>
      <x:c r="D98" s="34" t="n">
        <x:v>1</x:v>
      </x:c>
      <x:c r="E98" s="34" t="n">
        <x:v>12</x:v>
      </x:c>
      <x:c r="F98" s="34" t="n">
        <x:v>3</x:v>
      </x:c>
    </x:row>
    <x:row r="99" ht="42" customHeight="1">
      <x:c r="A99" s="34" t="n">
        <x:v>9</x:v>
      </x:c>
      <x:c r="B99" s="34" t="str">
        <x:v>时装头盔</x:v>
      </x:c>
      <x:c r="C99" s="34" t="str">
        <x:v>高原日冠</x:v>
      </x:c>
      <x:c r="D99" s="34" t="n">
        <x:v>1</x:v>
      </x:c>
      <x:c r="E99" s="34" t="n">
        <x:v>1</x:v>
      </x:c>
      <x:c r="F99" s="34" t="n">
        <x:v>0</x:v>
      </x:c>
    </x:row>
    <x:row r="100" ht="42" customHeight="1">
      <x:c r="A100" s="34" t="n">
        <x:v>9</x:v>
      </x:c>
      <x:c r="B100" s="34" t="str">
        <x:v>时装项链</x:v>
      </x:c>
      <x:c r="C100" s="34" t="str">
        <x:v>黄金回音坠</x:v>
      </x:c>
      <x:c r="D100" s="34" t="n">
        <x:v>1</x:v>
      </x:c>
      <x:c r="E100" s="34" t="n">
        <x:v>0</x:v>
      </x:c>
      <x:c r="F100" s="34" t="n">
        <x:v>0</x:v>
      </x:c>
    </x:row>
    <x:row r="101" ht="42" customHeight="1">
      <x:c r="A101" s="34" t="n">
        <x:v>9</x:v>
      </x:c>
      <x:c r="B101" s="34" t="str">
        <x:v>时装手镯</x:v>
      </x:c>
      <x:c r="C101" s="34" t="str">
        <x:v>誓印日轮镯</x:v>
      </x:c>
      <x:c r="D101" s="34" t="n">
        <x:v>2</x:v>
      </x:c>
      <x:c r="E101" s="34" t="n">
        <x:v>1</x:v>
      </x:c>
      <x:c r="F101" s="34" t="n">
        <x:v>0</x:v>
      </x:c>
    </x:row>
    <x:row r="102" ht="42" customHeight="1">
      <x:c r="A102" s="34" t="n">
        <x:v>9</x:v>
      </x:c>
      <x:c r="B102" s="34" t="str">
        <x:v>时装戒指</x:v>
      </x:c>
      <x:c r="C102" s="34" t="str">
        <x:v>无暮金戒</x:v>
      </x:c>
      <x:c r="D102" s="34" t="n">
        <x:v>2</x:v>
      </x:c>
      <x:c r="E102" s="34" t="n">
        <x:v>0</x:v>
      </x:c>
      <x:c r="F102" s="34" t="n">
        <x:v>0</x:v>
      </x:c>
    </x:row>
    <x:row r="103" ht="42" customHeight="1">
      <x:c r="A103" s="34" t="n">
        <x:v>10</x:v>
      </x:c>
      <x:c r="B103" s="34" t="str">
        <x:v>衣服</x:v>
      </x:c>
      <x:c r="C103" s="34" t="str">
        <x:v>永辉空王礼服</x:v>
      </x:c>
      <x:c r="D103" s="34" t="n">
        <x:v>1</x:v>
      </x:c>
      <x:c r="E103" s="34" t="n">
        <x:v>23</x:v>
      </x:c>
      <x:c r="F103" s="34" t="n">
        <x:v>3</x:v>
      </x:c>
    </x:row>
    <x:row r="104" ht="42" customHeight="1">
      <x:c r="A104" s="34" t="n">
        <x:v>10</x:v>
      </x:c>
      <x:c r="B104" s="34" t="str">
        <x:v>盾牌</x:v>
      </x:c>
      <x:c r="C104" s="34" t="str">
        <x:v>吞日霜壁</x:v>
      </x:c>
      <x:c r="D104" s="34" t="n">
        <x:v>1</x:v>
      </x:c>
      <x:c r="E104" s="34" t="n">
        <x:v>11</x:v>
      </x:c>
      <x:c r="F104" s="34" t="n">
        <x:v>3</x:v>
      </x:c>
    </x:row>
    <x:row r="105" ht="42" customHeight="1">
      <x:c r="A105" s="34" t="n">
        <x:v>10</x:v>
      </x:c>
      <x:c r="B105" s="34" t="str">
        <x:v>头盔</x:v>
      </x:c>
      <x:c r="C105" s="34" t="str">
        <x:v>希尔达圣冠</x:v>
      </x:c>
      <x:c r="D105" s="34" t="n">
        <x:v>1</x:v>
      </x:c>
      <x:c r="E105" s="34" t="n">
        <x:v>4</x:v>
      </x:c>
      <x:c r="F105" s="34" t="n">
        <x:v>0</x:v>
      </x:c>
    </x:row>
    <x:row r="106" ht="42" customHeight="1">
      <x:c r="A106" s="34" t="n">
        <x:v>10</x:v>
      </x:c>
      <x:c r="B106" s="34" t="str">
        <x:v>腰带</x:v>
      </x:c>
      <x:c r="C106" s="34" t="str">
        <x:v>闭潮王带</x:v>
      </x:c>
      <x:c r="D106" s="34" t="n">
        <x:v>1</x:v>
      </x:c>
      <x:c r="E106" s="34" t="n">
        <x:v>3</x:v>
      </x:c>
      <x:c r="F106" s="34" t="n">
        <x:v>0</x:v>
      </x:c>
    </x:row>
    <x:row r="107" ht="42" customHeight="1">
      <x:c r="A107" s="34" t="n">
        <x:v>10</x:v>
      </x:c>
      <x:c r="B107" s="34" t="str">
        <x:v>鞋子</x:v>
      </x:c>
      <x:c r="C107" s="34" t="str">
        <x:v>逐风征靴</x:v>
      </x:c>
      <x:c r="D107" s="34" t="n">
        <x:v>1</x:v>
      </x:c>
      <x:c r="E107" s="34" t="n">
        <x:v>3</x:v>
      </x:c>
      <x:c r="F107" s="34" t="n">
        <x:v>0</x:v>
      </x:c>
    </x:row>
    <x:row r="108" ht="42" customHeight="1">
      <x:c r="A108" s="34" t="n">
        <x:v>10</x:v>
      </x:c>
      <x:c r="B108" s="34" t="str">
        <x:v>斗笠</x:v>
      </x:c>
      <x:c r="C108" s="34" t="str">
        <x:v>碎日禁卫斗笠</x:v>
      </x:c>
      <x:c r="D108" s="34" t="n">
        <x:v>1</x:v>
      </x:c>
      <x:c r="E108" s="34" t="n">
        <x:v>2</x:v>
      </x:c>
      <x:c r="F108" s="34" t="n">
        <x:v>0</x:v>
      </x:c>
    </x:row>
    <x:row r="109" ht="42" customHeight="1">
      <x:c r="A109" s="34" t="n">
        <x:v>10</x:v>
      </x:c>
      <x:c r="B109" s="34" t="str">
        <x:v>手镯</x:v>
      </x:c>
      <x:c r="C109" s="34" t="str">
        <x:v>空炉渣火镯</x:v>
      </x:c>
      <x:c r="D109" s="34" t="n">
        <x:v>2</x:v>
      </x:c>
      <x:c r="E109" s="34" t="n">
        <x:v>2</x:v>
      </x:c>
      <x:c r="F109" s="34" t="n">
        <x:v>0</x:v>
      </x:c>
    </x:row>
    <x:row r="110" ht="42" customHeight="1">
      <x:c r="A110" s="34" t="n">
        <x:v>10</x:v>
      </x:c>
      <x:c r="B110" s="34" t="str">
        <x:v>戒指</x:v>
      </x:c>
      <x:c r="C110" s="34" t="str">
        <x:v>缄律书记戒</x:v>
      </x:c>
      <x:c r="D110" s="34" t="n">
        <x:v>2</x:v>
      </x:c>
      <x:c r="E110" s="34" t="n">
        <x:v>1</x:v>
      </x:c>
      <x:c r="F110" s="34" t="n">
        <x:v>0</x:v>
      </x:c>
    </x:row>
    <x:row r="111" ht="42" customHeight="1">
      <x:c r="A111" s="34" t="n">
        <x:v>10</x:v>
      </x:c>
      <x:c r="B111" s="34" t="str">
        <x:v>勋章</x:v>
      </x:c>
      <x:c r="C111" s="34" t="str">
        <x:v>无声执冠勋章</x:v>
      </x:c>
      <x:c r="D111" s="34" t="n">
        <x:v>1</x:v>
      </x:c>
      <x:c r="E111" s="34" t="n">
        <x:v>0</x:v>
      </x:c>
      <x:c r="F111" s="34" t="n">
        <x:v>0</x:v>
      </x:c>
    </x:row>
    <x:row r="112" ht="42" customHeight="1">
      <x:c r="A112" s="34" t="n">
        <x:v>10</x:v>
      </x:c>
      <x:c r="B112" s="34" t="str">
        <x:v>时装衣服</x:v>
      </x:c>
      <x:c r="C112" s="34" t="str">
        <x:v>艾尔登无冕王衣</x:v>
      </x:c>
      <x:c r="D112" s="34" t="n">
        <x:v>1</x:v>
      </x:c>
      <x:c r="E112" s="34" t="n">
        <x:v>12</x:v>
      </x:c>
      <x:c r="F112" s="34" t="n">
        <x:v>3</x:v>
      </x:c>
    </x:row>
    <x:row r="113" ht="42" customHeight="1">
      <x:c r="A113" s="34" t="n">
        <x:v>10</x:v>
      </x:c>
      <x:c r="B113" s="34" t="str">
        <x:v>时装头盔</x:v>
      </x:c>
      <x:c r="C113" s="34" t="str">
        <x:v>万冠司仪冠</x:v>
      </x:c>
      <x:c r="D113" s="34" t="n">
        <x:v>1</x:v>
      </x:c>
      <x:c r="E113" s="34" t="n">
        <x:v>1</x:v>
      </x:c>
      <x:c r="F113" s="34" t="n">
        <x:v>0</x:v>
      </x:c>
    </x:row>
    <x:row r="114" ht="42" customHeight="1">
      <x:c r="A114" s="34" t="n">
        <x:v>10</x:v>
      </x:c>
      <x:c r="B114" s="34" t="str">
        <x:v>时装项链</x:v>
      </x:c>
      <x:c r="C114" s="34" t="str">
        <x:v>终律心坠</x:v>
      </x:c>
      <x:c r="D114" s="34" t="n">
        <x:v>1</x:v>
      </x:c>
      <x:c r="E114" s="34" t="n">
        <x:v>0</x:v>
      </x:c>
      <x:c r="F114" s="34" t="n">
        <x:v>0</x:v>
      </x:c>
    </x:row>
    <x:row r="115" ht="42" customHeight="1">
      <x:c r="A115" s="34" t="n">
        <x:v>10</x:v>
      </x:c>
      <x:c r="B115" s="34" t="str">
        <x:v>时装手镯</x:v>
      </x:c>
      <x:c r="C115" s="34" t="str">
        <x:v>王座缄誓镯</x:v>
      </x:c>
      <x:c r="D115" s="34" t="n">
        <x:v>2</x:v>
      </x:c>
      <x:c r="E115" s="34" t="n">
        <x:v>1</x:v>
      </x:c>
      <x:c r="F115" s="34" t="n">
        <x:v>0</x:v>
      </x:c>
    </x:row>
    <x:row r="116" ht="42" customHeight="1">
      <x:c r="A116" s="35" t="n">
        <x:v>10</x:v>
      </x:c>
      <x:c r="B116" s="35" t="str">
        <x:v>时装戒指</x:v>
      </x:c>
      <x:c r="C116" s="35" t="str">
        <x:v>诸王归寂戒</x:v>
      </x:c>
      <x:c r="D116" s="35" t="n">
        <x:v>2</x:v>
      </x:c>
      <x:c r="E116" s="35" t="n">
        <x:v>0</x:v>
      </x:c>
      <x:c r="F116" s="35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32" hidden="0" customWidth="1"/>
    <x:col min="4" max="4" width="32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40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</x:cols>
  <x:sheetData>
    <x:row r="1" ht="30" customHeight="1">
      <x:c r="A1" s="4" t="str">
        <x:v>合成的2—3倍，是单件边际贡献，不是人物总输出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</x:row>
    <x:row r="2" ht="42" customHeight="1">
      <x:c r="A2" s="11" t="str">
        <x:v>使用同一个固定比较人物分别空该槽、装BOSS件、装合成件。比较人物输入列在P—W，是本轮模型假设而非真实40人面板；其他罕见功能需要后续联算。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 ht="34" customHeight="1">
      <x:c r="A4" s="19" t="str">
        <x:v>合成装备</x:v>
      </x:c>
      <x:c r="B4" s="19" t="str">
        <x:v>大陆</x:v>
      </x:c>
      <x:c r="C4" s="19" t="str">
        <x:v>BOSS比较对象</x:v>
      </x:c>
      <x:c r="D4" s="19" t="str">
        <x:v>比较对象性质</x:v>
      </x:c>
      <x:c r="E4" s="19" t="str">
        <x:v>BOSS攻击上限</x:v>
      </x:c>
      <x:c r="F4" s="19" t="str">
        <x:v>合成攻击上限</x:v>
      </x:c>
      <x:c r="G4" s="19" t="str">
        <x:v>面板倍率</x:v>
      </x:c>
      <x:c r="H4" s="19" t="str">
        <x:v>无该槽输出</x:v>
      </x:c>
      <x:c r="I4" s="19" t="str">
        <x:v>装BOSS输出</x:v>
      </x:c>
      <x:c r="J4" s="19" t="str">
        <x:v>装合成输出</x:v>
      </x:c>
      <x:c r="K4" s="19" t="str">
        <x:v>BOSS单件贡献</x:v>
      </x:c>
      <x:c r="L4" s="19" t="str">
        <x:v>合成单件贡献</x:v>
      </x:c>
      <x:c r="M4" s="19" t="str">
        <x:v>边际贡献倍率</x:v>
      </x:c>
      <x:c r="N4" s="19" t="str">
        <x:v>整人输出倍率</x:v>
      </x:c>
      <x:c r="O4" s="19" t="str">
        <x:v>比较范围</x:v>
      </x:c>
      <x:c r="P4" s="19" t="str">
        <x:v>其余固定攻击</x:v>
      </x:c>
      <x:c r="Q4" s="19" t="str">
        <x:v>其余攻击加成</x:v>
      </x:c>
      <x:c r="R4" s="19" t="str">
        <x:v>其余打怪伤害</x:v>
      </x:c>
      <x:c r="S4" s="19" t="str">
        <x:v>其余攻击伤害</x:v>
      </x:c>
      <x:c r="T4" s="19" t="str">
        <x:v>其余暴击率</x:v>
      </x:c>
      <x:c r="U4" s="19" t="str">
        <x:v>其余暴伤</x:v>
      </x:c>
      <x:c r="V4" s="19" t="str">
        <x:v>其余致命率</x:v>
      </x:c>
      <x:c r="W4" s="19" t="str">
        <x:v>其余致命伤害</x:v>
      </x:c>
      <x:c r="X4" s="19" t="str">
        <x:v>BOSS攻击加成</x:v>
      </x:c>
      <x:c r="Y4" s="19" t="str">
        <x:v>BOSS打怪伤害</x:v>
      </x:c>
      <x:c r="Z4" s="19" t="str">
        <x:v>BOSS攻击伤害</x:v>
      </x:c>
      <x:c r="AA4" s="19" t="str">
        <x:v>BOSS暴伤</x:v>
      </x:c>
      <x:c r="AB4" s="19" t="str">
        <x:v>BOSS致命率</x:v>
      </x:c>
      <x:c r="AC4" s="19" t="str">
        <x:v>BOSS致命伤害</x:v>
      </x:c>
      <x:c r="AD4" s="19" t="str">
        <x:v>合成攻击加成</x:v>
      </x:c>
      <x:c r="AE4" s="19" t="str">
        <x:v>合成打怪伤害</x:v>
      </x:c>
      <x:c r="AF4" s="19" t="str">
        <x:v>合成攻击伤害</x:v>
      </x:c>
      <x:c r="AG4" s="19" t="str">
        <x:v>合成暴伤</x:v>
      </x:c>
      <x:c r="AH4" s="19" t="str">
        <x:v>合成致命率</x:v>
      </x:c>
      <x:c r="AI4" s="19" t="str">
        <x:v>合成致命伤害</x:v>
      </x:c>
    </x:row>
    <x:row r="5" ht="42" customHeight="1">
      <x:c r="A5" s="34" t="str">
        <x:v>潮归秘戒</x:v>
      </x:c>
      <x:c r="B5" s="34" t="str">
        <x:v>C01</x:v>
      </x:c>
      <x:c r="C5" s="34" t="str">
        <x:v>比较用C01戒指BOSS刻度</x:v>
      </x:c>
      <x:c r="D5" s="34" t="str">
        <x:v>同部位BOSS数值刻度（非新增物品）</x:v>
      </x:c>
      <x:c r="E5" s="34" t="n">
        <x:v>60</x:v>
      </x:c>
      <x:c r="F5" s="34" t="n">
        <x:v>90</x:v>
      </x:c>
      <x:c r="G5" s="42" t="n">
        <x:f>F5/E5</x:f>
        <x:v>1.5</x:v>
      </x:c>
      <x:c r="H5" s="46" t="n">
        <x:f>P5*(1+Q5/100)*(1+R5/100)*(1+S5/100)*(1+T5/100*(1+U5/100))*(1+V5/100*(1+W5/100))</x:f>
        <x:v>189113.69861999998</x:v>
      </x:c>
      <x:c r="I5" s="46" t="n">
        <x:f>(P5+E5)*(1+(Q5+X5)/100)*(1+(R5+Y5)/100)*(1+(S5+Z5)/100)*(1+T5/100*(1+(U5+AA5)/100))*(1+(V5+AB5)/100*(1+(W5+AC5)/100))</x:f>
        <x:v>206743.54342674246</x:v>
      </x:c>
      <x:c r="J5" s="46" t="n">
        <x:f>(P5+F5)*(1+(Q5+AD5)/100)*(1+(R5+AE5)/100)*(1+(S5+AF5)/100)*(1+T5/100*(1+(U5+AG5)/100))*(1+(V5+AH5)/100*(1+(W5+AI5)/100))</x:f>
        <x:v>229730.35717003676</x:v>
      </x:c>
      <x:c r="K5" s="46" t="n">
        <x:f>I5-H5</x:f>
        <x:v>17629.844806742476</x:v>
      </x:c>
      <x:c r="L5" s="46" t="n">
        <x:f>J5-H5</x:f>
        <x:v>40616.65855003678</x:v>
      </x:c>
      <x:c r="M5" s="42" t="n">
        <x:f>L5/K5</x:f>
        <x:v>2.3038579746602803</x:v>
      </x:c>
      <x:c r="N5" s="42" t="n">
        <x:f>J5/I5</x:f>
        <x:v>1.1111851589766306</x:v>
      </x:c>
      <x:c r="O5" s="34" t="str">
        <x:v>常规单刀同槽边际；不含攻速换挡、处决/首尾与防御功能</x:v>
      </x:c>
      <x:c r="P5" s="34" t="n">
        <x:v>6000</x:v>
      </x:c>
      <x:c r="Q5" s="34" t="n">
        <x:v>320</x:v>
      </x:c>
      <x:c r="R5" s="34" t="n">
        <x:v>162</x:v>
      </x:c>
      <x:c r="S5" s="34" t="n">
        <x:v>65</x:v>
      </x:c>
      <x:c r="T5" s="34" t="n">
        <x:v>30</x:v>
      </x:c>
      <x:c r="U5" s="34" t="n">
        <x:v>110</x:v>
      </x:c>
      <x:c r="V5" s="34" t="n">
        <x:v>5</x:v>
      </x:c>
      <x:c r="W5" s="34" t="n">
        <x:v>30</x:v>
      </x:c>
      <x:c r="X5" s="34" t="n">
        <x:v>19</x:v>
      </x:c>
      <x:c r="Y5" s="34" t="n">
        <x:v>0</x:v>
      </x:c>
      <x:c r="Z5" s="34" t="n">
        <x:v>4</x:v>
      </x:c>
      <x:c r="AA5" s="34" t="n">
        <x:v>6</x:v>
      </x:c>
      <x:c r="AB5" s="34" t="n">
        <x:v>0</x:v>
      </x:c>
      <x:c r="AC5" s="34" t="n">
        <x:v>0</x:v>
      </x:c>
      <x:c r="AD5" s="34" t="n">
        <x:v>42</x:v>
      </x:c>
      <x:c r="AE5" s="34" t="n">
        <x:v>2</x:v>
      </x:c>
      <x:c r="AF5" s="34" t="n">
        <x:v>9</x:v>
      </x:c>
      <x:c r="AG5" s="34" t="n">
        <x:v>13</x:v>
      </x:c>
      <x:c r="AH5" s="34" t="n">
        <x:v>0</x:v>
      </x:c>
      <x:c r="AI5" s="34" t="n">
        <x:v>0</x:v>
      </x:c>
    </x:row>
    <x:row r="6" ht="42" customHeight="1">
      <x:c r="A6" s="34" t="str">
        <x:v>风暴王庭链</x:v>
      </x:c>
      <x:c r="B6" s="34" t="str">
        <x:v>C02</x:v>
      </x:c>
      <x:c r="C6" s="34" t="str">
        <x:v>比较用C02项链BOSS刻度</x:v>
      </x:c>
      <x:c r="D6" s="34" t="str">
        <x:v>同部位BOSS数值刻度（非新增物品）</x:v>
      </x:c>
      <x:c r="E6" s="34" t="n">
        <x:v>88</x:v>
      </x:c>
      <x:c r="F6" s="34" t="n">
        <x:v>132</x:v>
      </x:c>
      <x:c r="G6" s="42" t="n">
        <x:f>F6/E6</x:f>
        <x:v>1.5</x:v>
      </x:c>
      <x:c r="H6" s="46" t="n">
        <x:f>P6*(1+Q6/100)*(1+R6/100)*(1+S6/100)*(1+T6/100*(1+U6/100))*(1+V6/100*(1+W6/100))</x:f>
        <x:v>289867.7126400001</x:v>
      </x:c>
      <x:c r="I6" s="46" t="n">
        <x:f>(P6+E6)*(1+(Q6+X6)/100)*(1+(R6+Y6)/100)*(1+(S6+Z6)/100)*(1+T6/100*(1+(U6+AA6)/100))*(1+(V6+AB6)/100*(1+(W6+AC6)/100))</x:f>
        <x:v>330033.9482556047</x:v>
      </x:c>
      <x:c r="J6" s="46" t="n">
        <x:f>(P6+F6)*(1+(Q6+AD6)/100)*(1+(R6+AE6)/100)*(1+(S6+AF6)/100)*(1+T6/100*(1+(U6+AG6)/100))*(1+(V6+AH6)/100*(1+(W6+AI6)/100))</x:f>
        <x:v>382037.37425958726</x:v>
      </x:c>
      <x:c r="K6" s="46" t="n">
        <x:f>I6-H6</x:f>
        <x:v>40166.235615604615</x:v>
      </x:c>
      <x:c r="L6" s="46" t="n">
        <x:f>J6-H6</x:f>
        <x:v>92169.66161958716</x:v>
      </x:c>
      <x:c r="M6" s="42" t="n">
        <x:f>L6/K6</x:f>
        <x:v>2.294704998040174</x:v>
      </x:c>
      <x:c r="N6" s="42" t="n">
        <x:f>J6/I6</x:f>
        <x:v>1.1575699296355626</x:v>
      </x:c>
      <x:c r="O6" s="34" t="str">
        <x:v>常规单刀同槽边际；不含攻速换挡、处决/首尾与防御功能</x:v>
      </x:c>
      <x:c r="P6" s="34" t="n">
        <x:v>8000</x:v>
      </x:c>
      <x:c r="Q6" s="34" t="n">
        <x:v>340</x:v>
      </x:c>
      <x:c r="R6" s="34" t="n">
        <x:v>174</x:v>
      </x:c>
      <x:c r="S6" s="34" t="n">
        <x:v>70</x:v>
      </x:c>
      <x:c r="T6" s="34" t="n">
        <x:v>30</x:v>
      </x:c>
      <x:c r="U6" s="34" t="n">
        <x:v>120</x:v>
      </x:c>
      <x:c r="V6" s="34" t="n">
        <x:v>5</x:v>
      </x:c>
      <x:c r="W6" s="34" t="n">
        <x:v>30</x:v>
      </x:c>
      <x:c r="X6" s="34" t="n">
        <x:v>19</x:v>
      </x:c>
      <x:c r="Y6" s="34" t="n">
        <x:v>15</x:v>
      </x:c>
      <x:c r="Z6" s="34" t="n">
        <x:v>4</x:v>
      </x:c>
      <x:c r="AA6" s="34" t="n">
        <x:v>0</x:v>
      </x:c>
      <x:c r="AB6" s="34" t="n">
        <x:v>0</x:v>
      </x:c>
      <x:c r="AC6" s="34" t="n">
        <x:v>0</x:v>
      </x:c>
      <x:c r="AD6" s="34" t="n">
        <x:v>42</x:v>
      </x:c>
      <x:c r="AE6" s="34" t="n">
        <x:v>34</x:v>
      </x:c>
      <x:c r="AF6" s="34" t="n">
        <x:v>9</x:v>
      </x:c>
      <x:c r="AG6" s="34" t="n">
        <x:v>0</x:v>
      </x:c>
      <x:c r="AH6" s="34" t="n">
        <x:v>0</x:v>
      </x:c>
      <x:c r="AI6" s="34" t="n">
        <x:v>0</x:v>
      </x:c>
    </x:row>
    <x:row r="7" ht="42" customHeight="1">
      <x:c r="A7" s="34" t="str">
        <x:v>百指接肢腕</x:v>
      </x:c>
      <x:c r="B7" s="34" t="str">
        <x:v>C02</x:v>
      </x:c>
      <x:c r="C7" s="34" t="str">
        <x:v>比较用C02手镯BOSS刻度</x:v>
      </x:c>
      <x:c r="D7" s="34" t="str">
        <x:v>同部位BOSS数值刻度（非新增物品）</x:v>
      </x:c>
      <x:c r="E7" s="34" t="n">
        <x:v>80</x:v>
      </x:c>
      <x:c r="F7" s="34" t="n">
        <x:v>120</x:v>
      </x:c>
      <x:c r="G7" s="42" t="n">
        <x:f>F7/E7</x:f>
        <x:v>1.5</x:v>
      </x:c>
      <x:c r="H7" s="46" t="n">
        <x:f>P7*(1+Q7/100)*(1+R7/100)*(1+S7/100)*(1+T7/100*(1+U7/100))*(1+V7/100*(1+W7/100))</x:f>
        <x:v>289867.7126400001</x:v>
      </x:c>
      <x:c r="I7" s="46" t="n">
        <x:f>(P7+E7)*(1+(Q7+X7)/100)*(1+(R7+Y7)/100)*(1+(S7+Z7)/100)*(1+T7/100*(1+(U7+AA7)/100))*(1+(V7+AB7)/100*(1+(W7+AC7)/100))</x:f>
        <x:v>325186.53971201996</x:v>
      </x:c>
      <x:c r="J7" s="46" t="n">
        <x:f>(P7+F7)*(1+(Q7+AD7)/100)*(1+(R7+AE7)/100)*(1+(S7+AF7)/100)*(1+T7/100*(1+(U7+AG7)/100))*(1+(V7+AH7)/100*(1+(W7+AI7)/100))</x:f>
        <x:v>371896.2393392736</x:v>
      </x:c>
      <x:c r="K7" s="46" t="n">
        <x:f>I7-H7</x:f>
        <x:v>35318.82707201986</x:v>
      </x:c>
      <x:c r="L7" s="46" t="n">
        <x:f>J7-H7</x:f>
        <x:v>82028.5266992735</x:v>
      </x:c>
      <x:c r="M7" s="42" t="n">
        <x:f>L7/K7</x:f>
        <x:v>2.322515595775767</x:v>
      </x:c>
      <x:c r="N7" s="42" t="n">
        <x:f>J7/I7</x:f>
        <x:v>1.1436397080537806</x:v>
      </x:c>
      <x:c r="O7" s="34" t="str">
        <x:v>常规单刀同槽边际；不含攻速换挡、处决/首尾与防御功能</x:v>
      </x:c>
      <x:c r="P7" s="34" t="n">
        <x:v>8000</x:v>
      </x:c>
      <x:c r="Q7" s="34" t="n">
        <x:v>340</x:v>
      </x:c>
      <x:c r="R7" s="34" t="n">
        <x:v>174</x:v>
      </x:c>
      <x:c r="S7" s="34" t="n">
        <x:v>70</x:v>
      </x:c>
      <x:c r="T7" s="34" t="n">
        <x:v>30</x:v>
      </x:c>
      <x:c r="U7" s="34" t="n">
        <x:v>120</x:v>
      </x:c>
      <x:c r="V7" s="34" t="n">
        <x:v>5</x:v>
      </x:c>
      <x:c r="W7" s="34" t="n">
        <x:v>30</x:v>
      </x:c>
      <x:c r="X7" s="34" t="n">
        <x:v>19</x:v>
      </x:c>
      <x:c r="Y7" s="34" t="n">
        <x:v>0</x:v>
      </x:c>
      <x:c r="Z7" s="34" t="n">
        <x:v>5</x:v>
      </x:c>
      <x:c r="AA7" s="34" t="n">
        <x:v>19</x:v>
      </x:c>
      <x:c r="AB7" s="34" t="n">
        <x:v>0</x:v>
      </x:c>
      <x:c r="AC7" s="34" t="n">
        <x:v>0</x:v>
      </x:c>
      <x:c r="AD7" s="34" t="n">
        <x:v>42</x:v>
      </x:c>
      <x:c r="AE7" s="34" t="n">
        <x:v>2</x:v>
      </x:c>
      <x:c r="AF7" s="34" t="n">
        <x:v>11</x:v>
      </x:c>
      <x:c r="AG7" s="34" t="n">
        <x:v>42</x:v>
      </x:c>
      <x:c r="AH7" s="34" t="n">
        <x:v>0</x:v>
      </x:c>
      <x:c r="AI7" s="34" t="n">
        <x:v>0</x:v>
      </x:c>
    </x:row>
    <x:row r="8" ht="42" customHeight="1">
      <x:c r="A8" s="34" t="str">
        <x:v>断途战冠</x:v>
      </x:c>
      <x:c r="B8" s="34" t="str">
        <x:v>C03</x:v>
      </x:c>
      <x:c r="C8" s="34" t="str">
        <x:v>西境征服冠</x:v>
      </x:c>
      <x:c r="D8" s="34" t="str">
        <x:v>实际同部位BOSS专属</x:v>
      </x:c>
      <x:c r="E8" s="34" t="n">
        <x:v>99</x:v>
      </x:c>
      <x:c r="F8" s="34" t="n">
        <x:v>149</x:v>
      </x:c>
      <x:c r="G8" s="42" t="n">
        <x:f>F8/E8</x:f>
        <x:v>1.505050505050505</x:v>
      </x:c>
      <x:c r="H8" s="46" t="n">
        <x:f>P8*(1+Q8/100)*(1+R8/100)*(1+S8/100)*(1+T8/100*(1+U8/100))*(1+V8/100*(1+W8/100))</x:f>
        <x:v>455817.41205</x:v>
      </x:c>
      <x:c r="I8" s="46" t="n">
        <x:f>(P8+E8)*(1+(Q8+X8)/100)*(1+(R8+Y8)/100)*(1+(S8+Z8)/100)*(1+T8/100*(1+(U8+AA8)/100))*(1+(V8+AB8)/100*(1+(W8+AC8)/100))</x:f>
        <x:v>470917.8501852826</x:v>
      </x:c>
      <x:c r="J8" s="46" t="n">
        <x:f>(P8+F8)*(1+(Q8+AD8)/100)*(1+(R8+AE8)/100)*(1+(S8+AF8)/100)*(1+T8/100*(1+(U8+AG8)/100))*(1+(V8+AH8)/100*(1+(W8+AI8)/100))</x:f>
        <x:v>491517.55487015995</x:v>
      </x:c>
      <x:c r="K8" s="46" t="n">
        <x:f>I8-H8</x:f>
        <x:v>15100.438135282602</x:v>
      </x:c>
      <x:c r="L8" s="46" t="n">
        <x:f>J8-H8</x:f>
        <x:v>35700.14282015996</x:v>
      </x:c>
      <x:c r="M8" s="42" t="n">
        <x:f>L8/K8</x:f>
        <x:v>2.364179270848146</x:v>
      </x:c>
      <x:c r="N8" s="42" t="n">
        <x:f>J8/I8</x:f>
        <x:v>1.043743732960584</x:v>
      </x:c>
      <x:c r="O8" s="34" t="str">
        <x:v>常规单刀同槽边际；不含攻速换挡、处决/首尾与防御功能</x:v>
      </x:c>
      <x:c r="P8" s="34" t="n">
        <x:v>11000</x:v>
      </x:c>
      <x:c r="Q8" s="34" t="n">
        <x:v>360</x:v>
      </x:c>
      <x:c r="R8" s="34" t="n">
        <x:v>186</x:v>
      </x:c>
      <x:c r="S8" s="34" t="n">
        <x:v>75</x:v>
      </x:c>
      <x:c r="T8" s="34" t="n">
        <x:v>30</x:v>
      </x:c>
      <x:c r="U8" s="34" t="n">
        <x:v>130</x:v>
      </x:c>
      <x:c r="V8" s="34" t="n">
        <x:v>5</x:v>
      </x:c>
      <x:c r="W8" s="34" t="n">
        <x:v>30</x:v>
      </x:c>
      <x:c r="X8" s="34" t="n">
        <x:v>11</x:v>
      </x:c>
      <x:c r="Y8" s="34" t="n">
        <x:v>0</x:v>
      </x:c>
      <x:c r="Z8" s="34" t="n">
        <x:v>0</x:v>
      </x:c>
      <x:c r="AA8" s="34" t="n">
        <x:v>0</x:v>
      </x:c>
      <x:c r="AB8" s="34" t="n">
        <x:v>0</x:v>
      </x:c>
      <x:c r="AC8" s="34" t="n">
        <x:v>0</x:v>
      </x:c>
      <x:c r="AD8" s="34" t="n">
        <x:v>26</x:v>
      </x:c>
      <x:c r="AE8" s="34" t="n">
        <x:v>2</x:v>
      </x:c>
      <x:c r="AF8" s="34" t="n">
        <x:v>0</x:v>
      </x:c>
      <x:c r="AG8" s="34" t="n">
        <x:v>0</x:v>
      </x:c>
      <x:c r="AH8" s="34" t="n">
        <x:v>0</x:v>
      </x:c>
      <x:c r="AI8" s="34" t="n">
        <x:v>0</x:v>
      </x:c>
    </x:row>
    <x:row r="9" ht="42" customHeight="1">
      <x:c r="A9" s="34" t="str">
        <x:v>逐风征靴</x:v>
      </x:c>
      <x:c r="B9" s="34" t="str">
        <x:v>C03</x:v>
      </x:c>
      <x:c r="C9" s="34" t="str">
        <x:v>比较用C03鞋子BOSS刻度</x:v>
      </x:c>
      <x:c r="D9" s="34" t="str">
        <x:v>同部位BOSS数值刻度（非新增物品）</x:v>
      </x:c>
      <x:c r="E9" s="34" t="n">
        <x:v>83</x:v>
      </x:c>
      <x:c r="F9" s="34" t="n">
        <x:v>125</x:v>
      </x:c>
      <x:c r="G9" s="42" t="n">
        <x:f>F9/E9</x:f>
        <x:v>1.5060240963855422</x:v>
      </x:c>
      <x:c r="H9" s="46" t="n">
        <x:f>P9*(1+Q9/100)*(1+R9/100)*(1+S9/100)*(1+T9/100*(1+U9/100))*(1+V9/100*(1+W9/100))</x:f>
        <x:v>455817.41205</x:v>
      </x:c>
      <x:c r="I9" s="46" t="n">
        <x:f>(P9+E9)*(1+(Q9+X9)/100)*(1+(R9+Y9)/100)*(1+(S9+Z9)/100)*(1+T9/100*(1+(U9+AA9)/100))*(1+(V9+AB9)/100*(1+(W9+AC9)/100))</x:f>
        <x:v>470238.98852180253</x:v>
      </x:c>
      <x:c r="J9" s="46" t="n">
        <x:f>(P9+F9)*(1+(Q9+AD9)/100)*(1+(R9+AE9)/100)*(1+(S9+AF9)/100)*(1+T9/100*(1+(U9+AG9)/100))*(1+(V9+AH9)/100*(1+(W9+AI9)/100))</x:f>
        <x:v>488441.13317999995</x:v>
      </x:c>
      <x:c r="K9" s="46" t="n">
        <x:f>I9-H9</x:f>
        <x:v>14421.576471802546</x:v>
      </x:c>
      <x:c r="L9" s="46" t="n">
        <x:f>J9-H9</x:f>
        <x:v>32623.72112999996</x:v>
      </x:c>
      <x:c r="M9" s="42" t="n">
        <x:f>L9/K9</x:f>
        <x:v>2.2621466657120837</x:v>
      </x:c>
      <x:c r="N9" s="42" t="n">
        <x:f>J9/I9</x:f>
        <x:v>1.038708284728614</x:v>
      </x:c>
      <x:c r="O9" s="34" t="str">
        <x:v>常规单刀同槽边际；不含攻速换挡、处决/首尾与防御功能</x:v>
      </x:c>
      <x:c r="P9" s="34" t="n">
        <x:v>11000</x:v>
      </x:c>
      <x:c r="Q9" s="34" t="n">
        <x:v>360</x:v>
      </x:c>
      <x:c r="R9" s="34" t="n">
        <x:v>186</x:v>
      </x:c>
      <x:c r="S9" s="34" t="n">
        <x:v>75</x:v>
      </x:c>
      <x:c r="T9" s="34" t="n">
        <x:v>30</x:v>
      </x:c>
      <x:c r="U9" s="34" t="n">
        <x:v>130</x:v>
      </x:c>
      <x:c r="V9" s="34" t="n">
        <x:v>5</x:v>
      </x:c>
      <x:c r="W9" s="34" t="n">
        <x:v>30</x:v>
      </x:c>
      <x:c r="X9" s="34" t="n">
        <x:v>11</x:v>
      </x:c>
      <x:c r="Y9" s="34" t="n">
        <x:v>0</x:v>
      </x:c>
      <x:c r="Z9" s="34" t="n">
        <x:v>0</x:v>
      </x:c>
      <x:c r="AA9" s="34" t="n">
        <x:v>0</x:v>
      </x:c>
      <x:c r="AB9" s="34" t="n">
        <x:v>0</x:v>
      </x:c>
      <x:c r="AC9" s="34" t="n">
        <x:v>0</x:v>
      </x:c>
      <x:c r="AD9" s="34" t="n">
        <x:v>24</x:v>
      </x:c>
      <x:c r="AE9" s="34" t="n">
        <x:v>2</x:v>
      </x:c>
      <x:c r="AF9" s="34" t="n">
        <x:v>0</x:v>
      </x:c>
      <x:c r="AG9" s="34" t="n">
        <x:v>0</x:v>
      </x:c>
      <x:c r="AH9" s="34" t="n">
        <x:v>0</x:v>
      </x:c>
      <x:c r="AI9" s="34" t="n">
        <x:v>0</x:v>
      </x:c>
    </x:row>
    <x:row r="10" ht="42" customHeight="1">
      <x:c r="A10" s="34" t="str">
        <x:v>闭潮王带</x:v>
      </x:c>
      <x:c r="B10" s="34" t="str">
        <x:v>C04</x:v>
      </x:c>
      <x:c r="C10" s="34" t="str">
        <x:v>比较用C04腰带BOSS刻度</x:v>
      </x:c>
      <x:c r="D10" s="34" t="str">
        <x:v>同部位BOSS数值刻度（非新增物品）</x:v>
      </x:c>
      <x:c r="E10" s="34" t="n">
        <x:v>110</x:v>
      </x:c>
      <x:c r="F10" s="34" t="n">
        <x:v>165</x:v>
      </x:c>
      <x:c r="G10" s="42" t="n">
        <x:f>F10/E10</x:f>
        <x:v>1.5</x:v>
      </x:c>
      <x:c r="H10" s="46" t="n">
        <x:f>P10*(1+Q10/100)*(1+R10/100)*(1+S10/100)*(1+T10/100*(1+U10/100))*(1+V10/100*(1+W10/100))</x:f>
        <x:v>683873.95392</x:v>
      </x:c>
      <x:c r="I10" s="46" t="n">
        <x:f>(P10+E10)*(1+(Q10+X10)/100)*(1+(R10+Y10)/100)*(1+(S10+Z10)/100)*(1+T10/100*(1+(U10+AA10)/100))*(1+(V10+AB10)/100*(1+(W10+AC10)/100))</x:f>
        <x:v>707724.05806296</x:v>
      </x:c>
      <x:c r="J10" s="46" t="n">
        <x:f>(P10+F10)*(1+(Q10+AD10)/100)*(1+(R10+AE10)/100)*(1+(S10+AF10)/100)*(1+T10/100*(1+(U10+AG10)/100))*(1+(V10+AH10)/100*(1+(W10+AI10)/100))</x:f>
        <x:v>738365.955642</x:v>
      </x:c>
      <x:c r="K10" s="46" t="n">
        <x:f>I10-H10</x:f>
        <x:v>23850.104142960045</x:v>
      </x:c>
      <x:c r="L10" s="46" t="n">
        <x:f>J10-H10</x:f>
        <x:v>54492.00172199996</x:v>
      </x:c>
      <x:c r="M10" s="42" t="n">
        <x:f>L10/K10</x:f>
        <x:v>2.2847699697816473</x:v>
      </x:c>
      <x:c r="N10" s="42" t="n">
        <x:f>J10/I10</x:f>
        <x:v>1.0432963910579878</x:v>
      </x:c>
      <x:c r="O10" s="34" t="str">
        <x:v>常规单刀同槽边际；不含攻速换挡、处决/首尾与防御功能</x:v>
      </x:c>
      <x:c r="P10" s="34" t="n">
        <x:v>14500</x:v>
      </x:c>
      <x:c r="Q10" s="34" t="n">
        <x:v>380</x:v>
      </x:c>
      <x:c r="R10" s="34" t="n">
        <x:v>198</x:v>
      </x:c>
      <x:c r="S10" s="34" t="n">
        <x:v>80</x:v>
      </x:c>
      <x:c r="T10" s="34" t="n">
        <x:v>30</x:v>
      </x:c>
      <x:c r="U10" s="34" t="n">
        <x:v>140</x:v>
      </x:c>
      <x:c r="V10" s="34" t="n">
        <x:v>5</x:v>
      </x:c>
      <x:c r="W10" s="34" t="n">
        <x:v>30</x:v>
      </x:c>
      <x:c r="X10" s="34" t="n">
        <x:v>13</x:v>
      </x:c>
      <x:c r="Y10" s="34" t="n">
        <x:v>0</x:v>
      </x:c>
      <x:c r="Z10" s="34" t="n">
        <x:v>0</x:v>
      </x:c>
      <x:c r="AA10" s="34" t="n">
        <x:v>0</x:v>
      </x:c>
      <x:c r="AB10" s="34" t="n">
        <x:v>0</x:v>
      </x:c>
      <x:c r="AC10" s="34" t="n">
        <x:v>0</x:v>
      </x:c>
      <x:c r="AD10" s="34" t="n">
        <x:v>29</x:v>
      </x:c>
      <x:c r="AE10" s="34" t="n">
        <x:v>2</x:v>
      </x:c>
      <x:c r="AF10" s="34" t="n">
        <x:v>0</x:v>
      </x:c>
      <x:c r="AG10" s="34" t="n">
        <x:v>0</x:v>
      </x:c>
      <x:c r="AH10" s="34" t="n">
        <x:v>0</x:v>
      </x:c>
      <x:c r="AI10" s="34" t="n">
        <x:v>0</x:v>
      </x:c>
    </x:row>
    <x:row r="11" ht="42" customHeight="1">
      <x:c r="A11" s="34" t="str">
        <x:v>月渊秘戒</x:v>
      </x:c>
      <x:c r="B11" s="34" t="str">
        <x:v>C04</x:v>
      </x:c>
      <x:c r="C11" s="34" t="str">
        <x:v>比较用C04戒指BOSS刻度</x:v>
      </x:c>
      <x:c r="D11" s="34" t="str">
        <x:v>同部位BOSS数值刻度（非新增物品）</x:v>
      </x:c>
      <x:c r="E11" s="34" t="n">
        <x:v>145</x:v>
      </x:c>
      <x:c r="F11" s="34" t="n">
        <x:v>218</x:v>
      </x:c>
      <x:c r="G11" s="42" t="n">
        <x:f>F11/E11</x:f>
        <x:v>1.5034482758620689</x:v>
      </x:c>
      <x:c r="H11" s="46" t="n">
        <x:f>P11*(1+Q11/100)*(1+R11/100)*(1+S11/100)*(1+T11/100*(1+U11/100))*(1+V11/100*(1+W11/100))</x:f>
        <x:v>683873.95392</x:v>
      </x:c>
      <x:c r="I11" s="46" t="n">
        <x:f>(P11+E11)*(1+(Q11+X11)/100)*(1+(R11+Y11)/100)*(1+(S11+Z11)/100)*(1+T11/100*(1+(U11+AA11)/100))*(1+(V11+AB11)/100*(1+(W11+AC11)/100))</x:f>
        <x:v>808610.20028195</x:v>
      </x:c>
      <x:c r="J11" s="46" t="n">
        <x:f>(P11+F11)*(1+(Q11+AD11)/100)*(1+(R11+AE11)/100)*(1+(S11+AF11)/100)*(1+T11/100*(1+(U11+AG11)/100))*(1+(V11+AH11)/100*(1+(W11+AI11)/100))</x:f>
        <x:v>970896.3873435131</x:v>
      </x:c>
      <x:c r="K11" s="46" t="n">
        <x:f>I11-H11</x:f>
        <x:v>124736.24636194995</x:v>
      </x:c>
      <x:c r="L11" s="46" t="n">
        <x:f>J11-H11</x:f>
        <x:v>287022.4334235131</x:v>
      </x:c>
      <x:c r="M11" s="42" t="n">
        <x:f>L11/K11</x:f>
        <x:v>2.3010347176125028</x:v>
      </x:c>
      <x:c r="N11" s="42" t="n">
        <x:f>J11/I11</x:f>
        <x:v>1.2006976748561624</x:v>
      </x:c>
      <x:c r="O11" s="34" t="str">
        <x:v>常规单刀同槽边际；不含攻速换挡、处决/首尾与防御功能</x:v>
      </x:c>
      <x:c r="P11" s="34" t="n">
        <x:v>14500</x:v>
      </x:c>
      <x:c r="Q11" s="34" t="n">
        <x:v>380</x:v>
      </x:c>
      <x:c r="R11" s="34" t="n">
        <x:v>198</x:v>
      </x:c>
      <x:c r="S11" s="34" t="n">
        <x:v>80</x:v>
      </x:c>
      <x:c r="T11" s="34" t="n">
        <x:v>30</x:v>
      </x:c>
      <x:c r="U11" s="34" t="n">
        <x:v>140</x:v>
      </x:c>
      <x:c r="V11" s="34" t="n">
        <x:v>5</x:v>
      </x:c>
      <x:c r="W11" s="34" t="n">
        <x:v>30</x:v>
      </x:c>
      <x:c r="X11" s="34" t="n">
        <x:v>26</x:v>
      </x:c>
      <x:c r="Y11" s="34" t="n">
        <x:v>21</x:v>
      </x:c>
      <x:c r="Z11" s="34" t="n">
        <x:v>5</x:v>
      </x:c>
      <x:c r="AA11" s="34" t="n">
        <x:v>0</x:v>
      </x:c>
      <x:c r="AB11" s="34" t="n">
        <x:v>0</x:v>
      </x:c>
      <x:c r="AC11" s="34" t="n">
        <x:v>20</x:v>
      </x:c>
      <x:c r="AD11" s="34" t="n">
        <x:v>57</x:v>
      </x:c>
      <x:c r="AE11" s="34" t="n">
        <x:v>46</x:v>
      </x:c>
      <x:c r="AF11" s="34" t="n">
        <x:v>11</x:v>
      </x:c>
      <x:c r="AG11" s="34" t="n">
        <x:v>0</x:v>
      </x:c>
      <x:c r="AH11" s="34" t="n">
        <x:v>0</x:v>
      </x:c>
      <x:c r="AI11" s="34" t="n">
        <x:v>44</x:v>
      </x:c>
    </x:row>
    <x:row r="12" ht="42" customHeight="1">
      <x:c r="A12" s="34" t="str">
        <x:v>闭潮秘饰</x:v>
      </x:c>
      <x:c r="B12" s="34" t="str">
        <x:v>C04</x:v>
      </x:c>
      <x:c r="C12" s="34" t="str">
        <x:v>比较用C04时装首饰盒BOSS刻度</x:v>
      </x:c>
      <x:c r="D12" s="34" t="str">
        <x:v>同部位BOSS数值刻度（非新增物品）</x:v>
      </x:c>
      <x:c r="E12" s="34" t="n">
        <x:v>115</x:v>
      </x:c>
      <x:c r="F12" s="34" t="n">
        <x:v>173</x:v>
      </x:c>
      <x:c r="G12" s="42" t="n">
        <x:f>F12/E12</x:f>
        <x:v>1.5043478260869565</x:v>
      </x:c>
      <x:c r="H12" s="46" t="n">
        <x:f>P12*(1+Q12/100)*(1+R12/100)*(1+S12/100)*(1+T12/100*(1+U12/100))*(1+V12/100*(1+W12/100))</x:f>
        <x:v>683873.95392</x:v>
      </x:c>
      <x:c r="I12" s="46" t="n">
        <x:f>(P12+E12)*(1+(Q12+X12)/100)*(1+(R12+Y12)/100)*(1+(S12+Z12)/100)*(1+T12/100*(1+(U12+AA12)/100))*(1+(V12+AB12)/100*(1+(W12+AC12)/100))</x:f>
        <x:v>796535.9082443289</x:v>
      </x:c>
      <x:c r="J12" s="46" t="n">
        <x:f>(P12+F12)*(1+(Q12+AD12)/100)*(1+(R12+AE12)/100)*(1+(S12+AF12)/100)*(1+T12/100*(1+(U12+AG12)/100))*(1+(V12+AH12)/100*(1+(W12+AI12)/100))</x:f>
        <x:v>940523.4989214186</x:v>
      </x:c>
      <x:c r="K12" s="46" t="n">
        <x:f>I12-H12</x:f>
        <x:v>112661.95432432892</x:v>
      </x:c>
      <x:c r="L12" s="46" t="n">
        <x:f>J12-H12</x:f>
        <x:v>256649.54500141856</x:v>
      </x:c>
      <x:c r="M12" s="42" t="n">
        <x:f>L12/K12</x:f>
        <x:v>2.278049822059549</x:v>
      </x:c>
      <x:c r="N12" s="42" t="n">
        <x:f>J12/I12</x:f>
        <x:v>1.1807672311904398</x:v>
      </x:c>
      <x:c r="O12" s="34" t="str">
        <x:v>常规单刀同槽边际；不含攻速换挡、处决/首尾与防御功能</x:v>
      </x:c>
      <x:c r="P12" s="34" t="n">
        <x:v>14500</x:v>
      </x:c>
      <x:c r="Q12" s="34" t="n">
        <x:v>380</x:v>
      </x:c>
      <x:c r="R12" s="34" t="n">
        <x:v>198</x:v>
      </x:c>
      <x:c r="S12" s="34" t="n">
        <x:v>80</x:v>
      </x:c>
      <x:c r="T12" s="34" t="n">
        <x:v>30</x:v>
      </x:c>
      <x:c r="U12" s="34" t="n">
        <x:v>140</x:v>
      </x:c>
      <x:c r="V12" s="34" t="n">
        <x:v>5</x:v>
      </x:c>
      <x:c r="W12" s="34" t="n">
        <x:v>30</x:v>
      </x:c>
      <x:c r="X12" s="34" t="n">
        <x:v>26</x:v>
      </x:c>
      <x:c r="Y12" s="34" t="n">
        <x:v>0</x:v>
      </x:c>
      <x:c r="Z12" s="34" t="n">
        <x:v>7</x:v>
      </x:c>
      <x:c r="AA12" s="34" t="n">
        <x:v>26</x:v>
      </x:c>
      <x:c r="AB12" s="34" t="n">
        <x:v>0</x:v>
      </x:c>
      <x:c r="AC12" s="34" t="n">
        <x:v>20</x:v>
      </x:c>
      <x:c r="AD12" s="34" t="n">
        <x:v>55</x:v>
      </x:c>
      <x:c r="AE12" s="34" t="n">
        <x:v>2</x:v>
      </x:c>
      <x:c r="AF12" s="34" t="n">
        <x:v>15</x:v>
      </x:c>
      <x:c r="AG12" s="34" t="n">
        <x:v>55</x:v>
      </x:c>
      <x:c r="AH12" s="34" t="n">
        <x:v>0</x:v>
      </x:c>
      <x:c r="AI12" s="34" t="n">
        <x:v>43</x:v>
      </x:c>
    </x:row>
    <x:row r="13" ht="42" customHeight="1">
      <x:c r="A13" s="34" t="str">
        <x:v>卡利亚月裁长刃</x:v>
      </x:c>
      <x:c r="B13" s="34" t="str">
        <x:v>C05</x:v>
      </x:c>
      <x:c r="C13" s="34" t="str">
        <x:v>深潮王女权杖</x:v>
      </x:c>
      <x:c r="D13" s="34" t="str">
        <x:v>实际同部位BOSS专属</x:v>
      </x:c>
      <x:c r="E13" s="34" t="n">
        <x:v>1900</x:v>
      </x:c>
      <x:c r="F13" s="34" t="n">
        <x:v>2850</x:v>
      </x:c>
      <x:c r="G13" s="42" t="n">
        <x:f>F13/E13</x:f>
        <x:v>1.5</x:v>
      </x:c>
      <x:c r="H13" s="46" t="n">
        <x:f>P13*(1+Q13/100)*(1+R13/100)*(1+S13/100)*(1+T13/100*(1+U13/100))*(1+V13/100*(1+W13/100))</x:f>
        <x:v>1015417.59375</x:v>
      </x:c>
      <x:c r="I13" s="46" t="n">
        <x:f>(P13+E13)*(1+(Q13+X13)/100)*(1+(R13+Y13)/100)*(1+(S13+Z13)/100)*(1+T13/100*(1+(U13+AA13)/100))*(1+(V13+AB13)/100*(1+(W13+AC13)/100))</x:f>
        <x:v>2346191.6539248</x:v>
      </x:c>
      <x:c r="J13" s="46" t="n">
        <x:f>(P13+F13)*(1+(Q13+AD13)/100)*(1+(R13+AE13)/100)*(1+(S13+AF13)/100)*(1+T13/100*(1+(U13+AG13)/100))*(1+(V13+AH13)/100*(1+(W13+AI13)/100))</x:f>
        <x:v>4079548.186555747</x:v>
      </x:c>
      <x:c r="K13" s="46" t="n">
        <x:f>I13-H13</x:f>
        <x:v>1330774.0601748</x:v>
      </x:c>
      <x:c r="L13" s="46" t="n">
        <x:f>J13-H13</x:f>
        <x:v>3064130.592805747</x:v>
      </x:c>
      <x:c r="M13" s="42" t="n">
        <x:f>L13/K13</x:f>
        <x:v>2.3025175230747035</x:v>
      </x:c>
      <x:c r="N13" s="42" t="n">
        <x:f>J13/I13</x:f>
        <x:v>1.7387957968955015</x:v>
      </x:c>
      <x:c r="O13" s="34" t="str">
        <x:v>常规单刀同槽边际；不含攻速换挡、处决/首尾与防御功能</x:v>
      </x:c>
      <x:c r="P13" s="34" t="n">
        <x:v>19000</x:v>
      </x:c>
      <x:c r="Q13" s="34" t="n">
        <x:v>400</x:v>
      </x:c>
      <x:c r="R13" s="34" t="n">
        <x:v>210</x:v>
      </x:c>
      <x:c r="S13" s="34" t="n">
        <x:v>85</x:v>
      </x:c>
      <x:c r="T13" s="34" t="n">
        <x:v>30</x:v>
      </x:c>
      <x:c r="U13" s="34" t="n">
        <x:v>150</x:v>
      </x:c>
      <x:c r="V13" s="34" t="n">
        <x:v>5</x:v>
      </x:c>
      <x:c r="W13" s="34" t="n">
        <x:v>30</x:v>
      </x:c>
      <x:c r="X13" s="34" t="n">
        <x:v>100</x:v>
      </x:c>
      <x:c r="Y13" s="34" t="n">
        <x:v>86</x:v>
      </x:c>
      <x:c r="Z13" s="34" t="n">
        <x:v>34</x:v>
      </x:c>
      <x:c r="AA13" s="34" t="n">
        <x:v>85</x:v>
      </x:c>
      <x:c r="AB13" s="34" t="n">
        <x:v>0</x:v>
      </x:c>
      <x:c r="AC13" s="34" t="n">
        <x:v>22</x:v>
      </x:c>
      <x:c r="AD13" s="34" t="n">
        <x:v>181</x:v>
      </x:c>
      <x:c r="AE13" s="34" t="n">
        <x:v>155</x:v>
      </x:c>
      <x:c r="AF13" s="34" t="n">
        <x:v>61</x:v>
      </x:c>
      <x:c r="AG13" s="34" t="n">
        <x:v>153</x:v>
      </x:c>
      <x:c r="AH13" s="34" t="n">
        <x:v>0</x:v>
      </x:c>
      <x:c r="AI13" s="34" t="n">
        <x:v>40</x:v>
      </x:c>
    </x:row>
    <x:row r="14" ht="42" customHeight="1">
      <x:c r="A14" s="34" t="str">
        <x:v>辉月镜戒</x:v>
      </x:c>
      <x:c r="B14" s="34" t="str">
        <x:v>C05</x:v>
      </x:c>
      <x:c r="C14" s="34" t="str">
        <x:v>满月祷戒</x:v>
      </x:c>
      <x:c r="D14" s="34" t="str">
        <x:v>实际同部位BOSS专属</x:v>
      </x:c>
      <x:c r="E14" s="34" t="n">
        <x:v>140</x:v>
      </x:c>
      <x:c r="F14" s="34" t="n">
        <x:v>210</x:v>
      </x:c>
      <x:c r="G14" s="42" t="n">
        <x:f>F14/E14</x:f>
        <x:v>1.5</x:v>
      </x:c>
      <x:c r="H14" s="46" t="n">
        <x:f>P14*(1+Q14/100)*(1+R14/100)*(1+S14/100)*(1+T14/100*(1+U14/100))*(1+V14/100*(1+W14/100))</x:f>
        <x:v>1015417.59375</x:v>
      </x:c>
      <x:c r="I14" s="46" t="n">
        <x:f>(P14+E14)*(1+(Q14+X14)/100)*(1+(R14+Y14)/100)*(1+(S14+Z14)/100)*(1+T14/100*(1+(U14+AA14)/100))*(1+(V14+AB14)/100*(1+(W14+AC14)/100))</x:f>
        <x:v>1171690.7357186594</x:v>
      </x:c>
      <x:c r="J14" s="46" t="n">
        <x:f>(P14+F14)*(1+(Q14+AD14)/100)*(1+(R14+AE14)/100)*(1+(S14+AF14)/100)*(1+T14/100*(1+(U14+AG14)/100))*(1+(V14+AH14)/100*(1+(W14+AI14)/100))</x:f>
        <x:v>1374278.5201547004</x:v>
      </x:c>
      <x:c r="K14" s="46" t="n">
        <x:f>I14-H14</x:f>
        <x:v>156273.14196865936</x:v>
      </x:c>
      <x:c r="L14" s="46" t="n">
        <x:f>J14-H14</x:f>
        <x:v>358860.9264047004</x:v>
      </x:c>
      <x:c r="M14" s="42" t="n">
        <x:f>L14/K14</x:f>
        <x:v>2.296369816872755</x:v>
      </x:c>
      <x:c r="N14" s="42" t="n">
        <x:f>J14/I14</x:f>
        <x:v>1.1729020963127983</x:v>
      </x:c>
      <x:c r="O14" s="34" t="str">
        <x:v>常规单刀同槽边际；不含攻速换挡、处决/首尾与防御功能</x:v>
      </x:c>
      <x:c r="P14" s="34" t="n">
        <x:v>19000</x:v>
      </x:c>
      <x:c r="Q14" s="34" t="n">
        <x:v>400</x:v>
      </x:c>
      <x:c r="R14" s="34" t="n">
        <x:v>210</x:v>
      </x:c>
      <x:c r="S14" s="34" t="n">
        <x:v>85</x:v>
      </x:c>
      <x:c r="T14" s="34" t="n">
        <x:v>30</x:v>
      </x:c>
      <x:c r="U14" s="34" t="n">
        <x:v>150</x:v>
      </x:c>
      <x:c r="V14" s="34" t="n">
        <x:v>5</x:v>
      </x:c>
      <x:c r="W14" s="34" t="n">
        <x:v>30</x:v>
      </x:c>
      <x:c r="X14" s="34" t="n">
        <x:v>38</x:v>
      </x:c>
      <x:c r="Y14" s="34" t="n">
        <x:v>0</x:v>
      </x:c>
      <x:c r="Z14" s="34" t="n">
        <x:v>6</x:v>
      </x:c>
      <x:c r="AA14" s="34" t="n">
        <x:v>12</x:v>
      </x:c>
      <x:c r="AB14" s="34" t="n">
        <x:v>0</x:v>
      </x:c>
      <x:c r="AC14" s="34" t="n">
        <x:v>22</x:v>
      </x:c>
      <x:c r="AD14" s="34" t="n">
        <x:v>82</x:v>
      </x:c>
      <x:c r="AE14" s="34" t="n">
        <x:v>2</x:v>
      </x:c>
      <x:c r="AF14" s="34" t="n">
        <x:v>13</x:v>
      </x:c>
      <x:c r="AG14" s="34" t="n">
        <x:v>26</x:v>
      </x:c>
      <x:c r="AH14" s="34" t="n">
        <x:v>0</x:v>
      </x:c>
      <x:c r="AI14" s="34" t="n">
        <x:v>47</x:v>
      </x:c>
    </x:row>
    <x:row r="15" ht="42" customHeight="1">
      <x:c r="A15" s="34" t="str">
        <x:v>碎星红狮战甲</x:v>
      </x:c>
      <x:c r="B15" s="34" t="str">
        <x:v>C06</x:v>
      </x:c>
      <x:c r="C15" s="34" t="str">
        <x:v>雷奥尼斯狮铠</x:v>
      </x:c>
      <x:c r="D15" s="34" t="str">
        <x:v>实际同部位BOSS专属</x:v>
      </x:c>
      <x:c r="E15" s="34" t="n">
        <x:v>450</x:v>
      </x:c>
      <x:c r="F15" s="34" t="n">
        <x:v>675</x:v>
      </x:c>
      <x:c r="G15" s="42" t="n">
        <x:f>F15/E15</x:f>
        <x:v>1.5</x:v>
      </x:c>
      <x:c r="H15" s="46" t="n">
        <x:f>P15*(1+Q15/100)*(1+R15/100)*(1+S15/100)*(1+T15/100*(1+U15/100))*(1+V15/100*(1+W15/100))</x:f>
        <x:v>1537880.55876</x:v>
      </x:c>
      <x:c r="I15" s="46" t="n">
        <x:f>(P15+E15)*(1+(Q15+X15)/100)*(1+(R15+Y15)/100)*(1+(S15+Z15)/100)*(1+T15/100*(1+(U15+AA15)/100))*(1+(V15+AB15)/100*(1+(W15+AC15)/100))</x:f>
        <x:v>1655309.2213349997</x:v>
      </x:c>
      <x:c r="J15" s="46" t="n">
        <x:f>(P15+F15)*(1+(Q15+AD15)/100)*(1+(R15+AE15)/100)*(1+(S15+AF15)/100)*(1+T15/100*(1+(U15+AG15)/100))*(1+(V15+AH15)/100*(1+(W15+AI15)/100))</x:f>
        <x:v>1805270.9451471001</x:v>
      </x:c>
      <x:c r="K15" s="46" t="n">
        <x:f>I15-H15</x:f>
        <x:v>117428.66257499973</x:v>
      </x:c>
      <x:c r="L15" s="46" t="n">
        <x:f>J15-H15</x:f>
        <x:v>267390.3863871002</x:v>
      </x:c>
      <x:c r="M15" s="42" t="n">
        <x:f>L15/K15</x:f>
        <x:v>2.277045318610543</x:v>
      </x:c>
      <x:c r="N15" s="42" t="n">
        <x:f>J15/I15</x:f>
        <x:v>1.0905943867642791</x:v>
      </x:c>
      <x:c r="O15" s="34" t="str">
        <x:v>常规单刀同槽边际；不含攻速换挡、处决/首尾与防御功能</x:v>
      </x:c>
      <x:c r="P15" s="34" t="n">
        <x:v>25500</x:v>
      </x:c>
      <x:c r="Q15" s="34" t="n">
        <x:v>420</x:v>
      </x:c>
      <x:c r="R15" s="34" t="n">
        <x:v>222</x:v>
      </x:c>
      <x:c r="S15" s="34" t="n">
        <x:v>90</x:v>
      </x:c>
      <x:c r="T15" s="34" t="n">
        <x:v>30</x:v>
      </x:c>
      <x:c r="U15" s="34" t="n">
        <x:v>160</x:v>
      </x:c>
      <x:c r="V15" s="34" t="n">
        <x:v>5</x:v>
      </x:c>
      <x:c r="W15" s="34" t="n">
        <x:v>30</x:v>
      </x:c>
      <x:c r="X15" s="34" t="n">
        <x:v>30</x:v>
      </x:c>
      <x:c r="Y15" s="34" t="n">
        <x:v>0</x:v>
      </x:c>
      <x:c r="Z15" s="34" t="n">
        <x:v>0</x:v>
      </x:c>
      <x:c r="AA15" s="34" t="n">
        <x:v>0</x:v>
      </x:c>
      <x:c r="AB15" s="34" t="n">
        <x:v>0</x:v>
      </x:c>
      <x:c r="AC15" s="34" t="n">
        <x:v>0</x:v>
      </x:c>
      <x:c r="AD15" s="34" t="n">
        <x:v>71</x:v>
      </x:c>
      <x:c r="AE15" s="34" t="n">
        <x:v>2</x:v>
      </x:c>
      <x:c r="AF15" s="34" t="n">
        <x:v>0</x:v>
      </x:c>
      <x:c r="AG15" s="34" t="n">
        <x:v>0</x:v>
      </x:c>
      <x:c r="AH15" s="34" t="n">
        <x:v>0</x:v>
      </x:c>
      <x:c r="AI15" s="34" t="n">
        <x:v>0</x:v>
      </x:c>
    </x:row>
    <x:row r="16" ht="42" customHeight="1">
      <x:c r="A16" s="34" t="str">
        <x:v>龙火刑腕</x:v>
      </x:c>
      <x:c r="B16" s="34" t="str">
        <x:v>C06</x:v>
      </x:c>
      <x:c r="C16" s="34" t="str">
        <x:v>比较用C06手镯BOSS刻度</x:v>
      </x:c>
      <x:c r="D16" s="34" t="str">
        <x:v>同部位BOSS数值刻度（非新增物品）</x:v>
      </x:c>
      <x:c r="E16" s="34" t="n">
        <x:v>255</x:v>
      </x:c>
      <x:c r="F16" s="34" t="n">
        <x:v>383</x:v>
      </x:c>
      <x:c r="G16" s="42" t="n">
        <x:f>F16/E16</x:f>
        <x:v>1.5019607843137255</x:v>
      </x:c>
      <x:c r="H16" s="46" t="n">
        <x:f>P16*(1+Q16/100)*(1+R16/100)*(1+S16/100)*(1+T16/100*(1+U16/100))*(1+V16/100*(1+W16/100))</x:f>
        <x:v>1537880.55876</x:v>
      </x:c>
      <x:c r="I16" s="46" t="n">
        <x:f>(P16+E16)*(1+(Q16+X16)/100)*(1+(R16+Y16)/100)*(1+(S16+Z16)/100)*(1+T16/100*(1+(U16+AA16)/100))*(1+(V16+AB16)/100*(1+(W16+AC16)/100))</x:f>
        <x:v>1880609.7253153087</x:v>
      </x:c>
      <x:c r="J16" s="46" t="n">
        <x:f>(P16+F16)*(1+(Q16+AD16)/100)*(1+(R16+AE16)/100)*(1+(S16+AF16)/100)*(1+T16/100*(1+(U16+AG16)/100))*(1+(V16+AH16)/100*(1+(W16+AI16)/100))</x:f>
        <x:v>2325858.3831894835</x:v>
      </x:c>
      <x:c r="K16" s="46" t="n">
        <x:f>I16-H16</x:f>
        <x:v>342729.16655530874</x:v>
      </x:c>
      <x:c r="L16" s="46" t="n">
        <x:f>J16-H16</x:f>
        <x:v>787977.8244294836</x:v>
      </x:c>
      <x:c r="M16" s="42" t="n">
        <x:f>L16/K16</x:f>
        <x:v>2.2991268363567237</x:v>
      </x:c>
      <x:c r="N16" s="42" t="n">
        <x:f>J16/I16</x:f>
        <x:v>1.2367576067913417</x:v>
      </x:c>
      <x:c r="O16" s="34" t="str">
        <x:v>常规单刀同槽边际；不含攻速换挡、处决/首尾与防御功能</x:v>
      </x:c>
      <x:c r="P16" s="34" t="n">
        <x:v>25500</x:v>
      </x:c>
      <x:c r="Q16" s="34" t="n">
        <x:v>420</x:v>
      </x:c>
      <x:c r="R16" s="34" t="n">
        <x:v>222</x:v>
      </x:c>
      <x:c r="S16" s="34" t="n">
        <x:v>90</x:v>
      </x:c>
      <x:c r="T16" s="34" t="n">
        <x:v>30</x:v>
      </x:c>
      <x:c r="U16" s="34" t="n">
        <x:v>160</x:v>
      </x:c>
      <x:c r="V16" s="34" t="n">
        <x:v>5</x:v>
      </x:c>
      <x:c r="W16" s="34" t="n">
        <x:v>30</x:v>
      </x:c>
      <x:c r="X16" s="34" t="n">
        <x:v>34</x:v>
      </x:c>
      <x:c r="Y16" s="34" t="n">
        <x:v>27</x:v>
      </x:c>
      <x:c r="Z16" s="34" t="n">
        <x:v>7</x:v>
      </x:c>
      <x:c r="AA16" s="34" t="n">
        <x:v>0</x:v>
      </x:c>
      <x:c r="AB16" s="34" t="n">
        <x:v>0</x:v>
      </x:c>
      <x:c r="AC16" s="34" t="n">
        <x:v>24</x:v>
      </x:c>
      <x:c r="AD16" s="34" t="n">
        <x:v>74</x:v>
      </x:c>
      <x:c r="AE16" s="34" t="n">
        <x:v>58</x:v>
      </x:c>
      <x:c r="AF16" s="34" t="n">
        <x:v>15</x:v>
      </x:c>
      <x:c r="AG16" s="34" t="n">
        <x:v>0</x:v>
      </x:c>
      <x:c r="AH16" s="34" t="n">
        <x:v>0</x:v>
      </x:c>
      <x:c r="AI16" s="34" t="n">
        <x:v>52</x:v>
      </x:c>
    </x:row>
    <x:row r="17" ht="42" customHeight="1">
      <x:c r="A17" s="34" t="str">
        <x:v>红狮余烬王衣</x:v>
      </x:c>
      <x:c r="B17" s="34" t="str">
        <x:v>C06</x:v>
      </x:c>
      <x:c r="C17" s="34" t="str">
        <x:v>赤狮葬衣</x:v>
      </x:c>
      <x:c r="D17" s="34" t="str">
        <x:v>实际同部位BOSS专属</x:v>
      </x:c>
      <x:c r="E17" s="34" t="n">
        <x:v>510</x:v>
      </x:c>
      <x:c r="F17" s="34" t="n">
        <x:v>765</x:v>
      </x:c>
      <x:c r="G17" s="42" t="n">
        <x:f>F17/E17</x:f>
        <x:v>1.5</x:v>
      </x:c>
      <x:c r="H17" s="46" t="n">
        <x:f>P17*(1+Q17/100)*(1+R17/100)*(1+S17/100)*(1+T17/100*(1+U17/100))*(1+V17/100*(1+W17/100))</x:f>
        <x:v>1537880.55876</x:v>
      </x:c>
      <x:c r="I17" s="46" t="n">
        <x:f>(P17+E17)*(1+(Q17+X17)/100)*(1+(R17+Y17)/100)*(1+(S17+Z17)/100)*(1+T17/100*(1+(U17+AA17)/100))*(1+(V17+AB17)/100*(1+(W17+AC17)/100))</x:f>
        <x:v>1700357.3091449998</x:v>
      </x:c>
      <x:c r="J17" s="46" t="n">
        <x:f>(P17+F17)*(1+(Q17+AD17)/100)*(1+(R17+AE17)/100)*(1+(S17+AF17)/100)*(1+T17/100*(1+(U17+AG17)/100))*(1+(V17+AH17)/100*(1+(W17+AI17)/100))</x:f>
        <x:v>1909750.8055586398</x:v>
      </x:c>
      <x:c r="K17" s="46" t="n">
        <x:f>I17-H17</x:f>
        <x:v>162476.7503849999</x:v>
      </x:c>
      <x:c r="L17" s="46" t="n">
        <x:f>J17-H17</x:f>
        <x:v>371870.2467986399</x:v>
      </x:c>
      <x:c r="M17" s="42" t="n">
        <x:f>L17/K17</x:f>
        <x:v>2.288759751271906</x:v>
      </x:c>
      <x:c r="N17" s="42" t="n">
        <x:f>J17/I17</x:f>
        <x:v>1.123146761734997</x:v>
      </x:c>
      <x:c r="O17" s="34" t="str">
        <x:v>常规单刀同槽边际；不含攻速换挡、处决/首尾与防御功能</x:v>
      </x:c>
      <x:c r="P17" s="34" t="n">
        <x:v>25500</x:v>
      </x:c>
      <x:c r="Q17" s="34" t="n">
        <x:v>420</x:v>
      </x:c>
      <x:c r="R17" s="34" t="n">
        <x:v>222</x:v>
      </x:c>
      <x:c r="S17" s="34" t="n">
        <x:v>90</x:v>
      </x:c>
      <x:c r="T17" s="34" t="n">
        <x:v>30</x:v>
      </x:c>
      <x:c r="U17" s="34" t="n">
        <x:v>160</x:v>
      </x:c>
      <x:c r="V17" s="34" t="n">
        <x:v>5</x:v>
      </x:c>
      <x:c r="W17" s="34" t="n">
        <x:v>30</x:v>
      </x:c>
      <x:c r="X17" s="34" t="n">
        <x:v>30</x:v>
      </x:c>
      <x:c r="Y17" s="34" t="n">
        <x:v>8</x:v>
      </x:c>
      <x:c r="Z17" s="34" t="n">
        <x:v>0</x:v>
      </x:c>
      <x:c r="AA17" s="34" t="n">
        <x:v>0</x:v>
      </x:c>
      <x:c r="AB17" s="34" t="n">
        <x:v>0</x:v>
      </x:c>
      <x:c r="AC17" s="34" t="n">
        <x:v>0</x:v>
      </x:c>
      <x:c r="AD17" s="34" t="n">
        <x:v>72</x:v>
      </x:c>
      <x:c r="AE17" s="34" t="n">
        <x:v>19</x:v>
      </x:c>
      <x:c r="AF17" s="34" t="n">
        <x:v>0</x:v>
      </x:c>
      <x:c r="AG17" s="34" t="n">
        <x:v>0</x:v>
      </x:c>
      <x:c r="AH17" s="34" t="n">
        <x:v>0</x:v>
      </x:c>
      <x:c r="AI17" s="34" t="n">
        <x:v>0</x:v>
      </x:c>
    </x:row>
    <x:row r="18" ht="42" customHeight="1">
      <x:c r="A18" s="34" t="str">
        <x:v>永霜白金刃</x:v>
      </x:c>
      <x:c r="B18" s="34" t="str">
        <x:v>C07</x:v>
      </x:c>
      <x:c r="C18" s="34" t="str">
        <x:v>霜誓仪镰</x:v>
      </x:c>
      <x:c r="D18" s="34" t="str">
        <x:v>实际同部位BOSS专属</x:v>
      </x:c>
      <x:c r="E18" s="34" t="n">
        <x:v>1700</x:v>
      </x:c>
      <x:c r="F18" s="34" t="n">
        <x:v>2550</x:v>
      </x:c>
      <x:c r="G18" s="42" t="n">
        <x:f>F18/E18</x:f>
        <x:v>1.5</x:v>
      </x:c>
      <x:c r="H18" s="46" t="n">
        <x:f>P18*(1+Q18/100)*(1+R18/100)*(1+S18/100)*(1+T18/100*(1+U18/100))*(1+V18/100*(1+W18/100))</x:f>
        <x:v>2305058.42502</x:v>
      </x:c>
      <x:c r="I18" s="46" t="n">
        <x:f>(P18+E18)*(1+(Q18+X18)/100)*(1+(R18+Y18)/100)*(1+(S18+Z18)/100)*(1+T18/100*(1+(U18+AA18)/100))*(1+(V18+AB18)/100*(1+(W18+AC18)/100))</x:f>
        <x:v>4634779.979169647</x:v>
      </x:c>
      <x:c r="J18" s="46" t="n">
        <x:f>(P18+F18)*(1+(Q18+AD18)/100)*(1+(R18+AE18)/100)*(1+(S18+AF18)/100)*(1+T18/100*(1+(U18+AG18)/100))*(1+(V18+AH18)/100*(1+(W18+AI18)/100))</x:f>
        <x:v>7657040.1857603295</x:v>
      </x:c>
      <x:c r="K18" s="46" t="n">
        <x:f>I18-H18</x:f>
        <x:v>2329721.5541496472</x:v>
      </x:c>
      <x:c r="L18" s="46" t="n">
        <x:f>J18-H18</x:f>
        <x:v>5351981.7607403295</x:v>
      </x:c>
      <x:c r="M18" s="42" t="n">
        <x:f>L18/K18</x:f>
        <x:v>2.297262413702402</x:v>
      </x:c>
      <x:c r="N18" s="42" t="n">
        <x:f>J18/I18</x:f>
        <x:v>1.6520827785081054</x:v>
      </x:c>
      <x:c r="O18" s="34" t="str">
        <x:v>常规单刀同槽边际；不含攻速换挡、处决/首尾与防御功能</x:v>
      </x:c>
      <x:c r="P18" s="34" t="n">
        <x:v>34000</x:v>
      </x:c>
      <x:c r="Q18" s="34" t="n">
        <x:v>440</x:v>
      </x:c>
      <x:c r="R18" s="34" t="n">
        <x:v>234</x:v>
      </x:c>
      <x:c r="S18" s="34" t="n">
        <x:v>95</x:v>
      </x:c>
      <x:c r="T18" s="34" t="n">
        <x:v>30</x:v>
      </x:c>
      <x:c r="U18" s="34" t="n">
        <x:v>170</x:v>
      </x:c>
      <x:c r="V18" s="34" t="n">
        <x:v>5</x:v>
      </x:c>
      <x:c r="W18" s="34" t="n">
        <x:v>30</x:v>
      </x:c>
      <x:c r="X18" s="34" t="n">
        <x:v>98</x:v>
      </x:c>
      <x:c r="Y18" s="34" t="n">
        <x:v>70</x:v>
      </x:c>
      <x:c r="Z18" s="34" t="n">
        <x:v>30</x:v>
      </x:c>
      <x:c r="AA18" s="34" t="n">
        <x:v>79</x:v>
      </x:c>
      <x:c r="AB18" s="34" t="n">
        <x:v>1</x:v>
      </x:c>
      <x:c r="AC18" s="34" t="n">
        <x:v>26</x:v>
      </x:c>
      <x:c r="AD18" s="34" t="n">
        <x:v>182</x:v>
      </x:c>
      <x:c r="AE18" s="34" t="n">
        <x:v>130</x:v>
      </x:c>
      <x:c r="AF18" s="34" t="n">
        <x:v>56</x:v>
      </x:c>
      <x:c r="AG18" s="34" t="n">
        <x:v>147</x:v>
      </x:c>
      <x:c r="AH18" s="34" t="n">
        <x:v>1</x:v>
      </x:c>
      <x:c r="AI18" s="34" t="n">
        <x:v>48</x:v>
      </x:c>
    </x:row>
    <x:row r="19" ht="42" customHeight="1">
      <x:c r="A19" s="34" t="str">
        <x:v>圣雪无火礼衣</x:v>
      </x:c>
      <x:c r="B19" s="34" t="str">
        <x:v>C07</x:v>
      </x:c>
      <x:c r="C19" s="34" t="str">
        <x:v>朝圣雪衣</x:v>
      </x:c>
      <x:c r="D19" s="34" t="str">
        <x:v>实际同部位BOSS专属</x:v>
      </x:c>
      <x:c r="E19" s="34" t="n">
        <x:v>680</x:v>
      </x:c>
      <x:c r="F19" s="34" t="n">
        <x:v>1020</x:v>
      </x:c>
      <x:c r="G19" s="42" t="n">
        <x:f>F19/E19</x:f>
        <x:v>1.5</x:v>
      </x:c>
      <x:c r="H19" s="46" t="n">
        <x:f>P19*(1+Q19/100)*(1+R19/100)*(1+S19/100)*(1+T19/100*(1+U19/100))*(1+V19/100*(1+W19/100))</x:f>
        <x:v>2305058.42502</x:v>
      </x:c>
      <x:c r="I19" s="46" t="n">
        <x:f>(P19+E19)*(1+(Q19+X19)/100)*(1+(R19+Y19)/100)*(1+(S19+Z19)/100)*(1+T19/100*(1+(U19+AA19)/100))*(1+(V19+AB19)/100*(1+(W19+AC19)/100))</x:f>
        <x:v>2562067.83849471</x:v>
      </x:c>
      <x:c r="J19" s="46" t="n">
        <x:f>(P19+F19)*(1+(Q19+AD19)/100)*(1+(R19+AE19)/100)*(1+(S19+AF19)/100)*(1+T19/100*(1+(U19+AG19)/100))*(1+(V19+AH19)/100*(1+(W19+AI19)/100))</x:f>
        <x:v>2900811.9960869406</x:v>
      </x:c>
      <x:c r="K19" s="46" t="n">
        <x:f>I19-H19</x:f>
        <x:v>257009.4134747102</x:v>
      </x:c>
      <x:c r="L19" s="46" t="n">
        <x:f>J19-H19</x:f>
        <x:v>595753.5710669407</x:v>
      </x:c>
      <x:c r="M19" s="42" t="n">
        <x:f>L19/K19</x:f>
        <x:v>2.3180223751826237</x:v>
      </x:c>
      <x:c r="N19" s="42" t="n">
        <x:f>J19/I19</x:f>
        <x:v>1.1322151398579878</x:v>
      </x:c>
      <x:c r="O19" s="34" t="str">
        <x:v>常规单刀同槽边际；不含攻速换挡、处决/首尾与防御功能</x:v>
      </x:c>
      <x:c r="P19" s="34" t="n">
        <x:v>34000</x:v>
      </x:c>
      <x:c r="Q19" s="34" t="n">
        <x:v>440</x:v>
      </x:c>
      <x:c r="R19" s="34" t="n">
        <x:v>234</x:v>
      </x:c>
      <x:c r="S19" s="34" t="n">
        <x:v>95</x:v>
      </x:c>
      <x:c r="T19" s="34" t="n">
        <x:v>30</x:v>
      </x:c>
      <x:c r="U19" s="34" t="n">
        <x:v>170</x:v>
      </x:c>
      <x:c r="V19" s="34" t="n">
        <x:v>5</x:v>
      </x:c>
      <x:c r="W19" s="34" t="n">
        <x:v>30</x:v>
      </x:c>
      <x:c r="X19" s="34" t="n">
        <x:v>33</x:v>
      </x:c>
      <x:c r="Y19" s="34" t="n">
        <x:v>9</x:v>
      </x:c>
      <x:c r="Z19" s="34" t="n">
        <x:v>0</x:v>
      </x:c>
      <x:c r="AA19" s="34" t="n">
        <x:v>0</x:v>
      </x:c>
      <x:c r="AB19" s="34" t="n">
        <x:v>0</x:v>
      </x:c>
      <x:c r="AC19" s="34" t="n">
        <x:v>0</x:v>
      </x:c>
      <x:c r="AD19" s="34" t="n">
        <x:v>79</x:v>
      </x:c>
      <x:c r="AE19" s="34" t="n">
        <x:v>22</x:v>
      </x:c>
      <x:c r="AF19" s="34" t="n">
        <x:v>0</x:v>
      </x:c>
      <x:c r="AG19" s="34" t="n">
        <x:v>0</x:v>
      </x:c>
      <x:c r="AH19" s="34" t="n">
        <x:v>0</x:v>
      </x:c>
      <x:c r="AI19" s="34" t="n">
        <x:v>0</x:v>
      </x:c>
    </x:row>
    <x:row r="20" ht="42" customHeight="1">
      <x:c r="A20" s="34" t="str">
        <x:v>巨人炉心颈环</x:v>
      </x:c>
      <x:c r="B20" s="34" t="str">
        <x:v>C08</x:v>
      </x:c>
      <x:c r="C20" s="34" t="str">
        <x:v>比较用C08项链BOSS刻度</x:v>
      </x:c>
      <x:c r="D20" s="34" t="str">
        <x:v>同部位BOSS数值刻度（非新增物品）</x:v>
      </x:c>
      <x:c r="E20" s="34" t="n">
        <x:v>500</x:v>
      </x:c>
      <x:c r="F20" s="34" t="n">
        <x:v>750</x:v>
      </x:c>
      <x:c r="G20" s="42" t="n">
        <x:f>F20/E20</x:f>
        <x:v>1.5</x:v>
      </x:c>
      <x:c r="H20" s="46" t="n">
        <x:f>P20*(1+Q20/100)*(1+R20/100)*(1+S20/100)*(1+T20/100*(1+U20/100))*(1+V20/100*(1+W20/100))</x:f>
        <x:v>3417228.863999999</x:v>
      </x:c>
      <x:c r="I20" s="46" t="n">
        <x:f>(P20+E20)*(1+(Q20+X20)/100)*(1+(R20+Y20)/100)*(1+(S20+Z20)/100)*(1+T20/100*(1+(U20+AA20)/100))*(1+(V20+AB20)/100*(1+(W20+AC20)/100))</x:f>
        <x:v>4082495.241517056</x:v>
      </x:c>
      <x:c r="J20" s="46" t="n">
        <x:f>(P20+F20)*(1+(Q20+AD20)/100)*(1+(R20+AE20)/100)*(1+(S20+AF20)/100)*(1+T20/100*(1+(U20+AG20)/100))*(1+(V20+AH20)/100*(1+(W20+AI20)/100))</x:f>
        <x:v>4954240.987203847</x:v>
      </x:c>
      <x:c r="K20" s="46" t="n">
        <x:f>I20-H20</x:f>
        <x:v>665266.3775170567</x:v>
      </x:c>
      <x:c r="L20" s="46" t="n">
        <x:f>J20-H20</x:f>
        <x:v>1537012.1232038476</x:v>
      </x:c>
      <x:c r="M20" s="42" t="n">
        <x:f>L20/K20</x:f>
        <x:v>2.310370965898454</x:v>
      </x:c>
      <x:c r="N20" s="42" t="n">
        <x:f>J20/I20</x:f>
        <x:v>1.2135325809621398</x:v>
      </x:c>
      <x:c r="O20" s="34" t="str">
        <x:v>常规单刀同槽边际；不含攻速换挡、处决/首尾与防御功能</x:v>
      </x:c>
      <x:c r="P20" s="34" t="n">
        <x:v>45000</x:v>
      </x:c>
      <x:c r="Q20" s="34" t="n">
        <x:v>460</x:v>
      </x:c>
      <x:c r="R20" s="34" t="n">
        <x:v>246</x:v>
      </x:c>
      <x:c r="S20" s="34" t="n">
        <x:v>100</x:v>
      </x:c>
      <x:c r="T20" s="34" t="n">
        <x:v>30</x:v>
      </x:c>
      <x:c r="U20" s="34" t="n">
        <x:v>180</x:v>
      </x:c>
      <x:c r="V20" s="34" t="n">
        <x:v>5</x:v>
      </x:c>
      <x:c r="W20" s="34" t="n">
        <x:v>30</x:v>
      </x:c>
      <x:c r="X20" s="34" t="n">
        <x:v>52</x:v>
      </x:c>
      <x:c r="Y20" s="34" t="n">
        <x:v>0</x:v>
      </x:c>
      <x:c r="Z20" s="34" t="n">
        <x:v>8</x:v>
      </x:c>
      <x:c r="AA20" s="34" t="n">
        <x:v>16</x:v>
      </x:c>
      <x:c r="AB20" s="34" t="n">
        <x:v>0</x:v>
      </x:c>
      <x:c r="AC20" s="34" t="n">
        <x:v>28</x:v>
      </x:c>
      <x:c r="AD20" s="34" t="n">
        <x:v>113</x:v>
      </x:c>
      <x:c r="AE20" s="34" t="n">
        <x:v>2</x:v>
      </x:c>
      <x:c r="AF20" s="34" t="n">
        <x:v>17</x:v>
      </x:c>
      <x:c r="AG20" s="34" t="n">
        <x:v>35</x:v>
      </x:c>
      <x:c r="AH20" s="34" t="n">
        <x:v>0</x:v>
      </x:c>
      <x:c r="AI20" s="34" t="n">
        <x:v>61</x:v>
      </x:c>
    </x:row>
    <x:row r="21" ht="42" customHeight="1">
      <x:c r="A21" s="34" t="str">
        <x:v>吞日霜壁</x:v>
      </x:c>
      <x:c r="B21" s="34" t="str">
        <x:v>C08</x:v>
      </x:c>
      <x:c r="C21" s="34" t="str">
        <x:v>比较用C08盾牌BOSS刻度</x:v>
      </x:c>
      <x:c r="D21" s="34" t="str">
        <x:v>同部位BOSS数值刻度（非新增物品）</x:v>
      </x:c>
      <x:c r="E21" s="34" t="n">
        <x:v>590</x:v>
      </x:c>
      <x:c r="F21" s="34" t="n">
        <x:v>885</x:v>
      </x:c>
      <x:c r="G21" s="42" t="n">
        <x:f>F21/E21</x:f>
        <x:v>1.5</x:v>
      </x:c>
      <x:c r="H21" s="46" t="n">
        <x:f>P21*(1+Q21/100)*(1+R21/100)*(1+S21/100)*(1+T21/100*(1+U21/100))*(1+V21/100*(1+W21/100))</x:f>
        <x:v>3417228.863999999</x:v>
      </x:c>
      <x:c r="I21" s="46" t="n">
        <x:f>(P21+E21)*(1+(Q21+X21)/100)*(1+(R21+Y21)/100)*(1+(S21+Z21)/100)*(1+T21/100*(1+(U21+AA21)/100))*(1+(V21+AB21)/100*(1+(W21+AC21)/100))</x:f>
        <x:v>3585676.5503039993</x:v>
      </x:c>
      <x:c r="J21" s="46" t="n">
        <x:f>(P21+F21)*(1+(Q21+AD21)/100)*(1+(R21+AE21)/100)*(1+(S21+AF21)/100)*(1+T21/100*(1+(U21+AG21)/100))*(1+(V21+AH21)/100*(1+(W21+AI21)/100))</x:f>
        <x:v>3798709.6280111996</x:v>
      </x:c>
      <x:c r="K21" s="46" t="n">
        <x:f>I21-H21</x:f>
        <x:v>168447.6863040002</x:v>
      </x:c>
      <x:c r="L21" s="46" t="n">
        <x:f>J21-H21</x:f>
        <x:v>381480.7640112005</x:v>
      </x:c>
      <x:c r="M21" s="42" t="n">
        <x:f>L21/K21</x:f>
        <x:v>2.2646839050239973</x:v>
      </x:c>
      <x:c r="N21" s="42" t="n">
        <x:f>J21/I21</x:f>
        <x:v>1.0594122405405304</x:v>
      </x:c>
      <x:c r="O21" s="34" t="str">
        <x:v>常规单刀同槽边际；不含攻速换挡、处决/首尾与防御功能</x:v>
      </x:c>
      <x:c r="P21" s="34" t="n">
        <x:v>45000</x:v>
      </x:c>
      <x:c r="Q21" s="34" t="n">
        <x:v>460</x:v>
      </x:c>
      <x:c r="R21" s="34" t="n">
        <x:v>246</x:v>
      </x:c>
      <x:c r="S21" s="34" t="n">
        <x:v>100</x:v>
      </x:c>
      <x:c r="T21" s="34" t="n">
        <x:v>30</x:v>
      </x:c>
      <x:c r="U21" s="34" t="n">
        <x:v>180</x:v>
      </x:c>
      <x:c r="V21" s="34" t="n">
        <x:v>5</x:v>
      </x:c>
      <x:c r="W21" s="34" t="n">
        <x:v>30</x:v>
      </x:c>
      <x:c r="X21" s="34" t="n">
        <x:v>20</x:v>
      </x:c>
      <x:c r="Y21" s="34" t="n">
        <x:v>0</x:v>
      </x:c>
      <x:c r="Z21" s="34" t="n">
        <x:v>0</x:v>
      </x:c>
      <x:c r="AA21" s="34" t="n">
        <x:v>0</x:v>
      </x:c>
      <x:c r="AB21" s="34" t="n">
        <x:v>0</x:v>
      </x:c>
      <x:c r="AC21" s="34" t="n">
        <x:v>0</x:v>
      </x:c>
      <x:c r="AD21" s="34" t="n">
        <x:v>47</x:v>
      </x:c>
      <x:c r="AE21" s="34" t="n">
        <x:v>2</x:v>
      </x:c>
      <x:c r="AF21" s="34" t="n">
        <x:v>0</x:v>
      </x:c>
      <x:c r="AG21" s="34" t="n">
        <x:v>0</x:v>
      </x:c>
      <x:c r="AH21" s="34" t="n">
        <x:v>0</x:v>
      </x:c>
      <x:c r="AI21" s="34" t="n">
        <x:v>0</x:v>
      </x:c>
    </x:row>
    <x:row r="22" ht="42" customHeight="1">
      <x:c r="A22" s="34" t="str">
        <x:v>穹霜炉心秘饰</x:v>
      </x:c>
      <x:c r="B22" s="34" t="str">
        <x:v>C08</x:v>
      </x:c>
      <x:c r="C22" s="34" t="str">
        <x:v>比较用C08时装首饰盒BOSS刻度</x:v>
      </x:c>
      <x:c r="D22" s="34" t="str">
        <x:v>同部位BOSS数值刻度（非新增物品）</x:v>
      </x:c>
      <x:c r="E22" s="34" t="n">
        <x:v>360</x:v>
      </x:c>
      <x:c r="F22" s="34" t="n">
        <x:v>540</x:v>
      </x:c>
      <x:c r="G22" s="42" t="n">
        <x:f>F22/E22</x:f>
        <x:v>1.5</x:v>
      </x:c>
      <x:c r="H22" s="46" t="n">
        <x:f>P22*(1+Q22/100)*(1+R22/100)*(1+S22/100)*(1+T22/100*(1+U22/100))*(1+V22/100*(1+W22/100))</x:f>
        <x:v>3417228.863999999</x:v>
      </x:c>
      <x:c r="I22" s="46" t="n">
        <x:f>(P22+E22)*(1+(Q22+X22)/100)*(1+(R22+Y22)/100)*(1+(S22+Z22)/100)*(1+T22/100*(1+(U22+AA22)/100))*(1+(V22+AB22)/100*(1+(W22+AC22)/100))</x:f>
        <x:v>4189097.1035571834</x:v>
      </x:c>
      <x:c r="J22" s="46" t="n">
        <x:f>(P22+F22)*(1+(Q22+AD22)/100)*(1+(R22+AE22)/100)*(1+(S22+AF22)/100)*(1+T22/100*(1+(U22+AG22)/100))*(1+(V22+AH22)/100*(1+(W22+AI22)/100))</x:f>
        <x:v>5195993.723385636</x:v>
      </x:c>
      <x:c r="K22" s="46" t="n">
        <x:f>I22-H22</x:f>
        <x:v>771868.2395571843</x:v>
      </x:c>
      <x:c r="L22" s="46" t="n">
        <x:f>J22-H22</x:f>
        <x:v>1778764.8593856366</x:v>
      </x:c>
      <x:c r="M22" s="42" t="n">
        <x:f>L22/K22</x:f>
        <x:v>2.3044928761495647</x:v>
      </x:c>
      <x:c r="N22" s="42" t="n">
        <x:f>J22/I22</x:f>
        <x:v>1.240361250870371</x:v>
      </x:c>
      <x:c r="O22" s="34" t="str">
        <x:v>常规单刀同槽边际；不含攻速换挡、处决/首尾与防御功能</x:v>
      </x:c>
      <x:c r="P22" s="34" t="n">
        <x:v>45000</x:v>
      </x:c>
      <x:c r="Q22" s="34" t="n">
        <x:v>460</x:v>
      </x:c>
      <x:c r="R22" s="34" t="n">
        <x:v>246</x:v>
      </x:c>
      <x:c r="S22" s="34" t="n">
        <x:v>100</x:v>
      </x:c>
      <x:c r="T22" s="34" t="n">
        <x:v>30</x:v>
      </x:c>
      <x:c r="U22" s="34" t="n">
        <x:v>180</x:v>
      </x:c>
      <x:c r="V22" s="34" t="n">
        <x:v>5</x:v>
      </x:c>
      <x:c r="W22" s="34" t="n">
        <x:v>30</x:v>
      </x:c>
      <x:c r="X22" s="34" t="n">
        <x:v>41</x:v>
      </x:c>
      <x:c r="Y22" s="34" t="n">
        <x:v>0</x:v>
      </x:c>
      <x:c r="Z22" s="34" t="n">
        <x:v>10</x:v>
      </x:c>
      <x:c r="AA22" s="34" t="n">
        <x:v>40</x:v>
      </x:c>
      <x:c r="AB22" s="34" t="n">
        <x:v>0</x:v>
      </x:c>
      <x:c r="AC22" s="34" t="n">
        <x:v>28</x:v>
      </x:c>
      <x:c r="AD22" s="34" t="n">
        <x:v>87</x:v>
      </x:c>
      <x:c r="AE22" s="34" t="n">
        <x:v>2</x:v>
      </x:c>
      <x:c r="AF22" s="34" t="n">
        <x:v>21</x:v>
      </x:c>
      <x:c r="AG22" s="34" t="n">
        <x:v>85</x:v>
      </x:c>
      <x:c r="AH22" s="34" t="n">
        <x:v>0</x:v>
      </x:c>
      <x:c r="AI22" s="34" t="n">
        <x:v>59</x:v>
      </x:c>
    </x:row>
    <x:row r="23" ht="42" customHeight="1">
      <x:c r="A23" s="34" t="str">
        <x:v>黄金律裁阳刃</x:v>
      </x:c>
      <x:c r="B23" s="34" t="str">
        <x:v>C09</x:v>
      </x:c>
      <x:c r="C23" s="34" t="str">
        <x:v>罗梵迪壁垒长戟</x:v>
      </x:c>
      <x:c r="D23" s="34" t="str">
        <x:v>实际同部位BOSS专属</x:v>
      </x:c>
      <x:c r="E23" s="34" t="n">
        <x:v>6200</x:v>
      </x:c>
      <x:c r="F23" s="34" t="n">
        <x:v>9300</x:v>
      </x:c>
      <x:c r="G23" s="42" t="n">
        <x:f>F23/E23</x:f>
        <x:v>1.5</x:v>
      </x:c>
      <x:c r="H23" s="46" t="n">
        <x:f>P23*(1+Q23/100)*(1+R23/100)*(1+S23/100)*(1+T23/100*(1+U23/100))*(1+V23/100*(1+W23/100))</x:f>
        <x:v>5086362.936600001</x:v>
      </x:c>
      <x:c r="I23" s="46" t="n">
        <x:f>(P23+E23)*(1+(Q23+X23)/100)*(1+(R23+Y23)/100)*(1+(S23+Z23)/100)*(1+T23/100*(1+(U23+AA23)/100))*(1+(V23+AB23)/100*(1+(W23+AC23)/100))</x:f>
        <x:v>14953936.108506883</x:v>
      </x:c>
      <x:c r="J23" s="46" t="n">
        <x:f>(P23+F23)*(1+(Q23+AD23)/100)*(1+(R23+AE23)/100)*(1+(S23+AF23)/100)*(1+T23/100*(1+(U23+AG23)/100))*(1+(V23+AH23)/100*(1+(W23+AI23)/100))</x:f>
        <x:v>27858000.012543436</x:v>
      </x:c>
      <x:c r="K23" s="46" t="n">
        <x:f>I23-H23</x:f>
        <x:v>9867573.171906881</x:v>
      </x:c>
      <x:c r="L23" s="46" t="n">
        <x:f>J23-H23</x:f>
        <x:v>22771637.075943436</x:v>
      </x:c>
      <x:c r="M23" s="42" t="n">
        <x:f>L23/K23</x:f>
        <x:v>2.3077241667459436</x:v>
      </x:c>
      <x:c r="N23" s="42" t="n">
        <x:f>J23/I23</x:f>
        <x:v>1.8629208932286254</x:v>
      </x:c>
      <x:c r="O23" s="34" t="str">
        <x:v>常规单刀同槽边际；不含攻速换挡、处决/首尾与防御功能</x:v>
      </x:c>
      <x:c r="P23" s="34" t="n">
        <x:v>60000</x:v>
      </x:c>
      <x:c r="Q23" s="34" t="n">
        <x:v>480</x:v>
      </x:c>
      <x:c r="R23" s="34" t="n">
        <x:v>258</x:v>
      </x:c>
      <x:c r="S23" s="34" t="n">
        <x:v>105</x:v>
      </x:c>
      <x:c r="T23" s="34" t="n">
        <x:v>30</x:v>
      </x:c>
      <x:c r="U23" s="34" t="n">
        <x:v>190</x:v>
      </x:c>
      <x:c r="V23" s="34" t="n">
        <x:v>5</x:v>
      </x:c>
      <x:c r="W23" s="34" t="n">
        <x:v>30</x:v>
      </x:c>
      <x:c r="X23" s="34" t="n">
        <x:v>150</x:v>
      </x:c>
      <x:c r="Y23" s="34" t="n">
        <x:v>130</x:v>
      </x:c>
      <x:c r="Z23" s="34" t="n">
        <x:v>49</x:v>
      </x:c>
      <x:c r="AA23" s="34" t="n">
        <x:v>125</x:v>
      </x:c>
      <x:c r="AB23" s="34" t="n">
        <x:v>2</x:v>
      </x:c>
      <x:c r="AC23" s="34" t="n">
        <x:v>30</x:v>
      </x:c>
      <x:c r="AD23" s="34" t="n">
        <x:v>259</x:v>
      </x:c>
      <x:c r="AE23" s="34" t="n">
        <x:v>224</x:v>
      </x:c>
      <x:c r="AF23" s="34" t="n">
        <x:v>85</x:v>
      </x:c>
      <x:c r="AG23" s="34" t="n">
        <x:v>216</x:v>
      </x:c>
      <x:c r="AH23" s="34" t="n">
        <x:v>2</x:v>
      </x:c>
      <x:c r="AI23" s="34" t="n">
        <x:v>52</x:v>
      </x:c>
    </x:row>
    <x:row r="24" ht="42" customHeight="1">
      <x:c r="A24" s="34" t="str">
        <x:v>鎏日王仪战衣</x:v>
      </x:c>
      <x:c r="B24" s="34" t="str">
        <x:v>C09</x:v>
      </x:c>
      <x:c r="C24" s="34" t="str">
        <x:v>鎏叶王袍</x:v>
      </x:c>
      <x:c r="D24" s="34" t="str">
        <x:v>实际同部位BOSS专属</x:v>
      </x:c>
      <x:c r="E24" s="34" t="n">
        <x:v>1200</x:v>
      </x:c>
      <x:c r="F24" s="34" t="n">
        <x:v>1800</x:v>
      </x:c>
      <x:c r="G24" s="42" t="n">
        <x:f>F24/E24</x:f>
        <x:v>1.5</x:v>
      </x:c>
      <x:c r="H24" s="46" t="n">
        <x:f>P24*(1+Q24/100)*(1+R24/100)*(1+S24/100)*(1+T24/100*(1+U24/100))*(1+V24/100*(1+W24/100))</x:f>
        <x:v>5086362.936600001</x:v>
      </x:c>
      <x:c r="I24" s="46" t="n">
        <x:f>(P24+E24)*(1+(Q24+X24)/100)*(1+(R24+Y24)/100)*(1+(S24+Z24)/100)*(1+T24/100*(1+(U24+AA24)/100))*(1+(V24+AB24)/100*(1+(W24+AC24)/100))</x:f>
        <x:v>5716293.945714</x:v>
      </x:c>
      <x:c r="J24" s="46" t="n">
        <x:f>(P24+F24)*(1+(Q24+AD24)/100)*(1+(R24+AE24)/100)*(1+(S24+AF24)/100)*(1+T24/100*(1+(U24+AG24)/100))*(1+(V24+AH24)/100*(1+(W24+AI24)/100))</x:f>
        <x:v>6539861.44944</x:v>
      </x:c>
      <x:c r="K24" s="46" t="n">
        <x:f>I24-H24</x:f>
        <x:v>629931.0091139991</x:v>
      </x:c>
      <x:c r="L24" s="46" t="n">
        <x:f>J24-H24</x:f>
        <x:v>1453498.512839999</x:v>
      </x:c>
      <x:c r="M24" s="42" t="n">
        <x:f>L24/K24</x:f>
        <x:v>2.3073931776820316</x:v>
      </x:c>
      <x:c r="N24" s="42" t="n">
        <x:f>J24/I24</x:f>
        <x:v>1.1440736798259823</x:v>
      </x:c>
      <x:c r="O24" s="34" t="str">
        <x:v>常规单刀同槽边际；不含攻速换挡、处决/首尾与防御功能</x:v>
      </x:c>
      <x:c r="P24" s="34" t="n">
        <x:v>60000</x:v>
      </x:c>
      <x:c r="Q24" s="34" t="n">
        <x:v>480</x:v>
      </x:c>
      <x:c r="R24" s="34" t="n">
        <x:v>258</x:v>
      </x:c>
      <x:c r="S24" s="34" t="n">
        <x:v>105</x:v>
      </x:c>
      <x:c r="T24" s="34" t="n">
        <x:v>30</x:v>
      </x:c>
      <x:c r="U24" s="34" t="n">
        <x:v>190</x:v>
      </x:c>
      <x:c r="V24" s="34" t="n">
        <x:v>5</x:v>
      </x:c>
      <x:c r="W24" s="34" t="n">
        <x:v>30</x:v>
      </x:c>
      <x:c r="X24" s="34" t="n">
        <x:v>40</x:v>
      </x:c>
      <x:c r="Y24" s="34" t="n">
        <x:v>11</x:v>
      </x:c>
      <x:c r="Z24" s="34" t="n">
        <x:v>0</x:v>
      </x:c>
      <x:c r="AA24" s="34" t="n">
        <x:v>0</x:v>
      </x:c>
      <x:c r="AB24" s="34" t="n">
        <x:v>0</x:v>
      </x:c>
      <x:c r="AC24" s="34" t="n">
        <x:v>0</x:v>
      </x:c>
      <x:c r="AD24" s="34" t="n">
        <x:v>95</x:v>
      </x:c>
      <x:c r="AE24" s="34" t="n">
        <x:v>26</x:v>
      </x:c>
      <x:c r="AF24" s="34" t="n">
        <x:v>0</x:v>
      </x:c>
      <x:c r="AG24" s="34" t="n">
        <x:v>0</x:v>
      </x:c>
      <x:c r="AH24" s="34" t="n">
        <x:v>0</x:v>
      </x:c>
      <x:c r="AI24" s="34" t="n">
        <x:v>0</x:v>
      </x:c>
    </x:row>
    <x:row r="25" ht="42" customHeight="1">
      <x:c r="A25" s="34" t="str">
        <x:v>王座终裁圣刃</x:v>
      </x:c>
      <x:c r="B25" s="34" t="str">
        <x:v>C10</x:v>
      </x:c>
      <x:c r="C25" s="34" t="str">
        <x:v>万冠终律圣刃</x:v>
      </x:c>
      <x:c r="D25" s="34" t="str">
        <x:v>实际同部位BOSS专属</x:v>
      </x:c>
      <x:c r="E25" s="34" t="n">
        <x:v>7500</x:v>
      </x:c>
      <x:c r="F25" s="34" t="n">
        <x:v>11250</x:v>
      </x:c>
      <x:c r="G25" s="42" t="n">
        <x:f>F25/E25</x:f>
        <x:v>1.5</x:v>
      </x:c>
      <x:c r="H25" s="46" t="n">
        <x:f>P25*(1+Q25/100)*(1+R25/100)*(1+S25/100)*(1+T25/100*(1+U25/100))*(1+V25/100*(1+W25/100))</x:f>
        <x:v>7546845.6</x:v>
      </x:c>
      <x:c r="I25" s="46" t="n">
        <x:f>(P25+E25)*(1+(Q25+X25)/100)*(1+(R25+Y25)/100)*(1+(S25+Z25)/100)*(1+T25/100*(1+(U25+AA25)/100))*(1+(V25+AB25)/100*(1+(W25+AC25)/100))</x:f>
        <x:v>23753211.412489995</x:v>
      </x:c>
      <x:c r="J25" s="46" t="n">
        <x:f>(P25+F25)*(1+(Q25+AD25)/100)*(1+(R25+AE25)/100)*(1+(S25+AF25)/100)*(1+T25/100*(1+(U25+AG25)/100))*(1+(V25+AH25)/100*(1+(W25+AI25)/100))</x:f>
        <x:v>44766185.57046696</x:v>
      </x:c>
      <x:c r="K25" s="46" t="n">
        <x:f>I25-H25</x:f>
        <x:v>16206365.812489996</x:v>
      </x:c>
      <x:c r="L25" s="46" t="n">
        <x:f>J25-H25</x:f>
        <x:v>37219339.97046696</x:v>
      </x:c>
      <x:c r="M25" s="42" t="n">
        <x:f>L25/K25</x:f>
        <x:v>2.2965876743188525</x:v>
      </x:c>
      <x:c r="N25" s="42" t="n">
        <x:f>J25/I25</x:f>
        <x:v>1.8846371883394195</x:v>
      </x:c>
      <x:c r="O25" s="34" t="str">
        <x:v>常规单刀同槽边际；不含攻速换挡、处决/首尾与防御功能</x:v>
      </x:c>
      <x:c r="P25" s="34" t="n">
        <x:v>80000</x:v>
      </x:c>
      <x:c r="Q25" s="34" t="n">
        <x:v>500</x:v>
      </x:c>
      <x:c r="R25" s="34" t="n">
        <x:v>270</x:v>
      </x:c>
      <x:c r="S25" s="34" t="n">
        <x:v>110</x:v>
      </x:c>
      <x:c r="T25" s="34" t="n">
        <x:v>30</x:v>
      </x:c>
      <x:c r="U25" s="34" t="n">
        <x:v>200</x:v>
      </x:c>
      <x:c r="V25" s="34" t="n">
        <x:v>5</x:v>
      </x:c>
      <x:c r="W25" s="34" t="n">
        <x:v>30</x:v>
      </x:c>
      <x:c r="X25" s="34" t="n">
        <x:v>230</x:v>
      </x:c>
      <x:c r="Y25" s="34" t="n">
        <x:v>115</x:v>
      </x:c>
      <x:c r="Z25" s="34" t="n">
        <x:v>58</x:v>
      </x:c>
      <x:c r="AA25" s="34" t="n">
        <x:v>120</x:v>
      </x:c>
      <x:c r="AB25" s="34" t="n">
        <x:v>2</x:v>
      </x:c>
      <x:c r="AC25" s="34" t="n">
        <x:v>32</x:v>
      </x:c>
      <x:c r="AD25" s="34" t="n">
        <x:v>391</x:v>
      </x:c>
      <x:c r="AE25" s="34" t="n">
        <x:v>195</x:v>
      </x:c>
      <x:c r="AF25" s="34" t="n">
        <x:v>99</x:v>
      </x:c>
      <x:c r="AG25" s="34" t="n">
        <x:v>204</x:v>
      </x:c>
      <x:c r="AH25" s="34" t="n">
        <x:v>2</x:v>
      </x:c>
      <x:c r="AI25" s="34" t="n">
        <x:v>54</x:v>
      </x:c>
    </x:row>
    <x:row r="26" ht="42" customHeight="1">
      <x:c r="A26" s="34" t="str">
        <x:v>艾尔登无冕王衣</x:v>
      </x:c>
      <x:c r="B26" s="34" t="str">
        <x:v>C10</x:v>
      </x:c>
      <x:c r="C26" s="34" t="str">
        <x:v>余律圣衣</x:v>
      </x:c>
      <x:c r="D26" s="34" t="str">
        <x:v>实际同部位BOSS专属</x:v>
      </x:c>
      <x:c r="E26" s="34" t="n">
        <x:v>1600</x:v>
      </x:c>
      <x:c r="F26" s="34" t="n">
        <x:v>2400</x:v>
      </x:c>
      <x:c r="G26" s="42" t="n">
        <x:f>F26/E26</x:f>
        <x:v>1.5</x:v>
      </x:c>
      <x:c r="H26" s="46" t="n">
        <x:f>P26*(1+Q26/100)*(1+R26/100)*(1+S26/100)*(1+T26/100*(1+U26/100))*(1+V26/100*(1+W26/100))</x:f>
        <x:v>7546845.6</x:v>
      </x:c>
      <x:c r="I26" s="46" t="n">
        <x:f>(P26+E26)*(1+(Q26+X26)/100)*(1+(R26+Y26)/100)*(1+(S26+Z26)/100)*(1+T26/100*(1+(U26+AA26)/100))*(1+(V26+AB26)/100*(1+(W26+AC26)/100))</x:f>
        <x:v>8517006.879695999</x:v>
      </x:c>
      <x:c r="J26" s="46" t="n">
        <x:f>(P26+F26)*(1+(Q26+AD26)/100)*(1+(R26+AE26)/100)*(1+(S26+AF26)/100)*(1+T26/100*(1+(U26+AG26)/100))*(1+(V26+AH26)/100*(1+(W26+AI26)/100))</x:f>
        <x:v>9782951.475024</x:v>
      </x:c>
      <x:c r="K26" s="46" t="n">
        <x:f>I26-H26</x:f>
        <x:v>970161.2796959989</x:v>
      </x:c>
      <x:c r="L26" s="46" t="n">
        <x:f>J26-H26</x:f>
        <x:v>2236105.875024</x:v>
      </x:c>
      <x:c r="M26" s="42" t="n">
        <x:f>L26/K26</x:f>
        <x:v>2.3048805614306587</x:v>
      </x:c>
      <x:c r="N26" s="42" t="n">
        <x:f>J26/I26</x:f>
        <x:v>1.1486372634435618</x:v>
      </x:c>
      <x:c r="O26" s="34" t="str">
        <x:v>常规单刀同槽边际；不含攻速换挡、处决/首尾与防御功能</x:v>
      </x:c>
      <x:c r="P26" s="34" t="n">
        <x:v>80000</x:v>
      </x:c>
      <x:c r="Q26" s="34" t="n">
        <x:v>500</x:v>
      </x:c>
      <x:c r="R26" s="34" t="n">
        <x:v>270</x:v>
      </x:c>
      <x:c r="S26" s="34" t="n">
        <x:v>110</x:v>
      </x:c>
      <x:c r="T26" s="34" t="n">
        <x:v>30</x:v>
      </x:c>
      <x:c r="U26" s="34" t="n">
        <x:v>200</x:v>
      </x:c>
      <x:c r="V26" s="34" t="n">
        <x:v>5</x:v>
      </x:c>
      <x:c r="W26" s="34" t="n">
        <x:v>30</x:v>
      </x:c>
      <x:c r="X26" s="34" t="n">
        <x:v>43</x:v>
      </x:c>
      <x:c r="Y26" s="34" t="n">
        <x:v>12</x:v>
      </x:c>
      <x:c r="Z26" s="34" t="n">
        <x:v>0</x:v>
      </x:c>
      <x:c r="AA26" s="34" t="n">
        <x:v>0</x:v>
      </x:c>
      <x:c r="AB26" s="34" t="n">
        <x:v>0</x:v>
      </x:c>
      <x:c r="AC26" s="34" t="n">
        <x:v>0</x:v>
      </x:c>
      <x:c r="AD26" s="34" t="n">
        <x:v>102</x:v>
      </x:c>
      <x:c r="AE26" s="34" t="n">
        <x:v>28</x:v>
      </x:c>
      <x:c r="AF26" s="34" t="n">
        <x:v>0</x:v>
      </x:c>
      <x:c r="AG26" s="34" t="n">
        <x:v>0</x:v>
      </x:c>
      <x:c r="AH26" s="34" t="n">
        <x:v>0</x:v>
      </x:c>
      <x:c r="AI26" s="34" t="n">
        <x:v>0</x:v>
      </x:c>
    </x:row>
    <x:row r="27" ht="42" customHeight="1">
      <x:c r="A27" s="34" t="str">
        <x:v>无上王徽秘饰</x:v>
      </x:c>
      <x:c r="B27" s="34" t="str">
        <x:v>C10</x:v>
      </x:c>
      <x:c r="C27" s="34" t="str">
        <x:v>比较用C10时装首饰盒BOSS刻度</x:v>
      </x:c>
      <x:c r="D27" s="34" t="str">
        <x:v>同部位BOSS数值刻度（非新增物品）</x:v>
      </x:c>
      <x:c r="E27" s="34" t="n">
        <x:v>640</x:v>
      </x:c>
      <x:c r="F27" s="34" t="n">
        <x:v>960</x:v>
      </x:c>
      <x:c r="G27" s="42" t="n">
        <x:f>F27/E27</x:f>
        <x:v>1.5</x:v>
      </x:c>
      <x:c r="H27" s="46" t="n">
        <x:f>P27*(1+Q27/100)*(1+R27/100)*(1+S27/100)*(1+T27/100*(1+U27/100))*(1+V27/100*(1+W27/100))</x:f>
        <x:v>7546845.6</x:v>
      </x:c>
      <x:c r="I27" s="46" t="n">
        <x:f>(P27+E27)*(1+(Q27+X27)/100)*(1+(R27+Y27)/100)*(1+(S27+Z27)/100)*(1+T27/100*(1+(U27+AA27)/100))*(1+(V27+AB27)/100*(1+(W27+AC27)/100))</x:f>
        <x:v>9484591.116999399</x:v>
      </x:c>
      <x:c r="J27" s="46" t="n">
        <x:f>(P27+F27)*(1+(Q27+AD27)/100)*(1+(R27+AE27)/100)*(1+(S27+AF27)/100)*(1+T27/100*(1+(U27+AG27)/100))*(1+(V27+AH27)/100*(1+(W27+AI27)/100))</x:f>
        <x:v>12007891.216833286</x:v>
      </x:c>
      <x:c r="K27" s="46" t="n">
        <x:f>I27-H27</x:f>
        <x:v>1937745.5169993993</x:v>
      </x:c>
      <x:c r="L27" s="46" t="n">
        <x:f>J27-H27</x:f>
        <x:v>4461045.616833286</x:v>
      </x:c>
      <x:c r="M27" s="42" t="n">
        <x:f>L27/K27</x:f>
        <x:v>2.302183427956639</x:v>
      </x:c>
      <x:c r="N27" s="42" t="n">
        <x:f>J27/I27</x:f>
        <x:v>1.2660420537593162</x:v>
      </x:c>
      <x:c r="O27" s="34" t="str">
        <x:v>常规单刀同槽边际；不含攻速换挡、处决/首尾与防御功能</x:v>
      </x:c>
      <x:c r="P27" s="34" t="n">
        <x:v>80000</x:v>
      </x:c>
      <x:c r="Q27" s="34" t="n">
        <x:v>500</x:v>
      </x:c>
      <x:c r="R27" s="34" t="n">
        <x:v>270</x:v>
      </x:c>
      <x:c r="S27" s="34" t="n">
        <x:v>110</x:v>
      </x:c>
      <x:c r="T27" s="34" t="n">
        <x:v>30</x:v>
      </x:c>
      <x:c r="U27" s="34" t="n">
        <x:v>200</x:v>
      </x:c>
      <x:c r="V27" s="34" t="n">
        <x:v>5</x:v>
      </x:c>
      <x:c r="W27" s="34" t="n">
        <x:v>30</x:v>
      </x:c>
      <x:c r="X27" s="34" t="n">
        <x:v>49</x:v>
      </x:c>
      <x:c r="Y27" s="34" t="n">
        <x:v>0</x:v>
      </x:c>
      <x:c r="Z27" s="34" t="n">
        <x:v>12</x:v>
      </x:c>
      <x:c r="AA27" s="34" t="n">
        <x:v>47</x:v>
      </x:c>
      <x:c r="AB27" s="34" t="n">
        <x:v>0</x:v>
      </x:c>
      <x:c r="AC27" s="34" t="n">
        <x:v>32</x:v>
      </x:c>
      <x:c r="AD27" s="34" t="n">
        <x:v>103</x:v>
      </x:c>
      <x:c r="AE27" s="34" t="n">
        <x:v>2</x:v>
      </x:c>
      <x:c r="AF27" s="34" t="n">
        <x:v>25</x:v>
      </x:c>
      <x:c r="AG27" s="34" t="n">
        <x:v>99</x:v>
      </x:c>
      <x:c r="AH27" s="34" t="n">
        <x:v>0</x:v>
      </x:c>
      <x:c r="AI27" s="34" t="n">
        <x:v>67</x:v>
      </x:c>
    </x:row>
    <x:row r="28" ht="42" customHeight="1">
      <x:c r="A28" s="34" t="str">
        <x:v>子鼠·潮舱寻金</x:v>
      </x:c>
      <x:c r="B28" s="34" t="str">
        <x:v>C01</x:v>
      </x:c>
      <x:c r="C28" s="34" t="str">
        <x:v>比较用C01生肖1BOSS刻度</x:v>
      </x:c>
      <x:c r="D28" s="34" t="str">
        <x:v>同部位BOSS数值刻度（非新增物品）</x:v>
      </x:c>
      <x:c r="E28" s="34" t="n">
        <x:v>30</x:v>
      </x:c>
      <x:c r="F28" s="34" t="n">
        <x:v>45</x:v>
      </x:c>
      <x:c r="G28" s="42" t="n">
        <x:f>F28/E28</x:f>
        <x:v>1.5</x:v>
      </x:c>
      <x:c r="H28" s="46" t="n">
        <x:f>P28*(1+Q28/100)*(1+R28/100)*(1+S28/100)*(1+T28/100*(1+U28/100))*(1+V28/100*(1+W28/100))</x:f>
        <x:v>189113.69861999998</x:v>
      </x:c>
      <x:c r="I28" s="46" t="n">
        <x:f>(P28+E28)*(1+(Q28+X28)/100)*(1+(R28+Y28)/100)*(1+(S28+Z28)/100)*(1+T28/100*(1+(U28+AA28)/100))*(1+(V28+AB28)/100*(1+(W28+AC28)/100))</x:f>
        <x:v>193943.001228174</x:v>
      </x:c>
      <x:c r="J28" s="46" t="n">
        <x:f>(P28+F28)*(1+(Q28+AD28)/100)*(1+(R28+AE28)/100)*(1+(S28+AF28)/100)*(1+T28/100*(1+(U28+AG28)/100))*(1+(V28+AH28)/100*(1+(W28+AI28)/100))</x:f>
        <x:v>199947.54071779983</x:v>
      </x:c>
      <x:c r="K28" s="46" t="n">
        <x:f>I28-H28</x:f>
        <x:v>4829.30260817401</x:v>
      </x:c>
      <x:c r="L28" s="46" t="n">
        <x:f>J28-H28</x:f>
        <x:v>10833.842097799847</x:v>
      </x:c>
      <x:c r="M28" s="42" t="n">
        <x:f>L28/K28</x:f>
        <x:v>2.2433554027992857</x:v>
      </x:c>
      <x:c r="N28" s="42" t="n">
        <x:f>J28/I28</x:f>
        <x:v>1.0309603308786661</x:v>
      </x:c>
      <x:c r="O28" s="34" t="str">
        <x:v>常规单刀同槽边际；不含攻速换挡、处决/首尾与防御功能</x:v>
      </x:c>
      <x:c r="P28" s="34" t="n">
        <x:v>6000</x:v>
      </x:c>
      <x:c r="Q28" s="34" t="n">
        <x:v>320</x:v>
      </x:c>
      <x:c r="R28" s="34" t="n">
        <x:v>162</x:v>
      </x:c>
      <x:c r="S28" s="34" t="n">
        <x:v>65</x:v>
      </x:c>
      <x:c r="T28" s="34" t="n">
        <x:v>30</x:v>
      </x:c>
      <x:c r="U28" s="34" t="n">
        <x:v>110</x:v>
      </x:c>
      <x:c r="V28" s="34" t="n">
        <x:v>5</x:v>
      </x:c>
      <x:c r="W28" s="34" t="n">
        <x:v>30</x:v>
      </x:c>
      <x:c r="X28" s="34" t="n">
        <x:v>3</x:v>
      </x:c>
      <x:c r="Y28" s="34" t="n">
        <x:v>2</x:v>
      </x:c>
      <x:c r="Z28" s="34" t="n">
        <x:v>0</x:v>
      </x:c>
      <x:c r="AA28" s="34" t="n">
        <x:v>3</x:v>
      </x:c>
      <x:c r="AB28" s="34" t="n">
        <x:v>0</x:v>
      </x:c>
      <x:c r="AC28" s="34" t="n">
        <x:v>0</x:v>
      </x:c>
      <x:c r="AD28" s="34" t="n">
        <x:v>7</x:v>
      </x:c>
      <x:c r="AE28" s="34" t="n">
        <x:v>5</x:v>
      </x:c>
      <x:c r="AF28" s="34" t="n">
        <x:v>0</x:v>
      </x:c>
      <x:c r="AG28" s="34" t="n">
        <x:v>7</x:v>
      </x:c>
      <x:c r="AH28" s="34" t="n">
        <x:v>0</x:v>
      </x:c>
      <x:c r="AI28" s="34" t="n">
        <x:v>0</x:v>
      </x:c>
    </x:row>
    <x:row r="29" ht="42" customHeight="1">
      <x:c r="A29" s="34" t="str">
        <x:v>丑牛·风暴负山</x:v>
      </x:c>
      <x:c r="B29" s="34" t="str">
        <x:v>C02</x:v>
      </x:c>
      <x:c r="C29" s="34" t="str">
        <x:v>比较用C02生肖2BOSS刻度</x:v>
      </x:c>
      <x:c r="D29" s="34" t="str">
        <x:v>同部位BOSS数值刻度（非新增物品）</x:v>
      </x:c>
      <x:c r="E29" s="34" t="n">
        <x:v>40</x:v>
      </x:c>
      <x:c r="F29" s="34" t="n">
        <x:v>60</x:v>
      </x:c>
      <x:c r="G29" s="42" t="n">
        <x:f>F29/E29</x:f>
        <x:v>1.5</x:v>
      </x:c>
      <x:c r="H29" s="46" t="n">
        <x:f>P29*(1+Q29/100)*(1+R29/100)*(1+S29/100)*(1+T29/100*(1+U29/100))*(1+V29/100*(1+W29/100))</x:f>
        <x:v>289867.7126400001</x:v>
      </x:c>
      <x:c r="I29" s="46" t="n">
        <x:f>(P29+E29)*(1+(Q29+X29)/100)*(1+(R29+Y29)/100)*(1+(S29+Z29)/100)*(1+T29/100*(1+(U29+AA29)/100))*(1+(V29+AB29)/100*(1+(W29+AC29)/100))</x:f>
        <x:v>297046.0097774639</x:v>
      </x:c>
      <x:c r="J29" s="46" t="n">
        <x:f>(P29+F29)*(1+(Q29+AD29)/100)*(1+(R29+AE29)/100)*(1+(S29+AF29)/100)*(1+T29/100*(1+(U29+AG29)/100))*(1+(V29+AH29)/100*(1+(W29+AI29)/100))</x:f>
        <x:v>305923.620818439</x:v>
      </x:c>
      <x:c r="K29" s="46" t="n">
        <x:f>I29-H29</x:f>
        <x:v>7178.297137463815</x:v>
      </x:c>
      <x:c r="L29" s="46" t="n">
        <x:f>J29-H29</x:f>
        <x:v>16055.908178438898</x:v>
      </x:c>
      <x:c r="M29" s="42" t="n">
        <x:f>L29/K29</x:f>
        <x:v>2.2367293901282634</x:v>
      </x:c>
      <x:c r="N29" s="42" t="n">
        <x:f>J29/I29</x:f>
        <x:v>1.0298863164249399</x:v>
      </x:c>
      <x:c r="O29" s="34" t="str">
        <x:v>常规单刀同槽边际；不含攻速换挡、处决/首尾与防御功能</x:v>
      </x:c>
      <x:c r="P29" s="34" t="n">
        <x:v>8000</x:v>
      </x:c>
      <x:c r="Q29" s="34" t="n">
        <x:v>340</x:v>
      </x:c>
      <x:c r="R29" s="34" t="n">
        <x:v>174</x:v>
      </x:c>
      <x:c r="S29" s="34" t="n">
        <x:v>70</x:v>
      </x:c>
      <x:c r="T29" s="34" t="n">
        <x:v>30</x:v>
      </x:c>
      <x:c r="U29" s="34" t="n">
        <x:v>120</x:v>
      </x:c>
      <x:c r="V29" s="34" t="n">
        <x:v>5</x:v>
      </x:c>
      <x:c r="W29" s="34" t="n">
        <x:v>30</x:v>
      </x:c>
      <x:c r="X29" s="34" t="n">
        <x:v>3</x:v>
      </x:c>
      <x:c r="Y29" s="34" t="n">
        <x:v>2</x:v>
      </x:c>
      <x:c r="Z29" s="34" t="n">
        <x:v>0</x:v>
      </x:c>
      <x:c r="AA29" s="34" t="n">
        <x:v>3</x:v>
      </x:c>
      <x:c r="AB29" s="34" t="n">
        <x:v>0</x:v>
      </x:c>
      <x:c r="AC29" s="34" t="n">
        <x:v>0</x:v>
      </x:c>
      <x:c r="AD29" s="34" t="n">
        <x:v>7</x:v>
      </x:c>
      <x:c r="AE29" s="34" t="n">
        <x:v>5</x:v>
      </x:c>
      <x:c r="AF29" s="34" t="n">
        <x:v>0</x:v>
      </x:c>
      <x:c r="AG29" s="34" t="n">
        <x:v>7</x:v>
      </x:c>
      <x:c r="AH29" s="34" t="n">
        <x:v>0</x:v>
      </x:c>
      <x:c r="AI29" s="34" t="n">
        <x:v>0</x:v>
      </x:c>
    </x:row>
    <x:row r="30" ht="42" customHeight="1">
      <x:c r="A30" s="34" t="str">
        <x:v>辰龙·荒原逐风</x:v>
      </x:c>
      <x:c r="B30" s="34" t="str">
        <x:v>C03</x:v>
      </x:c>
      <x:c r="C30" s="34" t="str">
        <x:v>比较用C03生肖5BOSS刻度</x:v>
      </x:c>
      <x:c r="D30" s="34" t="str">
        <x:v>同部位BOSS数值刻度（非新增物品）</x:v>
      </x:c>
      <x:c r="E30" s="34" t="n">
        <x:v>55</x:v>
      </x:c>
      <x:c r="F30" s="34" t="n">
        <x:v>83</x:v>
      </x:c>
      <x:c r="G30" s="42" t="n">
        <x:f>F30/E30</x:f>
        <x:v>1.509090909090909</x:v>
      </x:c>
      <x:c r="H30" s="46" t="n">
        <x:f>P30*(1+Q30/100)*(1+R30/100)*(1+S30/100)*(1+T30/100*(1+U30/100))*(1+V30/100*(1+W30/100))</x:f>
        <x:v>455817.41205</x:v>
      </x:c>
      <x:c r="I30" s="46" t="n">
        <x:f>(P30+E30)*(1+(Q30+X30)/100)*(1+(R30+Y30)/100)*(1+(S30+Z30)/100)*(1+T30/100*(1+(U30+AA30)/100))*(1+(V30+AB30)/100*(1+(W30+AC30)/100))</x:f>
        <x:v>468615.26061504</x:v>
      </x:c>
      <x:c r="J30" s="46" t="n">
        <x:f>(P30+F30)*(1+(Q30+AD30)/100)*(1+(R30+AE30)/100)*(1+(S30+AF30)/100)*(1+T30/100*(1+(U30+AG30)/100))*(1+(V30+AH30)/100*(1+(W30+AI30)/100))</x:f>
        <x:v>484039.8487459473</x:v>
      </x:c>
      <x:c r="K30" s="46" t="n">
        <x:f>I30-H30</x:f>
        <x:v>12797.84856504004</x:v>
      </x:c>
      <x:c r="L30" s="46" t="n">
        <x:f>J30-H30</x:f>
        <x:v>28222.43669594731</x:v>
      </x:c>
      <x:c r="M30" s="42" t="n">
        <x:f>L30/K30</x:f>
        <x:v>2.2052485269315274</x:v>
      </x:c>
      <x:c r="N30" s="42" t="n">
        <x:f>J30/I30</x:f>
        <x:v>1.0329152493042226</x:v>
      </x:c>
      <x:c r="O30" s="34" t="str">
        <x:v>常规单刀同槽边际；不含攻速换挡、处决/首尾与防御功能</x:v>
      </x:c>
      <x:c r="P30" s="34" t="n">
        <x:v>11000</x:v>
      </x:c>
      <x:c r="Q30" s="34" t="n">
        <x:v>360</x:v>
      </x:c>
      <x:c r="R30" s="34" t="n">
        <x:v>186</x:v>
      </x:c>
      <x:c r="S30" s="34" t="n">
        <x:v>75</x:v>
      </x:c>
      <x:c r="T30" s="34" t="n">
        <x:v>30</x:v>
      </x:c>
      <x:c r="U30" s="34" t="n">
        <x:v>130</x:v>
      </x:c>
      <x:c r="V30" s="34" t="n">
        <x:v>5</x:v>
      </x:c>
      <x:c r="W30" s="34" t="n">
        <x:v>30</x:v>
      </x:c>
      <x:c r="X30" s="34" t="n">
        <x:v>4</x:v>
      </x:c>
      <x:c r="Y30" s="34" t="n">
        <x:v>2</x:v>
      </x:c>
      <x:c r="Z30" s="34" t="n">
        <x:v>0</x:v>
      </x:c>
      <x:c r="AA30" s="34" t="n">
        <x:v>4</x:v>
      </x:c>
      <x:c r="AB30" s="34" t="n">
        <x:v>0</x:v>
      </x:c>
      <x:c r="AC30" s="34" t="n">
        <x:v>0</x:v>
      </x:c>
      <x:c r="AD30" s="34" t="n">
        <x:v>9</x:v>
      </x:c>
      <x:c r="AE30" s="34" t="n">
        <x:v>5</x:v>
      </x:c>
      <x:c r="AF30" s="34" t="n">
        <x:v>0</x:v>
      </x:c>
      <x:c r="AG30" s="34" t="n">
        <x:v>9</x:v>
      </x:c>
      <x:c r="AH30" s="34" t="n">
        <x:v>0</x:v>
      </x:c>
      <x:c r="AI30" s="34" t="n">
        <x:v>0</x:v>
      </x:c>
    </x:row>
    <x:row r="31" ht="42" customHeight="1">
      <x:c r="A31" s="34" t="str">
        <x:v>巳蛇·沉潮缚月</x:v>
      </x:c>
      <x:c r="B31" s="34" t="str">
        <x:v>C04</x:v>
      </x:c>
      <x:c r="C31" s="34" t="str">
        <x:v>比较用C04生肖6BOSS刻度</x:v>
      </x:c>
      <x:c r="D31" s="34" t="str">
        <x:v>同部位BOSS数值刻度（非新增物品）</x:v>
      </x:c>
      <x:c r="E31" s="34" t="n">
        <x:v>73</x:v>
      </x:c>
      <x:c r="F31" s="34" t="n">
        <x:v>110</x:v>
      </x:c>
      <x:c r="G31" s="42" t="n">
        <x:f>F31/E31</x:f>
        <x:v>1.5068493150684932</x:v>
      </x:c>
      <x:c r="H31" s="46" t="n">
        <x:f>P31*(1+Q31/100)*(1+R31/100)*(1+S31/100)*(1+T31/100*(1+U31/100))*(1+V31/100*(1+W31/100))</x:f>
        <x:v>683873.95392</x:v>
      </x:c>
      <x:c r="I31" s="46" t="n">
        <x:f>(P31+E31)*(1+(Q31+X31)/100)*(1+(R31+Y31)/100)*(1+(S31+Z31)/100)*(1+T31/100*(1+(U31+AA31)/100))*(1+(V31+AB31)/100*(1+(W31+AC31)/100))</x:f>
        <x:v>707585.2823832972</x:v>
      </x:c>
      <x:c r="J31" s="46" t="n">
        <x:f>(P31+F31)*(1+(Q31+AD31)/100)*(1+(R31+AE31)/100)*(1+(S31+AF31)/100)*(1+T31/100*(1+(U31+AG31)/100))*(1+(V31+AH31)/100*(1+(W31+AI31)/100))</x:f>
        <x:v>738009.2114503199</x:v>
      </x:c>
      <x:c r="K31" s="46" t="n">
        <x:f>I31-H31</x:f>
        <x:v>23711.32846329722</x:v>
      </x:c>
      <x:c r="L31" s="46" t="n">
        <x:f>J31-H31</x:f>
        <x:v>54135.257530319854</x:v>
      </x:c>
      <x:c r="M31" s="42" t="n">
        <x:f>L31/K31</x:f>
        <x:v>2.283096774358967</x:v>
      </x:c>
      <x:c r="N31" s="42" t="n">
        <x:f>J31/I31</x:f>
        <x:v>1.0429968370237273</x:v>
      </x:c>
      <x:c r="O31" s="34" t="str">
        <x:v>常规单刀同槽边际；不含攻速换挡、处决/首尾与防御功能</x:v>
      </x:c>
      <x:c r="P31" s="34" t="n">
        <x:v>14500</x:v>
      </x:c>
      <x:c r="Q31" s="34" t="n">
        <x:v>380</x:v>
      </x:c>
      <x:c r="R31" s="34" t="n">
        <x:v>198</x:v>
      </x:c>
      <x:c r="S31" s="34" t="n">
        <x:v>80</x:v>
      </x:c>
      <x:c r="T31" s="34" t="n">
        <x:v>30</x:v>
      </x:c>
      <x:c r="U31" s="34" t="n">
        <x:v>140</x:v>
      </x:c>
      <x:c r="V31" s="34" t="n">
        <x:v>5</x:v>
      </x:c>
      <x:c r="W31" s="34" t="n">
        <x:v>30</x:v>
      </x:c>
      <x:c r="X31" s="34" t="n">
        <x:v>5</x:v>
      </x:c>
      <x:c r="Y31" s="34" t="n">
        <x:v>3</x:v>
      </x:c>
      <x:c r="Z31" s="34" t="n">
        <x:v>0</x:v>
      </x:c>
      <x:c r="AA31" s="34" t="n">
        <x:v>5</x:v>
      </x:c>
      <x:c r="AB31" s="34" t="n">
        <x:v>0</x:v>
      </x:c>
      <x:c r="AC31" s="34" t="n">
        <x:v>0</x:v>
      </x:c>
      <x:c r="AD31" s="34" t="n">
        <x:v>12</x:v>
      </x:c>
      <x:c r="AE31" s="34" t="n">
        <x:v>7</x:v>
      </x:c>
      <x:c r="AF31" s="34" t="n">
        <x:v>0</x:v>
      </x:c>
      <x:c r="AG31" s="34" t="n">
        <x:v>12</x:v>
      </x:c>
      <x:c r="AH31" s="34" t="n">
        <x:v>0</x:v>
      </x:c>
      <x:c r="AI31" s="34" t="n">
        <x:v>0</x:v>
      </x:c>
    </x:row>
    <x:row r="32" ht="42" customHeight="1">
      <x:c r="A32" s="34" t="str">
        <x:v>卯兔·镜月折辉</x:v>
      </x:c>
      <x:c r="B32" s="34" t="str">
        <x:v>C05</x:v>
      </x:c>
      <x:c r="C32" s="34" t="str">
        <x:v>比较用C05生肖4BOSS刻度</x:v>
      </x:c>
      <x:c r="D32" s="34" t="str">
        <x:v>同部位BOSS数值刻度（非新增物品）</x:v>
      </x:c>
      <x:c r="E32" s="34" t="n">
        <x:v>95</x:v>
      </x:c>
      <x:c r="F32" s="34" t="n">
        <x:v>143</x:v>
      </x:c>
      <x:c r="G32" s="42" t="n">
        <x:f>F32/E32</x:f>
        <x:v>1.5052631578947369</x:v>
      </x:c>
      <x:c r="H32" s="46" t="n">
        <x:f>P32*(1+Q32/100)*(1+R32/100)*(1+S32/100)*(1+T32/100*(1+U32/100))*(1+V32/100*(1+W32/100))</x:f>
        <x:v>1015417.59375</x:v>
      </x:c>
      <x:c r="I32" s="46" t="n">
        <x:f>(P32+E32)*(1+(Q32+X32)/100)*(1+(R32+Y32)/100)*(1+(S32+Z32)/100)*(1+T32/100*(1+(U32+AA32)/100))*(1+(V32+AB32)/100*(1+(W32+AC32)/100))</x:f>
        <x:v>1049594.205136472</x:v>
      </x:c>
      <x:c r="J32" s="46" t="n">
        <x:f>(P32+F32)*(1+(Q32+AD32)/100)*(1+(R32+AE32)/100)*(1+(S32+AF32)/100)*(1+T32/100*(1+(U32+AG32)/100))*(1+(V32+AH32)/100*(1+(W32+AI32)/100))</x:f>
        <x:v>1093306.7093407488</x:v>
      </x:c>
      <x:c r="K32" s="46" t="n">
        <x:f>I32-H32</x:f>
        <x:v>34176.611386471894</x:v>
      </x:c>
      <x:c r="L32" s="46" t="n">
        <x:f>J32-H32</x:f>
        <x:v>77889.11559074884</x:v>
      </x:c>
      <x:c r="M32" s="42" t="n">
        <x:f>L32/K32</x:f>
        <x:v>2.279018089592687</x:v>
      </x:c>
      <x:c r="N32" s="42" t="n">
        <x:f>J32/I32</x:f>
        <x:v>1.041647051775208</x:v>
      </x:c>
      <x:c r="O32" s="34" t="str">
        <x:v>常规单刀同槽边际；不含攻速换挡、处决/首尾与防御功能</x:v>
      </x:c>
      <x:c r="P32" s="34" t="n">
        <x:v>19000</x:v>
      </x:c>
      <x:c r="Q32" s="34" t="n">
        <x:v>400</x:v>
      </x:c>
      <x:c r="R32" s="34" t="n">
        <x:v>210</x:v>
      </x:c>
      <x:c r="S32" s="34" t="n">
        <x:v>85</x:v>
      </x:c>
      <x:c r="T32" s="34" t="n">
        <x:v>30</x:v>
      </x:c>
      <x:c r="U32" s="34" t="n">
        <x:v>150</x:v>
      </x:c>
      <x:c r="V32" s="34" t="n">
        <x:v>5</x:v>
      </x:c>
      <x:c r="W32" s="34" t="n">
        <x:v>30</x:v>
      </x:c>
      <x:c r="X32" s="34" t="n">
        <x:v>5</x:v>
      </x:c>
      <x:c r="Y32" s="34" t="n">
        <x:v>3</x:v>
      </x:c>
      <x:c r="Z32" s="34" t="n">
        <x:v>0</x:v>
      </x:c>
      <x:c r="AA32" s="34" t="n">
        <x:v>5</x:v>
      </x:c>
      <x:c r="AB32" s="34" t="n">
        <x:v>0</x:v>
      </x:c>
      <x:c r="AC32" s="34" t="n">
        <x:v>0</x:v>
      </x:c>
      <x:c r="AD32" s="34" t="n">
        <x:v>12</x:v>
      </x:c>
      <x:c r="AE32" s="34" t="n">
        <x:v>7</x:v>
      </x:c>
      <x:c r="AF32" s="34" t="n">
        <x:v>0</x:v>
      </x:c>
      <x:c r="AG32" s="34" t="n">
        <x:v>12</x:v>
      </x:c>
      <x:c r="AH32" s="34" t="n">
        <x:v>0</x:v>
      </x:c>
      <x:c r="AI32" s="34" t="n">
        <x:v>0</x:v>
      </x:c>
    </x:row>
    <x:row r="33" ht="42" customHeight="1">
      <x:c r="A33" s="34" t="str">
        <x:v>寅虎·红狮焚原</x:v>
      </x:c>
      <x:c r="B33" s="34" t="str">
        <x:v>C06</x:v>
      </x:c>
      <x:c r="C33" s="34" t="str">
        <x:v>比较用C06生肖3BOSS刻度</x:v>
      </x:c>
      <x:c r="D33" s="34" t="str">
        <x:v>同部位BOSS数值刻度（非新增物品）</x:v>
      </x:c>
      <x:c r="E33" s="34" t="n">
        <x:v>130</x:v>
      </x:c>
      <x:c r="F33" s="34" t="n">
        <x:v>195</x:v>
      </x:c>
      <x:c r="G33" s="42" t="n">
        <x:f>F33/E33</x:f>
        <x:v>1.5</x:v>
      </x:c>
      <x:c r="H33" s="46" t="n">
        <x:f>P33*(1+Q33/100)*(1+R33/100)*(1+S33/100)*(1+T33/100*(1+U33/100))*(1+V33/100*(1+W33/100))</x:f>
        <x:v>1537880.55876</x:v>
      </x:c>
      <x:c r="I33" s="46" t="n">
        <x:f>(P33+E33)*(1+(Q33+X33)/100)*(1+(R33+Y33)/100)*(1+(S33+Z33)/100)*(1+T33/100*(1+(U33+AA33)/100))*(1+(V33+AB33)/100*(1+(W33+AC33)/100))</x:f>
        <x:v>1598986.6820699638</x:v>
      </x:c>
      <x:c r="J33" s="46" t="n">
        <x:f>(P33+F33)*(1+(Q33+AD33)/100)*(1+(R33+AE33)/100)*(1+(S33+AF33)/100)*(1+T33/100*(1+(U33+AG33)/100))*(1+(V33+AH33)/100*(1+(W33+AI33)/100))</x:f>
        <x:v>1674439.4758602509</x:v>
      </x:c>
      <x:c r="K33" s="46" t="n">
        <x:f>I33-H33</x:f>
        <x:v>61106.12330996385</x:v>
      </x:c>
      <x:c r="L33" s="46" t="n">
        <x:f>J33-H33</x:f>
        <x:v>136558.91710025095</x:v>
      </x:c>
      <x:c r="M33" s="42" t="n">
        <x:f>L33/K33</x:f>
        <x:v>2.2347828614089797</x:v>
      </x:c>
      <x:c r="N33" s="42" t="n">
        <x:f>J33/I33</x:f>
        <x:v>1.04718788132282</x:v>
      </x:c>
      <x:c r="O33" s="34" t="str">
        <x:v>常规单刀同槽边际；不含攻速换挡、处决/首尾与防御功能</x:v>
      </x:c>
      <x:c r="P33" s="34" t="n">
        <x:v>25500</x:v>
      </x:c>
      <x:c r="Q33" s="34" t="n">
        <x:v>420</x:v>
      </x:c>
      <x:c r="R33" s="34" t="n">
        <x:v>222</x:v>
      </x:c>
      <x:c r="S33" s="34" t="n">
        <x:v>90</x:v>
      </x:c>
      <x:c r="T33" s="34" t="n">
        <x:v>30</x:v>
      </x:c>
      <x:c r="U33" s="34" t="n">
        <x:v>160</x:v>
      </x:c>
      <x:c r="V33" s="34" t="n">
        <x:v>5</x:v>
      </x:c>
      <x:c r="W33" s="34" t="n">
        <x:v>30</x:v>
      </x:c>
      <x:c r="X33" s="34" t="n">
        <x:v>6</x:v>
      </x:c>
      <x:c r="Y33" s="34" t="n">
        <x:v>4</x:v>
      </x:c>
      <x:c r="Z33" s="34" t="n">
        <x:v>0</x:v>
      </x:c>
      <x:c r="AA33" s="34" t="n">
        <x:v>6</x:v>
      </x:c>
      <x:c r="AB33" s="34" t="n">
        <x:v>0</x:v>
      </x:c>
      <x:c r="AC33" s="34" t="n">
        <x:v>0</x:v>
      </x:c>
      <x:c r="AD33" s="34" t="n">
        <x:v>14</x:v>
      </x:c>
      <x:c r="AE33" s="34" t="n">
        <x:v>9</x:v>
      </x:c>
      <x:c r="AF33" s="34" t="n">
        <x:v>0</x:v>
      </x:c>
      <x:c r="AG33" s="34" t="n">
        <x:v>14</x:v>
      </x:c>
      <x:c r="AH33" s="34" t="n">
        <x:v>0</x:v>
      </x:c>
      <x:c r="AI33" s="34" t="n">
        <x:v>0</x:v>
      </x:c>
    </x:row>
    <x:row r="34" ht="42" customHeight="1">
      <x:c r="A34" s="34" t="str">
        <x:v>未羊·永霜引路</x:v>
      </x:c>
      <x:c r="B34" s="34" t="str">
        <x:v>C07</x:v>
      </x:c>
      <x:c r="C34" s="34" t="str">
        <x:v>比较用C07生肖8BOSS刻度</x:v>
      </x:c>
      <x:c r="D34" s="34" t="str">
        <x:v>同部位BOSS数值刻度（非新增物品）</x:v>
      </x:c>
      <x:c r="E34" s="34" t="n">
        <x:v>170</x:v>
      </x:c>
      <x:c r="F34" s="34" t="n">
        <x:v>255</x:v>
      </x:c>
      <x:c r="G34" s="42" t="n">
        <x:f>F34/E34</x:f>
        <x:v>1.5</x:v>
      </x:c>
      <x:c r="H34" s="46" t="n">
        <x:f>P34*(1+Q34/100)*(1+R34/100)*(1+S34/100)*(1+T34/100*(1+U34/100))*(1+V34/100*(1+W34/100))</x:f>
        <x:v>2305058.42502</x:v>
      </x:c>
      <x:c r="I34" s="46" t="n">
        <x:f>(P34+E34)*(1+(Q34+X34)/100)*(1+(R34+Y34)/100)*(1+(S34+Z34)/100)*(1+T34/100*(1+(U34+AA34)/100))*(1+(V34+AB34)/100*(1+(W34+AC34)/100))</x:f>
        <x:v>2398332.6286351373</x:v>
      </x:c>
      <x:c r="J34" s="46" t="n">
        <x:f>(P34+F34)*(1+(Q34+AD34)/100)*(1+(R34+AE34)/100)*(1+(S34+AF34)/100)*(1+T34/100*(1+(U34+AG34)/100))*(1+(V34+AH34)/100*(1+(W34+AI34)/100))</x:f>
        <x:v>2517088.5178962704</x:v>
      </x:c>
      <x:c r="K34" s="46" t="n">
        <x:f>I34-H34</x:f>
        <x:v>93274.20361513738</x:v>
      </x:c>
      <x:c r="L34" s="46" t="n">
        <x:f>J34-H34</x:f>
        <x:v>212030.0928762704</x:v>
      </x:c>
      <x:c r="M34" s="42" t="n">
        <x:f>L34/K34</x:f>
        <x:v>2.2731911360094452</x:v>
      </x:c>
      <x:c r="N34" s="42" t="n">
        <x:f>J34/I34</x:f>
        <x:v>1.0495160211904033</x:v>
      </x:c>
      <x:c r="O34" s="34" t="str">
        <x:v>常规单刀同槽边际；不含攻速换挡、处决/首尾与防御功能</x:v>
      </x:c>
      <x:c r="P34" s="34" t="n">
        <x:v>34000</x:v>
      </x:c>
      <x:c r="Q34" s="34" t="n">
        <x:v>440</x:v>
      </x:c>
      <x:c r="R34" s="34" t="n">
        <x:v>234</x:v>
      </x:c>
      <x:c r="S34" s="34" t="n">
        <x:v>95</x:v>
      </x:c>
      <x:c r="T34" s="34" t="n">
        <x:v>30</x:v>
      </x:c>
      <x:c r="U34" s="34" t="n">
        <x:v>170</x:v>
      </x:c>
      <x:c r="V34" s="34" t="n">
        <x:v>5</x:v>
      </x:c>
      <x:c r="W34" s="34" t="n">
        <x:v>30</x:v>
      </x:c>
      <x:c r="X34" s="34" t="n">
        <x:v>7</x:v>
      </x:c>
      <x:c r="Y34" s="34" t="n">
        <x:v>4</x:v>
      </x:c>
      <x:c r="Z34" s="34" t="n">
        <x:v>0</x:v>
      </x:c>
      <x:c r="AA34" s="34" t="n">
        <x:v>6</x:v>
      </x:c>
      <x:c r="AB34" s="34" t="n">
        <x:v>0</x:v>
      </x:c>
      <x:c r="AC34" s="34" t="n">
        <x:v>0</x:v>
      </x:c>
      <x:c r="AD34" s="34" t="n">
        <x:v>17</x:v>
      </x:c>
      <x:c r="AE34" s="34" t="n">
        <x:v>9</x:v>
      </x:c>
      <x:c r="AF34" s="34" t="n">
        <x:v>0</x:v>
      </x:c>
      <x:c r="AG34" s="34" t="n">
        <x:v>14</x:v>
      </x:c>
      <x:c r="AH34" s="34" t="n">
        <x:v>0</x:v>
      </x:c>
      <x:c r="AI34" s="34" t="n">
        <x:v>0</x:v>
      </x:c>
    </x:row>
    <x:row r="35" ht="42" customHeight="1">
      <x:c r="A35" s="34" t="str">
        <x:v>午马·霜脊踏天</x:v>
      </x:c>
      <x:c r="B35" s="34" t="str">
        <x:v>C08</x:v>
      </x:c>
      <x:c r="C35" s="34" t="str">
        <x:v>比较用C08生肖7BOSS刻度</x:v>
      </x:c>
      <x:c r="D35" s="34" t="str">
        <x:v>同部位BOSS数值刻度（非新增物品）</x:v>
      </x:c>
      <x:c r="E35" s="34" t="n">
        <x:v>225</x:v>
      </x:c>
      <x:c r="F35" s="34" t="n">
        <x:v>338</x:v>
      </x:c>
      <x:c r="G35" s="42" t="n">
        <x:f>F35/E35</x:f>
        <x:v>1.5022222222222221</x:v>
      </x:c>
      <x:c r="H35" s="46" t="n">
        <x:f>P35*(1+Q35/100)*(1+R35/100)*(1+S35/100)*(1+T35/100*(1+U35/100))*(1+V35/100*(1+W35/100))</x:f>
        <x:v>3417228.863999999</x:v>
      </x:c>
      <x:c r="I35" s="46" t="n">
        <x:f>(P35+E35)*(1+(Q35+X35)/100)*(1+(R35+Y35)/100)*(1+(S35+Z35)/100)*(1+T35/100*(1+(U35+AA35)/100))*(1+(V35+AB35)/100*(1+(W35+AC35)/100))</x:f>
        <x:v>3557588.03119125</x:v>
      </x:c>
      <x:c r="J35" s="46" t="n">
        <x:f>(P35+F35)*(1+(Q35+AD35)/100)*(1+(R35+AE35)/100)*(1+(S35+AF35)/100)*(1+T35/100*(1+(U35+AG35)/100))*(1+(V35+AH35)/100*(1+(W35+AI35)/100))</x:f>
        <x:v>3728162.1073305598</x:v>
      </x:c>
      <x:c r="K35" s="46" t="n">
        <x:f>I35-H35</x:f>
        <x:v>140359.16719125072</x:v>
      </x:c>
      <x:c r="L35" s="46" t="n">
        <x:f>J35-H35</x:f>
        <x:v>310933.2433305606</x:v>
      </x:c>
      <x:c r="M35" s="42" t="n">
        <x:f>L35/K35</x:f>
        <x:v>2.215268511153881</x:v>
      </x:c>
      <x:c r="N35" s="42" t="n">
        <x:f>J35/I35</x:f>
        <x:v>1.0479465510463262</x:v>
      </x:c>
      <x:c r="O35" s="34" t="str">
        <x:v>常规单刀同槽边际；不含攻速换挡、处决/首尾与防御功能</x:v>
      </x:c>
      <x:c r="P35" s="34" t="n">
        <x:v>45000</x:v>
      </x:c>
      <x:c r="Q35" s="34" t="n">
        <x:v>460</x:v>
      </x:c>
      <x:c r="R35" s="34" t="n">
        <x:v>246</x:v>
      </x:c>
      <x:c r="S35" s="34" t="n">
        <x:v>100</x:v>
      </x:c>
      <x:c r="T35" s="34" t="n">
        <x:v>30</x:v>
      </x:c>
      <x:c r="U35" s="34" t="n">
        <x:v>180</x:v>
      </x:c>
      <x:c r="V35" s="34" t="n">
        <x:v>5</x:v>
      </x:c>
      <x:c r="W35" s="34" t="n">
        <x:v>30</x:v>
      </x:c>
      <x:c r="X35" s="34" t="n">
        <x:v>7</x:v>
      </x:c>
      <x:c r="Y35" s="34" t="n">
        <x:v>4</x:v>
      </x:c>
      <x:c r="Z35" s="34" t="n">
        <x:v>0</x:v>
      </x:c>
      <x:c r="AA35" s="34" t="n">
        <x:v>7</x:v>
      </x:c>
      <x:c r="AB35" s="34" t="n">
        <x:v>0</x:v>
      </x:c>
      <x:c r="AC35" s="34" t="n">
        <x:v>0</x:v>
      </x:c>
      <x:c r="AD35" s="34" t="n">
        <x:v>16</x:v>
      </x:c>
      <x:c r="AE35" s="34" t="n">
        <x:v>9</x:v>
      </x:c>
      <x:c r="AF35" s="34" t="n">
        <x:v>0</x:v>
      </x:c>
      <x:c r="AG35" s="34" t="n">
        <x:v>16</x:v>
      </x:c>
      <x:c r="AH35" s="34" t="n">
        <x:v>0</x:v>
      </x:c>
      <x:c r="AI35" s="34" t="n">
        <x:v>0</x:v>
      </x:c>
    </x:row>
    <x:row r="36" ht="42" customHeight="1">
      <x:c r="A36" s="34" t="str">
        <x:v>酉鸡·鎏日司晨</x:v>
      </x:c>
      <x:c r="B36" s="34" t="str">
        <x:v>C09</x:v>
      </x:c>
      <x:c r="C36" s="34" t="str">
        <x:v>比较用C09生肖10BOSS刻度</x:v>
      </x:c>
      <x:c r="D36" s="34" t="str">
        <x:v>同部位BOSS数值刻度（非新增物品）</x:v>
      </x:c>
      <x:c r="E36" s="34" t="n">
        <x:v>300</x:v>
      </x:c>
      <x:c r="F36" s="34" t="n">
        <x:v>450</x:v>
      </x:c>
      <x:c r="G36" s="42" t="n">
        <x:f>F36/E36</x:f>
        <x:v>1.5</x:v>
      </x:c>
      <x:c r="H36" s="46" t="n">
        <x:f>P36*(1+Q36/100)*(1+R36/100)*(1+S36/100)*(1+T36/100*(1+U36/100))*(1+V36/100*(1+W36/100))</x:f>
        <x:v>5086362.936600001</x:v>
      </x:c>
      <x:c r="I36" s="46" t="n">
        <x:f>(P36+E36)*(1+(Q36+X36)/100)*(1+(R36+Y36)/100)*(1+(S36+Z36)/100)*(1+T36/100*(1+(U36+AA36)/100))*(1+(V36+AB36)/100*(1+(W36+AC36)/100))</x:f>
        <x:v>5322120.54178266</x:v>
      </x:c>
      <x:c r="J36" s="46" t="n">
        <x:f>(P36+F36)*(1+(Q36+AD36)/100)*(1+(R36+AE36)/100)*(1+(S36+AF36)/100)*(1+T36/100*(1+(U36+AG36)/100))*(1+(V36+AH36)/100*(1+(W36+AI36)/100))</x:f>
        <x:v>5618336.5370691</x:v>
      </x:c>
      <x:c r="K36" s="46" t="n">
        <x:f>I36-H36</x:f>
        <x:v>235757.6051826598</x:v>
      </x:c>
      <x:c r="L36" s="46" t="n">
        <x:f>J36-H36</x:f>
        <x:v>531973.6004690994</x:v>
      </x:c>
      <x:c r="M36" s="42" t="n">
        <x:f>L36/K36</x:f>
        <x:v>2.2564430108498</x:v>
      </x:c>
      <x:c r="N36" s="42" t="n">
        <x:f>J36/I36</x:f>
        <x:v>1.055657513384171</x:v>
      </x:c>
      <x:c r="O36" s="34" t="str">
        <x:v>常规单刀同槽边际；不含攻速换挡、处决/首尾与防御功能</x:v>
      </x:c>
      <x:c r="P36" s="34" t="n">
        <x:v>60000</x:v>
      </x:c>
      <x:c r="Q36" s="34" t="n">
        <x:v>480</x:v>
      </x:c>
      <x:c r="R36" s="34" t="n">
        <x:v>258</x:v>
      </x:c>
      <x:c r="S36" s="34" t="n">
        <x:v>105</x:v>
      </x:c>
      <x:c r="T36" s="34" t="n">
        <x:v>30</x:v>
      </x:c>
      <x:c r="U36" s="34" t="n">
        <x:v>190</x:v>
      </x:c>
      <x:c r="V36" s="34" t="n">
        <x:v>5</x:v>
      </x:c>
      <x:c r="W36" s="34" t="n">
        <x:v>30</x:v>
      </x:c>
      <x:c r="X36" s="34" t="n">
        <x:v>8</x:v>
      </x:c>
      <x:c r="Y36" s="34" t="n">
        <x:v>5</x:v>
      </x:c>
      <x:c r="Z36" s="34" t="n">
        <x:v>0</x:v>
      </x:c>
      <x:c r="AA36" s="34" t="n">
        <x:v>8</x:v>
      </x:c>
      <x:c r="AB36" s="34" t="n">
        <x:v>0</x:v>
      </x:c>
      <x:c r="AC36" s="34" t="n">
        <x:v>0</x:v>
      </x:c>
      <x:c r="AD36" s="34" t="n">
        <x:v>18</x:v>
      </x:c>
      <x:c r="AE36" s="34" t="n">
        <x:v>12</x:v>
      </x:c>
      <x:c r="AF36" s="34" t="n">
        <x:v>0</x:v>
      </x:c>
      <x:c r="AG36" s="34" t="n">
        <x:v>18</x:v>
      </x:c>
      <x:c r="AH36" s="34" t="n">
        <x:v>0</x:v>
      </x:c>
      <x:c r="AI36" s="34" t="n">
        <x:v>0</x:v>
      </x:c>
    </x:row>
    <x:row r="37" ht="42" customHeight="1">
      <x:c r="A37" s="35" t="str">
        <x:v>戌狗·王座守门</x:v>
      </x:c>
      <x:c r="B37" s="35" t="str">
        <x:v>C10</x:v>
      </x:c>
      <x:c r="C37" s="35" t="str">
        <x:v>比较用C10生肖11BOSS刻度</x:v>
      </x:c>
      <x:c r="D37" s="35" t="str">
        <x:v>同部位BOSS数值刻度（非新增物品）</x:v>
      </x:c>
      <x:c r="E37" s="35" t="n">
        <x:v>400</x:v>
      </x:c>
      <x:c r="F37" s="35" t="n">
        <x:v>600</x:v>
      </x:c>
      <x:c r="G37" s="43" t="n">
        <x:f>F37/E37</x:f>
        <x:v>1.5</x:v>
      </x:c>
      <x:c r="H37" s="47" t="n">
        <x:f>P37*(1+Q37/100)*(1+R37/100)*(1+S37/100)*(1+T37/100*(1+U37/100))*(1+V37/100*(1+W37/100))</x:f>
        <x:v>7546845.6</x:v>
      </x:c>
      <x:c r="I37" s="47" t="n">
        <x:f>(P37+E37)*(1+(Q37+X37)/100)*(1+(R37+Y37)/100)*(1+(S37+Z37)/100)*(1+T37/100*(1+(U37+AA37)/100))*(1+(V37+AB37)/100*(1+(W37+AC37)/100))</x:f>
        <x:v>7900936.644509999</x:v>
      </x:c>
      <x:c r="J37" s="47" t="n">
        <x:f>(P37+F37)*(1+(Q37+AD37)/100)*(1+(R37+AE37)/100)*(1+(S37+AF37)/100)*(1+T37/100*(1+(U37+AG37)/100))*(1+(V37+AH37)/100*(1+(W37+AI37)/100))</x:f>
        <x:v>8355712.081527718</x:v>
      </x:c>
      <x:c r="K37" s="47" t="n">
        <x:f>I37-H37</x:f>
        <x:v>354091.04450999945</x:v>
      </x:c>
      <x:c r="L37" s="47" t="n">
        <x:f>J37-H37</x:f>
        <x:v>808866.4815277187</x:v>
      </x:c>
      <x:c r="M37" s="43" t="n">
        <x:f>L37/K37</x:f>
        <x:v>2.284346057514811</x:v>
      </x:c>
      <x:c r="N37" s="43" t="n">
        <x:f>J37/I37</x:f>
        <x:v>1.0575596865890227</x:v>
      </x:c>
      <x:c r="O37" s="35" t="str">
        <x:v>常规单刀同槽边际；不含攻速换挡、处决/首尾与防御功能</x:v>
      </x:c>
      <x:c r="P37" s="35" t="n">
        <x:v>80000</x:v>
      </x:c>
      <x:c r="Q37" s="35" t="n">
        <x:v>500</x:v>
      </x:c>
      <x:c r="R37" s="35" t="n">
        <x:v>270</x:v>
      </x:c>
      <x:c r="S37" s="35" t="n">
        <x:v>110</x:v>
      </x:c>
      <x:c r="T37" s="35" t="n">
        <x:v>30</x:v>
      </x:c>
      <x:c r="U37" s="35" t="n">
        <x:v>200</x:v>
      </x:c>
      <x:c r="V37" s="35" t="n">
        <x:v>5</x:v>
      </x:c>
      <x:c r="W37" s="35" t="n">
        <x:v>30</x:v>
      </x:c>
      <x:c r="X37" s="35" t="n">
        <x:v>9</x:v>
      </x:c>
      <x:c r="Y37" s="35" t="n">
        <x:v>5</x:v>
      </x:c>
      <x:c r="Z37" s="35" t="n">
        <x:v>0</x:v>
      </x:c>
      <x:c r="AA37" s="35" t="n">
        <x:v>8</x:v>
      </x:c>
      <x:c r="AB37" s="35" t="n">
        <x:v>0</x:v>
      </x:c>
      <x:c r="AC37" s="35" t="n">
        <x:v>0</x:v>
      </x:c>
      <x:c r="AD37" s="35" t="n">
        <x:v>21</x:v>
      </x:c>
      <x:c r="AE37" s="35" t="n">
        <x:v>12</x:v>
      </x:c>
      <x:c r="AF37" s="35" t="n">
        <x:v>0</x:v>
      </x:c>
      <x:c r="AG37" s="35" t="n">
        <x:v>18</x:v>
      </x:c>
      <x:c r="AH37" s="35" t="n">
        <x:v>0</x:v>
      </x:c>
      <x:c r="AI37" s="35" t="n">
        <x:v>0</x:v>
      </x:c>
    </x:row>
  </x:sheetData>
  <x:mergeCells>
    <x:mergeCell ref="A1:AI1"/>
    <x:mergeCell ref="A2:A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2" hidden="0" customWidth="1"/>
    <x:col min="5" max="5" width="12" hidden="0" customWidth="1"/>
    <x:col min="6" max="6" width="12" hidden="0" customWidth="1"/>
    <x:col min="7" max="7" width="28" hidden="0" customWidth="1"/>
    <x:col min="8" max="8" width="48" hidden="0" customWidth="1"/>
  </x:cols>
  <x:sheetData>
    <x:row r="1" ht="30" customHeight="1">
      <x:c r="A1" s="4" t="str">
        <x:v>攻速和吸收的真实计划来源</x:v>
      </x:c>
      <x:c r="B1" s="4"/>
      <x:c r="C1" s="4"/>
      <x:c r="D1" s="4"/>
      <x:c r="E1" s="4"/>
      <x:c r="F1" s="4"/>
      <x:c r="G1" s="4"/>
      <x:c r="H1" s="4"/>
    </x:row>
    <x:row r="2" ht="42" customHeight="1">
      <x:c r="A2" s="11" t="str">
        <x:v>这9条是配套变更清单，不是已经写入现有脚本或命格原件。原1091普通攻速3来自100命格表；新增突破5是本轮设计，不伪装成旧数据已有。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19" t="str">
        <x:v>对象</x:v>
      </x:c>
      <x:c r="B4" s="19" t="str">
        <x:v>现有ID</x:v>
      </x:c>
      <x:c r="C4" s="19" t="str">
        <x:v>现有名称</x:v>
      </x:c>
      <x:c r="D4" s="19" t="str">
        <x:v>字段</x:v>
      </x:c>
      <x:c r="E4" s="19" t="str">
        <x:v>旧值</x:v>
      </x:c>
      <x:c r="F4" s="19" t="str">
        <x:v>新值</x:v>
      </x:c>
      <x:c r="G4" s="19" t="str">
        <x:v>操作</x:v>
      </x:c>
      <x:c r="H4" s="19" t="str">
        <x:v>边界</x:v>
      </x:c>
    </x:row>
    <x:row r="5" ht="42" customHeight="1">
      <x:c r="A5" s="34" t="str">
        <x:v>命格</x:v>
      </x:c>
      <x:c r="B5" s="34" t="n">
        <x:v>1091</x:v>
      </x:c>
      <x:c r="C5" s="34" t="str">
        <x:v>【快人三步】</x:v>
      </x:c>
      <x:c r="D5" s="34" t="str">
        <x:v>攻击速度</x:v>
      </x:c>
      <x:c r="E5" s="34" t="n">
        <x:v>3</x:v>
      </x:c>
      <x:c r="F5" s="34" t="n">
        <x:v>3</x:v>
      </x:c>
      <x:c r="G5" s="34" t="str">
        <x:v>保留已有词条</x:v>
      </x:c>
      <x:c r="H5" s="34" t="str">
        <x:v>不新增同名命格；属性字典映射另核</x:v>
      </x:c>
    </x:row>
    <x:row r="6" ht="42" customHeight="1">
      <x:c r="A6" s="34" t="str">
        <x:v>命格</x:v>
      </x:c>
      <x:c r="B6" s="34" t="n">
        <x:v>1091</x:v>
      </x:c>
      <x:c r="C6" s="34" t="str">
        <x:v>【快人三步】</x:v>
      </x:c>
      <x:c r="D6" s="34" t="str">
        <x:v>攻速突破</x:v>
      </x:c>
      <x:c r="E6" s="34" t="n">
        <x:v>0</x:v>
      </x:c>
      <x:c r="F6" s="34" t="n">
        <x:v>5</x:v>
      </x:c>
      <x:c r="G6" s="34" t="str">
        <x:v>新增词条</x:v>
      </x:c>
      <x:c r="H6" s="34" t="str">
        <x:v>本轮主配置选一次；重复选同命格仍需压力检查，不宣称全局硬封顶5</x:v>
      </x:c>
    </x:row>
    <x:row r="7" ht="42" customHeight="1">
      <x:c r="A7" s="34" t="str">
        <x:v>独立称号</x:v>
      </x:c>
      <x:c r="B7" s="34" t="str">
        <x:v>C03-SYN-TT-01</x:v>
      </x:c>
      <x:c r="C7" s="34" t="str">
        <x:v>[称号]西境拓荒者</x:v>
      </x:c>
      <x:c r="D7" s="34" t="str">
        <x:v>攻速突破</x:v>
      </x:c>
      <x:c r="E7" s="34" t="n">
        <x:v>0</x:v>
      </x:c>
      <x:c r="F7" s="34" t="n">
        <x:v>1</x:v>
      </x:c>
      <x:c r="G7" s="34" t="str">
        <x:v>加到既有唯一称号</x:v>
      </x:c>
      <x:c r="H7" s="34" t="str">
        <x:v>取得后一次永久，不逐次领取</x:v>
      </x:c>
    </x:row>
    <x:row r="8" ht="42" customHeight="1">
      <x:c r="A8" s="34" t="str">
        <x:v>独立称号</x:v>
      </x:c>
      <x:c r="B8" s="34" t="str">
        <x:v>C05-SYN-TT-01</x:v>
      </x:c>
      <x:c r="C8" s="34" t="str">
        <x:v>[称号]满月见证者</x:v>
      </x:c>
      <x:c r="D8" s="34" t="str">
        <x:v>攻速突破</x:v>
      </x:c>
      <x:c r="E8" s="34" t="n">
        <x:v>0</x:v>
      </x:c>
      <x:c r="F8" s="34" t="n">
        <x:v>1</x:v>
      </x:c>
      <x:c r="G8" s="34" t="str">
        <x:v>加到既有唯一称号</x:v>
      </x:c>
      <x:c r="H8" s="34" t="str">
        <x:v>不同ID累加</x:v>
      </x:c>
    </x:row>
    <x:row r="9" ht="42" customHeight="1">
      <x:c r="A9" s="34" t="str">
        <x:v>独立称号</x:v>
      </x:c>
      <x:c r="B9" s="34" t="str">
        <x:v>C07-SYN-TT-01</x:v>
      </x:c>
      <x:c r="C9" s="34" t="str">
        <x:v>[称号]永霜朝圣者</x:v>
      </x:c>
      <x:c r="D9" s="34" t="str">
        <x:v>攻速突破</x:v>
      </x:c>
      <x:c r="E9" s="34" t="n">
        <x:v>0</x:v>
      </x:c>
      <x:c r="F9" s="34" t="n">
        <x:v>1</x:v>
      </x:c>
      <x:c r="G9" s="34" t="str">
        <x:v>加到既有唯一称号</x:v>
      </x:c>
      <x:c r="H9" s="34" t="str">
        <x:v>不同ID累加</x:v>
      </x:c>
    </x:row>
    <x:row r="10" ht="42" customHeight="1">
      <x:c r="A10" s="34" t="str">
        <x:v>独立称号</x:v>
      </x:c>
      <x:c r="B10" s="34" t="str">
        <x:v>C09-SYN-TT-01</x:v>
      </x:c>
      <x:c r="C10" s="34" t="str">
        <x:v>[称号]黄金律见证者</x:v>
      </x:c>
      <x:c r="D10" s="34" t="str">
        <x:v>攻速突破</x:v>
      </x:c>
      <x:c r="E10" s="34" t="n">
        <x:v>0</x:v>
      </x:c>
      <x:c r="F10" s="34" t="n">
        <x:v>1</x:v>
      </x:c>
      <x:c r="G10" s="34" t="str">
        <x:v>加到既有唯一称号</x:v>
      </x:c>
      <x:c r="H10" s="34" t="str">
        <x:v>不同ID累加</x:v>
      </x:c>
    </x:row>
    <x:row r="11" ht="42" customHeight="1">
      <x:c r="A11" s="34" t="str">
        <x:v>独立称号</x:v>
      </x:c>
      <x:c r="B11" s="34" t="str">
        <x:v>C10-SYN-TT-01</x:v>
      </x:c>
      <x:c r="C11" s="34" t="str">
        <x:v>[称号]艾尔登之王</x:v>
      </x:c>
      <x:c r="D11" s="34" t="str">
        <x:v>攻速突破</x:v>
      </x:c>
      <x:c r="E11" s="34" t="n">
        <x:v>0</x:v>
      </x:c>
      <x:c r="F11" s="34" t="n">
        <x:v>1</x:v>
      </x:c>
      <x:c r="G11" s="34" t="str">
        <x:v>加到既有唯一称号</x:v>
      </x:c>
      <x:c r="H11" s="34" t="str">
        <x:v>五称号合计5，不追加第二套NPC</x:v>
      </x:c>
    </x:row>
    <x:row r="12" ht="42" customHeight="1">
      <x:c r="A12" s="34" t="str">
        <x:v>独立称号</x:v>
      </x:c>
      <x:c r="B12" s="34" t="str">
        <x:v>C03-SYN-TT-01</x:v>
      </x:c>
      <x:c r="C12" s="34" t="str">
        <x:v>[称号]西境拓荒者</x:v>
      </x:c>
      <x:c r="D12" s="34" t="str">
        <x:v>伤害吸收上限</x:v>
      </x:c>
      <x:c r="E12" s="34" t="n">
        <x:v>0</x:v>
      </x:c>
      <x:c r="F12" s="34" t="n">
        <x:v>1</x:v>
      </x:c>
      <x:c r="G12" s="34" t="str">
        <x:v>加到既有唯一称号</x:v>
      </x:c>
      <x:c r="H12" s="34" t="str">
        <x:v>C5无洗练70预算的一部分</x:v>
      </x:c>
    </x:row>
    <x:row r="13" ht="42" customHeight="1">
      <x:c r="A13" s="35" t="str">
        <x:v>独立称号</x:v>
      </x:c>
      <x:c r="B13" s="35" t="str">
        <x:v>C05-SYN-TT-01</x:v>
      </x:c>
      <x:c r="C13" s="35" t="str">
        <x:v>[称号]满月见证者</x:v>
      </x:c>
      <x:c r="D13" s="35" t="str">
        <x:v>伤害吸收上限</x:v>
      </x:c>
      <x:c r="E13" s="35" t="n">
        <x:v>0</x:v>
      </x:c>
      <x:c r="F13" s="35" t="n">
        <x:v>2</x:v>
      </x:c>
      <x:c r="G13" s="35" t="str">
        <x:v>加到既有唯一称号</x:v>
      </x:c>
      <x:c r="H13" s="35" t="str">
        <x:v>累计3；与装备/命格分账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6" hidden="0" customWidth="1"/>
    <x:col min="5" max="5" width="40" hidden="0" customWidth="1"/>
  </x:cols>
  <x:sheetData>
    <x:row r="1" ht="30" customHeight="1">
      <x:c r="A1" s="4" t="str">
        <x:v>第一大陆样板仅修改六个字段</x:v>
      </x:c>
      <x:c r="B1" s="4"/>
      <x:c r="C1" s="4"/>
      <x:c r="D1" s="4"/>
      <x:c r="E1" s="4"/>
    </x:row>
    <x:row r="2" ht="42" customHeight="1">
      <x:c r="A2" s="11" t="str">
        <x:v>当前用户规则优先；时装武器的普通攻速不强补。潮葬礼剑当前处决2保留；不恢复旧说明里的5。</x:v>
      </x:c>
      <x:c r="B2" s="11"/>
      <x:c r="C2" s="11"/>
      <x:c r="D2" s="11"/>
      <x:c r="E2" s="11"/>
    </x:row>
    <x:row r="4" ht="34" customHeight="1">
      <x:c r="A4" s="19" t="str">
        <x:v>物品</x:v>
      </x:c>
      <x:c r="B4" s="19" t="str">
        <x:v>字段</x:v>
      </x:c>
      <x:c r="C4" s="19" t="str">
        <x:v>V3原值</x:v>
      </x:c>
      <x:c r="D4" s="19" t="str">
        <x:v>V4新值</x:v>
      </x:c>
      <x:c r="E4" s="19" t="str">
        <x:v>规则来源</x:v>
      </x:c>
    </x:row>
    <x:row r="5" ht="42" customHeight="1">
      <x:c r="A5" s="34" t="str">
        <x:v>吞岸重甲</x:v>
      </x:c>
      <x:c r="B5" s="34" t="str">
        <x:v>伤害吸收上限</x:v>
      </x:c>
      <x:c r="C5" s="34" t="n">
        <x:v>5</x:v>
      </x:c>
      <x:c r="D5" s="34" t="n">
        <x:v>1</x:v>
      </x:c>
      <x:c r="E5" s="34" t="str">
        <x:v>装备规则.txt:L7-L10,L14</x:v>
      </x:c>
    </x:row>
    <x:row r="6" ht="42" customHeight="1">
      <x:c r="A6" s="34" t="str">
        <x:v>古龙风铠</x:v>
      </x:c>
      <x:c r="B6" s="34" t="str">
        <x:v>伤害吸收上限</x:v>
      </x:c>
      <x:c r="C6" s="34" t="n">
        <x:v>5</x:v>
      </x:c>
      <x:c r="D6" s="34" t="n">
        <x:v>1</x:v>
      </x:c>
      <x:c r="E6" s="34" t="str">
        <x:v>装备规则.txt:L7-L10,L14</x:v>
      </x:c>
    </x:row>
    <x:row r="7" ht="42" customHeight="1">
      <x:c r="A7" s="34" t="str">
        <x:v>深潮王铠</x:v>
      </x:c>
      <x:c r="B7" s="34" t="str">
        <x:v>伤害吸收上限</x:v>
      </x:c>
      <x:c r="C7" s="34" t="n">
        <x:v>8</x:v>
      </x:c>
      <x:c r="D7" s="34" t="n">
        <x:v>2</x:v>
      </x:c>
      <x:c r="E7" s="34" t="str">
        <x:v>装备规则.txt:L7-L10,L14</x:v>
      </x:c>
    </x:row>
    <x:row r="8" ht="42" customHeight="1">
      <x:c r="A8" s="34" t="str">
        <x:v>沉没王权</x:v>
      </x:c>
      <x:c r="B8" s="34" t="str">
        <x:v>攻击速度</x:v>
      </x:c>
      <x:c r="C8" s="34"/>
      <x:c r="D8" s="34" t="n">
        <x:v>22</x:v>
      </x:c>
      <x:c r="E8" s="34" t="str">
        <x:v>装备规则.txt:L7-L10,L14</x:v>
      </x:c>
    </x:row>
    <x:row r="9" ht="42" customHeight="1">
      <x:c r="A9" s="34" t="str">
        <x:v>潮葬礼剑</x:v>
      </x:c>
      <x:c r="B9" s="34" t="str">
        <x:v>攻速突破</x:v>
      </x:c>
      <x:c r="C9" s="34"/>
      <x:c r="D9" s="34" t="n">
        <x:v>1</x:v>
      </x:c>
      <x:c r="E9" s="34" t="str">
        <x:v>装备规则.txt:L7-L10,L14</x:v>
      </x:c>
    </x:row>
    <x:row r="10" ht="42" customHeight="1">
      <x:c r="A10" s="35" t="str">
        <x:v>无冠王衣</x:v>
      </x:c>
      <x:c r="B10" s="35" t="str">
        <x:v>伤害吸收上限</x:v>
      </x:c>
      <x:c r="C10" s="35" t="n">
        <x:v>10</x:v>
      </x:c>
      <x:c r="D10" s="35" t="n">
        <x:v>2</x:v>
      </x:c>
      <x:c r="E10" s="35" t="str">
        <x:v>装备规则.txt:L7-L10,L14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8" hidden="0" customWidth="1"/>
    <x:col min="4" max="4" width="45" hidden="0" customWidth="1"/>
  </x:cols>
  <x:sheetData>
    <x:row r="1" ht="30" customHeight="1">
      <x:c r="A1" s="4" t="str">
        <x:v>已经做了什么，后续必须连带改什么</x:v>
      </x:c>
      <x:c r="B1" s="4"/>
      <x:c r="C1" s="4"/>
      <x:c r="D1" s="4"/>
    </x:row>
    <x:row r="2" ht="42" customHeight="1">
      <x:c r="A2" s="11" t="str">
        <x:v>不能将本轮装备审核稿理解成旧40人物继续有效，或最终怪物/掉率已经闭环。</x:v>
      </x:c>
      <x:c r="B2" s="11"/>
      <x:c r="C2" s="11"/>
      <x:c r="D2" s="11"/>
    </x:row>
    <x:row r="4" ht="34" customHeight="1">
      <x:c r="A4" s="19" t="str">
        <x:v>模块</x:v>
      </x:c>
      <x:c r="B4" s="19" t="str">
        <x:v>变更</x:v>
      </x:c>
      <x:c r="C4" s="19" t="str">
        <x:v>后续依赖</x:v>
      </x:c>
      <x:c r="D4" s="19" t="str">
        <x:v>状态</x:v>
      </x:c>
    </x:row>
    <x:row r="5" ht="42" customHeight="1">
      <x:c r="A5" s="34" t="str">
        <x:v>原464装备</x:v>
      </x:c>
      <x:c r="B5" s="34" t="str">
        <x:v>V1数值由本批V2替代</x:v>
      </x:c>
      <x:c r="C5" s="34" t="str">
        <x:v>名称/部位/原编号完全保留</x:v>
      </x:c>
      <x:c r="D5" s="34" t="str">
        <x:v>数值设计已写表；未进服</x:v>
      </x:c>
    </x:row>
    <x:row r="6" ht="42" customHeight="1">
      <x:c r="A6" s="34" t="str">
        <x:v>新增56候选</x:v>
      </x:c>
      <x:c r="B6" s="34" t="str">
        <x:v>C3—C10定向数464→520；全服563→619（不含追梦）</x:v>
      </x:c>
      <x:c r="C6" s="34" t="str">
        <x:v>图鉴、失色分解及爆率需要加入56名称</x:v>
      </x:c>
      <x:c r="D6" s="34" t="str">
        <x:v>缺真实外观资源；最终掉率待做</x:v>
      </x:c>
    </x:row>
    <x:row r="7" ht="42" customHeight="1">
      <x:c r="A7" s="34" t="str">
        <x:v>38合成</x:v>
      </x:c>
      <x:c r="B7" s="34" t="str">
        <x:v>33件属性型按新标杆重算，5群攻效果保留</x:v>
      </x:c>
      <x:c r="C7" s="34" t="str">
        <x:v>原配方基件关系保留；金币/失色由现行经济表取值</x:v>
      </x:c>
      <x:c r="D7" s="34" t="str">
        <x:v>本批不再次×100/×10</x:v>
      </x:c>
    </x:row>
    <x:row r="8" ht="42" customHeight="1">
      <x:c r="A8" s="34" t="str">
        <x:v>称号/命格</x:v>
      </x:c>
      <x:c r="B8" s="34" t="str">
        <x:v>9条配套修改清单</x:v>
      </x:c>
      <x:c r="C8" s="34" t="str">
        <x:v>只有配套实际生效，才可使用35攻速/70吸收示例</x:v>
      </x:c>
      <x:c r="D8" s="34" t="str">
        <x:v>不是无来源人物buff</x:v>
      </x:c>
    </x:row>
    <x:row r="9" ht="42" customHeight="1">
      <x:c r="A9" s="34" t="str">
        <x:v>40组人物</x:v>
      </x:c>
      <x:c r="B9" s="34" t="str">
        <x:v>旧人物面板的装备部分已失效</x:v>
      </x:c>
      <x:c r="C9" s="34" t="str">
        <x:v>保留半急速定义、永久幸运、C2主城、支付边界</x:v>
      </x:c>
      <x:c r="D9" s="34" t="str">
        <x:v>装备重排后必须全量重新汇总</x:v>
      </x:c>
    </x:row>
    <x:row r="10" ht="42" customHeight="1">
      <x:c r="A10" s="34" t="str">
        <x:v>C2衔接</x:v>
      </x:c>
      <x:c r="B10" s="34" t="str">
        <x:v>C2尚未按新跨代标尺重排</x:v>
      </x:c>
      <x:c r="C10" s="34" t="str">
        <x:v>第二至第三地图稀有目标≈C1对应BOSS</x:v>
      </x:c>
      <x:c r="D10" s="34" t="str">
        <x:v>本批不声称C2已验算</x:v>
      </x:c>
    </x:row>
    <x:row r="11" ht="42" customHeight="1">
      <x:c r="A11" s="34" t="str">
        <x:v>561怪/地图</x:v>
      </x:c>
      <x:c r="B11" s="34" t="str">
        <x:v>不新增怪物与地图</x:v>
      </x:c>
      <x:c r="C11" s="34" t="str">
        <x:v>同怪可有多种不同部位定向专属；原兼掉池另账</x:v>
      </x:c>
      <x:c r="D11" s="34" t="str">
        <x:v>HP/攻击/最终1/x本批不生成</x:v>
      </x:c>
    </x:row>
    <x:row r="12" ht="42" customHeight="1">
      <x:c r="A12" s="34" t="str">
        <x:v>罕见字段</x:v>
      </x:c>
      <x:c r="B12" s="34" t="str">
        <x:v>神力/伤害系数/原生暴击仍严格控制</x:v>
      </x:c>
      <x:c r="C12" s="34" t="str">
        <x:v>本批常规装备未投放，不改洗练的独立允许池</x:v>
      </x:c>
      <x:c r="D12" s="34" t="str">
        <x:v>技能/处决和高级乘区换算需完整角色联算</x:v>
      </x:c>
    </x:row>
    <x:row r="13" ht="42" customHeight="1">
      <x:c r="A13" s="34" t="str">
        <x:v>资源编号</x:v>
      </x:c>
      <x:c r="B13" s="34" t="str">
        <x:v>原464非空编号保持，新增56与原无编号合成留空</x:v>
      </x:c>
      <x:c r="C13" s="34" t="str">
        <x:v>不会为避免空白复用编号</x:v>
      </x:c>
      <x:c r="D13" s="34" t="str">
        <x:v>平台预检通过前不可直接安装</x:v>
      </x:c>
    </x:row>
    <x:row r="14" ht="42" customHeight="1">
      <x:c r="A14" s="35" t="str">
        <x:v>归档</x:v>
      </x:c>
      <x:c r="B14" s="35" t="str">
        <x:v>当前成果仅本地交付</x:v>
      </x:c>
      <x:c r="C14" s="35" t="str">
        <x:v>不写GitHub，不修改服务端或客户端</x:v>
      </x:c>
      <x:c r="D14" s="35" t="str">
        <x:v>按用户要求攒批后归档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36" hidden="0" customWidth="1"/>
    <x:col min="4" max="4" width="48" hidden="0" customWidth="1"/>
    <x:col min="5" max="5" width="48" hidden="0" customWidth="1"/>
  </x:cols>
  <x:sheetData>
    <x:row r="1" ht="30" customHeight="1">
      <x:c r="A1" s="4" t="str">
        <x:v>输入来源与哈希</x:v>
      </x:c>
      <x:c r="B1" s="4"/>
      <x:c r="C1" s="4"/>
      <x:c r="D1" s="4"/>
      <x:c r="E1" s="4"/>
    </x:row>
    <x:row r="2" ht="42" customHeight="1">
      <x:c r="A2" s="11" t="str">
        <x:v>没有引用网上其他引擎参数。所有规则依据用户原文与项目原文件；比较人物参数公开列出为假设。</x:v>
      </x:c>
      <x:c r="B2" s="11"/>
      <x:c r="C2" s="11"/>
      <x:c r="D2" s="11"/>
      <x:c r="E2" s="11"/>
    </x:row>
    <x:row r="4" ht="34" customHeight="1">
      <x:c r="A4" s="19" t="str">
        <x:v>优先级</x:v>
      </x:c>
      <x:c r="B4" s="19" t="str">
        <x:v>来源文件</x:v>
      </x:c>
      <x:c r="C4" s="19" t="str">
        <x:v>实际读取范围</x:v>
      </x:c>
      <x:c r="D4" s="19" t="str">
        <x:v>SHA256</x:v>
      </x:c>
      <x:c r="E4" s="19" t="str">
        <x:v>使用边界</x:v>
      </x:c>
    </x:row>
    <x:row r="5" ht="42" customHeight="1">
      <x:c r="A5" s="34" t="str">
        <x:v>用户最高规则</x:v>
      </x:c>
      <x:c r="B5" s="34" t="str">
        <x:v>装备规则.txt</x:v>
      </x:c>
      <x:c r="C5" s="34" t="str">
        <x:v>全29行</x:v>
      </x:c>
      <x:c r="D5" s="34" t="str">
        <x:v>6fa85d9a5f2f325bd6933c6f5707b04bb0f4a9293abcfef0479d1a74b7d372e9</x:v>
      </x:c>
      <x:c r="E5" s="34" t="str">
        <x:v>用户修改原文；新数值需区分为本轮设计</x:v>
      </x:c>
    </x:row>
    <x:row r="6" ht="42" customHeight="1">
      <x:c r="A6" s="34" t="str">
        <x:v>C1基准</x:v>
      </x:c>
      <x:c r="B6" s="34" t="str">
        <x:v>09_第一大陆装备批量生成_人工审核稿_V3_备注清理版(2).xlsx</x:v>
      </x:c>
      <x:c r="C6" s="34" t="str">
        <x:v>118行数据，69列</x:v>
      </x:c>
      <x:c r="D6" s="34" t="str">
        <x:v>e514aac3427cffc4ed5a9dd6d52d5c32b37612fe8f0477fa8a886ed2db6f1e43</x:v>
      </x:c>
      <x:c r="E6" s="34" t="str">
        <x:v>原文件不改；V4副本只六格不同</x:v>
      </x:c>
    </x:row>
    <x:row r="7" ht="42" customHeight="1">
      <x:c r="A7" s="34" t="str">
        <x:v>原464</x:v>
      </x:c>
      <x:c r="B7" s="34" t="str">
        <x:v>01_第3至10大陆464专属_69列属性设计_V1.0.xlsx</x:v>
      </x:c>
      <x:c r="C7" s="34" t="str">
        <x:v>464行数据</x:v>
      </x:c>
      <x:c r="D7" s="34" t="str">
        <x:v>e0421cd898ba4601dad0ae7ed6bf662b1fac9e3b30672a4a33d97c7c43049799</x:v>
      </x:c>
      <x:c r="E7" s="34" t="str">
        <x:v>只保留身份与来源，替代数字</x:v>
      </x:c>
    </x:row>
    <x:row r="8" ht="42" customHeight="1">
      <x:c r="A8" s="34" t="str">
        <x:v>原38合成</x:v>
      </x:c>
      <x:c r="B8" s="34" t="str">
        <x:v>02_38件合成装备_69列属性设计_V1.0.xlsx</x:v>
      </x:c>
      <x:c r="C8" s="34" t="str">
        <x:v>38行数据</x:v>
      </x:c>
      <x:c r="D8" s="34" t="str">
        <x:v>479d4152ec6db0dc0fa698faba16a014c8355dede5ab25b58b056272ce209946</x:v>
      </x:c>
      <x:c r="E8" s="34" t="str">
        <x:v>群攻5级原样保留，其他33件重算</x:v>
      </x:c>
    </x:row>
    <x:row r="9" ht="42" customHeight="1">
      <x:c r="A9" s="35" t="str">
        <x:v>命格原始池</x:v>
      </x:c>
      <x:c r="B9" s="35" t="str">
        <x:v>41_命格内容与多色属性.xlsx</x:v>
      </x:c>
      <x:c r="C9" s="35" t="str">
        <x:v>1090吸收6/上限3；1091普通攻速3</x:v>
      </x:c>
      <x:c r="D9" s="35" t="str">
        <x:v>见完整包原始来源记录</x:v>
      </x:c>
      <x:c r="E9" s="35" t="str">
        <x:v>1091新增突破5是计划，原池没这一项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48" hidden="0" customWidth="1"/>
  </x:cols>
  <x:sheetData>
    <x:row r="1" ht="30" customHeight="1">
      <x:c r="A1" s="4" t="str">
        <x:v>静态与数学检查摘要</x:v>
      </x:c>
      <x:c r="B1" s="4"/>
      <x:c r="C1" s="4"/>
      <x:c r="D1" s="4"/>
    </x:row>
    <x:row r="2" ht="42" customHeight="1">
      <x:c r="A2" s="11" t="str">
        <x:v>检查结果证明本轮数据满足已实现的规则，不证明全人物/怪物/掉率或资源部署已完成。详细检查JSON与导出后复核随包提供。</x:v>
      </x:c>
      <x:c r="B2" s="11"/>
      <x:c r="C2" s="11"/>
      <x:c r="D2" s="11"/>
    </x:row>
    <x:row r="4" ht="34" customHeight="1">
      <x:c r="A4" s="19" t="str">
        <x:v>分类</x:v>
      </x:c>
      <x:c r="B4" s="19" t="str">
        <x:v>对象/比较数量</x:v>
      </x:c>
      <x:c r="C4" s="19" t="str">
        <x:v>结果</x:v>
      </x:c>
      <x:c r="D4" s="19" t="str">
        <x:v>范围</x:v>
      </x:c>
    </x:row>
    <x:row r="5" ht="42" customHeight="1">
      <x:c r="A5" s="34" t="str">
        <x:v>原464身份</x:v>
      </x:c>
      <x:c r="B5" s="34" t="n">
        <x:v>1392</x:v>
      </x:c>
      <x:c r="C5" s="34" t="str">
        <x:v>通过</x:v>
      </x:c>
      <x:c r="D5" s="34" t="str">
        <x:v>464件×名称/部位/来源编号三字段，全部不变</x:v>
      </x:c>
    </x:row>
    <x:row r="6" ht="42" customHeight="1">
      <x:c r="A6" s="34" t="str">
        <x:v>全体新装备静态边界</x:v>
      </x:c>
      <x:c r="B6" s="34" t="n">
        <x:v>558</x:v>
      </x:c>
      <x:c r="C6" s="34" t="str">
        <x:v>通过</x:v>
      </x:c>
      <x:c r="D6" s="34" t="str">
        <x:v>主手准确/攻速、时装例外、防御禁配、原生幸运、吸收上限、暴击等逐项检查</x:v>
      </x:c>
    </x:row>
    <x:row r="7" ht="42" customHeight="1">
      <x:c r="A7" s="34" t="str">
        <x:v>新增候选来源</x:v>
      </x:c>
      <x:c r="B7" s="34" t="n">
        <x:v>56</x:v>
      </x:c>
      <x:c r="C7" s="34" t="str">
        <x:v>通过</x:v>
      </x:c>
      <x:c r="D7" s="34" t="str">
        <x:v>不新增怪物；同怪自身专属无重复部位；新外观码不猜填</x:v>
      </x:c>
    </x:row>
    <x:row r="8" ht="42" customHeight="1">
      <x:c r="A8" s="34" t="str">
        <x:v>33件合成</x:v>
      </x:c>
      <x:c r="B8" s="34" t="n">
        <x:v>33</x:v>
      </x:c>
      <x:c r="C8" s="34" t="str">
        <x:v>通过</x:v>
      </x:c>
      <x:c r="D8" s="34" t="str">
        <x:v>面板约1.5；本比较人物单件边际2—3；整人不是2—3</x:v>
      </x:c>
    </x:row>
    <x:row r="9" ht="42" customHeight="1">
      <x:c r="A9" s="34" t="str">
        <x:v>C5吸收</x:v>
      </x:c>
      <x:c r="B9" s="34" t="n">
        <x:v>1</x:v>
      </x:c>
      <x:c r="C9" s="34" t="str">
        <x:v>通过</x:v>
      </x:c>
      <x:c r="D9" s="34" t="str">
        <x:v>指定防御配置无洗练有效70，原始实际吸收70、上限70</x:v>
      </x:c>
    </x:row>
    <x:row r="10" ht="42" customHeight="1">
      <x:c r="A10" s="34" t="str">
        <x:v>C10攻速</x:v>
      </x:c>
      <x:c r="B10" s="34" t="n">
        <x:v>1</x:v>
      </x:c>
      <x:c r="C10" s="34" t="str">
        <x:v>通过</x:v>
      </x:c>
      <x:c r="D10" s="34" t="str">
        <x:v>指定配套生效后普通攻速35、开放上限35</x:v>
      </x:c>
    </x:row>
    <x:row r="11" ht="42" customHeight="1">
      <x:c r="A11" s="34" t="str">
        <x:v>C1最小修改</x:v>
      </x:c>
      <x:c r="B11" s="34" t="n">
        <x:v>6</x:v>
      </x:c>
      <x:c r="C11" s="34" t="str">
        <x:v>通过</x:v>
      </x:c>
      <x:c r="D11" s="34" t="str">
        <x:v>仅修改6格；时装武器攻速仍空、处决2未改5</x:v>
      </x:c>
    </x:row>
    <x:row r="12" ht="42" customHeight="1">
      <x:c r="A12" s="35" t="str">
        <x:v>输入原件哈希</x:v>
      </x:c>
      <x:c r="B12" s="35" t="n">
        <x:v>3</x:v>
      </x:c>
      <x:c r="C12" s="35" t="str">
        <x:v>通过</x:v>
      </x:c>
      <x:c r="D12" s="35" t="str">
        <x:v>仅输出新文件，源文件未写回</x:v>
      </x:c>
    </x:row>
  </x:sheetData>
  <x:mergeCells>
    <x:mergeCell ref="A1:D1"/>
    <x:mergeCell ref="A2:D2"/>
  </x:mergeCells>
  <x:pageMargins left="0.7" right="0.7" top="0.75" bottom="0.75" header="0.3" footer="0.3"/>
</x:worksheet>
</file>