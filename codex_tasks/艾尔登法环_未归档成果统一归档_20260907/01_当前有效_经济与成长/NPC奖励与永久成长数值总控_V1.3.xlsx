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5ed61796d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本批交付" sheetId="1" r:id="R4d3cf3834c384818"/>
    <x:sheet xmlns:r="http://schemas.openxmlformats.org/officeDocument/2006/relationships" name="01_贯穿称号" sheetId="2" r:id="R8b532c133abf46a8"/>
    <x:sheet xmlns:r="http://schemas.openxmlformats.org/officeDocument/2006/relationships" name="02_独立称号" sheetId="3" r:id="Rd3651ab703c04a77"/>
    <x:sheet xmlns:r="http://schemas.openxmlformats.org/officeDocument/2006/relationships" name="03_二十转奖励" sheetId="4" r:id="R4fc31b9baf4844cc"/>
    <x:sheet xmlns:r="http://schemas.openxmlformats.org/officeDocument/2006/relationships" name="04_合成奖励摘要" sheetId="5" r:id="Rdd7eec0e1319460f"/>
    <x:sheet xmlns:r="http://schemas.openxmlformats.org/officeDocument/2006/relationships" name="05_群攻生肖" sheetId="6" r:id="R156204aab40d4e19"/>
    <x:sheet xmlns:r="http://schemas.openxmlformats.org/officeDocument/2006/relationships" name="06_NPC逐项对接" sheetId="7" r:id="Rdd6b34a70c484363"/>
    <x:sheet xmlns:r="http://schemas.openxmlformats.org/officeDocument/2006/relationships" name="07_专属单件图鉴" sheetId="8" r:id="R6ee5c5b2d2ef49f5"/>
    <x:sheet xmlns:r="http://schemas.openxmlformats.org/officeDocument/2006/relationships" name="08_地图整页图鉴" sheetId="9" r:id="Rfd2c0abcec1440e3"/>
    <x:sheet xmlns:r="http://schemas.openxmlformats.org/officeDocument/2006/relationships" name="09_大陆全收集" sheetId="10" r:id="R9032ba6971cd4df8"/>
    <x:sheet xmlns:r="http://schemas.openxmlformats.org/officeDocument/2006/relationships" name="10_大陆材料图鉴" sheetId="11" r:id="R88157ae56b144d54"/>
    <x:sheet xmlns:r="http://schemas.openxmlformats.org/officeDocument/2006/relationships" name="11_永久成长上限账" sheetId="12" r:id="R78beb15afa91456f"/>
    <x:sheet xmlns:r="http://schemas.openxmlformats.org/officeDocument/2006/relationships" name="12_项链幸运" sheetId="13" r:id="Rd9299f3f21aa486a"/>
    <x:sheet xmlns:r="http://schemas.openxmlformats.org/officeDocument/2006/relationships" name="13_稀缺属性与槽位" sheetId="14" r:id="Ra55c9ae3b9da4965"/>
    <x:sheet xmlns:r="http://schemas.openxmlformats.org/officeDocument/2006/relationships" name="14_首饰盒位置" sheetId="15" r:id="R2db26c0c86f84dd8"/>
    <x:sheet xmlns:r="http://schemas.openxmlformats.org/officeDocument/2006/relationships" name="15_未完成与真实阻塞" sheetId="16" r:id="Rd61c20ef4d3d40b4"/>
    <x:sheet xmlns:r="http://schemas.openxmlformats.org/officeDocument/2006/relationships" name="16_数值设计依据" sheetId="17" r:id="R17e824865e9d402a"/>
    <x:sheet xmlns:r="http://schemas.openxmlformats.org/officeDocument/2006/relationships" name="17_来源与继承" sheetId="18" r:id="Rb4c2234922764c8a"/>
    <x:sheet xmlns:r="http://schemas.openxmlformats.org/officeDocument/2006/relationships" name="18_洗练与开光" sheetId="19" r:id="Re474db925d4242ac"/>
    <x:sheet xmlns:r="http://schemas.openxmlformats.org/officeDocument/2006/relationships" name="19_标准角色定义" sheetId="20" r:id="R3e4a582cbdb84d15"/>
    <x:sheet xmlns:r="http://schemas.openxmlformats.org/officeDocument/2006/relationships" name="20_人物幸运与尺度修订" sheetId="21" r:id="R68b9f27f9fdc4b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"/>
    <x:numFmt numFmtId="202" formatCode="0.0%"/>
    <x:numFmt numFmtId="203" formatCode="0.0000%"/>
  </x:numFmts>
  <x:fonts count="8">
    <x:font>
      <x:sz val="11"/>
      <x:name val="Carlito"/>
    </x:font>
    <x:font>
      <x:b/>
      <x:sz val="15"/>
      <x:color rgb="FFFFFFFF"/>
      <x:name val="Carlito"/>
    </x:font>
    <x:font>
      <x:sz val="10"/>
      <x:color rgb="FF273A52"/>
      <x:name val="Carlito"/>
    </x:font>
    <x:font>
      <x:b/>
      <x:sz val="10"/>
      <x:color rgb="FFFFFFFF"/>
      <x:name val="Carlito"/>
    </x:font>
    <x:font>
      <x:sz val="10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FF7"/>
      </x:patternFill>
    </x:fill>
    <x:fill>
      <x:patternFill patternType="solid">
        <x:fgColor rgb="FF315F91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3" fontId="0" fillId="0" borderId="3" xfId="0" applyNumberFormat="1" applyFont="1" applyFill="1" applyBorder="1" applyAlignment="1">
      <x:alignment vertical="center" wrapText="1"/>
    </x:xf>
    <x:xf numFmtId="203" fontId="0" fillId="0" xfId="0" applyNumberFormat="1" applyFont="1" applyFill="1" applyBorder="0" applyAlignment="1">
      <x:alignment vertical="center" wrapText="1"/>
    </x:xf>
    <x:xf numFmtId="203" fontId="0" fillId="0" borderId="8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4b84426d64ade" /><Relationship Type="http://schemas.openxmlformats.org/officeDocument/2006/relationships/theme" Target="/xl/theme/theme1.xml" Id="R72d841077a4045c7" /><Relationship Type="http://schemas.openxmlformats.org/officeDocument/2006/relationships/sharedStrings" Target="/xl/sharedStrings.xml" Id="R8fe7d39ff67b49f8" /><Relationship Type="http://schemas.openxmlformats.org/officeDocument/2006/relationships/worksheet" Target="/xl/worksheets/sheet1.xml" Id="R4d3cf3834c384818" /><Relationship Type="http://schemas.openxmlformats.org/officeDocument/2006/relationships/worksheet" Target="/xl/worksheets/sheet2.xml" Id="R8b532c133abf46a8" /><Relationship Type="http://schemas.openxmlformats.org/officeDocument/2006/relationships/worksheet" Target="/xl/worksheets/sheet3.xml" Id="Rd3651ab703c04a77" /><Relationship Type="http://schemas.openxmlformats.org/officeDocument/2006/relationships/worksheet" Target="/xl/worksheets/sheet4.xml" Id="R4fc31b9baf4844cc" /><Relationship Type="http://schemas.openxmlformats.org/officeDocument/2006/relationships/worksheet" Target="/xl/worksheets/sheet5.xml" Id="Rdd7eec0e1319460f" /><Relationship Type="http://schemas.openxmlformats.org/officeDocument/2006/relationships/worksheet" Target="/xl/worksheets/sheet6.xml" Id="R156204aab40d4e19" /><Relationship Type="http://schemas.openxmlformats.org/officeDocument/2006/relationships/worksheet" Target="/xl/worksheets/sheet7.xml" Id="Rdd6b34a70c484363" /><Relationship Type="http://schemas.openxmlformats.org/officeDocument/2006/relationships/worksheet" Target="/xl/worksheets/sheet8.xml" Id="R6ee5c5b2d2ef49f5" /><Relationship Type="http://schemas.openxmlformats.org/officeDocument/2006/relationships/worksheet" Target="/xl/worksheets/sheet9.xml" Id="Rfd2c0abcec1440e3" /><Relationship Type="http://schemas.openxmlformats.org/officeDocument/2006/relationships/worksheet" Target="/xl/worksheets/sheet10.xml" Id="R9032ba6971cd4df8" /><Relationship Type="http://schemas.openxmlformats.org/officeDocument/2006/relationships/worksheet" Target="/xl/worksheets/sheet11.xml" Id="R88157ae56b144d54" /><Relationship Type="http://schemas.openxmlformats.org/officeDocument/2006/relationships/worksheet" Target="/xl/worksheets/sheet12.xml" Id="R78beb15afa91456f" /><Relationship Type="http://schemas.openxmlformats.org/officeDocument/2006/relationships/worksheet" Target="/xl/worksheets/sheet13.xml" Id="Rd9299f3f21aa486a" /><Relationship Type="http://schemas.openxmlformats.org/officeDocument/2006/relationships/worksheet" Target="/xl/worksheets/sheet14.xml" Id="Ra55c9ae3b9da4965" /><Relationship Type="http://schemas.openxmlformats.org/officeDocument/2006/relationships/worksheet" Target="/xl/worksheets/sheet15.xml" Id="R2db26c0c86f84dd8" /><Relationship Type="http://schemas.openxmlformats.org/officeDocument/2006/relationships/worksheet" Target="/xl/worksheets/sheet16.xml" Id="Rd61c20ef4d3d40b4" /><Relationship Type="http://schemas.openxmlformats.org/officeDocument/2006/relationships/worksheet" Target="/xl/worksheets/sheet17.xml" Id="R17e824865e9d402a" /><Relationship Type="http://schemas.openxmlformats.org/officeDocument/2006/relationships/worksheet" Target="/xl/worksheets/sheet18.xml" Id="Rb4c2234922764c8a" /><Relationship Type="http://schemas.openxmlformats.org/officeDocument/2006/relationships/worksheet" Target="/xl/worksheets/sheet19.xml" Id="Re474db925d4242ac" /><Relationship Type="http://schemas.openxmlformats.org/officeDocument/2006/relationships/worksheet" Target="/xl/worksheets/sheet20.xml" Id="R3e4a582cbdb84d15" /><Relationship Type="http://schemas.openxmlformats.org/officeDocument/2006/relationships/worksheet" Target="/xl/worksheets/sheet21.xml" Id="R68b9f27f9fdc4be3" /></Relationships>
</file>

<file path=xl/tables/table1.xml><?xml version="1.0" encoding="utf-8"?>
<x:table xmlns:x="http://schemas.openxmlformats.org/spreadsheetml/2006/main" id="1" name="NonMonsterT1" displayName="NonMonsterT1" ref="A4:D14" headerRowCount="1" totalsRowCount="0" totalsRowShown="0">
  <x:tableColumns count="4">
    <x:tableColumn id="1" name="项目"/>
    <x:tableColumn id="2" name="本批内容"/>
    <x:tableColumn id="3" name="状态"/>
    <x:tableColumn id="4" name="执行边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nMonsterT2" displayName="NonMonsterT2" ref="A4:L14" headerRowCount="1" totalsRowCount="0" totalsRowShown="0">
  <x:tableColumns count="12">
    <x:tableColumn id="1" name="大陆ID"/>
    <x:tableColumn id="2" name="大陆"/>
    <x:tableColumn id="3" name="阶段名"/>
    <x:tableColumn id="4" name="攻击/魔法/道术各"/>
    <x:tableColumn id="5" name="HP"/>
    <x:tableColumn id="6" name="MP"/>
    <x:tableColumn id="7" name="基础爆率(百分点)"/>
    <x:tableColumn id="8" name="本阶段金币"/>
    <x:tableColumn id="9" name="本阶段元宝"/>
    <x:tableColumn id="10" name="新增材料"/>
    <x:tableColumn id="11" name="覆盖规则"/>
    <x:tableColumn id="12" name="数据性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nMonsterT3" displayName="NonMonsterT3" ref="A4:L10" headerRowCount="1" totalsRowCount="0" totalsRowShown="0">
  <x:tableColumns count="12">
    <x:tableColumn id="1" name="配方ID"/>
    <x:tableColumn id="2" name="大陆ID"/>
    <x:tableColumn id="3" name="物品全名"/>
    <x:tableColumn id="4" name="攻击/魔法/道术各"/>
    <x:tableColumn id="5" name="HP"/>
    <x:tableColumn id="6" name="神力增量"/>
    <x:tableColumn id="7" name="处决百分点"/>
    <x:tableColumn id="8" name="韧性"/>
    <x:tableColumn id="9" name="单次材料"/>
    <x:tableColumn id="10" name="金币"/>
    <x:tableColumn id="11" name="元宝"/>
    <x:tableColumn id="12" name="结算规则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nMonsterT4" displayName="NonMonsterT4" ref="A4:J24" headerRowCount="1" totalsRowCount="0" totalsRowShown="0">
  <x:tableColumns count="10">
    <x:tableColumn id="1" name="目标转数"/>
    <x:tableColumn id="2" name="大陆ID"/>
    <x:tableColumn id="3" name="NPC"/>
    <x:tableColumn id="4" name="晋升名"/>
    <x:tableColumn id="5" name="材料"/>
    <x:tableColumn id="6" name="金币"/>
    <x:tableColumn id="7" name="元宝"/>
    <x:tableColumn id="8" name="本转神力增量"/>
    <x:tableColumn id="9" name="累计神力增量"/>
    <x:tableColumn id="10" name="结算规则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onMonsterT5" displayName="NonMonsterT5" ref="A4:S42" headerRowCount="1" totalsRowCount="0" totalsRowShown="0">
  <x:tableColumns count="19">
    <x:tableColumn id="1" name="配方ID"/>
    <x:tableColumn id="2" name="大陆ID"/>
    <x:tableColumn id="3" name="成品名"/>
    <x:tableColumn id="4" name="类别"/>
    <x:tableColumn id="5" name="部位"/>
    <x:tableColumn id="6" name="基础件/前置"/>
    <x:tableColumn id="7" name="材料"/>
    <x:tableColumn id="8" name="金币"/>
    <x:tableColumn id="9" name="元宝"/>
    <x:tableColumn id="10" name="攻击/魔法/道术各"/>
    <x:tableColumn id="11" name="HP"/>
    <x:tableColumn id="12" name="攻魔道加成(百分点)"/>
    <x:tableColumn id="13" name="打怪伤害(百分点)"/>
    <x:tableColumn id="14" name="暴伤(百分点)"/>
    <x:tableColumn id="15" name="对怪吸收(百分点)"/>
    <x:tableColumn id="16" name="韧性"/>
    <x:tableColumn id="17" name="吸血(百分点)"/>
    <x:tableColumn id="18" name="攻速突破"/>
    <x:tableColumn id="19" name="数值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nMonsterT6" displayName="NonMonsterT6" ref="A4:O9" headerRowCount="1" totalsRowCount="0" totalsRowShown="0">
  <x:tableColumns count="15">
    <x:tableColumn id="1" name="配方ID"/>
    <x:tableColumn id="2" name="大陆ID"/>
    <x:tableColumn id="3" name="成品名"/>
    <x:tableColumn id="4" name="消耗基础件"/>
    <x:tableColumn id="5" name="占位"/>
    <x:tableColumn id="6" name="范围"/>
    <x:tableColumn id="7" name="触发间隔秒"/>
    <x:tableColumn id="8" name="面板攻击系数"/>
    <x:tableColumn id="9" name="暴击"/>
    <x:tableColumn id="10" name="吸血"/>
    <x:tableColumn id="11" name="处决"/>
    <x:tableColumn id="12" name="额外乘区"/>
    <x:tableColumn id="13" name="材料"/>
    <x:tableColumn id="14" name="金币"/>
    <x:tableColumn id="15" name="元宝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onMonsterT7" displayName="NonMonsterT7" ref="A4:M131" headerRowCount="1" totalsRowCount="0" totalsRowShown="0">
  <x:tableColumns count="13">
    <x:tableColumn id="1" name="记录ID"/>
    <x:tableColumn id="2" name="大陆ID"/>
    <x:tableColumn id="3" name="NPC/入口"/>
    <x:tableColumn id="4" name="类别"/>
    <x:tableColumn id="5" name="产物/动作"/>
    <x:tableColumn id="6" name="基础件/前置"/>
    <x:tableColumn id="7" name="原单次材料"/>
    <x:tableColumn id="8" name="原金币"/>
    <x:tableColumn id="9" name="原元宝"/>
    <x:tableColumn id="10" name="奖励对象"/>
    <x:tableColumn id="11" name="奖励规则"/>
    <x:tableColumn id="12" name="本行状态"/>
    <x:tableColumn id="13" name="实施注意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NonMonsterT8" displayName="NonMonsterT8" ref="A4:O567" headerRowCount="1" totalsRowCount="0" totalsRowShown="0">
  <x:tableColumns count="15">
    <x:tableColumn id="1" name="大陆ID"/>
    <x:tableColumn id="2" name="地图组"/>
    <x:tableColumn id="3" name="装备全名"/>
    <x:tableColumn id="4" name="来源类型"/>
    <x:tableColumn id="5" name="消耗件数"/>
    <x:tableColumn id="6" name="金币"/>
    <x:tableColumn id="7" name="元宝"/>
    <x:tableColumn id="8" name="灵符"/>
    <x:tableColumn id="9" name="攻击/魔法/道术各"/>
    <x:tableColumn id="10" name="HP"/>
    <x:tableColumn id="11" name="基础爆率(百分点)"/>
    <x:tableColumn id="12" name="打怪伤害(百分点)"/>
    <x:tableColumn id="13" name="处决(百分点)"/>
    <x:tableColumn id="14" name="韧性"/>
    <x:tableColumn id="15" name="登记规则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NonMonsterT9" displayName="NonMonsterT9" ref="A4:J50" headerRowCount="1" totalsRowCount="0" totalsRowShown="0">
  <x:tableColumns count="10">
    <x:tableColumn id="1" name="大陆ID"/>
    <x:tableColumn id="2" name="地图组"/>
    <x:tableColumn id="3" name="所需不同装备数"/>
    <x:tableColumn id="4" name="永久韧性"/>
    <x:tableColumn id="5" name="处决(百分点)"/>
    <x:tableColumn id="6" name="神力增量"/>
    <x:tableColumn id="7" name="金币"/>
    <x:tableColumn id="8" name="元宝"/>
    <x:tableColumn id="9" name="灵符"/>
    <x:tableColumn id="10" name="结算规则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NonMonsterT10" displayName="NonMonsterT10" ref="A4:I14" headerRowCount="1" totalsRowCount="0" totalsRowShown="0">
  <x:tableColumns count="9">
    <x:tableColumn id="1" name="大陆ID"/>
    <x:tableColumn id="2" name="大陆"/>
    <x:tableColumn id="3" name="专属总件数"/>
    <x:tableColumn id="4" name="地图组数"/>
    <x:tableColumn id="5" name="暴击增加(百分点)"/>
    <x:tableColumn id="6" name="金币"/>
    <x:tableColumn id="7" name="元宝"/>
    <x:tableColumn id="8" name="灵符"/>
    <x:tableColumn id="9" name="结算规则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NonMonsterT11" displayName="NonMonsterT11" ref="A4:J12" headerRowCount="1" totalsRowCount="0" totalsRowShown="0">
  <x:tableColumns count="10">
    <x:tableColumn id="1" name="大陆ID"/>
    <x:tableColumn id="2" name="材料名"/>
    <x:tableColumn id="3" name="消耗件数"/>
    <x:tableColumn id="4" name="金币"/>
    <x:tableColumn id="5" name="元宝"/>
    <x:tableColumn id="6" name="灵符"/>
    <x:tableColumn id="7" name="神力增量"/>
    <x:tableColumn id="8" name="处决(百分点)"/>
    <x:tableColumn id="9" name="韧性"/>
    <x:tableColumn id="10" name="结算规则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NonMonsterT12" displayName="NonMonsterT12" ref="A4:R14" headerRowCount="1" totalsRowCount="0" totalsRowShown="0">
  <x:tableColumns count="18">
    <x:tableColumn id="1" name="大陆ID"/>
    <x:tableColumn id="2" name="大陆"/>
    <x:tableColumn id="3" name="当前贯穿称号攻击"/>
    <x:tableColumn id="4" name="累计独立称号攻击"/>
    <x:tableColumn id="5" name="累计单件图鉴攻击"/>
    <x:tableColumn id="6" name="神印档位"/>
    <x:tableColumn id="7" name="神印累计主属性"/>
    <x:tableColumn id="8" name="无倍率主属性合计"/>
    <x:tableColumn id="9" name="非神印HP"/>
    <x:tableColumn id="10" name="无倍率HP合计"/>
    <x:tableColumn id="11" name="累计整页韧性"/>
    <x:tableColumn id="12" name="累计整页处决百分点"/>
    <x:tableColumn id="13" name="累计整页神力增量"/>
    <x:tableColumn id="14" name="材料图鉴神力增量"/>
    <x:tableColumn id="15" name="转生神力增量"/>
    <x:tableColumn id="16" name="同类神力增量合计"/>
    <x:tableColumn id="17" name="大陆暴击累计百分点"/>
    <x:tableColumn id="18" name="边界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NonMonsterT13" displayName="NonMonsterT13" ref="A4:I6" headerRowCount="1" totalsRowCount="0" totalsRowShown="0">
  <x:tableColumns count="9">
    <x:tableColumn id="1" name="本件起始尝试次数"/>
    <x:tableColumn id="2" name="本件截至次数"/>
    <x:tableColumn id="3" name="单次成功率"/>
    <x:tableColumn id="4" name="项链最高幸运"/>
    <x:tableColumn id="5" name="成功/失败效果"/>
    <x:tableColumn id="6" name="每次金币"/>
    <x:tableColumn id="7" name="每次元宝"/>
    <x:tableColumn id="8" name="每次材料"/>
    <x:tableColumn id="9" name="机制边界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NonMonsterT14" displayName="NonMonsterT14" ref="A4:F13" headerRowCount="1" totalsRowCount="0" totalsRowShown="0">
  <x:tableColumns count="6">
    <x:tableColumn id="1" name="属性"/>
    <x:tableColumn id="2" name="对象"/>
    <x:tableColumn id="3" name="数值"/>
    <x:tableColumn id="4" name="单位"/>
    <x:tableColumn id="5" name="规则"/>
    <x:tableColumn id="6" name="验证范围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NonMonsterT15" displayName="NonMonsterT15" ref="A4:D7" headerRowCount="1" totalsRowCount="0" totalsRowShown="0">
  <x:tableColumns count="4">
    <x:tableColumn id="1" name="成品"/>
    <x:tableColumn id="2" name="平台部位"/>
    <x:tableColumn id="3" name="本批逻辑槽"/>
    <x:tableColumn id="4" name="说明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NonMonsterT16" displayName="NonMonsterT16" ref="A4:F13" headerRowCount="1" totalsRowCount="0" totalsRowShown="0">
  <x:tableColumns count="6">
    <x:tableColumn id="1" name="ID"/>
    <x:tableColumn id="2" name="对象"/>
    <x:tableColumn id="3" name="需完成内容"/>
    <x:tableColumn id="4" name="责任"/>
    <x:tableColumn id="5" name="当前状态"/>
    <x:tableColumn id="6" name="边界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NonMonsterT17" displayName="NonMonsterT17" ref="A4:E22" headerRowCount="1" totalsRowCount="0" totalsRowShown="0">
  <x:tableColumns count="5">
    <x:tableColumn id="1" name="对象"/>
    <x:tableColumn id="2" name="大陆序"/>
    <x:tableColumn id="3" name="参数/公式"/>
    <x:tableColumn id="4" name="解释"/>
    <x:tableColumn id="5" name="来源性质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NonMonsterT18" displayName="NonMonsterT18" ref="A4:D12" headerRowCount="1" totalsRowCount="0" totalsRowShown="0">
  <x:tableColumns count="4">
    <x:tableColumn id="1" name="用途"/>
    <x:tableColumn id="2" name="文件"/>
    <x:tableColumn id="3" name="定位"/>
    <x:tableColumn id="4" name="使用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b37063190f48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51006cbf0346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d5eeaeb4a94b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ea7b20bd7a24e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36a57756fc145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a6f0c5c76254d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7d2d5fc5a644e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d88ee959a4448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5dc5d0261304d6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398242df4694a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ee04b815ac4490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c3d3e8c940b43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60dd542b7aa42c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837c846fb2a5471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987479165d0649a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01464b1643ee4a0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b14af78b1da4d8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2f92c4727c4451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28" hidden="0" customWidth="1"/>
    <x:col min="4" max="4" width="55" hidden="0" customWidth="1"/>
  </x:cols>
  <x:sheetData>
    <x:row r="1" ht="30" customHeight="1">
      <x:c r="A1" s="5" t="str">
        <x:v>非怪物数值先行｜本批范围与执行边界</x:v>
      </x:c>
      <x:c r="B1" s="5"/>
      <x:c r="C1" s="5"/>
      <x:c r="D1" s="5"/>
    </x:row>
    <x:row r="2" ht="46" customHeight="1">
      <x:c r="A2" s="13" t="str">
        <x:v>V1.3：项链幸运改人物永久进度；金币/元宝统一×100、失色锻造石统一×10；奖励属性本身不因数值尺度修改。</x:v>
      </x:c>
      <x:c r="B2" s="13"/>
      <x:c r="C2" s="13"/>
      <x:c r="D2" s="13"/>
    </x:row>
    <x:row r="4" ht="34" customHeight="1">
      <x:c r="A4" s="21" t="str">
        <x:v>项目</x:v>
      </x:c>
      <x:c r="B4" s="21" t="str">
        <x:v>本批内容</x:v>
      </x:c>
      <x:c r="C4" s="21" t="str">
        <x:v>状态</x:v>
      </x:c>
      <x:c r="D4" s="21" t="str">
        <x:v>执行边界</x:v>
      </x:c>
    </x:row>
    <x:row r="5" ht="40" customHeight="1">
      <x:c r="A5" s="28" t="str">
        <x:v>本批</x:v>
      </x:c>
      <x:c r="B5" s="28" t="str">
        <x:v>464件后续大陆专属属性；38件合成属性；确定性成长、图鉴、20转与幸运概率</x:v>
      </x:c>
      <x:c r="C5" s="28" t="str">
        <x:v>已产出离线数值</x:v>
      </x:c>
      <x:c r="D5" s="28" t="str">
        <x:v>不是所有非怪物系统全部收口；详细缺口见15表</x:v>
      </x:c>
    </x:row>
    <x:row r="6" ht="40" customHeight="1">
      <x:c r="A6" s="28" t="str">
        <x:v>施工顺序</x:v>
      </x:c>
      <x:c r="B6" s="28" t="str">
        <x:v>玩家奖励/装备→标准角色→掉落/产消计算→怪物属性→进服校准</x:v>
      </x:c>
      <x:c r="C6" s="28" t="str">
        <x:v>本轮用户授权</x:v>
      </x:c>
      <x:c r="D6" s="28" t="str">
        <x:v>不要求用户先提供击杀或产出实测，才开始设计</x:v>
      </x:c>
    </x:row>
    <x:row r="7" ht="40" customHeight="1">
      <x:c r="A7" s="28" t="str">
        <x:v>数据性质</x:v>
      </x:c>
      <x:c r="B7" s="28" t="str">
        <x:v>新增数字为助手自主设计基线；已有确认值与本机保护项不覆盖</x:v>
      </x:c>
      <x:c r="C7" s="28" t="str">
        <x:v>待全局算例校准</x:v>
      </x:c>
      <x:c r="D7" s="28" t="str">
        <x:v>表内单件强度不等于完整配装/经济已闭环</x:v>
      </x:c>
    </x:row>
    <x:row r="8" ht="40" customHeight="1">
      <x:c r="A8" s="28" t="str">
        <x:v>已定经济</x:v>
      </x:c>
      <x:c r="B8" s="28" t="str">
        <x:v>继承20260905消耗与回收价；仅追加对应奖励</x:v>
      </x:c>
      <x:c r="C8" s="28" t="str">
        <x:v>金额暂不重定价</x:v>
      </x:c>
      <x:c r="D8" s="28" t="str">
        <x:v>旧每小时产出是预算输入，不是本轮已由完整DPS推导</x:v>
      </x:c>
    </x:row>
    <x:row r="9" ht="40" customHeight="1">
      <x:c r="A9" s="28" t="str">
        <x:v>怪物</x:v>
      </x:c>
      <x:c r="B9" s="28" t="str">
        <x:v>未写入或修改任何怪物HP、攻击、防御、攻速、经验</x:v>
      </x:c>
      <x:c r="C9" s="28" t="str">
        <x:v>后置</x:v>
      </x:c>
      <x:c r="D9" s="28" t="str">
        <x:v>最终由我根据角色、目标TTK和承伤反算</x:v>
      </x:c>
    </x:row>
    <x:row r="10" ht="40" customHeight="1">
      <x:c r="A10" s="28" t="str">
        <x:v>正式服</x:v>
      </x:c>
      <x:c r="B10" s="28" t="str">
        <x:v>未部署数据库/资源/脚本</x:v>
      </x:c>
      <x:c r="C10" s="28" t="str">
        <x:v>未执行</x:v>
      </x:c>
      <x:c r="D10" s="28" t="str">
        <x:v>“生成表格”不得写成“正式服已实施”</x:v>
      </x:c>
    </x:row>
    <x:row r="11" ht="40" customHeight="1">
      <x:c r="A11" s="28" t="str">
        <x:v>保护项</x:v>
      </x:c>
      <x:c r="B11" s="28" t="str">
        <x:v>6件追梦神器、16种用户改过称号卷、既有魂魄任务与脚本</x:v>
      </x:c>
      <x:c r="C11" s="28" t="str">
        <x:v>沿用本机最新版</x:v>
      </x:c>
      <x:c r="D11" s="28" t="str">
        <x:v>尚未读到的个人改动绝不以旧文件重建覆盖</x:v>
      </x:c>
    </x:row>
    <x:row r="12" ht="40" customHeight="1">
      <x:c r="A12" s="28" t="str">
        <x:v>编码</x:v>
      </x:c>
      <x:c r="B12" s="28" t="str">
        <x:v>464来源码为既有342+记录算法复现122；38合成外观码为空</x:v>
      </x:c>
      <x:c r="C12" s="28" t="str">
        <x:v>按原件登记/等待物理库</x:v>
      </x:c>
      <x:c r="D12" s="28" t="str">
        <x:v>空码不能直接创建实体；不改变物品名称或槽位</x:v>
      </x:c>
    </x:row>
    <x:row r="13" ht="40" customHeight="1">
      <x:c r="A13" s="28" t="str">
        <x:v>格式</x:v>
      </x:c>
      <x:c r="B13" s="28" t="str">
        <x:v>两张装备表主表均严格69列；奖励总控不是平台导入模板</x:v>
      </x:c>
      <x:c r="C13" s="28" t="str">
        <x:v>主表值写入，计算旁表</x:v>
      </x:c>
      <x:c r="D13" s="28" t="str">
        <x:v>附加审计表只供人工/代码校验</x:v>
      </x:c>
    </x:row>
    <x:row r="14" ht="40" customHeight="1">
      <x:c r="A14" s="28" t="str">
        <x:v>数量核验</x:v>
      </x:c>
      <x:c r="B14" s="28" t="str">
        <x:v>本批25项静态断言通过；不等于引擎测试通过</x:v>
      </x:c>
      <x:c r="C14" s="28" t="str">
        <x:v>PASS（限定范围）</x:v>
      </x:c>
      <x:c r="D14" s="28" t="str">
        <x:v>文件校验详见数据校验.json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6b37063190f48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18" hidden="0" customWidth="1"/>
    <x:col min="5" max="5" width="16" hidden="0" customWidth="1"/>
    <x:col min="6" max="6" width="16" hidden="0" customWidth="1"/>
    <x:col min="7" max="7" width="19" hidden="0" customWidth="1"/>
    <x:col min="8" max="8" width="19" hidden="0" customWidth="1"/>
    <x:col min="9" max="9" width="18" hidden="0" customWidth="1"/>
    <x:col min="10" max="10" width="16" hidden="0" customWidth="1"/>
    <x:col min="11" max="11" width="40" hidden="0" customWidth="1"/>
    <x:col min="12" max="12" width="40" hidden="0" customWidth="1"/>
  </x:cols>
  <x:sheetData>
    <x:row r="1" ht="30" customHeight="1">
      <x:c r="A1" s="5" t="str">
        <x:v>十大陆贯穿称号｜阶段满级总属性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6" customHeight="1">
      <x:c r="A2" s="13" t="str">
        <x:v>C1是既有10级链满级汇总；C2—C10按阶段一次晋升、覆盖旧阶段。各阶段不得同时叠加；原灵符替代路径不按本表0元重置。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4" customHeight="1">
      <x:c r="A4" s="21" t="str">
        <x:v>大陆ID</x:v>
      </x:c>
      <x:c r="B4" s="21" t="str">
        <x:v>大陆</x:v>
      </x:c>
      <x:c r="C4" s="21" t="str">
        <x:v>阶段名</x:v>
      </x:c>
      <x:c r="D4" s="21" t="str">
        <x:v>攻击/魔法/道术各</x:v>
      </x:c>
      <x:c r="E4" s="21" t="str">
        <x:v>HP</x:v>
      </x:c>
      <x:c r="F4" s="21" t="str">
        <x:v>MP</x:v>
      </x:c>
      <x:c r="G4" s="21" t="str">
        <x:v>基础爆率(百分点)</x:v>
      </x:c>
      <x:c r="H4" s="21" t="str">
        <x:v>本阶段金币</x:v>
      </x:c>
      <x:c r="I4" s="21" t="str">
        <x:v>本阶段元宝</x:v>
      </x:c>
      <x:c r="J4" s="21" t="str">
        <x:v>新增材料</x:v>
      </x:c>
      <x:c r="K4" s="21" t="str">
        <x:v>覆盖规则</x:v>
      </x:c>
      <x:c r="L4" s="21" t="str">
        <x:v>数据性质</x:v>
      </x:c>
    </x:row>
    <x:row r="5" ht="35" customHeight="1">
      <x:c r="A5" s="28" t="str">
        <x:v>C01</x:v>
      </x:c>
      <x:c r="B5" s="28" t="str">
        <x:v>漂流群岛</x:v>
      </x:c>
      <x:c r="C5" s="28" t="str">
        <x:v>黄金树下·初王</x:v>
      </x:c>
      <x:c r="D5" s="28" t="n">
        <x:v>100</x:v>
      </x:c>
      <x:c r="E5" s="28" t="n">
        <x:v>10000</x:v>
      </x:c>
      <x:c r="F5" s="28" t="n">
        <x:v>10000</x:v>
      </x:c>
      <x:c r="G5" s="28" t="n">
        <x:v>200</x:v>
      </x:c>
      <x:c r="H5" s="28" t="n">
        <x:v>629000000</x:v>
      </x:c>
      <x:c r="I5" s="28" t="n">
        <x:v>236500</x:v>
      </x:c>
      <x:c r="J5" s="28" t="str">
        <x:v>海蚀铁片×120＋漂流大陆印记×2</x:v>
      </x:c>
      <x:c r="K5" s="28" t="str">
        <x:v>保留既有第一阶段10级链；本行是满级合计</x:v>
      </x:c>
      <x:c r="L5" s="28" t="str">
        <x:v>材料V1.2已对齐经济总账；同阶段成本只扣一次；阶段属性覆盖而非累计相加。</x:v>
      </x:c>
    </x:row>
    <x:row r="6" ht="35" customHeight="1">
      <x:c r="A6" s="28" t="str">
        <x:v>C02</x:v>
      </x:c>
      <x:c r="B6" s="28" t="str">
        <x:v>宁姆格福</x:v>
      </x:c>
      <x:c r="C6" s="28" t="str">
        <x:v>风暴继誓者</x:v>
      </x:c>
      <x:c r="D6" s="28" t="n">
        <x:v>300</x:v>
      </x:c>
      <x:c r="E6" s="28" t="n">
        <x:v>30000</x:v>
      </x:c>
      <x:c r="F6" s="28" t="n">
        <x:v>30000</x:v>
      </x:c>
      <x:c r="G6" s="28" t="n">
        <x:v>400</x:v>
      </x:c>
      <x:c r="H6" s="28" t="n">
        <x:v>4100000000</x:v>
      </x:c>
      <x:c r="I6" s="28" t="n">
        <x:v>26500000</x:v>
      </x:c>
      <x:c r="J6" s="28" t="str">
        <x:v>风暴石片×180＋接肢王印×3</x:v>
      </x:c>
      <x:c r="K6" s="28" t="str">
        <x:v>替换上一大陆阶段称号，不叠加旧阶段属性</x:v>
      </x:c>
      <x:c r="L6" s="28" t="str">
        <x:v>材料V1.2已对齐经济总账；同阶段成本只扣一次；阶段属性覆盖而非累计相加。</x:v>
      </x:c>
    </x:row>
    <x:row r="7" ht="35" customHeight="1">
      <x:c r="A7" s="28" t="str">
        <x:v>C03</x:v>
      </x:c>
      <x:c r="B7" s="28" t="str">
        <x:v>宁姆格福西域</x:v>
      </x:c>
      <x:c r="C7" s="28" t="str">
        <x:v>西境开路人</x:v>
      </x:c>
      <x:c r="D7" s="28" t="n">
        <x:v>800</x:v>
      </x:c>
      <x:c r="E7" s="28" t="n">
        <x:v>80000</x:v>
      </x:c>
      <x:c r="F7" s="28" t="n">
        <x:v>80000</x:v>
      </x:c>
      <x:c r="G7" s="28" t="n">
        <x:v>700</x:v>
      </x:c>
      <x:c r="H7" s="28" t="n">
        <x:v>7300000000</x:v>
      </x:c>
      <x:c r="I7" s="28" t="n">
        <x:v>52000000</x:v>
      </x:c>
      <x:c r="J7" s="28" t="str">
        <x:v>风蚀铁片×260＋西境战旗印×4＋商队火漆×20</x:v>
      </x:c>
      <x:c r="K7" s="28" t="str">
        <x:v>替换上一大陆阶段称号，不叠加旧阶段属性</x:v>
      </x:c>
      <x:c r="L7" s="28" t="str">
        <x:v>材料V1.2已对齐经济总账；同阶段成本只扣一次；阶段属性覆盖而非累计相加。</x:v>
      </x:c>
    </x:row>
    <x:row r="8" ht="35" customHeight="1">
      <x:c r="A8" s="28" t="str">
        <x:v>C04</x:v>
      </x:c>
      <x:c r="B8" s="28" t="str">
        <x:v>利耶尼亚海域</x:v>
      </x:c>
      <x:c r="C8" s="28" t="str">
        <x:v>沉潮执灯者</x:v>
      </x:c>
      <x:c r="D8" s="28" t="n">
        <x:v>1800</x:v>
      </x:c>
      <x:c r="E8" s="28" t="n">
        <x:v>180000</x:v>
      </x:c>
      <x:c r="F8" s="28" t="n">
        <x:v>180000</x:v>
      </x:c>
      <x:c r="G8" s="28" t="n">
        <x:v>1100</x:v>
      </x:c>
      <x:c r="H8" s="28" t="n">
        <x:v>9200000000</x:v>
      </x:c>
      <x:c r="I8" s="28" t="n">
        <x:v>80500000</x:v>
      </x:c>
      <x:c r="J8" s="28" t="str">
        <x:v>湖盐结晶×340＋沉湖王印×5＋沉船缆扣×12</x:v>
      </x:c>
      <x:c r="K8" s="28" t="str">
        <x:v>替换上一大陆阶段称号，不叠加旧阶段属性</x:v>
      </x:c>
      <x:c r="L8" s="28" t="str">
        <x:v>材料V1.2已对齐经济总账；同阶段成本只扣一次；阶段属性覆盖而非累计相加。</x:v>
      </x:c>
    </x:row>
    <x:row r="9" ht="35" customHeight="1">
      <x:c r="A9" s="28" t="str">
        <x:v>C05</x:v>
      </x:c>
      <x:c r="B9" s="28" t="str">
        <x:v>湖之利耶尼亚</x:v>
      </x:c>
      <x:c r="C9" s="28" t="str">
        <x:v>满月守誓者</x:v>
      </x:c>
      <x:c r="D9" s="28" t="n">
        <x:v>3800</x:v>
      </x:c>
      <x:c r="E9" s="28" t="n">
        <x:v>380000</x:v>
      </x:c>
      <x:c r="F9" s="28" t="n">
        <x:v>380000</x:v>
      </x:c>
      <x:c r="G9" s="28" t="n">
        <x:v>1600</x:v>
      </x:c>
      <x:c r="H9" s="28" t="n">
        <x:v>15500000000</x:v>
      </x:c>
      <x:c r="I9" s="28" t="n">
        <x:v>171000000</x:v>
      </x:c>
      <x:c r="J9" s="28" t="str">
        <x:v>辉石碎晶×450＋满月王室印×6＋学院封蜡×24</x:v>
      </x:c>
      <x:c r="K9" s="28" t="str">
        <x:v>替换上一大陆阶段称号，不叠加旧阶段属性</x:v>
      </x:c>
      <x:c r="L9" s="28" t="str">
        <x:v>材料V1.2已对齐经济总账；同阶段成本只扣一次；阶段属性覆盖而非累计相加。</x:v>
      </x:c>
    </x:row>
    <x:row r="10" ht="35" customHeight="1">
      <x:c r="A10" s="28" t="str">
        <x:v>C06</x:v>
      </x:c>
      <x:c r="B10" s="28" t="str">
        <x:v>盖利德</x:v>
      </x:c>
      <x:c r="C10" s="28" t="str">
        <x:v>红狮余烬</x:v>
      </x:c>
      <x:c r="D10" s="28" t="n">
        <x:v>8000</x:v>
      </x:c>
      <x:c r="E10" s="28" t="n">
        <x:v>800000</x:v>
      </x:c>
      <x:c r="F10" s="28" t="n">
        <x:v>800000</x:v>
      </x:c>
      <x:c r="G10" s="28" t="n">
        <x:v>2200</x:v>
      </x:c>
      <x:c r="H10" s="28" t="n">
        <x:v>22500000000</x:v>
      </x:c>
      <x:c r="I10" s="28" t="n">
        <x:v>186000000</x:v>
      </x:c>
      <x:c r="J10" s="28" t="str">
        <x:v>猩红矿渣×580＋红狮战印×7＋净火腺囊×18</x:v>
      </x:c>
      <x:c r="K10" s="28" t="str">
        <x:v>替换上一大陆阶段称号，不叠加旧阶段属性</x:v>
      </x:c>
      <x:c r="L10" s="28" t="str">
        <x:v>材料V1.2已对齐经济总账；同阶段成本只扣一次；阶段属性覆盖而非累计相加。</x:v>
      </x:c>
    </x:row>
    <x:row r="11" ht="35" customHeight="1">
      <x:c r="A11" s="28" t="str">
        <x:v>C07</x:v>
      </x:c>
      <x:c r="B11" s="28" t="str">
        <x:v>化圣雪原</x:v>
      </x:c>
      <x:c r="C11" s="28" t="str">
        <x:v>永霜远行者</x:v>
      </x:c>
      <x:c r="D11" s="28" t="n">
        <x:v>16000</x:v>
      </x:c>
      <x:c r="E11" s="28" t="n">
        <x:v>1600000</x:v>
      </x:c>
      <x:c r="F11" s="28" t="n">
        <x:v>1600000</x:v>
      </x:c>
      <x:c r="G11" s="28" t="n">
        <x:v>3000</x:v>
      </x:c>
      <x:c r="H11" s="28" t="n">
        <x:v>37500000000</x:v>
      </x:c>
      <x:c r="I11" s="28" t="n">
        <x:v>368000000</x:v>
      </x:c>
      <x:c r="J11" s="28" t="str">
        <x:v>冻晶尘×720＋圣雪誓印×8＋冻原银角×30</x:v>
      </x:c>
      <x:c r="K11" s="28" t="str">
        <x:v>替换上一大陆阶段称号，不叠加旧阶段属性</x:v>
      </x:c>
      <x:c r="L11" s="28" t="str">
        <x:v>材料V1.2已对齐经济总账；同阶段成本只扣一次；阶段属性覆盖而非累计相加。</x:v>
      </x:c>
    </x:row>
    <x:row r="12" ht="35" customHeight="1">
      <x:c r="A12" s="28" t="str">
        <x:v>C08</x:v>
      </x:c>
      <x:c r="B12" s="28" t="str">
        <x:v>巨人山顶</x:v>
      </x:c>
      <x:c r="C12" s="28" t="str">
        <x:v>炉火承继者</x:v>
      </x:c>
      <x:c r="D12" s="28" t="n">
        <x:v>32000</x:v>
      </x:c>
      <x:c r="E12" s="28" t="n">
        <x:v>3200000</x:v>
      </x:c>
      <x:c r="F12" s="28" t="n">
        <x:v>3200000</x:v>
      </x:c>
      <x:c r="G12" s="28" t="n">
        <x:v>3900</x:v>
      </x:c>
      <x:c r="H12" s="28" t="n">
        <x:v>45500000000</x:v>
      </x:c>
      <x:c r="I12" s="28" t="n">
        <x:v>389000000</x:v>
      </x:c>
      <x:c r="J12" s="28" t="str">
        <x:v>霜脊铁×880＋巨人火印×9＋裂峰号角片×24</x:v>
      </x:c>
      <x:c r="K12" s="28" t="str">
        <x:v>替换上一大陆阶段称号，不叠加旧阶段属性</x:v>
      </x:c>
      <x:c r="L12" s="28" t="str">
        <x:v>材料V1.2已对齐经济总账；同阶段成本只扣一次；阶段属性覆盖而非累计相加。</x:v>
      </x:c>
    </x:row>
    <x:row r="13" ht="35" customHeight="1">
      <x:c r="A13" s="28" t="str">
        <x:v>C09</x:v>
      </x:c>
      <x:c r="B13" s="28" t="str">
        <x:v>亚坛高原</x:v>
      </x:c>
      <x:c r="C13" s="28" t="str">
        <x:v>金律行路者</x:v>
      </x:c>
      <x:c r="D13" s="28" t="n">
        <x:v>60000</x:v>
      </x:c>
      <x:c r="E13" s="28" t="n">
        <x:v>6000000</x:v>
      </x:c>
      <x:c r="F13" s="28" t="n">
        <x:v>6000000</x:v>
      </x:c>
      <x:c r="G13" s="28" t="n">
        <x:v>5100</x:v>
      </x:c>
      <x:c r="H13" s="28" t="n">
        <x:v>70500000000</x:v>
      </x:c>
      <x:c r="I13" s="28" t="n">
        <x:v>977000000</x:v>
      </x:c>
      <x:c r="J13" s="28" t="str">
        <x:v>黄金叶脉×1050＋黄金律印×10＋金叶驿票×50＋矿脉灯芯×20</x:v>
      </x:c>
      <x:c r="K13" s="28" t="str">
        <x:v>替换上一大陆阶段称号，不叠加旧阶段属性</x:v>
      </x:c>
      <x:c r="L13" s="28" t="str">
        <x:v>材料V1.2已对齐经济总账；同阶段成本只扣一次；阶段属性覆盖而非累计相加。</x:v>
      </x:c>
    </x:row>
    <x:row r="14" ht="35" customHeight="1">
      <x:c r="A14" s="28" t="str">
        <x:v>C10</x:v>
      </x:c>
      <x:c r="B14" s="28" t="str">
        <x:v>王城罗德尔</x:v>
      </x:c>
      <x:c r="C14" s="28" t="str">
        <x:v>无冕登王者</x:v>
      </x:c>
      <x:c r="D14" s="28" t="n">
        <x:v>100000</x:v>
      </x:c>
      <x:c r="E14" s="28" t="n">
        <x:v>10000000</x:v>
      </x:c>
      <x:c r="F14" s="28" t="n">
        <x:v>10000000</x:v>
      </x:c>
      <x:c r="G14" s="28" t="n">
        <x:v>6600</x:v>
      </x:c>
      <x:c r="H14" s="28" t="n">
        <x:v>85000000000</x:v>
      </x:c>
      <x:c r="I14" s="28" t="n">
        <x:v>1010000000</x:v>
      </x:c>
      <x:c r="J14" s="28" t="str">
        <x:v>王城金屑×1250＋艾尔登王印×12＋旧渠阀芯×30</x:v>
      </x:c>
      <x:c r="K14" s="28" t="str">
        <x:v>替换上一大陆阶段称号，不叠加旧阶段属性</x:v>
      </x:c>
      <x:c r="L14" s="28" t="str">
        <x:v>材料V1.2已对齐经济总账；同阶段成本只扣一次；阶段属性覆盖而非累计相加。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751006cbf0346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45" hidden="0" customWidth="1"/>
    <x:col min="10" max="10" width="19" hidden="0" customWidth="1"/>
    <x:col min="11" max="11" width="18" hidden="0" customWidth="1"/>
    <x:col min="12" max="12" width="42" hidden="0" customWidth="1"/>
  </x:cols>
  <x:sheetData>
    <x:row r="1" ht="30" customHeight="1">
      <x:c r="A1" s="5" t="str">
        <x:v>六个独立合成称号｜一次性奖励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6" customHeight="1">
      <x:c r="A2" s="13" t="str">
        <x:v>独立称号之间可累计；每个仅激活一次。与贯穿称号不同，不要误用覆盖模式。原配方材料、货币保持。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4" customHeight="1">
      <x:c r="A4" s="21" t="str">
        <x:v>配方ID</x:v>
      </x:c>
      <x:c r="B4" s="21" t="str">
        <x:v>大陆ID</x:v>
      </x:c>
      <x:c r="C4" s="21" t="str">
        <x:v>物品全名</x:v>
      </x:c>
      <x:c r="D4" s="21" t="str">
        <x:v>攻击/魔法/道术各</x:v>
      </x:c>
      <x:c r="E4" s="21" t="str">
        <x:v>HP</x:v>
      </x:c>
      <x:c r="F4" s="21" t="str">
        <x:v>神力增量</x:v>
      </x:c>
      <x:c r="G4" s="21" t="str">
        <x:v>处决百分点</x:v>
      </x:c>
      <x:c r="H4" s="21" t="str">
        <x:v>韧性</x:v>
      </x:c>
      <x:c r="I4" s="21" t="str">
        <x:v>单次材料</x:v>
      </x:c>
      <x:c r="J4" s="21" t="str">
        <x:v>金币</x:v>
      </x:c>
      <x:c r="K4" s="21" t="str">
        <x:v>元宝</x:v>
      </x:c>
      <x:c r="L4" s="21" t="str">
        <x:v>结算规则</x:v>
      </x:c>
    </x:row>
    <x:row r="5" ht="42" customHeight="1">
      <x:c r="A5" s="28" t="str">
        <x:v>C01-SYN-TT-01</x:v>
      </x:c>
      <x:c r="B5" s="28" t="str">
        <x:v>C01</x:v>
      </x:c>
      <x:c r="C5" s="28" t="str">
        <x:v>[称号]海岸初誓</x:v>
      </x:c>
      <x:c r="D5" s="28" t="n">
        <x:v>30</x:v>
      </x:c>
      <x:c r="E5" s="28" t="n">
        <x:v>3000</x:v>
      </x:c>
      <x:c r="F5" s="28" t="n">
        <x:v>0</x:v>
      </x:c>
      <x:c r="G5" s="28" t="n">
        <x:v>0</x:v>
      </x:c>
      <x:c r="H5" s="28" t="n">
        <x:v>0</x:v>
      </x:c>
      <x:c r="I5" s="28" t="str">
        <x:v>漂流大陆印记×5＋漂流见证·潮×8＋漂流见证·雷×8</x:v>
      </x:c>
      <x:c r="J5" s="28" t="n">
        <x:v>1200000000</x:v>
      </x:c>
      <x:c r="K5" s="28" t="n">
        <x:v>11500000</x:v>
      </x:c>
      <x:c r="L5" s="28" t="str">
        <x:v>每个独立称号仅激活一次；不同独立称号可累加</x:v>
      </x:c>
    </x:row>
    <x:row r="6" ht="42" customHeight="1">
      <x:c r="A6" s="28" t="str">
        <x:v>C03-SYN-TT-01</x:v>
      </x:c>
      <x:c r="B6" s="28" t="str">
        <x:v>C03</x:v>
      </x:c>
      <x:c r="C6" s="28" t="str">
        <x:v>[称号]西境拓荒者</x:v>
      </x:c>
      <x:c r="D6" s="28" t="n">
        <x:v>180</x:v>
      </x:c>
      <x:c r="E6" s="28" t="n">
        <x:v>18000</x:v>
      </x:c>
      <x:c r="F6" s="28" t="n">
        <x:v>0</x:v>
      </x:c>
      <x:c r="G6" s="28" t="n">
        <x:v>0</x:v>
      </x:c>
      <x:c r="H6" s="28" t="n">
        <x:v>0</x:v>
      </x:c>
      <x:c r="I6" s="28" t="str">
        <x:v>西境战旗×20＋西境战旗印×6＋哨垒旗冠×1</x:v>
      </x:c>
      <x:c r="J6" s="28" t="n">
        <x:v>21000000000</x:v>
      </x:c>
      <x:c r="K6" s="28" t="n">
        <x:v>0</x:v>
      </x:c>
      <x:c r="L6" s="28" t="str">
        <x:v>每个独立称号仅激活一次；不同独立称号可累加</x:v>
      </x:c>
    </x:row>
    <x:row r="7" ht="42" customHeight="1">
      <x:c r="A7" s="28" t="str">
        <x:v>C05-SYN-TT-01</x:v>
      </x:c>
      <x:c r="B7" s="28" t="str">
        <x:v>C05</x:v>
      </x:c>
      <x:c r="C7" s="28" t="str">
        <x:v>[称号]满月见证者</x:v>
      </x:c>
      <x:c r="D7" s="28" t="n">
        <x:v>800</x:v>
      </x:c>
      <x:c r="E7" s="28" t="n">
        <x:v>80000</x:v>
      </x:c>
      <x:c r="F7" s="28" t="n">
        <x:v>0</x:v>
      </x:c>
      <x:c r="G7" s="28" t="n">
        <x:v>0</x:v>
      </x:c>
      <x:c r="H7" s="28" t="n">
        <x:v>0</x:v>
      </x:c>
      <x:c r="I7" s="28" t="str">
        <x:v>卡利亚月露×36＋满月王室印×10＋禁域星钥×2</x:v>
      </x:c>
      <x:c r="J7" s="28" t="n">
        <x:v>0</x:v>
      </x:c>
      <x:c r="K7" s="28" t="n">
        <x:v>496000000</x:v>
      </x:c>
      <x:c r="L7" s="28" t="str">
        <x:v>每个独立称号仅激活一次；不同独立称号可累加</x:v>
      </x:c>
    </x:row>
    <x:row r="8" ht="42" customHeight="1">
      <x:c r="A8" s="28" t="str">
        <x:v>C07-SYN-TT-01</x:v>
      </x:c>
      <x:c r="B8" s="28" t="str">
        <x:v>C07</x:v>
      </x:c>
      <x:c r="C8" s="28" t="str">
        <x:v>[称号]永霜朝圣者</x:v>
      </x:c>
      <x:c r="D8" s="28" t="n">
        <x:v>3500</x:v>
      </x:c>
      <x:c r="E8" s="28" t="n">
        <x:v>350000</x:v>
      </x:c>
      <x:c r="F8" s="28" t="n">
        <x:v>0</x:v>
      </x:c>
      <x:c r="G8" s="28" t="n">
        <x:v>0</x:v>
      </x:c>
      <x:c r="H8" s="28" t="n">
        <x:v>0</x:v>
      </x:c>
      <x:c r="I8" s="28" t="str">
        <x:v>白金纺线×60＋圣雪誓印×18＋圣雪门楔×4</x:v>
      </x:c>
      <x:c r="J8" s="28" t="n">
        <x:v>60000000000</x:v>
      </x:c>
      <x:c r="K8" s="28" t="n">
        <x:v>589000000</x:v>
      </x:c>
      <x:c r="L8" s="28" t="str">
        <x:v>每个独立称号仅激活一次；不同独立称号可累加</x:v>
      </x:c>
    </x:row>
    <x:row r="9" ht="42" customHeight="1">
      <x:c r="A9" s="28" t="str">
        <x:v>C09-SYN-TT-01</x:v>
      </x:c>
      <x:c r="B9" s="28" t="str">
        <x:v>C09</x:v>
      </x:c>
      <x:c r="C9" s="28" t="str">
        <x:v>[称号]黄金律见证者</x:v>
      </x:c>
      <x:c r="D9" s="28" t="n">
        <x:v>12000</x:v>
      </x:c>
      <x:c r="E9" s="28" t="n">
        <x:v>1200000</x:v>
      </x:c>
      <x:c r="F9" s="28" t="n">
        <x:v>0</x:v>
      </x:c>
      <x:c r="G9" s="28" t="n">
        <x:v>0</x:v>
      </x:c>
      <x:c r="H9" s="28" t="n">
        <x:v>0</x:v>
      </x:c>
      <x:c r="I9" s="28" t="str">
        <x:v>古王律页×105＋黄金律印×30＋高原王诏金版×5</x:v>
      </x:c>
      <x:c r="J9" s="28" t="n">
        <x:v>0</x:v>
      </x:c>
      <x:c r="K9" s="28" t="n">
        <x:v>2840000000</x:v>
      </x:c>
      <x:c r="L9" s="28" t="str">
        <x:v>每个独立称号仅激活一次；不同独立称号可累加</x:v>
      </x:c>
    </x:row>
    <x:row r="10" ht="42" customHeight="1">
      <x:c r="A10" s="28" t="str">
        <x:v>C10-SYN-TT-01</x:v>
      </x:c>
      <x:c r="B10" s="28" t="str">
        <x:v>C10</x:v>
      </x:c>
      <x:c r="C10" s="28" t="str">
        <x:v>[称号]艾尔登之王</x:v>
      </x:c>
      <x:c r="D10" s="28" t="n">
        <x:v>20000</x:v>
      </x:c>
      <x:c r="E10" s="28" t="n">
        <x:v>2000000</x:v>
      </x:c>
      <x:c r="F10" s="28" t="n">
        <x:v>0</x:v>
      </x:c>
      <x:c r="G10" s="28" t="n">
        <x:v>0</x:v>
      </x:c>
      <x:c r="H10" s="28" t="n">
        <x:v>0</x:v>
      </x:c>
      <x:c r="I10" s="28" t="str">
        <x:v>王宫律文×130＋艾尔登王印×38＋王宫断冠片×6＋失温熔炉楔×22</x:v>
      </x:c>
      <x:c r="J10" s="28" t="n">
        <x:v>136000000000</x:v>
      </x:c>
      <x:c r="K10" s="28" t="n">
        <x:v>1620000000</x:v>
      </x:c>
      <x:c r="L10" s="28" t="str">
        <x:v>每个独立称号仅激活一次；不同独立称号可累加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9d5eeaeb4a94b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25" hidden="0" customWidth="1"/>
    <x:col min="5" max="5" width="54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</x:cols>
  <x:sheetData>
    <x:row r="1" ht="30" customHeight="1">
      <x:c r="A1" s="5" t="str">
        <x:v>四阶段20转｜消耗与神力增量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6" customHeight="1">
      <x:c r="A2" s="13" t="str">
        <x:v>同类神力增量加算，不把20行累计值再叠加；本轮增量为新设计值，替代早期每转固定0.05草案。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4" customHeight="1">
      <x:c r="A4" s="21" t="str">
        <x:v>目标转数</x:v>
      </x:c>
      <x:c r="B4" s="21" t="str">
        <x:v>大陆ID</x:v>
      </x:c>
      <x:c r="C4" s="21" t="str">
        <x:v>NPC</x:v>
      </x:c>
      <x:c r="D4" s="21" t="str">
        <x:v>晋升名</x:v>
      </x:c>
      <x:c r="E4" s="21" t="str">
        <x:v>材料</x:v>
      </x:c>
      <x:c r="F4" s="21" t="str">
        <x:v>金币</x:v>
      </x:c>
      <x:c r="G4" s="21" t="str">
        <x:v>元宝</x:v>
      </x:c>
      <x:c r="H4" s="21" t="str">
        <x:v>本转神力增量</x:v>
      </x:c>
      <x:c r="I4" s="21" t="str">
        <x:v>累计神力增量</x:v>
      </x:c>
      <x:c r="J4" s="21" t="str">
        <x:v>结算规则</x:v>
      </x:c>
    </x:row>
    <x:row r="5" ht="42" customHeight="1">
      <x:c r="A5" s="28" t="n">
        <x:v>1</x:v>
      </x:c>
      <x:c r="B5" s="28" t="str">
        <x:v>C04</x:v>
      </x:c>
      <x:c r="C5" s="28" t="str">
        <x:v>潮印引渡者·洛弥</x:v>
      </x:c>
      <x:c r="D5" s="28" t="str">
        <x:v>第1转·雾潮初醒</x:v>
      </x:c>
      <x:c r="E5" s="28" t="str">
        <x:v>湖盐结晶×24＋雾潮银鳞×6＋幽船铆钉×2＋沉湖王印×1＋小卢恩×20</x:v>
      </x:c>
      <x:c r="F5" s="28" t="n">
        <x:v>5500000000</x:v>
      </x:c>
      <x:c r="G5" s="28" t="n">
        <x:v>48000000</x:v>
      </x:c>
      <x:c r="H5" s="32" t="n">
        <x:v>0.02</x:v>
      </x:c>
      <x:c r="I5" s="32" t="n">
        <x:f>SUM($H$5:H5)</x:f>
        <x:v>0.02</x:v>
      </x:c>
      <x:c r="J5" s="28" t="str">
        <x:v>同类神力增量相加；同一转只结算一次；不连乘</x:v>
      </x:c>
    </x:row>
    <x:row r="6" ht="42" customHeight="1">
      <x:c r="A6" s="28" t="n">
        <x:v>2</x:v>
      </x:c>
      <x:c r="B6" s="28" t="str">
        <x:v>C04</x:v>
      </x:c>
      <x:c r="C6" s="28" t="str">
        <x:v>潮印引渡者·洛弥</x:v>
      </x:c>
      <x:c r="D6" s="28" t="str">
        <x:v>第2转·沉舟回魂</x:v>
      </x:c>
      <x:c r="E6" s="28" t="str">
        <x:v>湖盐结晶×34＋雾潮银鳞×8＋幽船铆钉×3＋沉湖王印×1＋小卢恩×30</x:v>
      </x:c>
      <x:c r="F6" s="28" t="n">
        <x:v>7400000000</x:v>
      </x:c>
      <x:c r="G6" s="28" t="n">
        <x:v>64500000</x:v>
      </x:c>
      <x:c r="H6" s="32" t="n">
        <x:v>0.03</x:v>
      </x:c>
      <x:c r="I6" s="32" t="n">
        <x:f>SUM($H$5:H6)</x:f>
        <x:v>0.05</x:v>
      </x:c>
      <x:c r="J6" s="28" t="str">
        <x:v>同类神力增量相加；同一转只结算一次；不连乘</x:v>
      </x:c>
    </x:row>
    <x:row r="7" ht="42" customHeight="1">
      <x:c r="A7" s="28" t="n">
        <x:v>3</x:v>
      </x:c>
      <x:c r="B7" s="28" t="str">
        <x:v>C04</x:v>
      </x:c>
      <x:c r="C7" s="28" t="str">
        <x:v>潮印引渡者·洛弥</x:v>
      </x:c>
      <x:c r="D7" s="28" t="str">
        <x:v>第3转·月水洗身</x:v>
      </x:c>
      <x:c r="E7" s="28" t="str">
        <x:v>湖盐结晶×44＋雾潮银鳞×10＋幽船铆钉×4＋沉湖王印×1＋小卢恩×45</x:v>
      </x:c>
      <x:c r="F7" s="28" t="n">
        <x:v>9200000000</x:v>
      </x:c>
      <x:c r="G7" s="28" t="n">
        <x:v>80500000</x:v>
      </x:c>
      <x:c r="H7" s="32" t="n">
        <x:v>0.04</x:v>
      </x:c>
      <x:c r="I7" s="32" t="n">
        <x:f>SUM($H$5:H7)</x:f>
        <x:v>0.09</x:v>
      </x:c>
      <x:c r="J7" s="28" t="str">
        <x:v>同类神力增量相加；同一转只结算一次；不连乘</x:v>
      </x:c>
    </x:row>
    <x:row r="8" ht="42" customHeight="1">
      <x:c r="A8" s="28" t="n">
        <x:v>4</x:v>
      </x:c>
      <x:c r="B8" s="28" t="str">
        <x:v>C04</x:v>
      </x:c>
      <x:c r="C8" s="28" t="str">
        <x:v>潮印引渡者·洛弥</x:v>
      </x:c>
      <x:c r="D8" s="28" t="str">
        <x:v>第4转·湖誓重铸</x:v>
      </x:c>
      <x:c r="E8" s="28" t="str">
        <x:v>湖盐结晶×55＋雾潮银鳞×12＋幽船铆钉×5＋沉湖王印×2＋小卢恩×65</x:v>
      </x:c>
      <x:c r="F8" s="28" t="n">
        <x:v>11000000000</x:v>
      </x:c>
      <x:c r="G8" s="28" t="n">
        <x:v>96500000</x:v>
      </x:c>
      <x:c r="H8" s="32" t="n">
        <x:v>0.05</x:v>
      </x:c>
      <x:c r="I8" s="32" t="n">
        <x:f>SUM($H$5:H8)</x:f>
        <x:v>0.14</x:v>
      </x:c>
      <x:c r="J8" s="28" t="str">
        <x:v>同类神力增量相加；同一转只结算一次；不连乘</x:v>
      </x:c>
    </x:row>
    <x:row r="9" ht="42" customHeight="1">
      <x:c r="A9" s="28" t="n">
        <x:v>5</x:v>
      </x:c>
      <x:c r="B9" s="28" t="str">
        <x:v>C04</x:v>
      </x:c>
      <x:c r="C9" s="28" t="str">
        <x:v>潮印引渡者·洛弥</x:v>
      </x:c>
      <x:c r="D9" s="28" t="str">
        <x:v>第5转·闭潮新生</x:v>
      </x:c>
      <x:c r="E9" s="28" t="str">
        <x:v>湖盐结晶×70＋雾潮银鳞×16＋幽船铆钉×7＋沉湖王印×2＋小卢恩×90</x:v>
      </x:c>
      <x:c r="F9" s="28" t="n">
        <x:v>13000000000</x:v>
      </x:c>
      <x:c r="G9" s="28" t="n">
        <x:v>113000000</x:v>
      </x:c>
      <x:c r="H9" s="32" t="n">
        <x:v>0.06</x:v>
      </x:c>
      <x:c r="I9" s="32" t="n">
        <x:f>SUM($H$5:H9)</x:f>
        <x:v>0.2</x:v>
      </x:c>
      <x:c r="J9" s="28" t="str">
        <x:v>同类神力增量相加；同一转只结算一次；不连乘</x:v>
      </x:c>
    </x:row>
    <x:row r="10" ht="42" customHeight="1">
      <x:c r="A10" s="28" t="n">
        <x:v>6</x:v>
      </x:c>
      <x:c r="B10" s="28" t="str">
        <x:v>C06</x:v>
      </x:c>
      <x:c r="C10" s="28" t="str">
        <x:v>红狮洗礼官·卡恩</x:v>
      </x:c>
      <x:c r="D10" s="28" t="str">
        <x:v>第6转·灰原灼骨</x:v>
      </x:c>
      <x:c r="E10" s="28" t="str">
        <x:v>猩红矿渣×42＋净火腺囊×3＋龙火鳞×4＋红狮战印×1＋大卢恩×30</x:v>
      </x:c>
      <x:c r="F10" s="28" t="n">
        <x:v>24500000000</x:v>
      </x:c>
      <x:c r="G10" s="28" t="n">
        <x:v>0</x:v>
      </x:c>
      <x:c r="H10" s="32" t="n">
        <x:v>0.03</x:v>
      </x:c>
      <x:c r="I10" s="32" t="n">
        <x:f>SUM($H$5:H10)</x:f>
        <x:v>0.23</x:v>
      </x:c>
      <x:c r="J10" s="28" t="str">
        <x:v>同类神力增量相加；同一转只结算一次；不连乘</x:v>
      </x:c>
    </x:row>
    <x:row r="11" ht="42" customHeight="1">
      <x:c r="A11" s="28" t="n">
        <x:v>7</x:v>
      </x:c>
      <x:c r="B11" s="28" t="str">
        <x:v>C06</x:v>
      </x:c>
      <x:c r="C11" s="28" t="str">
        <x:v>红狮洗礼官·卡恩</x:v>
      </x:c>
      <x:c r="D11" s="28" t="str">
        <x:v>第7转·腐焰炼血</x:v>
      </x:c>
      <x:c r="E11" s="28" t="str">
        <x:v>猩红矿渣×60＋净火腺囊×4＋龙火鳞×6＋红狮战印×2＋大卢恩×45</x:v>
      </x:c>
      <x:c r="F11" s="28" t="n">
        <x:v>32500000000</x:v>
      </x:c>
      <x:c r="G11" s="28" t="n">
        <x:v>0</x:v>
      </x:c>
      <x:c r="H11" s="32" t="n">
        <x:v>0.04</x:v>
      </x:c>
      <x:c r="I11" s="32" t="n">
        <x:f>SUM($H$5:H11)</x:f>
        <x:v>0.27</x:v>
      </x:c>
      <x:c r="J11" s="28" t="str">
        <x:v>同类神力增量相加；同一转只结算一次；不连乘</x:v>
      </x:c>
    </x:row>
    <x:row r="12" ht="42" customHeight="1">
      <x:c r="A12" s="28" t="n">
        <x:v>8</x:v>
      </x:c>
      <x:c r="B12" s="28" t="str">
        <x:v>C06</x:v>
      </x:c>
      <x:c r="C12" s="28" t="str">
        <x:v>红狮洗礼官·卡恩</x:v>
      </x:c>
      <x:c r="D12" s="28" t="str">
        <x:v>第8转·红狮战心</x:v>
      </x:c>
      <x:c r="E12" s="28" t="str">
        <x:v>猩红矿渣×75＋净火腺囊×5＋龙火鳞×7＋红狮战印×2＋大卢恩×65</x:v>
      </x:c>
      <x:c r="F12" s="28" t="n">
        <x:v>40500000000</x:v>
      </x:c>
      <x:c r="G12" s="28" t="n">
        <x:v>0</x:v>
      </x:c>
      <x:c r="H12" s="32" t="n">
        <x:v>0.05</x:v>
      </x:c>
      <x:c r="I12" s="32" t="n">
        <x:f>SUM($H$5:H12)</x:f>
        <x:v>0.32</x:v>
      </x:c>
      <x:c r="J12" s="28" t="str">
        <x:v>同类神力增量相加；同一转只结算一次；不连乘</x:v>
      </x:c>
    </x:row>
    <x:row r="13" ht="42" customHeight="1">
      <x:c r="A13" s="28" t="n">
        <x:v>9</x:v>
      </x:c>
      <x:c r="B13" s="28" t="str">
        <x:v>C06</x:v>
      </x:c>
      <x:c r="C13" s="28" t="str">
        <x:v>红狮洗礼官·卡恩</x:v>
      </x:c>
      <x:c r="D13" s="28" t="str">
        <x:v>第9转·龙火淬魂</x:v>
      </x:c>
      <x:c r="E13" s="28" t="str">
        <x:v>猩红矿渣×95＋净火腺囊×6＋龙火鳞×9＋红狮战印×3＋大卢恩×90</x:v>
      </x:c>
      <x:c r="F13" s="28" t="n">
        <x:v>48500000000</x:v>
      </x:c>
      <x:c r="G13" s="28" t="n">
        <x:v>0</x:v>
      </x:c>
      <x:c r="H13" s="32" t="n">
        <x:v>0.06</x:v>
      </x:c>
      <x:c r="I13" s="32" t="n">
        <x:f>SUM($H$5:H13)</x:f>
        <x:v>0.38</x:v>
      </x:c>
      <x:c r="J13" s="28" t="str">
        <x:v>同类神力增量相加；同一转只结算一次；不连乘</x:v>
      </x:c>
    </x:row>
    <x:row r="14" ht="42" customHeight="1">
      <x:c r="A14" s="28" t="n">
        <x:v>10</x:v>
      </x:c>
      <x:c r="B14" s="28" t="str">
        <x:v>C06</x:v>
      </x:c>
      <x:c r="C14" s="28" t="str">
        <x:v>红狮洗礼官·卡恩</x:v>
      </x:c>
      <x:c r="D14" s="28" t="str">
        <x:v>第10转·碎星再临</x:v>
      </x:c>
      <x:c r="E14" s="28" t="str">
        <x:v>猩红矿渣×125＋净火腺囊×8＋龙火鳞×12＋红狮战印×4＋大卢恩×120</x:v>
      </x:c>
      <x:c r="F14" s="28" t="n">
        <x:v>56500000000</x:v>
      </x:c>
      <x:c r="G14" s="28" t="n">
        <x:v>0</x:v>
      </x:c>
      <x:c r="H14" s="32" t="n">
        <x:v>0.07</x:v>
      </x:c>
      <x:c r="I14" s="32" t="n">
        <x:f>SUM($H$5:H14)</x:f>
        <x:v>0.45</x:v>
      </x:c>
      <x:c r="J14" s="28" t="str">
        <x:v>同类神力增量相加；同一转只结算一次；不连乘</x:v>
      </x:c>
    </x:row>
    <x:row r="15" ht="42" customHeight="1">
      <x:c r="A15" s="28" t="n">
        <x:v>11</x:v>
      </x:c>
      <x:c r="B15" s="28" t="str">
        <x:v>C08</x:v>
      </x:c>
      <x:c r="C15" s="28" t="str">
        <x:v>炉脉引渡者·赫达</x:v>
      </x:c>
      <x:c r="D15" s="28" t="str">
        <x:v>第11转·登霜换骨</x:v>
      </x:c>
      <x:c r="E15" s="28" t="str">
        <x:v>霜脊铁×70＋裂峰号角片×4＋巨人火种×7＋巨人火印×2＋巨人熔火卢恩×40</x:v>
      </x:c>
      <x:c r="F15" s="28" t="n">
        <x:v>27000000000</x:v>
      </x:c>
      <x:c r="G15" s="28" t="n">
        <x:v>234000000</x:v>
      </x:c>
      <x:c r="H15" s="32" t="n">
        <x:v>0.04</x:v>
      </x:c>
      <x:c r="I15" s="32" t="n">
        <x:f>SUM($H$5:H15)</x:f>
        <x:v>0.49</x:v>
      </x:c>
      <x:c r="J15" s="28" t="str">
        <x:v>同类神力增量相加；同一转只结算一次；不连乘</x:v>
      </x:c>
    </x:row>
    <x:row r="16" ht="42" customHeight="1">
      <x:c r="A16" s="28" t="n">
        <x:v>12</x:v>
      </x:c>
      <x:c r="B16" s="28" t="str">
        <x:v>C08</x:v>
      </x:c>
      <x:c r="C16" s="28" t="str">
        <x:v>炉脉引渡者·赫达</x:v>
      </x:c>
      <x:c r="D16" s="28" t="str">
        <x:v>第12转·炉火铸心</x:v>
      </x:c>
      <x:c r="E16" s="28" t="str">
        <x:v>霜脊铁×100＋裂峰号角片×6＋巨人火种×10＋巨人火印×3＋巨人熔火卢恩×60</x:v>
      </x:c>
      <x:c r="F16" s="28" t="n">
        <x:v>36500000000</x:v>
      </x:c>
      <x:c r="G16" s="28" t="n">
        <x:v>311000000</x:v>
      </x:c>
      <x:c r="H16" s="32" t="n">
        <x:v>0.05</x:v>
      </x:c>
      <x:c r="I16" s="32" t="n">
        <x:f>SUM($H$5:H16)</x:f>
        <x:v>0.54</x:v>
      </x:c>
      <x:c r="J16" s="28" t="str">
        <x:v>同类神力增量相加；同一转只结算一次；不连乘</x:v>
      </x:c>
    </x:row>
    <x:row r="17" ht="42" customHeight="1">
      <x:c r="A17" s="28" t="n">
        <x:v>13</x:v>
      </x:c>
      <x:c r="B17" s="28" t="str">
        <x:v>C08</x:v>
      </x:c>
      <x:c r="C17" s="28" t="str">
        <x:v>炉脉引渡者·赫达</x:v>
      </x:c>
      <x:c r="D17" s="28" t="str">
        <x:v>第13转·巨人燃血</x:v>
      </x:c>
      <x:c r="E17" s="28" t="str">
        <x:v>霜脊铁×125＋裂峰号角片×8＋巨人火种×12＋巨人火印×4＋巨人熔火卢恩×85</x:v>
      </x:c>
      <x:c r="F17" s="28" t="n">
        <x:v>45500000000</x:v>
      </x:c>
      <x:c r="G17" s="28" t="n">
        <x:v>389000000</x:v>
      </x:c>
      <x:c r="H17" s="32" t="n">
        <x:v>0.06</x:v>
      </x:c>
      <x:c r="I17" s="32" t="n">
        <x:f>SUM($H$5:H17)</x:f>
        <x:v>0.6000000000000001</x:v>
      </x:c>
      <x:c r="J17" s="28" t="str">
        <x:v>同类神力增量相加；同一转只结算一次；不连乘</x:v>
      </x:c>
    </x:row>
    <x:row r="18" ht="42" customHeight="1">
      <x:c r="A18" s="28" t="n">
        <x:v>14</x:v>
      </x:c>
      <x:c r="B18" s="28" t="str">
        <x:v>C08</x:v>
      </x:c>
      <x:c r="C18" s="28" t="str">
        <x:v>炉脉引渡者·赫达</x:v>
      </x:c>
      <x:c r="D18" s="28" t="str">
        <x:v>第14转·吞日化躯</x:v>
      </x:c>
      <x:c r="E18" s="28" t="str">
        <x:v>霜脊铁×160＋裂峰号角片×10＋巨人火种×16＋巨人火印×5＋巨人熔火卢恩×115</x:v>
      </x:c>
      <x:c r="F18" s="28" t="n">
        <x:v>54500000000</x:v>
      </x:c>
      <x:c r="G18" s="28" t="n">
        <x:v>467000000</x:v>
      </x:c>
      <x:c r="H18" s="32" t="n">
        <x:v>0.07</x:v>
      </x:c>
      <x:c r="I18" s="32" t="n">
        <x:f>SUM($H$5:H18)</x:f>
        <x:v>0.6700000000000002</x:v>
      </x:c>
      <x:c r="J18" s="28" t="str">
        <x:v>同类神力增量相加；同一转只结算一次；不连乘</x:v>
      </x:c>
    </x:row>
    <x:row r="19" ht="42" customHeight="1">
      <x:c r="A19" s="28" t="n">
        <x:v>15</x:v>
      </x:c>
      <x:c r="B19" s="28" t="str">
        <x:v>C08</x:v>
      </x:c>
      <x:c r="C19" s="28" t="str">
        <x:v>炉脉引渡者·赫达</x:v>
      </x:c>
      <x:c r="D19" s="28" t="str">
        <x:v>第15转·山巅归一</x:v>
      </x:c>
      <x:c r="E19" s="28" t="str">
        <x:v>霜脊铁×210＋裂峰号角片×14＋巨人火种×20＋巨人火印×6＋巨人熔火卢恩×150</x:v>
      </x:c>
      <x:c r="F19" s="28" t="n">
        <x:v>63500000000</x:v>
      </x:c>
      <x:c r="G19" s="28" t="n">
        <x:v>545000000</x:v>
      </x:c>
      <x:c r="H19" s="32" t="n">
        <x:v>0.08</x:v>
      </x:c>
      <x:c r="I19" s="32" t="n">
        <x:f>SUM($H$5:H19)</x:f>
        <x:v>0.7500000000000001</x:v>
      </x:c>
      <x:c r="J19" s="28" t="str">
        <x:v>同类神力增量相加；同一转只结算一次；不连乘</x:v>
      </x:c>
    </x:row>
    <x:row r="20" ht="42" customHeight="1">
      <x:c r="A20" s="28" t="n">
        <x:v>16</x:v>
      </x:c>
      <x:c r="B20" s="28" t="str">
        <x:v>C10</x:v>
      </x:c>
      <x:c r="C20" s="28" t="str">
        <x:v>王律司转·埃伦</x:v>
      </x:c>
      <x:c r="D20" s="28" t="str">
        <x:v>第16转·王律铭身</x:v>
      </x:c>
      <x:c r="E20" s="28" t="str">
        <x:v>王城金屑×90＋王宫律文×12＋王宫断冠片×1＋艾尔登王印×3＋黄金律法卢恩×50</x:v>
      </x:c>
      <x:c r="F20" s="28" t="n">
        <x:v>51000000000</x:v>
      </x:c>
      <x:c r="G20" s="28" t="n">
        <x:v>609000000</x:v>
      </x:c>
      <x:c r="H20" s="32" t="n">
        <x:v>0.05</x:v>
      </x:c>
      <x:c r="I20" s="32" t="n">
        <x:f>SUM($H$5:H20)</x:f>
        <x:v>0.8000000000000002</x:v>
      </x:c>
      <x:c r="J20" s="28" t="str">
        <x:v>同类神力增量相加；同一转只结算一次；不连乘</x:v>
      </x:c>
    </x:row>
    <x:row r="21" ht="42" customHeight="1">
      <x:c r="A21" s="28" t="n">
        <x:v>17</x:v>
      </x:c>
      <x:c r="B21" s="28" t="str">
        <x:v>C10</x:v>
      </x:c>
      <x:c r="C21" s="28" t="str">
        <x:v>王律司转·埃伦</x:v>
      </x:c>
      <x:c r="D21" s="28" t="str">
        <x:v>第17转·金树烙魂</x:v>
      </x:c>
      <x:c r="E21" s="28" t="str">
        <x:v>王城金屑×125＋王宫律文×16＋王宫断冠片×1＋艾尔登王印×4＋黄金律法卢恩×75</x:v>
      </x:c>
      <x:c r="F21" s="28" t="n">
        <x:v>68000000000</x:v>
      </x:c>
      <x:c r="G21" s="28" t="n">
        <x:v>812000000</x:v>
      </x:c>
      <x:c r="H21" s="32" t="n">
        <x:v>0.06</x:v>
      </x:c>
      <x:c r="I21" s="32" t="n">
        <x:f>SUM($H$5:H21)</x:f>
        <x:v>0.8600000000000001</x:v>
      </x:c>
      <x:c r="J21" s="28" t="str">
        <x:v>同类神力增量相加；同一转只结算一次；不连乘</x:v>
      </x:c>
    </x:row>
    <x:row r="22" ht="42" customHeight="1">
      <x:c r="A22" s="28" t="n">
        <x:v>18</x:v>
      </x:c>
      <x:c r="B22" s="28" t="str">
        <x:v>C10</x:v>
      </x:c>
      <x:c r="C22" s="28" t="str">
        <x:v>王律司转·埃伦</x:v>
      </x:c>
      <x:c r="D22" s="28" t="str">
        <x:v>第18转·王座承命</x:v>
      </x:c>
      <x:c r="E22" s="28" t="str">
        <x:v>王城金屑×160＋王宫律文×20＋王宫断冠片×1＋艾尔登王印×6＋黄金律法卢恩×105</x:v>
      </x:c>
      <x:c r="F22" s="28" t="n">
        <x:v>85000000000</x:v>
      </x:c>
      <x:c r="G22" s="28" t="n">
        <x:v>1010000000</x:v>
      </x:c>
      <x:c r="H22" s="32" t="n">
        <x:v>0.07</x:v>
      </x:c>
      <x:c r="I22" s="32" t="n">
        <x:f>SUM($H$5:H22)</x:f>
        <x:v>0.9300000000000002</x:v>
      </x:c>
      <x:c r="J22" s="28" t="str">
        <x:v>同类神力增量相加；同一转只结算一次；不连乘</x:v>
      </x:c>
    </x:row>
    <x:row r="23" ht="42" customHeight="1">
      <x:c r="A23" s="28" t="n">
        <x:v>19</x:v>
      </x:c>
      <x:c r="B23" s="28" t="str">
        <x:v>C10</x:v>
      </x:c>
      <x:c r="C23" s="28" t="str">
        <x:v>王律司转·埃伦</x:v>
      </x:c>
      <x:c r="D23" s="28" t="str">
        <x:v>第19转·无冕登临</x:v>
      </x:c>
      <x:c r="E23" s="28" t="str">
        <x:v>王城金屑×210＋王宫律文×26＋王宫断冠片×1＋艾尔登王印×7＋黄金律法卢恩×140</x:v>
      </x:c>
      <x:c r="F23" s="28" t="n">
        <x:v>102000000000</x:v>
      </x:c>
      <x:c r="G23" s="28" t="n">
        <x:v>1220000000</x:v>
      </x:c>
      <x:c r="H23" s="32" t="n">
        <x:v>0.08</x:v>
      </x:c>
      <x:c r="I23" s="32" t="n">
        <x:f>SUM($H$5:H23)</x:f>
        <x:v>1.0100000000000002</x:v>
      </x:c>
      <x:c r="J23" s="28" t="str">
        <x:v>同类神力增量相加；同一转只结算一次；不连乘</x:v>
      </x:c>
    </x:row>
    <x:row r="24" ht="42" customHeight="1">
      <x:c r="A24" s="28" t="n">
        <x:v>20</x:v>
      </x:c>
      <x:c r="B24" s="28" t="str">
        <x:v>C10</x:v>
      </x:c>
      <x:c r="C24" s="28" t="str">
        <x:v>王律司转·埃伦</x:v>
      </x:c>
      <x:c r="D24" s="28" t="str">
        <x:v>第20转·艾尔登新生</x:v>
      </x:c>
      <x:c r="E24" s="28" t="str">
        <x:v>王城金屑×270＋王宫律文×32＋王宫断冠片×2＋艾尔登王印×10＋黄金律法卢恩×180</x:v>
      </x:c>
      <x:c r="F24" s="28" t="n">
        <x:v>119000000000</x:v>
      </x:c>
      <x:c r="G24" s="28" t="n">
        <x:v>1420000000</x:v>
      </x:c>
      <x:c r="H24" s="32" t="n">
        <x:v>0.09</x:v>
      </x:c>
      <x:c r="I24" s="32" t="n">
        <x:f>SUM($H$5:H24)</x:f>
        <x:v>1.1000000000000003</x:v>
      </x:c>
      <x:c r="J24" s="28" t="str">
        <x:v>同类神力增量相加；同一转只结算一次；不连乘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ea7b20bd7a24ea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" hidden="0" customWidth="1"/>
    <x:col min="3" max="3" width="27" hidden="0" customWidth="1"/>
    <x:col min="4" max="4" width="16" hidden="0" customWidth="1"/>
    <x:col min="5" max="5" width="16" hidden="0" customWidth="1"/>
    <x:col min="6" max="6" width="36" hidden="0" customWidth="1"/>
    <x:col min="7" max="7" width="47" hidden="0" customWidth="1"/>
    <x:col min="8" max="8" width="19" hidden="0" customWidth="1"/>
    <x:col min="9" max="9" width="17" hidden="0" customWidth="1"/>
    <x:col min="10" max="10" width="20" hidden="0" customWidth="1"/>
    <x:col min="11" max="11" width="16" hidden="0" customWidth="1"/>
    <x:col min="12" max="12" width="20" hidden="0" customWidth="1"/>
    <x:col min="13" max="13" width="20" hidden="0" customWidth="1"/>
    <x:col min="14" max="14" width="18" hidden="0" customWidth="1"/>
    <x:col min="15" max="15" width="20" hidden="0" customWidth="1"/>
    <x:col min="16" max="16" width="16" hidden="0" customWidth="1"/>
    <x:col min="17" max="17" width="18" hidden="0" customWidth="1"/>
    <x:col min="18" max="18" width="16" hidden="0" customWidth="1"/>
    <x:col min="19" max="19" width="42" hidden="0" customWidth="1"/>
  </x:cols>
  <x:sheetData>
    <x:row r="1" ht="30" customHeight="1">
      <x:c r="A1" s="5" t="str">
        <x:v>38件合成穿戴物｜奖励属性及原成本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46" customHeight="1">
      <x:c r="A2" s="13" t="str">
        <x:v>完整属性以独立69列表为准；本页不额外向角色发一次属性。C1子鼠使用C2基础件，属于回访合成，不是C1通关条件。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</x:row>
    <x:row r="4" ht="34" customHeight="1">
      <x:c r="A4" s="21" t="str">
        <x:v>配方ID</x:v>
      </x:c>
      <x:c r="B4" s="21" t="str">
        <x:v>大陆ID</x:v>
      </x:c>
      <x:c r="C4" s="21" t="str">
        <x:v>成品名</x:v>
      </x:c>
      <x:c r="D4" s="21" t="str">
        <x:v>类别</x:v>
      </x:c>
      <x:c r="E4" s="21" t="str">
        <x:v>部位</x:v>
      </x:c>
      <x:c r="F4" s="21" t="str">
        <x:v>基础件/前置</x:v>
      </x:c>
      <x:c r="G4" s="21" t="str">
        <x:v>材料</x:v>
      </x:c>
      <x:c r="H4" s="21" t="str">
        <x:v>金币</x:v>
      </x:c>
      <x:c r="I4" s="21" t="str">
        <x:v>元宝</x:v>
      </x:c>
      <x:c r="J4" s="21" t="str">
        <x:v>攻击/魔法/道术各</x:v>
      </x:c>
      <x:c r="K4" s="21" t="str">
        <x:v>HP</x:v>
      </x:c>
      <x:c r="L4" s="21" t="str">
        <x:v>攻魔道加成(百分点)</x:v>
      </x:c>
      <x:c r="M4" s="21" t="str">
        <x:v>打怪伤害(百分点)</x:v>
      </x:c>
      <x:c r="N4" s="21" t="str">
        <x:v>暴伤(百分点)</x:v>
      </x:c>
      <x:c r="O4" s="21" t="str">
        <x:v>对怪吸收(百分点)</x:v>
      </x:c>
      <x:c r="P4" s="21" t="str">
        <x:v>韧性</x:v>
      </x:c>
      <x:c r="Q4" s="21" t="str">
        <x:v>吸血(百分点)</x:v>
      </x:c>
      <x:c r="R4" s="21" t="str">
        <x:v>攻速突破</x:v>
      </x:c>
      <x:c r="S4" s="21" t="str">
        <x:v>数值依据</x:v>
      </x:c>
    </x:row>
    <x:row r="5" ht="42" customHeight="1">
      <x:c r="A5" s="28" t="str">
        <x:v>C01-SYN-EQ-01</x:v>
      </x:c>
      <x:c r="B5" s="28" t="str">
        <x:v>C01</x:v>
      </x:c>
      <x:c r="C5" s="28" t="str">
        <x:v>潮归秘戒</x:v>
      </x:c>
      <x:c r="D5" s="28" t="str">
        <x:v>装备合成</x:v>
      </x:c>
      <x:c r="E5" s="28" t="str">
        <x:v>戒指</x:v>
      </x:c>
      <x:c r="F5" s="28" t="str">
        <x:v>猎犬骨戒＋王庭秘戒</x:v>
      </x:c>
      <x:c r="G5" s="28" t="str">
        <x:v>海蚀铁片×80＋潮痕结晶×8＋漂流大陆印记×3＋失色锻造石×100</x:v>
      </x:c>
      <x:c r="H5" s="28" t="n">
        <x:v>1600000000</x:v>
      </x:c>
      <x:c r="I5" s="28" t="n">
        <x:v>0</x:v>
      </x:c>
      <x:c r="J5" s="28" t="str">
        <x:v>50-96</x:v>
      </x:c>
      <x:c r="K5" s="28" t="n">
        <x:v>39000</x:v>
      </x:c>
      <x:c r="L5" s="28" t="n">
        <x:v>15</x:v>
      </x:c>
      <x:c r="M5" s="28" t="n">
        <x:v>8</x:v>
      </x:c>
      <x:c r="N5" s="28" t="n">
        <x:v>12</x:v>
      </x:c>
      <x:c r="O5" s="28"/>
      <x:c r="P5" s="28"/>
      <x:c r="Q5" s="28"/>
      <x:c r="R5" s="28"/>
      <x:c r="S5" s="28" t="str">
        <x:v>本大陆定向专属高阶基准的1.6倍底板；目标领先常规掉落约1—2大陆</x:v>
      </x:c>
    </x:row>
    <x:row r="6" ht="42" customHeight="1">
      <x:c r="A6" s="28" t="str">
        <x:v>C02-SYN-EQ-01</x:v>
      </x:c>
      <x:c r="B6" s="28" t="str">
        <x:v>C02</x:v>
      </x:c>
      <x:c r="C6" s="28" t="str">
        <x:v>风暴王庭链</x:v>
      </x:c>
      <x:c r="D6" s="28" t="str">
        <x:v>装备合成</x:v>
      </x:c>
      <x:c r="E6" s="28" t="str">
        <x:v>项链</x:v>
      </x:c>
      <x:c r="F6" s="28" t="str">
        <x:v>破垒鹰链＋古树祷链</x:v>
      </x:c>
      <x:c r="G6" s="28" t="str">
        <x:v>风暴石片×120＋黄金树芽×12＋接肢王印×4＋失色锻造石×160</x:v>
      </x:c>
      <x:c r="H6" s="28" t="n">
        <x:v>0</x:v>
      </x:c>
      <x:c r="I6" s="28" t="n">
        <x:v>57500000</x:v>
      </x:c>
      <x:c r="J6" s="28" t="str">
        <x:v>100-200</x:v>
      </x:c>
      <x:c r="K6" s="28" t="n">
        <x:v>85000</x:v>
      </x:c>
      <x:c r="L6" s="28" t="n">
        <x:v>16</x:v>
      </x:c>
      <x:c r="M6" s="28" t="n">
        <x:v>9</x:v>
      </x:c>
      <x:c r="N6" s="28" t="n">
        <x:v>14</x:v>
      </x:c>
      <x:c r="O6" s="28"/>
      <x:c r="P6" s="28"/>
      <x:c r="Q6" s="28"/>
      <x:c r="R6" s="28"/>
      <x:c r="S6" s="28" t="str">
        <x:v>本大陆定向专属高阶基准的1.6倍底板；目标领先常规掉落约1—2大陆</x:v>
      </x:c>
    </x:row>
    <x:row r="7" ht="42" customHeight="1">
      <x:c r="A7" s="28" t="str">
        <x:v>C02-SYN-EQ-02</x:v>
      </x:c>
      <x:c r="B7" s="28" t="str">
        <x:v>C02</x:v>
      </x:c>
      <x:c r="C7" s="28" t="str">
        <x:v>百指接肢腕</x:v>
      </x:c>
      <x:c r="D7" s="28" t="str">
        <x:v>装备合成</x:v>
      </x:c>
      <x:c r="E7" s="28" t="str">
        <x:v>手镯</x:v>
      </x:c>
      <x:c r="F7" s="28" t="str">
        <x:v>流放腕铠＋百指腕甲</x:v>
      </x:c>
      <x:c r="G7" s="28" t="str">
        <x:v>风暴石片×120＋黄金树芽×12＋接肢王印×4＋失色锻造石×160</x:v>
      </x:c>
      <x:c r="H7" s="28" t="n">
        <x:v>4900000000</x:v>
      </x:c>
      <x:c r="I7" s="28" t="n">
        <x:v>31500000</x:v>
      </x:c>
      <x:c r="J7" s="28" t="str">
        <x:v>110-210</x:v>
      </x:c>
      <x:c r="K7" s="28" t="n">
        <x:v>85000</x:v>
      </x:c>
      <x:c r="L7" s="28" t="n">
        <x:v>16</x:v>
      </x:c>
      <x:c r="M7" s="28" t="n">
        <x:v>9</x:v>
      </x:c>
      <x:c r="N7" s="28" t="n">
        <x:v>14</x:v>
      </x:c>
      <x:c r="O7" s="28"/>
      <x:c r="P7" s="28"/>
      <x:c r="Q7" s="28"/>
      <x:c r="R7" s="28"/>
      <x:c r="S7" s="28" t="str">
        <x:v>本大陆定向专属高阶基准的1.6倍底板；目标领先常规掉落约1—2大陆</x:v>
      </x:c>
    </x:row>
    <x:row r="8" ht="42" customHeight="1">
      <x:c r="A8" s="28" t="str">
        <x:v>C03-SYN-EQ-01</x:v>
      </x:c>
      <x:c r="B8" s="28" t="str">
        <x:v>C03</x:v>
      </x:c>
      <x:c r="C8" s="28" t="str">
        <x:v>断途战冠</x:v>
      </x:c>
      <x:c r="D8" s="28" t="str">
        <x:v>装备合成</x:v>
      </x:c>
      <x:c r="E8" s="28" t="str">
        <x:v>头盔</x:v>
      </x:c>
      <x:c r="F8" s="28" t="str">
        <x:v>西境军盔＋西境征服冠</x:v>
      </x:c>
      <x:c r="G8" s="28" t="str">
        <x:v>风蚀铁片×180＋西境战旗印×5＋守垒铜钥×4＋失色锻造石×240</x:v>
      </x:c>
      <x:c r="H8" s="28" t="n">
        <x:v>16000000000</x:v>
      </x:c>
      <x:c r="I8" s="28" t="n">
        <x:v>0</x:v>
      </x:c>
      <x:c r="J8" s="28" t="str">
        <x:v>140-260</x:v>
      </x:c>
      <x:c r="K8" s="28" t="n">
        <x:v>270000</x:v>
      </x:c>
      <x:c r="L8" s="28" t="n">
        <x:v>17</x:v>
      </x:c>
      <x:c r="M8" s="28"/>
      <x:c r="N8" s="28"/>
      <x:c r="O8" s="28" t="n">
        <x:v>4</x:v>
      </x:c>
      <x:c r="P8" s="28"/>
      <x:c r="Q8" s="28"/>
      <x:c r="R8" s="28"/>
      <x:c r="S8" s="28" t="str">
        <x:v>本大陆定向专属高阶基准的1.6倍底板；目标领先常规掉落约1—2大陆</x:v>
      </x:c>
    </x:row>
    <x:row r="9" ht="42" customHeight="1">
      <x:c r="A9" s="28" t="str">
        <x:v>C03-SYN-EQ-02</x:v>
      </x:c>
      <x:c r="B9" s="28" t="str">
        <x:v>C03</x:v>
      </x:c>
      <x:c r="C9" s="28" t="str">
        <x:v>逐风征靴</x:v>
      </x:c>
      <x:c r="D9" s="28" t="str">
        <x:v>装备合成</x:v>
      </x:c>
      <x:c r="E9" s="28" t="str">
        <x:v>鞋子</x:v>
      </x:c>
      <x:c r="F9" s="28" t="str">
        <x:v>百夫战靴＋赐福战靴</x:v>
      </x:c>
      <x:c r="G9" s="28" t="str">
        <x:v>风蚀铁片×180＋裂风崖羽×40＋哨垒旗冠×1＋失色锻造石×240</x:v>
      </x:c>
      <x:c r="H9" s="28" t="n">
        <x:v>16000000000</x:v>
      </x:c>
      <x:c r="I9" s="28" t="n">
        <x:v>0</x:v>
      </x:c>
      <x:c r="J9" s="28" t="str">
        <x:v>100-200</x:v>
      </x:c>
      <x:c r="K9" s="28" t="n">
        <x:v>150000</x:v>
      </x:c>
      <x:c r="L9" s="28" t="n">
        <x:v>17</x:v>
      </x:c>
      <x:c r="M9" s="28"/>
      <x:c r="N9" s="28"/>
      <x:c r="O9" s="28" t="n">
        <x:v>4</x:v>
      </x:c>
      <x:c r="P9" s="28"/>
      <x:c r="Q9" s="28"/>
      <x:c r="R9" s="28" t="n">
        <x:v>2</x:v>
      </x:c>
      <x:c r="S9" s="28" t="str">
        <x:v>本大陆定向专属高阶基准的1.6倍底板；目标领先常规掉落约1—2大陆</x:v>
      </x:c>
    </x:row>
    <x:row r="10" ht="42" customHeight="1">
      <x:c r="A10" s="28" t="str">
        <x:v>C04-SYN-EQ-01</x:v>
      </x:c>
      <x:c r="B10" s="28" t="str">
        <x:v>C04</x:v>
      </x:c>
      <x:c r="C10" s="28" t="str">
        <x:v>闭潮王带</x:v>
      </x:c>
      <x:c r="D10" s="28" t="str">
        <x:v>装备合成</x:v>
      </x:c>
      <x:c r="E10" s="28" t="str">
        <x:v>腰带</x:v>
      </x:c>
      <x:c r="F10" s="28" t="str">
        <x:v>孢母菌带＋缝舱腰箍</x:v>
      </x:c>
      <x:c r="G10" s="28" t="str">
        <x:v>湖盐结晶×240＋沉船缆扣×16＋沉湖王印×7＋失色锻造石×360</x:v>
      </x:c>
      <x:c r="H10" s="28" t="n">
        <x:v>11000000000</x:v>
      </x:c>
      <x:c r="I10" s="28" t="n">
        <x:v>96500000</x:v>
      </x:c>
      <x:c r="J10" s="28" t="str">
        <x:v>210-400</x:v>
      </x:c>
      <x:c r="K10" s="28" t="n">
        <x:v>350000</x:v>
      </x:c>
      <x:c r="L10" s="28" t="n">
        <x:v>19</x:v>
      </x:c>
      <x:c r="M10" s="28"/>
      <x:c r="N10" s="28"/>
      <x:c r="O10" s="28" t="n">
        <x:v>4</x:v>
      </x:c>
      <x:c r="P10" s="28"/>
      <x:c r="Q10" s="28"/>
      <x:c r="R10" s="28" t="n">
        <x:v>1</x:v>
      </x:c>
      <x:c r="S10" s="28" t="str">
        <x:v>本大陆定向专属高阶基准的1.6倍底板；目标领先常规掉落约1—2大陆</x:v>
      </x:c>
    </x:row>
    <x:row r="11" ht="42" customHeight="1">
      <x:c r="A11" s="28" t="str">
        <x:v>C04-SYN-EQ-02</x:v>
      </x:c>
      <x:c r="B11" s="28" t="str">
        <x:v>C04</x:v>
      </x:c>
      <x:c r="C11" s="28" t="str">
        <x:v>月渊秘戒</x:v>
      </x:c>
      <x:c r="D11" s="28" t="str">
        <x:v>装备合成</x:v>
      </x:c>
      <x:c r="E11" s="28" t="str">
        <x:v>戒指</x:v>
      </x:c>
      <x:c r="F11" s="28" t="str">
        <x:v>蓝焰祷戒＋湖尸钥戒</x:v>
      </x:c>
      <x:c r="G11" s="28" t="str">
        <x:v>湖盐结晶×240＋雾潮银鳞×55＋湖底封门珠×2＋失色锻造石×360</x:v>
      </x:c>
      <x:c r="H11" s="28" t="n">
        <x:v>11000000000</x:v>
      </x:c>
      <x:c r="I11" s="28" t="n">
        <x:v>96500000</x:v>
      </x:c>
      <x:c r="J11" s="28" t="str">
        <x:v>350-670</x:v>
      </x:c>
      <x:c r="K11" s="28" t="n">
        <x:v>270000</x:v>
      </x:c>
      <x:c r="L11" s="28" t="n">
        <x:v>19</x:v>
      </x:c>
      <x:c r="M11" s="28" t="n">
        <x:v>11</x:v>
      </x:c>
      <x:c r="N11" s="28" t="n">
        <x:v>18</x:v>
      </x:c>
      <x:c r="O11" s="28"/>
      <x:c r="P11" s="28"/>
      <x:c r="Q11" s="28"/>
      <x:c r="R11" s="28"/>
      <x:c r="S11" s="28" t="str">
        <x:v>本大陆定向专属高阶基准的1.6倍底板；目标领先常规掉落约1—2大陆</x:v>
      </x:c>
    </x:row>
    <x:row r="12" ht="42" customHeight="1">
      <x:c r="A12" s="28" t="str">
        <x:v>C04-SYN-EQ-03</x:v>
      </x:c>
      <x:c r="B12" s="28" t="str">
        <x:v>C04</x:v>
      </x:c>
      <x:c r="C12" s="28" t="str">
        <x:v>闭潮秘饰</x:v>
      </x:c>
      <x:c r="D12" s="28" t="str">
        <x:v>装备合成</x:v>
      </x:c>
      <x:c r="E12" s="28" t="str">
        <x:v>时装首饰盒</x:v>
      </x:c>
      <x:c r="F12" s="28" t="str">
        <x:v>塞芙拉无声衣＋莱弥恩的封湖巨剑</x:v>
      </x:c>
      <x:c r="G12" s="28" t="str">
        <x:v>湖盐结晶×310＋深湖压舱印×6＋沉湖王印×9＋失色锻造石×460</x:v>
      </x:c>
      <x:c r="H12" s="28" t="n">
        <x:v>0</x:v>
      </x:c>
      <x:c r="I12" s="28" t="n">
        <x:v>292000000</x:v>
      </x:c>
      <x:c r="J12" s="28" t="str">
        <x:v>230-450</x:v>
      </x:c>
      <x:c r="K12" s="28" t="n">
        <x:v>460000</x:v>
      </x:c>
      <x:c r="L12" s="28" t="n">
        <x:v>19</x:v>
      </x:c>
      <x:c r="M12" s="28" t="n">
        <x:v>11</x:v>
      </x:c>
      <x:c r="N12" s="28" t="n">
        <x:v>18</x:v>
      </x:c>
      <x:c r="O12" s="28"/>
      <x:c r="P12" s="28"/>
      <x:c r="Q12" s="28"/>
      <x:c r="R12" s="28"/>
      <x:c r="S12" s="28" t="str">
        <x:v>本大陆定向专属高阶基准的1.6倍底板；目标领先常规掉落约1—2大陆</x:v>
      </x:c>
    </x:row>
    <x:row r="13" ht="42" customHeight="1">
      <x:c r="A13" s="28" t="str">
        <x:v>C05-SYN-EQ-01</x:v>
      </x:c>
      <x:c r="B13" s="28" t="str">
        <x:v>C05</x:v>
      </x:c>
      <x:c r="C13" s="28" t="str">
        <x:v>卡利亚月裁长刃</x:v>
      </x:c>
      <x:c r="D13" s="28" t="str">
        <x:v>装备合成</x:v>
      </x:c>
      <x:c r="E13" s="28" t="str">
        <x:v>武器</x:v>
      </x:c>
      <x:c r="F13" s="28" t="str">
        <x:v>深潮王女权杖＋终誓月裁剑</x:v>
      </x:c>
      <x:c r="G13" s="28" t="str">
        <x:v>辉石碎晶×380＋月蚀镜片×7＋满月王室印×10＋失色锻造石×600</x:v>
      </x:c>
      <x:c r="H13" s="28" t="n">
        <x:v>0</x:v>
      </x:c>
      <x:c r="I13" s="28" t="n">
        <x:v>496000000</x:v>
      </x:c>
      <x:c r="J13" s="28" t="str">
        <x:v>4200-8000</x:v>
      </x:c>
      <x:c r="K13" s="28" t="n">
        <x:v>480000</x:v>
      </x:c>
      <x:c r="L13" s="28" t="n">
        <x:v>38</x:v>
      </x:c>
      <x:c r="M13" s="28" t="n">
        <x:v>24</x:v>
      </x:c>
      <x:c r="N13" s="28" t="n">
        <x:v>30</x:v>
      </x:c>
      <x:c r="O13" s="28"/>
      <x:c r="P13" s="28"/>
      <x:c r="Q13" s="28" t="n">
        <x:v>5</x:v>
      </x:c>
      <x:c r="R13" s="28" t="n">
        <x:v>3</x:v>
      </x:c>
      <x:c r="S13" s="28" t="str">
        <x:v>本大陆定向专属高阶基准的1.6倍底板；目标领先常规掉落约1—2大陆</x:v>
      </x:c>
    </x:row>
    <x:row r="14" ht="42" customHeight="1">
      <x:c r="A14" s="28" t="str">
        <x:v>C05-SYN-EQ-02</x:v>
      </x:c>
      <x:c r="B14" s="28" t="str">
        <x:v>C05</x:v>
      </x:c>
      <x:c r="C14" s="28" t="str">
        <x:v>辉月镜戒</x:v>
      </x:c>
      <x:c r="D14" s="28" t="str">
        <x:v>装备合成</x:v>
      </x:c>
      <x:c r="E14" s="28" t="str">
        <x:v>时装戒指</x:v>
      </x:c>
      <x:c r="F14" s="28" t="str">
        <x:v>黄金树戒＋青曜噬光戒</x:v>
      </x:c>
      <x:c r="G14" s="28" t="str">
        <x:v>辉石碎晶×420＋雾月星砂×90＋禁域星钥×2＋失色锻造石×650</x:v>
      </x:c>
      <x:c r="H14" s="28" t="n">
        <x:v>0</x:v>
      </x:c>
      <x:c r="I14" s="28" t="n">
        <x:v>620000000</x:v>
      </x:c>
      <x:c r="J14" s="28" t="str">
        <x:v>570-1100</x:v>
      </x:c>
      <x:c r="K14" s="28" t="n">
        <x:v>550000</x:v>
      </x:c>
      <x:c r="L14" s="28" t="n">
        <x:v>21</x:v>
      </x:c>
      <x:c r="M14" s="28" t="n">
        <x:v>12</x:v>
      </x:c>
      <x:c r="N14" s="28" t="n">
        <x:v>20</x:v>
      </x:c>
      <x:c r="O14" s="28"/>
      <x:c r="P14" s="28"/>
      <x:c r="Q14" s="28"/>
      <x:c r="R14" s="28"/>
      <x:c r="S14" s="28" t="str">
        <x:v>本大陆定向专属高阶基准的1.6倍底板；目标领先常规掉落约1—2大陆</x:v>
      </x:c>
    </x:row>
    <x:row r="15" ht="42" customHeight="1">
      <x:c r="A15" s="28" t="str">
        <x:v>C06-SYN-EQ-01</x:v>
      </x:c>
      <x:c r="B15" s="28" t="str">
        <x:v>C06</x:v>
      </x:c>
      <x:c r="C15" s="28" t="str">
        <x:v>碎星红狮战甲</x:v>
      </x:c>
      <x:c r="D15" s="28" t="str">
        <x:v>装备合成</x:v>
      </x:c>
      <x:c r="E15" s="28" t="str">
        <x:v>衣服</x:v>
      </x:c>
      <x:c r="F15" s="28" t="str">
        <x:v>雷奥尼斯狮铠＋瑟芮血衣</x:v>
      </x:c>
      <x:c r="G15" s="28" t="str">
        <x:v>猩红矿渣×420＋红狮断箭×90＋红狮战印×12＋失色锻造石×700</x:v>
      </x:c>
      <x:c r="H15" s="28" t="n">
        <x:v>48500000000</x:v>
      </x:c>
      <x:c r="I15" s="28" t="n">
        <x:v>0</x:v>
      </x:c>
      <x:c r="J15" s="28" t="str">
        <x:v>880-1700</x:v>
      </x:c>
      <x:c r="K15" s="28" t="n">
        <x:v>3900000</x:v>
      </x:c>
      <x:c r="L15" s="28" t="n">
        <x:v>22</x:v>
      </x:c>
      <x:c r="M15" s="28"/>
      <x:c r="N15" s="28"/>
      <x:c r="O15" s="28" t="n">
        <x:v>15</x:v>
      </x:c>
      <x:c r="P15" s="28" t="n">
        <x:v>16</x:v>
      </x:c>
      <x:c r="Q15" s="28"/>
      <x:c r="R15" s="28"/>
      <x:c r="S15" s="28" t="str">
        <x:v>本大陆定向专属高阶基准的1.6倍底板；目标领先常规掉落约1—2大陆</x:v>
      </x:c>
    </x:row>
    <x:row r="16" ht="42" customHeight="1">
      <x:c r="A16" s="28" t="str">
        <x:v>C06-SYN-EQ-02</x:v>
      </x:c>
      <x:c r="B16" s="28" t="str">
        <x:v>C06</x:v>
      </x:c>
      <x:c r="C16" s="28" t="str">
        <x:v>龙火刑腕</x:v>
      </x:c>
      <x:c r="D16" s="28" t="str">
        <x:v>装备合成</x:v>
      </x:c>
      <x:c r="E16" s="28" t="str">
        <x:v>手镯</x:v>
      </x:c>
      <x:c r="F16" s="28" t="str">
        <x:v>烬鳞护腕＋血菌腕轮</x:v>
      </x:c>
      <x:c r="G16" s="28" t="str">
        <x:v>猩红矿渣×420＋净火腺囊×26＋龙窟熔牙×8＋失色锻造石×700</x:v>
      </x:c>
      <x:c r="H16" s="28" t="n">
        <x:v>48500000000</x:v>
      </x:c>
      <x:c r="I16" s="28" t="n">
        <x:v>0</x:v>
      </x:c>
      <x:c r="J16" s="28" t="str">
        <x:v>1100-2100</x:v>
      </x:c>
      <x:c r="K16" s="28" t="n">
        <x:v>850000</x:v>
      </x:c>
      <x:c r="L16" s="28" t="n">
        <x:v>22</x:v>
      </x:c>
      <x:c r="M16" s="28" t="n">
        <x:v>13</x:v>
      </x:c>
      <x:c r="N16" s="28" t="n">
        <x:v>22</x:v>
      </x:c>
      <x:c r="O16" s="28"/>
      <x:c r="P16" s="28"/>
      <x:c r="Q16" s="28"/>
      <x:c r="R16" s="28"/>
      <x:c r="S16" s="28" t="str">
        <x:v>本大陆定向专属高阶基准的1.6倍底板；目标领先常规掉落约1—2大陆</x:v>
      </x:c>
    </x:row>
    <x:row r="17" ht="42" customHeight="1">
      <x:c r="A17" s="28" t="str">
        <x:v>C06-SYN-EQ-03</x:v>
      </x:c>
      <x:c r="B17" s="28" t="str">
        <x:v>C06</x:v>
      </x:c>
      <x:c r="C17" s="28" t="str">
        <x:v>红狮余烬王衣</x:v>
      </x:c>
      <x:c r="D17" s="28" t="str">
        <x:v>装备合成</x:v>
      </x:c>
      <x:c r="E17" s="28" t="str">
        <x:v>时装衣服</x:v>
      </x:c>
      <x:c r="F17" s="28" t="str">
        <x:v>塞维拉狱衣＋拉塔恩碎星巨刃</x:v>
      </x:c>
      <x:c r="G17" s="28" t="str">
        <x:v>猩红矿渣×550＋碎星仪仗钉×2＋红狮战印×16＋失色锻造石×900</x:v>
      </x:c>
      <x:c r="H17" s="28" t="n">
        <x:v>44500000000</x:v>
      </x:c>
      <x:c r="I17" s="28" t="n">
        <x:v>372000000</x:v>
      </x:c>
      <x:c r="J17" s="28" t="str">
        <x:v>780-1500</x:v>
      </x:c>
      <x:c r="K17" s="28" t="n">
        <x:v>5100000</x:v>
      </x:c>
      <x:c r="L17" s="28" t="n">
        <x:v>22</x:v>
      </x:c>
      <x:c r="M17" s="28"/>
      <x:c r="N17" s="28"/>
      <x:c r="O17" s="28" t="n">
        <x:v>15</x:v>
      </x:c>
      <x:c r="P17" s="28" t="n">
        <x:v>16</x:v>
      </x:c>
      <x:c r="Q17" s="28"/>
      <x:c r="R17" s="28"/>
      <x:c r="S17" s="28" t="str">
        <x:v>本大陆定向专属高阶基准的1.6倍底板；目标领先常规掉落约1—2大陆</x:v>
      </x:c>
    </x:row>
    <x:row r="18" ht="42" customHeight="1">
      <x:c r="A18" s="28" t="str">
        <x:v>C07-SYN-EQ-01</x:v>
      </x:c>
      <x:c r="B18" s="28" t="str">
        <x:v>C07</x:v>
      </x:c>
      <x:c r="C18" s="28" t="str">
        <x:v>永霜白金刃</x:v>
      </x:c>
      <x:c r="D18" s="28" t="str">
        <x:v>装备合成</x:v>
      </x:c>
      <x:c r="E18" s="28" t="str">
        <x:v>时装武器</x:v>
      </x:c>
      <x:c r="F18" s="28" t="str">
        <x:v>诺薇霜镰＋赫洛冻拳</x:v>
      </x:c>
      <x:c r="G18" s="28" t="str">
        <x:v>冻晶尘×720＋白金路标片×145＋圣雪誓印×18＋失色锻造石×1250</x:v>
      </x:c>
      <x:c r="H18" s="28" t="n">
        <x:v>75000000000</x:v>
      </x:c>
      <x:c r="I18" s="28" t="n">
        <x:v>736000000</x:v>
      </x:c>
      <x:c r="J18" s="28" t="str">
        <x:v>4800-9200</x:v>
      </x:c>
      <x:c r="K18" s="28" t="n">
        <x:v>1700000</x:v>
      </x:c>
      <x:c r="L18" s="28" t="n">
        <x:v>44</x:v>
      </x:c>
      <x:c r="M18" s="28" t="n">
        <x:v>28</x:v>
      </x:c>
      <x:c r="N18" s="28" t="n">
        <x:v>36</x:v>
      </x:c>
      <x:c r="O18" s="28"/>
      <x:c r="P18" s="28"/>
      <x:c r="Q18" s="28" t="n">
        <x:v>5</x:v>
      </x:c>
      <x:c r="R18" s="28" t="n">
        <x:v>1</x:v>
      </x:c>
      <x:c r="S18" s="28" t="str">
        <x:v>本大陆定向专属高阶基准的1.6倍底板；目标领先常规掉落约1—2大陆</x:v>
      </x:c>
    </x:row>
    <x:row r="19" ht="42" customHeight="1">
      <x:c r="A19" s="28" t="str">
        <x:v>C07-SYN-EQ-02</x:v>
      </x:c>
      <x:c r="B19" s="28" t="str">
        <x:v>C07</x:v>
      </x:c>
      <x:c r="C19" s="28" t="str">
        <x:v>圣雪无火礼衣</x:v>
      </x:c>
      <x:c r="D19" s="28" t="str">
        <x:v>装备合成</x:v>
      </x:c>
      <x:c r="E19" s="28" t="str">
        <x:v>时装衣服</x:v>
      </x:c>
      <x:c r="F19" s="28" t="str">
        <x:v>乌尔寒铠＋埃琉斯永霜铠</x:v>
      </x:c>
      <x:c r="G19" s="28" t="str">
        <x:v>冻晶尘×720＋秘树霜芽×12＋圣雪门楔×4＋失色锻造石×1250</x:v>
      </x:c>
      <x:c r="H19" s="28" t="n">
        <x:v>75000000000</x:v>
      </x:c>
      <x:c r="I19" s="28" t="n">
        <x:v>736000000</x:v>
      </x:c>
      <x:c r="J19" s="28" t="str">
        <x:v>1500-2800</x:v>
      </x:c>
      <x:c r="K19" s="28" t="n">
        <x:v>9300000</x:v>
      </x:c>
      <x:c r="L19" s="28" t="n">
        <x:v>23</x:v>
      </x:c>
      <x:c r="M19" s="28"/>
      <x:c r="N19" s="28"/>
      <x:c r="O19" s="28" t="n">
        <x:v>15</x:v>
      </x:c>
      <x:c r="P19" s="28" t="n">
        <x:v>18</x:v>
      </x:c>
      <x:c r="Q19" s="28"/>
      <x:c r="R19" s="28"/>
      <x:c r="S19" s="28" t="str">
        <x:v>本大陆定向专属高阶基准的1.6倍底板；目标领先常规掉落约1—2大陆</x:v>
      </x:c>
    </x:row>
    <x:row r="20" ht="42" customHeight="1">
      <x:c r="A20" s="28" t="str">
        <x:v>C08-SYN-EQ-01</x:v>
      </x:c>
      <x:c r="B20" s="28" t="str">
        <x:v>C08</x:v>
      </x:c>
      <x:c r="C20" s="28" t="str">
        <x:v>巨人炉心颈环</x:v>
      </x:c>
      <x:c r="D20" s="28" t="str">
        <x:v>装备合成</x:v>
      </x:c>
      <x:c r="E20" s="28" t="str">
        <x:v>项链</x:v>
      </x:c>
      <x:c r="F20" s="28" t="str">
        <x:v>雪鸦冰喙坠＋寒翼听风坠</x:v>
      </x:c>
      <x:c r="G20" s="28" t="str">
        <x:v>霜脊铁×700＋登山铁楔×145＋巨人火印×20＋失色锻造石×1300</x:v>
      </x:c>
      <x:c r="H20" s="28" t="n">
        <x:v>99000000000</x:v>
      </x:c>
      <x:c r="I20" s="28" t="n">
        <x:v>0</x:v>
      </x:c>
      <x:c r="J20" s="28" t="str">
        <x:v>3300-6300</x:v>
      </x:c>
      <x:c r="K20" s="28" t="n">
        <x:v>2700000</x:v>
      </x:c>
      <x:c r="L20" s="28" t="n">
        <x:v>25</x:v>
      </x:c>
      <x:c r="M20" s="28" t="n">
        <x:v>15</x:v>
      </x:c>
      <x:c r="N20" s="28" t="n">
        <x:v>26</x:v>
      </x:c>
      <x:c r="O20" s="28"/>
      <x:c r="P20" s="28"/>
      <x:c r="Q20" s="28"/>
      <x:c r="R20" s="28" t="n">
        <x:v>1</x:v>
      </x:c>
      <x:c r="S20" s="28" t="str">
        <x:v>本大陆定向专属高阶基准的1.6倍底板；目标领先常规掉落约1—2大陆</x:v>
      </x:c>
    </x:row>
    <x:row r="21" ht="42" customHeight="1">
      <x:c r="A21" s="28" t="str">
        <x:v>C08-SYN-EQ-02</x:v>
      </x:c>
      <x:c r="B21" s="28" t="str">
        <x:v>C08</x:v>
      </x:c>
      <x:c r="C21" s="28" t="str">
        <x:v>吞日霜壁</x:v>
      </x:c>
      <x:c r="D21" s="28" t="str">
        <x:v>装备合成</x:v>
      </x:c>
      <x:c r="E21" s="28" t="str">
        <x:v>盾牌</x:v>
      </x:c>
      <x:c r="F21" s="28" t="str">
        <x:v>负碑王座盾＋外廊纹冰盾</x:v>
      </x:c>
      <x:c r="G21" s="28" t="str">
        <x:v>霜脊铁×700＋裂峰号角片×44＋冰宫守门铃×12＋失色锻造石×1300</x:v>
      </x:c>
      <x:c r="H21" s="28" t="n">
        <x:v>99000000000</x:v>
      </x:c>
      <x:c r="I21" s="28" t="n">
        <x:v>0</x:v>
      </x:c>
      <x:c r="J21" s="28" t="str">
        <x:v>2800-5400</x:v>
      </x:c>
      <x:c r="K21" s="28" t="n">
        <x:v>7700000</x:v>
      </x:c>
      <x:c r="L21" s="28" t="n">
        <x:v>25</x:v>
      </x:c>
      <x:c r="M21" s="28"/>
      <x:c r="N21" s="28"/>
      <x:c r="O21" s="28" t="n">
        <x:v>15</x:v>
      </x:c>
      <x:c r="P21" s="28" t="n">
        <x:v>20</x:v>
      </x:c>
      <x:c r="Q21" s="28"/>
      <x:c r="R21" s="28" t="n">
        <x:v>2</x:v>
      </x:c>
      <x:c r="S21" s="28" t="str">
        <x:v>本大陆定向专属高阶基准的1.6倍底板；目标领先常规掉落约1—2大陆</x:v>
      </x:c>
    </x:row>
    <x:row r="22" ht="42" customHeight="1">
      <x:c r="A22" s="28" t="str">
        <x:v>C08-SYN-EQ-03</x:v>
      </x:c>
      <x:c r="B22" s="28" t="str">
        <x:v>C08</x:v>
      </x:c>
      <x:c r="C22" s="28" t="str">
        <x:v>穹霜炉心秘饰</x:v>
      </x:c>
      <x:c r="D22" s="28" t="str">
        <x:v>装备合成</x:v>
      </x:c>
      <x:c r="E22" s="28" t="str">
        <x:v>时装首饰盒</x:v>
      </x:c>
      <x:c r="F22" s="28" t="str">
        <x:v>赫芮迦穹霜王衣＋乌尔迈吞日巨剑</x:v>
      </x:c>
      <x:c r="G22" s="28" t="str">
        <x:v>霜脊铁×910＋王庭炉冠×4＋巨人火印×24＋失色锻造石×1700</x:v>
      </x:c>
      <x:c r="H22" s="28" t="n">
        <x:v>91000000000</x:v>
      </x:c>
      <x:c r="I22" s="28" t="n">
        <x:v>779000000</x:v>
      </x:c>
      <x:c r="J22" s="28" t="str">
        <x:v>2300-4500</x:v>
      </x:c>
      <x:c r="K22" s="28" t="n">
        <x:v>4600000</x:v>
      </x:c>
      <x:c r="L22" s="28" t="n">
        <x:v>25</x:v>
      </x:c>
      <x:c r="M22" s="28" t="n">
        <x:v>15</x:v>
      </x:c>
      <x:c r="N22" s="28" t="n">
        <x:v>26</x:v>
      </x:c>
      <x:c r="O22" s="28"/>
      <x:c r="P22" s="28"/>
      <x:c r="Q22" s="28"/>
      <x:c r="R22" s="28"/>
      <x:c r="S22" s="28" t="str">
        <x:v>本大陆定向专属高阶基准的1.6倍底板；目标领先常规掉落约1—2大陆</x:v>
      </x:c>
    </x:row>
    <x:row r="23" ht="42" customHeight="1">
      <x:c r="A23" s="28" t="str">
        <x:v>C09-SYN-EQ-01</x:v>
      </x:c>
      <x:c r="B23" s="28" t="str">
        <x:v>C09</x:v>
      </x:c>
      <x:c r="C23" s="28" t="str">
        <x:v>黄金律裁阳刃</x:v>
      </x:c>
      <x:c r="D23" s="28" t="str">
        <x:v>装备合成</x:v>
      </x:c>
      <x:c r="E23" s="28" t="str">
        <x:v>武器</x:v>
      </x:c>
      <x:c r="F23" s="28" t="str">
        <x:v>罗梵迪壁垒长戟＋阿尔维萨蚀日王刃</x:v>
      </x:c>
      <x:c r="G23" s="28" t="str">
        <x:v>黄金叶脉×1000＋裁文蜡封×18＋黄金律印×28＋失色锻造石×2200</x:v>
      </x:c>
      <x:c r="H23" s="28" t="n">
        <x:v>0</x:v>
      </x:c>
      <x:c r="I23" s="28" t="n">
        <x:v>2840000000</x:v>
      </x:c>
      <x:c r="J23" s="28" t="str">
        <x:v>42000-80000</x:v>
      </x:c>
      <x:c r="K23" s="28" t="n">
        <x:v>4800000</x:v>
      </x:c>
      <x:c r="L23" s="28" t="n">
        <x:v>50</x:v>
      </x:c>
      <x:c r="M23" s="28" t="n">
        <x:v>32</x:v>
      </x:c>
      <x:c r="N23" s="28" t="n">
        <x:v>42</x:v>
      </x:c>
      <x:c r="O23" s="28"/>
      <x:c r="P23" s="28"/>
      <x:c r="Q23" s="28" t="n">
        <x:v>5</x:v>
      </x:c>
      <x:c r="R23" s="28" t="n">
        <x:v>5</x:v>
      </x:c>
      <x:c r="S23" s="28" t="str">
        <x:v>本大陆定向专属高阶基准的1.6倍底板；目标领先常规掉落约1—2大陆</x:v>
      </x:c>
    </x:row>
    <x:row r="24" ht="42" customHeight="1">
      <x:c r="A24" s="28" t="str">
        <x:v>C09-SYN-EQ-02</x:v>
      </x:c>
      <x:c r="B24" s="28" t="str">
        <x:v>C09</x:v>
      </x:c>
      <x:c r="C24" s="28" t="str">
        <x:v>鎏日王仪战衣</x:v>
      </x:c>
      <x:c r="D24" s="28" t="str">
        <x:v>装备合成</x:v>
      </x:c>
      <x:c r="E24" s="28" t="str">
        <x:v>时装衣服</x:v>
      </x:c>
      <x:c r="F24" s="28" t="str">
        <x:v>艾德莉雅鎏辉圣衣＋赫桑达执宪战衣</x:v>
      </x:c>
      <x:c r="G24" s="28" t="str">
        <x:v>黄金叶脉×1100＋高原王诏金版×5＋黄金律印×32＋失色锻造石×2300</x:v>
      </x:c>
      <x:c r="H24" s="28" t="n">
        <x:v>0</x:v>
      </x:c>
      <x:c r="I24" s="28" t="n">
        <x:v>3550000000</x:v>
      </x:c>
      <x:c r="J24" s="28" t="str">
        <x:v>4600-8800</x:v>
      </x:c>
      <x:c r="K24" s="28" t="n">
        <x:v>29000000</x:v>
      </x:c>
      <x:c r="L24" s="28" t="n">
        <x:v>27</x:v>
      </x:c>
      <x:c r="M24" s="28"/>
      <x:c r="N24" s="28"/>
      <x:c r="O24" s="28" t="n">
        <x:v>16</x:v>
      </x:c>
      <x:c r="P24" s="28" t="n">
        <x:v>22</x:v>
      </x:c>
      <x:c r="Q24" s="28"/>
      <x:c r="R24" s="28"/>
      <x:c r="S24" s="28" t="str">
        <x:v>本大陆定向专属高阶基准的1.6倍底板；目标领先常规掉落约1—2大陆</x:v>
      </x:c>
    </x:row>
    <x:row r="25" ht="42" customHeight="1">
      <x:c r="A25" s="28" t="str">
        <x:v>C10-SYN-EQ-01</x:v>
      </x:c>
      <x:c r="B25" s="28" t="str">
        <x:v>C10</x:v>
      </x:c>
      <x:c r="C25" s="28" t="str">
        <x:v>王座终裁圣刃</x:v>
      </x:c>
      <x:c r="D25" s="28" t="str">
        <x:v>装备合成</x:v>
      </x:c>
      <x:c r="E25" s="28" t="str">
        <x:v>武器</x:v>
      </x:c>
      <x:c r="F25" s="28" t="str">
        <x:v>千锁断流铡＋万冠终律圣刃</x:v>
      </x:c>
      <x:c r="G25" s="28" t="str">
        <x:v>王城金屑×1100＋王宫断冠片×6＋艾尔登王印×36＋失色锻造石×3000</x:v>
      </x:c>
      <x:c r="H25" s="28" t="n">
        <x:v>136000000000</x:v>
      </x:c>
      <x:c r="I25" s="28" t="n">
        <x:v>1620000000</x:v>
      </x:c>
      <x:c r="J25" s="28" t="str">
        <x:v>73000-140000</x:v>
      </x:c>
      <x:c r="K25" s="28" t="n">
        <x:v>8500000</x:v>
      </x:c>
      <x:c r="L25" s="28" t="n">
        <x:v>53</x:v>
      </x:c>
      <x:c r="M25" s="28" t="n">
        <x:v>34</x:v>
      </x:c>
      <x:c r="N25" s="28" t="n">
        <x:v>45</x:v>
      </x:c>
      <x:c r="O25" s="28"/>
      <x:c r="P25" s="28"/>
      <x:c r="Q25" s="28" t="n">
        <x:v>5</x:v>
      </x:c>
      <x:c r="R25" s="28" t="n">
        <x:v>5</x:v>
      </x:c>
      <x:c r="S25" s="28" t="str">
        <x:v>本大陆定向专属高阶基准的1.6倍底板；目标领先常规掉落约1—2大陆</x:v>
      </x:c>
    </x:row>
    <x:row r="26" ht="42" customHeight="1">
      <x:c r="A26" s="28" t="str">
        <x:v>C10-SYN-EQ-02</x:v>
      </x:c>
      <x:c r="B26" s="28" t="str">
        <x:v>C10</x:v>
      </x:c>
      <x:c r="C26" s="28" t="str">
        <x:v>艾尔登无冕王衣</x:v>
      </x:c>
      <x:c r="D26" s="28" t="str">
        <x:v>装备合成</x:v>
      </x:c>
      <x:c r="E26" s="28" t="str">
        <x:v>时装衣服</x:v>
      </x:c>
      <x:c r="F26" s="28" t="str">
        <x:v>永辉空王礼服＋吞碑枯寝大氅</x:v>
      </x:c>
      <x:c r="G26" s="28" t="str">
        <x:v>王城金屑×1150＋无名墓钉×290＋艾尔登王印×40＋失色锻造石×3200</x:v>
      </x:c>
      <x:c r="H26" s="28" t="n">
        <x:v>170000000000</x:v>
      </x:c>
      <x:c r="I26" s="28" t="n">
        <x:v>2030000000</x:v>
      </x:c>
      <x:c r="J26" s="28" t="str">
        <x:v>7800-15000</x:v>
      </x:c>
      <x:c r="K26" s="28" t="n">
        <x:v>51000000</x:v>
      </x:c>
      <x:c r="L26" s="28" t="n">
        <x:v>28</x:v>
      </x:c>
      <x:c r="M26" s="28"/>
      <x:c r="N26" s="28"/>
      <x:c r="O26" s="28" t="n">
        <x:v>16</x:v>
      </x:c>
      <x:c r="P26" s="28" t="n">
        <x:v>24</x:v>
      </x:c>
      <x:c r="Q26" s="28"/>
      <x:c r="R26" s="28"/>
      <x:c r="S26" s="28" t="str">
        <x:v>本大陆定向专属高阶基准的1.6倍底板；目标领先常规掉落约1—2大陆</x:v>
      </x:c>
    </x:row>
    <x:row r="27" ht="42" customHeight="1">
      <x:c r="A27" s="28" t="str">
        <x:v>C10-SYN-EQ-03</x:v>
      </x:c>
      <x:c r="B27" s="28" t="str">
        <x:v>C10</x:v>
      </x:c>
      <x:c r="C27" s="28" t="str">
        <x:v>无上王徽秘饰</x:v>
      </x:c>
      <x:c r="D27" s="28" t="str">
        <x:v>装备合成</x:v>
      </x:c>
      <x:c r="E27" s="28" t="str">
        <x:v>时装首饰盒</x:v>
      </x:c>
      <x:c r="F27" s="28" t="str">
        <x:v>无声执冠勋章＋碎日禁卫斗笠</x:v>
      </x:c>
      <x:c r="G27" s="28" t="str">
        <x:v>王城金屑×1150＋旧渠阀芯×90＋失温熔炉楔×22＋艾尔登王印×40＋失色锻造石×3200</x:v>
      </x:c>
      <x:c r="H27" s="28" t="n">
        <x:v>170000000000</x:v>
      </x:c>
      <x:c r="I27" s="28" t="n">
        <x:v>2030000000</x:v>
      </x:c>
      <x:c r="J27" s="28" t="str">
        <x:v>7300-14000</x:v>
      </x:c>
      <x:c r="K27" s="28" t="n">
        <x:v>14400000</x:v>
      </x:c>
      <x:c r="L27" s="28" t="n">
        <x:v>28</x:v>
      </x:c>
      <x:c r="M27" s="28" t="n">
        <x:v>17</x:v>
      </x:c>
      <x:c r="N27" s="28" t="n">
        <x:v>30</x:v>
      </x:c>
      <x:c r="O27" s="28"/>
      <x:c r="P27" s="28"/>
      <x:c r="Q27" s="28"/>
      <x:c r="R27" s="28"/>
      <x:c r="S27" s="28" t="str">
        <x:v>本大陆定向专属高阶基准的1.6倍底板；目标领先常规掉落约1—2大陆</x:v>
      </x:c>
    </x:row>
    <x:row r="28" ht="42" customHeight="1">
      <x:c r="A28" s="28" t="str">
        <x:v>C01-SYN-ZD-01</x:v>
      </x:c>
      <x:c r="B28" s="28" t="str">
        <x:v>C01</x:v>
      </x:c>
      <x:c r="C28" s="28" t="str">
        <x:v>子鼠·潮舱寻金</x:v>
      </x:c>
      <x:c r="D28" s="28" t="str">
        <x:v>生肖合成</x:v>
      </x:c>
      <x:c r="E28" s="28" t="str">
        <x:v>生肖1</x:v>
      </x:c>
      <x:c r="F28" s="28" t="str">
        <x:v>腐树子鼠＋唤潮旧勋</x:v>
      </x:c>
      <x:c r="G28" s="28" t="str">
        <x:v>海蚀铁片×40＋漂流见证·潮×6</x:v>
      </x:c>
      <x:c r="H28" s="28" t="n">
        <x:v>1100000000</x:v>
      </x:c>
      <x:c r="I28" s="28" t="n">
        <x:v>0</x:v>
      </x:c>
      <x:c r="J28" s="28" t="str">
        <x:v>11-22</x:v>
      </x:c>
      <x:c r="K28" s="28" t="n">
        <x:v>29000</x:v>
      </x:c>
      <x:c r="L28" s="28" t="n">
        <x:v>15</x:v>
      </x:c>
      <x:c r="M28" s="28"/>
      <x:c r="N28" s="28"/>
      <x:c r="O28" s="28"/>
      <x:c r="P28" s="28"/>
      <x:c r="Q28" s="28"/>
      <x:c r="R28" s="28"/>
      <x:c r="S28" s="28" t="str">
        <x:v>同槽长期收藏型；底板低于同期重点合成装备</x:v>
      </x:c>
    </x:row>
    <x:row r="29" ht="42" customHeight="1">
      <x:c r="A29" s="28" t="str">
        <x:v>C02-SYN-ZD-01</x:v>
      </x:c>
      <x:c r="B29" s="28" t="str">
        <x:v>C02</x:v>
      </x:c>
      <x:c r="C29" s="28" t="str">
        <x:v>丑牛·风暴负山</x:v>
      </x:c>
      <x:c r="D29" s="28" t="str">
        <x:v>生肖合成</x:v>
      </x:c>
      <x:c r="E29" s="28" t="str">
        <x:v>生肖2</x:v>
      </x:c>
      <x:c r="F29" s="28" t="str">
        <x:v>百臂丑牛＋关隘铁甲</x:v>
      </x:c>
      <x:c r="G29" s="28" t="str">
        <x:v>风暴石片×60＋接肢王印×2</x:v>
      </x:c>
      <x:c r="H29" s="28" t="n">
        <x:v>0</x:v>
      </x:c>
      <x:c r="I29" s="28" t="n">
        <x:v>38000000</x:v>
      </x:c>
      <x:c r="J29" s="28" t="str">
        <x:v>25-49</x:v>
      </x:c>
      <x:c r="K29" s="28" t="n">
        <x:v>64000</x:v>
      </x:c>
      <x:c r="L29" s="28" t="n">
        <x:v>16</x:v>
      </x:c>
      <x:c r="M29" s="28"/>
      <x:c r="N29" s="28"/>
      <x:c r="O29" s="28"/>
      <x:c r="P29" s="28"/>
      <x:c r="Q29" s="28"/>
      <x:c r="R29" s="28"/>
      <x:c r="S29" s="28" t="str">
        <x:v>同槽长期收藏型；底板低于同期重点合成装备</x:v>
      </x:c>
    </x:row>
    <x:row r="30" ht="42" customHeight="1">
      <x:c r="A30" s="28" t="str">
        <x:v>C03-SYN-ZD-01</x:v>
      </x:c>
      <x:c r="B30" s="28" t="str">
        <x:v>C03</x:v>
      </x:c>
      <x:c r="C30" s="28" t="str">
        <x:v>辰龙·荒原逐风</x:v>
      </x:c>
      <x:c r="D30" s="28" t="str">
        <x:v>生肖合成</x:v>
      </x:c>
      <x:c r="E30" s="28" t="str">
        <x:v>生肖5</x:v>
      </x:c>
      <x:c r="F30" s="28" t="str">
        <x:v>猎犬辰龙＋裂风战旗刃</x:v>
      </x:c>
      <x:c r="G30" s="28" t="str">
        <x:v>风蚀铁片×90＋西境战旗印×3</x:v>
      </x:c>
      <x:c r="H30" s="28" t="n">
        <x:v>10500000000</x:v>
      </x:c>
      <x:c r="I30" s="28" t="n">
        <x:v>0</x:v>
      </x:c>
      <x:c r="J30" s="28" t="str">
        <x:v>47-90</x:v>
      </x:c>
      <x:c r="K30" s="28" t="n">
        <x:v>120000</x:v>
      </x:c>
      <x:c r="L30" s="28" t="n">
        <x:v>17</x:v>
      </x:c>
      <x:c r="M30" s="28"/>
      <x:c r="N30" s="28"/>
      <x:c r="O30" s="28"/>
      <x:c r="P30" s="28"/>
      <x:c r="Q30" s="28"/>
      <x:c r="R30" s="28"/>
      <x:c r="S30" s="28" t="str">
        <x:v>同槽长期收藏型；底板低于同期重点合成装备</x:v>
      </x:c>
    </x:row>
    <x:row r="31" ht="42" customHeight="1">
      <x:c r="A31" s="28" t="str">
        <x:v>C04-SYN-ZD-01</x:v>
      </x:c>
      <x:c r="B31" s="28" t="str">
        <x:v>C04</x:v>
      </x:c>
      <x:c r="C31" s="28" t="str">
        <x:v>巳蛇·沉潮缚月</x:v>
      </x:c>
      <x:c r="D31" s="28" t="str">
        <x:v>生肖合成</x:v>
      </x:c>
      <x:c r="E31" s="28" t="str">
        <x:v>生肖6</x:v>
      </x:c>
      <x:c r="F31" s="28" t="str">
        <x:v>祖魂巳蛇＋罗缇的回流剑</x:v>
      </x:c>
      <x:c r="G31" s="28" t="str">
        <x:v>湖盐结晶×120＋沉湖王印×4</x:v>
      </x:c>
      <x:c r="H31" s="28" t="n">
        <x:v>7400000000</x:v>
      </x:c>
      <x:c r="I31" s="28" t="n">
        <x:v>64500000</x:v>
      </x:c>
      <x:c r="J31" s="28" t="str">
        <x:v>83-160</x:v>
      </x:c>
      <x:c r="K31" s="28" t="n">
        <x:v>200000</x:v>
      </x:c>
      <x:c r="L31" s="28" t="n">
        <x:v>19</x:v>
      </x:c>
      <x:c r="M31" s="28"/>
      <x:c r="N31" s="28"/>
      <x:c r="O31" s="28"/>
      <x:c r="P31" s="28"/>
      <x:c r="Q31" s="28"/>
      <x:c r="R31" s="28"/>
      <x:c r="S31" s="28" t="str">
        <x:v>同槽长期收藏型；底板低于同期重点合成装备</x:v>
      </x:c>
    </x:row>
    <x:row r="32" ht="42" customHeight="1">
      <x:c r="A32" s="28" t="str">
        <x:v>C05-SYN-ZD-01</x:v>
      </x:c>
      <x:c r="B32" s="28" t="str">
        <x:v>C05</x:v>
      </x:c>
      <x:c r="C32" s="28" t="str">
        <x:v>卯兔·镜月折辉</x:v>
      </x:c>
      <x:c r="D32" s="28" t="str">
        <x:v>生肖合成</x:v>
      </x:c>
      <x:c r="E32" s="28" t="str">
        <x:v>生肖4</x:v>
      </x:c>
      <x:c r="F32" s="28" t="str">
        <x:v>无月卯兔＋月契封印带</x:v>
      </x:c>
      <x:c r="G32" s="28" t="str">
        <x:v>辉石碎晶×160＋满月王室印×5</x:v>
      </x:c>
      <x:c r="H32" s="28" t="n">
        <x:v>0</x:v>
      </x:c>
      <x:c r="I32" s="28" t="n">
        <x:v>248000000</x:v>
      </x:c>
      <x:c r="J32" s="28" t="str">
        <x:v>150-280</x:v>
      </x:c>
      <x:c r="K32" s="28" t="n">
        <x:v>360000</x:v>
      </x:c>
      <x:c r="L32" s="28" t="n">
        <x:v>21</x:v>
      </x:c>
      <x:c r="M32" s="28"/>
      <x:c r="N32" s="28"/>
      <x:c r="O32" s="28"/>
      <x:c r="P32" s="28"/>
      <x:c r="Q32" s="28"/>
      <x:c r="R32" s="28"/>
      <x:c r="S32" s="28" t="str">
        <x:v>同槽长期收藏型；底板低于同期重点合成装备</x:v>
      </x:c>
    </x:row>
    <x:row r="33" ht="42" customHeight="1">
      <x:c r="A33" s="28" t="str">
        <x:v>C06-SYN-ZD-01</x:v>
      </x:c>
      <x:c r="B33" s="28" t="str">
        <x:v>C06</x:v>
      </x:c>
      <x:c r="C33" s="28" t="str">
        <x:v>寅虎·红狮焚原</x:v>
      </x:c>
      <x:c r="D33" s="28" t="str">
        <x:v>生肖合成</x:v>
      </x:c>
      <x:c r="E33" s="28" t="str">
        <x:v>生肖3</x:v>
      </x:c>
      <x:c r="F33" s="28" t="str">
        <x:v>长戟寅虎＋阿格纳龙牙</x:v>
      </x:c>
      <x:c r="G33" s="28" t="str">
        <x:v>猩红矿渣×210＋红狮战印×7</x:v>
      </x:c>
      <x:c r="H33" s="28" t="n">
        <x:v>32500000000</x:v>
      </x:c>
      <x:c r="I33" s="28" t="n">
        <x:v>0</x:v>
      </x:c>
      <x:c r="J33" s="28" t="str">
        <x:v>250-490</x:v>
      </x:c>
      <x:c r="K33" s="28" t="n">
        <x:v>640000</x:v>
      </x:c>
      <x:c r="L33" s="28" t="n">
        <x:v>22</x:v>
      </x:c>
      <x:c r="M33" s="28"/>
      <x:c r="N33" s="28"/>
      <x:c r="O33" s="28"/>
      <x:c r="P33" s="28"/>
      <x:c r="Q33" s="28"/>
      <x:c r="R33" s="28"/>
      <x:c r="S33" s="28" t="str">
        <x:v>同槽长期收藏型；底板低于同期重点合成装备</x:v>
      </x:c>
    </x:row>
    <x:row r="34" ht="42" customHeight="1">
      <x:c r="A34" s="28" t="str">
        <x:v>C07-SYN-ZD-01</x:v>
      </x:c>
      <x:c r="B34" s="28" t="str">
        <x:v>C07</x:v>
      </x:c>
      <x:c r="C34" s="28" t="str">
        <x:v>未羊·永霜引路</x:v>
      </x:c>
      <x:c r="D34" s="28" t="str">
        <x:v>生肖合成</x:v>
      </x:c>
      <x:c r="E34" s="28" t="str">
        <x:v>生肖8</x:v>
      </x:c>
      <x:c r="F34" s="28" t="str">
        <x:v>葬日未羊＋芙蕾冰冠</x:v>
      </x:c>
      <x:c r="G34" s="28" t="str">
        <x:v>冻晶尘×280＋圣雪誓印×9</x:v>
      </x:c>
      <x:c r="H34" s="28" t="n">
        <x:v>30000000000</x:v>
      </x:c>
      <x:c r="I34" s="28" t="n">
        <x:v>295000000</x:v>
      </x:c>
      <x:c r="J34" s="28" t="str">
        <x:v>470-900</x:v>
      </x:c>
      <x:c r="K34" s="28" t="n">
        <x:v>1200000</x:v>
      </x:c>
      <x:c r="L34" s="28" t="n">
        <x:v>23</x:v>
      </x:c>
      <x:c r="M34" s="28"/>
      <x:c r="N34" s="28"/>
      <x:c r="O34" s="28"/>
      <x:c r="P34" s="28"/>
      <x:c r="Q34" s="28"/>
      <x:c r="R34" s="28"/>
      <x:c r="S34" s="28" t="str">
        <x:v>同槽长期收藏型；底板低于同期重点合成装备</x:v>
      </x:c>
    </x:row>
    <x:row r="35" ht="42" customHeight="1">
      <x:c r="A35" s="28" t="str">
        <x:v>C08-SYN-ZD-01</x:v>
      </x:c>
      <x:c r="B35" s="28" t="str">
        <x:v>C08</x:v>
      </x:c>
      <x:c r="C35" s="28" t="str">
        <x:v>午马·霜脊踏天</x:v>
      </x:c>
      <x:c r="D35" s="28" t="str">
        <x:v>生肖合成</x:v>
      </x:c>
      <x:c r="E35" s="28" t="str">
        <x:v>生肖7</x:v>
      </x:c>
      <x:c r="F35" s="28" t="str">
        <x:v>死水午马＋赫罗姆凿峰槌</x:v>
      </x:c>
      <x:c r="G35" s="28" t="str">
        <x:v>霜脊铁×350＋巨人火印×12</x:v>
      </x:c>
      <x:c r="H35" s="28" t="n">
        <x:v>66000000000</x:v>
      </x:c>
      <x:c r="I35" s="28" t="n">
        <x:v>0</x:v>
      </x:c>
      <x:c r="J35" s="28" t="str">
        <x:v>830-1600</x:v>
      </x:c>
      <x:c r="K35" s="28" t="n">
        <x:v>2000000</x:v>
      </x:c>
      <x:c r="L35" s="28" t="n">
        <x:v>25</x:v>
      </x:c>
      <x:c r="M35" s="28"/>
      <x:c r="N35" s="28"/>
      <x:c r="O35" s="28"/>
      <x:c r="P35" s="28"/>
      <x:c r="Q35" s="28"/>
      <x:c r="R35" s="28"/>
      <x:c r="S35" s="28" t="str">
        <x:v>同槽长期收藏型；底板低于同期重点合成装备</x:v>
      </x:c>
    </x:row>
    <x:row r="36" ht="42" customHeight="1">
      <x:c r="A36" s="28" t="str">
        <x:v>C09-SYN-ZD-01</x:v>
      </x:c>
      <x:c r="B36" s="28" t="str">
        <x:v>C09</x:v>
      </x:c>
      <x:c r="C36" s="28" t="str">
        <x:v>酉鸡·鎏日司晨</x:v>
      </x:c>
      <x:c r="D36" s="28" t="str">
        <x:v>生肖合成</x:v>
      </x:c>
      <x:c r="E36" s="28" t="str">
        <x:v>生肖10</x:v>
      </x:c>
      <x:c r="F36" s="28" t="str">
        <x:v>恶兆酉鸡＋赛维兰裁阳杖</x:v>
      </x:c>
      <x:c r="G36" s="28" t="str">
        <x:v>黄金叶脉×420＋黄金律印×16</x:v>
      </x:c>
      <x:c r="H36" s="28" t="n">
        <x:v>0</x:v>
      </x:c>
      <x:c r="I36" s="28" t="n">
        <x:v>1420000000</x:v>
      </x:c>
      <x:c r="J36" s="28" t="str">
        <x:v>1500-2800</x:v>
      </x:c>
      <x:c r="K36" s="28" t="n">
        <x:v>3600000</x:v>
      </x:c>
      <x:c r="L36" s="28" t="n">
        <x:v>27</x:v>
      </x:c>
      <x:c r="M36" s="28"/>
      <x:c r="N36" s="28"/>
      <x:c r="O36" s="28"/>
      <x:c r="P36" s="28"/>
      <x:c r="Q36" s="28"/>
      <x:c r="R36" s="28"/>
      <x:c r="S36" s="28" t="str">
        <x:v>同槽长期收藏型；底板低于同期重点合成装备</x:v>
      </x:c>
    </x:row>
    <x:row r="37" ht="42" customHeight="1">
      <x:c r="A37" s="28" t="str">
        <x:v>C10-SYN-ZD-01</x:v>
      </x:c>
      <x:c r="B37" s="28" t="str">
        <x:v>C10</x:v>
      </x:c>
      <x:c r="C37" s="28" t="str">
        <x:v>戌狗·王座守门</x:v>
      </x:c>
      <x:c r="D37" s="28" t="str">
        <x:v>生肖合成</x:v>
      </x:c>
      <x:c r="E37" s="28" t="str">
        <x:v>生肖11</x:v>
      </x:c>
      <x:c r="F37" s="28" t="str">
        <x:v>失乡戌狗＋返魂寝门盾</x:v>
      </x:c>
      <x:c r="G37" s="28" t="str">
        <x:v>王城金屑×450＋艾尔登王印×20</x:v>
      </x:c>
      <x:c r="H37" s="28" t="n">
        <x:v>68000000000</x:v>
      </x:c>
      <x:c r="I37" s="28" t="n">
        <x:v>812000000</x:v>
      </x:c>
      <x:c r="J37" s="28" t="str">
        <x:v>2500-4900</x:v>
      </x:c>
      <x:c r="K37" s="28" t="n">
        <x:v>6400000</x:v>
      </x:c>
      <x:c r="L37" s="28" t="n">
        <x:v>28</x:v>
      </x:c>
      <x:c r="M37" s="28"/>
      <x:c r="N37" s="28"/>
      <x:c r="O37" s="28"/>
      <x:c r="P37" s="28"/>
      <x:c r="Q37" s="28"/>
      <x:c r="R37" s="28"/>
      <x:c r="S37" s="28" t="str">
        <x:v>同槽长期收藏型；底板低于同期重点合成装备</x:v>
      </x:c>
    </x:row>
    <x:row r="38" ht="42" customHeight="1">
      <x:c r="A38" s="28" t="str">
        <x:v>C02-AOE-LV1</x:v>
      </x:c>
      <x:c r="B38" s="28" t="str">
        <x:v>C02</x:v>
      </x:c>
      <x:c r="C38" s="28" t="str">
        <x:v>群星之核LV1</x:v>
      </x:c>
      <x:c r="D38" s="28" t="str">
        <x:v>群攻生肖</x:v>
      </x:c>
      <x:c r="E38" s="28" t="str">
        <x:v>生肖9</x:v>
      </x:c>
      <x:c r="F38" s="28" t="str">
        <x:v>雷冠申猴</x:v>
      </x:c>
      <x:c r="G38" s="28" t="str">
        <x:v>风暴石片×70＋黄金树芽×8＋接肢王印×3</x:v>
      </x:c>
      <x:c r="H38" s="28" t="n">
        <x:v>0</x:v>
      </x:c>
      <x:c r="I38" s="28" t="n">
        <x:v>57500000</x:v>
      </x:c>
      <x:c r="J38" s="28"/>
      <x:c r="K38" s="28"/>
      <x:c r="L38" s="28"/>
      <x:c r="M38" s="28"/>
      <x:c r="N38" s="28"/>
      <x:c r="O38" s="28"/>
      <x:c r="P38" s="28"/>
      <x:c r="Q38" s="28"/>
      <x:c r="R38" s="28"/>
      <x:c r="S38" s="28" t="str">
        <x:v>仅既有群攻触发；不额外叠加装备本体攻魔道</x:v>
      </x:c>
    </x:row>
    <x:row r="39" ht="42" customHeight="1">
      <x:c r="A39" s="28" t="str">
        <x:v>C03-AOE-LV2</x:v>
      </x:c>
      <x:c r="B39" s="28" t="str">
        <x:v>C03</x:v>
      </x:c>
      <x:c r="C39" s="28" t="str">
        <x:v>群星之核LV2</x:v>
      </x:c>
      <x:c r="D39" s="28" t="str">
        <x:v>群攻生肖</x:v>
      </x:c>
      <x:c r="E39" s="28" t="str">
        <x:v>生肖9</x:v>
      </x:c>
      <x:c r="F39" s="28" t="str">
        <x:v>群星之核LV1</x:v>
      </x:c>
      <x:c r="G39" s="28" t="str">
        <x:v>风蚀铁片×110＋裂风崖羽×28＋西境战旗印×4</x:v>
      </x:c>
      <x:c r="H39" s="28" t="n">
        <x:v>16000000000</x:v>
      </x:c>
      <x:c r="I39" s="28" t="n">
        <x:v>0</x:v>
      </x:c>
      <x:c r="J39" s="28"/>
      <x:c r="K39" s="28"/>
      <x:c r="L39" s="28"/>
      <x:c r="M39" s="28"/>
      <x:c r="N39" s="28"/>
      <x:c r="O39" s="28"/>
      <x:c r="P39" s="28"/>
      <x:c r="Q39" s="28"/>
      <x:c r="R39" s="28"/>
      <x:c r="S39" s="28" t="str">
        <x:v>仅既有群攻触发；不额外叠加装备本体攻魔道</x:v>
      </x:c>
    </x:row>
    <x:row r="40" ht="42" customHeight="1">
      <x:c r="A40" s="28" t="str">
        <x:v>C05-AOE-LV3</x:v>
      </x:c>
      <x:c r="B40" s="28" t="str">
        <x:v>C05</x:v>
      </x:c>
      <x:c r="C40" s="28" t="str">
        <x:v>群星之核LV3</x:v>
      </x:c>
      <x:c r="D40" s="28" t="str">
        <x:v>群攻生肖</x:v>
      </x:c>
      <x:c r="E40" s="28" t="str">
        <x:v>生肖9</x:v>
      </x:c>
      <x:c r="F40" s="28" t="str">
        <x:v>群星之核LV2</x:v>
      </x:c>
      <x:c r="G40" s="28" t="str">
        <x:v>辉石碎晶×190＋雾月星砂×48＋满月王室印×6</x:v>
      </x:c>
      <x:c r="H40" s="28" t="n">
        <x:v>0</x:v>
      </x:c>
      <x:c r="I40" s="28" t="n">
        <x:v>372000000</x:v>
      </x:c>
      <x:c r="J40" s="28"/>
      <x:c r="K40" s="28"/>
      <x:c r="L40" s="28"/>
      <x:c r="M40" s="28"/>
      <x:c r="N40" s="28"/>
      <x:c r="O40" s="28"/>
      <x:c r="P40" s="28"/>
      <x:c r="Q40" s="28"/>
      <x:c r="R40" s="28"/>
      <x:c r="S40" s="28" t="str">
        <x:v>仅既有群攻触发；不额外叠加装备本体攻魔道</x:v>
      </x:c>
    </x:row>
    <x:row r="41" ht="42" customHeight="1">
      <x:c r="A41" s="28" t="str">
        <x:v>C07-AOE-LV4</x:v>
      </x:c>
      <x:c r="B41" s="28" t="str">
        <x:v>C07</x:v>
      </x:c>
      <x:c r="C41" s="28" t="str">
        <x:v>群星之核LV4</x:v>
      </x:c>
      <x:c r="D41" s="28" t="str">
        <x:v>群攻生肖</x:v>
      </x:c>
      <x:c r="E41" s="28" t="str">
        <x:v>生肖9</x:v>
      </x:c>
      <x:c r="F41" s="28" t="str">
        <x:v>群星之核LV3</x:v>
      </x:c>
      <x:c r="G41" s="28" t="str">
        <x:v>冻晶尘×330＋秘树霜芽×7＋圣雪誓印×10</x:v>
      </x:c>
      <x:c r="H41" s="28" t="n">
        <x:v>45000000000</x:v>
      </x:c>
      <x:c r="I41" s="28" t="n">
        <x:v>442000000</x:v>
      </x:c>
      <x:c r="J41" s="28"/>
      <x:c r="K41" s="28"/>
      <x:c r="L41" s="28"/>
      <x:c r="M41" s="28"/>
      <x:c r="N41" s="28"/>
      <x:c r="O41" s="28"/>
      <x:c r="P41" s="28"/>
      <x:c r="Q41" s="28"/>
      <x:c r="R41" s="28"/>
      <x:c r="S41" s="28" t="str">
        <x:v>仅既有群攻触发；不额外叠加装备本体攻魔道</x:v>
      </x:c>
    </x:row>
    <x:row r="42" ht="42" customHeight="1">
      <x:c r="A42" s="28" t="str">
        <x:v>C09-AOE-LV5</x:v>
      </x:c>
      <x:c r="B42" s="28" t="str">
        <x:v>C09</x:v>
      </x:c>
      <x:c r="C42" s="28" t="str">
        <x:v>群星之核LV5</x:v>
      </x:c>
      <x:c r="D42" s="28" t="str">
        <x:v>群攻生肖</x:v>
      </x:c>
      <x:c r="E42" s="28" t="str">
        <x:v>生肖9</x:v>
      </x:c>
      <x:c r="F42" s="28" t="str">
        <x:v>群星之核LV4</x:v>
      </x:c>
      <x:c r="G42" s="28" t="str">
        <x:v>黄金叶脉×510＋裁文蜡封×10＋黄金律印×18</x:v>
      </x:c>
      <x:c r="H42" s="28" t="n">
        <x:v>0</x:v>
      </x:c>
      <x:c r="I42" s="28" t="n">
        <x:v>2130000000</x:v>
      </x:c>
      <x:c r="J42" s="28"/>
      <x:c r="K42" s="28"/>
      <x:c r="L42" s="28"/>
      <x:c r="M42" s="28"/>
      <x:c r="N42" s="28"/>
      <x:c r="O42" s="28"/>
      <x:c r="P42" s="28"/>
      <x:c r="Q42" s="28"/>
      <x:c r="R42" s="28"/>
      <x:c r="S42" s="28" t="str">
        <x:v>仅既有群攻触发；不额外叠加装备本体攻魔道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b36a57756fc1450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0" hidden="0" customWidth="1"/>
    <x:col min="3" max="3" width="24" hidden="0" customWidth="1"/>
    <x:col min="4" max="4" width="27" hidden="0" customWidth="1"/>
    <x:col min="5" max="5" width="14" hidden="0" customWidth="1"/>
    <x:col min="6" max="6" width="14" hidden="0" customWidth="1"/>
    <x:col min="7" max="7" width="16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43" hidden="0" customWidth="1"/>
    <x:col min="14" max="14" width="18" hidden="0" customWidth="1"/>
    <x:col min="15" max="15" width="18" hidden="0" customWidth="1"/>
  </x:cols>
  <x:sheetData>
    <x:row r="1" ht="30" customHeight="1">
      <x:c r="A1" s="5" t="str">
        <x:v>群星之核五级｜效果与消耗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46" customHeight="1">
      <x:c r="A2" s="13" t="str">
        <x:v>覆盖升级：消耗上一等级成品，只执行当前最高档一次效果。下面比例只对面板攻击取值，不额外套暴击、吸血、处决及装备多重乘区。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 ht="34" customHeight="1">
      <x:c r="A4" s="21" t="str">
        <x:v>配方ID</x:v>
      </x:c>
      <x:c r="B4" s="21" t="str">
        <x:v>大陆ID</x:v>
      </x:c>
      <x:c r="C4" s="21" t="str">
        <x:v>成品名</x:v>
      </x:c>
      <x:c r="D4" s="21" t="str">
        <x:v>消耗基础件</x:v>
      </x:c>
      <x:c r="E4" s="21" t="str">
        <x:v>占位</x:v>
      </x:c>
      <x:c r="F4" s="21" t="str">
        <x:v>范围</x:v>
      </x:c>
      <x:c r="G4" s="21" t="str">
        <x:v>触发间隔秒</x:v>
      </x:c>
      <x:c r="H4" s="21" t="str">
        <x:v>面板攻击系数</x:v>
      </x:c>
      <x:c r="I4" s="21" t="str">
        <x:v>暴击</x:v>
      </x:c>
      <x:c r="J4" s="21" t="str">
        <x:v>吸血</x:v>
      </x:c>
      <x:c r="K4" s="21" t="str">
        <x:v>处决</x:v>
      </x:c>
      <x:c r="L4" s="21" t="str">
        <x:v>额外乘区</x:v>
      </x:c>
      <x:c r="M4" s="21" t="str">
        <x:v>材料</x:v>
      </x:c>
      <x:c r="N4" s="21" t="str">
        <x:v>金币</x:v>
      </x:c>
      <x:c r="O4" s="21" t="str">
        <x:v>元宝</x:v>
      </x:c>
    </x:row>
    <x:row r="5" ht="40" customHeight="1">
      <x:c r="A5" s="28" t="str">
        <x:v>C02-AOE-LV1</x:v>
      </x:c>
      <x:c r="B5" s="28" t="str">
        <x:v>C02</x:v>
      </x:c>
      <x:c r="C5" s="28" t="str">
        <x:v>群星之核LV1</x:v>
      </x:c>
      <x:c r="D5" s="28" t="str">
        <x:v>雷冠申猴</x:v>
      </x:c>
      <x:c r="E5" s="28" t="str">
        <x:v>生肖9</x:v>
      </x:c>
      <x:c r="F5" s="28" t="str">
        <x:v>2×2</x:v>
      </x:c>
      <x:c r="G5" s="28" t="n">
        <x:v>2</x:v>
      </x:c>
      <x:c r="H5" s="28" t="n">
        <x:v>1</x:v>
      </x:c>
      <x:c r="I5" s="28" t="n">
        <x:v>0</x:v>
      </x:c>
      <x:c r="J5" s="28" t="n">
        <x:v>0</x:v>
      </x:c>
      <x:c r="K5" s="28" t="n">
        <x:v>0</x:v>
      </x:c>
      <x:c r="L5" s="28" t="n">
        <x:v>0</x:v>
      </x:c>
      <x:c r="M5" s="28" t="str">
        <x:v>风暴石片×70＋黄金树芽×8＋接肢王印×3</x:v>
      </x:c>
      <x:c r="N5" s="28" t="n">
        <x:v>0</x:v>
      </x:c>
      <x:c r="O5" s="28" t="n">
        <x:v>57500000</x:v>
      </x:c>
    </x:row>
    <x:row r="6" ht="40" customHeight="1">
      <x:c r="A6" s="28" t="str">
        <x:v>C03-AOE-LV2</x:v>
      </x:c>
      <x:c r="B6" s="28" t="str">
        <x:v>C03</x:v>
      </x:c>
      <x:c r="C6" s="28" t="str">
        <x:v>群星之核LV2</x:v>
      </x:c>
      <x:c r="D6" s="28" t="str">
        <x:v>群星之核LV1</x:v>
      </x:c>
      <x:c r="E6" s="28" t="str">
        <x:v>生肖9</x:v>
      </x:c>
      <x:c r="F6" s="28" t="str">
        <x:v>2×2</x:v>
      </x:c>
      <x:c r="G6" s="28" t="n">
        <x:v>1.75</x:v>
      </x:c>
      <x:c r="H6" s="28" t="n">
        <x:v>1</x:v>
      </x:c>
      <x:c r="I6" s="28" t="n">
        <x:v>0</x:v>
      </x:c>
      <x:c r="J6" s="28" t="n">
        <x:v>0</x:v>
      </x:c>
      <x:c r="K6" s="28" t="n">
        <x:v>0</x:v>
      </x:c>
      <x:c r="L6" s="28" t="n">
        <x:v>0</x:v>
      </x:c>
      <x:c r="M6" s="28" t="str">
        <x:v>风蚀铁片×110＋裂风崖羽×28＋西境战旗印×4</x:v>
      </x:c>
      <x:c r="N6" s="28" t="n">
        <x:v>16000000000</x:v>
      </x:c>
      <x:c r="O6" s="28" t="n">
        <x:v>0</x:v>
      </x:c>
    </x:row>
    <x:row r="7" ht="40" customHeight="1">
      <x:c r="A7" s="28" t="str">
        <x:v>C05-AOE-LV3</x:v>
      </x:c>
      <x:c r="B7" s="28" t="str">
        <x:v>C05</x:v>
      </x:c>
      <x:c r="C7" s="28" t="str">
        <x:v>群星之核LV3</x:v>
      </x:c>
      <x:c r="D7" s="28" t="str">
        <x:v>群星之核LV2</x:v>
      </x:c>
      <x:c r="E7" s="28" t="str">
        <x:v>生肖9</x:v>
      </x:c>
      <x:c r="F7" s="28" t="str">
        <x:v>2×2</x:v>
      </x:c>
      <x:c r="G7" s="28" t="n">
        <x:v>1.5</x:v>
      </x:c>
      <x:c r="H7" s="28" t="n">
        <x:v>1</x:v>
      </x:c>
      <x:c r="I7" s="28" t="n">
        <x:v>0</x:v>
      </x:c>
      <x:c r="J7" s="28" t="n">
        <x:v>0</x:v>
      </x:c>
      <x:c r="K7" s="28" t="n">
        <x:v>0</x:v>
      </x:c>
      <x:c r="L7" s="28" t="n">
        <x:v>0</x:v>
      </x:c>
      <x:c r="M7" s="28" t="str">
        <x:v>辉石碎晶×190＋雾月星砂×48＋满月王室印×6</x:v>
      </x:c>
      <x:c r="N7" s="28" t="n">
        <x:v>0</x:v>
      </x:c>
      <x:c r="O7" s="28" t="n">
        <x:v>372000000</x:v>
      </x:c>
    </x:row>
    <x:row r="8" ht="40" customHeight="1">
      <x:c r="A8" s="28" t="str">
        <x:v>C07-AOE-LV4</x:v>
      </x:c>
      <x:c r="B8" s="28" t="str">
        <x:v>C07</x:v>
      </x:c>
      <x:c r="C8" s="28" t="str">
        <x:v>群星之核LV4</x:v>
      </x:c>
      <x:c r="D8" s="28" t="str">
        <x:v>群星之核LV3</x:v>
      </x:c>
      <x:c r="E8" s="28" t="str">
        <x:v>生肖9</x:v>
      </x:c>
      <x:c r="F8" s="28" t="str">
        <x:v>3×3</x:v>
      </x:c>
      <x:c r="G8" s="28" t="n">
        <x:v>1.25</x:v>
      </x:c>
      <x:c r="H8" s="28" t="n">
        <x:v>1</x:v>
      </x:c>
      <x:c r="I8" s="28" t="n">
        <x:v>0</x:v>
      </x:c>
      <x:c r="J8" s="28" t="n">
        <x:v>0</x:v>
      </x:c>
      <x:c r="K8" s="28" t="n">
        <x:v>0</x:v>
      </x:c>
      <x:c r="L8" s="28" t="n">
        <x:v>0</x:v>
      </x:c>
      <x:c r="M8" s="28" t="str">
        <x:v>冻晶尘×330＋秘树霜芽×7＋圣雪誓印×10</x:v>
      </x:c>
      <x:c r="N8" s="28" t="n">
        <x:v>45000000000</x:v>
      </x:c>
      <x:c r="O8" s="28" t="n">
        <x:v>442000000</x:v>
      </x:c>
    </x:row>
    <x:row r="9" ht="40" customHeight="1">
      <x:c r="A9" s="28" t="str">
        <x:v>C09-AOE-LV5</x:v>
      </x:c>
      <x:c r="B9" s="28" t="str">
        <x:v>C09</x:v>
      </x:c>
      <x:c r="C9" s="28" t="str">
        <x:v>群星之核LV5</x:v>
      </x:c>
      <x:c r="D9" s="28" t="str">
        <x:v>群星之核LV4</x:v>
      </x:c>
      <x:c r="E9" s="28" t="str">
        <x:v>生肖9</x:v>
      </x:c>
      <x:c r="F9" s="28" t="str">
        <x:v>3×3</x:v>
      </x:c>
      <x:c r="G9" s="28" t="n">
        <x:v>1</x:v>
      </x:c>
      <x:c r="H9" s="28" t="n">
        <x:v>1</x:v>
      </x:c>
      <x:c r="I9" s="28" t="n">
        <x:v>0</x:v>
      </x:c>
      <x:c r="J9" s="28" t="n">
        <x:v>0</x:v>
      </x:c>
      <x:c r="K9" s="28" t="n">
        <x:v>0</x:v>
      </x:c>
      <x:c r="L9" s="28" t="n">
        <x:v>0</x:v>
      </x:c>
      <x:c r="M9" s="28" t="str">
        <x:v>黄金叶脉×510＋裁文蜡封×10＋黄金律印×18</x:v>
      </x:c>
      <x:c r="N9" s="28" t="n">
        <x:v>0</x:v>
      </x:c>
      <x:c r="O9" s="28" t="n">
        <x:v>2130000000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ea6f0c5c76254d9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25" hidden="0" customWidth="1"/>
    <x:col min="4" max="4" width="18" hidden="0" customWidth="1"/>
    <x:col min="5" max="5" width="36" hidden="0" customWidth="1"/>
    <x:col min="6" max="6" width="35" hidden="0" customWidth="1"/>
    <x:col min="7" max="7" width="43" hidden="0" customWidth="1"/>
    <x:col min="8" max="8" width="18" hidden="0" customWidth="1"/>
    <x:col min="9" max="9" width="18" hidden="0" customWidth="1"/>
    <x:col min="10" max="10" width="30" hidden="0" customWidth="1"/>
    <x:col min="11" max="11" width="56" hidden="0" customWidth="1"/>
    <x:col min="12" max="12" width="37" hidden="0" customWidth="1"/>
    <x:col min="13" max="13" width="50" hidden="0" customWidth="1"/>
  </x:cols>
  <x:sheetData>
    <x:row r="1" ht="30" customHeight="1">
      <x:c r="A1" s="5" t="str">
        <x:v>127条既有成本记录｜逐项奖励对接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46" customHeight="1">
      <x:c r="A2" s="13" t="str">
        <x:v>74项核心记录+53项辅助记录，不是127个新NPC。写着“沿用”“入口引用”“待字段接续”的行不能冒充新增功能已完成；0占位不表示免费。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4" customHeight="1">
      <x:c r="A4" s="21" t="str">
        <x:v>记录ID</x:v>
      </x:c>
      <x:c r="B4" s="21" t="str">
        <x:v>大陆ID</x:v>
      </x:c>
      <x:c r="C4" s="21" t="str">
        <x:v>NPC/入口</x:v>
      </x:c>
      <x:c r="D4" s="21" t="str">
        <x:v>类别</x:v>
      </x:c>
      <x:c r="E4" s="21" t="str">
        <x:v>产物/动作</x:v>
      </x:c>
      <x:c r="F4" s="21" t="str">
        <x:v>基础件/前置</x:v>
      </x:c>
      <x:c r="G4" s="21" t="str">
        <x:v>原单次材料</x:v>
      </x:c>
      <x:c r="H4" s="21" t="str">
        <x:v>原金币</x:v>
      </x:c>
      <x:c r="I4" s="21" t="str">
        <x:v>原元宝</x:v>
      </x:c>
      <x:c r="J4" s="21" t="str">
        <x:v>奖励对象</x:v>
      </x:c>
      <x:c r="K4" s="21" t="str">
        <x:v>奖励规则</x:v>
      </x:c>
      <x:c r="L4" s="21" t="str">
        <x:v>本行状态</x:v>
      </x:c>
      <x:c r="M4" s="21" t="str">
        <x:v>实施注意</x:v>
      </x:c>
    </x:row>
    <x:row r="5" ht="60" customHeight="1">
      <x:c r="A5" s="28" t="str">
        <x:v>CAMP-SWORD-GROWTH</x:v>
      </x:c>
      <x:c r="B5" s="28" t="str">
        <x:v>CAMP</x:v>
      </x:c>
      <x:c r="C5" s="28" t="str">
        <x:v>圣律之剑成长入口</x:v>
      </x:c>
      <x:c r="D5" s="28" t="str">
        <x:v>既有成长</x:v>
      </x:c>
      <x:c r="E5" s="28" t="str">
        <x:v>圣律之剑LV1—10／圣律真言</x:v>
      </x:c>
      <x:c r="F5" s="28" t="str">
        <x:v>现有脚本条件</x:v>
      </x:c>
      <x:c r="G5" s="28"/>
      <x:c r="H5" s="28" t="n">
        <x:v>0</x:v>
      </x:c>
      <x:c r="I5" s="28" t="n">
        <x:v>0</x:v>
      </x:c>
      <x:c r="J5" s="28" t="str">
        <x:v>圣律之剑LV10／圣律真言LV10</x:v>
      </x:c>
      <x:c r="K5" s="28" t="str">
        <x:v>圣律之剑满级攻击=50；前期固定切割=5000；圣律真言满级攻击=550；圣律真言鞭尸%=10</x:v>
      </x:c>
      <x:c r="L5" s="28" t="str">
        <x:v>已确认端点继承；既有逐级价不覆盖</x:v>
      </x:c>
      <x:c r="M5" s="28" t="str">
        <x:v>保留传送；进阶后固定切割退出；既有付费消耗沿用，不解释为零成本。</x:v>
      </x:c>
    </x:row>
    <x:row r="6" ht="60" customHeight="1">
      <x:c r="A6" s="28" t="str">
        <x:v>CAMP-RELIC-GROWTH</x:v>
      </x:c>
      <x:c r="B6" s="28" t="str">
        <x:v>CAMP</x:v>
      </x:c>
      <x:c r="C6" s="28" t="str">
        <x:v>黄金圣物成长入口</x:v>
      </x:c>
      <x:c r="D6" s="28" t="str">
        <x:v>既有成长</x:v>
      </x:c>
      <x:c r="E6" s="28" t="str">
        <x:v>黄金圣物LV1—10／黄金之心</x:v>
      </x:c>
      <x:c r="F6" s="28" t="str">
        <x:v>现有脚本条件</x:v>
      </x:c>
      <x:c r="G6" s="28"/>
      <x:c r="H6" s="28" t="n">
        <x:v>0</x:v>
      </x:c>
      <x:c r="I6" s="28" t="n">
        <x:v>0</x:v>
      </x:c>
      <x:c r="J6" s="28" t="str">
        <x:v>黄金圣物LV10／黄金之心LV10</x:v>
      </x:c>
      <x:c r="K6" s="28" t="str">
        <x:v>黄金圣物满级攻击=50；前期每秒回血=2000；黄金之心满级攻击=550；黄金之心首刀斩杀%=10</x:v>
      </x:c>
      <x:c r="L6" s="28" t="str">
        <x:v>已确认端点继承；既有逐级价不覆盖</x:v>
      </x:c>
      <x:c r="M6" s="28" t="str">
        <x:v>保留复活；进阶后前期固定回血退出；既有付费消耗沿用，不解释为零成本。</x:v>
      </x:c>
    </x:row>
    <x:row r="7" ht="60" customHeight="1">
      <x:c r="A7" s="28" t="str">
        <x:v>CAMP-TITLE-GROWTH</x:v>
      </x:c>
      <x:c r="B7" s="28" t="str">
        <x:v>CAMP</x:v>
      </x:c>
      <x:c r="C7" s="28" t="str">
        <x:v>贯穿式称号晋升NPC</x:v>
      </x:c>
      <x:c r="D7" s="28" t="str">
        <x:v>贯穿称号</x:v>
      </x:c>
      <x:c r="E7" s="28" t="str">
        <x:v>贯穿式主线称号各阶段</x:v>
      </x:c>
      <x:c r="F7" s="28" t="str">
        <x:v>上一阶段称号</x:v>
      </x:c>
      <x:c r="G7" s="28"/>
      <x:c r="H7" s="28" t="n">
        <x:v>0</x:v>
      </x:c>
      <x:c r="I7" s="28" t="n">
        <x:v>0</x:v>
      </x:c>
      <x:c r="J7" s="28" t="str">
        <x:v>贯穿称号阶段表</x:v>
      </x:c>
      <x:c r="K7" s="28" t="str">
        <x:v>见结果/关联表</x:v>
      </x:c>
      <x:c r="L7" s="28" t="str">
        <x:v>入口引用，非额外奖励</x:v>
      </x:c>
      <x:c r="M7" s="28" t="str">
        <x:v>入口索引，不产生额外消耗或奖励；按独立的C01—C10称号成本与收益表执行。</x:v>
      </x:c>
    </x:row>
    <x:row r="8" ht="60" customHeight="1">
      <x:c r="A8" s="28" t="str">
        <x:v>C01-FATE-SINGLE</x:v>
      </x:c>
      <x:c r="B8" s="28" t="str">
        <x:v>C01</x:v>
      </x:c>
      <x:c r="C8" s="28" t="str">
        <x:v>司命人·玄衡</x:v>
      </x:c>
      <x:c r="D8" s="28" t="str">
        <x:v>命格洗练</x:v>
      </x:c>
      <x:c r="E8" s="28" t="str">
        <x:v>当前选中槽命格×1次</x:v>
      </x:c>
      <x:c r="F8" s="28" t="str">
        <x:v>—</x:v>
      </x:c>
      <x:c r="G8" s="28" t="str">
        <x:v>神秘符文×1</x:v>
      </x:c>
      <x:c r="H8" s="28" t="n">
        <x:v>0</x:v>
      </x:c>
      <x:c r="I8" s="28" t="n">
        <x:v>500000</x:v>
      </x:c>
      <x:c r="J8" s="28" t="str">
        <x:v>仅当前选定槽的新命格</x:v>
      </x:c>
      <x:c r="K8" s="28" t="str">
        <x:v>见结果/关联表</x:v>
      </x:c>
      <x:c r="L8" s="28" t="str">
        <x:v>既有100命格继承；本轮不重写属性</x:v>
      </x:c>
      <x:c r="M8" s="28" t="str">
        <x:v>沿用100命格及现有逐槽20/10/100规则；一次结果替换旧槽，不能叠加历史结果。十连是10次操作包，不能再按建议次数重复乘10。</x:v>
      </x:c>
    </x:row>
    <x:row r="9" ht="60" customHeight="1">
      <x:c r="A9" s="28" t="str">
        <x:v>C01-FATE-TEN</x:v>
      </x:c>
      <x:c r="B9" s="28" t="str">
        <x:v>C01</x:v>
      </x:c>
      <x:c r="C9" s="28" t="str">
        <x:v>司命人·玄衡</x:v>
      </x:c>
      <x:c r="D9" s="28" t="str">
        <x:v>命格洗练</x:v>
      </x:c>
      <x:c r="E9" s="28" t="str">
        <x:v>当前选中槽命格×10次</x:v>
      </x:c>
      <x:c r="F9" s="28" t="str">
        <x:v>—</x:v>
      </x:c>
      <x:c r="G9" s="28" t="str">
        <x:v>神秘符文×10</x:v>
      </x:c>
      <x:c r="H9" s="28" t="n">
        <x:v>0</x:v>
      </x:c>
      <x:c r="I9" s="28" t="n">
        <x:v>5000000</x:v>
      </x:c>
      <x:c r="J9" s="28" t="str">
        <x:v>仅当前选定槽的新命格</x:v>
      </x:c>
      <x:c r="K9" s="28" t="str">
        <x:v>见结果/关联表</x:v>
      </x:c>
      <x:c r="L9" s="28" t="str">
        <x:v>既有100命格继承；本轮不重写属性</x:v>
      </x:c>
      <x:c r="M9" s="28" t="str">
        <x:v>单次=1个十连包；原建议次数10包=100次洗练，共神秘符文100、元宝500000。每次只替换当前槽；不能再额外乘10。</x:v>
      </x:c>
    </x:row>
    <x:row r="10" ht="60" customHeight="1">
      <x:c r="A10" s="28" t="str">
        <x:v>C01-FATE-SHOP</x:v>
      </x:c>
      <x:c r="B10" s="28" t="str">
        <x:v>C01</x:v>
      </x:c>
      <x:c r="C10" s="28" t="str">
        <x:v>司命人·玄衡</x:v>
      </x:c>
      <x:c r="D10" s="28" t="str">
        <x:v>命格商店</x:v>
      </x:c>
      <x:c r="E10" s="28" t="str">
        <x:v>神秘符文</x:v>
      </x:c>
      <x:c r="F10" s="28" t="str">
        <x:v>—</x:v>
      </x:c>
      <x:c r="G10" s="28"/>
      <x:c r="H10" s="28" t="n">
        <x:v>0</x:v>
      </x:c>
      <x:c r="I10" s="28" t="n">
        <x:v>0</x:v>
      </x:c>
      <x:c r="J10" s="28" t="str">
        <x:v>神秘符文／既有购买结果</x:v>
      </x:c>
      <x:c r="K10" s="28" t="str">
        <x:v>见结果/关联表</x:v>
      </x:c>
      <x:c r="L10" s="28" t="str">
        <x:v>保留既有实现；灵符价格原件未接续</x:v>
      </x:c>
      <x:c r="M10" s="28" t="str">
        <x:v>表中金币/元宝0不代表免费；灵符价格与绑定路由须引用现有商店配置，未据此假报消费总量。</x:v>
      </x:c>
    </x:row>
    <x:row r="11" ht="60" customHeight="1">
      <x:c r="A11" s="28" t="str">
        <x:v>C01-FATE-SLOT</x:v>
      </x:c>
      <x:c r="B11" s="28" t="str">
        <x:v>C01</x:v>
      </x:c>
      <x:c r="C11" s="28" t="str">
        <x:v>司命人·玄衡</x:v>
      </x:c>
      <x:c r="D11" s="28" t="str">
        <x:v>命格槽位</x:v>
      </x:c>
      <x:c r="E11" s="28" t="str">
        <x:v>命格槽位1—8</x:v>
      </x:c>
      <x:c r="F11" s="28" t="str">
        <x:v>等级／转生条件</x:v>
      </x:c>
      <x:c r="G11" s="28"/>
      <x:c r="H11" s="28" t="n">
        <x:v>0</x:v>
      </x:c>
      <x:c r="I11" s="28" t="n">
        <x:v>0</x:v>
      </x:c>
      <x:c r="J11" s="28" t="str">
        <x:v>最多8槽</x:v>
      </x:c>
      <x:c r="K11" s="28" t="str">
        <x:v>见结果/关联表</x:v>
      </x:c>
      <x:c r="L11" s="28" t="str">
        <x:v>保留既有实现；阈值原件未接续</x:v>
      </x:c>
      <x:c r="M11" s="28" t="str">
        <x:v>保留已实现的等级/转生解锁；本轮未取得实际阈值，不新造一套阈值覆盖现服。</x:v>
      </x:c>
    </x:row>
    <x:row r="12" ht="60" customHeight="1">
      <x:c r="A12" s="28" t="str">
        <x:v>C02-ASH-NORMAL</x:v>
      </x:c>
      <x:c r="B12" s="28" t="str">
        <x:v>C02</x:v>
      </x:c>
      <x:c r="C12" s="28" t="str">
        <x:v>战灰刻印师·盖尔</x:v>
      </x:c>
      <x:c r="D12" s="28" t="str">
        <x:v>战灰附魔</x:v>
      </x:c>
      <x:c r="E12" s="28" t="str">
        <x:v>普通PVP战灰</x:v>
      </x:c>
      <x:c r="F12" s="28" t="str">
        <x:v>目标武器</x:v>
      </x:c>
      <x:c r="G12" s="28" t="str">
        <x:v>风暴石片×20＋失色锻造石×30</x:v>
      </x:c>
      <x:c r="H12" s="28" t="n">
        <x:v>0</x:v>
      </x:c>
      <x:c r="I12" s="28" t="n">
        <x:v>5000000</x:v>
      </x:c>
      <x:c r="J12" s="28" t="str">
        <x:v>既有战灰候选池的一项武器附魔</x:v>
      </x:c>
      <x:c r="K12" s="28" t="str">
        <x:v>见结果/关联表</x:v>
      </x:c>
      <x:c r="L12" s="28" t="str">
        <x:v>PVP旁账；从PVE设计前置移除</x:v>
      </x:c>
      <x:c r="M12" s="28" t="str">
        <x:v>原战灰实现和成本不改；不计PVE标准角色及基准供需。</x:v>
      </x:c>
    </x:row>
    <x:row r="13" ht="60" customHeight="1">
      <x:c r="A13" s="28" t="str">
        <x:v>C02-ASH-HIGH</x:v>
      </x:c>
      <x:c r="B13" s="28" t="str">
        <x:v>C02</x:v>
      </x:c>
      <x:c r="C13" s="28" t="str">
        <x:v>战灰刻印师·盖尔</x:v>
      </x:c>
      <x:c r="D13" s="28" t="str">
        <x:v>战灰附魔</x:v>
      </x:c>
      <x:c r="E13" s="28" t="str">
        <x:v>稀有PVP战灰</x:v>
      </x:c>
      <x:c r="F13" s="28" t="str">
        <x:v>目标武器</x:v>
      </x:c>
      <x:c r="G13" s="28" t="str">
        <x:v>风暴石片×50＋黄金树芽×5＋接肢王印×1＋失色锻造石×80</x:v>
      </x:c>
      <x:c r="H13" s="28" t="n">
        <x:v>0</x:v>
      </x:c>
      <x:c r="I13" s="28" t="n">
        <x:v>15000000</x:v>
      </x:c>
      <x:c r="J13" s="28" t="str">
        <x:v>既有战灰候选池的一项武器附魔</x:v>
      </x:c>
      <x:c r="K13" s="28" t="str">
        <x:v>见结果/关联表</x:v>
      </x:c>
      <x:c r="L13" s="28" t="str">
        <x:v>PVP旁账；从PVE设计前置移除</x:v>
      </x:c>
      <x:c r="M13" s="28" t="str">
        <x:v>原战灰实现和成本不改；不计PVE标准角色及基准供需。</x:v>
      </x:c>
    </x:row>
    <x:row r="14" ht="60" customHeight="1">
      <x:c r="A14" s="28" t="str">
        <x:v>C02-ASH-OVERWRITE</x:v>
      </x:c>
      <x:c r="B14" s="28" t="str">
        <x:v>C02</x:v>
      </x:c>
      <x:c r="C14" s="28" t="str">
        <x:v>战灰刻印师·盖尔</x:v>
      </x:c>
      <x:c r="D14" s="28" t="str">
        <x:v>战灰操作</x:v>
      </x:c>
      <x:c r="E14" s="28" t="str">
        <x:v>覆盖／清除战灰</x:v>
      </x:c>
      <x:c r="F14" s="28" t="str">
        <x:v>目标武器</x:v>
      </x:c>
      <x:c r="G14" s="28" t="str">
        <x:v>失色锻造石×20</x:v>
      </x:c>
      <x:c r="H14" s="28" t="n">
        <x:v>500000000</x:v>
      </x:c>
      <x:c r="I14" s="28" t="n">
        <x:v>0</x:v>
      </x:c>
      <x:c r="J14" s="28" t="str">
        <x:v>覆盖／清除战灰</x:v>
      </x:c>
      <x:c r="K14" s="28" t="str">
        <x:v>见结果/关联表</x:v>
      </x:c>
      <x:c r="L14" s="28" t="str">
        <x:v>PVP旁账；从PVE设计前置移除</x:v>
      </x:c>
      <x:c r="M14" s="28" t="str">
        <x:v>原战灰实现和成本不改；不计PVE标准角色及基准供需。</x:v>
      </x:c>
    </x:row>
    <x:row r="15" ht="60" customHeight="1">
      <x:c r="A15" s="28" t="str">
        <x:v>C01-SYN-EQ-01</x:v>
      </x:c>
      <x:c r="B15" s="28" t="str">
        <x:v>C01</x:v>
      </x:c>
      <x:c r="C15" s="28" t="str">
        <x:v>拾荒匠·阿砾</x:v>
      </x:c>
      <x:c r="D15" s="28" t="str">
        <x:v>装备合成</x:v>
      </x:c>
      <x:c r="E15" s="28" t="str">
        <x:v>潮归秘戒</x:v>
      </x:c>
      <x:c r="F15" s="28" t="str">
        <x:v>猎犬骨戒＋王庭秘戒</x:v>
      </x:c>
      <x:c r="G15" s="28" t="str">
        <x:v>海蚀铁片×80＋潮痕结晶×8＋漂流大陆印记×3＋失色锻造石×100</x:v>
      </x:c>
      <x:c r="H15" s="28" t="n">
        <x:v>1600000000</x:v>
      </x:c>
      <x:c r="I15" s="28" t="n">
        <x:v>0</x:v>
      </x:c>
      <x:c r="J15" s="28" t="str">
        <x:v>潮归秘戒×1</x:v>
      </x:c>
      <x:c r="K15" s="28" t="str">
        <x:v>攻击=50-96；魔法=50-96；道术=50-96；攻击加成=15；魔法加成=15；道术加成=15；打怪伤害=8；暴击伤害=12；攻击伤害=2；防御=12-24；魔御=10-19；HP=39000</x:v>
      </x:c>
      <x:c r="L15" s="28" t="str">
        <x:v>本轮数值基线</x:v>
      </x:c>
      <x:c r="M15" s="28" t="str">
        <x:v>成品只有一次给物；此处不再另给永久属性，防止重复加成。</x:v>
      </x:c>
    </x:row>
    <x:row r="16" ht="60" customHeight="1">
      <x:c r="A16" s="28" t="str">
        <x:v>C02-SYN-EQ-01</x:v>
      </x:c>
      <x:c r="B16" s="28" t="str">
        <x:v>C02</x:v>
      </x:c>
      <x:c r="C16" s="28" t="str">
        <x:v>风暴工匠·洛克</x:v>
      </x:c>
      <x:c r="D16" s="28" t="str">
        <x:v>装备合成</x:v>
      </x:c>
      <x:c r="E16" s="28" t="str">
        <x:v>风暴王庭链</x:v>
      </x:c>
      <x:c r="F16" s="28" t="str">
        <x:v>破垒鹰链＋古树祷链</x:v>
      </x:c>
      <x:c r="G16" s="28" t="str">
        <x:v>风暴石片×120＋黄金树芽×12＋接肢王印×4＋失色锻造石×160</x:v>
      </x:c>
      <x:c r="H16" s="28" t="n">
        <x:v>0</x:v>
      </x:c>
      <x:c r="I16" s="28" t="n">
        <x:v>57500000</x:v>
      </x:c>
      <x:c r="J16" s="28" t="str">
        <x:v>风暴王庭链×1</x:v>
      </x:c>
      <x:c r="K16" s="28" t="str">
        <x:v>攻击=100-200；魔法=100-200；道术=100-200；攻击加成=16；魔法加成=16；道术加成=16；打怪伤害=9；暴击伤害=14；攻击伤害=2；HP=85000</x:v>
      </x:c>
      <x:c r="L16" s="28" t="str">
        <x:v>本轮数值基线</x:v>
      </x:c>
      <x:c r="M16" s="28" t="str">
        <x:v>成品只有一次给物；此处不再另给永久属性，防止重复加成。</x:v>
      </x:c>
    </x:row>
    <x:row r="17" ht="60" customHeight="1">
      <x:c r="A17" s="28" t="str">
        <x:v>C02-SYN-EQ-02</x:v>
      </x:c>
      <x:c r="B17" s="28" t="str">
        <x:v>C02</x:v>
      </x:c>
      <x:c r="C17" s="28" t="str">
        <x:v>风暴工匠·洛克</x:v>
      </x:c>
      <x:c r="D17" s="28" t="str">
        <x:v>装备合成</x:v>
      </x:c>
      <x:c r="E17" s="28" t="str">
        <x:v>百指接肢腕</x:v>
      </x:c>
      <x:c r="F17" s="28" t="str">
        <x:v>流放腕铠＋百指腕甲</x:v>
      </x:c>
      <x:c r="G17" s="28" t="str">
        <x:v>风暴石片×120＋黄金树芽×12＋接肢王印×4＋失色锻造石×160</x:v>
      </x:c>
      <x:c r="H17" s="28" t="n">
        <x:v>4900000000</x:v>
      </x:c>
      <x:c r="I17" s="28" t="n">
        <x:v>31500000</x:v>
      </x:c>
      <x:c r="J17" s="28" t="str">
        <x:v>百指接肢腕×1</x:v>
      </x:c>
      <x:c r="K17" s="28" t="str">
        <x:v>攻击=110-210；魔法=110-210；道术=110-210；攻击加成=16；魔法加成=16；道术加成=16；打怪伤害=9；暴击伤害=14；攻击伤害=2；防御=17-32；魔御=14-26；HP=85000</x:v>
      </x:c>
      <x:c r="L17" s="28" t="str">
        <x:v>本轮数值基线</x:v>
      </x:c>
      <x:c r="M17" s="28" t="str">
        <x:v>成品只有一次给物；此处不再另给永久属性，防止重复加成。</x:v>
      </x:c>
    </x:row>
    <x:row r="18" ht="60" customHeight="1">
      <x:c r="A18" s="28" t="str">
        <x:v>C03-SYN-EQ-01</x:v>
      </x:c>
      <x:c r="B18" s="28" t="str">
        <x:v>C03</x:v>
      </x:c>
      <x:c r="C18" s="28" t="str">
        <x:v>断路铁匠·赫恩</x:v>
      </x:c>
      <x:c r="D18" s="28" t="str">
        <x:v>装备合成</x:v>
      </x:c>
      <x:c r="E18" s="28" t="str">
        <x:v>断途战冠</x:v>
      </x:c>
      <x:c r="F18" s="28" t="str">
        <x:v>西境军盔＋西境征服冠</x:v>
      </x:c>
      <x:c r="G18" s="28" t="str">
        <x:v>风蚀铁片×180＋西境战旗印×5＋守垒铜钥×4＋失色锻造石×240</x:v>
      </x:c>
      <x:c r="H18" s="28" t="n">
        <x:v>16000000000</x:v>
      </x:c>
      <x:c r="I18" s="28" t="n">
        <x:v>0</x:v>
      </x:c>
      <x:c r="J18" s="28" t="str">
        <x:v>断途战冠×1</x:v>
      </x:c>
      <x:c r="K18" s="28" t="str">
        <x:v>攻击=140-260；魔法=140-260；道术=140-260；攻击加成=17；魔法加成=17；道术加成=17；对怪伤害吸收=4；防御=21-40；魔御=17-32；HP=270000</x:v>
      </x:c>
      <x:c r="L18" s="28" t="str">
        <x:v>本轮数值基线</x:v>
      </x:c>
      <x:c r="M18" s="28" t="str">
        <x:v>成品只有一次给物；此处不再另给永久属性，防止重复加成。</x:v>
      </x:c>
    </x:row>
    <x:row r="19" ht="60" customHeight="1">
      <x:c r="A19" s="28" t="str">
        <x:v>C03-SYN-EQ-02</x:v>
      </x:c>
      <x:c r="B19" s="28" t="str">
        <x:v>C03</x:v>
      </x:c>
      <x:c r="C19" s="28" t="str">
        <x:v>断路铁匠·赫恩</x:v>
      </x:c>
      <x:c r="D19" s="28" t="str">
        <x:v>装备合成</x:v>
      </x:c>
      <x:c r="E19" s="28" t="str">
        <x:v>逐风征靴</x:v>
      </x:c>
      <x:c r="F19" s="28" t="str">
        <x:v>百夫战靴＋赐福战靴</x:v>
      </x:c>
      <x:c r="G19" s="28" t="str">
        <x:v>风蚀铁片×180＋裂风崖羽×40＋哨垒旗冠×1＋失色锻造石×240</x:v>
      </x:c>
      <x:c r="H19" s="28" t="n">
        <x:v>16000000000</x:v>
      </x:c>
      <x:c r="I19" s="28" t="n">
        <x:v>0</x:v>
      </x:c>
      <x:c r="J19" s="28" t="str">
        <x:v>逐风征靴×1</x:v>
      </x:c>
      <x:c r="K19" s="28" t="str">
        <x:v>攻击=100-200；魔法=100-200；道术=100-200；攻击加成=17；魔法加成=17；道术加成=17；对怪伤害吸收=4；防御=21-40；魔御=17-32；HP=150000；攻速突破=2</x:v>
      </x:c>
      <x:c r="L19" s="28" t="str">
        <x:v>本轮数值基线</x:v>
      </x:c>
      <x:c r="M19" s="28" t="str">
        <x:v>成品只有一次给物；此处不再另给永久属性，防止重复加成。</x:v>
      </x:c>
    </x:row>
    <x:row r="20" ht="60" customHeight="1">
      <x:c r="A20" s="28" t="str">
        <x:v>C04-SYN-EQ-01</x:v>
      </x:c>
      <x:c r="B20" s="28" t="str">
        <x:v>C04</x:v>
      </x:c>
      <x:c r="C20" s="28" t="str">
        <x:v>沉潮铸师·伊芙</x:v>
      </x:c>
      <x:c r="D20" s="28" t="str">
        <x:v>装备合成</x:v>
      </x:c>
      <x:c r="E20" s="28" t="str">
        <x:v>闭潮王带</x:v>
      </x:c>
      <x:c r="F20" s="28" t="str">
        <x:v>孢母菌带＋缝舱腰箍</x:v>
      </x:c>
      <x:c r="G20" s="28" t="str">
        <x:v>湖盐结晶×240＋沉船缆扣×16＋沉湖王印×7＋失色锻造石×360</x:v>
      </x:c>
      <x:c r="H20" s="28" t="n">
        <x:v>11000000000</x:v>
      </x:c>
      <x:c r="I20" s="28" t="n">
        <x:v>96500000</x:v>
      </x:c>
      <x:c r="J20" s="28" t="str">
        <x:v>闭潮王带×1</x:v>
      </x:c>
      <x:c r="K20" s="28" t="str">
        <x:v>攻击=210-400；魔法=210-400；道术=210-400；攻击加成=19；魔法加成=19；道术加成=19；鞭尸=2；对怪伤害吸收=4；防御=25-48；魔御=20-38；HP=350000；攻速突破=1</x:v>
      </x:c>
      <x:c r="L20" s="28" t="str">
        <x:v>本轮数值基线</x:v>
      </x:c>
      <x:c r="M20" s="28" t="str">
        <x:v>成品只有一次给物；此处不再另给永久属性，防止重复加成。</x:v>
      </x:c>
    </x:row>
    <x:row r="21" ht="60" customHeight="1">
      <x:c r="A21" s="28" t="str">
        <x:v>C04-SYN-EQ-02</x:v>
      </x:c>
      <x:c r="B21" s="28" t="str">
        <x:v>C04</x:v>
      </x:c>
      <x:c r="C21" s="28" t="str">
        <x:v>沉潮铸师·伊芙</x:v>
      </x:c>
      <x:c r="D21" s="28" t="str">
        <x:v>装备合成</x:v>
      </x:c>
      <x:c r="E21" s="28" t="str">
        <x:v>月渊秘戒</x:v>
      </x:c>
      <x:c r="F21" s="28" t="str">
        <x:v>蓝焰祷戒＋湖尸钥戒</x:v>
      </x:c>
      <x:c r="G21" s="28" t="str">
        <x:v>湖盐结晶×240＋雾潮银鳞×55＋湖底封门珠×2＋失色锻造石×360</x:v>
      </x:c>
      <x:c r="H21" s="28" t="n">
        <x:v>11000000000</x:v>
      </x:c>
      <x:c r="I21" s="28" t="n">
        <x:v>96500000</x:v>
      </x:c>
      <x:c r="J21" s="28" t="str">
        <x:v>月渊秘戒×1</x:v>
      </x:c>
      <x:c r="K21" s="28" t="str">
        <x:v>攻击=350-670；魔法=350-670；道术=350-670；攻击加成=19；魔法加成=19；道术加成=19；打怪伤害=11；暴击伤害=18；攻击伤害=3；防御=25-48；魔御=20-38；HP=270000</x:v>
      </x:c>
      <x:c r="L21" s="28" t="str">
        <x:v>本轮数值基线</x:v>
      </x:c>
      <x:c r="M21" s="28" t="str">
        <x:v>成品只有一次给物；此处不再另给永久属性，防止重复加成。</x:v>
      </x:c>
    </x:row>
    <x:row r="22" ht="60" customHeight="1">
      <x:c r="A22" s="28" t="str">
        <x:v>C04-SYN-EQ-03</x:v>
      </x:c>
      <x:c r="B22" s="28" t="str">
        <x:v>C04</x:v>
      </x:c>
      <x:c r="C22" s="28" t="str">
        <x:v>沉潮铸师·伊芙</x:v>
      </x:c>
      <x:c r="D22" s="28" t="str">
        <x:v>装备合成</x:v>
      </x:c>
      <x:c r="E22" s="28" t="str">
        <x:v>闭潮秘饰</x:v>
      </x:c>
      <x:c r="F22" s="28" t="str">
        <x:v>塞芙拉无声衣＋莱弥恩的封湖巨剑</x:v>
      </x:c>
      <x:c r="G22" s="28" t="str">
        <x:v>湖盐结晶×310＋深湖压舱印×6＋沉湖王印×9＋失色锻造石×460</x:v>
      </x:c>
      <x:c r="H22" s="28" t="n">
        <x:v>0</x:v>
      </x:c>
      <x:c r="I22" s="28" t="n">
        <x:v>292000000</x:v>
      </x:c>
      <x:c r="J22" s="28" t="str">
        <x:v>闭潮秘饰×1</x:v>
      </x:c>
      <x:c r="K22" s="28" t="str">
        <x:v>攻击=230-450；魔法=230-450；道术=230-450；攻击加成=19；魔法加成=19；道术加成=19；打怪伤害=11；暴击伤害=18；攻击伤害=3；HP=460000</x:v>
      </x:c>
      <x:c r="L22" s="28" t="str">
        <x:v>本轮数值基线</x:v>
      </x:c>
      <x:c r="M22" s="28" t="str">
        <x:v>成品只有一次给物；此处不再另给永久属性，防止重复加成。</x:v>
      </x:c>
    </x:row>
    <x:row r="23" ht="60" customHeight="1">
      <x:c r="A23" s="28" t="str">
        <x:v>C05-SYN-EQ-01</x:v>
      </x:c>
      <x:c r="B23" s="28" t="str">
        <x:v>C05</x:v>
      </x:c>
      <x:c r="C23" s="28" t="str">
        <x:v>辉石调律师·蕾娜</x:v>
      </x:c>
      <x:c r="D23" s="28" t="str">
        <x:v>装备合成</x:v>
      </x:c>
      <x:c r="E23" s="28" t="str">
        <x:v>卡利亚月裁长刃</x:v>
      </x:c>
      <x:c r="F23" s="28" t="str">
        <x:v>深潮王女权杖＋终誓月裁剑</x:v>
      </x:c>
      <x:c r="G23" s="28" t="str">
        <x:v>辉石碎晶×380＋月蚀镜片×7＋满月王室印×10＋失色锻造石×600</x:v>
      </x:c>
      <x:c r="H23" s="28" t="n">
        <x:v>0</x:v>
      </x:c>
      <x:c r="I23" s="28" t="n">
        <x:v>496000000</x:v>
      </x:c>
      <x:c r="J23" s="28" t="str">
        <x:v>卡利亚月裁长刃×1</x:v>
      </x:c>
      <x:c r="K23" s="28" t="str">
        <x:v>攻击=4200-8000；魔法=4200-8000；道术=4200-8000；攻击加成=38；魔法加成=38；道术加成=38；打怪伤害=24；暴击伤害=30；处决倍率=20；处决时间=0.2；吸血=5；攻击伤害=6；HP=480000；准确=70；攻击速度=30；致命几率=1；致命伤害=25；攻速突破=3</x:v>
      </x:c>
      <x:c r="L23" s="28" t="str">
        <x:v>本轮数值基线</x:v>
      </x:c>
      <x:c r="M23" s="28" t="str">
        <x:v>成品只有一次给物；此处不再另给永久属性，防止重复加成。</x:v>
      </x:c>
    </x:row>
    <x:row r="24" ht="60" customHeight="1">
      <x:c r="A24" s="28" t="str">
        <x:v>C05-SYN-EQ-02</x:v>
      </x:c>
      <x:c r="B24" s="28" t="str">
        <x:v>C05</x:v>
      </x:c>
      <x:c r="C24" s="28" t="str">
        <x:v>辉石调律师·蕾娜</x:v>
      </x:c>
      <x:c r="D24" s="28" t="str">
        <x:v>装备合成</x:v>
      </x:c>
      <x:c r="E24" s="28" t="str">
        <x:v>辉月镜戒</x:v>
      </x:c>
      <x:c r="F24" s="28" t="str">
        <x:v>黄金树戒＋青曜噬光戒</x:v>
      </x:c>
      <x:c r="G24" s="28" t="str">
        <x:v>辉石碎晶×420＋雾月星砂×90＋禁域星钥×2＋失色锻造石×650</x:v>
      </x:c>
      <x:c r="H24" s="28" t="n">
        <x:v>0</x:v>
      </x:c>
      <x:c r="I24" s="28" t="n">
        <x:v>620000000</x:v>
      </x:c>
      <x:c r="J24" s="28" t="str">
        <x:v>辉月镜戒×1</x:v>
      </x:c>
      <x:c r="K24" s="28" t="str">
        <x:v>攻击=570-1100；魔法=570-1100；道术=570-1100；攻击加成=21；魔法加成=21；道术加成=21；打怪伤害=12；暴击伤害=20；攻击伤害=3；HP=550000</x:v>
      </x:c>
      <x:c r="L24" s="28" t="str">
        <x:v>本轮数值基线</x:v>
      </x:c>
      <x:c r="M24" s="28" t="str">
        <x:v>成品只有一次给物；此处不再另给永久属性，防止重复加成。</x:v>
      </x:c>
    </x:row>
    <x:row r="25" ht="60" customHeight="1">
      <x:c r="A25" s="28" t="str">
        <x:v>C06-SYN-EQ-01</x:v>
      </x:c>
      <x:c r="B25" s="28" t="str">
        <x:v>C06</x:v>
      </x:c>
      <x:c r="C25" s="28" t="str">
        <x:v>红狮残匠·伯伦</x:v>
      </x:c>
      <x:c r="D25" s="28" t="str">
        <x:v>装备合成</x:v>
      </x:c>
      <x:c r="E25" s="28" t="str">
        <x:v>碎星红狮战甲</x:v>
      </x:c>
      <x:c r="F25" s="28" t="str">
        <x:v>雷奥尼斯狮铠＋瑟芮血衣</x:v>
      </x:c>
      <x:c r="G25" s="28" t="str">
        <x:v>猩红矿渣×420＋红狮断箭×90＋红狮战印×12＋失色锻造石×700</x:v>
      </x:c>
      <x:c r="H25" s="28" t="n">
        <x:v>48500000000</x:v>
      </x:c>
      <x:c r="I25" s="28" t="n">
        <x:v>0</x:v>
      </x:c>
      <x:c r="J25" s="28" t="str">
        <x:v>碎星红狮战甲×1</x:v>
      </x:c>
      <x:c r="K25" s="28" t="str">
        <x:v>攻击=880-1700；魔法=880-1700；道术=880-1700；攻击加成=22；魔法加成=22；道术加成=22；韧性=16；对怪伤害吸收=15；防御=33-64；魔御=27-51；HP=3900000</x:v>
      </x:c>
      <x:c r="L25" s="28" t="str">
        <x:v>本轮数值基线</x:v>
      </x:c>
      <x:c r="M25" s="28" t="str">
        <x:v>成品只有一次给物；此处不再另给永久属性，防止重复加成。</x:v>
      </x:c>
    </x:row>
    <x:row r="26" ht="60" customHeight="1">
      <x:c r="A26" s="28" t="str">
        <x:v>C06-SYN-EQ-02</x:v>
      </x:c>
      <x:c r="B26" s="28" t="str">
        <x:v>C06</x:v>
      </x:c>
      <x:c r="C26" s="28" t="str">
        <x:v>红狮残匠·伯伦</x:v>
      </x:c>
      <x:c r="D26" s="28" t="str">
        <x:v>装备合成</x:v>
      </x:c>
      <x:c r="E26" s="28" t="str">
        <x:v>龙火刑腕</x:v>
      </x:c>
      <x:c r="F26" s="28" t="str">
        <x:v>烬鳞护腕＋血菌腕轮</x:v>
      </x:c>
      <x:c r="G26" s="28" t="str">
        <x:v>猩红矿渣×420＋净火腺囊×26＋龙窟熔牙×8＋失色锻造石×700</x:v>
      </x:c>
      <x:c r="H26" s="28" t="n">
        <x:v>48500000000</x:v>
      </x:c>
      <x:c r="I26" s="28" t="n">
        <x:v>0</x:v>
      </x:c>
      <x:c r="J26" s="28" t="str">
        <x:v>龙火刑腕×1</x:v>
      </x:c>
      <x:c r="K26" s="28" t="str">
        <x:v>攻击=1100-2100；魔法=1100-2100；道术=1100-2100；攻击加成=22；魔法加成=22；道术加成=22；打怪伤害=13；暴击伤害=22；攻击伤害=4；防御=33-64；魔御=27-51；HP=850000；致命伤害=15</x:v>
      </x:c>
      <x:c r="L26" s="28" t="str">
        <x:v>本轮数值基线</x:v>
      </x:c>
      <x:c r="M26" s="28" t="str">
        <x:v>成品只有一次给物；此处不再另给永久属性，防止重复加成。</x:v>
      </x:c>
    </x:row>
    <x:row r="27" ht="60" customHeight="1">
      <x:c r="A27" s="28" t="str">
        <x:v>C06-SYN-EQ-03</x:v>
      </x:c>
      <x:c r="B27" s="28" t="str">
        <x:v>C06</x:v>
      </x:c>
      <x:c r="C27" s="28" t="str">
        <x:v>红狮残匠·伯伦</x:v>
      </x:c>
      <x:c r="D27" s="28" t="str">
        <x:v>装备合成</x:v>
      </x:c>
      <x:c r="E27" s="28" t="str">
        <x:v>红狮余烬王衣</x:v>
      </x:c>
      <x:c r="F27" s="28" t="str">
        <x:v>塞维拉狱衣＋拉塔恩碎星巨刃</x:v>
      </x:c>
      <x:c r="G27" s="28" t="str">
        <x:v>猩红矿渣×550＋碎星仪仗钉×2＋红狮战印×16＋失色锻造石×900</x:v>
      </x:c>
      <x:c r="H27" s="28" t="n">
        <x:v>44500000000</x:v>
      </x:c>
      <x:c r="I27" s="28" t="n">
        <x:v>372000000</x:v>
      </x:c>
      <x:c r="J27" s="28" t="str">
        <x:v>红狮余烬王衣×1</x:v>
      </x:c>
      <x:c r="K27" s="28" t="str">
        <x:v>攻击=780-1500；魔法=780-1500；道术=780-1500；攻击加成=22；魔法加成=22；道术加成=22；韧性=16；对怪伤害吸收=15；防御=33-64；魔御=27-51；HP=5100000</x:v>
      </x:c>
      <x:c r="L27" s="28" t="str">
        <x:v>本轮数值基线</x:v>
      </x:c>
      <x:c r="M27" s="28" t="str">
        <x:v>成品只有一次给物；此处不再另给永久属性，防止重复加成。</x:v>
      </x:c>
    </x:row>
    <x:row r="28" ht="60" customHeight="1">
      <x:c r="A28" s="28" t="str">
        <x:v>C07-SYN-EQ-01</x:v>
      </x:c>
      <x:c r="B28" s="28" t="str">
        <x:v>C07</x:v>
      </x:c>
      <x:c r="C28" s="28" t="str">
        <x:v>白金裁缝·弥雅</x:v>
      </x:c>
      <x:c r="D28" s="28" t="str">
        <x:v>装备合成</x:v>
      </x:c>
      <x:c r="E28" s="28" t="str">
        <x:v>永霜白金刃</x:v>
      </x:c>
      <x:c r="F28" s="28" t="str">
        <x:v>诺薇霜镰＋赫洛冻拳</x:v>
      </x:c>
      <x:c r="G28" s="28" t="str">
        <x:v>冻晶尘×720＋白金路标片×145＋圣雪誓印×18＋失色锻造石×1250</x:v>
      </x:c>
      <x:c r="H28" s="28" t="n">
        <x:v>75000000000</x:v>
      </x:c>
      <x:c r="I28" s="28" t="n">
        <x:v>736000000</x:v>
      </x:c>
      <x:c r="J28" s="28" t="str">
        <x:v>永霜白金刃×1</x:v>
      </x:c>
      <x:c r="K28" s="28" t="str">
        <x:v>攻击=4800-9200；魔法=4800-9200；道术=4800-9200；攻击加成=44；魔法加成=44；道术加成=44；打怪伤害=28；暴击伤害=36；吸血=5；攻击伤害=7；HP=1700000；准确=74；攻击速度=3；攻速突破=1</x:v>
      </x:c>
      <x:c r="L28" s="28" t="str">
        <x:v>本轮数值基线</x:v>
      </x:c>
      <x:c r="M28" s="28" t="str">
        <x:v>成品只有一次给物；此处不再另给永久属性，防止重复加成。</x:v>
      </x:c>
    </x:row>
    <x:row r="29" ht="60" customHeight="1">
      <x:c r="A29" s="28" t="str">
        <x:v>C07-SYN-EQ-02</x:v>
      </x:c>
      <x:c r="B29" s="28" t="str">
        <x:v>C07</x:v>
      </x:c>
      <x:c r="C29" s="28" t="str">
        <x:v>白金裁缝·弥雅</x:v>
      </x:c>
      <x:c r="D29" s="28" t="str">
        <x:v>装备合成</x:v>
      </x:c>
      <x:c r="E29" s="28" t="str">
        <x:v>圣雪无火礼衣</x:v>
      </x:c>
      <x:c r="F29" s="28" t="str">
        <x:v>乌尔寒铠＋埃琉斯永霜铠</x:v>
      </x:c>
      <x:c r="G29" s="28" t="str">
        <x:v>冻晶尘×720＋秘树霜芽×12＋圣雪门楔×4＋失色锻造石×1250</x:v>
      </x:c>
      <x:c r="H29" s="28" t="n">
        <x:v>75000000000</x:v>
      </x:c>
      <x:c r="I29" s="28" t="n">
        <x:v>736000000</x:v>
      </x:c>
      <x:c r="J29" s="28" t="str">
        <x:v>圣雪无火礼衣×1</x:v>
      </x:c>
      <x:c r="K29" s="28" t="str">
        <x:v>攻击=1500-2800；魔法=1500-2800；道术=1500-2800；攻击加成=23；魔法加成=23；道术加成=23；韧性=18；对怪伤害吸收=15；防御=37-72；魔御=30-58；HP=9300000</x:v>
      </x:c>
      <x:c r="L29" s="28" t="str">
        <x:v>本轮数值基线</x:v>
      </x:c>
      <x:c r="M29" s="28" t="str">
        <x:v>成品只有一次给物；此处不再另给永久属性，防止重复加成。</x:v>
      </x:c>
    </x:row>
    <x:row r="30" ht="60" customHeight="1">
      <x:c r="A30" s="28" t="str">
        <x:v>C08-SYN-EQ-01</x:v>
      </x:c>
      <x:c r="B30" s="28" t="str">
        <x:v>C08</x:v>
      </x:c>
      <x:c r="C30" s="28" t="str">
        <x:v>炉火遗民·冈特</x:v>
      </x:c>
      <x:c r="D30" s="28" t="str">
        <x:v>装备合成</x:v>
      </x:c>
      <x:c r="E30" s="28" t="str">
        <x:v>巨人炉心颈环</x:v>
      </x:c>
      <x:c r="F30" s="28" t="str">
        <x:v>雪鸦冰喙坠＋寒翼听风坠</x:v>
      </x:c>
      <x:c r="G30" s="28" t="str">
        <x:v>霜脊铁×700＋登山铁楔×145＋巨人火印×20＋失色锻造石×1300</x:v>
      </x:c>
      <x:c r="H30" s="28" t="n">
        <x:v>99000000000</x:v>
      </x:c>
      <x:c r="I30" s="28" t="n">
        <x:v>0</x:v>
      </x:c>
      <x:c r="J30" s="28" t="str">
        <x:v>巨人炉心颈环×1</x:v>
      </x:c>
      <x:c r="K30" s="28" t="str">
        <x:v>攻击=3300-6300；魔法=3300-6300；道术=3300-6300；攻击加成=25；魔法加成=25；道术加成=25；打怪伤害=15；暴击伤害=26；攻击伤害=4；HP=2700000；致命伤害=17；攻速突破=1</x:v>
      </x:c>
      <x:c r="L30" s="28" t="str">
        <x:v>本轮数值基线</x:v>
      </x:c>
      <x:c r="M30" s="28" t="str">
        <x:v>成品只有一次给物；此处不再另给永久属性，防止重复加成。</x:v>
      </x:c>
    </x:row>
    <x:row r="31" ht="60" customHeight="1">
      <x:c r="A31" s="28" t="str">
        <x:v>C08-SYN-EQ-02</x:v>
      </x:c>
      <x:c r="B31" s="28" t="str">
        <x:v>C08</x:v>
      </x:c>
      <x:c r="C31" s="28" t="str">
        <x:v>炉火遗民·冈特</x:v>
      </x:c>
      <x:c r="D31" s="28" t="str">
        <x:v>装备合成</x:v>
      </x:c>
      <x:c r="E31" s="28" t="str">
        <x:v>吞日霜壁</x:v>
      </x:c>
      <x:c r="F31" s="28" t="str">
        <x:v>负碑王座盾＋外廊纹冰盾</x:v>
      </x:c>
      <x:c r="G31" s="28" t="str">
        <x:v>霜脊铁×700＋裂峰号角片×44＋冰宫守门铃×12＋失色锻造石×1300</x:v>
      </x:c>
      <x:c r="H31" s="28" t="n">
        <x:v>99000000000</x:v>
      </x:c>
      <x:c r="I31" s="28" t="n">
        <x:v>0</x:v>
      </x:c>
      <x:c r="J31" s="28" t="str">
        <x:v>吞日霜壁×1</x:v>
      </x:c>
      <x:c r="K31" s="28" t="str">
        <x:v>攻击=2800-5400；魔法=2800-5400；道术=2800-5400；攻击加成=25；魔法加成=25；道术加成=25；韧性=20；对怪伤害吸收=15；防御=42-80；魔御=33-64；HP=7700000；攻速突破=2</x:v>
      </x:c>
      <x:c r="L31" s="28" t="str">
        <x:v>本轮数值基线</x:v>
      </x:c>
      <x:c r="M31" s="28" t="str">
        <x:v>成品只有一次给物；此处不再另给永久属性，防止重复加成。</x:v>
      </x:c>
    </x:row>
    <x:row r="32" ht="60" customHeight="1">
      <x:c r="A32" s="28" t="str">
        <x:v>C08-SYN-EQ-03</x:v>
      </x:c>
      <x:c r="B32" s="28" t="str">
        <x:v>C08</x:v>
      </x:c>
      <x:c r="C32" s="28" t="str">
        <x:v>炉火遗民·冈特</x:v>
      </x:c>
      <x:c r="D32" s="28" t="str">
        <x:v>装备合成</x:v>
      </x:c>
      <x:c r="E32" s="28" t="str">
        <x:v>穹霜炉心秘饰</x:v>
      </x:c>
      <x:c r="F32" s="28" t="str">
        <x:v>赫芮迦穹霜王衣＋乌尔迈吞日巨剑</x:v>
      </x:c>
      <x:c r="G32" s="28" t="str">
        <x:v>霜脊铁×910＋王庭炉冠×4＋巨人火印×24＋失色锻造石×1700</x:v>
      </x:c>
      <x:c r="H32" s="28" t="n">
        <x:v>91000000000</x:v>
      </x:c>
      <x:c r="I32" s="28" t="n">
        <x:v>779000000</x:v>
      </x:c>
      <x:c r="J32" s="28" t="str">
        <x:v>穹霜炉心秘饰×1</x:v>
      </x:c>
      <x:c r="K32" s="28" t="str">
        <x:v>攻击=2300-4500；魔法=2300-4500；道术=2300-4500；攻击加成=25；魔法加成=25；道术加成=25；打怪伤害=15；暴击伤害=26；攻击伤害=4；HP=4600000</x:v>
      </x:c>
      <x:c r="L32" s="28" t="str">
        <x:v>本轮数值基线</x:v>
      </x:c>
      <x:c r="M32" s="28" t="str">
        <x:v>成品只有一次给物；此处不再另给永久属性，防止重复加成。</x:v>
      </x:c>
    </x:row>
    <x:row r="33" ht="60" customHeight="1">
      <x:c r="A33" s="28" t="str">
        <x:v>C09-SYN-EQ-01</x:v>
      </x:c>
      <x:c r="B33" s="28" t="str">
        <x:v>C09</x:v>
      </x:c>
      <x:c r="C33" s="28" t="str">
        <x:v>黄金铸师·亚德</x:v>
      </x:c>
      <x:c r="D33" s="28" t="str">
        <x:v>装备合成</x:v>
      </x:c>
      <x:c r="E33" s="28" t="str">
        <x:v>黄金律裁阳刃</x:v>
      </x:c>
      <x:c r="F33" s="28" t="str">
        <x:v>罗梵迪壁垒长戟＋阿尔维萨蚀日王刃</x:v>
      </x:c>
      <x:c r="G33" s="28" t="str">
        <x:v>黄金叶脉×1000＋裁文蜡封×18＋黄金律印×28＋失色锻造石×2200</x:v>
      </x:c>
      <x:c r="H33" s="28" t="n">
        <x:v>0</x:v>
      </x:c>
      <x:c r="I33" s="28" t="n">
        <x:v>2840000000</x:v>
      </x:c>
      <x:c r="J33" s="28" t="str">
        <x:v>黄金律裁阳刃×1</x:v>
      </x:c>
      <x:c r="K33" s="28" t="str">
        <x:v>攻击=42000-80000；魔法=42000-80000；道术=42000-80000；攻击加成=50；魔法加成=50；道术加成=50；打怪伤害=32；暴击伤害=42；处决倍率=30；处决时间=0.5；吸血=5；攻击伤害=8；HP=4800000；准确=78；攻击速度=50；致命几率=3；致命伤害=37；攻速突破=5</x:v>
      </x:c>
      <x:c r="L33" s="28" t="str">
        <x:v>本轮数值基线</x:v>
      </x:c>
      <x:c r="M33" s="28" t="str">
        <x:v>成品只有一次给物；此处不再另给永久属性，防止重复加成。</x:v>
      </x:c>
    </x:row>
    <x:row r="34" ht="60" customHeight="1">
      <x:c r="A34" s="28" t="str">
        <x:v>C09-SYN-EQ-02</x:v>
      </x:c>
      <x:c r="B34" s="28" t="str">
        <x:v>C09</x:v>
      </x:c>
      <x:c r="C34" s="28" t="str">
        <x:v>黄金铸师·亚德</x:v>
      </x:c>
      <x:c r="D34" s="28" t="str">
        <x:v>装备合成</x:v>
      </x:c>
      <x:c r="E34" s="28" t="str">
        <x:v>鎏日王仪战衣</x:v>
      </x:c>
      <x:c r="F34" s="28" t="str">
        <x:v>艾德莉雅鎏辉圣衣＋赫桑达执宪战衣</x:v>
      </x:c>
      <x:c r="G34" s="28" t="str">
        <x:v>黄金叶脉×1100＋高原王诏金版×5＋黄金律印×32＋失色锻造石×2300</x:v>
      </x:c>
      <x:c r="H34" s="28" t="n">
        <x:v>0</x:v>
      </x:c>
      <x:c r="I34" s="28" t="n">
        <x:v>3550000000</x:v>
      </x:c>
      <x:c r="J34" s="28" t="str">
        <x:v>鎏日王仪战衣×1</x:v>
      </x:c>
      <x:c r="K34" s="28" t="str">
        <x:v>攻击=4600-8800；魔法=4600-8800；道术=4600-8800；攻击加成=27；魔法加成=27；道术加成=27；韧性=22；对怪伤害吸收=16；防御=46-88；魔御=36-70；HP=29000000</x:v>
      </x:c>
      <x:c r="L34" s="28" t="str">
        <x:v>本轮数值基线</x:v>
      </x:c>
      <x:c r="M34" s="28" t="str">
        <x:v>成品只有一次给物；此处不再另给永久属性，防止重复加成。</x:v>
      </x:c>
    </x:row>
    <x:row r="35" ht="60" customHeight="1">
      <x:c r="A35" s="28" t="str">
        <x:v>C10-SYN-EQ-01</x:v>
      </x:c>
      <x:c r="B35" s="28" t="str">
        <x:v>C10</x:v>
      </x:c>
      <x:c r="C35" s="28" t="str">
        <x:v>王宫兵械长·奥德</x:v>
      </x:c>
      <x:c r="D35" s="28" t="str">
        <x:v>装备合成</x:v>
      </x:c>
      <x:c r="E35" s="28" t="str">
        <x:v>王座终裁圣刃</x:v>
      </x:c>
      <x:c r="F35" s="28" t="str">
        <x:v>千锁断流铡＋万冠终律圣刃</x:v>
      </x:c>
      <x:c r="G35" s="28" t="str">
        <x:v>王城金屑×1100＋王宫断冠片×6＋艾尔登王印×36＋失色锻造石×3000</x:v>
      </x:c>
      <x:c r="H35" s="28" t="n">
        <x:v>136000000000</x:v>
      </x:c>
      <x:c r="I35" s="28" t="n">
        <x:v>1620000000</x:v>
      </x:c>
      <x:c r="J35" s="28" t="str">
        <x:v>王座终裁圣刃×1</x:v>
      </x:c>
      <x:c r="K35" s="28" t="str">
        <x:v>攻击=73000-140000；魔法=73000-140000；道术=73000-140000；攻击加成=53；魔法加成=53；道术加成=53；打怪伤害=34；暴击伤害=45；处决倍率=35；处决时间=0.5；吸血=5；攻击伤害=9；HP=8500000；准确=80；攻击速度=50；致命几率=3；致命伤害=40；攻速突破=5</x:v>
      </x:c>
      <x:c r="L35" s="28" t="str">
        <x:v>本轮数值基线</x:v>
      </x:c>
      <x:c r="M35" s="28" t="str">
        <x:v>成品只有一次给物；此处不再另给永久属性，防止重复加成。</x:v>
      </x:c>
    </x:row>
    <x:row r="36" ht="60" customHeight="1">
      <x:c r="A36" s="28" t="str">
        <x:v>C10-SYN-EQ-02</x:v>
      </x:c>
      <x:c r="B36" s="28" t="str">
        <x:v>C10</x:v>
      </x:c>
      <x:c r="C36" s="28" t="str">
        <x:v>王宫兵械长·奥德</x:v>
      </x:c>
      <x:c r="D36" s="28" t="str">
        <x:v>装备合成</x:v>
      </x:c>
      <x:c r="E36" s="28" t="str">
        <x:v>艾尔登无冕王衣</x:v>
      </x:c>
      <x:c r="F36" s="28" t="str">
        <x:v>永辉空王礼服＋吞碑枯寝大氅</x:v>
      </x:c>
      <x:c r="G36" s="28" t="str">
        <x:v>王城金屑×1150＋无名墓钉×290＋艾尔登王印×40＋失色锻造石×3200</x:v>
      </x:c>
      <x:c r="H36" s="28" t="n">
        <x:v>170000000000</x:v>
      </x:c>
      <x:c r="I36" s="28" t="n">
        <x:v>2030000000</x:v>
      </x:c>
      <x:c r="J36" s="28" t="str">
        <x:v>艾尔登无冕王衣×1</x:v>
      </x:c>
      <x:c r="K36" s="28" t="str">
        <x:v>攻击=7800-15000；魔法=7800-15000；道术=7800-15000；攻击加成=28；魔法加成=28；道术加成=28；韧性=24；对怪伤害吸收=16；防御=50-96；魔御=40-77；HP=51000000</x:v>
      </x:c>
      <x:c r="L36" s="28" t="str">
        <x:v>本轮数值基线</x:v>
      </x:c>
      <x:c r="M36" s="28" t="str">
        <x:v>成品只有一次给物；此处不再另给永久属性，防止重复加成。</x:v>
      </x:c>
    </x:row>
    <x:row r="37" ht="60" customHeight="1">
      <x:c r="A37" s="28" t="str">
        <x:v>C10-SYN-EQ-03</x:v>
      </x:c>
      <x:c r="B37" s="28" t="str">
        <x:v>C10</x:v>
      </x:c>
      <x:c r="C37" s="28" t="str">
        <x:v>旧王秘匣师·萨芙</x:v>
      </x:c>
      <x:c r="D37" s="28" t="str">
        <x:v>装备合成</x:v>
      </x:c>
      <x:c r="E37" s="28" t="str">
        <x:v>无上王徽秘饰</x:v>
      </x:c>
      <x:c r="F37" s="28" t="str">
        <x:v>无声执冠勋章＋碎日禁卫斗笠</x:v>
      </x:c>
      <x:c r="G37" s="28" t="str">
        <x:v>王城金屑×1150＋旧渠阀芯×90＋失温熔炉楔×22＋艾尔登王印×40＋失色锻造石×3200</x:v>
      </x:c>
      <x:c r="H37" s="28" t="n">
        <x:v>170000000000</x:v>
      </x:c>
      <x:c r="I37" s="28" t="n">
        <x:v>2030000000</x:v>
      </x:c>
      <x:c r="J37" s="28" t="str">
        <x:v>无上王徽秘饰×1</x:v>
      </x:c>
      <x:c r="K37" s="28" t="str">
        <x:v>攻击=7300-14000；魔法=7300-14000；道术=7300-14000；攻击加成=28；魔法加成=28；道术加成=28；打怪伤害=17；暴击伤害=30；攻击伤害=5；HP=14400000</x:v>
      </x:c>
      <x:c r="L37" s="28" t="str">
        <x:v>本轮数值基线</x:v>
      </x:c>
      <x:c r="M37" s="28" t="str">
        <x:v>成品只有一次给物；此处不再另给永久属性，防止重复加成。</x:v>
      </x:c>
    </x:row>
    <x:row r="38" ht="60" customHeight="1">
      <x:c r="A38" s="28" t="str">
        <x:v>C01-SYN-ZD-01</x:v>
      </x:c>
      <x:c r="B38" s="28" t="str">
        <x:v>C01</x:v>
      </x:c>
      <x:c r="C38" s="28" t="str">
        <x:v>拾荒匠·阿砾</x:v>
      </x:c>
      <x:c r="D38" s="28" t="str">
        <x:v>生肖合成</x:v>
      </x:c>
      <x:c r="E38" s="28" t="str">
        <x:v>子鼠·潮舱寻金</x:v>
      </x:c>
      <x:c r="F38" s="28" t="str">
        <x:v>腐树子鼠＋唤潮旧勋</x:v>
      </x:c>
      <x:c r="G38" s="28" t="str">
        <x:v>海蚀铁片×40＋漂流见证·潮×6</x:v>
      </x:c>
      <x:c r="H38" s="28" t="n">
        <x:v>1100000000</x:v>
      </x:c>
      <x:c r="I38" s="28" t="n">
        <x:v>0</x:v>
      </x:c>
      <x:c r="J38" s="28" t="str">
        <x:v>子鼠·潮舱寻金×1</x:v>
      </x:c>
      <x:c r="K38" s="28" t="str">
        <x:v>攻击=11-22；魔法=11-22；道术=11-22；攻击加成=15；魔法加成=15；道术加成=15；HP=29000；HP百分比=1</x:v>
      </x:c>
      <x:c r="L38" s="28" t="str">
        <x:v>本轮数值基线</x:v>
      </x:c>
      <x:c r="M38" s="28" t="str">
        <x:v>消耗基础件腐树子鼠来自C2；NPC地点仍在C1，但预算阶段为C2，不计C1通关前置。</x:v>
      </x:c>
    </x:row>
    <x:row r="39" ht="60" customHeight="1">
      <x:c r="A39" s="28" t="str">
        <x:v>C02-SYN-ZD-01</x:v>
      </x:c>
      <x:c r="B39" s="28" t="str">
        <x:v>C02</x:v>
      </x:c>
      <x:c r="C39" s="28" t="str">
        <x:v>风暴工匠·洛克</x:v>
      </x:c>
      <x:c r="D39" s="28" t="str">
        <x:v>生肖合成</x:v>
      </x:c>
      <x:c r="E39" s="28" t="str">
        <x:v>丑牛·风暴负山</x:v>
      </x:c>
      <x:c r="F39" s="28" t="str">
        <x:v>百臂丑牛＋关隘铁甲</x:v>
      </x:c>
      <x:c r="G39" s="28" t="str">
        <x:v>风暴石片×60＋接肢王印×2</x:v>
      </x:c>
      <x:c r="H39" s="28" t="n">
        <x:v>0</x:v>
      </x:c>
      <x:c r="I39" s="28" t="n">
        <x:v>38000000</x:v>
      </x:c>
      <x:c r="J39" s="28" t="str">
        <x:v>丑牛·风暴负山×1</x:v>
      </x:c>
      <x:c r="K39" s="28" t="str">
        <x:v>攻击=25-49；魔法=25-49；道术=25-49；攻击加成=16；魔法加成=16；道术加成=16；HP=64000；HP百分比=1</x:v>
      </x:c>
      <x:c r="L39" s="28" t="str">
        <x:v>本轮数值基线</x:v>
      </x:c>
      <x:c r="M39" s="28" t="str">
        <x:v>成品只有一次给物；此处不再另给永久属性，防止重复加成。</x:v>
      </x:c>
    </x:row>
    <x:row r="40" ht="60" customHeight="1">
      <x:c r="A40" s="28" t="str">
        <x:v>C03-SYN-ZD-01</x:v>
      </x:c>
      <x:c r="B40" s="28" t="str">
        <x:v>C03</x:v>
      </x:c>
      <x:c r="C40" s="28" t="str">
        <x:v>断路铁匠·赫恩</x:v>
      </x:c>
      <x:c r="D40" s="28" t="str">
        <x:v>生肖合成</x:v>
      </x:c>
      <x:c r="E40" s="28" t="str">
        <x:v>辰龙·荒原逐风</x:v>
      </x:c>
      <x:c r="F40" s="28" t="str">
        <x:v>猎犬辰龙＋裂风战旗刃</x:v>
      </x:c>
      <x:c r="G40" s="28" t="str">
        <x:v>风蚀铁片×90＋西境战旗印×3</x:v>
      </x:c>
      <x:c r="H40" s="28" t="n">
        <x:v>10500000000</x:v>
      </x:c>
      <x:c r="I40" s="28" t="n">
        <x:v>0</x:v>
      </x:c>
      <x:c r="J40" s="28" t="str">
        <x:v>辰龙·荒原逐风×1</x:v>
      </x:c>
      <x:c r="K40" s="28" t="str">
        <x:v>攻击=47-90；魔法=47-90；道术=47-90；攻击加成=17；魔法加成=17；道术加成=17；HP=120000；HP百分比=1</x:v>
      </x:c>
      <x:c r="L40" s="28" t="str">
        <x:v>本轮数值基线</x:v>
      </x:c>
      <x:c r="M40" s="28" t="str">
        <x:v>成品只有一次给物；此处不再另给永久属性，防止重复加成。</x:v>
      </x:c>
    </x:row>
    <x:row r="41" ht="60" customHeight="1">
      <x:c r="A41" s="28" t="str">
        <x:v>C04-SYN-ZD-01</x:v>
      </x:c>
      <x:c r="B41" s="28" t="str">
        <x:v>C04</x:v>
      </x:c>
      <x:c r="C41" s="28" t="str">
        <x:v>沉潮铸师·伊芙</x:v>
      </x:c>
      <x:c r="D41" s="28" t="str">
        <x:v>生肖合成</x:v>
      </x:c>
      <x:c r="E41" s="28" t="str">
        <x:v>巳蛇·沉潮缚月</x:v>
      </x:c>
      <x:c r="F41" s="28" t="str">
        <x:v>祖魂巳蛇＋罗缇的回流剑</x:v>
      </x:c>
      <x:c r="G41" s="28" t="str">
        <x:v>湖盐结晶×120＋沉湖王印×4</x:v>
      </x:c>
      <x:c r="H41" s="28" t="n">
        <x:v>7400000000</x:v>
      </x:c>
      <x:c r="I41" s="28" t="n">
        <x:v>64500000</x:v>
      </x:c>
      <x:c r="J41" s="28" t="str">
        <x:v>巳蛇·沉潮缚月×1</x:v>
      </x:c>
      <x:c r="K41" s="28" t="str">
        <x:v>攻击=83-160；魔法=83-160；道术=83-160；攻击加成=19；魔法加成=19；道术加成=19；HP=200000；HP百分比=1</x:v>
      </x:c>
      <x:c r="L41" s="28" t="str">
        <x:v>本轮数值基线</x:v>
      </x:c>
      <x:c r="M41" s="28" t="str">
        <x:v>成品只有一次给物；此处不再另给永久属性，防止重复加成。</x:v>
      </x:c>
    </x:row>
    <x:row r="42" ht="60" customHeight="1">
      <x:c r="A42" s="28" t="str">
        <x:v>C05-SYN-ZD-01</x:v>
      </x:c>
      <x:c r="B42" s="28" t="str">
        <x:v>C05</x:v>
      </x:c>
      <x:c r="C42" s="28" t="str">
        <x:v>辉石调律师·蕾娜</x:v>
      </x:c>
      <x:c r="D42" s="28" t="str">
        <x:v>生肖合成</x:v>
      </x:c>
      <x:c r="E42" s="28" t="str">
        <x:v>卯兔·镜月折辉</x:v>
      </x:c>
      <x:c r="F42" s="28" t="str">
        <x:v>无月卯兔＋月契封印带</x:v>
      </x:c>
      <x:c r="G42" s="28" t="str">
        <x:v>辉石碎晶×160＋满月王室印×5</x:v>
      </x:c>
      <x:c r="H42" s="28" t="n">
        <x:v>0</x:v>
      </x:c>
      <x:c r="I42" s="28" t="n">
        <x:v>248000000</x:v>
      </x:c>
      <x:c r="J42" s="28" t="str">
        <x:v>卯兔·镜月折辉×1</x:v>
      </x:c>
      <x:c r="K42" s="28" t="str">
        <x:v>攻击=150-280；魔法=150-280；道术=150-280；攻击加成=21；魔法加成=21；道术加成=21；HP=360000；HP百分比=2</x:v>
      </x:c>
      <x:c r="L42" s="28" t="str">
        <x:v>本轮数值基线</x:v>
      </x:c>
      <x:c r="M42" s="28" t="str">
        <x:v>成品只有一次给物；此处不再另给永久属性，防止重复加成。</x:v>
      </x:c>
    </x:row>
    <x:row r="43" ht="60" customHeight="1">
      <x:c r="A43" s="28" t="str">
        <x:v>C06-SYN-ZD-01</x:v>
      </x:c>
      <x:c r="B43" s="28" t="str">
        <x:v>C06</x:v>
      </x:c>
      <x:c r="C43" s="28" t="str">
        <x:v>红狮残匠·伯伦</x:v>
      </x:c>
      <x:c r="D43" s="28" t="str">
        <x:v>生肖合成</x:v>
      </x:c>
      <x:c r="E43" s="28" t="str">
        <x:v>寅虎·红狮焚原</x:v>
      </x:c>
      <x:c r="F43" s="28" t="str">
        <x:v>长戟寅虎＋阿格纳龙牙</x:v>
      </x:c>
      <x:c r="G43" s="28" t="str">
        <x:v>猩红矿渣×210＋红狮战印×7</x:v>
      </x:c>
      <x:c r="H43" s="28" t="n">
        <x:v>32500000000</x:v>
      </x:c>
      <x:c r="I43" s="28" t="n">
        <x:v>0</x:v>
      </x:c>
      <x:c r="J43" s="28" t="str">
        <x:v>寅虎·红狮焚原×1</x:v>
      </x:c>
      <x:c r="K43" s="28" t="str">
        <x:v>攻击=250-490；魔法=250-490；道术=250-490；攻击加成=22；魔法加成=22；道术加成=22；HP=640000；HP百分比=2</x:v>
      </x:c>
      <x:c r="L43" s="28" t="str">
        <x:v>本轮数值基线</x:v>
      </x:c>
      <x:c r="M43" s="28" t="str">
        <x:v>成品只有一次给物；此处不再另给永久属性，防止重复加成。</x:v>
      </x:c>
    </x:row>
    <x:row r="44" ht="60" customHeight="1">
      <x:c r="A44" s="28" t="str">
        <x:v>C07-SYN-ZD-01</x:v>
      </x:c>
      <x:c r="B44" s="28" t="str">
        <x:v>C07</x:v>
      </x:c>
      <x:c r="C44" s="28" t="str">
        <x:v>白金裁缝·弥雅</x:v>
      </x:c>
      <x:c r="D44" s="28" t="str">
        <x:v>生肖合成</x:v>
      </x:c>
      <x:c r="E44" s="28" t="str">
        <x:v>未羊·永霜引路</x:v>
      </x:c>
      <x:c r="F44" s="28" t="str">
        <x:v>葬日未羊＋芙蕾冰冠</x:v>
      </x:c>
      <x:c r="G44" s="28" t="str">
        <x:v>冻晶尘×280＋圣雪誓印×9</x:v>
      </x:c>
      <x:c r="H44" s="28" t="n">
        <x:v>30000000000</x:v>
      </x:c>
      <x:c r="I44" s="28" t="n">
        <x:v>295000000</x:v>
      </x:c>
      <x:c r="J44" s="28" t="str">
        <x:v>未羊·永霜引路×1</x:v>
      </x:c>
      <x:c r="K44" s="28" t="str">
        <x:v>攻击=470-900；魔法=470-900；道术=470-900；攻击加成=23；魔法加成=23；道术加成=23；HP=1200000；HP百分比=2</x:v>
      </x:c>
      <x:c r="L44" s="28" t="str">
        <x:v>本轮数值基线</x:v>
      </x:c>
      <x:c r="M44" s="28" t="str">
        <x:v>成品只有一次给物；此处不再另给永久属性，防止重复加成。</x:v>
      </x:c>
    </x:row>
    <x:row r="45" ht="60" customHeight="1">
      <x:c r="A45" s="28" t="str">
        <x:v>C08-SYN-ZD-01</x:v>
      </x:c>
      <x:c r="B45" s="28" t="str">
        <x:v>C08</x:v>
      </x:c>
      <x:c r="C45" s="28" t="str">
        <x:v>炉火遗民·冈特</x:v>
      </x:c>
      <x:c r="D45" s="28" t="str">
        <x:v>生肖合成</x:v>
      </x:c>
      <x:c r="E45" s="28" t="str">
        <x:v>午马·霜脊踏天</x:v>
      </x:c>
      <x:c r="F45" s="28" t="str">
        <x:v>死水午马＋赫罗姆凿峰槌</x:v>
      </x:c>
      <x:c r="G45" s="28" t="str">
        <x:v>霜脊铁×350＋巨人火印×12</x:v>
      </x:c>
      <x:c r="H45" s="28" t="n">
        <x:v>66000000000</x:v>
      </x:c>
      <x:c r="I45" s="28" t="n">
        <x:v>0</x:v>
      </x:c>
      <x:c r="J45" s="28" t="str">
        <x:v>午马·霜脊踏天×1</x:v>
      </x:c>
      <x:c r="K45" s="28" t="str">
        <x:v>攻击=830-1600；魔法=830-1600；道术=830-1600；攻击加成=25；魔法加成=25；道术加成=25；HP=2000000；HP百分比=2</x:v>
      </x:c>
      <x:c r="L45" s="28" t="str">
        <x:v>本轮数值基线</x:v>
      </x:c>
      <x:c r="M45" s="28" t="str">
        <x:v>成品只有一次给物；此处不再另给永久属性，防止重复加成。</x:v>
      </x:c>
    </x:row>
    <x:row r="46" ht="60" customHeight="1">
      <x:c r="A46" s="28" t="str">
        <x:v>C09-SYN-ZD-01</x:v>
      </x:c>
      <x:c r="B46" s="28" t="str">
        <x:v>C09</x:v>
      </x:c>
      <x:c r="C46" s="28" t="str">
        <x:v>黄金铸师·亚德</x:v>
      </x:c>
      <x:c r="D46" s="28" t="str">
        <x:v>生肖合成</x:v>
      </x:c>
      <x:c r="E46" s="28" t="str">
        <x:v>酉鸡·鎏日司晨</x:v>
      </x:c>
      <x:c r="F46" s="28" t="str">
        <x:v>恶兆酉鸡＋赛维兰裁阳杖</x:v>
      </x:c>
      <x:c r="G46" s="28" t="str">
        <x:v>黄金叶脉×420＋黄金律印×16</x:v>
      </x:c>
      <x:c r="H46" s="28" t="n">
        <x:v>0</x:v>
      </x:c>
      <x:c r="I46" s="28" t="n">
        <x:v>1420000000</x:v>
      </x:c>
      <x:c r="J46" s="28" t="str">
        <x:v>酉鸡·鎏日司晨×1</x:v>
      </x:c>
      <x:c r="K46" s="28" t="str">
        <x:v>攻击=1500-2800；魔法=1500-2800；道术=1500-2800；攻击加成=27；魔法加成=27；道术加成=27；HP=3600000；HP百分比=2</x:v>
      </x:c>
      <x:c r="L46" s="28" t="str">
        <x:v>本轮数值基线</x:v>
      </x:c>
      <x:c r="M46" s="28" t="str">
        <x:v>成品只有一次给物；此处不再另给永久属性，防止重复加成。</x:v>
      </x:c>
    </x:row>
    <x:row r="47" ht="60" customHeight="1">
      <x:c r="A47" s="28" t="str">
        <x:v>C10-SYN-ZD-01</x:v>
      </x:c>
      <x:c r="B47" s="28" t="str">
        <x:v>C10</x:v>
      </x:c>
      <x:c r="C47" s="28" t="str">
        <x:v>旧王秘匣师·萨芙</x:v>
      </x:c>
      <x:c r="D47" s="28" t="str">
        <x:v>生肖合成</x:v>
      </x:c>
      <x:c r="E47" s="28" t="str">
        <x:v>戌狗·王座守门</x:v>
      </x:c>
      <x:c r="F47" s="28" t="str">
        <x:v>失乡戌狗＋返魂寝门盾</x:v>
      </x:c>
      <x:c r="G47" s="28" t="str">
        <x:v>王城金屑×450＋艾尔登王印×20</x:v>
      </x:c>
      <x:c r="H47" s="28" t="n">
        <x:v>68000000000</x:v>
      </x:c>
      <x:c r="I47" s="28" t="n">
        <x:v>812000000</x:v>
      </x:c>
      <x:c r="J47" s="28" t="str">
        <x:v>戌狗·王座守门×1</x:v>
      </x:c>
      <x:c r="K47" s="28" t="str">
        <x:v>攻击=2500-4900；魔法=2500-4900；道术=2500-4900；攻击加成=28；魔法加成=28；道术加成=28；HP=6400000；HP百分比=2</x:v>
      </x:c>
      <x:c r="L47" s="28" t="str">
        <x:v>本轮数值基线</x:v>
      </x:c>
      <x:c r="M47" s="28" t="str">
        <x:v>成品只有一次给物；此处不再另给永久属性，防止重复加成。</x:v>
      </x:c>
    </x:row>
    <x:row r="48" ht="60" customHeight="1">
      <x:c r="A48" s="28" t="str">
        <x:v>C01-SYN-TT-01</x:v>
      </x:c>
      <x:c r="B48" s="28" t="str">
        <x:v>C01</x:v>
      </x:c>
      <x:c r="C48" s="28" t="str">
        <x:v>拾荒匠·阿砾</x:v>
      </x:c>
      <x:c r="D48" s="28" t="str">
        <x:v>独立称号</x:v>
      </x:c>
      <x:c r="E48" s="28" t="str">
        <x:v>[称号]海岸初誓</x:v>
      </x:c>
      <x:c r="F48" s="28" t="str">
        <x:v>—</x:v>
      </x:c>
      <x:c r="G48" s="28" t="str">
        <x:v>漂流大陆印记×5＋漂流见证·潮×8＋漂流见证·雷×8</x:v>
      </x:c>
      <x:c r="H48" s="28" t="n">
        <x:v>1200000000</x:v>
      </x:c>
      <x:c r="I48" s="28" t="n">
        <x:v>11500000</x:v>
      </x:c>
      <x:c r="J48" s="28" t="str">
        <x:v>[称号]海岸初誓（一次激活）</x:v>
      </x:c>
      <x:c r="K48" s="28" t="str">
        <x:v>攻击=30；魔法=30；道术=30；HP=3000</x:v>
      </x:c>
      <x:c r="L48" s="28" t="str">
        <x:v>本轮数值基线</x:v>
      </x:c>
      <x:c r="M48" s="28" t="str">
        <x:v>不改造既有称号系统；同一称号不得重复加属性。</x:v>
      </x:c>
    </x:row>
    <x:row r="49" ht="60" customHeight="1">
      <x:c r="A49" s="28" t="str">
        <x:v>C03-SYN-TT-01</x:v>
      </x:c>
      <x:c r="B49" s="28" t="str">
        <x:v>C03</x:v>
      </x:c>
      <x:c r="C49" s="28" t="str">
        <x:v>无籍书记·玛尔</x:v>
      </x:c>
      <x:c r="D49" s="28" t="str">
        <x:v>独立称号</x:v>
      </x:c>
      <x:c r="E49" s="28" t="str">
        <x:v>[称号]西境拓荒者</x:v>
      </x:c>
      <x:c r="F49" s="28" t="str">
        <x:v>—</x:v>
      </x:c>
      <x:c r="G49" s="28" t="str">
        <x:v>西境战旗×20＋西境战旗印×6＋哨垒旗冠×1</x:v>
      </x:c>
      <x:c r="H49" s="28" t="n">
        <x:v>21000000000</x:v>
      </x:c>
      <x:c r="I49" s="28" t="n">
        <x:v>0</x:v>
      </x:c>
      <x:c r="J49" s="28" t="str">
        <x:v>[称号]西境拓荒者（一次激活）</x:v>
      </x:c>
      <x:c r="K49" s="28" t="str">
        <x:v>攻击=180；魔法=180；道术=180；HP=18000</x:v>
      </x:c>
      <x:c r="L49" s="28" t="str">
        <x:v>本轮数值基线</x:v>
      </x:c>
      <x:c r="M49" s="28" t="str">
        <x:v>不改造既有称号系统；同一称号不得重复加属性。</x:v>
      </x:c>
    </x:row>
    <x:row r="50" ht="60" customHeight="1">
      <x:c r="A50" s="28" t="str">
        <x:v>C05-SYN-TT-01</x:v>
      </x:c>
      <x:c r="B50" s="28" t="str">
        <x:v>C05</x:v>
      </x:c>
      <x:c r="C50" s="28" t="str">
        <x:v>月誓见证人·瑟兰</x:v>
      </x:c>
      <x:c r="D50" s="28" t="str">
        <x:v>独立称号</x:v>
      </x:c>
      <x:c r="E50" s="28" t="str">
        <x:v>[称号]满月见证者</x:v>
      </x:c>
      <x:c r="F50" s="28" t="str">
        <x:v>—</x:v>
      </x:c>
      <x:c r="G50" s="28" t="str">
        <x:v>卡利亚月露×36＋满月王室印×10＋禁域星钥×2</x:v>
      </x:c>
      <x:c r="H50" s="28" t="n">
        <x:v>0</x:v>
      </x:c>
      <x:c r="I50" s="28" t="n">
        <x:v>496000000</x:v>
      </x:c>
      <x:c r="J50" s="28" t="str">
        <x:v>[称号]满月见证者（一次激活）</x:v>
      </x:c>
      <x:c r="K50" s="28" t="str">
        <x:v>攻击=800；魔法=800；道术=800；HP=80000</x:v>
      </x:c>
      <x:c r="L50" s="28" t="str">
        <x:v>本轮数值基线</x:v>
      </x:c>
      <x:c r="M50" s="28" t="str">
        <x:v>不改造既有称号系统；同一称号不得重复加属性。</x:v>
      </x:c>
    </x:row>
    <x:row r="51" ht="60" customHeight="1">
      <x:c r="A51" s="28" t="str">
        <x:v>C07-SYN-TT-01</x:v>
      </x:c>
      <x:c r="B51" s="28" t="str">
        <x:v>C07</x:v>
      </x:c>
      <x:c r="C51" s="28" t="str">
        <x:v>无火记录官·洛萨</x:v>
      </x:c>
      <x:c r="D51" s="28" t="str">
        <x:v>独立称号</x:v>
      </x:c>
      <x:c r="E51" s="28" t="str">
        <x:v>[称号]永霜朝圣者</x:v>
      </x:c>
      <x:c r="F51" s="28" t="str">
        <x:v>—</x:v>
      </x:c>
      <x:c r="G51" s="28" t="str">
        <x:v>白金纺线×60＋圣雪誓印×18＋圣雪门楔×4</x:v>
      </x:c>
      <x:c r="H51" s="28" t="n">
        <x:v>60000000000</x:v>
      </x:c>
      <x:c r="I51" s="28" t="n">
        <x:v>589000000</x:v>
      </x:c>
      <x:c r="J51" s="28" t="str">
        <x:v>[称号]永霜朝圣者（一次激活）</x:v>
      </x:c>
      <x:c r="K51" s="28" t="str">
        <x:v>攻击=3500；魔法=3500；道术=3500；HP=350000</x:v>
      </x:c>
      <x:c r="L51" s="28" t="str">
        <x:v>本轮数值基线</x:v>
      </x:c>
      <x:c r="M51" s="28" t="str">
        <x:v>不改造既有称号系统；同一称号不得重复加属性。</x:v>
      </x:c>
    </x:row>
    <x:row r="52" ht="60" customHeight="1">
      <x:c r="A52" s="28" t="str">
        <x:v>C09-SYN-TT-01</x:v>
      </x:c>
      <x:c r="B52" s="28" t="str">
        <x:v>C09</x:v>
      </x:c>
      <x:c r="C52" s="28" t="str">
        <x:v>王道见证人·斐洛</x:v>
      </x:c>
      <x:c r="D52" s="28" t="str">
        <x:v>独立称号</x:v>
      </x:c>
      <x:c r="E52" s="28" t="str">
        <x:v>[称号]黄金律见证者</x:v>
      </x:c>
      <x:c r="F52" s="28" t="str">
        <x:v>—</x:v>
      </x:c>
      <x:c r="G52" s="28" t="str">
        <x:v>古王律页×105＋黄金律印×30＋高原王诏金版×5</x:v>
      </x:c>
      <x:c r="H52" s="28" t="n">
        <x:v>0</x:v>
      </x:c>
      <x:c r="I52" s="28" t="n">
        <x:v>2840000000</x:v>
      </x:c>
      <x:c r="J52" s="28" t="str">
        <x:v>[称号]黄金律见证者（一次激活）</x:v>
      </x:c>
      <x:c r="K52" s="28" t="str">
        <x:v>攻击=12000；魔法=12000；道术=12000；HP=1200000</x:v>
      </x:c>
      <x:c r="L52" s="28" t="str">
        <x:v>本轮数值基线</x:v>
      </x:c>
      <x:c r="M52" s="28" t="str">
        <x:v>不改造既有称号系统；同一称号不得重复加属性。</x:v>
      </x:c>
    </x:row>
    <x:row r="53" ht="60" customHeight="1">
      <x:c r="A53" s="28" t="str">
        <x:v>C10-SYN-TT-01</x:v>
      </x:c>
      <x:c r="B53" s="28" t="str">
        <x:v>C10</x:v>
      </x:c>
      <x:c r="C53" s="28" t="str">
        <x:v>无冕司礼官·维安</x:v>
      </x:c>
      <x:c r="D53" s="28" t="str">
        <x:v>独立称号</x:v>
      </x:c>
      <x:c r="E53" s="28" t="str">
        <x:v>[称号]艾尔登之王</x:v>
      </x:c>
      <x:c r="F53" s="28" t="str">
        <x:v>—</x:v>
      </x:c>
      <x:c r="G53" s="28" t="str">
        <x:v>王宫律文×130＋艾尔登王印×38＋王宫断冠片×6＋失温熔炉楔×22</x:v>
      </x:c>
      <x:c r="H53" s="28" t="n">
        <x:v>136000000000</x:v>
      </x:c>
      <x:c r="I53" s="28" t="n">
        <x:v>1620000000</x:v>
      </x:c>
      <x:c r="J53" s="28" t="str">
        <x:v>[称号]艾尔登之王（一次激活）</x:v>
      </x:c>
      <x:c r="K53" s="28" t="str">
        <x:v>攻击=20000；魔法=20000；道术=20000；HP=2000000</x:v>
      </x:c>
      <x:c r="L53" s="28" t="str">
        <x:v>本轮数值基线</x:v>
      </x:c>
      <x:c r="M53" s="28" t="str">
        <x:v>不改造既有称号系统；同一称号不得重复加属性。</x:v>
      </x:c>
    </x:row>
    <x:row r="54" ht="60" customHeight="1">
      <x:c r="A54" s="28" t="str">
        <x:v>C02-AOE-LV1</x:v>
      </x:c>
      <x:c r="B54" s="28" t="str">
        <x:v>C02</x:v>
      </x:c>
      <x:c r="C54" s="28" t="str">
        <x:v>风暴工匠·洛克</x:v>
      </x:c>
      <x:c r="D54" s="28" t="str">
        <x:v>群攻生肖</x:v>
      </x:c>
      <x:c r="E54" s="28" t="str">
        <x:v>群星之核LV1</x:v>
      </x:c>
      <x:c r="F54" s="28" t="str">
        <x:v>雷冠申猴</x:v>
      </x:c>
      <x:c r="G54" s="28" t="str">
        <x:v>风暴石片×70＋黄金树芽×8＋接肢王印×3</x:v>
      </x:c>
      <x:c r="H54" s="28" t="n">
        <x:v>0</x:v>
      </x:c>
      <x:c r="I54" s="28" t="n">
        <x:v>57500000</x:v>
      </x:c>
      <x:c r="J54" s="28" t="str">
        <x:v>群星之核LV1×1</x:v>
      </x:c>
      <x:c r="K54" s="28" t="str">
        <x:v>见群攻关联表</x:v>
      </x:c>
      <x:c r="L54" s="28" t="str">
        <x:v>本轮数值基线</x:v>
      </x:c>
      <x:c r="M54" s="28" t="str">
        <x:v>成品只有一次给物；此处不再另给永久属性，防止重复加成。覆盖旧群攻生肖；范围2×2，间隔2.0秒，单次=面板攻击×1，禁止额外伤害乘区。</x:v>
      </x:c>
    </x:row>
    <x:row r="55" ht="60" customHeight="1">
      <x:c r="A55" s="28" t="str">
        <x:v>C03-AOE-LV2</x:v>
      </x:c>
      <x:c r="B55" s="28" t="str">
        <x:v>C03</x:v>
      </x:c>
      <x:c r="C55" s="28" t="str">
        <x:v>星核校准师·西境</x:v>
      </x:c>
      <x:c r="D55" s="28" t="str">
        <x:v>群攻生肖</x:v>
      </x:c>
      <x:c r="E55" s="28" t="str">
        <x:v>群星之核LV2</x:v>
      </x:c>
      <x:c r="F55" s="28" t="str">
        <x:v>群星之核LV1</x:v>
      </x:c>
      <x:c r="G55" s="28" t="str">
        <x:v>风蚀铁片×110＋裂风崖羽×28＋西境战旗印×4</x:v>
      </x:c>
      <x:c r="H55" s="28" t="n">
        <x:v>16000000000</x:v>
      </x:c>
      <x:c r="I55" s="28" t="n">
        <x:v>0</x:v>
      </x:c>
      <x:c r="J55" s="28" t="str">
        <x:v>群星之核LV2×1</x:v>
      </x:c>
      <x:c r="K55" s="28" t="str">
        <x:v>见群攻关联表</x:v>
      </x:c>
      <x:c r="L55" s="28" t="str">
        <x:v>本轮数值基线</x:v>
      </x:c>
      <x:c r="M55" s="28" t="str">
        <x:v>成品只有一次给物；此处不再另给永久属性，防止重复加成。覆盖旧群攻生肖；范围2×2，间隔1.75秒，单次=面板攻击×1，禁止额外伤害乘区。</x:v>
      </x:c>
    </x:row>
    <x:row r="56" ht="60" customHeight="1">
      <x:c r="A56" s="28" t="str">
        <x:v>C05-AOE-LV3</x:v>
      </x:c>
      <x:c r="B56" s="28" t="str">
        <x:v>C05</x:v>
      </x:c>
      <x:c r="C56" s="28" t="str">
        <x:v>星核校准师·湖月</x:v>
      </x:c>
      <x:c r="D56" s="28" t="str">
        <x:v>群攻生肖</x:v>
      </x:c>
      <x:c r="E56" s="28" t="str">
        <x:v>群星之核LV3</x:v>
      </x:c>
      <x:c r="F56" s="28" t="str">
        <x:v>群星之核LV2</x:v>
      </x:c>
      <x:c r="G56" s="28" t="str">
        <x:v>辉石碎晶×190＋雾月星砂×48＋满月王室印×6</x:v>
      </x:c>
      <x:c r="H56" s="28" t="n">
        <x:v>0</x:v>
      </x:c>
      <x:c r="I56" s="28" t="n">
        <x:v>372000000</x:v>
      </x:c>
      <x:c r="J56" s="28" t="str">
        <x:v>群星之核LV3×1</x:v>
      </x:c>
      <x:c r="K56" s="28" t="str">
        <x:v>见群攻关联表</x:v>
      </x:c>
      <x:c r="L56" s="28" t="str">
        <x:v>本轮数值基线</x:v>
      </x:c>
      <x:c r="M56" s="28" t="str">
        <x:v>成品只有一次给物；此处不再另给永久属性，防止重复加成。覆盖旧群攻生肖；范围2×2，间隔1.5秒，单次=面板攻击×1，禁止额外伤害乘区。</x:v>
      </x:c>
    </x:row>
    <x:row r="57" ht="60" customHeight="1">
      <x:c r="A57" s="28" t="str">
        <x:v>C07-AOE-LV4</x:v>
      </x:c>
      <x:c r="B57" s="28" t="str">
        <x:v>C07</x:v>
      </x:c>
      <x:c r="C57" s="28" t="str">
        <x:v>星核校准师·圣雪</x:v>
      </x:c>
      <x:c r="D57" s="28" t="str">
        <x:v>群攻生肖</x:v>
      </x:c>
      <x:c r="E57" s="28" t="str">
        <x:v>群星之核LV4</x:v>
      </x:c>
      <x:c r="F57" s="28" t="str">
        <x:v>群星之核LV3</x:v>
      </x:c>
      <x:c r="G57" s="28" t="str">
        <x:v>冻晶尘×330＋秘树霜芽×7＋圣雪誓印×10</x:v>
      </x:c>
      <x:c r="H57" s="28" t="n">
        <x:v>45000000000</x:v>
      </x:c>
      <x:c r="I57" s="28" t="n">
        <x:v>442000000</x:v>
      </x:c>
      <x:c r="J57" s="28" t="str">
        <x:v>群星之核LV4×1</x:v>
      </x:c>
      <x:c r="K57" s="28" t="str">
        <x:v>见群攻关联表</x:v>
      </x:c>
      <x:c r="L57" s="28" t="str">
        <x:v>本轮数值基线</x:v>
      </x:c>
      <x:c r="M57" s="28" t="str">
        <x:v>成品只有一次给物；此处不再另给永久属性，防止重复加成。覆盖旧群攻生肖；范围3×3，间隔1.25秒，单次=面板攻击×1，禁止额外伤害乘区。</x:v>
      </x:c>
    </x:row>
    <x:row r="58" ht="60" customHeight="1">
      <x:c r="A58" s="28" t="str">
        <x:v>C09-AOE-LV5</x:v>
      </x:c>
      <x:c r="B58" s="28" t="str">
        <x:v>C09</x:v>
      </x:c>
      <x:c r="C58" s="28" t="str">
        <x:v>星核校准师·黄金律</x:v>
      </x:c>
      <x:c r="D58" s="28" t="str">
        <x:v>群攻生肖</x:v>
      </x:c>
      <x:c r="E58" s="28" t="str">
        <x:v>群星之核LV5</x:v>
      </x:c>
      <x:c r="F58" s="28" t="str">
        <x:v>群星之核LV4</x:v>
      </x:c>
      <x:c r="G58" s="28" t="str">
        <x:v>黄金叶脉×510＋裁文蜡封×10＋黄金律印×18</x:v>
      </x:c>
      <x:c r="H58" s="28" t="n">
        <x:v>0</x:v>
      </x:c>
      <x:c r="I58" s="28" t="n">
        <x:v>2130000000</x:v>
      </x:c>
      <x:c r="J58" s="28" t="str">
        <x:v>群星之核LV5×1</x:v>
      </x:c>
      <x:c r="K58" s="28" t="str">
        <x:v>见群攻关联表</x:v>
      </x:c>
      <x:c r="L58" s="28" t="str">
        <x:v>本轮数值基线</x:v>
      </x:c>
      <x:c r="M58" s="28" t="str">
        <x:v>成品只有一次给物；此处不再另给永久属性，防止重复加成。覆盖旧群攻生肖；范围3×3，间隔1.0秒，单次=面板攻击×1，禁止额外伤害乘区。</x:v>
      </x:c>
    </x:row>
    <x:row r="59" ht="60" customHeight="1">
      <x:c r="A59" s="28" t="str">
        <x:v>C04-REBIRTH-01</x:v>
      </x:c>
      <x:c r="B59" s="28" t="str">
        <x:v>C04</x:v>
      </x:c>
      <x:c r="C59" s="28" t="str">
        <x:v>潮印引渡者·洛弥</x:v>
      </x:c>
      <x:c r="D59" s="28" t="str">
        <x:v>转生</x:v>
      </x:c>
      <x:c r="E59" s="28" t="str">
        <x:v>第1转·雾潮初醒</x:v>
      </x:c>
      <x:c r="F59" s="28" t="str">
        <x:v>角色等级与前置条件</x:v>
      </x:c>
      <x:c r="G59" s="28" t="str">
        <x:v>湖盐结晶×24＋雾潮银鳞×6＋幽船铆钉×2＋沉湖王印×1＋小卢恩×20</x:v>
      </x:c>
      <x:c r="H59" s="28" t="n">
        <x:v>5500000000</x:v>
      </x:c>
      <x:c r="I59" s="28" t="n">
        <x:v>48000000</x:v>
      </x:c>
      <x:c r="J59" s="28" t="str">
        <x:v>第1转·雾潮初醒</x:v>
      </x:c>
      <x:c r="K59" s="28" t="str">
        <x:v>神力倍攻_本级增量=0.02</x:v>
      </x:c>
      <x:c r="L59" s="28" t="str">
        <x:v>本轮数值基线</x:v>
      </x:c>
      <x:c r="M59" s="28" t="str">
        <x:v>只加本级增量；奖励表另列累计值，不能把累计值每次再叠加。</x:v>
      </x:c>
    </x:row>
    <x:row r="60" ht="60" customHeight="1">
      <x:c r="A60" s="28" t="str">
        <x:v>C04-REBIRTH-02</x:v>
      </x:c>
      <x:c r="B60" s="28" t="str">
        <x:v>C04</x:v>
      </x:c>
      <x:c r="C60" s="28" t="str">
        <x:v>潮印引渡者·洛弥</x:v>
      </x:c>
      <x:c r="D60" s="28" t="str">
        <x:v>转生</x:v>
      </x:c>
      <x:c r="E60" s="28" t="str">
        <x:v>第2转·沉舟回魂</x:v>
      </x:c>
      <x:c r="F60" s="28" t="str">
        <x:v>第1转</x:v>
      </x:c>
      <x:c r="G60" s="28" t="str">
        <x:v>湖盐结晶×34＋雾潮银鳞×8＋幽船铆钉×3＋沉湖王印×1＋小卢恩×30</x:v>
      </x:c>
      <x:c r="H60" s="28" t="n">
        <x:v>7400000000</x:v>
      </x:c>
      <x:c r="I60" s="28" t="n">
        <x:v>64500000</x:v>
      </x:c>
      <x:c r="J60" s="28" t="str">
        <x:v>第2转·沉舟回魂</x:v>
      </x:c>
      <x:c r="K60" s="28" t="str">
        <x:v>神力倍攻_本级增量=0.03</x:v>
      </x:c>
      <x:c r="L60" s="28" t="str">
        <x:v>本轮数值基线</x:v>
      </x:c>
      <x:c r="M60" s="28" t="str">
        <x:v>只加本级增量；奖励表另列累计值，不能把累计值每次再叠加。</x:v>
      </x:c>
    </x:row>
    <x:row r="61" ht="60" customHeight="1">
      <x:c r="A61" s="28" t="str">
        <x:v>C04-REBIRTH-03</x:v>
      </x:c>
      <x:c r="B61" s="28" t="str">
        <x:v>C04</x:v>
      </x:c>
      <x:c r="C61" s="28" t="str">
        <x:v>潮印引渡者·洛弥</x:v>
      </x:c>
      <x:c r="D61" s="28" t="str">
        <x:v>转生</x:v>
      </x:c>
      <x:c r="E61" s="28" t="str">
        <x:v>第3转·月水洗身</x:v>
      </x:c>
      <x:c r="F61" s="28" t="str">
        <x:v>第2转</x:v>
      </x:c>
      <x:c r="G61" s="28" t="str">
        <x:v>湖盐结晶×44＋雾潮银鳞×10＋幽船铆钉×4＋沉湖王印×1＋小卢恩×45</x:v>
      </x:c>
      <x:c r="H61" s="28" t="n">
        <x:v>9200000000</x:v>
      </x:c>
      <x:c r="I61" s="28" t="n">
        <x:v>80500000</x:v>
      </x:c>
      <x:c r="J61" s="28" t="str">
        <x:v>第3转·月水洗身</x:v>
      </x:c>
      <x:c r="K61" s="28" t="str">
        <x:v>神力倍攻_本级增量=0.04</x:v>
      </x:c>
      <x:c r="L61" s="28" t="str">
        <x:v>本轮数值基线</x:v>
      </x:c>
      <x:c r="M61" s="28" t="str">
        <x:v>只加本级增量；奖励表另列累计值，不能把累计值每次再叠加。</x:v>
      </x:c>
    </x:row>
    <x:row r="62" ht="60" customHeight="1">
      <x:c r="A62" s="28" t="str">
        <x:v>C04-REBIRTH-04</x:v>
      </x:c>
      <x:c r="B62" s="28" t="str">
        <x:v>C04</x:v>
      </x:c>
      <x:c r="C62" s="28" t="str">
        <x:v>潮印引渡者·洛弥</x:v>
      </x:c>
      <x:c r="D62" s="28" t="str">
        <x:v>转生</x:v>
      </x:c>
      <x:c r="E62" s="28" t="str">
        <x:v>第4转·湖誓重铸</x:v>
      </x:c>
      <x:c r="F62" s="28" t="str">
        <x:v>第3转</x:v>
      </x:c>
      <x:c r="G62" s="28" t="str">
        <x:v>湖盐结晶×55＋雾潮银鳞×12＋幽船铆钉×5＋沉湖王印×2＋小卢恩×65</x:v>
      </x:c>
      <x:c r="H62" s="28" t="n">
        <x:v>11000000000</x:v>
      </x:c>
      <x:c r="I62" s="28" t="n">
        <x:v>96500000</x:v>
      </x:c>
      <x:c r="J62" s="28" t="str">
        <x:v>第4转·湖誓重铸</x:v>
      </x:c>
      <x:c r="K62" s="28" t="str">
        <x:v>神力倍攻_本级增量=0.05</x:v>
      </x:c>
      <x:c r="L62" s="28" t="str">
        <x:v>本轮数值基线</x:v>
      </x:c>
      <x:c r="M62" s="28" t="str">
        <x:v>只加本级增量；奖励表另列累计值，不能把累计值每次再叠加。</x:v>
      </x:c>
    </x:row>
    <x:row r="63" ht="60" customHeight="1">
      <x:c r="A63" s="28" t="str">
        <x:v>C04-REBIRTH-05</x:v>
      </x:c>
      <x:c r="B63" s="28" t="str">
        <x:v>C04</x:v>
      </x:c>
      <x:c r="C63" s="28" t="str">
        <x:v>潮印引渡者·洛弥</x:v>
      </x:c>
      <x:c r="D63" s="28" t="str">
        <x:v>转生</x:v>
      </x:c>
      <x:c r="E63" s="28" t="str">
        <x:v>第5转·闭潮新生</x:v>
      </x:c>
      <x:c r="F63" s="28" t="str">
        <x:v>第4转</x:v>
      </x:c>
      <x:c r="G63" s="28" t="str">
        <x:v>湖盐结晶×70＋雾潮银鳞×16＋幽船铆钉×7＋沉湖王印×2＋小卢恩×90</x:v>
      </x:c>
      <x:c r="H63" s="28" t="n">
        <x:v>13000000000</x:v>
      </x:c>
      <x:c r="I63" s="28" t="n">
        <x:v>113000000</x:v>
      </x:c>
      <x:c r="J63" s="28" t="str">
        <x:v>第5转·闭潮新生</x:v>
      </x:c>
      <x:c r="K63" s="28" t="str">
        <x:v>神力倍攻_本级增量=0.06</x:v>
      </x:c>
      <x:c r="L63" s="28" t="str">
        <x:v>本轮数值基线</x:v>
      </x:c>
      <x:c r="M63" s="28" t="str">
        <x:v>只加本级增量；奖励表另列累计值，不能把累计值每次再叠加。</x:v>
      </x:c>
    </x:row>
    <x:row r="64" ht="60" customHeight="1">
      <x:c r="A64" s="28" t="str">
        <x:v>C06-REBIRTH-06</x:v>
      </x:c>
      <x:c r="B64" s="28" t="str">
        <x:v>C06</x:v>
      </x:c>
      <x:c r="C64" s="28" t="str">
        <x:v>红狮洗礼官·卡恩</x:v>
      </x:c>
      <x:c r="D64" s="28" t="str">
        <x:v>转生</x:v>
      </x:c>
      <x:c r="E64" s="28" t="str">
        <x:v>第6转·灰原灼骨</x:v>
      </x:c>
      <x:c r="F64" s="28" t="str">
        <x:v>第5转</x:v>
      </x:c>
      <x:c r="G64" s="28" t="str">
        <x:v>猩红矿渣×42＋净火腺囊×3＋龙火鳞×4＋红狮战印×1＋大卢恩×30</x:v>
      </x:c>
      <x:c r="H64" s="28" t="n">
        <x:v>24500000000</x:v>
      </x:c>
      <x:c r="I64" s="28" t="n">
        <x:v>0</x:v>
      </x:c>
      <x:c r="J64" s="28" t="str">
        <x:v>第6转·灰原灼骨</x:v>
      </x:c>
      <x:c r="K64" s="28" t="str">
        <x:v>神力倍攻_本级增量=0.03</x:v>
      </x:c>
      <x:c r="L64" s="28" t="str">
        <x:v>本轮数值基线</x:v>
      </x:c>
      <x:c r="M64" s="28" t="str">
        <x:v>只加本级增量；奖励表另列累计值，不能把累计值每次再叠加。</x:v>
      </x:c>
    </x:row>
    <x:row r="65" ht="60" customHeight="1">
      <x:c r="A65" s="28" t="str">
        <x:v>C06-REBIRTH-07</x:v>
      </x:c>
      <x:c r="B65" s="28" t="str">
        <x:v>C06</x:v>
      </x:c>
      <x:c r="C65" s="28" t="str">
        <x:v>红狮洗礼官·卡恩</x:v>
      </x:c>
      <x:c r="D65" s="28" t="str">
        <x:v>转生</x:v>
      </x:c>
      <x:c r="E65" s="28" t="str">
        <x:v>第7转·腐焰炼血</x:v>
      </x:c>
      <x:c r="F65" s="28" t="str">
        <x:v>第6转</x:v>
      </x:c>
      <x:c r="G65" s="28" t="str">
        <x:v>猩红矿渣×60＋净火腺囊×4＋龙火鳞×6＋红狮战印×2＋大卢恩×45</x:v>
      </x:c>
      <x:c r="H65" s="28" t="n">
        <x:v>32500000000</x:v>
      </x:c>
      <x:c r="I65" s="28" t="n">
        <x:v>0</x:v>
      </x:c>
      <x:c r="J65" s="28" t="str">
        <x:v>第7转·腐焰炼血</x:v>
      </x:c>
      <x:c r="K65" s="28" t="str">
        <x:v>神力倍攻_本级增量=0.04</x:v>
      </x:c>
      <x:c r="L65" s="28" t="str">
        <x:v>本轮数值基线</x:v>
      </x:c>
      <x:c r="M65" s="28" t="str">
        <x:v>只加本级增量；奖励表另列累计值，不能把累计值每次再叠加。</x:v>
      </x:c>
    </x:row>
    <x:row r="66" ht="60" customHeight="1">
      <x:c r="A66" s="28" t="str">
        <x:v>C06-REBIRTH-08</x:v>
      </x:c>
      <x:c r="B66" s="28" t="str">
        <x:v>C06</x:v>
      </x:c>
      <x:c r="C66" s="28" t="str">
        <x:v>红狮洗礼官·卡恩</x:v>
      </x:c>
      <x:c r="D66" s="28" t="str">
        <x:v>转生</x:v>
      </x:c>
      <x:c r="E66" s="28" t="str">
        <x:v>第8转·红狮战心</x:v>
      </x:c>
      <x:c r="F66" s="28" t="str">
        <x:v>第7转</x:v>
      </x:c>
      <x:c r="G66" s="28" t="str">
        <x:v>猩红矿渣×75＋净火腺囊×5＋龙火鳞×7＋红狮战印×2＋大卢恩×65</x:v>
      </x:c>
      <x:c r="H66" s="28" t="n">
        <x:v>40500000000</x:v>
      </x:c>
      <x:c r="I66" s="28" t="n">
        <x:v>0</x:v>
      </x:c>
      <x:c r="J66" s="28" t="str">
        <x:v>第8转·红狮战心</x:v>
      </x:c>
      <x:c r="K66" s="28" t="str">
        <x:v>神力倍攻_本级增量=0.05</x:v>
      </x:c>
      <x:c r="L66" s="28" t="str">
        <x:v>本轮数值基线</x:v>
      </x:c>
      <x:c r="M66" s="28" t="str">
        <x:v>只加本级增量；奖励表另列累计值，不能把累计值每次再叠加。</x:v>
      </x:c>
    </x:row>
    <x:row r="67" ht="60" customHeight="1">
      <x:c r="A67" s="28" t="str">
        <x:v>C06-REBIRTH-09</x:v>
      </x:c>
      <x:c r="B67" s="28" t="str">
        <x:v>C06</x:v>
      </x:c>
      <x:c r="C67" s="28" t="str">
        <x:v>红狮洗礼官·卡恩</x:v>
      </x:c>
      <x:c r="D67" s="28" t="str">
        <x:v>转生</x:v>
      </x:c>
      <x:c r="E67" s="28" t="str">
        <x:v>第9转·龙火淬魂</x:v>
      </x:c>
      <x:c r="F67" s="28" t="str">
        <x:v>第8转</x:v>
      </x:c>
      <x:c r="G67" s="28" t="str">
        <x:v>猩红矿渣×95＋净火腺囊×6＋龙火鳞×9＋红狮战印×3＋大卢恩×90</x:v>
      </x:c>
      <x:c r="H67" s="28" t="n">
        <x:v>48500000000</x:v>
      </x:c>
      <x:c r="I67" s="28" t="n">
        <x:v>0</x:v>
      </x:c>
      <x:c r="J67" s="28" t="str">
        <x:v>第9转·龙火淬魂</x:v>
      </x:c>
      <x:c r="K67" s="28" t="str">
        <x:v>神力倍攻_本级增量=0.06</x:v>
      </x:c>
      <x:c r="L67" s="28" t="str">
        <x:v>本轮数值基线</x:v>
      </x:c>
      <x:c r="M67" s="28" t="str">
        <x:v>只加本级增量；奖励表另列累计值，不能把累计值每次再叠加。</x:v>
      </x:c>
    </x:row>
    <x:row r="68" ht="60" customHeight="1">
      <x:c r="A68" s="28" t="str">
        <x:v>C06-REBIRTH-10</x:v>
      </x:c>
      <x:c r="B68" s="28" t="str">
        <x:v>C06</x:v>
      </x:c>
      <x:c r="C68" s="28" t="str">
        <x:v>红狮洗礼官·卡恩</x:v>
      </x:c>
      <x:c r="D68" s="28" t="str">
        <x:v>转生</x:v>
      </x:c>
      <x:c r="E68" s="28" t="str">
        <x:v>第10转·碎星再临</x:v>
      </x:c>
      <x:c r="F68" s="28" t="str">
        <x:v>第9转</x:v>
      </x:c>
      <x:c r="G68" s="28" t="str">
        <x:v>猩红矿渣×125＋净火腺囊×8＋龙火鳞×12＋红狮战印×4＋大卢恩×120</x:v>
      </x:c>
      <x:c r="H68" s="28" t="n">
        <x:v>56500000000</x:v>
      </x:c>
      <x:c r="I68" s="28" t="n">
        <x:v>0</x:v>
      </x:c>
      <x:c r="J68" s="28" t="str">
        <x:v>第10转·碎星再临</x:v>
      </x:c>
      <x:c r="K68" s="28" t="str">
        <x:v>神力倍攻_本级增量=0.07</x:v>
      </x:c>
      <x:c r="L68" s="28" t="str">
        <x:v>本轮数值基线</x:v>
      </x:c>
      <x:c r="M68" s="28" t="str">
        <x:v>只加本级增量；奖励表另列累计值，不能把累计值每次再叠加。</x:v>
      </x:c>
    </x:row>
    <x:row r="69" ht="60" customHeight="1">
      <x:c r="A69" s="28" t="str">
        <x:v>C08-REBIRTH-11</x:v>
      </x:c>
      <x:c r="B69" s="28" t="str">
        <x:v>C08</x:v>
      </x:c>
      <x:c r="C69" s="28" t="str">
        <x:v>炉脉引渡者·赫达</x:v>
      </x:c>
      <x:c r="D69" s="28" t="str">
        <x:v>转生</x:v>
      </x:c>
      <x:c r="E69" s="28" t="str">
        <x:v>第11转·登霜换骨</x:v>
      </x:c>
      <x:c r="F69" s="28" t="str">
        <x:v>第10转</x:v>
      </x:c>
      <x:c r="G69" s="28" t="str">
        <x:v>霜脊铁×70＋裂峰号角片×4＋巨人火种×7＋巨人火印×2＋巨人熔火卢恩×40</x:v>
      </x:c>
      <x:c r="H69" s="28" t="n">
        <x:v>27000000000</x:v>
      </x:c>
      <x:c r="I69" s="28" t="n">
        <x:v>234000000</x:v>
      </x:c>
      <x:c r="J69" s="28" t="str">
        <x:v>第11转·登霜换骨</x:v>
      </x:c>
      <x:c r="K69" s="28" t="str">
        <x:v>神力倍攻_本级增量=0.04</x:v>
      </x:c>
      <x:c r="L69" s="28" t="str">
        <x:v>本轮数值基线</x:v>
      </x:c>
      <x:c r="M69" s="28" t="str">
        <x:v>只加本级增量；奖励表另列累计值，不能把累计值每次再叠加。</x:v>
      </x:c>
    </x:row>
    <x:row r="70" ht="60" customHeight="1">
      <x:c r="A70" s="28" t="str">
        <x:v>C08-REBIRTH-12</x:v>
      </x:c>
      <x:c r="B70" s="28" t="str">
        <x:v>C08</x:v>
      </x:c>
      <x:c r="C70" s="28" t="str">
        <x:v>炉脉引渡者·赫达</x:v>
      </x:c>
      <x:c r="D70" s="28" t="str">
        <x:v>转生</x:v>
      </x:c>
      <x:c r="E70" s="28" t="str">
        <x:v>第12转·炉火铸心</x:v>
      </x:c>
      <x:c r="F70" s="28" t="str">
        <x:v>第11转</x:v>
      </x:c>
      <x:c r="G70" s="28" t="str">
        <x:v>霜脊铁×100＋裂峰号角片×6＋巨人火种×10＋巨人火印×3＋巨人熔火卢恩×60</x:v>
      </x:c>
      <x:c r="H70" s="28" t="n">
        <x:v>36500000000</x:v>
      </x:c>
      <x:c r="I70" s="28" t="n">
        <x:v>311000000</x:v>
      </x:c>
      <x:c r="J70" s="28" t="str">
        <x:v>第12转·炉火铸心</x:v>
      </x:c>
      <x:c r="K70" s="28" t="str">
        <x:v>神力倍攻_本级增量=0.05</x:v>
      </x:c>
      <x:c r="L70" s="28" t="str">
        <x:v>本轮数值基线</x:v>
      </x:c>
      <x:c r="M70" s="28" t="str">
        <x:v>只加本级增量；奖励表另列累计值，不能把累计值每次再叠加。</x:v>
      </x:c>
    </x:row>
    <x:row r="71" ht="60" customHeight="1">
      <x:c r="A71" s="28" t="str">
        <x:v>C08-REBIRTH-13</x:v>
      </x:c>
      <x:c r="B71" s="28" t="str">
        <x:v>C08</x:v>
      </x:c>
      <x:c r="C71" s="28" t="str">
        <x:v>炉脉引渡者·赫达</x:v>
      </x:c>
      <x:c r="D71" s="28" t="str">
        <x:v>转生</x:v>
      </x:c>
      <x:c r="E71" s="28" t="str">
        <x:v>第13转·巨人燃血</x:v>
      </x:c>
      <x:c r="F71" s="28" t="str">
        <x:v>第12转</x:v>
      </x:c>
      <x:c r="G71" s="28" t="str">
        <x:v>霜脊铁×125＋裂峰号角片×8＋巨人火种×12＋巨人火印×4＋巨人熔火卢恩×85</x:v>
      </x:c>
      <x:c r="H71" s="28" t="n">
        <x:v>45500000000</x:v>
      </x:c>
      <x:c r="I71" s="28" t="n">
        <x:v>389000000</x:v>
      </x:c>
      <x:c r="J71" s="28" t="str">
        <x:v>第13转·巨人燃血</x:v>
      </x:c>
      <x:c r="K71" s="28" t="str">
        <x:v>神力倍攻_本级增量=0.06</x:v>
      </x:c>
      <x:c r="L71" s="28" t="str">
        <x:v>本轮数值基线</x:v>
      </x:c>
      <x:c r="M71" s="28" t="str">
        <x:v>只加本级增量；奖励表另列累计值，不能把累计值每次再叠加。</x:v>
      </x:c>
    </x:row>
    <x:row r="72" ht="60" customHeight="1">
      <x:c r="A72" s="28" t="str">
        <x:v>C08-REBIRTH-14</x:v>
      </x:c>
      <x:c r="B72" s="28" t="str">
        <x:v>C08</x:v>
      </x:c>
      <x:c r="C72" s="28" t="str">
        <x:v>炉脉引渡者·赫达</x:v>
      </x:c>
      <x:c r="D72" s="28" t="str">
        <x:v>转生</x:v>
      </x:c>
      <x:c r="E72" s="28" t="str">
        <x:v>第14转·吞日化躯</x:v>
      </x:c>
      <x:c r="F72" s="28" t="str">
        <x:v>第13转</x:v>
      </x:c>
      <x:c r="G72" s="28" t="str">
        <x:v>霜脊铁×160＋裂峰号角片×10＋巨人火种×16＋巨人火印×5＋巨人熔火卢恩×115</x:v>
      </x:c>
      <x:c r="H72" s="28" t="n">
        <x:v>54500000000</x:v>
      </x:c>
      <x:c r="I72" s="28" t="n">
        <x:v>467000000</x:v>
      </x:c>
      <x:c r="J72" s="28" t="str">
        <x:v>第14转·吞日化躯</x:v>
      </x:c>
      <x:c r="K72" s="28" t="str">
        <x:v>神力倍攻_本级增量=0.07</x:v>
      </x:c>
      <x:c r="L72" s="28" t="str">
        <x:v>本轮数值基线</x:v>
      </x:c>
      <x:c r="M72" s="28" t="str">
        <x:v>只加本级增量；奖励表另列累计值，不能把累计值每次再叠加。</x:v>
      </x:c>
    </x:row>
    <x:row r="73" ht="60" customHeight="1">
      <x:c r="A73" s="28" t="str">
        <x:v>C08-REBIRTH-15</x:v>
      </x:c>
      <x:c r="B73" s="28" t="str">
        <x:v>C08</x:v>
      </x:c>
      <x:c r="C73" s="28" t="str">
        <x:v>炉脉引渡者·赫达</x:v>
      </x:c>
      <x:c r="D73" s="28" t="str">
        <x:v>转生</x:v>
      </x:c>
      <x:c r="E73" s="28" t="str">
        <x:v>第15转·山巅归一</x:v>
      </x:c>
      <x:c r="F73" s="28" t="str">
        <x:v>第14转</x:v>
      </x:c>
      <x:c r="G73" s="28" t="str">
        <x:v>霜脊铁×210＋裂峰号角片×14＋巨人火种×20＋巨人火印×6＋巨人熔火卢恩×150</x:v>
      </x:c>
      <x:c r="H73" s="28" t="n">
        <x:v>63500000000</x:v>
      </x:c>
      <x:c r="I73" s="28" t="n">
        <x:v>545000000</x:v>
      </x:c>
      <x:c r="J73" s="28" t="str">
        <x:v>第15转·山巅归一</x:v>
      </x:c>
      <x:c r="K73" s="28" t="str">
        <x:v>神力倍攻_本级增量=0.08</x:v>
      </x:c>
      <x:c r="L73" s="28" t="str">
        <x:v>本轮数值基线</x:v>
      </x:c>
      <x:c r="M73" s="28" t="str">
        <x:v>只加本级增量；奖励表另列累计值，不能把累计值每次再叠加。</x:v>
      </x:c>
    </x:row>
    <x:row r="74" ht="60" customHeight="1">
      <x:c r="A74" s="28" t="str">
        <x:v>C10-REBIRTH-16</x:v>
      </x:c>
      <x:c r="B74" s="28" t="str">
        <x:v>C10</x:v>
      </x:c>
      <x:c r="C74" s="28" t="str">
        <x:v>王律司转·埃伦</x:v>
      </x:c>
      <x:c r="D74" s="28" t="str">
        <x:v>转生</x:v>
      </x:c>
      <x:c r="E74" s="28" t="str">
        <x:v>第16转·王律铭身</x:v>
      </x:c>
      <x:c r="F74" s="28" t="str">
        <x:v>第15转</x:v>
      </x:c>
      <x:c r="G74" s="28" t="str">
        <x:v>王城金屑×90＋王宫律文×12＋王宫断冠片×1＋艾尔登王印×3＋黄金律法卢恩×50</x:v>
      </x:c>
      <x:c r="H74" s="28" t="n">
        <x:v>51000000000</x:v>
      </x:c>
      <x:c r="I74" s="28" t="n">
        <x:v>609000000</x:v>
      </x:c>
      <x:c r="J74" s="28" t="str">
        <x:v>第16转·王律铭身</x:v>
      </x:c>
      <x:c r="K74" s="28" t="str">
        <x:v>神力倍攻_本级增量=0.05</x:v>
      </x:c>
      <x:c r="L74" s="28" t="str">
        <x:v>本轮数值基线</x:v>
      </x:c>
      <x:c r="M74" s="28" t="str">
        <x:v>只加本级增量；奖励表另列累计值，不能把累计值每次再叠加。</x:v>
      </x:c>
    </x:row>
    <x:row r="75" ht="60" customHeight="1">
      <x:c r="A75" s="28" t="str">
        <x:v>C10-REBIRTH-17</x:v>
      </x:c>
      <x:c r="B75" s="28" t="str">
        <x:v>C10</x:v>
      </x:c>
      <x:c r="C75" s="28" t="str">
        <x:v>王律司转·埃伦</x:v>
      </x:c>
      <x:c r="D75" s="28" t="str">
        <x:v>转生</x:v>
      </x:c>
      <x:c r="E75" s="28" t="str">
        <x:v>第17转·金树烙魂</x:v>
      </x:c>
      <x:c r="F75" s="28" t="str">
        <x:v>第16转</x:v>
      </x:c>
      <x:c r="G75" s="28" t="str">
        <x:v>王城金屑×125＋王宫律文×16＋王宫断冠片×1＋艾尔登王印×4＋黄金律法卢恩×75</x:v>
      </x:c>
      <x:c r="H75" s="28" t="n">
        <x:v>68000000000</x:v>
      </x:c>
      <x:c r="I75" s="28" t="n">
        <x:v>812000000</x:v>
      </x:c>
      <x:c r="J75" s="28" t="str">
        <x:v>第17转·金树烙魂</x:v>
      </x:c>
      <x:c r="K75" s="28" t="str">
        <x:v>神力倍攻_本级增量=0.06</x:v>
      </x:c>
      <x:c r="L75" s="28" t="str">
        <x:v>本轮数值基线</x:v>
      </x:c>
      <x:c r="M75" s="28" t="str">
        <x:v>只加本级增量；奖励表另列累计值，不能把累计值每次再叠加。</x:v>
      </x:c>
    </x:row>
    <x:row r="76" ht="60" customHeight="1">
      <x:c r="A76" s="28" t="str">
        <x:v>C10-REBIRTH-18</x:v>
      </x:c>
      <x:c r="B76" s="28" t="str">
        <x:v>C10</x:v>
      </x:c>
      <x:c r="C76" s="28" t="str">
        <x:v>王律司转·埃伦</x:v>
      </x:c>
      <x:c r="D76" s="28" t="str">
        <x:v>转生</x:v>
      </x:c>
      <x:c r="E76" s="28" t="str">
        <x:v>第18转·王座承命</x:v>
      </x:c>
      <x:c r="F76" s="28" t="str">
        <x:v>第17转</x:v>
      </x:c>
      <x:c r="G76" s="28" t="str">
        <x:v>王城金屑×160＋王宫律文×20＋王宫断冠片×1＋艾尔登王印×6＋黄金律法卢恩×105</x:v>
      </x:c>
      <x:c r="H76" s="28" t="n">
        <x:v>85000000000</x:v>
      </x:c>
      <x:c r="I76" s="28" t="n">
        <x:v>1010000000</x:v>
      </x:c>
      <x:c r="J76" s="28" t="str">
        <x:v>第18转·王座承命</x:v>
      </x:c>
      <x:c r="K76" s="28" t="str">
        <x:v>神力倍攻_本级增量=0.07</x:v>
      </x:c>
      <x:c r="L76" s="28" t="str">
        <x:v>本轮数值基线</x:v>
      </x:c>
      <x:c r="M76" s="28" t="str">
        <x:v>只加本级增量；奖励表另列累计值，不能把累计值每次再叠加。</x:v>
      </x:c>
    </x:row>
    <x:row r="77" ht="60" customHeight="1">
      <x:c r="A77" s="28" t="str">
        <x:v>C10-REBIRTH-19</x:v>
      </x:c>
      <x:c r="B77" s="28" t="str">
        <x:v>C10</x:v>
      </x:c>
      <x:c r="C77" s="28" t="str">
        <x:v>王律司转·埃伦</x:v>
      </x:c>
      <x:c r="D77" s="28" t="str">
        <x:v>转生</x:v>
      </x:c>
      <x:c r="E77" s="28" t="str">
        <x:v>第19转·无冕登临</x:v>
      </x:c>
      <x:c r="F77" s="28" t="str">
        <x:v>第18转</x:v>
      </x:c>
      <x:c r="G77" s="28" t="str">
        <x:v>王城金屑×210＋王宫律文×26＋王宫断冠片×1＋艾尔登王印×7＋黄金律法卢恩×140</x:v>
      </x:c>
      <x:c r="H77" s="28" t="n">
        <x:v>102000000000</x:v>
      </x:c>
      <x:c r="I77" s="28" t="n">
        <x:v>1220000000</x:v>
      </x:c>
      <x:c r="J77" s="28" t="str">
        <x:v>第19转·无冕登临</x:v>
      </x:c>
      <x:c r="K77" s="28" t="str">
        <x:v>神力倍攻_本级增量=0.08</x:v>
      </x:c>
      <x:c r="L77" s="28" t="str">
        <x:v>本轮数值基线</x:v>
      </x:c>
      <x:c r="M77" s="28" t="str">
        <x:v>只加本级增量；奖励表另列累计值，不能把累计值每次再叠加。</x:v>
      </x:c>
    </x:row>
    <x:row r="78" ht="60" customHeight="1">
      <x:c r="A78" s="28" t="str">
        <x:v>C10-REBIRTH-20</x:v>
      </x:c>
      <x:c r="B78" s="28" t="str">
        <x:v>C10</x:v>
      </x:c>
      <x:c r="C78" s="28" t="str">
        <x:v>王律司转·埃伦</x:v>
      </x:c>
      <x:c r="D78" s="28" t="str">
        <x:v>转生</x:v>
      </x:c>
      <x:c r="E78" s="28" t="str">
        <x:v>第20转·艾尔登新生</x:v>
      </x:c>
      <x:c r="F78" s="28" t="str">
        <x:v>第19转</x:v>
      </x:c>
      <x:c r="G78" s="28" t="str">
        <x:v>王城金屑×270＋王宫律文×32＋王宫断冠片×2＋艾尔登王印×10＋黄金律法卢恩×180</x:v>
      </x:c>
      <x:c r="H78" s="28" t="n">
        <x:v>119000000000</x:v>
      </x:c>
      <x:c r="I78" s="28" t="n">
        <x:v>1420000000</x:v>
      </x:c>
      <x:c r="J78" s="28" t="str">
        <x:v>第20转·艾尔登新生</x:v>
      </x:c>
      <x:c r="K78" s="28" t="str">
        <x:v>神力倍攻_本级增量=0.09</x:v>
      </x:c>
      <x:c r="L78" s="28" t="str">
        <x:v>本轮数值基线</x:v>
      </x:c>
      <x:c r="M78" s="28" t="str">
        <x:v>只加本级增量；奖励表另列累计值，不能把累计值每次再叠加。</x:v>
      </x:c>
    </x:row>
    <x:row r="79" ht="60" customHeight="1">
      <x:c r="A79" s="28" t="str">
        <x:v>C01-LONGTITLE</x:v>
      </x:c>
      <x:c r="B79" s="28" t="str">
        <x:v>C01</x:v>
      </x:c>
      <x:c r="C79" s="28" t="str">
        <x:v>贯穿式称号晋升NPC</x:v>
      </x:c>
      <x:c r="D79" s="28" t="str">
        <x:v>贯穿称号</x:v>
      </x:c>
      <x:c r="E79" s="28" t="str">
        <x:v>黄金树下·初王（第一阶段10级合计）</x:v>
      </x:c>
      <x:c r="F79" s="28" t="str">
        <x:v>沿用现有前置</x:v>
      </x:c>
      <x:c r="G79" s="28" t="str">
        <x:v>海蚀铁片×120＋漂流大陆印记×2</x:v>
      </x:c>
      <x:c r="H79" s="28" t="n">
        <x:v>629000000</x:v>
      </x:c>
      <x:c r="I79" s="28" t="n">
        <x:v>236500</x:v>
      </x:c>
      <x:c r="J79" s="28" t="str">
        <x:v>黄金树下·初王（第一阶段10级合计）</x:v>
      </x:c>
      <x:c r="K79" s="28" t="str">
        <x:v>攻击/魔法/道术各100，HP 10000，MP 10000，基础爆率200%；替换前阶段，不叠加。</x:v>
      </x:c>
      <x:c r="L79" s="28" t="str">
        <x:v>本轮数值基线</x:v>
      </x:c>
      <x:c r="M79" s="28" t="str">
        <x:v>本阶段累计材料；全部来自当前大陆；不消耗失色；保留原金币元宝与灵符替代路径。</x:v>
      </x:c>
    </x:row>
    <x:row r="80" ht="60" customHeight="1">
      <x:c r="A80" s="28" t="str">
        <x:v>C02-LONGTITLE</x:v>
      </x:c>
      <x:c r="B80" s="28" t="str">
        <x:v>C02</x:v>
      </x:c>
      <x:c r="C80" s="28" t="str">
        <x:v>贯穿式称号晋升NPC</x:v>
      </x:c>
      <x:c r="D80" s="28" t="str">
        <x:v>贯穿称号</x:v>
      </x:c>
      <x:c r="E80" s="28" t="str">
        <x:v>贯穿式主线称号·第2大陆阶段</x:v>
      </x:c>
      <x:c r="F80" s="28" t="str">
        <x:v>沿用现有前置</x:v>
      </x:c>
      <x:c r="G80" s="28" t="str">
        <x:v>风暴石片×180＋接肢王印×3</x:v>
      </x:c>
      <x:c r="H80" s="28" t="n">
        <x:v>4100000000</x:v>
      </x:c>
      <x:c r="I80" s="28" t="n">
        <x:v>26500000</x:v>
      </x:c>
      <x:c r="J80" s="28" t="str">
        <x:v>贯穿式主线称号·第2大陆阶段</x:v>
      </x:c>
      <x:c r="K80" s="28" t="str">
        <x:v>攻击/魔法/道术各300，HP 30000，MP 30000，基础爆率400%；替换前阶段，不叠加。</x:v>
      </x:c>
      <x:c r="L80" s="28" t="str">
        <x:v>本轮数值基线</x:v>
      </x:c>
      <x:c r="M80" s="28" t="str">
        <x:v>本阶段累计材料；全部来自当前大陆；不消耗失色；保留原金币元宝与灵符替代路径。</x:v>
      </x:c>
    </x:row>
    <x:row r="81" ht="60" customHeight="1">
      <x:c r="A81" s="28" t="str">
        <x:v>C03-LONGTITLE</x:v>
      </x:c>
      <x:c r="B81" s="28" t="str">
        <x:v>C03</x:v>
      </x:c>
      <x:c r="C81" s="28" t="str">
        <x:v>贯穿式称号晋升NPC</x:v>
      </x:c>
      <x:c r="D81" s="28" t="str">
        <x:v>贯穿称号</x:v>
      </x:c>
      <x:c r="E81" s="28" t="str">
        <x:v>贯穿式主线称号·第3大陆阶段</x:v>
      </x:c>
      <x:c r="F81" s="28" t="str">
        <x:v>沿用现有前置</x:v>
      </x:c>
      <x:c r="G81" s="28" t="str">
        <x:v>风蚀铁片×260＋西境战旗印×4＋商队火漆×20</x:v>
      </x:c>
      <x:c r="H81" s="28" t="n">
        <x:v>7300000000</x:v>
      </x:c>
      <x:c r="I81" s="28" t="n">
        <x:v>52000000</x:v>
      </x:c>
      <x:c r="J81" s="28" t="str">
        <x:v>贯穿式主线称号·第3大陆阶段</x:v>
      </x:c>
      <x:c r="K81" s="28" t="str">
        <x:v>攻击/魔法/道术各800，HP 80000，MP 80000，基础爆率700%；替换前阶段，不叠加。</x:v>
      </x:c>
      <x:c r="L81" s="28" t="str">
        <x:v>本轮数值基线</x:v>
      </x:c>
      <x:c r="M81" s="28" t="str">
        <x:v>本阶段累计材料；全部来自当前大陆；不消耗失色；保留原金币元宝与灵符替代路径。</x:v>
      </x:c>
    </x:row>
    <x:row r="82" ht="60" customHeight="1">
      <x:c r="A82" s="28" t="str">
        <x:v>C04-LONGTITLE</x:v>
      </x:c>
      <x:c r="B82" s="28" t="str">
        <x:v>C04</x:v>
      </x:c>
      <x:c r="C82" s="28" t="str">
        <x:v>贯穿式称号晋升NPC</x:v>
      </x:c>
      <x:c r="D82" s="28" t="str">
        <x:v>贯穿称号</x:v>
      </x:c>
      <x:c r="E82" s="28" t="str">
        <x:v>贯穿式主线称号·第4大陆阶段</x:v>
      </x:c>
      <x:c r="F82" s="28" t="str">
        <x:v>沿用现有前置</x:v>
      </x:c>
      <x:c r="G82" s="28" t="str">
        <x:v>湖盐结晶×340＋沉湖王印×5＋沉船缆扣×12</x:v>
      </x:c>
      <x:c r="H82" s="28" t="n">
        <x:v>9200000000</x:v>
      </x:c>
      <x:c r="I82" s="28" t="n">
        <x:v>80500000</x:v>
      </x:c>
      <x:c r="J82" s="28" t="str">
        <x:v>贯穿式主线称号·第4大陆阶段</x:v>
      </x:c>
      <x:c r="K82" s="28" t="str">
        <x:v>攻击/魔法/道术各1800，HP 180000，MP 180000，基础爆率1100%；替换前阶段，不叠加。</x:v>
      </x:c>
      <x:c r="L82" s="28" t="str">
        <x:v>本轮数值基线</x:v>
      </x:c>
      <x:c r="M82" s="28" t="str">
        <x:v>本阶段累计材料；全部来自当前大陆；不消耗失色；保留原金币元宝与灵符替代路径。</x:v>
      </x:c>
    </x:row>
    <x:row r="83" ht="60" customHeight="1">
      <x:c r="A83" s="28" t="str">
        <x:v>C05-LONGTITLE</x:v>
      </x:c>
      <x:c r="B83" s="28" t="str">
        <x:v>C05</x:v>
      </x:c>
      <x:c r="C83" s="28" t="str">
        <x:v>贯穿式称号晋升NPC</x:v>
      </x:c>
      <x:c r="D83" s="28" t="str">
        <x:v>贯穿称号</x:v>
      </x:c>
      <x:c r="E83" s="28" t="str">
        <x:v>贯穿式主线称号·第5大陆阶段</x:v>
      </x:c>
      <x:c r="F83" s="28" t="str">
        <x:v>沿用现有前置</x:v>
      </x:c>
      <x:c r="G83" s="28" t="str">
        <x:v>辉石碎晶×450＋满月王室印×6＋学院封蜡×24</x:v>
      </x:c>
      <x:c r="H83" s="28" t="n">
        <x:v>15500000000</x:v>
      </x:c>
      <x:c r="I83" s="28" t="n">
        <x:v>171000000</x:v>
      </x:c>
      <x:c r="J83" s="28" t="str">
        <x:v>贯穿式主线称号·第5大陆阶段</x:v>
      </x:c>
      <x:c r="K83" s="28" t="str">
        <x:v>攻击/魔法/道术各3800，HP 380000，MP 380000，基础爆率1600%；替换前阶段，不叠加。</x:v>
      </x:c>
      <x:c r="L83" s="28" t="str">
        <x:v>本轮数值基线</x:v>
      </x:c>
      <x:c r="M83" s="28" t="str">
        <x:v>本阶段累计材料；全部来自当前大陆；不消耗失色；保留原金币元宝与灵符替代路径。</x:v>
      </x:c>
    </x:row>
    <x:row r="84" ht="60" customHeight="1">
      <x:c r="A84" s="28" t="str">
        <x:v>C06-LONGTITLE</x:v>
      </x:c>
      <x:c r="B84" s="28" t="str">
        <x:v>C06</x:v>
      </x:c>
      <x:c r="C84" s="28" t="str">
        <x:v>贯穿式称号晋升NPC</x:v>
      </x:c>
      <x:c r="D84" s="28" t="str">
        <x:v>贯穿称号</x:v>
      </x:c>
      <x:c r="E84" s="28" t="str">
        <x:v>贯穿式主线称号·第6大陆阶段</x:v>
      </x:c>
      <x:c r="F84" s="28" t="str">
        <x:v>沿用现有前置</x:v>
      </x:c>
      <x:c r="G84" s="28" t="str">
        <x:v>猩红矿渣×580＋红狮战印×7＋净火腺囊×18</x:v>
      </x:c>
      <x:c r="H84" s="28" t="n">
        <x:v>22500000000</x:v>
      </x:c>
      <x:c r="I84" s="28" t="n">
        <x:v>186000000</x:v>
      </x:c>
      <x:c r="J84" s="28" t="str">
        <x:v>贯穿式主线称号·第6大陆阶段</x:v>
      </x:c>
      <x:c r="K84" s="28" t="str">
        <x:v>攻击/魔法/道术各8000，HP 800000，MP 800000，基础爆率2200%；替换前阶段，不叠加。</x:v>
      </x:c>
      <x:c r="L84" s="28" t="str">
        <x:v>本轮数值基线</x:v>
      </x:c>
      <x:c r="M84" s="28" t="str">
        <x:v>本阶段累计材料；全部来自当前大陆；不消耗失色；保留原金币元宝与灵符替代路径。</x:v>
      </x:c>
    </x:row>
    <x:row r="85" ht="60" customHeight="1">
      <x:c r="A85" s="28" t="str">
        <x:v>C07-LONGTITLE</x:v>
      </x:c>
      <x:c r="B85" s="28" t="str">
        <x:v>C07</x:v>
      </x:c>
      <x:c r="C85" s="28" t="str">
        <x:v>贯穿式称号晋升NPC</x:v>
      </x:c>
      <x:c r="D85" s="28" t="str">
        <x:v>贯穿称号</x:v>
      </x:c>
      <x:c r="E85" s="28" t="str">
        <x:v>贯穿式主线称号·第7大陆阶段</x:v>
      </x:c>
      <x:c r="F85" s="28" t="str">
        <x:v>沿用现有前置</x:v>
      </x:c>
      <x:c r="G85" s="28" t="str">
        <x:v>冻晶尘×720＋圣雪誓印×8＋冻原银角×30</x:v>
      </x:c>
      <x:c r="H85" s="28" t="n">
        <x:v>37500000000</x:v>
      </x:c>
      <x:c r="I85" s="28" t="n">
        <x:v>368000000</x:v>
      </x:c>
      <x:c r="J85" s="28" t="str">
        <x:v>贯穿式主线称号·第7大陆阶段</x:v>
      </x:c>
      <x:c r="K85" s="28" t="str">
        <x:v>攻击/魔法/道术各16000，HP 1600000，MP 1600000，基础爆率3000%；替换前阶段，不叠加。</x:v>
      </x:c>
      <x:c r="L85" s="28" t="str">
        <x:v>本轮数值基线</x:v>
      </x:c>
      <x:c r="M85" s="28" t="str">
        <x:v>本阶段累计材料；全部来自当前大陆；不消耗失色；保留原金币元宝与灵符替代路径。</x:v>
      </x:c>
    </x:row>
    <x:row r="86" ht="60" customHeight="1">
      <x:c r="A86" s="28" t="str">
        <x:v>C08-LONGTITLE</x:v>
      </x:c>
      <x:c r="B86" s="28" t="str">
        <x:v>C08</x:v>
      </x:c>
      <x:c r="C86" s="28" t="str">
        <x:v>贯穿式称号晋升NPC</x:v>
      </x:c>
      <x:c r="D86" s="28" t="str">
        <x:v>贯穿称号</x:v>
      </x:c>
      <x:c r="E86" s="28" t="str">
        <x:v>贯穿式主线称号·第8大陆阶段</x:v>
      </x:c>
      <x:c r="F86" s="28" t="str">
        <x:v>沿用现有前置</x:v>
      </x:c>
      <x:c r="G86" s="28" t="str">
        <x:v>霜脊铁×880＋巨人火印×9＋裂峰号角片×24</x:v>
      </x:c>
      <x:c r="H86" s="28" t="n">
        <x:v>45500000000</x:v>
      </x:c>
      <x:c r="I86" s="28" t="n">
        <x:v>389000000</x:v>
      </x:c>
      <x:c r="J86" s="28" t="str">
        <x:v>贯穿式主线称号·第8大陆阶段</x:v>
      </x:c>
      <x:c r="K86" s="28" t="str">
        <x:v>攻击/魔法/道术各32000，HP 3200000，MP 3200000，基础爆率3900%；替换前阶段，不叠加。</x:v>
      </x:c>
      <x:c r="L86" s="28" t="str">
        <x:v>本轮数值基线</x:v>
      </x:c>
      <x:c r="M86" s="28" t="str">
        <x:v>本阶段累计材料；全部来自当前大陆；不消耗失色；保留原金币元宝与灵符替代路径。</x:v>
      </x:c>
    </x:row>
    <x:row r="87" ht="60" customHeight="1">
      <x:c r="A87" s="28" t="str">
        <x:v>C09-LONGTITLE</x:v>
      </x:c>
      <x:c r="B87" s="28" t="str">
        <x:v>C09</x:v>
      </x:c>
      <x:c r="C87" s="28" t="str">
        <x:v>贯穿式称号晋升NPC</x:v>
      </x:c>
      <x:c r="D87" s="28" t="str">
        <x:v>贯穿称号</x:v>
      </x:c>
      <x:c r="E87" s="28" t="str">
        <x:v>贯穿式主线称号·第9大陆阶段</x:v>
      </x:c>
      <x:c r="F87" s="28" t="str">
        <x:v>沿用现有前置</x:v>
      </x:c>
      <x:c r="G87" s="28" t="str">
        <x:v>黄金叶脉×1050＋黄金律印×10＋金叶驿票×50＋矿脉灯芯×20</x:v>
      </x:c>
      <x:c r="H87" s="28" t="n">
        <x:v>70500000000</x:v>
      </x:c>
      <x:c r="I87" s="28" t="n">
        <x:v>977000000</x:v>
      </x:c>
      <x:c r="J87" s="28" t="str">
        <x:v>贯穿式主线称号·第9大陆阶段</x:v>
      </x:c>
      <x:c r="K87" s="28" t="str">
        <x:v>攻击/魔法/道术各60000，HP 6000000，MP 6000000，基础爆率5100%；替换前阶段，不叠加。</x:v>
      </x:c>
      <x:c r="L87" s="28" t="str">
        <x:v>本轮数值基线</x:v>
      </x:c>
      <x:c r="M87" s="28" t="str">
        <x:v>本阶段累计材料；全部来自当前大陆；不消耗失色；保留原金币元宝与灵符替代路径。</x:v>
      </x:c>
    </x:row>
    <x:row r="88" ht="60" customHeight="1">
      <x:c r="A88" s="28" t="str">
        <x:v>C10-LONGTITLE</x:v>
      </x:c>
      <x:c r="B88" s="28" t="str">
        <x:v>C10</x:v>
      </x:c>
      <x:c r="C88" s="28" t="str">
        <x:v>贯穿式称号晋升NPC</x:v>
      </x:c>
      <x:c r="D88" s="28" t="str">
        <x:v>贯穿称号</x:v>
      </x:c>
      <x:c r="E88" s="28" t="str">
        <x:v>贯穿式主线称号·第10大陆阶段</x:v>
      </x:c>
      <x:c r="F88" s="28" t="str">
        <x:v>沿用现有前置</x:v>
      </x:c>
      <x:c r="G88" s="28" t="str">
        <x:v>王城金屑×1250＋艾尔登王印×12＋旧渠阀芯×30</x:v>
      </x:c>
      <x:c r="H88" s="28" t="n">
        <x:v>85000000000</x:v>
      </x:c>
      <x:c r="I88" s="28" t="n">
        <x:v>1010000000</x:v>
      </x:c>
      <x:c r="J88" s="28" t="str">
        <x:v>贯穿式主线称号·第10大陆阶段</x:v>
      </x:c>
      <x:c r="K88" s="28" t="str">
        <x:v>攻击/魔法/道术各100000，HP 10000000，MP 10000000，基础爆率6600%；替换前阶段，不叠加。</x:v>
      </x:c>
      <x:c r="L88" s="28" t="str">
        <x:v>本轮数值基线</x:v>
      </x:c>
      <x:c r="M88" s="28" t="str">
        <x:v>本阶段累计材料；全部来自当前大陆；不消耗失色；保留原金币元宝与灵符替代路径。</x:v>
      </x:c>
    </x:row>
    <x:row r="89" ht="60" customHeight="1">
      <x:c r="A89" s="28" t="str">
        <x:v>C01-SKILL-01</x:v>
      </x:c>
      <x:c r="B89" s="28" t="str">
        <x:v>C01</x:v>
      </x:c>
      <x:c r="C89" s="28" t="str">
        <x:v>技能强化页面</x:v>
      </x:c>
      <x:c r="D89" s="28" t="str">
        <x:v>基础技能强化</x:v>
      </x:c>
      <x:c r="E89" s="28" t="str">
        <x:v>任一基础技能强化至LV1</x:v>
      </x:c>
      <x:c r="F89" s="28" t="str">
        <x:v>沿用现有前置</x:v>
      </x:c>
      <x:c r="G89" s="28" t="str">
        <x:v>技能残页×10</x:v>
      </x:c>
      <x:c r="H89" s="28" t="n">
        <x:v>0</x:v>
      </x:c>
      <x:c r="I89" s="28" t="n">
        <x:v>1000000</x:v>
      </x:c>
      <x:c r="J89" s="28" t="str">
        <x:v>任一基础技能强化至LV1</x:v>
      </x:c>
      <x:c r="K89" s="28" t="str">
        <x:v>选中基础技能升级至对应LV；不额外给全局属性。</x:v>
      </x:c>
      <x:c r="L89" s="28" t="str">
        <x:v>沿用既有技能机制</x:v>
      </x:c>
      <x:c r="M89" s="28" t="str">
        <x:v>沿用既有1—9级曲线；单个技能合计技能残页450、元宝45万 这9行是单个技能成本；多技能预算必须再乘实际强化技能数。</x:v>
      </x:c>
    </x:row>
    <x:row r="90" ht="60" customHeight="1">
      <x:c r="A90" s="28" t="str">
        <x:v>C01-SKILL-02</x:v>
      </x:c>
      <x:c r="B90" s="28" t="str">
        <x:v>C01</x:v>
      </x:c>
      <x:c r="C90" s="28" t="str">
        <x:v>技能强化页面</x:v>
      </x:c>
      <x:c r="D90" s="28" t="str">
        <x:v>基础技能强化</x:v>
      </x:c>
      <x:c r="E90" s="28" t="str">
        <x:v>任一基础技能强化至LV2</x:v>
      </x:c>
      <x:c r="F90" s="28" t="str">
        <x:v>沿用现有前置</x:v>
      </x:c>
      <x:c r="G90" s="28" t="str">
        <x:v>技能残页×20</x:v>
      </x:c>
      <x:c r="H90" s="28" t="n">
        <x:v>0</x:v>
      </x:c>
      <x:c r="I90" s="28" t="n">
        <x:v>2000000</x:v>
      </x:c>
      <x:c r="J90" s="28" t="str">
        <x:v>任一基础技能强化至LV2</x:v>
      </x:c>
      <x:c r="K90" s="28" t="str">
        <x:v>选中基础技能升级至对应LV；不额外给全局属性。</x:v>
      </x:c>
      <x:c r="L90" s="28" t="str">
        <x:v>沿用既有技能机制</x:v>
      </x:c>
      <x:c r="M90" s="28" t="str">
        <x:v>沿用既有1—9级曲线；单个技能合计技能残页450、元宝45万 这9行是单个技能成本；多技能预算必须再乘实际强化技能数。</x:v>
      </x:c>
    </x:row>
    <x:row r="91" ht="60" customHeight="1">
      <x:c r="A91" s="28" t="str">
        <x:v>C01-SKILL-03</x:v>
      </x:c>
      <x:c r="B91" s="28" t="str">
        <x:v>C01</x:v>
      </x:c>
      <x:c r="C91" s="28" t="str">
        <x:v>技能强化页面</x:v>
      </x:c>
      <x:c r="D91" s="28" t="str">
        <x:v>基础技能强化</x:v>
      </x:c>
      <x:c r="E91" s="28" t="str">
        <x:v>任一基础技能强化至LV3</x:v>
      </x:c>
      <x:c r="F91" s="28" t="str">
        <x:v>沿用现有前置</x:v>
      </x:c>
      <x:c r="G91" s="28" t="str">
        <x:v>技能残页×30</x:v>
      </x:c>
      <x:c r="H91" s="28" t="n">
        <x:v>0</x:v>
      </x:c>
      <x:c r="I91" s="28" t="n">
        <x:v>3000000</x:v>
      </x:c>
      <x:c r="J91" s="28" t="str">
        <x:v>任一基础技能强化至LV3</x:v>
      </x:c>
      <x:c r="K91" s="28" t="str">
        <x:v>选中基础技能升级至对应LV；不额外给全局属性。</x:v>
      </x:c>
      <x:c r="L91" s="28" t="str">
        <x:v>沿用既有技能机制</x:v>
      </x:c>
      <x:c r="M91" s="28" t="str">
        <x:v>沿用既有1—9级曲线；单个技能合计技能残页450、元宝45万 这9行是单个技能成本；多技能预算必须再乘实际强化技能数。</x:v>
      </x:c>
    </x:row>
    <x:row r="92" ht="60" customHeight="1">
      <x:c r="A92" s="28" t="str">
        <x:v>C01-SKILL-04</x:v>
      </x:c>
      <x:c r="B92" s="28" t="str">
        <x:v>C01</x:v>
      </x:c>
      <x:c r="C92" s="28" t="str">
        <x:v>技能强化页面</x:v>
      </x:c>
      <x:c r="D92" s="28" t="str">
        <x:v>基础技能强化</x:v>
      </x:c>
      <x:c r="E92" s="28" t="str">
        <x:v>任一基础技能强化至LV4</x:v>
      </x:c>
      <x:c r="F92" s="28" t="str">
        <x:v>沿用现有前置</x:v>
      </x:c>
      <x:c r="G92" s="28" t="str">
        <x:v>技能残页×40</x:v>
      </x:c>
      <x:c r="H92" s="28" t="n">
        <x:v>0</x:v>
      </x:c>
      <x:c r="I92" s="28" t="n">
        <x:v>4000000</x:v>
      </x:c>
      <x:c r="J92" s="28" t="str">
        <x:v>任一基础技能强化至LV4</x:v>
      </x:c>
      <x:c r="K92" s="28" t="str">
        <x:v>选中基础技能升级至对应LV；不额外给全局属性。</x:v>
      </x:c>
      <x:c r="L92" s="28" t="str">
        <x:v>沿用既有技能机制</x:v>
      </x:c>
      <x:c r="M92" s="28" t="str">
        <x:v>沿用既有1—9级曲线；单个技能合计技能残页450、元宝45万 这9行是单个技能成本；多技能预算必须再乘实际强化技能数。</x:v>
      </x:c>
    </x:row>
    <x:row r="93" ht="60" customHeight="1">
      <x:c r="A93" s="28" t="str">
        <x:v>C01-SKILL-05</x:v>
      </x:c>
      <x:c r="B93" s="28" t="str">
        <x:v>C01</x:v>
      </x:c>
      <x:c r="C93" s="28" t="str">
        <x:v>技能强化页面</x:v>
      </x:c>
      <x:c r="D93" s="28" t="str">
        <x:v>基础技能强化</x:v>
      </x:c>
      <x:c r="E93" s="28" t="str">
        <x:v>任一基础技能强化至LV5</x:v>
      </x:c>
      <x:c r="F93" s="28" t="str">
        <x:v>沿用现有前置</x:v>
      </x:c>
      <x:c r="G93" s="28" t="str">
        <x:v>技能残页×50</x:v>
      </x:c>
      <x:c r="H93" s="28" t="n">
        <x:v>0</x:v>
      </x:c>
      <x:c r="I93" s="28" t="n">
        <x:v>5000000</x:v>
      </x:c>
      <x:c r="J93" s="28" t="str">
        <x:v>任一基础技能强化至LV5</x:v>
      </x:c>
      <x:c r="K93" s="28" t="str">
        <x:v>选中基础技能升级至对应LV；不额外给全局属性。</x:v>
      </x:c>
      <x:c r="L93" s="28" t="str">
        <x:v>沿用既有技能机制</x:v>
      </x:c>
      <x:c r="M93" s="28" t="str">
        <x:v>沿用既有1—9级曲线；单个技能合计技能残页450、元宝45万 这9行是单个技能成本；多技能预算必须再乘实际强化技能数。</x:v>
      </x:c>
    </x:row>
    <x:row r="94" ht="60" customHeight="1">
      <x:c r="A94" s="28" t="str">
        <x:v>C01-SKILL-06</x:v>
      </x:c>
      <x:c r="B94" s="28" t="str">
        <x:v>C01</x:v>
      </x:c>
      <x:c r="C94" s="28" t="str">
        <x:v>技能强化页面</x:v>
      </x:c>
      <x:c r="D94" s="28" t="str">
        <x:v>基础技能强化</x:v>
      </x:c>
      <x:c r="E94" s="28" t="str">
        <x:v>任一基础技能强化至LV6</x:v>
      </x:c>
      <x:c r="F94" s="28" t="str">
        <x:v>沿用现有前置</x:v>
      </x:c>
      <x:c r="G94" s="28" t="str">
        <x:v>技能残页×60</x:v>
      </x:c>
      <x:c r="H94" s="28" t="n">
        <x:v>0</x:v>
      </x:c>
      <x:c r="I94" s="28" t="n">
        <x:v>6000000</x:v>
      </x:c>
      <x:c r="J94" s="28" t="str">
        <x:v>任一基础技能强化至LV6</x:v>
      </x:c>
      <x:c r="K94" s="28" t="str">
        <x:v>选中基础技能升级至对应LV；不额外给全局属性。</x:v>
      </x:c>
      <x:c r="L94" s="28" t="str">
        <x:v>沿用既有技能机制</x:v>
      </x:c>
      <x:c r="M94" s="28" t="str">
        <x:v>沿用既有1—9级曲线；单个技能合计技能残页450、元宝45万 这9行是单个技能成本；多技能预算必须再乘实际强化技能数。</x:v>
      </x:c>
    </x:row>
    <x:row r="95" ht="60" customHeight="1">
      <x:c r="A95" s="28" t="str">
        <x:v>C01-SKILL-07</x:v>
      </x:c>
      <x:c r="B95" s="28" t="str">
        <x:v>C01</x:v>
      </x:c>
      <x:c r="C95" s="28" t="str">
        <x:v>技能强化页面</x:v>
      </x:c>
      <x:c r="D95" s="28" t="str">
        <x:v>基础技能强化</x:v>
      </x:c>
      <x:c r="E95" s="28" t="str">
        <x:v>任一基础技能强化至LV7</x:v>
      </x:c>
      <x:c r="F95" s="28" t="str">
        <x:v>沿用现有前置</x:v>
      </x:c>
      <x:c r="G95" s="28" t="str">
        <x:v>技能残页×70</x:v>
      </x:c>
      <x:c r="H95" s="28" t="n">
        <x:v>0</x:v>
      </x:c>
      <x:c r="I95" s="28" t="n">
        <x:v>7000000</x:v>
      </x:c>
      <x:c r="J95" s="28" t="str">
        <x:v>任一基础技能强化至LV7</x:v>
      </x:c>
      <x:c r="K95" s="28" t="str">
        <x:v>选中基础技能升级至对应LV；不额外给全局属性。</x:v>
      </x:c>
      <x:c r="L95" s="28" t="str">
        <x:v>沿用既有技能机制</x:v>
      </x:c>
      <x:c r="M95" s="28" t="str">
        <x:v>沿用既有1—9级曲线；单个技能合计技能残页450、元宝45万 这9行是单个技能成本；多技能预算必须再乘实际强化技能数。</x:v>
      </x:c>
    </x:row>
    <x:row r="96" ht="60" customHeight="1">
      <x:c r="A96" s="28" t="str">
        <x:v>C01-SKILL-08</x:v>
      </x:c>
      <x:c r="B96" s="28" t="str">
        <x:v>C01</x:v>
      </x:c>
      <x:c r="C96" s="28" t="str">
        <x:v>技能强化页面</x:v>
      </x:c>
      <x:c r="D96" s="28" t="str">
        <x:v>基础技能强化</x:v>
      </x:c>
      <x:c r="E96" s="28" t="str">
        <x:v>任一基础技能强化至LV8</x:v>
      </x:c>
      <x:c r="F96" s="28" t="str">
        <x:v>沿用现有前置</x:v>
      </x:c>
      <x:c r="G96" s="28" t="str">
        <x:v>技能残页×80</x:v>
      </x:c>
      <x:c r="H96" s="28" t="n">
        <x:v>0</x:v>
      </x:c>
      <x:c r="I96" s="28" t="n">
        <x:v>8000000</x:v>
      </x:c>
      <x:c r="J96" s="28" t="str">
        <x:v>任一基础技能强化至LV8</x:v>
      </x:c>
      <x:c r="K96" s="28" t="str">
        <x:v>选中基础技能升级至对应LV；不额外给全局属性。</x:v>
      </x:c>
      <x:c r="L96" s="28" t="str">
        <x:v>沿用既有技能机制</x:v>
      </x:c>
      <x:c r="M96" s="28" t="str">
        <x:v>沿用既有1—9级曲线；单个技能合计技能残页450、元宝45万 这9行是单个技能成本；多技能预算必须再乘实际强化技能数。</x:v>
      </x:c>
    </x:row>
    <x:row r="97" ht="60" customHeight="1">
      <x:c r="A97" s="28" t="str">
        <x:v>C01-SKILL-09</x:v>
      </x:c>
      <x:c r="B97" s="28" t="str">
        <x:v>C01</x:v>
      </x:c>
      <x:c r="C97" s="28" t="str">
        <x:v>技能强化页面</x:v>
      </x:c>
      <x:c r="D97" s="28" t="str">
        <x:v>基础技能强化</x:v>
      </x:c>
      <x:c r="E97" s="28" t="str">
        <x:v>任一基础技能强化至LV9</x:v>
      </x:c>
      <x:c r="F97" s="28" t="str">
        <x:v>沿用现有前置</x:v>
      </x:c>
      <x:c r="G97" s="28" t="str">
        <x:v>技能残页×90</x:v>
      </x:c>
      <x:c r="H97" s="28" t="n">
        <x:v>0</x:v>
      </x:c>
      <x:c r="I97" s="28" t="n">
        <x:v>9000000</x:v>
      </x:c>
      <x:c r="J97" s="28" t="str">
        <x:v>任一基础技能强化至LV9</x:v>
      </x:c>
      <x:c r="K97" s="28" t="str">
        <x:v>选中基础技能升级至对应LV；不额外给全局属性。</x:v>
      </x:c>
      <x:c r="L97" s="28" t="str">
        <x:v>沿用既有技能机制</x:v>
      </x:c>
      <x:c r="M97" s="28" t="str">
        <x:v>沿用既有1—9级曲线；单个技能合计技能残页450、元宝45万 这9行是单个技能成本；多技能预算必须再乘实际强化技能数。</x:v>
      </x:c>
    </x:row>
    <x:row r="98" ht="60" customHeight="1">
      <x:c r="A98" s="28" t="str">
        <x:v>C02-ADVSKILL-01</x:v>
      </x:c>
      <x:c r="B98" s="28" t="str">
        <x:v>C02</x:v>
      </x:c>
      <x:c r="C98" s="28" t="str">
        <x:v>高级技能领悟页面</x:v>
      </x:c>
      <x:c r="D98" s="28" t="str">
        <x:v>高级技能领悟</x:v>
      </x:c>
      <x:c r="E98" s="28" t="str">
        <x:v>基本剑术→开天斩</x:v>
      </x:c>
      <x:c r="F98" s="28" t="str">
        <x:v>沿用现有前置</x:v>
      </x:c>
      <x:c r="G98" s="28" t="str">
        <x:v>宁姆格福誓页×30</x:v>
      </x:c>
      <x:c r="H98" s="28" t="n">
        <x:v>500000000</x:v>
      </x:c>
      <x:c r="I98" s="28" t="n">
        <x:v>50000000</x:v>
      </x:c>
      <x:c r="J98" s="28" t="str">
        <x:v>基本剑术→开天斩</x:v>
      </x:c>
      <x:c r="K98" s="28" t="str">
        <x:v>基本剑术→开天斩：获得既有目标技能；不新增全局攻击奖励。</x:v>
      </x:c>
      <x:c r="L98" s="28" t="str">
        <x:v>沿用既有技能机制</x:v>
      </x:c>
      <x:c r="M98" s="28" t="str">
        <x:v>9级基础技能保留；领悟100%成功</x:v>
      </x:c>
    </x:row>
    <x:row r="99" ht="60" customHeight="1">
      <x:c r="A99" s="28" t="str">
        <x:v>C02-ADVSKILL-02</x:v>
      </x:c>
      <x:c r="B99" s="28" t="str">
        <x:v>C02</x:v>
      </x:c>
      <x:c r="C99" s="28" t="str">
        <x:v>高级技能领悟页面</x:v>
      </x:c>
      <x:c r="D99" s="28" t="str">
        <x:v>高级技能领悟</x:v>
      </x:c>
      <x:c r="E99" s="28" t="str">
        <x:v>攻杀剑术→逐日剑法</x:v>
      </x:c>
      <x:c r="F99" s="28" t="str">
        <x:v>沿用现有前置</x:v>
      </x:c>
      <x:c r="G99" s="28" t="str">
        <x:v>宁姆格福誓页×30</x:v>
      </x:c>
      <x:c r="H99" s="28" t="n">
        <x:v>500000000</x:v>
      </x:c>
      <x:c r="I99" s="28" t="n">
        <x:v>50000000</x:v>
      </x:c>
      <x:c r="J99" s="28" t="str">
        <x:v>攻杀剑术→逐日剑法</x:v>
      </x:c>
      <x:c r="K99" s="28" t="str">
        <x:v>攻杀剑术→逐日剑法：获得既有目标技能；不新增全局攻击奖励。</x:v>
      </x:c>
      <x:c r="L99" s="28" t="str">
        <x:v>沿用既有技能机制</x:v>
      </x:c>
      <x:c r="M99" s="28" t="str">
        <x:v>9级基础技能保留；领悟100%成功</x:v>
      </x:c>
    </x:row>
    <x:row r="100" ht="60" customHeight="1">
      <x:c r="A100" s="28" t="str">
        <x:v>C02-ADVSKILL-03</x:v>
      </x:c>
      <x:c r="B100" s="28" t="str">
        <x:v>C02</x:v>
      </x:c>
      <x:c r="C100" s="28" t="str">
        <x:v>高级技能领悟页面</x:v>
      </x:c>
      <x:c r="D100" s="28" t="str">
        <x:v>高级技能领悟</x:v>
      </x:c>
      <x:c r="E100" s="28" t="str">
        <x:v>半月弯刀→抱月刀</x:v>
      </x:c>
      <x:c r="F100" s="28" t="str">
        <x:v>沿用现有前置</x:v>
      </x:c>
      <x:c r="G100" s="28" t="str">
        <x:v>宁姆格福誓页×30</x:v>
      </x:c>
      <x:c r="H100" s="28" t="n">
        <x:v>500000000</x:v>
      </x:c>
      <x:c r="I100" s="28" t="n">
        <x:v>50000000</x:v>
      </x:c>
      <x:c r="J100" s="28" t="str">
        <x:v>半月弯刀→抱月刀</x:v>
      </x:c>
      <x:c r="K100" s="28" t="str">
        <x:v>半月弯刀→抱月刀：获得既有目标技能；不新增全局攻击奖励。</x:v>
      </x:c>
      <x:c r="L100" s="28" t="str">
        <x:v>沿用既有技能机制</x:v>
      </x:c>
      <x:c r="M100" s="28" t="str">
        <x:v>9级基础技能保留；领悟100%成功</x:v>
      </x:c>
    </x:row>
    <x:row r="101" ht="60" customHeight="1">
      <x:c r="A101" s="28" t="str">
        <x:v>C02-ADVSKILL-04</x:v>
      </x:c>
      <x:c r="B101" s="28" t="str">
        <x:v>C02</x:v>
      </x:c>
      <x:c r="C101" s="28" t="str">
        <x:v>高级技能领悟页面</x:v>
      </x:c>
      <x:c r="D101" s="28" t="str">
        <x:v>高级技能领悟</x:v>
      </x:c>
      <x:c r="E101" s="28" t="str">
        <x:v>野蛮冲撞→十步一杀</x:v>
      </x:c>
      <x:c r="F101" s="28" t="str">
        <x:v>沿用现有前置</x:v>
      </x:c>
      <x:c r="G101" s="28" t="str">
        <x:v>宁姆格福誓页×30</x:v>
      </x:c>
      <x:c r="H101" s="28" t="n">
        <x:v>500000000</x:v>
      </x:c>
      <x:c r="I101" s="28" t="n">
        <x:v>50000000</x:v>
      </x:c>
      <x:c r="J101" s="28" t="str">
        <x:v>野蛮冲撞→十步一杀</x:v>
      </x:c>
      <x:c r="K101" s="28" t="str">
        <x:v>野蛮冲撞→十步一杀：获得既有目标技能；不新增全局攻击奖励。</x:v>
      </x:c>
      <x:c r="L101" s="28" t="str">
        <x:v>沿用既有技能机制</x:v>
      </x:c>
      <x:c r="M101" s="28" t="str">
        <x:v>9级基础技能保留；领悟100%成功</x:v>
      </x:c>
    </x:row>
    <x:row r="102" ht="60" customHeight="1">
      <x:c r="A102" s="28" t="str">
        <x:v>C02-ADVSKILL-05</x:v>
      </x:c>
      <x:c r="B102" s="28" t="str">
        <x:v>C02</x:v>
      </x:c>
      <x:c r="C102" s="28" t="str">
        <x:v>高级技能领悟页面</x:v>
      </x:c>
      <x:c r="D102" s="28" t="str">
        <x:v>高级技能领悟</x:v>
      </x:c>
      <x:c r="E102" s="28" t="str">
        <x:v>护体神盾→魔法盾</x:v>
      </x:c>
      <x:c r="F102" s="28" t="str">
        <x:v>沿用现有前置</x:v>
      </x:c>
      <x:c r="G102" s="28" t="str">
        <x:v>宁姆格福誓页×30</x:v>
      </x:c>
      <x:c r="H102" s="28" t="n">
        <x:v>500000000</x:v>
      </x:c>
      <x:c r="I102" s="28" t="n">
        <x:v>50000000</x:v>
      </x:c>
      <x:c r="J102" s="28" t="str">
        <x:v>护体神盾→魔法盾</x:v>
      </x:c>
      <x:c r="K102" s="28" t="str">
        <x:v>护体神盾→魔法盾：获得既有目标技能；不新增全局攻击奖励。</x:v>
      </x:c>
      <x:c r="L102" s="28" t="str">
        <x:v>沿用既有技能机制</x:v>
      </x:c>
      <x:c r="M102" s="28" t="str">
        <x:v>9级基础技能保留；领悟100%成功</x:v>
      </x:c>
    </x:row>
    <x:row r="103" ht="60" customHeight="1">
      <x:c r="A103" s="28" t="str">
        <x:v>C02-ADVSKILL-06</x:v>
      </x:c>
      <x:c r="B103" s="28" t="str">
        <x:v>C02</x:v>
      </x:c>
      <x:c r="C103" s="28" t="str">
        <x:v>高级技能领悟页面</x:v>
      </x:c>
      <x:c r="D103" s="28" t="str">
        <x:v>高级技能领悟</x:v>
      </x:c>
      <x:c r="E103" s="28" t="str">
        <x:v>施毒术→群体施毒／嘲讽</x:v>
      </x:c>
      <x:c r="F103" s="28" t="str">
        <x:v>沿用现有前置</x:v>
      </x:c>
      <x:c r="G103" s="28" t="str">
        <x:v>宁姆格福誓页×30</x:v>
      </x:c>
      <x:c r="H103" s="28" t="n">
        <x:v>500000000</x:v>
      </x:c>
      <x:c r="I103" s="28" t="n">
        <x:v>50000000</x:v>
      </x:c>
      <x:c r="J103" s="28" t="str">
        <x:v>施毒术→群体施毒／嘲讽</x:v>
      </x:c>
      <x:c r="K103" s="28" t="str">
        <x:v>施毒术→群体施毒／嘲讽：获得既有目标技能；不新增全局攻击奖励。</x:v>
      </x:c>
      <x:c r="L103" s="28" t="str">
        <x:v>沿用既有技能机制</x:v>
      </x:c>
      <x:c r="M103" s="28" t="str">
        <x:v>9级基础技能保留；领悟100%成功</x:v>
      </x:c>
    </x:row>
    <x:row r="104" ht="60" customHeight="1">
      <x:c r="A104" s="28" t="str">
        <x:v>C02-WASH</x:v>
      </x:c>
      <x:c r="B104" s="28" t="str">
        <x:v>C02</x:v>
      </x:c>
      <x:c r="C104" s="28" t="str">
        <x:v>普通洗练入口</x:v>
      </x:c>
      <x:c r="D104" s="28" t="str">
        <x:v>普通洗练</x:v>
      </x:c>
      <x:c r="E104" s="28" t="str">
        <x:v>单件装备随机重洗</x:v>
      </x:c>
      <x:c r="F104" s="28" t="str">
        <x:v>沿用现有前置</x:v>
      </x:c>
      <x:c r="G104" s="28" t="str">
        <x:v>失色锻造石×10</x:v>
      </x:c>
      <x:c r="H104" s="28" t="n">
        <x:v>0</x:v>
      </x:c>
      <x:c r="I104" s="28" t="n">
        <x:v>1000000</x:v>
      </x:c>
      <x:c r="J104" s="28" t="str">
        <x:v>单件装备随机重洗</x:v>
      </x:c>
      <x:c r="K104" s="28" t="str">
        <x:v>普通洗练改变内容及条数；开光保留已有7/8条数，只改内容；每次替换旧结果，不叠加历史结果。</x:v>
      </x:c>
      <x:c r="L104" s="28" t="str">
        <x:v>机制继承；逐属性池与上下限尚未本轮定稿</x:v>
      </x:c>
      <x:c r="M104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05" ht="60" customHeight="1">
      <x:c r="A105" s="28" t="str">
        <x:v>C02-OPEN</x:v>
      </x:c>
      <x:c r="B105" s="28" t="str">
        <x:v>C02</x:v>
      </x:c>
      <x:c r="C105" s="28" t="str">
        <x:v>装备开光入口</x:v>
      </x:c>
      <x:c r="D105" s="28" t="str">
        <x:v>开光</x:v>
      </x:c>
      <x:c r="E105" s="28" t="str">
        <x:v>7/8词条装备固定条数后重洗</x:v>
      </x:c>
      <x:c r="F105" s="28" t="str">
        <x:v>沿用现有前置</x:v>
      </x:c>
      <x:c r="G105" s="28" t="str">
        <x:v>失色锻造石×50</x:v>
      </x:c>
      <x:c r="H105" s="28" t="n">
        <x:v>0</x:v>
      </x:c>
      <x:c r="I105" s="28" t="n">
        <x:v>5000000</x:v>
      </x:c>
      <x:c r="J105" s="28" t="str">
        <x:v>7/8词条装备固定条数后重洗</x:v>
      </x:c>
      <x:c r="K105" s="28" t="str">
        <x:v>普通洗练改变内容及条数；开光保留已有7/8条数，只改内容；每次替换旧结果，不叠加历史结果。</x:v>
      </x:c>
      <x:c r="L105" s="28" t="str">
        <x:v>机制继承；逐属性池与上下限尚未本轮定稿</x:v>
      </x:c>
      <x:c r="M105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06" ht="60" customHeight="1">
      <x:c r="A106" s="28" t="str">
        <x:v>C03-WASH</x:v>
      </x:c>
      <x:c r="B106" s="28" t="str">
        <x:v>C03</x:v>
      </x:c>
      <x:c r="C106" s="28" t="str">
        <x:v>普通洗练入口</x:v>
      </x:c>
      <x:c r="D106" s="28" t="str">
        <x:v>普通洗练</x:v>
      </x:c>
      <x:c r="E106" s="28" t="str">
        <x:v>单件装备随机重洗</x:v>
      </x:c>
      <x:c r="F106" s="28" t="str">
        <x:v>沿用现有前置</x:v>
      </x:c>
      <x:c r="G106" s="28" t="str">
        <x:v>失色锻造石×10</x:v>
      </x:c>
      <x:c r="H106" s="28" t="n">
        <x:v>0</x:v>
      </x:c>
      <x:c r="I106" s="28" t="n">
        <x:v>1900000</x:v>
      </x:c>
      <x:c r="J106" s="28" t="str">
        <x:v>单件装备随机重洗</x:v>
      </x:c>
      <x:c r="K106" s="28" t="str">
        <x:v>普通洗练改变内容及条数；开光保留已有7/8条数，只改内容；每次替换旧结果，不叠加历史结果。</x:v>
      </x:c>
      <x:c r="L106" s="28" t="str">
        <x:v>机制继承；逐属性池与上下限尚未本轮定稿</x:v>
      </x:c>
      <x:c r="M106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07" ht="60" customHeight="1">
      <x:c r="A107" s="28" t="str">
        <x:v>C03-OPEN</x:v>
      </x:c>
      <x:c r="B107" s="28" t="str">
        <x:v>C03</x:v>
      </x:c>
      <x:c r="C107" s="28" t="str">
        <x:v>装备开光入口</x:v>
      </x:c>
      <x:c r="D107" s="28" t="str">
        <x:v>开光</x:v>
      </x:c>
      <x:c r="E107" s="28" t="str">
        <x:v>7/8词条装备固定条数后重洗</x:v>
      </x:c>
      <x:c r="F107" s="28" t="str">
        <x:v>沿用现有前置</x:v>
      </x:c>
      <x:c r="G107" s="28" t="str">
        <x:v>失色锻造石×60</x:v>
      </x:c>
      <x:c r="H107" s="28" t="n">
        <x:v>0</x:v>
      </x:c>
      <x:c r="I107" s="28" t="n">
        <x:v>9500000</x:v>
      </x:c>
      <x:c r="J107" s="28" t="str">
        <x:v>7/8词条装备固定条数后重洗</x:v>
      </x:c>
      <x:c r="K107" s="28" t="str">
        <x:v>普通洗练改变内容及条数；开光保留已有7/8条数，只改内容；每次替换旧结果，不叠加历史结果。</x:v>
      </x:c>
      <x:c r="L107" s="28" t="str">
        <x:v>机制继承；逐属性池与上下限尚未本轮定稿</x:v>
      </x:c>
      <x:c r="M107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08" ht="60" customHeight="1">
      <x:c r="A108" s="28" t="str">
        <x:v>C04-WASH</x:v>
      </x:c>
      <x:c r="B108" s="28" t="str">
        <x:v>C04</x:v>
      </x:c>
      <x:c r="C108" s="28" t="str">
        <x:v>普通洗练入口</x:v>
      </x:c>
      <x:c r="D108" s="28" t="str">
        <x:v>普通洗练</x:v>
      </x:c>
      <x:c r="E108" s="28" t="str">
        <x:v>单件装备随机重洗</x:v>
      </x:c>
      <x:c r="F108" s="28" t="str">
        <x:v>沿用现有前置</x:v>
      </x:c>
      <x:c r="G108" s="28" t="str">
        <x:v>失色锻造石×10</x:v>
      </x:c>
      <x:c r="H108" s="28" t="n">
        <x:v>0</x:v>
      </x:c>
      <x:c r="I108" s="28" t="n">
        <x:v>2900000</x:v>
      </x:c>
      <x:c r="J108" s="28" t="str">
        <x:v>单件装备随机重洗</x:v>
      </x:c>
      <x:c r="K108" s="28" t="str">
        <x:v>普通洗练改变内容及条数；开光保留已有7/8条数，只改内容；每次替换旧结果，不叠加历史结果。</x:v>
      </x:c>
      <x:c r="L108" s="28" t="str">
        <x:v>机制继承；逐属性池与上下限尚未本轮定稿</x:v>
      </x:c>
      <x:c r="M108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09" ht="60" customHeight="1">
      <x:c r="A109" s="28" t="str">
        <x:v>C04-OPEN</x:v>
      </x:c>
      <x:c r="B109" s="28" t="str">
        <x:v>C04</x:v>
      </x:c>
      <x:c r="C109" s="28" t="str">
        <x:v>装备开光入口</x:v>
      </x:c>
      <x:c r="D109" s="28" t="str">
        <x:v>开光</x:v>
      </x:c>
      <x:c r="E109" s="28" t="str">
        <x:v>7/8词条装备固定条数后重洗</x:v>
      </x:c>
      <x:c r="F109" s="28" t="str">
        <x:v>沿用现有前置</x:v>
      </x:c>
      <x:c r="G109" s="28" t="str">
        <x:v>失色锻造石×70</x:v>
      </x:c>
      <x:c r="H109" s="28" t="n">
        <x:v>0</x:v>
      </x:c>
      <x:c r="I109" s="28" t="n">
        <x:v>14500000</x:v>
      </x:c>
      <x:c r="J109" s="28" t="str">
        <x:v>7/8词条装备固定条数后重洗</x:v>
      </x:c>
      <x:c r="K109" s="28" t="str">
        <x:v>普通洗练改变内容及条数；开光保留已有7/8条数，只改内容；每次替换旧结果，不叠加历史结果。</x:v>
      </x:c>
      <x:c r="L109" s="28" t="str">
        <x:v>机制继承；逐属性池与上下限尚未本轮定稿</x:v>
      </x:c>
      <x:c r="M109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0" ht="60" customHeight="1">
      <x:c r="A110" s="28" t="str">
        <x:v>C05-WASH</x:v>
      </x:c>
      <x:c r="B110" s="28" t="str">
        <x:v>C05</x:v>
      </x:c>
      <x:c r="C110" s="28" t="str">
        <x:v>普通洗练入口</x:v>
      </x:c>
      <x:c r="D110" s="28" t="str">
        <x:v>普通洗练</x:v>
      </x:c>
      <x:c r="E110" s="28" t="str">
        <x:v>单件装备随机重洗</x:v>
      </x:c>
      <x:c r="F110" s="28" t="str">
        <x:v>沿用现有前置</x:v>
      </x:c>
      <x:c r="G110" s="28" t="str">
        <x:v>失色锻造石×20</x:v>
      </x:c>
      <x:c r="H110" s="28" t="n">
        <x:v>0</x:v>
      </x:c>
      <x:c r="I110" s="28" t="n">
        <x:v>6200000</x:v>
      </x:c>
      <x:c r="J110" s="28" t="str">
        <x:v>单件装备随机重洗</x:v>
      </x:c>
      <x:c r="K110" s="28" t="str">
        <x:v>普通洗练改变内容及条数；开光保留已有7/8条数，只改内容；每次替换旧结果，不叠加历史结果。</x:v>
      </x:c>
      <x:c r="L110" s="28" t="str">
        <x:v>机制继承；逐属性池与上下限尚未本轮定稿</x:v>
      </x:c>
      <x:c r="M110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1" ht="60" customHeight="1">
      <x:c r="A111" s="28" t="str">
        <x:v>C05-OPEN</x:v>
      </x:c>
      <x:c r="B111" s="28" t="str">
        <x:v>C05</x:v>
      </x:c>
      <x:c r="C111" s="28" t="str">
        <x:v>装备开光入口</x:v>
      </x:c>
      <x:c r="D111" s="28" t="str">
        <x:v>开光</x:v>
      </x:c>
      <x:c r="E111" s="28" t="str">
        <x:v>7/8词条装备固定条数后重洗</x:v>
      </x:c>
      <x:c r="F111" s="28" t="str">
        <x:v>沿用现有前置</x:v>
      </x:c>
      <x:c r="G111" s="28" t="str">
        <x:v>失色锻造石×90</x:v>
      </x:c>
      <x:c r="H111" s="28" t="n">
        <x:v>0</x:v>
      </x:c>
      <x:c r="I111" s="28" t="n">
        <x:v>31000000</x:v>
      </x:c>
      <x:c r="J111" s="28" t="str">
        <x:v>7/8词条装备固定条数后重洗</x:v>
      </x:c>
      <x:c r="K111" s="28" t="str">
        <x:v>普通洗练改变内容及条数；开光保留已有7/8条数，只改内容；每次替换旧结果，不叠加历史结果。</x:v>
      </x:c>
      <x:c r="L111" s="28" t="str">
        <x:v>机制继承；逐属性池与上下限尚未本轮定稿</x:v>
      </x:c>
      <x:c r="M111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2" ht="60" customHeight="1">
      <x:c r="A112" s="28" t="str">
        <x:v>C06-WASH</x:v>
      </x:c>
      <x:c r="B112" s="28" t="str">
        <x:v>C06</x:v>
      </x:c>
      <x:c r="C112" s="28" t="str">
        <x:v>普通洗练入口</x:v>
      </x:c>
      <x:c r="D112" s="28" t="str">
        <x:v>普通洗练</x:v>
      </x:c>
      <x:c r="E112" s="28" t="str">
        <x:v>单件装备随机重洗</x:v>
      </x:c>
      <x:c r="F112" s="28" t="str">
        <x:v>沿用现有前置</x:v>
      </x:c>
      <x:c r="G112" s="28" t="str">
        <x:v>失色锻造石×20</x:v>
      </x:c>
      <x:c r="H112" s="28" t="n">
        <x:v>0</x:v>
      </x:c>
      <x:c r="I112" s="28" t="n">
        <x:v>6800000</x:v>
      </x:c>
      <x:c r="J112" s="28" t="str">
        <x:v>单件装备随机重洗</x:v>
      </x:c>
      <x:c r="K112" s="28" t="str">
        <x:v>普通洗练改变内容及条数；开光保留已有7/8条数，只改内容；每次替换旧结果，不叠加历史结果。</x:v>
      </x:c>
      <x:c r="L112" s="28" t="str">
        <x:v>机制继承；逐属性池与上下限尚未本轮定稿</x:v>
      </x:c>
      <x:c r="M112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3" ht="60" customHeight="1">
      <x:c r="A113" s="28" t="str">
        <x:v>C06-OPEN</x:v>
      </x:c>
      <x:c r="B113" s="28" t="str">
        <x:v>C06</x:v>
      </x:c>
      <x:c r="C113" s="28" t="str">
        <x:v>装备开光入口</x:v>
      </x:c>
      <x:c r="D113" s="28" t="str">
        <x:v>开光</x:v>
      </x:c>
      <x:c r="E113" s="28" t="str">
        <x:v>7/8词条装备固定条数后重洗</x:v>
      </x:c>
      <x:c r="F113" s="28" t="str">
        <x:v>沿用现有前置</x:v>
      </x:c>
      <x:c r="G113" s="28" t="str">
        <x:v>失色锻造石×110</x:v>
      </x:c>
      <x:c r="H113" s="28" t="n">
        <x:v>0</x:v>
      </x:c>
      <x:c r="I113" s="28" t="n">
        <x:v>34000000</x:v>
      </x:c>
      <x:c r="J113" s="28" t="str">
        <x:v>7/8词条装备固定条数后重洗</x:v>
      </x:c>
      <x:c r="K113" s="28" t="str">
        <x:v>普通洗练改变内容及条数；开光保留已有7/8条数，只改内容；每次替换旧结果，不叠加历史结果。</x:v>
      </x:c>
      <x:c r="L113" s="28" t="str">
        <x:v>机制继承；逐属性池与上下限尚未本轮定稿</x:v>
      </x:c>
      <x:c r="M113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4" ht="60" customHeight="1">
      <x:c r="A114" s="28" t="str">
        <x:v>C07-WASH</x:v>
      </x:c>
      <x:c r="B114" s="28" t="str">
        <x:v>C07</x:v>
      </x:c>
      <x:c r="C114" s="28" t="str">
        <x:v>普通洗练入口</x:v>
      </x:c>
      <x:c r="D114" s="28" t="str">
        <x:v>普通洗练</x:v>
      </x:c>
      <x:c r="E114" s="28" t="str">
        <x:v>单件装备随机重洗</x:v>
      </x:c>
      <x:c r="F114" s="28" t="str">
        <x:v>沿用现有前置</x:v>
      </x:c>
      <x:c r="G114" s="28" t="str">
        <x:v>失色锻造石×30</x:v>
      </x:c>
      <x:c r="H114" s="28" t="n">
        <x:v>0</x:v>
      </x:c>
      <x:c r="I114" s="28" t="n">
        <x:v>13500000</x:v>
      </x:c>
      <x:c r="J114" s="28" t="str">
        <x:v>单件装备随机重洗</x:v>
      </x:c>
      <x:c r="K114" s="28" t="str">
        <x:v>普通洗练改变内容及条数；开光保留已有7/8条数，只改内容；每次替换旧结果，不叠加历史结果。</x:v>
      </x:c>
      <x:c r="L114" s="28" t="str">
        <x:v>机制继承；逐属性池与上下限尚未本轮定稿</x:v>
      </x:c>
      <x:c r="M114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5" ht="60" customHeight="1">
      <x:c r="A115" s="28" t="str">
        <x:v>C07-OPEN</x:v>
      </x:c>
      <x:c r="B115" s="28" t="str">
        <x:v>C07</x:v>
      </x:c>
      <x:c r="C115" s="28" t="str">
        <x:v>装备开光入口</x:v>
      </x:c>
      <x:c r="D115" s="28" t="str">
        <x:v>开光</x:v>
      </x:c>
      <x:c r="E115" s="28" t="str">
        <x:v>7/8词条装备固定条数后重洗</x:v>
      </x:c>
      <x:c r="F115" s="28" t="str">
        <x:v>沿用现有前置</x:v>
      </x:c>
      <x:c r="G115" s="28" t="str">
        <x:v>失色锻造石×140</x:v>
      </x:c>
      <x:c r="H115" s="28" t="n">
        <x:v>0</x:v>
      </x:c>
      <x:c r="I115" s="28" t="n">
        <x:v>67000000</x:v>
      </x:c>
      <x:c r="J115" s="28" t="str">
        <x:v>7/8词条装备固定条数后重洗</x:v>
      </x:c>
      <x:c r="K115" s="28" t="str">
        <x:v>普通洗练改变内容及条数；开光保留已有7/8条数，只改内容；每次替换旧结果，不叠加历史结果。</x:v>
      </x:c>
      <x:c r="L115" s="28" t="str">
        <x:v>机制继承；逐属性池与上下限尚未本轮定稿</x:v>
      </x:c>
      <x:c r="M115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6" ht="60" customHeight="1">
      <x:c r="A116" s="28" t="str">
        <x:v>C08-WASH</x:v>
      </x:c>
      <x:c r="B116" s="28" t="str">
        <x:v>C08</x:v>
      </x:c>
      <x:c r="C116" s="28" t="str">
        <x:v>普通洗练入口</x:v>
      </x:c>
      <x:c r="D116" s="28" t="str">
        <x:v>普通洗练</x:v>
      </x:c>
      <x:c r="E116" s="28" t="str">
        <x:v>单件装备随机重洗</x:v>
      </x:c>
      <x:c r="F116" s="28" t="str">
        <x:v>沿用现有前置</x:v>
      </x:c>
      <x:c r="G116" s="28" t="str">
        <x:v>失色锻造石×30</x:v>
      </x:c>
      <x:c r="H116" s="28" t="n">
        <x:v>0</x:v>
      </x:c>
      <x:c r="I116" s="28" t="n">
        <x:v>14000000</x:v>
      </x:c>
      <x:c r="J116" s="28" t="str">
        <x:v>单件装备随机重洗</x:v>
      </x:c>
      <x:c r="K116" s="28" t="str">
        <x:v>普通洗练改变内容及条数；开光保留已有7/8条数，只改内容；每次替换旧结果，不叠加历史结果。</x:v>
      </x:c>
      <x:c r="L116" s="28" t="str">
        <x:v>机制继承；逐属性池与上下限尚未本轮定稿</x:v>
      </x:c>
      <x:c r="M116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7" ht="60" customHeight="1">
      <x:c r="A117" s="28" t="str">
        <x:v>C08-OPEN</x:v>
      </x:c>
      <x:c r="B117" s="28" t="str">
        <x:v>C08</x:v>
      </x:c>
      <x:c r="C117" s="28" t="str">
        <x:v>装备开光入口</x:v>
      </x:c>
      <x:c r="D117" s="28" t="str">
        <x:v>开光</x:v>
      </x:c>
      <x:c r="E117" s="28" t="str">
        <x:v>7/8词条装备固定条数后重洗</x:v>
      </x:c>
      <x:c r="F117" s="28" t="str">
        <x:v>沿用现有前置</x:v>
      </x:c>
      <x:c r="G117" s="28" t="str">
        <x:v>失色锻造石×170</x:v>
      </x:c>
      <x:c r="H117" s="28" t="n">
        <x:v>0</x:v>
      </x:c>
      <x:c r="I117" s="28" t="n">
        <x:v>71000000</x:v>
      </x:c>
      <x:c r="J117" s="28" t="str">
        <x:v>7/8词条装备固定条数后重洗</x:v>
      </x:c>
      <x:c r="K117" s="28" t="str">
        <x:v>普通洗练改变内容及条数；开光保留已有7/8条数，只改内容；每次替换旧结果，不叠加历史结果。</x:v>
      </x:c>
      <x:c r="L117" s="28" t="str">
        <x:v>机制继承；逐属性池与上下限尚未本轮定稿</x:v>
      </x:c>
      <x:c r="M117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8" ht="60" customHeight="1">
      <x:c r="A118" s="28" t="str">
        <x:v>C09-WASH</x:v>
      </x:c>
      <x:c r="B118" s="28" t="str">
        <x:v>C09</x:v>
      </x:c>
      <x:c r="C118" s="28" t="str">
        <x:v>普通洗练入口</x:v>
      </x:c>
      <x:c r="D118" s="28" t="str">
        <x:v>普通洗练</x:v>
      </x:c>
      <x:c r="E118" s="28" t="str">
        <x:v>单件装备随机重洗</x:v>
      </x:c>
      <x:c r="F118" s="28" t="str">
        <x:v>沿用现有前置</x:v>
      </x:c>
      <x:c r="G118" s="28" t="str">
        <x:v>失色锻造石×40</x:v>
      </x:c>
      <x:c r="H118" s="28" t="n">
        <x:v>0</x:v>
      </x:c>
      <x:c r="I118" s="28" t="n">
        <x:v>35500000</x:v>
      </x:c>
      <x:c r="J118" s="28" t="str">
        <x:v>单件装备随机重洗</x:v>
      </x:c>
      <x:c r="K118" s="28" t="str">
        <x:v>普通洗练改变内容及条数；开光保留已有7/8条数，只改内容；每次替换旧结果，不叠加历史结果。</x:v>
      </x:c>
      <x:c r="L118" s="28" t="str">
        <x:v>机制继承；逐属性池与上下限尚未本轮定稿</x:v>
      </x:c>
      <x:c r="M118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9" ht="60" customHeight="1">
      <x:c r="A119" s="28" t="str">
        <x:v>C09-OPEN</x:v>
      </x:c>
      <x:c r="B119" s="28" t="str">
        <x:v>C09</x:v>
      </x:c>
      <x:c r="C119" s="28" t="str">
        <x:v>装备开光入口</x:v>
      </x:c>
      <x:c r="D119" s="28" t="str">
        <x:v>开光</x:v>
      </x:c>
      <x:c r="E119" s="28" t="str">
        <x:v>7/8词条装备固定条数后重洗</x:v>
      </x:c>
      <x:c r="F119" s="28" t="str">
        <x:v>沿用现有前置</x:v>
      </x:c>
      <x:c r="G119" s="28" t="str">
        <x:v>失色锻造石×210</x:v>
      </x:c>
      <x:c r="H119" s="28" t="n">
        <x:v>0</x:v>
      </x:c>
      <x:c r="I119" s="28" t="n">
        <x:v>178000000</x:v>
      </x:c>
      <x:c r="J119" s="28" t="str">
        <x:v>7/8词条装备固定条数后重洗</x:v>
      </x:c>
      <x:c r="K119" s="28" t="str">
        <x:v>普通洗练改变内容及条数；开光保留已有7/8条数，只改内容；每次替换旧结果，不叠加历史结果。</x:v>
      </x:c>
      <x:c r="L119" s="28" t="str">
        <x:v>机制继承；逐属性池与上下限尚未本轮定稿</x:v>
      </x:c>
      <x:c r="M119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20" ht="60" customHeight="1">
      <x:c r="A120" s="28" t="str">
        <x:v>C10-WASH</x:v>
      </x:c>
      <x:c r="B120" s="28" t="str">
        <x:v>C10</x:v>
      </x:c>
      <x:c r="C120" s="28" t="str">
        <x:v>普通洗练入口</x:v>
      </x:c>
      <x:c r="D120" s="28" t="str">
        <x:v>普通洗练</x:v>
      </x:c>
      <x:c r="E120" s="28" t="str">
        <x:v>单件装备随机重洗</x:v>
      </x:c>
      <x:c r="F120" s="28" t="str">
        <x:v>沿用现有前置</x:v>
      </x:c>
      <x:c r="G120" s="28" t="str">
        <x:v>失色锻造石×50</x:v>
      </x:c>
      <x:c r="H120" s="28" t="n">
        <x:v>0</x:v>
      </x:c>
      <x:c r="I120" s="28" t="n">
        <x:v>37000000</x:v>
      </x:c>
      <x:c r="J120" s="28" t="str">
        <x:v>单件装备随机重洗</x:v>
      </x:c>
      <x:c r="K120" s="28" t="str">
        <x:v>普通洗练改变内容及条数；开光保留已有7/8条数，只改内容；每次替换旧结果，不叠加历史结果。</x:v>
      </x:c>
      <x:c r="L120" s="28" t="str">
        <x:v>机制继承；逐属性池与上下限尚未本轮定稿</x:v>
      </x:c>
      <x:c r="M120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21" ht="60" customHeight="1">
      <x:c r="A121" s="28" t="str">
        <x:v>C10-OPEN</x:v>
      </x:c>
      <x:c r="B121" s="28" t="str">
        <x:v>C10</x:v>
      </x:c>
      <x:c r="C121" s="28" t="str">
        <x:v>装备开光入口</x:v>
      </x:c>
      <x:c r="D121" s="28" t="str">
        <x:v>开光</x:v>
      </x:c>
      <x:c r="E121" s="28" t="str">
        <x:v>7/8词条装备固定条数后重洗</x:v>
      </x:c>
      <x:c r="F121" s="28" t="str">
        <x:v>沿用现有前置</x:v>
      </x:c>
      <x:c r="G121" s="28" t="str">
        <x:v>失色锻造石×250</x:v>
      </x:c>
      <x:c r="H121" s="28" t="n">
        <x:v>0</x:v>
      </x:c>
      <x:c r="I121" s="28" t="n">
        <x:v>184000000</x:v>
      </x:c>
      <x:c r="J121" s="28" t="str">
        <x:v>7/8词条装备固定条数后重洗</x:v>
      </x:c>
      <x:c r="K121" s="28" t="str">
        <x:v>普通洗练改变内容及条数；开光保留已有7/8条数，只改内容；每次替换旧结果，不叠加历史结果。</x:v>
      </x:c>
      <x:c r="L121" s="28" t="str">
        <x:v>机制继承；逐属性池与上下限尚未本轮定稿</x:v>
      </x:c>
      <x:c r="M121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22" ht="60" customHeight="1">
      <x:c r="A122" s="28" t="str">
        <x:v>C02-NECKLUCK</x:v>
      </x:c>
      <x:c r="B122" s="28" t="str">
        <x:v>C02</x:v>
      </x:c>
      <x:c r="C122" s="28" t="str">
        <x:v>项链幸运入口</x:v>
      </x:c>
      <x:c r="D122" s="28" t="str">
        <x:v>项链幸运</x:v>
      </x:c>
      <x:c r="E122" s="28" t="str">
        <x:v>项链幸运升满平均包</x:v>
      </x:c>
      <x:c r="F122" s="28" t="str">
        <x:v>沿用现有前置</x:v>
      </x:c>
      <x:c r="G122" s="28" t="str">
        <x:v>黄金树芽×1</x:v>
      </x:c>
      <x:c r="H122" s="28" t="n">
        <x:v>0</x:v>
      </x:c>
      <x:c r="I122" s="28" t="n">
        <x:v>1000000</x:v>
      </x:c>
      <x:c r="J122" s="28" t="str">
        <x:v>项链幸运升满平均包</x:v>
      </x:c>
      <x:c r="K122" s="28" t="str">
        <x:v>幸运0→8，成功+1、失败不变；1—250次2.4%，251次起20%；平均约248.85次，280次内完成概率约92.32%；无硬保底。</x:v>
      </x:c>
      <x:c r="L122" s="28" t="str">
        <x:v>本轮概率方案；需既有入口支持该分段参数</x:v>
      </x:c>
      <x:c r="M122" s="28" t="str">
        <x:v>250次是平均值，不是硬保底；约250次后提高成功率</x:v>
      </x:c>
    </x:row>
    <x:row r="123" ht="60" customHeight="1">
      <x:c r="A123" s="28" t="str">
        <x:v>C02-BODY-1-50</x:v>
      </x:c>
      <x:c r="B123" s="28" t="str">
        <x:v>C02</x:v>
      </x:c>
      <x:c r="C123" s="28" t="str">
        <x:v>神印修行／锻体入口</x:v>
      </x:c>
      <x:c r="D123" s="28" t="str">
        <x:v>神印修行</x:v>
      </x:c>
      <x:c r="E123" s="28" t="str">
        <x:v>第1—50档</x:v>
      </x:c>
      <x:c r="F123" s="28" t="str">
        <x:v>沿用现有前置</x:v>
      </x:c>
      <x:c r="G123" s="28" t="str">
        <x:v>见255档明细</x:v>
      </x:c>
      <x:c r="H123" s="28" t="n">
        <x:v>0</x:v>
      </x:c>
      <x:c r="I123" s="28" t="n">
        <x:v>0</x:v>
      </x:c>
      <x:c r="J123" s="28" t="str">
        <x:v>第1—50档</x:v>
      </x:c>
      <x:c r="K123" s="28" t="str">
        <x:v>本段新增攻/魔/道各1275，HP 127500；第50档累计主属性1275，HP 127500。</x:v>
      </x:c>
      <x:c r="L123" s="28" t="str">
        <x:v>固定公式继承</x:v>
      </x:c>
      <x:c r="M123" s="28" t="str">
        <x:v>每档100%成功；21→22需31个、22→23需32个已保持</x:v>
      </x:c>
    </x:row>
    <x:row r="124" ht="60" customHeight="1">
      <x:c r="A124" s="28" t="str">
        <x:v>C03-BODY-51-80</x:v>
      </x:c>
      <x:c r="B124" s="28" t="str">
        <x:v>C03</x:v>
      </x:c>
      <x:c r="C124" s="28" t="str">
        <x:v>神印修行／锻体入口</x:v>
      </x:c>
      <x:c r="D124" s="28" t="str">
        <x:v>神印修行</x:v>
      </x:c>
      <x:c r="E124" s="28" t="str">
        <x:v>第51—80档</x:v>
      </x:c>
      <x:c r="F124" s="28" t="str">
        <x:v>沿用现有前置</x:v>
      </x:c>
      <x:c r="G124" s="28" t="str">
        <x:v>见255档明细</x:v>
      </x:c>
      <x:c r="H124" s="28" t="n">
        <x:v>0</x:v>
      </x:c>
      <x:c r="I124" s="28" t="n">
        <x:v>0</x:v>
      </x:c>
      <x:c r="J124" s="28" t="str">
        <x:v>第51—80档</x:v>
      </x:c>
      <x:c r="K124" s="28" t="str">
        <x:v>本段新增攻/魔/道各1965，HP 196500；第80档累计主属性3240，HP 324000。</x:v>
      </x:c>
      <x:c r="L124" s="28" t="str">
        <x:v>固定公式继承</x:v>
      </x:c>
      <x:c r="M124" s="28" t="str">
        <x:v>每档100%成功；21→22需31个、22→23需32个已保持</x:v>
      </x:c>
    </x:row>
    <x:row r="125" ht="60" customHeight="1">
      <x:c r="A125" s="28" t="str">
        <x:v>C04-BODY-81-110</x:v>
      </x:c>
      <x:c r="B125" s="28" t="str">
        <x:v>C04</x:v>
      </x:c>
      <x:c r="C125" s="28" t="str">
        <x:v>神印修行／锻体入口</x:v>
      </x:c>
      <x:c r="D125" s="28" t="str">
        <x:v>神印修行</x:v>
      </x:c>
      <x:c r="E125" s="28" t="str">
        <x:v>第81—110档</x:v>
      </x:c>
      <x:c r="F125" s="28" t="str">
        <x:v>沿用现有前置</x:v>
      </x:c>
      <x:c r="G125" s="28" t="str">
        <x:v>见255档明细</x:v>
      </x:c>
      <x:c r="H125" s="28" t="n">
        <x:v>0</x:v>
      </x:c>
      <x:c r="I125" s="28" t="n">
        <x:v>0</x:v>
      </x:c>
      <x:c r="J125" s="28" t="str">
        <x:v>第81—110档</x:v>
      </x:c>
      <x:c r="K125" s="28" t="str">
        <x:v>本段新增攻/魔/道各2865，HP 286500；第110档累计主属性6105，HP 610500。</x:v>
      </x:c>
      <x:c r="L125" s="28" t="str">
        <x:v>固定公式继承</x:v>
      </x:c>
      <x:c r="M125" s="28" t="str">
        <x:v>每档100%成功；21→22需31个、22→23需32个已保持</x:v>
      </x:c>
    </x:row>
    <x:row r="126" ht="60" customHeight="1">
      <x:c r="A126" s="28" t="str">
        <x:v>C05-BODY-111-140</x:v>
      </x:c>
      <x:c r="B126" s="28" t="str">
        <x:v>C05</x:v>
      </x:c>
      <x:c r="C126" s="28" t="str">
        <x:v>神印修行／锻体入口</x:v>
      </x:c>
      <x:c r="D126" s="28" t="str">
        <x:v>神印修行</x:v>
      </x:c>
      <x:c r="E126" s="28" t="str">
        <x:v>第111—140档</x:v>
      </x:c>
      <x:c r="F126" s="28" t="str">
        <x:v>沿用现有前置</x:v>
      </x:c>
      <x:c r="G126" s="28" t="str">
        <x:v>见255档明细</x:v>
      </x:c>
      <x:c r="H126" s="28" t="n">
        <x:v>0</x:v>
      </x:c>
      <x:c r="I126" s="28" t="n">
        <x:v>0</x:v>
      </x:c>
      <x:c r="J126" s="28" t="str">
        <x:v>第111—140档</x:v>
      </x:c>
      <x:c r="K126" s="28" t="str">
        <x:v>本段新增攻/魔/道各3765，HP 376500；第140档累计主属性9870，HP 987000。</x:v>
      </x:c>
      <x:c r="L126" s="28" t="str">
        <x:v>固定公式继承</x:v>
      </x:c>
      <x:c r="M126" s="28" t="str">
        <x:v>每档100%成功；21→22需31个、22→23需32个已保持</x:v>
      </x:c>
    </x:row>
    <x:row r="127" ht="60" customHeight="1">
      <x:c r="A127" s="28" t="str">
        <x:v>C06-BODY-141-170</x:v>
      </x:c>
      <x:c r="B127" s="28" t="str">
        <x:v>C06</x:v>
      </x:c>
      <x:c r="C127" s="28" t="str">
        <x:v>神印修行／锻体入口</x:v>
      </x:c>
      <x:c r="D127" s="28" t="str">
        <x:v>神印修行</x:v>
      </x:c>
      <x:c r="E127" s="28" t="str">
        <x:v>第141—170档</x:v>
      </x:c>
      <x:c r="F127" s="28" t="str">
        <x:v>沿用现有前置</x:v>
      </x:c>
      <x:c r="G127" s="28" t="str">
        <x:v>见255档明细</x:v>
      </x:c>
      <x:c r="H127" s="28" t="n">
        <x:v>0</x:v>
      </x:c>
      <x:c r="I127" s="28" t="n">
        <x:v>0</x:v>
      </x:c>
      <x:c r="J127" s="28" t="str">
        <x:v>第141—170档</x:v>
      </x:c>
      <x:c r="K127" s="28" t="str">
        <x:v>本段新增攻/魔/道各4665，HP 466500；第170档累计主属性14535，HP 1453500。</x:v>
      </x:c>
      <x:c r="L127" s="28" t="str">
        <x:v>固定公式继承</x:v>
      </x:c>
      <x:c r="M127" s="28" t="str">
        <x:v>每档100%成功；21→22需31个、22→23需32个已保持</x:v>
      </x:c>
    </x:row>
    <x:row r="128" ht="60" customHeight="1">
      <x:c r="A128" s="28" t="str">
        <x:v>C07-BODY-171-195</x:v>
      </x:c>
      <x:c r="B128" s="28" t="str">
        <x:v>C07</x:v>
      </x:c>
      <x:c r="C128" s="28" t="str">
        <x:v>神印修行／锻体入口</x:v>
      </x:c>
      <x:c r="D128" s="28" t="str">
        <x:v>神印修行</x:v>
      </x:c>
      <x:c r="E128" s="28" t="str">
        <x:v>第171—195档</x:v>
      </x:c>
      <x:c r="F128" s="28" t="str">
        <x:v>沿用现有前置</x:v>
      </x:c>
      <x:c r="G128" s="28" t="str">
        <x:v>见255档明细</x:v>
      </x:c>
      <x:c r="H128" s="28" t="n">
        <x:v>0</x:v>
      </x:c>
      <x:c r="I128" s="28" t="n">
        <x:v>0</x:v>
      </x:c>
      <x:c r="J128" s="28" t="str">
        <x:v>第171—195档</x:v>
      </x:c>
      <x:c r="K128" s="28" t="str">
        <x:v>本段新增攻/魔/道各4575，HP 457500；第195档累计主属性19110，HP 1911000。</x:v>
      </x:c>
      <x:c r="L128" s="28" t="str">
        <x:v>固定公式继承</x:v>
      </x:c>
      <x:c r="M128" s="28" t="str">
        <x:v>每档100%成功；21→22需31个、22→23需32个已保持</x:v>
      </x:c>
    </x:row>
    <x:row r="129" ht="60" customHeight="1">
      <x:c r="A129" s="28" t="str">
        <x:v>C08-BODY-196-220</x:v>
      </x:c>
      <x:c r="B129" s="28" t="str">
        <x:v>C08</x:v>
      </x:c>
      <x:c r="C129" s="28" t="str">
        <x:v>神印修行／锻体入口</x:v>
      </x:c>
      <x:c r="D129" s="28" t="str">
        <x:v>神印修行</x:v>
      </x:c>
      <x:c r="E129" s="28" t="str">
        <x:v>第196—220档</x:v>
      </x:c>
      <x:c r="F129" s="28" t="str">
        <x:v>沿用现有前置</x:v>
      </x:c>
      <x:c r="G129" s="28" t="str">
        <x:v>见255档明细</x:v>
      </x:c>
      <x:c r="H129" s="28" t="n">
        <x:v>0</x:v>
      </x:c>
      <x:c r="I129" s="28" t="n">
        <x:v>0</x:v>
      </x:c>
      <x:c r="J129" s="28" t="str">
        <x:v>第196—220档</x:v>
      </x:c>
      <x:c r="K129" s="28" t="str">
        <x:v>本段新增攻/魔/道各5200，HP 520000；第220档累计主属性24310，HP 2431000。</x:v>
      </x:c>
      <x:c r="L129" s="28" t="str">
        <x:v>固定公式继承</x:v>
      </x:c>
      <x:c r="M129" s="28" t="str">
        <x:v>每档100%成功；21→22需31个、22→23需32个已保持</x:v>
      </x:c>
    </x:row>
    <x:row r="130" ht="60" customHeight="1">
      <x:c r="A130" s="28" t="str">
        <x:v>C09-BODY-221-240</x:v>
      </x:c>
      <x:c r="B130" s="28" t="str">
        <x:v>C09</x:v>
      </x:c>
      <x:c r="C130" s="28" t="str">
        <x:v>神印修行／锻体入口</x:v>
      </x:c>
      <x:c r="D130" s="28" t="str">
        <x:v>神印修行</x:v>
      </x:c>
      <x:c r="E130" s="28" t="str">
        <x:v>第221—240档</x:v>
      </x:c>
      <x:c r="F130" s="28" t="str">
        <x:v>沿用现有前置</x:v>
      </x:c>
      <x:c r="G130" s="28" t="str">
        <x:v>见255档明细</x:v>
      </x:c>
      <x:c r="H130" s="28" t="n">
        <x:v>0</x:v>
      </x:c>
      <x:c r="I130" s="28" t="n">
        <x:v>0</x:v>
      </x:c>
      <x:c r="J130" s="28" t="str">
        <x:v>第221—240档</x:v>
      </x:c>
      <x:c r="K130" s="28" t="str">
        <x:v>本段新增攻/魔/道各4610，HP 461000；第240档累计主属性28920，HP 2892000。</x:v>
      </x:c>
      <x:c r="L130" s="28" t="str">
        <x:v>固定公式继承</x:v>
      </x:c>
      <x:c r="M130" s="28" t="str">
        <x:v>每档100%成功；21→22需31个、22→23需32个已保持</x:v>
      </x:c>
    </x:row>
    <x:row r="131" ht="60" customHeight="1">
      <x:c r="A131" s="28" t="str">
        <x:v>C10-BODY-241-255</x:v>
      </x:c>
      <x:c r="B131" s="28" t="str">
        <x:v>C10</x:v>
      </x:c>
      <x:c r="C131" s="28" t="str">
        <x:v>神印修行／锻体入口</x:v>
      </x:c>
      <x:c r="D131" s="28" t="str">
        <x:v>神印修行</x:v>
      </x:c>
      <x:c r="E131" s="28" t="str">
        <x:v>第241—255档</x:v>
      </x:c>
      <x:c r="F131" s="28" t="str">
        <x:v>沿用现有前置</x:v>
      </x:c>
      <x:c r="G131" s="28" t="str">
        <x:v>见255档明细</x:v>
      </x:c>
      <x:c r="H131" s="28" t="n">
        <x:v>0</x:v>
      </x:c>
      <x:c r="I131" s="28" t="n">
        <x:v>0</x:v>
      </x:c>
      <x:c r="J131" s="28" t="str">
        <x:v>第241—255档</x:v>
      </x:c>
      <x:c r="K131" s="28" t="str">
        <x:v>本段新增攻/魔/道各3720，HP 372000；第255档累计主属性32640，HP 3264000。</x:v>
      </x:c>
      <x:c r="L131" s="28" t="str">
        <x:v>固定公式继承</x:v>
      </x:c>
      <x:c r="M131" s="28" t="str">
        <x:v>每档100%成功；21→22需31个、22→23需32个已保持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87d2d5fc5a644ea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21" hidden="0" customWidth="1"/>
    <x:col min="10" max="10" width="17" hidden="0" customWidth="1"/>
    <x:col min="11" max="11" width="20" hidden="0" customWidth="1"/>
    <x:col min="12" max="12" width="20" hidden="0" customWidth="1"/>
    <x:col min="13" max="13" width="18" hidden="0" customWidth="1"/>
    <x:col min="14" max="14" width="14" hidden="0" customWidth="1"/>
    <x:col min="15" max="15" width="42" hidden="0" customWidth="1"/>
  </x:cols>
  <x:sheetData>
    <x:row r="1" ht="30" customHeight="1">
      <x:c r="A1" s="5" t="str">
        <x:v>563件专属单件图鉴｜一次性永久奖励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46" customHeight="1">
      <x:c r="A2" s="13" t="str">
        <x:v>每次登记消耗该精确名称实物1件，不收货币；奖励仅此一行一次。单件不发处决与韧性；各层级总收益仍须进入标准角色，不要求通关前集满。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 ht="34" customHeight="1">
      <x:c r="A4" s="21" t="str">
        <x:v>大陆ID</x:v>
      </x:c>
      <x:c r="B4" s="21" t="str">
        <x:v>地图组</x:v>
      </x:c>
      <x:c r="C4" s="21" t="str">
        <x:v>装备全名</x:v>
      </x:c>
      <x:c r="D4" s="21" t="str">
        <x:v>来源类型</x:v>
      </x:c>
      <x:c r="E4" s="21" t="str">
        <x:v>消耗件数</x:v>
      </x:c>
      <x:c r="F4" s="21" t="str">
        <x:v>金币</x:v>
      </x:c>
      <x:c r="G4" s="21" t="str">
        <x:v>元宝</x:v>
      </x:c>
      <x:c r="H4" s="21" t="str">
        <x:v>灵符</x:v>
      </x:c>
      <x:c r="I4" s="21" t="str">
        <x:v>攻击/魔法/道术各</x:v>
      </x:c>
      <x:c r="J4" s="21" t="str">
        <x:v>HP</x:v>
      </x:c>
      <x:c r="K4" s="21" t="str">
        <x:v>基础爆率(百分点)</x:v>
      </x:c>
      <x:c r="L4" s="21" t="str">
        <x:v>打怪伤害(百分点)</x:v>
      </x:c>
      <x:c r="M4" s="21" t="str">
        <x:v>处决(百分点)</x:v>
      </x:c>
      <x:c r="N4" s="21" t="str">
        <x:v>韧性</x:v>
      </x:c>
      <x:c r="O4" s="21" t="str">
        <x:v>登记规则</x:v>
      </x:c>
    </x:row>
    <x:row r="5" ht="30" customHeight="1">
      <x:c r="A5" s="28" t="str">
        <x:v>C01</x:v>
      </x:c>
      <x:c r="B5" s="28" t="str">
        <x:v>失乡者海岸</x:v>
      </x:c>
      <x:c r="C5" s="28" t="str">
        <x:v>盐蚀弯刃</x:v>
      </x:c>
      <x:c r="D5" s="28" t="str">
        <x:v>普通</x:v>
      </x:c>
      <x:c r="E5" s="28" t="n">
        <x:v>1</x:v>
      </x:c>
      <x:c r="F5" s="28" t="n">
        <x:v>0</x:v>
      </x:c>
      <x:c r="G5" s="28" t="n">
        <x:v>0</x:v>
      </x:c>
      <x:c r="H5" s="28" t="n">
        <x:v>0</x:v>
      </x:c>
      <x:c r="I5" s="28" t="n">
        <x:v>1</x:v>
      </x:c>
      <x:c r="J5" s="28" t="n">
        <x:v>100</x:v>
      </x:c>
      <x:c r="K5" s="28" t="n">
        <x:v>0</x:v>
      </x:c>
      <x:c r="L5" s="28" t="n">
        <x:v>0</x:v>
      </x:c>
      <x:c r="M5" s="28" t="n">
        <x:v>0</x:v>
      </x:c>
      <x:c r="N5" s="28" t="n">
        <x:v>0</x:v>
      </x:c>
      <x:c r="O5" s="28" t="str">
        <x:v>登记消耗1件；永久一次；不收金币/元宝/灵符</x:v>
      </x:c>
    </x:row>
    <x:row r="6" ht="30" customHeight="1">
      <x:c r="A6" s="28" t="str">
        <x:v>C01</x:v>
      </x:c>
      <x:c r="B6" s="28" t="str">
        <x:v>失乡者海岸</x:v>
      </x:c>
      <x:c r="C6" s="28" t="str">
        <x:v>断桨骨链</x:v>
      </x:c>
      <x:c r="D6" s="28" t="str">
        <x:v>普通</x:v>
      </x:c>
      <x:c r="E6" s="28" t="n">
        <x:v>1</x:v>
      </x:c>
      <x:c r="F6" s="28" t="n">
        <x:v>0</x:v>
      </x:c>
      <x:c r="G6" s="28" t="n">
        <x:v>0</x:v>
      </x:c>
      <x:c r="H6" s="28" t="n">
        <x:v>0</x:v>
      </x:c>
      <x:c r="I6" s="28" t="n">
        <x:v>1</x:v>
      </x:c>
      <x:c r="J6" s="28" t="n">
        <x:v>100</x:v>
      </x:c>
      <x:c r="K6" s="28" t="n">
        <x:v>0</x:v>
      </x:c>
      <x:c r="L6" s="28" t="n">
        <x:v>0</x:v>
      </x:c>
      <x:c r="M6" s="28" t="n">
        <x:v>0</x:v>
      </x:c>
      <x:c r="N6" s="28" t="n">
        <x:v>0</x:v>
      </x:c>
      <x:c r="O6" s="28" t="str">
        <x:v>登记消耗1件；永久一次；不收金币/元宝/灵符</x:v>
      </x:c>
    </x:row>
    <x:row r="7" ht="30" customHeight="1">
      <x:c r="A7" s="28" t="str">
        <x:v>C01</x:v>
      </x:c>
      <x:c r="B7" s="28" t="str">
        <x:v>失乡者海岸</x:v>
      </x:c>
      <x:c r="C7" s="28" t="str">
        <x:v>漂流尸甲</x:v>
      </x:c>
      <x:c r="D7" s="28" t="str">
        <x:v>普通</x:v>
      </x:c>
      <x:c r="E7" s="28" t="n">
        <x:v>1</x:v>
      </x:c>
      <x:c r="F7" s="28" t="n">
        <x:v>0</x:v>
      </x:c>
      <x:c r="G7" s="28" t="n">
        <x:v>0</x:v>
      </x:c>
      <x:c r="H7" s="28" t="n">
        <x:v>0</x:v>
      </x:c>
      <x:c r="I7" s="28" t="n">
        <x:v>1</x:v>
      </x:c>
      <x:c r="J7" s="28" t="n">
        <x:v>100</x:v>
      </x:c>
      <x:c r="K7" s="28" t="n">
        <x:v>0</x:v>
      </x:c>
      <x:c r="L7" s="28" t="n">
        <x:v>0</x:v>
      </x:c>
      <x:c r="M7" s="28" t="n">
        <x:v>0</x:v>
      </x:c>
      <x:c r="N7" s="28" t="n">
        <x:v>0</x:v>
      </x:c>
      <x:c r="O7" s="28" t="str">
        <x:v>登记消耗1件；永久一次；不收金币/元宝/灵符</x:v>
      </x:c>
    </x:row>
    <x:row r="8" ht="30" customHeight="1">
      <x:c r="A8" s="28" t="str">
        <x:v>C01</x:v>
      </x:c>
      <x:c r="B8" s="28" t="str">
        <x:v>失乡者海岸</x:v>
      </x:c>
      <x:c r="C8" s="28" t="str">
        <x:v>猎犬骨戒</x:v>
      </x:c>
      <x:c r="D8" s="28" t="str">
        <x:v>普通</x:v>
      </x:c>
      <x:c r="E8" s="28" t="n">
        <x:v>1</x:v>
      </x:c>
      <x:c r="F8" s="28" t="n">
        <x:v>0</x:v>
      </x:c>
      <x:c r="G8" s="28" t="n">
        <x:v>0</x:v>
      </x:c>
      <x:c r="H8" s="28" t="n">
        <x:v>0</x:v>
      </x:c>
      <x:c r="I8" s="28" t="n">
        <x:v>1</x:v>
      </x:c>
      <x:c r="J8" s="28" t="n">
        <x:v>100</x:v>
      </x:c>
      <x:c r="K8" s="28" t="n">
        <x:v>0</x:v>
      </x:c>
      <x:c r="L8" s="28" t="n">
        <x:v>0</x:v>
      </x:c>
      <x:c r="M8" s="28" t="n">
        <x:v>0</x:v>
      </x:c>
      <x:c r="N8" s="28" t="n">
        <x:v>0</x:v>
      </x:c>
      <x:c r="O8" s="28" t="str">
        <x:v>登记消耗1件；永久一次；不收金币/元宝/灵符</x:v>
      </x:c>
    </x:row>
    <x:row r="9" ht="30" customHeight="1">
      <x:c r="A9" s="28" t="str">
        <x:v>C01</x:v>
      </x:c>
      <x:c r="B9" s="28" t="str">
        <x:v>失乡者海岸</x:v>
      </x:c>
      <x:c r="C9" s="28" t="str">
        <x:v>腐潮钳镯</x:v>
      </x:c>
      <x:c r="D9" s="28" t="str">
        <x:v>普通</x:v>
      </x:c>
      <x:c r="E9" s="28" t="n">
        <x:v>1</x:v>
      </x:c>
      <x:c r="F9" s="28" t="n">
        <x:v>0</x:v>
      </x:c>
      <x:c r="G9" s="28" t="n">
        <x:v>0</x:v>
      </x:c>
      <x:c r="H9" s="28" t="n">
        <x:v>0</x:v>
      </x:c>
      <x:c r="I9" s="28" t="n">
        <x:v>1</x:v>
      </x:c>
      <x:c r="J9" s="28" t="n">
        <x:v>100</x:v>
      </x:c>
      <x:c r="K9" s="28" t="n">
        <x:v>0</x:v>
      </x:c>
      <x:c r="L9" s="28" t="n">
        <x:v>0</x:v>
      </x:c>
      <x:c r="M9" s="28" t="n">
        <x:v>0</x:v>
      </x:c>
      <x:c r="N9" s="28" t="n">
        <x:v>0</x:v>
      </x:c>
      <x:c r="O9" s="28" t="str">
        <x:v>登记消耗1件；永久一次；不收金币/元宝/灵符</x:v>
      </x:c>
    </x:row>
    <x:row r="10" ht="30" customHeight="1">
      <x:c r="A10" s="28" t="str">
        <x:v>C01</x:v>
      </x:c>
      <x:c r="B10" s="28" t="str">
        <x:v>失乡者海岸</x:v>
      </x:c>
      <x:c r="C10" s="28" t="str">
        <x:v>行刑锚刃</x:v>
      </x:c>
      <x:c r="D10" s="28" t="str">
        <x:v>稀有</x:v>
      </x:c>
      <x:c r="E10" s="28" t="n">
        <x:v>1</x:v>
      </x:c>
      <x:c r="F10" s="28" t="n">
        <x:v>0</x:v>
      </x:c>
      <x:c r="G10" s="28" t="n">
        <x:v>0</x:v>
      </x:c>
      <x:c r="H10" s="28" t="n">
        <x:v>0</x:v>
      </x:c>
      <x:c r="I10" s="28" t="n">
        <x:v>2</x:v>
      </x:c>
      <x:c r="J10" s="28" t="n">
        <x:v>200</x:v>
      </x:c>
      <x:c r="K10" s="28" t="n">
        <x:v>5</x:v>
      </x:c>
      <x:c r="L10" s="28" t="n">
        <x:v>0</x:v>
      </x:c>
      <x:c r="M10" s="28" t="n">
        <x:v>0</x:v>
      </x:c>
      <x:c r="N10" s="28" t="n">
        <x:v>0</x:v>
      </x:c>
      <x:c r="O10" s="28" t="str">
        <x:v>登记消耗1件；永久一次；不收金币/元宝/灵符</x:v>
      </x:c>
    </x:row>
    <x:row r="11" ht="30" customHeight="1">
      <x:c r="A11" s="28" t="str">
        <x:v>C01</x:v>
      </x:c>
      <x:c r="B11" s="28" t="str">
        <x:v>失乡者海岸</x:v>
      </x:c>
      <x:c r="C11" s="28" t="str">
        <x:v>唤潮旧勋</x:v>
      </x:c>
      <x:c r="D11" s="28" t="str">
        <x:v>稀有</x:v>
      </x:c>
      <x:c r="E11" s="28" t="n">
        <x:v>1</x:v>
      </x:c>
      <x:c r="F11" s="28" t="n">
        <x:v>0</x:v>
      </x:c>
      <x:c r="G11" s="28" t="n">
        <x:v>0</x:v>
      </x:c>
      <x:c r="H11" s="28" t="n">
        <x:v>0</x:v>
      </x:c>
      <x:c r="I11" s="28" t="n">
        <x:v>2</x:v>
      </x:c>
      <x:c r="J11" s="28" t="n">
        <x:v>200</x:v>
      </x:c>
      <x:c r="K11" s="28" t="n">
        <x:v>5</x:v>
      </x:c>
      <x:c r="L11" s="28" t="n">
        <x:v>0</x:v>
      </x:c>
      <x:c r="M11" s="28" t="n">
        <x:v>0</x:v>
      </x:c>
      <x:c r="N11" s="28" t="n">
        <x:v>0</x:v>
      </x:c>
      <x:c r="O11" s="28" t="str">
        <x:v>登记消耗1件；永久一次；不收金币/元宝/灵符</x:v>
      </x:c>
    </x:row>
    <x:row r="12" ht="30" customHeight="1">
      <x:c r="A12" s="28" t="str">
        <x:v>C01</x:v>
      </x:c>
      <x:c r="B12" s="28" t="str">
        <x:v>失乡者海岸</x:v>
      </x:c>
      <x:c r="C12" s="28" t="str">
        <x:v>沉金铁盔</x:v>
      </x:c>
      <x:c r="D12" s="28" t="str">
        <x:v>稀有</x:v>
      </x:c>
      <x:c r="E12" s="28" t="n">
        <x:v>1</x:v>
      </x:c>
      <x:c r="F12" s="28" t="n">
        <x:v>0</x:v>
      </x:c>
      <x:c r="G12" s="28" t="n">
        <x:v>0</x:v>
      </x:c>
      <x:c r="H12" s="28" t="n">
        <x:v>0</x:v>
      </x:c>
      <x:c r="I12" s="28" t="n">
        <x:v>2</x:v>
      </x:c>
      <x:c r="J12" s="28" t="n">
        <x:v>200</x:v>
      </x:c>
      <x:c r="K12" s="28" t="n">
        <x:v>5</x:v>
      </x:c>
      <x:c r="L12" s="28" t="n">
        <x:v>0</x:v>
      </x:c>
      <x:c r="M12" s="28" t="n">
        <x:v>0</x:v>
      </x:c>
      <x:c r="N12" s="28" t="n">
        <x:v>0</x:v>
      </x:c>
      <x:c r="O12" s="28" t="str">
        <x:v>登记消耗1件；永久一次；不收金币/元宝/灵符</x:v>
      </x:c>
    </x:row>
    <x:row r="13" ht="30" customHeight="1">
      <x:c r="A13" s="28" t="str">
        <x:v>C01</x:v>
      </x:c>
      <x:c r="B13" s="28" t="str">
        <x:v>失乡者海岸</x:v>
      </x:c>
      <x:c r="C13" s="28" t="str">
        <x:v>海雾塔盾</x:v>
      </x:c>
      <x:c r="D13" s="28" t="str">
        <x:v>稀有</x:v>
      </x:c>
      <x:c r="E13" s="28" t="n">
        <x:v>1</x:v>
      </x:c>
      <x:c r="F13" s="28" t="n">
        <x:v>0</x:v>
      </x:c>
      <x:c r="G13" s="28" t="n">
        <x:v>0</x:v>
      </x:c>
      <x:c r="H13" s="28" t="n">
        <x:v>0</x:v>
      </x:c>
      <x:c r="I13" s="28" t="n">
        <x:v>2</x:v>
      </x:c>
      <x:c r="J13" s="28" t="n">
        <x:v>200</x:v>
      </x:c>
      <x:c r="K13" s="28" t="n">
        <x:v>5</x:v>
      </x:c>
      <x:c r="L13" s="28" t="n">
        <x:v>0</x:v>
      </x:c>
      <x:c r="M13" s="28" t="n">
        <x:v>0</x:v>
      </x:c>
      <x:c r="N13" s="28" t="n">
        <x:v>0</x:v>
      </x:c>
      <x:c r="O13" s="28" t="str">
        <x:v>登记消耗1件；永久一次；不收金币/元宝/灵符</x:v>
      </x:c>
    </x:row>
    <x:row r="14" ht="30" customHeight="1">
      <x:c r="A14" s="28" t="str">
        <x:v>C01</x:v>
      </x:c>
      <x:c r="B14" s="28" t="str">
        <x:v>失乡者海岸</x:v>
      </x:c>
      <x:c r="C14" s="28" t="str">
        <x:v>断桅血刃</x:v>
      </x:c>
      <x:c r="D14" s="28" t="str">
        <x:v>BOSS</x:v>
      </x:c>
      <x:c r="E14" s="28" t="n">
        <x:v>1</x:v>
      </x:c>
      <x:c r="F14" s="28" t="n">
        <x:v>0</x:v>
      </x:c>
      <x:c r="G14" s="28" t="n">
        <x:v>0</x:v>
      </x:c>
      <x:c r="H14" s="28" t="n">
        <x:v>0</x:v>
      </x:c>
      <x:c r="I14" s="28" t="n">
        <x:v>3</x:v>
      </x:c>
      <x:c r="J14" s="28" t="n">
        <x:v>300</x:v>
      </x:c>
      <x:c r="K14" s="28" t="n">
        <x:v>0</x:v>
      </x:c>
      <x:c r="L14" s="28" t="n">
        <x:v>1</x:v>
      </x:c>
      <x:c r="M14" s="28" t="n">
        <x:v>0</x:v>
      </x:c>
      <x:c r="N14" s="28" t="n">
        <x:v>0</x:v>
      </x:c>
      <x:c r="O14" s="28" t="str">
        <x:v>登记消耗1件；永久一次；不收金币/元宝/灵符</x:v>
      </x:c>
    </x:row>
    <x:row r="15" ht="30" customHeight="1">
      <x:c r="A15" s="28" t="str">
        <x:v>C01</x:v>
      </x:c>
      <x:c r="B15" s="28" t="str">
        <x:v>失乡者海岸</x:v>
      </x:c>
      <x:c r="C15" s="28" t="str">
        <x:v>吞岸重甲</x:v>
      </x:c>
      <x:c r="D15" s="28" t="str">
        <x:v>BOSS</x:v>
      </x:c>
      <x:c r="E15" s="28" t="n">
        <x:v>1</x:v>
      </x:c>
      <x:c r="F15" s="28" t="n">
        <x:v>0</x:v>
      </x:c>
      <x:c r="G15" s="28" t="n">
        <x:v>0</x:v>
      </x:c>
      <x:c r="H15" s="28" t="n">
        <x:v>0</x:v>
      </x:c>
      <x:c r="I15" s="28" t="n">
        <x:v>3</x:v>
      </x:c>
      <x:c r="J15" s="28" t="n">
        <x:v>300</x:v>
      </x:c>
      <x:c r="K15" s="28" t="n">
        <x:v>0</x:v>
      </x:c>
      <x:c r="L15" s="28" t="n">
        <x:v>1</x:v>
      </x:c>
      <x:c r="M15" s="28" t="n">
        <x:v>0</x:v>
      </x:c>
      <x:c r="N15" s="28" t="n">
        <x:v>0</x:v>
      </x:c>
      <x:c r="O15" s="28" t="str">
        <x:v>登记消耗1件；永久一次；不收金币/元宝/灵符</x:v>
      </x:c>
    </x:row>
    <x:row r="16" ht="30" customHeight="1">
      <x:c r="A16" s="28" t="str">
        <x:v>C01</x:v>
      </x:c>
      <x:c r="B16" s="28" t="str">
        <x:v>风暴断崖</x:v>
      </x:c>
      <x:c r="C16" s="28" t="str">
        <x:v>风蚀盔</x:v>
      </x:c>
      <x:c r="D16" s="28" t="str">
        <x:v>普通</x:v>
      </x:c>
      <x:c r="E16" s="28" t="n">
        <x:v>1</x:v>
      </x:c>
      <x:c r="F16" s="28" t="n">
        <x:v>0</x:v>
      </x:c>
      <x:c r="G16" s="28" t="n">
        <x:v>0</x:v>
      </x:c>
      <x:c r="H16" s="28" t="n">
        <x:v>0</x:v>
      </x:c>
      <x:c r="I16" s="28" t="n">
        <x:v>1</x:v>
      </x:c>
      <x:c r="J16" s="28" t="n">
        <x:v>100</x:v>
      </x:c>
      <x:c r="K16" s="28" t="n">
        <x:v>0</x:v>
      </x:c>
      <x:c r="L16" s="28" t="n">
        <x:v>0</x:v>
      </x:c>
      <x:c r="M16" s="28" t="n">
        <x:v>0</x:v>
      </x:c>
      <x:c r="N16" s="28" t="n">
        <x:v>0</x:v>
      </x:c>
      <x:c r="O16" s="28" t="str">
        <x:v>登记消耗1件；永久一次；不收金币/元宝/灵符</x:v>
      </x:c>
    </x:row>
    <x:row r="17" ht="30" customHeight="1">
      <x:c r="A17" s="28" t="str">
        <x:v>C01</x:v>
      </x:c>
      <x:c r="B17" s="28" t="str">
        <x:v>风暴断崖</x:v>
      </x:c>
      <x:c r="C17" s="28" t="str">
        <x:v>鹰眼链</x:v>
      </x:c>
      <x:c r="D17" s="28" t="str">
        <x:v>普通</x:v>
      </x:c>
      <x:c r="E17" s="28" t="n">
        <x:v>1</x:v>
      </x:c>
      <x:c r="F17" s="28" t="n">
        <x:v>0</x:v>
      </x:c>
      <x:c r="G17" s="28" t="n">
        <x:v>0</x:v>
      </x:c>
      <x:c r="H17" s="28" t="n">
        <x:v>0</x:v>
      </x:c>
      <x:c r="I17" s="28" t="n">
        <x:v>1</x:v>
      </x:c>
      <x:c r="J17" s="28" t="n">
        <x:v>100</x:v>
      </x:c>
      <x:c r="K17" s="28" t="n">
        <x:v>0</x:v>
      </x:c>
      <x:c r="L17" s="28" t="n">
        <x:v>0</x:v>
      </x:c>
      <x:c r="M17" s="28" t="n">
        <x:v>0</x:v>
      </x:c>
      <x:c r="N17" s="28" t="n">
        <x:v>0</x:v>
      </x:c>
      <x:c r="O17" s="28" t="str">
        <x:v>登记消耗1件；永久一次；不收金币/元宝/灵符</x:v>
      </x:c>
    </x:row>
    <x:row r="18" ht="30" customHeight="1">
      <x:c r="A18" s="28" t="str">
        <x:v>C01</x:v>
      </x:c>
      <x:c r="B18" s="28" t="str">
        <x:v>风暴断崖</x:v>
      </x:c>
      <x:c r="C18" s="28" t="str">
        <x:v>雷羽护腕</x:v>
      </x:c>
      <x:c r="D18" s="28" t="str">
        <x:v>普通</x:v>
      </x:c>
      <x:c r="E18" s="28" t="n">
        <x:v>1</x:v>
      </x:c>
      <x:c r="F18" s="28" t="n">
        <x:v>0</x:v>
      </x:c>
      <x:c r="G18" s="28" t="n">
        <x:v>0</x:v>
      </x:c>
      <x:c r="H18" s="28" t="n">
        <x:v>0</x:v>
      </x:c>
      <x:c r="I18" s="28" t="n">
        <x:v>1</x:v>
      </x:c>
      <x:c r="J18" s="28" t="n">
        <x:v>100</x:v>
      </x:c>
      <x:c r="K18" s="28" t="n">
        <x:v>0</x:v>
      </x:c>
      <x:c r="L18" s="28" t="n">
        <x:v>0</x:v>
      </x:c>
      <x:c r="M18" s="28" t="n">
        <x:v>0</x:v>
      </x:c>
      <x:c r="N18" s="28" t="n">
        <x:v>0</x:v>
      </x:c>
      <x:c r="O18" s="28" t="str">
        <x:v>登记消耗1件；永久一次；不收金币/元宝/灵符</x:v>
      </x:c>
    </x:row>
    <x:row r="19" ht="30" customHeight="1">
      <x:c r="A19" s="28" t="str">
        <x:v>C01</x:v>
      </x:c>
      <x:c r="B19" s="28" t="str">
        <x:v>风暴断崖</x:v>
      </x:c>
      <x:c r="C19" s="28" t="str">
        <x:v>狂风骨戒</x:v>
      </x:c>
      <x:c r="D19" s="28" t="str">
        <x:v>普通</x:v>
      </x:c>
      <x:c r="E19" s="28" t="n">
        <x:v>1</x:v>
      </x:c>
      <x:c r="F19" s="28" t="n">
        <x:v>0</x:v>
      </x:c>
      <x:c r="G19" s="28" t="n">
        <x:v>0</x:v>
      </x:c>
      <x:c r="H19" s="28" t="n">
        <x:v>0</x:v>
      </x:c>
      <x:c r="I19" s="28" t="n">
        <x:v>1</x:v>
      </x:c>
      <x:c r="J19" s="28" t="n">
        <x:v>100</x:v>
      </x:c>
      <x:c r="K19" s="28" t="n">
        <x:v>0</x:v>
      </x:c>
      <x:c r="L19" s="28" t="n">
        <x:v>0</x:v>
      </x:c>
      <x:c r="M19" s="28" t="n">
        <x:v>0</x:v>
      </x:c>
      <x:c r="N19" s="28" t="n">
        <x:v>0</x:v>
      </x:c>
      <x:c r="O19" s="28" t="str">
        <x:v>登记消耗1件；永久一次；不收金币/元宝/灵符</x:v>
      </x:c>
    </x:row>
    <x:row r="20" ht="30" customHeight="1">
      <x:c r="A20" s="28" t="str">
        <x:v>C01</x:v>
      </x:c>
      <x:c r="B20" s="28" t="str">
        <x:v>风暴断崖</x:v>
      </x:c>
      <x:c r="C20" s="28" t="str">
        <x:v>断崖束带</x:v>
      </x:c>
      <x:c r="D20" s="28" t="str">
        <x:v>普通</x:v>
      </x:c>
      <x:c r="E20" s="28" t="n">
        <x:v>1</x:v>
      </x:c>
      <x:c r="F20" s="28" t="n">
        <x:v>0</x:v>
      </x:c>
      <x:c r="G20" s="28" t="n">
        <x:v>0</x:v>
      </x:c>
      <x:c r="H20" s="28" t="n">
        <x:v>0</x:v>
      </x:c>
      <x:c r="I20" s="28" t="n">
        <x:v>1</x:v>
      </x:c>
      <x:c r="J20" s="28" t="n">
        <x:v>100</x:v>
      </x:c>
      <x:c r="K20" s="28" t="n">
        <x:v>0</x:v>
      </x:c>
      <x:c r="L20" s="28" t="n">
        <x:v>0</x:v>
      </x:c>
      <x:c r="M20" s="28" t="n">
        <x:v>0</x:v>
      </x:c>
      <x:c r="N20" s="28" t="n">
        <x:v>0</x:v>
      </x:c>
      <x:c r="O20" s="28" t="str">
        <x:v>登记消耗1件；永久一次；不收金币/元宝/灵符</x:v>
      </x:c>
    </x:row>
    <x:row r="21" ht="30" customHeight="1">
      <x:c r="A21" s="28" t="str">
        <x:v>C01</x:v>
      </x:c>
      <x:c r="B21" s="28" t="str">
        <x:v>风暴断崖</x:v>
      </x:c>
      <x:c r="C21" s="28" t="str">
        <x:v>石蜥面巾</x:v>
      </x:c>
      <x:c r="D21" s="28" t="str">
        <x:v>普通</x:v>
      </x:c>
      <x:c r="E21" s="28" t="n">
        <x:v>1</x:v>
      </x:c>
      <x:c r="F21" s="28" t="n">
        <x:v>0</x:v>
      </x:c>
      <x:c r="G21" s="28" t="n">
        <x:v>0</x:v>
      </x:c>
      <x:c r="H21" s="28" t="n">
        <x:v>0</x:v>
      </x:c>
      <x:c r="I21" s="28" t="n">
        <x:v>1</x:v>
      </x:c>
      <x:c r="J21" s="28" t="n">
        <x:v>100</x:v>
      </x:c>
      <x:c r="K21" s="28" t="n">
        <x:v>0</x:v>
      </x:c>
      <x:c r="L21" s="28" t="n">
        <x:v>0</x:v>
      </x:c>
      <x:c r="M21" s="28" t="n">
        <x:v>0</x:v>
      </x:c>
      <x:c r="N21" s="28" t="n">
        <x:v>0</x:v>
      </x:c>
      <x:c r="O21" s="28" t="str">
        <x:v>登记消耗1件；永久一次；不收金币/元宝/灵符</x:v>
      </x:c>
    </x:row>
    <x:row r="22" ht="30" customHeight="1">
      <x:c r="A22" s="28" t="str">
        <x:v>C01</x:v>
      </x:c>
      <x:c r="B22" s="28" t="str">
        <x:v>风暴断崖</x:v>
      </x:c>
      <x:c r="C22" s="28" t="str">
        <x:v>逐雷战靴</x:v>
      </x:c>
      <x:c r="D22" s="28" t="str">
        <x:v>稀有</x:v>
      </x:c>
      <x:c r="E22" s="28" t="n">
        <x:v>1</x:v>
      </x:c>
      <x:c r="F22" s="28" t="n">
        <x:v>0</x:v>
      </x:c>
      <x:c r="G22" s="28" t="n">
        <x:v>0</x:v>
      </x:c>
      <x:c r="H22" s="28" t="n">
        <x:v>0</x:v>
      </x:c>
      <x:c r="I22" s="28" t="n">
        <x:v>2</x:v>
      </x:c>
      <x:c r="J22" s="28" t="n">
        <x:v>200</x:v>
      </x:c>
      <x:c r="K22" s="28" t="n">
        <x:v>5</x:v>
      </x:c>
      <x:c r="L22" s="28" t="n">
        <x:v>0</x:v>
      </x:c>
      <x:c r="M22" s="28" t="n">
        <x:v>0</x:v>
      </x:c>
      <x:c r="N22" s="28" t="n">
        <x:v>0</x:v>
      </x:c>
      <x:c r="O22" s="28" t="str">
        <x:v>登记消耗1件；永久一次；不收金币/元宝/灵符</x:v>
      </x:c>
    </x:row>
    <x:row r="23" ht="30" customHeight="1">
      <x:c r="A23" s="28" t="str">
        <x:v>C01</x:v>
      </x:c>
      <x:c r="B23" s="28" t="str">
        <x:v>风暴断崖</x:v>
      </x:c>
      <x:c r="C23" s="28" t="str">
        <x:v>风暴勋章</x:v>
      </x:c>
      <x:c r="D23" s="28" t="str">
        <x:v>稀有</x:v>
      </x:c>
      <x:c r="E23" s="28" t="n">
        <x:v>1</x:v>
      </x:c>
      <x:c r="F23" s="28" t="n">
        <x:v>0</x:v>
      </x:c>
      <x:c r="G23" s="28" t="n">
        <x:v>0</x:v>
      </x:c>
      <x:c r="H23" s="28" t="n">
        <x:v>0</x:v>
      </x:c>
      <x:c r="I23" s="28" t="n">
        <x:v>2</x:v>
      </x:c>
      <x:c r="J23" s="28" t="n">
        <x:v>200</x:v>
      </x:c>
      <x:c r="K23" s="28" t="n">
        <x:v>5</x:v>
      </x:c>
      <x:c r="L23" s="28" t="n">
        <x:v>0</x:v>
      </x:c>
      <x:c r="M23" s="28" t="n">
        <x:v>0</x:v>
      </x:c>
      <x:c r="N23" s="28" t="n">
        <x:v>0</x:v>
      </x:c>
      <x:c r="O23" s="28" t="str">
        <x:v>登记消耗1件；永久一次；不收金币/元宝/灵符</x:v>
      </x:c>
    </x:row>
    <x:row r="24" ht="30" customHeight="1">
      <x:c r="A24" s="28" t="str">
        <x:v>C01</x:v>
      </x:c>
      <x:c r="B24" s="28" t="str">
        <x:v>风暴断崖</x:v>
      </x:c>
      <x:c r="C24" s="28" t="str">
        <x:v>裂岩巨盾</x:v>
      </x:c>
      <x:c r="D24" s="28" t="str">
        <x:v>稀有</x:v>
      </x:c>
      <x:c r="E24" s="28" t="n">
        <x:v>1</x:v>
      </x:c>
      <x:c r="F24" s="28" t="n">
        <x:v>0</x:v>
      </x:c>
      <x:c r="G24" s="28" t="n">
        <x:v>0</x:v>
      </x:c>
      <x:c r="H24" s="28" t="n">
        <x:v>0</x:v>
      </x:c>
      <x:c r="I24" s="28" t="n">
        <x:v>2</x:v>
      </x:c>
      <x:c r="J24" s="28" t="n">
        <x:v>200</x:v>
      </x:c>
      <x:c r="K24" s="28" t="n">
        <x:v>5</x:v>
      </x:c>
      <x:c r="L24" s="28" t="n">
        <x:v>0</x:v>
      </x:c>
      <x:c r="M24" s="28" t="n">
        <x:v>0</x:v>
      </x:c>
      <x:c r="N24" s="28" t="n">
        <x:v>0</x:v>
      </x:c>
      <x:c r="O24" s="28" t="str">
        <x:v>登记消耗1件；永久一次；不收金币/元宝/灵符</x:v>
      </x:c>
    </x:row>
    <x:row r="25" ht="30" customHeight="1">
      <x:c r="A25" s="28" t="str">
        <x:v>C01</x:v>
      </x:c>
      <x:c r="B25" s="28" t="str">
        <x:v>风暴断崖</x:v>
      </x:c>
      <x:c r="C25" s="28" t="str">
        <x:v>黑翼灵玉</x:v>
      </x:c>
      <x:c r="D25" s="28" t="str">
        <x:v>稀有</x:v>
      </x:c>
      <x:c r="E25" s="28" t="n">
        <x:v>1</x:v>
      </x:c>
      <x:c r="F25" s="28" t="n">
        <x:v>0</x:v>
      </x:c>
      <x:c r="G25" s="28" t="n">
        <x:v>0</x:v>
      </x:c>
      <x:c r="H25" s="28" t="n">
        <x:v>0</x:v>
      </x:c>
      <x:c r="I25" s="28" t="n">
        <x:v>2</x:v>
      </x:c>
      <x:c r="J25" s="28" t="n">
        <x:v>200</x:v>
      </x:c>
      <x:c r="K25" s="28" t="n">
        <x:v>5</x:v>
      </x:c>
      <x:c r="L25" s="28" t="n">
        <x:v>0</x:v>
      </x:c>
      <x:c r="M25" s="28" t="n">
        <x:v>0</x:v>
      </x:c>
      <x:c r="N25" s="28" t="n">
        <x:v>0</x:v>
      </x:c>
      <x:c r="O25" s="28" t="str">
        <x:v>登记消耗1件；永久一次；不收金币/元宝/灵符</x:v>
      </x:c>
    </x:row>
    <x:row r="26" ht="30" customHeight="1">
      <x:c r="A26" s="28" t="str">
        <x:v>C01</x:v>
      </x:c>
      <x:c r="B26" s="28" t="str">
        <x:v>风暴断崖</x:v>
      </x:c>
      <x:c r="C26" s="28" t="str">
        <x:v>执刑雷刃</x:v>
      </x:c>
      <x:c r="D26" s="28" t="str">
        <x:v>BOSS</x:v>
      </x:c>
      <x:c r="E26" s="28" t="n">
        <x:v>1</x:v>
      </x:c>
      <x:c r="F26" s="28" t="n">
        <x:v>0</x:v>
      </x:c>
      <x:c r="G26" s="28" t="n">
        <x:v>0</x:v>
      </x:c>
      <x:c r="H26" s="28" t="n">
        <x:v>0</x:v>
      </x:c>
      <x:c r="I26" s="28" t="n">
        <x:v>3</x:v>
      </x:c>
      <x:c r="J26" s="28" t="n">
        <x:v>300</x:v>
      </x:c>
      <x:c r="K26" s="28" t="n">
        <x:v>0</x:v>
      </x:c>
      <x:c r="L26" s="28" t="n">
        <x:v>1</x:v>
      </x:c>
      <x:c r="M26" s="28" t="n">
        <x:v>0</x:v>
      </x:c>
      <x:c r="N26" s="28" t="n">
        <x:v>0</x:v>
      </x:c>
      <x:c r="O26" s="28" t="str">
        <x:v>登记消耗1件；永久一次；不收金币/元宝/灵符</x:v>
      </x:c>
    </x:row>
    <x:row r="27" ht="30" customHeight="1">
      <x:c r="A27" s="28" t="str">
        <x:v>C01</x:v>
      </x:c>
      <x:c r="B27" s="28" t="str">
        <x:v>风暴断崖</x:v>
      </x:c>
      <x:c r="C27" s="28" t="str">
        <x:v>古龙风铠</x:v>
      </x:c>
      <x:c r="D27" s="28" t="str">
        <x:v>BOSS</x:v>
      </x:c>
      <x:c r="E27" s="28" t="n">
        <x:v>1</x:v>
      </x:c>
      <x:c r="F27" s="28" t="n">
        <x:v>0</x:v>
      </x:c>
      <x:c r="G27" s="28" t="n">
        <x:v>0</x:v>
      </x:c>
      <x:c r="H27" s="28" t="n">
        <x:v>0</x:v>
      </x:c>
      <x:c r="I27" s="28" t="n">
        <x:v>3</x:v>
      </x:c>
      <x:c r="J27" s="28" t="n">
        <x:v>300</x:v>
      </x:c>
      <x:c r="K27" s="28" t="n">
        <x:v>0</x:v>
      </x:c>
      <x:c r="L27" s="28" t="n">
        <x:v>1</x:v>
      </x:c>
      <x:c r="M27" s="28" t="n">
        <x:v>0</x:v>
      </x:c>
      <x:c r="N27" s="28" t="n">
        <x:v>0</x:v>
      </x:c>
      <x:c r="O27" s="28" t="str">
        <x:v>登记消耗1件；永久一次；不收金币/元宝/灵符</x:v>
      </x:c>
    </x:row>
    <x:row r="28" ht="30" customHeight="1">
      <x:c r="A28" s="28" t="str">
        <x:v>C01</x:v>
      </x:c>
      <x:c r="B28" s="28" t="str">
        <x:v>沉没王庭</x:v>
      </x:c>
      <x:c r="C28" s="28" t="str">
        <x:v>溺亡王盔</x:v>
      </x:c>
      <x:c r="D28" s="28" t="str">
        <x:v>普通</x:v>
      </x:c>
      <x:c r="E28" s="28" t="n">
        <x:v>1</x:v>
      </x:c>
      <x:c r="F28" s="28" t="n">
        <x:v>0</x:v>
      </x:c>
      <x:c r="G28" s="28" t="n">
        <x:v>0</x:v>
      </x:c>
      <x:c r="H28" s="28" t="n">
        <x:v>0</x:v>
      </x:c>
      <x:c r="I28" s="28" t="n">
        <x:v>1</x:v>
      </x:c>
      <x:c r="J28" s="28" t="n">
        <x:v>100</x:v>
      </x:c>
      <x:c r="K28" s="28" t="n">
        <x:v>0</x:v>
      </x:c>
      <x:c r="L28" s="28" t="n">
        <x:v>0</x:v>
      </x:c>
      <x:c r="M28" s="28" t="n">
        <x:v>0</x:v>
      </x:c>
      <x:c r="N28" s="28" t="n">
        <x:v>0</x:v>
      </x:c>
      <x:c r="O28" s="28" t="str">
        <x:v>登记消耗1件；永久一次；不收金币/元宝/灵符</x:v>
      </x:c>
    </x:row>
    <x:row r="29" ht="30" customHeight="1">
      <x:c r="A29" s="28" t="str">
        <x:v>C01</x:v>
      </x:c>
      <x:c r="B29" s="28" t="str">
        <x:v>沉没王庭</x:v>
      </x:c>
      <x:c r="C29" s="28" t="str">
        <x:v>沉宫项链</x:v>
      </x:c>
      <x:c r="D29" s="28" t="str">
        <x:v>普通</x:v>
      </x:c>
      <x:c r="E29" s="28" t="n">
        <x:v>1</x:v>
      </x:c>
      <x:c r="F29" s="28" t="n">
        <x:v>0</x:v>
      </x:c>
      <x:c r="G29" s="28" t="n">
        <x:v>0</x:v>
      </x:c>
      <x:c r="H29" s="28" t="n">
        <x:v>0</x:v>
      </x:c>
      <x:c r="I29" s="28" t="n">
        <x:v>1</x:v>
      </x:c>
      <x:c r="J29" s="28" t="n">
        <x:v>100</x:v>
      </x:c>
      <x:c r="K29" s="28" t="n">
        <x:v>0</x:v>
      </x:c>
      <x:c r="L29" s="28" t="n">
        <x:v>0</x:v>
      </x:c>
      <x:c r="M29" s="28" t="n">
        <x:v>0</x:v>
      </x:c>
      <x:c r="N29" s="28" t="n">
        <x:v>0</x:v>
      </x:c>
      <x:c r="O29" s="28" t="str">
        <x:v>登记消耗1件；永久一次；不收金币/元宝/灵符</x:v>
      </x:c>
    </x:row>
    <x:row r="30" ht="30" customHeight="1">
      <x:c r="A30" s="28" t="str">
        <x:v>C01</x:v>
      </x:c>
      <x:c r="B30" s="28" t="str">
        <x:v>沉没王庭</x:v>
      </x:c>
      <x:c r="C30" s="28" t="str">
        <x:v>苔痕护腕</x:v>
      </x:c>
      <x:c r="D30" s="28" t="str">
        <x:v>普通</x:v>
      </x:c>
      <x:c r="E30" s="28" t="n">
        <x:v>1</x:v>
      </x:c>
      <x:c r="F30" s="28" t="n">
        <x:v>0</x:v>
      </x:c>
      <x:c r="G30" s="28" t="n">
        <x:v>0</x:v>
      </x:c>
      <x:c r="H30" s="28" t="n">
        <x:v>0</x:v>
      </x:c>
      <x:c r="I30" s="28" t="n">
        <x:v>1</x:v>
      </x:c>
      <x:c r="J30" s="28" t="n">
        <x:v>100</x:v>
      </x:c>
      <x:c r="K30" s="28" t="n">
        <x:v>0</x:v>
      </x:c>
      <x:c r="L30" s="28" t="n">
        <x:v>0</x:v>
      </x:c>
      <x:c r="M30" s="28" t="n">
        <x:v>0</x:v>
      </x:c>
      <x:c r="N30" s="28" t="n">
        <x:v>0</x:v>
      </x:c>
      <x:c r="O30" s="28" t="str">
        <x:v>登记消耗1件；永久一次；不收金币/元宝/灵符</x:v>
      </x:c>
    </x:row>
    <x:row r="31" ht="30" customHeight="1">
      <x:c r="A31" s="28" t="str">
        <x:v>C01</x:v>
      </x:c>
      <x:c r="B31" s="28" t="str">
        <x:v>沉没王庭</x:v>
      </x:c>
      <x:c r="C31" s="28" t="str">
        <x:v>王庭秘戒</x:v>
      </x:c>
      <x:c r="D31" s="28" t="str">
        <x:v>普通</x:v>
      </x:c>
      <x:c r="E31" s="28" t="n">
        <x:v>1</x:v>
      </x:c>
      <x:c r="F31" s="28" t="n">
        <x:v>0</x:v>
      </x:c>
      <x:c r="G31" s="28" t="n">
        <x:v>0</x:v>
      </x:c>
      <x:c r="H31" s="28" t="n">
        <x:v>0</x:v>
      </x:c>
      <x:c r="I31" s="28" t="n">
        <x:v>1</x:v>
      </x:c>
      <x:c r="J31" s="28" t="n">
        <x:v>100</x:v>
      </x:c>
      <x:c r="K31" s="28" t="n">
        <x:v>0</x:v>
      </x:c>
      <x:c r="L31" s="28" t="n">
        <x:v>0</x:v>
      </x:c>
      <x:c r="M31" s="28" t="n">
        <x:v>0</x:v>
      </x:c>
      <x:c r="N31" s="28" t="n">
        <x:v>0</x:v>
      </x:c>
      <x:c r="O31" s="28" t="str">
        <x:v>登记消耗1件；永久一次；不收金币/元宝/灵符</x:v>
      </x:c>
    </x:row>
    <x:row r="32" ht="30" customHeight="1">
      <x:c r="A32" s="28" t="str">
        <x:v>C01</x:v>
      </x:c>
      <x:c r="B32" s="28" t="str">
        <x:v>沉没王庭</x:v>
      </x:c>
      <x:c r="C32" s="28" t="str">
        <x:v>深水束带</x:v>
      </x:c>
      <x:c r="D32" s="28" t="str">
        <x:v>普通</x:v>
      </x:c>
      <x:c r="E32" s="28" t="n">
        <x:v>1</x:v>
      </x:c>
      <x:c r="F32" s="28" t="n">
        <x:v>0</x:v>
      </x:c>
      <x:c r="G32" s="28" t="n">
        <x:v>0</x:v>
      </x:c>
      <x:c r="H32" s="28" t="n">
        <x:v>0</x:v>
      </x:c>
      <x:c r="I32" s="28" t="n">
        <x:v>1</x:v>
      </x:c>
      <x:c r="J32" s="28" t="n">
        <x:v>100</x:v>
      </x:c>
      <x:c r="K32" s="28" t="n">
        <x:v>0</x:v>
      </x:c>
      <x:c r="L32" s="28" t="n">
        <x:v>0</x:v>
      </x:c>
      <x:c r="M32" s="28" t="n">
        <x:v>0</x:v>
      </x:c>
      <x:c r="N32" s="28" t="n">
        <x:v>0</x:v>
      </x:c>
      <x:c r="O32" s="28" t="str">
        <x:v>登记消耗1件；永久一次；不收金币/元宝/灵符</x:v>
      </x:c>
    </x:row>
    <x:row r="33" ht="30" customHeight="1">
      <x:c r="A33" s="28" t="str">
        <x:v>C01</x:v>
      </x:c>
      <x:c r="B33" s="28" t="str">
        <x:v>沉没王庭</x:v>
      </x:c>
      <x:c r="C33" s="28" t="str">
        <x:v>幽灯面巾</x:v>
      </x:c>
      <x:c r="D33" s="28" t="str">
        <x:v>普通</x:v>
      </x:c>
      <x:c r="E33" s="28" t="n">
        <x:v>1</x:v>
      </x:c>
      <x:c r="F33" s="28" t="n">
        <x:v>0</x:v>
      </x:c>
      <x:c r="G33" s="28" t="n">
        <x:v>0</x:v>
      </x:c>
      <x:c r="H33" s="28" t="n">
        <x:v>0</x:v>
      </x:c>
      <x:c r="I33" s="28" t="n">
        <x:v>1</x:v>
      </x:c>
      <x:c r="J33" s="28" t="n">
        <x:v>100</x:v>
      </x:c>
      <x:c r="K33" s="28" t="n">
        <x:v>0</x:v>
      </x:c>
      <x:c r="L33" s="28" t="n">
        <x:v>0</x:v>
      </x:c>
      <x:c r="M33" s="28" t="n">
        <x:v>0</x:v>
      </x:c>
      <x:c r="N33" s="28" t="n">
        <x:v>0</x:v>
      </x:c>
      <x:c r="O33" s="28" t="str">
        <x:v>登记消耗1件；永久一次；不收金币/元宝/灵符</x:v>
      </x:c>
    </x:row>
    <x:row r="34" ht="30" customHeight="1">
      <x:c r="A34" s="28" t="str">
        <x:v>C01</x:v>
      </x:c>
      <x:c r="B34" s="28" t="str">
        <x:v>沉没王庭</x:v>
      </x:c>
      <x:c r="C34" s="28" t="str">
        <x:v>失冠战靴</x:v>
      </x:c>
      <x:c r="D34" s="28" t="str">
        <x:v>稀有</x:v>
      </x:c>
      <x:c r="E34" s="28" t="n">
        <x:v>1</x:v>
      </x:c>
      <x:c r="F34" s="28" t="n">
        <x:v>0</x:v>
      </x:c>
      <x:c r="G34" s="28" t="n">
        <x:v>0</x:v>
      </x:c>
      <x:c r="H34" s="28" t="n">
        <x:v>0</x:v>
      </x:c>
      <x:c r="I34" s="28" t="n">
        <x:v>2</x:v>
      </x:c>
      <x:c r="J34" s="28" t="n">
        <x:v>200</x:v>
      </x:c>
      <x:c r="K34" s="28" t="n">
        <x:v>5</x:v>
      </x:c>
      <x:c r="L34" s="28" t="n">
        <x:v>0</x:v>
      </x:c>
      <x:c r="M34" s="28" t="n">
        <x:v>0</x:v>
      </x:c>
      <x:c r="N34" s="28" t="n">
        <x:v>0</x:v>
      </x:c>
      <x:c r="O34" s="28" t="str">
        <x:v>登记消耗1件；永久一次；不收金币/元宝/灵符</x:v>
      </x:c>
    </x:row>
    <x:row r="35" ht="30" customHeight="1">
      <x:c r="A35" s="28" t="str">
        <x:v>C01</x:v>
      </x:c>
      <x:c r="B35" s="28" t="str">
        <x:v>沉没王庭</x:v>
      </x:c>
      <x:c r="C35" s="28" t="str">
        <x:v>深渊勋章</x:v>
      </x:c>
      <x:c r="D35" s="28" t="str">
        <x:v>稀有</x:v>
      </x:c>
      <x:c r="E35" s="28" t="n">
        <x:v>1</x:v>
      </x:c>
      <x:c r="F35" s="28" t="n">
        <x:v>0</x:v>
      </x:c>
      <x:c r="G35" s="28" t="n">
        <x:v>0</x:v>
      </x:c>
      <x:c r="H35" s="28" t="n">
        <x:v>0</x:v>
      </x:c>
      <x:c r="I35" s="28" t="n">
        <x:v>2</x:v>
      </x:c>
      <x:c r="J35" s="28" t="n">
        <x:v>200</x:v>
      </x:c>
      <x:c r="K35" s="28" t="n">
        <x:v>5</x:v>
      </x:c>
      <x:c r="L35" s="28" t="n">
        <x:v>0</x:v>
      </x:c>
      <x:c r="M35" s="28" t="n">
        <x:v>0</x:v>
      </x:c>
      <x:c r="N35" s="28" t="n">
        <x:v>0</x:v>
      </x:c>
      <x:c r="O35" s="28" t="str">
        <x:v>登记消耗1件；永久一次；不收金币/元宝/灵符</x:v>
      </x:c>
    </x:row>
    <x:row r="36" ht="30" customHeight="1">
      <x:c r="A36" s="28" t="str">
        <x:v>C01</x:v>
      </x:c>
      <x:c r="B36" s="28" t="str">
        <x:v>沉没王庭</x:v>
      </x:c>
      <x:c r="C36" s="28" t="str">
        <x:v>裁决王盾</x:v>
      </x:c>
      <x:c r="D36" s="28" t="str">
        <x:v>稀有</x:v>
      </x:c>
      <x:c r="E36" s="28" t="n">
        <x:v>1</x:v>
      </x:c>
      <x:c r="F36" s="28" t="n">
        <x:v>0</x:v>
      </x:c>
      <x:c r="G36" s="28" t="n">
        <x:v>0</x:v>
      </x:c>
      <x:c r="H36" s="28" t="n">
        <x:v>0</x:v>
      </x:c>
      <x:c r="I36" s="28" t="n">
        <x:v>2</x:v>
      </x:c>
      <x:c r="J36" s="28" t="n">
        <x:v>200</x:v>
      </x:c>
      <x:c r="K36" s="28" t="n">
        <x:v>5</x:v>
      </x:c>
      <x:c r="L36" s="28" t="n">
        <x:v>0</x:v>
      </x:c>
      <x:c r="M36" s="28" t="n">
        <x:v>0</x:v>
      </x:c>
      <x:c r="N36" s="28" t="n">
        <x:v>0</x:v>
      </x:c>
      <x:c r="O36" s="28" t="str">
        <x:v>登记消耗1件；永久一次；不收金币/元宝/灵符</x:v>
      </x:c>
    </x:row>
    <x:row r="37" ht="30" customHeight="1">
      <x:c r="A37" s="28" t="str">
        <x:v>C01</x:v>
      </x:c>
      <x:c r="B37" s="28" t="str">
        <x:v>沉没王庭</x:v>
      </x:c>
      <x:c r="C37" s="28" t="str">
        <x:v>沉默灵玉</x:v>
      </x:c>
      <x:c r="D37" s="28" t="str">
        <x:v>稀有</x:v>
      </x:c>
      <x:c r="E37" s="28" t="n">
        <x:v>1</x:v>
      </x:c>
      <x:c r="F37" s="28" t="n">
        <x:v>0</x:v>
      </x:c>
      <x:c r="G37" s="28" t="n">
        <x:v>0</x:v>
      </x:c>
      <x:c r="H37" s="28" t="n">
        <x:v>0</x:v>
      </x:c>
      <x:c r="I37" s="28" t="n">
        <x:v>2</x:v>
      </x:c>
      <x:c r="J37" s="28" t="n">
        <x:v>200</x:v>
      </x:c>
      <x:c r="K37" s="28" t="n">
        <x:v>5</x:v>
      </x:c>
      <x:c r="L37" s="28" t="n">
        <x:v>0</x:v>
      </x:c>
      <x:c r="M37" s="28" t="n">
        <x:v>0</x:v>
      </x:c>
      <x:c r="N37" s="28" t="n">
        <x:v>0</x:v>
      </x:c>
      <x:c r="O37" s="28" t="str">
        <x:v>登记消耗1件；永久一次；不收金币/元宝/灵符</x:v>
      </x:c>
    </x:row>
    <x:row r="38" ht="30" customHeight="1">
      <x:c r="A38" s="28" t="str">
        <x:v>C01</x:v>
      </x:c>
      <x:c r="B38" s="28" t="str">
        <x:v>沉没王庭</x:v>
      </x:c>
      <x:c r="C38" s="28" t="str">
        <x:v>亲卫王剑</x:v>
      </x:c>
      <x:c r="D38" s="28" t="str">
        <x:v>BOSS</x:v>
      </x:c>
      <x:c r="E38" s="28" t="n">
        <x:v>1</x:v>
      </x:c>
      <x:c r="F38" s="28" t="n">
        <x:v>0</x:v>
      </x:c>
      <x:c r="G38" s="28" t="n">
        <x:v>0</x:v>
      </x:c>
      <x:c r="H38" s="28" t="n">
        <x:v>0</x:v>
      </x:c>
      <x:c r="I38" s="28" t="n">
        <x:v>3</x:v>
      </x:c>
      <x:c r="J38" s="28" t="n">
        <x:v>300</x:v>
      </x:c>
      <x:c r="K38" s="28" t="n">
        <x:v>0</x:v>
      </x:c>
      <x:c r="L38" s="28" t="n">
        <x:v>1</x:v>
      </x:c>
      <x:c r="M38" s="28" t="n">
        <x:v>0</x:v>
      </x:c>
      <x:c r="N38" s="28" t="n">
        <x:v>0</x:v>
      </x:c>
      <x:c r="O38" s="28" t="str">
        <x:v>登记消耗1件；永久一次；不收金币/元宝/灵符</x:v>
      </x:c>
    </x:row>
    <x:row r="39" ht="30" customHeight="1">
      <x:c r="A39" s="28" t="str">
        <x:v>C01</x:v>
      </x:c>
      <x:c r="B39" s="28" t="str">
        <x:v>沉没王庭</x:v>
      </x:c>
      <x:c r="C39" s="28" t="str">
        <x:v>深潮王铠</x:v>
      </x:c>
      <x:c r="D39" s="28" t="str">
        <x:v>BOSS</x:v>
      </x:c>
      <x:c r="E39" s="28" t="n">
        <x:v>1</x:v>
      </x:c>
      <x:c r="F39" s="28" t="n">
        <x:v>0</x:v>
      </x:c>
      <x:c r="G39" s="28" t="n">
        <x:v>0</x:v>
      </x:c>
      <x:c r="H39" s="28" t="n">
        <x:v>0</x:v>
      </x:c>
      <x:c r="I39" s="28" t="n">
        <x:v>3</x:v>
      </x:c>
      <x:c r="J39" s="28" t="n">
        <x:v>300</x:v>
      </x:c>
      <x:c r="K39" s="28" t="n">
        <x:v>0</x:v>
      </x:c>
      <x:c r="L39" s="28" t="n">
        <x:v>1</x:v>
      </x:c>
      <x:c r="M39" s="28" t="n">
        <x:v>0</x:v>
      </x:c>
      <x:c r="N39" s="28" t="n">
        <x:v>0</x:v>
      </x:c>
      <x:c r="O39" s="28" t="str">
        <x:v>登记消耗1件；永久一次；不收金币/元宝/灵符</x:v>
      </x:c>
    </x:row>
    <x:row r="40" ht="30" customHeight="1">
      <x:c r="A40" s="28" t="str">
        <x:v>C01</x:v>
      </x:c>
      <x:c r="B40" s="28" t="str">
        <x:v>沉没王庭</x:v>
      </x:c>
      <x:c r="C40" s="28" t="str">
        <x:v>沉没王权</x:v>
      </x:c>
      <x:c r="D40" s="28" t="str">
        <x:v>守关BOSS</x:v>
      </x:c>
      <x:c r="E40" s="28" t="n">
        <x:v>1</x:v>
      </x:c>
      <x:c r="F40" s="28" t="n">
        <x:v>0</x:v>
      </x:c>
      <x:c r="G40" s="28" t="n">
        <x:v>0</x:v>
      </x:c>
      <x:c r="H40" s="28" t="n">
        <x:v>0</x:v>
      </x:c>
      <x:c r="I40" s="28" t="n">
        <x:v>4</x:v>
      </x:c>
      <x:c r="J40" s="28" t="n">
        <x:v>400</x:v>
      </x:c>
      <x:c r="K40" s="28" t="n">
        <x:v>0</x:v>
      </x:c>
      <x:c r="L40" s="28" t="n">
        <x:v>1</x:v>
      </x:c>
      <x:c r="M40" s="28" t="n">
        <x:v>0</x:v>
      </x:c>
      <x:c r="N40" s="28" t="n">
        <x:v>0</x:v>
      </x:c>
      <x:c r="O40" s="28" t="str">
        <x:v>登记消耗1件；永久一次；不收金币/元宝/灵符</x:v>
      </x:c>
    </x:row>
    <x:row r="41" ht="30" customHeight="1">
      <x:c r="A41" s="28" t="str">
        <x:v>C01</x:v>
      </x:c>
      <x:c r="B41" s="28" t="str">
        <x:v>沉没王庭</x:v>
      </x:c>
      <x:c r="C41" s="28" t="str">
        <x:v>潮葬礼剑</x:v>
      </x:c>
      <x:c r="D41" s="28" t="str">
        <x:v>守关BOSS</x:v>
      </x:c>
      <x:c r="E41" s="28" t="n">
        <x:v>1</x:v>
      </x:c>
      <x:c r="F41" s="28" t="n">
        <x:v>0</x:v>
      </x:c>
      <x:c r="G41" s="28" t="n">
        <x:v>0</x:v>
      </x:c>
      <x:c r="H41" s="28" t="n">
        <x:v>0</x:v>
      </x:c>
      <x:c r="I41" s="28" t="n">
        <x:v>4</x:v>
      </x:c>
      <x:c r="J41" s="28" t="n">
        <x:v>400</x:v>
      </x:c>
      <x:c r="K41" s="28" t="n">
        <x:v>0</x:v>
      </x:c>
      <x:c r="L41" s="28" t="n">
        <x:v>1</x:v>
      </x:c>
      <x:c r="M41" s="28" t="n">
        <x:v>0</x:v>
      </x:c>
      <x:c r="N41" s="28" t="n">
        <x:v>0</x:v>
      </x:c>
      <x:c r="O41" s="28" t="str">
        <x:v>登记消耗1件；永久一次；不收金币/元宝/灵符</x:v>
      </x:c>
    </x:row>
    <x:row r="42" ht="30" customHeight="1">
      <x:c r="A42" s="28" t="str">
        <x:v>C01</x:v>
      </x:c>
      <x:c r="B42" s="28" t="str">
        <x:v>沉没王庭</x:v>
      </x:c>
      <x:c r="C42" s="28" t="str">
        <x:v>无冠王衣</x:v>
      </x:c>
      <x:c r="D42" s="28" t="str">
        <x:v>守关BOSS</x:v>
      </x:c>
      <x:c r="E42" s="28" t="n">
        <x:v>1</x:v>
      </x:c>
      <x:c r="F42" s="28" t="n">
        <x:v>0</x:v>
      </x:c>
      <x:c r="G42" s="28" t="n">
        <x:v>0</x:v>
      </x:c>
      <x:c r="H42" s="28" t="n">
        <x:v>0</x:v>
      </x:c>
      <x:c r="I42" s="28" t="n">
        <x:v>4</x:v>
      </x:c>
      <x:c r="J42" s="28" t="n">
        <x:v>400</x:v>
      </x:c>
      <x:c r="K42" s="28" t="n">
        <x:v>0</x:v>
      </x:c>
      <x:c r="L42" s="28" t="n">
        <x:v>1</x:v>
      </x:c>
      <x:c r="M42" s="28" t="n">
        <x:v>0</x:v>
      </x:c>
      <x:c r="N42" s="28" t="n">
        <x:v>0</x:v>
      </x:c>
      <x:c r="O42" s="28" t="str">
        <x:v>登记消耗1件；永久一次；不收金币/元宝/灵符</x:v>
      </x:c>
    </x:row>
    <x:row r="43" ht="30" customHeight="1">
      <x:c r="A43" s="28" t="str">
        <x:v>C02</x:v>
      </x:c>
      <x:c r="B43" s="28" t="str">
        <x:v>漂流墓地</x:v>
      </x:c>
      <x:c r="C43" s="28" t="str">
        <x:v>褪色墓刃</x:v>
      </x:c>
      <x:c r="D43" s="28" t="str">
        <x:v>普通</x:v>
      </x:c>
      <x:c r="E43" s="28" t="n">
        <x:v>1</x:v>
      </x:c>
      <x:c r="F43" s="28" t="n">
        <x:v>0</x:v>
      </x:c>
      <x:c r="G43" s="28" t="n">
        <x:v>0</x:v>
      </x:c>
      <x:c r="H43" s="28" t="n">
        <x:v>0</x:v>
      </x:c>
      <x:c r="I43" s="28" t="n">
        <x:v>2</x:v>
      </x:c>
      <x:c r="J43" s="28" t="n">
        <x:v>200</x:v>
      </x:c>
      <x:c r="K43" s="28" t="n">
        <x:v>0</x:v>
      </x:c>
      <x:c r="L43" s="28" t="n">
        <x:v>0</x:v>
      </x:c>
      <x:c r="M43" s="28" t="n">
        <x:v>0</x:v>
      </x:c>
      <x:c r="N43" s="28" t="n">
        <x:v>0</x:v>
      </x:c>
      <x:c r="O43" s="28" t="str">
        <x:v>登记消耗1件；永久一次；不收金币/元宝/灵符</x:v>
      </x:c>
    </x:row>
    <x:row r="44" ht="30" customHeight="1">
      <x:c r="A44" s="28" t="str">
        <x:v>C02</x:v>
      </x:c>
      <x:c r="B44" s="28" t="str">
        <x:v>漂流墓地</x:v>
      </x:c>
      <x:c r="C44" s="28" t="str">
        <x:v>漂腐寿衣</x:v>
      </x:c>
      <x:c r="D44" s="28" t="str">
        <x:v>普通</x:v>
      </x:c>
      <x:c r="E44" s="28" t="n">
        <x:v>1</x:v>
      </x:c>
      <x:c r="F44" s="28" t="n">
        <x:v>0</x:v>
      </x:c>
      <x:c r="G44" s="28" t="n">
        <x:v>0</x:v>
      </x:c>
      <x:c r="H44" s="28" t="n">
        <x:v>0</x:v>
      </x:c>
      <x:c r="I44" s="28" t="n">
        <x:v>2</x:v>
      </x:c>
      <x:c r="J44" s="28" t="n">
        <x:v>200</x:v>
      </x:c>
      <x:c r="K44" s="28" t="n">
        <x:v>0</x:v>
      </x:c>
      <x:c r="L44" s="28" t="n">
        <x:v>0</x:v>
      </x:c>
      <x:c r="M44" s="28" t="n">
        <x:v>0</x:v>
      </x:c>
      <x:c r="N44" s="28" t="n">
        <x:v>0</x:v>
      </x:c>
      <x:c r="O44" s="28" t="str">
        <x:v>登记消耗1件；永久一次；不收金币/元宝/灵符</x:v>
      </x:c>
    </x:row>
    <x:row r="45" ht="30" customHeight="1">
      <x:c r="A45" s="28" t="str">
        <x:v>C02</x:v>
      </x:c>
      <x:c r="B45" s="28" t="str">
        <x:v>漂流墓地</x:v>
      </x:c>
      <x:c r="C45" s="28" t="str">
        <x:v>尖牙骨链</x:v>
      </x:c>
      <x:c r="D45" s="28" t="str">
        <x:v>普通</x:v>
      </x:c>
      <x:c r="E45" s="28" t="n">
        <x:v>1</x:v>
      </x:c>
      <x:c r="F45" s="28" t="n">
        <x:v>0</x:v>
      </x:c>
      <x:c r="G45" s="28" t="n">
        <x:v>0</x:v>
      </x:c>
      <x:c r="H45" s="28" t="n">
        <x:v>0</x:v>
      </x:c>
      <x:c r="I45" s="28" t="n">
        <x:v>2</x:v>
      </x:c>
      <x:c r="J45" s="28" t="n">
        <x:v>200</x:v>
      </x:c>
      <x:c r="K45" s="28" t="n">
        <x:v>0</x:v>
      </x:c>
      <x:c r="L45" s="28" t="n">
        <x:v>0</x:v>
      </x:c>
      <x:c r="M45" s="28" t="n">
        <x:v>0</x:v>
      </x:c>
      <x:c r="N45" s="28" t="n">
        <x:v>0</x:v>
      </x:c>
      <x:c r="O45" s="28" t="str">
        <x:v>登记消耗1件；永久一次；不收金币/元宝/灵符</x:v>
      </x:c>
    </x:row>
    <x:row r="46" ht="30" customHeight="1">
      <x:c r="A46" s="28" t="str">
        <x:v>C02</x:v>
      </x:c>
      <x:c r="B46" s="28" t="str">
        <x:v>漂流墓地</x:v>
      </x:c>
      <x:c r="C46" s="28" t="str">
        <x:v>守墓石盔</x:v>
      </x:c>
      <x:c r="D46" s="28" t="str">
        <x:v>普通</x:v>
      </x:c>
      <x:c r="E46" s="28" t="n">
        <x:v>1</x:v>
      </x:c>
      <x:c r="F46" s="28" t="n">
        <x:v>0</x:v>
      </x:c>
      <x:c r="G46" s="28" t="n">
        <x:v>0</x:v>
      </x:c>
      <x:c r="H46" s="28" t="n">
        <x:v>0</x:v>
      </x:c>
      <x:c r="I46" s="28" t="n">
        <x:v>2</x:v>
      </x:c>
      <x:c r="J46" s="28" t="n">
        <x:v>200</x:v>
      </x:c>
      <x:c r="K46" s="28" t="n">
        <x:v>0</x:v>
      </x:c>
      <x:c r="L46" s="28" t="n">
        <x:v>0</x:v>
      </x:c>
      <x:c r="M46" s="28" t="n">
        <x:v>0</x:v>
      </x:c>
      <x:c r="N46" s="28" t="n">
        <x:v>0</x:v>
      </x:c>
      <x:c r="O46" s="28" t="str">
        <x:v>登记消耗1件；永久一次；不收金币/元宝/灵符</x:v>
      </x:c>
    </x:row>
    <x:row r="47" ht="30" customHeight="1">
      <x:c r="A47" s="28" t="str">
        <x:v>C02</x:v>
      </x:c>
      <x:c r="B47" s="28" t="str">
        <x:v>漂流墓地</x:v>
      </x:c>
      <x:c r="C47" s="28" t="str">
        <x:v>归乡弩戒</x:v>
      </x:c>
      <x:c r="D47" s="28" t="str">
        <x:v>普通</x:v>
      </x:c>
      <x:c r="E47" s="28" t="n">
        <x:v>1</x:v>
      </x:c>
      <x:c r="F47" s="28" t="n">
        <x:v>0</x:v>
      </x:c>
      <x:c r="G47" s="28" t="n">
        <x:v>0</x:v>
      </x:c>
      <x:c r="H47" s="28" t="n">
        <x:v>0</x:v>
      </x:c>
      <x:c r="I47" s="28" t="n">
        <x:v>2</x:v>
      </x:c>
      <x:c r="J47" s="28" t="n">
        <x:v>200</x:v>
      </x:c>
      <x:c r="K47" s="28" t="n">
        <x:v>0</x:v>
      </x:c>
      <x:c r="L47" s="28" t="n">
        <x:v>0</x:v>
      </x:c>
      <x:c r="M47" s="28" t="n">
        <x:v>0</x:v>
      </x:c>
      <x:c r="N47" s="28" t="n">
        <x:v>0</x:v>
      </x:c>
      <x:c r="O47" s="28" t="str">
        <x:v>登记消耗1件；永久一次；不收金币/元宝/灵符</x:v>
      </x:c>
    </x:row>
    <x:row r="48" ht="30" customHeight="1">
      <x:c r="A48" s="28" t="str">
        <x:v>C02</x:v>
      </x:c>
      <x:c r="B48" s="28" t="str">
        <x:v>漂流墓地</x:v>
      </x:c>
      <x:c r="C48" s="28" t="str">
        <x:v>幽火鳞镯</x:v>
      </x:c>
      <x:c r="D48" s="28" t="str">
        <x:v>普通</x:v>
      </x:c>
      <x:c r="E48" s="28" t="n">
        <x:v>1</x:v>
      </x:c>
      <x:c r="F48" s="28" t="n">
        <x:v>0</x:v>
      </x:c>
      <x:c r="G48" s="28" t="n">
        <x:v>0</x:v>
      </x:c>
      <x:c r="H48" s="28" t="n">
        <x:v>0</x:v>
      </x:c>
      <x:c r="I48" s="28" t="n">
        <x:v>2</x:v>
      </x:c>
      <x:c r="J48" s="28" t="n">
        <x:v>200</x:v>
      </x:c>
      <x:c r="K48" s="28" t="n">
        <x:v>0</x:v>
      </x:c>
      <x:c r="L48" s="28" t="n">
        <x:v>0</x:v>
      </x:c>
      <x:c r="M48" s="28" t="n">
        <x:v>0</x:v>
      </x:c>
      <x:c r="N48" s="28" t="n">
        <x:v>0</x:v>
      </x:c>
      <x:c r="O48" s="28" t="str">
        <x:v>登记消耗1件；永久一次；不收金币/元宝/灵符</x:v>
      </x:c>
    </x:row>
    <x:row r="49" ht="30" customHeight="1">
      <x:c r="A49" s="28" t="str">
        <x:v>C02</x:v>
      </x:c>
      <x:c r="B49" s="28" t="str">
        <x:v>漂流墓地</x:v>
      </x:c>
      <x:c r="C49" s="28" t="str">
        <x:v>归树犬徽</x:v>
      </x:c>
      <x:c r="D49" s="28" t="str">
        <x:v>稀有</x:v>
      </x:c>
      <x:c r="E49" s="28" t="n">
        <x:v>1</x:v>
      </x:c>
      <x:c r="F49" s="28" t="n">
        <x:v>0</x:v>
      </x:c>
      <x:c r="G49" s="28" t="n">
        <x:v>0</x:v>
      </x:c>
      <x:c r="H49" s="28" t="n">
        <x:v>0</x:v>
      </x:c>
      <x:c r="I49" s="28" t="n">
        <x:v>4</x:v>
      </x:c>
      <x:c r="J49" s="28" t="n">
        <x:v>400</x:v>
      </x:c>
      <x:c r="K49" s="28" t="n">
        <x:v>5</x:v>
      </x:c>
      <x:c r="L49" s="28" t="n">
        <x:v>0</x:v>
      </x:c>
      <x:c r="M49" s="28" t="n">
        <x:v>0</x:v>
      </x:c>
      <x:c r="N49" s="28" t="n">
        <x:v>0</x:v>
      </x:c>
      <x:c r="O49" s="28" t="str">
        <x:v>登记消耗1件；永久一次；不收金币/元宝/灵符</x:v>
      </x:c>
    </x:row>
    <x:row r="50" ht="30" customHeight="1">
      <x:c r="A50" s="28" t="str">
        <x:v>C02</x:v>
      </x:c>
      <x:c r="B50" s="28" t="str">
        <x:v>漂流墓地</x:v>
      </x:c>
      <x:c r="C50" s="28" t="str">
        <x:v>腐根塔盾</x:v>
      </x:c>
      <x:c r="D50" s="28" t="str">
        <x:v>稀有</x:v>
      </x:c>
      <x:c r="E50" s="28" t="n">
        <x:v>1</x:v>
      </x:c>
      <x:c r="F50" s="28" t="n">
        <x:v>0</x:v>
      </x:c>
      <x:c r="G50" s="28" t="n">
        <x:v>0</x:v>
      </x:c>
      <x:c r="H50" s="28" t="n">
        <x:v>0</x:v>
      </x:c>
      <x:c r="I50" s="28" t="n">
        <x:v>4</x:v>
      </x:c>
      <x:c r="J50" s="28" t="n">
        <x:v>400</x:v>
      </x:c>
      <x:c r="K50" s="28" t="n">
        <x:v>5</x:v>
      </x:c>
      <x:c r="L50" s="28" t="n">
        <x:v>0</x:v>
      </x:c>
      <x:c r="M50" s="28" t="n">
        <x:v>0</x:v>
      </x:c>
      <x:c r="N50" s="28" t="n">
        <x:v>0</x:v>
      </x:c>
      <x:c r="O50" s="28" t="str">
        <x:v>登记消耗1件；永久一次；不收金币/元宝/灵符</x:v>
      </x:c>
    </x:row>
    <x:row r="51" ht="30" customHeight="1">
      <x:c r="A51" s="28" t="str">
        <x:v>C02</x:v>
      </x:c>
      <x:c r="B51" s="28" t="str">
        <x:v>漂流墓地</x:v>
      </x:c>
      <x:c r="C51" s="28" t="str">
        <x:v>初火兜鍪</x:v>
      </x:c>
      <x:c r="D51" s="28" t="str">
        <x:v>稀有</x:v>
      </x:c>
      <x:c r="E51" s="28" t="n">
        <x:v>1</x:v>
      </x:c>
      <x:c r="F51" s="28" t="n">
        <x:v>0</x:v>
      </x:c>
      <x:c r="G51" s="28" t="n">
        <x:v>0</x:v>
      </x:c>
      <x:c r="H51" s="28" t="n">
        <x:v>0</x:v>
      </x:c>
      <x:c r="I51" s="28" t="n">
        <x:v>4</x:v>
      </x:c>
      <x:c r="J51" s="28" t="n">
        <x:v>400</x:v>
      </x:c>
      <x:c r="K51" s="28" t="n">
        <x:v>5</x:v>
      </x:c>
      <x:c r="L51" s="28" t="n">
        <x:v>0</x:v>
      </x:c>
      <x:c r="M51" s="28" t="n">
        <x:v>0</x:v>
      </x:c>
      <x:c r="N51" s="28" t="n">
        <x:v>0</x:v>
      </x:c>
      <x:c r="O51" s="28" t="str">
        <x:v>登记消耗1件；永久一次；不收金币/元宝/灵符</x:v>
      </x:c>
    </x:row>
    <x:row r="52" ht="30" customHeight="1">
      <x:c r="A52" s="28" t="str">
        <x:v>C02</x:v>
      </x:c>
      <x:c r="B52" s="28" t="str">
        <x:v>漂流墓地</x:v>
      </x:c>
      <x:c r="C52" s="28" t="str">
        <x:v>英雄余誓</x:v>
      </x:c>
      <x:c r="D52" s="28" t="str">
        <x:v>稀有</x:v>
      </x:c>
      <x:c r="E52" s="28" t="n">
        <x:v>1</x:v>
      </x:c>
      <x:c r="F52" s="28" t="n">
        <x:v>0</x:v>
      </x:c>
      <x:c r="G52" s="28" t="n">
        <x:v>0</x:v>
      </x:c>
      <x:c r="H52" s="28" t="n">
        <x:v>0</x:v>
      </x:c>
      <x:c r="I52" s="28" t="n">
        <x:v>4</x:v>
      </x:c>
      <x:c r="J52" s="28" t="n">
        <x:v>400</x:v>
      </x:c>
      <x:c r="K52" s="28" t="n">
        <x:v>5</x:v>
      </x:c>
      <x:c r="L52" s="28" t="n">
        <x:v>0</x:v>
      </x:c>
      <x:c r="M52" s="28" t="n">
        <x:v>0</x:v>
      </x:c>
      <x:c r="N52" s="28" t="n">
        <x:v>0</x:v>
      </x:c>
      <x:c r="O52" s="28" t="str">
        <x:v>登记消耗1件；永久一次；不收金币/元宝/灵符</x:v>
      </x:c>
    </x:row>
    <x:row r="53" ht="30" customHeight="1">
      <x:c r="A53" s="28" t="str">
        <x:v>C02</x:v>
      </x:c>
      <x:c r="B53" s="28" t="str">
        <x:v>漂流墓地</x:v>
      </x:c>
      <x:c r="C53" s="28" t="str">
        <x:v>腐树子鼠</x:v>
      </x:c>
      <x:c r="D53" s="28" t="str">
        <x:v>BOSS</x:v>
      </x:c>
      <x:c r="E53" s="28" t="n">
        <x:v>1</x:v>
      </x:c>
      <x:c r="F53" s="28" t="n">
        <x:v>0</x:v>
      </x:c>
      <x:c r="G53" s="28" t="n">
        <x:v>0</x:v>
      </x:c>
      <x:c r="H53" s="28" t="n">
        <x:v>0</x:v>
      </x:c>
      <x:c r="I53" s="28" t="n">
        <x:v>6</x:v>
      </x:c>
      <x:c r="J53" s="28" t="n">
        <x:v>600</x:v>
      </x:c>
      <x:c r="K53" s="28" t="n">
        <x:v>0</x:v>
      </x:c>
      <x:c r="L53" s="28" t="n">
        <x:v>1</x:v>
      </x:c>
      <x:c r="M53" s="28" t="n">
        <x:v>0</x:v>
      </x:c>
      <x:c r="N53" s="28" t="n">
        <x:v>0</x:v>
      </x:c>
      <x:c r="O53" s="28" t="str">
        <x:v>登记消耗1件；永久一次；不收金币/元宝/灵符</x:v>
      </x:c>
    </x:row>
    <x:row r="54" ht="30" customHeight="1">
      <x:c r="A54" s="28" t="str">
        <x:v>C02</x:v>
      </x:c>
      <x:c r="B54" s="28" t="str">
        <x:v>漂流墓地</x:v>
      </x:c>
      <x:c r="C54" s="28" t="str">
        <x:v>百臂丑牛</x:v>
      </x:c>
      <x:c r="D54" s="28" t="str">
        <x:v>BOSS</x:v>
      </x:c>
      <x:c r="E54" s="28" t="n">
        <x:v>1</x:v>
      </x:c>
      <x:c r="F54" s="28" t="n">
        <x:v>0</x:v>
      </x:c>
      <x:c r="G54" s="28" t="n">
        <x:v>0</x:v>
      </x:c>
      <x:c r="H54" s="28" t="n">
        <x:v>0</x:v>
      </x:c>
      <x:c r="I54" s="28" t="n">
        <x:v>6</x:v>
      </x:c>
      <x:c r="J54" s="28" t="n">
        <x:v>600</x:v>
      </x:c>
      <x:c r="K54" s="28" t="n">
        <x:v>0</x:v>
      </x:c>
      <x:c r="L54" s="28" t="n">
        <x:v>1</x:v>
      </x:c>
      <x:c r="M54" s="28" t="n">
        <x:v>0</x:v>
      </x:c>
      <x:c r="N54" s="28" t="n">
        <x:v>0</x:v>
      </x:c>
      <x:c r="O54" s="28" t="str">
        <x:v>登记消耗1件；永久一次；不收金币/元宝/灵符</x:v>
      </x:c>
    </x:row>
    <x:row r="55" ht="30" customHeight="1">
      <x:c r="A55" s="28" t="str">
        <x:v>C02</x:v>
      </x:c>
      <x:c r="B55" s="28" t="str">
        <x:v>关卡前废墟</x:v>
      </x:c>
      <x:c r="C55" s="28" t="str">
        <x:v>断旗军刀</x:v>
      </x:c>
      <x:c r="D55" s="28" t="str">
        <x:v>普通</x:v>
      </x:c>
      <x:c r="E55" s="28" t="n">
        <x:v>1</x:v>
      </x:c>
      <x:c r="F55" s="28" t="n">
        <x:v>0</x:v>
      </x:c>
      <x:c r="G55" s="28" t="n">
        <x:v>0</x:v>
      </x:c>
      <x:c r="H55" s="28" t="n">
        <x:v>0</x:v>
      </x:c>
      <x:c r="I55" s="28" t="n">
        <x:v>2</x:v>
      </x:c>
      <x:c r="J55" s="28" t="n">
        <x:v>200</x:v>
      </x:c>
      <x:c r="K55" s="28" t="n">
        <x:v>0</x:v>
      </x:c>
      <x:c r="L55" s="28" t="n">
        <x:v>0</x:v>
      </x:c>
      <x:c r="M55" s="28" t="n">
        <x:v>0</x:v>
      </x:c>
      <x:c r="N55" s="28" t="n">
        <x:v>0</x:v>
      </x:c>
      <x:c r="O55" s="28" t="str">
        <x:v>登记消耗1件；永久一次；不收金币/元宝/灵符</x:v>
      </x:c>
    </x:row>
    <x:row r="56" ht="30" customHeight="1">
      <x:c r="A56" s="28" t="str">
        <x:v>C02</x:v>
      </x:c>
      <x:c r="B56" s="28" t="str">
        <x:v>关卡前废墟</x:v>
      </x:c>
      <x:c r="C56" s="28" t="str">
        <x:v>关隘铁甲</x:v>
      </x:c>
      <x:c r="D56" s="28" t="str">
        <x:v>普通</x:v>
      </x:c>
      <x:c r="E56" s="28" t="n">
        <x:v>1</x:v>
      </x:c>
      <x:c r="F56" s="28" t="n">
        <x:v>0</x:v>
      </x:c>
      <x:c r="G56" s="28" t="n">
        <x:v>0</x:v>
      </x:c>
      <x:c r="H56" s="28" t="n">
        <x:v>0</x:v>
      </x:c>
      <x:c r="I56" s="28" t="n">
        <x:v>2</x:v>
      </x:c>
      <x:c r="J56" s="28" t="n">
        <x:v>200</x:v>
      </x:c>
      <x:c r="K56" s="28" t="n">
        <x:v>0</x:v>
      </x:c>
      <x:c r="L56" s="28" t="n">
        <x:v>0</x:v>
      </x:c>
      <x:c r="M56" s="28" t="n">
        <x:v>0</x:v>
      </x:c>
      <x:c r="N56" s="28" t="n">
        <x:v>0</x:v>
      </x:c>
      <x:c r="O56" s="28" t="str">
        <x:v>登记消耗1件；永久一次；不收金币/元宝/灵符</x:v>
      </x:c>
    </x:row>
    <x:row r="57" ht="30" customHeight="1">
      <x:c r="A57" s="28" t="str">
        <x:v>C02</x:v>
      </x:c>
      <x:c r="B57" s="28" t="str">
        <x:v>关卡前废墟</x:v>
      </x:c>
      <x:c r="C57" s="28" t="str">
        <x:v>破垒鹰链</x:v>
      </x:c>
      <x:c r="D57" s="28" t="str">
        <x:v>普通</x:v>
      </x:c>
      <x:c r="E57" s="28" t="n">
        <x:v>1</x:v>
      </x:c>
      <x:c r="F57" s="28" t="n">
        <x:v>0</x:v>
      </x:c>
      <x:c r="G57" s="28" t="n">
        <x:v>0</x:v>
      </x:c>
      <x:c r="H57" s="28" t="n">
        <x:v>0</x:v>
      </x:c>
      <x:c r="I57" s="28" t="n">
        <x:v>2</x:v>
      </x:c>
      <x:c r="J57" s="28" t="n">
        <x:v>200</x:v>
      </x:c>
      <x:c r="K57" s="28" t="n">
        <x:v>0</x:v>
      </x:c>
      <x:c r="L57" s="28" t="n">
        <x:v>0</x:v>
      </x:c>
      <x:c r="M57" s="28" t="n">
        <x:v>0</x:v>
      </x:c>
      <x:c r="N57" s="28" t="n">
        <x:v>0</x:v>
      </x:c>
      <x:c r="O57" s="28" t="str">
        <x:v>登记消耗1件；永久一次；不收金币/元宝/灵符</x:v>
      </x:c>
    </x:row>
    <x:row r="58" ht="30" customHeight="1">
      <x:c r="A58" s="28" t="str">
        <x:v>C02</x:v>
      </x:c>
      <x:c r="B58" s="28" t="str">
        <x:v>关卡前废墟</x:v>
      </x:c>
      <x:c r="C58" s="28" t="str">
        <x:v>战狼铁盔</x:v>
      </x:c>
      <x:c r="D58" s="28" t="str">
        <x:v>普通</x:v>
      </x:c>
      <x:c r="E58" s="28" t="n">
        <x:v>1</x:v>
      </x:c>
      <x:c r="F58" s="28" t="n">
        <x:v>0</x:v>
      </x:c>
      <x:c r="G58" s="28" t="n">
        <x:v>0</x:v>
      </x:c>
      <x:c r="H58" s="28" t="n">
        <x:v>0</x:v>
      </x:c>
      <x:c r="I58" s="28" t="n">
        <x:v>2</x:v>
      </x:c>
      <x:c r="J58" s="28" t="n">
        <x:v>200</x:v>
      </x:c>
      <x:c r="K58" s="28" t="n">
        <x:v>0</x:v>
      </x:c>
      <x:c r="L58" s="28" t="n">
        <x:v>0</x:v>
      </x:c>
      <x:c r="M58" s="28" t="n">
        <x:v>0</x:v>
      </x:c>
      <x:c r="N58" s="28" t="n">
        <x:v>0</x:v>
      </x:c>
      <x:c r="O58" s="28" t="str">
        <x:v>登记消耗1件；永久一次；不收金币/元宝/灵符</x:v>
      </x:c>
    </x:row>
    <x:row r="59" ht="30" customHeight="1">
      <x:c r="A59" s="28" t="str">
        <x:v>C02</x:v>
      </x:c>
      <x:c r="B59" s="28" t="str">
        <x:v>关卡前废墟</x:v>
      </x:c>
      <x:c r="C59" s="28" t="str">
        <x:v>流放腕铠</x:v>
      </x:c>
      <x:c r="D59" s="28" t="str">
        <x:v>普通</x:v>
      </x:c>
      <x:c r="E59" s="28" t="n">
        <x:v>1</x:v>
      </x:c>
      <x:c r="F59" s="28" t="n">
        <x:v>0</x:v>
      </x:c>
      <x:c r="G59" s="28" t="n">
        <x:v>0</x:v>
      </x:c>
      <x:c r="H59" s="28" t="n">
        <x:v>0</x:v>
      </x:c>
      <x:c r="I59" s="28" t="n">
        <x:v>2</x:v>
      </x:c>
      <x:c r="J59" s="28" t="n">
        <x:v>200</x:v>
      </x:c>
      <x:c r="K59" s="28" t="n">
        <x:v>0</x:v>
      </x:c>
      <x:c r="L59" s="28" t="n">
        <x:v>0</x:v>
      </x:c>
      <x:c r="M59" s="28" t="n">
        <x:v>0</x:v>
      </x:c>
      <x:c r="N59" s="28" t="n">
        <x:v>0</x:v>
      </x:c>
      <x:c r="O59" s="28" t="str">
        <x:v>登记消耗1件；永久一次；不收金币/元宝/灵符</x:v>
      </x:c>
    </x:row>
    <x:row r="60" ht="30" customHeight="1">
      <x:c r="A60" s="28" t="str">
        <x:v>C02</x:v>
      </x:c>
      <x:c r="B60" s="28" t="str">
        <x:v>关卡前废墟</x:v>
      </x:c>
      <x:c r="C60" s="28" t="str">
        <x:v>断旗马戒</x:v>
      </x:c>
      <x:c r="D60" s="28" t="str">
        <x:v>普通</x:v>
      </x:c>
      <x:c r="E60" s="28" t="n">
        <x:v>1</x:v>
      </x:c>
      <x:c r="F60" s="28" t="n">
        <x:v>0</x:v>
      </x:c>
      <x:c r="G60" s="28" t="n">
        <x:v>0</x:v>
      </x:c>
      <x:c r="H60" s="28" t="n">
        <x:v>0</x:v>
      </x:c>
      <x:c r="I60" s="28" t="n">
        <x:v>2</x:v>
      </x:c>
      <x:c r="J60" s="28" t="n">
        <x:v>200</x:v>
      </x:c>
      <x:c r="K60" s="28" t="n">
        <x:v>0</x:v>
      </x:c>
      <x:c r="L60" s="28" t="n">
        <x:v>0</x:v>
      </x:c>
      <x:c r="M60" s="28" t="n">
        <x:v>0</x:v>
      </x:c>
      <x:c r="N60" s="28" t="n">
        <x:v>0</x:v>
      </x:c>
      <x:c r="O60" s="28" t="str">
        <x:v>登记消耗1件；永久一次；不收金币/元宝/灵符</x:v>
      </x:c>
    </x:row>
    <x:row r="61" ht="30" customHeight="1">
      <x:c r="A61" s="28" t="str">
        <x:v>C02</x:v>
      </x:c>
      <x:c r="B61" s="28" t="str">
        <x:v>关卡前废墟</x:v>
      </x:c>
      <x:c r="C61" s="28" t="str">
        <x:v>黄金战带</x:v>
      </x:c>
      <x:c r="D61" s="28" t="str">
        <x:v>稀有</x:v>
      </x:c>
      <x:c r="E61" s="28" t="n">
        <x:v>1</x:v>
      </x:c>
      <x:c r="F61" s="28" t="n">
        <x:v>0</x:v>
      </x:c>
      <x:c r="G61" s="28" t="n">
        <x:v>0</x:v>
      </x:c>
      <x:c r="H61" s="28" t="n">
        <x:v>0</x:v>
      </x:c>
      <x:c r="I61" s="28" t="n">
        <x:v>4</x:v>
      </x:c>
      <x:c r="J61" s="28" t="n">
        <x:v>400</x:v>
      </x:c>
      <x:c r="K61" s="28" t="n">
        <x:v>5</x:v>
      </x:c>
      <x:c r="L61" s="28" t="n">
        <x:v>0</x:v>
      </x:c>
      <x:c r="M61" s="28" t="n">
        <x:v>0</x:v>
      </x:c>
      <x:c r="N61" s="28" t="n">
        <x:v>0</x:v>
      </x:c>
      <x:c r="O61" s="28" t="str">
        <x:v>登记消耗1件；永久一次；不收金币/元宝/灵符</x:v>
      </x:c>
    </x:row>
    <x:row r="62" ht="30" customHeight="1">
      <x:c r="A62" s="28" t="str">
        <x:v>C02</x:v>
      </x:c>
      <x:c r="B62" s="28" t="str">
        <x:v>关卡前废墟</x:v>
      </x:c>
      <x:c r="C62" s="28" t="str">
        <x:v>失乡战靴</x:v>
      </x:c>
      <x:c r="D62" s="28" t="str">
        <x:v>稀有</x:v>
      </x:c>
      <x:c r="E62" s="28" t="n">
        <x:v>1</x:v>
      </x:c>
      <x:c r="F62" s="28" t="n">
        <x:v>0</x:v>
      </x:c>
      <x:c r="G62" s="28" t="n">
        <x:v>0</x:v>
      </x:c>
      <x:c r="H62" s="28" t="n">
        <x:v>0</x:v>
      </x:c>
      <x:c r="I62" s="28" t="n">
        <x:v>4</x:v>
      </x:c>
      <x:c r="J62" s="28" t="n">
        <x:v>400</x:v>
      </x:c>
      <x:c r="K62" s="28" t="n">
        <x:v>5</x:v>
      </x:c>
      <x:c r="L62" s="28" t="n">
        <x:v>0</x:v>
      </x:c>
      <x:c r="M62" s="28" t="n">
        <x:v>0</x:v>
      </x:c>
      <x:c r="N62" s="28" t="n">
        <x:v>0</x:v>
      </x:c>
      <x:c r="O62" s="28" t="str">
        <x:v>登记消耗1件；永久一次；不收金币/元宝/灵符</x:v>
      </x:c>
    </x:row>
    <x:row r="63" ht="30" customHeight="1">
      <x:c r="A63" s="28" t="str">
        <x:v>C02</x:v>
      </x:c>
      <x:c r="B63" s="28" t="str">
        <x:v>关卡前废墟</x:v>
      </x:c>
      <x:c r="C63" s="28" t="str">
        <x:v>兽爪礼刃</x:v>
      </x:c>
      <x:c r="D63" s="28" t="str">
        <x:v>稀有</x:v>
      </x:c>
      <x:c r="E63" s="28" t="n">
        <x:v>1</x:v>
      </x:c>
      <x:c r="F63" s="28" t="n">
        <x:v>0</x:v>
      </x:c>
      <x:c r="G63" s="28" t="n">
        <x:v>0</x:v>
      </x:c>
      <x:c r="H63" s="28" t="n">
        <x:v>0</x:v>
      </x:c>
      <x:c r="I63" s="28" t="n">
        <x:v>4</x:v>
      </x:c>
      <x:c r="J63" s="28" t="n">
        <x:v>400</x:v>
      </x:c>
      <x:c r="K63" s="28" t="n">
        <x:v>5</x:v>
      </x:c>
      <x:c r="L63" s="28" t="n">
        <x:v>0</x:v>
      </x:c>
      <x:c r="M63" s="28" t="n">
        <x:v>0</x:v>
      </x:c>
      <x:c r="N63" s="28" t="n">
        <x:v>0</x:v>
      </x:c>
      <x:c r="O63" s="28" t="str">
        <x:v>登记消耗1件；永久一次；不收金币/元宝/灵符</x:v>
      </x:c>
    </x:row>
    <x:row r="64" ht="30" customHeight="1">
      <x:c r="A64" s="28" t="str">
        <x:v>C02</x:v>
      </x:c>
      <x:c r="B64" s="28" t="str">
        <x:v>关卡前废墟</x:v>
      </x:c>
      <x:c r="C64" s="28" t="str">
        <x:v>破阵军袍</x:v>
      </x:c>
      <x:c r="D64" s="28" t="str">
        <x:v>稀有</x:v>
      </x:c>
      <x:c r="E64" s="28" t="n">
        <x:v>1</x:v>
      </x:c>
      <x:c r="F64" s="28" t="n">
        <x:v>0</x:v>
      </x:c>
      <x:c r="G64" s="28" t="n">
        <x:v>0</x:v>
      </x:c>
      <x:c r="H64" s="28" t="n">
        <x:v>0</x:v>
      </x:c>
      <x:c r="I64" s="28" t="n">
        <x:v>4</x:v>
      </x:c>
      <x:c r="J64" s="28" t="n">
        <x:v>400</x:v>
      </x:c>
      <x:c r="K64" s="28" t="n">
        <x:v>5</x:v>
      </x:c>
      <x:c r="L64" s="28" t="n">
        <x:v>0</x:v>
      </x:c>
      <x:c r="M64" s="28" t="n">
        <x:v>0</x:v>
      </x:c>
      <x:c r="N64" s="28" t="n">
        <x:v>0</x:v>
      </x:c>
      <x:c r="O64" s="28" t="str">
        <x:v>登记消耗1件；永久一次；不收金币/元宝/灵符</x:v>
      </x:c>
    </x:row>
    <x:row r="65" ht="30" customHeight="1">
      <x:c r="A65" s="28" t="str">
        <x:v>C02</x:v>
      </x:c>
      <x:c r="B65" s="28" t="str">
        <x:v>关卡前废墟</x:v>
      </x:c>
      <x:c r="C65" s="28" t="str">
        <x:v>长戟寅虎</x:v>
      </x:c>
      <x:c r="D65" s="28" t="str">
        <x:v>BOSS</x:v>
      </x:c>
      <x:c r="E65" s="28" t="n">
        <x:v>1</x:v>
      </x:c>
      <x:c r="F65" s="28" t="n">
        <x:v>0</x:v>
      </x:c>
      <x:c r="G65" s="28" t="n">
        <x:v>0</x:v>
      </x:c>
      <x:c r="H65" s="28" t="n">
        <x:v>0</x:v>
      </x:c>
      <x:c r="I65" s="28" t="n">
        <x:v>6</x:v>
      </x:c>
      <x:c r="J65" s="28" t="n">
        <x:v>600</x:v>
      </x:c>
      <x:c r="K65" s="28" t="n">
        <x:v>0</x:v>
      </x:c>
      <x:c r="L65" s="28" t="n">
        <x:v>1</x:v>
      </x:c>
      <x:c r="M65" s="28" t="n">
        <x:v>0</x:v>
      </x:c>
      <x:c r="N65" s="28" t="n">
        <x:v>0</x:v>
      </x:c>
      <x:c r="O65" s="28" t="str">
        <x:v>登记消耗1件；永久一次；不收金币/元宝/灵符</x:v>
      </x:c>
    </x:row>
    <x:row r="66" ht="30" customHeight="1">
      <x:c r="A66" s="28" t="str">
        <x:v>C02</x:v>
      </x:c>
      <x:c r="B66" s="28" t="str">
        <x:v>关卡前废墟</x:v>
      </x:c>
      <x:c r="C66" s="28" t="str">
        <x:v>无月卯兔</x:v>
      </x:c>
      <x:c r="D66" s="28" t="str">
        <x:v>BOSS</x:v>
      </x:c>
      <x:c r="E66" s="28" t="n">
        <x:v>1</x:v>
      </x:c>
      <x:c r="F66" s="28" t="n">
        <x:v>0</x:v>
      </x:c>
      <x:c r="G66" s="28" t="n">
        <x:v>0</x:v>
      </x:c>
      <x:c r="H66" s="28" t="n">
        <x:v>0</x:v>
      </x:c>
      <x:c r="I66" s="28" t="n">
        <x:v>6</x:v>
      </x:c>
      <x:c r="J66" s="28" t="n">
        <x:v>600</x:v>
      </x:c>
      <x:c r="K66" s="28" t="n">
        <x:v>0</x:v>
      </x:c>
      <x:c r="L66" s="28" t="n">
        <x:v>1</x:v>
      </x:c>
      <x:c r="M66" s="28" t="n">
        <x:v>0</x:v>
      </x:c>
      <x:c r="N66" s="28" t="n">
        <x:v>0</x:v>
      </x:c>
      <x:c r="O66" s="28" t="str">
        <x:v>登记消耗1件；永久一次；不收金币/元宝/灵符</x:v>
      </x:c>
    </x:row>
    <x:row r="67" ht="30" customHeight="1">
      <x:c r="A67" s="28" t="str">
        <x:v>C02</x:v>
      </x:c>
      <x:c r="B67" s="28" t="str">
        <x:v>迷雾丛林</x:v>
      </x:c>
      <x:c r="C67" s="28" t="str">
        <x:v>雾牙短刃</x:v>
      </x:c>
      <x:c r="D67" s="28" t="str">
        <x:v>普通</x:v>
      </x:c>
      <x:c r="E67" s="28" t="n">
        <x:v>1</x:v>
      </x:c>
      <x:c r="F67" s="28" t="n">
        <x:v>0</x:v>
      </x:c>
      <x:c r="G67" s="28" t="n">
        <x:v>0</x:v>
      </x:c>
      <x:c r="H67" s="28" t="n">
        <x:v>0</x:v>
      </x:c>
      <x:c r="I67" s="28" t="n">
        <x:v>2</x:v>
      </x:c>
      <x:c r="J67" s="28" t="n">
        <x:v>200</x:v>
      </x:c>
      <x:c r="K67" s="28" t="n">
        <x:v>0</x:v>
      </x:c>
      <x:c r="L67" s="28" t="n">
        <x:v>0</x:v>
      </x:c>
      <x:c r="M67" s="28" t="n">
        <x:v>0</x:v>
      </x:c>
      <x:c r="N67" s="28" t="n">
        <x:v>0</x:v>
      </x:c>
      <x:c r="O67" s="28" t="str">
        <x:v>登记消耗1件；永久一次；不收金币/元宝/灵符</x:v>
      </x:c>
    </x:row>
    <x:row r="68" ht="30" customHeight="1">
      <x:c r="A68" s="28" t="str">
        <x:v>C02</x:v>
      </x:c>
      <x:c r="B68" s="28" t="str">
        <x:v>迷雾丛林</x:v>
      </x:c>
      <x:c r="C68" s="28" t="str">
        <x:v>熊王战靴</x:v>
      </x:c>
      <x:c r="D68" s="28" t="str">
        <x:v>普通</x:v>
      </x:c>
      <x:c r="E68" s="28" t="n">
        <x:v>1</x:v>
      </x:c>
      <x:c r="F68" s="28" t="n">
        <x:v>0</x:v>
      </x:c>
      <x:c r="G68" s="28" t="n">
        <x:v>0</x:v>
      </x:c>
      <x:c r="H68" s="28" t="n">
        <x:v>0</x:v>
      </x:c>
      <x:c r="I68" s="28" t="n">
        <x:v>2</x:v>
      </x:c>
      <x:c r="J68" s="28" t="n">
        <x:v>200</x:v>
      </x:c>
      <x:c r="K68" s="28" t="n">
        <x:v>0</x:v>
      </x:c>
      <x:c r="L68" s="28" t="n">
        <x:v>0</x:v>
      </x:c>
      <x:c r="M68" s="28" t="n">
        <x:v>0</x:v>
      </x:c>
      <x:c r="N68" s="28" t="n">
        <x:v>0</x:v>
      </x:c>
      <x:c r="O68" s="28" t="str">
        <x:v>登记消耗1件；永久一次；不收金币/元宝/灵符</x:v>
      </x:c>
    </x:row>
    <x:row r="69" ht="30" customHeight="1">
      <x:c r="A69" s="28" t="str">
        <x:v>C02</x:v>
      </x:c>
      <x:c r="B69" s="28" t="str">
        <x:v>迷雾丛林</x:v>
      </x:c>
      <x:c r="C69" s="28" t="str">
        <x:v>祖灵皮衣</x:v>
      </x:c>
      <x:c r="D69" s="28" t="str">
        <x:v>普通</x:v>
      </x:c>
      <x:c r="E69" s="28" t="n">
        <x:v>1</x:v>
      </x:c>
      <x:c r="F69" s="28" t="n">
        <x:v>0</x:v>
      </x:c>
      <x:c r="G69" s="28" t="n">
        <x:v>0</x:v>
      </x:c>
      <x:c r="H69" s="28" t="n">
        <x:v>0</x:v>
      </x:c>
      <x:c r="I69" s="28" t="n">
        <x:v>2</x:v>
      </x:c>
      <x:c r="J69" s="28" t="n">
        <x:v>200</x:v>
      </x:c>
      <x:c r="K69" s="28" t="n">
        <x:v>0</x:v>
      </x:c>
      <x:c r="L69" s="28" t="n">
        <x:v>0</x:v>
      </x:c>
      <x:c r="M69" s="28" t="n">
        <x:v>0</x:v>
      </x:c>
      <x:c r="N69" s="28" t="n">
        <x:v>0</x:v>
      </x:c>
      <x:c r="O69" s="28" t="str">
        <x:v>登记消耗1件；永久一次；不收金币/元宝/灵符</x:v>
      </x:c>
    </x:row>
    <x:row r="70" ht="30" customHeight="1">
      <x:c r="A70" s="28" t="str">
        <x:v>C02</x:v>
      </x:c>
      <x:c r="B70" s="28" t="str">
        <x:v>迷雾丛林</x:v>
      </x:c>
      <x:c r="C70" s="28" t="str">
        <x:v>古树祷链</x:v>
      </x:c>
      <x:c r="D70" s="28" t="str">
        <x:v>普通</x:v>
      </x:c>
      <x:c r="E70" s="28" t="n">
        <x:v>1</x:v>
      </x:c>
      <x:c r="F70" s="28" t="n">
        <x:v>0</x:v>
      </x:c>
      <x:c r="G70" s="28" t="n">
        <x:v>0</x:v>
      </x:c>
      <x:c r="H70" s="28" t="n">
        <x:v>0</x:v>
      </x:c>
      <x:c r="I70" s="28" t="n">
        <x:v>2</x:v>
      </x:c>
      <x:c r="J70" s="28" t="n">
        <x:v>200</x:v>
      </x:c>
      <x:c r="K70" s="28" t="n">
        <x:v>0</x:v>
      </x:c>
      <x:c r="L70" s="28" t="n">
        <x:v>0</x:v>
      </x:c>
      <x:c r="M70" s="28" t="n">
        <x:v>0</x:v>
      </x:c>
      <x:c r="N70" s="28" t="n">
        <x:v>0</x:v>
      </x:c>
      <x:c r="O70" s="28" t="str">
        <x:v>登记消耗1件；永久一次；不收金币/元宝/灵符</x:v>
      </x:c>
    </x:row>
    <x:row r="71" ht="30" customHeight="1">
      <x:c r="A71" s="28" t="str">
        <x:v>C02</x:v>
      </x:c>
      <x:c r="B71" s="28" t="str">
        <x:v>迷雾丛林</x:v>
      </x:c>
      <x:c r="C71" s="28" t="str">
        <x:v>半兽战勋</x:v>
      </x:c>
      <x:c r="D71" s="28" t="str">
        <x:v>普通</x:v>
      </x:c>
      <x:c r="E71" s="28" t="n">
        <x:v>1</x:v>
      </x:c>
      <x:c r="F71" s="28" t="n">
        <x:v>0</x:v>
      </x:c>
      <x:c r="G71" s="28" t="n">
        <x:v>0</x:v>
      </x:c>
      <x:c r="H71" s="28" t="n">
        <x:v>0</x:v>
      </x:c>
      <x:c r="I71" s="28" t="n">
        <x:v>2</x:v>
      </x:c>
      <x:c r="J71" s="28" t="n">
        <x:v>200</x:v>
      </x:c>
      <x:c r="K71" s="28" t="n">
        <x:v>0</x:v>
      </x:c>
      <x:c r="L71" s="28" t="n">
        <x:v>0</x:v>
      </x:c>
      <x:c r="M71" s="28" t="n">
        <x:v>0</x:v>
      </x:c>
      <x:c r="N71" s="28" t="n">
        <x:v>0</x:v>
      </x:c>
      <x:c r="O71" s="28" t="str">
        <x:v>登记消耗1件；永久一次；不收金币/元宝/灵符</x:v>
      </x:c>
    </x:row>
    <x:row r="72" ht="30" customHeight="1">
      <x:c r="A72" s="28" t="str">
        <x:v>C02</x:v>
      </x:c>
      <x:c r="B72" s="28" t="str">
        <x:v>迷雾丛林</x:v>
      </x:c>
      <x:c r="C72" s="28" t="str">
        <x:v>毒花巨盾</x:v>
      </x:c>
      <x:c r="D72" s="28" t="str">
        <x:v>普通</x:v>
      </x:c>
      <x:c r="E72" s="28" t="n">
        <x:v>1</x:v>
      </x:c>
      <x:c r="F72" s="28" t="n">
        <x:v>0</x:v>
      </x:c>
      <x:c r="G72" s="28" t="n">
        <x:v>0</x:v>
      </x:c>
      <x:c r="H72" s="28" t="n">
        <x:v>0</x:v>
      </x:c>
      <x:c r="I72" s="28" t="n">
        <x:v>2</x:v>
      </x:c>
      <x:c r="J72" s="28" t="n">
        <x:v>200</x:v>
      </x:c>
      <x:c r="K72" s="28" t="n">
        <x:v>0</x:v>
      </x:c>
      <x:c r="L72" s="28" t="n">
        <x:v>0</x:v>
      </x:c>
      <x:c r="M72" s="28" t="n">
        <x:v>0</x:v>
      </x:c>
      <x:c r="N72" s="28" t="n">
        <x:v>0</x:v>
      </x:c>
      <x:c r="O72" s="28" t="str">
        <x:v>登记消耗1件；永久一次；不收金币/元宝/灵符</x:v>
      </x:c>
    </x:row>
    <x:row r="73" ht="30" customHeight="1">
      <x:c r="A73" s="28" t="str">
        <x:v>C02</x:v>
      </x:c>
      <x:c r="B73" s="28" t="str">
        <x:v>迷雾丛林</x:v>
      </x:c>
      <x:c r="C73" s="28" t="str">
        <x:v>卢恩血镯</x:v>
      </x:c>
      <x:c r="D73" s="28" t="str">
        <x:v>稀有</x:v>
      </x:c>
      <x:c r="E73" s="28" t="n">
        <x:v>1</x:v>
      </x:c>
      <x:c r="F73" s="28" t="n">
        <x:v>0</x:v>
      </x:c>
      <x:c r="G73" s="28" t="n">
        <x:v>0</x:v>
      </x:c>
      <x:c r="H73" s="28" t="n">
        <x:v>0</x:v>
      </x:c>
      <x:c r="I73" s="28" t="n">
        <x:v>4</x:v>
      </x:c>
      <x:c r="J73" s="28" t="n">
        <x:v>400</x:v>
      </x:c>
      <x:c r="K73" s="28" t="n">
        <x:v>5</x:v>
      </x:c>
      <x:c r="L73" s="28" t="n">
        <x:v>0</x:v>
      </x:c>
      <x:c r="M73" s="28" t="n">
        <x:v>0</x:v>
      </x:c>
      <x:c r="N73" s="28" t="n">
        <x:v>0</x:v>
      </x:c>
      <x:c r="O73" s="28" t="str">
        <x:v>登记消耗1件；永久一次；不收金币/元宝/灵符</x:v>
      </x:c>
    </x:row>
    <x:row r="74" ht="30" customHeight="1">
      <x:c r="A74" s="28" t="str">
        <x:v>C02</x:v>
      </x:c>
      <x:c r="B74" s="28" t="str">
        <x:v>迷雾丛林</x:v>
      </x:c>
      <x:c r="C74" s="28" t="str">
        <x:v>黄金树戒</x:v>
      </x:c>
      <x:c r="D74" s="28" t="str">
        <x:v>稀有</x:v>
      </x:c>
      <x:c r="E74" s="28" t="n">
        <x:v>1</x:v>
      </x:c>
      <x:c r="F74" s="28" t="n">
        <x:v>0</x:v>
      </x:c>
      <x:c r="G74" s="28" t="n">
        <x:v>0</x:v>
      </x:c>
      <x:c r="H74" s="28" t="n">
        <x:v>0</x:v>
      </x:c>
      <x:c r="I74" s="28" t="n">
        <x:v>4</x:v>
      </x:c>
      <x:c r="J74" s="28" t="n">
        <x:v>400</x:v>
      </x:c>
      <x:c r="K74" s="28" t="n">
        <x:v>5</x:v>
      </x:c>
      <x:c r="L74" s="28" t="n">
        <x:v>0</x:v>
      </x:c>
      <x:c r="M74" s="28" t="n">
        <x:v>0</x:v>
      </x:c>
      <x:c r="N74" s="28" t="n">
        <x:v>0</x:v>
      </x:c>
      <x:c r="O74" s="28" t="str">
        <x:v>登记消耗1件；永久一次；不收金币/元宝/灵符</x:v>
      </x:c>
    </x:row>
    <x:row r="75" ht="30" customHeight="1">
      <x:c r="A75" s="28" t="str">
        <x:v>C02</x:v>
      </x:c>
      <x:c r="B75" s="28" t="str">
        <x:v>迷雾丛林</x:v>
      </x:c>
      <x:c r="C75" s="28" t="str">
        <x:v>猎犬辰龙</x:v>
      </x:c>
      <x:c r="D75" s="28" t="str">
        <x:v>稀有</x:v>
      </x:c>
      <x:c r="E75" s="28" t="n">
        <x:v>1</x:v>
      </x:c>
      <x:c r="F75" s="28" t="n">
        <x:v>0</x:v>
      </x:c>
      <x:c r="G75" s="28" t="n">
        <x:v>0</x:v>
      </x:c>
      <x:c r="H75" s="28" t="n">
        <x:v>0</x:v>
      </x:c>
      <x:c r="I75" s="28" t="n">
        <x:v>4</x:v>
      </x:c>
      <x:c r="J75" s="28" t="n">
        <x:v>400</x:v>
      </x:c>
      <x:c r="K75" s="28" t="n">
        <x:v>5</x:v>
      </x:c>
      <x:c r="L75" s="28" t="n">
        <x:v>0</x:v>
      </x:c>
      <x:c r="M75" s="28" t="n">
        <x:v>0</x:v>
      </x:c>
      <x:c r="N75" s="28" t="n">
        <x:v>0</x:v>
      </x:c>
      <x:c r="O75" s="28" t="str">
        <x:v>登记消耗1件；永久一次；不收金币/元宝/灵符</x:v>
      </x:c>
    </x:row>
    <x:row r="76" ht="30" customHeight="1">
      <x:c r="A76" s="28" t="str">
        <x:v>C02</x:v>
      </x:c>
      <x:c r="B76" s="28" t="str">
        <x:v>迷雾丛林</x:v>
      </x:c>
      <x:c r="C76" s="28" t="str">
        <x:v>祖魂巳蛇</x:v>
      </x:c>
      <x:c r="D76" s="28" t="str">
        <x:v>稀有</x:v>
      </x:c>
      <x:c r="E76" s="28" t="n">
        <x:v>1</x:v>
      </x:c>
      <x:c r="F76" s="28" t="n">
        <x:v>0</x:v>
      </x:c>
      <x:c r="G76" s="28" t="n">
        <x:v>0</x:v>
      </x:c>
      <x:c r="H76" s="28" t="n">
        <x:v>0</x:v>
      </x:c>
      <x:c r="I76" s="28" t="n">
        <x:v>4</x:v>
      </x:c>
      <x:c r="J76" s="28" t="n">
        <x:v>400</x:v>
      </x:c>
      <x:c r="K76" s="28" t="n">
        <x:v>5</x:v>
      </x:c>
      <x:c r="L76" s="28" t="n">
        <x:v>0</x:v>
      </x:c>
      <x:c r="M76" s="28" t="n">
        <x:v>0</x:v>
      </x:c>
      <x:c r="N76" s="28" t="n">
        <x:v>0</x:v>
      </x:c>
      <x:c r="O76" s="28" t="str">
        <x:v>登记消耗1件；永久一次；不收金币/元宝/灵符</x:v>
      </x:c>
    </x:row>
    <x:row r="77" ht="30" customHeight="1">
      <x:c r="A77" s="28" t="str">
        <x:v>C02</x:v>
      </x:c>
      <x:c r="B77" s="28" t="str">
        <x:v>迷雾丛林</x:v>
      </x:c>
      <x:c r="C77" s="28" t="str">
        <x:v>死水午马</x:v>
      </x:c>
      <x:c r="D77" s="28" t="str">
        <x:v>BOSS</x:v>
      </x:c>
      <x:c r="E77" s="28" t="n">
        <x:v>1</x:v>
      </x:c>
      <x:c r="F77" s="28" t="n">
        <x:v>0</x:v>
      </x:c>
      <x:c r="G77" s="28" t="n">
        <x:v>0</x:v>
      </x:c>
      <x:c r="H77" s="28" t="n">
        <x:v>0</x:v>
      </x:c>
      <x:c r="I77" s="28" t="n">
        <x:v>6</x:v>
      </x:c>
      <x:c r="J77" s="28" t="n">
        <x:v>600</x:v>
      </x:c>
      <x:c r="K77" s="28" t="n">
        <x:v>0</x:v>
      </x:c>
      <x:c r="L77" s="28" t="n">
        <x:v>1</x:v>
      </x:c>
      <x:c r="M77" s="28" t="n">
        <x:v>0</x:v>
      </x:c>
      <x:c r="N77" s="28" t="n">
        <x:v>0</x:v>
      </x:c>
      <x:c r="O77" s="28" t="str">
        <x:v>登记消耗1件；永久一次；不收金币/元宝/灵符</x:v>
      </x:c>
    </x:row>
    <x:row r="78" ht="30" customHeight="1">
      <x:c r="A78" s="28" t="str">
        <x:v>C02</x:v>
      </x:c>
      <x:c r="B78" s="28" t="str">
        <x:v>迷雾丛林</x:v>
      </x:c>
      <x:c r="C78" s="28" t="str">
        <x:v>熔炉古玉</x:v>
      </x:c>
      <x:c r="D78" s="28" t="str">
        <x:v>BOSS</x:v>
      </x:c>
      <x:c r="E78" s="28" t="n">
        <x:v>1</x:v>
      </x:c>
      <x:c r="F78" s="28" t="n">
        <x:v>0</x:v>
      </x:c>
      <x:c r="G78" s="28" t="n">
        <x:v>0</x:v>
      </x:c>
      <x:c r="H78" s="28" t="n">
        <x:v>0</x:v>
      </x:c>
      <x:c r="I78" s="28" t="n">
        <x:v>6</x:v>
      </x:c>
      <x:c r="J78" s="28" t="n">
        <x:v>600</x:v>
      </x:c>
      <x:c r="K78" s="28" t="n">
        <x:v>0</x:v>
      </x:c>
      <x:c r="L78" s="28" t="n">
        <x:v>1</x:v>
      </x:c>
      <x:c r="M78" s="28" t="n">
        <x:v>0</x:v>
      </x:c>
      <x:c r="N78" s="28" t="n">
        <x:v>0</x:v>
      </x:c>
      <x:c r="O78" s="28" t="str">
        <x:v>登记消耗1件；永久一次；不收金币/元宝/灵符</x:v>
      </x:c>
    </x:row>
    <x:row r="79" ht="30" customHeight="1">
      <x:c r="A79" s="28" t="str">
        <x:v>C02</x:v>
      </x:c>
      <x:c r="B79" s="28" t="str">
        <x:v>风暴山谷</x:v>
      </x:c>
      <x:c r="C79" s="28" t="str">
        <x:v>风羽战刃</x:v>
      </x:c>
      <x:c r="D79" s="28" t="str">
        <x:v>普通</x:v>
      </x:c>
      <x:c r="E79" s="28" t="n">
        <x:v>1</x:v>
      </x:c>
      <x:c r="F79" s="28" t="n">
        <x:v>0</x:v>
      </x:c>
      <x:c r="G79" s="28" t="n">
        <x:v>0</x:v>
      </x:c>
      <x:c r="H79" s="28" t="n">
        <x:v>0</x:v>
      </x:c>
      <x:c r="I79" s="28" t="n">
        <x:v>2</x:v>
      </x:c>
      <x:c r="J79" s="28" t="n">
        <x:v>200</x:v>
      </x:c>
      <x:c r="K79" s="28" t="n">
        <x:v>0</x:v>
      </x:c>
      <x:c r="L79" s="28" t="n">
        <x:v>0</x:v>
      </x:c>
      <x:c r="M79" s="28" t="n">
        <x:v>0</x:v>
      </x:c>
      <x:c r="N79" s="28" t="n">
        <x:v>0</x:v>
      </x:c>
      <x:c r="O79" s="28" t="str">
        <x:v>登记消耗1件；永久一次；不收金币/元宝/灵符</x:v>
      </x:c>
    </x:row>
    <x:row r="80" ht="30" customHeight="1">
      <x:c r="A80" s="28" t="str">
        <x:v>C02</x:v>
      </x:c>
      <x:c r="B80" s="28" t="str">
        <x:v>风暴山谷</x:v>
      </x:c>
      <x:c r="C80" s="28" t="str">
        <x:v>雷羽战衣</x:v>
      </x:c>
      <x:c r="D80" s="28" t="str">
        <x:v>普通</x:v>
      </x:c>
      <x:c r="E80" s="28" t="n">
        <x:v>1</x:v>
      </x:c>
      <x:c r="F80" s="28" t="n">
        <x:v>0</x:v>
      </x:c>
      <x:c r="G80" s="28" t="n">
        <x:v>0</x:v>
      </x:c>
      <x:c r="H80" s="28" t="n">
        <x:v>0</x:v>
      </x:c>
      <x:c r="I80" s="28" t="n">
        <x:v>2</x:v>
      </x:c>
      <x:c r="J80" s="28" t="n">
        <x:v>200</x:v>
      </x:c>
      <x:c r="K80" s="28" t="n">
        <x:v>0</x:v>
      </x:c>
      <x:c r="L80" s="28" t="n">
        <x:v>0</x:v>
      </x:c>
      <x:c r="M80" s="28" t="n">
        <x:v>0</x:v>
      </x:c>
      <x:c r="N80" s="28" t="n">
        <x:v>0</x:v>
      </x:c>
      <x:c r="O80" s="28" t="str">
        <x:v>登记消耗1件；永久一次；不收金币/元宝/灵符</x:v>
      </x:c>
    </x:row>
    <x:row r="81" ht="30" customHeight="1">
      <x:c r="A81" s="28" t="str">
        <x:v>C02</x:v>
      </x:c>
      <x:c r="B81" s="28" t="str">
        <x:v>风暴山谷</x:v>
      </x:c>
      <x:c r="C81" s="28" t="str">
        <x:v>巨人铁盔</x:v>
      </x:c>
      <x:c r="D81" s="28" t="str">
        <x:v>普通</x:v>
      </x:c>
      <x:c r="E81" s="28" t="n">
        <x:v>1</x:v>
      </x:c>
      <x:c r="F81" s="28" t="n">
        <x:v>0</x:v>
      </x:c>
      <x:c r="G81" s="28" t="n">
        <x:v>0</x:v>
      </x:c>
      <x:c r="H81" s="28" t="n">
        <x:v>0</x:v>
      </x:c>
      <x:c r="I81" s="28" t="n">
        <x:v>2</x:v>
      </x:c>
      <x:c r="J81" s="28" t="n">
        <x:v>200</x:v>
      </x:c>
      <x:c r="K81" s="28" t="n">
        <x:v>0</x:v>
      </x:c>
      <x:c r="L81" s="28" t="n">
        <x:v>0</x:v>
      </x:c>
      <x:c r="M81" s="28" t="n">
        <x:v>0</x:v>
      </x:c>
      <x:c r="N81" s="28" t="n">
        <x:v>0</x:v>
      </x:c>
      <x:c r="O81" s="28" t="str">
        <x:v>登记消耗1件；永久一次；不收金币/元宝/灵符</x:v>
      </x:c>
    </x:row>
    <x:row r="82" ht="30" customHeight="1">
      <x:c r="A82" s="28" t="str">
        <x:v>C02</x:v>
      </x:c>
      <x:c r="B82" s="28" t="str">
        <x:v>风暴山谷</x:v>
      </x:c>
      <x:c r="C82" s="28" t="str">
        <x:v>风角骨戒</x:v>
      </x:c>
      <x:c r="D82" s="28" t="str">
        <x:v>普通</x:v>
      </x:c>
      <x:c r="E82" s="28" t="n">
        <x:v>1</x:v>
      </x:c>
      <x:c r="F82" s="28" t="n">
        <x:v>0</x:v>
      </x:c>
      <x:c r="G82" s="28" t="n">
        <x:v>0</x:v>
      </x:c>
      <x:c r="H82" s="28" t="n">
        <x:v>0</x:v>
      </x:c>
      <x:c r="I82" s="28" t="n">
        <x:v>2</x:v>
      </x:c>
      <x:c r="J82" s="28" t="n">
        <x:v>200</x:v>
      </x:c>
      <x:c r="K82" s="28" t="n">
        <x:v>0</x:v>
      </x:c>
      <x:c r="L82" s="28" t="n">
        <x:v>0</x:v>
      </x:c>
      <x:c r="M82" s="28" t="n">
        <x:v>0</x:v>
      </x:c>
      <x:c r="N82" s="28" t="n">
        <x:v>0</x:v>
      </x:c>
      <x:c r="O82" s="28" t="str">
        <x:v>登记消耗1件；永久一次；不收金币/元宝/灵符</x:v>
      </x:c>
    </x:row>
    <x:row r="83" ht="30" customHeight="1">
      <x:c r="A83" s="28" t="str">
        <x:v>C02</x:v>
      </x:c>
      <x:c r="B83" s="28" t="str">
        <x:v>风暴山谷</x:v>
      </x:c>
      <x:c r="C83" s="28" t="str">
        <x:v>流寇束带</x:v>
      </x:c>
      <x:c r="D83" s="28" t="str">
        <x:v>普通</x:v>
      </x:c>
      <x:c r="E83" s="28" t="n">
        <x:v>1</x:v>
      </x:c>
      <x:c r="F83" s="28" t="n">
        <x:v>0</x:v>
      </x:c>
      <x:c r="G83" s="28" t="n">
        <x:v>0</x:v>
      </x:c>
      <x:c r="H83" s="28" t="n">
        <x:v>0</x:v>
      </x:c>
      <x:c r="I83" s="28" t="n">
        <x:v>2</x:v>
      </x:c>
      <x:c r="J83" s="28" t="n">
        <x:v>200</x:v>
      </x:c>
      <x:c r="K83" s="28" t="n">
        <x:v>0</x:v>
      </x:c>
      <x:c r="L83" s="28" t="n">
        <x:v>0</x:v>
      </x:c>
      <x:c r="M83" s="28" t="n">
        <x:v>0</x:v>
      </x:c>
      <x:c r="N83" s="28" t="n">
        <x:v>0</x:v>
      </x:c>
      <x:c r="O83" s="28" t="str">
        <x:v>登记消耗1件；永久一次；不收金币/元宝/灵符</x:v>
      </x:c>
    </x:row>
    <x:row r="84" ht="30" customHeight="1">
      <x:c r="A84" s="28" t="str">
        <x:v>C02</x:v>
      </x:c>
      <x:c r="B84" s="28" t="str">
        <x:v>风暴山谷</x:v>
      </x:c>
      <x:c r="C84" s="28" t="str">
        <x:v>雷痕石盾</x:v>
      </x:c>
      <x:c r="D84" s="28" t="str">
        <x:v>普通</x:v>
      </x:c>
      <x:c r="E84" s="28" t="n">
        <x:v>1</x:v>
      </x:c>
      <x:c r="F84" s="28" t="n">
        <x:v>0</x:v>
      </x:c>
      <x:c r="G84" s="28" t="n">
        <x:v>0</x:v>
      </x:c>
      <x:c r="H84" s="28" t="n">
        <x:v>0</x:v>
      </x:c>
      <x:c r="I84" s="28" t="n">
        <x:v>2</x:v>
      </x:c>
      <x:c r="J84" s="28" t="n">
        <x:v>200</x:v>
      </x:c>
      <x:c r="K84" s="28" t="n">
        <x:v>0</x:v>
      </x:c>
      <x:c r="L84" s="28" t="n">
        <x:v>0</x:v>
      </x:c>
      <x:c r="M84" s="28" t="n">
        <x:v>0</x:v>
      </x:c>
      <x:c r="N84" s="28" t="n">
        <x:v>0</x:v>
      </x:c>
      <x:c r="O84" s="28" t="str">
        <x:v>登记消耗1件；永久一次；不收金币/元宝/灵符</x:v>
      </x:c>
    </x:row>
    <x:row r="85" ht="30" customHeight="1">
      <x:c r="A85" s="28" t="str">
        <x:v>C02</x:v>
      </x:c>
      <x:c r="B85" s="28" t="str">
        <x:v>风暴山谷</x:v>
      </x:c>
      <x:c r="C85" s="28" t="str">
        <x:v>山妖魂玉</x:v>
      </x:c>
      <x:c r="D85" s="28" t="str">
        <x:v>稀有</x:v>
      </x:c>
      <x:c r="E85" s="28" t="n">
        <x:v>1</x:v>
      </x:c>
      <x:c r="F85" s="28" t="n">
        <x:v>0</x:v>
      </x:c>
      <x:c r="G85" s="28" t="n">
        <x:v>0</x:v>
      </x:c>
      <x:c r="H85" s="28" t="n">
        <x:v>0</x:v>
      </x:c>
      <x:c r="I85" s="28" t="n">
        <x:v>4</x:v>
      </x:c>
      <x:c r="J85" s="28" t="n">
        <x:v>400</x:v>
      </x:c>
      <x:c r="K85" s="28" t="n">
        <x:v>5</x:v>
      </x:c>
      <x:c r="L85" s="28" t="n">
        <x:v>0</x:v>
      </x:c>
      <x:c r="M85" s="28" t="n">
        <x:v>0</x:v>
      </x:c>
      <x:c r="N85" s="28" t="n">
        <x:v>0</x:v>
      </x:c>
      <x:c r="O85" s="28" t="str">
        <x:v>登记消耗1件；永久一次；不收金币/元宝/灵符</x:v>
      </x:c>
    </x:row>
    <x:row r="86" ht="30" customHeight="1">
      <x:c r="A86" s="28" t="str">
        <x:v>C02</x:v>
      </x:c>
      <x:c r="B86" s="28" t="str">
        <x:v>风暴山谷</x:v>
      </x:c>
      <x:c r="C86" s="28" t="str">
        <x:v>鹰主风冠</x:v>
      </x:c>
      <x:c r="D86" s="28" t="str">
        <x:v>稀有</x:v>
      </x:c>
      <x:c r="E86" s="28" t="n">
        <x:v>1</x:v>
      </x:c>
      <x:c r="F86" s="28" t="n">
        <x:v>0</x:v>
      </x:c>
      <x:c r="G86" s="28" t="n">
        <x:v>0</x:v>
      </x:c>
      <x:c r="H86" s="28" t="n">
        <x:v>0</x:v>
      </x:c>
      <x:c r="I86" s="28" t="n">
        <x:v>4</x:v>
      </x:c>
      <x:c r="J86" s="28" t="n">
        <x:v>400</x:v>
      </x:c>
      <x:c r="K86" s="28" t="n">
        <x:v>5</x:v>
      </x:c>
      <x:c r="L86" s="28" t="n">
        <x:v>0</x:v>
      </x:c>
      <x:c r="M86" s="28" t="n">
        <x:v>0</x:v>
      </x:c>
      <x:c r="N86" s="28" t="n">
        <x:v>0</x:v>
      </x:c>
      <x:c r="O86" s="28" t="str">
        <x:v>登记消耗1件；永久一次；不收金币/元宝/灵符</x:v>
      </x:c>
    </x:row>
    <x:row r="87" ht="30" customHeight="1">
      <x:c r="A87" s="28" t="str">
        <x:v>C02</x:v>
      </x:c>
      <x:c r="B87" s="28" t="str">
        <x:v>风暴山谷</x:v>
      </x:c>
      <x:c r="C87" s="28" t="str">
        <x:v>百夫熔戟</x:v>
      </x:c>
      <x:c r="D87" s="28" t="str">
        <x:v>稀有</x:v>
      </x:c>
      <x:c r="E87" s="28" t="n">
        <x:v>1</x:v>
      </x:c>
      <x:c r="F87" s="28" t="n">
        <x:v>0</x:v>
      </x:c>
      <x:c r="G87" s="28" t="n">
        <x:v>0</x:v>
      </x:c>
      <x:c r="H87" s="28" t="n">
        <x:v>0</x:v>
      </x:c>
      <x:c r="I87" s="28" t="n">
        <x:v>4</x:v>
      </x:c>
      <x:c r="J87" s="28" t="n">
        <x:v>400</x:v>
      </x:c>
      <x:c r="K87" s="28" t="n">
        <x:v>5</x:v>
      </x:c>
      <x:c r="L87" s="28" t="n">
        <x:v>0</x:v>
      </x:c>
      <x:c r="M87" s="28" t="n">
        <x:v>0</x:v>
      </x:c>
      <x:c r="N87" s="28" t="n">
        <x:v>0</x:v>
      </x:c>
      <x:c r="O87" s="28" t="str">
        <x:v>登记消耗1件；永久一次；不收金币/元宝/灵符</x:v>
      </x:c>
    </x:row>
    <x:row r="88" ht="30" customHeight="1">
      <x:c r="A88" s="28" t="str">
        <x:v>C02</x:v>
      </x:c>
      <x:c r="B88" s="28" t="str">
        <x:v>风暴山谷</x:v>
      </x:c>
      <x:c r="C88" s="28" t="str">
        <x:v>葬日未羊</x:v>
      </x:c>
      <x:c r="D88" s="28" t="str">
        <x:v>稀有</x:v>
      </x:c>
      <x:c r="E88" s="28" t="n">
        <x:v>1</x:v>
      </x:c>
      <x:c r="F88" s="28" t="n">
        <x:v>0</x:v>
      </x:c>
      <x:c r="G88" s="28" t="n">
        <x:v>0</x:v>
      </x:c>
      <x:c r="H88" s="28" t="n">
        <x:v>0</x:v>
      </x:c>
      <x:c r="I88" s="28" t="n">
        <x:v>4</x:v>
      </x:c>
      <x:c r="J88" s="28" t="n">
        <x:v>400</x:v>
      </x:c>
      <x:c r="K88" s="28" t="n">
        <x:v>5</x:v>
      </x:c>
      <x:c r="L88" s="28" t="n">
        <x:v>0</x:v>
      </x:c>
      <x:c r="M88" s="28" t="n">
        <x:v>0</x:v>
      </x:c>
      <x:c r="N88" s="28" t="n">
        <x:v>0</x:v>
      </x:c>
      <x:c r="O88" s="28" t="str">
        <x:v>登记消耗1件；永久一次；不收金币/元宝/灵符</x:v>
      </x:c>
    </x:row>
    <x:row r="89" ht="30" customHeight="1">
      <x:c r="A89" s="28" t="str">
        <x:v>C02</x:v>
      </x:c>
      <x:c r="B89" s="28" t="str">
        <x:v>风暴山谷</x:v>
      </x:c>
      <x:c r="C89" s="28" t="str">
        <x:v>雷冠申猴</x:v>
      </x:c>
      <x:c r="D89" s="28" t="str">
        <x:v>BOSS</x:v>
      </x:c>
      <x:c r="E89" s="28" t="n">
        <x:v>1</x:v>
      </x:c>
      <x:c r="F89" s="28" t="n">
        <x:v>0</x:v>
      </x:c>
      <x:c r="G89" s="28" t="n">
        <x:v>0</x:v>
      </x:c>
      <x:c r="H89" s="28" t="n">
        <x:v>0</x:v>
      </x:c>
      <x:c r="I89" s="28" t="n">
        <x:v>6</x:v>
      </x:c>
      <x:c r="J89" s="28" t="n">
        <x:v>600</x:v>
      </x:c>
      <x:c r="K89" s="28" t="n">
        <x:v>0</x:v>
      </x:c>
      <x:c r="L89" s="28" t="n">
        <x:v>1</x:v>
      </x:c>
      <x:c r="M89" s="28" t="n">
        <x:v>0</x:v>
      </x:c>
      <x:c r="N89" s="28" t="n">
        <x:v>0</x:v>
      </x:c>
      <x:c r="O89" s="28" t="str">
        <x:v>登记消耗1件；永久一次；不收金币/元宝/灵符</x:v>
      </x:c>
    </x:row>
    <x:row r="90" ht="30" customHeight="1">
      <x:c r="A90" s="28" t="str">
        <x:v>C02</x:v>
      </x:c>
      <x:c r="B90" s="28" t="str">
        <x:v>风暴山谷</x:v>
      </x:c>
      <x:c r="C90" s="28" t="str">
        <x:v>恶兆酉鸡</x:v>
      </x:c>
      <x:c r="D90" s="28" t="str">
        <x:v>BOSS</x:v>
      </x:c>
      <x:c r="E90" s="28" t="n">
        <x:v>1</x:v>
      </x:c>
      <x:c r="F90" s="28" t="n">
        <x:v>0</x:v>
      </x:c>
      <x:c r="G90" s="28" t="n">
        <x:v>0</x:v>
      </x:c>
      <x:c r="H90" s="28" t="n">
        <x:v>0</x:v>
      </x:c>
      <x:c r="I90" s="28" t="n">
        <x:v>6</x:v>
      </x:c>
      <x:c r="J90" s="28" t="n">
        <x:v>600</x:v>
      </x:c>
      <x:c r="K90" s="28" t="n">
        <x:v>0</x:v>
      </x:c>
      <x:c r="L90" s="28" t="n">
        <x:v>1</x:v>
      </x:c>
      <x:c r="M90" s="28" t="n">
        <x:v>0</x:v>
      </x:c>
      <x:c r="N90" s="28" t="n">
        <x:v>0</x:v>
      </x:c>
      <x:c r="O90" s="28" t="str">
        <x:v>登记消耗1件；永久一次；不收金币/元宝/灵符</x:v>
      </x:c>
    </x:row>
    <x:row r="91" ht="30" customHeight="1">
      <x:c r="A91" s="28" t="str">
        <x:v>C02</x:v>
      </x:c>
      <x:c r="B91" s="28" t="str">
        <x:v>史东薇尔王城</x:v>
      </x:c>
      <x:c r="C91" s="28" t="str">
        <x:v>流刑王刃</x:v>
      </x:c>
      <x:c r="D91" s="28" t="str">
        <x:v>普通</x:v>
      </x:c>
      <x:c r="E91" s="28" t="n">
        <x:v>1</x:v>
      </x:c>
      <x:c r="F91" s="28" t="n">
        <x:v>0</x:v>
      </x:c>
      <x:c r="G91" s="28" t="n">
        <x:v>0</x:v>
      </x:c>
      <x:c r="H91" s="28" t="n">
        <x:v>0</x:v>
      </x:c>
      <x:c r="I91" s="28" t="n">
        <x:v>2</x:v>
      </x:c>
      <x:c r="J91" s="28" t="n">
        <x:v>200</x:v>
      </x:c>
      <x:c r="K91" s="28" t="n">
        <x:v>0</x:v>
      </x:c>
      <x:c r="L91" s="28" t="n">
        <x:v>0</x:v>
      </x:c>
      <x:c r="M91" s="28" t="n">
        <x:v>0</x:v>
      </x:c>
      <x:c r="N91" s="28" t="n">
        <x:v>0</x:v>
      </x:c>
      <x:c r="O91" s="28" t="str">
        <x:v>登记消耗1件；永久一次；不收金币/元宝/灵符</x:v>
      </x:c>
    </x:row>
    <x:row r="92" ht="30" customHeight="1">
      <x:c r="A92" s="28" t="str">
        <x:v>C02</x:v>
      </x:c>
      <x:c r="B92" s="28" t="str">
        <x:v>史东薇尔王城</x:v>
      </x:c>
      <x:c r="C92" s="28" t="str">
        <x:v>失乡斧铠</x:v>
      </x:c>
      <x:c r="D92" s="28" t="str">
        <x:v>普通</x:v>
      </x:c>
      <x:c r="E92" s="28" t="n">
        <x:v>1</x:v>
      </x:c>
      <x:c r="F92" s="28" t="n">
        <x:v>0</x:v>
      </x:c>
      <x:c r="G92" s="28" t="n">
        <x:v>0</x:v>
      </x:c>
      <x:c r="H92" s="28" t="n">
        <x:v>0</x:v>
      </x:c>
      <x:c r="I92" s="28" t="n">
        <x:v>2</x:v>
      </x:c>
      <x:c r="J92" s="28" t="n">
        <x:v>200</x:v>
      </x:c>
      <x:c r="K92" s="28" t="n">
        <x:v>0</x:v>
      </x:c>
      <x:c r="L92" s="28" t="n">
        <x:v>0</x:v>
      </x:c>
      <x:c r="M92" s="28" t="n">
        <x:v>0</x:v>
      </x:c>
      <x:c r="N92" s="28" t="n">
        <x:v>0</x:v>
      </x:c>
      <x:c r="O92" s="28" t="str">
        <x:v>登记消耗1件；永久一次；不收金币/元宝/灵符</x:v>
      </x:c>
    </x:row>
    <x:row r="93" ht="30" customHeight="1">
      <x:c r="A93" s="28" t="str">
        <x:v>C02</x:v>
      </x:c>
      <x:c r="B93" s="28" t="str">
        <x:v>史东薇尔王城</x:v>
      </x:c>
      <x:c r="C93" s="28" t="str">
        <x:v>火药锁链</x:v>
      </x:c>
      <x:c r="D93" s="28" t="str">
        <x:v>普通</x:v>
      </x:c>
      <x:c r="E93" s="28" t="n">
        <x:v>1</x:v>
      </x:c>
      <x:c r="F93" s="28" t="n">
        <x:v>0</x:v>
      </x:c>
      <x:c r="G93" s="28" t="n">
        <x:v>0</x:v>
      </x:c>
      <x:c r="H93" s="28" t="n">
        <x:v>0</x:v>
      </x:c>
      <x:c r="I93" s="28" t="n">
        <x:v>2</x:v>
      </x:c>
      <x:c r="J93" s="28" t="n">
        <x:v>200</x:v>
      </x:c>
      <x:c r="K93" s="28" t="n">
        <x:v>0</x:v>
      </x:c>
      <x:c r="L93" s="28" t="n">
        <x:v>0</x:v>
      </x:c>
      <x:c r="M93" s="28" t="n">
        <x:v>0</x:v>
      </x:c>
      <x:c r="N93" s="28" t="n">
        <x:v>0</x:v>
      </x:c>
      <x:c r="O93" s="28" t="str">
        <x:v>登记消耗1件；永久一次；不收金币/元宝/灵符</x:v>
      </x:c>
    </x:row>
    <x:row r="94" ht="30" customHeight="1">
      <x:c r="A94" s="28" t="str">
        <x:v>C02</x:v>
      </x:c>
      <x:c r="B94" s="28" t="str">
        <x:v>史东薇尔王城</x:v>
      </x:c>
      <x:c r="C94" s="28" t="str">
        <x:v>刀翼王盔</x:v>
      </x:c>
      <x:c r="D94" s="28" t="str">
        <x:v>普通</x:v>
      </x:c>
      <x:c r="E94" s="28" t="n">
        <x:v>1</x:v>
      </x:c>
      <x:c r="F94" s="28" t="n">
        <x:v>0</x:v>
      </x:c>
      <x:c r="G94" s="28" t="n">
        <x:v>0</x:v>
      </x:c>
      <x:c r="H94" s="28" t="n">
        <x:v>0</x:v>
      </x:c>
      <x:c r="I94" s="28" t="n">
        <x:v>2</x:v>
      </x:c>
      <x:c r="J94" s="28" t="n">
        <x:v>200</x:v>
      </x:c>
      <x:c r="K94" s="28" t="n">
        <x:v>0</x:v>
      </x:c>
      <x:c r="L94" s="28" t="n">
        <x:v>0</x:v>
      </x:c>
      <x:c r="M94" s="28" t="n">
        <x:v>0</x:v>
      </x:c>
      <x:c r="N94" s="28" t="n">
        <x:v>0</x:v>
      </x:c>
      <x:c r="O94" s="28" t="str">
        <x:v>登记消耗1件；永久一次；不收金币/元宝/灵符</x:v>
      </x:c>
    </x:row>
    <x:row r="95" ht="30" customHeight="1">
      <x:c r="A95" s="28" t="str">
        <x:v>C02</x:v>
      </x:c>
      <x:c r="B95" s="28" t="str">
        <x:v>史东薇尔王城</x:v>
      </x:c>
      <x:c r="C95" s="28" t="str">
        <x:v>百指腕甲</x:v>
      </x:c>
      <x:c r="D95" s="28" t="str">
        <x:v>普通</x:v>
      </x:c>
      <x:c r="E95" s="28" t="n">
        <x:v>1</x:v>
      </x:c>
      <x:c r="F95" s="28" t="n">
        <x:v>0</x:v>
      </x:c>
      <x:c r="G95" s="28" t="n">
        <x:v>0</x:v>
      </x:c>
      <x:c r="H95" s="28" t="n">
        <x:v>0</x:v>
      </x:c>
      <x:c r="I95" s="28" t="n">
        <x:v>2</x:v>
      </x:c>
      <x:c r="J95" s="28" t="n">
        <x:v>200</x:v>
      </x:c>
      <x:c r="K95" s="28" t="n">
        <x:v>0</x:v>
      </x:c>
      <x:c r="L95" s="28" t="n">
        <x:v>0</x:v>
      </x:c>
      <x:c r="M95" s="28" t="n">
        <x:v>0</x:v>
      </x:c>
      <x:c r="N95" s="28" t="n">
        <x:v>0</x:v>
      </x:c>
      <x:c r="O95" s="28" t="str">
        <x:v>登记消耗1件；永久一次；不收金币/元宝/灵符</x:v>
      </x:c>
    </x:row>
    <x:row r="96" ht="30" customHeight="1">
      <x:c r="A96" s="28" t="str">
        <x:v>C02</x:v>
      </x:c>
      <x:c r="B96" s="28" t="str">
        <x:v>史东薇尔王城</x:v>
      </x:c>
      <x:c r="C96" s="28" t="str">
        <x:v>禁卫誓戒</x:v>
      </x:c>
      <x:c r="D96" s="28" t="str">
        <x:v>普通</x:v>
      </x:c>
      <x:c r="E96" s="28" t="n">
        <x:v>1</x:v>
      </x:c>
      <x:c r="F96" s="28" t="n">
        <x:v>0</x:v>
      </x:c>
      <x:c r="G96" s="28" t="n">
        <x:v>0</x:v>
      </x:c>
      <x:c r="H96" s="28" t="n">
        <x:v>0</x:v>
      </x:c>
      <x:c r="I96" s="28" t="n">
        <x:v>2</x:v>
      </x:c>
      <x:c r="J96" s="28" t="n">
        <x:v>200</x:v>
      </x:c>
      <x:c r="K96" s="28" t="n">
        <x:v>0</x:v>
      </x:c>
      <x:c r="L96" s="28" t="n">
        <x:v>0</x:v>
      </x:c>
      <x:c r="M96" s="28" t="n">
        <x:v>0</x:v>
      </x:c>
      <x:c r="N96" s="28" t="n">
        <x:v>0</x:v>
      </x:c>
      <x:c r="O96" s="28" t="str">
        <x:v>登记消耗1件；永久一次；不收金币/元宝/灵符</x:v>
      </x:c>
    </x:row>
    <x:row r="97" ht="30" customHeight="1">
      <x:c r="A97" s="28" t="str">
        <x:v>C02</x:v>
      </x:c>
      <x:c r="B97" s="28" t="str">
        <x:v>史东薇尔王城</x:v>
      </x:c>
      <x:c r="C97" s="28" t="str">
        <x:v>失乡统帅勋</x:v>
      </x:c>
      <x:c r="D97" s="28" t="str">
        <x:v>稀有</x:v>
      </x:c>
      <x:c r="E97" s="28" t="n">
        <x:v>1</x:v>
      </x:c>
      <x:c r="F97" s="28" t="n">
        <x:v>0</x:v>
      </x:c>
      <x:c r="G97" s="28" t="n">
        <x:v>0</x:v>
      </x:c>
      <x:c r="H97" s="28" t="n">
        <x:v>0</x:v>
      </x:c>
      <x:c r="I97" s="28" t="n">
        <x:v>4</x:v>
      </x:c>
      <x:c r="J97" s="28" t="n">
        <x:v>400</x:v>
      </x:c>
      <x:c r="K97" s="28" t="n">
        <x:v>5</x:v>
      </x:c>
      <x:c r="L97" s="28" t="n">
        <x:v>0</x:v>
      </x:c>
      <x:c r="M97" s="28" t="n">
        <x:v>0</x:v>
      </x:c>
      <x:c r="N97" s="28" t="n">
        <x:v>0</x:v>
      </x:c>
      <x:c r="O97" s="28" t="str">
        <x:v>登记消耗1件；永久一次；不收金币/元宝/灵符</x:v>
      </x:c>
    </x:row>
    <x:row r="98" ht="30" customHeight="1">
      <x:c r="A98" s="28" t="str">
        <x:v>C02</x:v>
      </x:c>
      <x:c r="B98" s="28" t="str">
        <x:v>史东薇尔王城</x:v>
      </x:c>
      <x:c r="C98" s="28" t="str">
        <x:v>百骸狮盾</x:v>
      </x:c>
      <x:c r="D98" s="28" t="str">
        <x:v>稀有</x:v>
      </x:c>
      <x:c r="E98" s="28" t="n">
        <x:v>1</x:v>
      </x:c>
      <x:c r="F98" s="28" t="n">
        <x:v>0</x:v>
      </x:c>
      <x:c r="G98" s="28" t="n">
        <x:v>0</x:v>
      </x:c>
      <x:c r="H98" s="28" t="n">
        <x:v>0</x:v>
      </x:c>
      <x:c r="I98" s="28" t="n">
        <x:v>4</x:v>
      </x:c>
      <x:c r="J98" s="28" t="n">
        <x:v>400</x:v>
      </x:c>
      <x:c r="K98" s="28" t="n">
        <x:v>5</x:v>
      </x:c>
      <x:c r="L98" s="28" t="n">
        <x:v>0</x:v>
      </x:c>
      <x:c r="M98" s="28" t="n">
        <x:v>0</x:v>
      </x:c>
      <x:c r="N98" s="28" t="n">
        <x:v>0</x:v>
      </x:c>
      <x:c r="O98" s="28" t="str">
        <x:v>登记消耗1件；永久一次；不收金币/元宝/灵符</x:v>
      </x:c>
    </x:row>
    <x:row r="99" ht="30" customHeight="1">
      <x:c r="A99" s="28" t="str">
        <x:v>C02</x:v>
      </x:c>
      <x:c r="B99" s="28" t="str">
        <x:v>史东薇尔王城</x:v>
      </x:c>
      <x:c r="C99" s="28" t="str">
        <x:v>黑焰王玉</x:v>
      </x:c>
      <x:c r="D99" s="28" t="str">
        <x:v>稀有</x:v>
      </x:c>
      <x:c r="E99" s="28" t="n">
        <x:v>1</x:v>
      </x:c>
      <x:c r="F99" s="28" t="n">
        <x:v>0</x:v>
      </x:c>
      <x:c r="G99" s="28" t="n">
        <x:v>0</x:v>
      </x:c>
      <x:c r="H99" s="28" t="n">
        <x:v>0</x:v>
      </x:c>
      <x:c r="I99" s="28" t="n">
        <x:v>4</x:v>
      </x:c>
      <x:c r="J99" s="28" t="n">
        <x:v>400</x:v>
      </x:c>
      <x:c r="K99" s="28" t="n">
        <x:v>5</x:v>
      </x:c>
      <x:c r="L99" s="28" t="n">
        <x:v>0</x:v>
      </x:c>
      <x:c r="M99" s="28" t="n">
        <x:v>0</x:v>
      </x:c>
      <x:c r="N99" s="28" t="n">
        <x:v>0</x:v>
      </x:c>
      <x:c r="O99" s="28" t="str">
        <x:v>登记消耗1件；永久一次；不收金币/元宝/灵符</x:v>
      </x:c>
    </x:row>
    <x:row r="100" ht="30" customHeight="1">
      <x:c r="A100" s="28" t="str">
        <x:v>C02</x:v>
      </x:c>
      <x:c r="B100" s="28" t="str">
        <x:v>史东薇尔王城</x:v>
      </x:c>
      <x:c r="C100" s="28" t="str">
        <x:v>王城断罪刃</x:v>
      </x:c>
      <x:c r="D100" s="28" t="str">
        <x:v>稀有</x:v>
      </x:c>
      <x:c r="E100" s="28" t="n">
        <x:v>1</x:v>
      </x:c>
      <x:c r="F100" s="28" t="n">
        <x:v>0</x:v>
      </x:c>
      <x:c r="G100" s="28" t="n">
        <x:v>0</x:v>
      </x:c>
      <x:c r="H100" s="28" t="n">
        <x:v>0</x:v>
      </x:c>
      <x:c r="I100" s="28" t="n">
        <x:v>4</x:v>
      </x:c>
      <x:c r="J100" s="28" t="n">
        <x:v>400</x:v>
      </x:c>
      <x:c r="K100" s="28" t="n">
        <x:v>5</x:v>
      </x:c>
      <x:c r="L100" s="28" t="n">
        <x:v>0</x:v>
      </x:c>
      <x:c r="M100" s="28" t="n">
        <x:v>0</x:v>
      </x:c>
      <x:c r="N100" s="28" t="n">
        <x:v>0</x:v>
      </x:c>
      <x:c r="O100" s="28" t="str">
        <x:v>登记消耗1件；永久一次；不收金币/元宝/灵符</x:v>
      </x:c>
    </x:row>
    <x:row r="101" ht="30" customHeight="1">
      <x:c r="A101" s="28" t="str">
        <x:v>C02</x:v>
      </x:c>
      <x:c r="B101" s="28" t="str">
        <x:v>史东薇尔王城</x:v>
      </x:c>
      <x:c r="C101" s="28" t="str">
        <x:v>百骸王衣</x:v>
      </x:c>
      <x:c r="D101" s="28" t="str">
        <x:v>BOSS</x:v>
      </x:c>
      <x:c r="E101" s="28" t="n">
        <x:v>1</x:v>
      </x:c>
      <x:c r="F101" s="28" t="n">
        <x:v>0</x:v>
      </x:c>
      <x:c r="G101" s="28" t="n">
        <x:v>0</x:v>
      </x:c>
      <x:c r="H101" s="28" t="n">
        <x:v>0</x:v>
      </x:c>
      <x:c r="I101" s="28" t="n">
        <x:v>6</x:v>
      </x:c>
      <x:c r="J101" s="28" t="n">
        <x:v>600</x:v>
      </x:c>
      <x:c r="K101" s="28" t="n">
        <x:v>0</x:v>
      </x:c>
      <x:c r="L101" s="28" t="n">
        <x:v>1</x:v>
      </x:c>
      <x:c r="M101" s="28" t="n">
        <x:v>0</x:v>
      </x:c>
      <x:c r="N101" s="28" t="n">
        <x:v>0</x:v>
      </x:c>
      <x:c r="O101" s="28" t="str">
        <x:v>登记消耗1件；永久一次；不收金币/元宝/灵符</x:v>
      </x:c>
    </x:row>
    <x:row r="102" ht="30" customHeight="1">
      <x:c r="A102" s="28" t="str">
        <x:v>C02</x:v>
      </x:c>
      <x:c r="B102" s="28" t="str">
        <x:v>史东薇尔王城</x:v>
      </x:c>
      <x:c r="C102" s="28" t="str">
        <x:v>失乡戌狗</x:v>
      </x:c>
      <x:c r="D102" s="28" t="str">
        <x:v>BOSS</x:v>
      </x:c>
      <x:c r="E102" s="28" t="n">
        <x:v>1</x:v>
      </x:c>
      <x:c r="F102" s="28" t="n">
        <x:v>0</x:v>
      </x:c>
      <x:c r="G102" s="28" t="n">
        <x:v>0</x:v>
      </x:c>
      <x:c r="H102" s="28" t="n">
        <x:v>0</x:v>
      </x:c>
      <x:c r="I102" s="28" t="n">
        <x:v>6</x:v>
      </x:c>
      <x:c r="J102" s="28" t="n">
        <x:v>600</x:v>
      </x:c>
      <x:c r="K102" s="28" t="n">
        <x:v>0</x:v>
      </x:c>
      <x:c r="L102" s="28" t="n">
        <x:v>1</x:v>
      </x:c>
      <x:c r="M102" s="28" t="n">
        <x:v>0</x:v>
      </x:c>
      <x:c r="N102" s="28" t="n">
        <x:v>0</x:v>
      </x:c>
      <x:c r="O102" s="28" t="str">
        <x:v>登记消耗1件；永久一次；不收金币/元宝/灵符</x:v>
      </x:c>
    </x:row>
    <x:row r="103" ht="30" customHeight="1">
      <x:c r="A103" s="28" t="str">
        <x:v>C02</x:v>
      </x:c>
      <x:c r="B103" s="28" t="str">
        <x:v>史东薇尔王城</x:v>
      </x:c>
      <x:c r="C103" s="28" t="str">
        <x:v>接肢亥猪</x:v>
      </x:c>
      <x:c r="D103" s="28" t="str">
        <x:v>守关BOSS</x:v>
      </x:c>
      <x:c r="E103" s="28" t="n">
        <x:v>1</x:v>
      </x:c>
      <x:c r="F103" s="28" t="n">
        <x:v>0</x:v>
      </x:c>
      <x:c r="G103" s="28" t="n">
        <x:v>0</x:v>
      </x:c>
      <x:c r="H103" s="28" t="n">
        <x:v>0</x:v>
      </x:c>
      <x:c r="I103" s="28" t="n">
        <x:v>8</x:v>
      </x:c>
      <x:c r="J103" s="28" t="n">
        <x:v>800</x:v>
      </x:c>
      <x:c r="K103" s="28" t="n">
        <x:v>0</x:v>
      </x:c>
      <x:c r="L103" s="28" t="n">
        <x:v>1</x:v>
      </x:c>
      <x:c r="M103" s="28" t="n">
        <x:v>0</x:v>
      </x:c>
      <x:c r="N103" s="28" t="n">
        <x:v>0</x:v>
      </x:c>
      <x:c r="O103" s="28" t="str">
        <x:v>登记消耗1件；永久一次；不收金币/元宝/灵符</x:v>
      </x:c>
    </x:row>
    <x:row r="104" ht="30" customHeight="1">
      <x:c r="A104" s="28" t="str">
        <x:v>C03</x:v>
      </x:c>
      <x:c r="B104" s="28" t="str">
        <x:v>西境荒原</x:v>
      </x:c>
      <x:c r="C104" s="28" t="str">
        <x:v>拾骨弯刀</x:v>
      </x:c>
      <x:c r="D104" s="28" t="str">
        <x:v>普通</x:v>
      </x:c>
      <x:c r="E104" s="28" t="n">
        <x:v>1</x:v>
      </x:c>
      <x:c r="F104" s="28" t="n">
        <x:v>0</x:v>
      </x:c>
      <x:c r="G104" s="28" t="n">
        <x:v>0</x:v>
      </x:c>
      <x:c r="H104" s="28" t="n">
        <x:v>0</x:v>
      </x:c>
      <x:c r="I104" s="28" t="n">
        <x:v>3</x:v>
      </x:c>
      <x:c r="J104" s="28" t="n">
        <x:v>300</x:v>
      </x:c>
      <x:c r="K104" s="28" t="n">
        <x:v>0</x:v>
      </x:c>
      <x:c r="L104" s="28" t="n">
        <x:v>0</x:v>
      </x:c>
      <x:c r="M104" s="28" t="n">
        <x:v>0</x:v>
      </x:c>
      <x:c r="N104" s="28" t="n">
        <x:v>0</x:v>
      </x:c>
      <x:c r="O104" s="28" t="str">
        <x:v>登记消耗1件；永久一次；不收金币/元宝/灵符</x:v>
      </x:c>
    </x:row>
    <x:row r="105" ht="30" customHeight="1">
      <x:c r="A105" s="28" t="str">
        <x:v>C03</x:v>
      </x:c>
      <x:c r="B105" s="28" t="str">
        <x:v>西境荒原</x:v>
      </x:c>
      <x:c r="C105" s="28" t="str">
        <x:v>断旗战链</x:v>
      </x:c>
      <x:c r="D105" s="28" t="str">
        <x:v>普通</x:v>
      </x:c>
      <x:c r="E105" s="28" t="n">
        <x:v>1</x:v>
      </x:c>
      <x:c r="F105" s="28" t="n">
        <x:v>0</x:v>
      </x:c>
      <x:c r="G105" s="28" t="n">
        <x:v>0</x:v>
      </x:c>
      <x:c r="H105" s="28" t="n">
        <x:v>0</x:v>
      </x:c>
      <x:c r="I105" s="28" t="n">
        <x:v>3</x:v>
      </x:c>
      <x:c r="J105" s="28" t="n">
        <x:v>300</x:v>
      </x:c>
      <x:c r="K105" s="28" t="n">
        <x:v>0</x:v>
      </x:c>
      <x:c r="L105" s="28" t="n">
        <x:v>0</x:v>
      </x:c>
      <x:c r="M105" s="28" t="n">
        <x:v>0</x:v>
      </x:c>
      <x:c r="N105" s="28" t="n">
        <x:v>0</x:v>
      </x:c>
      <x:c r="O105" s="28" t="str">
        <x:v>登记消耗1件；永久一次；不收金币/元宝/灵符</x:v>
      </x:c>
    </x:row>
    <x:row r="106" ht="30" customHeight="1">
      <x:c r="A106" s="28" t="str">
        <x:v>C03</x:v>
      </x:c>
      <x:c r="B106" s="28" t="str">
        <x:v>西境荒原</x:v>
      </x:c>
      <x:c r="C106" s="28" t="str">
        <x:v>掠风护腕</x:v>
      </x:c>
      <x:c r="D106" s="28" t="str">
        <x:v>普通</x:v>
      </x:c>
      <x:c r="E106" s="28" t="n">
        <x:v>1</x:v>
      </x:c>
      <x:c r="F106" s="28" t="n">
        <x:v>0</x:v>
      </x:c>
      <x:c r="G106" s="28" t="n">
        <x:v>0</x:v>
      </x:c>
      <x:c r="H106" s="28" t="n">
        <x:v>0</x:v>
      </x:c>
      <x:c r="I106" s="28" t="n">
        <x:v>3</x:v>
      </x:c>
      <x:c r="J106" s="28" t="n">
        <x:v>300</x:v>
      </x:c>
      <x:c r="K106" s="28" t="n">
        <x:v>0</x:v>
      </x:c>
      <x:c r="L106" s="28" t="n">
        <x:v>0</x:v>
      </x:c>
      <x:c r="M106" s="28" t="n">
        <x:v>0</x:v>
      </x:c>
      <x:c r="N106" s="28" t="n">
        <x:v>0</x:v>
      </x:c>
      <x:c r="O106" s="28" t="str">
        <x:v>登记消耗1件；永久一次；不收金币/元宝/灵符</x:v>
      </x:c>
    </x:row>
    <x:row r="107" ht="30" customHeight="1">
      <x:c r="A107" s="28" t="str">
        <x:v>C03</x:v>
      </x:c>
      <x:c r="B107" s="28" t="str">
        <x:v>西境荒原</x:v>
      </x:c>
      <x:c r="C107" s="28" t="str">
        <x:v>铁蹄战靴</x:v>
      </x:c>
      <x:c r="D107" s="28" t="str">
        <x:v>普通</x:v>
      </x:c>
      <x:c r="E107" s="28" t="n">
        <x:v>1</x:v>
      </x:c>
      <x:c r="F107" s="28" t="n">
        <x:v>0</x:v>
      </x:c>
      <x:c r="G107" s="28" t="n">
        <x:v>0</x:v>
      </x:c>
      <x:c r="H107" s="28" t="n">
        <x:v>0</x:v>
      </x:c>
      <x:c r="I107" s="28" t="n">
        <x:v>3</x:v>
      </x:c>
      <x:c r="J107" s="28" t="n">
        <x:v>300</x:v>
      </x:c>
      <x:c r="K107" s="28" t="n">
        <x:v>0</x:v>
      </x:c>
      <x:c r="L107" s="28" t="n">
        <x:v>0</x:v>
      </x:c>
      <x:c r="M107" s="28" t="n">
        <x:v>0</x:v>
      </x:c>
      <x:c r="N107" s="28" t="n">
        <x:v>0</x:v>
      </x:c>
      <x:c r="O107" s="28" t="str">
        <x:v>登记消耗1件；永久一次；不收金币/元宝/灵符</x:v>
      </x:c>
    </x:row>
    <x:row r="108" ht="30" customHeight="1">
      <x:c r="A108" s="28" t="str">
        <x:v>C03</x:v>
      </x:c>
      <x:c r="B108" s="28" t="str">
        <x:v>西境荒原</x:v>
      </x:c>
      <x:c r="C108" s="28" t="str">
        <x:v>枯草牙戒</x:v>
      </x:c>
      <x:c r="D108" s="28" t="str">
        <x:v>普通</x:v>
      </x:c>
      <x:c r="E108" s="28" t="n">
        <x:v>1</x:v>
      </x:c>
      <x:c r="F108" s="28" t="n">
        <x:v>0</x:v>
      </x:c>
      <x:c r="G108" s="28" t="n">
        <x:v>0</x:v>
      </x:c>
      <x:c r="H108" s="28" t="n">
        <x:v>0</x:v>
      </x:c>
      <x:c r="I108" s="28" t="n">
        <x:v>3</x:v>
      </x:c>
      <x:c r="J108" s="28" t="n">
        <x:v>300</x:v>
      </x:c>
      <x:c r="K108" s="28" t="n">
        <x:v>0</x:v>
      </x:c>
      <x:c r="L108" s="28" t="n">
        <x:v>0</x:v>
      </x:c>
      <x:c r="M108" s="28" t="n">
        <x:v>0</x:v>
      </x:c>
      <x:c r="N108" s="28" t="n">
        <x:v>0</x:v>
      </x:c>
      <x:c r="O108" s="28" t="str">
        <x:v>登记消耗1件；永久一次；不收金币/元宝/灵符</x:v>
      </x:c>
    </x:row>
    <x:row r="109" ht="30" customHeight="1">
      <x:c r="A109" s="28" t="str">
        <x:v>C03</x:v>
      </x:c>
      <x:c r="B109" s="28" t="str">
        <x:v>西境荒原</x:v>
      </x:c>
      <x:c r="C109" s="28" t="str">
        <x:v>锈甲腰封</x:v>
      </x:c>
      <x:c r="D109" s="28" t="str">
        <x:v>普通</x:v>
      </x:c>
      <x:c r="E109" s="28" t="n">
        <x:v>1</x:v>
      </x:c>
      <x:c r="F109" s="28" t="n">
        <x:v>0</x:v>
      </x:c>
      <x:c r="G109" s="28" t="n">
        <x:v>0</x:v>
      </x:c>
      <x:c r="H109" s="28" t="n">
        <x:v>0</x:v>
      </x:c>
      <x:c r="I109" s="28" t="n">
        <x:v>3</x:v>
      </x:c>
      <x:c r="J109" s="28" t="n">
        <x:v>300</x:v>
      </x:c>
      <x:c r="K109" s="28" t="n">
        <x:v>0</x:v>
      </x:c>
      <x:c r="L109" s="28" t="n">
        <x:v>0</x:v>
      </x:c>
      <x:c r="M109" s="28" t="n">
        <x:v>0</x:v>
      </x:c>
      <x:c r="N109" s="28" t="n">
        <x:v>0</x:v>
      </x:c>
      <x:c r="O109" s="28" t="str">
        <x:v>登记消耗1件；永久一次；不收金币/元宝/灵符</x:v>
      </x:c>
    </x:row>
    <x:row r="110" ht="30" customHeight="1">
      <x:c r="A110" s="28" t="str">
        <x:v>C03</x:v>
      </x:c>
      <x:c r="B110" s="28" t="str">
        <x:v>西境荒原</x:v>
      </x:c>
      <x:c r="C110" s="28" t="str">
        <x:v>西境军盔</x:v>
      </x:c>
      <x:c r="D110" s="28" t="str">
        <x:v>稀有</x:v>
      </x:c>
      <x:c r="E110" s="28" t="n">
        <x:v>1</x:v>
      </x:c>
      <x:c r="F110" s="28" t="n">
        <x:v>0</x:v>
      </x:c>
      <x:c r="G110" s="28" t="n">
        <x:v>0</x:v>
      </x:c>
      <x:c r="H110" s="28" t="n">
        <x:v>0</x:v>
      </x:c>
      <x:c r="I110" s="28" t="n">
        <x:v>6</x:v>
      </x:c>
      <x:c r="J110" s="28" t="n">
        <x:v>600</x:v>
      </x:c>
      <x:c r="K110" s="28" t="n">
        <x:v>5</x:v>
      </x:c>
      <x:c r="L110" s="28" t="n">
        <x:v>0</x:v>
      </x:c>
      <x:c r="M110" s="28" t="n">
        <x:v>0</x:v>
      </x:c>
      <x:c r="N110" s="28" t="n">
        <x:v>0</x:v>
      </x:c>
      <x:c r="O110" s="28" t="str">
        <x:v>登记消耗1件；永久一次；不收金币/元宝/灵符</x:v>
      </x:c>
    </x:row>
    <x:row r="111" ht="30" customHeight="1">
      <x:c r="A111" s="28" t="str">
        <x:v>C03</x:v>
      </x:c>
      <x:c r="B111" s="28" t="str">
        <x:v>西境荒原</x:v>
      </x:c>
      <x:c r="C111" s="28" t="str">
        <x:v>独眼鹰坠</x:v>
      </x:c>
      <x:c r="D111" s="28" t="str">
        <x:v>稀有</x:v>
      </x:c>
      <x:c r="E111" s="28" t="n">
        <x:v>1</x:v>
      </x:c>
      <x:c r="F111" s="28" t="n">
        <x:v>0</x:v>
      </x:c>
      <x:c r="G111" s="28" t="n">
        <x:v>0</x:v>
      </x:c>
      <x:c r="H111" s="28" t="n">
        <x:v>0</x:v>
      </x:c>
      <x:c r="I111" s="28" t="n">
        <x:v>6</x:v>
      </x:c>
      <x:c r="J111" s="28" t="n">
        <x:v>600</x:v>
      </x:c>
      <x:c r="K111" s="28" t="n">
        <x:v>5</x:v>
      </x:c>
      <x:c r="L111" s="28" t="n">
        <x:v>0</x:v>
      </x:c>
      <x:c r="M111" s="28" t="n">
        <x:v>0</x:v>
      </x:c>
      <x:c r="N111" s="28" t="n">
        <x:v>0</x:v>
      </x:c>
      <x:c r="O111" s="28" t="str">
        <x:v>登记消耗1件；永久一次；不收金币/元宝/灵符</x:v>
      </x:c>
    </x:row>
    <x:row r="112" ht="30" customHeight="1">
      <x:c r="A112" s="28" t="str">
        <x:v>C03</x:v>
      </x:c>
      <x:c r="B112" s="28" t="str">
        <x:v>西境荒原</x:v>
      </x:c>
      <x:c r="C112" s="28" t="str">
        <x:v>荒风披甲</x:v>
      </x:c>
      <x:c r="D112" s="28" t="str">
        <x:v>稀有</x:v>
      </x:c>
      <x:c r="E112" s="28" t="n">
        <x:v>1</x:v>
      </x:c>
      <x:c r="F112" s="28" t="n">
        <x:v>0</x:v>
      </x:c>
      <x:c r="G112" s="28" t="n">
        <x:v>0</x:v>
      </x:c>
      <x:c r="H112" s="28" t="n">
        <x:v>0</x:v>
      </x:c>
      <x:c r="I112" s="28" t="n">
        <x:v>6</x:v>
      </x:c>
      <x:c r="J112" s="28" t="n">
        <x:v>600</x:v>
      </x:c>
      <x:c r="K112" s="28" t="n">
        <x:v>5</x:v>
      </x:c>
      <x:c r="L112" s="28" t="n">
        <x:v>0</x:v>
      </x:c>
      <x:c r="M112" s="28" t="n">
        <x:v>0</x:v>
      </x:c>
      <x:c r="N112" s="28" t="n">
        <x:v>0</x:v>
      </x:c>
      <x:c r="O112" s="28" t="str">
        <x:v>登记消耗1件；永久一次；不收金币/元宝/灵符</x:v>
      </x:c>
    </x:row>
    <x:row r="113" ht="30" customHeight="1">
      <x:c r="A113" s="28" t="str">
        <x:v>C03</x:v>
      </x:c>
      <x:c r="B113" s="28" t="str">
        <x:v>西境荒原</x:v>
      </x:c>
      <x:c r="C113" s="28" t="str">
        <x:v>收尸骨印</x:v>
      </x:c>
      <x:c r="D113" s="28" t="str">
        <x:v>稀有</x:v>
      </x:c>
      <x:c r="E113" s="28" t="n">
        <x:v>1</x:v>
      </x:c>
      <x:c r="F113" s="28" t="n">
        <x:v>0</x:v>
      </x:c>
      <x:c r="G113" s="28" t="n">
        <x:v>0</x:v>
      </x:c>
      <x:c r="H113" s="28" t="n">
        <x:v>0</x:v>
      </x:c>
      <x:c r="I113" s="28" t="n">
        <x:v>6</x:v>
      </x:c>
      <x:c r="J113" s="28" t="n">
        <x:v>600</x:v>
      </x:c>
      <x:c r="K113" s="28" t="n">
        <x:v>5</x:v>
      </x:c>
      <x:c r="L113" s="28" t="n">
        <x:v>0</x:v>
      </x:c>
      <x:c r="M113" s="28" t="n">
        <x:v>0</x:v>
      </x:c>
      <x:c r="N113" s="28" t="n">
        <x:v>0</x:v>
      </x:c>
      <x:c r="O113" s="28" t="str">
        <x:v>登记消耗1件；永久一次；不收金币/元宝/灵符</x:v>
      </x:c>
    </x:row>
    <x:row r="114" ht="30" customHeight="1">
      <x:c r="A114" s="28" t="str">
        <x:v>C03</x:v>
      </x:c>
      <x:c r="B114" s="28" t="str">
        <x:v>西境荒原</x:v>
      </x:c>
      <x:c r="C114" s="28" t="str">
        <x:v>统领断旗枪</x:v>
      </x:c>
      <x:c r="D114" s="28" t="str">
        <x:v>地图BOSS</x:v>
      </x:c>
      <x:c r="E114" s="28" t="n">
        <x:v>1</x:v>
      </x:c>
      <x:c r="F114" s="28" t="n">
        <x:v>0</x:v>
      </x:c>
      <x:c r="G114" s="28" t="n">
        <x:v>0</x:v>
      </x:c>
      <x:c r="H114" s="28" t="n">
        <x:v>0</x:v>
      </x:c>
      <x:c r="I114" s="28" t="n">
        <x:v>9</x:v>
      </x:c>
      <x:c r="J114" s="28" t="n">
        <x:v>900</x:v>
      </x:c>
      <x:c r="K114" s="28" t="n">
        <x:v>0</x:v>
      </x:c>
      <x:c r="L114" s="28" t="n">
        <x:v>1</x:v>
      </x:c>
      <x:c r="M114" s="28" t="n">
        <x:v>0</x:v>
      </x:c>
      <x:c r="N114" s="28" t="n">
        <x:v>0</x:v>
      </x:c>
      <x:c r="O114" s="28" t="str">
        <x:v>登记消耗1件；永久一次；不收金币/元宝/灵符</x:v>
      </x:c>
    </x:row>
    <x:row r="115" ht="30" customHeight="1">
      <x:c r="A115" s="28" t="str">
        <x:v>C03</x:v>
      </x:c>
      <x:c r="B115" s="28" t="str">
        <x:v>西境荒原</x:v>
      </x:c>
      <x:c r="C115" s="28" t="str">
        <x:v>巨犀荒铠</x:v>
      </x:c>
      <x:c r="D115" s="28" t="str">
        <x:v>地图BOSS</x:v>
      </x:c>
      <x:c r="E115" s="28" t="n">
        <x:v>1</x:v>
      </x:c>
      <x:c r="F115" s="28" t="n">
        <x:v>0</x:v>
      </x:c>
      <x:c r="G115" s="28" t="n">
        <x:v>0</x:v>
      </x:c>
      <x:c r="H115" s="28" t="n">
        <x:v>0</x:v>
      </x:c>
      <x:c r="I115" s="28" t="n">
        <x:v>9</x:v>
      </x:c>
      <x:c r="J115" s="28" t="n">
        <x:v>900</x:v>
      </x:c>
      <x:c r="K115" s="28" t="n">
        <x:v>0</x:v>
      </x:c>
      <x:c r="L115" s="28" t="n">
        <x:v>1</x:v>
      </x:c>
      <x:c r="M115" s="28" t="n">
        <x:v>0</x:v>
      </x:c>
      <x:c r="N115" s="28" t="n">
        <x:v>0</x:v>
      </x:c>
      <x:c r="O115" s="28" t="str">
        <x:v>登记消耗1件；永久一次；不收金币/元宝/灵符</x:v>
      </x:c>
    </x:row>
    <x:row r="116" ht="30" customHeight="1">
      <x:c r="A116" s="28" t="str">
        <x:v>C03</x:v>
      </x:c>
      <x:c r="B116" s="28" t="str">
        <x:v>海风断崖</x:v>
      </x:c>
      <x:c r="C116" s="28" t="str">
        <x:v>盐晶短刃</x:v>
      </x:c>
      <x:c r="D116" s="28" t="str">
        <x:v>普通</x:v>
      </x:c>
      <x:c r="E116" s="28" t="n">
        <x:v>1</x:v>
      </x:c>
      <x:c r="F116" s="28" t="n">
        <x:v>0</x:v>
      </x:c>
      <x:c r="G116" s="28" t="n">
        <x:v>0</x:v>
      </x:c>
      <x:c r="H116" s="28" t="n">
        <x:v>0</x:v>
      </x:c>
      <x:c r="I116" s="28" t="n">
        <x:v>3</x:v>
      </x:c>
      <x:c r="J116" s="28" t="n">
        <x:v>300</x:v>
      </x:c>
      <x:c r="K116" s="28" t="n">
        <x:v>0</x:v>
      </x:c>
      <x:c r="L116" s="28" t="n">
        <x:v>0</x:v>
      </x:c>
      <x:c r="M116" s="28" t="n">
        <x:v>0</x:v>
      </x:c>
      <x:c r="N116" s="28" t="n">
        <x:v>0</x:v>
      </x:c>
      <x:c r="O116" s="28" t="str">
        <x:v>登记消耗1件；永久一次；不收金币/元宝/灵符</x:v>
      </x:c>
    </x:row>
    <x:row r="117" ht="30" customHeight="1">
      <x:c r="A117" s="28" t="str">
        <x:v>C03</x:v>
      </x:c>
      <x:c r="B117" s="28" t="str">
        <x:v>海风断崖</x:v>
      </x:c>
      <x:c r="C117" s="28" t="str">
        <x:v>逐风长矛</x:v>
      </x:c>
      <x:c r="D117" s="28" t="str">
        <x:v>普通</x:v>
      </x:c>
      <x:c r="E117" s="28" t="n">
        <x:v>1</x:v>
      </x:c>
      <x:c r="F117" s="28" t="n">
        <x:v>0</x:v>
      </x:c>
      <x:c r="G117" s="28" t="n">
        <x:v>0</x:v>
      </x:c>
      <x:c r="H117" s="28" t="n">
        <x:v>0</x:v>
      </x:c>
      <x:c r="I117" s="28" t="n">
        <x:v>3</x:v>
      </x:c>
      <x:c r="J117" s="28" t="n">
        <x:v>300</x:v>
      </x:c>
      <x:c r="K117" s="28" t="n">
        <x:v>0</x:v>
      </x:c>
      <x:c r="L117" s="28" t="n">
        <x:v>0</x:v>
      </x:c>
      <x:c r="M117" s="28" t="n">
        <x:v>0</x:v>
      </x:c>
      <x:c r="N117" s="28" t="n">
        <x:v>0</x:v>
      </x:c>
      <x:c r="O117" s="28" t="str">
        <x:v>登记消耗1件；永久一次；不收金币/元宝/灵符</x:v>
      </x:c>
    </x:row>
    <x:row r="118" ht="30" customHeight="1">
      <x:c r="A118" s="28" t="str">
        <x:v>C03</x:v>
      </x:c>
      <x:c r="B118" s="28" t="str">
        <x:v>海风断崖</x:v>
      </x:c>
      <x:c r="C118" s="28" t="str">
        <x:v>裂羽护腕</x:v>
      </x:c>
      <x:c r="D118" s="28" t="str">
        <x:v>普通</x:v>
      </x:c>
      <x:c r="E118" s="28" t="n">
        <x:v>1</x:v>
      </x:c>
      <x:c r="F118" s="28" t="n">
        <x:v>0</x:v>
      </x:c>
      <x:c r="G118" s="28" t="n">
        <x:v>0</x:v>
      </x:c>
      <x:c r="H118" s="28" t="n">
        <x:v>0</x:v>
      </x:c>
      <x:c r="I118" s="28" t="n">
        <x:v>3</x:v>
      </x:c>
      <x:c r="J118" s="28" t="n">
        <x:v>300</x:v>
      </x:c>
      <x:c r="K118" s="28" t="n">
        <x:v>0</x:v>
      </x:c>
      <x:c r="L118" s="28" t="n">
        <x:v>0</x:v>
      </x:c>
      <x:c r="M118" s="28" t="n">
        <x:v>0</x:v>
      </x:c>
      <x:c r="N118" s="28" t="n">
        <x:v>0</x:v>
      </x:c>
      <x:c r="O118" s="28" t="str">
        <x:v>登记消耗1件；永久一次；不收金币/元宝/灵符</x:v>
      </x:c>
    </x:row>
    <x:row r="119" ht="30" customHeight="1">
      <x:c r="A119" s="28" t="str">
        <x:v>C03</x:v>
      </x:c>
      <x:c r="B119" s="28" t="str">
        <x:v>海风断崖</x:v>
      </x:c>
      <x:c r="C119" s="28" t="str">
        <x:v>潮穴石盾</x:v>
      </x:c>
      <x:c r="D119" s="28" t="str">
        <x:v>普通</x:v>
      </x:c>
      <x:c r="E119" s="28" t="n">
        <x:v>1</x:v>
      </x:c>
      <x:c r="F119" s="28" t="n">
        <x:v>0</x:v>
      </x:c>
      <x:c r="G119" s="28" t="n">
        <x:v>0</x:v>
      </x:c>
      <x:c r="H119" s="28" t="n">
        <x:v>0</x:v>
      </x:c>
      <x:c r="I119" s="28" t="n">
        <x:v>3</x:v>
      </x:c>
      <x:c r="J119" s="28" t="n">
        <x:v>300</x:v>
      </x:c>
      <x:c r="K119" s="28" t="n">
        <x:v>0</x:v>
      </x:c>
      <x:c r="L119" s="28" t="n">
        <x:v>0</x:v>
      </x:c>
      <x:c r="M119" s="28" t="n">
        <x:v>0</x:v>
      </x:c>
      <x:c r="N119" s="28" t="n">
        <x:v>0</x:v>
      </x:c>
      <x:c r="O119" s="28" t="str">
        <x:v>登记消耗1件；永久一次；不收金币/元宝/灵符</x:v>
      </x:c>
    </x:row>
    <x:row r="120" ht="30" customHeight="1">
      <x:c r="A120" s="28" t="str">
        <x:v>C03</x:v>
      </x:c>
      <x:c r="B120" s="28" t="str">
        <x:v>海风断崖</x:v>
      </x:c>
      <x:c r="C120" s="28" t="str">
        <x:v>断索束带</x:v>
      </x:c>
      <x:c r="D120" s="28" t="str">
        <x:v>普通</x:v>
      </x:c>
      <x:c r="E120" s="28" t="n">
        <x:v>1</x:v>
      </x:c>
      <x:c r="F120" s="28" t="n">
        <x:v>0</x:v>
      </x:c>
      <x:c r="G120" s="28" t="n">
        <x:v>0</x:v>
      </x:c>
      <x:c r="H120" s="28" t="n">
        <x:v>0</x:v>
      </x:c>
      <x:c r="I120" s="28" t="n">
        <x:v>3</x:v>
      </x:c>
      <x:c r="J120" s="28" t="n">
        <x:v>300</x:v>
      </x:c>
      <x:c r="K120" s="28" t="n">
        <x:v>0</x:v>
      </x:c>
      <x:c r="L120" s="28" t="n">
        <x:v>0</x:v>
      </x:c>
      <x:c r="M120" s="28" t="n">
        <x:v>0</x:v>
      </x:c>
      <x:c r="N120" s="28" t="n">
        <x:v>0</x:v>
      </x:c>
      <x:c r="O120" s="28" t="str">
        <x:v>登记消耗1件；永久一次；不收金币/元宝/灵符</x:v>
      </x:c>
    </x:row>
    <x:row r="121" ht="30" customHeight="1">
      <x:c r="A121" s="28" t="str">
        <x:v>C03</x:v>
      </x:c>
      <x:c r="B121" s="28" t="str">
        <x:v>海风断崖</x:v>
      </x:c>
      <x:c r="C121" s="28" t="str">
        <x:v>海崖祷链</x:v>
      </x:c>
      <x:c r="D121" s="28" t="str">
        <x:v>普通</x:v>
      </x:c>
      <x:c r="E121" s="28" t="n">
        <x:v>1</x:v>
      </x:c>
      <x:c r="F121" s="28" t="n">
        <x:v>0</x:v>
      </x:c>
      <x:c r="G121" s="28" t="n">
        <x:v>0</x:v>
      </x:c>
      <x:c r="H121" s="28" t="n">
        <x:v>0</x:v>
      </x:c>
      <x:c r="I121" s="28" t="n">
        <x:v>3</x:v>
      </x:c>
      <x:c r="J121" s="28" t="n">
        <x:v>300</x:v>
      </x:c>
      <x:c r="K121" s="28" t="n">
        <x:v>0</x:v>
      </x:c>
      <x:c r="L121" s="28" t="n">
        <x:v>0</x:v>
      </x:c>
      <x:c r="M121" s="28" t="n">
        <x:v>0</x:v>
      </x:c>
      <x:c r="N121" s="28" t="n">
        <x:v>0</x:v>
      </x:c>
      <x:c r="O121" s="28" t="str">
        <x:v>登记消耗1件；永久一次；不收金币/元宝/灵符</x:v>
      </x:c>
    </x:row>
    <x:row r="122" ht="30" customHeight="1">
      <x:c r="A122" s="28" t="str">
        <x:v>C03</x:v>
      </x:c>
      <x:c r="B122" s="28" t="str">
        <x:v>海风断崖</x:v>
      </x:c>
      <x:c r="C122" s="28" t="str">
        <x:v>风蚀眺盔</x:v>
      </x:c>
      <x:c r="D122" s="28" t="str">
        <x:v>稀有</x:v>
      </x:c>
      <x:c r="E122" s="28" t="n">
        <x:v>1</x:v>
      </x:c>
      <x:c r="F122" s="28" t="n">
        <x:v>0</x:v>
      </x:c>
      <x:c r="G122" s="28" t="n">
        <x:v>0</x:v>
      </x:c>
      <x:c r="H122" s="28" t="n">
        <x:v>0</x:v>
      </x:c>
      <x:c r="I122" s="28" t="n">
        <x:v>6</x:v>
      </x:c>
      <x:c r="J122" s="28" t="n">
        <x:v>600</x:v>
      </x:c>
      <x:c r="K122" s="28" t="n">
        <x:v>5</x:v>
      </x:c>
      <x:c r="L122" s="28" t="n">
        <x:v>0</x:v>
      </x:c>
      <x:c r="M122" s="28" t="n">
        <x:v>0</x:v>
      </x:c>
      <x:c r="N122" s="28" t="n">
        <x:v>0</x:v>
      </x:c>
      <x:c r="O122" s="28" t="str">
        <x:v>登记消耗1件；永久一次；不收金币/元宝/灵符</x:v>
      </x:c>
    </x:row>
    <x:row r="123" ht="30" customHeight="1">
      <x:c r="A123" s="28" t="str">
        <x:v>C03</x:v>
      </x:c>
      <x:c r="B123" s="28" t="str">
        <x:v>海风断崖</x:v>
      </x:c>
      <x:c r="C123" s="28" t="str">
        <x:v>斩浪战衣</x:v>
      </x:c>
      <x:c r="D123" s="28" t="str">
        <x:v>稀有</x:v>
      </x:c>
      <x:c r="E123" s="28" t="n">
        <x:v>1</x:v>
      </x:c>
      <x:c r="F123" s="28" t="n">
        <x:v>0</x:v>
      </x:c>
      <x:c r="G123" s="28" t="n">
        <x:v>0</x:v>
      </x:c>
      <x:c r="H123" s="28" t="n">
        <x:v>0</x:v>
      </x:c>
      <x:c r="I123" s="28" t="n">
        <x:v>6</x:v>
      </x:c>
      <x:c r="J123" s="28" t="n">
        <x:v>600</x:v>
      </x:c>
      <x:c r="K123" s="28" t="n">
        <x:v>5</x:v>
      </x:c>
      <x:c r="L123" s="28" t="n">
        <x:v>0</x:v>
      </x:c>
      <x:c r="M123" s="28" t="n">
        <x:v>0</x:v>
      </x:c>
      <x:c r="N123" s="28" t="n">
        <x:v>0</x:v>
      </x:c>
      <x:c r="O123" s="28" t="str">
        <x:v>登记消耗1件；永久一次；不收金币/元宝/灵符</x:v>
      </x:c>
    </x:row>
    <x:row r="124" ht="30" customHeight="1">
      <x:c r="A124" s="28" t="str">
        <x:v>C03</x:v>
      </x:c>
      <x:c r="B124" s="28" t="str">
        <x:v>海风断崖</x:v>
      </x:c>
      <x:c r="C124" s="28" t="str">
        <x:v>海雾猎戒</x:v>
      </x:c>
      <x:c r="D124" s="28" t="str">
        <x:v>稀有</x:v>
      </x:c>
      <x:c r="E124" s="28" t="n">
        <x:v>1</x:v>
      </x:c>
      <x:c r="F124" s="28" t="n">
        <x:v>0</x:v>
      </x:c>
      <x:c r="G124" s="28" t="n">
        <x:v>0</x:v>
      </x:c>
      <x:c r="H124" s="28" t="n">
        <x:v>0</x:v>
      </x:c>
      <x:c r="I124" s="28" t="n">
        <x:v>6</x:v>
      </x:c>
      <x:c r="J124" s="28" t="n">
        <x:v>600</x:v>
      </x:c>
      <x:c r="K124" s="28" t="n">
        <x:v>5</x:v>
      </x:c>
      <x:c r="L124" s="28" t="n">
        <x:v>0</x:v>
      </x:c>
      <x:c r="M124" s="28" t="n">
        <x:v>0</x:v>
      </x:c>
      <x:c r="N124" s="28" t="n">
        <x:v>0</x:v>
      </x:c>
      <x:c r="O124" s="28" t="str">
        <x:v>登记消耗1件；永久一次；不收金币/元宝/灵符</x:v>
      </x:c>
    </x:row>
    <x:row r="125" ht="30" customHeight="1">
      <x:c r="A125" s="28" t="str">
        <x:v>C03</x:v>
      </x:c>
      <x:c r="B125" s="28" t="str">
        <x:v>海风断崖</x:v>
      </x:c>
      <x:c r="C125" s="28" t="str">
        <x:v>霆崖祭冠</x:v>
      </x:c>
      <x:c r="D125" s="28" t="str">
        <x:v>稀有</x:v>
      </x:c>
      <x:c r="E125" s="28" t="n">
        <x:v>1</x:v>
      </x:c>
      <x:c r="F125" s="28" t="n">
        <x:v>0</x:v>
      </x:c>
      <x:c r="G125" s="28" t="n">
        <x:v>0</x:v>
      </x:c>
      <x:c r="H125" s="28" t="n">
        <x:v>0</x:v>
      </x:c>
      <x:c r="I125" s="28" t="n">
        <x:v>6</x:v>
      </x:c>
      <x:c r="J125" s="28" t="n">
        <x:v>600</x:v>
      </x:c>
      <x:c r="K125" s="28" t="n">
        <x:v>5</x:v>
      </x:c>
      <x:c r="L125" s="28" t="n">
        <x:v>0</x:v>
      </x:c>
      <x:c r="M125" s="28" t="n">
        <x:v>0</x:v>
      </x:c>
      <x:c r="N125" s="28" t="n">
        <x:v>0</x:v>
      </x:c>
      <x:c r="O125" s="28" t="str">
        <x:v>登记消耗1件；永久一次；不收金币/元宝/灵符</x:v>
      </x:c>
    </x:row>
    <x:row r="126" ht="30" customHeight="1">
      <x:c r="A126" s="28" t="str">
        <x:v>C03</x:v>
      </x:c>
      <x:c r="B126" s="28" t="str">
        <x:v>海风断崖</x:v>
      </x:c>
      <x:c r="C126" s="28" t="str">
        <x:v>裂风战旗刃</x:v>
      </x:c>
      <x:c r="D126" s="28" t="str">
        <x:v>地图BOSS</x:v>
      </x:c>
      <x:c r="E126" s="28" t="n">
        <x:v>1</x:v>
      </x:c>
      <x:c r="F126" s="28" t="n">
        <x:v>0</x:v>
      </x:c>
      <x:c r="G126" s="28" t="n">
        <x:v>0</x:v>
      </x:c>
      <x:c r="H126" s="28" t="n">
        <x:v>0</x:v>
      </x:c>
      <x:c r="I126" s="28" t="n">
        <x:v>9</x:v>
      </x:c>
      <x:c r="J126" s="28" t="n">
        <x:v>900</x:v>
      </x:c>
      <x:c r="K126" s="28" t="n">
        <x:v>0</x:v>
      </x:c>
      <x:c r="L126" s="28" t="n">
        <x:v>1</x:v>
      </x:c>
      <x:c r="M126" s="28" t="n">
        <x:v>0</x:v>
      </x:c>
      <x:c r="N126" s="28" t="n">
        <x:v>0</x:v>
      </x:c>
      <x:c r="O126" s="28" t="str">
        <x:v>登记消耗1件；永久一次；不收金币/元宝/灵符</x:v>
      </x:c>
    </x:row>
    <x:row r="127" ht="30" customHeight="1">
      <x:c r="A127" s="28" t="str">
        <x:v>C03</x:v>
      </x:c>
      <x:c r="B127" s="28" t="str">
        <x:v>海风断崖</x:v>
      </x:c>
      <x:c r="C127" s="28" t="str">
        <x:v>啸海翼铠</x:v>
      </x:c>
      <x:c r="D127" s="28" t="str">
        <x:v>地图BOSS</x:v>
      </x:c>
      <x:c r="E127" s="28" t="n">
        <x:v>1</x:v>
      </x:c>
      <x:c r="F127" s="28" t="n">
        <x:v>0</x:v>
      </x:c>
      <x:c r="G127" s="28" t="n">
        <x:v>0</x:v>
      </x:c>
      <x:c r="H127" s="28" t="n">
        <x:v>0</x:v>
      </x:c>
      <x:c r="I127" s="28" t="n">
        <x:v>9</x:v>
      </x:c>
      <x:c r="J127" s="28" t="n">
        <x:v>900</x:v>
      </x:c>
      <x:c r="K127" s="28" t="n">
        <x:v>0</x:v>
      </x:c>
      <x:c r="L127" s="28" t="n">
        <x:v>1</x:v>
      </x:c>
      <x:c r="M127" s="28" t="n">
        <x:v>0</x:v>
      </x:c>
      <x:c r="N127" s="28" t="n">
        <x:v>0</x:v>
      </x:c>
      <x:c r="O127" s="28" t="str">
        <x:v>登记消耗1件；永久一次；不收金币/元宝/灵符</x:v>
      </x:c>
    </x:row>
    <x:row r="128" ht="30" customHeight="1">
      <x:c r="A128" s="28" t="str">
        <x:v>C03</x:v>
      </x:c>
      <x:c r="B128" s="28" t="str">
        <x:v>失落驿道</x:v>
      </x:c>
      <x:c r="C128" s="28" t="str">
        <x:v>驿骨短剑</x:v>
      </x:c>
      <x:c r="D128" s="28" t="str">
        <x:v>普通</x:v>
      </x:c>
      <x:c r="E128" s="28" t="n">
        <x:v>1</x:v>
      </x:c>
      <x:c r="F128" s="28" t="n">
        <x:v>0</x:v>
      </x:c>
      <x:c r="G128" s="28" t="n">
        <x:v>0</x:v>
      </x:c>
      <x:c r="H128" s="28" t="n">
        <x:v>0</x:v>
      </x:c>
      <x:c r="I128" s="28" t="n">
        <x:v>3</x:v>
      </x:c>
      <x:c r="J128" s="28" t="n">
        <x:v>300</x:v>
      </x:c>
      <x:c r="K128" s="28" t="n">
        <x:v>0</x:v>
      </x:c>
      <x:c r="L128" s="28" t="n">
        <x:v>0</x:v>
      </x:c>
      <x:c r="M128" s="28" t="n">
        <x:v>0</x:v>
      </x:c>
      <x:c r="N128" s="28" t="n">
        <x:v>0</x:v>
      </x:c>
      <x:c r="O128" s="28" t="str">
        <x:v>登记消耗1件；永久一次；不收金币/元宝/灵符</x:v>
      </x:c>
    </x:row>
    <x:row r="129" ht="30" customHeight="1">
      <x:c r="A129" s="28" t="str">
        <x:v>C03</x:v>
      </x:c>
      <x:c r="B129" s="28" t="str">
        <x:v>失落驿道</x:v>
      </x:c>
      <x:c r="C129" s="28" t="str">
        <x:v>荒商护符</x:v>
      </x:c>
      <x:c r="D129" s="28" t="str">
        <x:v>普通</x:v>
      </x:c>
      <x:c r="E129" s="28" t="n">
        <x:v>1</x:v>
      </x:c>
      <x:c r="F129" s="28" t="n">
        <x:v>0</x:v>
      </x:c>
      <x:c r="G129" s="28" t="n">
        <x:v>0</x:v>
      </x:c>
      <x:c r="H129" s="28" t="n">
        <x:v>0</x:v>
      </x:c>
      <x:c r="I129" s="28" t="n">
        <x:v>3</x:v>
      </x:c>
      <x:c r="J129" s="28" t="n">
        <x:v>300</x:v>
      </x:c>
      <x:c r="K129" s="28" t="n">
        <x:v>0</x:v>
      </x:c>
      <x:c r="L129" s="28" t="n">
        <x:v>0</x:v>
      </x:c>
      <x:c r="M129" s="28" t="n">
        <x:v>0</x:v>
      </x:c>
      <x:c r="N129" s="28" t="n">
        <x:v>0</x:v>
      </x:c>
      <x:c r="O129" s="28" t="str">
        <x:v>登记消耗1件；永久一次；不收金币/元宝/灵符</x:v>
      </x:c>
    </x:row>
    <x:row r="130" ht="30" customHeight="1">
      <x:c r="A130" s="28" t="str">
        <x:v>C03</x:v>
      </x:c>
      <x:c r="B130" s="28" t="str">
        <x:v>失落驿道</x:v>
      </x:c>
      <x:c r="C130" s="28" t="str">
        <x:v>灰篷面巾</x:v>
      </x:c>
      <x:c r="D130" s="28" t="str">
        <x:v>普通</x:v>
      </x:c>
      <x:c r="E130" s="28" t="n">
        <x:v>1</x:v>
      </x:c>
      <x:c r="F130" s="28" t="n">
        <x:v>0</x:v>
      </x:c>
      <x:c r="G130" s="28" t="n">
        <x:v>0</x:v>
      </x:c>
      <x:c r="H130" s="28" t="n">
        <x:v>0</x:v>
      </x:c>
      <x:c r="I130" s="28" t="n">
        <x:v>3</x:v>
      </x:c>
      <x:c r="J130" s="28" t="n">
        <x:v>300</x:v>
      </x:c>
      <x:c r="K130" s="28" t="n">
        <x:v>0</x:v>
      </x:c>
      <x:c r="L130" s="28" t="n">
        <x:v>0</x:v>
      </x:c>
      <x:c r="M130" s="28" t="n">
        <x:v>0</x:v>
      </x:c>
      <x:c r="N130" s="28" t="n">
        <x:v>0</x:v>
      </x:c>
      <x:c r="O130" s="28" t="str">
        <x:v>登记消耗1件；永久一次；不收金币/元宝/灵符</x:v>
      </x:c>
    </x:row>
    <x:row r="131" ht="30" customHeight="1">
      <x:c r="A131" s="28" t="str">
        <x:v>C03</x:v>
      </x:c>
      <x:c r="B131" s="28" t="str">
        <x:v>失落驿道</x:v>
      </x:c>
      <x:c r="C131" s="28" t="str">
        <x:v>驮货重甲</x:v>
      </x:c>
      <x:c r="D131" s="28" t="str">
        <x:v>普通</x:v>
      </x:c>
      <x:c r="E131" s="28" t="n">
        <x:v>1</x:v>
      </x:c>
      <x:c r="F131" s="28" t="n">
        <x:v>0</x:v>
      </x:c>
      <x:c r="G131" s="28" t="n">
        <x:v>0</x:v>
      </x:c>
      <x:c r="H131" s="28" t="n">
        <x:v>0</x:v>
      </x:c>
      <x:c r="I131" s="28" t="n">
        <x:v>3</x:v>
      </x:c>
      <x:c r="J131" s="28" t="n">
        <x:v>300</x:v>
      </x:c>
      <x:c r="K131" s="28" t="n">
        <x:v>0</x:v>
      </x:c>
      <x:c r="L131" s="28" t="n">
        <x:v>0</x:v>
      </x:c>
      <x:c r="M131" s="28" t="n">
        <x:v>0</x:v>
      </x:c>
      <x:c r="N131" s="28" t="n">
        <x:v>0</x:v>
      </x:c>
      <x:c r="O131" s="28" t="str">
        <x:v>登记消耗1件；永久一次；不收金币/元宝/灵符</x:v>
      </x:c>
    </x:row>
    <x:row r="132" ht="30" customHeight="1">
      <x:c r="A132" s="28" t="str">
        <x:v>C03</x:v>
      </x:c>
      <x:c r="B132" s="28" t="str">
        <x:v>失落驿道</x:v>
      </x:c>
      <x:c r="C132" s="28" t="str">
        <x:v>营火牙戒</x:v>
      </x:c>
      <x:c r="D132" s="28" t="str">
        <x:v>普通</x:v>
      </x:c>
      <x:c r="E132" s="28" t="n">
        <x:v>1</x:v>
      </x:c>
      <x:c r="F132" s="28" t="n">
        <x:v>0</x:v>
      </x:c>
      <x:c r="G132" s="28" t="n">
        <x:v>0</x:v>
      </x:c>
      <x:c r="H132" s="28" t="n">
        <x:v>0</x:v>
      </x:c>
      <x:c r="I132" s="28" t="n">
        <x:v>3</x:v>
      </x:c>
      <x:c r="J132" s="28" t="n">
        <x:v>300</x:v>
      </x:c>
      <x:c r="K132" s="28" t="n">
        <x:v>0</x:v>
      </x:c>
      <x:c r="L132" s="28" t="n">
        <x:v>0</x:v>
      </x:c>
      <x:c r="M132" s="28" t="n">
        <x:v>0</x:v>
      </x:c>
      <x:c r="N132" s="28" t="n">
        <x:v>0</x:v>
      </x:c>
      <x:c r="O132" s="28" t="str">
        <x:v>登记消耗1件；永久一次；不收金币/元宝/灵符</x:v>
      </x:c>
    </x:row>
    <x:row r="133" ht="30" customHeight="1">
      <x:c r="A133" s="28" t="str">
        <x:v>C03</x:v>
      </x:c>
      <x:c r="B133" s="28" t="str">
        <x:v>失落驿道</x:v>
      </x:c>
      <x:c r="C133" s="28" t="str">
        <x:v>断轮弩机</x:v>
      </x:c>
      <x:c r="D133" s="28" t="str">
        <x:v>普通</x:v>
      </x:c>
      <x:c r="E133" s="28" t="n">
        <x:v>1</x:v>
      </x:c>
      <x:c r="F133" s="28" t="n">
        <x:v>0</x:v>
      </x:c>
      <x:c r="G133" s="28" t="n">
        <x:v>0</x:v>
      </x:c>
      <x:c r="H133" s="28" t="n">
        <x:v>0</x:v>
      </x:c>
      <x:c r="I133" s="28" t="n">
        <x:v>3</x:v>
      </x:c>
      <x:c r="J133" s="28" t="n">
        <x:v>300</x:v>
      </x:c>
      <x:c r="K133" s="28" t="n">
        <x:v>0</x:v>
      </x:c>
      <x:c r="L133" s="28" t="n">
        <x:v>0</x:v>
      </x:c>
      <x:c r="M133" s="28" t="n">
        <x:v>0</x:v>
      </x:c>
      <x:c r="N133" s="28" t="n">
        <x:v>0</x:v>
      </x:c>
      <x:c r="O133" s="28" t="str">
        <x:v>登记消耗1件；永久一次；不收金币/元宝/灵符</x:v>
      </x:c>
    </x:row>
    <x:row r="134" ht="30" customHeight="1">
      <x:c r="A134" s="28" t="str">
        <x:v>C03</x:v>
      </x:c>
      <x:c r="B134" s="28" t="str">
        <x:v>失落驿道</x:v>
      </x:c>
      <x:c r="C134" s="28" t="str">
        <x:v>火漆追缉令</x:v>
      </x:c>
      <x:c r="D134" s="28" t="str">
        <x:v>稀有</x:v>
      </x:c>
      <x:c r="E134" s="28" t="n">
        <x:v>1</x:v>
      </x:c>
      <x:c r="F134" s="28" t="n">
        <x:v>0</x:v>
      </x:c>
      <x:c r="G134" s="28" t="n">
        <x:v>0</x:v>
      </x:c>
      <x:c r="H134" s="28" t="n">
        <x:v>0</x:v>
      </x:c>
      <x:c r="I134" s="28" t="n">
        <x:v>6</x:v>
      </x:c>
      <x:c r="J134" s="28" t="n">
        <x:v>600</x:v>
      </x:c>
      <x:c r="K134" s="28" t="n">
        <x:v>5</x:v>
      </x:c>
      <x:c r="L134" s="28" t="n">
        <x:v>0</x:v>
      </x:c>
      <x:c r="M134" s="28" t="n">
        <x:v>0</x:v>
      </x:c>
      <x:c r="N134" s="28" t="n">
        <x:v>0</x:v>
      </x:c>
      <x:c r="O134" s="28" t="str">
        <x:v>登记消耗1件；永久一次；不收金币/元宝/灵符</x:v>
      </x:c>
    </x:row>
    <x:row r="135" ht="30" customHeight="1">
      <x:c r="A135" s="28" t="str">
        <x:v>C03</x:v>
      </x:c>
      <x:c r="B135" s="28" t="str">
        <x:v>失落驿道</x:v>
      </x:c>
      <x:c r="C135" s="28" t="str">
        <x:v>叛骑战靴</x:v>
      </x:c>
      <x:c r="D135" s="28" t="str">
        <x:v>稀有</x:v>
      </x:c>
      <x:c r="E135" s="28" t="n">
        <x:v>1</x:v>
      </x:c>
      <x:c r="F135" s="28" t="n">
        <x:v>0</x:v>
      </x:c>
      <x:c r="G135" s="28" t="n">
        <x:v>0</x:v>
      </x:c>
      <x:c r="H135" s="28" t="n">
        <x:v>0</x:v>
      </x:c>
      <x:c r="I135" s="28" t="n">
        <x:v>6</x:v>
      </x:c>
      <x:c r="J135" s="28" t="n">
        <x:v>600</x:v>
      </x:c>
      <x:c r="K135" s="28" t="n">
        <x:v>5</x:v>
      </x:c>
      <x:c r="L135" s="28" t="n">
        <x:v>0</x:v>
      </x:c>
      <x:c r="M135" s="28" t="n">
        <x:v>0</x:v>
      </x:c>
      <x:c r="N135" s="28" t="n">
        <x:v>0</x:v>
      </x:c>
      <x:c r="O135" s="28" t="str">
        <x:v>登记消耗1件；永久一次；不收金币/元宝/灵符</x:v>
      </x:c>
    </x:row>
    <x:row r="136" ht="30" customHeight="1">
      <x:c r="A136" s="28" t="str">
        <x:v>C03</x:v>
      </x:c>
      <x:c r="B136" s="28" t="str">
        <x:v>失落驿道</x:v>
      </x:c>
      <x:c r="C136" s="28" t="str">
        <x:v>劫首弯刃</x:v>
      </x:c>
      <x:c r="D136" s="28" t="str">
        <x:v>稀有</x:v>
      </x:c>
      <x:c r="E136" s="28" t="n">
        <x:v>1</x:v>
      </x:c>
      <x:c r="F136" s="28" t="n">
        <x:v>0</x:v>
      </x:c>
      <x:c r="G136" s="28" t="n">
        <x:v>0</x:v>
      </x:c>
      <x:c r="H136" s="28" t="n">
        <x:v>0</x:v>
      </x:c>
      <x:c r="I136" s="28" t="n">
        <x:v>6</x:v>
      </x:c>
      <x:c r="J136" s="28" t="n">
        <x:v>600</x:v>
      </x:c>
      <x:c r="K136" s="28" t="n">
        <x:v>5</x:v>
      </x:c>
      <x:c r="L136" s="28" t="n">
        <x:v>0</x:v>
      </x:c>
      <x:c r="M136" s="28" t="n">
        <x:v>0</x:v>
      </x:c>
      <x:c r="N136" s="28" t="n">
        <x:v>0</x:v>
      </x:c>
      <x:c r="O136" s="28" t="str">
        <x:v>登记消耗1件；永久一次；不收金币/元宝/灵符</x:v>
      </x:c>
    </x:row>
    <x:row r="137" ht="30" customHeight="1">
      <x:c r="A137" s="28" t="str">
        <x:v>C03</x:v>
      </x:c>
      <x:c r="B137" s="28" t="str">
        <x:v>失落驿道</x:v>
      </x:c>
      <x:c r="C137" s="28" t="str">
        <x:v>黯幕咒戒</x:v>
      </x:c>
      <x:c r="D137" s="28" t="str">
        <x:v>稀有</x:v>
      </x:c>
      <x:c r="E137" s="28" t="n">
        <x:v>1</x:v>
      </x:c>
      <x:c r="F137" s="28" t="n">
        <x:v>0</x:v>
      </x:c>
      <x:c r="G137" s="28" t="n">
        <x:v>0</x:v>
      </x:c>
      <x:c r="H137" s="28" t="n">
        <x:v>0</x:v>
      </x:c>
      <x:c r="I137" s="28" t="n">
        <x:v>6</x:v>
      </x:c>
      <x:c r="J137" s="28" t="n">
        <x:v>600</x:v>
      </x:c>
      <x:c r="K137" s="28" t="n">
        <x:v>5</x:v>
      </x:c>
      <x:c r="L137" s="28" t="n">
        <x:v>0</x:v>
      </x:c>
      <x:c r="M137" s="28" t="n">
        <x:v>0</x:v>
      </x:c>
      <x:c r="N137" s="28" t="n">
        <x:v>0</x:v>
      </x:c>
      <x:c r="O137" s="28" t="str">
        <x:v>登记消耗1件；永久一次；不收金币/元宝/灵符</x:v>
      </x:c>
    </x:row>
    <x:row r="138" ht="30" customHeight="1">
      <x:c r="A138" s="28" t="str">
        <x:v>C03</x:v>
      </x:c>
      <x:c r="B138" s="28" t="str">
        <x:v>失落驿道</x:v>
      </x:c>
      <x:c r="C138" s="28" t="str">
        <x:v>无路王剑</x:v>
      </x:c>
      <x:c r="D138" s="28" t="str">
        <x:v>地图BOSS</x:v>
      </x:c>
      <x:c r="E138" s="28" t="n">
        <x:v>1</x:v>
      </x:c>
      <x:c r="F138" s="28" t="n">
        <x:v>0</x:v>
      </x:c>
      <x:c r="G138" s="28" t="n">
        <x:v>0</x:v>
      </x:c>
      <x:c r="H138" s="28" t="n">
        <x:v>0</x:v>
      </x:c>
      <x:c r="I138" s="28" t="n">
        <x:v>9</x:v>
      </x:c>
      <x:c r="J138" s="28" t="n">
        <x:v>900</x:v>
      </x:c>
      <x:c r="K138" s="28" t="n">
        <x:v>0</x:v>
      </x:c>
      <x:c r="L138" s="28" t="n">
        <x:v>1</x:v>
      </x:c>
      <x:c r="M138" s="28" t="n">
        <x:v>0</x:v>
      </x:c>
      <x:c r="N138" s="28" t="n">
        <x:v>0</x:v>
      </x:c>
      <x:c r="O138" s="28" t="str">
        <x:v>登记消耗1件；永久一次；不收金币/元宝/灵符</x:v>
      </x:c>
    </x:row>
    <x:row r="139" ht="30" customHeight="1">
      <x:c r="A139" s="28" t="str">
        <x:v>C03</x:v>
      </x:c>
      <x:c r="B139" s="28" t="str">
        <x:v>失落驿道</x:v>
      </x:c>
      <x:c r="C139" s="28" t="str">
        <x:v>赤篷铁衣</x:v>
      </x:c>
      <x:c r="D139" s="28" t="str">
        <x:v>地图BOSS</x:v>
      </x:c>
      <x:c r="E139" s="28" t="n">
        <x:v>1</x:v>
      </x:c>
      <x:c r="F139" s="28" t="n">
        <x:v>0</x:v>
      </x:c>
      <x:c r="G139" s="28" t="n">
        <x:v>0</x:v>
      </x:c>
      <x:c r="H139" s="28" t="n">
        <x:v>0</x:v>
      </x:c>
      <x:c r="I139" s="28" t="n">
        <x:v>9</x:v>
      </x:c>
      <x:c r="J139" s="28" t="n">
        <x:v>900</x:v>
      </x:c>
      <x:c r="K139" s="28" t="n">
        <x:v>0</x:v>
      </x:c>
      <x:c r="L139" s="28" t="n">
        <x:v>1</x:v>
      </x:c>
      <x:c r="M139" s="28" t="n">
        <x:v>0</x:v>
      </x:c>
      <x:c r="N139" s="28" t="n">
        <x:v>0</x:v>
      </x:c>
      <x:c r="O139" s="28" t="str">
        <x:v>登记消耗1件；永久一次；不收金币/元宝/灵符</x:v>
      </x:c>
    </x:row>
    <x:row r="140" ht="30" customHeight="1">
      <x:c r="A140" s="28" t="str">
        <x:v>C03</x:v>
      </x:c>
      <x:c r="B140" s="28" t="str">
        <x:v>古战场遗迹</x:v>
      </x:c>
      <x:c r="C140" s="28" t="str">
        <x:v>残阵战刀</x:v>
      </x:c>
      <x:c r="D140" s="28" t="str">
        <x:v>普通</x:v>
      </x:c>
      <x:c r="E140" s="28" t="n">
        <x:v>1</x:v>
      </x:c>
      <x:c r="F140" s="28" t="n">
        <x:v>0</x:v>
      </x:c>
      <x:c r="G140" s="28" t="n">
        <x:v>0</x:v>
      </x:c>
      <x:c r="H140" s="28" t="n">
        <x:v>0</x:v>
      </x:c>
      <x:c r="I140" s="28" t="n">
        <x:v>3</x:v>
      </x:c>
      <x:c r="J140" s="28" t="n">
        <x:v>300</x:v>
      </x:c>
      <x:c r="K140" s="28" t="n">
        <x:v>0</x:v>
      </x:c>
      <x:c r="L140" s="28" t="n">
        <x:v>0</x:v>
      </x:c>
      <x:c r="M140" s="28" t="n">
        <x:v>0</x:v>
      </x:c>
      <x:c r="N140" s="28" t="n">
        <x:v>0</x:v>
      </x:c>
      <x:c r="O140" s="28" t="str">
        <x:v>登记消耗1件；永久一次；不收金币/元宝/灵符</x:v>
      </x:c>
    </x:row>
    <x:row r="141" ht="30" customHeight="1">
      <x:c r="A141" s="28" t="str">
        <x:v>C03</x:v>
      </x:c>
      <x:c r="B141" s="28" t="str">
        <x:v>古战场遗迹</x:v>
      </x:c>
      <x:c r="C141" s="28" t="str">
        <x:v>折戟铁链</x:v>
      </x:c>
      <x:c r="D141" s="28" t="str">
        <x:v>普通</x:v>
      </x:c>
      <x:c r="E141" s="28" t="n">
        <x:v>1</x:v>
      </x:c>
      <x:c r="F141" s="28" t="n">
        <x:v>0</x:v>
      </x:c>
      <x:c r="G141" s="28" t="n">
        <x:v>0</x:v>
      </x:c>
      <x:c r="H141" s="28" t="n">
        <x:v>0</x:v>
      </x:c>
      <x:c r="I141" s="28" t="n">
        <x:v>3</x:v>
      </x:c>
      <x:c r="J141" s="28" t="n">
        <x:v>300</x:v>
      </x:c>
      <x:c r="K141" s="28" t="n">
        <x:v>0</x:v>
      </x:c>
      <x:c r="L141" s="28" t="n">
        <x:v>0</x:v>
      </x:c>
      <x:c r="M141" s="28" t="n">
        <x:v>0</x:v>
      </x:c>
      <x:c r="N141" s="28" t="n">
        <x:v>0</x:v>
      </x:c>
      <x:c r="O141" s="28" t="str">
        <x:v>登记消耗1件；永久一次；不收金币/元宝/灵符</x:v>
      </x:c>
    </x:row>
    <x:row r="142" ht="30" customHeight="1">
      <x:c r="A142" s="28" t="str">
        <x:v>C03</x:v>
      </x:c>
      <x:c r="B142" s="28" t="str">
        <x:v>古战场遗迹</x:v>
      </x:c>
      <x:c r="C142" s="28" t="str">
        <x:v>战壕骨甲</x:v>
      </x:c>
      <x:c r="D142" s="28" t="str">
        <x:v>普通</x:v>
      </x:c>
      <x:c r="E142" s="28" t="n">
        <x:v>1</x:v>
      </x:c>
      <x:c r="F142" s="28" t="n">
        <x:v>0</x:v>
      </x:c>
      <x:c r="G142" s="28" t="n">
        <x:v>0</x:v>
      </x:c>
      <x:c r="H142" s="28" t="n">
        <x:v>0</x:v>
      </x:c>
      <x:c r="I142" s="28" t="n">
        <x:v>3</x:v>
      </x:c>
      <x:c r="J142" s="28" t="n">
        <x:v>300</x:v>
      </x:c>
      <x:c r="K142" s="28" t="n">
        <x:v>0</x:v>
      </x:c>
      <x:c r="L142" s="28" t="n">
        <x:v>0</x:v>
      </x:c>
      <x:c r="M142" s="28" t="n">
        <x:v>0</x:v>
      </x:c>
      <x:c r="N142" s="28" t="n">
        <x:v>0</x:v>
      </x:c>
      <x:c r="O142" s="28" t="str">
        <x:v>登记消耗1件；永久一次；不收金币/元宝/灵符</x:v>
      </x:c>
    </x:row>
    <x:row r="143" ht="30" customHeight="1">
      <x:c r="A143" s="28" t="str">
        <x:v>C03</x:v>
      </x:c>
      <x:c r="B143" s="28" t="str">
        <x:v>古战场遗迹</x:v>
      </x:c>
      <x:c r="C143" s="28" t="str">
        <x:v>无首号角</x:v>
      </x:c>
      <x:c r="D143" s="28" t="str">
        <x:v>普通</x:v>
      </x:c>
      <x:c r="E143" s="28" t="n">
        <x:v>1</x:v>
      </x:c>
      <x:c r="F143" s="28" t="n">
        <x:v>0</x:v>
      </x:c>
      <x:c r="G143" s="28" t="n">
        <x:v>0</x:v>
      </x:c>
      <x:c r="H143" s="28" t="n">
        <x:v>0</x:v>
      </x:c>
      <x:c r="I143" s="28" t="n">
        <x:v>3</x:v>
      </x:c>
      <x:c r="J143" s="28" t="n">
        <x:v>300</x:v>
      </x:c>
      <x:c r="K143" s="28" t="n">
        <x:v>0</x:v>
      </x:c>
      <x:c r="L143" s="28" t="n">
        <x:v>0</x:v>
      </x:c>
      <x:c r="M143" s="28" t="n">
        <x:v>0</x:v>
      </x:c>
      <x:c r="N143" s="28" t="n">
        <x:v>0</x:v>
      </x:c>
      <x:c r="O143" s="28" t="str">
        <x:v>登记消耗1件；永久一次；不收金币/元宝/灵符</x:v>
      </x:c>
    </x:row>
    <x:row r="144" ht="30" customHeight="1">
      <x:c r="A144" s="28" t="str">
        <x:v>C03</x:v>
      </x:c>
      <x:c r="B144" s="28" t="str">
        <x:v>古战场遗迹</x:v>
      </x:c>
      <x:c r="C144" s="28" t="str">
        <x:v>墓旗头冠</x:v>
      </x:c>
      <x:c r="D144" s="28" t="str">
        <x:v>普通</x:v>
      </x:c>
      <x:c r="E144" s="28" t="n">
        <x:v>1</x:v>
      </x:c>
      <x:c r="F144" s="28" t="n">
        <x:v>0</x:v>
      </x:c>
      <x:c r="G144" s="28" t="n">
        <x:v>0</x:v>
      </x:c>
      <x:c r="H144" s="28" t="n">
        <x:v>0</x:v>
      </x:c>
      <x:c r="I144" s="28" t="n">
        <x:v>3</x:v>
      </x:c>
      <x:c r="J144" s="28" t="n">
        <x:v>300</x:v>
      </x:c>
      <x:c r="K144" s="28" t="n">
        <x:v>0</x:v>
      </x:c>
      <x:c r="L144" s="28" t="n">
        <x:v>0</x:v>
      </x:c>
      <x:c r="M144" s="28" t="n">
        <x:v>0</x:v>
      </x:c>
      <x:c r="N144" s="28" t="n">
        <x:v>0</x:v>
      </x:c>
      <x:c r="O144" s="28" t="str">
        <x:v>登记消耗1件；永久一次；不收金币/元宝/灵符</x:v>
      </x:c>
    </x:row>
    <x:row r="145" ht="30" customHeight="1">
      <x:c r="A145" s="28" t="str">
        <x:v>C03</x:v>
      </x:c>
      <x:c r="B145" s="28" t="str">
        <x:v>古战场遗迹</x:v>
      </x:c>
      <x:c r="C145" s="28" t="str">
        <x:v>英灵马靴</x:v>
      </x:c>
      <x:c r="D145" s="28" t="str">
        <x:v>普通</x:v>
      </x:c>
      <x:c r="E145" s="28" t="n">
        <x:v>1</x:v>
      </x:c>
      <x:c r="F145" s="28" t="n">
        <x:v>0</x:v>
      </x:c>
      <x:c r="G145" s="28" t="n">
        <x:v>0</x:v>
      </x:c>
      <x:c r="H145" s="28" t="n">
        <x:v>0</x:v>
      </x:c>
      <x:c r="I145" s="28" t="n">
        <x:v>3</x:v>
      </x:c>
      <x:c r="J145" s="28" t="n">
        <x:v>300</x:v>
      </x:c>
      <x:c r="K145" s="28" t="n">
        <x:v>0</x:v>
      </x:c>
      <x:c r="L145" s="28" t="n">
        <x:v>0</x:v>
      </x:c>
      <x:c r="M145" s="28" t="n">
        <x:v>0</x:v>
      </x:c>
      <x:c r="N145" s="28" t="n">
        <x:v>0</x:v>
      </x:c>
      <x:c r="O145" s="28" t="str">
        <x:v>登记消耗1件；永久一次；不收金币/元宝/灵符</x:v>
      </x:c>
    </x:row>
    <x:row r="146" ht="30" customHeight="1">
      <x:c r="A146" s="28" t="str">
        <x:v>C03</x:v>
      </x:c>
      <x:c r="B146" s="28" t="str">
        <x:v>古战场遗迹</x:v>
      </x:c>
      <x:c r="C146" s="28" t="str">
        <x:v>百战腕甲</x:v>
      </x:c>
      <x:c r="D146" s="28" t="str">
        <x:v>稀有</x:v>
      </x:c>
      <x:c r="E146" s="28" t="n">
        <x:v>1</x:v>
      </x:c>
      <x:c r="F146" s="28" t="n">
        <x:v>0</x:v>
      </x:c>
      <x:c r="G146" s="28" t="n">
        <x:v>0</x:v>
      </x:c>
      <x:c r="H146" s="28" t="n">
        <x:v>0</x:v>
      </x:c>
      <x:c r="I146" s="28" t="n">
        <x:v>6</x:v>
      </x:c>
      <x:c r="J146" s="28" t="n">
        <x:v>600</x:v>
      </x:c>
      <x:c r="K146" s="28" t="n">
        <x:v>5</x:v>
      </x:c>
      <x:c r="L146" s="28" t="n">
        <x:v>0</x:v>
      </x:c>
      <x:c r="M146" s="28" t="n">
        <x:v>0</x:v>
      </x:c>
      <x:c r="N146" s="28" t="n">
        <x:v>0</x:v>
      </x:c>
      <x:c r="O146" s="28" t="str">
        <x:v>登记消耗1件；永久一次；不收金币/元宝/灵符</x:v>
      </x:c>
    </x:row>
    <x:row r="147" ht="30" customHeight="1">
      <x:c r="A147" s="28" t="str">
        <x:v>C03</x:v>
      </x:c>
      <x:c r="B147" s="28" t="str">
        <x:v>古战场遗迹</x:v>
      </x:c>
      <x:c r="C147" s="28" t="str">
        <x:v>亡阵旗印</x:v>
      </x:c>
      <x:c r="D147" s="28" t="str">
        <x:v>稀有</x:v>
      </x:c>
      <x:c r="E147" s="28" t="n">
        <x:v>1</x:v>
      </x:c>
      <x:c r="F147" s="28" t="n">
        <x:v>0</x:v>
      </x:c>
      <x:c r="G147" s="28" t="n">
        <x:v>0</x:v>
      </x:c>
      <x:c r="H147" s="28" t="n">
        <x:v>0</x:v>
      </x:c>
      <x:c r="I147" s="28" t="n">
        <x:v>6</x:v>
      </x:c>
      <x:c r="J147" s="28" t="n">
        <x:v>600</x:v>
      </x:c>
      <x:c r="K147" s="28" t="n">
        <x:v>5</x:v>
      </x:c>
      <x:c r="L147" s="28" t="n">
        <x:v>0</x:v>
      </x:c>
      <x:c r="M147" s="28" t="n">
        <x:v>0</x:v>
      </x:c>
      <x:c r="N147" s="28" t="n">
        <x:v>0</x:v>
      </x:c>
      <x:c r="O147" s="28" t="str">
        <x:v>登记消耗1件；永久一次；不收金币/元宝/灵符</x:v>
      </x:c>
    </x:row>
    <x:row r="148" ht="30" customHeight="1">
      <x:c r="A148" s="28" t="str">
        <x:v>C03</x:v>
      </x:c>
      <x:c r="B148" s="28" t="str">
        <x:v>古战场遗迹</x:v>
      </x:c>
      <x:c r="C148" s="28" t="str">
        <x:v>誓死王盾</x:v>
      </x:c>
      <x:c r="D148" s="28" t="str">
        <x:v>稀有</x:v>
      </x:c>
      <x:c r="E148" s="28" t="n">
        <x:v>1</x:v>
      </x:c>
      <x:c r="F148" s="28" t="n">
        <x:v>0</x:v>
      </x:c>
      <x:c r="G148" s="28" t="n">
        <x:v>0</x:v>
      </x:c>
      <x:c r="H148" s="28" t="n">
        <x:v>0</x:v>
      </x:c>
      <x:c r="I148" s="28" t="n">
        <x:v>6</x:v>
      </x:c>
      <x:c r="J148" s="28" t="n">
        <x:v>600</x:v>
      </x:c>
      <x:c r="K148" s="28" t="n">
        <x:v>5</x:v>
      </x:c>
      <x:c r="L148" s="28" t="n">
        <x:v>0</x:v>
      </x:c>
      <x:c r="M148" s="28" t="n">
        <x:v>0</x:v>
      </x:c>
      <x:c r="N148" s="28" t="n">
        <x:v>0</x:v>
      </x:c>
      <x:c r="O148" s="28" t="str">
        <x:v>登记消耗1件；永久一次；不收金币/元宝/灵符</x:v>
      </x:c>
    </x:row>
    <x:row r="149" ht="30" customHeight="1">
      <x:c r="A149" s="28" t="str">
        <x:v>C03</x:v>
      </x:c>
      <x:c r="B149" s="28" t="str">
        <x:v>古战场遗迹</x:v>
      </x:c>
      <x:c r="C149" s="28" t="str">
        <x:v>幽坛引魂铃</x:v>
      </x:c>
      <x:c r="D149" s="28" t="str">
        <x:v>稀有</x:v>
      </x:c>
      <x:c r="E149" s="28" t="n">
        <x:v>1</x:v>
      </x:c>
      <x:c r="F149" s="28" t="n">
        <x:v>0</x:v>
      </x:c>
      <x:c r="G149" s="28" t="n">
        <x:v>0</x:v>
      </x:c>
      <x:c r="H149" s="28" t="n">
        <x:v>0</x:v>
      </x:c>
      <x:c r="I149" s="28" t="n">
        <x:v>6</x:v>
      </x:c>
      <x:c r="J149" s="28" t="n">
        <x:v>600</x:v>
      </x:c>
      <x:c r="K149" s="28" t="n">
        <x:v>5</x:v>
      </x:c>
      <x:c r="L149" s="28" t="n">
        <x:v>0</x:v>
      </x:c>
      <x:c r="M149" s="28" t="n">
        <x:v>0</x:v>
      </x:c>
      <x:c r="N149" s="28" t="n">
        <x:v>0</x:v>
      </x:c>
      <x:c r="O149" s="28" t="str">
        <x:v>登记消耗1件；永久一次；不收金币/元宝/灵符</x:v>
      </x:c>
    </x:row>
    <x:row r="150" ht="30" customHeight="1">
      <x:c r="A150" s="28" t="str">
        <x:v>C03</x:v>
      </x:c>
      <x:c r="B150" s="28" t="str">
        <x:v>古战场遗迹</x:v>
      </x:c>
      <x:c r="C150" s="28" t="str">
        <x:v>雷戈古戟</x:v>
      </x:c>
      <x:c r="D150" s="28" t="str">
        <x:v>地图BOSS</x:v>
      </x:c>
      <x:c r="E150" s="28" t="n">
        <x:v>1</x:v>
      </x:c>
      <x:c r="F150" s="28" t="n">
        <x:v>0</x:v>
      </x:c>
      <x:c r="G150" s="28" t="n">
        <x:v>0</x:v>
      </x:c>
      <x:c r="H150" s="28" t="n">
        <x:v>0</x:v>
      </x:c>
      <x:c r="I150" s="28" t="n">
        <x:v>9</x:v>
      </x:c>
      <x:c r="J150" s="28" t="n">
        <x:v>900</x:v>
      </x:c>
      <x:c r="K150" s="28" t="n">
        <x:v>0</x:v>
      </x:c>
      <x:c r="L150" s="28" t="n">
        <x:v>1</x:v>
      </x:c>
      <x:c r="M150" s="28" t="n">
        <x:v>0</x:v>
      </x:c>
      <x:c r="N150" s="28" t="n">
        <x:v>0</x:v>
      </x:c>
      <x:c r="O150" s="28" t="str">
        <x:v>登记消耗1件；永久一次；不收金币/元宝/灵符</x:v>
      </x:c>
    </x:row>
    <x:row r="151" ht="30" customHeight="1">
      <x:c r="A151" s="28" t="str">
        <x:v>C03</x:v>
      </x:c>
      <x:c r="B151" s="28" t="str">
        <x:v>古战场遗迹</x:v>
      </x:c>
      <x:c r="C151" s="28" t="str">
        <x:v>千军魂衣</x:v>
      </x:c>
      <x:c r="D151" s="28" t="str">
        <x:v>地图BOSS</x:v>
      </x:c>
      <x:c r="E151" s="28" t="n">
        <x:v>1</x:v>
      </x:c>
      <x:c r="F151" s="28" t="n">
        <x:v>0</x:v>
      </x:c>
      <x:c r="G151" s="28" t="n">
        <x:v>0</x:v>
      </x:c>
      <x:c r="H151" s="28" t="n">
        <x:v>0</x:v>
      </x:c>
      <x:c r="I151" s="28" t="n">
        <x:v>9</x:v>
      </x:c>
      <x:c r="J151" s="28" t="n">
        <x:v>900</x:v>
      </x:c>
      <x:c r="K151" s="28" t="n">
        <x:v>0</x:v>
      </x:c>
      <x:c r="L151" s="28" t="n">
        <x:v>1</x:v>
      </x:c>
      <x:c r="M151" s="28" t="n">
        <x:v>0</x:v>
      </x:c>
      <x:c r="N151" s="28" t="n">
        <x:v>0</x:v>
      </x:c>
      <x:c r="O151" s="28" t="str">
        <x:v>登记消耗1件；永久一次；不收金币/元宝/灵符</x:v>
      </x:c>
    </x:row>
    <x:row r="152" ht="30" customHeight="1">
      <x:c r="A152" s="28" t="str">
        <x:v>C03</x:v>
      </x:c>
      <x:c r="B152" s="28" t="str">
        <x:v>风蚀古垒</x:v>
      </x:c>
      <x:c r="C152" s="28" t="str">
        <x:v>古垒军刀</x:v>
      </x:c>
      <x:c r="D152" s="28" t="str">
        <x:v>普通</x:v>
      </x:c>
      <x:c r="E152" s="28" t="n">
        <x:v>1</x:v>
      </x:c>
      <x:c r="F152" s="28" t="n">
        <x:v>0</x:v>
      </x:c>
      <x:c r="G152" s="28" t="n">
        <x:v>0</x:v>
      </x:c>
      <x:c r="H152" s="28" t="n">
        <x:v>0</x:v>
      </x:c>
      <x:c r="I152" s="28" t="n">
        <x:v>3</x:v>
      </x:c>
      <x:c r="J152" s="28" t="n">
        <x:v>300</x:v>
      </x:c>
      <x:c r="K152" s="28" t="n">
        <x:v>0</x:v>
      </x:c>
      <x:c r="L152" s="28" t="n">
        <x:v>0</x:v>
      </x:c>
      <x:c r="M152" s="28" t="n">
        <x:v>0</x:v>
      </x:c>
      <x:c r="N152" s="28" t="n">
        <x:v>0</x:v>
      </x:c>
      <x:c r="O152" s="28" t="str">
        <x:v>登记消耗1件；永久一次；不收金币/元宝/灵符</x:v>
      </x:c>
    </x:row>
    <x:row r="153" ht="30" customHeight="1">
      <x:c r="A153" s="28" t="str">
        <x:v>C03</x:v>
      </x:c>
      <x:c r="B153" s="28" t="str">
        <x:v>风蚀古垒</x:v>
      </x:c>
      <x:c r="C153" s="28" t="str">
        <x:v>风沙鹰链</x:v>
      </x:c>
      <x:c r="D153" s="28" t="str">
        <x:v>普通</x:v>
      </x:c>
      <x:c r="E153" s="28" t="n">
        <x:v>1</x:v>
      </x:c>
      <x:c r="F153" s="28" t="n">
        <x:v>0</x:v>
      </x:c>
      <x:c r="G153" s="28" t="n">
        <x:v>0</x:v>
      </x:c>
      <x:c r="H153" s="28" t="n">
        <x:v>0</x:v>
      </x:c>
      <x:c r="I153" s="28" t="n">
        <x:v>3</x:v>
      </x:c>
      <x:c r="J153" s="28" t="n">
        <x:v>300</x:v>
      </x:c>
      <x:c r="K153" s="28" t="n">
        <x:v>0</x:v>
      </x:c>
      <x:c r="L153" s="28" t="n">
        <x:v>0</x:v>
      </x:c>
      <x:c r="M153" s="28" t="n">
        <x:v>0</x:v>
      </x:c>
      <x:c r="N153" s="28" t="n">
        <x:v>0</x:v>
      </x:c>
      <x:c r="O153" s="28" t="str">
        <x:v>登记消耗1件；永久一次；不收金币/元宝/灵符</x:v>
      </x:c>
    </x:row>
    <x:row r="154" ht="30" customHeight="1">
      <x:c r="A154" s="28" t="str">
        <x:v>C03</x:v>
      </x:c>
      <x:c r="B154" s="28" t="str">
        <x:v>风蚀古垒</x:v>
      </x:c>
      <x:c r="C154" s="28" t="str">
        <x:v>回廊石盔</x:v>
      </x:c>
      <x:c r="D154" s="28" t="str">
        <x:v>普通</x:v>
      </x:c>
      <x:c r="E154" s="28" t="n">
        <x:v>1</x:v>
      </x:c>
      <x:c r="F154" s="28" t="n">
        <x:v>0</x:v>
      </x:c>
      <x:c r="G154" s="28" t="n">
        <x:v>0</x:v>
      </x:c>
      <x:c r="H154" s="28" t="n">
        <x:v>0</x:v>
      </x:c>
      <x:c r="I154" s="28" t="n">
        <x:v>3</x:v>
      </x:c>
      <x:c r="J154" s="28" t="n">
        <x:v>300</x:v>
      </x:c>
      <x:c r="K154" s="28" t="n">
        <x:v>0</x:v>
      </x:c>
      <x:c r="L154" s="28" t="n">
        <x:v>0</x:v>
      </x:c>
      <x:c r="M154" s="28" t="n">
        <x:v>0</x:v>
      </x:c>
      <x:c r="N154" s="28" t="n">
        <x:v>0</x:v>
      </x:c>
      <x:c r="O154" s="28" t="str">
        <x:v>登记消耗1件；永久一次；不收金币/元宝/灵符</x:v>
      </x:c>
    </x:row>
    <x:row r="155" ht="30" customHeight="1">
      <x:c r="A155" s="28" t="str">
        <x:v>C03</x:v>
      </x:c>
      <x:c r="B155" s="28" t="str">
        <x:v>风蚀古垒</x:v>
      </x:c>
      <x:c r="C155" s="28" t="str">
        <x:v>掘墓铁镯</x:v>
      </x:c>
      <x:c r="D155" s="28" t="str">
        <x:v>普通</x:v>
      </x:c>
      <x:c r="E155" s="28" t="n">
        <x:v>1</x:v>
      </x:c>
      <x:c r="F155" s="28" t="n">
        <x:v>0</x:v>
      </x:c>
      <x:c r="G155" s="28" t="n">
        <x:v>0</x:v>
      </x:c>
      <x:c r="H155" s="28" t="n">
        <x:v>0</x:v>
      </x:c>
      <x:c r="I155" s="28" t="n">
        <x:v>3</x:v>
      </x:c>
      <x:c r="J155" s="28" t="n">
        <x:v>300</x:v>
      </x:c>
      <x:c r="K155" s="28" t="n">
        <x:v>0</x:v>
      </x:c>
      <x:c r="L155" s="28" t="n">
        <x:v>0</x:v>
      </x:c>
      <x:c r="M155" s="28" t="n">
        <x:v>0</x:v>
      </x:c>
      <x:c r="N155" s="28" t="n">
        <x:v>0</x:v>
      </x:c>
      <x:c r="O155" s="28" t="str">
        <x:v>登记消耗1件；永久一次；不收金币/元宝/灵符</x:v>
      </x:c>
    </x:row>
    <x:row r="156" ht="30" customHeight="1">
      <x:c r="A156" s="28" t="str">
        <x:v>C03</x:v>
      </x:c>
      <x:c r="B156" s="28" t="str">
        <x:v>风蚀古垒</x:v>
      </x:c>
      <x:c r="C156" s="28" t="str">
        <x:v>边墙牙戒</x:v>
      </x:c>
      <x:c r="D156" s="28" t="str">
        <x:v>普通</x:v>
      </x:c>
      <x:c r="E156" s="28" t="n">
        <x:v>1</x:v>
      </x:c>
      <x:c r="F156" s="28" t="n">
        <x:v>0</x:v>
      </x:c>
      <x:c r="G156" s="28" t="n">
        <x:v>0</x:v>
      </x:c>
      <x:c r="H156" s="28" t="n">
        <x:v>0</x:v>
      </x:c>
      <x:c r="I156" s="28" t="n">
        <x:v>3</x:v>
      </x:c>
      <x:c r="J156" s="28" t="n">
        <x:v>300</x:v>
      </x:c>
      <x:c r="K156" s="28" t="n">
        <x:v>0</x:v>
      </x:c>
      <x:c r="L156" s="28" t="n">
        <x:v>0</x:v>
      </x:c>
      <x:c r="M156" s="28" t="n">
        <x:v>0</x:v>
      </x:c>
      <x:c r="N156" s="28" t="n">
        <x:v>0</x:v>
      </x:c>
      <x:c r="O156" s="28" t="str">
        <x:v>登记消耗1件；永久一次；不收金币/元宝/灵符</x:v>
      </x:c>
    </x:row>
    <x:row r="157" ht="30" customHeight="1">
      <x:c r="A157" s="28" t="str">
        <x:v>C03</x:v>
      </x:c>
      <x:c r="B157" s="28" t="str">
        <x:v>风蚀古垒</x:v>
      </x:c>
      <x:c r="C157" s="28" t="str">
        <x:v>铜门束带</x:v>
      </x:c>
      <x:c r="D157" s="28" t="str">
        <x:v>普通</x:v>
      </x:c>
      <x:c r="E157" s="28" t="n">
        <x:v>1</x:v>
      </x:c>
      <x:c r="F157" s="28" t="n">
        <x:v>0</x:v>
      </x:c>
      <x:c r="G157" s="28" t="n">
        <x:v>0</x:v>
      </x:c>
      <x:c r="H157" s="28" t="n">
        <x:v>0</x:v>
      </x:c>
      <x:c r="I157" s="28" t="n">
        <x:v>3</x:v>
      </x:c>
      <x:c r="J157" s="28" t="n">
        <x:v>300</x:v>
      </x:c>
      <x:c r="K157" s="28" t="n">
        <x:v>0</x:v>
      </x:c>
      <x:c r="L157" s="28" t="n">
        <x:v>0</x:v>
      </x:c>
      <x:c r="M157" s="28" t="n">
        <x:v>0</x:v>
      </x:c>
      <x:c r="N157" s="28" t="n">
        <x:v>0</x:v>
      </x:c>
      <x:c r="O157" s="28" t="str">
        <x:v>登记消耗1件；永久一次；不收金币/元宝/灵符</x:v>
      </x:c>
    </x:row>
    <x:row r="158" ht="30" customHeight="1">
      <x:c r="A158" s="28" t="str">
        <x:v>C03</x:v>
      </x:c>
      <x:c r="B158" s="28" t="str">
        <x:v>风蚀古垒</x:v>
      </x:c>
      <x:c r="C158" s="28" t="str">
        <x:v>百夫战靴</x:v>
      </x:c>
      <x:c r="D158" s="28" t="str">
        <x:v>稀有</x:v>
      </x:c>
      <x:c r="E158" s="28" t="n">
        <x:v>1</x:v>
      </x:c>
      <x:c r="F158" s="28" t="n">
        <x:v>0</x:v>
      </x:c>
      <x:c r="G158" s="28" t="n">
        <x:v>0</x:v>
      </x:c>
      <x:c r="H158" s="28" t="n">
        <x:v>0</x:v>
      </x:c>
      <x:c r="I158" s="28" t="n">
        <x:v>6</x:v>
      </x:c>
      <x:c r="J158" s="28" t="n">
        <x:v>600</x:v>
      </x:c>
      <x:c r="K158" s="28" t="n">
        <x:v>5</x:v>
      </x:c>
      <x:c r="L158" s="28" t="n">
        <x:v>0</x:v>
      </x:c>
      <x:c r="M158" s="28" t="n">
        <x:v>0</x:v>
      </x:c>
      <x:c r="N158" s="28" t="n">
        <x:v>0</x:v>
      </x:c>
      <x:c r="O158" s="28" t="str">
        <x:v>登记消耗1件；永久一次；不收金币/元宝/灵符</x:v>
      </x:c>
    </x:row>
    <x:row r="159" ht="30" customHeight="1">
      <x:c r="A159" s="28" t="str">
        <x:v>C03</x:v>
      </x:c>
      <x:c r="B159" s="28" t="str">
        <x:v>风蚀古垒</x:v>
      </x:c>
      <x:c r="C159" s="28" t="str">
        <x:v>刑官断刃</x:v>
      </x:c>
      <x:c r="D159" s="28" t="str">
        <x:v>稀有</x:v>
      </x:c>
      <x:c r="E159" s="28" t="n">
        <x:v>1</x:v>
      </x:c>
      <x:c r="F159" s="28" t="n">
        <x:v>0</x:v>
      </x:c>
      <x:c r="G159" s="28" t="n">
        <x:v>0</x:v>
      </x:c>
      <x:c r="H159" s="28" t="n">
        <x:v>0</x:v>
      </x:c>
      <x:c r="I159" s="28" t="n">
        <x:v>6</x:v>
      </x:c>
      <x:c r="J159" s="28" t="n">
        <x:v>600</x:v>
      </x:c>
      <x:c r="K159" s="28" t="n">
        <x:v>5</x:v>
      </x:c>
      <x:c r="L159" s="28" t="n">
        <x:v>0</x:v>
      </x:c>
      <x:c r="M159" s="28" t="n">
        <x:v>0</x:v>
      </x:c>
      <x:c r="N159" s="28" t="n">
        <x:v>0</x:v>
      </x:c>
      <x:c r="O159" s="28" t="str">
        <x:v>登记消耗1件；永久一次；不收金币/元宝/灵符</x:v>
      </x:c>
    </x:row>
    <x:row r="160" ht="30" customHeight="1">
      <x:c r="A160" s="28" t="str">
        <x:v>C03</x:v>
      </x:c>
      <x:c r="B160" s="28" t="str">
        <x:v>风蚀古垒</x:v>
      </x:c>
      <x:c r="C160" s="28" t="str">
        <x:v>镇魂勋章</x:v>
      </x:c>
      <x:c r="D160" s="28" t="str">
        <x:v>稀有</x:v>
      </x:c>
      <x:c r="E160" s="28" t="n">
        <x:v>1</x:v>
      </x:c>
      <x:c r="F160" s="28" t="n">
        <x:v>0</x:v>
      </x:c>
      <x:c r="G160" s="28" t="n">
        <x:v>0</x:v>
      </x:c>
      <x:c r="H160" s="28" t="n">
        <x:v>0</x:v>
      </x:c>
      <x:c r="I160" s="28" t="n">
        <x:v>6</x:v>
      </x:c>
      <x:c r="J160" s="28" t="n">
        <x:v>600</x:v>
      </x:c>
      <x:c r="K160" s="28" t="n">
        <x:v>5</x:v>
      </x:c>
      <x:c r="L160" s="28" t="n">
        <x:v>0</x:v>
      </x:c>
      <x:c r="M160" s="28" t="n">
        <x:v>0</x:v>
      </x:c>
      <x:c r="N160" s="28" t="n">
        <x:v>0</x:v>
      </x:c>
      <x:c r="O160" s="28" t="str">
        <x:v>登记消耗1件；永久一次；不收金币/元宝/灵符</x:v>
      </x:c>
    </x:row>
    <x:row r="161" ht="30" customHeight="1">
      <x:c r="A161" s="28" t="str">
        <x:v>C03</x:v>
      </x:c>
      <x:c r="B161" s="28" t="str">
        <x:v>风蚀古垒</x:v>
      </x:c>
      <x:c r="C161" s="28" t="str">
        <x:v>边境塔盾</x:v>
      </x:c>
      <x:c r="D161" s="28" t="str">
        <x:v>稀有</x:v>
      </x:c>
      <x:c r="E161" s="28" t="n">
        <x:v>1</x:v>
      </x:c>
      <x:c r="F161" s="28" t="n">
        <x:v>0</x:v>
      </x:c>
      <x:c r="G161" s="28" t="n">
        <x:v>0</x:v>
      </x:c>
      <x:c r="H161" s="28" t="n">
        <x:v>0</x:v>
      </x:c>
      <x:c r="I161" s="28" t="n">
        <x:v>6</x:v>
      </x:c>
      <x:c r="J161" s="28" t="n">
        <x:v>600</x:v>
      </x:c>
      <x:c r="K161" s="28" t="n">
        <x:v>5</x:v>
      </x:c>
      <x:c r="L161" s="28" t="n">
        <x:v>0</x:v>
      </x:c>
      <x:c r="M161" s="28" t="n">
        <x:v>0</x:v>
      </x:c>
      <x:c r="N161" s="28" t="n">
        <x:v>0</x:v>
      </x:c>
      <x:c r="O161" s="28" t="str">
        <x:v>登记消耗1件；永久一次；不收金币/元宝/灵符</x:v>
      </x:c>
    </x:row>
    <x:row r="162" ht="30" customHeight="1">
      <x:c r="A162" s="28" t="str">
        <x:v>C03</x:v>
      </x:c>
      <x:c r="B162" s="28" t="str">
        <x:v>风蚀古垒</x:v>
      </x:c>
      <x:c r="C162" s="28" t="str">
        <x:v>布兰守城枪</x:v>
      </x:c>
      <x:c r="D162" s="28" t="str">
        <x:v>地图BOSS</x:v>
      </x:c>
      <x:c r="E162" s="28" t="n">
        <x:v>1</x:v>
      </x:c>
      <x:c r="F162" s="28" t="n">
        <x:v>0</x:v>
      </x:c>
      <x:c r="G162" s="28" t="n">
        <x:v>0</x:v>
      </x:c>
      <x:c r="H162" s="28" t="n">
        <x:v>0</x:v>
      </x:c>
      <x:c r="I162" s="28" t="n">
        <x:v>9</x:v>
      </x:c>
      <x:c r="J162" s="28" t="n">
        <x:v>900</x:v>
      </x:c>
      <x:c r="K162" s="28" t="n">
        <x:v>0</x:v>
      </x:c>
      <x:c r="L162" s="28" t="n">
        <x:v>1</x:v>
      </x:c>
      <x:c r="M162" s="28" t="n">
        <x:v>0</x:v>
      </x:c>
      <x:c r="N162" s="28" t="n">
        <x:v>0</x:v>
      </x:c>
      <x:c r="O162" s="28" t="str">
        <x:v>登记消耗1件；永久一次；不收金币/元宝/灵符</x:v>
      </x:c>
    </x:row>
    <x:row r="163" ht="30" customHeight="1">
      <x:c r="A163" s="28" t="str">
        <x:v>C03</x:v>
      </x:c>
      <x:c r="B163" s="28" t="str">
        <x:v>风蚀古垒</x:v>
      </x:c>
      <x:c r="C163" s="28" t="str">
        <x:v>石王古铠</x:v>
      </x:c>
      <x:c r="D163" s="28" t="str">
        <x:v>地图BOSS</x:v>
      </x:c>
      <x:c r="E163" s="28" t="n">
        <x:v>1</x:v>
      </x:c>
      <x:c r="F163" s="28" t="n">
        <x:v>0</x:v>
      </x:c>
      <x:c r="G163" s="28" t="n">
        <x:v>0</x:v>
      </x:c>
      <x:c r="H163" s="28" t="n">
        <x:v>0</x:v>
      </x:c>
      <x:c r="I163" s="28" t="n">
        <x:v>9</x:v>
      </x:c>
      <x:c r="J163" s="28" t="n">
        <x:v>900</x:v>
      </x:c>
      <x:c r="K163" s="28" t="n">
        <x:v>0</x:v>
      </x:c>
      <x:c r="L163" s="28" t="n">
        <x:v>1</x:v>
      </x:c>
      <x:c r="M163" s="28" t="n">
        <x:v>0</x:v>
      </x:c>
      <x:c r="N163" s="28" t="n">
        <x:v>0</x:v>
      </x:c>
      <x:c r="O163" s="28" t="str">
        <x:v>登记消耗1件；永久一次；不收金币/元宝/灵符</x:v>
      </x:c>
    </x:row>
    <x:row r="164" ht="30" customHeight="1">
      <x:c r="A164" s="28" t="str">
        <x:v>C03</x:v>
      </x:c>
      <x:c r="B164" s="28" t="str">
        <x:v>黄金树哨垒</x:v>
      </x:c>
      <x:c r="C164" s="28" t="str">
        <x:v>金叶军刃</x:v>
      </x:c>
      <x:c r="D164" s="28" t="str">
        <x:v>普通</x:v>
      </x:c>
      <x:c r="E164" s="28" t="n">
        <x:v>1</x:v>
      </x:c>
      <x:c r="F164" s="28" t="n">
        <x:v>0</x:v>
      </x:c>
      <x:c r="G164" s="28" t="n">
        <x:v>0</x:v>
      </x:c>
      <x:c r="H164" s="28" t="n">
        <x:v>0</x:v>
      </x:c>
      <x:c r="I164" s="28" t="n">
        <x:v>3</x:v>
      </x:c>
      <x:c r="J164" s="28" t="n">
        <x:v>300</x:v>
      </x:c>
      <x:c r="K164" s="28" t="n">
        <x:v>0</x:v>
      </x:c>
      <x:c r="L164" s="28" t="n">
        <x:v>0</x:v>
      </x:c>
      <x:c r="M164" s="28" t="n">
        <x:v>0</x:v>
      </x:c>
      <x:c r="N164" s="28" t="n">
        <x:v>0</x:v>
      </x:c>
      <x:c r="O164" s="28" t="str">
        <x:v>登记消耗1件；永久一次；不收金币/元宝/灵符</x:v>
      </x:c>
    </x:row>
    <x:row r="165" ht="30" customHeight="1">
      <x:c r="A165" s="28" t="str">
        <x:v>C03</x:v>
      </x:c>
      <x:c r="B165" s="28" t="str">
        <x:v>黄金树哨垒</x:v>
      </x:c>
      <x:c r="C165" s="28" t="str">
        <x:v>王树弩戒</x:v>
      </x:c>
      <x:c r="D165" s="28" t="str">
        <x:v>普通</x:v>
      </x:c>
      <x:c r="E165" s="28" t="n">
        <x:v>1</x:v>
      </x:c>
      <x:c r="F165" s="28" t="n">
        <x:v>0</x:v>
      </x:c>
      <x:c r="G165" s="28" t="n">
        <x:v>0</x:v>
      </x:c>
      <x:c r="H165" s="28" t="n">
        <x:v>0</x:v>
      </x:c>
      <x:c r="I165" s="28" t="n">
        <x:v>3</x:v>
      </x:c>
      <x:c r="J165" s="28" t="n">
        <x:v>300</x:v>
      </x:c>
      <x:c r="K165" s="28" t="n">
        <x:v>0</x:v>
      </x:c>
      <x:c r="L165" s="28" t="n">
        <x:v>0</x:v>
      </x:c>
      <x:c r="M165" s="28" t="n">
        <x:v>0</x:v>
      </x:c>
      <x:c r="N165" s="28" t="n">
        <x:v>0</x:v>
      </x:c>
      <x:c r="O165" s="28" t="str">
        <x:v>登记消耗1件；永久一次；不收金币/元宝/灵符</x:v>
      </x:c>
    </x:row>
    <x:row r="166" ht="30" customHeight="1">
      <x:c r="A166" s="28" t="str">
        <x:v>C03</x:v>
      </x:c>
      <x:c r="B166" s="28" t="str">
        <x:v>黄金树哨垒</x:v>
      </x:c>
      <x:c r="C166" s="28" t="str">
        <x:v>圣露护腕</x:v>
      </x:c>
      <x:c r="D166" s="28" t="str">
        <x:v>普通</x:v>
      </x:c>
      <x:c r="E166" s="28" t="n">
        <x:v>1</x:v>
      </x:c>
      <x:c r="F166" s="28" t="n">
        <x:v>0</x:v>
      </x:c>
      <x:c r="G166" s="28" t="n">
        <x:v>0</x:v>
      </x:c>
      <x:c r="H166" s="28" t="n">
        <x:v>0</x:v>
      </x:c>
      <x:c r="I166" s="28" t="n">
        <x:v>3</x:v>
      </x:c>
      <x:c r="J166" s="28" t="n">
        <x:v>300</x:v>
      </x:c>
      <x:c r="K166" s="28" t="n">
        <x:v>0</x:v>
      </x:c>
      <x:c r="L166" s="28" t="n">
        <x:v>0</x:v>
      </x:c>
      <x:c r="M166" s="28" t="n">
        <x:v>0</x:v>
      </x:c>
      <x:c r="N166" s="28" t="n">
        <x:v>0</x:v>
      </x:c>
      <x:c r="O166" s="28" t="str">
        <x:v>登记消耗1件；永久一次；不收金币/元宝/灵符</x:v>
      </x:c>
    </x:row>
    <x:row r="167" ht="30" customHeight="1">
      <x:c r="A167" s="28" t="str">
        <x:v>C03</x:v>
      </x:c>
      <x:c r="B167" s="28" t="str">
        <x:v>黄金树哨垒</x:v>
      </x:c>
      <x:c r="C167" s="28" t="str">
        <x:v>镀金羽冠</x:v>
      </x:c>
      <x:c r="D167" s="28" t="str">
        <x:v>普通</x:v>
      </x:c>
      <x:c r="E167" s="28" t="n">
        <x:v>1</x:v>
      </x:c>
      <x:c r="F167" s="28" t="n">
        <x:v>0</x:v>
      </x:c>
      <x:c r="G167" s="28" t="n">
        <x:v>0</x:v>
      </x:c>
      <x:c r="H167" s="28" t="n">
        <x:v>0</x:v>
      </x:c>
      <x:c r="I167" s="28" t="n">
        <x:v>3</x:v>
      </x:c>
      <x:c r="J167" s="28" t="n">
        <x:v>300</x:v>
      </x:c>
      <x:c r="K167" s="28" t="n">
        <x:v>0</x:v>
      </x:c>
      <x:c r="L167" s="28" t="n">
        <x:v>0</x:v>
      </x:c>
      <x:c r="M167" s="28" t="n">
        <x:v>0</x:v>
      </x:c>
      <x:c r="N167" s="28" t="n">
        <x:v>0</x:v>
      </x:c>
      <x:c r="O167" s="28" t="str">
        <x:v>登记消耗1件；永久一次；不收金币/元宝/灵符</x:v>
      </x:c>
    </x:row>
    <x:row r="168" ht="30" customHeight="1">
      <x:c r="A168" s="28" t="str">
        <x:v>C03</x:v>
      </x:c>
      <x:c r="B168" s="28" t="str">
        <x:v>黄金树哨垒</x:v>
      </x:c>
      <x:c r="C168" s="28" t="str">
        <x:v>赐福战靴</x:v>
      </x:c>
      <x:c r="D168" s="28" t="str">
        <x:v>普通</x:v>
      </x:c>
      <x:c r="E168" s="28" t="n">
        <x:v>1</x:v>
      </x:c>
      <x:c r="F168" s="28" t="n">
        <x:v>0</x:v>
      </x:c>
      <x:c r="G168" s="28" t="n">
        <x:v>0</x:v>
      </x:c>
      <x:c r="H168" s="28" t="n">
        <x:v>0</x:v>
      </x:c>
      <x:c r="I168" s="28" t="n">
        <x:v>3</x:v>
      </x:c>
      <x:c r="J168" s="28" t="n">
        <x:v>300</x:v>
      </x:c>
      <x:c r="K168" s="28" t="n">
        <x:v>0</x:v>
      </x:c>
      <x:c r="L168" s="28" t="n">
        <x:v>0</x:v>
      </x:c>
      <x:c r="M168" s="28" t="n">
        <x:v>0</x:v>
      </x:c>
      <x:c r="N168" s="28" t="n">
        <x:v>0</x:v>
      </x:c>
      <x:c r="O168" s="28" t="str">
        <x:v>登记消耗1件；永久一次；不收金币/元宝/灵符</x:v>
      </x:c>
    </x:row>
    <x:row r="169" ht="30" customHeight="1">
      <x:c r="A169" s="28" t="str">
        <x:v>C03</x:v>
      </x:c>
      <x:c r="B169" s="28" t="str">
        <x:v>黄金树哨垒</x:v>
      </x:c>
      <x:c r="C169" s="28" t="str">
        <x:v>执炬勋章</x:v>
      </x:c>
      <x:c r="D169" s="28" t="str">
        <x:v>普通</x:v>
      </x:c>
      <x:c r="E169" s="28" t="n">
        <x:v>1</x:v>
      </x:c>
      <x:c r="F169" s="28" t="n">
        <x:v>0</x:v>
      </x:c>
      <x:c r="G169" s="28" t="n">
        <x:v>0</x:v>
      </x:c>
      <x:c r="H169" s="28" t="n">
        <x:v>0</x:v>
      </x:c>
      <x:c r="I169" s="28" t="n">
        <x:v>3</x:v>
      </x:c>
      <x:c r="J169" s="28" t="n">
        <x:v>300</x:v>
      </x:c>
      <x:c r="K169" s="28" t="n">
        <x:v>0</x:v>
      </x:c>
      <x:c r="L169" s="28" t="n">
        <x:v>0</x:v>
      </x:c>
      <x:c r="M169" s="28" t="n">
        <x:v>0</x:v>
      </x:c>
      <x:c r="N169" s="28" t="n">
        <x:v>0</x:v>
      </x:c>
      <x:c r="O169" s="28" t="str">
        <x:v>登记消耗1件；永久一次；不收金币/元宝/灵符</x:v>
      </x:c>
    </x:row>
    <x:row r="170" ht="30" customHeight="1">
      <x:c r="A170" s="28" t="str">
        <x:v>C03</x:v>
      </x:c>
      <x:c r="B170" s="28" t="str">
        <x:v>黄金树哨垒</x:v>
      </x:c>
      <x:c r="C170" s="28" t="str">
        <x:v>黄金旗甲</x:v>
      </x:c>
      <x:c r="D170" s="28" t="str">
        <x:v>稀有</x:v>
      </x:c>
      <x:c r="E170" s="28" t="n">
        <x:v>1</x:v>
      </x:c>
      <x:c r="F170" s="28" t="n">
        <x:v>0</x:v>
      </x:c>
      <x:c r="G170" s="28" t="n">
        <x:v>0</x:v>
      </x:c>
      <x:c r="H170" s="28" t="n">
        <x:v>0</x:v>
      </x:c>
      <x:c r="I170" s="28" t="n">
        <x:v>6</x:v>
      </x:c>
      <x:c r="J170" s="28" t="n">
        <x:v>600</x:v>
      </x:c>
      <x:c r="K170" s="28" t="n">
        <x:v>5</x:v>
      </x:c>
      <x:c r="L170" s="28" t="n">
        <x:v>0</x:v>
      </x:c>
      <x:c r="M170" s="28" t="n">
        <x:v>0</x:v>
      </x:c>
      <x:c r="N170" s="28" t="n">
        <x:v>0</x:v>
      </x:c>
      <x:c r="O170" s="28" t="str">
        <x:v>登记消耗1件；永久一次；不收金币/元宝/灵符</x:v>
      </x:c>
    </x:row>
    <x:row r="171" ht="30" customHeight="1">
      <x:c r="A171" s="28" t="str">
        <x:v>C03</x:v>
      </x:c>
      <x:c r="B171" s="28" t="str">
        <x:v>黄金树哨垒</x:v>
      </x:c>
      <x:c r="C171" s="28" t="str">
        <x:v>圣律戒印</x:v>
      </x:c>
      <x:c r="D171" s="28" t="str">
        <x:v>稀有</x:v>
      </x:c>
      <x:c r="E171" s="28" t="n">
        <x:v>1</x:v>
      </x:c>
      <x:c r="F171" s="28" t="n">
        <x:v>0</x:v>
      </x:c>
      <x:c r="G171" s="28" t="n">
        <x:v>0</x:v>
      </x:c>
      <x:c r="H171" s="28" t="n">
        <x:v>0</x:v>
      </x:c>
      <x:c r="I171" s="28" t="n">
        <x:v>6</x:v>
      </x:c>
      <x:c r="J171" s="28" t="n">
        <x:v>600</x:v>
      </x:c>
      <x:c r="K171" s="28" t="n">
        <x:v>5</x:v>
      </x:c>
      <x:c r="L171" s="28" t="n">
        <x:v>0</x:v>
      </x:c>
      <x:c r="M171" s="28" t="n">
        <x:v>0</x:v>
      </x:c>
      <x:c r="N171" s="28" t="n">
        <x:v>0</x:v>
      </x:c>
      <x:c r="O171" s="28" t="str">
        <x:v>登记消耗1件；永久一次；不收金币/元宝/灵符</x:v>
      </x:c>
    </x:row>
    <x:row r="172" ht="30" customHeight="1">
      <x:c r="A172" s="28" t="str">
        <x:v>C03</x:v>
      </x:c>
      <x:c r="B172" s="28" t="str">
        <x:v>黄金树哨垒</x:v>
      </x:c>
      <x:c r="C172" s="28" t="str">
        <x:v>守门王盾</x:v>
      </x:c>
      <x:c r="D172" s="28" t="str">
        <x:v>稀有</x:v>
      </x:c>
      <x:c r="E172" s="28" t="n">
        <x:v>1</x:v>
      </x:c>
      <x:c r="F172" s="28" t="n">
        <x:v>0</x:v>
      </x:c>
      <x:c r="G172" s="28" t="n">
        <x:v>0</x:v>
      </x:c>
      <x:c r="H172" s="28" t="n">
        <x:v>0</x:v>
      </x:c>
      <x:c r="I172" s="28" t="n">
        <x:v>6</x:v>
      </x:c>
      <x:c r="J172" s="28" t="n">
        <x:v>600</x:v>
      </x:c>
      <x:c r="K172" s="28" t="n">
        <x:v>5</x:v>
      </x:c>
      <x:c r="L172" s="28" t="n">
        <x:v>0</x:v>
      </x:c>
      <x:c r="M172" s="28" t="n">
        <x:v>0</x:v>
      </x:c>
      <x:c r="N172" s="28" t="n">
        <x:v>0</x:v>
      </x:c>
      <x:c r="O172" s="28" t="str">
        <x:v>登记消耗1件；永久一次；不收金币/元宝/灵符</x:v>
      </x:c>
    </x:row>
    <x:row r="173" ht="30" customHeight="1">
      <x:c r="A173" s="28" t="str">
        <x:v>C03</x:v>
      </x:c>
      <x:c r="B173" s="28" t="str">
        <x:v>黄金树哨垒</x:v>
      </x:c>
      <x:c r="C173" s="28" t="str">
        <x:v>赐光祷誓镯</x:v>
      </x:c>
      <x:c r="D173" s="28" t="str">
        <x:v>稀有</x:v>
      </x:c>
      <x:c r="E173" s="28" t="n">
        <x:v>1</x:v>
      </x:c>
      <x:c r="F173" s="28" t="n">
        <x:v>0</x:v>
      </x:c>
      <x:c r="G173" s="28" t="n">
        <x:v>0</x:v>
      </x:c>
      <x:c r="H173" s="28" t="n">
        <x:v>0</x:v>
      </x:c>
      <x:c r="I173" s="28" t="n">
        <x:v>6</x:v>
      </x:c>
      <x:c r="J173" s="28" t="n">
        <x:v>600</x:v>
      </x:c>
      <x:c r="K173" s="28" t="n">
        <x:v>5</x:v>
      </x:c>
      <x:c r="L173" s="28" t="n">
        <x:v>0</x:v>
      </x:c>
      <x:c r="M173" s="28" t="n">
        <x:v>0</x:v>
      </x:c>
      <x:c r="N173" s="28" t="n">
        <x:v>0</x:v>
      </x:c>
      <x:c r="O173" s="28" t="str">
        <x:v>登记消耗1件；永久一次；不收金币/元宝/灵符</x:v>
      </x:c>
    </x:row>
    <x:row r="174" ht="30" customHeight="1">
      <x:c r="A174" s="28" t="str">
        <x:v>C03</x:v>
      </x:c>
      <x:c r="B174" s="28" t="str">
        <x:v>黄金树哨垒</x:v>
      </x:c>
      <x:c r="C174" s="28" t="str">
        <x:v>艾德统帅剑</x:v>
      </x:c>
      <x:c r="D174" s="28" t="str">
        <x:v>地图BOSS</x:v>
      </x:c>
      <x:c r="E174" s="28" t="n">
        <x:v>1</x:v>
      </x:c>
      <x:c r="F174" s="28" t="n">
        <x:v>0</x:v>
      </x:c>
      <x:c r="G174" s="28" t="n">
        <x:v>0</x:v>
      </x:c>
      <x:c r="H174" s="28" t="n">
        <x:v>0</x:v>
      </x:c>
      <x:c r="I174" s="28" t="n">
        <x:v>9</x:v>
      </x:c>
      <x:c r="J174" s="28" t="n">
        <x:v>900</x:v>
      </x:c>
      <x:c r="K174" s="28" t="n">
        <x:v>0</x:v>
      </x:c>
      <x:c r="L174" s="28" t="n">
        <x:v>1</x:v>
      </x:c>
      <x:c r="M174" s="28" t="n">
        <x:v>0</x:v>
      </x:c>
      <x:c r="N174" s="28" t="n">
        <x:v>0</x:v>
      </x:c>
      <x:c r="O174" s="28" t="str">
        <x:v>登记消耗1件；永久一次；不收金币/元宝/灵符</x:v>
      </x:c>
    </x:row>
    <x:row r="175" ht="30" customHeight="1">
      <x:c r="A175" s="28" t="str">
        <x:v>C03</x:v>
      </x:c>
      <x:c r="B175" s="28" t="str">
        <x:v>黄金树哨垒</x:v>
      </x:c>
      <x:c r="C175" s="28" t="str">
        <x:v>洛恩树心甲</x:v>
      </x:c>
      <x:c r="D175" s="28" t="str">
        <x:v>地图BOSS</x:v>
      </x:c>
      <x:c r="E175" s="28" t="n">
        <x:v>1</x:v>
      </x:c>
      <x:c r="F175" s="28" t="n">
        <x:v>0</x:v>
      </x:c>
      <x:c r="G175" s="28" t="n">
        <x:v>0</x:v>
      </x:c>
      <x:c r="H175" s="28" t="n">
        <x:v>0</x:v>
      </x:c>
      <x:c r="I175" s="28" t="n">
        <x:v>9</x:v>
      </x:c>
      <x:c r="J175" s="28" t="n">
        <x:v>900</x:v>
      </x:c>
      <x:c r="K175" s="28" t="n">
        <x:v>0</x:v>
      </x:c>
      <x:c r="L175" s="28" t="n">
        <x:v>1</x:v>
      </x:c>
      <x:c r="M175" s="28" t="n">
        <x:v>0</x:v>
      </x:c>
      <x:c r="N175" s="28" t="n">
        <x:v>0</x:v>
      </x:c>
      <x:c r="O175" s="28" t="str">
        <x:v>登记消耗1件；永久一次；不收金币/元宝/灵符</x:v>
      </x:c>
    </x:row>
    <x:row r="176" ht="30" customHeight="1">
      <x:c r="A176" s="28" t="str">
        <x:v>C03</x:v>
      </x:c>
      <x:c r="B176" s="28" t="str">
        <x:v>黄金树哨垒</x:v>
      </x:c>
      <x:c r="C176" s="28" t="str">
        <x:v>西境征服冠</x:v>
      </x:c>
      <x:c r="D176" s="28" t="str">
        <x:v>守关BOSS</x:v>
      </x:c>
      <x:c r="E176" s="28" t="n">
        <x:v>1</x:v>
      </x:c>
      <x:c r="F176" s="28" t="n">
        <x:v>0</x:v>
      </x:c>
      <x:c r="G176" s="28" t="n">
        <x:v>0</x:v>
      </x:c>
      <x:c r="H176" s="28" t="n">
        <x:v>0</x:v>
      </x:c>
      <x:c r="I176" s="28" t="n">
        <x:v>12</x:v>
      </x:c>
      <x:c r="J176" s="28" t="n">
        <x:v>1200</x:v>
      </x:c>
      <x:c r="K176" s="28" t="n">
        <x:v>0</x:v>
      </x:c>
      <x:c r="L176" s="28" t="n">
        <x:v>1</x:v>
      </x:c>
      <x:c r="M176" s="28" t="n">
        <x:v>0</x:v>
      </x:c>
      <x:c r="N176" s="28" t="n">
        <x:v>0</x:v>
      </x:c>
      <x:c r="O176" s="28" t="str">
        <x:v>登记消耗1件；永久一次；不收金币/元宝/灵符</x:v>
      </x:c>
    </x:row>
    <x:row r="177" ht="30" customHeight="1">
      <x:c r="A177" s="28" t="str">
        <x:v>C04</x:v>
      </x:c>
      <x:c r="B177" s="28" t="str">
        <x:v>雾潮湿地</x:v>
      </x:c>
      <x:c r="C177" s="28" t="str">
        <x:v>雾脚蹼靴</x:v>
      </x:c>
      <x:c r="D177" s="28" t="str">
        <x:v>普通</x:v>
      </x:c>
      <x:c r="E177" s="28" t="n">
        <x:v>1</x:v>
      </x:c>
      <x:c r="F177" s="28" t="n">
        <x:v>0</x:v>
      </x:c>
      <x:c r="G177" s="28" t="n">
        <x:v>0</x:v>
      </x:c>
      <x:c r="H177" s="28" t="n">
        <x:v>0</x:v>
      </x:c>
      <x:c r="I177" s="28" t="n">
        <x:v>5</x:v>
      </x:c>
      <x:c r="J177" s="28" t="n">
        <x:v>500</x:v>
      </x:c>
      <x:c r="K177" s="28" t="n">
        <x:v>0</x:v>
      </x:c>
      <x:c r="L177" s="28" t="n">
        <x:v>0</x:v>
      </x:c>
      <x:c r="M177" s="28" t="n">
        <x:v>0</x:v>
      </x:c>
      <x:c r="N177" s="28" t="n">
        <x:v>0</x:v>
      </x:c>
      <x:c r="O177" s="28" t="str">
        <x:v>登记消耗1件；永久一次；不收金币/元宝/灵符</x:v>
      </x:c>
    </x:row>
    <x:row r="178" ht="30" customHeight="1">
      <x:c r="A178" s="28" t="str">
        <x:v>C04</x:v>
      </x:c>
      <x:c r="B178" s="28" t="str">
        <x:v>雾潮湿地</x:v>
      </x:c>
      <x:c r="C178" s="28" t="str">
        <x:v>沼鹿苔冠</x:v>
      </x:c>
      <x:c r="D178" s="28" t="str">
        <x:v>普通</x:v>
      </x:c>
      <x:c r="E178" s="28" t="n">
        <x:v>1</x:v>
      </x:c>
      <x:c r="F178" s="28" t="n">
        <x:v>0</x:v>
      </x:c>
      <x:c r="G178" s="28" t="n">
        <x:v>0</x:v>
      </x:c>
      <x:c r="H178" s="28" t="n">
        <x:v>0</x:v>
      </x:c>
      <x:c r="I178" s="28" t="n">
        <x:v>5</x:v>
      </x:c>
      <x:c r="J178" s="28" t="n">
        <x:v>500</x:v>
      </x:c>
      <x:c r="K178" s="28" t="n">
        <x:v>0</x:v>
      </x:c>
      <x:c r="L178" s="28" t="n">
        <x:v>0</x:v>
      </x:c>
      <x:c r="M178" s="28" t="n">
        <x:v>0</x:v>
      </x:c>
      <x:c r="N178" s="28" t="n">
        <x:v>0</x:v>
      </x:c>
      <x:c r="O178" s="28" t="str">
        <x:v>登记消耗1件；永久一次；不收金币/元宝/灵符</x:v>
      </x:c>
    </x:row>
    <x:row r="179" ht="30" customHeight="1">
      <x:c r="A179" s="28" t="str">
        <x:v>C04</x:v>
      </x:c>
      <x:c r="B179" s="28" t="str">
        <x:v>雾潮湿地</x:v>
      </x:c>
      <x:c r="C179" s="28" t="str">
        <x:v>芦针腕环</x:v>
      </x:c>
      <x:c r="D179" s="28" t="str">
        <x:v>普通</x:v>
      </x:c>
      <x:c r="E179" s="28" t="n">
        <x:v>1</x:v>
      </x:c>
      <x:c r="F179" s="28" t="n">
        <x:v>0</x:v>
      </x:c>
      <x:c r="G179" s="28" t="n">
        <x:v>0</x:v>
      </x:c>
      <x:c r="H179" s="28" t="n">
        <x:v>0</x:v>
      </x:c>
      <x:c r="I179" s="28" t="n">
        <x:v>5</x:v>
      </x:c>
      <x:c r="J179" s="28" t="n">
        <x:v>500</x:v>
      </x:c>
      <x:c r="K179" s="28" t="n">
        <x:v>0</x:v>
      </x:c>
      <x:c r="L179" s="28" t="n">
        <x:v>0</x:v>
      </x:c>
      <x:c r="M179" s="28" t="n">
        <x:v>0</x:v>
      </x:c>
      <x:c r="N179" s="28" t="n">
        <x:v>0</x:v>
      </x:c>
      <x:c r="O179" s="28" t="str">
        <x:v>登记消耗1件；永久一次；不收金币/元宝/灵符</x:v>
      </x:c>
    </x:row>
    <x:row r="180" ht="30" customHeight="1">
      <x:c r="A180" s="28" t="str">
        <x:v>C04</x:v>
      </x:c>
      <x:c r="B180" s="28" t="str">
        <x:v>雾潮湿地</x:v>
      </x:c>
      <x:c r="C180" s="28" t="str">
        <x:v>青壳沼盾</x:v>
      </x:c>
      <x:c r="D180" s="28" t="str">
        <x:v>普通</x:v>
      </x:c>
      <x:c r="E180" s="28" t="n">
        <x:v>1</x:v>
      </x:c>
      <x:c r="F180" s="28" t="n">
        <x:v>0</x:v>
      </x:c>
      <x:c r="G180" s="28" t="n">
        <x:v>0</x:v>
      </x:c>
      <x:c r="H180" s="28" t="n">
        <x:v>0</x:v>
      </x:c>
      <x:c r="I180" s="28" t="n">
        <x:v>5</x:v>
      </x:c>
      <x:c r="J180" s="28" t="n">
        <x:v>500</x:v>
      </x:c>
      <x:c r="K180" s="28" t="n">
        <x:v>0</x:v>
      </x:c>
      <x:c r="L180" s="28" t="n">
        <x:v>0</x:v>
      </x:c>
      <x:c r="M180" s="28" t="n">
        <x:v>0</x:v>
      </x:c>
      <x:c r="N180" s="28" t="n">
        <x:v>0</x:v>
      </x:c>
      <x:c r="O180" s="28" t="str">
        <x:v>登记消耗1件；永久一次；不收金币/元宝/灵符</x:v>
      </x:c>
    </x:row>
    <x:row r="181" ht="30" customHeight="1">
      <x:c r="A181" s="28" t="str">
        <x:v>C04</x:v>
      </x:c>
      <x:c r="B181" s="28" t="str">
        <x:v>雾潮湿地</x:v>
      </x:c>
      <x:c r="C181" s="28" t="str">
        <x:v>吸潮血戒</x:v>
      </x:c>
      <x:c r="D181" s="28" t="str">
        <x:v>普通</x:v>
      </x:c>
      <x:c r="E181" s="28" t="n">
        <x:v>1</x:v>
      </x:c>
      <x:c r="F181" s="28" t="n">
        <x:v>0</x:v>
      </x:c>
      <x:c r="G181" s="28" t="n">
        <x:v>0</x:v>
      </x:c>
      <x:c r="H181" s="28" t="n">
        <x:v>0</x:v>
      </x:c>
      <x:c r="I181" s="28" t="n">
        <x:v>5</x:v>
      </x:c>
      <x:c r="J181" s="28" t="n">
        <x:v>500</x:v>
      </x:c>
      <x:c r="K181" s="28" t="n">
        <x:v>0</x:v>
      </x:c>
      <x:c r="L181" s="28" t="n">
        <x:v>0</x:v>
      </x:c>
      <x:c r="M181" s="28" t="n">
        <x:v>0</x:v>
      </x:c>
      <x:c r="N181" s="28" t="n">
        <x:v>0</x:v>
      </x:c>
      <x:c r="O181" s="28" t="str">
        <x:v>登记消耗1件；永久一次；不收金币/元宝/灵符</x:v>
      </x:c>
    </x:row>
    <x:row r="182" ht="30" customHeight="1">
      <x:c r="A182" s="28" t="str">
        <x:v>C04</x:v>
      </x:c>
      <x:c r="B182" s="28" t="str">
        <x:v>雾潮湿地</x:v>
      </x:c>
      <x:c r="C182" s="28" t="str">
        <x:v>盲采藕刀</x:v>
      </x:c>
      <x:c r="D182" s="28" t="str">
        <x:v>普通</x:v>
      </x:c>
      <x:c r="E182" s="28" t="n">
        <x:v>1</x:v>
      </x:c>
      <x:c r="F182" s="28" t="n">
        <x:v>0</x:v>
      </x:c>
      <x:c r="G182" s="28" t="n">
        <x:v>0</x:v>
      </x:c>
      <x:c r="H182" s="28" t="n">
        <x:v>0</x:v>
      </x:c>
      <x:c r="I182" s="28" t="n">
        <x:v>5</x:v>
      </x:c>
      <x:c r="J182" s="28" t="n">
        <x:v>500</x:v>
      </x:c>
      <x:c r="K182" s="28" t="n">
        <x:v>0</x:v>
      </x:c>
      <x:c r="L182" s="28" t="n">
        <x:v>0</x:v>
      </x:c>
      <x:c r="M182" s="28" t="n">
        <x:v>0</x:v>
      </x:c>
      <x:c r="N182" s="28" t="n">
        <x:v>0</x:v>
      </x:c>
      <x:c r="O182" s="28" t="str">
        <x:v>登记消耗1件；永久一次；不收金币/元宝/灵符</x:v>
      </x:c>
    </x:row>
    <x:row r="183" ht="30" customHeight="1">
      <x:c r="A183" s="28" t="str">
        <x:v>C04</x:v>
      </x:c>
      <x:c r="B183" s="28" t="str">
        <x:v>雾潮湿地</x:v>
      </x:c>
      <x:c r="C183" s="28" t="str">
        <x:v>水巫雾纱笠</x:v>
      </x:c>
      <x:c r="D183" s="28" t="str">
        <x:v>稀有</x:v>
      </x:c>
      <x:c r="E183" s="28" t="n">
        <x:v>1</x:v>
      </x:c>
      <x:c r="F183" s="28" t="n">
        <x:v>0</x:v>
      </x:c>
      <x:c r="G183" s="28" t="n">
        <x:v>0</x:v>
      </x:c>
      <x:c r="H183" s="28" t="n">
        <x:v>0</x:v>
      </x:c>
      <x:c r="I183" s="28" t="n">
        <x:v>10</x:v>
      </x:c>
      <x:c r="J183" s="28" t="n">
        <x:v>1000</x:v>
      </x:c>
      <x:c r="K183" s="28" t="n">
        <x:v>5</x:v>
      </x:c>
      <x:c r="L183" s="28" t="n">
        <x:v>0</x:v>
      </x:c>
      <x:c r="M183" s="28" t="n">
        <x:v>0</x:v>
      </x:c>
      <x:c r="N183" s="28" t="n">
        <x:v>0</x:v>
      </x:c>
      <x:c r="O183" s="28" t="str">
        <x:v>登记消耗1件；永久一次；不收金币/元宝/灵符</x:v>
      </x:c>
    </x:row>
    <x:row r="184" ht="30" customHeight="1">
      <x:c r="A184" s="28" t="str">
        <x:v>C04</x:v>
      </x:c>
      <x:c r="B184" s="28" t="str">
        <x:v>雾潮湿地</x:v>
      </x:c>
      <x:c r="C184" s="28" t="str">
        <x:v>银腹鳄甲</x:v>
      </x:c>
      <x:c r="D184" s="28" t="str">
        <x:v>稀有</x:v>
      </x:c>
      <x:c r="E184" s="28" t="n">
        <x:v>1</x:v>
      </x:c>
      <x:c r="F184" s="28" t="n">
        <x:v>0</x:v>
      </x:c>
      <x:c r="G184" s="28" t="n">
        <x:v>0</x:v>
      </x:c>
      <x:c r="H184" s="28" t="n">
        <x:v>0</x:v>
      </x:c>
      <x:c r="I184" s="28" t="n">
        <x:v>10</x:v>
      </x:c>
      <x:c r="J184" s="28" t="n">
        <x:v>1000</x:v>
      </x:c>
      <x:c r="K184" s="28" t="n">
        <x:v>5</x:v>
      </x:c>
      <x:c r="L184" s="28" t="n">
        <x:v>0</x:v>
      </x:c>
      <x:c r="M184" s="28" t="n">
        <x:v>0</x:v>
      </x:c>
      <x:c r="N184" s="28" t="n">
        <x:v>0</x:v>
      </x:c>
      <x:c r="O184" s="28" t="str">
        <x:v>登记消耗1件；永久一次；不收金币/元宝/灵符</x:v>
      </x:c>
    </x:row>
    <x:row r="185" ht="30" customHeight="1">
      <x:c r="A185" s="28" t="str">
        <x:v>C04</x:v>
      </x:c>
      <x:c r="B185" s="28" t="str">
        <x:v>雾潮湿地</x:v>
      </x:c>
      <x:c r="C185" s="28" t="str">
        <x:v>孢母菌带</x:v>
      </x:c>
      <x:c r="D185" s="28" t="str">
        <x:v>稀有</x:v>
      </x:c>
      <x:c r="E185" s="28" t="n">
        <x:v>1</x:v>
      </x:c>
      <x:c r="F185" s="28" t="n">
        <x:v>0</x:v>
      </x:c>
      <x:c r="G185" s="28" t="n">
        <x:v>0</x:v>
      </x:c>
      <x:c r="H185" s="28" t="n">
        <x:v>0</x:v>
      </x:c>
      <x:c r="I185" s="28" t="n">
        <x:v>10</x:v>
      </x:c>
      <x:c r="J185" s="28" t="n">
        <x:v>1000</x:v>
      </x:c>
      <x:c r="K185" s="28" t="n">
        <x:v>5</x:v>
      </x:c>
      <x:c r="L185" s="28" t="n">
        <x:v>0</x:v>
      </x:c>
      <x:c r="M185" s="28" t="n">
        <x:v>0</x:v>
      </x:c>
      <x:c r="N185" s="28" t="n">
        <x:v>0</x:v>
      </x:c>
      <x:c r="O185" s="28" t="str">
        <x:v>登记消耗1件；永久一次；不收金币/元宝/灵符</x:v>
      </x:c>
    </x:row>
    <x:row r="186" ht="30" customHeight="1">
      <x:c r="A186" s="28" t="str">
        <x:v>C04</x:v>
      </x:c>
      <x:c r="B186" s="28" t="str">
        <x:v>雾潮湿地</x:v>
      </x:c>
      <x:c r="C186" s="28" t="str">
        <x:v>溺客灯坠</x:v>
      </x:c>
      <x:c r="D186" s="28" t="str">
        <x:v>稀有</x:v>
      </x:c>
      <x:c r="E186" s="28" t="n">
        <x:v>1</x:v>
      </x:c>
      <x:c r="F186" s="28" t="n">
        <x:v>0</x:v>
      </x:c>
      <x:c r="G186" s="28" t="n">
        <x:v>0</x:v>
      </x:c>
      <x:c r="H186" s="28" t="n">
        <x:v>0</x:v>
      </x:c>
      <x:c r="I186" s="28" t="n">
        <x:v>10</x:v>
      </x:c>
      <x:c r="J186" s="28" t="n">
        <x:v>1000</x:v>
      </x:c>
      <x:c r="K186" s="28" t="n">
        <x:v>5</x:v>
      </x:c>
      <x:c r="L186" s="28" t="n">
        <x:v>0</x:v>
      </x:c>
      <x:c r="M186" s="28" t="n">
        <x:v>0</x:v>
      </x:c>
      <x:c r="N186" s="28" t="n">
        <x:v>0</x:v>
      </x:c>
      <x:c r="O186" s="28" t="str">
        <x:v>登记消耗1件；永久一次；不收金币/元宝/灵符</x:v>
      </x:c>
    </x:row>
    <x:row r="187" ht="30" customHeight="1">
      <x:c r="A187" s="28" t="str">
        <x:v>C04</x:v>
      </x:c>
      <x:c r="B187" s="28" t="str">
        <x:v>雾潮湿地</x:v>
      </x:c>
      <x:c r="C187" s="28" t="str">
        <x:v>葛弥的雾齿叉</x:v>
      </x:c>
      <x:c r="D187" s="28" t="str">
        <x:v>地图BOSS</x:v>
      </x:c>
      <x:c r="E187" s="28" t="n">
        <x:v>1</x:v>
      </x:c>
      <x:c r="F187" s="28" t="n">
        <x:v>0</x:v>
      </x:c>
      <x:c r="G187" s="28" t="n">
        <x:v>0</x:v>
      </x:c>
      <x:c r="H187" s="28" t="n">
        <x:v>0</x:v>
      </x:c>
      <x:c r="I187" s="28" t="n">
        <x:v>15</x:v>
      </x:c>
      <x:c r="J187" s="28" t="n">
        <x:v>1500</x:v>
      </x:c>
      <x:c r="K187" s="28" t="n">
        <x:v>0</x:v>
      </x:c>
      <x:c r="L187" s="28" t="n">
        <x:v>1</x:v>
      </x:c>
      <x:c r="M187" s="28" t="n">
        <x:v>0</x:v>
      </x:c>
      <x:c r="N187" s="28" t="n">
        <x:v>0</x:v>
      </x:c>
      <x:c r="O187" s="28" t="str">
        <x:v>登记消耗1件；永久一次；不收金币/元宝/灵符</x:v>
      </x:c>
    </x:row>
    <x:row r="188" ht="30" customHeight="1">
      <x:c r="A188" s="28" t="str">
        <x:v>C04</x:v>
      </x:c>
      <x:c r="B188" s="28" t="str">
        <x:v>雾潮湿地</x:v>
      </x:c>
      <x:c r="C188" s="28" t="str">
        <x:v>弥瑟腐鳞衣</x:v>
      </x:c>
      <x:c r="D188" s="28" t="str">
        <x:v>地图BOSS</x:v>
      </x:c>
      <x:c r="E188" s="28" t="n">
        <x:v>1</x:v>
      </x:c>
      <x:c r="F188" s="28" t="n">
        <x:v>0</x:v>
      </x:c>
      <x:c r="G188" s="28" t="n">
        <x:v>0</x:v>
      </x:c>
      <x:c r="H188" s="28" t="n">
        <x:v>0</x:v>
      </x:c>
      <x:c r="I188" s="28" t="n">
        <x:v>15</x:v>
      </x:c>
      <x:c r="J188" s="28" t="n">
        <x:v>1500</x:v>
      </x:c>
      <x:c r="K188" s="28" t="n">
        <x:v>0</x:v>
      </x:c>
      <x:c r="L188" s="28" t="n">
        <x:v>1</x:v>
      </x:c>
      <x:c r="M188" s="28" t="n">
        <x:v>0</x:v>
      </x:c>
      <x:c r="N188" s="28" t="n">
        <x:v>0</x:v>
      </x:c>
      <x:c r="O188" s="28" t="str">
        <x:v>登记消耗1件；永久一次；不收金币/元宝/灵符</x:v>
      </x:c>
    </x:row>
    <x:row r="189" ht="30" customHeight="1">
      <x:c r="A189" s="28" t="str">
        <x:v>C04</x:v>
      </x:c>
      <x:c r="B189" s="28" t="str">
        <x:v>沉湖遗迹</x:v>
      </x:c>
      <x:c r="C189" s="28" t="str">
        <x:v>拾碑短刃</x:v>
      </x:c>
      <x:c r="D189" s="28" t="str">
        <x:v>普通</x:v>
      </x:c>
      <x:c r="E189" s="28" t="n">
        <x:v>1</x:v>
      </x:c>
      <x:c r="F189" s="28" t="n">
        <x:v>0</x:v>
      </x:c>
      <x:c r="G189" s="28" t="n">
        <x:v>0</x:v>
      </x:c>
      <x:c r="H189" s="28" t="n">
        <x:v>0</x:v>
      </x:c>
      <x:c r="I189" s="28" t="n">
        <x:v>5</x:v>
      </x:c>
      <x:c r="J189" s="28" t="n">
        <x:v>500</x:v>
      </x:c>
      <x:c r="K189" s="28" t="n">
        <x:v>0</x:v>
      </x:c>
      <x:c r="L189" s="28" t="n">
        <x:v>0</x:v>
      </x:c>
      <x:c r="M189" s="28" t="n">
        <x:v>0</x:v>
      </x:c>
      <x:c r="N189" s="28" t="n">
        <x:v>0</x:v>
      </x:c>
      <x:c r="O189" s="28" t="str">
        <x:v>登记消耗1件；永久一次；不收金币/元宝/灵符</x:v>
      </x:c>
    </x:row>
    <x:row r="190" ht="30" customHeight="1">
      <x:c r="A190" s="28" t="str">
        <x:v>C04</x:v>
      </x:c>
      <x:c r="B190" s="28" t="str">
        <x:v>沉湖遗迹</x:v>
      </x:c>
      <x:c r="C190" s="28" t="str">
        <x:v>藻纹石盔</x:v>
      </x:c>
      <x:c r="D190" s="28" t="str">
        <x:v>普通</x:v>
      </x:c>
      <x:c r="E190" s="28" t="n">
        <x:v>1</x:v>
      </x:c>
      <x:c r="F190" s="28" t="n">
        <x:v>0</x:v>
      </x:c>
      <x:c r="G190" s="28" t="n">
        <x:v>0</x:v>
      </x:c>
      <x:c r="H190" s="28" t="n">
        <x:v>0</x:v>
      </x:c>
      <x:c r="I190" s="28" t="n">
        <x:v>5</x:v>
      </x:c>
      <x:c r="J190" s="28" t="n">
        <x:v>500</x:v>
      </x:c>
      <x:c r="K190" s="28" t="n">
        <x:v>0</x:v>
      </x:c>
      <x:c r="L190" s="28" t="n">
        <x:v>0</x:v>
      </x:c>
      <x:c r="M190" s="28" t="n">
        <x:v>0</x:v>
      </x:c>
      <x:c r="N190" s="28" t="n">
        <x:v>0</x:v>
      </x:c>
      <x:c r="O190" s="28" t="str">
        <x:v>登记消耗1件；永久一次；不收金币/元宝/灵符</x:v>
      </x:c>
    </x:row>
    <x:row r="191" ht="30" customHeight="1">
      <x:c r="A191" s="28" t="str">
        <x:v>C04</x:v>
      </x:c>
      <x:c r="B191" s="28" t="str">
        <x:v>沉湖遗迹</x:v>
      </x:c>
      <x:c r="C191" s="28" t="str">
        <x:v>浸廊手弩</x:v>
      </x:c>
      <x:c r="D191" s="28" t="str">
        <x:v>普通</x:v>
      </x:c>
      <x:c r="E191" s="28" t="n">
        <x:v>1</x:v>
      </x:c>
      <x:c r="F191" s="28" t="n">
        <x:v>0</x:v>
      </x:c>
      <x:c r="G191" s="28" t="n">
        <x:v>0</x:v>
      </x:c>
      <x:c r="H191" s="28" t="n">
        <x:v>0</x:v>
      </x:c>
      <x:c r="I191" s="28" t="n">
        <x:v>5</x:v>
      </x:c>
      <x:c r="J191" s="28" t="n">
        <x:v>500</x:v>
      </x:c>
      <x:c r="K191" s="28" t="n">
        <x:v>0</x:v>
      </x:c>
      <x:c r="L191" s="28" t="n">
        <x:v>0</x:v>
      </x:c>
      <x:c r="M191" s="28" t="n">
        <x:v>0</x:v>
      </x:c>
      <x:c r="N191" s="28" t="n">
        <x:v>0</x:v>
      </x:c>
      <x:c r="O191" s="28" t="str">
        <x:v>登记消耗1件；永久一次；不收金币/元宝/灵符</x:v>
      </x:c>
    </x:row>
    <x:row r="192" ht="30" customHeight="1">
      <x:c r="A192" s="28" t="str">
        <x:v>C04</x:v>
      </x:c>
      <x:c r="B192" s="28" t="str">
        <x:v>沉湖遗迹</x:v>
      </x:c>
      <x:c r="C192" s="28" t="str">
        <x:v>沉钟祭袍</x:v>
      </x:c>
      <x:c r="D192" s="28" t="str">
        <x:v>普通</x:v>
      </x:c>
      <x:c r="E192" s="28" t="n">
        <x:v>1</x:v>
      </x:c>
      <x:c r="F192" s="28" t="n">
        <x:v>0</x:v>
      </x:c>
      <x:c r="G192" s="28" t="n">
        <x:v>0</x:v>
      </x:c>
      <x:c r="H192" s="28" t="n">
        <x:v>0</x:v>
      </x:c>
      <x:c r="I192" s="28" t="n">
        <x:v>5</x:v>
      </x:c>
      <x:c r="J192" s="28" t="n">
        <x:v>500</x:v>
      </x:c>
      <x:c r="K192" s="28" t="n">
        <x:v>0</x:v>
      </x:c>
      <x:c r="L192" s="28" t="n">
        <x:v>0</x:v>
      </x:c>
      <x:c r="M192" s="28" t="n">
        <x:v>0</x:v>
      </x:c>
      <x:c r="N192" s="28" t="n">
        <x:v>0</x:v>
      </x:c>
      <x:c r="O192" s="28" t="str">
        <x:v>登记消耗1件；永久一次；不收金币/元宝/灵符</x:v>
      </x:c>
    </x:row>
    <x:row r="193" ht="30" customHeight="1">
      <x:c r="A193" s="28" t="str">
        <x:v>C04</x:v>
      </x:c>
      <x:c r="B193" s="28" t="str">
        <x:v>沉湖遗迹</x:v>
      </x:c>
      <x:c r="C193" s="28" t="str">
        <x:v>盲鱼鳍靴</x:v>
      </x:c>
      <x:c r="D193" s="28" t="str">
        <x:v>普通</x:v>
      </x:c>
      <x:c r="E193" s="28" t="n">
        <x:v>1</x:v>
      </x:c>
      <x:c r="F193" s="28" t="n">
        <x:v>0</x:v>
      </x:c>
      <x:c r="G193" s="28" t="n">
        <x:v>0</x:v>
      </x:c>
      <x:c r="H193" s="28" t="n">
        <x:v>0</x:v>
      </x:c>
      <x:c r="I193" s="28" t="n">
        <x:v>5</x:v>
      </x:c>
      <x:c r="J193" s="28" t="n">
        <x:v>500</x:v>
      </x:c>
      <x:c r="K193" s="28" t="n">
        <x:v>0</x:v>
      </x:c>
      <x:c r="L193" s="28" t="n">
        <x:v>0</x:v>
      </x:c>
      <x:c r="M193" s="28" t="n">
        <x:v>0</x:v>
      </x:c>
      <x:c r="N193" s="28" t="n">
        <x:v>0</x:v>
      </x:c>
      <x:c r="O193" s="28" t="str">
        <x:v>登记消耗1件；永久一次；不收金币/元宝/灵符</x:v>
      </x:c>
    </x:row>
    <x:row r="194" ht="30" customHeight="1">
      <x:c r="A194" s="28" t="str">
        <x:v>C04</x:v>
      </x:c>
      <x:c r="B194" s="28" t="str">
        <x:v>沉湖遗迹</x:v>
      </x:c>
      <x:c r="C194" s="28" t="str">
        <x:v>供盏腕轮</x:v>
      </x:c>
      <x:c r="D194" s="28" t="str">
        <x:v>普通</x:v>
      </x:c>
      <x:c r="E194" s="28" t="n">
        <x:v>1</x:v>
      </x:c>
      <x:c r="F194" s="28" t="n">
        <x:v>0</x:v>
      </x:c>
      <x:c r="G194" s="28" t="n">
        <x:v>0</x:v>
      </x:c>
      <x:c r="H194" s="28" t="n">
        <x:v>0</x:v>
      </x:c>
      <x:c r="I194" s="28" t="n">
        <x:v>5</x:v>
      </x:c>
      <x:c r="J194" s="28" t="n">
        <x:v>500</x:v>
      </x:c>
      <x:c r="K194" s="28" t="n">
        <x:v>0</x:v>
      </x:c>
      <x:c r="L194" s="28" t="n">
        <x:v>0</x:v>
      </x:c>
      <x:c r="M194" s="28" t="n">
        <x:v>0</x:v>
      </x:c>
      <x:c r="N194" s="28" t="n">
        <x:v>0</x:v>
      </x:c>
      <x:c r="O194" s="28" t="str">
        <x:v>登记消耗1件；永久一次；不收金币/元宝/灵符</x:v>
      </x:c>
    </x:row>
    <x:row r="195" ht="30" customHeight="1">
      <x:c r="A195" s="28" t="str">
        <x:v>C04</x:v>
      </x:c>
      <x:c r="B195" s="28" t="str">
        <x:v>沉湖遗迹</x:v>
      </x:c>
      <x:c r="C195" s="28" t="str">
        <x:v>巡潮重盾</x:v>
      </x:c>
      <x:c r="D195" s="28" t="str">
        <x:v>稀有</x:v>
      </x:c>
      <x:c r="E195" s="28" t="n">
        <x:v>1</x:v>
      </x:c>
      <x:c r="F195" s="28" t="n">
        <x:v>0</x:v>
      </x:c>
      <x:c r="G195" s="28" t="n">
        <x:v>0</x:v>
      </x:c>
      <x:c r="H195" s="28" t="n">
        <x:v>0</x:v>
      </x:c>
      <x:c r="I195" s="28" t="n">
        <x:v>10</x:v>
      </x:c>
      <x:c r="J195" s="28" t="n">
        <x:v>1000</x:v>
      </x:c>
      <x:c r="K195" s="28" t="n">
        <x:v>5</x:v>
      </x:c>
      <x:c r="L195" s="28" t="n">
        <x:v>0</x:v>
      </x:c>
      <x:c r="M195" s="28" t="n">
        <x:v>0</x:v>
      </x:c>
      <x:c r="N195" s="28" t="n">
        <x:v>0</x:v>
      </x:c>
      <x:c r="O195" s="28" t="str">
        <x:v>登记消耗1件；永久一次；不收金币/元宝/灵符</x:v>
      </x:c>
    </x:row>
    <x:row r="196" ht="30" customHeight="1">
      <x:c r="A196" s="28" t="str">
        <x:v>C04</x:v>
      </x:c>
      <x:c r="B196" s="28" t="str">
        <x:v>沉湖遗迹</x:v>
      </x:c>
      <x:c r="C196" s="28" t="str">
        <x:v>湖狮断链坠</x:v>
      </x:c>
      <x:c r="D196" s="28" t="str">
        <x:v>稀有</x:v>
      </x:c>
      <x:c r="E196" s="28" t="n">
        <x:v>1</x:v>
      </x:c>
      <x:c r="F196" s="28" t="n">
        <x:v>0</x:v>
      </x:c>
      <x:c r="G196" s="28" t="n">
        <x:v>0</x:v>
      </x:c>
      <x:c r="H196" s="28" t="n">
        <x:v>0</x:v>
      </x:c>
      <x:c r="I196" s="28" t="n">
        <x:v>10</x:v>
      </x:c>
      <x:c r="J196" s="28" t="n">
        <x:v>1000</x:v>
      </x:c>
      <x:c r="K196" s="28" t="n">
        <x:v>5</x:v>
      </x:c>
      <x:c r="L196" s="28" t="n">
        <x:v>0</x:v>
      </x:c>
      <x:c r="M196" s="28" t="n">
        <x:v>0</x:v>
      </x:c>
      <x:c r="N196" s="28" t="n">
        <x:v>0</x:v>
      </x:c>
      <x:c r="O196" s="28" t="str">
        <x:v>登记消耗1件；永久一次；不收金币/元宝/灵符</x:v>
      </x:c>
    </x:row>
    <x:row r="197" ht="30" customHeight="1">
      <x:c r="A197" s="28" t="str">
        <x:v>C04</x:v>
      </x:c>
      <x:c r="B197" s="28" t="str">
        <x:v>沉湖遗迹</x:v>
      </x:c>
      <x:c r="C197" s="28" t="str">
        <x:v>蓝焰祷戒</x:v>
      </x:c>
      <x:c r="D197" s="28" t="str">
        <x:v>稀有</x:v>
      </x:c>
      <x:c r="E197" s="28" t="n">
        <x:v>1</x:v>
      </x:c>
      <x:c r="F197" s="28" t="n">
        <x:v>0</x:v>
      </x:c>
      <x:c r="G197" s="28" t="n">
        <x:v>0</x:v>
      </x:c>
      <x:c r="H197" s="28" t="n">
        <x:v>0</x:v>
      </x:c>
      <x:c r="I197" s="28" t="n">
        <x:v>10</x:v>
      </x:c>
      <x:c r="J197" s="28" t="n">
        <x:v>1000</x:v>
      </x:c>
      <x:c r="K197" s="28" t="n">
        <x:v>5</x:v>
      </x:c>
      <x:c r="L197" s="28" t="n">
        <x:v>0</x:v>
      </x:c>
      <x:c r="M197" s="28" t="n">
        <x:v>0</x:v>
      </x:c>
      <x:c r="N197" s="28" t="n">
        <x:v>0</x:v>
      </x:c>
      <x:c r="O197" s="28" t="str">
        <x:v>登记消耗1件；永久一次；不收金币/元宝/灵符</x:v>
      </x:c>
    </x:row>
    <x:row r="198" ht="30" customHeight="1">
      <x:c r="A198" s="28" t="str">
        <x:v>C04</x:v>
      </x:c>
      <x:c r="B198" s="28" t="str">
        <x:v>沉湖遗迹</x:v>
      </x:c>
      <x:c r="C198" s="28" t="str">
        <x:v>双螯束带</x:v>
      </x:c>
      <x:c r="D198" s="28" t="str">
        <x:v>稀有</x:v>
      </x:c>
      <x:c r="E198" s="28" t="n">
        <x:v>1</x:v>
      </x:c>
      <x:c r="F198" s="28" t="n">
        <x:v>0</x:v>
      </x:c>
      <x:c r="G198" s="28" t="n">
        <x:v>0</x:v>
      </x:c>
      <x:c r="H198" s="28" t="n">
        <x:v>0</x:v>
      </x:c>
      <x:c r="I198" s="28" t="n">
        <x:v>10</x:v>
      </x:c>
      <x:c r="J198" s="28" t="n">
        <x:v>1000</x:v>
      </x:c>
      <x:c r="K198" s="28" t="n">
        <x:v>5</x:v>
      </x:c>
      <x:c r="L198" s="28" t="n">
        <x:v>0</x:v>
      </x:c>
      <x:c r="M198" s="28" t="n">
        <x:v>0</x:v>
      </x:c>
      <x:c r="N198" s="28" t="n">
        <x:v>0</x:v>
      </x:c>
      <x:c r="O198" s="28" t="str">
        <x:v>登记消耗1件；永久一次；不收金币/元宝/灵符</x:v>
      </x:c>
    </x:row>
    <x:row r="199" ht="30" customHeight="1">
      <x:c r="A199" s="28" t="str">
        <x:v>C04</x:v>
      </x:c>
      <x:c r="B199" s="28" t="str">
        <x:v>沉湖遗迹</x:v>
      </x:c>
      <x:c r="C199" s="28" t="str">
        <x:v>摩汶的沉水铡</x:v>
      </x:c>
      <x:c r="D199" s="28" t="str">
        <x:v>地图BOSS</x:v>
      </x:c>
      <x:c r="E199" s="28" t="n">
        <x:v>1</x:v>
      </x:c>
      <x:c r="F199" s="28" t="n">
        <x:v>0</x:v>
      </x:c>
      <x:c r="G199" s="28" t="n">
        <x:v>0</x:v>
      </x:c>
      <x:c r="H199" s="28" t="n">
        <x:v>0</x:v>
      </x:c>
      <x:c r="I199" s="28" t="n">
        <x:v>15</x:v>
      </x:c>
      <x:c r="J199" s="28" t="n">
        <x:v>1500</x:v>
      </x:c>
      <x:c r="K199" s="28" t="n">
        <x:v>0</x:v>
      </x:c>
      <x:c r="L199" s="28" t="n">
        <x:v>1</x:v>
      </x:c>
      <x:c r="M199" s="28" t="n">
        <x:v>0</x:v>
      </x:c>
      <x:c r="N199" s="28" t="n">
        <x:v>0</x:v>
      </x:c>
      <x:c r="O199" s="28" t="str">
        <x:v>登记消耗1件；永久一次；不收金币/元宝/灵符</x:v>
      </x:c>
    </x:row>
    <x:row r="200" ht="30" customHeight="1">
      <x:c r="A200" s="28" t="str">
        <x:v>C04</x:v>
      </x:c>
      <x:c r="B200" s="28" t="str">
        <x:v>沉湖遗迹</x:v>
      </x:c>
      <x:c r="C200" s="28" t="str">
        <x:v>塞芙拉无声衣</x:v>
      </x:c>
      <x:c r="D200" s="28" t="str">
        <x:v>地图BOSS</x:v>
      </x:c>
      <x:c r="E200" s="28" t="n">
        <x:v>1</x:v>
      </x:c>
      <x:c r="F200" s="28" t="n">
        <x:v>0</x:v>
      </x:c>
      <x:c r="G200" s="28" t="n">
        <x:v>0</x:v>
      </x:c>
      <x:c r="H200" s="28" t="n">
        <x:v>0</x:v>
      </x:c>
      <x:c r="I200" s="28" t="n">
        <x:v>15</x:v>
      </x:c>
      <x:c r="J200" s="28" t="n">
        <x:v>1500</x:v>
      </x:c>
      <x:c r="K200" s="28" t="n">
        <x:v>0</x:v>
      </x:c>
      <x:c r="L200" s="28" t="n">
        <x:v>1</x:v>
      </x:c>
      <x:c r="M200" s="28" t="n">
        <x:v>0</x:v>
      </x:c>
      <x:c r="N200" s="28" t="n">
        <x:v>0</x:v>
      </x:c>
      <x:c r="O200" s="28" t="str">
        <x:v>登记消耗1件；永久一次；不收金币/元宝/灵符</x:v>
      </x:c>
    </x:row>
    <x:row r="201" ht="30" customHeight="1">
      <x:c r="A201" s="28" t="str">
        <x:v>C04</x:v>
      </x:c>
      <x:c r="B201" s="28" t="str">
        <x:v>湖心沉船</x:v>
      </x:c>
      <x:c r="C201" s="28" t="str">
        <x:v>破帆腰带</x:v>
      </x:c>
      <x:c r="D201" s="28" t="str">
        <x:v>普通</x:v>
      </x:c>
      <x:c r="E201" s="28" t="n">
        <x:v>1</x:v>
      </x:c>
      <x:c r="F201" s="28" t="n">
        <x:v>0</x:v>
      </x:c>
      <x:c r="G201" s="28" t="n">
        <x:v>0</x:v>
      </x:c>
      <x:c r="H201" s="28" t="n">
        <x:v>0</x:v>
      </x:c>
      <x:c r="I201" s="28" t="n">
        <x:v>5</x:v>
      </x:c>
      <x:c r="J201" s="28" t="n">
        <x:v>500</x:v>
      </x:c>
      <x:c r="K201" s="28" t="n">
        <x:v>0</x:v>
      </x:c>
      <x:c r="L201" s="28" t="n">
        <x:v>0</x:v>
      </x:c>
      <x:c r="M201" s="28" t="n">
        <x:v>0</x:v>
      </x:c>
      <x:c r="N201" s="28" t="n">
        <x:v>0</x:v>
      </x:c>
      <x:c r="O201" s="28" t="str">
        <x:v>登记消耗1件；永久一次；不收金币/元宝/灵符</x:v>
      </x:c>
    </x:row>
    <x:row r="202" ht="30" customHeight="1">
      <x:c r="A202" s="28" t="str">
        <x:v>C04</x:v>
      </x:c>
      <x:c r="B202" s="28" t="str">
        <x:v>湖心沉船</x:v>
      </x:c>
      <x:c r="C202" s="28" t="str">
        <x:v>桅猴跳靴</x:v>
      </x:c>
      <x:c r="D202" s="28" t="str">
        <x:v>普通</x:v>
      </x:c>
      <x:c r="E202" s="28" t="n">
        <x:v>1</x:v>
      </x:c>
      <x:c r="F202" s="28" t="n">
        <x:v>0</x:v>
      </x:c>
      <x:c r="G202" s="28" t="n">
        <x:v>0</x:v>
      </x:c>
      <x:c r="H202" s="28" t="n">
        <x:v>0</x:v>
      </x:c>
      <x:c r="I202" s="28" t="n">
        <x:v>5</x:v>
      </x:c>
      <x:c r="J202" s="28" t="n">
        <x:v>500</x:v>
      </x:c>
      <x:c r="K202" s="28" t="n">
        <x:v>0</x:v>
      </x:c>
      <x:c r="L202" s="28" t="n">
        <x:v>0</x:v>
      </x:c>
      <x:c r="M202" s="28" t="n">
        <x:v>0</x:v>
      </x:c>
      <x:c r="N202" s="28" t="n">
        <x:v>0</x:v>
      </x:c>
      <x:c r="O202" s="28" t="str">
        <x:v>登记消耗1件；永久一次；不收金币/元宝/灵符</x:v>
      </x:c>
    </x:row>
    <x:row r="203" ht="30" customHeight="1">
      <x:c r="A203" s="28" t="str">
        <x:v>C04</x:v>
      </x:c>
      <x:c r="B203" s="28" t="str">
        <x:v>湖心沉船</x:v>
      </x:c>
      <x:c r="C203" s="28" t="str">
        <x:v>凿舱铁锤</x:v>
      </x:c>
      <x:c r="D203" s="28" t="str">
        <x:v>普通</x:v>
      </x:c>
      <x:c r="E203" s="28" t="n">
        <x:v>1</x:v>
      </x:c>
      <x:c r="F203" s="28" t="n">
        <x:v>0</x:v>
      </x:c>
      <x:c r="G203" s="28" t="n">
        <x:v>0</x:v>
      </x:c>
      <x:c r="H203" s="28" t="n">
        <x:v>0</x:v>
      </x:c>
      <x:c r="I203" s="28" t="n">
        <x:v>5</x:v>
      </x:c>
      <x:c r="J203" s="28" t="n">
        <x:v>500</x:v>
      </x:c>
      <x:c r="K203" s="28" t="n">
        <x:v>0</x:v>
      </x:c>
      <x:c r="L203" s="28" t="n">
        <x:v>0</x:v>
      </x:c>
      <x:c r="M203" s="28" t="n">
        <x:v>0</x:v>
      </x:c>
      <x:c r="N203" s="28" t="n">
        <x:v>0</x:v>
      </x:c>
      <x:c r="O203" s="28" t="str">
        <x:v>登记消耗1件；永久一次；不收金币/元宝/灵符</x:v>
      </x:c>
    </x:row>
    <x:row r="204" ht="30" customHeight="1">
      <x:c r="A204" s="28" t="str">
        <x:v>C04</x:v>
      </x:c>
      <x:c r="B204" s="28" t="str">
        <x:v>湖心沉船</x:v>
      </x:c>
      <x:c r="C204" s="28" t="str">
        <x:v>怨灯项链</x:v>
      </x:c>
      <x:c r="D204" s="28" t="str">
        <x:v>普通</x:v>
      </x:c>
      <x:c r="E204" s="28" t="n">
        <x:v>1</x:v>
      </x:c>
      <x:c r="F204" s="28" t="n">
        <x:v>0</x:v>
      </x:c>
      <x:c r="G204" s="28" t="n">
        <x:v>0</x:v>
      </x:c>
      <x:c r="H204" s="28" t="n">
        <x:v>0</x:v>
      </x:c>
      <x:c r="I204" s="28" t="n">
        <x:v>5</x:v>
      </x:c>
      <x:c r="J204" s="28" t="n">
        <x:v>500</x:v>
      </x:c>
      <x:c r="K204" s="28" t="n">
        <x:v>0</x:v>
      </x:c>
      <x:c r="L204" s="28" t="n">
        <x:v>0</x:v>
      </x:c>
      <x:c r="M204" s="28" t="n">
        <x:v>0</x:v>
      </x:c>
      <x:c r="N204" s="28" t="n">
        <x:v>0</x:v>
      </x:c>
      <x:c r="O204" s="28" t="str">
        <x:v>登记消耗1件；永久一次；不收金币/元宝/灵符</x:v>
      </x:c>
    </x:row>
    <x:row r="205" ht="30" customHeight="1">
      <x:c r="A205" s="28" t="str">
        <x:v>C04</x:v>
      </x:c>
      <x:c r="B205" s="28" t="str">
        <x:v>湖心沉船</x:v>
      </x:c>
      <x:c r="C205" s="28" t="str">
        <x:v>墓舱壳盾</x:v>
      </x:c>
      <x:c r="D205" s="28" t="str">
        <x:v>普通</x:v>
      </x:c>
      <x:c r="E205" s="28" t="n">
        <x:v>1</x:v>
      </x:c>
      <x:c r="F205" s="28" t="n">
        <x:v>0</x:v>
      </x:c>
      <x:c r="G205" s="28" t="n">
        <x:v>0</x:v>
      </x:c>
      <x:c r="H205" s="28" t="n">
        <x:v>0</x:v>
      </x:c>
      <x:c r="I205" s="28" t="n">
        <x:v>5</x:v>
      </x:c>
      <x:c r="J205" s="28" t="n">
        <x:v>500</x:v>
      </x:c>
      <x:c r="K205" s="28" t="n">
        <x:v>0</x:v>
      </x:c>
      <x:c r="L205" s="28" t="n">
        <x:v>0</x:v>
      </x:c>
      <x:c r="M205" s="28" t="n">
        <x:v>0</x:v>
      </x:c>
      <x:c r="N205" s="28" t="n">
        <x:v>0</x:v>
      </x:c>
      <x:c r="O205" s="28" t="str">
        <x:v>登记消耗1件；永久一次；不收金币/元宝/灵符</x:v>
      </x:c>
    </x:row>
    <x:row r="206" ht="30" customHeight="1">
      <x:c r="A206" s="28" t="str">
        <x:v>C04</x:v>
      </x:c>
      <x:c r="B206" s="28" t="str">
        <x:v>湖心沉船</x:v>
      </x:c>
      <x:c r="C206" s="28" t="str">
        <x:v>盐裹尸衣</x:v>
      </x:c>
      <x:c r="D206" s="28" t="str">
        <x:v>普通</x:v>
      </x:c>
      <x:c r="E206" s="28" t="n">
        <x:v>1</x:v>
      </x:c>
      <x:c r="F206" s="28" t="n">
        <x:v>0</x:v>
      </x:c>
      <x:c r="G206" s="28" t="n">
        <x:v>0</x:v>
      </x:c>
      <x:c r="H206" s="28" t="n">
        <x:v>0</x:v>
      </x:c>
      <x:c r="I206" s="28" t="n">
        <x:v>5</x:v>
      </x:c>
      <x:c r="J206" s="28" t="n">
        <x:v>500</x:v>
      </x:c>
      <x:c r="K206" s="28" t="n">
        <x:v>0</x:v>
      </x:c>
      <x:c r="L206" s="28" t="n">
        <x:v>0</x:v>
      </x:c>
      <x:c r="M206" s="28" t="n">
        <x:v>0</x:v>
      </x:c>
      <x:c r="N206" s="28" t="n">
        <x:v>0</x:v>
      </x:c>
      <x:c r="O206" s="28" t="str">
        <x:v>登记消耗1件；永久一次；不收金币/元宝/灵符</x:v>
      </x:c>
    </x:row>
    <x:row r="207" ht="30" customHeight="1">
      <x:c r="A207" s="28" t="str">
        <x:v>C04</x:v>
      </x:c>
      <x:c r="B207" s="28" t="str">
        <x:v>湖心沉船</x:v>
      </x:c>
      <x:c r="C207" s="28" t="str">
        <x:v>白鳍浪客笠</x:v>
      </x:c>
      <x:c r="D207" s="28" t="str">
        <x:v>稀有</x:v>
      </x:c>
      <x:c r="E207" s="28" t="n">
        <x:v>1</x:v>
      </x:c>
      <x:c r="F207" s="28" t="n">
        <x:v>0</x:v>
      </x:c>
      <x:c r="G207" s="28" t="n">
        <x:v>0</x:v>
      </x:c>
      <x:c r="H207" s="28" t="n">
        <x:v>0</x:v>
      </x:c>
      <x:c r="I207" s="28" t="n">
        <x:v>10</x:v>
      </x:c>
      <x:c r="J207" s="28" t="n">
        <x:v>1000</x:v>
      </x:c>
      <x:c r="K207" s="28" t="n">
        <x:v>5</x:v>
      </x:c>
      <x:c r="L207" s="28" t="n">
        <x:v>0</x:v>
      </x:c>
      <x:c r="M207" s="28" t="n">
        <x:v>0</x:v>
      </x:c>
      <x:c r="N207" s="28" t="n">
        <x:v>0</x:v>
      </x:c>
      <x:c r="O207" s="28" t="str">
        <x:v>登记消耗1件；永久一次；不收金币/元宝/灵符</x:v>
      </x:c>
    </x:row>
    <x:row r="208" ht="30" customHeight="1">
      <x:c r="A208" s="28" t="str">
        <x:v>C04</x:v>
      </x:c>
      <x:c r="B208" s="28" t="str">
        <x:v>湖心沉船</x:v>
      </x:c>
      <x:c r="C208" s="28" t="str">
        <x:v>老舵手镯</x:v>
      </x:c>
      <x:c r="D208" s="28" t="str">
        <x:v>稀有</x:v>
      </x:c>
      <x:c r="E208" s="28" t="n">
        <x:v>1</x:v>
      </x:c>
      <x:c r="F208" s="28" t="n">
        <x:v>0</x:v>
      </x:c>
      <x:c r="G208" s="28" t="n">
        <x:v>0</x:v>
      </x:c>
      <x:c r="H208" s="28" t="n">
        <x:v>0</x:v>
      </x:c>
      <x:c r="I208" s="28" t="n">
        <x:v>10</x:v>
      </x:c>
      <x:c r="J208" s="28" t="n">
        <x:v>1000</x:v>
      </x:c>
      <x:c r="K208" s="28" t="n">
        <x:v>5</x:v>
      </x:c>
      <x:c r="L208" s="28" t="n">
        <x:v>0</x:v>
      </x:c>
      <x:c r="M208" s="28" t="n">
        <x:v>0</x:v>
      </x:c>
      <x:c r="N208" s="28" t="n">
        <x:v>0</x:v>
      </x:c>
      <x:c r="O208" s="28" t="str">
        <x:v>登记消耗1件；永久一次；不收金币/元宝/灵符</x:v>
      </x:c>
    </x:row>
    <x:row r="209" ht="30" customHeight="1">
      <x:c r="A209" s="28" t="str">
        <x:v>C04</x:v>
      </x:c>
      <x:c r="B209" s="28" t="str">
        <x:v>湖心沉船</x:v>
      </x:c>
      <x:c r="C209" s="28" t="str">
        <x:v>棺钉指环</x:v>
      </x:c>
      <x:c r="D209" s="28" t="str">
        <x:v>稀有</x:v>
      </x:c>
      <x:c r="E209" s="28" t="n">
        <x:v>1</x:v>
      </x:c>
      <x:c r="F209" s="28" t="n">
        <x:v>0</x:v>
      </x:c>
      <x:c r="G209" s="28" t="n">
        <x:v>0</x:v>
      </x:c>
      <x:c r="H209" s="28" t="n">
        <x:v>0</x:v>
      </x:c>
      <x:c r="I209" s="28" t="n">
        <x:v>10</x:v>
      </x:c>
      <x:c r="J209" s="28" t="n">
        <x:v>1000</x:v>
      </x:c>
      <x:c r="K209" s="28" t="n">
        <x:v>5</x:v>
      </x:c>
      <x:c r="L209" s="28" t="n">
        <x:v>0</x:v>
      </x:c>
      <x:c r="M209" s="28" t="n">
        <x:v>0</x:v>
      </x:c>
      <x:c r="N209" s="28" t="n">
        <x:v>0</x:v>
      </x:c>
      <x:c r="O209" s="28" t="str">
        <x:v>登记消耗1件；永久一次；不收金币/元宝/灵符</x:v>
      </x:c>
    </x:row>
    <x:row r="210" ht="30" customHeight="1">
      <x:c r="A210" s="28" t="str">
        <x:v>C04</x:v>
      </x:c>
      <x:c r="B210" s="28" t="str">
        <x:v>湖心沉船</x:v>
      </x:c>
      <x:c r="C210" s="28" t="str">
        <x:v>锚齿鱼盔</x:v>
      </x:c>
      <x:c r="D210" s="28" t="str">
        <x:v>稀有</x:v>
      </x:c>
      <x:c r="E210" s="28" t="n">
        <x:v>1</x:v>
      </x:c>
      <x:c r="F210" s="28" t="n">
        <x:v>0</x:v>
      </x:c>
      <x:c r="G210" s="28" t="n">
        <x:v>0</x:v>
      </x:c>
      <x:c r="H210" s="28" t="n">
        <x:v>0</x:v>
      </x:c>
      <x:c r="I210" s="28" t="n">
        <x:v>10</x:v>
      </x:c>
      <x:c r="J210" s="28" t="n">
        <x:v>1000</x:v>
      </x:c>
      <x:c r="K210" s="28" t="n">
        <x:v>5</x:v>
      </x:c>
      <x:c r="L210" s="28" t="n">
        <x:v>0</x:v>
      </x:c>
      <x:c r="M210" s="28" t="n">
        <x:v>0</x:v>
      </x:c>
      <x:c r="N210" s="28" t="n">
        <x:v>0</x:v>
      </x:c>
      <x:c r="O210" s="28" t="str">
        <x:v>登记消耗1件；永久一次；不收金币/元宝/灵符</x:v>
      </x:c>
    </x:row>
    <x:row r="211" ht="30" customHeight="1">
      <x:c r="A211" s="28" t="str">
        <x:v>C04</x:v>
      </x:c>
      <x:c r="B211" s="28" t="str">
        <x:v>湖心沉船</x:v>
      </x:c>
      <x:c r="C211" s="28" t="str">
        <x:v>奥杜的锁舱刀</x:v>
      </x:c>
      <x:c r="D211" s="28" t="str">
        <x:v>地图BOSS</x:v>
      </x:c>
      <x:c r="E211" s="28" t="n">
        <x:v>1</x:v>
      </x:c>
      <x:c r="F211" s="28" t="n">
        <x:v>0</x:v>
      </x:c>
      <x:c r="G211" s="28" t="n">
        <x:v>0</x:v>
      </x:c>
      <x:c r="H211" s="28" t="n">
        <x:v>0</x:v>
      </x:c>
      <x:c r="I211" s="28" t="n">
        <x:v>15</x:v>
      </x:c>
      <x:c r="J211" s="28" t="n">
        <x:v>1500</x:v>
      </x:c>
      <x:c r="K211" s="28" t="n">
        <x:v>0</x:v>
      </x:c>
      <x:c r="L211" s="28" t="n">
        <x:v>1</x:v>
      </x:c>
      <x:c r="M211" s="28" t="n">
        <x:v>0</x:v>
      </x:c>
      <x:c r="N211" s="28" t="n">
        <x:v>0</x:v>
      </x:c>
      <x:c r="O211" s="28" t="str">
        <x:v>登记消耗1件；永久一次；不收金币/元宝/灵符</x:v>
      </x:c>
    </x:row>
    <x:row r="212" ht="30" customHeight="1">
      <x:c r="A212" s="28" t="str">
        <x:v>C04</x:v>
      </x:c>
      <x:c r="B212" s="28" t="str">
        <x:v>湖心沉船</x:v>
      </x:c>
      <x:c r="C212" s="28" t="str">
        <x:v>伊蕾莎潮婚衣</x:v>
      </x:c>
      <x:c r="D212" s="28" t="str">
        <x:v>地图BOSS</x:v>
      </x:c>
      <x:c r="E212" s="28" t="n">
        <x:v>1</x:v>
      </x:c>
      <x:c r="F212" s="28" t="n">
        <x:v>0</x:v>
      </x:c>
      <x:c r="G212" s="28" t="n">
        <x:v>0</x:v>
      </x:c>
      <x:c r="H212" s="28" t="n">
        <x:v>0</x:v>
      </x:c>
      <x:c r="I212" s="28" t="n">
        <x:v>15</x:v>
      </x:c>
      <x:c r="J212" s="28" t="n">
        <x:v>1500</x:v>
      </x:c>
      <x:c r="K212" s="28" t="n">
        <x:v>0</x:v>
      </x:c>
      <x:c r="L212" s="28" t="n">
        <x:v>1</x:v>
      </x:c>
      <x:c r="M212" s="28" t="n">
        <x:v>0</x:v>
      </x:c>
      <x:c r="N212" s="28" t="n">
        <x:v>0</x:v>
      </x:c>
      <x:c r="O212" s="28" t="str">
        <x:v>登记消耗1件；永久一次；不收金币/元宝/灵符</x:v>
      </x:c>
    </x:row>
    <x:row r="213" ht="30" customHeight="1">
      <x:c r="A213" s="28" t="str">
        <x:v>C04</x:v>
      </x:c>
      <x:c r="B213" s="28" t="str">
        <x:v>幽灵船骸</x:v>
      </x:c>
      <x:c r="C213" s="28" t="str">
        <x:v>磷火腕铠</x:v>
      </x:c>
      <x:c r="D213" s="28" t="str">
        <x:v>普通</x:v>
      </x:c>
      <x:c r="E213" s="28" t="n">
        <x:v>1</x:v>
      </x:c>
      <x:c r="F213" s="28" t="n">
        <x:v>0</x:v>
      </x:c>
      <x:c r="G213" s="28" t="n">
        <x:v>0</x:v>
      </x:c>
      <x:c r="H213" s="28" t="n">
        <x:v>0</x:v>
      </x:c>
      <x:c r="I213" s="28" t="n">
        <x:v>5</x:v>
      </x:c>
      <x:c r="J213" s="28" t="n">
        <x:v>500</x:v>
      </x:c>
      <x:c r="K213" s="28" t="n">
        <x:v>0</x:v>
      </x:c>
      <x:c r="L213" s="28" t="n">
        <x:v>0</x:v>
      </x:c>
      <x:c r="M213" s="28" t="n">
        <x:v>0</x:v>
      </x:c>
      <x:c r="N213" s="28" t="n">
        <x:v>0</x:v>
      </x:c>
      <x:c r="O213" s="28" t="str">
        <x:v>登记消耗1件；永久一次；不收金币/元宝/灵符</x:v>
      </x:c>
    </x:row>
    <x:row r="214" ht="30" customHeight="1">
      <x:c r="A214" s="28" t="str">
        <x:v>C04</x:v>
      </x:c>
      <x:c r="B214" s="28" t="str">
        <x:v>幽灵船骸</x:v>
      </x:c>
      <x:c r="C214" s="28" t="str">
        <x:v>骨鸥喙盔</x:v>
      </x:c>
      <x:c r="D214" s="28" t="str">
        <x:v>普通</x:v>
      </x:c>
      <x:c r="E214" s="28" t="n">
        <x:v>1</x:v>
      </x:c>
      <x:c r="F214" s="28" t="n">
        <x:v>0</x:v>
      </x:c>
      <x:c r="G214" s="28" t="n">
        <x:v>0</x:v>
      </x:c>
      <x:c r="H214" s="28" t="n">
        <x:v>0</x:v>
      </x:c>
      <x:c r="I214" s="28" t="n">
        <x:v>5</x:v>
      </x:c>
      <x:c r="J214" s="28" t="n">
        <x:v>500</x:v>
      </x:c>
      <x:c r="K214" s="28" t="n">
        <x:v>0</x:v>
      </x:c>
      <x:c r="L214" s="28" t="n">
        <x:v>0</x:v>
      </x:c>
      <x:c r="M214" s="28" t="n">
        <x:v>0</x:v>
      </x:c>
      <x:c r="N214" s="28" t="n">
        <x:v>0</x:v>
      </x:c>
      <x:c r="O214" s="28" t="str">
        <x:v>登记消耗1件；永久一次；不收金币/元宝/灵符</x:v>
      </x:c>
    </x:row>
    <x:row r="215" ht="30" customHeight="1">
      <x:c r="A215" s="28" t="str">
        <x:v>C04</x:v>
      </x:c>
      <x:c r="B215" s="28" t="str">
        <x:v>幽灵船骸</x:v>
      </x:c>
      <x:c r="C215" s="28" t="str">
        <x:v>舀魂铜瓢</x:v>
      </x:c>
      <x:c r="D215" s="28" t="str">
        <x:v>普通</x:v>
      </x:c>
      <x:c r="E215" s="28" t="n">
        <x:v>1</x:v>
      </x:c>
      <x:c r="F215" s="28" t="n">
        <x:v>0</x:v>
      </x:c>
      <x:c r="G215" s="28" t="n">
        <x:v>0</x:v>
      </x:c>
      <x:c r="H215" s="28" t="n">
        <x:v>0</x:v>
      </x:c>
      <x:c r="I215" s="28" t="n">
        <x:v>5</x:v>
      </x:c>
      <x:c r="J215" s="28" t="n">
        <x:v>500</x:v>
      </x:c>
      <x:c r="K215" s="28" t="n">
        <x:v>0</x:v>
      </x:c>
      <x:c r="L215" s="28" t="n">
        <x:v>0</x:v>
      </x:c>
      <x:c r="M215" s="28" t="n">
        <x:v>0</x:v>
      </x:c>
      <x:c r="N215" s="28" t="n">
        <x:v>0</x:v>
      </x:c>
      <x:c r="O215" s="28" t="str">
        <x:v>登记消耗1件；永久一次；不收金币/元宝/灵符</x:v>
      </x:c>
    </x:row>
    <x:row r="216" ht="30" customHeight="1">
      <x:c r="A216" s="28" t="str">
        <x:v>C04</x:v>
      </x:c>
      <x:c r="B216" s="28" t="str">
        <x:v>幽灵船骸</x:v>
      </x:c>
      <x:c r="C216" s="28" t="str">
        <x:v>引魂铜铃链</x:v>
      </x:c>
      <x:c r="D216" s="28" t="str">
        <x:v>普通</x:v>
      </x:c>
      <x:c r="E216" s="28" t="n">
        <x:v>1</x:v>
      </x:c>
      <x:c r="F216" s="28" t="n">
        <x:v>0</x:v>
      </x:c>
      <x:c r="G216" s="28" t="n">
        <x:v>0</x:v>
      </x:c>
      <x:c r="H216" s="28" t="n">
        <x:v>0</x:v>
      </x:c>
      <x:c r="I216" s="28" t="n">
        <x:v>5</x:v>
      </x:c>
      <x:c r="J216" s="28" t="n">
        <x:v>500</x:v>
      </x:c>
      <x:c r="K216" s="28" t="n">
        <x:v>0</x:v>
      </x:c>
      <x:c r="L216" s="28" t="n">
        <x:v>0</x:v>
      </x:c>
      <x:c r="M216" s="28" t="n">
        <x:v>0</x:v>
      </x:c>
      <x:c r="N216" s="28" t="n">
        <x:v>0</x:v>
      </x:c>
      <x:c r="O216" s="28" t="str">
        <x:v>登记消耗1件；永久一次；不收金币/元宝/灵符</x:v>
      </x:c>
    </x:row>
    <x:row r="217" ht="30" customHeight="1">
      <x:c r="A217" s="28" t="str">
        <x:v>C04</x:v>
      </x:c>
      <x:c r="B217" s="28" t="str">
        <x:v>幽灵船骸</x:v>
      </x:c>
      <x:c r="C217" s="28" t="str">
        <x:v>蜡封尸衣</x:v>
      </x:c>
      <x:c r="D217" s="28" t="str">
        <x:v>普通</x:v>
      </x:c>
      <x:c r="E217" s="28" t="n">
        <x:v>1</x:v>
      </x:c>
      <x:c r="F217" s="28" t="n">
        <x:v>0</x:v>
      </x:c>
      <x:c r="G217" s="28" t="n">
        <x:v>0</x:v>
      </x:c>
      <x:c r="H217" s="28" t="n">
        <x:v>0</x:v>
      </x:c>
      <x:c r="I217" s="28" t="n">
        <x:v>5</x:v>
      </x:c>
      <x:c r="J217" s="28" t="n">
        <x:v>500</x:v>
      </x:c>
      <x:c r="K217" s="28" t="n">
        <x:v>0</x:v>
      </x:c>
      <x:c r="L217" s="28" t="n">
        <x:v>0</x:v>
      </x:c>
      <x:c r="M217" s="28" t="n">
        <x:v>0</x:v>
      </x:c>
      <x:c r="N217" s="28" t="n">
        <x:v>0</x:v>
      </x:c>
      <x:c r="O217" s="28" t="str">
        <x:v>登记消耗1件；永久一次；不收金币/元宝/灵符</x:v>
      </x:c>
    </x:row>
    <x:row r="218" ht="30" customHeight="1">
      <x:c r="A218" s="28" t="str">
        <x:v>C04</x:v>
      </x:c>
      <x:c r="B218" s="28" t="str">
        <x:v>幽灵船骸</x:v>
      </x:c>
      <x:c r="C218" s="28" t="str">
        <x:v>梦蛾踏水靴</x:v>
      </x:c>
      <x:c r="D218" s="28" t="str">
        <x:v>普通</x:v>
      </x:c>
      <x:c r="E218" s="28" t="n">
        <x:v>1</x:v>
      </x:c>
      <x:c r="F218" s="28" t="n">
        <x:v>0</x:v>
      </x:c>
      <x:c r="G218" s="28" t="n">
        <x:v>0</x:v>
      </x:c>
      <x:c r="H218" s="28" t="n">
        <x:v>0</x:v>
      </x:c>
      <x:c r="I218" s="28" t="n">
        <x:v>5</x:v>
      </x:c>
      <x:c r="J218" s="28" t="n">
        <x:v>500</x:v>
      </x:c>
      <x:c r="K218" s="28" t="n">
        <x:v>0</x:v>
      </x:c>
      <x:c r="L218" s="28" t="n">
        <x:v>0</x:v>
      </x:c>
      <x:c r="M218" s="28" t="n">
        <x:v>0</x:v>
      </x:c>
      <x:c r="N218" s="28" t="n">
        <x:v>0</x:v>
      </x:c>
      <x:c r="O218" s="28" t="str">
        <x:v>登记消耗1件；永久一次；不收金币/元宝/灵符</x:v>
      </x:c>
    </x:row>
    <x:row r="219" ht="30" customHeight="1">
      <x:c r="A219" s="28" t="str">
        <x:v>C04</x:v>
      </x:c>
      <x:c r="B219" s="28" t="str">
        <x:v>幽灵船骸</x:v>
      </x:c>
      <x:c r="C219" s="28" t="str">
        <x:v>倒桅瞭望笠</x:v>
      </x:c>
      <x:c r="D219" s="28" t="str">
        <x:v>稀有</x:v>
      </x:c>
      <x:c r="E219" s="28" t="n">
        <x:v>1</x:v>
      </x:c>
      <x:c r="F219" s="28" t="n">
        <x:v>0</x:v>
      </x:c>
      <x:c r="G219" s="28" t="n">
        <x:v>0</x:v>
      </x:c>
      <x:c r="H219" s="28" t="n">
        <x:v>0</x:v>
      </x:c>
      <x:c r="I219" s="28" t="n">
        <x:v>10</x:v>
      </x:c>
      <x:c r="J219" s="28" t="n">
        <x:v>1000</x:v>
      </x:c>
      <x:c r="K219" s="28" t="n">
        <x:v>5</x:v>
      </x:c>
      <x:c r="L219" s="28" t="n">
        <x:v>0</x:v>
      </x:c>
      <x:c r="M219" s="28" t="n">
        <x:v>0</x:v>
      </x:c>
      <x:c r="N219" s="28" t="n">
        <x:v>0</x:v>
      </x:c>
      <x:c r="O219" s="28" t="str">
        <x:v>登记消耗1件；永久一次；不收金币/元宝/灵符</x:v>
      </x:c>
    </x:row>
    <x:row r="220" ht="30" customHeight="1">
      <x:c r="A220" s="28" t="str">
        <x:v>C04</x:v>
      </x:c>
      <x:c r="B220" s="28" t="str">
        <x:v>幽灵船骸</x:v>
      </x:c>
      <x:c r="C220" s="28" t="str">
        <x:v>桨官铁盾</x:v>
      </x:c>
      <x:c r="D220" s="28" t="str">
        <x:v>稀有</x:v>
      </x:c>
      <x:c r="E220" s="28" t="n">
        <x:v>1</x:v>
      </x:c>
      <x:c r="F220" s="28" t="n">
        <x:v>0</x:v>
      </x:c>
      <x:c r="G220" s="28" t="n">
        <x:v>0</x:v>
      </x:c>
      <x:c r="H220" s="28" t="n">
        <x:v>0</x:v>
      </x:c>
      <x:c r="I220" s="28" t="n">
        <x:v>10</x:v>
      </x:c>
      <x:c r="J220" s="28" t="n">
        <x:v>1000</x:v>
      </x:c>
      <x:c r="K220" s="28" t="n">
        <x:v>5</x:v>
      </x:c>
      <x:c r="L220" s="28" t="n">
        <x:v>0</x:v>
      </x:c>
      <x:c r="M220" s="28" t="n">
        <x:v>0</x:v>
      </x:c>
      <x:c r="N220" s="28" t="n">
        <x:v>0</x:v>
      </x:c>
      <x:c r="O220" s="28" t="str">
        <x:v>登记消耗1件；永久一次；不收金币/元宝/灵符</x:v>
      </x:c>
    </x:row>
    <x:row r="221" ht="30" customHeight="1">
      <x:c r="A221" s="28" t="str">
        <x:v>C04</x:v>
      </x:c>
      <x:c r="B221" s="28" t="str">
        <x:v>幽灵船骸</x:v>
      </x:c>
      <x:c r="C221" s="28" t="str">
        <x:v>缝舱腰箍</x:v>
      </x:c>
      <x:c r="D221" s="28" t="str">
        <x:v>稀有</x:v>
      </x:c>
      <x:c r="E221" s="28" t="n">
        <x:v>1</x:v>
      </x:c>
      <x:c r="F221" s="28" t="n">
        <x:v>0</x:v>
      </x:c>
      <x:c r="G221" s="28" t="n">
        <x:v>0</x:v>
      </x:c>
      <x:c r="H221" s="28" t="n">
        <x:v>0</x:v>
      </x:c>
      <x:c r="I221" s="28" t="n">
        <x:v>10</x:v>
      </x:c>
      <x:c r="J221" s="28" t="n">
        <x:v>1000</x:v>
      </x:c>
      <x:c r="K221" s="28" t="n">
        <x:v>5</x:v>
      </x:c>
      <x:c r="L221" s="28" t="n">
        <x:v>0</x:v>
      </x:c>
      <x:c r="M221" s="28" t="n">
        <x:v>0</x:v>
      </x:c>
      <x:c r="N221" s="28" t="n">
        <x:v>0</x:v>
      </x:c>
      <x:c r="O221" s="28" t="str">
        <x:v>登记消耗1件；永久一次；不收金币/元宝/灵符</x:v>
      </x:c>
    </x:row>
    <x:row r="222" ht="30" customHeight="1">
      <x:c r="A222" s="28" t="str">
        <x:v>C04</x:v>
      </x:c>
      <x:c r="B222" s="28" t="str">
        <x:v>幽灵船骸</x:v>
      </x:c>
      <x:c r="C222" s="28" t="str">
        <x:v>黑帆魂戒</x:v>
      </x:c>
      <x:c r="D222" s="28" t="str">
        <x:v>稀有</x:v>
      </x:c>
      <x:c r="E222" s="28" t="n">
        <x:v>1</x:v>
      </x:c>
      <x:c r="F222" s="28" t="n">
        <x:v>0</x:v>
      </x:c>
      <x:c r="G222" s="28" t="n">
        <x:v>0</x:v>
      </x:c>
      <x:c r="H222" s="28" t="n">
        <x:v>0</x:v>
      </x:c>
      <x:c r="I222" s="28" t="n">
        <x:v>10</x:v>
      </x:c>
      <x:c r="J222" s="28" t="n">
        <x:v>1000</x:v>
      </x:c>
      <x:c r="K222" s="28" t="n">
        <x:v>5</x:v>
      </x:c>
      <x:c r="L222" s="28" t="n">
        <x:v>0</x:v>
      </x:c>
      <x:c r="M222" s="28" t="n">
        <x:v>0</x:v>
      </x:c>
      <x:c r="N222" s="28" t="n">
        <x:v>0</x:v>
      </x:c>
      <x:c r="O222" s="28" t="str">
        <x:v>登记消耗1件；永久一次；不收金币/元宝/灵符</x:v>
      </x:c>
    </x:row>
    <x:row r="223" ht="30" customHeight="1">
      <x:c r="A223" s="28" t="str">
        <x:v>C04</x:v>
      </x:c>
      <x:c r="B223" s="28" t="str">
        <x:v>幽灵船骸</x:v>
      </x:c>
      <x:c r="C223" s="28" t="str">
        <x:v>赫岚的幽舵刃</x:v>
      </x:c>
      <x:c r="D223" s="28" t="str">
        <x:v>地图BOSS</x:v>
      </x:c>
      <x:c r="E223" s="28" t="n">
        <x:v>1</x:v>
      </x:c>
      <x:c r="F223" s="28" t="n">
        <x:v>0</x:v>
      </x:c>
      <x:c r="G223" s="28" t="n">
        <x:v>0</x:v>
      </x:c>
      <x:c r="H223" s="28" t="n">
        <x:v>0</x:v>
      </x:c>
      <x:c r="I223" s="28" t="n">
        <x:v>15</x:v>
      </x:c>
      <x:c r="J223" s="28" t="n">
        <x:v>1500</x:v>
      </x:c>
      <x:c r="K223" s="28" t="n">
        <x:v>0</x:v>
      </x:c>
      <x:c r="L223" s="28" t="n">
        <x:v>1</x:v>
      </x:c>
      <x:c r="M223" s="28" t="n">
        <x:v>0</x:v>
      </x:c>
      <x:c r="N223" s="28" t="n">
        <x:v>0</x:v>
      </x:c>
      <x:c r="O223" s="28" t="str">
        <x:v>登记消耗1件；永久一次；不收金币/元宝/灵符</x:v>
      </x:c>
    </x:row>
    <x:row r="224" ht="30" customHeight="1">
      <x:c r="A224" s="28" t="str">
        <x:v>C04</x:v>
      </x:c>
      <x:c r="B224" s="28" t="str">
        <x:v>幽灵船骸</x:v>
      </x:c>
      <x:c r="C224" s="28" t="str">
        <x:v>沃姆吞魂舱甲</x:v>
      </x:c>
      <x:c r="D224" s="28" t="str">
        <x:v>地图BOSS</x:v>
      </x:c>
      <x:c r="E224" s="28" t="n">
        <x:v>1</x:v>
      </x:c>
      <x:c r="F224" s="28" t="n">
        <x:v>0</x:v>
      </x:c>
      <x:c r="G224" s="28" t="n">
        <x:v>0</x:v>
      </x:c>
      <x:c r="H224" s="28" t="n">
        <x:v>0</x:v>
      </x:c>
      <x:c r="I224" s="28" t="n">
        <x:v>15</x:v>
      </x:c>
      <x:c r="J224" s="28" t="n">
        <x:v>1500</x:v>
      </x:c>
      <x:c r="K224" s="28" t="n">
        <x:v>0</x:v>
      </x:c>
      <x:c r="L224" s="28" t="n">
        <x:v>1</x:v>
      </x:c>
      <x:c r="M224" s="28" t="n">
        <x:v>0</x:v>
      </x:c>
      <x:c r="N224" s="28" t="n">
        <x:v>0</x:v>
      </x:c>
      <x:c r="O224" s="28" t="str">
        <x:v>登记消耗1件；永久一次；不收金币/元宝/灵符</x:v>
      </x:c>
    </x:row>
    <x:row r="225" ht="30" customHeight="1">
      <x:c r="A225" s="28" t="str">
        <x:v>C04</x:v>
      </x:c>
      <x:c r="B225" s="28" t="str">
        <x:v>深湖水道</x:v>
      </x:c>
      <x:c r="C225" s="28" t="str">
        <x:v>巡闸圆盾</x:v>
      </x:c>
      <x:c r="D225" s="28" t="str">
        <x:v>普通</x:v>
      </x:c>
      <x:c r="E225" s="28" t="n">
        <x:v>1</x:v>
      </x:c>
      <x:c r="F225" s="28" t="n">
        <x:v>0</x:v>
      </x:c>
      <x:c r="G225" s="28" t="n">
        <x:v>0</x:v>
      </x:c>
      <x:c r="H225" s="28" t="n">
        <x:v>0</x:v>
      </x:c>
      <x:c r="I225" s="28" t="n">
        <x:v>5</x:v>
      </x:c>
      <x:c r="J225" s="28" t="n">
        <x:v>500</x:v>
      </x:c>
      <x:c r="K225" s="28" t="n">
        <x:v>0</x:v>
      </x:c>
      <x:c r="L225" s="28" t="n">
        <x:v>0</x:v>
      </x:c>
      <x:c r="M225" s="28" t="n">
        <x:v>0</x:v>
      </x:c>
      <x:c r="N225" s="28" t="n">
        <x:v>0</x:v>
      </x:c>
      <x:c r="O225" s="28" t="str">
        <x:v>登记消耗1件；永久一次；不收金币/元宝/灵符</x:v>
      </x:c>
    </x:row>
    <x:row r="226" ht="30" customHeight="1">
      <x:c r="A226" s="28" t="str">
        <x:v>C04</x:v>
      </x:c>
      <x:c r="B226" s="28" t="str">
        <x:v>深湖水道</x:v>
      </x:c>
      <x:c r="C226" s="28" t="str">
        <x:v>鳗皮束腰</x:v>
      </x:c>
      <x:c r="D226" s="28" t="str">
        <x:v>普通</x:v>
      </x:c>
      <x:c r="E226" s="28" t="n">
        <x:v>1</x:v>
      </x:c>
      <x:c r="F226" s="28" t="n">
        <x:v>0</x:v>
      </x:c>
      <x:c r="G226" s="28" t="n">
        <x:v>0</x:v>
      </x:c>
      <x:c r="H226" s="28" t="n">
        <x:v>0</x:v>
      </x:c>
      <x:c r="I226" s="28" t="n">
        <x:v>5</x:v>
      </x:c>
      <x:c r="J226" s="28" t="n">
        <x:v>500</x:v>
      </x:c>
      <x:c r="K226" s="28" t="n">
        <x:v>0</x:v>
      </x:c>
      <x:c r="L226" s="28" t="n">
        <x:v>0</x:v>
      </x:c>
      <x:c r="M226" s="28" t="n">
        <x:v>0</x:v>
      </x:c>
      <x:c r="N226" s="28" t="n">
        <x:v>0</x:v>
      </x:c>
      <x:c r="O226" s="28" t="str">
        <x:v>登记消耗1件；永久一次；不收金币/元宝/灵符</x:v>
      </x:c>
    </x:row>
    <x:row r="227" ht="30" customHeight="1">
      <x:c r="A227" s="28" t="str">
        <x:v>C04</x:v>
      </x:c>
      <x:c r="B227" s="28" t="str">
        <x:v>深湖水道</x:v>
      </x:c>
      <x:c r="C227" s="28" t="str">
        <x:v>月蛙刺弩</x:v>
      </x:c>
      <x:c r="D227" s="28" t="str">
        <x:v>普通</x:v>
      </x:c>
      <x:c r="E227" s="28" t="n">
        <x:v>1</x:v>
      </x:c>
      <x:c r="F227" s="28" t="n">
        <x:v>0</x:v>
      </x:c>
      <x:c r="G227" s="28" t="n">
        <x:v>0</x:v>
      </x:c>
      <x:c r="H227" s="28" t="n">
        <x:v>0</x:v>
      </x:c>
      <x:c r="I227" s="28" t="n">
        <x:v>5</x:v>
      </x:c>
      <x:c r="J227" s="28" t="n">
        <x:v>500</x:v>
      </x:c>
      <x:c r="K227" s="28" t="n">
        <x:v>0</x:v>
      </x:c>
      <x:c r="L227" s="28" t="n">
        <x:v>0</x:v>
      </x:c>
      <x:c r="M227" s="28" t="n">
        <x:v>0</x:v>
      </x:c>
      <x:c r="N227" s="28" t="n">
        <x:v>0</x:v>
      </x:c>
      <x:c r="O227" s="28" t="str">
        <x:v>登记消耗1件；永久一次；不收金币/元宝/灵符</x:v>
      </x:c>
    </x:row>
    <x:row r="228" ht="30" customHeight="1">
      <x:c r="A228" s="28" t="str">
        <x:v>C04</x:v>
      </x:c>
      <x:c r="B228" s="28" t="str">
        <x:v>深湖水道</x:v>
      </x:c>
      <x:c r="C228" s="28" t="str">
        <x:v>拾珠客斗笠</x:v>
      </x:c>
      <x:c r="D228" s="28" t="str">
        <x:v>普通</x:v>
      </x:c>
      <x:c r="E228" s="28" t="n">
        <x:v>1</x:v>
      </x:c>
      <x:c r="F228" s="28" t="n">
        <x:v>0</x:v>
      </x:c>
      <x:c r="G228" s="28" t="n">
        <x:v>0</x:v>
      </x:c>
      <x:c r="H228" s="28" t="n">
        <x:v>0</x:v>
      </x:c>
      <x:c r="I228" s="28" t="n">
        <x:v>5</x:v>
      </x:c>
      <x:c r="J228" s="28" t="n">
        <x:v>500</x:v>
      </x:c>
      <x:c r="K228" s="28" t="n">
        <x:v>0</x:v>
      </x:c>
      <x:c r="L228" s="28" t="n">
        <x:v>0</x:v>
      </x:c>
      <x:c r="M228" s="28" t="n">
        <x:v>0</x:v>
      </x:c>
      <x:c r="N228" s="28" t="n">
        <x:v>0</x:v>
      </x:c>
      <x:c r="O228" s="28" t="str">
        <x:v>登记消耗1件；永久一次；不收金币/元宝/灵符</x:v>
      </x:c>
    </x:row>
    <x:row r="229" ht="30" customHeight="1">
      <x:c r="A229" s="28" t="str">
        <x:v>C04</x:v>
      </x:c>
      <x:c r="B229" s="28" t="str">
        <x:v>深湖水道</x:v>
      </x:c>
      <x:c r="C229" s="28" t="str">
        <x:v>盔虾壳帽</x:v>
      </x:c>
      <x:c r="D229" s="28" t="str">
        <x:v>普通</x:v>
      </x:c>
      <x:c r="E229" s="28" t="n">
        <x:v>1</x:v>
      </x:c>
      <x:c r="F229" s="28" t="n">
        <x:v>0</x:v>
      </x:c>
      <x:c r="G229" s="28" t="n">
        <x:v>0</x:v>
      </x:c>
      <x:c r="H229" s="28" t="n">
        <x:v>0</x:v>
      </x:c>
      <x:c r="I229" s="28" t="n">
        <x:v>5</x:v>
      </x:c>
      <x:c r="J229" s="28" t="n">
        <x:v>500</x:v>
      </x:c>
      <x:c r="K229" s="28" t="n">
        <x:v>0</x:v>
      </x:c>
      <x:c r="L229" s="28" t="n">
        <x:v>0</x:v>
      </x:c>
      <x:c r="M229" s="28" t="n">
        <x:v>0</x:v>
      </x:c>
      <x:c r="N229" s="28" t="n">
        <x:v>0</x:v>
      </x:c>
      <x:c r="O229" s="28" t="str">
        <x:v>登记消耗1件；永久一次；不收金币/元宝/灵符</x:v>
      </x:c>
    </x:row>
    <x:row r="230" ht="30" customHeight="1">
      <x:c r="A230" s="28" t="str">
        <x:v>C04</x:v>
      </x:c>
      <x:c r="B230" s="28" t="str">
        <x:v>深湖水道</x:v>
      </x:c>
      <x:c r="C230" s="28" t="str">
        <x:v>伏流鳞靴</x:v>
      </x:c>
      <x:c r="D230" s="28" t="str">
        <x:v>普通</x:v>
      </x:c>
      <x:c r="E230" s="28" t="n">
        <x:v>1</x:v>
      </x:c>
      <x:c r="F230" s="28" t="n">
        <x:v>0</x:v>
      </x:c>
      <x:c r="G230" s="28" t="n">
        <x:v>0</x:v>
      </x:c>
      <x:c r="H230" s="28" t="n">
        <x:v>0</x:v>
      </x:c>
      <x:c r="I230" s="28" t="n">
        <x:v>5</x:v>
      </x:c>
      <x:c r="J230" s="28" t="n">
        <x:v>500</x:v>
      </x:c>
      <x:c r="K230" s="28" t="n">
        <x:v>0</x:v>
      </x:c>
      <x:c r="L230" s="28" t="n">
        <x:v>0</x:v>
      </x:c>
      <x:c r="M230" s="28" t="n">
        <x:v>0</x:v>
      </x:c>
      <x:c r="N230" s="28" t="n">
        <x:v>0</x:v>
      </x:c>
      <x:c r="O230" s="28" t="str">
        <x:v>登记消耗1件；永久一次；不收金币/元宝/灵符</x:v>
      </x:c>
    </x:row>
    <x:row r="231" ht="30" customHeight="1">
      <x:c r="A231" s="28" t="str">
        <x:v>C04</x:v>
      </x:c>
      <x:c r="B231" s="28" t="str">
        <x:v>深湖水道</x:v>
      </x:c>
      <x:c r="C231" s="28" t="str">
        <x:v>断闸铁衣</x:v>
      </x:c>
      <x:c r="D231" s="28" t="str">
        <x:v>稀有</x:v>
      </x:c>
      <x:c r="E231" s="28" t="n">
        <x:v>1</x:v>
      </x:c>
      <x:c r="F231" s="28" t="n">
        <x:v>0</x:v>
      </x:c>
      <x:c r="G231" s="28" t="n">
        <x:v>0</x:v>
      </x:c>
      <x:c r="H231" s="28" t="n">
        <x:v>0</x:v>
      </x:c>
      <x:c r="I231" s="28" t="n">
        <x:v>10</x:v>
      </x:c>
      <x:c r="J231" s="28" t="n">
        <x:v>1000</x:v>
      </x:c>
      <x:c r="K231" s="28" t="n">
        <x:v>5</x:v>
      </x:c>
      <x:c r="L231" s="28" t="n">
        <x:v>0</x:v>
      </x:c>
      <x:c r="M231" s="28" t="n">
        <x:v>0</x:v>
      </x:c>
      <x:c r="N231" s="28" t="n">
        <x:v>0</x:v>
      </x:c>
      <x:c r="O231" s="28" t="str">
        <x:v>登记消耗1件；永久一次；不收金币/元宝/灵符</x:v>
      </x:c>
    </x:row>
    <x:row r="232" ht="30" customHeight="1">
      <x:c r="A232" s="28" t="str">
        <x:v>C04</x:v>
      </x:c>
      <x:c r="B232" s="28" t="str">
        <x:v>深湖水道</x:v>
      </x:c>
      <x:c r="C232" s="28" t="str">
        <x:v>月痕咒镯</x:v>
      </x:c>
      <x:c r="D232" s="28" t="str">
        <x:v>稀有</x:v>
      </x:c>
      <x:c r="E232" s="28" t="n">
        <x:v>1</x:v>
      </x:c>
      <x:c r="F232" s="28" t="n">
        <x:v>0</x:v>
      </x:c>
      <x:c r="G232" s="28" t="n">
        <x:v>0</x:v>
      </x:c>
      <x:c r="H232" s="28" t="n">
        <x:v>0</x:v>
      </x:c>
      <x:c r="I232" s="28" t="n">
        <x:v>10</x:v>
      </x:c>
      <x:c r="J232" s="28" t="n">
        <x:v>1000</x:v>
      </x:c>
      <x:c r="K232" s="28" t="n">
        <x:v>5</x:v>
      </x:c>
      <x:c r="L232" s="28" t="n">
        <x:v>0</x:v>
      </x:c>
      <x:c r="M232" s="28" t="n">
        <x:v>0</x:v>
      </x:c>
      <x:c r="N232" s="28" t="n">
        <x:v>0</x:v>
      </x:c>
      <x:c r="O232" s="28" t="str">
        <x:v>登记消耗1件；永久一次；不收金币/元宝/灵符</x:v>
      </x:c>
    </x:row>
    <x:row r="233" ht="30" customHeight="1">
      <x:c r="A233" s="28" t="str">
        <x:v>C04</x:v>
      </x:c>
      <x:c r="B233" s="28" t="str">
        <x:v>深湖水道</x:v>
      </x:c>
      <x:c r="C233" s="28" t="str">
        <x:v>诱猎声坠</x:v>
      </x:c>
      <x:c r="D233" s="28" t="str">
        <x:v>稀有</x:v>
      </x:c>
      <x:c r="E233" s="28" t="n">
        <x:v>1</x:v>
      </x:c>
      <x:c r="F233" s="28" t="n">
        <x:v>0</x:v>
      </x:c>
      <x:c r="G233" s="28" t="n">
        <x:v>0</x:v>
      </x:c>
      <x:c r="H233" s="28" t="n">
        <x:v>0</x:v>
      </x:c>
      <x:c r="I233" s="28" t="n">
        <x:v>10</x:v>
      </x:c>
      <x:c r="J233" s="28" t="n">
        <x:v>1000</x:v>
      </x:c>
      <x:c r="K233" s="28" t="n">
        <x:v>5</x:v>
      </x:c>
      <x:c r="L233" s="28" t="n">
        <x:v>0</x:v>
      </x:c>
      <x:c r="M233" s="28" t="n">
        <x:v>0</x:v>
      </x:c>
      <x:c r="N233" s="28" t="n">
        <x:v>0</x:v>
      </x:c>
      <x:c r="O233" s="28" t="str">
        <x:v>登记消耗1件；永久一次；不收金币/元宝/灵符</x:v>
      </x:c>
    </x:row>
    <x:row r="234" ht="30" customHeight="1">
      <x:c r="A234" s="28" t="str">
        <x:v>C04</x:v>
      </x:c>
      <x:c r="B234" s="28" t="str">
        <x:v>深湖水道</x:v>
      </x:c>
      <x:c r="C234" s="28" t="str">
        <x:v>吞灯牙戒</x:v>
      </x:c>
      <x:c r="D234" s="28" t="str">
        <x:v>稀有</x:v>
      </x:c>
      <x:c r="E234" s="28" t="n">
        <x:v>1</x:v>
      </x:c>
      <x:c r="F234" s="28" t="n">
        <x:v>0</x:v>
      </x:c>
      <x:c r="G234" s="28" t="n">
        <x:v>0</x:v>
      </x:c>
      <x:c r="H234" s="28" t="n">
        <x:v>0</x:v>
      </x:c>
      <x:c r="I234" s="28" t="n">
        <x:v>10</x:v>
      </x:c>
      <x:c r="J234" s="28" t="n">
        <x:v>1000</x:v>
      </x:c>
      <x:c r="K234" s="28" t="n">
        <x:v>5</x:v>
      </x:c>
      <x:c r="L234" s="28" t="n">
        <x:v>0</x:v>
      </x:c>
      <x:c r="M234" s="28" t="n">
        <x:v>0</x:v>
      </x:c>
      <x:c r="N234" s="28" t="n">
        <x:v>0</x:v>
      </x:c>
      <x:c r="O234" s="28" t="str">
        <x:v>登记消耗1件；永久一次；不收金币/元宝/灵符</x:v>
      </x:c>
    </x:row>
    <x:row r="235" ht="30" customHeight="1">
      <x:c r="A235" s="28" t="str">
        <x:v>C04</x:v>
      </x:c>
      <x:c r="B235" s="28" t="str">
        <x:v>深湖水道</x:v>
      </x:c>
      <x:c r="C235" s="28" t="str">
        <x:v>罗缇的回流剑</x:v>
      </x:c>
      <x:c r="D235" s="28" t="str">
        <x:v>地图BOSS</x:v>
      </x:c>
      <x:c r="E235" s="28" t="n">
        <x:v>1</x:v>
      </x:c>
      <x:c r="F235" s="28" t="n">
        <x:v>0</x:v>
      </x:c>
      <x:c r="G235" s="28" t="n">
        <x:v>0</x:v>
      </x:c>
      <x:c r="H235" s="28" t="n">
        <x:v>0</x:v>
      </x:c>
      <x:c r="I235" s="28" t="n">
        <x:v>15</x:v>
      </x:c>
      <x:c r="J235" s="28" t="n">
        <x:v>1500</x:v>
      </x:c>
      <x:c r="K235" s="28" t="n">
        <x:v>0</x:v>
      </x:c>
      <x:c r="L235" s="28" t="n">
        <x:v>1</x:v>
      </x:c>
      <x:c r="M235" s="28" t="n">
        <x:v>0</x:v>
      </x:c>
      <x:c r="N235" s="28" t="n">
        <x:v>0</x:v>
      </x:c>
      <x:c r="O235" s="28" t="str">
        <x:v>登记消耗1件；永久一次；不收金币/元宝/灵符</x:v>
      </x:c>
    </x:row>
    <x:row r="236" ht="30" customHeight="1">
      <x:c r="A236" s="28" t="str">
        <x:v>C04</x:v>
      </x:c>
      <x:c r="B236" s="28" t="str">
        <x:v>深湖水道</x:v>
      </x:c>
      <x:c r="C236" s="28" t="str">
        <x:v>涅珈镇渊衣</x:v>
      </x:c>
      <x:c r="D236" s="28" t="str">
        <x:v>地图BOSS</x:v>
      </x:c>
      <x:c r="E236" s="28" t="n">
        <x:v>1</x:v>
      </x:c>
      <x:c r="F236" s="28" t="n">
        <x:v>0</x:v>
      </x:c>
      <x:c r="G236" s="28" t="n">
        <x:v>0</x:v>
      </x:c>
      <x:c r="H236" s="28" t="n">
        <x:v>0</x:v>
      </x:c>
      <x:c r="I236" s="28" t="n">
        <x:v>15</x:v>
      </x:c>
      <x:c r="J236" s="28" t="n">
        <x:v>1500</x:v>
      </x:c>
      <x:c r="K236" s="28" t="n">
        <x:v>0</x:v>
      </x:c>
      <x:c r="L236" s="28" t="n">
        <x:v>1</x:v>
      </x:c>
      <x:c r="M236" s="28" t="n">
        <x:v>0</x:v>
      </x:c>
      <x:c r="N236" s="28" t="n">
        <x:v>0</x:v>
      </x:c>
      <x:c r="O236" s="28" t="str">
        <x:v>登记消耗1件；永久一次；不收金币/元宝/灵符</x:v>
      </x:c>
    </x:row>
    <x:row r="237" ht="30" customHeight="1">
      <x:c r="A237" s="28" t="str">
        <x:v>C04</x:v>
      </x:c>
      <x:c r="B237" s="28" t="str">
        <x:v>湖底密道</x:v>
      </x:c>
      <x:c r="C237" s="28" t="str">
        <x:v>潜壁短钩</x:v>
      </x:c>
      <x:c r="D237" s="28" t="str">
        <x:v>普通</x:v>
      </x:c>
      <x:c r="E237" s="28" t="n">
        <x:v>1</x:v>
      </x:c>
      <x:c r="F237" s="28" t="n">
        <x:v>0</x:v>
      </x:c>
      <x:c r="G237" s="28" t="n">
        <x:v>0</x:v>
      </x:c>
      <x:c r="H237" s="28" t="n">
        <x:v>0</x:v>
      </x:c>
      <x:c r="I237" s="28" t="n">
        <x:v>5</x:v>
      </x:c>
      <x:c r="J237" s="28" t="n">
        <x:v>500</x:v>
      </x:c>
      <x:c r="K237" s="28" t="n">
        <x:v>0</x:v>
      </x:c>
      <x:c r="L237" s="28" t="n">
        <x:v>0</x:v>
      </x:c>
      <x:c r="M237" s="28" t="n">
        <x:v>0</x:v>
      </x:c>
      <x:c r="N237" s="28" t="n">
        <x:v>0</x:v>
      </x:c>
      <x:c r="O237" s="28" t="str">
        <x:v>登记消耗1件；永久一次；不收金币/元宝/灵符</x:v>
      </x:c>
    </x:row>
    <x:row r="238" ht="30" customHeight="1">
      <x:c r="A238" s="28" t="str">
        <x:v>C04</x:v>
      </x:c>
      <x:c r="B238" s="28" t="str">
        <x:v>湖底密道</x:v>
      </x:c>
      <x:c r="C238" s="28" t="str">
        <x:v>穴龟石盾</x:v>
      </x:c>
      <x:c r="D238" s="28" t="str">
        <x:v>普通</x:v>
      </x:c>
      <x:c r="E238" s="28" t="n">
        <x:v>1</x:v>
      </x:c>
      <x:c r="F238" s="28" t="n">
        <x:v>0</x:v>
      </x:c>
      <x:c r="G238" s="28" t="n">
        <x:v>0</x:v>
      </x:c>
      <x:c r="H238" s="28" t="n">
        <x:v>0</x:v>
      </x:c>
      <x:c r="I238" s="28" t="n">
        <x:v>5</x:v>
      </x:c>
      <x:c r="J238" s="28" t="n">
        <x:v>500</x:v>
      </x:c>
      <x:c r="K238" s="28" t="n">
        <x:v>0</x:v>
      </x:c>
      <x:c r="L238" s="28" t="n">
        <x:v>0</x:v>
      </x:c>
      <x:c r="M238" s="28" t="n">
        <x:v>0</x:v>
      </x:c>
      <x:c r="N238" s="28" t="n">
        <x:v>0</x:v>
      </x:c>
      <x:c r="O238" s="28" t="str">
        <x:v>登记消耗1件；永久一次；不收金币/元宝/灵符</x:v>
      </x:c>
    </x:row>
    <x:row r="239" ht="30" customHeight="1">
      <x:c r="A239" s="28" t="str">
        <x:v>C04</x:v>
      </x:c>
      <x:c r="B239" s="28" t="str">
        <x:v>湖底密道</x:v>
      </x:c>
      <x:c r="C239" s="28" t="str">
        <x:v>滤水蚌盔</x:v>
      </x:c>
      <x:c r="D239" s="28" t="str">
        <x:v>普通</x:v>
      </x:c>
      <x:c r="E239" s="28" t="n">
        <x:v>1</x:v>
      </x:c>
      <x:c r="F239" s="28" t="n">
        <x:v>0</x:v>
      </x:c>
      <x:c r="G239" s="28" t="n">
        <x:v>0</x:v>
      </x:c>
      <x:c r="H239" s="28" t="n">
        <x:v>0</x:v>
      </x:c>
      <x:c r="I239" s="28" t="n">
        <x:v>5</x:v>
      </x:c>
      <x:c r="J239" s="28" t="n">
        <x:v>500</x:v>
      </x:c>
      <x:c r="K239" s="28" t="n">
        <x:v>0</x:v>
      </x:c>
      <x:c r="L239" s="28" t="n">
        <x:v>0</x:v>
      </x:c>
      <x:c r="M239" s="28" t="n">
        <x:v>0</x:v>
      </x:c>
      <x:c r="N239" s="28" t="n">
        <x:v>0</x:v>
      </x:c>
      <x:c r="O239" s="28" t="str">
        <x:v>登记消耗1件；永久一次；不收金币/元宝/灵符</x:v>
      </x:c>
    </x:row>
    <x:row r="240" ht="30" customHeight="1">
      <x:c r="A240" s="28" t="str">
        <x:v>C04</x:v>
      </x:c>
      <x:c r="B240" s="28" t="str">
        <x:v>湖底密道</x:v>
      </x:c>
      <x:c r="C240" s="28" t="str">
        <x:v>守渠锈衣</x:v>
      </x:c>
      <x:c r="D240" s="28" t="str">
        <x:v>普通</x:v>
      </x:c>
      <x:c r="E240" s="28" t="n">
        <x:v>1</x:v>
      </x:c>
      <x:c r="F240" s="28" t="n">
        <x:v>0</x:v>
      </x:c>
      <x:c r="G240" s="28" t="n">
        <x:v>0</x:v>
      </x:c>
      <x:c r="H240" s="28" t="n">
        <x:v>0</x:v>
      </x:c>
      <x:c r="I240" s="28" t="n">
        <x:v>5</x:v>
      </x:c>
      <x:c r="J240" s="28" t="n">
        <x:v>500</x:v>
      </x:c>
      <x:c r="K240" s="28" t="n">
        <x:v>0</x:v>
      </x:c>
      <x:c r="L240" s="28" t="n">
        <x:v>0</x:v>
      </x:c>
      <x:c r="M240" s="28" t="n">
        <x:v>0</x:v>
      </x:c>
      <x:c r="N240" s="28" t="n">
        <x:v>0</x:v>
      </x:c>
      <x:c r="O240" s="28" t="str">
        <x:v>登记消耗1件；永久一次；不收金币/元宝/灵符</x:v>
      </x:c>
    </x:row>
    <x:row r="241" ht="30" customHeight="1">
      <x:c r="A241" s="28" t="str">
        <x:v>C04</x:v>
      </x:c>
      <x:c r="B241" s="28" t="str">
        <x:v>湖底密道</x:v>
      </x:c>
      <x:c r="C241" s="28" t="str">
        <x:v>幽灯鱼坠</x:v>
      </x:c>
      <x:c r="D241" s="28" t="str">
        <x:v>普通</x:v>
      </x:c>
      <x:c r="E241" s="28" t="n">
        <x:v>1</x:v>
      </x:c>
      <x:c r="F241" s="28" t="n">
        <x:v>0</x:v>
      </x:c>
      <x:c r="G241" s="28" t="n">
        <x:v>0</x:v>
      </x:c>
      <x:c r="H241" s="28" t="n">
        <x:v>0</x:v>
      </x:c>
      <x:c r="I241" s="28" t="n">
        <x:v>5</x:v>
      </x:c>
      <x:c r="J241" s="28" t="n">
        <x:v>500</x:v>
      </x:c>
      <x:c r="K241" s="28" t="n">
        <x:v>0</x:v>
      </x:c>
      <x:c r="L241" s="28" t="n">
        <x:v>0</x:v>
      </x:c>
      <x:c r="M241" s="28" t="n">
        <x:v>0</x:v>
      </x:c>
      <x:c r="N241" s="28" t="n">
        <x:v>0</x:v>
      </x:c>
      <x:c r="O241" s="28" t="str">
        <x:v>登记消耗1件；永久一次；不收金币/元宝/灵符</x:v>
      </x:c>
    </x:row>
    <x:row r="242" ht="30" customHeight="1">
      <x:c r="A242" s="28" t="str">
        <x:v>C04</x:v>
      </x:c>
      <x:c r="B242" s="28" t="str">
        <x:v>湖底密道</x:v>
      </x:c>
      <x:c r="C242" s="28" t="str">
        <x:v>封门泥履</x:v>
      </x:c>
      <x:c r="D242" s="28" t="str">
        <x:v>普通</x:v>
      </x:c>
      <x:c r="E242" s="28" t="n">
        <x:v>1</x:v>
      </x:c>
      <x:c r="F242" s="28" t="n">
        <x:v>0</x:v>
      </x:c>
      <x:c r="G242" s="28" t="n">
        <x:v>0</x:v>
      </x:c>
      <x:c r="H242" s="28" t="n">
        <x:v>0</x:v>
      </x:c>
      <x:c r="I242" s="28" t="n">
        <x:v>5</x:v>
      </x:c>
      <x:c r="J242" s="28" t="n">
        <x:v>500</x:v>
      </x:c>
      <x:c r="K242" s="28" t="n">
        <x:v>0</x:v>
      </x:c>
      <x:c r="L242" s="28" t="n">
        <x:v>0</x:v>
      </x:c>
      <x:c r="M242" s="28" t="n">
        <x:v>0</x:v>
      </x:c>
      <x:c r="N242" s="28" t="n">
        <x:v>0</x:v>
      </x:c>
      <x:c r="O242" s="28" t="str">
        <x:v>登记消耗1件；永久一次；不收金币/元宝/灵符</x:v>
      </x:c>
    </x:row>
    <x:row r="243" ht="30" customHeight="1">
      <x:c r="A243" s="28" t="str">
        <x:v>C04</x:v>
      </x:c>
      <x:c r="B243" s="28" t="str">
        <x:v>湖底密道</x:v>
      </x:c>
      <x:c r="C243" s="28" t="str">
        <x:v>回声盗墓笠</x:v>
      </x:c>
      <x:c r="D243" s="28" t="str">
        <x:v>稀有</x:v>
      </x:c>
      <x:c r="E243" s="28" t="n">
        <x:v>1</x:v>
      </x:c>
      <x:c r="F243" s="28" t="n">
        <x:v>0</x:v>
      </x:c>
      <x:c r="G243" s="28" t="n">
        <x:v>0</x:v>
      </x:c>
      <x:c r="H243" s="28" t="n">
        <x:v>0</x:v>
      </x:c>
      <x:c r="I243" s="28" t="n">
        <x:v>10</x:v>
      </x:c>
      <x:c r="J243" s="28" t="n">
        <x:v>1000</x:v>
      </x:c>
      <x:c r="K243" s="28" t="n">
        <x:v>5</x:v>
      </x:c>
      <x:c r="L243" s="28" t="n">
        <x:v>0</x:v>
      </x:c>
      <x:c r="M243" s="28" t="n">
        <x:v>0</x:v>
      </x:c>
      <x:c r="N243" s="28" t="n">
        <x:v>0</x:v>
      </x:c>
      <x:c r="O243" s="28" t="str">
        <x:v>登记消耗1件；永久一次；不收金币/元宝/灵符</x:v>
      </x:c>
    </x:row>
    <x:row r="244" ht="30" customHeight="1">
      <x:c r="A244" s="28" t="str">
        <x:v>C04</x:v>
      </x:c>
      <x:c r="B244" s="28" t="str">
        <x:v>湖底密道</x:v>
      </x:c>
      <x:c r="C244" s="28" t="str">
        <x:v>缚链僧镯</x:v>
      </x:c>
      <x:c r="D244" s="28" t="str">
        <x:v>稀有</x:v>
      </x:c>
      <x:c r="E244" s="28" t="n">
        <x:v>1</x:v>
      </x:c>
      <x:c r="F244" s="28" t="n">
        <x:v>0</x:v>
      </x:c>
      <x:c r="G244" s="28" t="n">
        <x:v>0</x:v>
      </x:c>
      <x:c r="H244" s="28" t="n">
        <x:v>0</x:v>
      </x:c>
      <x:c r="I244" s="28" t="n">
        <x:v>10</x:v>
      </x:c>
      <x:c r="J244" s="28" t="n">
        <x:v>1000</x:v>
      </x:c>
      <x:c r="K244" s="28" t="n">
        <x:v>5</x:v>
      </x:c>
      <x:c r="L244" s="28" t="n">
        <x:v>0</x:v>
      </x:c>
      <x:c r="M244" s="28" t="n">
        <x:v>0</x:v>
      </x:c>
      <x:c r="N244" s="28" t="n">
        <x:v>0</x:v>
      </x:c>
      <x:c r="O244" s="28" t="str">
        <x:v>登记消耗1件；永久一次；不收金币/元宝/灵符</x:v>
      </x:c>
    </x:row>
    <x:row r="245" ht="30" customHeight="1">
      <x:c r="A245" s="28" t="str">
        <x:v>C04</x:v>
      </x:c>
      <x:c r="B245" s="28" t="str">
        <x:v>湖底密道</x:v>
      </x:c>
      <x:c r="C245" s="28" t="str">
        <x:v>湖尸钥戒</x:v>
      </x:c>
      <x:c r="D245" s="28" t="str">
        <x:v>稀有</x:v>
      </x:c>
      <x:c r="E245" s="28" t="n">
        <x:v>1</x:v>
      </x:c>
      <x:c r="F245" s="28" t="n">
        <x:v>0</x:v>
      </x:c>
      <x:c r="G245" s="28" t="n">
        <x:v>0</x:v>
      </x:c>
      <x:c r="H245" s="28" t="n">
        <x:v>0</x:v>
      </x:c>
      <x:c r="I245" s="28" t="n">
        <x:v>10</x:v>
      </x:c>
      <x:c r="J245" s="28" t="n">
        <x:v>1000</x:v>
      </x:c>
      <x:c r="K245" s="28" t="n">
        <x:v>5</x:v>
      </x:c>
      <x:c r="L245" s="28" t="n">
        <x:v>0</x:v>
      </x:c>
      <x:c r="M245" s="28" t="n">
        <x:v>0</x:v>
      </x:c>
      <x:c r="N245" s="28" t="n">
        <x:v>0</x:v>
      </x:c>
      <x:c r="O245" s="28" t="str">
        <x:v>登记消耗1件；永久一次；不收金币/元宝/灵符</x:v>
      </x:c>
    </x:row>
    <x:row r="246" ht="30" customHeight="1">
      <x:c r="A246" s="28" t="str">
        <x:v>C04</x:v>
      </x:c>
      <x:c r="B246" s="28" t="str">
        <x:v>湖底密道</x:v>
      </x:c>
      <x:c r="C246" s="28" t="str">
        <x:v>泥膜束带</x:v>
      </x:c>
      <x:c r="D246" s="28" t="str">
        <x:v>稀有</x:v>
      </x:c>
      <x:c r="E246" s="28" t="n">
        <x:v>1</x:v>
      </x:c>
      <x:c r="F246" s="28" t="n">
        <x:v>0</x:v>
      </x:c>
      <x:c r="G246" s="28" t="n">
        <x:v>0</x:v>
      </x:c>
      <x:c r="H246" s="28" t="n">
        <x:v>0</x:v>
      </x:c>
      <x:c r="I246" s="28" t="n">
        <x:v>10</x:v>
      </x:c>
      <x:c r="J246" s="28" t="n">
        <x:v>1000</x:v>
      </x:c>
      <x:c r="K246" s="28" t="n">
        <x:v>5</x:v>
      </x:c>
      <x:c r="L246" s="28" t="n">
        <x:v>0</x:v>
      </x:c>
      <x:c r="M246" s="28" t="n">
        <x:v>0</x:v>
      </x:c>
      <x:c r="N246" s="28" t="n">
        <x:v>0</x:v>
      </x:c>
      <x:c r="O246" s="28" t="str">
        <x:v>登记消耗1件；永久一次；不收金币/元宝/灵符</x:v>
      </x:c>
    </x:row>
    <x:row r="247" ht="30" customHeight="1">
      <x:c r="A247" s="28" t="str">
        <x:v>C04</x:v>
      </x:c>
      <x:c r="B247" s="28" t="str">
        <x:v>湖底密道</x:v>
      </x:c>
      <x:c r="C247" s="28" t="str">
        <x:v>阿涅的誓渠枪</x:v>
      </x:c>
      <x:c r="D247" s="28" t="str">
        <x:v>地图BOSS</x:v>
      </x:c>
      <x:c r="E247" s="28" t="n">
        <x:v>1</x:v>
      </x:c>
      <x:c r="F247" s="28" t="n">
        <x:v>0</x:v>
      </x:c>
      <x:c r="G247" s="28" t="n">
        <x:v>0</x:v>
      </x:c>
      <x:c r="H247" s="28" t="n">
        <x:v>0</x:v>
      </x:c>
      <x:c r="I247" s="28" t="n">
        <x:v>15</x:v>
      </x:c>
      <x:c r="J247" s="28" t="n">
        <x:v>1500</x:v>
      </x:c>
      <x:c r="K247" s="28" t="n">
        <x:v>0</x:v>
      </x:c>
      <x:c r="L247" s="28" t="n">
        <x:v>1</x:v>
      </x:c>
      <x:c r="M247" s="28" t="n">
        <x:v>0</x:v>
      </x:c>
      <x:c r="N247" s="28" t="n">
        <x:v>0</x:v>
      </x:c>
      <x:c r="O247" s="28" t="str">
        <x:v>登记消耗1件；永久一次；不收金币/元宝/灵符</x:v>
      </x:c>
    </x:row>
    <x:row r="248" ht="30" customHeight="1">
      <x:c r="A248" s="28" t="str">
        <x:v>C04</x:v>
      </x:c>
      <x:c r="B248" s="28" t="str">
        <x:v>湖底密道</x:v>
      </x:c>
      <x:c r="C248" s="28" t="str">
        <x:v>弥洛镜水衣</x:v>
      </x:c>
      <x:c r="D248" s="28" t="str">
        <x:v>地图BOSS</x:v>
      </x:c>
      <x:c r="E248" s="28" t="n">
        <x:v>1</x:v>
      </x:c>
      <x:c r="F248" s="28" t="n">
        <x:v>0</x:v>
      </x:c>
      <x:c r="G248" s="28" t="n">
        <x:v>0</x:v>
      </x:c>
      <x:c r="H248" s="28" t="n">
        <x:v>0</x:v>
      </x:c>
      <x:c r="I248" s="28" t="n">
        <x:v>15</x:v>
      </x:c>
      <x:c r="J248" s="28" t="n">
        <x:v>1500</x:v>
      </x:c>
      <x:c r="K248" s="28" t="n">
        <x:v>0</x:v>
      </x:c>
      <x:c r="L248" s="28" t="n">
        <x:v>1</x:v>
      </x:c>
      <x:c r="M248" s="28" t="n">
        <x:v>0</x:v>
      </x:c>
      <x:c r="N248" s="28" t="n">
        <x:v>0</x:v>
      </x:c>
      <x:c r="O248" s="28" t="str">
        <x:v>登记消耗1件；永久一次；不收金币/元宝/灵符</x:v>
      </x:c>
    </x:row>
    <x:row r="249" ht="30" customHeight="1">
      <x:c r="A249" s="28" t="str">
        <x:v>C04</x:v>
      </x:c>
      <x:c r="B249" s="28" t="str">
        <x:v>湖底密道</x:v>
      </x:c>
      <x:c r="C249" s="28" t="str">
        <x:v>莱弥恩的封湖巨剑</x:v>
      </x:c>
      <x:c r="D249" s="28" t="str">
        <x:v>守关BOSS</x:v>
      </x:c>
      <x:c r="E249" s="28" t="n">
        <x:v>1</x:v>
      </x:c>
      <x:c r="F249" s="28" t="n">
        <x:v>0</x:v>
      </x:c>
      <x:c r="G249" s="28" t="n">
        <x:v>0</x:v>
      </x:c>
      <x:c r="H249" s="28" t="n">
        <x:v>0</x:v>
      </x:c>
      <x:c r="I249" s="28" t="n">
        <x:v>20</x:v>
      </x:c>
      <x:c r="J249" s="28" t="n">
        <x:v>2000</x:v>
      </x:c>
      <x:c r="K249" s="28" t="n">
        <x:v>0</x:v>
      </x:c>
      <x:c r="L249" s="28" t="n">
        <x:v>1</x:v>
      </x:c>
      <x:c r="M249" s="28" t="n">
        <x:v>0</x:v>
      </x:c>
      <x:c r="N249" s="28" t="n">
        <x:v>0</x:v>
      </x:c>
      <x:c r="O249" s="28" t="str">
        <x:v>登记消耗1件；永久一次；不收金币/元宝/灵符</x:v>
      </x:c>
    </x:row>
    <x:row r="250" ht="30" customHeight="1">
      <x:c r="A250" s="28" t="str">
        <x:v>C05</x:v>
      </x:c>
      <x:c r="B250" s="28" t="str">
        <x:v>雾月水庭</x:v>
      </x:c>
      <x:c r="C250" s="28" t="str">
        <x:v>雾汐踏波履</x:v>
      </x:c>
      <x:c r="D250" s="28" t="str">
        <x:v>普通</x:v>
      </x:c>
      <x:c r="E250" s="28" t="n">
        <x:v>1</x:v>
      </x:c>
      <x:c r="F250" s="28" t="n">
        <x:v>0</x:v>
      </x:c>
      <x:c r="G250" s="28" t="n">
        <x:v>0</x:v>
      </x:c>
      <x:c r="H250" s="28" t="n">
        <x:v>0</x:v>
      </x:c>
      <x:c r="I250" s="28" t="n">
        <x:v>8</x:v>
      </x:c>
      <x:c r="J250" s="28" t="n">
        <x:v>800</x:v>
      </x:c>
      <x:c r="K250" s="28" t="n">
        <x:v>0</x:v>
      </x:c>
      <x:c r="L250" s="28" t="n">
        <x:v>0</x:v>
      </x:c>
      <x:c r="M250" s="28" t="n">
        <x:v>0</x:v>
      </x:c>
      <x:c r="N250" s="28" t="n">
        <x:v>0</x:v>
      </x:c>
      <x:c r="O250" s="28" t="str">
        <x:v>登记消耗1件；永久一次；不收金币/元宝/灵符</x:v>
      </x:c>
    </x:row>
    <x:row r="251" ht="30" customHeight="1">
      <x:c r="A251" s="28" t="str">
        <x:v>C05</x:v>
      </x:c>
      <x:c r="B251" s="28" t="str">
        <x:v>雾月水庭</x:v>
      </x:c>
      <x:c r="C251" s="28" t="str">
        <x:v>苔纹潮壳盾</x:v>
      </x:c>
      <x:c r="D251" s="28" t="str">
        <x:v>普通</x:v>
      </x:c>
      <x:c r="E251" s="28" t="n">
        <x:v>1</x:v>
      </x:c>
      <x:c r="F251" s="28" t="n">
        <x:v>0</x:v>
      </x:c>
      <x:c r="G251" s="28" t="n">
        <x:v>0</x:v>
      </x:c>
      <x:c r="H251" s="28" t="n">
        <x:v>0</x:v>
      </x:c>
      <x:c r="I251" s="28" t="n">
        <x:v>8</x:v>
      </x:c>
      <x:c r="J251" s="28" t="n">
        <x:v>800</x:v>
      </x:c>
      <x:c r="K251" s="28" t="n">
        <x:v>0</x:v>
      </x:c>
      <x:c r="L251" s="28" t="n">
        <x:v>0</x:v>
      </x:c>
      <x:c r="M251" s="28" t="n">
        <x:v>0</x:v>
      </x:c>
      <x:c r="N251" s="28" t="n">
        <x:v>0</x:v>
      </x:c>
      <x:c r="O251" s="28" t="str">
        <x:v>登记消耗1件；永久一次；不收金币/元宝/灵符</x:v>
      </x:c>
    </x:row>
    <x:row r="252" ht="30" customHeight="1">
      <x:c r="A252" s="28" t="str">
        <x:v>C05</x:v>
      </x:c>
      <x:c r="B252" s="28" t="str">
        <x:v>雾月水庭</x:v>
      </x:c>
      <x:c r="C252" s="28" t="str">
        <x:v>月翳提灯笠</x:v>
      </x:c>
      <x:c r="D252" s="28" t="str">
        <x:v>普通</x:v>
      </x:c>
      <x:c r="E252" s="28" t="n">
        <x:v>1</x:v>
      </x:c>
      <x:c r="F252" s="28" t="n">
        <x:v>0</x:v>
      </x:c>
      <x:c r="G252" s="28" t="n">
        <x:v>0</x:v>
      </x:c>
      <x:c r="H252" s="28" t="n">
        <x:v>0</x:v>
      </x:c>
      <x:c r="I252" s="28" t="n">
        <x:v>8</x:v>
      </x:c>
      <x:c r="J252" s="28" t="n">
        <x:v>800</x:v>
      </x:c>
      <x:c r="K252" s="28" t="n">
        <x:v>0</x:v>
      </x:c>
      <x:c r="L252" s="28" t="n">
        <x:v>0</x:v>
      </x:c>
      <x:c r="M252" s="28" t="n">
        <x:v>0</x:v>
      </x:c>
      <x:c r="N252" s="28" t="n">
        <x:v>0</x:v>
      </x:c>
      <x:c r="O252" s="28" t="str">
        <x:v>登记消耗1件；永久一次；不收金币/元宝/灵符</x:v>
      </x:c>
    </x:row>
    <x:row r="253" ht="30" customHeight="1">
      <x:c r="A253" s="28" t="str">
        <x:v>C05</x:v>
      </x:c>
      <x:c r="B253" s="28" t="str">
        <x:v>雾月水庭</x:v>
      </x:c>
      <x:c r="C253" s="28" t="str">
        <x:v>凝露蛾月坠</x:v>
      </x:c>
      <x:c r="D253" s="28" t="str">
        <x:v>普通</x:v>
      </x:c>
      <x:c r="E253" s="28" t="n">
        <x:v>1</x:v>
      </x:c>
      <x:c r="F253" s="28" t="n">
        <x:v>0</x:v>
      </x:c>
      <x:c r="G253" s="28" t="n">
        <x:v>0</x:v>
      </x:c>
      <x:c r="H253" s="28" t="n">
        <x:v>0</x:v>
      </x:c>
      <x:c r="I253" s="28" t="n">
        <x:v>8</x:v>
      </x:c>
      <x:c r="J253" s="28" t="n">
        <x:v>800</x:v>
      </x:c>
      <x:c r="K253" s="28" t="n">
        <x:v>0</x:v>
      </x:c>
      <x:c r="L253" s="28" t="n">
        <x:v>0</x:v>
      </x:c>
      <x:c r="M253" s="28" t="n">
        <x:v>0</x:v>
      </x:c>
      <x:c r="N253" s="28" t="n">
        <x:v>0</x:v>
      </x:c>
      <x:c r="O253" s="28" t="str">
        <x:v>登记消耗1件；永久一次；不收金币/元宝/灵符</x:v>
      </x:c>
    </x:row>
    <x:row r="254" ht="30" customHeight="1">
      <x:c r="A254" s="28" t="str">
        <x:v>C05</x:v>
      </x:c>
      <x:c r="B254" s="28" t="str">
        <x:v>雾月水庭</x:v>
      </x:c>
      <x:c r="C254" s="28" t="str">
        <x:v>静盏银纹镯</x:v>
      </x:c>
      <x:c r="D254" s="28" t="str">
        <x:v>普通</x:v>
      </x:c>
      <x:c r="E254" s="28" t="n">
        <x:v>1</x:v>
      </x:c>
      <x:c r="F254" s="28" t="n">
        <x:v>0</x:v>
      </x:c>
      <x:c r="G254" s="28" t="n">
        <x:v>0</x:v>
      </x:c>
      <x:c r="H254" s="28" t="n">
        <x:v>0</x:v>
      </x:c>
      <x:c r="I254" s="28" t="n">
        <x:v>8</x:v>
      </x:c>
      <x:c r="J254" s="28" t="n">
        <x:v>800</x:v>
      </x:c>
      <x:c r="K254" s="28" t="n">
        <x:v>0</x:v>
      </x:c>
      <x:c r="L254" s="28" t="n">
        <x:v>0</x:v>
      </x:c>
      <x:c r="M254" s="28" t="n">
        <x:v>0</x:v>
      </x:c>
      <x:c r="N254" s="28" t="n">
        <x:v>0</x:v>
      </x:c>
      <x:c r="O254" s="28" t="str">
        <x:v>登记消耗1件；永久一次；不收金币/元宝/灵符</x:v>
      </x:c>
    </x:row>
    <x:row r="255" ht="30" customHeight="1">
      <x:c r="A255" s="28" t="str">
        <x:v>C05</x:v>
      </x:c>
      <x:c r="B255" s="28" t="str">
        <x:v>雾月水庭</x:v>
      </x:c>
      <x:c r="C255" s="28" t="str">
        <x:v>涟影回波戒</x:v>
      </x:c>
      <x:c r="D255" s="28" t="str">
        <x:v>普通</x:v>
      </x:c>
      <x:c r="E255" s="28" t="n">
        <x:v>1</x:v>
      </x:c>
      <x:c r="F255" s="28" t="n">
        <x:v>0</x:v>
      </x:c>
      <x:c r="G255" s="28" t="n">
        <x:v>0</x:v>
      </x:c>
      <x:c r="H255" s="28" t="n">
        <x:v>0</x:v>
      </x:c>
      <x:c r="I255" s="28" t="n">
        <x:v>8</x:v>
      </x:c>
      <x:c r="J255" s="28" t="n">
        <x:v>800</x:v>
      </x:c>
      <x:c r="K255" s="28" t="n">
        <x:v>0</x:v>
      </x:c>
      <x:c r="L255" s="28" t="n">
        <x:v>0</x:v>
      </x:c>
      <x:c r="M255" s="28" t="n">
        <x:v>0</x:v>
      </x:c>
      <x:c r="N255" s="28" t="n">
        <x:v>0</x:v>
      </x:c>
      <x:c r="O255" s="28" t="str">
        <x:v>登记消耗1件；永久一次；不收金币/元宝/灵符</x:v>
      </x:c>
    </x:row>
    <x:row r="256" ht="30" customHeight="1">
      <x:c r="A256" s="28" t="str">
        <x:v>C05</x:v>
      </x:c>
      <x:c r="B256" s="28" t="str">
        <x:v>雾月水庭</x:v>
      </x:c>
      <x:c r="C256" s="28" t="str">
        <x:v>汲月雾绦</x:v>
      </x:c>
      <x:c r="D256" s="28" t="str">
        <x:v>稀有</x:v>
      </x:c>
      <x:c r="E256" s="28" t="n">
        <x:v>1</x:v>
      </x:c>
      <x:c r="F256" s="28" t="n">
        <x:v>0</x:v>
      </x:c>
      <x:c r="G256" s="28" t="n">
        <x:v>0</x:v>
      </x:c>
      <x:c r="H256" s="28" t="n">
        <x:v>0</x:v>
      </x:c>
      <x:c r="I256" s="28" t="n">
        <x:v>16</x:v>
      </x:c>
      <x:c r="J256" s="28" t="n">
        <x:v>1600</x:v>
      </x:c>
      <x:c r="K256" s="28" t="n">
        <x:v>5</x:v>
      </x:c>
      <x:c r="L256" s="28" t="n">
        <x:v>0</x:v>
      </x:c>
      <x:c r="M256" s="28" t="n">
        <x:v>0</x:v>
      </x:c>
      <x:c r="N256" s="28" t="n">
        <x:v>0</x:v>
      </x:c>
      <x:c r="O256" s="28" t="str">
        <x:v>登记消耗1件；永久一次；不收金币/元宝/灵符</x:v>
      </x:c>
    </x:row>
    <x:row r="257" ht="30" customHeight="1">
      <x:c r="A257" s="28" t="str">
        <x:v>C05</x:v>
      </x:c>
      <x:c r="B257" s="28" t="str">
        <x:v>雾月水庭</x:v>
      </x:c>
      <x:c r="C257" s="28" t="str">
        <x:v>镜荷眠梦冠</x:v>
      </x:c>
      <x:c r="D257" s="28" t="str">
        <x:v>稀有</x:v>
      </x:c>
      <x:c r="E257" s="28" t="n">
        <x:v>1</x:v>
      </x:c>
      <x:c r="F257" s="28" t="n">
        <x:v>0</x:v>
      </x:c>
      <x:c r="G257" s="28" t="n">
        <x:v>0</x:v>
      </x:c>
      <x:c r="H257" s="28" t="n">
        <x:v>0</x:v>
      </x:c>
      <x:c r="I257" s="28" t="n">
        <x:v>16</x:v>
      </x:c>
      <x:c r="J257" s="28" t="n">
        <x:v>1600</x:v>
      </x:c>
      <x:c r="K257" s="28" t="n">
        <x:v>5</x:v>
      </x:c>
      <x:c r="L257" s="28" t="n">
        <x:v>0</x:v>
      </x:c>
      <x:c r="M257" s="28" t="n">
        <x:v>0</x:v>
      </x:c>
      <x:c r="N257" s="28" t="n">
        <x:v>0</x:v>
      </x:c>
      <x:c r="O257" s="28" t="str">
        <x:v>登记消耗1件；永久一次；不收金币/元宝/灵符</x:v>
      </x:c>
    </x:row>
    <x:row r="258" ht="30" customHeight="1">
      <x:c r="A258" s="28" t="str">
        <x:v>C05</x:v>
      </x:c>
      <x:c r="B258" s="28" t="str">
        <x:v>雾月水庭</x:v>
      </x:c>
      <x:c r="C258" s="28" t="str">
        <x:v>月纱回音章</x:v>
      </x:c>
      <x:c r="D258" s="28" t="str">
        <x:v>稀有</x:v>
      </x:c>
      <x:c r="E258" s="28" t="n">
        <x:v>1</x:v>
      </x:c>
      <x:c r="F258" s="28" t="n">
        <x:v>0</x:v>
      </x:c>
      <x:c r="G258" s="28" t="n">
        <x:v>0</x:v>
      </x:c>
      <x:c r="H258" s="28" t="n">
        <x:v>0</x:v>
      </x:c>
      <x:c r="I258" s="28" t="n">
        <x:v>16</x:v>
      </x:c>
      <x:c r="J258" s="28" t="n">
        <x:v>1600</x:v>
      </x:c>
      <x:c r="K258" s="28" t="n">
        <x:v>5</x:v>
      </x:c>
      <x:c r="L258" s="28" t="n">
        <x:v>0</x:v>
      </x:c>
      <x:c r="M258" s="28" t="n">
        <x:v>0</x:v>
      </x:c>
      <x:c r="N258" s="28" t="n">
        <x:v>0</x:v>
      </x:c>
      <x:c r="O258" s="28" t="str">
        <x:v>登记消耗1件；永久一次；不收金币/元宝/灵符</x:v>
      </x:c>
    </x:row>
    <x:row r="259" ht="30" customHeight="1">
      <x:c r="A259" s="28" t="str">
        <x:v>C05</x:v>
      </x:c>
      <x:c r="B259" s="28" t="str">
        <x:v>雾月水庭</x:v>
      </x:c>
      <x:c r="C259" s="28" t="str">
        <x:v>静潮祷仪袍</x:v>
      </x:c>
      <x:c r="D259" s="28" t="str">
        <x:v>稀有</x:v>
      </x:c>
      <x:c r="E259" s="28" t="n">
        <x:v>1</x:v>
      </x:c>
      <x:c r="F259" s="28" t="n">
        <x:v>0</x:v>
      </x:c>
      <x:c r="G259" s="28" t="n">
        <x:v>0</x:v>
      </x:c>
      <x:c r="H259" s="28" t="n">
        <x:v>0</x:v>
      </x:c>
      <x:c r="I259" s="28" t="n">
        <x:v>16</x:v>
      </x:c>
      <x:c r="J259" s="28" t="n">
        <x:v>1600</x:v>
      </x:c>
      <x:c r="K259" s="28" t="n">
        <x:v>5</x:v>
      </x:c>
      <x:c r="L259" s="28" t="n">
        <x:v>0</x:v>
      </x:c>
      <x:c r="M259" s="28" t="n">
        <x:v>0</x:v>
      </x:c>
      <x:c r="N259" s="28" t="n">
        <x:v>0</x:v>
      </x:c>
      <x:c r="O259" s="28" t="str">
        <x:v>登记消耗1件；永久一次；不收金币/元宝/灵符</x:v>
      </x:c>
    </x:row>
    <x:row r="260" ht="30" customHeight="1">
      <x:c r="A260" s="28" t="str">
        <x:v>C05</x:v>
      </x:c>
      <x:c r="B260" s="28" t="str">
        <x:v>雾月水庭</x:v>
      </x:c>
      <x:c r="C260" s="28" t="str">
        <x:v>雾冠巡庭刃</x:v>
      </x:c>
      <x:c r="D260" s="28" t="str">
        <x:v>地图BOSS</x:v>
      </x:c>
      <x:c r="E260" s="28" t="n">
        <x:v>1</x:v>
      </x:c>
      <x:c r="F260" s="28" t="n">
        <x:v>0</x:v>
      </x:c>
      <x:c r="G260" s="28" t="n">
        <x:v>0</x:v>
      </x:c>
      <x:c r="H260" s="28" t="n">
        <x:v>0</x:v>
      </x:c>
      <x:c r="I260" s="28" t="n">
        <x:v>24</x:v>
      </x:c>
      <x:c r="J260" s="28" t="n">
        <x:v>2400</x:v>
      </x:c>
      <x:c r="K260" s="28" t="n">
        <x:v>0</x:v>
      </x:c>
      <x:c r="L260" s="28" t="n">
        <x:v>1</x:v>
      </x:c>
      <x:c r="M260" s="28" t="n">
        <x:v>0</x:v>
      </x:c>
      <x:c r="N260" s="28" t="n">
        <x:v>0</x:v>
      </x:c>
      <x:c r="O260" s="28" t="str">
        <x:v>登记消耗1件；永久一次；不收金币/元宝/灵符</x:v>
      </x:c>
    </x:row>
    <x:row r="261" ht="30" customHeight="1">
      <x:c r="A261" s="28" t="str">
        <x:v>C05</x:v>
      </x:c>
      <x:c r="B261" s="28" t="str">
        <x:v>雾月水庭</x:v>
      </x:c>
      <x:c r="C261" s="28" t="str">
        <x:v>沉月镜池华服</x:v>
      </x:c>
      <x:c r="D261" s="28" t="str">
        <x:v>地图BOSS</x:v>
      </x:c>
      <x:c r="E261" s="28" t="n">
        <x:v>1</x:v>
      </x:c>
      <x:c r="F261" s="28" t="n">
        <x:v>0</x:v>
      </x:c>
      <x:c r="G261" s="28" t="n">
        <x:v>0</x:v>
      </x:c>
      <x:c r="H261" s="28" t="n">
        <x:v>0</x:v>
      </x:c>
      <x:c r="I261" s="28" t="n">
        <x:v>24</x:v>
      </x:c>
      <x:c r="J261" s="28" t="n">
        <x:v>2400</x:v>
      </x:c>
      <x:c r="K261" s="28" t="n">
        <x:v>0</x:v>
      </x:c>
      <x:c r="L261" s="28" t="n">
        <x:v>1</x:v>
      </x:c>
      <x:c r="M261" s="28" t="n">
        <x:v>0</x:v>
      </x:c>
      <x:c r="N261" s="28" t="n">
        <x:v>0</x:v>
      </x:c>
      <x:c r="O261" s="28" t="str">
        <x:v>登记消耗1件；永久一次；不收金币/元宝/灵符</x:v>
      </x:c>
    </x:row>
    <x:row r="262" ht="30" customHeight="1">
      <x:c r="A262" s="28" t="str">
        <x:v>C05</x:v>
      </x:c>
      <x:c r="B262" s="28" t="str">
        <x:v>辉石遗迹</x:v>
      </x:c>
      <x:c r="C262" s="28" t="str">
        <x:v>碎辉鳞踏靴</x:v>
      </x:c>
      <x:c r="D262" s="28" t="str">
        <x:v>普通</x:v>
      </x:c>
      <x:c r="E262" s="28" t="n">
        <x:v>1</x:v>
      </x:c>
      <x:c r="F262" s="28" t="n">
        <x:v>0</x:v>
      </x:c>
      <x:c r="G262" s="28" t="n">
        <x:v>0</x:v>
      </x:c>
      <x:c r="H262" s="28" t="n">
        <x:v>0</x:v>
      </x:c>
      <x:c r="I262" s="28" t="n">
        <x:v>8</x:v>
      </x:c>
      <x:c r="J262" s="28" t="n">
        <x:v>800</x:v>
      </x:c>
      <x:c r="K262" s="28" t="n">
        <x:v>0</x:v>
      </x:c>
      <x:c r="L262" s="28" t="n">
        <x:v>0</x:v>
      </x:c>
      <x:c r="M262" s="28" t="n">
        <x:v>0</x:v>
      </x:c>
      <x:c r="N262" s="28" t="n">
        <x:v>0</x:v>
      </x:c>
      <x:c r="O262" s="28" t="str">
        <x:v>登记消耗1件；永久一次；不收金币/元宝/灵符</x:v>
      </x:c>
    </x:row>
    <x:row r="263" ht="30" customHeight="1">
      <x:c r="A263" s="28" t="str">
        <x:v>C05</x:v>
      </x:c>
      <x:c r="B263" s="28" t="str">
        <x:v>辉石遗迹</x:v>
      </x:c>
      <x:c r="C263" s="28" t="str">
        <x:v>遗刻晶纹镯</x:v>
      </x:c>
      <x:c r="D263" s="28" t="str">
        <x:v>普通</x:v>
      </x:c>
      <x:c r="E263" s="28" t="n">
        <x:v>1</x:v>
      </x:c>
      <x:c r="F263" s="28" t="n">
        <x:v>0</x:v>
      </x:c>
      <x:c r="G263" s="28" t="n">
        <x:v>0</x:v>
      </x:c>
      <x:c r="H263" s="28" t="n">
        <x:v>0</x:v>
      </x:c>
      <x:c r="I263" s="28" t="n">
        <x:v>8</x:v>
      </x:c>
      <x:c r="J263" s="28" t="n">
        <x:v>800</x:v>
      </x:c>
      <x:c r="K263" s="28" t="n">
        <x:v>0</x:v>
      </x:c>
      <x:c r="L263" s="28" t="n">
        <x:v>0</x:v>
      </x:c>
      <x:c r="M263" s="28" t="n">
        <x:v>0</x:v>
      </x:c>
      <x:c r="N263" s="28" t="n">
        <x:v>0</x:v>
      </x:c>
      <x:c r="O263" s="28" t="str">
        <x:v>登记消耗1件；永久一次；不收金币/元宝/灵符</x:v>
      </x:c>
    </x:row>
    <x:row r="264" ht="30" customHeight="1">
      <x:c r="A264" s="28" t="str">
        <x:v>C05</x:v>
      </x:c>
      <x:c r="B264" s="28" t="str">
        <x:v>辉石遗迹</x:v>
      </x:c>
      <x:c r="C264" s="28" t="str">
        <x:v>折光翅晶链</x:v>
      </x:c>
      <x:c r="D264" s="28" t="str">
        <x:v>普通</x:v>
      </x:c>
      <x:c r="E264" s="28" t="n">
        <x:v>1</x:v>
      </x:c>
      <x:c r="F264" s="28" t="n">
        <x:v>0</x:v>
      </x:c>
      <x:c r="G264" s="28" t="n">
        <x:v>0</x:v>
      </x:c>
      <x:c r="H264" s="28" t="n">
        <x:v>0</x:v>
      </x:c>
      <x:c r="I264" s="28" t="n">
        <x:v>8</x:v>
      </x:c>
      <x:c r="J264" s="28" t="n">
        <x:v>800</x:v>
      </x:c>
      <x:c r="K264" s="28" t="n">
        <x:v>0</x:v>
      </x:c>
      <x:c r="L264" s="28" t="n">
        <x:v>0</x:v>
      </x:c>
      <x:c r="M264" s="28" t="n">
        <x:v>0</x:v>
      </x:c>
      <x:c r="N264" s="28" t="n">
        <x:v>0</x:v>
      </x:c>
      <x:c r="O264" s="28" t="str">
        <x:v>登记消耗1件；永久一次；不收金币/元宝/灵符</x:v>
      </x:c>
    </x:row>
    <x:row r="265" ht="30" customHeight="1">
      <x:c r="A265" s="28" t="str">
        <x:v>C05</x:v>
      </x:c>
      <x:c r="B265" s="28" t="str">
        <x:v>辉石遗迹</x:v>
      </x:c>
      <x:c r="C265" s="28" t="str">
        <x:v>砾晶护庭盾</x:v>
      </x:c>
      <x:c r="D265" s="28" t="str">
        <x:v>普通</x:v>
      </x:c>
      <x:c r="E265" s="28" t="n">
        <x:v>1</x:v>
      </x:c>
      <x:c r="F265" s="28" t="n">
        <x:v>0</x:v>
      </x:c>
      <x:c r="G265" s="28" t="n">
        <x:v>0</x:v>
      </x:c>
      <x:c r="H265" s="28" t="n">
        <x:v>0</x:v>
      </x:c>
      <x:c r="I265" s="28" t="n">
        <x:v>8</x:v>
      </x:c>
      <x:c r="J265" s="28" t="n">
        <x:v>800</x:v>
      </x:c>
      <x:c r="K265" s="28" t="n">
        <x:v>0</x:v>
      </x:c>
      <x:c r="L265" s="28" t="n">
        <x:v>0</x:v>
      </x:c>
      <x:c r="M265" s="28" t="n">
        <x:v>0</x:v>
      </x:c>
      <x:c r="N265" s="28" t="n">
        <x:v>0</x:v>
      </x:c>
      <x:c r="O265" s="28" t="str">
        <x:v>登记消耗1件；永久一次；不收金币/元宝/灵符</x:v>
      </x:c>
    </x:row>
    <x:row r="266" ht="30" customHeight="1">
      <x:c r="A266" s="28" t="str">
        <x:v>C05</x:v>
      </x:c>
      <x:c r="B266" s="28" t="str">
        <x:v>辉石遗迹</x:v>
      </x:c>
      <x:c r="C266" s="28" t="str">
        <x:v>辉壳束腰</x:v>
      </x:c>
      <x:c r="D266" s="28" t="str">
        <x:v>普通</x:v>
      </x:c>
      <x:c r="E266" s="28" t="n">
        <x:v>1</x:v>
      </x:c>
      <x:c r="F266" s="28" t="n">
        <x:v>0</x:v>
      </x:c>
      <x:c r="G266" s="28" t="n">
        <x:v>0</x:v>
      </x:c>
      <x:c r="H266" s="28" t="n">
        <x:v>0</x:v>
      </x:c>
      <x:c r="I266" s="28" t="n">
        <x:v>8</x:v>
      </x:c>
      <x:c r="J266" s="28" t="n">
        <x:v>800</x:v>
      </x:c>
      <x:c r="K266" s="28" t="n">
        <x:v>0</x:v>
      </x:c>
      <x:c r="L266" s="28" t="n">
        <x:v>0</x:v>
      </x:c>
      <x:c r="M266" s="28" t="n">
        <x:v>0</x:v>
      </x:c>
      <x:c r="N266" s="28" t="n">
        <x:v>0</x:v>
      </x:c>
      <x:c r="O266" s="28" t="str">
        <x:v>登记消耗1件；永久一次；不收金币/元宝/灵符</x:v>
      </x:c>
    </x:row>
    <x:row r="267" ht="30" customHeight="1">
      <x:c r="A267" s="28" t="str">
        <x:v>C05</x:v>
      </x:c>
      <x:c r="B267" s="28" t="str">
        <x:v>辉石遗迹</x:v>
      </x:c>
      <x:c r="C267" s="28" t="str">
        <x:v>悬晶祭辉笠</x:v>
      </x:c>
      <x:c r="D267" s="28" t="str">
        <x:v>普通</x:v>
      </x:c>
      <x:c r="E267" s="28" t="n">
        <x:v>1</x:v>
      </x:c>
      <x:c r="F267" s="28" t="n">
        <x:v>0</x:v>
      </x:c>
      <x:c r="G267" s="28" t="n">
        <x:v>0</x:v>
      </x:c>
      <x:c r="H267" s="28" t="n">
        <x:v>0</x:v>
      </x:c>
      <x:c r="I267" s="28" t="n">
        <x:v>8</x:v>
      </x:c>
      <x:c r="J267" s="28" t="n">
        <x:v>800</x:v>
      </x:c>
      <x:c r="K267" s="28" t="n">
        <x:v>0</x:v>
      </x:c>
      <x:c r="L267" s="28" t="n">
        <x:v>0</x:v>
      </x:c>
      <x:c r="M267" s="28" t="n">
        <x:v>0</x:v>
      </x:c>
      <x:c r="N267" s="28" t="n">
        <x:v>0</x:v>
      </x:c>
      <x:c r="O267" s="28" t="str">
        <x:v>登记消耗1件；永久一次；不收金币/元宝/灵符</x:v>
      </x:c>
    </x:row>
    <x:row r="268" ht="30" customHeight="1">
      <x:c r="A268" s="28" t="str">
        <x:v>C05</x:v>
      </x:c>
      <x:c r="B268" s="28" t="str">
        <x:v>辉石遗迹</x:v>
      </x:c>
      <x:c r="C268" s="28" t="str">
        <x:v>青曜噬光戒</x:v>
      </x:c>
      <x:c r="D268" s="28" t="str">
        <x:v>稀有</x:v>
      </x:c>
      <x:c r="E268" s="28" t="n">
        <x:v>1</x:v>
      </x:c>
      <x:c r="F268" s="28" t="n">
        <x:v>0</x:v>
      </x:c>
      <x:c r="G268" s="28" t="n">
        <x:v>0</x:v>
      </x:c>
      <x:c r="H268" s="28" t="n">
        <x:v>0</x:v>
      </x:c>
      <x:c r="I268" s="28" t="n">
        <x:v>16</x:v>
      </x:c>
      <x:c r="J268" s="28" t="n">
        <x:v>1600</x:v>
      </x:c>
      <x:c r="K268" s="28" t="n">
        <x:v>5</x:v>
      </x:c>
      <x:c r="L268" s="28" t="n">
        <x:v>0</x:v>
      </x:c>
      <x:c r="M268" s="28" t="n">
        <x:v>0</x:v>
      </x:c>
      <x:c r="N268" s="28" t="n">
        <x:v>0</x:v>
      </x:c>
      <x:c r="O268" s="28" t="str">
        <x:v>登记消耗1件；永久一次；不收金币/元宝/灵符</x:v>
      </x:c>
    </x:row>
    <x:row r="269" ht="30" customHeight="1">
      <x:c r="A269" s="28" t="str">
        <x:v>C05</x:v>
      </x:c>
      <x:c r="B269" s="28" t="str">
        <x:v>辉石遗迹</x:v>
      </x:c>
      <x:c r="C269" s="28" t="str">
        <x:v>棱光术冠</x:v>
      </x:c>
      <x:c r="D269" s="28" t="str">
        <x:v>稀有</x:v>
      </x:c>
      <x:c r="E269" s="28" t="n">
        <x:v>1</x:v>
      </x:c>
      <x:c r="F269" s="28" t="n">
        <x:v>0</x:v>
      </x:c>
      <x:c r="G269" s="28" t="n">
        <x:v>0</x:v>
      </x:c>
      <x:c r="H269" s="28" t="n">
        <x:v>0</x:v>
      </x:c>
      <x:c r="I269" s="28" t="n">
        <x:v>16</x:v>
      </x:c>
      <x:c r="J269" s="28" t="n">
        <x:v>1600</x:v>
      </x:c>
      <x:c r="K269" s="28" t="n">
        <x:v>5</x:v>
      </x:c>
      <x:c r="L269" s="28" t="n">
        <x:v>0</x:v>
      </x:c>
      <x:c r="M269" s="28" t="n">
        <x:v>0</x:v>
      </x:c>
      <x:c r="N269" s="28" t="n">
        <x:v>0</x:v>
      </x:c>
      <x:c r="O269" s="28" t="str">
        <x:v>登记消耗1件；永久一次；不收金币/元宝/灵符</x:v>
      </x:c>
    </x:row>
    <x:row r="270" ht="30" customHeight="1">
      <x:c r="A270" s="28" t="str">
        <x:v>C05</x:v>
      </x:c>
      <x:c r="B270" s="28" t="str">
        <x:v>辉石遗迹</x:v>
      </x:c>
      <x:c r="C270" s="28" t="str">
        <x:v>前庭晶戟勋</x:v>
      </x:c>
      <x:c r="D270" s="28" t="str">
        <x:v>稀有</x:v>
      </x:c>
      <x:c r="E270" s="28" t="n">
        <x:v>1</x:v>
      </x:c>
      <x:c r="F270" s="28" t="n">
        <x:v>0</x:v>
      </x:c>
      <x:c r="G270" s="28" t="n">
        <x:v>0</x:v>
      </x:c>
      <x:c r="H270" s="28" t="n">
        <x:v>0</x:v>
      </x:c>
      <x:c r="I270" s="28" t="n">
        <x:v>16</x:v>
      </x:c>
      <x:c r="J270" s="28" t="n">
        <x:v>1600</x:v>
      </x:c>
      <x:c r="K270" s="28" t="n">
        <x:v>5</x:v>
      </x:c>
      <x:c r="L270" s="28" t="n">
        <x:v>0</x:v>
      </x:c>
      <x:c r="M270" s="28" t="n">
        <x:v>0</x:v>
      </x:c>
      <x:c r="N270" s="28" t="n">
        <x:v>0</x:v>
      </x:c>
      <x:c r="O270" s="28" t="str">
        <x:v>登记消耗1件；永久一次；不收金币/元宝/灵符</x:v>
      </x:c>
    </x:row>
    <x:row r="271" ht="30" customHeight="1">
      <x:c r="A271" s="28" t="str">
        <x:v>C05</x:v>
      </x:c>
      <x:c r="B271" s="28" t="str">
        <x:v>辉石遗迹</x:v>
      </x:c>
      <x:c r="C271" s="28" t="str">
        <x:v>辉核铸像衣</x:v>
      </x:c>
      <x:c r="D271" s="28" t="str">
        <x:v>稀有</x:v>
      </x:c>
      <x:c r="E271" s="28" t="n">
        <x:v>1</x:v>
      </x:c>
      <x:c r="F271" s="28" t="n">
        <x:v>0</x:v>
      </x:c>
      <x:c r="G271" s="28" t="n">
        <x:v>0</x:v>
      </x:c>
      <x:c r="H271" s="28" t="n">
        <x:v>0</x:v>
      </x:c>
      <x:c r="I271" s="28" t="n">
        <x:v>16</x:v>
      </x:c>
      <x:c r="J271" s="28" t="n">
        <x:v>1600</x:v>
      </x:c>
      <x:c r="K271" s="28" t="n">
        <x:v>5</x:v>
      </x:c>
      <x:c r="L271" s="28" t="n">
        <x:v>0</x:v>
      </x:c>
      <x:c r="M271" s="28" t="n">
        <x:v>0</x:v>
      </x:c>
      <x:c r="N271" s="28" t="n">
        <x:v>0</x:v>
      </x:c>
      <x:c r="O271" s="28" t="str">
        <x:v>登记消耗1件；永久一次；不收金币/元宝/灵符</x:v>
      </x:c>
    </x:row>
    <x:row r="272" ht="30" customHeight="1">
      <x:c r="A272" s="28" t="str">
        <x:v>C05</x:v>
      </x:c>
      <x:c r="B272" s="28" t="str">
        <x:v>辉石遗迹</x:v>
      </x:c>
      <x:c r="C272" s="28" t="str">
        <x:v>裂辉监院长戟</x:v>
      </x:c>
      <x:c r="D272" s="28" t="str">
        <x:v>地图BOSS</x:v>
      </x:c>
      <x:c r="E272" s="28" t="n">
        <x:v>1</x:v>
      </x:c>
      <x:c r="F272" s="28" t="n">
        <x:v>0</x:v>
      </x:c>
      <x:c r="G272" s="28" t="n">
        <x:v>0</x:v>
      </x:c>
      <x:c r="H272" s="28" t="n">
        <x:v>0</x:v>
      </x:c>
      <x:c r="I272" s="28" t="n">
        <x:v>24</x:v>
      </x:c>
      <x:c r="J272" s="28" t="n">
        <x:v>2400</x:v>
      </x:c>
      <x:c r="K272" s="28" t="n">
        <x:v>0</x:v>
      </x:c>
      <x:c r="L272" s="28" t="n">
        <x:v>1</x:v>
      </x:c>
      <x:c r="M272" s="28" t="n">
        <x:v>0</x:v>
      </x:c>
      <x:c r="N272" s="28" t="n">
        <x:v>0</x:v>
      </x:c>
      <x:c r="O272" s="28" t="str">
        <x:v>登记消耗1件；永久一次；不收金币/元宝/灵符</x:v>
      </x:c>
    </x:row>
    <x:row r="273" ht="30" customHeight="1">
      <x:c r="A273" s="28" t="str">
        <x:v>C05</x:v>
      </x:c>
      <x:c r="B273" s="28" t="str">
        <x:v>辉石遗迹</x:v>
      </x:c>
      <x:c r="C273" s="28" t="str">
        <x:v>万棱圣坛鳞衣</x:v>
      </x:c>
      <x:c r="D273" s="28" t="str">
        <x:v>地图BOSS</x:v>
      </x:c>
      <x:c r="E273" s="28" t="n">
        <x:v>1</x:v>
      </x:c>
      <x:c r="F273" s="28" t="n">
        <x:v>0</x:v>
      </x:c>
      <x:c r="G273" s="28" t="n">
        <x:v>0</x:v>
      </x:c>
      <x:c r="H273" s="28" t="n">
        <x:v>0</x:v>
      </x:c>
      <x:c r="I273" s="28" t="n">
        <x:v>24</x:v>
      </x:c>
      <x:c r="J273" s="28" t="n">
        <x:v>2400</x:v>
      </x:c>
      <x:c r="K273" s="28" t="n">
        <x:v>0</x:v>
      </x:c>
      <x:c r="L273" s="28" t="n">
        <x:v>1</x:v>
      </x:c>
      <x:c r="M273" s="28" t="n">
        <x:v>0</x:v>
      </x:c>
      <x:c r="N273" s="28" t="n">
        <x:v>0</x:v>
      </x:c>
      <x:c r="O273" s="28" t="str">
        <x:v>登记消耗1件；永久一次；不收金币/元宝/灵符</x:v>
      </x:c>
    </x:row>
    <x:row r="274" ht="30" customHeight="1">
      <x:c r="A274" s="28" t="str">
        <x:v>C05</x:v>
      </x:c>
      <x:c r="B274" s="28" t="str">
        <x:v>学院回廊</x:v>
      </x:c>
      <x:c r="C274" s="28" t="str">
        <x:v>墨羽校录笠</x:v>
      </x:c>
      <x:c r="D274" s="28" t="str">
        <x:v>普通</x:v>
      </x:c>
      <x:c r="E274" s="28" t="n">
        <x:v>1</x:v>
      </x:c>
      <x:c r="F274" s="28" t="n">
        <x:v>0</x:v>
      </x:c>
      <x:c r="G274" s="28" t="n">
        <x:v>0</x:v>
      </x:c>
      <x:c r="H274" s="28" t="n">
        <x:v>0</x:v>
      </x:c>
      <x:c r="I274" s="28" t="n">
        <x:v>8</x:v>
      </x:c>
      <x:c r="J274" s="28" t="n">
        <x:v>800</x:v>
      </x:c>
      <x:c r="K274" s="28" t="n">
        <x:v>0</x:v>
      </x:c>
      <x:c r="L274" s="28" t="n">
        <x:v>0</x:v>
      </x:c>
      <x:c r="M274" s="28" t="n">
        <x:v>0</x:v>
      </x:c>
      <x:c r="N274" s="28" t="n">
        <x:v>0</x:v>
      </x:c>
      <x:c r="O274" s="28" t="str">
        <x:v>登记消耗1件；永久一次；不收金币/元宝/灵符</x:v>
      </x:c>
    </x:row>
    <x:row r="275" ht="30" customHeight="1">
      <x:c r="A275" s="28" t="str">
        <x:v>C05</x:v>
      </x:c>
      <x:c r="B275" s="28" t="str">
        <x:v>学院回廊</x:v>
      </x:c>
      <x:c r="C275" s="28" t="str">
        <x:v>试术银规镯</x:v>
      </x:c>
      <x:c r="D275" s="28" t="str">
        <x:v>普通</x:v>
      </x:c>
      <x:c r="E275" s="28" t="n">
        <x:v>1</x:v>
      </x:c>
      <x:c r="F275" s="28" t="n">
        <x:v>0</x:v>
      </x:c>
      <x:c r="G275" s="28" t="n">
        <x:v>0</x:v>
      </x:c>
      <x:c r="H275" s="28" t="n">
        <x:v>0</x:v>
      </x:c>
      <x:c r="I275" s="28" t="n">
        <x:v>8</x:v>
      </x:c>
      <x:c r="J275" s="28" t="n">
        <x:v>800</x:v>
      </x:c>
      <x:c r="K275" s="28" t="n">
        <x:v>0</x:v>
      </x:c>
      <x:c r="L275" s="28" t="n">
        <x:v>0</x:v>
      </x:c>
      <x:c r="M275" s="28" t="n">
        <x:v>0</x:v>
      </x:c>
      <x:c r="N275" s="28" t="n">
        <x:v>0</x:v>
      </x:c>
      <x:c r="O275" s="28" t="str">
        <x:v>登记消耗1件；永久一次；不收金币/元宝/灵符</x:v>
      </x:c>
    </x:row>
    <x:row r="276" ht="30" customHeight="1">
      <x:c r="A276" s="28" t="str">
        <x:v>C05</x:v>
      </x:c>
      <x:c r="B276" s="28" t="str">
        <x:v>学院回廊</x:v>
      </x:c>
      <x:c r="C276" s="28" t="str">
        <x:v>缄印粉屑戒</x:v>
      </x:c>
      <x:c r="D276" s="28" t="str">
        <x:v>普通</x:v>
      </x:c>
      <x:c r="E276" s="28" t="n">
        <x:v>1</x:v>
      </x:c>
      <x:c r="F276" s="28" t="n">
        <x:v>0</x:v>
      </x:c>
      <x:c r="G276" s="28" t="n">
        <x:v>0</x:v>
      </x:c>
      <x:c r="H276" s="28" t="n">
        <x:v>0</x:v>
      </x:c>
      <x:c r="I276" s="28" t="n">
        <x:v>8</x:v>
      </x:c>
      <x:c r="J276" s="28" t="n">
        <x:v>800</x:v>
      </x:c>
      <x:c r="K276" s="28" t="n">
        <x:v>0</x:v>
      </x:c>
      <x:c r="L276" s="28" t="n">
        <x:v>0</x:v>
      </x:c>
      <x:c r="M276" s="28" t="n">
        <x:v>0</x:v>
      </x:c>
      <x:c r="N276" s="28" t="n">
        <x:v>0</x:v>
      </x:c>
      <x:c r="O276" s="28" t="str">
        <x:v>登记消耗1件；永久一次；不收金币/元宝/灵符</x:v>
      </x:c>
    </x:row>
    <x:row r="277" ht="30" customHeight="1">
      <x:c r="A277" s="28" t="str">
        <x:v>C05</x:v>
      </x:c>
      <x:c r="B277" s="28" t="str">
        <x:v>学院回廊</x:v>
      </x:c>
      <x:c r="C277" s="28" t="str">
        <x:v>缄咒讲台盾</x:v>
      </x:c>
      <x:c r="D277" s="28" t="str">
        <x:v>普通</x:v>
      </x:c>
      <x:c r="E277" s="28" t="n">
        <x:v>1</x:v>
      </x:c>
      <x:c r="F277" s="28" t="n">
        <x:v>0</x:v>
      </x:c>
      <x:c r="G277" s="28" t="n">
        <x:v>0</x:v>
      </x:c>
      <x:c r="H277" s="28" t="n">
        <x:v>0</x:v>
      </x:c>
      <x:c r="I277" s="28" t="n">
        <x:v>8</x:v>
      </x:c>
      <x:c r="J277" s="28" t="n">
        <x:v>800</x:v>
      </x:c>
      <x:c r="K277" s="28" t="n">
        <x:v>0</x:v>
      </x:c>
      <x:c r="L277" s="28" t="n">
        <x:v>0</x:v>
      </x:c>
      <x:c r="M277" s="28" t="n">
        <x:v>0</x:v>
      </x:c>
      <x:c r="N277" s="28" t="n">
        <x:v>0</x:v>
      </x:c>
      <x:c r="O277" s="28" t="str">
        <x:v>登记消耗1件；永久一次；不收金币/元宝/灵符</x:v>
      </x:c>
    </x:row>
    <x:row r="278" ht="30" customHeight="1">
      <x:c r="A278" s="28" t="str">
        <x:v>C05</x:v>
      </x:c>
      <x:c r="B278" s="28" t="str">
        <x:v>学院回廊</x:v>
      </x:c>
      <x:c r="C278" s="28" t="str">
        <x:v>卷蠹轻步履</x:v>
      </x:c>
      <x:c r="D278" s="28" t="str">
        <x:v>普通</x:v>
      </x:c>
      <x:c r="E278" s="28" t="n">
        <x:v>1</x:v>
      </x:c>
      <x:c r="F278" s="28" t="n">
        <x:v>0</x:v>
      </x:c>
      <x:c r="G278" s="28" t="n">
        <x:v>0</x:v>
      </x:c>
      <x:c r="H278" s="28" t="n">
        <x:v>0</x:v>
      </x:c>
      <x:c r="I278" s="28" t="n">
        <x:v>8</x:v>
      </x:c>
      <x:c r="J278" s="28" t="n">
        <x:v>800</x:v>
      </x:c>
      <x:c r="K278" s="28" t="n">
        <x:v>0</x:v>
      </x:c>
      <x:c r="L278" s="28" t="n">
        <x:v>0</x:v>
      </x:c>
      <x:c r="M278" s="28" t="n">
        <x:v>0</x:v>
      </x:c>
      <x:c r="N278" s="28" t="n">
        <x:v>0</x:v>
      </x:c>
      <x:c r="O278" s="28" t="str">
        <x:v>登记消耗1件；永久一次；不收金币/元宝/灵符</x:v>
      </x:c>
    </x:row>
    <x:row r="279" ht="30" customHeight="1">
      <x:c r="A279" s="28" t="str">
        <x:v>C05</x:v>
      </x:c>
      <x:c r="B279" s="28" t="str">
        <x:v>学院回廊</x:v>
      </x:c>
      <x:c r="C279" s="28" t="str">
        <x:v>锁页秘文链</x:v>
      </x:c>
      <x:c r="D279" s="28" t="str">
        <x:v>普通</x:v>
      </x:c>
      <x:c r="E279" s="28" t="n">
        <x:v>1</x:v>
      </x:c>
      <x:c r="F279" s="28" t="n">
        <x:v>0</x:v>
      </x:c>
      <x:c r="G279" s="28" t="n">
        <x:v>0</x:v>
      </x:c>
      <x:c r="H279" s="28" t="n">
        <x:v>0</x:v>
      </x:c>
      <x:c r="I279" s="28" t="n">
        <x:v>8</x:v>
      </x:c>
      <x:c r="J279" s="28" t="n">
        <x:v>800</x:v>
      </x:c>
      <x:c r="K279" s="28" t="n">
        <x:v>0</x:v>
      </x:c>
      <x:c r="L279" s="28" t="n">
        <x:v>0</x:v>
      </x:c>
      <x:c r="M279" s="28" t="n">
        <x:v>0</x:v>
      </x:c>
      <x:c r="N279" s="28" t="n">
        <x:v>0</x:v>
      </x:c>
      <x:c r="O279" s="28" t="str">
        <x:v>登记消耗1件；永久一次；不收金币/元宝/灵符</x:v>
      </x:c>
    </x:row>
    <x:row r="280" ht="30" customHeight="1">
      <x:c r="A280" s="28" t="str">
        <x:v>C05</x:v>
      </x:c>
      <x:c r="B280" s="28" t="str">
        <x:v>学院回廊</x:v>
      </x:c>
      <x:c r="C280" s="28" t="str">
        <x:v>银规巡课束带</x:v>
      </x:c>
      <x:c r="D280" s="28" t="str">
        <x:v>稀有</x:v>
      </x:c>
      <x:c r="E280" s="28" t="n">
        <x:v>1</x:v>
      </x:c>
      <x:c r="F280" s="28" t="n">
        <x:v>0</x:v>
      </x:c>
      <x:c r="G280" s="28" t="n">
        <x:v>0</x:v>
      </x:c>
      <x:c r="H280" s="28" t="n">
        <x:v>0</x:v>
      </x:c>
      <x:c r="I280" s="28" t="n">
        <x:v>16</x:v>
      </x:c>
      <x:c r="J280" s="28" t="n">
        <x:v>1600</x:v>
      </x:c>
      <x:c r="K280" s="28" t="n">
        <x:v>5</x:v>
      </x:c>
      <x:c r="L280" s="28" t="n">
        <x:v>0</x:v>
      </x:c>
      <x:c r="M280" s="28" t="n">
        <x:v>0</x:v>
      </x:c>
      <x:c r="N280" s="28" t="n">
        <x:v>0</x:v>
      </x:c>
      <x:c r="O280" s="28" t="str">
        <x:v>登记消耗1件；永久一次；不收金币/元宝/灵符</x:v>
      </x:c>
    </x:row>
    <x:row r="281" ht="30" customHeight="1">
      <x:c r="A281" s="28" t="str">
        <x:v>C05</x:v>
      </x:c>
      <x:c r="B281" s="28" t="str">
        <x:v>学院回廊</x:v>
      </x:c>
      <x:c r="C281" s="28" t="str">
        <x:v>禁声讲师冠</x:v>
      </x:c>
      <x:c r="D281" s="28" t="str">
        <x:v>稀有</x:v>
      </x:c>
      <x:c r="E281" s="28" t="n">
        <x:v>1</x:v>
      </x:c>
      <x:c r="F281" s="28" t="n">
        <x:v>0</x:v>
      </x:c>
      <x:c r="G281" s="28" t="n">
        <x:v>0</x:v>
      </x:c>
      <x:c r="H281" s="28" t="n">
        <x:v>0</x:v>
      </x:c>
      <x:c r="I281" s="28" t="n">
        <x:v>16</x:v>
      </x:c>
      <x:c r="J281" s="28" t="n">
        <x:v>1600</x:v>
      </x:c>
      <x:c r="K281" s="28" t="n">
        <x:v>5</x:v>
      </x:c>
      <x:c r="L281" s="28" t="n">
        <x:v>0</x:v>
      </x:c>
      <x:c r="M281" s="28" t="n">
        <x:v>0</x:v>
      </x:c>
      <x:c r="N281" s="28" t="n">
        <x:v>0</x:v>
      </x:c>
      <x:c r="O281" s="28" t="str">
        <x:v>登记消耗1件；永久一次；不收金币/元宝/灵符</x:v>
      </x:c>
    </x:row>
    <x:row r="282" ht="30" customHeight="1">
      <x:c r="A282" s="28" t="str">
        <x:v>C05</x:v>
      </x:c>
      <x:c r="B282" s="28" t="str">
        <x:v>学院回廊</x:v>
      </x:c>
      <x:c r="C282" s="28" t="str">
        <x:v>倒书客勋章</x:v>
      </x:c>
      <x:c r="D282" s="28" t="str">
        <x:v>稀有</x:v>
      </x:c>
      <x:c r="E282" s="28" t="n">
        <x:v>1</x:v>
      </x:c>
      <x:c r="F282" s="28" t="n">
        <x:v>0</x:v>
      </x:c>
      <x:c r="G282" s="28" t="n">
        <x:v>0</x:v>
      </x:c>
      <x:c r="H282" s="28" t="n">
        <x:v>0</x:v>
      </x:c>
      <x:c r="I282" s="28" t="n">
        <x:v>16</x:v>
      </x:c>
      <x:c r="J282" s="28" t="n">
        <x:v>1600</x:v>
      </x:c>
      <x:c r="K282" s="28" t="n">
        <x:v>5</x:v>
      </x:c>
      <x:c r="L282" s="28" t="n">
        <x:v>0</x:v>
      </x:c>
      <x:c r="M282" s="28" t="n">
        <x:v>0</x:v>
      </x:c>
      <x:c r="N282" s="28" t="n">
        <x:v>0</x:v>
      </x:c>
      <x:c r="O282" s="28" t="str">
        <x:v>登记消耗1件；永久一次；不收金币/元宝/灵符</x:v>
      </x:c>
    </x:row>
    <x:row r="283" ht="30" customHeight="1">
      <x:c r="A283" s="28" t="str">
        <x:v>C05</x:v>
      </x:c>
      <x:c r="B283" s="28" t="str">
        <x:v>学院回廊</x:v>
      </x:c>
      <x:c r="C283" s="28" t="str">
        <x:v>星墨活页袍</x:v>
      </x:c>
      <x:c r="D283" s="28" t="str">
        <x:v>稀有</x:v>
      </x:c>
      <x:c r="E283" s="28" t="n">
        <x:v>1</x:v>
      </x:c>
      <x:c r="F283" s="28" t="n">
        <x:v>0</x:v>
      </x:c>
      <x:c r="G283" s="28" t="n">
        <x:v>0</x:v>
      </x:c>
      <x:c r="H283" s="28" t="n">
        <x:v>0</x:v>
      </x:c>
      <x:c r="I283" s="28" t="n">
        <x:v>16</x:v>
      </x:c>
      <x:c r="J283" s="28" t="n">
        <x:v>1600</x:v>
      </x:c>
      <x:c r="K283" s="28" t="n">
        <x:v>5</x:v>
      </x:c>
      <x:c r="L283" s="28" t="n">
        <x:v>0</x:v>
      </x:c>
      <x:c r="M283" s="28" t="n">
        <x:v>0</x:v>
      </x:c>
      <x:c r="N283" s="28" t="n">
        <x:v>0</x:v>
      </x:c>
      <x:c r="O283" s="28" t="str">
        <x:v>登记消耗1件；永久一次；不收金币/元宝/灵符</x:v>
      </x:c>
    </x:row>
    <x:row r="284" ht="30" customHeight="1">
      <x:c r="A284" s="28" t="str">
        <x:v>C05</x:v>
      </x:c>
      <x:c r="B284" s="28" t="str">
        <x:v>学院回廊</x:v>
      </x:c>
      <x:c r="C284" s="28" t="str">
        <x:v>七印讲堂法杖</x:v>
      </x:c>
      <x:c r="D284" s="28" t="str">
        <x:v>地图BOSS</x:v>
      </x:c>
      <x:c r="E284" s="28" t="n">
        <x:v>1</x:v>
      </x:c>
      <x:c r="F284" s="28" t="n">
        <x:v>0</x:v>
      </x:c>
      <x:c r="G284" s="28" t="n">
        <x:v>0</x:v>
      </x:c>
      <x:c r="H284" s="28" t="n">
        <x:v>0</x:v>
      </x:c>
      <x:c r="I284" s="28" t="n">
        <x:v>24</x:v>
      </x:c>
      <x:c r="J284" s="28" t="n">
        <x:v>2400</x:v>
      </x:c>
      <x:c r="K284" s="28" t="n">
        <x:v>0</x:v>
      </x:c>
      <x:c r="L284" s="28" t="n">
        <x:v>1</x:v>
      </x:c>
      <x:c r="M284" s="28" t="n">
        <x:v>0</x:v>
      </x:c>
      <x:c r="N284" s="28" t="n">
        <x:v>0</x:v>
      </x:c>
      <x:c r="O284" s="28" t="str">
        <x:v>登记消耗1件；永久一次；不收金币/元宝/灵符</x:v>
      </x:c>
    </x:row>
    <x:row r="285" ht="30" customHeight="1">
      <x:c r="A285" s="28" t="str">
        <x:v>C05</x:v>
      </x:c>
      <x:c r="B285" s="28" t="str">
        <x:v>学院回廊</x:v>
      </x:c>
      <x:c r="C285" s="28" t="str">
        <x:v>逆页导师长衣</x:v>
      </x:c>
      <x:c r="D285" s="28" t="str">
        <x:v>地图BOSS</x:v>
      </x:c>
      <x:c r="E285" s="28" t="n">
        <x:v>1</x:v>
      </x:c>
      <x:c r="F285" s="28" t="n">
        <x:v>0</x:v>
      </x:c>
      <x:c r="G285" s="28" t="n">
        <x:v>0</x:v>
      </x:c>
      <x:c r="H285" s="28" t="n">
        <x:v>0</x:v>
      </x:c>
      <x:c r="I285" s="28" t="n">
        <x:v>24</x:v>
      </x:c>
      <x:c r="J285" s="28" t="n">
        <x:v>2400</x:v>
      </x:c>
      <x:c r="K285" s="28" t="n">
        <x:v>0</x:v>
      </x:c>
      <x:c r="L285" s="28" t="n">
        <x:v>1</x:v>
      </x:c>
      <x:c r="M285" s="28" t="n">
        <x:v>0</x:v>
      </x:c>
      <x:c r="N285" s="28" t="n">
        <x:v>0</x:v>
      </x:c>
      <x:c r="O285" s="28" t="str">
        <x:v>登记消耗1件；永久一次；不收金币/元宝/灵符</x:v>
      </x:c>
    </x:row>
    <x:row r="286" ht="30" customHeight="1">
      <x:c r="A286" s="28" t="str">
        <x:v>C05</x:v>
      </x:c>
      <x:c r="B286" s="28" t="str">
        <x:v>满月书库</x:v>
      </x:c>
      <x:c r="C286" s="28" t="str">
        <x:v>月尘理卷履</x:v>
      </x:c>
      <x:c r="D286" s="28" t="str">
        <x:v>普通</x:v>
      </x:c>
      <x:c r="E286" s="28" t="n">
        <x:v>1</x:v>
      </x:c>
      <x:c r="F286" s="28" t="n">
        <x:v>0</x:v>
      </x:c>
      <x:c r="G286" s="28" t="n">
        <x:v>0</x:v>
      </x:c>
      <x:c r="H286" s="28" t="n">
        <x:v>0</x:v>
      </x:c>
      <x:c r="I286" s="28" t="n">
        <x:v>8</x:v>
      </x:c>
      <x:c r="J286" s="28" t="n">
        <x:v>800</x:v>
      </x:c>
      <x:c r="K286" s="28" t="n">
        <x:v>0</x:v>
      </x:c>
      <x:c r="L286" s="28" t="n">
        <x:v>0</x:v>
      </x:c>
      <x:c r="M286" s="28" t="n">
        <x:v>0</x:v>
      </x:c>
      <x:c r="N286" s="28" t="n">
        <x:v>0</x:v>
      </x:c>
      <x:c r="O286" s="28" t="str">
        <x:v>登记消耗1件；永久一次；不收金币/元宝/灵符</x:v>
      </x:c>
    </x:row>
    <x:row r="287" ht="30" customHeight="1">
      <x:c r="A287" s="28" t="str">
        <x:v>C05</x:v>
      </x:c>
      <x:c r="B287" s="28" t="str">
        <x:v>满月书库</x:v>
      </x:c>
      <x:c r="C287" s="28" t="str">
        <x:v>银页书鸦笠</x:v>
      </x:c>
      <x:c r="D287" s="28" t="str">
        <x:v>普通</x:v>
      </x:c>
      <x:c r="E287" s="28" t="n">
        <x:v>1</x:v>
      </x:c>
      <x:c r="F287" s="28" t="n">
        <x:v>0</x:v>
      </x:c>
      <x:c r="G287" s="28" t="n">
        <x:v>0</x:v>
      </x:c>
      <x:c r="H287" s="28" t="n">
        <x:v>0</x:v>
      </x:c>
      <x:c r="I287" s="28" t="n">
        <x:v>8</x:v>
      </x:c>
      <x:c r="J287" s="28" t="n">
        <x:v>800</x:v>
      </x:c>
      <x:c r="K287" s="28" t="n">
        <x:v>0</x:v>
      </x:c>
      <x:c r="L287" s="28" t="n">
        <x:v>0</x:v>
      </x:c>
      <x:c r="M287" s="28" t="n">
        <x:v>0</x:v>
      </x:c>
      <x:c r="N287" s="28" t="n">
        <x:v>0</x:v>
      </x:c>
      <x:c r="O287" s="28" t="str">
        <x:v>登记消耗1件；永久一次；不收金币/元宝/灵符</x:v>
      </x:c>
    </x:row>
    <x:row r="288" ht="30" customHeight="1">
      <x:c r="A288" s="28" t="str">
        <x:v>C05</x:v>
      </x:c>
      <x:c r="B288" s="28" t="str">
        <x:v>满月书库</x:v>
      </x:c>
      <x:c r="C288" s="28" t="str">
        <x:v>噤语灯芯坠</x:v>
      </x:c>
      <x:c r="D288" s="28" t="str">
        <x:v>普通</x:v>
      </x:c>
      <x:c r="E288" s="28" t="n">
        <x:v>1</x:v>
      </x:c>
      <x:c r="F288" s="28" t="n">
        <x:v>0</x:v>
      </x:c>
      <x:c r="G288" s="28" t="n">
        <x:v>0</x:v>
      </x:c>
      <x:c r="H288" s="28" t="n">
        <x:v>0</x:v>
      </x:c>
      <x:c r="I288" s="28" t="n">
        <x:v>8</x:v>
      </x:c>
      <x:c r="J288" s="28" t="n">
        <x:v>800</x:v>
      </x:c>
      <x:c r="K288" s="28" t="n">
        <x:v>0</x:v>
      </x:c>
      <x:c r="L288" s="28" t="n">
        <x:v>0</x:v>
      </x:c>
      <x:c r="M288" s="28" t="n">
        <x:v>0</x:v>
      </x:c>
      <x:c r="N288" s="28" t="n">
        <x:v>0</x:v>
      </x:c>
      <x:c r="O288" s="28" t="str">
        <x:v>登记消耗1件；永久一次；不收金币/元宝/灵符</x:v>
      </x:c>
    </x:row>
    <x:row r="289" ht="30" customHeight="1">
      <x:c r="A289" s="28" t="str">
        <x:v>C05</x:v>
      </x:c>
      <x:c r="B289" s="28" t="str">
        <x:v>满月书库</x:v>
      </x:c>
      <x:c r="C289" s="28" t="str">
        <x:v>巡卷傀书盾</x:v>
      </x:c>
      <x:c r="D289" s="28" t="str">
        <x:v>普通</x:v>
      </x:c>
      <x:c r="E289" s="28" t="n">
        <x:v>1</x:v>
      </x:c>
      <x:c r="F289" s="28" t="n">
        <x:v>0</x:v>
      </x:c>
      <x:c r="G289" s="28" t="n">
        <x:v>0</x:v>
      </x:c>
      <x:c r="H289" s="28" t="n">
        <x:v>0</x:v>
      </x:c>
      <x:c r="I289" s="28" t="n">
        <x:v>8</x:v>
      </x:c>
      <x:c r="J289" s="28" t="n">
        <x:v>800</x:v>
      </x:c>
      <x:c r="K289" s="28" t="n">
        <x:v>0</x:v>
      </x:c>
      <x:c r="L289" s="28" t="n">
        <x:v>0</x:v>
      </x:c>
      <x:c r="M289" s="28" t="n">
        <x:v>0</x:v>
      </x:c>
      <x:c r="N289" s="28" t="n">
        <x:v>0</x:v>
      </x:c>
      <x:c r="O289" s="28" t="str">
        <x:v>登记消耗1件；永久一次；不收金币/元宝/灵符</x:v>
      </x:c>
    </x:row>
    <x:row r="290" ht="30" customHeight="1">
      <x:c r="A290" s="28" t="str">
        <x:v>C05</x:v>
      </x:c>
      <x:c r="B290" s="28" t="str">
        <x:v>满月书库</x:v>
      </x:c>
      <x:c r="C290" s="28" t="str">
        <x:v>墨潮藏页镯</x:v>
      </x:c>
      <x:c r="D290" s="28" t="str">
        <x:v>普通</x:v>
      </x:c>
      <x:c r="E290" s="28" t="n">
        <x:v>1</x:v>
      </x:c>
      <x:c r="F290" s="28" t="n">
        <x:v>0</x:v>
      </x:c>
      <x:c r="G290" s="28" t="n">
        <x:v>0</x:v>
      </x:c>
      <x:c r="H290" s="28" t="n">
        <x:v>0</x:v>
      </x:c>
      <x:c r="I290" s="28" t="n">
        <x:v>8</x:v>
      </x:c>
      <x:c r="J290" s="28" t="n">
        <x:v>800</x:v>
      </x:c>
      <x:c r="K290" s="28" t="n">
        <x:v>0</x:v>
      </x:c>
      <x:c r="L290" s="28" t="n">
        <x:v>0</x:v>
      </x:c>
      <x:c r="M290" s="28" t="n">
        <x:v>0</x:v>
      </x:c>
      <x:c r="N290" s="28" t="n">
        <x:v>0</x:v>
      </x:c>
      <x:c r="O290" s="28" t="str">
        <x:v>登记消耗1件；永久一次；不收金币/元宝/灵符</x:v>
      </x:c>
    </x:row>
    <x:row r="291" ht="30" customHeight="1">
      <x:c r="A291" s="28" t="str">
        <x:v>C05</x:v>
      </x:c>
      <x:c r="B291" s="28" t="str">
        <x:v>满月书库</x:v>
      </x:c>
      <x:c r="C291" s="28" t="str">
        <x:v>夹页月痕戒</x:v>
      </x:c>
      <x:c r="D291" s="28" t="str">
        <x:v>普通</x:v>
      </x:c>
      <x:c r="E291" s="28" t="n">
        <x:v>1</x:v>
      </x:c>
      <x:c r="F291" s="28" t="n">
        <x:v>0</x:v>
      </x:c>
      <x:c r="G291" s="28" t="n">
        <x:v>0</x:v>
      </x:c>
      <x:c r="H291" s="28" t="n">
        <x:v>0</x:v>
      </x:c>
      <x:c r="I291" s="28" t="n">
        <x:v>8</x:v>
      </x:c>
      <x:c r="J291" s="28" t="n">
        <x:v>800</x:v>
      </x:c>
      <x:c r="K291" s="28" t="n">
        <x:v>0</x:v>
      </x:c>
      <x:c r="L291" s="28" t="n">
        <x:v>0</x:v>
      </x:c>
      <x:c r="M291" s="28" t="n">
        <x:v>0</x:v>
      </x:c>
      <x:c r="N291" s="28" t="n">
        <x:v>0</x:v>
      </x:c>
      <x:c r="O291" s="28" t="str">
        <x:v>登记消耗1件；永久一次；不收金币/元宝/灵符</x:v>
      </x:c>
    </x:row>
    <x:row r="292" ht="30" customHeight="1">
      <x:c r="A292" s="28" t="str">
        <x:v>C05</x:v>
      </x:c>
      <x:c r="B292" s="28" t="str">
        <x:v>满月书库</x:v>
      </x:c>
      <x:c r="C292" s="28" t="str">
        <x:v>月相编目束带</x:v>
      </x:c>
      <x:c r="D292" s="28" t="str">
        <x:v>稀有</x:v>
      </x:c>
      <x:c r="E292" s="28" t="n">
        <x:v>1</x:v>
      </x:c>
      <x:c r="F292" s="28" t="n">
        <x:v>0</x:v>
      </x:c>
      <x:c r="G292" s="28" t="n">
        <x:v>0</x:v>
      </x:c>
      <x:c r="H292" s="28" t="n">
        <x:v>0</x:v>
      </x:c>
      <x:c r="I292" s="28" t="n">
        <x:v>16</x:v>
      </x:c>
      <x:c r="J292" s="28" t="n">
        <x:v>1600</x:v>
      </x:c>
      <x:c r="K292" s="28" t="n">
        <x:v>5</x:v>
      </x:c>
      <x:c r="L292" s="28" t="n">
        <x:v>0</x:v>
      </x:c>
      <x:c r="M292" s="28" t="n">
        <x:v>0</x:v>
      </x:c>
      <x:c r="N292" s="28" t="n">
        <x:v>0</x:v>
      </x:c>
      <x:c r="O292" s="28" t="str">
        <x:v>登记消耗1件；永久一次；不收金币/元宝/灵符</x:v>
      </x:c>
    </x:row>
    <x:row r="293" ht="30" customHeight="1">
      <x:c r="A293" s="28" t="str">
        <x:v>C05</x:v>
      </x:c>
      <x:c r="B293" s="28" t="str">
        <x:v>满月书库</x:v>
      </x:c>
      <x:c r="C293" s="28" t="str">
        <x:v>禁页蚀字冠</x:v>
      </x:c>
      <x:c r="D293" s="28" t="str">
        <x:v>稀有</x:v>
      </x:c>
      <x:c r="E293" s="28" t="n">
        <x:v>1</x:v>
      </x:c>
      <x:c r="F293" s="28" t="n">
        <x:v>0</x:v>
      </x:c>
      <x:c r="G293" s="28" t="n">
        <x:v>0</x:v>
      </x:c>
      <x:c r="H293" s="28" t="n">
        <x:v>0</x:v>
      </x:c>
      <x:c r="I293" s="28" t="n">
        <x:v>16</x:v>
      </x:c>
      <x:c r="J293" s="28" t="n">
        <x:v>1600</x:v>
      </x:c>
      <x:c r="K293" s="28" t="n">
        <x:v>5</x:v>
      </x:c>
      <x:c r="L293" s="28" t="n">
        <x:v>0</x:v>
      </x:c>
      <x:c r="M293" s="28" t="n">
        <x:v>0</x:v>
      </x:c>
      <x:c r="N293" s="28" t="n">
        <x:v>0</x:v>
      </x:c>
      <x:c r="O293" s="28" t="str">
        <x:v>登记消耗1件；永久一次；不收金币/元宝/灵符</x:v>
      </x:c>
    </x:row>
    <x:row r="294" ht="30" customHeight="1">
      <x:c r="A294" s="28" t="str">
        <x:v>C05</x:v>
      </x:c>
      <x:c r="B294" s="28" t="str">
        <x:v>满月书库</x:v>
      </x:c>
      <x:c r="C294" s="28" t="str">
        <x:v>藏卷沉思章</x:v>
      </x:c>
      <x:c r="D294" s="28" t="str">
        <x:v>稀有</x:v>
      </x:c>
      <x:c r="E294" s="28" t="n">
        <x:v>1</x:v>
      </x:c>
      <x:c r="F294" s="28" t="n">
        <x:v>0</x:v>
      </x:c>
      <x:c r="G294" s="28" t="n">
        <x:v>0</x:v>
      </x:c>
      <x:c r="H294" s="28" t="n">
        <x:v>0</x:v>
      </x:c>
      <x:c r="I294" s="28" t="n">
        <x:v>16</x:v>
      </x:c>
      <x:c r="J294" s="28" t="n">
        <x:v>1600</x:v>
      </x:c>
      <x:c r="K294" s="28" t="n">
        <x:v>5</x:v>
      </x:c>
      <x:c r="L294" s="28" t="n">
        <x:v>0</x:v>
      </x:c>
      <x:c r="M294" s="28" t="n">
        <x:v>0</x:v>
      </x:c>
      <x:c r="N294" s="28" t="n">
        <x:v>0</x:v>
      </x:c>
      <x:c r="O294" s="28" t="str">
        <x:v>登记消耗1件；永久一次；不收金币/元宝/灵符</x:v>
      </x:c>
    </x:row>
    <x:row r="295" ht="30" customHeight="1">
      <x:c r="A295" s="28" t="str">
        <x:v>C05</x:v>
      </x:c>
      <x:c r="B295" s="28" t="str">
        <x:v>满月书库</x:v>
      </x:c>
      <x:c r="C295" s="28" t="str">
        <x:v>银书尾翎袍</x:v>
      </x:c>
      <x:c r="D295" s="28" t="str">
        <x:v>稀有</x:v>
      </x:c>
      <x:c r="E295" s="28" t="n">
        <x:v>1</x:v>
      </x:c>
      <x:c r="F295" s="28" t="n">
        <x:v>0</x:v>
      </x:c>
      <x:c r="G295" s="28" t="n">
        <x:v>0</x:v>
      </x:c>
      <x:c r="H295" s="28" t="n">
        <x:v>0</x:v>
      </x:c>
      <x:c r="I295" s="28" t="n">
        <x:v>16</x:v>
      </x:c>
      <x:c r="J295" s="28" t="n">
        <x:v>1600</x:v>
      </x:c>
      <x:c r="K295" s="28" t="n">
        <x:v>5</x:v>
      </x:c>
      <x:c r="L295" s="28" t="n">
        <x:v>0</x:v>
      </x:c>
      <x:c r="M295" s="28" t="n">
        <x:v>0</x:v>
      </x:c>
      <x:c r="N295" s="28" t="n">
        <x:v>0</x:v>
      </x:c>
      <x:c r="O295" s="28" t="str">
        <x:v>登记消耗1件；永久一次；不收金币/元宝/灵符</x:v>
      </x:c>
    </x:row>
    <x:row r="296" ht="30" customHeight="1">
      <x:c r="A296" s="28" t="str">
        <x:v>C05</x:v>
      </x:c>
      <x:c r="B296" s="28" t="str">
        <x:v>满月书库</x:v>
      </x:c>
      <x:c r="C296" s="28" t="str">
        <x:v>无声禁典刃</x:v>
      </x:c>
      <x:c r="D296" s="28" t="str">
        <x:v>地图BOSS</x:v>
      </x:c>
      <x:c r="E296" s="28" t="n">
        <x:v>1</x:v>
      </x:c>
      <x:c r="F296" s="28" t="n">
        <x:v>0</x:v>
      </x:c>
      <x:c r="G296" s="28" t="n">
        <x:v>0</x:v>
      </x:c>
      <x:c r="H296" s="28" t="n">
        <x:v>0</x:v>
      </x:c>
      <x:c r="I296" s="28" t="n">
        <x:v>24</x:v>
      </x:c>
      <x:c r="J296" s="28" t="n">
        <x:v>2400</x:v>
      </x:c>
      <x:c r="K296" s="28" t="n">
        <x:v>0</x:v>
      </x:c>
      <x:c r="L296" s="28" t="n">
        <x:v>1</x:v>
      </x:c>
      <x:c r="M296" s="28" t="n">
        <x:v>0</x:v>
      </x:c>
      <x:c r="N296" s="28" t="n">
        <x:v>0</x:v>
      </x:c>
      <x:c r="O296" s="28" t="str">
        <x:v>登记消耗1件；永久一次；不收金币/元宝/灵符</x:v>
      </x:c>
    </x:row>
    <x:row r="297" ht="30" customHeight="1">
      <x:c r="A297" s="28" t="str">
        <x:v>C05</x:v>
      </x:c>
      <x:c r="B297" s="28" t="str">
        <x:v>满月书库</x:v>
      </x:c>
      <x:c r="C297" s="28" t="str">
        <x:v>满月万卷法衣</x:v>
      </x:c>
      <x:c r="D297" s="28" t="str">
        <x:v>地图BOSS</x:v>
      </x:c>
      <x:c r="E297" s="28" t="n">
        <x:v>1</x:v>
      </x:c>
      <x:c r="F297" s="28" t="n">
        <x:v>0</x:v>
      </x:c>
      <x:c r="G297" s="28" t="n">
        <x:v>0</x:v>
      </x:c>
      <x:c r="H297" s="28" t="n">
        <x:v>0</x:v>
      </x:c>
      <x:c r="I297" s="28" t="n">
        <x:v>24</x:v>
      </x:c>
      <x:c r="J297" s="28" t="n">
        <x:v>2400</x:v>
      </x:c>
      <x:c r="K297" s="28" t="n">
        <x:v>0</x:v>
      </x:c>
      <x:c r="L297" s="28" t="n">
        <x:v>1</x:v>
      </x:c>
      <x:c r="M297" s="28" t="n">
        <x:v>0</x:v>
      </x:c>
      <x:c r="N297" s="28" t="n">
        <x:v>0</x:v>
      </x:c>
      <x:c r="O297" s="28" t="str">
        <x:v>登记消耗1件；永久一次；不收金币/元宝/灵符</x:v>
      </x:c>
    </x:row>
    <x:row r="298" ht="30" customHeight="1">
      <x:c r="A298" s="28" t="str">
        <x:v>C05</x:v>
      </x:c>
      <x:c r="B298" s="28" t="str">
        <x:v>月影水宫</x:v>
      </x:c>
      <x:c r="C298" s="28" t="str">
        <x:v>月影鳞侍叉</x:v>
      </x:c>
      <x:c r="D298" s="28" t="str">
        <x:v>普通</x:v>
      </x:c>
      <x:c r="E298" s="28" t="n">
        <x:v>1</x:v>
      </x:c>
      <x:c r="F298" s="28" t="n">
        <x:v>0</x:v>
      </x:c>
      <x:c r="G298" s="28" t="n">
        <x:v>0</x:v>
      </x:c>
      <x:c r="H298" s="28" t="n">
        <x:v>0</x:v>
      </x:c>
      <x:c r="I298" s="28" t="n">
        <x:v>8</x:v>
      </x:c>
      <x:c r="J298" s="28" t="n">
        <x:v>800</x:v>
      </x:c>
      <x:c r="K298" s="28" t="n">
        <x:v>0</x:v>
      </x:c>
      <x:c r="L298" s="28" t="n">
        <x:v>0</x:v>
      </x:c>
      <x:c r="M298" s="28" t="n">
        <x:v>0</x:v>
      </x:c>
      <x:c r="N298" s="28" t="n">
        <x:v>0</x:v>
      </x:c>
      <x:c r="O298" s="28" t="str">
        <x:v>登记消耗1件；永久一次；不收金币/元宝/灵符</x:v>
      </x:c>
    </x:row>
    <x:row r="299" ht="30" customHeight="1">
      <x:c r="A299" s="28" t="str">
        <x:v>C05</x:v>
      </x:c>
      <x:c r="B299" s="28" t="str">
        <x:v>月影水宫</x:v>
      </x:c>
      <x:c r="C299" s="28" t="str">
        <x:v>涡纹螺壳盾</x:v>
      </x:c>
      <x:c r="D299" s="28" t="str">
        <x:v>普通</x:v>
      </x:c>
      <x:c r="E299" s="28" t="n">
        <x:v>1</x:v>
      </x:c>
      <x:c r="F299" s="28" t="n">
        <x:v>0</x:v>
      </x:c>
      <x:c r="G299" s="28" t="n">
        <x:v>0</x:v>
      </x:c>
      <x:c r="H299" s="28" t="n">
        <x:v>0</x:v>
      </x:c>
      <x:c r="I299" s="28" t="n">
        <x:v>8</x:v>
      </x:c>
      <x:c r="J299" s="28" t="n">
        <x:v>800</x:v>
      </x:c>
      <x:c r="K299" s="28" t="n">
        <x:v>0</x:v>
      </x:c>
      <x:c r="L299" s="28" t="n">
        <x:v>0</x:v>
      </x:c>
      <x:c r="M299" s="28" t="n">
        <x:v>0</x:v>
      </x:c>
      <x:c r="N299" s="28" t="n">
        <x:v>0</x:v>
      </x:c>
      <x:c r="O299" s="28" t="str">
        <x:v>登记消耗1件；永久一次；不收金币/元宝/灵符</x:v>
      </x:c>
    </x:row>
    <x:row r="300" ht="30" customHeight="1">
      <x:c r="A300" s="28" t="str">
        <x:v>C05</x:v>
      </x:c>
      <x:c r="B300" s="28" t="str">
        <x:v>月影水宫</x:v>
      </x:c>
      <x:c r="C300" s="28" t="str">
        <x:v>月华流扇笠</x:v>
      </x:c>
      <x:c r="D300" s="28" t="str">
        <x:v>普通</x:v>
      </x:c>
      <x:c r="E300" s="28" t="n">
        <x:v>1</x:v>
      </x:c>
      <x:c r="F300" s="28" t="n">
        <x:v>0</x:v>
      </x:c>
      <x:c r="G300" s="28" t="n">
        <x:v>0</x:v>
      </x:c>
      <x:c r="H300" s="28" t="n">
        <x:v>0</x:v>
      </x:c>
      <x:c r="I300" s="28" t="n">
        <x:v>8</x:v>
      </x:c>
      <x:c r="J300" s="28" t="n">
        <x:v>800</x:v>
      </x:c>
      <x:c r="K300" s="28" t="n">
        <x:v>0</x:v>
      </x:c>
      <x:c r="L300" s="28" t="n">
        <x:v>0</x:v>
      </x:c>
      <x:c r="M300" s="28" t="n">
        <x:v>0</x:v>
      </x:c>
      <x:c r="N300" s="28" t="n">
        <x:v>0</x:v>
      </x:c>
      <x:c r="O300" s="28" t="str">
        <x:v>登记消耗1件；永久一次；不收金币/元宝/灵符</x:v>
      </x:c>
    </x:row>
    <x:row r="301" ht="30" customHeight="1">
      <x:c r="A301" s="28" t="str">
        <x:v>C05</x:v>
      </x:c>
      <x:c r="B301" s="28" t="str">
        <x:v>月影水宫</x:v>
      </x:c>
      <x:c r="C301" s="28" t="str">
        <x:v>浮光鲛纹镯</x:v>
      </x:c>
      <x:c r="D301" s="28" t="str">
        <x:v>普通</x:v>
      </x:c>
      <x:c r="E301" s="28" t="n">
        <x:v>1</x:v>
      </x:c>
      <x:c r="F301" s="28" t="n">
        <x:v>0</x:v>
      </x:c>
      <x:c r="G301" s="28" t="n">
        <x:v>0</x:v>
      </x:c>
      <x:c r="H301" s="28" t="n">
        <x:v>0</x:v>
      </x:c>
      <x:c r="I301" s="28" t="n">
        <x:v>8</x:v>
      </x:c>
      <x:c r="J301" s="28" t="n">
        <x:v>800</x:v>
      </x:c>
      <x:c r="K301" s="28" t="n">
        <x:v>0</x:v>
      </x:c>
      <x:c r="L301" s="28" t="n">
        <x:v>0</x:v>
      </x:c>
      <x:c r="M301" s="28" t="n">
        <x:v>0</x:v>
      </x:c>
      <x:c r="N301" s="28" t="n">
        <x:v>0</x:v>
      </x:c>
      <x:c r="O301" s="28" t="str">
        <x:v>登记消耗1件；永久一次；不收金币/元宝/灵符</x:v>
      </x:c>
    </x:row>
    <x:row r="302" ht="30" customHeight="1">
      <x:c r="A302" s="28" t="str">
        <x:v>C05</x:v>
      </x:c>
      <x:c r="B302" s="28" t="str">
        <x:v>月影水宫</x:v>
      </x:c>
      <x:c r="C302" s="28" t="str">
        <x:v>澄潮祭步履</x:v>
      </x:c>
      <x:c r="D302" s="28" t="str">
        <x:v>普通</x:v>
      </x:c>
      <x:c r="E302" s="28" t="n">
        <x:v>1</x:v>
      </x:c>
      <x:c r="F302" s="28" t="n">
        <x:v>0</x:v>
      </x:c>
      <x:c r="G302" s="28" t="n">
        <x:v>0</x:v>
      </x:c>
      <x:c r="H302" s="28" t="n">
        <x:v>0</x:v>
      </x:c>
      <x:c r="I302" s="28" t="n">
        <x:v>8</x:v>
      </x:c>
      <x:c r="J302" s="28" t="n">
        <x:v>800</x:v>
      </x:c>
      <x:c r="K302" s="28" t="n">
        <x:v>0</x:v>
      </x:c>
      <x:c r="L302" s="28" t="n">
        <x:v>0</x:v>
      </x:c>
      <x:c r="M302" s="28" t="n">
        <x:v>0</x:v>
      </x:c>
      <x:c r="N302" s="28" t="n">
        <x:v>0</x:v>
      </x:c>
      <x:c r="O302" s="28" t="str">
        <x:v>登记消耗1件；永久一次；不收金币/元宝/灵符</x:v>
      </x:c>
    </x:row>
    <x:row r="303" ht="30" customHeight="1">
      <x:c r="A303" s="28" t="str">
        <x:v>C05</x:v>
      </x:c>
      <x:c r="B303" s="28" t="str">
        <x:v>月影水宫</x:v>
      </x:c>
      <x:c r="C303" s="28" t="str">
        <x:v>月镜游鱼戒</x:v>
      </x:c>
      <x:c r="D303" s="28" t="str">
        <x:v>普通</x:v>
      </x:c>
      <x:c r="E303" s="28" t="n">
        <x:v>1</x:v>
      </x:c>
      <x:c r="F303" s="28" t="n">
        <x:v>0</x:v>
      </x:c>
      <x:c r="G303" s="28" t="n">
        <x:v>0</x:v>
      </x:c>
      <x:c r="H303" s="28" t="n">
        <x:v>0</x:v>
      </x:c>
      <x:c r="I303" s="28" t="n">
        <x:v>8</x:v>
      </x:c>
      <x:c r="J303" s="28" t="n">
        <x:v>800</x:v>
      </x:c>
      <x:c r="K303" s="28" t="n">
        <x:v>0</x:v>
      </x:c>
      <x:c r="L303" s="28" t="n">
        <x:v>0</x:v>
      </x:c>
      <x:c r="M303" s="28" t="n">
        <x:v>0</x:v>
      </x:c>
      <x:c r="N303" s="28" t="n">
        <x:v>0</x:v>
      </x:c>
      <x:c r="O303" s="28" t="str">
        <x:v>登记消耗1件；永久一次；不收金币/元宝/灵符</x:v>
      </x:c>
    </x:row>
    <x:row r="304" ht="30" customHeight="1">
      <x:c r="A304" s="28" t="str">
        <x:v>C05</x:v>
      </x:c>
      <x:c r="B304" s="28" t="str">
        <x:v>月影水宫</x:v>
      </x:c>
      <x:c r="C304" s="28" t="str">
        <x:v>影潮潜宫带</x:v>
      </x:c>
      <x:c r="D304" s="28" t="str">
        <x:v>稀有</x:v>
      </x:c>
      <x:c r="E304" s="28" t="n">
        <x:v>1</x:v>
      </x:c>
      <x:c r="F304" s="28" t="n">
        <x:v>0</x:v>
      </x:c>
      <x:c r="G304" s="28" t="n">
        <x:v>0</x:v>
      </x:c>
      <x:c r="H304" s="28" t="n">
        <x:v>0</x:v>
      </x:c>
      <x:c r="I304" s="28" t="n">
        <x:v>16</x:v>
      </x:c>
      <x:c r="J304" s="28" t="n">
        <x:v>1600</x:v>
      </x:c>
      <x:c r="K304" s="28" t="n">
        <x:v>5</x:v>
      </x:c>
      <x:c r="L304" s="28" t="n">
        <x:v>0</x:v>
      </x:c>
      <x:c r="M304" s="28" t="n">
        <x:v>0</x:v>
      </x:c>
      <x:c r="N304" s="28" t="n">
        <x:v>0</x:v>
      </x:c>
      <x:c r="O304" s="28" t="str">
        <x:v>登记消耗1件；永久一次；不收金币/元宝/灵符</x:v>
      </x:c>
    </x:row>
    <x:row r="305" ht="30" customHeight="1">
      <x:c r="A305" s="28" t="str">
        <x:v>C05</x:v>
      </x:c>
      <x:c r="B305" s="28" t="str">
        <x:v>月影水宫</x:v>
      </x:c>
      <x:c r="C305" s="28" t="str">
        <x:v>凝霜乐师冠</x:v>
      </x:c>
      <x:c r="D305" s="28" t="str">
        <x:v>稀有</x:v>
      </x:c>
      <x:c r="E305" s="28" t="n">
        <x:v>1</x:v>
      </x:c>
      <x:c r="F305" s="28" t="n">
        <x:v>0</x:v>
      </x:c>
      <x:c r="G305" s="28" t="n">
        <x:v>0</x:v>
      </x:c>
      <x:c r="H305" s="28" t="n">
        <x:v>0</x:v>
      </x:c>
      <x:c r="I305" s="28" t="n">
        <x:v>16</x:v>
      </x:c>
      <x:c r="J305" s="28" t="n">
        <x:v>1600</x:v>
      </x:c>
      <x:c r="K305" s="28" t="n">
        <x:v>5</x:v>
      </x:c>
      <x:c r="L305" s="28" t="n">
        <x:v>0</x:v>
      </x:c>
      <x:c r="M305" s="28" t="n">
        <x:v>0</x:v>
      </x:c>
      <x:c r="N305" s="28" t="n">
        <x:v>0</x:v>
      </x:c>
      <x:c r="O305" s="28" t="str">
        <x:v>登记消耗1件；永久一次；不收金币/元宝/灵符</x:v>
      </x:c>
    </x:row>
    <x:row r="306" ht="30" customHeight="1">
      <x:c r="A306" s="28" t="str">
        <x:v>C05</x:v>
      </x:c>
      <x:c r="B306" s="28" t="str">
        <x:v>月影水宫</x:v>
      </x:c>
      <x:c r="C306" s="28" t="str">
        <x:v>悬月卫潮链</x:v>
      </x:c>
      <x:c r="D306" s="28" t="str">
        <x:v>稀有</x:v>
      </x:c>
      <x:c r="E306" s="28" t="n">
        <x:v>1</x:v>
      </x:c>
      <x:c r="F306" s="28" t="n">
        <x:v>0</x:v>
      </x:c>
      <x:c r="G306" s="28" t="n">
        <x:v>0</x:v>
      </x:c>
      <x:c r="H306" s="28" t="n">
        <x:v>0</x:v>
      </x:c>
      <x:c r="I306" s="28" t="n">
        <x:v>16</x:v>
      </x:c>
      <x:c r="J306" s="28" t="n">
        <x:v>1600</x:v>
      </x:c>
      <x:c r="K306" s="28" t="n">
        <x:v>5</x:v>
      </x:c>
      <x:c r="L306" s="28" t="n">
        <x:v>0</x:v>
      </x:c>
      <x:c r="M306" s="28" t="n">
        <x:v>0</x:v>
      </x:c>
      <x:c r="N306" s="28" t="n">
        <x:v>0</x:v>
      </x:c>
      <x:c r="O306" s="28" t="str">
        <x:v>登记消耗1件；永久一次；不收金币/元宝/灵符</x:v>
      </x:c>
    </x:row>
    <x:row r="307" ht="30" customHeight="1">
      <x:c r="A307" s="28" t="str">
        <x:v>C05</x:v>
      </x:c>
      <x:c r="B307" s="28" t="str">
        <x:v>月影水宫</x:v>
      </x:c>
      <x:c r="C307" s="28" t="str">
        <x:v>琉潮白鳍章</x:v>
      </x:c>
      <x:c r="D307" s="28" t="str">
        <x:v>稀有</x:v>
      </x:c>
      <x:c r="E307" s="28" t="n">
        <x:v>1</x:v>
      </x:c>
      <x:c r="F307" s="28" t="n">
        <x:v>0</x:v>
      </x:c>
      <x:c r="G307" s="28" t="n">
        <x:v>0</x:v>
      </x:c>
      <x:c r="H307" s="28" t="n">
        <x:v>0</x:v>
      </x:c>
      <x:c r="I307" s="28" t="n">
        <x:v>16</x:v>
      </x:c>
      <x:c r="J307" s="28" t="n">
        <x:v>1600</x:v>
      </x:c>
      <x:c r="K307" s="28" t="n">
        <x:v>5</x:v>
      </x:c>
      <x:c r="L307" s="28" t="n">
        <x:v>0</x:v>
      </x:c>
      <x:c r="M307" s="28" t="n">
        <x:v>0</x:v>
      </x:c>
      <x:c r="N307" s="28" t="n">
        <x:v>0</x:v>
      </x:c>
      <x:c r="O307" s="28" t="str">
        <x:v>登记消耗1件；永久一次；不收金币/元宝/灵符</x:v>
      </x:c>
    </x:row>
    <x:row r="308" ht="30" customHeight="1">
      <x:c r="A308" s="28" t="str">
        <x:v>C05</x:v>
      </x:c>
      <x:c r="B308" s="28" t="str">
        <x:v>月影水宫</x:v>
      </x:c>
      <x:c r="C308" s="28" t="str">
        <x:v>掌灯君月华衣</x:v>
      </x:c>
      <x:c r="D308" s="28" t="str">
        <x:v>地图BOSS</x:v>
      </x:c>
      <x:c r="E308" s="28" t="n">
        <x:v>1</x:v>
      </x:c>
      <x:c r="F308" s="28" t="n">
        <x:v>0</x:v>
      </x:c>
      <x:c r="G308" s="28" t="n">
        <x:v>0</x:v>
      </x:c>
      <x:c r="H308" s="28" t="n">
        <x:v>0</x:v>
      </x:c>
      <x:c r="I308" s="28" t="n">
        <x:v>24</x:v>
      </x:c>
      <x:c r="J308" s="28" t="n">
        <x:v>2400</x:v>
      </x:c>
      <x:c r="K308" s="28" t="n">
        <x:v>0</x:v>
      </x:c>
      <x:c r="L308" s="28" t="n">
        <x:v>1</x:v>
      </x:c>
      <x:c r="M308" s="28" t="n">
        <x:v>0</x:v>
      </x:c>
      <x:c r="N308" s="28" t="n">
        <x:v>0</x:v>
      </x:c>
      <x:c r="O308" s="28" t="str">
        <x:v>登记消耗1件；永久一次；不收金币/元宝/灵符</x:v>
      </x:c>
    </x:row>
    <x:row r="309" ht="30" customHeight="1">
      <x:c r="A309" s="28" t="str">
        <x:v>C05</x:v>
      </x:c>
      <x:c r="B309" s="28" t="str">
        <x:v>月影水宫</x:v>
      </x:c>
      <x:c r="C309" s="28" t="str">
        <x:v>深潮王女权杖</x:v>
      </x:c>
      <x:c r="D309" s="28" t="str">
        <x:v>地图BOSS</x:v>
      </x:c>
      <x:c r="E309" s="28" t="n">
        <x:v>1</x:v>
      </x:c>
      <x:c r="F309" s="28" t="n">
        <x:v>0</x:v>
      </x:c>
      <x:c r="G309" s="28" t="n">
        <x:v>0</x:v>
      </x:c>
      <x:c r="H309" s="28" t="n">
        <x:v>0</x:v>
      </x:c>
      <x:c r="I309" s="28" t="n">
        <x:v>24</x:v>
      </x:c>
      <x:c r="J309" s="28" t="n">
        <x:v>2400</x:v>
      </x:c>
      <x:c r="K309" s="28" t="n">
        <x:v>0</x:v>
      </x:c>
      <x:c r="L309" s="28" t="n">
        <x:v>1</x:v>
      </x:c>
      <x:c r="M309" s="28" t="n">
        <x:v>0</x:v>
      </x:c>
      <x:c r="N309" s="28" t="n">
        <x:v>0</x:v>
      </x:c>
      <x:c r="O309" s="28" t="str">
        <x:v>登记消耗1件；永久一次；不收金币/元宝/灵符</x:v>
      </x:c>
    </x:row>
    <x:row r="310" ht="30" customHeight="1">
      <x:c r="A310" s="28" t="str">
        <x:v>C05</x:v>
      </x:c>
      <x:c r="B310" s="28" t="str">
        <x:v>卡利亚禁域</x:v>
      </x:c>
      <x:c r="C310" s="28" t="str">
        <x:v>蓝焰逐影履</x:v>
      </x:c>
      <x:c r="D310" s="28" t="str">
        <x:v>普通</x:v>
      </x:c>
      <x:c r="E310" s="28" t="n">
        <x:v>1</x:v>
      </x:c>
      <x:c r="F310" s="28" t="n">
        <x:v>0</x:v>
      </x:c>
      <x:c r="G310" s="28" t="n">
        <x:v>0</x:v>
      </x:c>
      <x:c r="H310" s="28" t="n">
        <x:v>0</x:v>
      </x:c>
      <x:c r="I310" s="28" t="n">
        <x:v>8</x:v>
      </x:c>
      <x:c r="J310" s="28" t="n">
        <x:v>800</x:v>
      </x:c>
      <x:c r="K310" s="28" t="n">
        <x:v>0</x:v>
      </x:c>
      <x:c r="L310" s="28" t="n">
        <x:v>0</x:v>
      </x:c>
      <x:c r="M310" s="28" t="n">
        <x:v>0</x:v>
      </x:c>
      <x:c r="N310" s="28" t="n">
        <x:v>0</x:v>
      </x:c>
      <x:c r="O310" s="28" t="str">
        <x:v>登记消耗1件；永久一次；不收金币/元宝/灵符</x:v>
      </x:c>
    </x:row>
    <x:row r="311" ht="30" customHeight="1">
      <x:c r="A311" s="28" t="str">
        <x:v>C05</x:v>
      </x:c>
      <x:c r="B311" s="28" t="str">
        <x:v>卡利亚禁域</x:v>
      </x:c>
      <x:c r="C311" s="28" t="str">
        <x:v>断誓侍银剑</x:v>
      </x:c>
      <x:c r="D311" s="28" t="str">
        <x:v>普通</x:v>
      </x:c>
      <x:c r="E311" s="28" t="n">
        <x:v>1</x:v>
      </x:c>
      <x:c r="F311" s="28" t="n">
        <x:v>0</x:v>
      </x:c>
      <x:c r="G311" s="28" t="n">
        <x:v>0</x:v>
      </x:c>
      <x:c r="H311" s="28" t="n">
        <x:v>0</x:v>
      </x:c>
      <x:c r="I311" s="28" t="n">
        <x:v>8</x:v>
      </x:c>
      <x:c r="J311" s="28" t="n">
        <x:v>800</x:v>
      </x:c>
      <x:c r="K311" s="28" t="n">
        <x:v>0</x:v>
      </x:c>
      <x:c r="L311" s="28" t="n">
        <x:v>0</x:v>
      </x:c>
      <x:c r="M311" s="28" t="n">
        <x:v>0</x:v>
      </x:c>
      <x:c r="N311" s="28" t="n">
        <x:v>0</x:v>
      </x:c>
      <x:c r="O311" s="28" t="str">
        <x:v>登记消耗1件；永久一次；不收金币/元宝/灵符</x:v>
      </x:c>
    </x:row>
    <x:row r="312" ht="30" customHeight="1">
      <x:c r="A312" s="28" t="str">
        <x:v>C05</x:v>
      </x:c>
      <x:c r="B312" s="28" t="str">
        <x:v>卡利亚禁域</x:v>
      </x:c>
      <x:c r="C312" s="28" t="str">
        <x:v>折月傀镜盾</x:v>
      </x:c>
      <x:c r="D312" s="28" t="str">
        <x:v>普通</x:v>
      </x:c>
      <x:c r="E312" s="28" t="n">
        <x:v>1</x:v>
      </x:c>
      <x:c r="F312" s="28" t="n">
        <x:v>0</x:v>
      </x:c>
      <x:c r="G312" s="28" t="n">
        <x:v>0</x:v>
      </x:c>
      <x:c r="H312" s="28" t="n">
        <x:v>0</x:v>
      </x:c>
      <x:c r="I312" s="28" t="n">
        <x:v>8</x:v>
      </x:c>
      <x:c r="J312" s="28" t="n">
        <x:v>800</x:v>
      </x:c>
      <x:c r="K312" s="28" t="n">
        <x:v>0</x:v>
      </x:c>
      <x:c r="L312" s="28" t="n">
        <x:v>0</x:v>
      </x:c>
      <x:c r="M312" s="28" t="n">
        <x:v>0</x:v>
      </x:c>
      <x:c r="N312" s="28" t="n">
        <x:v>0</x:v>
      </x:c>
      <x:c r="O312" s="28" t="str">
        <x:v>登记消耗1件；永久一次；不收金币/元宝/灵符</x:v>
      </x:c>
    </x:row>
    <x:row r="313" ht="30" customHeight="1">
      <x:c r="A313" s="28" t="str">
        <x:v>C05</x:v>
      </x:c>
      <x:c r="B313" s="28" t="str">
        <x:v>卡利亚禁域</x:v>
      </x:c>
      <x:c r="C313" s="28" t="str">
        <x:v>银纹封庭镯</x:v>
      </x:c>
      <x:c r="D313" s="28" t="str">
        <x:v>普通</x:v>
      </x:c>
      <x:c r="E313" s="28" t="n">
        <x:v>1</x:v>
      </x:c>
      <x:c r="F313" s="28" t="n">
        <x:v>0</x:v>
      </x:c>
      <x:c r="G313" s="28" t="n">
        <x:v>0</x:v>
      </x:c>
      <x:c r="H313" s="28" t="n">
        <x:v>0</x:v>
      </x:c>
      <x:c r="I313" s="28" t="n">
        <x:v>8</x:v>
      </x:c>
      <x:c r="J313" s="28" t="n">
        <x:v>800</x:v>
      </x:c>
      <x:c r="K313" s="28" t="n">
        <x:v>0</x:v>
      </x:c>
      <x:c r="L313" s="28" t="n">
        <x:v>0</x:v>
      </x:c>
      <x:c r="M313" s="28" t="n">
        <x:v>0</x:v>
      </x:c>
      <x:c r="N313" s="28" t="n">
        <x:v>0</x:v>
      </x:c>
      <x:c r="O313" s="28" t="str">
        <x:v>登记消耗1件；永久一次；不收金币/元宝/灵符</x:v>
      </x:c>
    </x:row>
    <x:row r="314" ht="30" customHeight="1">
      <x:c r="A314" s="28" t="str">
        <x:v>C05</x:v>
      </x:c>
      <x:c r="B314" s="28" t="str">
        <x:v>卡利亚禁域</x:v>
      </x:c>
      <x:c r="C314" s="28" t="str">
        <x:v>噬辉蛾蚀月笠</x:v>
      </x:c>
      <x:c r="D314" s="28" t="str">
        <x:v>普通</x:v>
      </x:c>
      <x:c r="E314" s="28" t="n">
        <x:v>1</x:v>
      </x:c>
      <x:c r="F314" s="28" t="n">
        <x:v>0</x:v>
      </x:c>
      <x:c r="G314" s="28" t="n">
        <x:v>0</x:v>
      </x:c>
      <x:c r="H314" s="28" t="n">
        <x:v>0</x:v>
      </x:c>
      <x:c r="I314" s="28" t="n">
        <x:v>8</x:v>
      </x:c>
      <x:c r="J314" s="28" t="n">
        <x:v>800</x:v>
      </x:c>
      <x:c r="K314" s="28" t="n">
        <x:v>0</x:v>
      </x:c>
      <x:c r="L314" s="28" t="n">
        <x:v>0</x:v>
      </x:c>
      <x:c r="M314" s="28" t="n">
        <x:v>0</x:v>
      </x:c>
      <x:c r="N314" s="28" t="n">
        <x:v>0</x:v>
      </x:c>
      <x:c r="O314" s="28" t="str">
        <x:v>登记消耗1件；永久一次；不收金币/元宝/灵符</x:v>
      </x:c>
    </x:row>
    <x:row r="315" ht="30" customHeight="1">
      <x:c r="A315" s="28" t="str">
        <x:v>C05</x:v>
      </x:c>
      <x:c r="B315" s="28" t="str">
        <x:v>卡利亚禁域</x:v>
      </x:c>
      <x:c r="C315" s="28" t="str">
        <x:v>守星残灵戒</x:v>
      </x:c>
      <x:c r="D315" s="28" t="str">
        <x:v>普通</x:v>
      </x:c>
      <x:c r="E315" s="28" t="n">
        <x:v>1</x:v>
      </x:c>
      <x:c r="F315" s="28" t="n">
        <x:v>0</x:v>
      </x:c>
      <x:c r="G315" s="28" t="n">
        <x:v>0</x:v>
      </x:c>
      <x:c r="H315" s="28" t="n">
        <x:v>0</x:v>
      </x:c>
      <x:c r="I315" s="28" t="n">
        <x:v>8</x:v>
      </x:c>
      <x:c r="J315" s="28" t="n">
        <x:v>800</x:v>
      </x:c>
      <x:c r="K315" s="28" t="n">
        <x:v>0</x:v>
      </x:c>
      <x:c r="L315" s="28" t="n">
        <x:v>0</x:v>
      </x:c>
      <x:c r="M315" s="28" t="n">
        <x:v>0</x:v>
      </x:c>
      <x:c r="N315" s="28" t="n">
        <x:v>0</x:v>
      </x:c>
      <x:c r="O315" s="28" t="str">
        <x:v>登记消耗1件；永久一次；不收金币/元宝/灵符</x:v>
      </x:c>
    </x:row>
    <x:row r="316" ht="30" customHeight="1">
      <x:c r="A316" s="28" t="str">
        <x:v>C05</x:v>
      </x:c>
      <x:c r="B316" s="28" t="str">
        <x:v>卡利亚禁域</x:v>
      </x:c>
      <x:c r="C316" s="28" t="str">
        <x:v>镜刃王室链</x:v>
      </x:c>
      <x:c r="D316" s="28" t="str">
        <x:v>稀有</x:v>
      </x:c>
      <x:c r="E316" s="28" t="n">
        <x:v>1</x:v>
      </x:c>
      <x:c r="F316" s="28" t="n">
        <x:v>0</x:v>
      </x:c>
      <x:c r="G316" s="28" t="n">
        <x:v>0</x:v>
      </x:c>
      <x:c r="H316" s="28" t="n">
        <x:v>0</x:v>
      </x:c>
      <x:c r="I316" s="28" t="n">
        <x:v>16</x:v>
      </x:c>
      <x:c r="J316" s="28" t="n">
        <x:v>1600</x:v>
      </x:c>
      <x:c r="K316" s="28" t="n">
        <x:v>5</x:v>
      </x:c>
      <x:c r="L316" s="28" t="n">
        <x:v>0</x:v>
      </x:c>
      <x:c r="M316" s="28" t="n">
        <x:v>0</x:v>
      </x:c>
      <x:c r="N316" s="28" t="n">
        <x:v>0</x:v>
      </x:c>
      <x:c r="O316" s="28" t="str">
        <x:v>登记消耗1件；永久一次；不收金币/元宝/灵符</x:v>
      </x:c>
    </x:row>
    <x:row r="317" ht="30" customHeight="1">
      <x:c r="A317" s="28" t="str">
        <x:v>C05</x:v>
      </x:c>
      <x:c r="B317" s="28" t="str">
        <x:v>卡利亚禁域</x:v>
      </x:c>
      <x:c r="C317" s="28" t="str">
        <x:v>缄门法官冠</x:v>
      </x:c>
      <x:c r="D317" s="28" t="str">
        <x:v>稀有</x:v>
      </x:c>
      <x:c r="E317" s="28" t="n">
        <x:v>1</x:v>
      </x:c>
      <x:c r="F317" s="28" t="n">
        <x:v>0</x:v>
      </x:c>
      <x:c r="G317" s="28" t="n">
        <x:v>0</x:v>
      </x:c>
      <x:c r="H317" s="28" t="n">
        <x:v>0</x:v>
      </x:c>
      <x:c r="I317" s="28" t="n">
        <x:v>16</x:v>
      </x:c>
      <x:c r="J317" s="28" t="n">
        <x:v>1600</x:v>
      </x:c>
      <x:c r="K317" s="28" t="n">
        <x:v>5</x:v>
      </x:c>
      <x:c r="L317" s="28" t="n">
        <x:v>0</x:v>
      </x:c>
      <x:c r="M317" s="28" t="n">
        <x:v>0</x:v>
      </x:c>
      <x:c r="N317" s="28" t="n">
        <x:v>0</x:v>
      </x:c>
      <x:c r="O317" s="28" t="str">
        <x:v>登记消耗1件；永久一次；不收金币/元宝/灵符</x:v>
      </x:c>
    </x:row>
    <x:row r="318" ht="30" customHeight="1">
      <x:c r="A318" s="28" t="str">
        <x:v>C05</x:v>
      </x:c>
      <x:c r="B318" s="28" t="str">
        <x:v>卡利亚禁域</x:v>
      </x:c>
      <x:c r="C318" s="28" t="str">
        <x:v>月契封印带</x:v>
      </x:c>
      <x:c r="D318" s="28" t="str">
        <x:v>稀有</x:v>
      </x:c>
      <x:c r="E318" s="28" t="n">
        <x:v>1</x:v>
      </x:c>
      <x:c r="F318" s="28" t="n">
        <x:v>0</x:v>
      </x:c>
      <x:c r="G318" s="28" t="n">
        <x:v>0</x:v>
      </x:c>
      <x:c r="H318" s="28" t="n">
        <x:v>0</x:v>
      </x:c>
      <x:c r="I318" s="28" t="n">
        <x:v>16</x:v>
      </x:c>
      <x:c r="J318" s="28" t="n">
        <x:v>1600</x:v>
      </x:c>
      <x:c r="K318" s="28" t="n">
        <x:v>5</x:v>
      </x:c>
      <x:c r="L318" s="28" t="n">
        <x:v>0</x:v>
      </x:c>
      <x:c r="M318" s="28" t="n">
        <x:v>0</x:v>
      </x:c>
      <x:c r="N318" s="28" t="n">
        <x:v>0</x:v>
      </x:c>
      <x:c r="O318" s="28" t="str">
        <x:v>登记消耗1件；永久一次；不收金币/元宝/灵符</x:v>
      </x:c>
    </x:row>
    <x:row r="319" ht="30" customHeight="1">
      <x:c r="A319" s="28" t="str">
        <x:v>C05</x:v>
      </x:c>
      <x:c r="B319" s="28" t="str">
        <x:v>卡利亚禁域</x:v>
      </x:c>
      <x:c r="C319" s="28" t="str">
        <x:v>蚀冠密殿章</x:v>
      </x:c>
      <x:c r="D319" s="28" t="str">
        <x:v>稀有</x:v>
      </x:c>
      <x:c r="E319" s="28" t="n">
        <x:v>1</x:v>
      </x:c>
      <x:c r="F319" s="28" t="n">
        <x:v>0</x:v>
      </x:c>
      <x:c r="G319" s="28" t="n">
        <x:v>0</x:v>
      </x:c>
      <x:c r="H319" s="28" t="n">
        <x:v>0</x:v>
      </x:c>
      <x:c r="I319" s="28" t="n">
        <x:v>16</x:v>
      </x:c>
      <x:c r="J319" s="28" t="n">
        <x:v>1600</x:v>
      </x:c>
      <x:c r="K319" s="28" t="n">
        <x:v>5</x:v>
      </x:c>
      <x:c r="L319" s="28" t="n">
        <x:v>0</x:v>
      </x:c>
      <x:c r="M319" s="28" t="n">
        <x:v>0</x:v>
      </x:c>
      <x:c r="N319" s="28" t="n">
        <x:v>0</x:v>
      </x:c>
      <x:c r="O319" s="28" t="str">
        <x:v>登记消耗1件；永久一次；不收金币/元宝/灵符</x:v>
      </x:c>
    </x:row>
    <x:row r="320" ht="30" customHeight="1">
      <x:c r="A320" s="28" t="str">
        <x:v>C05</x:v>
      </x:c>
      <x:c r="B320" s="28" t="str">
        <x:v>卡利亚禁域</x:v>
      </x:c>
      <x:c r="C320" s="28" t="str">
        <x:v>司冕月蚀礼衣</x:v>
      </x:c>
      <x:c r="D320" s="28" t="str">
        <x:v>地图BOSS</x:v>
      </x:c>
      <x:c r="E320" s="28" t="n">
        <x:v>1</x:v>
      </x:c>
      <x:c r="F320" s="28" t="n">
        <x:v>0</x:v>
      </x:c>
      <x:c r="G320" s="28" t="n">
        <x:v>0</x:v>
      </x:c>
      <x:c r="H320" s="28" t="n">
        <x:v>0</x:v>
      </x:c>
      <x:c r="I320" s="28" t="n">
        <x:v>24</x:v>
      </x:c>
      <x:c r="J320" s="28" t="n">
        <x:v>2400</x:v>
      </x:c>
      <x:c r="K320" s="28" t="n">
        <x:v>0</x:v>
      </x:c>
      <x:c r="L320" s="28" t="n">
        <x:v>1</x:v>
      </x:c>
      <x:c r="M320" s="28" t="n">
        <x:v>0</x:v>
      </x:c>
      <x:c r="N320" s="28" t="n">
        <x:v>0</x:v>
      </x:c>
      <x:c r="O320" s="28" t="str">
        <x:v>登记消耗1件；永久一次；不收金币/元宝/灵符</x:v>
      </x:c>
    </x:row>
    <x:row r="321" ht="30" customHeight="1">
      <x:c r="A321" s="28" t="str">
        <x:v>C05</x:v>
      </x:c>
      <x:c r="B321" s="28" t="str">
        <x:v>卡利亚禁域</x:v>
      </x:c>
      <x:c r="C321" s="28" t="str">
        <x:v>摄政灵辉杖</x:v>
      </x:c>
      <x:c r="D321" s="28" t="str">
        <x:v>地图BOSS</x:v>
      </x:c>
      <x:c r="E321" s="28" t="n">
        <x:v>1</x:v>
      </x:c>
      <x:c r="F321" s="28" t="n">
        <x:v>0</x:v>
      </x:c>
      <x:c r="G321" s="28" t="n">
        <x:v>0</x:v>
      </x:c>
      <x:c r="H321" s="28" t="n">
        <x:v>0</x:v>
      </x:c>
      <x:c r="I321" s="28" t="n">
        <x:v>24</x:v>
      </x:c>
      <x:c r="J321" s="28" t="n">
        <x:v>2400</x:v>
      </x:c>
      <x:c r="K321" s="28" t="n">
        <x:v>0</x:v>
      </x:c>
      <x:c r="L321" s="28" t="n">
        <x:v>1</x:v>
      </x:c>
      <x:c r="M321" s="28" t="n">
        <x:v>0</x:v>
      </x:c>
      <x:c r="N321" s="28" t="n">
        <x:v>0</x:v>
      </x:c>
      <x:c r="O321" s="28" t="str">
        <x:v>登记消耗1件；永久一次；不收金币/元宝/灵符</x:v>
      </x:c>
    </x:row>
    <x:row r="322" ht="30" customHeight="1">
      <x:c r="A322" s="28" t="str">
        <x:v>C05</x:v>
      </x:c>
      <x:c r="B322" s="28" t="str">
        <x:v>卡利亚禁域</x:v>
      </x:c>
      <x:c r="C322" s="28" t="str">
        <x:v>终誓月裁剑</x:v>
      </x:c>
      <x:c r="D322" s="28" t="str">
        <x:v>守关BOSS</x:v>
      </x:c>
      <x:c r="E322" s="28" t="n">
        <x:v>1</x:v>
      </x:c>
      <x:c r="F322" s="28" t="n">
        <x:v>0</x:v>
      </x:c>
      <x:c r="G322" s="28" t="n">
        <x:v>0</x:v>
      </x:c>
      <x:c r="H322" s="28" t="n">
        <x:v>0</x:v>
      </x:c>
      <x:c r="I322" s="28" t="n">
        <x:v>32</x:v>
      </x:c>
      <x:c r="J322" s="28" t="n">
        <x:v>3200</x:v>
      </x:c>
      <x:c r="K322" s="28" t="n">
        <x:v>0</x:v>
      </x:c>
      <x:c r="L322" s="28" t="n">
        <x:v>1</x:v>
      </x:c>
      <x:c r="M322" s="28" t="n">
        <x:v>0</x:v>
      </x:c>
      <x:c r="N322" s="28" t="n">
        <x:v>0</x:v>
      </x:c>
      <x:c r="O322" s="28" t="str">
        <x:v>登记消耗1件；永久一次；不收金币/元宝/灵符</x:v>
      </x:c>
    </x:row>
    <x:row r="323" ht="30" customHeight="1">
      <x:c r="A323" s="28" t="str">
        <x:v>C06</x:v>
      </x:c>
      <x:c r="B323" s="28" t="str">
        <x:v>猩红熔原</x:v>
      </x:c>
      <x:c r="C323" s="28" t="str">
        <x:v>灰背灼牙</x:v>
      </x:c>
      <x:c r="D323" s="28" t="str">
        <x:v>普通</x:v>
      </x:c>
      <x:c r="E323" s="28" t="n">
        <x:v>1</x:v>
      </x:c>
      <x:c r="F323" s="28" t="n">
        <x:v>0</x:v>
      </x:c>
      <x:c r="G323" s="28" t="n">
        <x:v>0</x:v>
      </x:c>
      <x:c r="H323" s="28" t="n">
        <x:v>0</x:v>
      </x:c>
      <x:c r="I323" s="28" t="n">
        <x:v>12</x:v>
      </x:c>
      <x:c r="J323" s="28" t="n">
        <x:v>1200</x:v>
      </x:c>
      <x:c r="K323" s="28" t="n">
        <x:v>0</x:v>
      </x:c>
      <x:c r="L323" s="28" t="n">
        <x:v>0</x:v>
      </x:c>
      <x:c r="M323" s="28" t="n">
        <x:v>0</x:v>
      </x:c>
      <x:c r="N323" s="28" t="n">
        <x:v>0</x:v>
      </x:c>
      <x:c r="O323" s="28" t="str">
        <x:v>登记消耗1件；永久一次；不收金币/元宝/灵符</x:v>
      </x:c>
    </x:row>
    <x:row r="324" ht="30" customHeight="1">
      <x:c r="A324" s="28" t="str">
        <x:v>C06</x:v>
      </x:c>
      <x:c r="B324" s="28" t="str">
        <x:v>猩红熔原</x:v>
      </x:c>
      <x:c r="C324" s="28" t="str">
        <x:v>拾骸骨盔</x:v>
      </x:c>
      <x:c r="D324" s="28" t="str">
        <x:v>普通</x:v>
      </x:c>
      <x:c r="E324" s="28" t="n">
        <x:v>1</x:v>
      </x:c>
      <x:c r="F324" s="28" t="n">
        <x:v>0</x:v>
      </x:c>
      <x:c r="G324" s="28" t="n">
        <x:v>0</x:v>
      </x:c>
      <x:c r="H324" s="28" t="n">
        <x:v>0</x:v>
      </x:c>
      <x:c r="I324" s="28" t="n">
        <x:v>12</x:v>
      </x:c>
      <x:c r="J324" s="28" t="n">
        <x:v>1200</x:v>
      </x:c>
      <x:c r="K324" s="28" t="n">
        <x:v>0</x:v>
      </x:c>
      <x:c r="L324" s="28" t="n">
        <x:v>0</x:v>
      </x:c>
      <x:c r="M324" s="28" t="n">
        <x:v>0</x:v>
      </x:c>
      <x:c r="N324" s="28" t="n">
        <x:v>0</x:v>
      </x:c>
      <x:c r="O324" s="28" t="str">
        <x:v>登记消耗1件；永久一次；不收金币/元宝/灵符</x:v>
      </x:c>
    </x:row>
    <x:row r="325" ht="30" customHeight="1">
      <x:c r="A325" s="28" t="str">
        <x:v>C06</x:v>
      </x:c>
      <x:c r="B325" s="28" t="str">
        <x:v>猩红熔原</x:v>
      </x:c>
      <x:c r="C325" s="28" t="str">
        <x:v>岩河鳞衣</x:v>
      </x:c>
      <x:c r="D325" s="28" t="str">
        <x:v>普通</x:v>
      </x:c>
      <x:c r="E325" s="28" t="n">
        <x:v>1</x:v>
      </x:c>
      <x:c r="F325" s="28" t="n">
        <x:v>0</x:v>
      </x:c>
      <x:c r="G325" s="28" t="n">
        <x:v>0</x:v>
      </x:c>
      <x:c r="H325" s="28" t="n">
        <x:v>0</x:v>
      </x:c>
      <x:c r="I325" s="28" t="n">
        <x:v>12</x:v>
      </x:c>
      <x:c r="J325" s="28" t="n">
        <x:v>1200</x:v>
      </x:c>
      <x:c r="K325" s="28" t="n">
        <x:v>0</x:v>
      </x:c>
      <x:c r="L325" s="28" t="n">
        <x:v>0</x:v>
      </x:c>
      <x:c r="M325" s="28" t="n">
        <x:v>0</x:v>
      </x:c>
      <x:c r="N325" s="28" t="n">
        <x:v>0</x:v>
      </x:c>
      <x:c r="O325" s="28" t="str">
        <x:v>登记消耗1件；永久一次；不收金币/元宝/灵符</x:v>
      </x:c>
    </x:row>
    <x:row r="326" ht="30" customHeight="1">
      <x:c r="A326" s="28" t="str">
        <x:v>C06</x:v>
      </x:c>
      <x:c r="B326" s="28" t="str">
        <x:v>猩红熔原</x:v>
      </x:c>
      <x:c r="C326" s="28" t="str">
        <x:v>执炭腰封</x:v>
      </x:c>
      <x:c r="D326" s="28" t="str">
        <x:v>普通</x:v>
      </x:c>
      <x:c r="E326" s="28" t="n">
        <x:v>1</x:v>
      </x:c>
      <x:c r="F326" s="28" t="n">
        <x:v>0</x:v>
      </x:c>
      <x:c r="G326" s="28" t="n">
        <x:v>0</x:v>
      </x:c>
      <x:c r="H326" s="28" t="n">
        <x:v>0</x:v>
      </x:c>
      <x:c r="I326" s="28" t="n">
        <x:v>12</x:v>
      </x:c>
      <x:c r="J326" s="28" t="n">
        <x:v>1200</x:v>
      </x:c>
      <x:c r="K326" s="28" t="n">
        <x:v>0</x:v>
      </x:c>
      <x:c r="L326" s="28" t="n">
        <x:v>0</x:v>
      </x:c>
      <x:c r="M326" s="28" t="n">
        <x:v>0</x:v>
      </x:c>
      <x:c r="N326" s="28" t="n">
        <x:v>0</x:v>
      </x:c>
      <x:c r="O326" s="28" t="str">
        <x:v>登记消耗1件；永久一次；不收金币/元宝/灵符</x:v>
      </x:c>
    </x:row>
    <x:row r="327" ht="30" customHeight="1">
      <x:c r="A327" s="28" t="str">
        <x:v>C06</x:v>
      </x:c>
      <x:c r="B327" s="28" t="str">
        <x:v>猩红熔原</x:v>
      </x:c>
      <x:c r="C327" s="28" t="str">
        <x:v>赤螯腕甲</x:v>
      </x:c>
      <x:c r="D327" s="28" t="str">
        <x:v>普通</x:v>
      </x:c>
      <x:c r="E327" s="28" t="n">
        <x:v>1</x:v>
      </x:c>
      <x:c r="F327" s="28" t="n">
        <x:v>0</x:v>
      </x:c>
      <x:c r="G327" s="28" t="n">
        <x:v>0</x:v>
      </x:c>
      <x:c r="H327" s="28" t="n">
        <x:v>0</x:v>
      </x:c>
      <x:c r="I327" s="28" t="n">
        <x:v>12</x:v>
      </x:c>
      <x:c r="J327" s="28" t="n">
        <x:v>1200</x:v>
      </x:c>
      <x:c r="K327" s="28" t="n">
        <x:v>0</x:v>
      </x:c>
      <x:c r="L327" s="28" t="n">
        <x:v>0</x:v>
      </x:c>
      <x:c r="M327" s="28" t="n">
        <x:v>0</x:v>
      </x:c>
      <x:c r="N327" s="28" t="n">
        <x:v>0</x:v>
      </x:c>
      <x:c r="O327" s="28" t="str">
        <x:v>登记消耗1件；永久一次；不收金币/元宝/灵符</x:v>
      </x:c>
    </x:row>
    <x:row r="328" ht="30" customHeight="1">
      <x:c r="A328" s="28" t="str">
        <x:v>C06</x:v>
      </x:c>
      <x:c r="B328" s="28" t="str">
        <x:v>猩红熔原</x:v>
      </x:c>
      <x:c r="C328" s="28" t="str">
        <x:v>血尘猎靴</x:v>
      </x:c>
      <x:c r="D328" s="28" t="str">
        <x:v>普通</x:v>
      </x:c>
      <x:c r="E328" s="28" t="n">
        <x:v>1</x:v>
      </x:c>
      <x:c r="F328" s="28" t="n">
        <x:v>0</x:v>
      </x:c>
      <x:c r="G328" s="28" t="n">
        <x:v>0</x:v>
      </x:c>
      <x:c r="H328" s="28" t="n">
        <x:v>0</x:v>
      </x:c>
      <x:c r="I328" s="28" t="n">
        <x:v>12</x:v>
      </x:c>
      <x:c r="J328" s="28" t="n">
        <x:v>1200</x:v>
      </x:c>
      <x:c r="K328" s="28" t="n">
        <x:v>0</x:v>
      </x:c>
      <x:c r="L328" s="28" t="n">
        <x:v>0</x:v>
      </x:c>
      <x:c r="M328" s="28" t="n">
        <x:v>0</x:v>
      </x:c>
      <x:c r="N328" s="28" t="n">
        <x:v>0</x:v>
      </x:c>
      <x:c r="O328" s="28" t="str">
        <x:v>登记消耗1件；永久一次；不收金币/元宝/灵符</x:v>
      </x:c>
    </x:row>
    <x:row r="329" ht="30" customHeight="1">
      <x:c r="A329" s="28" t="str">
        <x:v>C06</x:v>
      </x:c>
      <x:c r="B329" s="28" t="str">
        <x:v>猩红熔原</x:v>
      </x:c>
      <x:c r="C329" s="28" t="str">
        <x:v>赤棘重戒</x:v>
      </x:c>
      <x:c r="D329" s="28" t="str">
        <x:v>稀有</x:v>
      </x:c>
      <x:c r="E329" s="28" t="n">
        <x:v>1</x:v>
      </x:c>
      <x:c r="F329" s="28" t="n">
        <x:v>0</x:v>
      </x:c>
      <x:c r="G329" s="28" t="n">
        <x:v>0</x:v>
      </x:c>
      <x:c r="H329" s="28" t="n">
        <x:v>0</x:v>
      </x:c>
      <x:c r="I329" s="28" t="n">
        <x:v>24</x:v>
      </x:c>
      <x:c r="J329" s="28" t="n">
        <x:v>2400</x:v>
      </x:c>
      <x:c r="K329" s="28" t="n">
        <x:v>5</x:v>
      </x:c>
      <x:c r="L329" s="28" t="n">
        <x:v>0</x:v>
      </x:c>
      <x:c r="M329" s="28" t="n">
        <x:v>0</x:v>
      </x:c>
      <x:c r="N329" s="28" t="n">
        <x:v>0</x:v>
      </x:c>
      <x:c r="O329" s="28" t="str">
        <x:v>登记消耗1件；永久一次；不收金币/元宝/灵符</x:v>
      </x:c>
    </x:row>
    <x:row r="330" ht="30" customHeight="1">
      <x:c r="A330" s="28" t="str">
        <x:v>C06</x:v>
      </x:c>
      <x:c r="B330" s="28" t="str">
        <x:v>猩红熔原</x:v>
      </x:c>
      <x:c r="C330" s="28" t="str">
        <x:v>焦脉祭链</x:v>
      </x:c>
      <x:c r="D330" s="28" t="str">
        <x:v>稀有</x:v>
      </x:c>
      <x:c r="E330" s="28" t="n">
        <x:v>1</x:v>
      </x:c>
      <x:c r="F330" s="28" t="n">
        <x:v>0</x:v>
      </x:c>
      <x:c r="G330" s="28" t="n">
        <x:v>0</x:v>
      </x:c>
      <x:c r="H330" s="28" t="n">
        <x:v>0</x:v>
      </x:c>
      <x:c r="I330" s="28" t="n">
        <x:v>24</x:v>
      </x:c>
      <x:c r="J330" s="28" t="n">
        <x:v>2400</x:v>
      </x:c>
      <x:c r="K330" s="28" t="n">
        <x:v>5</x:v>
      </x:c>
      <x:c r="L330" s="28" t="n">
        <x:v>0</x:v>
      </x:c>
      <x:c r="M330" s="28" t="n">
        <x:v>0</x:v>
      </x:c>
      <x:c r="N330" s="28" t="n">
        <x:v>0</x:v>
      </x:c>
      <x:c r="O330" s="28" t="str">
        <x:v>登记消耗1件；永久一次；不收金币/元宝/灵符</x:v>
      </x:c>
    </x:row>
    <x:row r="331" ht="30" customHeight="1">
      <x:c r="A331" s="28" t="str">
        <x:v>C06</x:v>
      </x:c>
      <x:c r="B331" s="28" t="str">
        <x:v>猩红熔原</x:v>
      </x:c>
      <x:c r="C331" s="28" t="str">
        <x:v>负甲熔盾</x:v>
      </x:c>
      <x:c r="D331" s="28" t="str">
        <x:v>稀有</x:v>
      </x:c>
      <x:c r="E331" s="28" t="n">
        <x:v>1</x:v>
      </x:c>
      <x:c r="F331" s="28" t="n">
        <x:v>0</x:v>
      </x:c>
      <x:c r="G331" s="28" t="n">
        <x:v>0</x:v>
      </x:c>
      <x:c r="H331" s="28" t="n">
        <x:v>0</x:v>
      </x:c>
      <x:c r="I331" s="28" t="n">
        <x:v>24</x:v>
      </x:c>
      <x:c r="J331" s="28" t="n">
        <x:v>2400</x:v>
      </x:c>
      <x:c r="K331" s="28" t="n">
        <x:v>5</x:v>
      </x:c>
      <x:c r="L331" s="28" t="n">
        <x:v>0</x:v>
      </x:c>
      <x:c r="M331" s="28" t="n">
        <x:v>0</x:v>
      </x:c>
      <x:c r="N331" s="28" t="n">
        <x:v>0</x:v>
      </x:c>
      <x:c r="O331" s="28" t="str">
        <x:v>登记消耗1件；永久一次；不收金币/元宝/灵符</x:v>
      </x:c>
    </x:row>
    <x:row r="332" ht="30" customHeight="1">
      <x:c r="A332" s="28" t="str">
        <x:v>C06</x:v>
      </x:c>
      <x:c r="B332" s="28" t="str">
        <x:v>猩红熔原</x:v>
      </x:c>
      <x:c r="C332" s="28" t="str">
        <x:v>灰烬裁印</x:v>
      </x:c>
      <x:c r="D332" s="28" t="str">
        <x:v>稀有</x:v>
      </x:c>
      <x:c r="E332" s="28" t="n">
        <x:v>1</x:v>
      </x:c>
      <x:c r="F332" s="28" t="n">
        <x:v>0</x:v>
      </x:c>
      <x:c r="G332" s="28" t="n">
        <x:v>0</x:v>
      </x:c>
      <x:c r="H332" s="28" t="n">
        <x:v>0</x:v>
      </x:c>
      <x:c r="I332" s="28" t="n">
        <x:v>24</x:v>
      </x:c>
      <x:c r="J332" s="28" t="n">
        <x:v>2400</x:v>
      </x:c>
      <x:c r="K332" s="28" t="n">
        <x:v>5</x:v>
      </x:c>
      <x:c r="L332" s="28" t="n">
        <x:v>0</x:v>
      </x:c>
      <x:c r="M332" s="28" t="n">
        <x:v>0</x:v>
      </x:c>
      <x:c r="N332" s="28" t="n">
        <x:v>0</x:v>
      </x:c>
      <x:c r="O332" s="28" t="str">
        <x:v>登记消耗1件；永久一次；不收金币/元宝/灵符</x:v>
      </x:c>
    </x:row>
    <x:row r="333" ht="30" customHeight="1">
      <x:c r="A333" s="28" t="str">
        <x:v>C06</x:v>
      </x:c>
      <x:c r="B333" s="28" t="str">
        <x:v>猩红熔原</x:v>
      </x:c>
      <x:c r="C333" s="28" t="str">
        <x:v>巴洛熔拳</x:v>
      </x:c>
      <x:c r="D333" s="28" t="str">
        <x:v>地图BOSS</x:v>
      </x:c>
      <x:c r="E333" s="28" t="n">
        <x:v>1</x:v>
      </x:c>
      <x:c r="F333" s="28" t="n">
        <x:v>0</x:v>
      </x:c>
      <x:c r="G333" s="28" t="n">
        <x:v>0</x:v>
      </x:c>
      <x:c r="H333" s="28" t="n">
        <x:v>0</x:v>
      </x:c>
      <x:c r="I333" s="28" t="n">
        <x:v>36</x:v>
      </x:c>
      <x:c r="J333" s="28" t="n">
        <x:v>3600</x:v>
      </x:c>
      <x:c r="K333" s="28" t="n">
        <x:v>0</x:v>
      </x:c>
      <x:c r="L333" s="28" t="n">
        <x:v>1</x:v>
      </x:c>
      <x:c r="M333" s="28" t="n">
        <x:v>0</x:v>
      </x:c>
      <x:c r="N333" s="28" t="n">
        <x:v>0</x:v>
      </x:c>
      <x:c r="O333" s="28" t="str">
        <x:v>登记消耗1件；永久一次；不收金币/元宝/灵符</x:v>
      </x:c>
    </x:row>
    <x:row r="334" ht="30" customHeight="1">
      <x:c r="A334" s="28" t="str">
        <x:v>C06</x:v>
      </x:c>
      <x:c r="B334" s="28" t="str">
        <x:v>猩红熔原</x:v>
      </x:c>
      <x:c r="C334" s="28" t="str">
        <x:v>瑟芮血衣</x:v>
      </x:c>
      <x:c r="D334" s="28" t="str">
        <x:v>地图BOSS</x:v>
      </x:c>
      <x:c r="E334" s="28" t="n">
        <x:v>1</x:v>
      </x:c>
      <x:c r="F334" s="28" t="n">
        <x:v>0</x:v>
      </x:c>
      <x:c r="G334" s="28" t="n">
        <x:v>0</x:v>
      </x:c>
      <x:c r="H334" s="28" t="n">
        <x:v>0</x:v>
      </x:c>
      <x:c r="I334" s="28" t="n">
        <x:v>36</x:v>
      </x:c>
      <x:c r="J334" s="28" t="n">
        <x:v>3600</x:v>
      </x:c>
      <x:c r="K334" s="28" t="n">
        <x:v>0</x:v>
      </x:c>
      <x:c r="L334" s="28" t="n">
        <x:v>1</x:v>
      </x:c>
      <x:c r="M334" s="28" t="n">
        <x:v>0</x:v>
      </x:c>
      <x:c r="N334" s="28" t="n">
        <x:v>0</x:v>
      </x:c>
      <x:c r="O334" s="28" t="str">
        <x:v>登记消耗1件；永久一次；不收金币/元宝/灵符</x:v>
      </x:c>
    </x:row>
    <x:row r="335" ht="30" customHeight="1">
      <x:c r="A335" s="28" t="str">
        <x:v>C06</x:v>
      </x:c>
      <x:c r="B335" s="28" t="str">
        <x:v>腐败火狱</x:v>
      </x:c>
      <x:c r="C335" s="28" t="str">
        <x:v>腐狱铁链</x:v>
      </x:c>
      <x:c r="D335" s="28" t="str">
        <x:v>普通</x:v>
      </x:c>
      <x:c r="E335" s="28" t="n">
        <x:v>1</x:v>
      </x:c>
      <x:c r="F335" s="28" t="n">
        <x:v>0</x:v>
      </x:c>
      <x:c r="G335" s="28" t="n">
        <x:v>0</x:v>
      </x:c>
      <x:c r="H335" s="28" t="n">
        <x:v>0</x:v>
      </x:c>
      <x:c r="I335" s="28" t="n">
        <x:v>12</x:v>
      </x:c>
      <x:c r="J335" s="28" t="n">
        <x:v>1200</x:v>
      </x:c>
      <x:c r="K335" s="28" t="n">
        <x:v>0</x:v>
      </x:c>
      <x:c r="L335" s="28" t="n">
        <x:v>0</x:v>
      </x:c>
      <x:c r="M335" s="28" t="n">
        <x:v>0</x:v>
      </x:c>
      <x:c r="N335" s="28" t="n">
        <x:v>0</x:v>
      </x:c>
      <x:c r="O335" s="28" t="str">
        <x:v>登记消耗1件；永久一次；不收金币/元宝/灵符</x:v>
      </x:c>
    </x:row>
    <x:row r="336" ht="30" customHeight="1">
      <x:c r="A336" s="28" t="str">
        <x:v>C06</x:v>
      </x:c>
      <x:c r="B336" s="28" t="str">
        <x:v>腐败火狱</x:v>
      </x:c>
      <x:c r="C336" s="28" t="str">
        <x:v>灼刑断刃</x:v>
      </x:c>
      <x:c r="D336" s="28" t="str">
        <x:v>普通</x:v>
      </x:c>
      <x:c r="E336" s="28" t="n">
        <x:v>1</x:v>
      </x:c>
      <x:c r="F336" s="28" t="n">
        <x:v>0</x:v>
      </x:c>
      <x:c r="G336" s="28" t="n">
        <x:v>0</x:v>
      </x:c>
      <x:c r="H336" s="28" t="n">
        <x:v>0</x:v>
      </x:c>
      <x:c r="I336" s="28" t="n">
        <x:v>12</x:v>
      </x:c>
      <x:c r="J336" s="28" t="n">
        <x:v>1200</x:v>
      </x:c>
      <x:c r="K336" s="28" t="n">
        <x:v>0</x:v>
      </x:c>
      <x:c r="L336" s="28" t="n">
        <x:v>0</x:v>
      </x:c>
      <x:c r="M336" s="28" t="n">
        <x:v>0</x:v>
      </x:c>
      <x:c r="N336" s="28" t="n">
        <x:v>0</x:v>
      </x:c>
      <x:c r="O336" s="28" t="str">
        <x:v>登记消耗1件；永久一次；不收金币/元宝/灵符</x:v>
      </x:c>
    </x:row>
    <x:row r="337" ht="30" customHeight="1">
      <x:c r="A337" s="28" t="str">
        <x:v>C06</x:v>
      </x:c>
      <x:c r="B337" s="28" t="str">
        <x:v>腐败火狱</x:v>
      </x:c>
      <x:c r="C337" s="28" t="str">
        <x:v>熔壳甲衣</x:v>
      </x:c>
      <x:c r="D337" s="28" t="str">
        <x:v>普通</x:v>
      </x:c>
      <x:c r="E337" s="28" t="n">
        <x:v>1</x:v>
      </x:c>
      <x:c r="F337" s="28" t="n">
        <x:v>0</x:v>
      </x:c>
      <x:c r="G337" s="28" t="n">
        <x:v>0</x:v>
      </x:c>
      <x:c r="H337" s="28" t="n">
        <x:v>0</x:v>
      </x:c>
      <x:c r="I337" s="28" t="n">
        <x:v>12</x:v>
      </x:c>
      <x:c r="J337" s="28" t="n">
        <x:v>1200</x:v>
      </x:c>
      <x:c r="K337" s="28" t="n">
        <x:v>0</x:v>
      </x:c>
      <x:c r="L337" s="28" t="n">
        <x:v>0</x:v>
      </x:c>
      <x:c r="M337" s="28" t="n">
        <x:v>0</x:v>
      </x:c>
      <x:c r="N337" s="28" t="n">
        <x:v>0</x:v>
      </x:c>
      <x:c r="O337" s="28" t="str">
        <x:v>登记消耗1件；永久一次；不收金币/元宝/灵符</x:v>
      </x:c>
    </x:row>
    <x:row r="338" ht="30" customHeight="1">
      <x:c r="A338" s="28" t="str">
        <x:v>C06</x:v>
      </x:c>
      <x:c r="B338" s="28" t="str">
        <x:v>腐败火狱</x:v>
      </x:c>
      <x:c r="C338" s="28" t="str">
        <x:v>血菌腕轮</x:v>
      </x:c>
      <x:c r="D338" s="28" t="str">
        <x:v>普通</x:v>
      </x:c>
      <x:c r="E338" s="28" t="n">
        <x:v>1</x:v>
      </x:c>
      <x:c r="F338" s="28" t="n">
        <x:v>0</x:v>
      </x:c>
      <x:c r="G338" s="28" t="n">
        <x:v>0</x:v>
      </x:c>
      <x:c r="H338" s="28" t="n">
        <x:v>0</x:v>
      </x:c>
      <x:c r="I338" s="28" t="n">
        <x:v>12</x:v>
      </x:c>
      <x:c r="J338" s="28" t="n">
        <x:v>1200</x:v>
      </x:c>
      <x:c r="K338" s="28" t="n">
        <x:v>0</x:v>
      </x:c>
      <x:c r="L338" s="28" t="n">
        <x:v>0</x:v>
      </x:c>
      <x:c r="M338" s="28" t="n">
        <x:v>0</x:v>
      </x:c>
      <x:c r="N338" s="28" t="n">
        <x:v>0</x:v>
      </x:c>
      <x:c r="O338" s="28" t="str">
        <x:v>登记消耗1件；永久一次；不收金币/元宝/灵符</x:v>
      </x:c>
    </x:row>
    <x:row r="339" ht="30" customHeight="1">
      <x:c r="A339" s="28" t="str">
        <x:v>C06</x:v>
      </x:c>
      <x:c r="B339" s="28" t="str">
        <x:v>腐败火狱</x:v>
      </x:c>
      <x:c r="C339" s="28" t="str">
        <x:v>烙印斗笠</x:v>
      </x:c>
      <x:c r="D339" s="28" t="str">
        <x:v>普通</x:v>
      </x:c>
      <x:c r="E339" s="28" t="n">
        <x:v>1</x:v>
      </x:c>
      <x:c r="F339" s="28" t="n">
        <x:v>0</x:v>
      </x:c>
      <x:c r="G339" s="28" t="n">
        <x:v>0</x:v>
      </x:c>
      <x:c r="H339" s="28" t="n">
        <x:v>0</x:v>
      </x:c>
      <x:c r="I339" s="28" t="n">
        <x:v>12</x:v>
      </x:c>
      <x:c r="J339" s="28" t="n">
        <x:v>1200</x:v>
      </x:c>
      <x:c r="K339" s="28" t="n">
        <x:v>0</x:v>
      </x:c>
      <x:c r="L339" s="28" t="n">
        <x:v>0</x:v>
      </x:c>
      <x:c r="M339" s="28" t="n">
        <x:v>0</x:v>
      </x:c>
      <x:c r="N339" s="28" t="n">
        <x:v>0</x:v>
      </x:c>
      <x:c r="O339" s="28" t="str">
        <x:v>登记消耗1件；永久一次；不收金币/元宝/灵符</x:v>
      </x:c>
    </x:row>
    <x:row r="340" ht="30" customHeight="1">
      <x:c r="A340" s="28" t="str">
        <x:v>C06</x:v>
      </x:c>
      <x:c r="B340" s="28" t="str">
        <x:v>腐败火狱</x:v>
      </x:c>
      <x:c r="C340" s="28" t="str">
        <x:v>锁门重盾</x:v>
      </x:c>
      <x:c r="D340" s="28" t="str">
        <x:v>普通</x:v>
      </x:c>
      <x:c r="E340" s="28" t="n">
        <x:v>1</x:v>
      </x:c>
      <x:c r="F340" s="28" t="n">
        <x:v>0</x:v>
      </x:c>
      <x:c r="G340" s="28" t="n">
        <x:v>0</x:v>
      </x:c>
      <x:c r="H340" s="28" t="n">
        <x:v>0</x:v>
      </x:c>
      <x:c r="I340" s="28" t="n">
        <x:v>12</x:v>
      </x:c>
      <x:c r="J340" s="28" t="n">
        <x:v>1200</x:v>
      </x:c>
      <x:c r="K340" s="28" t="n">
        <x:v>0</x:v>
      </x:c>
      <x:c r="L340" s="28" t="n">
        <x:v>0</x:v>
      </x:c>
      <x:c r="M340" s="28" t="n">
        <x:v>0</x:v>
      </x:c>
      <x:c r="N340" s="28" t="n">
        <x:v>0</x:v>
      </x:c>
      <x:c r="O340" s="28" t="str">
        <x:v>登记消耗1件；永久一次；不收金币/元宝/灵符</x:v>
      </x:c>
    </x:row>
    <x:row r="341" ht="30" customHeight="1">
      <x:c r="A341" s="28" t="str">
        <x:v>C06</x:v>
      </x:c>
      <x:c r="B341" s="28" t="str">
        <x:v>腐败火狱</x:v>
      </x:c>
      <x:c r="C341" s="28" t="str">
        <x:v>缝尸骨针</x:v>
      </x:c>
      <x:c r="D341" s="28" t="str">
        <x:v>稀有</x:v>
      </x:c>
      <x:c r="E341" s="28" t="n">
        <x:v>1</x:v>
      </x:c>
      <x:c r="F341" s="28" t="n">
        <x:v>0</x:v>
      </x:c>
      <x:c r="G341" s="28" t="n">
        <x:v>0</x:v>
      </x:c>
      <x:c r="H341" s="28" t="n">
        <x:v>0</x:v>
      </x:c>
      <x:c r="I341" s="28" t="n">
        <x:v>24</x:v>
      </x:c>
      <x:c r="J341" s="28" t="n">
        <x:v>2400</x:v>
      </x:c>
      <x:c r="K341" s="28" t="n">
        <x:v>5</x:v>
      </x:c>
      <x:c r="L341" s="28" t="n">
        <x:v>0</x:v>
      </x:c>
      <x:c r="M341" s="28" t="n">
        <x:v>0</x:v>
      </x:c>
      <x:c r="N341" s="28" t="n">
        <x:v>0</x:v>
      </x:c>
      <x:c r="O341" s="28" t="str">
        <x:v>登记消耗1件；永久一次；不收金币/元宝/灵符</x:v>
      </x:c>
    </x:row>
    <x:row r="342" ht="30" customHeight="1">
      <x:c r="A342" s="28" t="str">
        <x:v>C06</x:v>
      </x:c>
      <x:c r="B342" s="28" t="str">
        <x:v>腐败火狱</x:v>
      </x:c>
      <x:c r="C342" s="28" t="str">
        <x:v>灼骨腰甲</x:v>
      </x:c>
      <x:c r="D342" s="28" t="str">
        <x:v>稀有</x:v>
      </x:c>
      <x:c r="E342" s="28" t="n">
        <x:v>1</x:v>
      </x:c>
      <x:c r="F342" s="28" t="n">
        <x:v>0</x:v>
      </x:c>
      <x:c r="G342" s="28" t="n">
        <x:v>0</x:v>
      </x:c>
      <x:c r="H342" s="28" t="n">
        <x:v>0</x:v>
      </x:c>
      <x:c r="I342" s="28" t="n">
        <x:v>24</x:v>
      </x:c>
      <x:c r="J342" s="28" t="n">
        <x:v>2400</x:v>
      </x:c>
      <x:c r="K342" s="28" t="n">
        <x:v>5</x:v>
      </x:c>
      <x:c r="L342" s="28" t="n">
        <x:v>0</x:v>
      </x:c>
      <x:c r="M342" s="28" t="n">
        <x:v>0</x:v>
      </x:c>
      <x:c r="N342" s="28" t="n">
        <x:v>0</x:v>
      </x:c>
      <x:c r="O342" s="28" t="str">
        <x:v>登记消耗1件；永久一次；不收金币/元宝/灵符</x:v>
      </x:c>
    </x:row>
    <x:row r="343" ht="30" customHeight="1">
      <x:c r="A343" s="28" t="str">
        <x:v>C06</x:v>
      </x:c>
      <x:c r="B343" s="28" t="str">
        <x:v>腐败火狱</x:v>
      </x:c>
      <x:c r="C343" s="28" t="str">
        <x:v>熔喉牙戒</x:v>
      </x:c>
      <x:c r="D343" s="28" t="str">
        <x:v>稀有</x:v>
      </x:c>
      <x:c r="E343" s="28" t="n">
        <x:v>1</x:v>
      </x:c>
      <x:c r="F343" s="28" t="n">
        <x:v>0</x:v>
      </x:c>
      <x:c r="G343" s="28" t="n">
        <x:v>0</x:v>
      </x:c>
      <x:c r="H343" s="28" t="n">
        <x:v>0</x:v>
      </x:c>
      <x:c r="I343" s="28" t="n">
        <x:v>24</x:v>
      </x:c>
      <x:c r="J343" s="28" t="n">
        <x:v>2400</x:v>
      </x:c>
      <x:c r="K343" s="28" t="n">
        <x:v>5</x:v>
      </x:c>
      <x:c r="L343" s="28" t="n">
        <x:v>0</x:v>
      </x:c>
      <x:c r="M343" s="28" t="n">
        <x:v>0</x:v>
      </x:c>
      <x:c r="N343" s="28" t="n">
        <x:v>0</x:v>
      </x:c>
      <x:c r="O343" s="28" t="str">
        <x:v>登记消耗1件；永久一次；不收金币/元宝/灵符</x:v>
      </x:c>
    </x:row>
    <x:row r="344" ht="30" customHeight="1">
      <x:c r="A344" s="28" t="str">
        <x:v>C06</x:v>
      </x:c>
      <x:c r="B344" s="28" t="str">
        <x:v>腐败火狱</x:v>
      </x:c>
      <x:c r="C344" s="28" t="str">
        <x:v>祷刑罪章</x:v>
      </x:c>
      <x:c r="D344" s="28" t="str">
        <x:v>稀有</x:v>
      </x:c>
      <x:c r="E344" s="28" t="n">
        <x:v>1</x:v>
      </x:c>
      <x:c r="F344" s="28" t="n">
        <x:v>0</x:v>
      </x:c>
      <x:c r="G344" s="28" t="n">
        <x:v>0</x:v>
      </x:c>
      <x:c r="H344" s="28" t="n">
        <x:v>0</x:v>
      </x:c>
      <x:c r="I344" s="28" t="n">
        <x:v>24</x:v>
      </x:c>
      <x:c r="J344" s="28" t="n">
        <x:v>2400</x:v>
      </x:c>
      <x:c r="K344" s="28" t="n">
        <x:v>5</x:v>
      </x:c>
      <x:c r="L344" s="28" t="n">
        <x:v>0</x:v>
      </x:c>
      <x:c r="M344" s="28" t="n">
        <x:v>0</x:v>
      </x:c>
      <x:c r="N344" s="28" t="n">
        <x:v>0</x:v>
      </x:c>
      <x:c r="O344" s="28" t="str">
        <x:v>登记消耗1件；永久一次；不收金币/元宝/灵符</x:v>
      </x:c>
    </x:row>
    <x:row r="345" ht="30" customHeight="1">
      <x:c r="A345" s="28" t="str">
        <x:v>C06</x:v>
      </x:c>
      <x:c r="B345" s="28" t="str">
        <x:v>腐败火狱</x:v>
      </x:c>
      <x:c r="C345" s="28" t="str">
        <x:v>伊弗腐冠</x:v>
      </x:c>
      <x:c r="D345" s="28" t="str">
        <x:v>地图BOSS</x:v>
      </x:c>
      <x:c r="E345" s="28" t="n">
        <x:v>1</x:v>
      </x:c>
      <x:c r="F345" s="28" t="n">
        <x:v>0</x:v>
      </x:c>
      <x:c r="G345" s="28" t="n">
        <x:v>0</x:v>
      </x:c>
      <x:c r="H345" s="28" t="n">
        <x:v>0</x:v>
      </x:c>
      <x:c r="I345" s="28" t="n">
        <x:v>36</x:v>
      </x:c>
      <x:c r="J345" s="28" t="n">
        <x:v>3600</x:v>
      </x:c>
      <x:c r="K345" s="28" t="n">
        <x:v>0</x:v>
      </x:c>
      <x:c r="L345" s="28" t="n">
        <x:v>1</x:v>
      </x:c>
      <x:c r="M345" s="28" t="n">
        <x:v>0</x:v>
      </x:c>
      <x:c r="N345" s="28" t="n">
        <x:v>0</x:v>
      </x:c>
      <x:c r="O345" s="28" t="str">
        <x:v>登记消耗1件；永久一次；不收金币/元宝/灵符</x:v>
      </x:c>
    </x:row>
    <x:row r="346" ht="30" customHeight="1">
      <x:c r="A346" s="28" t="str">
        <x:v>C06</x:v>
      </x:c>
      <x:c r="B346" s="28" t="str">
        <x:v>腐败火狱</x:v>
      </x:c>
      <x:c r="C346" s="28" t="str">
        <x:v>塞维拉狱衣</x:v>
      </x:c>
      <x:c r="D346" s="28" t="str">
        <x:v>地图BOSS</x:v>
      </x:c>
      <x:c r="E346" s="28" t="n">
        <x:v>1</x:v>
      </x:c>
      <x:c r="F346" s="28" t="n">
        <x:v>0</x:v>
      </x:c>
      <x:c r="G346" s="28" t="n">
        <x:v>0</x:v>
      </x:c>
      <x:c r="H346" s="28" t="n">
        <x:v>0</x:v>
      </x:c>
      <x:c r="I346" s="28" t="n">
        <x:v>36</x:v>
      </x:c>
      <x:c r="J346" s="28" t="n">
        <x:v>3600</x:v>
      </x:c>
      <x:c r="K346" s="28" t="n">
        <x:v>0</x:v>
      </x:c>
      <x:c r="L346" s="28" t="n">
        <x:v>1</x:v>
      </x:c>
      <x:c r="M346" s="28" t="n">
        <x:v>0</x:v>
      </x:c>
      <x:c r="N346" s="28" t="n">
        <x:v>0</x:v>
      </x:c>
      <x:c r="O346" s="28" t="str">
        <x:v>登记消耗1件；永久一次；不收金币/元宝/灵符</x:v>
      </x:c>
    </x:row>
    <x:row r="347" ht="30" customHeight="1">
      <x:c r="A347" s="28" t="str">
        <x:v>C06</x:v>
      </x:c>
      <x:c r="B347" s="28" t="str">
        <x:v>红狮龙窟</x:v>
      </x:c>
      <x:c r="C347" s="28" t="str">
        <x:v>烬鳞护腕</x:v>
      </x:c>
      <x:c r="D347" s="28" t="str">
        <x:v>普通</x:v>
      </x:c>
      <x:c r="E347" s="28" t="n">
        <x:v>1</x:v>
      </x:c>
      <x:c r="F347" s="28" t="n">
        <x:v>0</x:v>
      </x:c>
      <x:c r="G347" s="28" t="n">
        <x:v>0</x:v>
      </x:c>
      <x:c r="H347" s="28" t="n">
        <x:v>0</x:v>
      </x:c>
      <x:c r="I347" s="28" t="n">
        <x:v>12</x:v>
      </x:c>
      <x:c r="J347" s="28" t="n">
        <x:v>1200</x:v>
      </x:c>
      <x:c r="K347" s="28" t="n">
        <x:v>0</x:v>
      </x:c>
      <x:c r="L347" s="28" t="n">
        <x:v>0</x:v>
      </x:c>
      <x:c r="M347" s="28" t="n">
        <x:v>0</x:v>
      </x:c>
      <x:c r="N347" s="28" t="n">
        <x:v>0</x:v>
      </x:c>
      <x:c r="O347" s="28" t="str">
        <x:v>登记消耗1件；永久一次；不收金币/元宝/灵符</x:v>
      </x:c>
    </x:row>
    <x:row r="348" ht="30" customHeight="1">
      <x:c r="A348" s="28" t="str">
        <x:v>C06</x:v>
      </x:c>
      <x:c r="B348" s="28" t="str">
        <x:v>红狮龙窟</x:v>
      </x:c>
      <x:c r="C348" s="28" t="str">
        <x:v>崎路狮盔</x:v>
      </x:c>
      <x:c r="D348" s="28" t="str">
        <x:v>普通</x:v>
      </x:c>
      <x:c r="E348" s="28" t="n">
        <x:v>1</x:v>
      </x:c>
      <x:c r="F348" s="28" t="n">
        <x:v>0</x:v>
      </x:c>
      <x:c r="G348" s="28" t="n">
        <x:v>0</x:v>
      </x:c>
      <x:c r="H348" s="28" t="n">
        <x:v>0</x:v>
      </x:c>
      <x:c r="I348" s="28" t="n">
        <x:v>12</x:v>
      </x:c>
      <x:c r="J348" s="28" t="n">
        <x:v>1200</x:v>
      </x:c>
      <x:c r="K348" s="28" t="n">
        <x:v>0</x:v>
      </x:c>
      <x:c r="L348" s="28" t="n">
        <x:v>0</x:v>
      </x:c>
      <x:c r="M348" s="28" t="n">
        <x:v>0</x:v>
      </x:c>
      <x:c r="N348" s="28" t="n">
        <x:v>0</x:v>
      </x:c>
      <x:c r="O348" s="28" t="str">
        <x:v>登记消耗1件；永久一次；不收金币/元宝/灵符</x:v>
      </x:c>
    </x:row>
    <x:row r="349" ht="30" customHeight="1">
      <x:c r="A349" s="28" t="str">
        <x:v>C06</x:v>
      </x:c>
      <x:c r="B349" s="28" t="str">
        <x:v>红狮龙窟</x:v>
      </x:c>
      <x:c r="C349" s="28" t="str">
        <x:v>火弩指环</x:v>
      </x:c>
      <x:c r="D349" s="28" t="str">
        <x:v>普通</x:v>
      </x:c>
      <x:c r="E349" s="28" t="n">
        <x:v>1</x:v>
      </x:c>
      <x:c r="F349" s="28" t="n">
        <x:v>0</x:v>
      </x:c>
      <x:c r="G349" s="28" t="n">
        <x:v>0</x:v>
      </x:c>
      <x:c r="H349" s="28" t="n">
        <x:v>0</x:v>
      </x:c>
      <x:c r="I349" s="28" t="n">
        <x:v>12</x:v>
      </x:c>
      <x:c r="J349" s="28" t="n">
        <x:v>1200</x:v>
      </x:c>
      <x:c r="K349" s="28" t="n">
        <x:v>0</x:v>
      </x:c>
      <x:c r="L349" s="28" t="n">
        <x:v>0</x:v>
      </x:c>
      <x:c r="M349" s="28" t="n">
        <x:v>0</x:v>
      </x:c>
      <x:c r="N349" s="28" t="n">
        <x:v>0</x:v>
      </x:c>
      <x:c r="O349" s="28" t="str">
        <x:v>登记消耗1件；永久一次；不收金币/元宝/灵符</x:v>
      </x:c>
    </x:row>
    <x:row r="350" ht="30" customHeight="1">
      <x:c r="A350" s="28" t="str">
        <x:v>C06</x:v>
      </x:c>
      <x:c r="B350" s="28" t="str">
        <x:v>红狮龙窟</x:v>
      </x:c>
      <x:c r="C350" s="28" t="str">
        <x:v>护卵鳞衣</x:v>
      </x:c>
      <x:c r="D350" s="28" t="str">
        <x:v>普通</x:v>
      </x:c>
      <x:c r="E350" s="28" t="n">
        <x:v>1</x:v>
      </x:c>
      <x:c r="F350" s="28" t="n">
        <x:v>0</x:v>
      </x:c>
      <x:c r="G350" s="28" t="n">
        <x:v>0</x:v>
      </x:c>
      <x:c r="H350" s="28" t="n">
        <x:v>0</x:v>
      </x:c>
      <x:c r="I350" s="28" t="n">
        <x:v>12</x:v>
      </x:c>
      <x:c r="J350" s="28" t="n">
        <x:v>1200</x:v>
      </x:c>
      <x:c r="K350" s="28" t="n">
        <x:v>0</x:v>
      </x:c>
      <x:c r="L350" s="28" t="n">
        <x:v>0</x:v>
      </x:c>
      <x:c r="M350" s="28" t="n">
        <x:v>0</x:v>
      </x:c>
      <x:c r="N350" s="28" t="n">
        <x:v>0</x:v>
      </x:c>
      <x:c r="O350" s="28" t="str">
        <x:v>登记消耗1件；永久一次；不收金币/元宝/灵符</x:v>
      </x:c>
    </x:row>
    <x:row r="351" ht="30" customHeight="1">
      <x:c r="A351" s="28" t="str">
        <x:v>C06</x:v>
      </x:c>
      <x:c r="B351" s="28" t="str">
        <x:v>红狮龙窟</x:v>
      </x:c>
      <x:c r="C351" s="28" t="str">
        <x:v>神殿焰矛</x:v>
      </x:c>
      <x:c r="D351" s="28" t="str">
        <x:v>普通</x:v>
      </x:c>
      <x:c r="E351" s="28" t="n">
        <x:v>1</x:v>
      </x:c>
      <x:c r="F351" s="28" t="n">
        <x:v>0</x:v>
      </x:c>
      <x:c r="G351" s="28" t="n">
        <x:v>0</x:v>
      </x:c>
      <x:c r="H351" s="28" t="n">
        <x:v>0</x:v>
      </x:c>
      <x:c r="I351" s="28" t="n">
        <x:v>12</x:v>
      </x:c>
      <x:c r="J351" s="28" t="n">
        <x:v>1200</x:v>
      </x:c>
      <x:c r="K351" s="28" t="n">
        <x:v>0</x:v>
      </x:c>
      <x:c r="L351" s="28" t="n">
        <x:v>0</x:v>
      </x:c>
      <x:c r="M351" s="28" t="n">
        <x:v>0</x:v>
      </x:c>
      <x:c r="N351" s="28" t="n">
        <x:v>0</x:v>
      </x:c>
      <x:c r="O351" s="28" t="str">
        <x:v>登记消耗1件；永久一次；不收金币/元宝/灵符</x:v>
      </x:c>
    </x:row>
    <x:row r="352" ht="30" customHeight="1">
      <x:c r="A352" s="28" t="str">
        <x:v>C06</x:v>
      </x:c>
      <x:c r="B352" s="28" t="str">
        <x:v>红狮龙窟</x:v>
      </x:c>
      <x:c r="C352" s="28" t="str">
        <x:v>赤鬃战靴</x:v>
      </x:c>
      <x:c r="D352" s="28" t="str">
        <x:v>普通</x:v>
      </x:c>
      <x:c r="E352" s="28" t="n">
        <x:v>1</x:v>
      </x:c>
      <x:c r="F352" s="28" t="n">
        <x:v>0</x:v>
      </x:c>
      <x:c r="G352" s="28" t="n">
        <x:v>0</x:v>
      </x:c>
      <x:c r="H352" s="28" t="n">
        <x:v>0</x:v>
      </x:c>
      <x:c r="I352" s="28" t="n">
        <x:v>12</x:v>
      </x:c>
      <x:c r="J352" s="28" t="n">
        <x:v>1200</x:v>
      </x:c>
      <x:c r="K352" s="28" t="n">
        <x:v>0</x:v>
      </x:c>
      <x:c r="L352" s="28" t="n">
        <x:v>0</x:v>
      </x:c>
      <x:c r="M352" s="28" t="n">
        <x:v>0</x:v>
      </x:c>
      <x:c r="N352" s="28" t="n">
        <x:v>0</x:v>
      </x:c>
      <x:c r="O352" s="28" t="str">
        <x:v>登记消耗1件；永久一次；不收金币/元宝/灵符</x:v>
      </x:c>
    </x:row>
    <x:row r="353" ht="30" customHeight="1">
      <x:c r="A353" s="28" t="str">
        <x:v>C06</x:v>
      </x:c>
      <x:c r="B353" s="28" t="str">
        <x:v>红狮龙窟</x:v>
      </x:c>
      <x:c r="C353" s="28" t="str">
        <x:v>驯火锁链</x:v>
      </x:c>
      <x:c r="D353" s="28" t="str">
        <x:v>稀有</x:v>
      </x:c>
      <x:c r="E353" s="28" t="n">
        <x:v>1</x:v>
      </x:c>
      <x:c r="F353" s="28" t="n">
        <x:v>0</x:v>
      </x:c>
      <x:c r="G353" s="28" t="n">
        <x:v>0</x:v>
      </x:c>
      <x:c r="H353" s="28" t="n">
        <x:v>0</x:v>
      </x:c>
      <x:c r="I353" s="28" t="n">
        <x:v>24</x:v>
      </x:c>
      <x:c r="J353" s="28" t="n">
        <x:v>2400</x:v>
      </x:c>
      <x:c r="K353" s="28" t="n">
        <x:v>5</x:v>
      </x:c>
      <x:c r="L353" s="28" t="n">
        <x:v>0</x:v>
      </x:c>
      <x:c r="M353" s="28" t="n">
        <x:v>0</x:v>
      </x:c>
      <x:c r="N353" s="28" t="n">
        <x:v>0</x:v>
      </x:c>
      <x:c r="O353" s="28" t="str">
        <x:v>登记消耗1件；永久一次；不收金币/元宝/灵符</x:v>
      </x:c>
    </x:row>
    <x:row r="354" ht="30" customHeight="1">
      <x:c r="A354" s="28" t="str">
        <x:v>C06</x:v>
      </x:c>
      <x:c r="B354" s="28" t="str">
        <x:v>红狮龙窟</x:v>
      </x:c>
      <x:c r="C354" s="28" t="str">
        <x:v>斩翼腰封</x:v>
      </x:c>
      <x:c r="D354" s="28" t="str">
        <x:v>稀有</x:v>
      </x:c>
      <x:c r="E354" s="28" t="n">
        <x:v>1</x:v>
      </x:c>
      <x:c r="F354" s="28" t="n">
        <x:v>0</x:v>
      </x:c>
      <x:c r="G354" s="28" t="n">
        <x:v>0</x:v>
      </x:c>
      <x:c r="H354" s="28" t="n">
        <x:v>0</x:v>
      </x:c>
      <x:c r="I354" s="28" t="n">
        <x:v>24</x:v>
      </x:c>
      <x:c r="J354" s="28" t="n">
        <x:v>2400</x:v>
      </x:c>
      <x:c r="K354" s="28" t="n">
        <x:v>5</x:v>
      </x:c>
      <x:c r="L354" s="28" t="n">
        <x:v>0</x:v>
      </x:c>
      <x:c r="M354" s="28" t="n">
        <x:v>0</x:v>
      </x:c>
      <x:c r="N354" s="28" t="n">
        <x:v>0</x:v>
      </x:c>
      <x:c r="O354" s="28" t="str">
        <x:v>登记消耗1件；永久一次；不收金币/元宝/灵符</x:v>
      </x:c>
    </x:row>
    <x:row r="355" ht="30" customHeight="1">
      <x:c r="A355" s="28" t="str">
        <x:v>C06</x:v>
      </x:c>
      <x:c r="B355" s="28" t="str">
        <x:v>红狮龙窟</x:v>
      </x:c>
      <x:c r="C355" s="28" t="str">
        <x:v>赤焰塔盾</x:v>
      </x:c>
      <x:c r="D355" s="28" t="str">
        <x:v>稀有</x:v>
      </x:c>
      <x:c r="E355" s="28" t="n">
        <x:v>1</x:v>
      </x:c>
      <x:c r="F355" s="28" t="n">
        <x:v>0</x:v>
      </x:c>
      <x:c r="G355" s="28" t="n">
        <x:v>0</x:v>
      </x:c>
      <x:c r="H355" s="28" t="n">
        <x:v>0</x:v>
      </x:c>
      <x:c r="I355" s="28" t="n">
        <x:v>24</x:v>
      </x:c>
      <x:c r="J355" s="28" t="n">
        <x:v>2400</x:v>
      </x:c>
      <x:c r="K355" s="28" t="n">
        <x:v>5</x:v>
      </x:c>
      <x:c r="L355" s="28" t="n">
        <x:v>0</x:v>
      </x:c>
      <x:c r="M355" s="28" t="n">
        <x:v>0</x:v>
      </x:c>
      <x:c r="N355" s="28" t="n">
        <x:v>0</x:v>
      </x:c>
      <x:c r="O355" s="28" t="str">
        <x:v>登记消耗1件；永久一次；不收金币/元宝/灵符</x:v>
      </x:c>
    </x:row>
    <x:row r="356" ht="30" customHeight="1">
      <x:c r="A356" s="28" t="str">
        <x:v>C06</x:v>
      </x:c>
      <x:c r="B356" s="28" t="str">
        <x:v>红狮龙窟</x:v>
      </x:c>
      <x:c r="C356" s="28" t="str">
        <x:v>血祭徽章</x:v>
      </x:c>
      <x:c r="D356" s="28" t="str">
        <x:v>稀有</x:v>
      </x:c>
      <x:c r="E356" s="28" t="n">
        <x:v>1</x:v>
      </x:c>
      <x:c r="F356" s="28" t="n">
        <x:v>0</x:v>
      </x:c>
      <x:c r="G356" s="28" t="n">
        <x:v>0</x:v>
      </x:c>
      <x:c r="H356" s="28" t="n">
        <x:v>0</x:v>
      </x:c>
      <x:c r="I356" s="28" t="n">
        <x:v>24</x:v>
      </x:c>
      <x:c r="J356" s="28" t="n">
        <x:v>2400</x:v>
      </x:c>
      <x:c r="K356" s="28" t="n">
        <x:v>5</x:v>
      </x:c>
      <x:c r="L356" s="28" t="n">
        <x:v>0</x:v>
      </x:c>
      <x:c r="M356" s="28" t="n">
        <x:v>0</x:v>
      </x:c>
      <x:c r="N356" s="28" t="n">
        <x:v>0</x:v>
      </x:c>
      <x:c r="O356" s="28" t="str">
        <x:v>登记消耗1件；永久一次；不收金币/元宝/灵符</x:v>
      </x:c>
    </x:row>
    <x:row r="357" ht="30" customHeight="1">
      <x:c r="A357" s="28" t="str">
        <x:v>C06</x:v>
      </x:c>
      <x:c r="B357" s="28" t="str">
        <x:v>红狮龙窟</x:v>
      </x:c>
      <x:c r="C357" s="28" t="str">
        <x:v>阿格纳龙牙</x:v>
      </x:c>
      <x:c r="D357" s="28" t="str">
        <x:v>地图BOSS</x:v>
      </x:c>
      <x:c r="E357" s="28" t="n">
        <x:v>1</x:v>
      </x:c>
      <x:c r="F357" s="28" t="n">
        <x:v>0</x:v>
      </x:c>
      <x:c r="G357" s="28" t="n">
        <x:v>0</x:v>
      </x:c>
      <x:c r="H357" s="28" t="n">
        <x:v>0</x:v>
      </x:c>
      <x:c r="I357" s="28" t="n">
        <x:v>36</x:v>
      </x:c>
      <x:c r="J357" s="28" t="n">
        <x:v>3600</x:v>
      </x:c>
      <x:c r="K357" s="28" t="n">
        <x:v>0</x:v>
      </x:c>
      <x:c r="L357" s="28" t="n">
        <x:v>1</x:v>
      </x:c>
      <x:c r="M357" s="28" t="n">
        <x:v>0</x:v>
      </x:c>
      <x:c r="N357" s="28" t="n">
        <x:v>0</x:v>
      </x:c>
      <x:c r="O357" s="28" t="str">
        <x:v>登记消耗1件；永久一次；不收金币/元宝/灵符</x:v>
      </x:c>
    </x:row>
    <x:row r="358" ht="30" customHeight="1">
      <x:c r="A358" s="28" t="str">
        <x:v>C06</x:v>
      </x:c>
      <x:c r="B358" s="28" t="str">
        <x:v>红狮龙窟</x:v>
      </x:c>
      <x:c r="C358" s="28" t="str">
        <x:v>雷奥尼斯狮铠</x:v>
      </x:c>
      <x:c r="D358" s="28" t="str">
        <x:v>地图BOSS</x:v>
      </x:c>
      <x:c r="E358" s="28" t="n">
        <x:v>1</x:v>
      </x:c>
      <x:c r="F358" s="28" t="n">
        <x:v>0</x:v>
      </x:c>
      <x:c r="G358" s="28" t="n">
        <x:v>0</x:v>
      </x:c>
      <x:c r="H358" s="28" t="n">
        <x:v>0</x:v>
      </x:c>
      <x:c r="I358" s="28" t="n">
        <x:v>36</x:v>
      </x:c>
      <x:c r="J358" s="28" t="n">
        <x:v>3600</x:v>
      </x:c>
      <x:c r="K358" s="28" t="n">
        <x:v>0</x:v>
      </x:c>
      <x:c r="L358" s="28" t="n">
        <x:v>1</x:v>
      </x:c>
      <x:c r="M358" s="28" t="n">
        <x:v>0</x:v>
      </x:c>
      <x:c r="N358" s="28" t="n">
        <x:v>0</x:v>
      </x:c>
      <x:c r="O358" s="28" t="str">
        <x:v>登记消耗1件；永久一次；不收金币/元宝/灵符</x:v>
      </x:c>
    </x:row>
    <x:row r="359" ht="30" customHeight="1">
      <x:c r="A359" s="28" t="str">
        <x:v>C06</x:v>
      </x:c>
      <x:c r="B359" s="28" t="str">
        <x:v>红狮龙窟</x:v>
      </x:c>
      <x:c r="C359" s="28" t="str">
        <x:v>拉塔恩碎星巨刃</x:v>
      </x:c>
      <x:c r="D359" s="28" t="str">
        <x:v>守关BOSS</x:v>
      </x:c>
      <x:c r="E359" s="28" t="n">
        <x:v>1</x:v>
      </x:c>
      <x:c r="F359" s="28" t="n">
        <x:v>0</x:v>
      </x:c>
      <x:c r="G359" s="28" t="n">
        <x:v>0</x:v>
      </x:c>
      <x:c r="H359" s="28" t="n">
        <x:v>0</x:v>
      </x:c>
      <x:c r="I359" s="28" t="n">
        <x:v>48</x:v>
      </x:c>
      <x:c r="J359" s="28" t="n">
        <x:v>4800</x:v>
      </x:c>
      <x:c r="K359" s="28" t="n">
        <x:v>0</x:v>
      </x:c>
      <x:c r="L359" s="28" t="n">
        <x:v>1</x:v>
      </x:c>
      <x:c r="M359" s="28" t="n">
        <x:v>0</x:v>
      </x:c>
      <x:c r="N359" s="28" t="n">
        <x:v>0</x:v>
      </x:c>
      <x:c r="O359" s="28" t="str">
        <x:v>登记消耗1件；永久一次；不收金币/元宝/灵符</x:v>
      </x:c>
    </x:row>
    <x:row r="360" ht="30" customHeight="1">
      <x:c r="A360" s="28" t="str">
        <x:v>C07</x:v>
      </x:c>
      <x:c r="B360" s="28" t="str">
        <x:v>苍白雪原</x:v>
      </x:c>
      <x:c r="C360" s="28" t="str">
        <x:v>冻角护腕</x:v>
      </x:c>
      <x:c r="D360" s="28" t="str">
        <x:v>普通</x:v>
      </x:c>
      <x:c r="E360" s="28" t="n">
        <x:v>1</x:v>
      </x:c>
      <x:c r="F360" s="28" t="n">
        <x:v>0</x:v>
      </x:c>
      <x:c r="G360" s="28" t="n">
        <x:v>0</x:v>
      </x:c>
      <x:c r="H360" s="28" t="n">
        <x:v>0</x:v>
      </x:c>
      <x:c r="I360" s="28" t="n">
        <x:v>20</x:v>
      </x:c>
      <x:c r="J360" s="28" t="n">
        <x:v>2000</x:v>
      </x:c>
      <x:c r="K360" s="28" t="n">
        <x:v>0</x:v>
      </x:c>
      <x:c r="L360" s="28" t="n">
        <x:v>0</x:v>
      </x:c>
      <x:c r="M360" s="28" t="n">
        <x:v>0</x:v>
      </x:c>
      <x:c r="N360" s="28" t="n">
        <x:v>0</x:v>
      </x:c>
      <x:c r="O360" s="28" t="str">
        <x:v>登记消耗1件；永久一次；不收金币/元宝/灵符</x:v>
      </x:c>
    </x:row>
    <x:row r="361" ht="30" customHeight="1">
      <x:c r="A361" s="28" t="str">
        <x:v>C07</x:v>
      </x:c>
      <x:c r="B361" s="28" t="str">
        <x:v>苍白雪原</x:v>
      </x:c>
      <x:c r="C361" s="28" t="str">
        <x:v>放逐雪刃</x:v>
      </x:c>
      <x:c r="D361" s="28" t="str">
        <x:v>普通</x:v>
      </x:c>
      <x:c r="E361" s="28" t="n">
        <x:v>1</x:v>
      </x:c>
      <x:c r="F361" s="28" t="n">
        <x:v>0</x:v>
      </x:c>
      <x:c r="G361" s="28" t="n">
        <x:v>0</x:v>
      </x:c>
      <x:c r="H361" s="28" t="n">
        <x:v>0</x:v>
      </x:c>
      <x:c r="I361" s="28" t="n">
        <x:v>20</x:v>
      </x:c>
      <x:c r="J361" s="28" t="n">
        <x:v>2000</x:v>
      </x:c>
      <x:c r="K361" s="28" t="n">
        <x:v>0</x:v>
      </x:c>
      <x:c r="L361" s="28" t="n">
        <x:v>0</x:v>
      </x:c>
      <x:c r="M361" s="28" t="n">
        <x:v>0</x:v>
      </x:c>
      <x:c r="N361" s="28" t="n">
        <x:v>0</x:v>
      </x:c>
      <x:c r="O361" s="28" t="str">
        <x:v>登记消耗1件；永久一次；不收金币/元宝/灵符</x:v>
      </x:c>
    </x:row>
    <x:row r="362" ht="30" customHeight="1">
      <x:c r="A362" s="28" t="str">
        <x:v>C07</x:v>
      </x:c>
      <x:c r="B362" s="28" t="str">
        <x:v>苍白雪原</x:v>
      </x:c>
      <x:c r="C362" s="28" t="str">
        <x:v>掘冰腰带</x:v>
      </x:c>
      <x:c r="D362" s="28" t="str">
        <x:v>普通</x:v>
      </x:c>
      <x:c r="E362" s="28" t="n">
        <x:v>1</x:v>
      </x:c>
      <x:c r="F362" s="28" t="n">
        <x:v>0</x:v>
      </x:c>
      <x:c r="G362" s="28" t="n">
        <x:v>0</x:v>
      </x:c>
      <x:c r="H362" s="28" t="n">
        <x:v>0</x:v>
      </x:c>
      <x:c r="I362" s="28" t="n">
        <x:v>20</x:v>
      </x:c>
      <x:c r="J362" s="28" t="n">
        <x:v>2000</x:v>
      </x:c>
      <x:c r="K362" s="28" t="n">
        <x:v>0</x:v>
      </x:c>
      <x:c r="L362" s="28" t="n">
        <x:v>0</x:v>
      </x:c>
      <x:c r="M362" s="28" t="n">
        <x:v>0</x:v>
      </x:c>
      <x:c r="N362" s="28" t="n">
        <x:v>0</x:v>
      </x:c>
      <x:c r="O362" s="28" t="str">
        <x:v>登记消耗1件；永久一次；不收金币/元宝/灵符</x:v>
      </x:c>
    </x:row>
    <x:row r="363" ht="30" customHeight="1">
      <x:c r="A363" s="28" t="str">
        <x:v>C07</x:v>
      </x:c>
      <x:c r="B363" s="28" t="str">
        <x:v>苍白雪原</x:v>
      </x:c>
      <x:c r="C363" s="28" t="str">
        <x:v>白烛礼冠</x:v>
      </x:c>
      <x:c r="D363" s="28" t="str">
        <x:v>普通</x:v>
      </x:c>
      <x:c r="E363" s="28" t="n">
        <x:v>1</x:v>
      </x:c>
      <x:c r="F363" s="28" t="n">
        <x:v>0</x:v>
      </x:c>
      <x:c r="G363" s="28" t="n">
        <x:v>0</x:v>
      </x:c>
      <x:c r="H363" s="28" t="n">
        <x:v>0</x:v>
      </x:c>
      <x:c r="I363" s="28" t="n">
        <x:v>20</x:v>
      </x:c>
      <x:c r="J363" s="28" t="n">
        <x:v>2000</x:v>
      </x:c>
      <x:c r="K363" s="28" t="n">
        <x:v>0</x:v>
      </x:c>
      <x:c r="L363" s="28" t="n">
        <x:v>0</x:v>
      </x:c>
      <x:c r="M363" s="28" t="n">
        <x:v>0</x:v>
      </x:c>
      <x:c r="N363" s="28" t="n">
        <x:v>0</x:v>
      </x:c>
      <x:c r="O363" s="28" t="str">
        <x:v>登记消耗1件；永久一次；不收金币/元宝/灵符</x:v>
      </x:c>
    </x:row>
    <x:row r="364" ht="30" customHeight="1">
      <x:c r="A364" s="28" t="str">
        <x:v>C07</x:v>
      </x:c>
      <x:c r="B364" s="28" t="str">
        <x:v>苍白雪原</x:v>
      </x:c>
      <x:c r="C364" s="28" t="str">
        <x:v>苍鬃牙戒</x:v>
      </x:c>
      <x:c r="D364" s="28" t="str">
        <x:v>普通</x:v>
      </x:c>
      <x:c r="E364" s="28" t="n">
        <x:v>1</x:v>
      </x:c>
      <x:c r="F364" s="28" t="n">
        <x:v>0</x:v>
      </x:c>
      <x:c r="G364" s="28" t="n">
        <x:v>0</x:v>
      </x:c>
      <x:c r="H364" s="28" t="n">
        <x:v>0</x:v>
      </x:c>
      <x:c r="I364" s="28" t="n">
        <x:v>20</x:v>
      </x:c>
      <x:c r="J364" s="28" t="n">
        <x:v>2000</x:v>
      </x:c>
      <x:c r="K364" s="28" t="n">
        <x:v>0</x:v>
      </x:c>
      <x:c r="L364" s="28" t="n">
        <x:v>0</x:v>
      </x:c>
      <x:c r="M364" s="28" t="n">
        <x:v>0</x:v>
      </x:c>
      <x:c r="N364" s="28" t="n">
        <x:v>0</x:v>
      </x:c>
      <x:c r="O364" s="28" t="str">
        <x:v>登记消耗1件；永久一次；不收金币/元宝/灵符</x:v>
      </x:c>
    </x:row>
    <x:row r="365" ht="30" customHeight="1">
      <x:c r="A365" s="28" t="str">
        <x:v>C07</x:v>
      </x:c>
      <x:c r="B365" s="28" t="str">
        <x:v>苍白雪原</x:v>
      </x:c>
      <x:c r="C365" s="28" t="str">
        <x:v>寒羽猎链</x:v>
      </x:c>
      <x:c r="D365" s="28" t="str">
        <x:v>普通</x:v>
      </x:c>
      <x:c r="E365" s="28" t="n">
        <x:v>1</x:v>
      </x:c>
      <x:c r="F365" s="28" t="n">
        <x:v>0</x:v>
      </x:c>
      <x:c r="G365" s="28" t="n">
        <x:v>0</x:v>
      </x:c>
      <x:c r="H365" s="28" t="n">
        <x:v>0</x:v>
      </x:c>
      <x:c r="I365" s="28" t="n">
        <x:v>20</x:v>
      </x:c>
      <x:c r="J365" s="28" t="n">
        <x:v>2000</x:v>
      </x:c>
      <x:c r="K365" s="28" t="n">
        <x:v>0</x:v>
      </x:c>
      <x:c r="L365" s="28" t="n">
        <x:v>0</x:v>
      </x:c>
      <x:c r="M365" s="28" t="n">
        <x:v>0</x:v>
      </x:c>
      <x:c r="N365" s="28" t="n">
        <x:v>0</x:v>
      </x:c>
      <x:c r="O365" s="28" t="str">
        <x:v>登记消耗1件；永久一次；不收金币/元宝/灵符</x:v>
      </x:c>
    </x:row>
    <x:row r="366" ht="30" customHeight="1">
      <x:c r="A366" s="28" t="str">
        <x:v>C07</x:v>
      </x:c>
      <x:c r="B366" s="28" t="str">
        <x:v>苍白雪原</x:v>
      </x:c>
      <x:c r="C366" s="28" t="str">
        <x:v>白霜重衣</x:v>
      </x:c>
      <x:c r="D366" s="28" t="str">
        <x:v>稀有</x:v>
      </x:c>
      <x:c r="E366" s="28" t="n">
        <x:v>1</x:v>
      </x:c>
      <x:c r="F366" s="28" t="n">
        <x:v>0</x:v>
      </x:c>
      <x:c r="G366" s="28" t="n">
        <x:v>0</x:v>
      </x:c>
      <x:c r="H366" s="28" t="n">
        <x:v>0</x:v>
      </x:c>
      <x:c r="I366" s="28" t="n">
        <x:v>40</x:v>
      </x:c>
      <x:c r="J366" s="28" t="n">
        <x:v>4000</x:v>
      </x:c>
      <x:c r="K366" s="28" t="n">
        <x:v>5</x:v>
      </x:c>
      <x:c r="L366" s="28" t="n">
        <x:v>0</x:v>
      </x:c>
      <x:c r="M366" s="28" t="n">
        <x:v>0</x:v>
      </x:c>
      <x:c r="N366" s="28" t="n">
        <x:v>0</x:v>
      </x:c>
      <x:c r="O366" s="28" t="str">
        <x:v>登记消耗1件；永久一次；不收金币/元宝/灵符</x:v>
      </x:c>
    </x:row>
    <x:row r="367" ht="30" customHeight="1">
      <x:c r="A367" s="28" t="str">
        <x:v>C07</x:v>
      </x:c>
      <x:c r="B367" s="28" t="str">
        <x:v>苍白雪原</x:v>
      </x:c>
      <x:c r="C367" s="28" t="str">
        <x:v>霜风战靴</x:v>
      </x:c>
      <x:c r="D367" s="28" t="str">
        <x:v>稀有</x:v>
      </x:c>
      <x:c r="E367" s="28" t="n">
        <x:v>1</x:v>
      </x:c>
      <x:c r="F367" s="28" t="n">
        <x:v>0</x:v>
      </x:c>
      <x:c r="G367" s="28" t="n">
        <x:v>0</x:v>
      </x:c>
      <x:c r="H367" s="28" t="n">
        <x:v>0</x:v>
      </x:c>
      <x:c r="I367" s="28" t="n">
        <x:v>40</x:v>
      </x:c>
      <x:c r="J367" s="28" t="n">
        <x:v>4000</x:v>
      </x:c>
      <x:c r="K367" s="28" t="n">
        <x:v>5</x:v>
      </x:c>
      <x:c r="L367" s="28" t="n">
        <x:v>0</x:v>
      </x:c>
      <x:c r="M367" s="28" t="n">
        <x:v>0</x:v>
      </x:c>
      <x:c r="N367" s="28" t="n">
        <x:v>0</x:v>
      </x:c>
      <x:c r="O367" s="28" t="str">
        <x:v>登记消耗1件；永久一次；不收金币/元宝/灵符</x:v>
      </x:c>
    </x:row>
    <x:row r="368" ht="30" customHeight="1">
      <x:c r="A368" s="28" t="str">
        <x:v>C07</x:v>
      </x:c>
      <x:c r="B368" s="28" t="str">
        <x:v>苍白雪原</x:v>
      </x:c>
      <x:c r="C368" s="28" t="str">
        <x:v>晶背塔盾</x:v>
      </x:c>
      <x:c r="D368" s="28" t="str">
        <x:v>稀有</x:v>
      </x:c>
      <x:c r="E368" s="28" t="n">
        <x:v>1</x:v>
      </x:c>
      <x:c r="F368" s="28" t="n">
        <x:v>0</x:v>
      </x:c>
      <x:c r="G368" s="28" t="n">
        <x:v>0</x:v>
      </x:c>
      <x:c r="H368" s="28" t="n">
        <x:v>0</x:v>
      </x:c>
      <x:c r="I368" s="28" t="n">
        <x:v>40</x:v>
      </x:c>
      <x:c r="J368" s="28" t="n">
        <x:v>4000</x:v>
      </x:c>
      <x:c r="K368" s="28" t="n">
        <x:v>5</x:v>
      </x:c>
      <x:c r="L368" s="28" t="n">
        <x:v>0</x:v>
      </x:c>
      <x:c r="M368" s="28" t="n">
        <x:v>0</x:v>
      </x:c>
      <x:c r="N368" s="28" t="n">
        <x:v>0</x:v>
      </x:c>
      <x:c r="O368" s="28" t="str">
        <x:v>登记消耗1件；永久一次；不收金币/元宝/灵符</x:v>
      </x:c>
    </x:row>
    <x:row r="369" ht="30" customHeight="1">
      <x:c r="A369" s="28" t="str">
        <x:v>C07</x:v>
      </x:c>
      <x:c r="B369" s="28" t="str">
        <x:v>苍白雪原</x:v>
      </x:c>
      <x:c r="C369" s="28" t="str">
        <x:v>苍白圣徽</x:v>
      </x:c>
      <x:c r="D369" s="28" t="str">
        <x:v>稀有</x:v>
      </x:c>
      <x:c r="E369" s="28" t="n">
        <x:v>1</x:v>
      </x:c>
      <x:c r="F369" s="28" t="n">
        <x:v>0</x:v>
      </x:c>
      <x:c r="G369" s="28" t="n">
        <x:v>0</x:v>
      </x:c>
      <x:c r="H369" s="28" t="n">
        <x:v>0</x:v>
      </x:c>
      <x:c r="I369" s="28" t="n">
        <x:v>40</x:v>
      </x:c>
      <x:c r="J369" s="28" t="n">
        <x:v>4000</x:v>
      </x:c>
      <x:c r="K369" s="28" t="n">
        <x:v>5</x:v>
      </x:c>
      <x:c r="L369" s="28" t="n">
        <x:v>0</x:v>
      </x:c>
      <x:c r="M369" s="28" t="n">
        <x:v>0</x:v>
      </x:c>
      <x:c r="N369" s="28" t="n">
        <x:v>0</x:v>
      </x:c>
      <x:c r="O369" s="28" t="str">
        <x:v>登记消耗1件；永久一次；不收金币/元宝/灵符</x:v>
      </x:c>
    </x:row>
    <x:row r="370" ht="30" customHeight="1">
      <x:c r="A370" s="28" t="str">
        <x:v>C07</x:v>
      </x:c>
      <x:c r="B370" s="28" t="str">
        <x:v>苍白雪原</x:v>
      </x:c>
      <x:c r="C370" s="28" t="str">
        <x:v>赫洛冻拳</x:v>
      </x:c>
      <x:c r="D370" s="28" t="str">
        <x:v>地图BOSS</x:v>
      </x:c>
      <x:c r="E370" s="28" t="n">
        <x:v>1</x:v>
      </x:c>
      <x:c r="F370" s="28" t="n">
        <x:v>0</x:v>
      </x:c>
      <x:c r="G370" s="28" t="n">
        <x:v>0</x:v>
      </x:c>
      <x:c r="H370" s="28" t="n">
        <x:v>0</x:v>
      </x:c>
      <x:c r="I370" s="28" t="n">
        <x:v>60</x:v>
      </x:c>
      <x:c r="J370" s="28" t="n">
        <x:v>6000</x:v>
      </x:c>
      <x:c r="K370" s="28" t="n">
        <x:v>0</x:v>
      </x:c>
      <x:c r="L370" s="28" t="n">
        <x:v>1</x:v>
      </x:c>
      <x:c r="M370" s="28" t="n">
        <x:v>0</x:v>
      </x:c>
      <x:c r="N370" s="28" t="n">
        <x:v>0</x:v>
      </x:c>
      <x:c r="O370" s="28" t="str">
        <x:v>登记消耗1件；永久一次；不收金币/元宝/灵符</x:v>
      </x:c>
    </x:row>
    <x:row r="371" ht="30" customHeight="1">
      <x:c r="A371" s="28" t="str">
        <x:v>C07</x:v>
      </x:c>
      <x:c r="B371" s="28" t="str">
        <x:v>苍白雪原</x:v>
      </x:c>
      <x:c r="C371" s="28" t="str">
        <x:v>艾尔维霜冠</x:v>
      </x:c>
      <x:c r="D371" s="28" t="str">
        <x:v>地图BOSS</x:v>
      </x:c>
      <x:c r="E371" s="28" t="n">
        <x:v>1</x:v>
      </x:c>
      <x:c r="F371" s="28" t="n">
        <x:v>0</x:v>
      </x:c>
      <x:c r="G371" s="28" t="n">
        <x:v>0</x:v>
      </x:c>
      <x:c r="H371" s="28" t="n">
        <x:v>0</x:v>
      </x:c>
      <x:c r="I371" s="28" t="n">
        <x:v>60</x:v>
      </x:c>
      <x:c r="J371" s="28" t="n">
        <x:v>6000</x:v>
      </x:c>
      <x:c r="K371" s="28" t="n">
        <x:v>0</x:v>
      </x:c>
      <x:c r="L371" s="28" t="n">
        <x:v>1</x:v>
      </x:c>
      <x:c r="M371" s="28" t="n">
        <x:v>0</x:v>
      </x:c>
      <x:c r="N371" s="28" t="n">
        <x:v>0</x:v>
      </x:c>
      <x:c r="O371" s="28" t="str">
        <x:v>登记消耗1件；永久一次；不收金币/元宝/灵符</x:v>
      </x:c>
    </x:row>
    <x:row r="372" ht="30" customHeight="1">
      <x:c r="A372" s="28" t="str">
        <x:v>C07</x:v>
      </x:c>
      <x:c r="B372" s="28" t="str">
        <x:v>永冻荒境</x:v>
      </x:c>
      <x:c r="C372" s="28" t="str">
        <x:v>雪壳腕甲</x:v>
      </x:c>
      <x:c r="D372" s="28" t="str">
        <x:v>普通</x:v>
      </x:c>
      <x:c r="E372" s="28" t="n">
        <x:v>1</x:v>
      </x:c>
      <x:c r="F372" s="28" t="n">
        <x:v>0</x:v>
      </x:c>
      <x:c r="G372" s="28" t="n">
        <x:v>0</x:v>
      </x:c>
      <x:c r="H372" s="28" t="n">
        <x:v>0</x:v>
      </x:c>
      <x:c r="I372" s="28" t="n">
        <x:v>20</x:v>
      </x:c>
      <x:c r="J372" s="28" t="n">
        <x:v>2000</x:v>
      </x:c>
      <x:c r="K372" s="28" t="n">
        <x:v>0</x:v>
      </x:c>
      <x:c r="L372" s="28" t="n">
        <x:v>0</x:v>
      </x:c>
      <x:c r="M372" s="28" t="n">
        <x:v>0</x:v>
      </x:c>
      <x:c r="N372" s="28" t="n">
        <x:v>0</x:v>
      </x:c>
      <x:c r="O372" s="28" t="str">
        <x:v>登记消耗1件；永久一次；不收金币/元宝/灵符</x:v>
      </x:c>
    </x:row>
    <x:row r="373" ht="30" customHeight="1">
      <x:c r="A373" s="28" t="str">
        <x:v>C07</x:v>
      </x:c>
      <x:c r="B373" s="28" t="str">
        <x:v>永冻荒境</x:v>
      </x:c>
      <x:c r="C373" s="28" t="str">
        <x:v>流亡冰刀</x:v>
      </x:c>
      <x:c r="D373" s="28" t="str">
        <x:v>普通</x:v>
      </x:c>
      <x:c r="E373" s="28" t="n">
        <x:v>1</x:v>
      </x:c>
      <x:c r="F373" s="28" t="n">
        <x:v>0</x:v>
      </x:c>
      <x:c r="G373" s="28" t="n">
        <x:v>0</x:v>
      </x:c>
      <x:c r="H373" s="28" t="n">
        <x:v>0</x:v>
      </x:c>
      <x:c r="I373" s="28" t="n">
        <x:v>20</x:v>
      </x:c>
      <x:c r="J373" s="28" t="n">
        <x:v>2000</x:v>
      </x:c>
      <x:c r="K373" s="28" t="n">
        <x:v>0</x:v>
      </x:c>
      <x:c r="L373" s="28" t="n">
        <x:v>0</x:v>
      </x:c>
      <x:c r="M373" s="28" t="n">
        <x:v>0</x:v>
      </x:c>
      <x:c r="N373" s="28" t="n">
        <x:v>0</x:v>
      </x:c>
      <x:c r="O373" s="28" t="str">
        <x:v>登记消耗1件；永久一次；不收金币/元宝/灵符</x:v>
      </x:c>
    </x:row>
    <x:row r="374" ht="30" customHeight="1">
      <x:c r="A374" s="28" t="str">
        <x:v>C07</x:v>
      </x:c>
      <x:c r="B374" s="28" t="str">
        <x:v>永冻荒境</x:v>
      </x:c>
      <x:c r="C374" s="28" t="str">
        <x:v>逐光雪衣</x:v>
      </x:c>
      <x:c r="D374" s="28" t="str">
        <x:v>普通</x:v>
      </x:c>
      <x:c r="E374" s="28" t="n">
        <x:v>1</x:v>
      </x:c>
      <x:c r="F374" s="28" t="n">
        <x:v>0</x:v>
      </x:c>
      <x:c r="G374" s="28" t="n">
        <x:v>0</x:v>
      </x:c>
      <x:c r="H374" s="28" t="n">
        <x:v>0</x:v>
      </x:c>
      <x:c r="I374" s="28" t="n">
        <x:v>20</x:v>
      </x:c>
      <x:c r="J374" s="28" t="n">
        <x:v>2000</x:v>
      </x:c>
      <x:c r="K374" s="28" t="n">
        <x:v>0</x:v>
      </x:c>
      <x:c r="L374" s="28" t="n">
        <x:v>0</x:v>
      </x:c>
      <x:c r="M374" s="28" t="n">
        <x:v>0</x:v>
      </x:c>
      <x:c r="N374" s="28" t="n">
        <x:v>0</x:v>
      </x:c>
      <x:c r="O374" s="28" t="str">
        <x:v>登记消耗1件；永久一次；不收金币/元宝/灵符</x:v>
      </x:c>
    </x:row>
    <x:row r="375" ht="30" customHeight="1">
      <x:c r="A375" s="28" t="str">
        <x:v>C07</x:v>
      </x:c>
      <x:c r="B375" s="28" t="str">
        <x:v>永冻荒境</x:v>
      </x:c>
      <x:c r="C375" s="28" t="str">
        <x:v>守碑斗笠</x:v>
      </x:c>
      <x:c r="D375" s="28" t="str">
        <x:v>普通</x:v>
      </x:c>
      <x:c r="E375" s="28" t="n">
        <x:v>1</x:v>
      </x:c>
      <x:c r="F375" s="28" t="n">
        <x:v>0</x:v>
      </x:c>
      <x:c r="G375" s="28" t="n">
        <x:v>0</x:v>
      </x:c>
      <x:c r="H375" s="28" t="n">
        <x:v>0</x:v>
      </x:c>
      <x:c r="I375" s="28" t="n">
        <x:v>20</x:v>
      </x:c>
      <x:c r="J375" s="28" t="n">
        <x:v>2000</x:v>
      </x:c>
      <x:c r="K375" s="28" t="n">
        <x:v>0</x:v>
      </x:c>
      <x:c r="L375" s="28" t="n">
        <x:v>0</x:v>
      </x:c>
      <x:c r="M375" s="28" t="n">
        <x:v>0</x:v>
      </x:c>
      <x:c r="N375" s="28" t="n">
        <x:v>0</x:v>
      </x:c>
      <x:c r="O375" s="28" t="str">
        <x:v>登记消耗1件；永久一次；不收金币/元宝/灵符</x:v>
      </x:c>
    </x:row>
    <x:row r="376" ht="30" customHeight="1">
      <x:c r="A376" s="28" t="str">
        <x:v>C07</x:v>
      </x:c>
      <x:c r="B376" s="28" t="str">
        <x:v>永冻荒境</x:v>
      </x:c>
      <x:c r="C376" s="28" t="str">
        <x:v>霜牙指环</x:v>
      </x:c>
      <x:c r="D376" s="28" t="str">
        <x:v>普通</x:v>
      </x:c>
      <x:c r="E376" s="28" t="n">
        <x:v>1</x:v>
      </x:c>
      <x:c r="F376" s="28" t="n">
        <x:v>0</x:v>
      </x:c>
      <x:c r="G376" s="28" t="n">
        <x:v>0</x:v>
      </x:c>
      <x:c r="H376" s="28" t="n">
        <x:v>0</x:v>
      </x:c>
      <x:c r="I376" s="28" t="n">
        <x:v>20</x:v>
      </x:c>
      <x:c r="J376" s="28" t="n">
        <x:v>2000</x:v>
      </x:c>
      <x:c r="K376" s="28" t="n">
        <x:v>0</x:v>
      </x:c>
      <x:c r="L376" s="28" t="n">
        <x:v>0</x:v>
      </x:c>
      <x:c r="M376" s="28" t="n">
        <x:v>0</x:v>
      </x:c>
      <x:c r="N376" s="28" t="n">
        <x:v>0</x:v>
      </x:c>
      <x:c r="O376" s="28" t="str">
        <x:v>登记消耗1件；永久一次；不收金币/元宝/灵符</x:v>
      </x:c>
    </x:row>
    <x:row r="377" ht="30" customHeight="1">
      <x:c r="A377" s="28" t="str">
        <x:v>C07</x:v>
      </x:c>
      <x:c r="B377" s="28" t="str">
        <x:v>永冻荒境</x:v>
      </x:c>
      <x:c r="C377" s="28" t="str">
        <x:v>寒弓束带</x:v>
      </x:c>
      <x:c r="D377" s="28" t="str">
        <x:v>普通</x:v>
      </x:c>
      <x:c r="E377" s="28" t="n">
        <x:v>1</x:v>
      </x:c>
      <x:c r="F377" s="28" t="n">
        <x:v>0</x:v>
      </x:c>
      <x:c r="G377" s="28" t="n">
        <x:v>0</x:v>
      </x:c>
      <x:c r="H377" s="28" t="n">
        <x:v>0</x:v>
      </x:c>
      <x:c r="I377" s="28" t="n">
        <x:v>20</x:v>
      </x:c>
      <x:c r="J377" s="28" t="n">
        <x:v>2000</x:v>
      </x:c>
      <x:c r="K377" s="28" t="n">
        <x:v>0</x:v>
      </x:c>
      <x:c r="L377" s="28" t="n">
        <x:v>0</x:v>
      </x:c>
      <x:c r="M377" s="28" t="n">
        <x:v>0</x:v>
      </x:c>
      <x:c r="N377" s="28" t="n">
        <x:v>0</x:v>
      </x:c>
      <x:c r="O377" s="28" t="str">
        <x:v>登记消耗1件；永久一次；不收金币/元宝/灵符</x:v>
      </x:c>
    </x:row>
    <x:row r="378" ht="30" customHeight="1">
      <x:c r="A378" s="28" t="str">
        <x:v>C07</x:v>
      </x:c>
      <x:c r="B378" s="28" t="str">
        <x:v>永冻荒境</x:v>
      </x:c>
      <x:c r="C378" s="28" t="str">
        <x:v>冰甲重盾</x:v>
      </x:c>
      <x:c r="D378" s="28" t="str">
        <x:v>稀有</x:v>
      </x:c>
      <x:c r="E378" s="28" t="n">
        <x:v>1</x:v>
      </x:c>
      <x:c r="F378" s="28" t="n">
        <x:v>0</x:v>
      </x:c>
      <x:c r="G378" s="28" t="n">
        <x:v>0</x:v>
      </x:c>
      <x:c r="H378" s="28" t="n">
        <x:v>0</x:v>
      </x:c>
      <x:c r="I378" s="28" t="n">
        <x:v>40</x:v>
      </x:c>
      <x:c r="J378" s="28" t="n">
        <x:v>4000</x:v>
      </x:c>
      <x:c r="K378" s="28" t="n">
        <x:v>5</x:v>
      </x:c>
      <x:c r="L378" s="28" t="n">
        <x:v>0</x:v>
      </x:c>
      <x:c r="M378" s="28" t="n">
        <x:v>0</x:v>
      </x:c>
      <x:c r="N378" s="28" t="n">
        <x:v>0</x:v>
      </x:c>
      <x:c r="O378" s="28" t="str">
        <x:v>登记消耗1件；永久一次；不收金币/元宝/灵符</x:v>
      </x:c>
    </x:row>
    <x:row r="379" ht="30" customHeight="1">
      <x:c r="A379" s="28" t="str">
        <x:v>C07</x:v>
      </x:c>
      <x:c r="B379" s="28" t="str">
        <x:v>永冻荒境</x:v>
      </x:c>
      <x:c r="C379" s="28" t="str">
        <x:v>审判长靴</x:v>
      </x:c>
      <x:c r="D379" s="28" t="str">
        <x:v>稀有</x:v>
      </x:c>
      <x:c r="E379" s="28" t="n">
        <x:v>1</x:v>
      </x:c>
      <x:c r="F379" s="28" t="n">
        <x:v>0</x:v>
      </x:c>
      <x:c r="G379" s="28" t="n">
        <x:v>0</x:v>
      </x:c>
      <x:c r="H379" s="28" t="n">
        <x:v>0</x:v>
      </x:c>
      <x:c r="I379" s="28" t="n">
        <x:v>40</x:v>
      </x:c>
      <x:c r="J379" s="28" t="n">
        <x:v>4000</x:v>
      </x:c>
      <x:c r="K379" s="28" t="n">
        <x:v>5</x:v>
      </x:c>
      <x:c r="L379" s="28" t="n">
        <x:v>0</x:v>
      </x:c>
      <x:c r="M379" s="28" t="n">
        <x:v>0</x:v>
      </x:c>
      <x:c r="N379" s="28" t="n">
        <x:v>0</x:v>
      </x:c>
      <x:c r="O379" s="28" t="str">
        <x:v>登记消耗1件；永久一次；不收金币/元宝/灵符</x:v>
      </x:c>
    </x:row>
    <x:row r="380" ht="30" customHeight="1">
      <x:c r="A380" s="28" t="str">
        <x:v>C07</x:v>
      </x:c>
      <x:c r="B380" s="28" t="str">
        <x:v>永冻荒境</x:v>
      </x:c>
      <x:c r="C380" s="28" t="str">
        <x:v>白翼颈链</x:v>
      </x:c>
      <x:c r="D380" s="28" t="str">
        <x:v>稀有</x:v>
      </x:c>
      <x:c r="E380" s="28" t="n">
        <x:v>1</x:v>
      </x:c>
      <x:c r="F380" s="28" t="n">
        <x:v>0</x:v>
      </x:c>
      <x:c r="G380" s="28" t="n">
        <x:v>0</x:v>
      </x:c>
      <x:c r="H380" s="28" t="n">
        <x:v>0</x:v>
      </x:c>
      <x:c r="I380" s="28" t="n">
        <x:v>40</x:v>
      </x:c>
      <x:c r="J380" s="28" t="n">
        <x:v>4000</x:v>
      </x:c>
      <x:c r="K380" s="28" t="n">
        <x:v>5</x:v>
      </x:c>
      <x:c r="L380" s="28" t="n">
        <x:v>0</x:v>
      </x:c>
      <x:c r="M380" s="28" t="n">
        <x:v>0</x:v>
      </x:c>
      <x:c r="N380" s="28" t="n">
        <x:v>0</x:v>
      </x:c>
      <x:c r="O380" s="28" t="str">
        <x:v>登记消耗1件；永久一次；不收金币/元宝/灵符</x:v>
      </x:c>
    </x:row>
    <x:row r="381" ht="30" customHeight="1">
      <x:c r="A381" s="28" t="str">
        <x:v>C07</x:v>
      </x:c>
      <x:c r="B381" s="28" t="str">
        <x:v>永冻荒境</x:v>
      </x:c>
      <x:c r="C381" s="28" t="str">
        <x:v>默祷雪章</x:v>
      </x:c>
      <x:c r="D381" s="28" t="str">
        <x:v>稀有</x:v>
      </x:c>
      <x:c r="E381" s="28" t="n">
        <x:v>1</x:v>
      </x:c>
      <x:c r="F381" s="28" t="n">
        <x:v>0</x:v>
      </x:c>
      <x:c r="G381" s="28" t="n">
        <x:v>0</x:v>
      </x:c>
      <x:c r="H381" s="28" t="n">
        <x:v>0</x:v>
      </x:c>
      <x:c r="I381" s="28" t="n">
        <x:v>40</x:v>
      </x:c>
      <x:c r="J381" s="28" t="n">
        <x:v>4000</x:v>
      </x:c>
      <x:c r="K381" s="28" t="n">
        <x:v>5</x:v>
      </x:c>
      <x:c r="L381" s="28" t="n">
        <x:v>0</x:v>
      </x:c>
      <x:c r="M381" s="28" t="n">
        <x:v>0</x:v>
      </x:c>
      <x:c r="N381" s="28" t="n">
        <x:v>0</x:v>
      </x:c>
      <x:c r="O381" s="28" t="str">
        <x:v>登记消耗1件；永久一次；不收金币/元宝/灵符</x:v>
      </x:c>
    </x:row>
    <x:row r="382" ht="30" customHeight="1">
      <x:c r="A382" s="28" t="str">
        <x:v>C07</x:v>
      </x:c>
      <x:c r="B382" s="28" t="str">
        <x:v>永冻荒境</x:v>
      </x:c>
      <x:c r="C382" s="28" t="str">
        <x:v>芙蕾冰冠</x:v>
      </x:c>
      <x:c r="D382" s="28" t="str">
        <x:v>地图BOSS</x:v>
      </x:c>
      <x:c r="E382" s="28" t="n">
        <x:v>1</x:v>
      </x:c>
      <x:c r="F382" s="28" t="n">
        <x:v>0</x:v>
      </x:c>
      <x:c r="G382" s="28" t="n">
        <x:v>0</x:v>
      </x:c>
      <x:c r="H382" s="28" t="n">
        <x:v>0</x:v>
      </x:c>
      <x:c r="I382" s="28" t="n">
        <x:v>60</x:v>
      </x:c>
      <x:c r="J382" s="28" t="n">
        <x:v>6000</x:v>
      </x:c>
      <x:c r="K382" s="28" t="n">
        <x:v>0</x:v>
      </x:c>
      <x:c r="L382" s="28" t="n">
        <x:v>1</x:v>
      </x:c>
      <x:c r="M382" s="28" t="n">
        <x:v>0</x:v>
      </x:c>
      <x:c r="N382" s="28" t="n">
        <x:v>0</x:v>
      </x:c>
      <x:c r="O382" s="28" t="str">
        <x:v>登记消耗1件；永久一次；不收金币/元宝/灵符</x:v>
      </x:c>
    </x:row>
    <x:row r="383" ht="30" customHeight="1">
      <x:c r="A383" s="28" t="str">
        <x:v>C07</x:v>
      </x:c>
      <x:c r="B383" s="28" t="str">
        <x:v>永冻荒境</x:v>
      </x:c>
      <x:c r="C383" s="28" t="str">
        <x:v>乌尔寒铠</x:v>
      </x:c>
      <x:c r="D383" s="28" t="str">
        <x:v>地图BOSS</x:v>
      </x:c>
      <x:c r="E383" s="28" t="n">
        <x:v>1</x:v>
      </x:c>
      <x:c r="F383" s="28" t="n">
        <x:v>0</x:v>
      </x:c>
      <x:c r="G383" s="28" t="n">
        <x:v>0</x:v>
      </x:c>
      <x:c r="H383" s="28" t="n">
        <x:v>0</x:v>
      </x:c>
      <x:c r="I383" s="28" t="n">
        <x:v>60</x:v>
      </x:c>
      <x:c r="J383" s="28" t="n">
        <x:v>6000</x:v>
      </x:c>
      <x:c r="K383" s="28" t="n">
        <x:v>0</x:v>
      </x:c>
      <x:c r="L383" s="28" t="n">
        <x:v>1</x:v>
      </x:c>
      <x:c r="M383" s="28" t="n">
        <x:v>0</x:v>
      </x:c>
      <x:c r="N383" s="28" t="n">
        <x:v>0</x:v>
      </x:c>
      <x:c r="O383" s="28" t="str">
        <x:v>登记消耗1件；永久一次；不收金币/元宝/灵符</x:v>
      </x:c>
    </x:row>
    <x:row r="384" ht="30" customHeight="1">
      <x:c r="A384" s="28" t="str">
        <x:v>C07</x:v>
      </x:c>
      <x:c r="B384" s="28" t="str">
        <x:v>极寒禁域</x:v>
      </x:c>
      <x:c r="C384" s="28" t="str">
        <x:v>冻喉牙刃</x:v>
      </x:c>
      <x:c r="D384" s="28" t="str">
        <x:v>普通</x:v>
      </x:c>
      <x:c r="E384" s="28" t="n">
        <x:v>1</x:v>
      </x:c>
      <x:c r="F384" s="28" t="n">
        <x:v>0</x:v>
      </x:c>
      <x:c r="G384" s="28" t="n">
        <x:v>0</x:v>
      </x:c>
      <x:c r="H384" s="28" t="n">
        <x:v>0</x:v>
      </x:c>
      <x:c r="I384" s="28" t="n">
        <x:v>20</x:v>
      </x:c>
      <x:c r="J384" s="28" t="n">
        <x:v>2000</x:v>
      </x:c>
      <x:c r="K384" s="28" t="n">
        <x:v>0</x:v>
      </x:c>
      <x:c r="L384" s="28" t="n">
        <x:v>0</x:v>
      </x:c>
      <x:c r="M384" s="28" t="n">
        <x:v>0</x:v>
      </x:c>
      <x:c r="N384" s="28" t="n">
        <x:v>0</x:v>
      </x:c>
      <x:c r="O384" s="28" t="str">
        <x:v>登记消耗1件；永久一次；不收金币/元宝/灵符</x:v>
      </x:c>
    </x:row>
    <x:row r="385" ht="30" customHeight="1">
      <x:c r="A385" s="28" t="str">
        <x:v>C07</x:v>
      </x:c>
      <x:c r="B385" s="28" t="str">
        <x:v>极寒禁域</x:v>
      </x:c>
      <x:c r="C385" s="28" t="str">
        <x:v>雾界斗笠</x:v>
      </x:c>
      <x:c r="D385" s="28" t="str">
        <x:v>普通</x:v>
      </x:c>
      <x:c r="E385" s="28" t="n">
        <x:v>1</x:v>
      </x:c>
      <x:c r="F385" s="28" t="n">
        <x:v>0</x:v>
      </x:c>
      <x:c r="G385" s="28" t="n">
        <x:v>0</x:v>
      </x:c>
      <x:c r="H385" s="28" t="n">
        <x:v>0</x:v>
      </x:c>
      <x:c r="I385" s="28" t="n">
        <x:v>20</x:v>
      </x:c>
      <x:c r="J385" s="28" t="n">
        <x:v>2000</x:v>
      </x:c>
      <x:c r="K385" s="28" t="n">
        <x:v>0</x:v>
      </x:c>
      <x:c r="L385" s="28" t="n">
        <x:v>0</x:v>
      </x:c>
      <x:c r="M385" s="28" t="n">
        <x:v>0</x:v>
      </x:c>
      <x:c r="N385" s="28" t="n">
        <x:v>0</x:v>
      </x:c>
      <x:c r="O385" s="28" t="str">
        <x:v>登记消耗1件；永久一次；不收金币/元宝/灵符</x:v>
      </x:c>
    </x:row>
    <x:row r="386" ht="30" customHeight="1">
      <x:c r="A386" s="28" t="str">
        <x:v>C07</x:v>
      </x:c>
      <x:c r="B386" s="28" t="str">
        <x:v>极寒禁域</x:v>
      </x:c>
      <x:c r="C386" s="28" t="str">
        <x:v>寒狱铁镯</x:v>
      </x:c>
      <x:c r="D386" s="28" t="str">
        <x:v>普通</x:v>
      </x:c>
      <x:c r="E386" s="28" t="n">
        <x:v>1</x:v>
      </x:c>
      <x:c r="F386" s="28" t="n">
        <x:v>0</x:v>
      </x:c>
      <x:c r="G386" s="28" t="n">
        <x:v>0</x:v>
      </x:c>
      <x:c r="H386" s="28" t="n">
        <x:v>0</x:v>
      </x:c>
      <x:c r="I386" s="28" t="n">
        <x:v>20</x:v>
      </x:c>
      <x:c r="J386" s="28" t="n">
        <x:v>2000</x:v>
      </x:c>
      <x:c r="K386" s="28" t="n">
        <x:v>0</x:v>
      </x:c>
      <x:c r="L386" s="28" t="n">
        <x:v>0</x:v>
      </x:c>
      <x:c r="M386" s="28" t="n">
        <x:v>0</x:v>
      </x:c>
      <x:c r="N386" s="28" t="n">
        <x:v>0</x:v>
      </x:c>
      <x:c r="O386" s="28" t="str">
        <x:v>登记消耗1件；永久一次；不收金币/元宝/灵符</x:v>
      </x:c>
    </x:row>
    <x:row r="387" ht="30" customHeight="1">
      <x:c r="A387" s="28" t="str">
        <x:v>C07</x:v>
      </x:c>
      <x:c r="B387" s="28" t="str">
        <x:v>极寒禁域</x:v>
      </x:c>
      <x:c r="C387" s="28" t="str">
        <x:v>守烛项链</x:v>
      </x:c>
      <x:c r="D387" s="28" t="str">
        <x:v>普通</x:v>
      </x:c>
      <x:c r="E387" s="28" t="n">
        <x:v>1</x:v>
      </x:c>
      <x:c r="F387" s="28" t="n">
        <x:v>0</x:v>
      </x:c>
      <x:c r="G387" s="28" t="n">
        <x:v>0</x:v>
      </x:c>
      <x:c r="H387" s="28" t="n">
        <x:v>0</x:v>
      </x:c>
      <x:c r="I387" s="28" t="n">
        <x:v>20</x:v>
      </x:c>
      <x:c r="J387" s="28" t="n">
        <x:v>2000</x:v>
      </x:c>
      <x:c r="K387" s="28" t="n">
        <x:v>0</x:v>
      </x:c>
      <x:c r="L387" s="28" t="n">
        <x:v>0</x:v>
      </x:c>
      <x:c r="M387" s="28" t="n">
        <x:v>0</x:v>
      </x:c>
      <x:c r="N387" s="28" t="n">
        <x:v>0</x:v>
      </x:c>
      <x:c r="O387" s="28" t="str">
        <x:v>登记消耗1件；永久一次；不收金币/元宝/灵符</x:v>
      </x:c>
    </x:row>
    <x:row r="388" ht="30" customHeight="1">
      <x:c r="A388" s="28" t="str">
        <x:v>C07</x:v>
      </x:c>
      <x:c r="B388" s="28" t="str">
        <x:v>极寒禁域</x:v>
      </x:c>
      <x:c r="C388" s="28" t="str">
        <x:v>白甲战衣</x:v>
      </x:c>
      <x:c r="D388" s="28" t="str">
        <x:v>普通</x:v>
      </x:c>
      <x:c r="E388" s="28" t="n">
        <x:v>1</x:v>
      </x:c>
      <x:c r="F388" s="28" t="n">
        <x:v>0</x:v>
      </x:c>
      <x:c r="G388" s="28" t="n">
        <x:v>0</x:v>
      </x:c>
      <x:c r="H388" s="28" t="n">
        <x:v>0</x:v>
      </x:c>
      <x:c r="I388" s="28" t="n">
        <x:v>20</x:v>
      </x:c>
      <x:c r="J388" s="28" t="n">
        <x:v>2000</x:v>
      </x:c>
      <x:c r="K388" s="28" t="n">
        <x:v>0</x:v>
      </x:c>
      <x:c r="L388" s="28" t="n">
        <x:v>0</x:v>
      </x:c>
      <x:c r="M388" s="28" t="n">
        <x:v>0</x:v>
      </x:c>
      <x:c r="N388" s="28" t="n">
        <x:v>0</x:v>
      </x:c>
      <x:c r="O388" s="28" t="str">
        <x:v>登记消耗1件；永久一次；不收金币/元宝/灵符</x:v>
      </x:c>
    </x:row>
    <x:row r="389" ht="30" customHeight="1">
      <x:c r="A389" s="28" t="str">
        <x:v>C07</x:v>
      </x:c>
      <x:c r="B389" s="28" t="str">
        <x:v>极寒禁域</x:v>
      </x:c>
      <x:c r="C389" s="28" t="str">
        <x:v>巡界牙戒</x:v>
      </x:c>
      <x:c r="D389" s="28" t="str">
        <x:v>普通</x:v>
      </x:c>
      <x:c r="E389" s="28" t="n">
        <x:v>1</x:v>
      </x:c>
      <x:c r="F389" s="28" t="n">
        <x:v>0</x:v>
      </x:c>
      <x:c r="G389" s="28" t="n">
        <x:v>0</x:v>
      </x:c>
      <x:c r="H389" s="28" t="n">
        <x:v>0</x:v>
      </x:c>
      <x:c r="I389" s="28" t="n">
        <x:v>20</x:v>
      </x:c>
      <x:c r="J389" s="28" t="n">
        <x:v>2000</x:v>
      </x:c>
      <x:c r="K389" s="28" t="n">
        <x:v>0</x:v>
      </x:c>
      <x:c r="L389" s="28" t="n">
        <x:v>0</x:v>
      </x:c>
      <x:c r="M389" s="28" t="n">
        <x:v>0</x:v>
      </x:c>
      <x:c r="N389" s="28" t="n">
        <x:v>0</x:v>
      </x:c>
      <x:c r="O389" s="28" t="str">
        <x:v>登记消耗1件；永久一次；不收金币/元宝/灵符</x:v>
      </x:c>
    </x:row>
    <x:row r="390" ht="30" customHeight="1">
      <x:c r="A390" s="28" t="str">
        <x:v>C07</x:v>
      </x:c>
      <x:c r="B390" s="28" t="str">
        <x:v>极寒禁域</x:v>
      </x:c>
      <x:c r="C390" s="28" t="str">
        <x:v>幻刃腰封</x:v>
      </x:c>
      <x:c r="D390" s="28" t="str">
        <x:v>稀有</x:v>
      </x:c>
      <x:c r="E390" s="28" t="n">
        <x:v>1</x:v>
      </x:c>
      <x:c r="F390" s="28" t="n">
        <x:v>0</x:v>
      </x:c>
      <x:c r="G390" s="28" t="n">
        <x:v>0</x:v>
      </x:c>
      <x:c r="H390" s="28" t="n">
        <x:v>0</x:v>
      </x:c>
      <x:c r="I390" s="28" t="n">
        <x:v>40</x:v>
      </x:c>
      <x:c r="J390" s="28" t="n">
        <x:v>4000</x:v>
      </x:c>
      <x:c r="K390" s="28" t="n">
        <x:v>5</x:v>
      </x:c>
      <x:c r="L390" s="28" t="n">
        <x:v>0</x:v>
      </x:c>
      <x:c r="M390" s="28" t="n">
        <x:v>0</x:v>
      </x:c>
      <x:c r="N390" s="28" t="n">
        <x:v>0</x:v>
      </x:c>
      <x:c r="O390" s="28" t="str">
        <x:v>登记消耗1件；永久一次；不收金币/元宝/灵符</x:v>
      </x:c>
    </x:row>
    <x:row r="391" ht="30" customHeight="1">
      <x:c r="A391" s="28" t="str">
        <x:v>C07</x:v>
      </x:c>
      <x:c r="B391" s="28" t="str">
        <x:v>极寒禁域</x:v>
      </x:c>
      <x:c r="C391" s="28" t="str">
        <x:v>冰骨战靴</x:v>
      </x:c>
      <x:c r="D391" s="28" t="str">
        <x:v>稀有</x:v>
      </x:c>
      <x:c r="E391" s="28" t="n">
        <x:v>1</x:v>
      </x:c>
      <x:c r="F391" s="28" t="n">
        <x:v>0</x:v>
      </x:c>
      <x:c r="G391" s="28" t="n">
        <x:v>0</x:v>
      </x:c>
      <x:c r="H391" s="28" t="n">
        <x:v>0</x:v>
      </x:c>
      <x:c r="I391" s="28" t="n">
        <x:v>40</x:v>
      </x:c>
      <x:c r="J391" s="28" t="n">
        <x:v>4000</x:v>
      </x:c>
      <x:c r="K391" s="28" t="n">
        <x:v>5</x:v>
      </x:c>
      <x:c r="L391" s="28" t="n">
        <x:v>0</x:v>
      </x:c>
      <x:c r="M391" s="28" t="n">
        <x:v>0</x:v>
      </x:c>
      <x:c r="N391" s="28" t="n">
        <x:v>0</x:v>
      </x:c>
      <x:c r="O391" s="28" t="str">
        <x:v>登记消耗1件；永久一次；不收金币/元宝/灵符</x:v>
      </x:c>
    </x:row>
    <x:row r="392" ht="30" customHeight="1">
      <x:c r="A392" s="28" t="str">
        <x:v>C07</x:v>
      </x:c>
      <x:c r="B392" s="28" t="str">
        <x:v>极寒禁域</x:v>
      </x:c>
      <x:c r="C392" s="28" t="str">
        <x:v>霜钟罪章</x:v>
      </x:c>
      <x:c r="D392" s="28" t="str">
        <x:v>稀有</x:v>
      </x:c>
      <x:c r="E392" s="28" t="n">
        <x:v>1</x:v>
      </x:c>
      <x:c r="F392" s="28" t="n">
        <x:v>0</x:v>
      </x:c>
      <x:c r="G392" s="28" t="n">
        <x:v>0</x:v>
      </x:c>
      <x:c r="H392" s="28" t="n">
        <x:v>0</x:v>
      </x:c>
      <x:c r="I392" s="28" t="n">
        <x:v>40</x:v>
      </x:c>
      <x:c r="J392" s="28" t="n">
        <x:v>4000</x:v>
      </x:c>
      <x:c r="K392" s="28" t="n">
        <x:v>5</x:v>
      </x:c>
      <x:c r="L392" s="28" t="n">
        <x:v>0</x:v>
      </x:c>
      <x:c r="M392" s="28" t="n">
        <x:v>0</x:v>
      </x:c>
      <x:c r="N392" s="28" t="n">
        <x:v>0</x:v>
      </x:c>
      <x:c r="O392" s="28" t="str">
        <x:v>登记消耗1件；永久一次；不收金币/元宝/灵符</x:v>
      </x:c>
    </x:row>
    <x:row r="393" ht="30" customHeight="1">
      <x:c r="A393" s="28" t="str">
        <x:v>C07</x:v>
      </x:c>
      <x:c r="B393" s="28" t="str">
        <x:v>极寒禁域</x:v>
      </x:c>
      <x:c r="C393" s="28" t="str">
        <x:v>银角塔盾</x:v>
      </x:c>
      <x:c r="D393" s="28" t="str">
        <x:v>稀有</x:v>
      </x:c>
      <x:c r="E393" s="28" t="n">
        <x:v>1</x:v>
      </x:c>
      <x:c r="F393" s="28" t="n">
        <x:v>0</x:v>
      </x:c>
      <x:c r="G393" s="28" t="n">
        <x:v>0</x:v>
      </x:c>
      <x:c r="H393" s="28" t="n">
        <x:v>0</x:v>
      </x:c>
      <x:c r="I393" s="28" t="n">
        <x:v>40</x:v>
      </x:c>
      <x:c r="J393" s="28" t="n">
        <x:v>4000</x:v>
      </x:c>
      <x:c r="K393" s="28" t="n">
        <x:v>5</x:v>
      </x:c>
      <x:c r="L393" s="28" t="n">
        <x:v>0</x:v>
      </x:c>
      <x:c r="M393" s="28" t="n">
        <x:v>0</x:v>
      </x:c>
      <x:c r="N393" s="28" t="n">
        <x:v>0</x:v>
      </x:c>
      <x:c r="O393" s="28" t="str">
        <x:v>登记消耗1件；永久一次；不收金币/元宝/灵符</x:v>
      </x:c>
    </x:row>
    <x:row r="394" ht="30" customHeight="1">
      <x:c r="A394" s="28" t="str">
        <x:v>C07</x:v>
      </x:c>
      <x:c r="B394" s="28" t="str">
        <x:v>极寒禁域</x:v>
      </x:c>
      <x:c r="C394" s="28" t="str">
        <x:v>诺薇霜镰</x:v>
      </x:c>
      <x:c r="D394" s="28" t="str">
        <x:v>地图BOSS</x:v>
      </x:c>
      <x:c r="E394" s="28" t="n">
        <x:v>1</x:v>
      </x:c>
      <x:c r="F394" s="28" t="n">
        <x:v>0</x:v>
      </x:c>
      <x:c r="G394" s="28" t="n">
        <x:v>0</x:v>
      </x:c>
      <x:c r="H394" s="28" t="n">
        <x:v>0</x:v>
      </x:c>
      <x:c r="I394" s="28" t="n">
        <x:v>60</x:v>
      </x:c>
      <x:c r="J394" s="28" t="n">
        <x:v>6000</x:v>
      </x:c>
      <x:c r="K394" s="28" t="n">
        <x:v>0</x:v>
      </x:c>
      <x:c r="L394" s="28" t="n">
        <x:v>1</x:v>
      </x:c>
      <x:c r="M394" s="28" t="n">
        <x:v>0</x:v>
      </x:c>
      <x:c r="N394" s="28" t="n">
        <x:v>0</x:v>
      </x:c>
      <x:c r="O394" s="28" t="str">
        <x:v>登记消耗1件；永久一次；不收金币/元宝/灵符</x:v>
      </x:c>
    </x:row>
    <x:row r="395" ht="30" customHeight="1">
      <x:c r="A395" s="28" t="str">
        <x:v>C07</x:v>
      </x:c>
      <x:c r="B395" s="28" t="str">
        <x:v>极寒禁域</x:v>
      </x:c>
      <x:c r="C395" s="28" t="str">
        <x:v>希尔达圣冠</x:v>
      </x:c>
      <x:c r="D395" s="28" t="str">
        <x:v>地图BOSS</x:v>
      </x:c>
      <x:c r="E395" s="28" t="n">
        <x:v>1</x:v>
      </x:c>
      <x:c r="F395" s="28" t="n">
        <x:v>0</x:v>
      </x:c>
      <x:c r="G395" s="28" t="n">
        <x:v>0</x:v>
      </x:c>
      <x:c r="H395" s="28" t="n">
        <x:v>0</x:v>
      </x:c>
      <x:c r="I395" s="28" t="n">
        <x:v>60</x:v>
      </x:c>
      <x:c r="J395" s="28" t="n">
        <x:v>6000</x:v>
      </x:c>
      <x:c r="K395" s="28" t="n">
        <x:v>0</x:v>
      </x:c>
      <x:c r="L395" s="28" t="n">
        <x:v>1</x:v>
      </x:c>
      <x:c r="M395" s="28" t="n">
        <x:v>0</x:v>
      </x:c>
      <x:c r="N395" s="28" t="n">
        <x:v>0</x:v>
      </x:c>
      <x:c r="O395" s="28" t="str">
        <x:v>登记消耗1件；永久一次；不收金币/元宝/灵符</x:v>
      </x:c>
    </x:row>
    <x:row r="396" ht="30" customHeight="1">
      <x:c r="A396" s="28" t="str">
        <x:v>C07</x:v>
      </x:c>
      <x:c r="B396" s="28" t="str">
        <x:v>极寒禁域</x:v>
      </x:c>
      <x:c r="C396" s="28" t="str">
        <x:v>埃琉斯永霜铠</x:v>
      </x:c>
      <x:c r="D396" s="28" t="str">
        <x:v>守关BOSS</x:v>
      </x:c>
      <x:c r="E396" s="28" t="n">
        <x:v>1</x:v>
      </x:c>
      <x:c r="F396" s="28" t="n">
        <x:v>0</x:v>
      </x:c>
      <x:c r="G396" s="28" t="n">
        <x:v>0</x:v>
      </x:c>
      <x:c r="H396" s="28" t="n">
        <x:v>0</x:v>
      </x:c>
      <x:c r="I396" s="28" t="n">
        <x:v>80</x:v>
      </x:c>
      <x:c r="J396" s="28" t="n">
        <x:v>8000</x:v>
      </x:c>
      <x:c r="K396" s="28" t="n">
        <x:v>0</x:v>
      </x:c>
      <x:c r="L396" s="28" t="n">
        <x:v>1</x:v>
      </x:c>
      <x:c r="M396" s="28" t="n">
        <x:v>0</x:v>
      </x:c>
      <x:c r="N396" s="28" t="n">
        <x:v>0</x:v>
      </x:c>
      <x:c r="O396" s="28" t="str">
        <x:v>登记消耗1件；永久一次；不收金币/元宝/灵符</x:v>
      </x:c>
    </x:row>
    <x:row r="397" ht="30" customHeight="1">
      <x:c r="A397" s="28" t="str">
        <x:v>C08</x:v>
      </x:c>
      <x:c r="B397" s="28" t="str">
        <x:v>寒霜山径</x:v>
      </x:c>
      <x:c r="C397" s="28" t="str">
        <x:v>霜蹄踏雪靴</x:v>
      </x:c>
      <x:c r="D397" s="28" t="str">
        <x:v>普通</x:v>
      </x:c>
      <x:c r="E397" s="28" t="n">
        <x:v>1</x:v>
      </x:c>
      <x:c r="F397" s="28" t="n">
        <x:v>0</x:v>
      </x:c>
      <x:c r="G397" s="28" t="n">
        <x:v>0</x:v>
      </x:c>
      <x:c r="H397" s="28" t="n">
        <x:v>0</x:v>
      </x:c>
      <x:c r="I397" s="28" t="n">
        <x:v>30</x:v>
      </x:c>
      <x:c r="J397" s="28" t="n">
        <x:v>3000</x:v>
      </x:c>
      <x:c r="K397" s="28" t="n">
        <x:v>0</x:v>
      </x:c>
      <x:c r="L397" s="28" t="n">
        <x:v>0</x:v>
      </x:c>
      <x:c r="M397" s="28" t="n">
        <x:v>0</x:v>
      </x:c>
      <x:c r="N397" s="28" t="n">
        <x:v>0</x:v>
      </x:c>
      <x:c r="O397" s="28" t="str">
        <x:v>登记消耗1件；永久一次；不收金币/元宝/灵符</x:v>
      </x:c>
    </x:row>
    <x:row r="398" ht="30" customHeight="1">
      <x:c r="A398" s="28" t="str">
        <x:v>C08</x:v>
      </x:c>
      <x:c r="B398" s="28" t="str">
        <x:v>寒霜山径</x:v>
      </x:c>
      <x:c r="C398" s="28" t="str">
        <x:v>拾荒冰镐</x:v>
      </x:c>
      <x:c r="D398" s="28" t="str">
        <x:v>普通</x:v>
      </x:c>
      <x:c r="E398" s="28" t="n">
        <x:v>1</x:v>
      </x:c>
      <x:c r="F398" s="28" t="n">
        <x:v>0</x:v>
      </x:c>
      <x:c r="G398" s="28" t="n">
        <x:v>0</x:v>
      </x:c>
      <x:c r="H398" s="28" t="n">
        <x:v>0</x:v>
      </x:c>
      <x:c r="I398" s="28" t="n">
        <x:v>30</x:v>
      </x:c>
      <x:c r="J398" s="28" t="n">
        <x:v>3000</x:v>
      </x:c>
      <x:c r="K398" s="28" t="n">
        <x:v>0</x:v>
      </x:c>
      <x:c r="L398" s="28" t="n">
        <x:v>0</x:v>
      </x:c>
      <x:c r="M398" s="28" t="n">
        <x:v>0</x:v>
      </x:c>
      <x:c r="N398" s="28" t="n">
        <x:v>0</x:v>
      </x:c>
      <x:c r="O398" s="28" t="str">
        <x:v>登记消耗1件；永久一次；不收金币/元宝/灵符</x:v>
      </x:c>
    </x:row>
    <x:row r="399" ht="30" customHeight="1">
      <x:c r="A399" s="28" t="str">
        <x:v>C08</x:v>
      </x:c>
      <x:c r="B399" s="28" t="str">
        <x:v>寒霜山径</x:v>
      </x:c>
      <x:c r="C399" s="28" t="str">
        <x:v>雪猿鬃甲</x:v>
      </x:c>
      <x:c r="D399" s="28" t="str">
        <x:v>普通</x:v>
      </x:c>
      <x:c r="E399" s="28" t="n">
        <x:v>1</x:v>
      </x:c>
      <x:c r="F399" s="28" t="n">
        <x:v>0</x:v>
      </x:c>
      <x:c r="G399" s="28" t="n">
        <x:v>0</x:v>
      </x:c>
      <x:c r="H399" s="28" t="n">
        <x:v>0</x:v>
      </x:c>
      <x:c r="I399" s="28" t="n">
        <x:v>30</x:v>
      </x:c>
      <x:c r="J399" s="28" t="n">
        <x:v>3000</x:v>
      </x:c>
      <x:c r="K399" s="28" t="n">
        <x:v>0</x:v>
      </x:c>
      <x:c r="L399" s="28" t="n">
        <x:v>0</x:v>
      </x:c>
      <x:c r="M399" s="28" t="n">
        <x:v>0</x:v>
      </x:c>
      <x:c r="N399" s="28" t="n">
        <x:v>0</x:v>
      </x:c>
      <x:c r="O399" s="28" t="str">
        <x:v>登记消耗1件；永久一次；不收金币/元宝/灵符</x:v>
      </x:c>
    </x:row>
    <x:row r="400" ht="30" customHeight="1">
      <x:c r="A400" s="28" t="str">
        <x:v>C08</x:v>
      </x:c>
      <x:c r="B400" s="28" t="str">
        <x:v>寒霜山径</x:v>
      </x:c>
      <x:c r="C400" s="28" t="str">
        <x:v>冻骨圆盾</x:v>
      </x:c>
      <x:c r="D400" s="28" t="str">
        <x:v>普通</x:v>
      </x:c>
      <x:c r="E400" s="28" t="n">
        <x:v>1</x:v>
      </x:c>
      <x:c r="F400" s="28" t="n">
        <x:v>0</x:v>
      </x:c>
      <x:c r="G400" s="28" t="n">
        <x:v>0</x:v>
      </x:c>
      <x:c r="H400" s="28" t="n">
        <x:v>0</x:v>
      </x:c>
      <x:c r="I400" s="28" t="n">
        <x:v>30</x:v>
      </x:c>
      <x:c r="J400" s="28" t="n">
        <x:v>3000</x:v>
      </x:c>
      <x:c r="K400" s="28" t="n">
        <x:v>0</x:v>
      </x:c>
      <x:c r="L400" s="28" t="n">
        <x:v>0</x:v>
      </x:c>
      <x:c r="M400" s="28" t="n">
        <x:v>0</x:v>
      </x:c>
      <x:c r="N400" s="28" t="n">
        <x:v>0</x:v>
      </x:c>
      <x:c r="O400" s="28" t="str">
        <x:v>登记消耗1件；永久一次；不收金币/元宝/灵符</x:v>
      </x:c>
    </x:row>
    <x:row r="401" ht="30" customHeight="1">
      <x:c r="A401" s="28" t="str">
        <x:v>C08</x:v>
      </x:c>
      <x:c r="B401" s="28" t="str">
        <x:v>寒霜山径</x:v>
      </x:c>
      <x:c r="C401" s="28" t="str">
        <x:v>青隼翎盔</x:v>
      </x:c>
      <x:c r="D401" s="28" t="str">
        <x:v>普通</x:v>
      </x:c>
      <x:c r="E401" s="28" t="n">
        <x:v>1</x:v>
      </x:c>
      <x:c r="F401" s="28" t="n">
        <x:v>0</x:v>
      </x:c>
      <x:c r="G401" s="28" t="n">
        <x:v>0</x:v>
      </x:c>
      <x:c r="H401" s="28" t="n">
        <x:v>0</x:v>
      </x:c>
      <x:c r="I401" s="28" t="n">
        <x:v>30</x:v>
      </x:c>
      <x:c r="J401" s="28" t="n">
        <x:v>3000</x:v>
      </x:c>
      <x:c r="K401" s="28" t="n">
        <x:v>0</x:v>
      </x:c>
      <x:c r="L401" s="28" t="n">
        <x:v>0</x:v>
      </x:c>
      <x:c r="M401" s="28" t="n">
        <x:v>0</x:v>
      </x:c>
      <x:c r="N401" s="28" t="n">
        <x:v>0</x:v>
      </x:c>
      <x:c r="O401" s="28" t="str">
        <x:v>登记消耗1件；永久一次；不收金币/元宝/灵符</x:v>
      </x:c>
    </x:row>
    <x:row r="402" ht="30" customHeight="1">
      <x:c r="A402" s="28" t="str">
        <x:v>C08</x:v>
      </x:c>
      <x:c r="B402" s="28" t="str">
        <x:v>寒霜山径</x:v>
      </x:c>
      <x:c r="C402" s="28" t="str">
        <x:v>霜烛垂链</x:v>
      </x:c>
      <x:c r="D402" s="28" t="str">
        <x:v>普通</x:v>
      </x:c>
      <x:c r="E402" s="28" t="n">
        <x:v>1</x:v>
      </x:c>
      <x:c r="F402" s="28" t="n">
        <x:v>0</x:v>
      </x:c>
      <x:c r="G402" s="28" t="n">
        <x:v>0</x:v>
      </x:c>
      <x:c r="H402" s="28" t="n">
        <x:v>0</x:v>
      </x:c>
      <x:c r="I402" s="28" t="n">
        <x:v>30</x:v>
      </x:c>
      <x:c r="J402" s="28" t="n">
        <x:v>3000</x:v>
      </x:c>
      <x:c r="K402" s="28" t="n">
        <x:v>0</x:v>
      </x:c>
      <x:c r="L402" s="28" t="n">
        <x:v>0</x:v>
      </x:c>
      <x:c r="M402" s="28" t="n">
        <x:v>0</x:v>
      </x:c>
      <x:c r="N402" s="28" t="n">
        <x:v>0</x:v>
      </x:c>
      <x:c r="O402" s="28" t="str">
        <x:v>登记消耗1件；永久一次；不收金币/元宝/灵符</x:v>
      </x:c>
    </x:row>
    <x:row r="403" ht="30" customHeight="1">
      <x:c r="A403" s="28" t="str">
        <x:v>C08</x:v>
      </x:c>
      <x:c r="B403" s="28" t="str">
        <x:v>寒霜山径</x:v>
      </x:c>
      <x:c r="C403" s="28" t="str">
        <x:v>雾凇引路笠</x:v>
      </x:c>
      <x:c r="D403" s="28" t="str">
        <x:v>稀有</x:v>
      </x:c>
      <x:c r="E403" s="28" t="n">
        <x:v>1</x:v>
      </x:c>
      <x:c r="F403" s="28" t="n">
        <x:v>0</x:v>
      </x:c>
      <x:c r="G403" s="28" t="n">
        <x:v>0</x:v>
      </x:c>
      <x:c r="H403" s="28" t="n">
        <x:v>0</x:v>
      </x:c>
      <x:c r="I403" s="28" t="n">
        <x:v>60</x:v>
      </x:c>
      <x:c r="J403" s="28" t="n">
        <x:v>6000</x:v>
      </x:c>
      <x:c r="K403" s="28" t="n">
        <x:v>5</x:v>
      </x:c>
      <x:c r="L403" s="28" t="n">
        <x:v>0</x:v>
      </x:c>
      <x:c r="M403" s="28" t="n">
        <x:v>0</x:v>
      </x:c>
      <x:c r="N403" s="28" t="n">
        <x:v>0</x:v>
      </x:c>
      <x:c r="O403" s="28" t="str">
        <x:v>登记消耗1件；永久一次；不收金币/元宝/灵符</x:v>
      </x:c>
    </x:row>
    <x:row r="404" ht="30" customHeight="1">
      <x:c r="A404" s="28" t="str">
        <x:v>C08</x:v>
      </x:c>
      <x:c r="B404" s="28" t="str">
        <x:v>寒霜山径</x:v>
      </x:c>
      <x:c r="C404" s="28" t="str">
        <x:v>驮碑束腰</x:v>
      </x:c>
      <x:c r="D404" s="28" t="str">
        <x:v>稀有</x:v>
      </x:c>
      <x:c r="E404" s="28" t="n">
        <x:v>1</x:v>
      </x:c>
      <x:c r="F404" s="28" t="n">
        <x:v>0</x:v>
      </x:c>
      <x:c r="G404" s="28" t="n">
        <x:v>0</x:v>
      </x:c>
      <x:c r="H404" s="28" t="n">
        <x:v>0</x:v>
      </x:c>
      <x:c r="I404" s="28" t="n">
        <x:v>60</x:v>
      </x:c>
      <x:c r="J404" s="28" t="n">
        <x:v>6000</x:v>
      </x:c>
      <x:c r="K404" s="28" t="n">
        <x:v>5</x:v>
      </x:c>
      <x:c r="L404" s="28" t="n">
        <x:v>0</x:v>
      </x:c>
      <x:c r="M404" s="28" t="n">
        <x:v>0</x:v>
      </x:c>
      <x:c r="N404" s="28" t="n">
        <x:v>0</x:v>
      </x:c>
      <x:c r="O404" s="28" t="str">
        <x:v>登记消耗1件；永久一次；不收金币/元宝/灵符</x:v>
      </x:c>
    </x:row>
    <x:row r="405" ht="30" customHeight="1">
      <x:c r="A405" s="28" t="str">
        <x:v>C08</x:v>
      </x:c>
      <x:c r="B405" s="28" t="str">
        <x:v>寒霜山径</x:v>
      </x:c>
      <x:c r="C405" s="28" t="str">
        <x:v>白魈啸风镯</x:v>
      </x:c>
      <x:c r="D405" s="28" t="str">
        <x:v>稀有</x:v>
      </x:c>
      <x:c r="E405" s="28" t="n">
        <x:v>1</x:v>
      </x:c>
      <x:c r="F405" s="28" t="n">
        <x:v>0</x:v>
      </x:c>
      <x:c r="G405" s="28" t="n">
        <x:v>0</x:v>
      </x:c>
      <x:c r="H405" s="28" t="n">
        <x:v>0</x:v>
      </x:c>
      <x:c r="I405" s="28" t="n">
        <x:v>60</x:v>
      </x:c>
      <x:c r="J405" s="28" t="n">
        <x:v>6000</x:v>
      </x:c>
      <x:c r="K405" s="28" t="n">
        <x:v>5</x:v>
      </x:c>
      <x:c r="L405" s="28" t="n">
        <x:v>0</x:v>
      </x:c>
      <x:c r="M405" s="28" t="n">
        <x:v>0</x:v>
      </x:c>
      <x:c r="N405" s="28" t="n">
        <x:v>0</x:v>
      </x:c>
      <x:c r="O405" s="28" t="str">
        <x:v>登记消耗1件；永久一次；不收金币/元宝/灵符</x:v>
      </x:c>
    </x:row>
    <x:row r="406" ht="30" customHeight="1">
      <x:c r="A406" s="28" t="str">
        <x:v>C08</x:v>
      </x:c>
      <x:c r="B406" s="28" t="str">
        <x:v>寒霜山径</x:v>
      </x:c>
      <x:c r="C406" s="28" t="str">
        <x:v>封誓霜纹戒</x:v>
      </x:c>
      <x:c r="D406" s="28" t="str">
        <x:v>稀有</x:v>
      </x:c>
      <x:c r="E406" s="28" t="n">
        <x:v>1</x:v>
      </x:c>
      <x:c r="F406" s="28" t="n">
        <x:v>0</x:v>
      </x:c>
      <x:c r="G406" s="28" t="n">
        <x:v>0</x:v>
      </x:c>
      <x:c r="H406" s="28" t="n">
        <x:v>0</x:v>
      </x:c>
      <x:c r="I406" s="28" t="n">
        <x:v>60</x:v>
      </x:c>
      <x:c r="J406" s="28" t="n">
        <x:v>6000</x:v>
      </x:c>
      <x:c r="K406" s="28" t="n">
        <x:v>5</x:v>
      </x:c>
      <x:c r="L406" s="28" t="n">
        <x:v>0</x:v>
      </x:c>
      <x:c r="M406" s="28" t="n">
        <x:v>0</x:v>
      </x:c>
      <x:c r="N406" s="28" t="n">
        <x:v>0</x:v>
      </x:c>
      <x:c r="O406" s="28" t="str">
        <x:v>登记消耗1件；永久一次；不收金币/元宝/灵符</x:v>
      </x:c>
    </x:row>
    <x:row r="407" ht="30" customHeight="1">
      <x:c r="A407" s="28" t="str">
        <x:v>C08</x:v>
      </x:c>
      <x:c r="B407" s="28" t="str">
        <x:v>寒霜山径</x:v>
      </x:c>
      <x:c r="C407" s="28" t="str">
        <x:v>赫罗姆凿峰槌</x:v>
      </x:c>
      <x:c r="D407" s="28" t="str">
        <x:v>地图BOSS</x:v>
      </x:c>
      <x:c r="E407" s="28" t="n">
        <x:v>1</x:v>
      </x:c>
      <x:c r="F407" s="28" t="n">
        <x:v>0</x:v>
      </x:c>
      <x:c r="G407" s="28" t="n">
        <x:v>0</x:v>
      </x:c>
      <x:c r="H407" s="28" t="n">
        <x:v>0</x:v>
      </x:c>
      <x:c r="I407" s="28" t="n">
        <x:v>90</x:v>
      </x:c>
      <x:c r="J407" s="28" t="n">
        <x:v>9000</x:v>
      </x:c>
      <x:c r="K407" s="28" t="n">
        <x:v>0</x:v>
      </x:c>
      <x:c r="L407" s="28" t="n">
        <x:v>1</x:v>
      </x:c>
      <x:c r="M407" s="28" t="n">
        <x:v>0</x:v>
      </x:c>
      <x:c r="N407" s="28" t="n">
        <x:v>0</x:v>
      </x:c>
      <x:c r="O407" s="28" t="str">
        <x:v>登记消耗1件；永久一次；不收金币/元宝/灵符</x:v>
      </x:c>
    </x:row>
    <x:row r="408" ht="30" customHeight="1">
      <x:c r="A408" s="28" t="str">
        <x:v>C08</x:v>
      </x:c>
      <x:c r="B408" s="28" t="str">
        <x:v>寒霜山径</x:v>
      </x:c>
      <x:c r="C408" s="28" t="str">
        <x:v>伊芙迦霜祀衣</x:v>
      </x:c>
      <x:c r="D408" s="28" t="str">
        <x:v>地图BOSS</x:v>
      </x:c>
      <x:c r="E408" s="28" t="n">
        <x:v>1</x:v>
      </x:c>
      <x:c r="F408" s="28" t="n">
        <x:v>0</x:v>
      </x:c>
      <x:c r="G408" s="28" t="n">
        <x:v>0</x:v>
      </x:c>
      <x:c r="H408" s="28" t="n">
        <x:v>0</x:v>
      </x:c>
      <x:c r="I408" s="28" t="n">
        <x:v>90</x:v>
      </x:c>
      <x:c r="J408" s="28" t="n">
        <x:v>9000</x:v>
      </x:c>
      <x:c r="K408" s="28" t="n">
        <x:v>0</x:v>
      </x:c>
      <x:c r="L408" s="28" t="n">
        <x:v>1</x:v>
      </x:c>
      <x:c r="M408" s="28" t="n">
        <x:v>0</x:v>
      </x:c>
      <x:c r="N408" s="28" t="n">
        <x:v>0</x:v>
      </x:c>
      <x:c r="O408" s="28" t="str">
        <x:v>登记消耗1件；永久一次；不收金币/元宝/灵符</x:v>
      </x:c>
    </x:row>
    <x:row r="409" ht="30" customHeight="1">
      <x:c r="A409" s="28" t="str">
        <x:v>C08</x:v>
      </x:c>
      <x:c r="B409" s="28" t="str">
        <x:v>断冰峰群</x:v>
      </x:c>
      <x:c r="C409" s="28" t="str">
        <x:v>岩獾碎石履</x:v>
      </x:c>
      <x:c r="D409" s="28" t="str">
        <x:v>普通</x:v>
      </x:c>
      <x:c r="E409" s="28" t="n">
        <x:v>1</x:v>
      </x:c>
      <x:c r="F409" s="28" t="n">
        <x:v>0</x:v>
      </x:c>
      <x:c r="G409" s="28" t="n">
        <x:v>0</x:v>
      </x:c>
      <x:c r="H409" s="28" t="n">
        <x:v>0</x:v>
      </x:c>
      <x:c r="I409" s="28" t="n">
        <x:v>30</x:v>
      </x:c>
      <x:c r="J409" s="28" t="n">
        <x:v>3000</x:v>
      </x:c>
      <x:c r="K409" s="28" t="n">
        <x:v>0</x:v>
      </x:c>
      <x:c r="L409" s="28" t="n">
        <x:v>0</x:v>
      </x:c>
      <x:c r="M409" s="28" t="n">
        <x:v>0</x:v>
      </x:c>
      <x:c r="N409" s="28" t="n">
        <x:v>0</x:v>
      </x:c>
      <x:c r="O409" s="28" t="str">
        <x:v>登记消耗1件；永久一次；不收金币/元宝/灵符</x:v>
      </x:c>
    </x:row>
    <x:row r="410" ht="30" customHeight="1">
      <x:c r="A410" s="28" t="str">
        <x:v>C08</x:v>
      </x:c>
      <x:c r="B410" s="28" t="str">
        <x:v>断冰峰群</x:v>
      </x:c>
      <x:c r="C410" s="28" t="str">
        <x:v>负霜钉腰带</x:v>
      </x:c>
      <x:c r="D410" s="28" t="str">
        <x:v>普通</x:v>
      </x:c>
      <x:c r="E410" s="28" t="n">
        <x:v>1</x:v>
      </x:c>
      <x:c r="F410" s="28" t="n">
        <x:v>0</x:v>
      </x:c>
      <x:c r="G410" s="28" t="n">
        <x:v>0</x:v>
      </x:c>
      <x:c r="H410" s="28" t="n">
        <x:v>0</x:v>
      </x:c>
      <x:c r="I410" s="28" t="n">
        <x:v>30</x:v>
      </x:c>
      <x:c r="J410" s="28" t="n">
        <x:v>3000</x:v>
      </x:c>
      <x:c r="K410" s="28" t="n">
        <x:v>0</x:v>
      </x:c>
      <x:c r="L410" s="28" t="n">
        <x:v>0</x:v>
      </x:c>
      <x:c r="M410" s="28" t="n">
        <x:v>0</x:v>
      </x:c>
      <x:c r="N410" s="28" t="n">
        <x:v>0</x:v>
      </x:c>
      <x:c r="O410" s="28" t="str">
        <x:v>登记消耗1件；永久一次；不收金币/元宝/灵符</x:v>
      </x:c>
    </x:row>
    <x:row r="411" ht="30" customHeight="1">
      <x:c r="A411" s="28" t="str">
        <x:v>C08</x:v>
      </x:c>
      <x:c r="B411" s="28" t="str">
        <x:v>断冰峰群</x:v>
      </x:c>
      <x:c r="C411" s="28" t="str">
        <x:v>桥卒破冰弩</x:v>
      </x:c>
      <x:c r="D411" s="28" t="str">
        <x:v>普通</x:v>
      </x:c>
      <x:c r="E411" s="28" t="n">
        <x:v>1</x:v>
      </x:c>
      <x:c r="F411" s="28" t="n">
        <x:v>0</x:v>
      </x:c>
      <x:c r="G411" s="28" t="n">
        <x:v>0</x:v>
      </x:c>
      <x:c r="H411" s="28" t="n">
        <x:v>0</x:v>
      </x:c>
      <x:c r="I411" s="28" t="n">
        <x:v>30</x:v>
      </x:c>
      <x:c r="J411" s="28" t="n">
        <x:v>3000</x:v>
      </x:c>
      <x:c r="K411" s="28" t="n">
        <x:v>0</x:v>
      </x:c>
      <x:c r="L411" s="28" t="n">
        <x:v>0</x:v>
      </x:c>
      <x:c r="M411" s="28" t="n">
        <x:v>0</x:v>
      </x:c>
      <x:c r="N411" s="28" t="n">
        <x:v>0</x:v>
      </x:c>
      <x:c r="O411" s="28" t="str">
        <x:v>登记消耗1件；永久一次；不收金币/元宝/灵符</x:v>
      </x:c>
    </x:row>
    <x:row r="412" ht="30" customHeight="1">
      <x:c r="A412" s="28" t="str">
        <x:v>C08</x:v>
      </x:c>
      <x:c r="B412" s="28" t="str">
        <x:v>断冰峰群</x:v>
      </x:c>
      <x:c r="C412" s="28" t="str">
        <x:v>冰甲棱盾</x:v>
      </x:c>
      <x:c r="D412" s="28" t="str">
        <x:v>普通</x:v>
      </x:c>
      <x:c r="E412" s="28" t="n">
        <x:v>1</x:v>
      </x:c>
      <x:c r="F412" s="28" t="n">
        <x:v>0</x:v>
      </x:c>
      <x:c r="G412" s="28" t="n">
        <x:v>0</x:v>
      </x:c>
      <x:c r="H412" s="28" t="n">
        <x:v>0</x:v>
      </x:c>
      <x:c r="I412" s="28" t="n">
        <x:v>30</x:v>
      </x:c>
      <x:c r="J412" s="28" t="n">
        <x:v>3000</x:v>
      </x:c>
      <x:c r="K412" s="28" t="n">
        <x:v>0</x:v>
      </x:c>
      <x:c r="L412" s="28" t="n">
        <x:v>0</x:v>
      </x:c>
      <x:c r="M412" s="28" t="n">
        <x:v>0</x:v>
      </x:c>
      <x:c r="N412" s="28" t="n">
        <x:v>0</x:v>
      </x:c>
      <x:c r="O412" s="28" t="str">
        <x:v>登记消耗1件；永久一次；不收金币/元宝/灵符</x:v>
      </x:c>
    </x:row>
    <x:row r="413" ht="30" customHeight="1">
      <x:c r="A413" s="28" t="str">
        <x:v>C08</x:v>
      </x:c>
      <x:c r="B413" s="28" t="str">
        <x:v>断冰峰群</x:v>
      </x:c>
      <x:c r="C413" s="28" t="str">
        <x:v>寒翼听风坠</x:v>
      </x:c>
      <x:c r="D413" s="28" t="str">
        <x:v>普通</x:v>
      </x:c>
      <x:c r="E413" s="28" t="n">
        <x:v>1</x:v>
      </x:c>
      <x:c r="F413" s="28" t="n">
        <x:v>0</x:v>
      </x:c>
      <x:c r="G413" s="28" t="n">
        <x:v>0</x:v>
      </x:c>
      <x:c r="H413" s="28" t="n">
        <x:v>0</x:v>
      </x:c>
      <x:c r="I413" s="28" t="n">
        <x:v>30</x:v>
      </x:c>
      <x:c r="J413" s="28" t="n">
        <x:v>3000</x:v>
      </x:c>
      <x:c r="K413" s="28" t="n">
        <x:v>0</x:v>
      </x:c>
      <x:c r="L413" s="28" t="n">
        <x:v>0</x:v>
      </x:c>
      <x:c r="M413" s="28" t="n">
        <x:v>0</x:v>
      </x:c>
      <x:c r="N413" s="28" t="n">
        <x:v>0</x:v>
      </x:c>
      <x:c r="O413" s="28" t="str">
        <x:v>登记消耗1件；永久一次；不收金币/元宝/灵符</x:v>
      </x:c>
    </x:row>
    <x:row r="414" ht="30" customHeight="1">
      <x:c r="A414" s="28" t="str">
        <x:v>C08</x:v>
      </x:c>
      <x:c r="B414" s="28" t="str">
        <x:v>断冰峰群</x:v>
      </x:c>
      <x:c r="C414" s="28" t="str">
        <x:v>残斧魂腕环</x:v>
      </x:c>
      <x:c r="D414" s="28" t="str">
        <x:v>普通</x:v>
      </x:c>
      <x:c r="E414" s="28" t="n">
        <x:v>1</x:v>
      </x:c>
      <x:c r="F414" s="28" t="n">
        <x:v>0</x:v>
      </x:c>
      <x:c r="G414" s="28" t="n">
        <x:v>0</x:v>
      </x:c>
      <x:c r="H414" s="28" t="n">
        <x:v>0</x:v>
      </x:c>
      <x:c r="I414" s="28" t="n">
        <x:v>30</x:v>
      </x:c>
      <x:c r="J414" s="28" t="n">
        <x:v>3000</x:v>
      </x:c>
      <x:c r="K414" s="28" t="n">
        <x:v>0</x:v>
      </x:c>
      <x:c r="L414" s="28" t="n">
        <x:v>0</x:v>
      </x:c>
      <x:c r="M414" s="28" t="n">
        <x:v>0</x:v>
      </x:c>
      <x:c r="N414" s="28" t="n">
        <x:v>0</x:v>
      </x:c>
      <x:c r="O414" s="28" t="str">
        <x:v>登记消耗1件；永久一次；不收金币/元宝/灵符</x:v>
      </x:c>
    </x:row>
    <x:row r="415" ht="30" customHeight="1">
      <x:c r="A415" s="28" t="str">
        <x:v>C08</x:v>
      </x:c>
      <x:c r="B415" s="28" t="str">
        <x:v>断冰峰群</x:v>
      </x:c>
      <x:c r="C415" s="28" t="str">
        <x:v>猎旗霜披</x:v>
      </x:c>
      <x:c r="D415" s="28" t="str">
        <x:v>稀有</x:v>
      </x:c>
      <x:c r="E415" s="28" t="n">
        <x:v>1</x:v>
      </x:c>
      <x:c r="F415" s="28" t="n">
        <x:v>0</x:v>
      </x:c>
      <x:c r="G415" s="28" t="n">
        <x:v>0</x:v>
      </x:c>
      <x:c r="H415" s="28" t="n">
        <x:v>0</x:v>
      </x:c>
      <x:c r="I415" s="28" t="n">
        <x:v>60</x:v>
      </x:c>
      <x:c r="J415" s="28" t="n">
        <x:v>6000</x:v>
      </x:c>
      <x:c r="K415" s="28" t="n">
        <x:v>5</x:v>
      </x:c>
      <x:c r="L415" s="28" t="n">
        <x:v>0</x:v>
      </x:c>
      <x:c r="M415" s="28" t="n">
        <x:v>0</x:v>
      </x:c>
      <x:c r="N415" s="28" t="n">
        <x:v>0</x:v>
      </x:c>
      <x:c r="O415" s="28" t="str">
        <x:v>登记消耗1件；永久一次；不收金币/元宝/灵符</x:v>
      </x:c>
    </x:row>
    <x:row r="416" ht="30" customHeight="1">
      <x:c r="A416" s="28" t="str">
        <x:v>C08</x:v>
      </x:c>
      <x:c r="B416" s="28" t="str">
        <x:v>断冰峰群</x:v>
      </x:c>
      <x:c r="C416" s="28" t="str">
        <x:v>踏索雪笠</x:v>
      </x:c>
      <x:c r="D416" s="28" t="str">
        <x:v>稀有</x:v>
      </x:c>
      <x:c r="E416" s="28" t="n">
        <x:v>1</x:v>
      </x:c>
      <x:c r="F416" s="28" t="n">
        <x:v>0</x:v>
      </x:c>
      <x:c r="G416" s="28" t="n">
        <x:v>0</x:v>
      </x:c>
      <x:c r="H416" s="28" t="n">
        <x:v>0</x:v>
      </x:c>
      <x:c r="I416" s="28" t="n">
        <x:v>60</x:v>
      </x:c>
      <x:c r="J416" s="28" t="n">
        <x:v>6000</x:v>
      </x:c>
      <x:c r="K416" s="28" t="n">
        <x:v>5</x:v>
      </x:c>
      <x:c r="L416" s="28" t="n">
        <x:v>0</x:v>
      </x:c>
      <x:c r="M416" s="28" t="n">
        <x:v>0</x:v>
      </x:c>
      <x:c r="N416" s="28" t="n">
        <x:v>0</x:v>
      </x:c>
      <x:c r="O416" s="28" t="str">
        <x:v>登记消耗1件；永久一次；不收金币/元宝/灵符</x:v>
      </x:c>
    </x:row>
    <x:row r="417" ht="30" customHeight="1">
      <x:c r="A417" s="28" t="str">
        <x:v>C08</x:v>
      </x:c>
      <x:c r="B417" s="28" t="str">
        <x:v>断冰峰群</x:v>
      </x:c>
      <x:c r="C417" s="28" t="str">
        <x:v>雪嚎裂角盔</x:v>
      </x:c>
      <x:c r="D417" s="28" t="str">
        <x:v>稀有</x:v>
      </x:c>
      <x:c r="E417" s="28" t="n">
        <x:v>1</x:v>
      </x:c>
      <x:c r="F417" s="28" t="n">
        <x:v>0</x:v>
      </x:c>
      <x:c r="G417" s="28" t="n">
        <x:v>0</x:v>
      </x:c>
      <x:c r="H417" s="28" t="n">
        <x:v>0</x:v>
      </x:c>
      <x:c r="I417" s="28" t="n">
        <x:v>60</x:v>
      </x:c>
      <x:c r="J417" s="28" t="n">
        <x:v>6000</x:v>
      </x:c>
      <x:c r="K417" s="28" t="n">
        <x:v>5</x:v>
      </x:c>
      <x:c r="L417" s="28" t="n">
        <x:v>0</x:v>
      </x:c>
      <x:c r="M417" s="28" t="n">
        <x:v>0</x:v>
      </x:c>
      <x:c r="N417" s="28" t="n">
        <x:v>0</x:v>
      </x:c>
      <x:c r="O417" s="28" t="str">
        <x:v>登记消耗1件；永久一次；不收金币/元宝/灵符</x:v>
      </x:c>
    </x:row>
    <x:row r="418" ht="30" customHeight="1">
      <x:c r="A418" s="28" t="str">
        <x:v>C08</x:v>
      </x:c>
      <x:c r="B418" s="28" t="str">
        <x:v>断冰峰群</x:v>
      </x:c>
      <x:c r="C418" s="28" t="str">
        <x:v>缄誓寒铁戒</x:v>
      </x:c>
      <x:c r="D418" s="28" t="str">
        <x:v>稀有</x:v>
      </x:c>
      <x:c r="E418" s="28" t="n">
        <x:v>1</x:v>
      </x:c>
      <x:c r="F418" s="28" t="n">
        <x:v>0</x:v>
      </x:c>
      <x:c r="G418" s="28" t="n">
        <x:v>0</x:v>
      </x:c>
      <x:c r="H418" s="28" t="n">
        <x:v>0</x:v>
      </x:c>
      <x:c r="I418" s="28" t="n">
        <x:v>60</x:v>
      </x:c>
      <x:c r="J418" s="28" t="n">
        <x:v>6000</x:v>
      </x:c>
      <x:c r="K418" s="28" t="n">
        <x:v>5</x:v>
      </x:c>
      <x:c r="L418" s="28" t="n">
        <x:v>0</x:v>
      </x:c>
      <x:c r="M418" s="28" t="n">
        <x:v>0</x:v>
      </x:c>
      <x:c r="N418" s="28" t="n">
        <x:v>0</x:v>
      </x:c>
      <x:c r="O418" s="28" t="str">
        <x:v>登记消耗1件；永久一次；不收金币/元宝/灵符</x:v>
      </x:c>
    </x:row>
    <x:row r="419" ht="30" customHeight="1">
      <x:c r="A419" s="28" t="str">
        <x:v>C08</x:v>
      </x:c>
      <x:c r="B419" s="28" t="str">
        <x:v>断冰峰群</x:v>
      </x:c>
      <x:c r="C419" s="28" t="str">
        <x:v>德鲁伽裂峰斧</x:v>
      </x:c>
      <x:c r="D419" s="28" t="str">
        <x:v>地图BOSS</x:v>
      </x:c>
      <x:c r="E419" s="28" t="n">
        <x:v>1</x:v>
      </x:c>
      <x:c r="F419" s="28" t="n">
        <x:v>0</x:v>
      </x:c>
      <x:c r="G419" s="28" t="n">
        <x:v>0</x:v>
      </x:c>
      <x:c r="H419" s="28" t="n">
        <x:v>0</x:v>
      </x:c>
      <x:c r="I419" s="28" t="n">
        <x:v>90</x:v>
      </x:c>
      <x:c r="J419" s="28" t="n">
        <x:v>9000</x:v>
      </x:c>
      <x:c r="K419" s="28" t="n">
        <x:v>0</x:v>
      </x:c>
      <x:c r="L419" s="28" t="n">
        <x:v>1</x:v>
      </x:c>
      <x:c r="M419" s="28" t="n">
        <x:v>0</x:v>
      </x:c>
      <x:c r="N419" s="28" t="n">
        <x:v>0</x:v>
      </x:c>
      <x:c r="O419" s="28" t="str">
        <x:v>登记消耗1件；永久一次；不收金币/元宝/灵符</x:v>
      </x:c>
    </x:row>
    <x:row r="420" ht="30" customHeight="1">
      <x:c r="A420" s="28" t="str">
        <x:v>C08</x:v>
      </x:c>
      <x:c r="B420" s="28" t="str">
        <x:v>断冰峰群</x:v>
      </x:c>
      <x:c r="C420" s="28" t="str">
        <x:v>维瑟娅霜祭衣</x:v>
      </x:c>
      <x:c r="D420" s="28" t="str">
        <x:v>地图BOSS</x:v>
      </x:c>
      <x:c r="E420" s="28" t="n">
        <x:v>1</x:v>
      </x:c>
      <x:c r="F420" s="28" t="n">
        <x:v>0</x:v>
      </x:c>
      <x:c r="G420" s="28" t="n">
        <x:v>0</x:v>
      </x:c>
      <x:c r="H420" s="28" t="n">
        <x:v>0</x:v>
      </x:c>
      <x:c r="I420" s="28" t="n">
        <x:v>90</x:v>
      </x:c>
      <x:c r="J420" s="28" t="n">
        <x:v>9000</x:v>
      </x:c>
      <x:c r="K420" s="28" t="n">
        <x:v>0</x:v>
      </x:c>
      <x:c r="L420" s="28" t="n">
        <x:v>1</x:v>
      </x:c>
      <x:c r="M420" s="28" t="n">
        <x:v>0</x:v>
      </x:c>
      <x:c r="N420" s="28" t="n">
        <x:v>0</x:v>
      </x:c>
      <x:c r="O420" s="28" t="str">
        <x:v>登记消耗1件；永久一次；不收金币/元宝/灵符</x:v>
      </x:c>
    </x:row>
    <x:row r="421" ht="30" customHeight="1">
      <x:c r="A421" s="28" t="str">
        <x:v>C08</x:v>
      </x:c>
      <x:c r="B421" s="28" t="str">
        <x:v>冰宫王庭</x:v>
      </x:c>
      <x:c r="C421" s="28" t="str">
        <x:v>雪鸦冰喙坠</x:v>
      </x:c>
      <x:c r="D421" s="28" t="str">
        <x:v>普通</x:v>
      </x:c>
      <x:c r="E421" s="28" t="n">
        <x:v>1</x:v>
      </x:c>
      <x:c r="F421" s="28" t="n">
        <x:v>0</x:v>
      </x:c>
      <x:c r="G421" s="28" t="n">
        <x:v>0</x:v>
      </x:c>
      <x:c r="H421" s="28" t="n">
        <x:v>0</x:v>
      </x:c>
      <x:c r="I421" s="28" t="n">
        <x:v>30</x:v>
      </x:c>
      <x:c r="J421" s="28" t="n">
        <x:v>3000</x:v>
      </x:c>
      <x:c r="K421" s="28" t="n">
        <x:v>0</x:v>
      </x:c>
      <x:c r="L421" s="28" t="n">
        <x:v>0</x:v>
      </x:c>
      <x:c r="M421" s="28" t="n">
        <x:v>0</x:v>
      </x:c>
      <x:c r="N421" s="28" t="n">
        <x:v>0</x:v>
      </x:c>
      <x:c r="O421" s="28" t="str">
        <x:v>登记消耗1件；永久一次；不收金币/元宝/灵符</x:v>
      </x:c>
    </x:row>
    <x:row r="422" ht="30" customHeight="1">
      <x:c r="A422" s="28" t="str">
        <x:v>C08</x:v>
      </x:c>
      <x:c r="B422" s="28" t="str">
        <x:v>冰宫王庭</x:v>
      </x:c>
      <x:c r="C422" s="28" t="str">
        <x:v>御阶雪铲</x:v>
      </x:c>
      <x:c r="D422" s="28" t="str">
        <x:v>普通</x:v>
      </x:c>
      <x:c r="E422" s="28" t="n">
        <x:v>1</x:v>
      </x:c>
      <x:c r="F422" s="28" t="n">
        <x:v>0</x:v>
      </x:c>
      <x:c r="G422" s="28" t="n">
        <x:v>0</x:v>
      </x:c>
      <x:c r="H422" s="28" t="n">
        <x:v>0</x:v>
      </x:c>
      <x:c r="I422" s="28" t="n">
        <x:v>30</x:v>
      </x:c>
      <x:c r="J422" s="28" t="n">
        <x:v>3000</x:v>
      </x:c>
      <x:c r="K422" s="28" t="n">
        <x:v>0</x:v>
      </x:c>
      <x:c r="L422" s="28" t="n">
        <x:v>0</x:v>
      </x:c>
      <x:c r="M422" s="28" t="n">
        <x:v>0</x:v>
      </x:c>
      <x:c r="N422" s="28" t="n">
        <x:v>0</x:v>
      </x:c>
      <x:c r="O422" s="28" t="str">
        <x:v>登记消耗1件；永久一次；不收金币/元宝/灵符</x:v>
      </x:c>
    </x:row>
    <x:row r="423" ht="30" customHeight="1">
      <x:c r="A423" s="28" t="str">
        <x:v>C08</x:v>
      </x:c>
      <x:c r="B423" s="28" t="str">
        <x:v>冰宫王庭</x:v>
      </x:c>
      <x:c r="C423" s="28" t="str">
        <x:v>外廊纹冰盾</x:v>
      </x:c>
      <x:c r="D423" s="28" t="str">
        <x:v>普通</x:v>
      </x:c>
      <x:c r="E423" s="28" t="n">
        <x:v>1</x:v>
      </x:c>
      <x:c r="F423" s="28" t="n">
        <x:v>0</x:v>
      </x:c>
      <x:c r="G423" s="28" t="n">
        <x:v>0</x:v>
      </x:c>
      <x:c r="H423" s="28" t="n">
        <x:v>0</x:v>
      </x:c>
      <x:c r="I423" s="28" t="n">
        <x:v>30</x:v>
      </x:c>
      <x:c r="J423" s="28" t="n">
        <x:v>3000</x:v>
      </x:c>
      <x:c r="K423" s="28" t="n">
        <x:v>0</x:v>
      </x:c>
      <x:c r="L423" s="28" t="n">
        <x:v>0</x:v>
      </x:c>
      <x:c r="M423" s="28" t="n">
        <x:v>0</x:v>
      </x:c>
      <x:c r="N423" s="28" t="n">
        <x:v>0</x:v>
      </x:c>
      <x:c r="O423" s="28" t="str">
        <x:v>登记消耗1件；永久一次；不收金币/元宝/灵符</x:v>
      </x:c>
    </x:row>
    <x:row r="424" ht="30" customHeight="1">
      <x:c r="A424" s="28" t="str">
        <x:v>C08</x:v>
      </x:c>
      <x:c r="B424" s="28" t="str">
        <x:v>冰宫王庭</x:v>
      </x:c>
      <x:c r="C424" s="28" t="str">
        <x:v>霜纱侍衣</x:v>
      </x:c>
      <x:c r="D424" s="28" t="str">
        <x:v>普通</x:v>
      </x:c>
      <x:c r="E424" s="28" t="n">
        <x:v>1</x:v>
      </x:c>
      <x:c r="F424" s="28" t="n">
        <x:v>0</x:v>
      </x:c>
      <x:c r="G424" s="28" t="n">
        <x:v>0</x:v>
      </x:c>
      <x:c r="H424" s="28" t="n">
        <x:v>0</x:v>
      </x:c>
      <x:c r="I424" s="28" t="n">
        <x:v>30</x:v>
      </x:c>
      <x:c r="J424" s="28" t="n">
        <x:v>3000</x:v>
      </x:c>
      <x:c r="K424" s="28" t="n">
        <x:v>0</x:v>
      </x:c>
      <x:c r="L424" s="28" t="n">
        <x:v>0</x:v>
      </x:c>
      <x:c r="M424" s="28" t="n">
        <x:v>0</x:v>
      </x:c>
      <x:c r="N424" s="28" t="n">
        <x:v>0</x:v>
      </x:c>
      <x:c r="O424" s="28" t="str">
        <x:v>登记消耗1件；永久一次；不收金币/元宝/灵符</x:v>
      </x:c>
    </x:row>
    <x:row r="425" ht="30" customHeight="1">
      <x:c r="A425" s="28" t="str">
        <x:v>C08</x:v>
      </x:c>
      <x:c r="B425" s="28" t="str">
        <x:v>冰宫王庭</x:v>
      </x:c>
      <x:c r="C425" s="28" t="str">
        <x:v>石髯记事镯</x:v>
      </x:c>
      <x:c r="D425" s="28" t="str">
        <x:v>普通</x:v>
      </x:c>
      <x:c r="E425" s="28" t="n">
        <x:v>1</x:v>
      </x:c>
      <x:c r="F425" s="28" t="n">
        <x:v>0</x:v>
      </x:c>
      <x:c r="G425" s="28" t="n">
        <x:v>0</x:v>
      </x:c>
      <x:c r="H425" s="28" t="n">
        <x:v>0</x:v>
      </x:c>
      <x:c r="I425" s="28" t="n">
        <x:v>30</x:v>
      </x:c>
      <x:c r="J425" s="28" t="n">
        <x:v>3000</x:v>
      </x:c>
      <x:c r="K425" s="28" t="n">
        <x:v>0</x:v>
      </x:c>
      <x:c r="L425" s="28" t="n">
        <x:v>0</x:v>
      </x:c>
      <x:c r="M425" s="28" t="n">
        <x:v>0</x:v>
      </x:c>
      <x:c r="N425" s="28" t="n">
        <x:v>0</x:v>
      </x:c>
      <x:c r="O425" s="28" t="str">
        <x:v>登记消耗1件；永久一次；不收金币/元宝/灵符</x:v>
      </x:c>
    </x:row>
    <x:row r="426" ht="30" customHeight="1">
      <x:c r="A426" s="28" t="str">
        <x:v>C08</x:v>
      </x:c>
      <x:c r="B426" s="28" t="str">
        <x:v>冰宫王庭</x:v>
      </x:c>
      <x:c r="C426" s="28" t="str">
        <x:v>寒灯侍履</x:v>
      </x:c>
      <x:c r="D426" s="28" t="str">
        <x:v>普通</x:v>
      </x:c>
      <x:c r="E426" s="28" t="n">
        <x:v>1</x:v>
      </x:c>
      <x:c r="F426" s="28" t="n">
        <x:v>0</x:v>
      </x:c>
      <x:c r="G426" s="28" t="n">
        <x:v>0</x:v>
      </x:c>
      <x:c r="H426" s="28" t="n">
        <x:v>0</x:v>
      </x:c>
      <x:c r="I426" s="28" t="n">
        <x:v>30</x:v>
      </x:c>
      <x:c r="J426" s="28" t="n">
        <x:v>3000</x:v>
      </x:c>
      <x:c r="K426" s="28" t="n">
        <x:v>0</x:v>
      </x:c>
      <x:c r="L426" s="28" t="n">
        <x:v>0</x:v>
      </x:c>
      <x:c r="M426" s="28" t="n">
        <x:v>0</x:v>
      </x:c>
      <x:c r="N426" s="28" t="n">
        <x:v>0</x:v>
      </x:c>
      <x:c r="O426" s="28" t="str">
        <x:v>登记消耗1件；永久一次；不收金币/元宝/灵符</x:v>
      </x:c>
    </x:row>
    <x:row r="427" ht="30" customHeight="1">
      <x:c r="A427" s="28" t="str">
        <x:v>C08</x:v>
      </x:c>
      <x:c r="B427" s="28" t="str">
        <x:v>冰宫王庭</x:v>
      </x:c>
      <x:c r="C427" s="28" t="str">
        <x:v>镜甲将军盔</x:v>
      </x:c>
      <x:c r="D427" s="28" t="str">
        <x:v>稀有</x:v>
      </x:c>
      <x:c r="E427" s="28" t="n">
        <x:v>1</x:v>
      </x:c>
      <x:c r="F427" s="28" t="n">
        <x:v>0</x:v>
      </x:c>
      <x:c r="G427" s="28" t="n">
        <x:v>0</x:v>
      </x:c>
      <x:c r="H427" s="28" t="n">
        <x:v>0</x:v>
      </x:c>
      <x:c r="I427" s="28" t="n">
        <x:v>60</x:v>
      </x:c>
      <x:c r="J427" s="28" t="n">
        <x:v>6000</x:v>
      </x:c>
      <x:c r="K427" s="28" t="n">
        <x:v>5</x:v>
      </x:c>
      <x:c r="L427" s="28" t="n">
        <x:v>0</x:v>
      </x:c>
      <x:c r="M427" s="28" t="n">
        <x:v>0</x:v>
      </x:c>
      <x:c r="N427" s="28" t="n">
        <x:v>0</x:v>
      </x:c>
      <x:c r="O427" s="28" t="str">
        <x:v>登记消耗1件；永久一次；不收金币/元宝/灵符</x:v>
      </x:c>
    </x:row>
    <x:row r="428" ht="30" customHeight="1">
      <x:c r="A428" s="28" t="str">
        <x:v>C08</x:v>
      </x:c>
      <x:c r="B428" s="28" t="str">
        <x:v>冰宫王庭</x:v>
      </x:c>
      <x:c r="C428" s="28" t="str">
        <x:v>缄声霜帘笠</x:v>
      </x:c>
      <x:c r="D428" s="28" t="str">
        <x:v>稀有</x:v>
      </x:c>
      <x:c r="E428" s="28" t="n">
        <x:v>1</x:v>
      </x:c>
      <x:c r="F428" s="28" t="n">
        <x:v>0</x:v>
      </x:c>
      <x:c r="G428" s="28" t="n">
        <x:v>0</x:v>
      </x:c>
      <x:c r="H428" s="28" t="n">
        <x:v>0</x:v>
      </x:c>
      <x:c r="I428" s="28" t="n">
        <x:v>60</x:v>
      </x:c>
      <x:c r="J428" s="28" t="n">
        <x:v>6000</x:v>
      </x:c>
      <x:c r="K428" s="28" t="n">
        <x:v>5</x:v>
      </x:c>
      <x:c r="L428" s="28" t="n">
        <x:v>0</x:v>
      </x:c>
      <x:c r="M428" s="28" t="n">
        <x:v>0</x:v>
      </x:c>
      <x:c r="N428" s="28" t="n">
        <x:v>0</x:v>
      </x:c>
      <x:c r="O428" s="28" t="str">
        <x:v>登记消耗1件；永久一次；不收金币/元宝/灵符</x:v>
      </x:c>
    </x:row>
    <x:row r="429" ht="30" customHeight="1">
      <x:c r="A429" s="28" t="str">
        <x:v>C08</x:v>
      </x:c>
      <x:c r="B429" s="28" t="str">
        <x:v>冰宫王庭</x:v>
      </x:c>
      <x:c r="C429" s="28" t="str">
        <x:v>古律铭板带</x:v>
      </x:c>
      <x:c r="D429" s="28" t="str">
        <x:v>稀有</x:v>
      </x:c>
      <x:c r="E429" s="28" t="n">
        <x:v>1</x:v>
      </x:c>
      <x:c r="F429" s="28" t="n">
        <x:v>0</x:v>
      </x:c>
      <x:c r="G429" s="28" t="n">
        <x:v>0</x:v>
      </x:c>
      <x:c r="H429" s="28" t="n">
        <x:v>0</x:v>
      </x:c>
      <x:c r="I429" s="28" t="n">
        <x:v>60</x:v>
      </x:c>
      <x:c r="J429" s="28" t="n">
        <x:v>6000</x:v>
      </x:c>
      <x:c r="K429" s="28" t="n">
        <x:v>5</x:v>
      </x:c>
      <x:c r="L429" s="28" t="n">
        <x:v>0</x:v>
      </x:c>
      <x:c r="M429" s="28" t="n">
        <x:v>0</x:v>
      </x:c>
      <x:c r="N429" s="28" t="n">
        <x:v>0</x:v>
      </x:c>
      <x:c r="O429" s="28" t="str">
        <x:v>登记消耗1件；永久一次；不收金币/元宝/灵符</x:v>
      </x:c>
    </x:row>
    <x:row r="430" ht="30" customHeight="1">
      <x:c r="A430" s="28" t="str">
        <x:v>C08</x:v>
      </x:c>
      <x:c r="B430" s="28" t="str">
        <x:v>冰宫王庭</x:v>
      </x:c>
      <x:c r="C430" s="28" t="str">
        <x:v>霜冠司礼戒</x:v>
      </x:c>
      <x:c r="D430" s="28" t="str">
        <x:v>稀有</x:v>
      </x:c>
      <x:c r="E430" s="28" t="n">
        <x:v>1</x:v>
      </x:c>
      <x:c r="F430" s="28" t="n">
        <x:v>0</x:v>
      </x:c>
      <x:c r="G430" s="28" t="n">
        <x:v>0</x:v>
      </x:c>
      <x:c r="H430" s="28" t="n">
        <x:v>0</x:v>
      </x:c>
      <x:c r="I430" s="28" t="n">
        <x:v>60</x:v>
      </x:c>
      <x:c r="J430" s="28" t="n">
        <x:v>6000</x:v>
      </x:c>
      <x:c r="K430" s="28" t="n">
        <x:v>5</x:v>
      </x:c>
      <x:c r="L430" s="28" t="n">
        <x:v>0</x:v>
      </x:c>
      <x:c r="M430" s="28" t="n">
        <x:v>0</x:v>
      </x:c>
      <x:c r="N430" s="28" t="n">
        <x:v>0</x:v>
      </x:c>
      <x:c r="O430" s="28" t="str">
        <x:v>登记消耗1件；永久一次；不收金币/元宝/灵符</x:v>
      </x:c>
    </x:row>
    <x:row r="431" ht="30" customHeight="1">
      <x:c r="A431" s="28" t="str">
        <x:v>C08</x:v>
      </x:c>
      <x:c r="B431" s="28" t="str">
        <x:v>冰宫王庭</x:v>
      </x:c>
      <x:c r="C431" s="28" t="str">
        <x:v>沃尔格廷议杖</x:v>
      </x:c>
      <x:c r="D431" s="28" t="str">
        <x:v>地图BOSS</x:v>
      </x:c>
      <x:c r="E431" s="28" t="n">
        <x:v>1</x:v>
      </x:c>
      <x:c r="F431" s="28" t="n">
        <x:v>0</x:v>
      </x:c>
      <x:c r="G431" s="28" t="n">
        <x:v>0</x:v>
      </x:c>
      <x:c r="H431" s="28" t="n">
        <x:v>0</x:v>
      </x:c>
      <x:c r="I431" s="28" t="n">
        <x:v>90</x:v>
      </x:c>
      <x:c r="J431" s="28" t="n">
        <x:v>9000</x:v>
      </x:c>
      <x:c r="K431" s="28" t="n">
        <x:v>0</x:v>
      </x:c>
      <x:c r="L431" s="28" t="n">
        <x:v>1</x:v>
      </x:c>
      <x:c r="M431" s="28" t="n">
        <x:v>0</x:v>
      </x:c>
      <x:c r="N431" s="28" t="n">
        <x:v>0</x:v>
      </x:c>
      <x:c r="O431" s="28" t="str">
        <x:v>登记消耗1件；永久一次；不收金币/元宝/灵符</x:v>
      </x:c>
    </x:row>
    <x:row r="432" ht="30" customHeight="1">
      <x:c r="A432" s="28" t="str">
        <x:v>C08</x:v>
      </x:c>
      <x:c r="B432" s="28" t="str">
        <x:v>冰宫王庭</x:v>
      </x:c>
      <x:c r="C432" s="28" t="str">
        <x:v>伊瑟芮冰绡袍</x:v>
      </x:c>
      <x:c r="D432" s="28" t="str">
        <x:v>地图BOSS</x:v>
      </x:c>
      <x:c r="E432" s="28" t="n">
        <x:v>1</x:v>
      </x:c>
      <x:c r="F432" s="28" t="n">
        <x:v>0</x:v>
      </x:c>
      <x:c r="G432" s="28" t="n">
        <x:v>0</x:v>
      </x:c>
      <x:c r="H432" s="28" t="n">
        <x:v>0</x:v>
      </x:c>
      <x:c r="I432" s="28" t="n">
        <x:v>90</x:v>
      </x:c>
      <x:c r="J432" s="28" t="n">
        <x:v>9000</x:v>
      </x:c>
      <x:c r="K432" s="28" t="n">
        <x:v>0</x:v>
      </x:c>
      <x:c r="L432" s="28" t="n">
        <x:v>1</x:v>
      </x:c>
      <x:c r="M432" s="28" t="n">
        <x:v>0</x:v>
      </x:c>
      <x:c r="N432" s="28" t="n">
        <x:v>0</x:v>
      </x:c>
      <x:c r="O432" s="28" t="str">
        <x:v>登记消耗1件；永久一次；不收金币/元宝/灵符</x:v>
      </x:c>
    </x:row>
    <x:row r="433" ht="30" customHeight="1">
      <x:c r="A433" s="28" t="str">
        <x:v>C08</x:v>
      </x:c>
      <x:c r="B433" s="28" t="str">
        <x:v>巨人王庭</x:v>
      </x:c>
      <x:c r="C433" s="28" t="str">
        <x:v>铸霜庭卫戟</x:v>
      </x:c>
      <x:c r="D433" s="28" t="str">
        <x:v>普通</x:v>
      </x:c>
      <x:c r="E433" s="28" t="n">
        <x:v>1</x:v>
      </x:c>
      <x:c r="F433" s="28" t="n">
        <x:v>0</x:v>
      </x:c>
      <x:c r="G433" s="28" t="n">
        <x:v>0</x:v>
      </x:c>
      <x:c r="H433" s="28" t="n">
        <x:v>0</x:v>
      </x:c>
      <x:c r="I433" s="28" t="n">
        <x:v>30</x:v>
      </x:c>
      <x:c r="J433" s="28" t="n">
        <x:v>3000</x:v>
      </x:c>
      <x:c r="K433" s="28" t="n">
        <x:v>0</x:v>
      </x:c>
      <x:c r="L433" s="28" t="n">
        <x:v>0</x:v>
      </x:c>
      <x:c r="M433" s="28" t="n">
        <x:v>0</x:v>
      </x:c>
      <x:c r="N433" s="28" t="n">
        <x:v>0</x:v>
      </x:c>
      <x:c r="O433" s="28" t="str">
        <x:v>登记消耗1件；永久一次；不收金币/元宝/灵符</x:v>
      </x:c>
    </x:row>
    <x:row r="434" ht="30" customHeight="1">
      <x:c r="A434" s="28" t="str">
        <x:v>C08</x:v>
      </x:c>
      <x:c r="B434" s="28" t="str">
        <x:v>巨人王庭</x:v>
      </x:c>
      <x:c r="C434" s="28" t="str">
        <x:v>雪鬃獒踏靴</x:v>
      </x:c>
      <x:c r="D434" s="28" t="str">
        <x:v>普通</x:v>
      </x:c>
      <x:c r="E434" s="28" t="n">
        <x:v>1</x:v>
      </x:c>
      <x:c r="F434" s="28" t="n">
        <x:v>0</x:v>
      </x:c>
      <x:c r="G434" s="28" t="n">
        <x:v>0</x:v>
      </x:c>
      <x:c r="H434" s="28" t="n">
        <x:v>0</x:v>
      </x:c>
      <x:c r="I434" s="28" t="n">
        <x:v>30</x:v>
      </x:c>
      <x:c r="J434" s="28" t="n">
        <x:v>3000</x:v>
      </x:c>
      <x:c r="K434" s="28" t="n">
        <x:v>0</x:v>
      </x:c>
      <x:c r="L434" s="28" t="n">
        <x:v>0</x:v>
      </x:c>
      <x:c r="M434" s="28" t="n">
        <x:v>0</x:v>
      </x:c>
      <x:c r="N434" s="28" t="n">
        <x:v>0</x:v>
      </x:c>
      <x:c r="O434" s="28" t="str">
        <x:v>登记消耗1件；永久一次；不收金币/元宝/灵符</x:v>
      </x:c>
    </x:row>
    <x:row r="435" ht="30" customHeight="1">
      <x:c r="A435" s="28" t="str">
        <x:v>C08</x:v>
      </x:c>
      <x:c r="B435" s="28" t="str">
        <x:v>巨人王庭</x:v>
      </x:c>
      <x:c r="C435" s="28" t="str">
        <x:v>白毡宫衣</x:v>
      </x:c>
      <x:c r="D435" s="28" t="str">
        <x:v>普通</x:v>
      </x:c>
      <x:c r="E435" s="28" t="n">
        <x:v>1</x:v>
      </x:c>
      <x:c r="F435" s="28" t="n">
        <x:v>0</x:v>
      </x:c>
      <x:c r="G435" s="28" t="n">
        <x:v>0</x:v>
      </x:c>
      <x:c r="H435" s="28" t="n">
        <x:v>0</x:v>
      </x:c>
      <x:c r="I435" s="28" t="n">
        <x:v>30</x:v>
      </x:c>
      <x:c r="J435" s="28" t="n">
        <x:v>3000</x:v>
      </x:c>
      <x:c r="K435" s="28" t="n">
        <x:v>0</x:v>
      </x:c>
      <x:c r="L435" s="28" t="n">
        <x:v>0</x:v>
      </x:c>
      <x:c r="M435" s="28" t="n">
        <x:v>0</x:v>
      </x:c>
      <x:c r="N435" s="28" t="n">
        <x:v>0</x:v>
      </x:c>
      <x:c r="O435" s="28" t="str">
        <x:v>登记消耗1件；永久一次；不收金币/元宝/灵符</x:v>
      </x:c>
    </x:row>
    <x:row r="436" ht="30" customHeight="1">
      <x:c r="A436" s="28" t="str">
        <x:v>C08</x:v>
      </x:c>
      <x:c r="B436" s="28" t="str">
        <x:v>巨人王庭</x:v>
      </x:c>
      <x:c r="C436" s="28" t="str">
        <x:v>巡烛官灯坠</x:v>
      </x:c>
      <x:c r="D436" s="28" t="str">
        <x:v>普通</x:v>
      </x:c>
      <x:c r="E436" s="28" t="n">
        <x:v>1</x:v>
      </x:c>
      <x:c r="F436" s="28" t="n">
        <x:v>0</x:v>
      </x:c>
      <x:c r="G436" s="28" t="n">
        <x:v>0</x:v>
      </x:c>
      <x:c r="H436" s="28" t="n">
        <x:v>0</x:v>
      </x:c>
      <x:c r="I436" s="28" t="n">
        <x:v>30</x:v>
      </x:c>
      <x:c r="J436" s="28" t="n">
        <x:v>3000</x:v>
      </x:c>
      <x:c r="K436" s="28" t="n">
        <x:v>0</x:v>
      </x:c>
      <x:c r="L436" s="28" t="n">
        <x:v>0</x:v>
      </x:c>
      <x:c r="M436" s="28" t="n">
        <x:v>0</x:v>
      </x:c>
      <x:c r="N436" s="28" t="n">
        <x:v>0</x:v>
      </x:c>
      <x:c r="O436" s="28" t="str">
        <x:v>登记消耗1件；永久一次；不收金币/元宝/灵符</x:v>
      </x:c>
    </x:row>
    <x:row r="437" ht="30" customHeight="1">
      <x:c r="A437" s="28" t="str">
        <x:v>C08</x:v>
      </x:c>
      <x:c r="B437" s="28" t="str">
        <x:v>巨人王庭</x:v>
      </x:c>
      <x:c r="C437" s="28" t="str">
        <x:v>负碑王座盾</x:v>
      </x:c>
      <x:c r="D437" s="28" t="str">
        <x:v>普通</x:v>
      </x:c>
      <x:c r="E437" s="28" t="n">
        <x:v>1</x:v>
      </x:c>
      <x:c r="F437" s="28" t="n">
        <x:v>0</x:v>
      </x:c>
      <x:c r="G437" s="28" t="n">
        <x:v>0</x:v>
      </x:c>
      <x:c r="H437" s="28" t="n">
        <x:v>0</x:v>
      </x:c>
      <x:c r="I437" s="28" t="n">
        <x:v>30</x:v>
      </x:c>
      <x:c r="J437" s="28" t="n">
        <x:v>3000</x:v>
      </x:c>
      <x:c r="K437" s="28" t="n">
        <x:v>0</x:v>
      </x:c>
      <x:c r="L437" s="28" t="n">
        <x:v>0</x:v>
      </x:c>
      <x:c r="M437" s="28" t="n">
        <x:v>0</x:v>
      </x:c>
      <x:c r="N437" s="28" t="n">
        <x:v>0</x:v>
      </x:c>
      <x:c r="O437" s="28" t="str">
        <x:v>登记消耗1件；永久一次；不收金币/元宝/灵符</x:v>
      </x:c>
    </x:row>
    <x:row r="438" ht="30" customHeight="1">
      <x:c r="A438" s="28" t="str">
        <x:v>C08</x:v>
      </x:c>
      <x:c r="B438" s="28" t="str">
        <x:v>巨人王庭</x:v>
      </x:c>
      <x:c r="C438" s="28" t="str">
        <x:v>冰铃童腕镯</x:v>
      </x:c>
      <x:c r="D438" s="28" t="str">
        <x:v>普通</x:v>
      </x:c>
      <x:c r="E438" s="28" t="n">
        <x:v>1</x:v>
      </x:c>
      <x:c r="F438" s="28" t="n">
        <x:v>0</x:v>
      </x:c>
      <x:c r="G438" s="28" t="n">
        <x:v>0</x:v>
      </x:c>
      <x:c r="H438" s="28" t="n">
        <x:v>0</x:v>
      </x:c>
      <x:c r="I438" s="28" t="n">
        <x:v>30</x:v>
      </x:c>
      <x:c r="J438" s="28" t="n">
        <x:v>3000</x:v>
      </x:c>
      <x:c r="K438" s="28" t="n">
        <x:v>0</x:v>
      </x:c>
      <x:c r="L438" s="28" t="n">
        <x:v>0</x:v>
      </x:c>
      <x:c r="M438" s="28" t="n">
        <x:v>0</x:v>
      </x:c>
      <x:c r="N438" s="28" t="n">
        <x:v>0</x:v>
      </x:c>
      <x:c r="O438" s="28" t="str">
        <x:v>登记消耗1件；永久一次；不收金币/元宝/灵符</x:v>
      </x:c>
    </x:row>
    <x:row r="439" ht="30" customHeight="1">
      <x:c r="A439" s="28" t="str">
        <x:v>C08</x:v>
      </x:c>
      <x:c r="B439" s="28" t="str">
        <x:v>巨人王庭</x:v>
      </x:c>
      <x:c r="C439" s="28" t="str">
        <x:v>觐庭裂纹盔</x:v>
      </x:c>
      <x:c r="D439" s="28" t="str">
        <x:v>稀有</x:v>
      </x:c>
      <x:c r="E439" s="28" t="n">
        <x:v>1</x:v>
      </x:c>
      <x:c r="F439" s="28" t="n">
        <x:v>0</x:v>
      </x:c>
      <x:c r="G439" s="28" t="n">
        <x:v>0</x:v>
      </x:c>
      <x:c r="H439" s="28" t="n">
        <x:v>0</x:v>
      </x:c>
      <x:c r="I439" s="28" t="n">
        <x:v>60</x:v>
      </x:c>
      <x:c r="J439" s="28" t="n">
        <x:v>6000</x:v>
      </x:c>
      <x:c r="K439" s="28" t="n">
        <x:v>5</x:v>
      </x:c>
      <x:c r="L439" s="28" t="n">
        <x:v>0</x:v>
      </x:c>
      <x:c r="M439" s="28" t="n">
        <x:v>0</x:v>
      </x:c>
      <x:c r="N439" s="28" t="n">
        <x:v>0</x:v>
      </x:c>
      <x:c r="O439" s="28" t="str">
        <x:v>登记消耗1件；永久一次；不收金币/元宝/灵符</x:v>
      </x:c>
    </x:row>
    <x:row r="440" ht="30" customHeight="1">
      <x:c r="A440" s="28" t="str">
        <x:v>C08</x:v>
      </x:c>
      <x:c r="B440" s="28" t="str">
        <x:v>巨人王庭</x:v>
      </x:c>
      <x:c r="C440" s="28" t="str">
        <x:v>织雪白绒笠</x:v>
      </x:c>
      <x:c r="D440" s="28" t="str">
        <x:v>稀有</x:v>
      </x:c>
      <x:c r="E440" s="28" t="n">
        <x:v>1</x:v>
      </x:c>
      <x:c r="F440" s="28" t="n">
        <x:v>0</x:v>
      </x:c>
      <x:c r="G440" s="28" t="n">
        <x:v>0</x:v>
      </x:c>
      <x:c r="H440" s="28" t="n">
        <x:v>0</x:v>
      </x:c>
      <x:c r="I440" s="28" t="n">
        <x:v>60</x:v>
      </x:c>
      <x:c r="J440" s="28" t="n">
        <x:v>6000</x:v>
      </x:c>
      <x:c r="K440" s="28" t="n">
        <x:v>5</x:v>
      </x:c>
      <x:c r="L440" s="28" t="n">
        <x:v>0</x:v>
      </x:c>
      <x:c r="M440" s="28" t="n">
        <x:v>0</x:v>
      </x:c>
      <x:c r="N440" s="28" t="n">
        <x:v>0</x:v>
      </x:c>
      <x:c r="O440" s="28" t="str">
        <x:v>登记消耗1件；永久一次；不收金币/元宝/灵符</x:v>
      </x:c>
    </x:row>
    <x:row r="441" ht="30" customHeight="1">
      <x:c r="A441" s="28" t="str">
        <x:v>C08</x:v>
      </x:c>
      <x:c r="B441" s="28" t="str">
        <x:v>巨人王庭</x:v>
      </x:c>
      <x:c r="C441" s="28" t="str">
        <x:v>封门玄冰带</x:v>
      </x:c>
      <x:c r="D441" s="28" t="str">
        <x:v>稀有</x:v>
      </x:c>
      <x:c r="E441" s="28" t="n">
        <x:v>1</x:v>
      </x:c>
      <x:c r="F441" s="28" t="n">
        <x:v>0</x:v>
      </x:c>
      <x:c r="G441" s="28" t="n">
        <x:v>0</x:v>
      </x:c>
      <x:c r="H441" s="28" t="n">
        <x:v>0</x:v>
      </x:c>
      <x:c r="I441" s="28" t="n">
        <x:v>60</x:v>
      </x:c>
      <x:c r="J441" s="28" t="n">
        <x:v>6000</x:v>
      </x:c>
      <x:c r="K441" s="28" t="n">
        <x:v>5</x:v>
      </x:c>
      <x:c r="L441" s="28" t="n">
        <x:v>0</x:v>
      </x:c>
      <x:c r="M441" s="28" t="n">
        <x:v>0</x:v>
      </x:c>
      <x:c r="N441" s="28" t="n">
        <x:v>0</x:v>
      </x:c>
      <x:c r="O441" s="28" t="str">
        <x:v>登记消耗1件；永久一次；不收金币/元宝/灵符</x:v>
      </x:c>
    </x:row>
    <x:row r="442" ht="30" customHeight="1">
      <x:c r="A442" s="28" t="str">
        <x:v>C08</x:v>
      </x:c>
      <x:c r="B442" s="28" t="str">
        <x:v>巨人王庭</x:v>
      </x:c>
      <x:c r="C442" s="28" t="str">
        <x:v>守梦霜瞳戒</x:v>
      </x:c>
      <x:c r="D442" s="28" t="str">
        <x:v>稀有</x:v>
      </x:c>
      <x:c r="E442" s="28" t="n">
        <x:v>1</x:v>
      </x:c>
      <x:c r="F442" s="28" t="n">
        <x:v>0</x:v>
      </x:c>
      <x:c r="G442" s="28" t="n">
        <x:v>0</x:v>
      </x:c>
      <x:c r="H442" s="28" t="n">
        <x:v>0</x:v>
      </x:c>
      <x:c r="I442" s="28" t="n">
        <x:v>60</x:v>
      </x:c>
      <x:c r="J442" s="28" t="n">
        <x:v>6000</x:v>
      </x:c>
      <x:c r="K442" s="28" t="n">
        <x:v>5</x:v>
      </x:c>
      <x:c r="L442" s="28" t="n">
        <x:v>0</x:v>
      </x:c>
      <x:c r="M442" s="28" t="n">
        <x:v>0</x:v>
      </x:c>
      <x:c r="N442" s="28" t="n">
        <x:v>0</x:v>
      </x:c>
      <x:c r="O442" s="28" t="str">
        <x:v>登记消耗1件；永久一次；不收金币/元宝/灵符</x:v>
      </x:c>
    </x:row>
    <x:row r="443" ht="30" customHeight="1">
      <x:c r="A443" s="28" t="str">
        <x:v>C08</x:v>
      </x:c>
      <x:c r="B443" s="28" t="str">
        <x:v>巨人王庭</x:v>
      </x:c>
      <x:c r="C443" s="28" t="str">
        <x:v>格罗尔冬眠刃</x:v>
      </x:c>
      <x:c r="D443" s="28" t="str">
        <x:v>地图BOSS</x:v>
      </x:c>
      <x:c r="E443" s="28" t="n">
        <x:v>1</x:v>
      </x:c>
      <x:c r="F443" s="28" t="n">
        <x:v>0</x:v>
      </x:c>
      <x:c r="G443" s="28" t="n">
        <x:v>0</x:v>
      </x:c>
      <x:c r="H443" s="28" t="n">
        <x:v>0</x:v>
      </x:c>
      <x:c r="I443" s="28" t="n">
        <x:v>90</x:v>
      </x:c>
      <x:c r="J443" s="28" t="n">
        <x:v>9000</x:v>
      </x:c>
      <x:c r="K443" s="28" t="n">
        <x:v>0</x:v>
      </x:c>
      <x:c r="L443" s="28" t="n">
        <x:v>1</x:v>
      </x:c>
      <x:c r="M443" s="28" t="n">
        <x:v>0</x:v>
      </x:c>
      <x:c r="N443" s="28" t="n">
        <x:v>0</x:v>
      </x:c>
      <x:c r="O443" s="28" t="str">
        <x:v>登记消耗1件；永久一次；不收金币/元宝/灵符</x:v>
      </x:c>
    </x:row>
    <x:row r="444" ht="30" customHeight="1">
      <x:c r="A444" s="28" t="str">
        <x:v>C08</x:v>
      </x:c>
      <x:c r="B444" s="28" t="str">
        <x:v>巨人王庭</x:v>
      </x:c>
      <x:c r="C444" s="28" t="str">
        <x:v>赫芮迦穹霜王衣</x:v>
      </x:c>
      <x:c r="D444" s="28" t="str">
        <x:v>地图BOSS</x:v>
      </x:c>
      <x:c r="E444" s="28" t="n">
        <x:v>1</x:v>
      </x:c>
      <x:c r="F444" s="28" t="n">
        <x:v>0</x:v>
      </x:c>
      <x:c r="G444" s="28" t="n">
        <x:v>0</x:v>
      </x:c>
      <x:c r="H444" s="28" t="n">
        <x:v>0</x:v>
      </x:c>
      <x:c r="I444" s="28" t="n">
        <x:v>90</x:v>
      </x:c>
      <x:c r="J444" s="28" t="n">
        <x:v>9000</x:v>
      </x:c>
      <x:c r="K444" s="28" t="n">
        <x:v>0</x:v>
      </x:c>
      <x:c r="L444" s="28" t="n">
        <x:v>1</x:v>
      </x:c>
      <x:c r="M444" s="28" t="n">
        <x:v>0</x:v>
      </x:c>
      <x:c r="N444" s="28" t="n">
        <x:v>0</x:v>
      </x:c>
      <x:c r="O444" s="28" t="str">
        <x:v>登记消耗1件；永久一次；不收金币/元宝/灵符</x:v>
      </x:c>
    </x:row>
    <x:row r="445" ht="30" customHeight="1">
      <x:c r="A445" s="28" t="str">
        <x:v>C08</x:v>
      </x:c>
      <x:c r="B445" s="28" t="str">
        <x:v>巨人王庭</x:v>
      </x:c>
      <x:c r="C445" s="28" t="str">
        <x:v>乌尔迈吞日巨剑</x:v>
      </x:c>
      <x:c r="D445" s="28" t="str">
        <x:v>守关BOSS</x:v>
      </x:c>
      <x:c r="E445" s="28" t="n">
        <x:v>1</x:v>
      </x:c>
      <x:c r="F445" s="28" t="n">
        <x:v>0</x:v>
      </x:c>
      <x:c r="G445" s="28" t="n">
        <x:v>0</x:v>
      </x:c>
      <x:c r="H445" s="28" t="n">
        <x:v>0</x:v>
      </x:c>
      <x:c r="I445" s="28" t="n">
        <x:v>120</x:v>
      </x:c>
      <x:c r="J445" s="28" t="n">
        <x:v>12000</x:v>
      </x:c>
      <x:c r="K445" s="28" t="n">
        <x:v>0</x:v>
      </x:c>
      <x:c r="L445" s="28" t="n">
        <x:v>1</x:v>
      </x:c>
      <x:c r="M445" s="28" t="n">
        <x:v>0</x:v>
      </x:c>
      <x:c r="N445" s="28" t="n">
        <x:v>0</x:v>
      </x:c>
      <x:c r="O445" s="28" t="str">
        <x:v>登记消耗1件；永久一次；不收金币/元宝/灵符</x:v>
      </x:c>
    </x:row>
    <x:row r="446" ht="30" customHeight="1">
      <x:c r="A446" s="28" t="str">
        <x:v>C09</x:v>
      </x:c>
      <x:c r="B446" s="28" t="str">
        <x:v>金叶古道</x:v>
      </x:c>
      <x:c r="C446" s="28" t="str">
        <x:v>角鹿逐叶履</x:v>
      </x:c>
      <x:c r="D446" s="28" t="str">
        <x:v>普通</x:v>
      </x:c>
      <x:c r="E446" s="28" t="n">
        <x:v>1</x:v>
      </x:c>
      <x:c r="F446" s="28" t="n">
        <x:v>0</x:v>
      </x:c>
      <x:c r="G446" s="28" t="n">
        <x:v>0</x:v>
      </x:c>
      <x:c r="H446" s="28" t="n">
        <x:v>0</x:v>
      </x:c>
      <x:c r="I446" s="28" t="n">
        <x:v>50</x:v>
      </x:c>
      <x:c r="J446" s="28" t="n">
        <x:v>5000</x:v>
      </x:c>
      <x:c r="K446" s="28" t="n">
        <x:v>0</x:v>
      </x:c>
      <x:c r="L446" s="28" t="n">
        <x:v>0</x:v>
      </x:c>
      <x:c r="M446" s="28" t="n">
        <x:v>0</x:v>
      </x:c>
      <x:c r="N446" s="28" t="n">
        <x:v>0</x:v>
      </x:c>
      <x:c r="O446" s="28" t="str">
        <x:v>登记消耗1件；永久一次；不收金币/元宝/灵符</x:v>
      </x:c>
    </x:row>
    <x:row r="447" ht="30" customHeight="1">
      <x:c r="A447" s="28" t="str">
        <x:v>C09</x:v>
      </x:c>
      <x:c r="B447" s="28" t="str">
        <x:v>金叶古道</x:v>
      </x:c>
      <x:c r="C447" s="28" t="str">
        <x:v>拾穗弯刃</x:v>
      </x:c>
      <x:c r="D447" s="28" t="str">
        <x:v>普通</x:v>
      </x:c>
      <x:c r="E447" s="28" t="n">
        <x:v>1</x:v>
      </x:c>
      <x:c r="F447" s="28" t="n">
        <x:v>0</x:v>
      </x:c>
      <x:c r="G447" s="28" t="n">
        <x:v>0</x:v>
      </x:c>
      <x:c r="H447" s="28" t="n">
        <x:v>0</x:v>
      </x:c>
      <x:c r="I447" s="28" t="n">
        <x:v>50</x:v>
      </x:c>
      <x:c r="J447" s="28" t="n">
        <x:v>5000</x:v>
      </x:c>
      <x:c r="K447" s="28" t="n">
        <x:v>0</x:v>
      </x:c>
      <x:c r="L447" s="28" t="n">
        <x:v>0</x:v>
      </x:c>
      <x:c r="M447" s="28" t="n">
        <x:v>0</x:v>
      </x:c>
      <x:c r="N447" s="28" t="n">
        <x:v>0</x:v>
      </x:c>
      <x:c r="O447" s="28" t="str">
        <x:v>登记消耗1件；永久一次；不收金币/元宝/灵符</x:v>
      </x:c>
    </x:row>
    <x:row r="448" ht="30" customHeight="1">
      <x:c r="A448" s="28" t="str">
        <x:v>C09</x:v>
      </x:c>
      <x:c r="B448" s="28" t="str">
        <x:v>金叶古道</x:v>
      </x:c>
      <x:c r="C448" s="28" t="str">
        <x:v>驿卒挡风盔</x:v>
      </x:c>
      <x:c r="D448" s="28" t="str">
        <x:v>普通</x:v>
      </x:c>
      <x:c r="E448" s="28" t="n">
        <x:v>1</x:v>
      </x:c>
      <x:c r="F448" s="28" t="n">
        <x:v>0</x:v>
      </x:c>
      <x:c r="G448" s="28" t="n">
        <x:v>0</x:v>
      </x:c>
      <x:c r="H448" s="28" t="n">
        <x:v>0</x:v>
      </x:c>
      <x:c r="I448" s="28" t="n">
        <x:v>50</x:v>
      </x:c>
      <x:c r="J448" s="28" t="n">
        <x:v>5000</x:v>
      </x:c>
      <x:c r="K448" s="28" t="n">
        <x:v>0</x:v>
      </x:c>
      <x:c r="L448" s="28" t="n">
        <x:v>0</x:v>
      </x:c>
      <x:c r="M448" s="28" t="n">
        <x:v>0</x:v>
      </x:c>
      <x:c r="N448" s="28" t="n">
        <x:v>0</x:v>
      </x:c>
      <x:c r="O448" s="28" t="str">
        <x:v>登记消耗1件；永久一次；不收金币/元宝/灵符</x:v>
      </x:c>
    </x:row>
    <x:row r="449" ht="30" customHeight="1">
      <x:c r="A449" s="28" t="str">
        <x:v>C09</x:v>
      </x:c>
      <x:c r="B449" s="28" t="str">
        <x:v>金叶古道</x:v>
      </x:c>
      <x:c r="C449" s="28" t="str">
        <x:v>驮甲叶纹盾</x:v>
      </x:c>
      <x:c r="D449" s="28" t="str">
        <x:v>普通</x:v>
      </x:c>
      <x:c r="E449" s="28" t="n">
        <x:v>1</x:v>
      </x:c>
      <x:c r="F449" s="28" t="n">
        <x:v>0</x:v>
      </x:c>
      <x:c r="G449" s="28" t="n">
        <x:v>0</x:v>
      </x:c>
      <x:c r="H449" s="28" t="n">
        <x:v>0</x:v>
      </x:c>
      <x:c r="I449" s="28" t="n">
        <x:v>50</x:v>
      </x:c>
      <x:c r="J449" s="28" t="n">
        <x:v>5000</x:v>
      </x:c>
      <x:c r="K449" s="28" t="n">
        <x:v>0</x:v>
      </x:c>
      <x:c r="L449" s="28" t="n">
        <x:v>0</x:v>
      </x:c>
      <x:c r="M449" s="28" t="n">
        <x:v>0</x:v>
      </x:c>
      <x:c r="N449" s="28" t="n">
        <x:v>0</x:v>
      </x:c>
      <x:c r="O449" s="28" t="str">
        <x:v>登记消耗1件；永久一次；不收金币/元宝/灵符</x:v>
      </x:c>
    </x:row>
    <x:row r="450" ht="30" customHeight="1">
      <x:c r="A450" s="28" t="str">
        <x:v>C09</x:v>
      </x:c>
      <x:c r="B450" s="28" t="str">
        <x:v>金叶古道</x:v>
      </x:c>
      <x:c r="C450" s="28" t="str">
        <x:v>鎏苔守陵衣</x:v>
      </x:c>
      <x:c r="D450" s="28" t="str">
        <x:v>普通</x:v>
      </x:c>
      <x:c r="E450" s="28" t="n">
        <x:v>1</x:v>
      </x:c>
      <x:c r="F450" s="28" t="n">
        <x:v>0</x:v>
      </x:c>
      <x:c r="G450" s="28" t="n">
        <x:v>0</x:v>
      </x:c>
      <x:c r="H450" s="28" t="n">
        <x:v>0</x:v>
      </x:c>
      <x:c r="I450" s="28" t="n">
        <x:v>50</x:v>
      </x:c>
      <x:c r="J450" s="28" t="n">
        <x:v>5000</x:v>
      </x:c>
      <x:c r="K450" s="28" t="n">
        <x:v>0</x:v>
      </x:c>
      <x:c r="L450" s="28" t="n">
        <x:v>0</x:v>
      </x:c>
      <x:c r="M450" s="28" t="n">
        <x:v>0</x:v>
      </x:c>
      <x:c r="N450" s="28" t="n">
        <x:v>0</x:v>
      </x:c>
      <x:c r="O450" s="28" t="str">
        <x:v>登记消耗1件；永久一次；不收金币/元宝/灵符</x:v>
      </x:c>
    </x:row>
    <x:row r="451" ht="30" customHeight="1">
      <x:c r="A451" s="28" t="str">
        <x:v>C09</x:v>
      </x:c>
      <x:c r="B451" s="28" t="str">
        <x:v>金叶古道</x:v>
      </x:c>
      <x:c r="C451" s="28" t="str">
        <x:v>衔烛鸦羽坠</x:v>
      </x:c>
      <x:c r="D451" s="28" t="str">
        <x:v>普通</x:v>
      </x:c>
      <x:c r="E451" s="28" t="n">
        <x:v>1</x:v>
      </x:c>
      <x:c r="F451" s="28" t="n">
        <x:v>0</x:v>
      </x:c>
      <x:c r="G451" s="28" t="n">
        <x:v>0</x:v>
      </x:c>
      <x:c r="H451" s="28" t="n">
        <x:v>0</x:v>
      </x:c>
      <x:c r="I451" s="28" t="n">
        <x:v>50</x:v>
      </x:c>
      <x:c r="J451" s="28" t="n">
        <x:v>5000</x:v>
      </x:c>
      <x:c r="K451" s="28" t="n">
        <x:v>0</x:v>
      </x:c>
      <x:c r="L451" s="28" t="n">
        <x:v>0</x:v>
      </x:c>
      <x:c r="M451" s="28" t="n">
        <x:v>0</x:v>
      </x:c>
      <x:c r="N451" s="28" t="n">
        <x:v>0</x:v>
      </x:c>
      <x:c r="O451" s="28" t="str">
        <x:v>登记消耗1件；永久一次；不收金币/元宝/灵符</x:v>
      </x:c>
    </x:row>
    <x:row r="452" ht="30" customHeight="1">
      <x:c r="A452" s="28" t="str">
        <x:v>C09</x:v>
      </x:c>
      <x:c r="B452" s="28" t="str">
        <x:v>金叶古道</x:v>
      </x:c>
      <x:c r="C452" s="28" t="str">
        <x:v>占路秋叶笠</x:v>
      </x:c>
      <x:c r="D452" s="28" t="str">
        <x:v>稀有</x:v>
      </x:c>
      <x:c r="E452" s="28" t="n">
        <x:v>1</x:v>
      </x:c>
      <x:c r="F452" s="28" t="n">
        <x:v>0</x:v>
      </x:c>
      <x:c r="G452" s="28" t="n">
        <x:v>0</x:v>
      </x:c>
      <x:c r="H452" s="28" t="n">
        <x:v>0</x:v>
      </x:c>
      <x:c r="I452" s="28" t="n">
        <x:v>100</x:v>
      </x:c>
      <x:c r="J452" s="28" t="n">
        <x:v>10000</x:v>
      </x:c>
      <x:c r="K452" s="28" t="n">
        <x:v>5</x:v>
      </x:c>
      <x:c r="L452" s="28" t="n">
        <x:v>0</x:v>
      </x:c>
      <x:c r="M452" s="28" t="n">
        <x:v>0</x:v>
      </x:c>
      <x:c r="N452" s="28" t="n">
        <x:v>0</x:v>
      </x:c>
      <x:c r="O452" s="28" t="str">
        <x:v>登记消耗1件；永久一次；不收金币/元宝/灵符</x:v>
      </x:c>
    </x:row>
    <x:row r="453" ht="30" customHeight="1">
      <x:c r="A453" s="28" t="str">
        <x:v>C09</x:v>
      </x:c>
      <x:c r="B453" s="28" t="str">
        <x:v>金叶古道</x:v>
      </x:c>
      <x:c r="C453" s="28" t="str">
        <x:v>逆风驿骑带</x:v>
      </x:c>
      <x:c r="D453" s="28" t="str">
        <x:v>稀有</x:v>
      </x:c>
      <x:c r="E453" s="28" t="n">
        <x:v>1</x:v>
      </x:c>
      <x:c r="F453" s="28" t="n">
        <x:v>0</x:v>
      </x:c>
      <x:c r="G453" s="28" t="n">
        <x:v>0</x:v>
      </x:c>
      <x:c r="H453" s="28" t="n">
        <x:v>0</x:v>
      </x:c>
      <x:c r="I453" s="28" t="n">
        <x:v>100</x:v>
      </x:c>
      <x:c r="J453" s="28" t="n">
        <x:v>10000</x:v>
      </x:c>
      <x:c r="K453" s="28" t="n">
        <x:v>5</x:v>
      </x:c>
      <x:c r="L453" s="28" t="n">
        <x:v>0</x:v>
      </x:c>
      <x:c r="M453" s="28" t="n">
        <x:v>0</x:v>
      </x:c>
      <x:c r="N453" s="28" t="n">
        <x:v>0</x:v>
      </x:c>
      <x:c r="O453" s="28" t="str">
        <x:v>登记消耗1件；永久一次；不收金币/元宝/灵符</x:v>
      </x:c>
    </x:row>
    <x:row r="454" ht="30" customHeight="1">
      <x:c r="A454" s="28" t="str">
        <x:v>C09</x:v>
      </x:c>
      <x:c r="B454" s="28" t="str">
        <x:v>金叶古道</x:v>
      </x:c>
      <x:c r="C454" s="28" t="str">
        <x:v>金颚守陵镯</x:v>
      </x:c>
      <x:c r="D454" s="28" t="str">
        <x:v>稀有</x:v>
      </x:c>
      <x:c r="E454" s="28" t="n">
        <x:v>1</x:v>
      </x:c>
      <x:c r="F454" s="28" t="n">
        <x:v>0</x:v>
      </x:c>
      <x:c r="G454" s="28" t="n">
        <x:v>0</x:v>
      </x:c>
      <x:c r="H454" s="28" t="n">
        <x:v>0</x:v>
      </x:c>
      <x:c r="I454" s="28" t="n">
        <x:v>100</x:v>
      </x:c>
      <x:c r="J454" s="28" t="n">
        <x:v>10000</x:v>
      </x:c>
      <x:c r="K454" s="28" t="n">
        <x:v>5</x:v>
      </x:c>
      <x:c r="L454" s="28" t="n">
        <x:v>0</x:v>
      </x:c>
      <x:c r="M454" s="28" t="n">
        <x:v>0</x:v>
      </x:c>
      <x:c r="N454" s="28" t="n">
        <x:v>0</x:v>
      </x:c>
      <x:c r="O454" s="28" t="str">
        <x:v>登记消耗1件；永久一次；不收金币/元宝/灵符</x:v>
      </x:c>
    </x:row>
    <x:row r="455" ht="30" customHeight="1">
      <x:c r="A455" s="28" t="str">
        <x:v>C09</x:v>
      </x:c>
      <x:c r="B455" s="28" t="str">
        <x:v>金叶古道</x:v>
      </x:c>
      <x:c r="C455" s="28" t="str">
        <x:v>献梦琥金戒</x:v>
      </x:c>
      <x:c r="D455" s="28" t="str">
        <x:v>稀有</x:v>
      </x:c>
      <x:c r="E455" s="28" t="n">
        <x:v>1</x:v>
      </x:c>
      <x:c r="F455" s="28" t="n">
        <x:v>0</x:v>
      </x:c>
      <x:c r="G455" s="28" t="n">
        <x:v>0</x:v>
      </x:c>
      <x:c r="H455" s="28" t="n">
        <x:v>0</x:v>
      </x:c>
      <x:c r="I455" s="28" t="n">
        <x:v>100</x:v>
      </x:c>
      <x:c r="J455" s="28" t="n">
        <x:v>10000</x:v>
      </x:c>
      <x:c r="K455" s="28" t="n">
        <x:v>5</x:v>
      </x:c>
      <x:c r="L455" s="28" t="n">
        <x:v>0</x:v>
      </x:c>
      <x:c r="M455" s="28" t="n">
        <x:v>0</x:v>
      </x:c>
      <x:c r="N455" s="28" t="n">
        <x:v>0</x:v>
      </x:c>
      <x:c r="O455" s="28" t="str">
        <x:v>登记消耗1件；永久一次；不收金币/元宝/灵符</x:v>
      </x:c>
    </x:row>
    <x:row r="456" ht="30" customHeight="1">
      <x:c r="A456" s="28" t="str">
        <x:v>C09</x:v>
      </x:c>
      <x:c r="B456" s="28" t="str">
        <x:v>金叶古道</x:v>
      </x:c>
      <x:c r="C456" s="28" t="str">
        <x:v>阿维恩摘冠剑</x:v>
      </x:c>
      <x:c r="D456" s="28" t="str">
        <x:v>地图BOSS</x:v>
      </x:c>
      <x:c r="E456" s="28" t="n">
        <x:v>1</x:v>
      </x:c>
      <x:c r="F456" s="28" t="n">
        <x:v>0</x:v>
      </x:c>
      <x:c r="G456" s="28" t="n">
        <x:v>0</x:v>
      </x:c>
      <x:c r="H456" s="28" t="n">
        <x:v>0</x:v>
      </x:c>
      <x:c r="I456" s="28" t="n">
        <x:v>150</x:v>
      </x:c>
      <x:c r="J456" s="28" t="n">
        <x:v>15000</x:v>
      </x:c>
      <x:c r="K456" s="28" t="n">
        <x:v>0</x:v>
      </x:c>
      <x:c r="L456" s="28" t="n">
        <x:v>1</x:v>
      </x:c>
      <x:c r="M456" s="28" t="n">
        <x:v>0</x:v>
      </x:c>
      <x:c r="N456" s="28" t="n">
        <x:v>0</x:v>
      </x:c>
      <x:c r="O456" s="28" t="str">
        <x:v>登记消耗1件；永久一次；不收金币/元宝/灵符</x:v>
      </x:c>
    </x:row>
    <x:row r="457" ht="30" customHeight="1">
      <x:c r="A457" s="28" t="str">
        <x:v>C09</x:v>
      </x:c>
      <x:c r="B457" s="28" t="str">
        <x:v>金叶古道</x:v>
      </x:c>
      <x:c r="C457" s="28" t="str">
        <x:v>萨鲁恩金叶祭衣</x:v>
      </x:c>
      <x:c r="D457" s="28" t="str">
        <x:v>地图BOSS</x:v>
      </x:c>
      <x:c r="E457" s="28" t="n">
        <x:v>1</x:v>
      </x:c>
      <x:c r="F457" s="28" t="n">
        <x:v>0</x:v>
      </x:c>
      <x:c r="G457" s="28" t="n">
        <x:v>0</x:v>
      </x:c>
      <x:c r="H457" s="28" t="n">
        <x:v>0</x:v>
      </x:c>
      <x:c r="I457" s="28" t="n">
        <x:v>150</x:v>
      </x:c>
      <x:c r="J457" s="28" t="n">
        <x:v>15000</x:v>
      </x:c>
      <x:c r="K457" s="28" t="n">
        <x:v>0</x:v>
      </x:c>
      <x:c r="L457" s="28" t="n">
        <x:v>1</x:v>
      </x:c>
      <x:c r="M457" s="28" t="n">
        <x:v>0</x:v>
      </x:c>
      <x:c r="N457" s="28" t="n">
        <x:v>0</x:v>
      </x:c>
      <x:c r="O457" s="28" t="str">
        <x:v>登记消耗1件；永久一次；不收金币/元宝/灵符</x:v>
      </x:c>
    </x:row>
    <x:row r="458" ht="30" customHeight="1">
      <x:c r="A458" s="28" t="str">
        <x:v>C09</x:v>
      </x:c>
      <x:c r="B458" s="28" t="str">
        <x:v>高原矿脉</x:v>
      </x:c>
      <x:c r="C458" s="28" t="str">
        <x:v>啮岩鼠爪靴</x:v>
      </x:c>
      <x:c r="D458" s="28" t="str">
        <x:v>普通</x:v>
      </x:c>
      <x:c r="E458" s="28" t="n">
        <x:v>1</x:v>
      </x:c>
      <x:c r="F458" s="28" t="n">
        <x:v>0</x:v>
      </x:c>
      <x:c r="G458" s="28" t="n">
        <x:v>0</x:v>
      </x:c>
      <x:c r="H458" s="28" t="n">
        <x:v>0</x:v>
      </x:c>
      <x:c r="I458" s="28" t="n">
        <x:v>50</x:v>
      </x:c>
      <x:c r="J458" s="28" t="n">
        <x:v>5000</x:v>
      </x:c>
      <x:c r="K458" s="28" t="n">
        <x:v>0</x:v>
      </x:c>
      <x:c r="L458" s="28" t="n">
        <x:v>0</x:v>
      </x:c>
      <x:c r="M458" s="28" t="n">
        <x:v>0</x:v>
      </x:c>
      <x:c r="N458" s="28" t="n">
        <x:v>0</x:v>
      </x:c>
      <x:c r="O458" s="28" t="str">
        <x:v>登记消耗1件；永久一次；不收金币/元宝/灵符</x:v>
      </x:c>
    </x:row>
    <x:row r="459" ht="30" customHeight="1">
      <x:c r="A459" s="28" t="str">
        <x:v>C09</x:v>
      </x:c>
      <x:c r="B459" s="28" t="str">
        <x:v>高原矿脉</x:v>
      </x:c>
      <x:c r="C459" s="28" t="str">
        <x:v>探脉听石坠</x:v>
      </x:c>
      <x:c r="D459" s="28" t="str">
        <x:v>普通</x:v>
      </x:c>
      <x:c r="E459" s="28" t="n">
        <x:v>1</x:v>
      </x:c>
      <x:c r="F459" s="28" t="n">
        <x:v>0</x:v>
      </x:c>
      <x:c r="G459" s="28" t="n">
        <x:v>0</x:v>
      </x:c>
      <x:c r="H459" s="28" t="n">
        <x:v>0</x:v>
      </x:c>
      <x:c r="I459" s="28" t="n">
        <x:v>50</x:v>
      </x:c>
      <x:c r="J459" s="28" t="n">
        <x:v>5000</x:v>
      </x:c>
      <x:c r="K459" s="28" t="n">
        <x:v>0</x:v>
      </x:c>
      <x:c r="L459" s="28" t="n">
        <x:v>0</x:v>
      </x:c>
      <x:c r="M459" s="28" t="n">
        <x:v>0</x:v>
      </x:c>
      <x:c r="N459" s="28" t="n">
        <x:v>0</x:v>
      </x:c>
      <x:c r="O459" s="28" t="str">
        <x:v>登记消耗1件；永久一次；不收金币/元宝/灵符</x:v>
      </x:c>
    </x:row>
    <x:row r="460" ht="30" customHeight="1">
      <x:c r="A460" s="28" t="str">
        <x:v>C09</x:v>
      </x:c>
      <x:c r="B460" s="28" t="str">
        <x:v>高原矿脉</x:v>
      </x:c>
      <x:c r="C460" s="28" t="str">
        <x:v>凿工尖喙镐</x:v>
      </x:c>
      <x:c r="D460" s="28" t="str">
        <x:v>普通</x:v>
      </x:c>
      <x:c r="E460" s="28" t="n">
        <x:v>1</x:v>
      </x:c>
      <x:c r="F460" s="28" t="n">
        <x:v>0</x:v>
      </x:c>
      <x:c r="G460" s="28" t="n">
        <x:v>0</x:v>
      </x:c>
      <x:c r="H460" s="28" t="n">
        <x:v>0</x:v>
      </x:c>
      <x:c r="I460" s="28" t="n">
        <x:v>50</x:v>
      </x:c>
      <x:c r="J460" s="28" t="n">
        <x:v>5000</x:v>
      </x:c>
      <x:c r="K460" s="28" t="n">
        <x:v>0</x:v>
      </x:c>
      <x:c r="L460" s="28" t="n">
        <x:v>0</x:v>
      </x:c>
      <x:c r="M460" s="28" t="n">
        <x:v>0</x:v>
      </x:c>
      <x:c r="N460" s="28" t="n">
        <x:v>0</x:v>
      </x:c>
      <x:c r="O460" s="28" t="str">
        <x:v>登记消耗1件；永久一次；不收金币/元宝/灵符</x:v>
      </x:c>
    </x:row>
    <x:row r="461" ht="30" customHeight="1">
      <x:c r="A461" s="28" t="str">
        <x:v>C09</x:v>
      </x:c>
      <x:c r="B461" s="28" t="str">
        <x:v>高原矿脉</x:v>
      </x:c>
      <x:c r="C461" s="28" t="str">
        <x:v>提灯旧毡笠</x:v>
      </x:c>
      <x:c r="D461" s="28" t="str">
        <x:v>普通</x:v>
      </x:c>
      <x:c r="E461" s="28" t="n">
        <x:v>1</x:v>
      </x:c>
      <x:c r="F461" s="28" t="n">
        <x:v>0</x:v>
      </x:c>
      <x:c r="G461" s="28" t="n">
        <x:v>0</x:v>
      </x:c>
      <x:c r="H461" s="28" t="n">
        <x:v>0</x:v>
      </x:c>
      <x:c r="I461" s="28" t="n">
        <x:v>50</x:v>
      </x:c>
      <x:c r="J461" s="28" t="n">
        <x:v>5000</x:v>
      </x:c>
      <x:c r="K461" s="28" t="n">
        <x:v>0</x:v>
      </x:c>
      <x:c r="L461" s="28" t="n">
        <x:v>0</x:v>
      </x:c>
      <x:c r="M461" s="28" t="n">
        <x:v>0</x:v>
      </x:c>
      <x:c r="N461" s="28" t="n">
        <x:v>0</x:v>
      </x:c>
      <x:c r="O461" s="28" t="str">
        <x:v>登记消耗1件；永久一次；不收金币/元宝/灵符</x:v>
      </x:c>
    </x:row>
    <x:row r="462" ht="30" customHeight="1">
      <x:c r="A462" s="28" t="str">
        <x:v>C09</x:v>
      </x:c>
      <x:c r="B462" s="28" t="str">
        <x:v>高原矿脉</x:v>
      </x:c>
      <x:c r="C462" s="28" t="str">
        <x:v>负筐矿奴衣</x:v>
      </x:c>
      <x:c r="D462" s="28" t="str">
        <x:v>普通</x:v>
      </x:c>
      <x:c r="E462" s="28" t="n">
        <x:v>1</x:v>
      </x:c>
      <x:c r="F462" s="28" t="n">
        <x:v>0</x:v>
      </x:c>
      <x:c r="G462" s="28" t="n">
        <x:v>0</x:v>
      </x:c>
      <x:c r="H462" s="28" t="n">
        <x:v>0</x:v>
      </x:c>
      <x:c r="I462" s="28" t="n">
        <x:v>50</x:v>
      </x:c>
      <x:c r="J462" s="28" t="n">
        <x:v>5000</x:v>
      </x:c>
      <x:c r="K462" s="28" t="n">
        <x:v>0</x:v>
      </x:c>
      <x:c r="L462" s="28" t="n">
        <x:v>0</x:v>
      </x:c>
      <x:c r="M462" s="28" t="n">
        <x:v>0</x:v>
      </x:c>
      <x:c r="N462" s="28" t="n">
        <x:v>0</x:v>
      </x:c>
      <x:c r="O462" s="28" t="str">
        <x:v>登记消耗1件；永久一次；不收金币/元宝/灵符</x:v>
      </x:c>
    </x:row>
    <x:row r="463" ht="30" customHeight="1">
      <x:c r="A463" s="28" t="str">
        <x:v>C09</x:v>
      </x:c>
      <x:c r="B463" s="28" t="str">
        <x:v>高原矿脉</x:v>
      </x:c>
      <x:c r="C463" s="28" t="str">
        <x:v>晶背层岩盾</x:v>
      </x:c>
      <x:c r="D463" s="28" t="str">
        <x:v>普通</x:v>
      </x:c>
      <x:c r="E463" s="28" t="n">
        <x:v>1</x:v>
      </x:c>
      <x:c r="F463" s="28" t="n">
        <x:v>0</x:v>
      </x:c>
      <x:c r="G463" s="28" t="n">
        <x:v>0</x:v>
      </x:c>
      <x:c r="H463" s="28" t="n">
        <x:v>0</x:v>
      </x:c>
      <x:c r="I463" s="28" t="n">
        <x:v>50</x:v>
      </x:c>
      <x:c r="J463" s="28" t="n">
        <x:v>5000</x:v>
      </x:c>
      <x:c r="K463" s="28" t="n">
        <x:v>0</x:v>
      </x:c>
      <x:c r="L463" s="28" t="n">
        <x:v>0</x:v>
      </x:c>
      <x:c r="M463" s="28" t="n">
        <x:v>0</x:v>
      </x:c>
      <x:c r="N463" s="28" t="n">
        <x:v>0</x:v>
      </x:c>
      <x:c r="O463" s="28" t="str">
        <x:v>登记消耗1件；永久一次；不收金币/元宝/灵符</x:v>
      </x:c>
    </x:row>
    <x:row r="464" ht="30" customHeight="1">
      <x:c r="A464" s="28" t="str">
        <x:v>C09</x:v>
      </x:c>
      <x:c r="B464" s="28" t="str">
        <x:v>高原矿脉</x:v>
      </x:c>
      <x:c r="C464" s="28" t="str">
        <x:v>哑钟监工盔</x:v>
      </x:c>
      <x:c r="D464" s="28" t="str">
        <x:v>稀有</x:v>
      </x:c>
      <x:c r="E464" s="28" t="n">
        <x:v>1</x:v>
      </x:c>
      <x:c r="F464" s="28" t="n">
        <x:v>0</x:v>
      </x:c>
      <x:c r="G464" s="28" t="n">
        <x:v>0</x:v>
      </x:c>
      <x:c r="H464" s="28" t="n">
        <x:v>0</x:v>
      </x:c>
      <x:c r="I464" s="28" t="n">
        <x:v>100</x:v>
      </x:c>
      <x:c r="J464" s="28" t="n">
        <x:v>10000</x:v>
      </x:c>
      <x:c r="K464" s="28" t="n">
        <x:v>5</x:v>
      </x:c>
      <x:c r="L464" s="28" t="n">
        <x:v>0</x:v>
      </x:c>
      <x:c r="M464" s="28" t="n">
        <x:v>0</x:v>
      </x:c>
      <x:c r="N464" s="28" t="n">
        <x:v>0</x:v>
      </x:c>
      <x:c r="O464" s="28" t="str">
        <x:v>登记消耗1件；永久一次；不收金币/元宝/灵符</x:v>
      </x:c>
    </x:row>
    <x:row r="465" ht="30" customHeight="1">
      <x:c r="A465" s="28" t="str">
        <x:v>C09</x:v>
      </x:c>
      <x:c r="B465" s="28" t="str">
        <x:v>高原矿脉</x:v>
      </x:c>
      <x:c r="C465" s="28" t="str">
        <x:v>熔勺婆铜镯</x:v>
      </x:c>
      <x:c r="D465" s="28" t="str">
        <x:v>稀有</x:v>
      </x:c>
      <x:c r="E465" s="28" t="n">
        <x:v>1</x:v>
      </x:c>
      <x:c r="F465" s="28" t="n">
        <x:v>0</x:v>
      </x:c>
      <x:c r="G465" s="28" t="n">
        <x:v>0</x:v>
      </x:c>
      <x:c r="H465" s="28" t="n">
        <x:v>0</x:v>
      </x:c>
      <x:c r="I465" s="28" t="n">
        <x:v>100</x:v>
      </x:c>
      <x:c r="J465" s="28" t="n">
        <x:v>10000</x:v>
      </x:c>
      <x:c r="K465" s="28" t="n">
        <x:v>5</x:v>
      </x:c>
      <x:c r="L465" s="28" t="n">
        <x:v>0</x:v>
      </x:c>
      <x:c r="M465" s="28" t="n">
        <x:v>0</x:v>
      </x:c>
      <x:c r="N465" s="28" t="n">
        <x:v>0</x:v>
      </x:c>
      <x:c r="O465" s="28" t="str">
        <x:v>登记消耗1件；永久一次；不收金币/元宝/灵符</x:v>
      </x:c>
    </x:row>
    <x:row r="466" ht="30" customHeight="1">
      <x:c r="A466" s="28" t="str">
        <x:v>C09</x:v>
      </x:c>
      <x:c r="B466" s="28" t="str">
        <x:v>高原矿脉</x:v>
      </x:c>
      <x:c r="C466" s="28" t="str">
        <x:v>听岩回声戒</x:v>
      </x:c>
      <x:c r="D466" s="28" t="str">
        <x:v>稀有</x:v>
      </x:c>
      <x:c r="E466" s="28" t="n">
        <x:v>1</x:v>
      </x:c>
      <x:c r="F466" s="28" t="n">
        <x:v>0</x:v>
      </x:c>
      <x:c r="G466" s="28" t="n">
        <x:v>0</x:v>
      </x:c>
      <x:c r="H466" s="28" t="n">
        <x:v>0</x:v>
      </x:c>
      <x:c r="I466" s="28" t="n">
        <x:v>100</x:v>
      </x:c>
      <x:c r="J466" s="28" t="n">
        <x:v>10000</x:v>
      </x:c>
      <x:c r="K466" s="28" t="n">
        <x:v>5</x:v>
      </x:c>
      <x:c r="L466" s="28" t="n">
        <x:v>0</x:v>
      </x:c>
      <x:c r="M466" s="28" t="n">
        <x:v>0</x:v>
      </x:c>
      <x:c r="N466" s="28" t="n">
        <x:v>0</x:v>
      </x:c>
      <x:c r="O466" s="28" t="str">
        <x:v>登记消耗1件；永久一次；不收金币/元宝/灵符</x:v>
      </x:c>
    </x:row>
    <x:row r="467" ht="30" customHeight="1">
      <x:c r="A467" s="28" t="str">
        <x:v>C09</x:v>
      </x:c>
      <x:c r="B467" s="28" t="str">
        <x:v>高原矿脉</x:v>
      </x:c>
      <x:c r="C467" s="28" t="str">
        <x:v>吞金蜥尾带</x:v>
      </x:c>
      <x:c r="D467" s="28" t="str">
        <x:v>稀有</x:v>
      </x:c>
      <x:c r="E467" s="28" t="n">
        <x:v>1</x:v>
      </x:c>
      <x:c r="F467" s="28" t="n">
        <x:v>0</x:v>
      </x:c>
      <x:c r="G467" s="28" t="n">
        <x:v>0</x:v>
      </x:c>
      <x:c r="H467" s="28" t="n">
        <x:v>0</x:v>
      </x:c>
      <x:c r="I467" s="28" t="n">
        <x:v>100</x:v>
      </x:c>
      <x:c r="J467" s="28" t="n">
        <x:v>10000</x:v>
      </x:c>
      <x:c r="K467" s="28" t="n">
        <x:v>5</x:v>
      </x:c>
      <x:c r="L467" s="28" t="n">
        <x:v>0</x:v>
      </x:c>
      <x:c r="M467" s="28" t="n">
        <x:v>0</x:v>
      </x:c>
      <x:c r="N467" s="28" t="n">
        <x:v>0</x:v>
      </x:c>
      <x:c r="O467" s="28" t="str">
        <x:v>登记消耗1件；永久一次；不收金币/元宝/灵符</x:v>
      </x:c>
    </x:row>
    <x:row r="468" ht="30" customHeight="1">
      <x:c r="A468" s="28" t="str">
        <x:v>C09</x:v>
      </x:c>
      <x:c r="B468" s="28" t="str">
        <x:v>高原矿脉</x:v>
      </x:c>
      <x:c r="C468" s="28" t="str">
        <x:v>布洛克断索锤</x:v>
      </x:c>
      <x:c r="D468" s="28" t="str">
        <x:v>地图BOSS</x:v>
      </x:c>
      <x:c r="E468" s="28" t="n">
        <x:v>1</x:v>
      </x:c>
      <x:c r="F468" s="28" t="n">
        <x:v>0</x:v>
      </x:c>
      <x:c r="G468" s="28" t="n">
        <x:v>0</x:v>
      </x:c>
      <x:c r="H468" s="28" t="n">
        <x:v>0</x:v>
      </x:c>
      <x:c r="I468" s="28" t="n">
        <x:v>150</x:v>
      </x:c>
      <x:c r="J468" s="28" t="n">
        <x:v>15000</x:v>
      </x:c>
      <x:c r="K468" s="28" t="n">
        <x:v>0</x:v>
      </x:c>
      <x:c r="L468" s="28" t="n">
        <x:v>1</x:v>
      </x:c>
      <x:c r="M468" s="28" t="n">
        <x:v>0</x:v>
      </x:c>
      <x:c r="N468" s="28" t="n">
        <x:v>0</x:v>
      </x:c>
      <x:c r="O468" s="28" t="str">
        <x:v>登记消耗1件；永久一次；不收金币/元宝/灵符</x:v>
      </x:c>
    </x:row>
    <x:row r="469" ht="30" customHeight="1">
      <x:c r="A469" s="28" t="str">
        <x:v>C09</x:v>
      </x:c>
      <x:c r="B469" s="28" t="str">
        <x:v>高原矿脉</x:v>
      </x:c>
      <x:c r="C469" s="28" t="str">
        <x:v>奥莉莎矿心甲</x:v>
      </x:c>
      <x:c r="D469" s="28" t="str">
        <x:v>地图BOSS</x:v>
      </x:c>
      <x:c r="E469" s="28" t="n">
        <x:v>1</x:v>
      </x:c>
      <x:c r="F469" s="28" t="n">
        <x:v>0</x:v>
      </x:c>
      <x:c r="G469" s="28" t="n">
        <x:v>0</x:v>
      </x:c>
      <x:c r="H469" s="28" t="n">
        <x:v>0</x:v>
      </x:c>
      <x:c r="I469" s="28" t="n">
        <x:v>150</x:v>
      </x:c>
      <x:c r="J469" s="28" t="n">
        <x:v>15000</x:v>
      </x:c>
      <x:c r="K469" s="28" t="n">
        <x:v>0</x:v>
      </x:c>
      <x:c r="L469" s="28" t="n">
        <x:v>1</x:v>
      </x:c>
      <x:c r="M469" s="28" t="n">
        <x:v>0</x:v>
      </x:c>
      <x:c r="N469" s="28" t="n">
        <x:v>0</x:v>
      </x:c>
      <x:c r="O469" s="28" t="str">
        <x:v>登记消耗1件；永久一次；不收金币/元宝/灵符</x:v>
      </x:c>
    </x:row>
    <x:row r="470" ht="30" customHeight="1">
      <x:c r="A470" s="28" t="str">
        <x:v>C09</x:v>
      </x:c>
      <x:c r="B470" s="28" t="str">
        <x:v>古王陵园</x:v>
      </x:c>
      <x:c r="C470" s="28" t="str">
        <x:v>剪枝傀镰</x:v>
      </x:c>
      <x:c r="D470" s="28" t="str">
        <x:v>普通</x:v>
      </x:c>
      <x:c r="E470" s="28" t="n">
        <x:v>1</x:v>
      </x:c>
      <x:c r="F470" s="28" t="n">
        <x:v>0</x:v>
      </x:c>
      <x:c r="G470" s="28" t="n">
        <x:v>0</x:v>
      </x:c>
      <x:c r="H470" s="28" t="n">
        <x:v>0</x:v>
      </x:c>
      <x:c r="I470" s="28" t="n">
        <x:v>50</x:v>
      </x:c>
      <x:c r="J470" s="28" t="n">
        <x:v>5000</x:v>
      </x:c>
      <x:c r="K470" s="28" t="n">
        <x:v>0</x:v>
      </x:c>
      <x:c r="L470" s="28" t="n">
        <x:v>0</x:v>
      </x:c>
      <x:c r="M470" s="28" t="n">
        <x:v>0</x:v>
      </x:c>
      <x:c r="N470" s="28" t="n">
        <x:v>0</x:v>
      </x:c>
      <x:c r="O470" s="28" t="str">
        <x:v>登记消耗1件；永久一次；不收金币/元宝/灵符</x:v>
      </x:c>
    </x:row>
    <x:row r="471" ht="30" customHeight="1">
      <x:c r="A471" s="28" t="str">
        <x:v>C09</x:v>
      </x:c>
      <x:c r="B471" s="28" t="str">
        <x:v>古王陵园</x:v>
      </x:c>
      <x:c r="C471" s="28" t="str">
        <x:v>金翅碑尘履</x:v>
      </x:c>
      <x:c r="D471" s="28" t="str">
        <x:v>普通</x:v>
      </x:c>
      <x:c r="E471" s="28" t="n">
        <x:v>1</x:v>
      </x:c>
      <x:c r="F471" s="28" t="n">
        <x:v>0</x:v>
      </x:c>
      <x:c r="G471" s="28" t="n">
        <x:v>0</x:v>
      </x:c>
      <x:c r="H471" s="28" t="n">
        <x:v>0</x:v>
      </x:c>
      <x:c r="I471" s="28" t="n">
        <x:v>50</x:v>
      </x:c>
      <x:c r="J471" s="28" t="n">
        <x:v>5000</x:v>
      </x:c>
      <x:c r="K471" s="28" t="n">
        <x:v>0</x:v>
      </x:c>
      <x:c r="L471" s="28" t="n">
        <x:v>0</x:v>
      </x:c>
      <x:c r="M471" s="28" t="n">
        <x:v>0</x:v>
      </x:c>
      <x:c r="N471" s="28" t="n">
        <x:v>0</x:v>
      </x:c>
      <x:c r="O471" s="28" t="str">
        <x:v>登记消耗1件；永久一次；不收金币/元宝/灵符</x:v>
      </x:c>
    </x:row>
    <x:row r="472" ht="30" customHeight="1">
      <x:c r="A472" s="28" t="str">
        <x:v>C09</x:v>
      </x:c>
      <x:c r="B472" s="28" t="str">
        <x:v>古王陵园</x:v>
      </x:c>
      <x:c r="C472" s="28" t="str">
        <x:v>扶棺铜纹盾</x:v>
      </x:c>
      <x:c r="D472" s="28" t="str">
        <x:v>普通</x:v>
      </x:c>
      <x:c r="E472" s="28" t="n">
        <x:v>1</x:v>
      </x:c>
      <x:c r="F472" s="28" t="n">
        <x:v>0</x:v>
      </x:c>
      <x:c r="G472" s="28" t="n">
        <x:v>0</x:v>
      </x:c>
      <x:c r="H472" s="28" t="n">
        <x:v>0</x:v>
      </x:c>
      <x:c r="I472" s="28" t="n">
        <x:v>50</x:v>
      </x:c>
      <x:c r="J472" s="28" t="n">
        <x:v>5000</x:v>
      </x:c>
      <x:c r="K472" s="28" t="n">
        <x:v>0</x:v>
      </x:c>
      <x:c r="L472" s="28" t="n">
        <x:v>0</x:v>
      </x:c>
      <x:c r="M472" s="28" t="n">
        <x:v>0</x:v>
      </x:c>
      <x:c r="N472" s="28" t="n">
        <x:v>0</x:v>
      </x:c>
      <x:c r="O472" s="28" t="str">
        <x:v>登记消耗1件；永久一次；不收金币/元宝/灵符</x:v>
      </x:c>
    </x:row>
    <x:row r="473" ht="30" customHeight="1">
      <x:c r="A473" s="28" t="str">
        <x:v>C09</x:v>
      </x:c>
      <x:c r="B473" s="28" t="str">
        <x:v>古王陵园</x:v>
      </x:c>
      <x:c r="C473" s="28" t="str">
        <x:v>壁龛守烛坠</x:v>
      </x:c>
      <x:c r="D473" s="28" t="str">
        <x:v>普通</x:v>
      </x:c>
      <x:c r="E473" s="28" t="n">
        <x:v>1</x:v>
      </x:c>
      <x:c r="F473" s="28" t="n">
        <x:v>0</x:v>
      </x:c>
      <x:c r="G473" s="28" t="n">
        <x:v>0</x:v>
      </x:c>
      <x:c r="H473" s="28" t="n">
        <x:v>0</x:v>
      </x:c>
      <x:c r="I473" s="28" t="n">
        <x:v>50</x:v>
      </x:c>
      <x:c r="J473" s="28" t="n">
        <x:v>5000</x:v>
      </x:c>
      <x:c r="K473" s="28" t="n">
        <x:v>0</x:v>
      </x:c>
      <x:c r="L473" s="28" t="n">
        <x:v>0</x:v>
      </x:c>
      <x:c r="M473" s="28" t="n">
        <x:v>0</x:v>
      </x:c>
      <x:c r="N473" s="28" t="n">
        <x:v>0</x:v>
      </x:c>
      <x:c r="O473" s="28" t="str">
        <x:v>登记消耗1件；永久一次；不收金币/元宝/灵符</x:v>
      </x:c>
    </x:row>
    <x:row r="474" ht="30" customHeight="1">
      <x:c r="A474" s="28" t="str">
        <x:v>C09</x:v>
      </x:c>
      <x:c r="B474" s="28" t="str">
        <x:v>古王陵园</x:v>
      </x:c>
      <x:c r="C474" s="28" t="str">
        <x:v>敛袍侍素衣</x:v>
      </x:c>
      <x:c r="D474" s="28" t="str">
        <x:v>普通</x:v>
      </x:c>
      <x:c r="E474" s="28" t="n">
        <x:v>1</x:v>
      </x:c>
      <x:c r="F474" s="28" t="n">
        <x:v>0</x:v>
      </x:c>
      <x:c r="G474" s="28" t="n">
        <x:v>0</x:v>
      </x:c>
      <x:c r="H474" s="28" t="n">
        <x:v>0</x:v>
      </x:c>
      <x:c r="I474" s="28" t="n">
        <x:v>50</x:v>
      </x:c>
      <x:c r="J474" s="28" t="n">
        <x:v>5000</x:v>
      </x:c>
      <x:c r="K474" s="28" t="n">
        <x:v>0</x:v>
      </x:c>
      <x:c r="L474" s="28" t="n">
        <x:v>0</x:v>
      </x:c>
      <x:c r="M474" s="28" t="n">
        <x:v>0</x:v>
      </x:c>
      <x:c r="N474" s="28" t="n">
        <x:v>0</x:v>
      </x:c>
      <x:c r="O474" s="28" t="str">
        <x:v>登记消耗1件；永久一次；不收金币/元宝/灵符</x:v>
      </x:c>
    </x:row>
    <x:row r="475" ht="30" customHeight="1">
      <x:c r="A475" s="28" t="str">
        <x:v>C09</x:v>
      </x:c>
      <x:c r="B475" s="28" t="str">
        <x:v>古王陵园</x:v>
      </x:c>
      <x:c r="C475" s="28" t="str">
        <x:v>葬犬衔骨镯</x:v>
      </x:c>
      <x:c r="D475" s="28" t="str">
        <x:v>普通</x:v>
      </x:c>
      <x:c r="E475" s="28" t="n">
        <x:v>1</x:v>
      </x:c>
      <x:c r="F475" s="28" t="n">
        <x:v>0</x:v>
      </x:c>
      <x:c r="G475" s="28" t="n">
        <x:v>0</x:v>
      </x:c>
      <x:c r="H475" s="28" t="n">
        <x:v>0</x:v>
      </x:c>
      <x:c r="I475" s="28" t="n">
        <x:v>50</x:v>
      </x:c>
      <x:c r="J475" s="28" t="n">
        <x:v>5000</x:v>
      </x:c>
      <x:c r="K475" s="28" t="n">
        <x:v>0</x:v>
      </x:c>
      <x:c r="L475" s="28" t="n">
        <x:v>0</x:v>
      </x:c>
      <x:c r="M475" s="28" t="n">
        <x:v>0</x:v>
      </x:c>
      <x:c r="N475" s="28" t="n">
        <x:v>0</x:v>
      </x:c>
      <x:c r="O475" s="28" t="str">
        <x:v>登记消耗1件；永久一次；不收金币/元宝/灵符</x:v>
      </x:c>
    </x:row>
    <x:row r="476" ht="30" customHeight="1">
      <x:c r="A476" s="28" t="str">
        <x:v>C09</x:v>
      </x:c>
      <x:c r="B476" s="28" t="str">
        <x:v>古王陵园</x:v>
      </x:c>
      <x:c r="C476" s="28" t="str">
        <x:v>问名官冥笠</x:v>
      </x:c>
      <x:c r="D476" s="28" t="str">
        <x:v>稀有</x:v>
      </x:c>
      <x:c r="E476" s="28" t="n">
        <x:v>1</x:v>
      </x:c>
      <x:c r="F476" s="28" t="n">
        <x:v>0</x:v>
      </x:c>
      <x:c r="G476" s="28" t="n">
        <x:v>0</x:v>
      </x:c>
      <x:c r="H476" s="28" t="n">
        <x:v>0</x:v>
      </x:c>
      <x:c r="I476" s="28" t="n">
        <x:v>100</x:v>
      </x:c>
      <x:c r="J476" s="28" t="n">
        <x:v>10000</x:v>
      </x:c>
      <x:c r="K476" s="28" t="n">
        <x:v>5</x:v>
      </x:c>
      <x:c r="L476" s="28" t="n">
        <x:v>0</x:v>
      </x:c>
      <x:c r="M476" s="28" t="n">
        <x:v>0</x:v>
      </x:c>
      <x:c r="N476" s="28" t="n">
        <x:v>0</x:v>
      </x:c>
      <x:c r="O476" s="28" t="str">
        <x:v>登记消耗1件；永久一次；不收金币/元宝/灵符</x:v>
      </x:c>
    </x:row>
    <x:row r="477" ht="30" customHeight="1">
      <x:c r="A477" s="28" t="str">
        <x:v>C09</x:v>
      </x:c>
      <x:c r="B477" s="28" t="str">
        <x:v>古王陵园</x:v>
      </x:c>
      <x:c r="C477" s="28" t="str">
        <x:v>无面近卫盔</x:v>
      </x:c>
      <x:c r="D477" s="28" t="str">
        <x:v>稀有</x:v>
      </x:c>
      <x:c r="E477" s="28" t="n">
        <x:v>1</x:v>
      </x:c>
      <x:c r="F477" s="28" t="n">
        <x:v>0</x:v>
      </x:c>
      <x:c r="G477" s="28" t="n">
        <x:v>0</x:v>
      </x:c>
      <x:c r="H477" s="28" t="n">
        <x:v>0</x:v>
      </x:c>
      <x:c r="I477" s="28" t="n">
        <x:v>100</x:v>
      </x:c>
      <x:c r="J477" s="28" t="n">
        <x:v>10000</x:v>
      </x:c>
      <x:c r="K477" s="28" t="n">
        <x:v>5</x:v>
      </x:c>
      <x:c r="L477" s="28" t="n">
        <x:v>0</x:v>
      </x:c>
      <x:c r="M477" s="28" t="n">
        <x:v>0</x:v>
      </x:c>
      <x:c r="N477" s="28" t="n">
        <x:v>0</x:v>
      </x:c>
      <x:c r="O477" s="28" t="str">
        <x:v>登记消耗1件；永久一次；不收金币/元宝/灵符</x:v>
      </x:c>
    </x:row>
    <x:row r="478" ht="30" customHeight="1">
      <x:c r="A478" s="28" t="str">
        <x:v>C09</x:v>
      </x:c>
      <x:c r="B478" s="28" t="str">
        <x:v>古王陵园</x:v>
      </x:c>
      <x:c r="C478" s="28" t="str">
        <x:v>守印妃金戒</x:v>
      </x:c>
      <x:c r="D478" s="28" t="str">
        <x:v>稀有</x:v>
      </x:c>
      <x:c r="E478" s="28" t="n">
        <x:v>1</x:v>
      </x:c>
      <x:c r="F478" s="28" t="n">
        <x:v>0</x:v>
      </x:c>
      <x:c r="G478" s="28" t="n">
        <x:v>0</x:v>
      </x:c>
      <x:c r="H478" s="28" t="n">
        <x:v>0</x:v>
      </x:c>
      <x:c r="I478" s="28" t="n">
        <x:v>100</x:v>
      </x:c>
      <x:c r="J478" s="28" t="n">
        <x:v>10000</x:v>
      </x:c>
      <x:c r="K478" s="28" t="n">
        <x:v>5</x:v>
      </x:c>
      <x:c r="L478" s="28" t="n">
        <x:v>0</x:v>
      </x:c>
      <x:c r="M478" s="28" t="n">
        <x:v>0</x:v>
      </x:c>
      <x:c r="N478" s="28" t="n">
        <x:v>0</x:v>
      </x:c>
      <x:c r="O478" s="28" t="str">
        <x:v>登记消耗1件；永久一次；不收金币/元宝/灵符</x:v>
      </x:c>
    </x:row>
    <x:row r="479" ht="30" customHeight="1">
      <x:c r="A479" s="28" t="str">
        <x:v>C09</x:v>
      </x:c>
      <x:c r="B479" s="28" t="str">
        <x:v>古王陵园</x:v>
      </x:c>
      <x:c r="C479" s="28" t="str">
        <x:v>食梦蝉蜕带</x:v>
      </x:c>
      <x:c r="D479" s="28" t="str">
        <x:v>稀有</x:v>
      </x:c>
      <x:c r="E479" s="28" t="n">
        <x:v>1</x:v>
      </x:c>
      <x:c r="F479" s="28" t="n">
        <x:v>0</x:v>
      </x:c>
      <x:c r="G479" s="28" t="n">
        <x:v>0</x:v>
      </x:c>
      <x:c r="H479" s="28" t="n">
        <x:v>0</x:v>
      </x:c>
      <x:c r="I479" s="28" t="n">
        <x:v>100</x:v>
      </x:c>
      <x:c r="J479" s="28" t="n">
        <x:v>10000</x:v>
      </x:c>
      <x:c r="K479" s="28" t="n">
        <x:v>5</x:v>
      </x:c>
      <x:c r="L479" s="28" t="n">
        <x:v>0</x:v>
      </x:c>
      <x:c r="M479" s="28" t="n">
        <x:v>0</x:v>
      </x:c>
      <x:c r="N479" s="28" t="n">
        <x:v>0</x:v>
      </x:c>
      <x:c r="O479" s="28" t="str">
        <x:v>登记消耗1件；永久一次；不收金币/元宝/灵符</x:v>
      </x:c>
    </x:row>
    <x:row r="480" ht="30" customHeight="1">
      <x:c r="A480" s="28" t="str">
        <x:v>C09</x:v>
      </x:c>
      <x:c r="B480" s="28" t="str">
        <x:v>古王陵园</x:v>
      </x:c>
      <x:c r="C480" s="28" t="str">
        <x:v>梅尔顿封棺钺</x:v>
      </x:c>
      <x:c r="D480" s="28" t="str">
        <x:v>地图BOSS</x:v>
      </x:c>
      <x:c r="E480" s="28" t="n">
        <x:v>1</x:v>
      </x:c>
      <x:c r="F480" s="28" t="n">
        <x:v>0</x:v>
      </x:c>
      <x:c r="G480" s="28" t="n">
        <x:v>0</x:v>
      </x:c>
      <x:c r="H480" s="28" t="n">
        <x:v>0</x:v>
      </x:c>
      <x:c r="I480" s="28" t="n">
        <x:v>150</x:v>
      </x:c>
      <x:c r="J480" s="28" t="n">
        <x:v>15000</x:v>
      </x:c>
      <x:c r="K480" s="28" t="n">
        <x:v>0</x:v>
      </x:c>
      <x:c r="L480" s="28" t="n">
        <x:v>1</x:v>
      </x:c>
      <x:c r="M480" s="28" t="n">
        <x:v>0</x:v>
      </x:c>
      <x:c r="N480" s="28" t="n">
        <x:v>0</x:v>
      </x:c>
      <x:c r="O480" s="28" t="str">
        <x:v>登记消耗1件；永久一次；不收金币/元宝/灵符</x:v>
      </x:c>
    </x:row>
    <x:row r="481" ht="30" customHeight="1">
      <x:c r="A481" s="28" t="str">
        <x:v>C09</x:v>
      </x:c>
      <x:c r="B481" s="28" t="str">
        <x:v>古王陵园</x:v>
      </x:c>
      <x:c r="C481" s="28" t="str">
        <x:v>奥瑞昂不醒王衣</x:v>
      </x:c>
      <x:c r="D481" s="28" t="str">
        <x:v>地图BOSS</x:v>
      </x:c>
      <x:c r="E481" s="28" t="n">
        <x:v>1</x:v>
      </x:c>
      <x:c r="F481" s="28" t="n">
        <x:v>0</x:v>
      </x:c>
      <x:c r="G481" s="28" t="n">
        <x:v>0</x:v>
      </x:c>
      <x:c r="H481" s="28" t="n">
        <x:v>0</x:v>
      </x:c>
      <x:c r="I481" s="28" t="n">
        <x:v>150</x:v>
      </x:c>
      <x:c r="J481" s="28" t="n">
        <x:v>15000</x:v>
      </x:c>
      <x:c r="K481" s="28" t="n">
        <x:v>0</x:v>
      </x:c>
      <x:c r="L481" s="28" t="n">
        <x:v>1</x:v>
      </x:c>
      <x:c r="M481" s="28" t="n">
        <x:v>0</x:v>
      </x:c>
      <x:c r="N481" s="28" t="n">
        <x:v>0</x:v>
      </x:c>
      <x:c r="O481" s="28" t="str">
        <x:v>登记消耗1件；永久一次；不收金币/元宝/灵符</x:v>
      </x:c>
    </x:row>
    <x:row r="482" ht="30" customHeight="1">
      <x:c r="A482" s="28" t="str">
        <x:v>C09</x:v>
      </x:c>
      <x:c r="B482" s="28" t="str">
        <x:v>黄金圣堂</x:v>
      </x:c>
      <x:c r="C482" s="28" t="str">
        <x:v>扫金仆软履</x:v>
      </x:c>
      <x:c r="D482" s="28" t="str">
        <x:v>普通</x:v>
      </x:c>
      <x:c r="E482" s="28" t="n">
        <x:v>1</x:v>
      </x:c>
      <x:c r="F482" s="28" t="n">
        <x:v>0</x:v>
      </x:c>
      <x:c r="G482" s="28" t="n">
        <x:v>0</x:v>
      </x:c>
      <x:c r="H482" s="28" t="n">
        <x:v>0</x:v>
      </x:c>
      <x:c r="I482" s="28" t="n">
        <x:v>50</x:v>
      </x:c>
      <x:c r="J482" s="28" t="n">
        <x:v>5000</x:v>
      </x:c>
      <x:c r="K482" s="28" t="n">
        <x:v>0</x:v>
      </x:c>
      <x:c r="L482" s="28" t="n">
        <x:v>0</x:v>
      </x:c>
      <x:c r="M482" s="28" t="n">
        <x:v>0</x:v>
      </x:c>
      <x:c r="N482" s="28" t="n">
        <x:v>0</x:v>
      </x:c>
      <x:c r="O482" s="28" t="str">
        <x:v>登记消耗1件；永久一次；不收金币/元宝/灵符</x:v>
      </x:c>
    </x:row>
    <x:row r="483" ht="30" customHeight="1">
      <x:c r="A483" s="28" t="str">
        <x:v>C09</x:v>
      </x:c>
      <x:c r="B483" s="28" t="str">
        <x:v>黄金圣堂</x:v>
      </x:c>
      <x:c r="C483" s="28" t="str">
        <x:v>鎏檐拱门盾</x:v>
      </x:c>
      <x:c r="D483" s="28" t="str">
        <x:v>普通</x:v>
      </x:c>
      <x:c r="E483" s="28" t="n">
        <x:v>1</x:v>
      </x:c>
      <x:c r="F483" s="28" t="n">
        <x:v>0</x:v>
      </x:c>
      <x:c r="G483" s="28" t="n">
        <x:v>0</x:v>
      </x:c>
      <x:c r="H483" s="28" t="n">
        <x:v>0</x:v>
      </x:c>
      <x:c r="I483" s="28" t="n">
        <x:v>50</x:v>
      </x:c>
      <x:c r="J483" s="28" t="n">
        <x:v>5000</x:v>
      </x:c>
      <x:c r="K483" s="28" t="n">
        <x:v>0</x:v>
      </x:c>
      <x:c r="L483" s="28" t="n">
        <x:v>0</x:v>
      </x:c>
      <x:c r="M483" s="28" t="n">
        <x:v>0</x:v>
      </x:c>
      <x:c r="N483" s="28" t="n">
        <x:v>0</x:v>
      </x:c>
      <x:c r="O483" s="28" t="str">
        <x:v>登记消耗1件；永久一次；不收金币/元宝/灵符</x:v>
      </x:c>
    </x:row>
    <x:row r="484" ht="30" customHeight="1">
      <x:c r="A484" s="28" t="str">
        <x:v>C09</x:v>
      </x:c>
      <x:c r="B484" s="28" t="str">
        <x:v>黄金圣堂</x:v>
      </x:c>
      <x:c r="C484" s="28" t="str">
        <x:v>白袍唱诗衣</x:v>
      </x:c>
      <x:c r="D484" s="28" t="str">
        <x:v>普通</x:v>
      </x:c>
      <x:c r="E484" s="28" t="n">
        <x:v>1</x:v>
      </x:c>
      <x:c r="F484" s="28" t="n">
        <x:v>0</x:v>
      </x:c>
      <x:c r="G484" s="28" t="n">
        <x:v>0</x:v>
      </x:c>
      <x:c r="H484" s="28" t="n">
        <x:v>0</x:v>
      </x:c>
      <x:c r="I484" s="28" t="n">
        <x:v>50</x:v>
      </x:c>
      <x:c r="J484" s="28" t="n">
        <x:v>5000</x:v>
      </x:c>
      <x:c r="K484" s="28" t="n">
        <x:v>0</x:v>
      </x:c>
      <x:c r="L484" s="28" t="n">
        <x:v>0</x:v>
      </x:c>
      <x:c r="M484" s="28" t="n">
        <x:v>0</x:v>
      </x:c>
      <x:c r="N484" s="28" t="n">
        <x:v>0</x:v>
      </x:c>
      <x:c r="O484" s="28" t="str">
        <x:v>登记消耗1件；永久一次；不收金币/元宝/灵符</x:v>
      </x:c>
    </x:row>
    <x:row r="485" ht="30" customHeight="1">
      <x:c r="A485" s="28" t="str">
        <x:v>C09</x:v>
      </x:c>
      <x:c r="B485" s="28" t="str">
        <x:v>黄金圣堂</x:v>
      </x:c>
      <x:c r="C485" s="28" t="str">
        <x:v>焚香奴腕镯</x:v>
      </x:c>
      <x:c r="D485" s="28" t="str">
        <x:v>普通</x:v>
      </x:c>
      <x:c r="E485" s="28" t="n">
        <x:v>1</x:v>
      </x:c>
      <x:c r="F485" s="28" t="n">
        <x:v>0</x:v>
      </x:c>
      <x:c r="G485" s="28" t="n">
        <x:v>0</x:v>
      </x:c>
      <x:c r="H485" s="28" t="n">
        <x:v>0</x:v>
      </x:c>
      <x:c r="I485" s="28" t="n">
        <x:v>50</x:v>
      </x:c>
      <x:c r="J485" s="28" t="n">
        <x:v>5000</x:v>
      </x:c>
      <x:c r="K485" s="28" t="n">
        <x:v>0</x:v>
      </x:c>
      <x:c r="L485" s="28" t="n">
        <x:v>0</x:v>
      </x:c>
      <x:c r="M485" s="28" t="n">
        <x:v>0</x:v>
      </x:c>
      <x:c r="N485" s="28" t="n">
        <x:v>0</x:v>
      </x:c>
      <x:c r="O485" s="28" t="str">
        <x:v>登记消耗1件；永久一次；不收金币/元宝/灵符</x:v>
      </x:c>
    </x:row>
    <x:row r="486" ht="30" customHeight="1">
      <x:c r="A486" s="28" t="str">
        <x:v>C09</x:v>
      </x:c>
      <x:c r="B486" s="28" t="str">
        <x:v>黄金圣堂</x:v>
      </x:c>
      <x:c r="C486" s="28" t="str">
        <x:v>金面僧宝盔</x:v>
      </x:c>
      <x:c r="D486" s="28" t="str">
        <x:v>普通</x:v>
      </x:c>
      <x:c r="E486" s="28" t="n">
        <x:v>1</x:v>
      </x:c>
      <x:c r="F486" s="28" t="n">
        <x:v>0</x:v>
      </x:c>
      <x:c r="G486" s="28" t="n">
        <x:v>0</x:v>
      </x:c>
      <x:c r="H486" s="28" t="n">
        <x:v>0</x:v>
      </x:c>
      <x:c r="I486" s="28" t="n">
        <x:v>50</x:v>
      </x:c>
      <x:c r="J486" s="28" t="n">
        <x:v>5000</x:v>
      </x:c>
      <x:c r="K486" s="28" t="n">
        <x:v>0</x:v>
      </x:c>
      <x:c r="L486" s="28" t="n">
        <x:v>0</x:v>
      </x:c>
      <x:c r="M486" s="28" t="n">
        <x:v>0</x:v>
      </x:c>
      <x:c r="N486" s="28" t="n">
        <x:v>0</x:v>
      </x:c>
      <x:c r="O486" s="28" t="str">
        <x:v>登记消耗1件；永久一次；不收金币/元宝/灵符</x:v>
      </x:c>
    </x:row>
    <x:row r="487" ht="30" customHeight="1">
      <x:c r="A487" s="28" t="str">
        <x:v>C09</x:v>
      </x:c>
      <x:c r="B487" s="28" t="str">
        <x:v>黄金圣堂</x:v>
      </x:c>
      <x:c r="C487" s="28" t="str">
        <x:v>祷弓手日轮弓</x:v>
      </x:c>
      <x:c r="D487" s="28" t="str">
        <x:v>普通</x:v>
      </x:c>
      <x:c r="E487" s="28" t="n">
        <x:v>1</x:v>
      </x:c>
      <x:c r="F487" s="28" t="n">
        <x:v>0</x:v>
      </x:c>
      <x:c r="G487" s="28" t="n">
        <x:v>0</x:v>
      </x:c>
      <x:c r="H487" s="28" t="n">
        <x:v>0</x:v>
      </x:c>
      <x:c r="I487" s="28" t="n">
        <x:v>50</x:v>
      </x:c>
      <x:c r="J487" s="28" t="n">
        <x:v>5000</x:v>
      </x:c>
      <x:c r="K487" s="28" t="n">
        <x:v>0</x:v>
      </x:c>
      <x:c r="L487" s="28" t="n">
        <x:v>0</x:v>
      </x:c>
      <x:c r="M487" s="28" t="n">
        <x:v>0</x:v>
      </x:c>
      <x:c r="N487" s="28" t="n">
        <x:v>0</x:v>
      </x:c>
      <x:c r="O487" s="28" t="str">
        <x:v>登记消耗1件；永久一次；不收金币/元宝/灵符</x:v>
      </x:c>
    </x:row>
    <x:row r="488" ht="30" customHeight="1">
      <x:c r="A488" s="28" t="str">
        <x:v>C09</x:v>
      </x:c>
      <x:c r="B488" s="28" t="str">
        <x:v>黄金圣堂</x:v>
      </x:c>
      <x:c r="C488" s="28" t="str">
        <x:v>裁罪使荆腰带</x:v>
      </x:c>
      <x:c r="D488" s="28" t="str">
        <x:v>稀有</x:v>
      </x:c>
      <x:c r="E488" s="28" t="n">
        <x:v>1</x:v>
      </x:c>
      <x:c r="F488" s="28" t="n">
        <x:v>0</x:v>
      </x:c>
      <x:c r="G488" s="28" t="n">
        <x:v>0</x:v>
      </x:c>
      <x:c r="H488" s="28" t="n">
        <x:v>0</x:v>
      </x:c>
      <x:c r="I488" s="28" t="n">
        <x:v>100</x:v>
      </x:c>
      <x:c r="J488" s="28" t="n">
        <x:v>10000</x:v>
      </x:c>
      <x:c r="K488" s="28" t="n">
        <x:v>5</x:v>
      </x:c>
      <x:c r="L488" s="28" t="n">
        <x:v>0</x:v>
      </x:c>
      <x:c r="M488" s="28" t="n">
        <x:v>0</x:v>
      </x:c>
      <x:c r="N488" s="28" t="n">
        <x:v>0</x:v>
      </x:c>
      <x:c r="O488" s="28" t="str">
        <x:v>登记消耗1件；永久一次；不收金币/元宝/灵符</x:v>
      </x:c>
    </x:row>
    <x:row r="489" ht="30" customHeight="1">
      <x:c r="A489" s="28" t="str">
        <x:v>C09</x:v>
      </x:c>
      <x:c r="B489" s="28" t="str">
        <x:v>黄金圣堂</x:v>
      </x:c>
      <x:c r="C489" s="28" t="str">
        <x:v>食香兽烟坠</x:v>
      </x:c>
      <x:c r="D489" s="28" t="str">
        <x:v>稀有</x:v>
      </x:c>
      <x:c r="E489" s="28" t="n">
        <x:v>1</x:v>
      </x:c>
      <x:c r="F489" s="28" t="n">
        <x:v>0</x:v>
      </x:c>
      <x:c r="G489" s="28" t="n">
        <x:v>0</x:v>
      </x:c>
      <x:c r="H489" s="28" t="n">
        <x:v>0</x:v>
      </x:c>
      <x:c r="I489" s="28" t="n">
        <x:v>100</x:v>
      </x:c>
      <x:c r="J489" s="28" t="n">
        <x:v>10000</x:v>
      </x:c>
      <x:c r="K489" s="28" t="n">
        <x:v>5</x:v>
      </x:c>
      <x:c r="L489" s="28" t="n">
        <x:v>0</x:v>
      </x:c>
      <x:c r="M489" s="28" t="n">
        <x:v>0</x:v>
      </x:c>
      <x:c r="N489" s="28" t="n">
        <x:v>0</x:v>
      </x:c>
      <x:c r="O489" s="28" t="str">
        <x:v>登记消耗1件；永久一次；不收金币/元宝/灵符</x:v>
      </x:c>
    </x:row>
    <x:row r="490" ht="30" customHeight="1">
      <x:c r="A490" s="28" t="str">
        <x:v>C09</x:v>
      </x:c>
      <x:c r="B490" s="28" t="str">
        <x:v>黄金圣堂</x:v>
      </x:c>
      <x:c r="C490" s="28" t="str">
        <x:v>无声司铎笠</x:v>
      </x:c>
      <x:c r="D490" s="28" t="str">
        <x:v>稀有</x:v>
      </x:c>
      <x:c r="E490" s="28" t="n">
        <x:v>1</x:v>
      </x:c>
      <x:c r="F490" s="28" t="n">
        <x:v>0</x:v>
      </x:c>
      <x:c r="G490" s="28" t="n">
        <x:v>0</x:v>
      </x:c>
      <x:c r="H490" s="28" t="n">
        <x:v>0</x:v>
      </x:c>
      <x:c r="I490" s="28" t="n">
        <x:v>100</x:v>
      </x:c>
      <x:c r="J490" s="28" t="n">
        <x:v>10000</x:v>
      </x:c>
      <x:c r="K490" s="28" t="n">
        <x:v>5</x:v>
      </x:c>
      <x:c r="L490" s="28" t="n">
        <x:v>0</x:v>
      </x:c>
      <x:c r="M490" s="28" t="n">
        <x:v>0</x:v>
      </x:c>
      <x:c r="N490" s="28" t="n">
        <x:v>0</x:v>
      </x:c>
      <x:c r="O490" s="28" t="str">
        <x:v>登记消耗1件；永久一次；不收金币/元宝/灵符</x:v>
      </x:c>
    </x:row>
    <x:row r="491" ht="30" customHeight="1">
      <x:c r="A491" s="28" t="str">
        <x:v>C09</x:v>
      </x:c>
      <x:c r="B491" s="28" t="str">
        <x:v>黄金圣堂</x:v>
      </x:c>
      <x:c r="C491" s="28" t="str">
        <x:v>逐光姬曜戒</x:v>
      </x:c>
      <x:c r="D491" s="28" t="str">
        <x:v>稀有</x:v>
      </x:c>
      <x:c r="E491" s="28" t="n">
        <x:v>1</x:v>
      </x:c>
      <x:c r="F491" s="28" t="n">
        <x:v>0</x:v>
      </x:c>
      <x:c r="G491" s="28" t="n">
        <x:v>0</x:v>
      </x:c>
      <x:c r="H491" s="28" t="n">
        <x:v>0</x:v>
      </x:c>
      <x:c r="I491" s="28" t="n">
        <x:v>100</x:v>
      </x:c>
      <x:c r="J491" s="28" t="n">
        <x:v>10000</x:v>
      </x:c>
      <x:c r="K491" s="28" t="n">
        <x:v>5</x:v>
      </x:c>
      <x:c r="L491" s="28" t="n">
        <x:v>0</x:v>
      </x:c>
      <x:c r="M491" s="28" t="n">
        <x:v>0</x:v>
      </x:c>
      <x:c r="N491" s="28" t="n">
        <x:v>0</x:v>
      </x:c>
      <x:c r="O491" s="28" t="str">
        <x:v>登记消耗1件；永久一次；不收金币/元宝/灵符</x:v>
      </x:c>
    </x:row>
    <x:row r="492" ht="30" customHeight="1">
      <x:c r="A492" s="28" t="str">
        <x:v>C09</x:v>
      </x:c>
      <x:c r="B492" s="28" t="str">
        <x:v>黄金圣堂</x:v>
      </x:c>
      <x:c r="C492" s="28" t="str">
        <x:v>赛维兰裁阳杖</x:v>
      </x:c>
      <x:c r="D492" s="28" t="str">
        <x:v>地图BOSS</x:v>
      </x:c>
      <x:c r="E492" s="28" t="n">
        <x:v>1</x:v>
      </x:c>
      <x:c r="F492" s="28" t="n">
        <x:v>0</x:v>
      </x:c>
      <x:c r="G492" s="28" t="n">
        <x:v>0</x:v>
      </x:c>
      <x:c r="H492" s="28" t="n">
        <x:v>0</x:v>
      </x:c>
      <x:c r="I492" s="28" t="n">
        <x:v>150</x:v>
      </x:c>
      <x:c r="J492" s="28" t="n">
        <x:v>15000</x:v>
      </x:c>
      <x:c r="K492" s="28" t="n">
        <x:v>0</x:v>
      </x:c>
      <x:c r="L492" s="28" t="n">
        <x:v>1</x:v>
      </x:c>
      <x:c r="M492" s="28" t="n">
        <x:v>0</x:v>
      </x:c>
      <x:c r="N492" s="28" t="n">
        <x:v>0</x:v>
      </x:c>
      <x:c r="O492" s="28" t="str">
        <x:v>登记消耗1件；永久一次；不收金币/元宝/灵符</x:v>
      </x:c>
    </x:row>
    <x:row r="493" ht="30" customHeight="1">
      <x:c r="A493" s="28" t="str">
        <x:v>C09</x:v>
      </x:c>
      <x:c r="B493" s="28" t="str">
        <x:v>黄金圣堂</x:v>
      </x:c>
      <x:c r="C493" s="28" t="str">
        <x:v>艾德莉雅鎏辉圣衣</x:v>
      </x:c>
      <x:c r="D493" s="28" t="str">
        <x:v>地图BOSS</x:v>
      </x:c>
      <x:c r="E493" s="28" t="n">
        <x:v>1</x:v>
      </x:c>
      <x:c r="F493" s="28" t="n">
        <x:v>0</x:v>
      </x:c>
      <x:c r="G493" s="28" t="n">
        <x:v>0</x:v>
      </x:c>
      <x:c r="H493" s="28" t="n">
        <x:v>0</x:v>
      </x:c>
      <x:c r="I493" s="28" t="n">
        <x:v>150</x:v>
      </x:c>
      <x:c r="J493" s="28" t="n">
        <x:v>15000</x:v>
      </x:c>
      <x:c r="K493" s="28" t="n">
        <x:v>0</x:v>
      </x:c>
      <x:c r="L493" s="28" t="n">
        <x:v>1</x:v>
      </x:c>
      <x:c r="M493" s="28" t="n">
        <x:v>0</x:v>
      </x:c>
      <x:c r="N493" s="28" t="n">
        <x:v>0</x:v>
      </x:c>
      <x:c r="O493" s="28" t="str">
        <x:v>登记消耗1件；永久一次；不收金币/元宝/灵符</x:v>
      </x:c>
    </x:row>
    <x:row r="494" ht="30" customHeight="1">
      <x:c r="A494" s="28" t="str">
        <x:v>C09</x:v>
      </x:c>
      <x:c r="B494" s="28" t="str">
        <x:v>王城前垒</x:v>
      </x:c>
      <x:c r="C494" s="28" t="str">
        <x:v>铆甲兵垒盾</x:v>
      </x:c>
      <x:c r="D494" s="28" t="str">
        <x:v>普通</x:v>
      </x:c>
      <x:c r="E494" s="28" t="n">
        <x:v>1</x:v>
      </x:c>
      <x:c r="F494" s="28" t="n">
        <x:v>0</x:v>
      </x:c>
      <x:c r="G494" s="28" t="n">
        <x:v>0</x:v>
      </x:c>
      <x:c r="H494" s="28" t="n">
        <x:v>0</x:v>
      </x:c>
      <x:c r="I494" s="28" t="n">
        <x:v>50</x:v>
      </x:c>
      <x:c r="J494" s="28" t="n">
        <x:v>5000</x:v>
      </x:c>
      <x:c r="K494" s="28" t="n">
        <x:v>0</x:v>
      </x:c>
      <x:c r="L494" s="28" t="n">
        <x:v>0</x:v>
      </x:c>
      <x:c r="M494" s="28" t="n">
        <x:v>0</x:v>
      </x:c>
      <x:c r="N494" s="28" t="n">
        <x:v>0</x:v>
      </x:c>
      <x:c r="O494" s="28" t="str">
        <x:v>登记消耗1件；永久一次；不收金币/元宝/灵符</x:v>
      </x:c>
    </x:row>
    <x:row r="495" ht="30" customHeight="1">
      <x:c r="A495" s="28" t="str">
        <x:v>C09</x:v>
      </x:c>
      <x:c r="B495" s="28" t="str">
        <x:v>王城前垒</x:v>
      </x:c>
      <x:c r="C495" s="28" t="str">
        <x:v>拾箭童疾履</x:v>
      </x:c>
      <x:c r="D495" s="28" t="str">
        <x:v>普通</x:v>
      </x:c>
      <x:c r="E495" s="28" t="n">
        <x:v>1</x:v>
      </x:c>
      <x:c r="F495" s="28" t="n">
        <x:v>0</x:v>
      </x:c>
      <x:c r="G495" s="28" t="n">
        <x:v>0</x:v>
      </x:c>
      <x:c r="H495" s="28" t="n">
        <x:v>0</x:v>
      </x:c>
      <x:c r="I495" s="28" t="n">
        <x:v>50</x:v>
      </x:c>
      <x:c r="J495" s="28" t="n">
        <x:v>5000</x:v>
      </x:c>
      <x:c r="K495" s="28" t="n">
        <x:v>0</x:v>
      </x:c>
      <x:c r="L495" s="28" t="n">
        <x:v>0</x:v>
      </x:c>
      <x:c r="M495" s="28" t="n">
        <x:v>0</x:v>
      </x:c>
      <x:c r="N495" s="28" t="n">
        <x:v>0</x:v>
      </x:c>
      <x:c r="O495" s="28" t="str">
        <x:v>登记消耗1件；永久一次；不收金币/元宝/灵符</x:v>
      </x:c>
    </x:row>
    <x:row r="496" ht="30" customHeight="1">
      <x:c r="A496" s="28" t="str">
        <x:v>C09</x:v>
      </x:c>
      <x:c r="B496" s="28" t="str">
        <x:v>王城前垒</x:v>
      </x:c>
      <x:c r="C496" s="28" t="str">
        <x:v>持炬枪卒矛</x:v>
      </x:c>
      <x:c r="D496" s="28" t="str">
        <x:v>普通</x:v>
      </x:c>
      <x:c r="E496" s="28" t="n">
        <x:v>1</x:v>
      </x:c>
      <x:c r="F496" s="28" t="n">
        <x:v>0</x:v>
      </x:c>
      <x:c r="G496" s="28" t="n">
        <x:v>0</x:v>
      </x:c>
      <x:c r="H496" s="28" t="n">
        <x:v>0</x:v>
      </x:c>
      <x:c r="I496" s="28" t="n">
        <x:v>50</x:v>
      </x:c>
      <x:c r="J496" s="28" t="n">
        <x:v>5000</x:v>
      </x:c>
      <x:c r="K496" s="28" t="n">
        <x:v>0</x:v>
      </x:c>
      <x:c r="L496" s="28" t="n">
        <x:v>0</x:v>
      </x:c>
      <x:c r="M496" s="28" t="n">
        <x:v>0</x:v>
      </x:c>
      <x:c r="N496" s="28" t="n">
        <x:v>0</x:v>
      </x:c>
      <x:c r="O496" s="28" t="str">
        <x:v>登记消耗1件；永久一次；不收金币/元宝/灵符</x:v>
      </x:c>
    </x:row>
    <x:row r="497" ht="30" customHeight="1">
      <x:c r="A497" s="28" t="str">
        <x:v>C09</x:v>
      </x:c>
      <x:c r="B497" s="28" t="str">
        <x:v>王城前垒</x:v>
      </x:c>
      <x:c r="C497" s="28" t="str">
        <x:v>炊兵铁勺镯</x:v>
      </x:c>
      <x:c r="D497" s="28" t="str">
        <x:v>普通</x:v>
      </x:c>
      <x:c r="E497" s="28" t="n">
        <x:v>1</x:v>
      </x:c>
      <x:c r="F497" s="28" t="n">
        <x:v>0</x:v>
      </x:c>
      <x:c r="G497" s="28" t="n">
        <x:v>0</x:v>
      </x:c>
      <x:c r="H497" s="28" t="n">
        <x:v>0</x:v>
      </x:c>
      <x:c r="I497" s="28" t="n">
        <x:v>50</x:v>
      </x:c>
      <x:c r="J497" s="28" t="n">
        <x:v>5000</x:v>
      </x:c>
      <x:c r="K497" s="28" t="n">
        <x:v>0</x:v>
      </x:c>
      <x:c r="L497" s="28" t="n">
        <x:v>0</x:v>
      </x:c>
      <x:c r="M497" s="28" t="n">
        <x:v>0</x:v>
      </x:c>
      <x:c r="N497" s="28" t="n">
        <x:v>0</x:v>
      </x:c>
      <x:c r="O497" s="28" t="str">
        <x:v>登记消耗1件；永久一次；不收金币/元宝/灵符</x:v>
      </x:c>
    </x:row>
    <x:row r="498" ht="30" customHeight="1">
      <x:c r="A498" s="28" t="str">
        <x:v>C09</x:v>
      </x:c>
      <x:c r="B498" s="28" t="str">
        <x:v>王城前垒</x:v>
      </x:c>
      <x:c r="C498" s="28" t="str">
        <x:v>壁垒号手盔</x:v>
      </x:c>
      <x:c r="D498" s="28" t="str">
        <x:v>普通</x:v>
      </x:c>
      <x:c r="E498" s="28" t="n">
        <x:v>1</x:v>
      </x:c>
      <x:c r="F498" s="28" t="n">
        <x:v>0</x:v>
      </x:c>
      <x:c r="G498" s="28" t="n">
        <x:v>0</x:v>
      </x:c>
      <x:c r="H498" s="28" t="n">
        <x:v>0</x:v>
      </x:c>
      <x:c r="I498" s="28" t="n">
        <x:v>50</x:v>
      </x:c>
      <x:c r="J498" s="28" t="n">
        <x:v>5000</x:v>
      </x:c>
      <x:c r="K498" s="28" t="n">
        <x:v>0</x:v>
      </x:c>
      <x:c r="L498" s="28" t="n">
        <x:v>0</x:v>
      </x:c>
      <x:c r="M498" s="28" t="n">
        <x:v>0</x:v>
      </x:c>
      <x:c r="N498" s="28" t="n">
        <x:v>0</x:v>
      </x:c>
      <x:c r="O498" s="28" t="str">
        <x:v>登记消耗1件；永久一次；不收金币/元宝/灵符</x:v>
      </x:c>
    </x:row>
    <x:row r="499" ht="30" customHeight="1">
      <x:c r="A499" s="28" t="str">
        <x:v>C09</x:v>
      </x:c>
      <x:c r="B499" s="28" t="str">
        <x:v>王城前垒</x:v>
      </x:c>
      <x:c r="C499" s="28" t="str">
        <x:v>锁链关门甲</x:v>
      </x:c>
      <x:c r="D499" s="28" t="str">
        <x:v>普通</x:v>
      </x:c>
      <x:c r="E499" s="28" t="n">
        <x:v>1</x:v>
      </x:c>
      <x:c r="F499" s="28" t="n">
        <x:v>0</x:v>
      </x:c>
      <x:c r="G499" s="28" t="n">
        <x:v>0</x:v>
      </x:c>
      <x:c r="H499" s="28" t="n">
        <x:v>0</x:v>
      </x:c>
      <x:c r="I499" s="28" t="n">
        <x:v>50</x:v>
      </x:c>
      <x:c r="J499" s="28" t="n">
        <x:v>5000</x:v>
      </x:c>
      <x:c r="K499" s="28" t="n">
        <x:v>0</x:v>
      </x:c>
      <x:c r="L499" s="28" t="n">
        <x:v>0</x:v>
      </x:c>
      <x:c r="M499" s="28" t="n">
        <x:v>0</x:v>
      </x:c>
      <x:c r="N499" s="28" t="n">
        <x:v>0</x:v>
      </x:c>
      <x:c r="O499" s="28" t="str">
        <x:v>登记消耗1件；永久一次；不收金币/元宝/灵符</x:v>
      </x:c>
    </x:row>
    <x:row r="500" ht="30" customHeight="1">
      <x:c r="A500" s="28" t="str">
        <x:v>C09</x:v>
      </x:c>
      <x:c r="B500" s="28" t="str">
        <x:v>王城前垒</x:v>
      </x:c>
      <x:c r="C500" s="28" t="str">
        <x:v>潜旗客灰翎笠</x:v>
      </x:c>
      <x:c r="D500" s="28" t="str">
        <x:v>稀有</x:v>
      </x:c>
      <x:c r="E500" s="28" t="n">
        <x:v>1</x:v>
      </x:c>
      <x:c r="F500" s="28" t="n">
        <x:v>0</x:v>
      </x:c>
      <x:c r="G500" s="28" t="n">
        <x:v>0</x:v>
      </x:c>
      <x:c r="H500" s="28" t="n">
        <x:v>0</x:v>
      </x:c>
      <x:c r="I500" s="28" t="n">
        <x:v>100</x:v>
      </x:c>
      <x:c r="J500" s="28" t="n">
        <x:v>10000</x:v>
      </x:c>
      <x:c r="K500" s="28" t="n">
        <x:v>5</x:v>
      </x:c>
      <x:c r="L500" s="28" t="n">
        <x:v>0</x:v>
      </x:c>
      <x:c r="M500" s="28" t="n">
        <x:v>0</x:v>
      </x:c>
      <x:c r="N500" s="28" t="n">
        <x:v>0</x:v>
      </x:c>
      <x:c r="O500" s="28" t="str">
        <x:v>登记消耗1件；永久一次；不收金币/元宝/灵符</x:v>
      </x:c>
    </x:row>
    <x:row r="501" ht="30" customHeight="1">
      <x:c r="A501" s="28" t="str">
        <x:v>C09</x:v>
      </x:c>
      <x:c r="B501" s="28" t="str">
        <x:v>王城前垒</x:v>
      </x:c>
      <x:c r="C501" s="28" t="str">
        <x:v>百战旗官带</x:v>
      </x:c>
      <x:c r="D501" s="28" t="str">
        <x:v>稀有</x:v>
      </x:c>
      <x:c r="E501" s="28" t="n">
        <x:v>1</x:v>
      </x:c>
      <x:c r="F501" s="28" t="n">
        <x:v>0</x:v>
      </x:c>
      <x:c r="G501" s="28" t="n">
        <x:v>0</x:v>
      </x:c>
      <x:c r="H501" s="28" t="n">
        <x:v>0</x:v>
      </x:c>
      <x:c r="I501" s="28" t="n">
        <x:v>100</x:v>
      </x:c>
      <x:c r="J501" s="28" t="n">
        <x:v>10000</x:v>
      </x:c>
      <x:c r="K501" s="28" t="n">
        <x:v>5</x:v>
      </x:c>
      <x:c r="L501" s="28" t="n">
        <x:v>0</x:v>
      </x:c>
      <x:c r="M501" s="28" t="n">
        <x:v>0</x:v>
      </x:c>
      <x:c r="N501" s="28" t="n">
        <x:v>0</x:v>
      </x:c>
      <x:c r="O501" s="28" t="str">
        <x:v>登记消耗1件；永久一次；不收金币/元宝/灵符</x:v>
      </x:c>
    </x:row>
    <x:row r="502" ht="30" customHeight="1">
      <x:c r="A502" s="28" t="str">
        <x:v>C09</x:v>
      </x:c>
      <x:c r="B502" s="28" t="str">
        <x:v>王城前垒</x:v>
      </x:c>
      <x:c r="C502" s="28" t="str">
        <x:v>鎏甲骑士坠</x:v>
      </x:c>
      <x:c r="D502" s="28" t="str">
        <x:v>稀有</x:v>
      </x:c>
      <x:c r="E502" s="28" t="n">
        <x:v>1</x:v>
      </x:c>
      <x:c r="F502" s="28" t="n">
        <x:v>0</x:v>
      </x:c>
      <x:c r="G502" s="28" t="n">
        <x:v>0</x:v>
      </x:c>
      <x:c r="H502" s="28" t="n">
        <x:v>0</x:v>
      </x:c>
      <x:c r="I502" s="28" t="n">
        <x:v>100</x:v>
      </x:c>
      <x:c r="J502" s="28" t="n">
        <x:v>10000</x:v>
      </x:c>
      <x:c r="K502" s="28" t="n">
        <x:v>5</x:v>
      </x:c>
      <x:c r="L502" s="28" t="n">
        <x:v>0</x:v>
      </x:c>
      <x:c r="M502" s="28" t="n">
        <x:v>0</x:v>
      </x:c>
      <x:c r="N502" s="28" t="n">
        <x:v>0</x:v>
      </x:c>
      <x:c r="O502" s="28" t="str">
        <x:v>登记消耗1件；永久一次；不收金币/元宝/灵符</x:v>
      </x:c>
    </x:row>
    <x:row r="503" ht="30" customHeight="1">
      <x:c r="A503" s="28" t="str">
        <x:v>C09</x:v>
      </x:c>
      <x:c r="B503" s="28" t="str">
        <x:v>王城前垒</x:v>
      </x:c>
      <x:c r="C503" s="28" t="str">
        <x:v>守门卜者戒</x:v>
      </x:c>
      <x:c r="D503" s="28" t="str">
        <x:v>稀有</x:v>
      </x:c>
      <x:c r="E503" s="28" t="n">
        <x:v>1</x:v>
      </x:c>
      <x:c r="F503" s="28" t="n">
        <x:v>0</x:v>
      </x:c>
      <x:c r="G503" s="28" t="n">
        <x:v>0</x:v>
      </x:c>
      <x:c r="H503" s="28" t="n">
        <x:v>0</x:v>
      </x:c>
      <x:c r="I503" s="28" t="n">
        <x:v>100</x:v>
      </x:c>
      <x:c r="J503" s="28" t="n">
        <x:v>10000</x:v>
      </x:c>
      <x:c r="K503" s="28" t="n">
        <x:v>5</x:v>
      </x:c>
      <x:c r="L503" s="28" t="n">
        <x:v>0</x:v>
      </x:c>
      <x:c r="M503" s="28" t="n">
        <x:v>0</x:v>
      </x:c>
      <x:c r="N503" s="28" t="n">
        <x:v>0</x:v>
      </x:c>
      <x:c r="O503" s="28" t="str">
        <x:v>登记消耗1件；永久一次；不收金币/元宝/灵符</x:v>
      </x:c>
    </x:row>
    <x:row r="504" ht="30" customHeight="1">
      <x:c r="A504" s="28" t="str">
        <x:v>C09</x:v>
      </x:c>
      <x:c r="B504" s="28" t="str">
        <x:v>王城前垒</x:v>
      </x:c>
      <x:c r="C504" s="28" t="str">
        <x:v>罗梵迪壁垒长戟</x:v>
      </x:c>
      <x:c r="D504" s="28" t="str">
        <x:v>地图BOSS</x:v>
      </x:c>
      <x:c r="E504" s="28" t="n">
        <x:v>1</x:v>
      </x:c>
      <x:c r="F504" s="28" t="n">
        <x:v>0</x:v>
      </x:c>
      <x:c r="G504" s="28" t="n">
        <x:v>0</x:v>
      </x:c>
      <x:c r="H504" s="28" t="n">
        <x:v>0</x:v>
      </x:c>
      <x:c r="I504" s="28" t="n">
        <x:v>150</x:v>
      </x:c>
      <x:c r="J504" s="28" t="n">
        <x:v>15000</x:v>
      </x:c>
      <x:c r="K504" s="28" t="n">
        <x:v>0</x:v>
      </x:c>
      <x:c r="L504" s="28" t="n">
        <x:v>1</x:v>
      </x:c>
      <x:c r="M504" s="28" t="n">
        <x:v>0</x:v>
      </x:c>
      <x:c r="N504" s="28" t="n">
        <x:v>0</x:v>
      </x:c>
      <x:c r="O504" s="28" t="str">
        <x:v>登记消耗1件；永久一次；不收金币/元宝/灵符</x:v>
      </x:c>
    </x:row>
    <x:row r="505" ht="30" customHeight="1">
      <x:c r="A505" s="28" t="str">
        <x:v>C09</x:v>
      </x:c>
      <x:c r="B505" s="28" t="str">
        <x:v>王城前垒</x:v>
      </x:c>
      <x:c r="C505" s="28" t="str">
        <x:v>赫桑达执宪战衣</x:v>
      </x:c>
      <x:c r="D505" s="28" t="str">
        <x:v>地图BOSS</x:v>
      </x:c>
      <x:c r="E505" s="28" t="n">
        <x:v>1</x:v>
      </x:c>
      <x:c r="F505" s="28" t="n">
        <x:v>0</x:v>
      </x:c>
      <x:c r="G505" s="28" t="n">
        <x:v>0</x:v>
      </x:c>
      <x:c r="H505" s="28" t="n">
        <x:v>0</x:v>
      </x:c>
      <x:c r="I505" s="28" t="n">
        <x:v>150</x:v>
      </x:c>
      <x:c r="J505" s="28" t="n">
        <x:v>15000</x:v>
      </x:c>
      <x:c r="K505" s="28" t="n">
        <x:v>0</x:v>
      </x:c>
      <x:c r="L505" s="28" t="n">
        <x:v>1</x:v>
      </x:c>
      <x:c r="M505" s="28" t="n">
        <x:v>0</x:v>
      </x:c>
      <x:c r="N505" s="28" t="n">
        <x:v>0</x:v>
      </x:c>
      <x:c r="O505" s="28" t="str">
        <x:v>登记消耗1件；永久一次；不收金币/元宝/灵符</x:v>
      </x:c>
    </x:row>
    <x:row r="506" ht="30" customHeight="1">
      <x:c r="A506" s="28" t="str">
        <x:v>C09</x:v>
      </x:c>
      <x:c r="B506" s="28" t="str">
        <x:v>王城前垒</x:v>
      </x:c>
      <x:c r="C506" s="28" t="str">
        <x:v>阿尔维萨蚀日王刃</x:v>
      </x:c>
      <x:c r="D506" s="28" t="str">
        <x:v>守关BOSS</x:v>
      </x:c>
      <x:c r="E506" s="28" t="n">
        <x:v>1</x:v>
      </x:c>
      <x:c r="F506" s="28" t="n">
        <x:v>0</x:v>
      </x:c>
      <x:c r="G506" s="28" t="n">
        <x:v>0</x:v>
      </x:c>
      <x:c r="H506" s="28" t="n">
        <x:v>0</x:v>
      </x:c>
      <x:c r="I506" s="28" t="n">
        <x:v>200</x:v>
      </x:c>
      <x:c r="J506" s="28" t="n">
        <x:v>20000</x:v>
      </x:c>
      <x:c r="K506" s="28" t="n">
        <x:v>0</x:v>
      </x:c>
      <x:c r="L506" s="28" t="n">
        <x:v>1</x:v>
      </x:c>
      <x:c r="M506" s="28" t="n">
        <x:v>0</x:v>
      </x:c>
      <x:c r="N506" s="28" t="n">
        <x:v>0</x:v>
      </x:c>
      <x:c r="O506" s="28" t="str">
        <x:v>登记消耗1件；永久一次；不收金币/元宝/灵符</x:v>
      </x:c>
    </x:row>
    <x:row r="507" ht="30" customHeight="1">
      <x:c r="A507" s="28" t="str">
        <x:v>C10</x:v>
      </x:c>
      <x:c r="B507" s="28" t="str">
        <x:v>王城下城区</x:v>
      </x:c>
      <x:c r="C507" s="28" t="str">
        <x:v>拾烬钩刃</x:v>
      </x:c>
      <x:c r="D507" s="28" t="str">
        <x:v>普通</x:v>
      </x:c>
      <x:c r="E507" s="28" t="n">
        <x:v>1</x:v>
      </x:c>
      <x:c r="F507" s="28" t="n">
        <x:v>0</x:v>
      </x:c>
      <x:c r="G507" s="28" t="n">
        <x:v>0</x:v>
      </x:c>
      <x:c r="H507" s="28" t="n">
        <x:v>0</x:v>
      </x:c>
      <x:c r="I507" s="28" t="n">
        <x:v>80</x:v>
      </x:c>
      <x:c r="J507" s="28" t="n">
        <x:v>8000</x:v>
      </x:c>
      <x:c r="K507" s="28" t="n">
        <x:v>0</x:v>
      </x:c>
      <x:c r="L507" s="28" t="n">
        <x:v>0</x:v>
      </x:c>
      <x:c r="M507" s="28" t="n">
        <x:v>0</x:v>
      </x:c>
      <x:c r="N507" s="28" t="n">
        <x:v>0</x:v>
      </x:c>
      <x:c r="O507" s="28" t="str">
        <x:v>登记消耗1件；永久一次；不收金币/元宝/灵符</x:v>
      </x:c>
    </x:row>
    <x:row r="508" ht="30" customHeight="1">
      <x:c r="A508" s="28" t="str">
        <x:v>C10</x:v>
      </x:c>
      <x:c r="B508" s="28" t="str">
        <x:v>王城下城区</x:v>
      </x:c>
      <x:c r="C508" s="28" t="str">
        <x:v>斑墙巡灯盔</x:v>
      </x:c>
      <x:c r="D508" s="28" t="str">
        <x:v>普通</x:v>
      </x:c>
      <x:c r="E508" s="28" t="n">
        <x:v>1</x:v>
      </x:c>
      <x:c r="F508" s="28" t="n">
        <x:v>0</x:v>
      </x:c>
      <x:c r="G508" s="28" t="n">
        <x:v>0</x:v>
      </x:c>
      <x:c r="H508" s="28" t="n">
        <x:v>0</x:v>
      </x:c>
      <x:c r="I508" s="28" t="n">
        <x:v>80</x:v>
      </x:c>
      <x:c r="J508" s="28" t="n">
        <x:v>8000</x:v>
      </x:c>
      <x:c r="K508" s="28" t="n">
        <x:v>0</x:v>
      </x:c>
      <x:c r="L508" s="28" t="n">
        <x:v>0</x:v>
      </x:c>
      <x:c r="M508" s="28" t="n">
        <x:v>0</x:v>
      </x:c>
      <x:c r="N508" s="28" t="n">
        <x:v>0</x:v>
      </x:c>
      <x:c r="O508" s="28" t="str">
        <x:v>登记消耗1件；永久一次；不收金币/元宝/灵符</x:v>
      </x:c>
    </x:row>
    <x:row r="509" ht="30" customHeight="1">
      <x:c r="A509" s="28" t="str">
        <x:v>C10</x:v>
      </x:c>
      <x:c r="B509" s="28" t="str">
        <x:v>王城下城区</x:v>
      </x:c>
      <x:c r="C509" s="28" t="str">
        <x:v>伏砖旧革靴</x:v>
      </x:c>
      <x:c r="D509" s="28" t="str">
        <x:v>普通</x:v>
      </x:c>
      <x:c r="E509" s="28" t="n">
        <x:v>1</x:v>
      </x:c>
      <x:c r="F509" s="28" t="n">
        <x:v>0</x:v>
      </x:c>
      <x:c r="G509" s="28" t="n">
        <x:v>0</x:v>
      </x:c>
      <x:c r="H509" s="28" t="n">
        <x:v>0</x:v>
      </x:c>
      <x:c r="I509" s="28" t="n">
        <x:v>80</x:v>
      </x:c>
      <x:c r="J509" s="28" t="n">
        <x:v>8000</x:v>
      </x:c>
      <x:c r="K509" s="28" t="n">
        <x:v>0</x:v>
      </x:c>
      <x:c r="L509" s="28" t="n">
        <x:v>0</x:v>
      </x:c>
      <x:c r="M509" s="28" t="n">
        <x:v>0</x:v>
      </x:c>
      <x:c r="N509" s="28" t="n">
        <x:v>0</x:v>
      </x:c>
      <x:c r="O509" s="28" t="str">
        <x:v>登记消耗1件；永久一次；不收金币/元宝/灵符</x:v>
      </x:c>
    </x:row>
    <x:row r="510" ht="30" customHeight="1">
      <x:c r="A510" s="28" t="str">
        <x:v>C10</x:v>
      </x:c>
      <x:c r="B510" s="28" t="str">
        <x:v>王城下城区</x:v>
      </x:c>
      <x:c r="C510" s="28" t="str">
        <x:v>缚铃窄项圈</x:v>
      </x:c>
      <x:c r="D510" s="28" t="str">
        <x:v>普通</x:v>
      </x:c>
      <x:c r="E510" s="28" t="n">
        <x:v>1</x:v>
      </x:c>
      <x:c r="F510" s="28" t="n">
        <x:v>0</x:v>
      </x:c>
      <x:c r="G510" s="28" t="n">
        <x:v>0</x:v>
      </x:c>
      <x:c r="H510" s="28" t="n">
        <x:v>0</x:v>
      </x:c>
      <x:c r="I510" s="28" t="n">
        <x:v>80</x:v>
      </x:c>
      <x:c r="J510" s="28" t="n">
        <x:v>8000</x:v>
      </x:c>
      <x:c r="K510" s="28" t="n">
        <x:v>0</x:v>
      </x:c>
      <x:c r="L510" s="28" t="n">
        <x:v>0</x:v>
      </x:c>
      <x:c r="M510" s="28" t="n">
        <x:v>0</x:v>
      </x:c>
      <x:c r="N510" s="28" t="n">
        <x:v>0</x:v>
      </x:c>
      <x:c r="O510" s="28" t="str">
        <x:v>登记消耗1件；永久一次；不收金币/元宝/灵符</x:v>
      </x:c>
    </x:row>
    <x:row r="511" ht="30" customHeight="1">
      <x:c r="A511" s="28" t="str">
        <x:v>C10</x:v>
      </x:c>
      <x:c r="B511" s="28" t="str">
        <x:v>王城下城区</x:v>
      </x:c>
      <x:c r="C511" s="28" t="str">
        <x:v>淤甲闸工衣</x:v>
      </x:c>
      <x:c r="D511" s="28" t="str">
        <x:v>普通</x:v>
      </x:c>
      <x:c r="E511" s="28" t="n">
        <x:v>1</x:v>
      </x:c>
      <x:c r="F511" s="28" t="n">
        <x:v>0</x:v>
      </x:c>
      <x:c r="G511" s="28" t="n">
        <x:v>0</x:v>
      </x:c>
      <x:c r="H511" s="28" t="n">
        <x:v>0</x:v>
      </x:c>
      <x:c r="I511" s="28" t="n">
        <x:v>80</x:v>
      </x:c>
      <x:c r="J511" s="28" t="n">
        <x:v>8000</x:v>
      </x:c>
      <x:c r="K511" s="28" t="n">
        <x:v>0</x:v>
      </x:c>
      <x:c r="L511" s="28" t="n">
        <x:v>0</x:v>
      </x:c>
      <x:c r="M511" s="28" t="n">
        <x:v>0</x:v>
      </x:c>
      <x:c r="N511" s="28" t="n">
        <x:v>0</x:v>
      </x:c>
      <x:c r="O511" s="28" t="str">
        <x:v>登记消耗1件；永久一次；不收金币/元宝/灵符</x:v>
      </x:c>
    </x:row>
    <x:row r="512" ht="30" customHeight="1">
      <x:c r="A512" s="28" t="str">
        <x:v>C10</x:v>
      </x:c>
      <x:c r="B512" s="28" t="str">
        <x:v>王城下城区</x:v>
      </x:c>
      <x:c r="C512" s="28" t="str">
        <x:v>链轮束腰</x:v>
      </x:c>
      <x:c r="D512" s="28" t="str">
        <x:v>普通</x:v>
      </x:c>
      <x:c r="E512" s="28" t="n">
        <x:v>1</x:v>
      </x:c>
      <x:c r="F512" s="28" t="n">
        <x:v>0</x:v>
      </x:c>
      <x:c r="G512" s="28" t="n">
        <x:v>0</x:v>
      </x:c>
      <x:c r="H512" s="28" t="n">
        <x:v>0</x:v>
      </x:c>
      <x:c r="I512" s="28" t="n">
        <x:v>80</x:v>
      </x:c>
      <x:c r="J512" s="28" t="n">
        <x:v>8000</x:v>
      </x:c>
      <x:c r="K512" s="28" t="n">
        <x:v>0</x:v>
      </x:c>
      <x:c r="L512" s="28" t="n">
        <x:v>0</x:v>
      </x:c>
      <x:c r="M512" s="28" t="n">
        <x:v>0</x:v>
      </x:c>
      <x:c r="N512" s="28" t="n">
        <x:v>0</x:v>
      </x:c>
      <x:c r="O512" s="28" t="str">
        <x:v>登记消耗1件；永久一次；不收金币/元宝/灵符</x:v>
      </x:c>
    </x:row>
    <x:row r="513" ht="30" customHeight="1">
      <x:c r="A513" s="28" t="str">
        <x:v>C10</x:v>
      </x:c>
      <x:c r="B513" s="28" t="str">
        <x:v>王城下城区</x:v>
      </x:c>
      <x:c r="C513" s="28" t="str">
        <x:v>碎檐金羽镯</x:v>
      </x:c>
      <x:c r="D513" s="28" t="str">
        <x:v>稀有</x:v>
      </x:c>
      <x:c r="E513" s="28" t="n">
        <x:v>1</x:v>
      </x:c>
      <x:c r="F513" s="28" t="n">
        <x:v>0</x:v>
      </x:c>
      <x:c r="G513" s="28" t="n">
        <x:v>0</x:v>
      </x:c>
      <x:c r="H513" s="28" t="n">
        <x:v>0</x:v>
      </x:c>
      <x:c r="I513" s="28" t="n">
        <x:v>160</x:v>
      </x:c>
      <x:c r="J513" s="28" t="n">
        <x:v>16000</x:v>
      </x:c>
      <x:c r="K513" s="28" t="n">
        <x:v>5</x:v>
      </x:c>
      <x:c r="L513" s="28" t="n">
        <x:v>0</x:v>
      </x:c>
      <x:c r="M513" s="28" t="n">
        <x:v>0</x:v>
      </x:c>
      <x:c r="N513" s="28" t="n">
        <x:v>0</x:v>
      </x:c>
      <x:c r="O513" s="28" t="str">
        <x:v>登记消耗1件；永久一次；不收金币/元宝/灵符</x:v>
      </x:c>
    </x:row>
    <x:row r="514" ht="30" customHeight="1">
      <x:c r="A514" s="28" t="str">
        <x:v>C10</x:v>
      </x:c>
      <x:c r="B514" s="28" t="str">
        <x:v>王城下城区</x:v>
      </x:c>
      <x:c r="C514" s="28" t="str">
        <x:v>缄契铅印戒</x:v>
      </x:c>
      <x:c r="D514" s="28" t="str">
        <x:v>稀有</x:v>
      </x:c>
      <x:c r="E514" s="28" t="n">
        <x:v>1</x:v>
      </x:c>
      <x:c r="F514" s="28" t="n">
        <x:v>0</x:v>
      </x:c>
      <x:c r="G514" s="28" t="n">
        <x:v>0</x:v>
      </x:c>
      <x:c r="H514" s="28" t="n">
        <x:v>0</x:v>
      </x:c>
      <x:c r="I514" s="28" t="n">
        <x:v>160</x:v>
      </x:c>
      <x:c r="J514" s="28" t="n">
        <x:v>16000</x:v>
      </x:c>
      <x:c r="K514" s="28" t="n">
        <x:v>5</x:v>
      </x:c>
      <x:c r="L514" s="28" t="n">
        <x:v>0</x:v>
      </x:c>
      <x:c r="M514" s="28" t="n">
        <x:v>0</x:v>
      </x:c>
      <x:c r="N514" s="28" t="n">
        <x:v>0</x:v>
      </x:c>
      <x:c r="O514" s="28" t="str">
        <x:v>登记消耗1件；永久一次；不收金币/元宝/灵符</x:v>
      </x:c>
    </x:row>
    <x:row r="515" ht="30" customHeight="1">
      <x:c r="A515" s="28" t="str">
        <x:v>C10</x:v>
      </x:c>
      <x:c r="B515" s="28" t="str">
        <x:v>王城下城区</x:v>
      </x:c>
      <x:c r="C515" s="28" t="str">
        <x:v>剜影巷钟章</x:v>
      </x:c>
      <x:c r="D515" s="28" t="str">
        <x:v>稀有</x:v>
      </x:c>
      <x:c r="E515" s="28" t="n">
        <x:v>1</x:v>
      </x:c>
      <x:c r="F515" s="28" t="n">
        <x:v>0</x:v>
      </x:c>
      <x:c r="G515" s="28" t="n">
        <x:v>0</x:v>
      </x:c>
      <x:c r="H515" s="28" t="n">
        <x:v>0</x:v>
      </x:c>
      <x:c r="I515" s="28" t="n">
        <x:v>160</x:v>
      </x:c>
      <x:c r="J515" s="28" t="n">
        <x:v>16000</x:v>
      </x:c>
      <x:c r="K515" s="28" t="n">
        <x:v>5</x:v>
      </x:c>
      <x:c r="L515" s="28" t="n">
        <x:v>0</x:v>
      </x:c>
      <x:c r="M515" s="28" t="n">
        <x:v>0</x:v>
      </x:c>
      <x:c r="N515" s="28" t="n">
        <x:v>0</x:v>
      </x:c>
      <x:c r="O515" s="28" t="str">
        <x:v>登记消耗1件；永久一次；不收金币/元宝/灵符</x:v>
      </x:c>
    </x:row>
    <x:row r="516" ht="30" customHeight="1">
      <x:c r="A516" s="28" t="str">
        <x:v>C10</x:v>
      </x:c>
      <x:c r="B516" s="28" t="str">
        <x:v>王城下城区</x:v>
      </x:c>
      <x:c r="C516" s="28" t="str">
        <x:v>沉闸铜面盾</x:v>
      </x:c>
      <x:c r="D516" s="28" t="str">
        <x:v>稀有</x:v>
      </x:c>
      <x:c r="E516" s="28" t="n">
        <x:v>1</x:v>
      </x:c>
      <x:c r="F516" s="28" t="n">
        <x:v>0</x:v>
      </x:c>
      <x:c r="G516" s="28" t="n">
        <x:v>0</x:v>
      </x:c>
      <x:c r="H516" s="28" t="n">
        <x:v>0</x:v>
      </x:c>
      <x:c r="I516" s="28" t="n">
        <x:v>160</x:v>
      </x:c>
      <x:c r="J516" s="28" t="n">
        <x:v>16000</x:v>
      </x:c>
      <x:c r="K516" s="28" t="n">
        <x:v>5</x:v>
      </x:c>
      <x:c r="L516" s="28" t="n">
        <x:v>0</x:v>
      </x:c>
      <x:c r="M516" s="28" t="n">
        <x:v>0</x:v>
      </x:c>
      <x:c r="N516" s="28" t="n">
        <x:v>0</x:v>
      </x:c>
      <x:c r="O516" s="28" t="str">
        <x:v>登记消耗1件；永久一次；不收金币/元宝/灵符</x:v>
      </x:c>
    </x:row>
    <x:row r="517" ht="30" customHeight="1">
      <x:c r="A517" s="28" t="str">
        <x:v>C10</x:v>
      </x:c>
      <x:c r="B517" s="28" t="str">
        <x:v>王城下城区</x:v>
      </x:c>
      <x:c r="C517" s="28" t="str">
        <x:v>无灯侯旧斗笠</x:v>
      </x:c>
      <x:c r="D517" s="28" t="str">
        <x:v>地图BOSS</x:v>
      </x:c>
      <x:c r="E517" s="28" t="n">
        <x:v>1</x:v>
      </x:c>
      <x:c r="F517" s="28" t="n">
        <x:v>0</x:v>
      </x:c>
      <x:c r="G517" s="28" t="n">
        <x:v>0</x:v>
      </x:c>
      <x:c r="H517" s="28" t="n">
        <x:v>0</x:v>
      </x:c>
      <x:c r="I517" s="28" t="n">
        <x:v>240</x:v>
      </x:c>
      <x:c r="J517" s="28" t="n">
        <x:v>24000</x:v>
      </x:c>
      <x:c r="K517" s="28" t="n">
        <x:v>0</x:v>
      </x:c>
      <x:c r="L517" s="28" t="n">
        <x:v>1</x:v>
      </x:c>
      <x:c r="M517" s="28" t="n">
        <x:v>0</x:v>
      </x:c>
      <x:c r="N517" s="28" t="n">
        <x:v>0</x:v>
      </x:c>
      <x:c r="O517" s="28" t="str">
        <x:v>登记消耗1件；永久一次；不收金币/元宝/灵符</x:v>
      </x:c>
    </x:row>
    <x:row r="518" ht="30" customHeight="1">
      <x:c r="A518" s="28" t="str">
        <x:v>C10</x:v>
      </x:c>
      <x:c r="B518" s="28" t="str">
        <x:v>王城下城区</x:v>
      </x:c>
      <x:c r="C518" s="28" t="str">
        <x:v>千锁断流铡</x:v>
      </x:c>
      <x:c r="D518" s="28" t="str">
        <x:v>地图BOSS</x:v>
      </x:c>
      <x:c r="E518" s="28" t="n">
        <x:v>1</x:v>
      </x:c>
      <x:c r="F518" s="28" t="n">
        <x:v>0</x:v>
      </x:c>
      <x:c r="G518" s="28" t="n">
        <x:v>0</x:v>
      </x:c>
      <x:c r="H518" s="28" t="n">
        <x:v>0</x:v>
      </x:c>
      <x:c r="I518" s="28" t="n">
        <x:v>240</x:v>
      </x:c>
      <x:c r="J518" s="28" t="n">
        <x:v>24000</x:v>
      </x:c>
      <x:c r="K518" s="28" t="n">
        <x:v>0</x:v>
      </x:c>
      <x:c r="L518" s="28" t="n">
        <x:v>1</x:v>
      </x:c>
      <x:c r="M518" s="28" t="n">
        <x:v>0</x:v>
      </x:c>
      <x:c r="N518" s="28" t="n">
        <x:v>0</x:v>
      </x:c>
      <x:c r="O518" s="28" t="str">
        <x:v>登记消耗1件；永久一次；不收金币/元宝/灵符</x:v>
      </x:c>
    </x:row>
    <x:row r="519" ht="30" customHeight="1">
      <x:c r="A519" s="28" t="str">
        <x:v>C10</x:v>
      </x:c>
      <x:c r="B519" s="28" t="str">
        <x:v>黄金排水道</x:v>
      </x:c>
      <x:c r="C519" s="28" t="str">
        <x:v>金垢噬骨爪</x:v>
      </x:c>
      <x:c r="D519" s="28" t="str">
        <x:v>普通</x:v>
      </x:c>
      <x:c r="E519" s="28" t="n">
        <x:v>1</x:v>
      </x:c>
      <x:c r="F519" s="28" t="n">
        <x:v>0</x:v>
      </x:c>
      <x:c r="G519" s="28" t="n">
        <x:v>0</x:v>
      </x:c>
      <x:c r="H519" s="28" t="n">
        <x:v>0</x:v>
      </x:c>
      <x:c r="I519" s="28" t="n">
        <x:v>80</x:v>
      </x:c>
      <x:c r="J519" s="28" t="n">
        <x:v>8000</x:v>
      </x:c>
      <x:c r="K519" s="28" t="n">
        <x:v>0</x:v>
      </x:c>
      <x:c r="L519" s="28" t="n">
        <x:v>0</x:v>
      </x:c>
      <x:c r="M519" s="28" t="n">
        <x:v>0</x:v>
      </x:c>
      <x:c r="N519" s="28" t="n">
        <x:v>0</x:v>
      </x:c>
      <x:c r="O519" s="28" t="str">
        <x:v>登记消耗1件；永久一次；不收金币/元宝/灵符</x:v>
      </x:c>
    </x:row>
    <x:row r="520" ht="30" customHeight="1">
      <x:c r="A520" s="28" t="str">
        <x:v>C10</x:v>
      </x:c>
      <x:c r="B520" s="28" t="str">
        <x:v>黄金排水道</x:v>
      </x:c>
      <x:c r="C520" s="28" t="str">
        <x:v>捞骨防污衣</x:v>
      </x:c>
      <x:c r="D520" s="28" t="str">
        <x:v>普通</x:v>
      </x:c>
      <x:c r="E520" s="28" t="n">
        <x:v>1</x:v>
      </x:c>
      <x:c r="F520" s="28" t="n">
        <x:v>0</x:v>
      </x:c>
      <x:c r="G520" s="28" t="n">
        <x:v>0</x:v>
      </x:c>
      <x:c r="H520" s="28" t="n">
        <x:v>0</x:v>
      </x:c>
      <x:c r="I520" s="28" t="n">
        <x:v>80</x:v>
      </x:c>
      <x:c r="J520" s="28" t="n">
        <x:v>8000</x:v>
      </x:c>
      <x:c r="K520" s="28" t="n">
        <x:v>0</x:v>
      </x:c>
      <x:c r="L520" s="28" t="n">
        <x:v>0</x:v>
      </x:c>
      <x:c r="M520" s="28" t="n">
        <x:v>0</x:v>
      </x:c>
      <x:c r="N520" s="28" t="n">
        <x:v>0</x:v>
      </x:c>
      <x:c r="O520" s="28" t="str">
        <x:v>登记消耗1件；永久一次；不收金币/元宝/灵符</x:v>
      </x:c>
    </x:row>
    <x:row r="521" ht="30" customHeight="1">
      <x:c r="A521" s="28" t="str">
        <x:v>C10</x:v>
      </x:c>
      <x:c r="B521" s="28" t="str">
        <x:v>黄金排水道</x:v>
      </x:c>
      <x:c r="C521" s="28" t="str">
        <x:v>鸣管鳞盔</x:v>
      </x:c>
      <x:c r="D521" s="28" t="str">
        <x:v>普通</x:v>
      </x:c>
      <x:c r="E521" s="28" t="n">
        <x:v>1</x:v>
      </x:c>
      <x:c r="F521" s="28" t="n">
        <x:v>0</x:v>
      </x:c>
      <x:c r="G521" s="28" t="n">
        <x:v>0</x:v>
      </x:c>
      <x:c r="H521" s="28" t="n">
        <x:v>0</x:v>
      </x:c>
      <x:c r="I521" s="28" t="n">
        <x:v>80</x:v>
      </x:c>
      <x:c r="J521" s="28" t="n">
        <x:v>8000</x:v>
      </x:c>
      <x:c r="K521" s="28" t="n">
        <x:v>0</x:v>
      </x:c>
      <x:c r="L521" s="28" t="n">
        <x:v>0</x:v>
      </x:c>
      <x:c r="M521" s="28" t="n">
        <x:v>0</x:v>
      </x:c>
      <x:c r="N521" s="28" t="n">
        <x:v>0</x:v>
      </x:c>
      <x:c r="O521" s="28" t="str">
        <x:v>登记消耗1件；永久一次；不收金币/元宝/灵符</x:v>
      </x:c>
    </x:row>
    <x:row r="522" ht="30" customHeight="1">
      <x:c r="A522" s="28" t="str">
        <x:v>C10</x:v>
      </x:c>
      <x:c r="B522" s="28" t="str">
        <x:v>黄金排水道</x:v>
      </x:c>
      <x:c r="C522" s="28" t="str">
        <x:v>锈槽踏污靴</x:v>
      </x:c>
      <x:c r="D522" s="28" t="str">
        <x:v>普通</x:v>
      </x:c>
      <x:c r="E522" s="28" t="n">
        <x:v>1</x:v>
      </x:c>
      <x:c r="F522" s="28" t="n">
        <x:v>0</x:v>
      </x:c>
      <x:c r="G522" s="28" t="n">
        <x:v>0</x:v>
      </x:c>
      <x:c r="H522" s="28" t="n">
        <x:v>0</x:v>
      </x:c>
      <x:c r="I522" s="28" t="n">
        <x:v>80</x:v>
      </x:c>
      <x:c r="J522" s="28" t="n">
        <x:v>8000</x:v>
      </x:c>
      <x:c r="K522" s="28" t="n">
        <x:v>0</x:v>
      </x:c>
      <x:c r="L522" s="28" t="n">
        <x:v>0</x:v>
      </x:c>
      <x:c r="M522" s="28" t="n">
        <x:v>0</x:v>
      </x:c>
      <x:c r="N522" s="28" t="n">
        <x:v>0</x:v>
      </x:c>
      <x:c r="O522" s="28" t="str">
        <x:v>登记消耗1件；永久一次；不收金币/元宝/灵符</x:v>
      </x:c>
    </x:row>
    <x:row r="523" ht="30" customHeight="1">
      <x:c r="A523" s="28" t="str">
        <x:v>C10</x:v>
      </x:c>
      <x:c r="B523" s="28" t="str">
        <x:v>黄金排水道</x:v>
      </x:c>
      <x:c r="C523" s="28" t="str">
        <x:v>盘阀锁流带</x:v>
      </x:c>
      <x:c r="D523" s="28" t="str">
        <x:v>普通</x:v>
      </x:c>
      <x:c r="E523" s="28" t="n">
        <x:v>1</x:v>
      </x:c>
      <x:c r="F523" s="28" t="n">
        <x:v>0</x:v>
      </x:c>
      <x:c r="G523" s="28" t="n">
        <x:v>0</x:v>
      </x:c>
      <x:c r="H523" s="28" t="n">
        <x:v>0</x:v>
      </x:c>
      <x:c r="I523" s="28" t="n">
        <x:v>80</x:v>
      </x:c>
      <x:c r="J523" s="28" t="n">
        <x:v>8000</x:v>
      </x:c>
      <x:c r="K523" s="28" t="n">
        <x:v>0</x:v>
      </x:c>
      <x:c r="L523" s="28" t="n">
        <x:v>0</x:v>
      </x:c>
      <x:c r="M523" s="28" t="n">
        <x:v>0</x:v>
      </x:c>
      <x:c r="N523" s="28" t="n">
        <x:v>0</x:v>
      </x:c>
      <x:c r="O523" s="28" t="str">
        <x:v>登记消耗1件；永久一次；不收金币/元宝/灵符</x:v>
      </x:c>
    </x:row>
    <x:row r="524" ht="30" customHeight="1">
      <x:c r="A524" s="28" t="str">
        <x:v>C10</x:v>
      </x:c>
      <x:c r="B524" s="28" t="str">
        <x:v>黄金排水道</x:v>
      </x:c>
      <x:c r="C524" s="28" t="str">
        <x:v>窥灯浊辉坠</x:v>
      </x:c>
      <x:c r="D524" s="28" t="str">
        <x:v>普通</x:v>
      </x:c>
      <x:c r="E524" s="28" t="n">
        <x:v>1</x:v>
      </x:c>
      <x:c r="F524" s="28" t="n">
        <x:v>0</x:v>
      </x:c>
      <x:c r="G524" s="28" t="n">
        <x:v>0</x:v>
      </x:c>
      <x:c r="H524" s="28" t="n">
        <x:v>0</x:v>
      </x:c>
      <x:c r="I524" s="28" t="n">
        <x:v>80</x:v>
      </x:c>
      <x:c r="J524" s="28" t="n">
        <x:v>8000</x:v>
      </x:c>
      <x:c r="K524" s="28" t="n">
        <x:v>0</x:v>
      </x:c>
      <x:c r="L524" s="28" t="n">
        <x:v>0</x:v>
      </x:c>
      <x:c r="M524" s="28" t="n">
        <x:v>0</x:v>
      </x:c>
      <x:c r="N524" s="28" t="n">
        <x:v>0</x:v>
      </x:c>
      <x:c r="O524" s="28" t="str">
        <x:v>登记消耗1件；永久一次；不收金币/元宝/灵符</x:v>
      </x:c>
    </x:row>
    <x:row r="525" ht="30" customHeight="1">
      <x:c r="A525" s="28" t="str">
        <x:v>C10</x:v>
      </x:c>
      <x:c r="B525" s="28" t="str">
        <x:v>黄金排水道</x:v>
      </x:c>
      <x:c r="C525" s="28" t="str">
        <x:v>脓潮镀金腕</x:v>
      </x:c>
      <x:c r="D525" s="28" t="str">
        <x:v>稀有</x:v>
      </x:c>
      <x:c r="E525" s="28" t="n">
        <x:v>1</x:v>
      </x:c>
      <x:c r="F525" s="28" t="n">
        <x:v>0</x:v>
      </x:c>
      <x:c r="G525" s="28" t="n">
        <x:v>0</x:v>
      </x:c>
      <x:c r="H525" s="28" t="n">
        <x:v>0</x:v>
      </x:c>
      <x:c r="I525" s="28" t="n">
        <x:v>160</x:v>
      </x:c>
      <x:c r="J525" s="28" t="n">
        <x:v>16000</x:v>
      </x:c>
      <x:c r="K525" s="28" t="n">
        <x:v>5</x:v>
      </x:c>
      <x:c r="L525" s="28" t="n">
        <x:v>0</x:v>
      </x:c>
      <x:c r="M525" s="28" t="n">
        <x:v>0</x:v>
      </x:c>
      <x:c r="N525" s="28" t="n">
        <x:v>0</x:v>
      </x:c>
      <x:c r="O525" s="28" t="str">
        <x:v>登记消耗1件；永久一次；不收金币/元宝/灵符</x:v>
      </x:c>
    </x:row>
    <x:row r="526" ht="30" customHeight="1">
      <x:c r="A526" s="28" t="str">
        <x:v>C10</x:v>
      </x:c>
      <x:c r="B526" s="28" t="str">
        <x:v>黄金排水道</x:v>
      </x:c>
      <x:c r="C526" s="28" t="str">
        <x:v>逆流剥甲盾</x:v>
      </x:c>
      <x:c r="D526" s="28" t="str">
        <x:v>稀有</x:v>
      </x:c>
      <x:c r="E526" s="28" t="n">
        <x:v>1</x:v>
      </x:c>
      <x:c r="F526" s="28" t="n">
        <x:v>0</x:v>
      </x:c>
      <x:c r="G526" s="28" t="n">
        <x:v>0</x:v>
      </x:c>
      <x:c r="H526" s="28" t="n">
        <x:v>0</x:v>
      </x:c>
      <x:c r="I526" s="28" t="n">
        <x:v>160</x:v>
      </x:c>
      <x:c r="J526" s="28" t="n">
        <x:v>16000</x:v>
      </x:c>
      <x:c r="K526" s="28" t="n">
        <x:v>5</x:v>
      </x:c>
      <x:c r="L526" s="28" t="n">
        <x:v>0</x:v>
      </x:c>
      <x:c r="M526" s="28" t="n">
        <x:v>0</x:v>
      </x:c>
      <x:c r="N526" s="28" t="n">
        <x:v>0</x:v>
      </x:c>
      <x:c r="O526" s="28" t="str">
        <x:v>登记消耗1件；永久一次；不收金币/元宝/灵符</x:v>
      </x:c>
    </x:row>
    <x:row r="527" ht="30" customHeight="1">
      <x:c r="A527" s="28" t="str">
        <x:v>C10</x:v>
      </x:c>
      <x:c r="B527" s="28" t="str">
        <x:v>黄金排水道</x:v>
      </x:c>
      <x:c r="C527" s="28" t="str">
        <x:v>七孔哀笛戒</x:v>
      </x:c>
      <x:c r="D527" s="28" t="str">
        <x:v>稀有</x:v>
      </x:c>
      <x:c r="E527" s="28" t="n">
        <x:v>1</x:v>
      </x:c>
      <x:c r="F527" s="28" t="n">
        <x:v>0</x:v>
      </x:c>
      <x:c r="G527" s="28" t="n">
        <x:v>0</x:v>
      </x:c>
      <x:c r="H527" s="28" t="n">
        <x:v>0</x:v>
      </x:c>
      <x:c r="I527" s="28" t="n">
        <x:v>160</x:v>
      </x:c>
      <x:c r="J527" s="28" t="n">
        <x:v>16000</x:v>
      </x:c>
      <x:c r="K527" s="28" t="n">
        <x:v>5</x:v>
      </x:c>
      <x:c r="L527" s="28" t="n">
        <x:v>0</x:v>
      </x:c>
      <x:c r="M527" s="28" t="n">
        <x:v>0</x:v>
      </x:c>
      <x:c r="N527" s="28" t="n">
        <x:v>0</x:v>
      </x:c>
      <x:c r="O527" s="28" t="str">
        <x:v>登记消耗1件；永久一次；不收金币/元宝/灵符</x:v>
      </x:c>
    </x:row>
    <x:row r="528" ht="30" customHeight="1">
      <x:c r="A528" s="28" t="str">
        <x:v>C10</x:v>
      </x:c>
      <x:c r="B528" s="28" t="str">
        <x:v>黄金排水道</x:v>
      </x:c>
      <x:c r="C528" s="28" t="str">
        <x:v>沸淤校阀章</x:v>
      </x:c>
      <x:c r="D528" s="28" t="str">
        <x:v>稀有</x:v>
      </x:c>
      <x:c r="E528" s="28" t="n">
        <x:v>1</x:v>
      </x:c>
      <x:c r="F528" s="28" t="n">
        <x:v>0</x:v>
      </x:c>
      <x:c r="G528" s="28" t="n">
        <x:v>0</x:v>
      </x:c>
      <x:c r="H528" s="28" t="n">
        <x:v>0</x:v>
      </x:c>
      <x:c r="I528" s="28" t="n">
        <x:v>160</x:v>
      </x:c>
      <x:c r="J528" s="28" t="n">
        <x:v>16000</x:v>
      </x:c>
      <x:c r="K528" s="28" t="n">
        <x:v>5</x:v>
      </x:c>
      <x:c r="L528" s="28" t="n">
        <x:v>0</x:v>
      </x:c>
      <x:c r="M528" s="28" t="n">
        <x:v>0</x:v>
      </x:c>
      <x:c r="N528" s="28" t="n">
        <x:v>0</x:v>
      </x:c>
      <x:c r="O528" s="28" t="str">
        <x:v>登记消耗1件；永久一次；不收金币/元宝/灵符</x:v>
      </x:c>
    </x:row>
    <x:row r="529" ht="30" customHeight="1">
      <x:c r="A529" s="28" t="str">
        <x:v>C10</x:v>
      </x:c>
      <x:c r="B529" s="28" t="str">
        <x:v>黄金排水道</x:v>
      </x:c>
      <x:c r="C529" s="28" t="str">
        <x:v>百喉闭音斗笠</x:v>
      </x:c>
      <x:c r="D529" s="28" t="str">
        <x:v>地图BOSS</x:v>
      </x:c>
      <x:c r="E529" s="28" t="n">
        <x:v>1</x:v>
      </x:c>
      <x:c r="F529" s="28" t="n">
        <x:v>0</x:v>
      </x:c>
      <x:c r="G529" s="28" t="n">
        <x:v>0</x:v>
      </x:c>
      <x:c r="H529" s="28" t="n">
        <x:v>0</x:v>
      </x:c>
      <x:c r="I529" s="28" t="n">
        <x:v>240</x:v>
      </x:c>
      <x:c r="J529" s="28" t="n">
        <x:v>24000</x:v>
      </x:c>
      <x:c r="K529" s="28" t="n">
        <x:v>0</x:v>
      </x:c>
      <x:c r="L529" s="28" t="n">
        <x:v>1</x:v>
      </x:c>
      <x:c r="M529" s="28" t="n">
        <x:v>0</x:v>
      </x:c>
      <x:c r="N529" s="28" t="n">
        <x:v>0</x:v>
      </x:c>
      <x:c r="O529" s="28" t="str">
        <x:v>登记消耗1件；永久一次；不收金币/元宝/灵符</x:v>
      </x:c>
    </x:row>
    <x:row r="530" ht="30" customHeight="1">
      <x:c r="A530" s="28" t="str">
        <x:v>C10</x:v>
      </x:c>
      <x:c r="B530" s="28" t="str">
        <x:v>黄金排水道</x:v>
      </x:c>
      <x:c r="C530" s="28" t="str">
        <x:v>鎏污司闸战袍</x:v>
      </x:c>
      <x:c r="D530" s="28" t="str">
        <x:v>地图BOSS</x:v>
      </x:c>
      <x:c r="E530" s="28" t="n">
        <x:v>1</x:v>
      </x:c>
      <x:c r="F530" s="28" t="n">
        <x:v>0</x:v>
      </x:c>
      <x:c r="G530" s="28" t="n">
        <x:v>0</x:v>
      </x:c>
      <x:c r="H530" s="28" t="n">
        <x:v>0</x:v>
      </x:c>
      <x:c r="I530" s="28" t="n">
        <x:v>240</x:v>
      </x:c>
      <x:c r="J530" s="28" t="n">
        <x:v>24000</x:v>
      </x:c>
      <x:c r="K530" s="28" t="n">
        <x:v>0</x:v>
      </x:c>
      <x:c r="L530" s="28" t="n">
        <x:v>1</x:v>
      </x:c>
      <x:c r="M530" s="28" t="n">
        <x:v>0</x:v>
      </x:c>
      <x:c r="N530" s="28" t="n">
        <x:v>0</x:v>
      </x:c>
      <x:c r="O530" s="28" t="str">
        <x:v>登记消耗1件；永久一次；不收金币/元宝/灵符</x:v>
      </x:c>
    </x:row>
    <x:row r="531" ht="30" customHeight="1">
      <x:c r="A531" s="28" t="str">
        <x:v>C10</x:v>
      </x:c>
      <x:c r="B531" s="28" t="str">
        <x:v>王城矿井</x:v>
      </x:c>
      <x:c r="C531" s="28" t="str">
        <x:v>铲痕护矿盔</x:v>
      </x:c>
      <x:c r="D531" s="28" t="str">
        <x:v>普通</x:v>
      </x:c>
      <x:c r="E531" s="28" t="n">
        <x:v>1</x:v>
      </x:c>
      <x:c r="F531" s="28" t="n">
        <x:v>0</x:v>
      </x:c>
      <x:c r="G531" s="28" t="n">
        <x:v>0</x:v>
      </x:c>
      <x:c r="H531" s="28" t="n">
        <x:v>0</x:v>
      </x:c>
      <x:c r="I531" s="28" t="n">
        <x:v>80</x:v>
      </x:c>
      <x:c r="J531" s="28" t="n">
        <x:v>8000</x:v>
      </x:c>
      <x:c r="K531" s="28" t="n">
        <x:v>0</x:v>
      </x:c>
      <x:c r="L531" s="28" t="n">
        <x:v>0</x:v>
      </x:c>
      <x:c r="M531" s="28" t="n">
        <x:v>0</x:v>
      </x:c>
      <x:c r="N531" s="28" t="n">
        <x:v>0</x:v>
      </x:c>
      <x:c r="O531" s="28" t="str">
        <x:v>登记消耗1件；永久一次；不收金币/元宝/灵符</x:v>
      </x:c>
    </x:row>
    <x:row r="532" ht="30" customHeight="1">
      <x:c r="A532" s="28" t="str">
        <x:v>C10</x:v>
      </x:c>
      <x:c r="B532" s="28" t="str">
        <x:v>王城矿井</x:v>
      </x:c>
      <x:c r="C532" s="28" t="str">
        <x:v>负灯探脉靴</x:v>
      </x:c>
      <x:c r="D532" s="28" t="str">
        <x:v>普通</x:v>
      </x:c>
      <x:c r="E532" s="28" t="n">
        <x:v>1</x:v>
      </x:c>
      <x:c r="F532" s="28" t="n">
        <x:v>0</x:v>
      </x:c>
      <x:c r="G532" s="28" t="n">
        <x:v>0</x:v>
      </x:c>
      <x:c r="H532" s="28" t="n">
        <x:v>0</x:v>
      </x:c>
      <x:c r="I532" s="28" t="n">
        <x:v>80</x:v>
      </x:c>
      <x:c r="J532" s="28" t="n">
        <x:v>8000</x:v>
      </x:c>
      <x:c r="K532" s="28" t="n">
        <x:v>0</x:v>
      </x:c>
      <x:c r="L532" s="28" t="n">
        <x:v>0</x:v>
      </x:c>
      <x:c r="M532" s="28" t="n">
        <x:v>0</x:v>
      </x:c>
      <x:c r="N532" s="28" t="n">
        <x:v>0</x:v>
      </x:c>
      <x:c r="O532" s="28" t="str">
        <x:v>登记消耗1件；永久一次；不收金币/元宝/灵符</x:v>
      </x:c>
    </x:row>
    <x:row r="533" ht="30" customHeight="1">
      <x:c r="A533" s="28" t="str">
        <x:v>C10</x:v>
      </x:c>
      <x:c r="B533" s="28" t="str">
        <x:v>王城矿井</x:v>
      </x:c>
      <x:c r="C533" s="28" t="str">
        <x:v>崩轨拖链盾</x:v>
      </x:c>
      <x:c r="D533" s="28" t="str">
        <x:v>普通</x:v>
      </x:c>
      <x:c r="E533" s="28" t="n">
        <x:v>1</x:v>
      </x:c>
      <x:c r="F533" s="28" t="n">
        <x:v>0</x:v>
      </x:c>
      <x:c r="G533" s="28" t="n">
        <x:v>0</x:v>
      </x:c>
      <x:c r="H533" s="28" t="n">
        <x:v>0</x:v>
      </x:c>
      <x:c r="I533" s="28" t="n">
        <x:v>80</x:v>
      </x:c>
      <x:c r="J533" s="28" t="n">
        <x:v>8000</x:v>
      </x:c>
      <x:c r="K533" s="28" t="n">
        <x:v>0</x:v>
      </x:c>
      <x:c r="L533" s="28" t="n">
        <x:v>0</x:v>
      </x:c>
      <x:c r="M533" s="28" t="n">
        <x:v>0</x:v>
      </x:c>
      <x:c r="N533" s="28" t="n">
        <x:v>0</x:v>
      </x:c>
      <x:c r="O533" s="28" t="str">
        <x:v>登记消耗1件；永久一次；不收金币/元宝/灵符</x:v>
      </x:c>
    </x:row>
    <x:row r="534" ht="30" customHeight="1">
      <x:c r="A534" s="28" t="str">
        <x:v>C10</x:v>
      </x:c>
      <x:c r="B534" s="28" t="str">
        <x:v>王城矿井</x:v>
      </x:c>
      <x:c r="C534" s="28" t="str">
        <x:v>冷砧铆甲衣</x:v>
      </x:c>
      <x:c r="D534" s="28" t="str">
        <x:v>普通</x:v>
      </x:c>
      <x:c r="E534" s="28" t="n">
        <x:v>1</x:v>
      </x:c>
      <x:c r="F534" s="28" t="n">
        <x:v>0</x:v>
      </x:c>
      <x:c r="G534" s="28" t="n">
        <x:v>0</x:v>
      </x:c>
      <x:c r="H534" s="28" t="n">
        <x:v>0</x:v>
      </x:c>
      <x:c r="I534" s="28" t="n">
        <x:v>80</x:v>
      </x:c>
      <x:c r="J534" s="28" t="n">
        <x:v>8000</x:v>
      </x:c>
      <x:c r="K534" s="28" t="n">
        <x:v>0</x:v>
      </x:c>
      <x:c r="L534" s="28" t="n">
        <x:v>0</x:v>
      </x:c>
      <x:c r="M534" s="28" t="n">
        <x:v>0</x:v>
      </x:c>
      <x:c r="N534" s="28" t="n">
        <x:v>0</x:v>
      </x:c>
      <x:c r="O534" s="28" t="str">
        <x:v>登记消耗1件；永久一次；不收金币/元宝/灵符</x:v>
      </x:c>
    </x:row>
    <x:row r="535" ht="30" customHeight="1">
      <x:c r="A535" s="28" t="str">
        <x:v>C10</x:v>
      </x:c>
      <x:c r="B535" s="28" t="str">
        <x:v>王城矿井</x:v>
      </x:c>
      <x:c r="C535" s="28" t="str">
        <x:v>裂晶钻颚刃</x:v>
      </x:c>
      <x:c r="D535" s="28" t="str">
        <x:v>普通</x:v>
      </x:c>
      <x:c r="E535" s="28" t="n">
        <x:v>1</x:v>
      </x:c>
      <x:c r="F535" s="28" t="n">
        <x:v>0</x:v>
      </x:c>
      <x:c r="G535" s="28" t="n">
        <x:v>0</x:v>
      </x:c>
      <x:c r="H535" s="28" t="n">
        <x:v>0</x:v>
      </x:c>
      <x:c r="I535" s="28" t="n">
        <x:v>80</x:v>
      </x:c>
      <x:c r="J535" s="28" t="n">
        <x:v>8000</x:v>
      </x:c>
      <x:c r="K535" s="28" t="n">
        <x:v>0</x:v>
      </x:c>
      <x:c r="L535" s="28" t="n">
        <x:v>0</x:v>
      </x:c>
      <x:c r="M535" s="28" t="n">
        <x:v>0</x:v>
      </x:c>
      <x:c r="N535" s="28" t="n">
        <x:v>0</x:v>
      </x:c>
      <x:c r="O535" s="28" t="str">
        <x:v>登记消耗1件；永久一次；不收金币/元宝/灵符</x:v>
      </x:c>
    </x:row>
    <x:row r="536" ht="30" customHeight="1">
      <x:c r="A536" s="28" t="str">
        <x:v>C10</x:v>
      </x:c>
      <x:c r="B536" s="28" t="str">
        <x:v>王城矿井</x:v>
      </x:c>
      <x:c r="C536" s="28" t="str">
        <x:v>听金矿纹坠</x:v>
      </x:c>
      <x:c r="D536" s="28" t="str">
        <x:v>普通</x:v>
      </x:c>
      <x:c r="E536" s="28" t="n">
        <x:v>1</x:v>
      </x:c>
      <x:c r="F536" s="28" t="n">
        <x:v>0</x:v>
      </x:c>
      <x:c r="G536" s="28" t="n">
        <x:v>0</x:v>
      </x:c>
      <x:c r="H536" s="28" t="n">
        <x:v>0</x:v>
      </x:c>
      <x:c r="I536" s="28" t="n">
        <x:v>80</x:v>
      </x:c>
      <x:c r="J536" s="28" t="n">
        <x:v>8000</x:v>
      </x:c>
      <x:c r="K536" s="28" t="n">
        <x:v>0</x:v>
      </x:c>
      <x:c r="L536" s="28" t="n">
        <x:v>0</x:v>
      </x:c>
      <x:c r="M536" s="28" t="n">
        <x:v>0</x:v>
      </x:c>
      <x:c r="N536" s="28" t="n">
        <x:v>0</x:v>
      </x:c>
      <x:c r="O536" s="28" t="str">
        <x:v>登记消耗1件；永久一次；不收金币/元宝/灵符</x:v>
      </x:c>
    </x:row>
    <x:row r="537" ht="30" customHeight="1">
      <x:c r="A537" s="28" t="str">
        <x:v>C10</x:v>
      </x:c>
      <x:c r="B537" s="28" t="str">
        <x:v>王城矿井</x:v>
      </x:c>
      <x:c r="C537" s="28" t="str">
        <x:v>鎏面监坑腰封</x:v>
      </x:c>
      <x:c r="D537" s="28" t="str">
        <x:v>稀有</x:v>
      </x:c>
      <x:c r="E537" s="28" t="n">
        <x:v>1</x:v>
      </x:c>
      <x:c r="F537" s="28" t="n">
        <x:v>0</x:v>
      </x:c>
      <x:c r="G537" s="28" t="n">
        <x:v>0</x:v>
      </x:c>
      <x:c r="H537" s="28" t="n">
        <x:v>0</x:v>
      </x:c>
      <x:c r="I537" s="28" t="n">
        <x:v>160</x:v>
      </x:c>
      <x:c r="J537" s="28" t="n">
        <x:v>16000</x:v>
      </x:c>
      <x:c r="K537" s="28" t="n">
        <x:v>5</x:v>
      </x:c>
      <x:c r="L537" s="28" t="n">
        <x:v>0</x:v>
      </x:c>
      <x:c r="M537" s="28" t="n">
        <x:v>0</x:v>
      </x:c>
      <x:c r="N537" s="28" t="n">
        <x:v>0</x:v>
      </x:c>
      <x:c r="O537" s="28" t="str">
        <x:v>登记消耗1件；永久一次；不收金币/元宝/灵符</x:v>
      </x:c>
    </x:row>
    <x:row r="538" ht="30" customHeight="1">
      <x:c r="A538" s="28" t="str">
        <x:v>C10</x:v>
      </x:c>
      <x:c r="B538" s="28" t="str">
        <x:v>王城矿井</x:v>
      </x:c>
      <x:c r="C538" s="28" t="str">
        <x:v>空炉渣火镯</x:v>
      </x:c>
      <x:c r="D538" s="28" t="str">
        <x:v>稀有</x:v>
      </x:c>
      <x:c r="E538" s="28" t="n">
        <x:v>1</x:v>
      </x:c>
      <x:c r="F538" s="28" t="n">
        <x:v>0</x:v>
      </x:c>
      <x:c r="G538" s="28" t="n">
        <x:v>0</x:v>
      </x:c>
      <x:c r="H538" s="28" t="n">
        <x:v>0</x:v>
      </x:c>
      <x:c r="I538" s="28" t="n">
        <x:v>160</x:v>
      </x:c>
      <x:c r="J538" s="28" t="n">
        <x:v>16000</x:v>
      </x:c>
      <x:c r="K538" s="28" t="n">
        <x:v>5</x:v>
      </x:c>
      <x:c r="L538" s="28" t="n">
        <x:v>0</x:v>
      </x:c>
      <x:c r="M538" s="28" t="n">
        <x:v>0</x:v>
      </x:c>
      <x:c r="N538" s="28" t="n">
        <x:v>0</x:v>
      </x:c>
      <x:c r="O538" s="28" t="str">
        <x:v>登记消耗1件；永久一次；不收金币/元宝/灵符</x:v>
      </x:c>
    </x:row>
    <x:row r="539" ht="30" customHeight="1">
      <x:c r="A539" s="28" t="str">
        <x:v>C10</x:v>
      </x:c>
      <x:c r="B539" s="28" t="str">
        <x:v>王城矿井</x:v>
      </x:c>
      <x:c r="C539" s="28" t="str">
        <x:v>黑晶凿梦戒</x:v>
      </x:c>
      <x:c r="D539" s="28" t="str">
        <x:v>稀有</x:v>
      </x:c>
      <x:c r="E539" s="28" t="n">
        <x:v>1</x:v>
      </x:c>
      <x:c r="F539" s="28" t="n">
        <x:v>0</x:v>
      </x:c>
      <x:c r="G539" s="28" t="n">
        <x:v>0</x:v>
      </x:c>
      <x:c r="H539" s="28" t="n">
        <x:v>0</x:v>
      </x:c>
      <x:c r="I539" s="28" t="n">
        <x:v>160</x:v>
      </x:c>
      <x:c r="J539" s="28" t="n">
        <x:v>16000</x:v>
      </x:c>
      <x:c r="K539" s="28" t="n">
        <x:v>5</x:v>
      </x:c>
      <x:c r="L539" s="28" t="n">
        <x:v>0</x:v>
      </x:c>
      <x:c r="M539" s="28" t="n">
        <x:v>0</x:v>
      </x:c>
      <x:c r="N539" s="28" t="n">
        <x:v>0</x:v>
      </x:c>
      <x:c r="O539" s="28" t="str">
        <x:v>登记消耗1件；永久一次；不收金币/元宝/灵符</x:v>
      </x:c>
    </x:row>
    <x:row r="540" ht="30" customHeight="1">
      <x:c r="A540" s="28" t="str">
        <x:v>C10</x:v>
      </x:c>
      <x:c r="B540" s="28" t="str">
        <x:v>王城矿井</x:v>
      </x:c>
      <x:c r="C540" s="28" t="str">
        <x:v>封勘金衡章</x:v>
      </x:c>
      <x:c r="D540" s="28" t="str">
        <x:v>稀有</x:v>
      </x:c>
      <x:c r="E540" s="28" t="n">
        <x:v>1</x:v>
      </x:c>
      <x:c r="F540" s="28" t="n">
        <x:v>0</x:v>
      </x:c>
      <x:c r="G540" s="28" t="n">
        <x:v>0</x:v>
      </x:c>
      <x:c r="H540" s="28" t="n">
        <x:v>0</x:v>
      </x:c>
      <x:c r="I540" s="28" t="n">
        <x:v>160</x:v>
      </x:c>
      <x:c r="J540" s="28" t="n">
        <x:v>16000</x:v>
      </x:c>
      <x:c r="K540" s="28" t="n">
        <x:v>5</x:v>
      </x:c>
      <x:c r="L540" s="28" t="n">
        <x:v>0</x:v>
      </x:c>
      <x:c r="M540" s="28" t="n">
        <x:v>0</x:v>
      </x:c>
      <x:c r="N540" s="28" t="n">
        <x:v>0</x:v>
      </x:c>
      <x:c r="O540" s="28" t="str">
        <x:v>登记消耗1件；永久一次；不收金币/元宝/灵符</x:v>
      </x:c>
    </x:row>
    <x:row r="541" ht="30" customHeight="1">
      <x:c r="A541" s="28" t="str">
        <x:v>C10</x:v>
      </x:c>
      <x:c r="B541" s="28" t="str">
        <x:v>王城矿井</x:v>
      </x:c>
      <x:c r="C541" s="28" t="str">
        <x:v>深井百臂灯笠</x:v>
      </x:c>
      <x:c r="D541" s="28" t="str">
        <x:v>地图BOSS</x:v>
      </x:c>
      <x:c r="E541" s="28" t="n">
        <x:v>1</x:v>
      </x:c>
      <x:c r="F541" s="28" t="n">
        <x:v>0</x:v>
      </x:c>
      <x:c r="G541" s="28" t="n">
        <x:v>0</x:v>
      </x:c>
      <x:c r="H541" s="28" t="n">
        <x:v>0</x:v>
      </x:c>
      <x:c r="I541" s="28" t="n">
        <x:v>240</x:v>
      </x:c>
      <x:c r="J541" s="28" t="n">
        <x:v>24000</x:v>
      </x:c>
      <x:c r="K541" s="28" t="n">
        <x:v>0</x:v>
      </x:c>
      <x:c r="L541" s="28" t="n">
        <x:v>1</x:v>
      </x:c>
      <x:c r="M541" s="28" t="n">
        <x:v>0</x:v>
      </x:c>
      <x:c r="N541" s="28" t="n">
        <x:v>0</x:v>
      </x:c>
      <x:c r="O541" s="28" t="str">
        <x:v>登记消耗1件；永久一次；不收金币/元宝/灵符</x:v>
      </x:c>
    </x:row>
    <x:row r="542" ht="30" customHeight="1">
      <x:c r="A542" s="28" t="str">
        <x:v>C10</x:v>
      </x:c>
      <x:c r="B542" s="28" t="str">
        <x:v>王城矿井</x:v>
      </x:c>
      <x:c r="C542" s="28" t="str">
        <x:v>熔冠镇脉巨锤</x:v>
      </x:c>
      <x:c r="D542" s="28" t="str">
        <x:v>地图BOSS</x:v>
      </x:c>
      <x:c r="E542" s="28" t="n">
        <x:v>1</x:v>
      </x:c>
      <x:c r="F542" s="28" t="n">
        <x:v>0</x:v>
      </x:c>
      <x:c r="G542" s="28" t="n">
        <x:v>0</x:v>
      </x:c>
      <x:c r="H542" s="28" t="n">
        <x:v>0</x:v>
      </x:c>
      <x:c r="I542" s="28" t="n">
        <x:v>240</x:v>
      </x:c>
      <x:c r="J542" s="28" t="n">
        <x:v>24000</x:v>
      </x:c>
      <x:c r="K542" s="28" t="n">
        <x:v>0</x:v>
      </x:c>
      <x:c r="L542" s="28" t="n">
        <x:v>1</x:v>
      </x:c>
      <x:c r="M542" s="28" t="n">
        <x:v>0</x:v>
      </x:c>
      <x:c r="N542" s="28" t="n">
        <x:v>0</x:v>
      </x:c>
      <x:c r="O542" s="28" t="str">
        <x:v>登记消耗1件；永久一次；不收金币/元宝/灵符</x:v>
      </x:c>
    </x:row>
    <x:row r="543" ht="30" customHeight="1">
      <x:c r="A543" s="28" t="str">
        <x:v>C10</x:v>
      </x:c>
      <x:c r="B543" s="28" t="str">
        <x:v>王城地穴</x:v>
      </x:c>
      <x:c r="C543" s="28" t="str">
        <x:v>刮蜡墓烛匕</x:v>
      </x:c>
      <x:c r="D543" s="28" t="str">
        <x:v>普通</x:v>
      </x:c>
      <x:c r="E543" s="28" t="n">
        <x:v>1</x:v>
      </x:c>
      <x:c r="F543" s="28" t="n">
        <x:v>0</x:v>
      </x:c>
      <x:c r="G543" s="28" t="n">
        <x:v>0</x:v>
      </x:c>
      <x:c r="H543" s="28" t="n">
        <x:v>0</x:v>
      </x:c>
      <x:c r="I543" s="28" t="n">
        <x:v>80</x:v>
      </x:c>
      <x:c r="J543" s="28" t="n">
        <x:v>8000</x:v>
      </x:c>
      <x:c r="K543" s="28" t="n">
        <x:v>0</x:v>
      </x:c>
      <x:c r="L543" s="28" t="n">
        <x:v>0</x:v>
      </x:c>
      <x:c r="M543" s="28" t="n">
        <x:v>0</x:v>
      </x:c>
      <x:c r="N543" s="28" t="n">
        <x:v>0</x:v>
      </x:c>
      <x:c r="O543" s="28" t="str">
        <x:v>登记消耗1件；永久一次；不收金币/元宝/灵符</x:v>
      </x:c>
    </x:row>
    <x:row r="544" ht="30" customHeight="1">
      <x:c r="A544" s="28" t="str">
        <x:v>C10</x:v>
      </x:c>
      <x:c r="B544" s="28" t="str">
        <x:v>王城地穴</x:v>
      </x:c>
      <x:c r="C544" s="28" t="str">
        <x:v>眠碑缝尸衣</x:v>
      </x:c>
      <x:c r="D544" s="28" t="str">
        <x:v>普通</x:v>
      </x:c>
      <x:c r="E544" s="28" t="n">
        <x:v>1</x:v>
      </x:c>
      <x:c r="F544" s="28" t="n">
        <x:v>0</x:v>
      </x:c>
      <x:c r="G544" s="28" t="n">
        <x:v>0</x:v>
      </x:c>
      <x:c r="H544" s="28" t="n">
        <x:v>0</x:v>
      </x:c>
      <x:c r="I544" s="28" t="n">
        <x:v>80</x:v>
      </x:c>
      <x:c r="J544" s="28" t="n">
        <x:v>8000</x:v>
      </x:c>
      <x:c r="K544" s="28" t="n">
        <x:v>0</x:v>
      </x:c>
      <x:c r="L544" s="28" t="n">
        <x:v>0</x:v>
      </x:c>
      <x:c r="M544" s="28" t="n">
        <x:v>0</x:v>
      </x:c>
      <x:c r="N544" s="28" t="n">
        <x:v>0</x:v>
      </x:c>
      <x:c r="O544" s="28" t="str">
        <x:v>登记消耗1件；永久一次；不收金币/元宝/灵符</x:v>
      </x:c>
    </x:row>
    <x:row r="545" ht="30" customHeight="1">
      <x:c r="A545" s="28" t="str">
        <x:v>C10</x:v>
      </x:c>
      <x:c r="B545" s="28" t="str">
        <x:v>王城地穴</x:v>
      </x:c>
      <x:c r="C545" s="28" t="str">
        <x:v>执幡骨纹盔</x:v>
      </x:c>
      <x:c r="D545" s="28" t="str">
        <x:v>普通</x:v>
      </x:c>
      <x:c r="E545" s="28" t="n">
        <x:v>1</x:v>
      </x:c>
      <x:c r="F545" s="28" t="n">
        <x:v>0</x:v>
      </x:c>
      <x:c r="G545" s="28" t="n">
        <x:v>0</x:v>
      </x:c>
      <x:c r="H545" s="28" t="n">
        <x:v>0</x:v>
      </x:c>
      <x:c r="I545" s="28" t="n">
        <x:v>80</x:v>
      </x:c>
      <x:c r="J545" s="28" t="n">
        <x:v>8000</x:v>
      </x:c>
      <x:c r="K545" s="28" t="n">
        <x:v>0</x:v>
      </x:c>
      <x:c r="L545" s="28" t="n">
        <x:v>0</x:v>
      </x:c>
      <x:c r="M545" s="28" t="n">
        <x:v>0</x:v>
      </x:c>
      <x:c r="N545" s="28" t="n">
        <x:v>0</x:v>
      </x:c>
      <x:c r="O545" s="28" t="str">
        <x:v>登记消耗1件；永久一次；不收金币/元宝/灵符</x:v>
      </x:c>
    </x:row>
    <x:row r="546" ht="30" customHeight="1">
      <x:c r="A546" s="28" t="str">
        <x:v>C10</x:v>
      </x:c>
      <x:c r="B546" s="28" t="str">
        <x:v>王城地穴</x:v>
      </x:c>
      <x:c r="C546" s="28" t="str">
        <x:v>噤歌幽绡坠</x:v>
      </x:c>
      <x:c r="D546" s="28" t="str">
        <x:v>普通</x:v>
      </x:c>
      <x:c r="E546" s="28" t="n">
        <x:v>1</x:v>
      </x:c>
      <x:c r="F546" s="28" t="n">
        <x:v>0</x:v>
      </x:c>
      <x:c r="G546" s="28" t="n">
        <x:v>0</x:v>
      </x:c>
      <x:c r="H546" s="28" t="n">
        <x:v>0</x:v>
      </x:c>
      <x:c r="I546" s="28" t="n">
        <x:v>80</x:v>
      </x:c>
      <x:c r="J546" s="28" t="n">
        <x:v>8000</x:v>
      </x:c>
      <x:c r="K546" s="28" t="n">
        <x:v>0</x:v>
      </x:c>
      <x:c r="L546" s="28" t="n">
        <x:v>0</x:v>
      </x:c>
      <x:c r="M546" s="28" t="n">
        <x:v>0</x:v>
      </x:c>
      <x:c r="N546" s="28" t="n">
        <x:v>0</x:v>
      </x:c>
      <x:c r="O546" s="28" t="str">
        <x:v>登记消耗1件；永久一次；不收金币/元宝/灵符</x:v>
      </x:c>
    </x:row>
    <x:row r="547" ht="30" customHeight="1">
      <x:c r="A547" s="28" t="str">
        <x:v>C10</x:v>
      </x:c>
      <x:c r="B547" s="28" t="str">
        <x:v>王城地穴</x:v>
      </x:c>
      <x:c r="C547" s="28" t="str">
        <x:v>抱瓮缚灵镯</x:v>
      </x:c>
      <x:c r="D547" s="28" t="str">
        <x:v>普通</x:v>
      </x:c>
      <x:c r="E547" s="28" t="n">
        <x:v>1</x:v>
      </x:c>
      <x:c r="F547" s="28" t="n">
        <x:v>0</x:v>
      </x:c>
      <x:c r="G547" s="28" t="n">
        <x:v>0</x:v>
      </x:c>
      <x:c r="H547" s="28" t="n">
        <x:v>0</x:v>
      </x:c>
      <x:c r="I547" s="28" t="n">
        <x:v>80</x:v>
      </x:c>
      <x:c r="J547" s="28" t="n">
        <x:v>8000</x:v>
      </x:c>
      <x:c r="K547" s="28" t="n">
        <x:v>0</x:v>
      </x:c>
      <x:c r="L547" s="28" t="n">
        <x:v>0</x:v>
      </x:c>
      <x:c r="M547" s="28" t="n">
        <x:v>0</x:v>
      </x:c>
      <x:c r="N547" s="28" t="n">
        <x:v>0</x:v>
      </x:c>
      <x:c r="O547" s="28" t="str">
        <x:v>登记消耗1件；永久一次；不收金币/元宝/灵符</x:v>
      </x:c>
    </x:row>
    <x:row r="548" ht="30" customHeight="1">
      <x:c r="A548" s="28" t="str">
        <x:v>C10</x:v>
      </x:c>
      <x:c r="B548" s="28" t="str">
        <x:v>王城地穴</x:v>
      </x:c>
      <x:c r="C548" s="28" t="str">
        <x:v>枕陵掘痕靴</x:v>
      </x:c>
      <x:c r="D548" s="28" t="str">
        <x:v>普通</x:v>
      </x:c>
      <x:c r="E548" s="28" t="n">
        <x:v>1</x:v>
      </x:c>
      <x:c r="F548" s="28" t="n">
        <x:v>0</x:v>
      </x:c>
      <x:c r="G548" s="28" t="n">
        <x:v>0</x:v>
      </x:c>
      <x:c r="H548" s="28" t="n">
        <x:v>0</x:v>
      </x:c>
      <x:c r="I548" s="28" t="n">
        <x:v>80</x:v>
      </x:c>
      <x:c r="J548" s="28" t="n">
        <x:v>8000</x:v>
      </x:c>
      <x:c r="K548" s="28" t="n">
        <x:v>0</x:v>
      </x:c>
      <x:c r="L548" s="28" t="n">
        <x:v>0</x:v>
      </x:c>
      <x:c r="M548" s="28" t="n">
        <x:v>0</x:v>
      </x:c>
      <x:c r="N548" s="28" t="n">
        <x:v>0</x:v>
      </x:c>
      <x:c r="O548" s="28" t="str">
        <x:v>登记消耗1件；永久一次；不收金币/元宝/灵符</x:v>
      </x:c>
    </x:row>
    <x:row r="549" ht="30" customHeight="1">
      <x:c r="A549" s="28" t="str">
        <x:v>C10</x:v>
      </x:c>
      <x:c r="B549" s="28" t="str">
        <x:v>王城地穴</x:v>
      </x:c>
      <x:c r="C549" s="28" t="str">
        <x:v>无烛哀誓戒</x:v>
      </x:c>
      <x:c r="D549" s="28" t="str">
        <x:v>稀有</x:v>
      </x:c>
      <x:c r="E549" s="28" t="n">
        <x:v>1</x:v>
      </x:c>
      <x:c r="F549" s="28" t="n">
        <x:v>0</x:v>
      </x:c>
      <x:c r="G549" s="28" t="n">
        <x:v>0</x:v>
      </x:c>
      <x:c r="H549" s="28" t="n">
        <x:v>0</x:v>
      </x:c>
      <x:c r="I549" s="28" t="n">
        <x:v>160</x:v>
      </x:c>
      <x:c r="J549" s="28" t="n">
        <x:v>16000</x:v>
      </x:c>
      <x:c r="K549" s="28" t="n">
        <x:v>5</x:v>
      </x:c>
      <x:c r="L549" s="28" t="n">
        <x:v>0</x:v>
      </x:c>
      <x:c r="M549" s="28" t="n">
        <x:v>0</x:v>
      </x:c>
      <x:c r="N549" s="28" t="n">
        <x:v>0</x:v>
      </x:c>
      <x:c r="O549" s="28" t="str">
        <x:v>登记消耗1件；永久一次；不收金币/元宝/灵符</x:v>
      </x:c>
    </x:row>
    <x:row r="550" ht="30" customHeight="1">
      <x:c r="A550" s="28" t="str">
        <x:v>C10</x:v>
      </x:c>
      <x:c r="B550" s="28" t="str">
        <x:v>王城地穴</x:v>
      </x:c>
      <x:c r="C550" s="28" t="str">
        <x:v>断碑驮棺带</x:v>
      </x:c>
      <x:c r="D550" s="28" t="str">
        <x:v>稀有</x:v>
      </x:c>
      <x:c r="E550" s="28" t="n">
        <x:v>1</x:v>
      </x:c>
      <x:c r="F550" s="28" t="n">
        <x:v>0</x:v>
      </x:c>
      <x:c r="G550" s="28" t="n">
        <x:v>0</x:v>
      </x:c>
      <x:c r="H550" s="28" t="n">
        <x:v>0</x:v>
      </x:c>
      <x:c r="I550" s="28" t="n">
        <x:v>160</x:v>
      </x:c>
      <x:c r="J550" s="28" t="n">
        <x:v>16000</x:v>
      </x:c>
      <x:c r="K550" s="28" t="n">
        <x:v>5</x:v>
      </x:c>
      <x:c r="L550" s="28" t="n">
        <x:v>0</x:v>
      </x:c>
      <x:c r="M550" s="28" t="n">
        <x:v>0</x:v>
      </x:c>
      <x:c r="N550" s="28" t="n">
        <x:v>0</x:v>
      </x:c>
      <x:c r="O550" s="28" t="str">
        <x:v>登记消耗1件；永久一次；不收金币/元宝/灵符</x:v>
      </x:c>
    </x:row>
    <x:row r="551" ht="30" customHeight="1">
      <x:c r="A551" s="28" t="str">
        <x:v>C10</x:v>
      </x:c>
      <x:c r="B551" s="28" t="str">
        <x:v>王城地穴</x:v>
      </x:c>
      <x:c r="C551" s="28" t="str">
        <x:v>秤罪墓律章</x:v>
      </x:c>
      <x:c r="D551" s="28" t="str">
        <x:v>稀有</x:v>
      </x:c>
      <x:c r="E551" s="28" t="n">
        <x:v>1</x:v>
      </x:c>
      <x:c r="F551" s="28" t="n">
        <x:v>0</x:v>
      </x:c>
      <x:c r="G551" s="28" t="n">
        <x:v>0</x:v>
      </x:c>
      <x:c r="H551" s="28" t="n">
        <x:v>0</x:v>
      </x:c>
      <x:c r="I551" s="28" t="n">
        <x:v>160</x:v>
      </x:c>
      <x:c r="J551" s="28" t="n">
        <x:v>16000</x:v>
      </x:c>
      <x:c r="K551" s="28" t="n">
        <x:v>5</x:v>
      </x:c>
      <x:c r="L551" s="28" t="n">
        <x:v>0</x:v>
      </x:c>
      <x:c r="M551" s="28" t="n">
        <x:v>0</x:v>
      </x:c>
      <x:c r="N551" s="28" t="n">
        <x:v>0</x:v>
      </x:c>
      <x:c r="O551" s="28" t="str">
        <x:v>登记消耗1件；永久一次；不收金币/元宝/灵符</x:v>
      </x:c>
    </x:row>
    <x:row r="552" ht="30" customHeight="1">
      <x:c r="A552" s="28" t="str">
        <x:v>C10</x:v>
      </x:c>
      <x:c r="B552" s="28" t="str">
        <x:v>王城地穴</x:v>
      </x:c>
      <x:c r="C552" s="28" t="str">
        <x:v>返魂寝门盾</x:v>
      </x:c>
      <x:c r="D552" s="28" t="str">
        <x:v>稀有</x:v>
      </x:c>
      <x:c r="E552" s="28" t="n">
        <x:v>1</x:v>
      </x:c>
      <x:c r="F552" s="28" t="n">
        <x:v>0</x:v>
      </x:c>
      <x:c r="G552" s="28" t="n">
        <x:v>0</x:v>
      </x:c>
      <x:c r="H552" s="28" t="n">
        <x:v>0</x:v>
      </x:c>
      <x:c r="I552" s="28" t="n">
        <x:v>160</x:v>
      </x:c>
      <x:c r="J552" s="28" t="n">
        <x:v>16000</x:v>
      </x:c>
      <x:c r="K552" s="28" t="n">
        <x:v>5</x:v>
      </x:c>
      <x:c r="L552" s="28" t="n">
        <x:v>0</x:v>
      </x:c>
      <x:c r="M552" s="28" t="n">
        <x:v>0</x:v>
      </x:c>
      <x:c r="N552" s="28" t="n">
        <x:v>0</x:v>
      </x:c>
      <x:c r="O552" s="28" t="str">
        <x:v>登记消耗1件；永久一次；不收金币/元宝/灵符</x:v>
      </x:c>
    </x:row>
    <x:row r="553" ht="30" customHeight="1">
      <x:c r="A553" s="28" t="str">
        <x:v>C10</x:v>
      </x:c>
      <x:c r="B553" s="28" t="str">
        <x:v>王城地穴</x:v>
      </x:c>
      <x:c r="C553" s="28" t="str">
        <x:v>不葬王妃冥笠</x:v>
      </x:c>
      <x:c r="D553" s="28" t="str">
        <x:v>地图BOSS</x:v>
      </x:c>
      <x:c r="E553" s="28" t="n">
        <x:v>1</x:v>
      </x:c>
      <x:c r="F553" s="28" t="n">
        <x:v>0</x:v>
      </x:c>
      <x:c r="G553" s="28" t="n">
        <x:v>0</x:v>
      </x:c>
      <x:c r="H553" s="28" t="n">
        <x:v>0</x:v>
      </x:c>
      <x:c r="I553" s="28" t="n">
        <x:v>240</x:v>
      </x:c>
      <x:c r="J553" s="28" t="n">
        <x:v>24000</x:v>
      </x:c>
      <x:c r="K553" s="28" t="n">
        <x:v>0</x:v>
      </x:c>
      <x:c r="L553" s="28" t="n">
        <x:v>1</x:v>
      </x:c>
      <x:c r="M553" s="28" t="n">
        <x:v>0</x:v>
      </x:c>
      <x:c r="N553" s="28" t="n">
        <x:v>0</x:v>
      </x:c>
      <x:c r="O553" s="28" t="str">
        <x:v>登记消耗1件；永久一次；不收金币/元宝/灵符</x:v>
      </x:c>
    </x:row>
    <x:row r="554" ht="30" customHeight="1">
      <x:c r="A554" s="28" t="str">
        <x:v>C10</x:v>
      </x:c>
      <x:c r="B554" s="28" t="str">
        <x:v>王城地穴</x:v>
      </x:c>
      <x:c r="C554" s="28" t="str">
        <x:v>吞碑枯寝大氅</x:v>
      </x:c>
      <x:c r="D554" s="28" t="str">
        <x:v>地图BOSS</x:v>
      </x:c>
      <x:c r="E554" s="28" t="n">
        <x:v>1</x:v>
      </x:c>
      <x:c r="F554" s="28" t="n">
        <x:v>0</x:v>
      </x:c>
      <x:c r="G554" s="28" t="n">
        <x:v>0</x:v>
      </x:c>
      <x:c r="H554" s="28" t="n">
        <x:v>0</x:v>
      </x:c>
      <x:c r="I554" s="28" t="n">
        <x:v>240</x:v>
      </x:c>
      <x:c r="J554" s="28" t="n">
        <x:v>24000</x:v>
      </x:c>
      <x:c r="K554" s="28" t="n">
        <x:v>0</x:v>
      </x:c>
      <x:c r="L554" s="28" t="n">
        <x:v>1</x:v>
      </x:c>
      <x:c r="M554" s="28" t="n">
        <x:v>0</x:v>
      </x:c>
      <x:c r="N554" s="28" t="n">
        <x:v>0</x:v>
      </x:c>
      <x:c r="O554" s="28" t="str">
        <x:v>登记消耗1件；永久一次；不收金币/元宝/灵符</x:v>
      </x:c>
    </x:row>
    <x:row r="555" ht="30" customHeight="1">
      <x:c r="A555" s="28" t="str">
        <x:v>C10</x:v>
      </x:c>
      <x:c r="B555" s="28" t="str">
        <x:v>黄金王宫</x:v>
      </x:c>
      <x:c r="C555" s="28" t="str">
        <x:v>扫阶日轮刃</x:v>
      </x:c>
      <x:c r="D555" s="28" t="str">
        <x:v>普通</x:v>
      </x:c>
      <x:c r="E555" s="28" t="n">
        <x:v>1</x:v>
      </x:c>
      <x:c r="F555" s="28" t="n">
        <x:v>0</x:v>
      </x:c>
      <x:c r="G555" s="28" t="n">
        <x:v>0</x:v>
      </x:c>
      <x:c r="H555" s="28" t="n">
        <x:v>0</x:v>
      </x:c>
      <x:c r="I555" s="28" t="n">
        <x:v>80</x:v>
      </x:c>
      <x:c r="J555" s="28" t="n">
        <x:v>8000</x:v>
      </x:c>
      <x:c r="K555" s="28" t="n">
        <x:v>0</x:v>
      </x:c>
      <x:c r="L555" s="28" t="n">
        <x:v>0</x:v>
      </x:c>
      <x:c r="M555" s="28" t="n">
        <x:v>0</x:v>
      </x:c>
      <x:c r="N555" s="28" t="n">
        <x:v>0</x:v>
      </x:c>
      <x:c r="O555" s="28" t="str">
        <x:v>登记消耗1件；永久一次；不收金币/元宝/灵符</x:v>
      </x:c>
    </x:row>
    <x:row r="556" ht="30" customHeight="1">
      <x:c r="A556" s="28" t="str">
        <x:v>C10</x:v>
      </x:c>
      <x:c r="B556" s="28" t="str">
        <x:v>黄金王宫</x:v>
      </x:c>
      <x:c r="C556" s="28" t="str">
        <x:v>金桂驯狮腕</x:v>
      </x:c>
      <x:c r="D556" s="28" t="str">
        <x:v>普通</x:v>
      </x:c>
      <x:c r="E556" s="28" t="n">
        <x:v>1</x:v>
      </x:c>
      <x:c r="F556" s="28" t="n">
        <x:v>0</x:v>
      </x:c>
      <x:c r="G556" s="28" t="n">
        <x:v>0</x:v>
      </x:c>
      <x:c r="H556" s="28" t="n">
        <x:v>0</x:v>
      </x:c>
      <x:c r="I556" s="28" t="n">
        <x:v>80</x:v>
      </x:c>
      <x:c r="J556" s="28" t="n">
        <x:v>8000</x:v>
      </x:c>
      <x:c r="K556" s="28" t="n">
        <x:v>0</x:v>
      </x:c>
      <x:c r="L556" s="28" t="n">
        <x:v>0</x:v>
      </x:c>
      <x:c r="M556" s="28" t="n">
        <x:v>0</x:v>
      </x:c>
      <x:c r="N556" s="28" t="n">
        <x:v>0</x:v>
      </x:c>
      <x:c r="O556" s="28" t="str">
        <x:v>登记消耗1件；永久一次；不收金币/元宝/灵符</x:v>
      </x:c>
    </x:row>
    <x:row r="557" ht="30" customHeight="1">
      <x:c r="A557" s="28" t="str">
        <x:v>C10</x:v>
      </x:c>
      <x:c r="B557" s="28" t="str">
        <x:v>黄金王宫</x:v>
      </x:c>
      <x:c r="C557" s="28" t="str">
        <x:v>垂纱持香衣</x:v>
      </x:c>
      <x:c r="D557" s="28" t="str">
        <x:v>普通</x:v>
      </x:c>
      <x:c r="E557" s="28" t="n">
        <x:v>1</x:v>
      </x:c>
      <x:c r="F557" s="28" t="n">
        <x:v>0</x:v>
      </x:c>
      <x:c r="G557" s="28" t="n">
        <x:v>0</x:v>
      </x:c>
      <x:c r="H557" s="28" t="n">
        <x:v>0</x:v>
      </x:c>
      <x:c r="I557" s="28" t="n">
        <x:v>80</x:v>
      </x:c>
      <x:c r="J557" s="28" t="n">
        <x:v>8000</x:v>
      </x:c>
      <x:c r="K557" s="28" t="n">
        <x:v>0</x:v>
      </x:c>
      <x:c r="L557" s="28" t="n">
        <x:v>0</x:v>
      </x:c>
      <x:c r="M557" s="28" t="n">
        <x:v>0</x:v>
      </x:c>
      <x:c r="N557" s="28" t="n">
        <x:v>0</x:v>
      </x:c>
      <x:c r="O557" s="28" t="str">
        <x:v>登记消耗1件；永久一次；不收金币/元宝/灵符</x:v>
      </x:c>
    </x:row>
    <x:row r="558" ht="30" customHeight="1">
      <x:c r="A558" s="28" t="str">
        <x:v>C10</x:v>
      </x:c>
      <x:c r="B558" s="28" t="str">
        <x:v>黄金王宫</x:v>
      </x:c>
      <x:c r="C558" s="28" t="str">
        <x:v>律烛诵壁冠</x:v>
      </x:c>
      <x:c r="D558" s="28" t="str">
        <x:v>普通</x:v>
      </x:c>
      <x:c r="E558" s="28" t="n">
        <x:v>1</x:v>
      </x:c>
      <x:c r="F558" s="28" t="n">
        <x:v>0</x:v>
      </x:c>
      <x:c r="G558" s="28" t="n">
        <x:v>0</x:v>
      </x:c>
      <x:c r="H558" s="28" t="n">
        <x:v>0</x:v>
      </x:c>
      <x:c r="I558" s="28" t="n">
        <x:v>80</x:v>
      </x:c>
      <x:c r="J558" s="28" t="n">
        <x:v>8000</x:v>
      </x:c>
      <x:c r="K558" s="28" t="n">
        <x:v>0</x:v>
      </x:c>
      <x:c r="L558" s="28" t="n">
        <x:v>0</x:v>
      </x:c>
      <x:c r="M558" s="28" t="n">
        <x:v>0</x:v>
      </x:c>
      <x:c r="N558" s="28" t="n">
        <x:v>0</x:v>
      </x:c>
      <x:c r="O558" s="28" t="str">
        <x:v>登记消耗1件；永久一次；不收金币/元宝/灵符</x:v>
      </x:c>
    </x:row>
    <x:row r="559" ht="30" customHeight="1">
      <x:c r="A559" s="28" t="str">
        <x:v>C10</x:v>
      </x:c>
      <x:c r="B559" s="28" t="str">
        <x:v>黄金王宫</x:v>
      </x:c>
      <x:c r="C559" s="28" t="str">
        <x:v>捧剑护座盾</x:v>
      </x:c>
      <x:c r="D559" s="28" t="str">
        <x:v>普通</x:v>
      </x:c>
      <x:c r="E559" s="28" t="n">
        <x:v>1</x:v>
      </x:c>
      <x:c r="F559" s="28" t="n">
        <x:v>0</x:v>
      </x:c>
      <x:c r="G559" s="28" t="n">
        <x:v>0</x:v>
      </x:c>
      <x:c r="H559" s="28" t="n">
        <x:v>0</x:v>
      </x:c>
      <x:c r="I559" s="28" t="n">
        <x:v>80</x:v>
      </x:c>
      <x:c r="J559" s="28" t="n">
        <x:v>8000</x:v>
      </x:c>
      <x:c r="K559" s="28" t="n">
        <x:v>0</x:v>
      </x:c>
      <x:c r="L559" s="28" t="n">
        <x:v>0</x:v>
      </x:c>
      <x:c r="M559" s="28" t="n">
        <x:v>0</x:v>
      </x:c>
      <x:c r="N559" s="28" t="n">
        <x:v>0</x:v>
      </x:c>
      <x:c r="O559" s="28" t="str">
        <x:v>登记消耗1件；永久一次；不收金币/元宝/灵符</x:v>
      </x:c>
    </x:row>
    <x:row r="560" ht="30" customHeight="1">
      <x:c r="A560" s="28" t="str">
        <x:v>C10</x:v>
      </x:c>
      <x:c r="B560" s="28" t="str">
        <x:v>黄金王宫</x:v>
      </x:c>
      <x:c r="C560" s="28" t="str">
        <x:v>拾辉登阶靴</x:v>
      </x:c>
      <x:c r="D560" s="28" t="str">
        <x:v>普通</x:v>
      </x:c>
      <x:c r="E560" s="28" t="n">
        <x:v>1</x:v>
      </x:c>
      <x:c r="F560" s="28" t="n">
        <x:v>0</x:v>
      </x:c>
      <x:c r="G560" s="28" t="n">
        <x:v>0</x:v>
      </x:c>
      <x:c r="H560" s="28" t="n">
        <x:v>0</x:v>
      </x:c>
      <x:c r="I560" s="28" t="n">
        <x:v>80</x:v>
      </x:c>
      <x:c r="J560" s="28" t="n">
        <x:v>8000</x:v>
      </x:c>
      <x:c r="K560" s="28" t="n">
        <x:v>0</x:v>
      </x:c>
      <x:c r="L560" s="28" t="n">
        <x:v>0</x:v>
      </x:c>
      <x:c r="M560" s="28" t="n">
        <x:v>0</x:v>
      </x:c>
      <x:c r="N560" s="28" t="n">
        <x:v>0</x:v>
      </x:c>
      <x:c r="O560" s="28" t="str">
        <x:v>登记消耗1件；永久一次；不收金币/元宝/灵符</x:v>
      </x:c>
    </x:row>
    <x:row r="561" ht="30" customHeight="1">
      <x:c r="A561" s="28" t="str">
        <x:v>C10</x:v>
      </x:c>
      <x:c r="B561" s="28" t="str">
        <x:v>黄金王宫</x:v>
      </x:c>
      <x:c r="C561" s="28" t="str">
        <x:v>熔桂狮鬃坠</x:v>
      </x:c>
      <x:c r="D561" s="28" t="str">
        <x:v>稀有</x:v>
      </x:c>
      <x:c r="E561" s="28" t="n">
        <x:v>1</x:v>
      </x:c>
      <x:c r="F561" s="28" t="n">
        <x:v>0</x:v>
      </x:c>
      <x:c r="G561" s="28" t="n">
        <x:v>0</x:v>
      </x:c>
      <x:c r="H561" s="28" t="n">
        <x:v>0</x:v>
      </x:c>
      <x:c r="I561" s="28" t="n">
        <x:v>160</x:v>
      </x:c>
      <x:c r="J561" s="28" t="n">
        <x:v>16000</x:v>
      </x:c>
      <x:c r="K561" s="28" t="n">
        <x:v>5</x:v>
      </x:c>
      <x:c r="L561" s="28" t="n">
        <x:v>0</x:v>
      </x:c>
      <x:c r="M561" s="28" t="n">
        <x:v>0</x:v>
      </x:c>
      <x:c r="N561" s="28" t="n">
        <x:v>0</x:v>
      </x:c>
      <x:c r="O561" s="28" t="str">
        <x:v>登记消耗1件；永久一次；不收金币/元宝/灵符</x:v>
      </x:c>
    </x:row>
    <x:row r="562" ht="30" customHeight="1">
      <x:c r="A562" s="28" t="str">
        <x:v>C10</x:v>
      </x:c>
      <x:c r="B562" s="28" t="str">
        <x:v>黄金王宫</x:v>
      </x:c>
      <x:c r="C562" s="28" t="str">
        <x:v>七帷掌仪腰封</x:v>
      </x:c>
      <x:c r="D562" s="28" t="str">
        <x:v>稀有</x:v>
      </x:c>
      <x:c r="E562" s="28" t="n">
        <x:v>1</x:v>
      </x:c>
      <x:c r="F562" s="28" t="n">
        <x:v>0</x:v>
      </x:c>
      <x:c r="G562" s="28" t="n">
        <x:v>0</x:v>
      </x:c>
      <x:c r="H562" s="28" t="n">
        <x:v>0</x:v>
      </x:c>
      <x:c r="I562" s="28" t="n">
        <x:v>160</x:v>
      </x:c>
      <x:c r="J562" s="28" t="n">
        <x:v>16000</x:v>
      </x:c>
      <x:c r="K562" s="28" t="n">
        <x:v>5</x:v>
      </x:c>
      <x:c r="L562" s="28" t="n">
        <x:v>0</x:v>
      </x:c>
      <x:c r="M562" s="28" t="n">
        <x:v>0</x:v>
      </x:c>
      <x:c r="N562" s="28" t="n">
        <x:v>0</x:v>
      </x:c>
      <x:c r="O562" s="28" t="str">
        <x:v>登记消耗1件；永久一次；不收金币/元宝/灵符</x:v>
      </x:c>
    </x:row>
    <x:row r="563" ht="30" customHeight="1">
      <x:c r="A563" s="28" t="str">
        <x:v>C10</x:v>
      </x:c>
      <x:c r="B563" s="28" t="str">
        <x:v>黄金王宫</x:v>
      </x:c>
      <x:c r="C563" s="28" t="str">
        <x:v>缄律书记戒</x:v>
      </x:c>
      <x:c r="D563" s="28" t="str">
        <x:v>稀有</x:v>
      </x:c>
      <x:c r="E563" s="28" t="n">
        <x:v>1</x:v>
      </x:c>
      <x:c r="F563" s="28" t="n">
        <x:v>0</x:v>
      </x:c>
      <x:c r="G563" s="28" t="n">
        <x:v>0</x:v>
      </x:c>
      <x:c r="H563" s="28" t="n">
        <x:v>0</x:v>
      </x:c>
      <x:c r="I563" s="28" t="n">
        <x:v>160</x:v>
      </x:c>
      <x:c r="J563" s="28" t="n">
        <x:v>16000</x:v>
      </x:c>
      <x:c r="K563" s="28" t="n">
        <x:v>5</x:v>
      </x:c>
      <x:c r="L563" s="28" t="n">
        <x:v>0</x:v>
      </x:c>
      <x:c r="M563" s="28" t="n">
        <x:v>0</x:v>
      </x:c>
      <x:c r="N563" s="28" t="n">
        <x:v>0</x:v>
      </x:c>
      <x:c r="O563" s="28" t="str">
        <x:v>登记消耗1件；永久一次；不收金币/元宝/灵符</x:v>
      </x:c>
    </x:row>
    <x:row r="564" ht="30" customHeight="1">
      <x:c r="A564" s="28" t="str">
        <x:v>C10</x:v>
      </x:c>
      <x:c r="B564" s="28" t="str">
        <x:v>黄金王宫</x:v>
      </x:c>
      <x:c r="C564" s="28" t="str">
        <x:v>无声执冠勋章</x:v>
      </x:c>
      <x:c r="D564" s="28" t="str">
        <x:v>稀有</x:v>
      </x:c>
      <x:c r="E564" s="28" t="n">
        <x:v>1</x:v>
      </x:c>
      <x:c r="F564" s="28" t="n">
        <x:v>0</x:v>
      </x:c>
      <x:c r="G564" s="28" t="n">
        <x:v>0</x:v>
      </x:c>
      <x:c r="H564" s="28" t="n">
        <x:v>0</x:v>
      </x:c>
      <x:c r="I564" s="28" t="n">
        <x:v>160</x:v>
      </x:c>
      <x:c r="J564" s="28" t="n">
        <x:v>16000</x:v>
      </x:c>
      <x:c r="K564" s="28" t="n">
        <x:v>5</x:v>
      </x:c>
      <x:c r="L564" s="28" t="n">
        <x:v>0</x:v>
      </x:c>
      <x:c r="M564" s="28" t="n">
        <x:v>0</x:v>
      </x:c>
      <x:c r="N564" s="28" t="n">
        <x:v>0</x:v>
      </x:c>
      <x:c r="O564" s="28" t="str">
        <x:v>登记消耗1件；永久一次；不收金币/元宝/灵符</x:v>
      </x:c>
    </x:row>
    <x:row r="565" ht="30" customHeight="1">
      <x:c r="A565" s="28" t="str">
        <x:v>C10</x:v>
      </x:c>
      <x:c r="B565" s="28" t="str">
        <x:v>黄金王宫</x:v>
      </x:c>
      <x:c r="C565" s="28" t="str">
        <x:v>碎日禁卫斗笠</x:v>
      </x:c>
      <x:c r="D565" s="28" t="str">
        <x:v>地图BOSS</x:v>
      </x:c>
      <x:c r="E565" s="28" t="n">
        <x:v>1</x:v>
      </x:c>
      <x:c r="F565" s="28" t="n">
        <x:v>0</x:v>
      </x:c>
      <x:c r="G565" s="28" t="n">
        <x:v>0</x:v>
      </x:c>
      <x:c r="H565" s="28" t="n">
        <x:v>0</x:v>
      </x:c>
      <x:c r="I565" s="28" t="n">
        <x:v>240</x:v>
      </x:c>
      <x:c r="J565" s="28" t="n">
        <x:v>24000</x:v>
      </x:c>
      <x:c r="K565" s="28" t="n">
        <x:v>0</x:v>
      </x:c>
      <x:c r="L565" s="28" t="n">
        <x:v>1</x:v>
      </x:c>
      <x:c r="M565" s="28" t="n">
        <x:v>0</x:v>
      </x:c>
      <x:c r="N565" s="28" t="n">
        <x:v>0</x:v>
      </x:c>
      <x:c r="O565" s="28" t="str">
        <x:v>登记消耗1件；永久一次；不收金币/元宝/灵符</x:v>
      </x:c>
    </x:row>
    <x:row r="566" ht="30" customHeight="1">
      <x:c r="A566" s="28" t="str">
        <x:v>C10</x:v>
      </x:c>
      <x:c r="B566" s="28" t="str">
        <x:v>黄金王宫</x:v>
      </x:c>
      <x:c r="C566" s="28" t="str">
        <x:v>永辉空王礼服</x:v>
      </x:c>
      <x:c r="D566" s="28" t="str">
        <x:v>地图BOSS</x:v>
      </x:c>
      <x:c r="E566" s="28" t="n">
        <x:v>1</x:v>
      </x:c>
      <x:c r="F566" s="28" t="n">
        <x:v>0</x:v>
      </x:c>
      <x:c r="G566" s="28" t="n">
        <x:v>0</x:v>
      </x:c>
      <x:c r="H566" s="28" t="n">
        <x:v>0</x:v>
      </x:c>
      <x:c r="I566" s="28" t="n">
        <x:v>240</x:v>
      </x:c>
      <x:c r="J566" s="28" t="n">
        <x:v>24000</x:v>
      </x:c>
      <x:c r="K566" s="28" t="n">
        <x:v>0</x:v>
      </x:c>
      <x:c r="L566" s="28" t="n">
        <x:v>1</x:v>
      </x:c>
      <x:c r="M566" s="28" t="n">
        <x:v>0</x:v>
      </x:c>
      <x:c r="N566" s="28" t="n">
        <x:v>0</x:v>
      </x:c>
      <x:c r="O566" s="28" t="str">
        <x:v>登记消耗1件；永久一次；不收金币/元宝/灵符</x:v>
      </x:c>
    </x:row>
    <x:row r="567" ht="30" customHeight="1">
      <x:c r="A567" s="28" t="str">
        <x:v>C10</x:v>
      </x:c>
      <x:c r="B567" s="28" t="str">
        <x:v>黄金王宫</x:v>
      </x:c>
      <x:c r="C567" s="28" t="str">
        <x:v>万冠终律圣刃</x:v>
      </x:c>
      <x:c r="D567" s="28" t="str">
        <x:v>守关BOSS</x:v>
      </x:c>
      <x:c r="E567" s="28" t="n">
        <x:v>1</x:v>
      </x:c>
      <x:c r="F567" s="28" t="n">
        <x:v>0</x:v>
      </x:c>
      <x:c r="G567" s="28" t="n">
        <x:v>0</x:v>
      </x:c>
      <x:c r="H567" s="28" t="n">
        <x:v>0</x:v>
      </x:c>
      <x:c r="I567" s="28" t="n">
        <x:v>320</x:v>
      </x:c>
      <x:c r="J567" s="28" t="n">
        <x:v>32000</x:v>
      </x:c>
      <x:c r="K567" s="28" t="n">
        <x:v>0</x:v>
      </x:c>
      <x:c r="L567" s="28" t="n">
        <x:v>1</x:v>
      </x:c>
      <x:c r="M567" s="28" t="n">
        <x:v>0</x:v>
      </x:c>
      <x:c r="N567" s="28" t="n">
        <x:v>0</x:v>
      </x:c>
      <x:c r="O567" s="28" t="str">
        <x:v>登记消耗1件；永久一次；不收金币/元宝/灵符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bd88ee959a4448e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21" hidden="0" customWidth="1"/>
    <x:col min="4" max="4" width="17" hidden="0" customWidth="1"/>
    <x:col min="5" max="5" width="19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50" hidden="0" customWidth="1"/>
  </x:cols>
  <x:sheetData>
    <x:row r="1" ht="30" customHeight="1">
      <x:c r="A1" s="5" t="str">
        <x:v>46个地图组｜集齐整页额外奖励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6" customHeight="1">
      <x:c r="A2" s="13" t="str">
        <x:v>按来源地图组集齐该组全部专属后领取一次；不重复结算单件奖励。1805韧性、23个百分点处决是全十大陆全收集上限，不是开荒基准。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4" customHeight="1">
      <x:c r="A4" s="21" t="str">
        <x:v>大陆ID</x:v>
      </x:c>
      <x:c r="B4" s="21" t="str">
        <x:v>地图组</x:v>
      </x:c>
      <x:c r="C4" s="21" t="str">
        <x:v>所需不同装备数</x:v>
      </x:c>
      <x:c r="D4" s="21" t="str">
        <x:v>永久韧性</x:v>
      </x:c>
      <x:c r="E4" s="21" t="str">
        <x:v>处决(百分点)</x:v>
      </x:c>
      <x:c r="F4" s="21" t="str">
        <x:v>神力增量</x:v>
      </x:c>
      <x:c r="G4" s="21" t="str">
        <x:v>金币</x:v>
      </x:c>
      <x:c r="H4" s="21" t="str">
        <x:v>元宝</x:v>
      </x:c>
      <x:c r="I4" s="21" t="str">
        <x:v>灵符</x:v>
      </x:c>
      <x:c r="J4" s="21" t="str">
        <x:v>结算规则</x:v>
      </x:c>
    </x:row>
    <x:row r="5" ht="32" customHeight="1">
      <x:c r="A5" s="28" t="str">
        <x:v>C01</x:v>
      </x:c>
      <x:c r="B5" s="28" t="str">
        <x:v>失乡者海岸</x:v>
      </x:c>
      <x:c r="C5" s="28" t="n">
        <x:v>11</x:v>
      </x:c>
      <x:c r="D5" s="28" t="n">
        <x:v>20</x:v>
      </x:c>
      <x:c r="E5" s="28" t="n">
        <x:v>0.5</x:v>
      </x:c>
      <x:c r="F5" s="28" t="n">
        <x:v>0.01</x:v>
      </x:c>
      <x:c r="G5" s="28" t="n">
        <x:v>0</x:v>
      </x:c>
      <x:c r="H5" s="28" t="n">
        <x:v>0</x:v>
      </x:c>
      <x:c r="I5" s="28" t="n">
        <x:v>0</x:v>
      </x:c>
      <x:c r="J5" s="28" t="str">
        <x:v>本地图登记齐全后额外一次；基础单件奖励不再重复发</x:v>
      </x:c>
    </x:row>
    <x:row r="6" ht="32" customHeight="1">
      <x:c r="A6" s="28" t="str">
        <x:v>C01</x:v>
      </x:c>
      <x:c r="B6" s="28" t="str">
        <x:v>风暴断崖</x:v>
      </x:c>
      <x:c r="C6" s="28" t="n">
        <x:v>12</x:v>
      </x:c>
      <x:c r="D6" s="28" t="n">
        <x:v>20</x:v>
      </x:c>
      <x:c r="E6" s="28" t="n">
        <x:v>0.5</x:v>
      </x:c>
      <x:c r="F6" s="28" t="n">
        <x:v>0.01</x:v>
      </x:c>
      <x:c r="G6" s="28" t="n">
        <x:v>0</x:v>
      </x:c>
      <x:c r="H6" s="28" t="n">
        <x:v>0</x:v>
      </x:c>
      <x:c r="I6" s="28" t="n">
        <x:v>0</x:v>
      </x:c>
      <x:c r="J6" s="28" t="str">
        <x:v>本地图登记齐全后额外一次；基础单件奖励不再重复发</x:v>
      </x:c>
    </x:row>
    <x:row r="7" ht="32" customHeight="1">
      <x:c r="A7" s="28" t="str">
        <x:v>C01</x:v>
      </x:c>
      <x:c r="B7" s="28" t="str">
        <x:v>沉没王庭</x:v>
      </x:c>
      <x:c r="C7" s="28" t="n">
        <x:v>15</x:v>
      </x:c>
      <x:c r="D7" s="28" t="n">
        <x:v>20</x:v>
      </x:c>
      <x:c r="E7" s="28" t="n">
        <x:v>0.5</x:v>
      </x:c>
      <x:c r="F7" s="28" t="n">
        <x:v>0.01</x:v>
      </x:c>
      <x:c r="G7" s="28" t="n">
        <x:v>0</x:v>
      </x:c>
      <x:c r="H7" s="28" t="n">
        <x:v>0</x:v>
      </x:c>
      <x:c r="I7" s="28" t="n">
        <x:v>0</x:v>
      </x:c>
      <x:c r="J7" s="28" t="str">
        <x:v>本地图登记齐全后额外一次；基础单件奖励不再重复发</x:v>
      </x:c>
    </x:row>
    <x:row r="8" ht="32" customHeight="1">
      <x:c r="A8" s="28" t="str">
        <x:v>C02</x:v>
      </x:c>
      <x:c r="B8" s="28" t="str">
        <x:v>漂流墓地</x:v>
      </x:c>
      <x:c r="C8" s="28" t="n">
        <x:v>12</x:v>
      </x:c>
      <x:c r="D8" s="28" t="n">
        <x:v>20</x:v>
      </x:c>
      <x:c r="E8" s="28" t="n">
        <x:v>0.5</x:v>
      </x:c>
      <x:c r="F8" s="28" t="n">
        <x:v>0.01</x:v>
      </x:c>
      <x:c r="G8" s="28" t="n">
        <x:v>0</x:v>
      </x:c>
      <x:c r="H8" s="28" t="n">
        <x:v>0</x:v>
      </x:c>
      <x:c r="I8" s="28" t="n">
        <x:v>0</x:v>
      </x:c>
      <x:c r="J8" s="28" t="str">
        <x:v>本地图登记齐全后额外一次；基础单件奖励不再重复发</x:v>
      </x:c>
    </x:row>
    <x:row r="9" ht="32" customHeight="1">
      <x:c r="A9" s="28" t="str">
        <x:v>C02</x:v>
      </x:c>
      <x:c r="B9" s="28" t="str">
        <x:v>关卡前废墟</x:v>
      </x:c>
      <x:c r="C9" s="28" t="n">
        <x:v>12</x:v>
      </x:c>
      <x:c r="D9" s="28" t="n">
        <x:v>20</x:v>
      </x:c>
      <x:c r="E9" s="28" t="n">
        <x:v>0.5</x:v>
      </x:c>
      <x:c r="F9" s="28" t="n">
        <x:v>0.01</x:v>
      </x:c>
      <x:c r="G9" s="28" t="n">
        <x:v>0</x:v>
      </x:c>
      <x:c r="H9" s="28" t="n">
        <x:v>0</x:v>
      </x:c>
      <x:c r="I9" s="28" t="n">
        <x:v>0</x:v>
      </x:c>
      <x:c r="J9" s="28" t="str">
        <x:v>本地图登记齐全后额外一次；基础单件奖励不再重复发</x:v>
      </x:c>
    </x:row>
    <x:row r="10" ht="32" customHeight="1">
      <x:c r="A10" s="28" t="str">
        <x:v>C02</x:v>
      </x:c>
      <x:c r="B10" s="28" t="str">
        <x:v>迷雾丛林</x:v>
      </x:c>
      <x:c r="C10" s="28" t="n">
        <x:v>12</x:v>
      </x:c>
      <x:c r="D10" s="28" t="n">
        <x:v>20</x:v>
      </x:c>
      <x:c r="E10" s="28" t="n">
        <x:v>0.5</x:v>
      </x:c>
      <x:c r="F10" s="28" t="n">
        <x:v>0.01</x:v>
      </x:c>
      <x:c r="G10" s="28" t="n">
        <x:v>0</x:v>
      </x:c>
      <x:c r="H10" s="28" t="n">
        <x:v>0</x:v>
      </x:c>
      <x:c r="I10" s="28" t="n">
        <x:v>0</x:v>
      </x:c>
      <x:c r="J10" s="28" t="str">
        <x:v>本地图登记齐全后额外一次；基础单件奖励不再重复发</x:v>
      </x:c>
    </x:row>
    <x:row r="11" ht="32" customHeight="1">
      <x:c r="A11" s="28" t="str">
        <x:v>C02</x:v>
      </x:c>
      <x:c r="B11" s="28" t="str">
        <x:v>风暴山谷</x:v>
      </x:c>
      <x:c r="C11" s="28" t="n">
        <x:v>12</x:v>
      </x:c>
      <x:c r="D11" s="28" t="n">
        <x:v>20</x:v>
      </x:c>
      <x:c r="E11" s="28" t="n">
        <x:v>0.5</x:v>
      </x:c>
      <x:c r="F11" s="28" t="n">
        <x:v>0.01</x:v>
      </x:c>
      <x:c r="G11" s="28" t="n">
        <x:v>0</x:v>
      </x:c>
      <x:c r="H11" s="28" t="n">
        <x:v>0</x:v>
      </x:c>
      <x:c r="I11" s="28" t="n">
        <x:v>0</x:v>
      </x:c>
      <x:c r="J11" s="28" t="str">
        <x:v>本地图登记齐全后额外一次；基础单件奖励不再重复发</x:v>
      </x:c>
    </x:row>
    <x:row r="12" ht="32" customHeight="1">
      <x:c r="A12" s="28" t="str">
        <x:v>C02</x:v>
      </x:c>
      <x:c r="B12" s="28" t="str">
        <x:v>史东薇尔王城</x:v>
      </x:c>
      <x:c r="C12" s="28" t="n">
        <x:v>13</x:v>
      </x:c>
      <x:c r="D12" s="28" t="n">
        <x:v>20</x:v>
      </x:c>
      <x:c r="E12" s="28" t="n">
        <x:v>0.5</x:v>
      </x:c>
      <x:c r="F12" s="28" t="n">
        <x:v>0.01</x:v>
      </x:c>
      <x:c r="G12" s="28" t="n">
        <x:v>0</x:v>
      </x:c>
      <x:c r="H12" s="28" t="n">
        <x:v>0</x:v>
      </x:c>
      <x:c r="I12" s="28" t="n">
        <x:v>0</x:v>
      </x:c>
      <x:c r="J12" s="28" t="str">
        <x:v>本地图登记齐全后额外一次；基础单件奖励不再重复发</x:v>
      </x:c>
    </x:row>
    <x:row r="13" ht="32" customHeight="1">
      <x:c r="A13" s="28" t="str">
        <x:v>C03</x:v>
      </x:c>
      <x:c r="B13" s="28" t="str">
        <x:v>西境荒原</x:v>
      </x:c>
      <x:c r="C13" s="28" t="n">
        <x:v>12</x:v>
      </x:c>
      <x:c r="D13" s="28" t="n">
        <x:v>25</x:v>
      </x:c>
      <x:c r="E13" s="28" t="n">
        <x:v>0.5</x:v>
      </x:c>
      <x:c r="F13" s="28" t="n">
        <x:v>0.02</x:v>
      </x:c>
      <x:c r="G13" s="28" t="n">
        <x:v>0</x:v>
      </x:c>
      <x:c r="H13" s="28" t="n">
        <x:v>0</x:v>
      </x:c>
      <x:c r="I13" s="28" t="n">
        <x:v>0</x:v>
      </x:c>
      <x:c r="J13" s="28" t="str">
        <x:v>本地图登记齐全后额外一次；基础单件奖励不再重复发</x:v>
      </x:c>
    </x:row>
    <x:row r="14" ht="32" customHeight="1">
      <x:c r="A14" s="28" t="str">
        <x:v>C03</x:v>
      </x:c>
      <x:c r="B14" s="28" t="str">
        <x:v>海风断崖</x:v>
      </x:c>
      <x:c r="C14" s="28" t="n">
        <x:v>12</x:v>
      </x:c>
      <x:c r="D14" s="28" t="n">
        <x:v>25</x:v>
      </x:c>
      <x:c r="E14" s="28" t="n">
        <x:v>0.5</x:v>
      </x:c>
      <x:c r="F14" s="28" t="n">
        <x:v>0.02</x:v>
      </x:c>
      <x:c r="G14" s="28" t="n">
        <x:v>0</x:v>
      </x:c>
      <x:c r="H14" s="28" t="n">
        <x:v>0</x:v>
      </x:c>
      <x:c r="I14" s="28" t="n">
        <x:v>0</x:v>
      </x:c>
      <x:c r="J14" s="28" t="str">
        <x:v>本地图登记齐全后额外一次；基础单件奖励不再重复发</x:v>
      </x:c>
    </x:row>
    <x:row r="15" ht="32" customHeight="1">
      <x:c r="A15" s="28" t="str">
        <x:v>C03</x:v>
      </x:c>
      <x:c r="B15" s="28" t="str">
        <x:v>失落驿道</x:v>
      </x:c>
      <x:c r="C15" s="28" t="n">
        <x:v>12</x:v>
      </x:c>
      <x:c r="D15" s="28" t="n">
        <x:v>25</x:v>
      </x:c>
      <x:c r="E15" s="28" t="n">
        <x:v>0.5</x:v>
      </x:c>
      <x:c r="F15" s="28" t="n">
        <x:v>0.02</x:v>
      </x:c>
      <x:c r="G15" s="28" t="n">
        <x:v>0</x:v>
      </x:c>
      <x:c r="H15" s="28" t="n">
        <x:v>0</x:v>
      </x:c>
      <x:c r="I15" s="28" t="n">
        <x:v>0</x:v>
      </x:c>
      <x:c r="J15" s="28" t="str">
        <x:v>本地图登记齐全后额外一次；基础单件奖励不再重复发</x:v>
      </x:c>
    </x:row>
    <x:row r="16" ht="32" customHeight="1">
      <x:c r="A16" s="28" t="str">
        <x:v>C03</x:v>
      </x:c>
      <x:c r="B16" s="28" t="str">
        <x:v>古战场遗迹</x:v>
      </x:c>
      <x:c r="C16" s="28" t="n">
        <x:v>12</x:v>
      </x:c>
      <x:c r="D16" s="28" t="n">
        <x:v>25</x:v>
      </x:c>
      <x:c r="E16" s="28" t="n">
        <x:v>0.5</x:v>
      </x:c>
      <x:c r="F16" s="28" t="n">
        <x:v>0.02</x:v>
      </x:c>
      <x:c r="G16" s="28" t="n">
        <x:v>0</x:v>
      </x:c>
      <x:c r="H16" s="28" t="n">
        <x:v>0</x:v>
      </x:c>
      <x:c r="I16" s="28" t="n">
        <x:v>0</x:v>
      </x:c>
      <x:c r="J16" s="28" t="str">
        <x:v>本地图登记齐全后额外一次；基础单件奖励不再重复发</x:v>
      </x:c>
    </x:row>
    <x:row r="17" ht="32" customHeight="1">
      <x:c r="A17" s="28" t="str">
        <x:v>C03</x:v>
      </x:c>
      <x:c r="B17" s="28" t="str">
        <x:v>风蚀古垒</x:v>
      </x:c>
      <x:c r="C17" s="28" t="n">
        <x:v>12</x:v>
      </x:c>
      <x:c r="D17" s="28" t="n">
        <x:v>25</x:v>
      </x:c>
      <x:c r="E17" s="28" t="n">
        <x:v>0.5</x:v>
      </x:c>
      <x:c r="F17" s="28" t="n">
        <x:v>0.02</x:v>
      </x:c>
      <x:c r="G17" s="28" t="n">
        <x:v>0</x:v>
      </x:c>
      <x:c r="H17" s="28" t="n">
        <x:v>0</x:v>
      </x:c>
      <x:c r="I17" s="28" t="n">
        <x:v>0</x:v>
      </x:c>
      <x:c r="J17" s="28" t="str">
        <x:v>本地图登记齐全后额外一次；基础单件奖励不再重复发</x:v>
      </x:c>
    </x:row>
    <x:row r="18" ht="32" customHeight="1">
      <x:c r="A18" s="28" t="str">
        <x:v>C03</x:v>
      </x:c>
      <x:c r="B18" s="28" t="str">
        <x:v>黄金树哨垒</x:v>
      </x:c>
      <x:c r="C18" s="28" t="n">
        <x:v>13</x:v>
      </x:c>
      <x:c r="D18" s="28" t="n">
        <x:v>25</x:v>
      </x:c>
      <x:c r="E18" s="28" t="n">
        <x:v>0.5</x:v>
      </x:c>
      <x:c r="F18" s="28" t="n">
        <x:v>0.02</x:v>
      </x:c>
      <x:c r="G18" s="28" t="n">
        <x:v>0</x:v>
      </x:c>
      <x:c r="H18" s="28" t="n">
        <x:v>0</x:v>
      </x:c>
      <x:c r="I18" s="28" t="n">
        <x:v>0</x:v>
      </x:c>
      <x:c r="J18" s="28" t="str">
        <x:v>本地图登记齐全后额外一次；基础单件奖励不再重复发</x:v>
      </x:c>
    </x:row>
    <x:row r="19" ht="32" customHeight="1">
      <x:c r="A19" s="28" t="str">
        <x:v>C04</x:v>
      </x:c>
      <x:c r="B19" s="28" t="str">
        <x:v>雾潮湿地</x:v>
      </x:c>
      <x:c r="C19" s="28" t="n">
        <x:v>12</x:v>
      </x:c>
      <x:c r="D19" s="28" t="n">
        <x:v>30</x:v>
      </x:c>
      <x:c r="E19" s="28" t="n">
        <x:v>0.5</x:v>
      </x:c>
      <x:c r="F19" s="28" t="n">
        <x:v>0.02</x:v>
      </x:c>
      <x:c r="G19" s="28" t="n">
        <x:v>0</x:v>
      </x:c>
      <x:c r="H19" s="28" t="n">
        <x:v>0</x:v>
      </x:c>
      <x:c r="I19" s="28" t="n">
        <x:v>0</x:v>
      </x:c>
      <x:c r="J19" s="28" t="str">
        <x:v>本地图登记齐全后额外一次；基础单件奖励不再重复发</x:v>
      </x:c>
    </x:row>
    <x:row r="20" ht="32" customHeight="1">
      <x:c r="A20" s="28" t="str">
        <x:v>C04</x:v>
      </x:c>
      <x:c r="B20" s="28" t="str">
        <x:v>沉湖遗迹</x:v>
      </x:c>
      <x:c r="C20" s="28" t="n">
        <x:v>12</x:v>
      </x:c>
      <x:c r="D20" s="28" t="n">
        <x:v>30</x:v>
      </x:c>
      <x:c r="E20" s="28" t="n">
        <x:v>0.5</x:v>
      </x:c>
      <x:c r="F20" s="28" t="n">
        <x:v>0.02</x:v>
      </x:c>
      <x:c r="G20" s="28" t="n">
        <x:v>0</x:v>
      </x:c>
      <x:c r="H20" s="28" t="n">
        <x:v>0</x:v>
      </x:c>
      <x:c r="I20" s="28" t="n">
        <x:v>0</x:v>
      </x:c>
      <x:c r="J20" s="28" t="str">
        <x:v>本地图登记齐全后额外一次；基础单件奖励不再重复发</x:v>
      </x:c>
    </x:row>
    <x:row r="21" ht="32" customHeight="1">
      <x:c r="A21" s="28" t="str">
        <x:v>C04</x:v>
      </x:c>
      <x:c r="B21" s="28" t="str">
        <x:v>湖心沉船</x:v>
      </x:c>
      <x:c r="C21" s="28" t="n">
        <x:v>12</x:v>
      </x:c>
      <x:c r="D21" s="28" t="n">
        <x:v>30</x:v>
      </x:c>
      <x:c r="E21" s="28" t="n">
        <x:v>0.5</x:v>
      </x:c>
      <x:c r="F21" s="28" t="n">
        <x:v>0.02</x:v>
      </x:c>
      <x:c r="G21" s="28" t="n">
        <x:v>0</x:v>
      </x:c>
      <x:c r="H21" s="28" t="n">
        <x:v>0</x:v>
      </x:c>
      <x:c r="I21" s="28" t="n">
        <x:v>0</x:v>
      </x:c>
      <x:c r="J21" s="28" t="str">
        <x:v>本地图登记齐全后额外一次；基础单件奖励不再重复发</x:v>
      </x:c>
    </x:row>
    <x:row r="22" ht="32" customHeight="1">
      <x:c r="A22" s="28" t="str">
        <x:v>C04</x:v>
      </x:c>
      <x:c r="B22" s="28" t="str">
        <x:v>幽灵船骸</x:v>
      </x:c>
      <x:c r="C22" s="28" t="n">
        <x:v>12</x:v>
      </x:c>
      <x:c r="D22" s="28" t="n">
        <x:v>30</x:v>
      </x:c>
      <x:c r="E22" s="28" t="n">
        <x:v>0.5</x:v>
      </x:c>
      <x:c r="F22" s="28" t="n">
        <x:v>0.02</x:v>
      </x:c>
      <x:c r="G22" s="28" t="n">
        <x:v>0</x:v>
      </x:c>
      <x:c r="H22" s="28" t="n">
        <x:v>0</x:v>
      </x:c>
      <x:c r="I22" s="28" t="n">
        <x:v>0</x:v>
      </x:c>
      <x:c r="J22" s="28" t="str">
        <x:v>本地图登记齐全后额外一次；基础单件奖励不再重复发</x:v>
      </x:c>
    </x:row>
    <x:row r="23" ht="32" customHeight="1">
      <x:c r="A23" s="28" t="str">
        <x:v>C04</x:v>
      </x:c>
      <x:c r="B23" s="28" t="str">
        <x:v>深湖水道</x:v>
      </x:c>
      <x:c r="C23" s="28" t="n">
        <x:v>12</x:v>
      </x:c>
      <x:c r="D23" s="28" t="n">
        <x:v>30</x:v>
      </x:c>
      <x:c r="E23" s="28" t="n">
        <x:v>0.5</x:v>
      </x:c>
      <x:c r="F23" s="28" t="n">
        <x:v>0.02</x:v>
      </x:c>
      <x:c r="G23" s="28" t="n">
        <x:v>0</x:v>
      </x:c>
      <x:c r="H23" s="28" t="n">
        <x:v>0</x:v>
      </x:c>
      <x:c r="I23" s="28" t="n">
        <x:v>0</x:v>
      </x:c>
      <x:c r="J23" s="28" t="str">
        <x:v>本地图登记齐全后额外一次；基础单件奖励不再重复发</x:v>
      </x:c>
    </x:row>
    <x:row r="24" ht="32" customHeight="1">
      <x:c r="A24" s="28" t="str">
        <x:v>C04</x:v>
      </x:c>
      <x:c r="B24" s="28" t="str">
        <x:v>湖底密道</x:v>
      </x:c>
      <x:c r="C24" s="28" t="n">
        <x:v>13</x:v>
      </x:c>
      <x:c r="D24" s="28" t="n">
        <x:v>30</x:v>
      </x:c>
      <x:c r="E24" s="28" t="n">
        <x:v>0.5</x:v>
      </x:c>
      <x:c r="F24" s="28" t="n">
        <x:v>0.02</x:v>
      </x:c>
      <x:c r="G24" s="28" t="n">
        <x:v>0</x:v>
      </x:c>
      <x:c r="H24" s="28" t="n">
        <x:v>0</x:v>
      </x:c>
      <x:c r="I24" s="28" t="n">
        <x:v>0</x:v>
      </x:c>
      <x:c r="J24" s="28" t="str">
        <x:v>本地图登记齐全后额外一次；基础单件奖励不再重复发</x:v>
      </x:c>
    </x:row>
    <x:row r="25" ht="32" customHeight="1">
      <x:c r="A25" s="28" t="str">
        <x:v>C05</x:v>
      </x:c>
      <x:c r="B25" s="28" t="str">
        <x:v>雾月水庭</x:v>
      </x:c>
      <x:c r="C25" s="28" t="n">
        <x:v>12</x:v>
      </x:c>
      <x:c r="D25" s="28" t="n">
        <x:v>35</x:v>
      </x:c>
      <x:c r="E25" s="28" t="n">
        <x:v>0.5</x:v>
      </x:c>
      <x:c r="F25" s="28" t="n">
        <x:v>0.03</x:v>
      </x:c>
      <x:c r="G25" s="28" t="n">
        <x:v>0</x:v>
      </x:c>
      <x:c r="H25" s="28" t="n">
        <x:v>0</x:v>
      </x:c>
      <x:c r="I25" s="28" t="n">
        <x:v>0</x:v>
      </x:c>
      <x:c r="J25" s="28" t="str">
        <x:v>本地图登记齐全后额外一次；基础单件奖励不再重复发</x:v>
      </x:c>
    </x:row>
    <x:row r="26" ht="32" customHeight="1">
      <x:c r="A26" s="28" t="str">
        <x:v>C05</x:v>
      </x:c>
      <x:c r="B26" s="28" t="str">
        <x:v>辉石遗迹</x:v>
      </x:c>
      <x:c r="C26" s="28" t="n">
        <x:v>12</x:v>
      </x:c>
      <x:c r="D26" s="28" t="n">
        <x:v>35</x:v>
      </x:c>
      <x:c r="E26" s="28" t="n">
        <x:v>0.5</x:v>
      </x:c>
      <x:c r="F26" s="28" t="n">
        <x:v>0.03</x:v>
      </x:c>
      <x:c r="G26" s="28" t="n">
        <x:v>0</x:v>
      </x:c>
      <x:c r="H26" s="28" t="n">
        <x:v>0</x:v>
      </x:c>
      <x:c r="I26" s="28" t="n">
        <x:v>0</x:v>
      </x:c>
      <x:c r="J26" s="28" t="str">
        <x:v>本地图登记齐全后额外一次；基础单件奖励不再重复发</x:v>
      </x:c>
    </x:row>
    <x:row r="27" ht="32" customHeight="1">
      <x:c r="A27" s="28" t="str">
        <x:v>C05</x:v>
      </x:c>
      <x:c r="B27" s="28" t="str">
        <x:v>学院回廊</x:v>
      </x:c>
      <x:c r="C27" s="28" t="n">
        <x:v>12</x:v>
      </x:c>
      <x:c r="D27" s="28" t="n">
        <x:v>35</x:v>
      </x:c>
      <x:c r="E27" s="28" t="n">
        <x:v>0.5</x:v>
      </x:c>
      <x:c r="F27" s="28" t="n">
        <x:v>0.03</x:v>
      </x:c>
      <x:c r="G27" s="28" t="n">
        <x:v>0</x:v>
      </x:c>
      <x:c r="H27" s="28" t="n">
        <x:v>0</x:v>
      </x:c>
      <x:c r="I27" s="28" t="n">
        <x:v>0</x:v>
      </x:c>
      <x:c r="J27" s="28" t="str">
        <x:v>本地图登记齐全后额外一次；基础单件奖励不再重复发</x:v>
      </x:c>
    </x:row>
    <x:row r="28" ht="32" customHeight="1">
      <x:c r="A28" s="28" t="str">
        <x:v>C05</x:v>
      </x:c>
      <x:c r="B28" s="28" t="str">
        <x:v>满月书库</x:v>
      </x:c>
      <x:c r="C28" s="28" t="n">
        <x:v>12</x:v>
      </x:c>
      <x:c r="D28" s="28" t="n">
        <x:v>35</x:v>
      </x:c>
      <x:c r="E28" s="28" t="n">
        <x:v>0.5</x:v>
      </x:c>
      <x:c r="F28" s="28" t="n">
        <x:v>0.03</x:v>
      </x:c>
      <x:c r="G28" s="28" t="n">
        <x:v>0</x:v>
      </x:c>
      <x:c r="H28" s="28" t="n">
        <x:v>0</x:v>
      </x:c>
      <x:c r="I28" s="28" t="n">
        <x:v>0</x:v>
      </x:c>
      <x:c r="J28" s="28" t="str">
        <x:v>本地图登记齐全后额外一次；基础单件奖励不再重复发</x:v>
      </x:c>
    </x:row>
    <x:row r="29" ht="32" customHeight="1">
      <x:c r="A29" s="28" t="str">
        <x:v>C05</x:v>
      </x:c>
      <x:c r="B29" s="28" t="str">
        <x:v>月影水宫</x:v>
      </x:c>
      <x:c r="C29" s="28" t="n">
        <x:v>12</x:v>
      </x:c>
      <x:c r="D29" s="28" t="n">
        <x:v>35</x:v>
      </x:c>
      <x:c r="E29" s="28" t="n">
        <x:v>0.5</x:v>
      </x:c>
      <x:c r="F29" s="28" t="n">
        <x:v>0.03</x:v>
      </x:c>
      <x:c r="G29" s="28" t="n">
        <x:v>0</x:v>
      </x:c>
      <x:c r="H29" s="28" t="n">
        <x:v>0</x:v>
      </x:c>
      <x:c r="I29" s="28" t="n">
        <x:v>0</x:v>
      </x:c>
      <x:c r="J29" s="28" t="str">
        <x:v>本地图登记齐全后额外一次；基础单件奖励不再重复发</x:v>
      </x:c>
    </x:row>
    <x:row r="30" ht="32" customHeight="1">
      <x:c r="A30" s="28" t="str">
        <x:v>C05</x:v>
      </x:c>
      <x:c r="B30" s="28" t="str">
        <x:v>卡利亚禁域</x:v>
      </x:c>
      <x:c r="C30" s="28" t="n">
        <x:v>13</x:v>
      </x:c>
      <x:c r="D30" s="28" t="n">
        <x:v>35</x:v>
      </x:c>
      <x:c r="E30" s="28" t="n">
        <x:v>0.5</x:v>
      </x:c>
      <x:c r="F30" s="28" t="n">
        <x:v>0.03</x:v>
      </x:c>
      <x:c r="G30" s="28" t="n">
        <x:v>0</x:v>
      </x:c>
      <x:c r="H30" s="28" t="n">
        <x:v>0</x:v>
      </x:c>
      <x:c r="I30" s="28" t="n">
        <x:v>0</x:v>
      </x:c>
      <x:c r="J30" s="28" t="str">
        <x:v>本地图登记齐全后额外一次；基础单件奖励不再重复发</x:v>
      </x:c>
    </x:row>
    <x:row r="31" ht="32" customHeight="1">
      <x:c r="A31" s="28" t="str">
        <x:v>C06</x:v>
      </x:c>
      <x:c r="B31" s="28" t="str">
        <x:v>猩红熔原</x:v>
      </x:c>
      <x:c r="C31" s="28" t="n">
        <x:v>12</x:v>
      </x:c>
      <x:c r="D31" s="28" t="n">
        <x:v>40</x:v>
      </x:c>
      <x:c r="E31" s="28" t="n">
        <x:v>0.5</x:v>
      </x:c>
      <x:c r="F31" s="28" t="n">
        <x:v>0.03</x:v>
      </x:c>
      <x:c r="G31" s="28" t="n">
        <x:v>0</x:v>
      </x:c>
      <x:c r="H31" s="28" t="n">
        <x:v>0</x:v>
      </x:c>
      <x:c r="I31" s="28" t="n">
        <x:v>0</x:v>
      </x:c>
      <x:c r="J31" s="28" t="str">
        <x:v>本地图登记齐全后额外一次；基础单件奖励不再重复发</x:v>
      </x:c>
    </x:row>
    <x:row r="32" ht="32" customHeight="1">
      <x:c r="A32" s="28" t="str">
        <x:v>C06</x:v>
      </x:c>
      <x:c r="B32" s="28" t="str">
        <x:v>腐败火狱</x:v>
      </x:c>
      <x:c r="C32" s="28" t="n">
        <x:v>12</x:v>
      </x:c>
      <x:c r="D32" s="28" t="n">
        <x:v>40</x:v>
      </x:c>
      <x:c r="E32" s="28" t="n">
        <x:v>0.5</x:v>
      </x:c>
      <x:c r="F32" s="28" t="n">
        <x:v>0.03</x:v>
      </x:c>
      <x:c r="G32" s="28" t="n">
        <x:v>0</x:v>
      </x:c>
      <x:c r="H32" s="28" t="n">
        <x:v>0</x:v>
      </x:c>
      <x:c r="I32" s="28" t="n">
        <x:v>0</x:v>
      </x:c>
      <x:c r="J32" s="28" t="str">
        <x:v>本地图登记齐全后额外一次；基础单件奖励不再重复发</x:v>
      </x:c>
    </x:row>
    <x:row r="33" ht="32" customHeight="1">
      <x:c r="A33" s="28" t="str">
        <x:v>C06</x:v>
      </x:c>
      <x:c r="B33" s="28" t="str">
        <x:v>红狮龙窟</x:v>
      </x:c>
      <x:c r="C33" s="28" t="n">
        <x:v>13</x:v>
      </x:c>
      <x:c r="D33" s="28" t="n">
        <x:v>40</x:v>
      </x:c>
      <x:c r="E33" s="28" t="n">
        <x:v>0.5</x:v>
      </x:c>
      <x:c r="F33" s="28" t="n">
        <x:v>0.03</x:v>
      </x:c>
      <x:c r="G33" s="28" t="n">
        <x:v>0</x:v>
      </x:c>
      <x:c r="H33" s="28" t="n">
        <x:v>0</x:v>
      </x:c>
      <x:c r="I33" s="28" t="n">
        <x:v>0</x:v>
      </x:c>
      <x:c r="J33" s="28" t="str">
        <x:v>本地图登记齐全后额外一次；基础单件奖励不再重复发</x:v>
      </x:c>
    </x:row>
    <x:row r="34" ht="32" customHeight="1">
      <x:c r="A34" s="28" t="str">
        <x:v>C07</x:v>
      </x:c>
      <x:c r="B34" s="28" t="str">
        <x:v>苍白雪原</x:v>
      </x:c>
      <x:c r="C34" s="28" t="n">
        <x:v>12</x:v>
      </x:c>
      <x:c r="D34" s="28" t="n">
        <x:v>45</x:v>
      </x:c>
      <x:c r="E34" s="28" t="n">
        <x:v>0.5</x:v>
      </x:c>
      <x:c r="F34" s="28" t="n">
        <x:v>0.04</x:v>
      </x:c>
      <x:c r="G34" s="28" t="n">
        <x:v>0</x:v>
      </x:c>
      <x:c r="H34" s="28" t="n">
        <x:v>0</x:v>
      </x:c>
      <x:c r="I34" s="28" t="n">
        <x:v>0</x:v>
      </x:c>
      <x:c r="J34" s="28" t="str">
        <x:v>本地图登记齐全后额外一次；基础单件奖励不再重复发</x:v>
      </x:c>
    </x:row>
    <x:row r="35" ht="32" customHeight="1">
      <x:c r="A35" s="28" t="str">
        <x:v>C07</x:v>
      </x:c>
      <x:c r="B35" s="28" t="str">
        <x:v>永冻荒境</x:v>
      </x:c>
      <x:c r="C35" s="28" t="n">
        <x:v>12</x:v>
      </x:c>
      <x:c r="D35" s="28" t="n">
        <x:v>45</x:v>
      </x:c>
      <x:c r="E35" s="28" t="n">
        <x:v>0.5</x:v>
      </x:c>
      <x:c r="F35" s="28" t="n">
        <x:v>0.04</x:v>
      </x:c>
      <x:c r="G35" s="28" t="n">
        <x:v>0</x:v>
      </x:c>
      <x:c r="H35" s="28" t="n">
        <x:v>0</x:v>
      </x:c>
      <x:c r="I35" s="28" t="n">
        <x:v>0</x:v>
      </x:c>
      <x:c r="J35" s="28" t="str">
        <x:v>本地图登记齐全后额外一次；基础单件奖励不再重复发</x:v>
      </x:c>
    </x:row>
    <x:row r="36" ht="32" customHeight="1">
      <x:c r="A36" s="28" t="str">
        <x:v>C07</x:v>
      </x:c>
      <x:c r="B36" s="28" t="str">
        <x:v>极寒禁域</x:v>
      </x:c>
      <x:c r="C36" s="28" t="n">
        <x:v>13</x:v>
      </x:c>
      <x:c r="D36" s="28" t="n">
        <x:v>45</x:v>
      </x:c>
      <x:c r="E36" s="28" t="n">
        <x:v>0.5</x:v>
      </x:c>
      <x:c r="F36" s="28" t="n">
        <x:v>0.04</x:v>
      </x:c>
      <x:c r="G36" s="28" t="n">
        <x:v>0</x:v>
      </x:c>
      <x:c r="H36" s="28" t="n">
        <x:v>0</x:v>
      </x:c>
      <x:c r="I36" s="28" t="n">
        <x:v>0</x:v>
      </x:c>
      <x:c r="J36" s="28" t="str">
        <x:v>本地图登记齐全后额外一次；基础单件奖励不再重复发</x:v>
      </x:c>
    </x:row>
    <x:row r="37" ht="32" customHeight="1">
      <x:c r="A37" s="28" t="str">
        <x:v>C08</x:v>
      </x:c>
      <x:c r="B37" s="28" t="str">
        <x:v>寒霜山径</x:v>
      </x:c>
      <x:c r="C37" s="28" t="n">
        <x:v>12</x:v>
      </x:c>
      <x:c r="D37" s="28" t="n">
        <x:v>50</x:v>
      </x:c>
      <x:c r="E37" s="28" t="n">
        <x:v>0.5</x:v>
      </x:c>
      <x:c r="F37" s="28" t="n">
        <x:v>0.04</x:v>
      </x:c>
      <x:c r="G37" s="28" t="n">
        <x:v>0</x:v>
      </x:c>
      <x:c r="H37" s="28" t="n">
        <x:v>0</x:v>
      </x:c>
      <x:c r="I37" s="28" t="n">
        <x:v>0</x:v>
      </x:c>
      <x:c r="J37" s="28" t="str">
        <x:v>本地图登记齐全后额外一次；基础单件奖励不再重复发</x:v>
      </x:c>
    </x:row>
    <x:row r="38" ht="32" customHeight="1">
      <x:c r="A38" s="28" t="str">
        <x:v>C08</x:v>
      </x:c>
      <x:c r="B38" s="28" t="str">
        <x:v>断冰峰群</x:v>
      </x:c>
      <x:c r="C38" s="28" t="n">
        <x:v>12</x:v>
      </x:c>
      <x:c r="D38" s="28" t="n">
        <x:v>50</x:v>
      </x:c>
      <x:c r="E38" s="28" t="n">
        <x:v>0.5</x:v>
      </x:c>
      <x:c r="F38" s="28" t="n">
        <x:v>0.04</x:v>
      </x:c>
      <x:c r="G38" s="28" t="n">
        <x:v>0</x:v>
      </x:c>
      <x:c r="H38" s="28" t="n">
        <x:v>0</x:v>
      </x:c>
      <x:c r="I38" s="28" t="n">
        <x:v>0</x:v>
      </x:c>
      <x:c r="J38" s="28" t="str">
        <x:v>本地图登记齐全后额外一次；基础单件奖励不再重复发</x:v>
      </x:c>
    </x:row>
    <x:row r="39" ht="32" customHeight="1">
      <x:c r="A39" s="28" t="str">
        <x:v>C08</x:v>
      </x:c>
      <x:c r="B39" s="28" t="str">
        <x:v>冰宫王庭</x:v>
      </x:c>
      <x:c r="C39" s="28" t="n">
        <x:v>12</x:v>
      </x:c>
      <x:c r="D39" s="28" t="n">
        <x:v>50</x:v>
      </x:c>
      <x:c r="E39" s="28" t="n">
        <x:v>0.5</x:v>
      </x:c>
      <x:c r="F39" s="28" t="n">
        <x:v>0.04</x:v>
      </x:c>
      <x:c r="G39" s="28" t="n">
        <x:v>0</x:v>
      </x:c>
      <x:c r="H39" s="28" t="n">
        <x:v>0</x:v>
      </x:c>
      <x:c r="I39" s="28" t="n">
        <x:v>0</x:v>
      </x:c>
      <x:c r="J39" s="28" t="str">
        <x:v>本地图登记齐全后额外一次；基础单件奖励不再重复发</x:v>
      </x:c>
    </x:row>
    <x:row r="40" ht="32" customHeight="1">
      <x:c r="A40" s="28" t="str">
        <x:v>C08</x:v>
      </x:c>
      <x:c r="B40" s="28" t="str">
        <x:v>巨人王庭</x:v>
      </x:c>
      <x:c r="C40" s="28" t="n">
        <x:v>13</x:v>
      </x:c>
      <x:c r="D40" s="28" t="n">
        <x:v>50</x:v>
      </x:c>
      <x:c r="E40" s="28" t="n">
        <x:v>0.5</x:v>
      </x:c>
      <x:c r="F40" s="28" t="n">
        <x:v>0.04</x:v>
      </x:c>
      <x:c r="G40" s="28" t="n">
        <x:v>0</x:v>
      </x:c>
      <x:c r="H40" s="28" t="n">
        <x:v>0</x:v>
      </x:c>
      <x:c r="I40" s="28" t="n">
        <x:v>0</x:v>
      </x:c>
      <x:c r="J40" s="28" t="str">
        <x:v>本地图登记齐全后额外一次；基础单件奖励不再重复发</x:v>
      </x:c>
    </x:row>
    <x:row r="41" ht="32" customHeight="1">
      <x:c r="A41" s="28" t="str">
        <x:v>C09</x:v>
      </x:c>
      <x:c r="B41" s="28" t="str">
        <x:v>金叶古道</x:v>
      </x:c>
      <x:c r="C41" s="28" t="n">
        <x:v>12</x:v>
      </x:c>
      <x:c r="D41" s="28" t="n">
        <x:v>60</x:v>
      </x:c>
      <x:c r="E41" s="28" t="n">
        <x:v>0.5</x:v>
      </x:c>
      <x:c r="F41" s="28" t="n">
        <x:v>0.05</x:v>
      </x:c>
      <x:c r="G41" s="28" t="n">
        <x:v>0</x:v>
      </x:c>
      <x:c r="H41" s="28" t="n">
        <x:v>0</x:v>
      </x:c>
      <x:c r="I41" s="28" t="n">
        <x:v>0</x:v>
      </x:c>
      <x:c r="J41" s="28" t="str">
        <x:v>本地图登记齐全后额外一次；基础单件奖励不再重复发</x:v>
      </x:c>
    </x:row>
    <x:row r="42" ht="32" customHeight="1">
      <x:c r="A42" s="28" t="str">
        <x:v>C09</x:v>
      </x:c>
      <x:c r="B42" s="28" t="str">
        <x:v>高原矿脉</x:v>
      </x:c>
      <x:c r="C42" s="28" t="n">
        <x:v>12</x:v>
      </x:c>
      <x:c r="D42" s="28" t="n">
        <x:v>60</x:v>
      </x:c>
      <x:c r="E42" s="28" t="n">
        <x:v>0.5</x:v>
      </x:c>
      <x:c r="F42" s="28" t="n">
        <x:v>0.05</x:v>
      </x:c>
      <x:c r="G42" s="28" t="n">
        <x:v>0</x:v>
      </x:c>
      <x:c r="H42" s="28" t="n">
        <x:v>0</x:v>
      </x:c>
      <x:c r="I42" s="28" t="n">
        <x:v>0</x:v>
      </x:c>
      <x:c r="J42" s="28" t="str">
        <x:v>本地图登记齐全后额外一次；基础单件奖励不再重复发</x:v>
      </x:c>
    </x:row>
    <x:row r="43" ht="32" customHeight="1">
      <x:c r="A43" s="28" t="str">
        <x:v>C09</x:v>
      </x:c>
      <x:c r="B43" s="28" t="str">
        <x:v>古王陵园</x:v>
      </x:c>
      <x:c r="C43" s="28" t="n">
        <x:v>12</x:v>
      </x:c>
      <x:c r="D43" s="28" t="n">
        <x:v>60</x:v>
      </x:c>
      <x:c r="E43" s="28" t="n">
        <x:v>0.5</x:v>
      </x:c>
      <x:c r="F43" s="28" t="n">
        <x:v>0.05</x:v>
      </x:c>
      <x:c r="G43" s="28" t="n">
        <x:v>0</x:v>
      </x:c>
      <x:c r="H43" s="28" t="n">
        <x:v>0</x:v>
      </x:c>
      <x:c r="I43" s="28" t="n">
        <x:v>0</x:v>
      </x:c>
      <x:c r="J43" s="28" t="str">
        <x:v>本地图登记齐全后额外一次；基础单件奖励不再重复发</x:v>
      </x:c>
    </x:row>
    <x:row r="44" ht="32" customHeight="1">
      <x:c r="A44" s="28" t="str">
        <x:v>C09</x:v>
      </x:c>
      <x:c r="B44" s="28" t="str">
        <x:v>黄金圣堂</x:v>
      </x:c>
      <x:c r="C44" s="28" t="n">
        <x:v>12</x:v>
      </x:c>
      <x:c r="D44" s="28" t="n">
        <x:v>60</x:v>
      </x:c>
      <x:c r="E44" s="28" t="n">
        <x:v>0.5</x:v>
      </x:c>
      <x:c r="F44" s="28" t="n">
        <x:v>0.05</x:v>
      </x:c>
      <x:c r="G44" s="28" t="n">
        <x:v>0</x:v>
      </x:c>
      <x:c r="H44" s="28" t="n">
        <x:v>0</x:v>
      </x:c>
      <x:c r="I44" s="28" t="n">
        <x:v>0</x:v>
      </x:c>
      <x:c r="J44" s="28" t="str">
        <x:v>本地图登记齐全后额外一次；基础单件奖励不再重复发</x:v>
      </x:c>
    </x:row>
    <x:row r="45" ht="32" customHeight="1">
      <x:c r="A45" s="28" t="str">
        <x:v>C09</x:v>
      </x:c>
      <x:c r="B45" s="28" t="str">
        <x:v>王城前垒</x:v>
      </x:c>
      <x:c r="C45" s="28" t="n">
        <x:v>13</x:v>
      </x:c>
      <x:c r="D45" s="28" t="n">
        <x:v>60</x:v>
      </x:c>
      <x:c r="E45" s="28" t="n">
        <x:v>0.5</x:v>
      </x:c>
      <x:c r="F45" s="28" t="n">
        <x:v>0.05</x:v>
      </x:c>
      <x:c r="G45" s="28" t="n">
        <x:v>0</x:v>
      </x:c>
      <x:c r="H45" s="28" t="n">
        <x:v>0</x:v>
      </x:c>
      <x:c r="I45" s="28" t="n">
        <x:v>0</x:v>
      </x:c>
      <x:c r="J45" s="28" t="str">
        <x:v>本地图登记齐全后额外一次；基础单件奖励不再重复发</x:v>
      </x:c>
    </x:row>
    <x:row r="46" ht="32" customHeight="1">
      <x:c r="A46" s="28" t="str">
        <x:v>C10</x:v>
      </x:c>
      <x:c r="B46" s="28" t="str">
        <x:v>王城下城区</x:v>
      </x:c>
      <x:c r="C46" s="28" t="n">
        <x:v>12</x:v>
      </x:c>
      <x:c r="D46" s="28" t="n">
        <x:v>70</x:v>
      </x:c>
      <x:c r="E46" s="28" t="n">
        <x:v>0.5</x:v>
      </x:c>
      <x:c r="F46" s="28" t="n">
        <x:v>0.05</x:v>
      </x:c>
      <x:c r="G46" s="28" t="n">
        <x:v>0</x:v>
      </x:c>
      <x:c r="H46" s="28" t="n">
        <x:v>0</x:v>
      </x:c>
      <x:c r="I46" s="28" t="n">
        <x:v>0</x:v>
      </x:c>
      <x:c r="J46" s="28" t="str">
        <x:v>本地图登记齐全后额外一次；基础单件奖励不再重复发</x:v>
      </x:c>
    </x:row>
    <x:row r="47" ht="32" customHeight="1">
      <x:c r="A47" s="28" t="str">
        <x:v>C10</x:v>
      </x:c>
      <x:c r="B47" s="28" t="str">
        <x:v>黄金排水道</x:v>
      </x:c>
      <x:c r="C47" s="28" t="n">
        <x:v>12</x:v>
      </x:c>
      <x:c r="D47" s="28" t="n">
        <x:v>70</x:v>
      </x:c>
      <x:c r="E47" s="28" t="n">
        <x:v>0.5</x:v>
      </x:c>
      <x:c r="F47" s="28" t="n">
        <x:v>0.05</x:v>
      </x:c>
      <x:c r="G47" s="28" t="n">
        <x:v>0</x:v>
      </x:c>
      <x:c r="H47" s="28" t="n">
        <x:v>0</x:v>
      </x:c>
      <x:c r="I47" s="28" t="n">
        <x:v>0</x:v>
      </x:c>
      <x:c r="J47" s="28" t="str">
        <x:v>本地图登记齐全后额外一次；基础单件奖励不再重复发</x:v>
      </x:c>
    </x:row>
    <x:row r="48" ht="32" customHeight="1">
      <x:c r="A48" s="28" t="str">
        <x:v>C10</x:v>
      </x:c>
      <x:c r="B48" s="28" t="str">
        <x:v>王城矿井</x:v>
      </x:c>
      <x:c r="C48" s="28" t="n">
        <x:v>12</x:v>
      </x:c>
      <x:c r="D48" s="28" t="n">
        <x:v>70</x:v>
      </x:c>
      <x:c r="E48" s="28" t="n">
        <x:v>0.5</x:v>
      </x:c>
      <x:c r="F48" s="28" t="n">
        <x:v>0.05</x:v>
      </x:c>
      <x:c r="G48" s="28" t="n">
        <x:v>0</x:v>
      </x:c>
      <x:c r="H48" s="28" t="n">
        <x:v>0</x:v>
      </x:c>
      <x:c r="I48" s="28" t="n">
        <x:v>0</x:v>
      </x:c>
      <x:c r="J48" s="28" t="str">
        <x:v>本地图登记齐全后额外一次；基础单件奖励不再重复发</x:v>
      </x:c>
    </x:row>
    <x:row r="49" ht="32" customHeight="1">
      <x:c r="A49" s="28" t="str">
        <x:v>C10</x:v>
      </x:c>
      <x:c r="B49" s="28" t="str">
        <x:v>王城地穴</x:v>
      </x:c>
      <x:c r="C49" s="28" t="n">
        <x:v>12</x:v>
      </x:c>
      <x:c r="D49" s="28" t="n">
        <x:v>70</x:v>
      </x:c>
      <x:c r="E49" s="28" t="n">
        <x:v>0.5</x:v>
      </x:c>
      <x:c r="F49" s="28" t="n">
        <x:v>0.05</x:v>
      </x:c>
      <x:c r="G49" s="28" t="n">
        <x:v>0</x:v>
      </x:c>
      <x:c r="H49" s="28" t="n">
        <x:v>0</x:v>
      </x:c>
      <x:c r="I49" s="28" t="n">
        <x:v>0</x:v>
      </x:c>
      <x:c r="J49" s="28" t="str">
        <x:v>本地图登记齐全后额外一次；基础单件奖励不再重复发</x:v>
      </x:c>
    </x:row>
    <x:row r="50" ht="32" customHeight="1">
      <x:c r="A50" s="28" t="str">
        <x:v>C10</x:v>
      </x:c>
      <x:c r="B50" s="28" t="str">
        <x:v>黄金王宫</x:v>
      </x:c>
      <x:c r="C50" s="28" t="n">
        <x:v>13</x:v>
      </x:c>
      <x:c r="D50" s="28" t="n">
        <x:v>70</x:v>
      </x:c>
      <x:c r="E50" s="28" t="n">
        <x:v>0.5</x:v>
      </x:c>
      <x:c r="F50" s="28" t="n">
        <x:v>0.05</x:v>
      </x:c>
      <x:c r="G50" s="28" t="n">
        <x:v>0</x:v>
      </x:c>
      <x:c r="H50" s="28" t="n">
        <x:v>0</x:v>
      </x:c>
      <x:c r="I50" s="28" t="n">
        <x:v>0</x:v>
      </x:c>
      <x:c r="J50" s="28" t="str">
        <x:v>本地图登记齐全后额外一次；基础单件奖励不再重复发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5dc5d0261304d6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9" hidden="0" customWidth="1"/>
    <x:col min="3" max="3" width="16" hidden="0" customWidth="1"/>
    <x:col min="4" max="4" width="16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54" hidden="0" customWidth="1"/>
  </x:cols>
  <x:sheetData>
    <x:row r="1" ht="30" customHeight="1">
      <x:c r="A1" s="5" t="str">
        <x:v>十大陆完整收集｜额外暴击奖励</x:v>
      </x:c>
      <x:c r="B1" s="5"/>
      <x:c r="C1" s="5"/>
      <x:c r="D1" s="5"/>
      <x:c r="E1" s="5"/>
      <x:c r="F1" s="5"/>
      <x:c r="G1" s="5"/>
      <x:c r="H1" s="5"/>
      <x:c r="I1" s="5"/>
    </x:row>
    <x:row r="2" ht="46" customHeight="1">
      <x:c r="A2" s="13" t="str">
        <x:v>沿用已经确认的整大陆暴击档位1/1/2/2/2/3/3/3/5/5，总计27个百分点。这里不是再创建一份同名27%来源。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21" t="str">
        <x:v>大陆ID</x:v>
      </x:c>
      <x:c r="B4" s="21" t="str">
        <x:v>大陆</x:v>
      </x:c>
      <x:c r="C4" s="21" t="str">
        <x:v>专属总件数</x:v>
      </x:c>
      <x:c r="D4" s="21" t="str">
        <x:v>地图组数</x:v>
      </x:c>
      <x:c r="E4" s="21" t="str">
        <x:v>暴击增加(百分点)</x:v>
      </x:c>
      <x:c r="F4" s="21" t="str">
        <x:v>金币</x:v>
      </x:c>
      <x:c r="G4" s="21" t="str">
        <x:v>元宝</x:v>
      </x:c>
      <x:c r="H4" s="21" t="str">
        <x:v>灵符</x:v>
      </x:c>
      <x:c r="I4" s="21" t="str">
        <x:v>结算规则</x:v>
      </x:c>
    </x:row>
    <x:row r="5" ht="35" customHeight="1">
      <x:c r="A5" s="28" t="str">
        <x:v>C01</x:v>
      </x:c>
      <x:c r="B5" s="28" t="str">
        <x:v>漂流群岛</x:v>
      </x:c>
      <x:c r="C5" s="28" t="n">
        <x:v>38</x:v>
      </x:c>
      <x:c r="D5" s="28" t="n">
        <x:v>3</x:v>
      </x:c>
      <x:c r="E5" s="28" t="n">
        <x:v>1</x:v>
      </x:c>
      <x:c r="F5" s="28" t="n">
        <x:v>0</x:v>
      </x:c>
      <x:c r="G5" s="28" t="n">
        <x:v>0</x:v>
      </x:c>
      <x:c r="H5" s="28" t="n">
        <x:v>0</x:v>
      </x:c>
      <x:c r="I5" s="28" t="str">
        <x:v>本大陆全专属登记完成后额外一次；暴击本项全服累计27%</x:v>
      </x:c>
    </x:row>
    <x:row r="6" ht="35" customHeight="1">
      <x:c r="A6" s="28" t="str">
        <x:v>C02</x:v>
      </x:c>
      <x:c r="B6" s="28" t="str">
        <x:v>宁姆格福</x:v>
      </x:c>
      <x:c r="C6" s="28" t="n">
        <x:v>61</x:v>
      </x:c>
      <x:c r="D6" s="28" t="n">
        <x:v>5</x:v>
      </x:c>
      <x:c r="E6" s="28" t="n">
        <x:v>1</x:v>
      </x:c>
      <x:c r="F6" s="28" t="n">
        <x:v>0</x:v>
      </x:c>
      <x:c r="G6" s="28" t="n">
        <x:v>0</x:v>
      </x:c>
      <x:c r="H6" s="28" t="n">
        <x:v>0</x:v>
      </x:c>
      <x:c r="I6" s="28" t="str">
        <x:v>本大陆全专属登记完成后额外一次；暴击本项全服累计27%</x:v>
      </x:c>
    </x:row>
    <x:row r="7" ht="35" customHeight="1">
      <x:c r="A7" s="28" t="str">
        <x:v>C03</x:v>
      </x:c>
      <x:c r="B7" s="28" t="str">
        <x:v>宁姆格福西域</x:v>
      </x:c>
      <x:c r="C7" s="28" t="n">
        <x:v>73</x:v>
      </x:c>
      <x:c r="D7" s="28" t="n">
        <x:v>6</x:v>
      </x:c>
      <x:c r="E7" s="28" t="n">
        <x:v>2</x:v>
      </x:c>
      <x:c r="F7" s="28" t="n">
        <x:v>0</x:v>
      </x:c>
      <x:c r="G7" s="28" t="n">
        <x:v>0</x:v>
      </x:c>
      <x:c r="H7" s="28" t="n">
        <x:v>0</x:v>
      </x:c>
      <x:c r="I7" s="28" t="str">
        <x:v>本大陆全专属登记完成后额外一次；暴击本项全服累计27%</x:v>
      </x:c>
    </x:row>
    <x:row r="8" ht="35" customHeight="1">
      <x:c r="A8" s="28" t="str">
        <x:v>C04</x:v>
      </x:c>
      <x:c r="B8" s="28" t="str">
        <x:v>利耶尼亚海域</x:v>
      </x:c>
      <x:c r="C8" s="28" t="n">
        <x:v>73</x:v>
      </x:c>
      <x:c r="D8" s="28" t="n">
        <x:v>6</x:v>
      </x:c>
      <x:c r="E8" s="28" t="n">
        <x:v>2</x:v>
      </x:c>
      <x:c r="F8" s="28" t="n">
        <x:v>0</x:v>
      </x:c>
      <x:c r="G8" s="28" t="n">
        <x:v>0</x:v>
      </x:c>
      <x:c r="H8" s="28" t="n">
        <x:v>0</x:v>
      </x:c>
      <x:c r="I8" s="28" t="str">
        <x:v>本大陆全专属登记完成后额外一次；暴击本项全服累计27%</x:v>
      </x:c>
    </x:row>
    <x:row r="9" ht="35" customHeight="1">
      <x:c r="A9" s="28" t="str">
        <x:v>C05</x:v>
      </x:c>
      <x:c r="B9" s="28" t="str">
        <x:v>湖之利耶尼亚</x:v>
      </x:c>
      <x:c r="C9" s="28" t="n">
        <x:v>73</x:v>
      </x:c>
      <x:c r="D9" s="28" t="n">
        <x:v>6</x:v>
      </x:c>
      <x:c r="E9" s="28" t="n">
        <x:v>2</x:v>
      </x:c>
      <x:c r="F9" s="28" t="n">
        <x:v>0</x:v>
      </x:c>
      <x:c r="G9" s="28" t="n">
        <x:v>0</x:v>
      </x:c>
      <x:c r="H9" s="28" t="n">
        <x:v>0</x:v>
      </x:c>
      <x:c r="I9" s="28" t="str">
        <x:v>本大陆全专属登记完成后额外一次；暴击本项全服累计27%</x:v>
      </x:c>
    </x:row>
    <x:row r="10" ht="35" customHeight="1">
      <x:c r="A10" s="28" t="str">
        <x:v>C06</x:v>
      </x:c>
      <x:c r="B10" s="28" t="str">
        <x:v>盖利德</x:v>
      </x:c>
      <x:c r="C10" s="28" t="n">
        <x:v>37</x:v>
      </x:c>
      <x:c r="D10" s="28" t="n">
        <x:v>3</x:v>
      </x:c>
      <x:c r="E10" s="28" t="n">
        <x:v>3</x:v>
      </x:c>
      <x:c r="F10" s="28" t="n">
        <x:v>0</x:v>
      </x:c>
      <x:c r="G10" s="28" t="n">
        <x:v>0</x:v>
      </x:c>
      <x:c r="H10" s="28" t="n">
        <x:v>0</x:v>
      </x:c>
      <x:c r="I10" s="28" t="str">
        <x:v>本大陆全专属登记完成后额外一次；暴击本项全服累计27%</x:v>
      </x:c>
    </x:row>
    <x:row r="11" ht="35" customHeight="1">
      <x:c r="A11" s="28" t="str">
        <x:v>C07</x:v>
      </x:c>
      <x:c r="B11" s="28" t="str">
        <x:v>化圣雪原</x:v>
      </x:c>
      <x:c r="C11" s="28" t="n">
        <x:v>37</x:v>
      </x:c>
      <x:c r="D11" s="28" t="n">
        <x:v>3</x:v>
      </x:c>
      <x:c r="E11" s="28" t="n">
        <x:v>3</x:v>
      </x:c>
      <x:c r="F11" s="28" t="n">
        <x:v>0</x:v>
      </x:c>
      <x:c r="G11" s="28" t="n">
        <x:v>0</x:v>
      </x:c>
      <x:c r="H11" s="28" t="n">
        <x:v>0</x:v>
      </x:c>
      <x:c r="I11" s="28" t="str">
        <x:v>本大陆全专属登记完成后额外一次；暴击本项全服累计27%</x:v>
      </x:c>
    </x:row>
    <x:row r="12" ht="35" customHeight="1">
      <x:c r="A12" s="28" t="str">
        <x:v>C08</x:v>
      </x:c>
      <x:c r="B12" s="28" t="str">
        <x:v>巨人山顶</x:v>
      </x:c>
      <x:c r="C12" s="28" t="n">
        <x:v>49</x:v>
      </x:c>
      <x:c r="D12" s="28" t="n">
        <x:v>4</x:v>
      </x:c>
      <x:c r="E12" s="28" t="n">
        <x:v>3</x:v>
      </x:c>
      <x:c r="F12" s="28" t="n">
        <x:v>0</x:v>
      </x:c>
      <x:c r="G12" s="28" t="n">
        <x:v>0</x:v>
      </x:c>
      <x:c r="H12" s="28" t="n">
        <x:v>0</x:v>
      </x:c>
      <x:c r="I12" s="28" t="str">
        <x:v>本大陆全专属登记完成后额外一次；暴击本项全服累计27%</x:v>
      </x:c>
    </x:row>
    <x:row r="13" ht="35" customHeight="1">
      <x:c r="A13" s="28" t="str">
        <x:v>C09</x:v>
      </x:c>
      <x:c r="B13" s="28" t="str">
        <x:v>亚坛高原</x:v>
      </x:c>
      <x:c r="C13" s="28" t="n">
        <x:v>61</x:v>
      </x:c>
      <x:c r="D13" s="28" t="n">
        <x:v>5</x:v>
      </x:c>
      <x:c r="E13" s="28" t="n">
        <x:v>5</x:v>
      </x:c>
      <x:c r="F13" s="28" t="n">
        <x:v>0</x:v>
      </x:c>
      <x:c r="G13" s="28" t="n">
        <x:v>0</x:v>
      </x:c>
      <x:c r="H13" s="28" t="n">
        <x:v>0</x:v>
      </x:c>
      <x:c r="I13" s="28" t="str">
        <x:v>本大陆全专属登记完成后额外一次；暴击本项全服累计27%</x:v>
      </x:c>
    </x:row>
    <x:row r="14" ht="35" customHeight="1">
      <x:c r="A14" s="28" t="str">
        <x:v>C10</x:v>
      </x:c>
      <x:c r="B14" s="28" t="str">
        <x:v>王城罗德尔</x:v>
      </x:c>
      <x:c r="C14" s="28" t="n">
        <x:v>61</x:v>
      </x:c>
      <x:c r="D14" s="28" t="n">
        <x:v>5</x:v>
      </x:c>
      <x:c r="E14" s="28" t="n">
        <x:v>5</x:v>
      </x:c>
      <x:c r="F14" s="28" t="n">
        <x:v>0</x:v>
      </x:c>
      <x:c r="G14" s="28" t="n">
        <x:v>0</x:v>
      </x:c>
      <x:c r="H14" s="28" t="n">
        <x:v>0</x:v>
      </x:c>
      <x:c r="I14" s="28" t="str">
        <x:v>本大陆全专属登记完成后额外一次；暴击本项全服累计27%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398242df4694a9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20" hidden="0" customWidth="1"/>
    <x:col min="9" max="9" width="16" hidden="0" customWidth="1"/>
    <x:col min="10" max="10" width="48" hidden="0" customWidth="1"/>
  </x:cols>
  <x:sheetData>
    <x:row r="1" ht="30" customHeight="1">
      <x:c r="A1" s="5" t="str">
        <x:v>第3—10大陆收藏材料｜奖励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6" customHeight="1">
      <x:c r="A2" s="13" t="str">
        <x:v>C1/C2不新增额外大陆收藏材料。每件消耗1，不收费；图鉴登记与货币回收互斥消耗实物，不能一件同时两用。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4" customHeight="1">
      <x:c r="A4" s="21" t="str">
        <x:v>大陆ID</x:v>
      </x:c>
      <x:c r="B4" s="21" t="str">
        <x:v>材料名</x:v>
      </x:c>
      <x:c r="C4" s="21" t="str">
        <x:v>消耗件数</x:v>
      </x:c>
      <x:c r="D4" s="21" t="str">
        <x:v>金币</x:v>
      </x:c>
      <x:c r="E4" s="21" t="str">
        <x:v>元宝</x:v>
      </x:c>
      <x:c r="F4" s="21" t="str">
        <x:v>灵符</x:v>
      </x:c>
      <x:c r="G4" s="21" t="str">
        <x:v>神力增量</x:v>
      </x:c>
      <x:c r="H4" s="21" t="str">
        <x:v>处决(百分点)</x:v>
      </x:c>
      <x:c r="I4" s="21" t="str">
        <x:v>韧性</x:v>
      </x:c>
      <x:c r="J4" s="21" t="str">
        <x:v>结算规则</x:v>
      </x:c>
    </x:row>
    <x:row r="5" ht="35" customHeight="1">
      <x:c r="A5" s="28" t="str">
        <x:v>C03</x:v>
      </x:c>
      <x:c r="B5" s="28" t="str">
        <x:v>西境风痕碑拓</x:v>
      </x:c>
      <x:c r="C5" s="28" t="n">
        <x:v>1</x:v>
      </x:c>
      <x:c r="D5" s="28" t="n">
        <x:v>0</x:v>
      </x:c>
      <x:c r="E5" s="28" t="n">
        <x:v>0</x:v>
      </x:c>
      <x:c r="F5" s="28" t="n">
        <x:v>0</x:v>
      </x:c>
      <x:c r="G5" s="28" t="n">
        <x:v>0.05</x:v>
      </x:c>
      <x:c r="H5" s="28" t="n">
        <x:v>0</x:v>
      </x:c>
      <x:c r="I5" s="28" t="n">
        <x:v>0</x:v>
      </x:c>
      <x:c r="J5" s="28" t="str">
        <x:v>可交易实物；登记消耗1；角色永久一次；不与称号合成混用</x:v>
      </x:c>
    </x:row>
    <x:row r="6" ht="35" customHeight="1">
      <x:c r="A6" s="28" t="str">
        <x:v>C04</x:v>
      </x:c>
      <x:c r="B6" s="28" t="str">
        <x:v>月潮忆珀</x:v>
      </x:c>
      <x:c r="C6" s="28" t="n">
        <x:v>1</x:v>
      </x:c>
      <x:c r="D6" s="28" t="n">
        <x:v>0</x:v>
      </x:c>
      <x:c r="E6" s="28" t="n">
        <x:v>0</x:v>
      </x:c>
      <x:c r="F6" s="28" t="n">
        <x:v>0</x:v>
      </x:c>
      <x:c r="G6" s="28" t="n">
        <x:v>0.06</x:v>
      </x:c>
      <x:c r="H6" s="28" t="n">
        <x:v>0</x:v>
      </x:c>
      <x:c r="I6" s="28" t="n">
        <x:v>0</x:v>
      </x:c>
      <x:c r="J6" s="28" t="str">
        <x:v>可交易实物；登记消耗1；角色永久一次；不与称号合成混用</x:v>
      </x:c>
    </x:row>
    <x:row r="7" ht="35" customHeight="1">
      <x:c r="A7" s="28" t="str">
        <x:v>C05</x:v>
      </x:c>
      <x:c r="B7" s="28" t="str">
        <x:v>湖心月谱残章</x:v>
      </x:c>
      <x:c r="C7" s="28" t="n">
        <x:v>1</x:v>
      </x:c>
      <x:c r="D7" s="28" t="n">
        <x:v>0</x:v>
      </x:c>
      <x:c r="E7" s="28" t="n">
        <x:v>0</x:v>
      </x:c>
      <x:c r="F7" s="28" t="n">
        <x:v>0</x:v>
      </x:c>
      <x:c r="G7" s="28" t="n">
        <x:v>0.08</x:v>
      </x:c>
      <x:c r="H7" s="28" t="n">
        <x:v>0</x:v>
      </x:c>
      <x:c r="I7" s="28" t="n">
        <x:v>0</x:v>
      </x:c>
      <x:c r="J7" s="28" t="str">
        <x:v>可交易实物；登记消耗1；角色永久一次；不与称号合成混用</x:v>
      </x:c>
    </x:row>
    <x:row r="8" ht="35" customHeight="1">
      <x:c r="A8" s="28" t="str">
        <x:v>C06</x:v>
      </x:c>
      <x:c r="B8" s="28" t="str">
        <x:v>熔原罪火残章</x:v>
      </x:c>
      <x:c r="C8" s="28" t="n">
        <x:v>1</x:v>
      </x:c>
      <x:c r="D8" s="28" t="n">
        <x:v>0</x:v>
      </x:c>
      <x:c r="E8" s="28" t="n">
        <x:v>0</x:v>
      </x:c>
      <x:c r="F8" s="28" t="n">
        <x:v>0</x:v>
      </x:c>
      <x:c r="G8" s="28" t="n">
        <x:v>0.1</x:v>
      </x:c>
      <x:c r="H8" s="28" t="n">
        <x:v>0</x:v>
      </x:c>
      <x:c r="I8" s="28" t="n">
        <x:v>0</x:v>
      </x:c>
      <x:c r="J8" s="28" t="str">
        <x:v>可交易实物；登记消耗1；角色永久一次；不与称号合成混用</x:v>
      </x:c>
    </x:row>
    <x:row r="9" ht="35" customHeight="1">
      <x:c r="A9" s="28" t="str">
        <x:v>C07</x:v>
      </x:c>
      <x:c r="B9" s="28" t="str">
        <x:v>永霜朝圣痕</x:v>
      </x:c>
      <x:c r="C9" s="28" t="n">
        <x:v>1</x:v>
      </x:c>
      <x:c r="D9" s="28" t="n">
        <x:v>0</x:v>
      </x:c>
      <x:c r="E9" s="28" t="n">
        <x:v>0</x:v>
      </x:c>
      <x:c r="F9" s="28" t="n">
        <x:v>0</x:v>
      </x:c>
      <x:c r="G9" s="28" t="n">
        <x:v>0.12</x:v>
      </x:c>
      <x:c r="H9" s="28" t="n">
        <x:v>0</x:v>
      </x:c>
      <x:c r="I9" s="28" t="n">
        <x:v>0</x:v>
      </x:c>
      <x:c r="J9" s="28" t="str">
        <x:v>可交易实物；登记消耗1；角色永久一次；不与称号合成混用</x:v>
      </x:c>
    </x:row>
    <x:row r="10" ht="35" customHeight="1">
      <x:c r="A10" s="28" t="str">
        <x:v>C08</x:v>
      </x:c>
      <x:c r="B10" s="28" t="str">
        <x:v>穹霜碑珀</x:v>
      </x:c>
      <x:c r="C10" s="28" t="n">
        <x:v>1</x:v>
      </x:c>
      <x:c r="D10" s="28" t="n">
        <x:v>0</x:v>
      </x:c>
      <x:c r="E10" s="28" t="n">
        <x:v>0</x:v>
      </x:c>
      <x:c r="F10" s="28" t="n">
        <x:v>0</x:v>
      </x:c>
      <x:c r="G10" s="28" t="n">
        <x:v>0.15</x:v>
      </x:c>
      <x:c r="H10" s="28" t="n">
        <x:v>0</x:v>
      </x:c>
      <x:c r="I10" s="28" t="n">
        <x:v>0</x:v>
      </x:c>
      <x:c r="J10" s="28" t="str">
        <x:v>可交易实物；登记消耗1；角色永久一次；不与称号合成混用</x:v>
      </x:c>
    </x:row>
    <x:row r="11" ht="35" customHeight="1">
      <x:c r="A11" s="28" t="str">
        <x:v>C09</x:v>
      </x:c>
      <x:c r="B11" s="28" t="str">
        <x:v>古坛鎏叶髓</x:v>
      </x:c>
      <x:c r="C11" s="28" t="n">
        <x:v>1</x:v>
      </x:c>
      <x:c r="D11" s="28" t="n">
        <x:v>0</x:v>
      </x:c>
      <x:c r="E11" s="28" t="n">
        <x:v>0</x:v>
      </x:c>
      <x:c r="F11" s="28" t="n">
        <x:v>0</x:v>
      </x:c>
      <x:c r="G11" s="28" t="n">
        <x:v>0.18</x:v>
      </x:c>
      <x:c r="H11" s="28" t="n">
        <x:v>0</x:v>
      </x:c>
      <x:c r="I11" s="28" t="n">
        <x:v>0</x:v>
      </x:c>
      <x:c r="J11" s="28" t="str">
        <x:v>可交易实物；登记消耗1；角色永久一次；不与称号合成混用</x:v>
      </x:c>
    </x:row>
    <x:row r="12" ht="35" customHeight="1">
      <x:c r="A12" s="28" t="str">
        <x:v>C10</x:v>
      </x:c>
      <x:c r="B12" s="28" t="str">
        <x:v>穹律鎏痕拓片</x:v>
      </x:c>
      <x:c r="C12" s="28" t="n">
        <x:v>1</x:v>
      </x:c>
      <x:c r="D12" s="28" t="n">
        <x:v>0</x:v>
      </x:c>
      <x:c r="E12" s="28" t="n">
        <x:v>0</x:v>
      </x:c>
      <x:c r="F12" s="28" t="n">
        <x:v>0</x:v>
      </x:c>
      <x:c r="G12" s="28" t="n">
        <x:v>0.22</x:v>
      </x:c>
      <x:c r="H12" s="28" t="n">
        <x:v>0</x:v>
      </x:c>
      <x:c r="I12" s="28" t="n">
        <x:v>0</x:v>
      </x:c>
      <x:c r="J12" s="28" t="str">
        <x:v>可交易实物；登记消耗1；角色永久一次；不与称号合成混用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ee04b815ac4490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1" hidden="0" customWidth="1"/>
    <x:col min="4" max="4" width="23" hidden="0" customWidth="1"/>
    <x:col min="5" max="5" width="23" hidden="0" customWidth="1"/>
    <x:col min="6" max="6" width="14" hidden="0" customWidth="1"/>
    <x:col min="7" max="7" width="21" hidden="0" customWidth="1"/>
    <x:col min="8" max="8" width="23" hidden="0" customWidth="1"/>
    <x:col min="9" max="9" width="19" hidden="0" customWidth="1"/>
    <x:col min="10" max="10" width="23" hidden="0" customWidth="1"/>
    <x:col min="11" max="11" width="20" hidden="0" customWidth="1"/>
    <x:col min="12" max="12" width="24" hidden="0" customWidth="1"/>
    <x:col min="13" max="13" width="22" hidden="0" customWidth="1"/>
    <x:col min="14" max="14" width="23" hidden="0" customWidth="1"/>
    <x:col min="15" max="15" width="21" hidden="0" customWidth="1"/>
    <x:col min="16" max="16" width="23" hidden="0" customWidth="1"/>
    <x:col min="17" max="17" width="24" hidden="0" customWidth="1"/>
    <x:col min="18" max="18" width="55" hidden="0" customWidth="1"/>
  </x:cols>
  <x:sheetData>
    <x:row r="1" ht="30" customHeight="1">
      <x:c r="A1" s="5" t="str">
        <x:v>十大陆永久成长上限账｜非标准角色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46" customHeight="1">
      <x:c r="A2" s="13" t="str">
        <x:v>只合计本批贯穿称号、独立称号、图鉴、神印、转生；不含装备/命格/旧任务/追梦/用户改过称号。不把集齐上限当作通关硬门槛或完整DPS。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4" ht="34" customHeight="1">
      <x:c r="A4" s="21" t="str">
        <x:v>大陆ID</x:v>
      </x:c>
      <x:c r="B4" s="21" t="str">
        <x:v>大陆</x:v>
      </x:c>
      <x:c r="C4" s="21" t="str">
        <x:v>当前贯穿称号攻击</x:v>
      </x:c>
      <x:c r="D4" s="21" t="str">
        <x:v>累计独立称号攻击</x:v>
      </x:c>
      <x:c r="E4" s="21" t="str">
        <x:v>累计单件图鉴攻击</x:v>
      </x:c>
      <x:c r="F4" s="21" t="str">
        <x:v>神印档位</x:v>
      </x:c>
      <x:c r="G4" s="21" t="str">
        <x:v>神印累计主属性</x:v>
      </x:c>
      <x:c r="H4" s="21" t="str">
        <x:v>无倍率主属性合计</x:v>
      </x:c>
      <x:c r="I4" s="21" t="str">
        <x:v>非神印HP</x:v>
      </x:c>
      <x:c r="J4" s="21" t="str">
        <x:v>无倍率HP合计</x:v>
      </x:c>
      <x:c r="K4" s="21" t="str">
        <x:v>累计整页韧性</x:v>
      </x:c>
      <x:c r="L4" s="21" t="str">
        <x:v>累计整页处决百分点</x:v>
      </x:c>
      <x:c r="M4" s="21" t="str">
        <x:v>累计整页神力增量</x:v>
      </x:c>
      <x:c r="N4" s="21" t="str">
        <x:v>材料图鉴神力增量</x:v>
      </x:c>
      <x:c r="O4" s="21" t="str">
        <x:v>转生神力增量</x:v>
      </x:c>
      <x:c r="P4" s="21" t="str">
        <x:v>同类神力增量合计</x:v>
      </x:c>
      <x:c r="Q4" s="21" t="str">
        <x:v>大陆暴击累计百分点</x:v>
      </x:c>
      <x:c r="R4" s="21" t="str">
        <x:v>边界</x:v>
      </x:c>
    </x:row>
    <x:row r="5" ht="42" customHeight="1">
      <x:c r="A5" s="28" t="str">
        <x:v>C01</x:v>
      </x:c>
      <x:c r="B5" s="28" t="str">
        <x:v>漂流群岛</x:v>
      </x:c>
      <x:c r="C5" s="34" t="n">
        <x:v>100</x:v>
      </x:c>
      <x:c r="D5" s="34" t="n">
        <x:v>30</x:v>
      </x:c>
      <x:c r="E5" s="34" t="n">
        <x:v>71</x:v>
      </x:c>
      <x:c r="F5" s="34" t="n">
        <x:v>0</x:v>
      </x:c>
      <x:c r="G5" s="34" t="n">
        <x:f>F5*(F5+1)/2</x:f>
        <x:v>0</x:v>
      </x:c>
      <x:c r="H5" s="34" t="n">
        <x:f>SUM(C5:E5)+G5</x:f>
        <x:v>201</x:v>
      </x:c>
      <x:c r="I5" s="34" t="n">
        <x:f>SUM(C5:E5)*100</x:f>
        <x:v>20100</x:v>
      </x:c>
      <x:c r="J5" s="34" t="n">
        <x:f>I5+G5*100</x:f>
        <x:v>20100</x:v>
      </x:c>
      <x:c r="K5" s="34" t="n">
        <x:v>60</x:v>
      </x:c>
      <x:c r="L5" s="32" t="n">
        <x:v>1.5</x:v>
      </x:c>
      <x:c r="M5" s="32" t="n">
        <x:v>0.03</x:v>
      </x:c>
      <x:c r="N5" s="32" t="n">
        <x:v>0</x:v>
      </x:c>
      <x:c r="O5" s="32" t="n">
        <x:v>0</x:v>
      </x:c>
      <x:c r="P5" s="32" t="n">
        <x:f>SUM(M5:O5)</x:f>
        <x:v>0.03</x:v>
      </x:c>
      <x:c r="Q5" s="28" t="n">
        <x:v>1</x:v>
      </x:c>
      <x:c r="R5" s="28" t="str">
        <x:v>全收集上限账，不等于通关要求；不含装备、命格、旧任务、追梦与用户改过称号</x:v>
      </x:c>
    </x:row>
    <x:row r="6" ht="42" customHeight="1">
      <x:c r="A6" s="28" t="str">
        <x:v>C02</x:v>
      </x:c>
      <x:c r="B6" s="28" t="str">
        <x:v>宁姆格福</x:v>
      </x:c>
      <x:c r="C6" s="34" t="n">
        <x:v>300</x:v>
      </x:c>
      <x:c r="D6" s="34" t="n">
        <x:v>30</x:v>
      </x:c>
      <x:c r="E6" s="34" t="n">
        <x:v>279</x:v>
      </x:c>
      <x:c r="F6" s="34" t="n">
        <x:v>50</x:v>
      </x:c>
      <x:c r="G6" s="34" t="n">
        <x:f>F6*(F6+1)/2</x:f>
        <x:v>1275</x:v>
      </x:c>
      <x:c r="H6" s="34" t="n">
        <x:f>SUM(C6:E6)+G6</x:f>
        <x:v>1884</x:v>
      </x:c>
      <x:c r="I6" s="34" t="n">
        <x:f>SUM(C6:E6)*100</x:f>
        <x:v>60900</x:v>
      </x:c>
      <x:c r="J6" s="34" t="n">
        <x:f>I6+G6*100</x:f>
        <x:v>188400</x:v>
      </x:c>
      <x:c r="K6" s="34" t="n">
        <x:v>160</x:v>
      </x:c>
      <x:c r="L6" s="32" t="n">
        <x:v>4</x:v>
      </x:c>
      <x:c r="M6" s="32" t="n">
        <x:v>0.08</x:v>
      </x:c>
      <x:c r="N6" s="32" t="n">
        <x:v>0</x:v>
      </x:c>
      <x:c r="O6" s="32" t="n">
        <x:v>0</x:v>
      </x:c>
      <x:c r="P6" s="32" t="n">
        <x:f>SUM(M6:O6)</x:f>
        <x:v>0.08</x:v>
      </x:c>
      <x:c r="Q6" s="28" t="n">
        <x:v>2</x:v>
      </x:c>
      <x:c r="R6" s="28" t="str">
        <x:v>全收集上限账，不等于通关要求；不含装备、命格、旧任务、追梦与用户改过称号</x:v>
      </x:c>
    </x:row>
    <x:row r="7" ht="42" customHeight="1">
      <x:c r="A7" s="28" t="str">
        <x:v>C03</x:v>
      </x:c>
      <x:c r="B7" s="28" t="str">
        <x:v>宁姆格福西域</x:v>
      </x:c>
      <x:c r="C7" s="34" t="n">
        <x:v>800</x:v>
      </x:c>
      <x:c r="D7" s="34" t="n">
        <x:v>210</x:v>
      </x:c>
      <x:c r="E7" s="34" t="n">
        <x:v>651</x:v>
      </x:c>
      <x:c r="F7" s="34" t="n">
        <x:v>80</x:v>
      </x:c>
      <x:c r="G7" s="34" t="n">
        <x:f>F7*(F7+1)/2</x:f>
        <x:v>3240</x:v>
      </x:c>
      <x:c r="H7" s="34" t="n">
        <x:f>SUM(C7:E7)+G7</x:f>
        <x:v>4901</x:v>
      </x:c>
      <x:c r="I7" s="34" t="n">
        <x:f>SUM(C7:E7)*100</x:f>
        <x:v>166100</x:v>
      </x:c>
      <x:c r="J7" s="34" t="n">
        <x:f>I7+G7*100</x:f>
        <x:v>490100</x:v>
      </x:c>
      <x:c r="K7" s="34" t="n">
        <x:v>310</x:v>
      </x:c>
      <x:c r="L7" s="32" t="n">
        <x:v>7</x:v>
      </x:c>
      <x:c r="M7" s="32" t="n">
        <x:v>0.2</x:v>
      </x:c>
      <x:c r="N7" s="32" t="n">
        <x:v>0.05</x:v>
      </x:c>
      <x:c r="O7" s="32" t="n">
        <x:v>0</x:v>
      </x:c>
      <x:c r="P7" s="32" t="n">
        <x:f>SUM(M7:O7)</x:f>
        <x:v>0.25</x:v>
      </x:c>
      <x:c r="Q7" s="28" t="n">
        <x:v>4</x:v>
      </x:c>
      <x:c r="R7" s="28" t="str">
        <x:v>全收集上限账，不等于通关要求；不含装备、命格、旧任务、追梦与用户改过称号</x:v>
      </x:c>
    </x:row>
    <x:row r="8" ht="42" customHeight="1">
      <x:c r="A8" s="28" t="str">
        <x:v>C04</x:v>
      </x:c>
      <x:c r="B8" s="28" t="str">
        <x:v>利耶尼亚海域</x:v>
      </x:c>
      <x:c r="C8" s="34" t="n">
        <x:v>1800</x:v>
      </x:c>
      <x:c r="D8" s="34" t="n">
        <x:v>210</x:v>
      </x:c>
      <x:c r="E8" s="34" t="n">
        <x:v>1271</x:v>
      </x:c>
      <x:c r="F8" s="34" t="n">
        <x:v>110</x:v>
      </x:c>
      <x:c r="G8" s="34" t="n">
        <x:f>F8*(F8+1)/2</x:f>
        <x:v>6105</x:v>
      </x:c>
      <x:c r="H8" s="34" t="n">
        <x:f>SUM(C8:E8)+G8</x:f>
        <x:v>9386</x:v>
      </x:c>
      <x:c r="I8" s="34" t="n">
        <x:f>SUM(C8:E8)*100</x:f>
        <x:v>328100</x:v>
      </x:c>
      <x:c r="J8" s="34" t="n">
        <x:f>I8+G8*100</x:f>
        <x:v>938600</x:v>
      </x:c>
      <x:c r="K8" s="34" t="n">
        <x:v>490</x:v>
      </x:c>
      <x:c r="L8" s="32" t="n">
        <x:v>10</x:v>
      </x:c>
      <x:c r="M8" s="32" t="n">
        <x:v>0.32</x:v>
      </x:c>
      <x:c r="N8" s="32" t="n">
        <x:v>0.11</x:v>
      </x:c>
      <x:c r="O8" s="32" t="n">
        <x:v>0.2</x:v>
      </x:c>
      <x:c r="P8" s="32" t="n">
        <x:f>SUM(M8:O8)</x:f>
        <x:v>0.63</x:v>
      </x:c>
      <x:c r="Q8" s="28" t="n">
        <x:v>6</x:v>
      </x:c>
      <x:c r="R8" s="28" t="str">
        <x:v>全收集上限账，不等于通关要求；不含装备、命格、旧任务、追梦与用户改过称号</x:v>
      </x:c>
    </x:row>
    <x:row r="9" ht="42" customHeight="1">
      <x:c r="A9" s="28" t="str">
        <x:v>C05</x:v>
      </x:c>
      <x:c r="B9" s="28" t="str">
        <x:v>湖之利耶尼亚</x:v>
      </x:c>
      <x:c r="C9" s="34" t="n">
        <x:v>3800</x:v>
      </x:c>
      <x:c r="D9" s="34" t="n">
        <x:v>1010</x:v>
      </x:c>
      <x:c r="E9" s="34" t="n">
        <x:v>2263</x:v>
      </x:c>
      <x:c r="F9" s="34" t="n">
        <x:v>140</x:v>
      </x:c>
      <x:c r="G9" s="34" t="n">
        <x:f>F9*(F9+1)/2</x:f>
        <x:v>9870</x:v>
      </x:c>
      <x:c r="H9" s="34" t="n">
        <x:f>SUM(C9:E9)+G9</x:f>
        <x:v>16943</x:v>
      </x:c>
      <x:c r="I9" s="34" t="n">
        <x:f>SUM(C9:E9)*100</x:f>
        <x:v>707300</x:v>
      </x:c>
      <x:c r="J9" s="34" t="n">
        <x:f>I9+G9*100</x:f>
        <x:v>1694300</x:v>
      </x:c>
      <x:c r="K9" s="34" t="n">
        <x:v>700</x:v>
      </x:c>
      <x:c r="L9" s="32" t="n">
        <x:v>13</x:v>
      </x:c>
      <x:c r="M9" s="32" t="n">
        <x:v>0.5</x:v>
      </x:c>
      <x:c r="N9" s="32" t="n">
        <x:v>0.19</x:v>
      </x:c>
      <x:c r="O9" s="32" t="n">
        <x:v>0.2</x:v>
      </x:c>
      <x:c r="P9" s="32" t="n">
        <x:f>SUM(M9:O9)</x:f>
        <x:v>0.8899999999999999</x:v>
      </x:c>
      <x:c r="Q9" s="28" t="n">
        <x:v>8</x:v>
      </x:c>
      <x:c r="R9" s="28" t="str">
        <x:v>全收集上限账，不等于通关要求；不含装备、命格、旧任务、追梦与用户改过称号</x:v>
      </x:c>
    </x:row>
    <x:row r="10" ht="42" customHeight="1">
      <x:c r="A10" s="28" t="str">
        <x:v>C06</x:v>
      </x:c>
      <x:c r="B10" s="28" t="str">
        <x:v>盖利德</x:v>
      </x:c>
      <x:c r="C10" s="34" t="n">
        <x:v>8000</x:v>
      </x:c>
      <x:c r="D10" s="34" t="n">
        <x:v>1010</x:v>
      </x:c>
      <x:c r="E10" s="34" t="n">
        <x:v>3031</x:v>
      </x:c>
      <x:c r="F10" s="34" t="n">
        <x:v>170</x:v>
      </x:c>
      <x:c r="G10" s="34" t="n">
        <x:f>F10*(F10+1)/2</x:f>
        <x:v>14535</x:v>
      </x:c>
      <x:c r="H10" s="34" t="n">
        <x:f>SUM(C10:E10)+G10</x:f>
        <x:v>26576</x:v>
      </x:c>
      <x:c r="I10" s="34" t="n">
        <x:f>SUM(C10:E10)*100</x:f>
        <x:v>1204100</x:v>
      </x:c>
      <x:c r="J10" s="34" t="n">
        <x:f>I10+G10*100</x:f>
        <x:v>2657600</x:v>
      </x:c>
      <x:c r="K10" s="34" t="n">
        <x:v>820</x:v>
      </x:c>
      <x:c r="L10" s="32" t="n">
        <x:v>14.5</x:v>
      </x:c>
      <x:c r="M10" s="32" t="n">
        <x:v>0.59</x:v>
      </x:c>
      <x:c r="N10" s="32" t="n">
        <x:v>0.29</x:v>
      </x:c>
      <x:c r="O10" s="32" t="n">
        <x:v>0.45</x:v>
      </x:c>
      <x:c r="P10" s="32" t="n">
        <x:f>SUM(M10:O10)</x:f>
        <x:v>1.3299999999999998</x:v>
      </x:c>
      <x:c r="Q10" s="28" t="n">
        <x:v>11</x:v>
      </x:c>
      <x:c r="R10" s="28" t="str">
        <x:v>全收集上限账，不等于通关要求；不含装备、命格、旧任务、追梦与用户改过称号</x:v>
      </x:c>
    </x:row>
    <x:row r="11" ht="42" customHeight="1">
      <x:c r="A11" s="28" t="str">
        <x:v>C07</x:v>
      </x:c>
      <x:c r="B11" s="28" t="str">
        <x:v>化圣雪原</x:v>
      </x:c>
      <x:c r="C11" s="34" t="n">
        <x:v>16000</x:v>
      </x:c>
      <x:c r="D11" s="34" t="n">
        <x:v>4510</x:v>
      </x:c>
      <x:c r="E11" s="34" t="n">
        <x:v>4311</x:v>
      </x:c>
      <x:c r="F11" s="34" t="n">
        <x:v>195</x:v>
      </x:c>
      <x:c r="G11" s="34" t="n">
        <x:f>F11*(F11+1)/2</x:f>
        <x:v>19110</x:v>
      </x:c>
      <x:c r="H11" s="34" t="n">
        <x:f>SUM(C11:E11)+G11</x:f>
        <x:v>43931</x:v>
      </x:c>
      <x:c r="I11" s="34" t="n">
        <x:f>SUM(C11:E11)*100</x:f>
        <x:v>2482100</x:v>
      </x:c>
      <x:c r="J11" s="34" t="n">
        <x:f>I11+G11*100</x:f>
        <x:v>4393100</x:v>
      </x:c>
      <x:c r="K11" s="34" t="n">
        <x:v>955</x:v>
      </x:c>
      <x:c r="L11" s="32" t="n">
        <x:v>16</x:v>
      </x:c>
      <x:c r="M11" s="32" t="n">
        <x:v>0.71</x:v>
      </x:c>
      <x:c r="N11" s="32" t="n">
        <x:v>0.41</x:v>
      </x:c>
      <x:c r="O11" s="32" t="n">
        <x:v>0.45</x:v>
      </x:c>
      <x:c r="P11" s="32" t="n">
        <x:f>SUM(M11:O11)</x:f>
        <x:v>1.5699999999999998</x:v>
      </x:c>
      <x:c r="Q11" s="28" t="n">
        <x:v>14</x:v>
      </x:c>
      <x:c r="R11" s="28" t="str">
        <x:v>全收集上限账，不等于通关要求；不含装备、命格、旧任务、追梦与用户改过称号</x:v>
      </x:c>
    </x:row>
    <x:row r="12" ht="42" customHeight="1">
      <x:c r="A12" s="28" t="str">
        <x:v>C08</x:v>
      </x:c>
      <x:c r="B12" s="28" t="str">
        <x:v>巨人山顶</x:v>
      </x:c>
      <x:c r="C12" s="34" t="n">
        <x:v>32000</x:v>
      </x:c>
      <x:c r="D12" s="34" t="n">
        <x:v>4510</x:v>
      </x:c>
      <x:c r="E12" s="34" t="n">
        <x:v>6831</x:v>
      </x:c>
      <x:c r="F12" s="34" t="n">
        <x:v>220</x:v>
      </x:c>
      <x:c r="G12" s="34" t="n">
        <x:f>F12*(F12+1)/2</x:f>
        <x:v>24310</x:v>
      </x:c>
      <x:c r="H12" s="34" t="n">
        <x:f>SUM(C12:E12)+G12</x:f>
        <x:v>67651</x:v>
      </x:c>
      <x:c r="I12" s="34" t="n">
        <x:f>SUM(C12:E12)*100</x:f>
        <x:v>4334100</x:v>
      </x:c>
      <x:c r="J12" s="34" t="n">
        <x:f>I12+G12*100</x:f>
        <x:v>6765100</x:v>
      </x:c>
      <x:c r="K12" s="34" t="n">
        <x:v>1155</x:v>
      </x:c>
      <x:c r="L12" s="32" t="n">
        <x:v>18</x:v>
      </x:c>
      <x:c r="M12" s="32" t="n">
        <x:v>0.87</x:v>
      </x:c>
      <x:c r="N12" s="32" t="n">
        <x:v>0.56</x:v>
      </x:c>
      <x:c r="O12" s="32" t="n">
        <x:v>0.75</x:v>
      </x:c>
      <x:c r="P12" s="32" t="n">
        <x:f>SUM(M12:O12)</x:f>
        <x:v>2.18</x:v>
      </x:c>
      <x:c r="Q12" s="28" t="n">
        <x:v>17</x:v>
      </x:c>
      <x:c r="R12" s="28" t="str">
        <x:v>全收集上限账，不等于通关要求；不含装备、命格、旧任务、追梦与用户改过称号</x:v>
      </x:c>
    </x:row>
    <x:row r="13" ht="42" customHeight="1">
      <x:c r="A13" s="28" t="str">
        <x:v>C09</x:v>
      </x:c>
      <x:c r="B13" s="28" t="str">
        <x:v>亚坛高原</x:v>
      </x:c>
      <x:c r="C13" s="34" t="n">
        <x:v>60000</x:v>
      </x:c>
      <x:c r="D13" s="34" t="n">
        <x:v>16510</x:v>
      </x:c>
      <x:c r="E13" s="34" t="n">
        <x:v>12031</x:v>
      </x:c>
      <x:c r="F13" s="34" t="n">
        <x:v>240</x:v>
      </x:c>
      <x:c r="G13" s="34" t="n">
        <x:f>F13*(F13+1)/2</x:f>
        <x:v>28920</x:v>
      </x:c>
      <x:c r="H13" s="34" t="n">
        <x:f>SUM(C13:E13)+G13</x:f>
        <x:v>117461</x:v>
      </x:c>
      <x:c r="I13" s="34" t="n">
        <x:f>SUM(C13:E13)*100</x:f>
        <x:v>8854100</x:v>
      </x:c>
      <x:c r="J13" s="34" t="n">
        <x:f>I13+G13*100</x:f>
        <x:v>11746100</x:v>
      </x:c>
      <x:c r="K13" s="34" t="n">
        <x:v>1455</x:v>
      </x:c>
      <x:c r="L13" s="32" t="n">
        <x:v>20.5</x:v>
      </x:c>
      <x:c r="M13" s="32" t="n">
        <x:v>1.12</x:v>
      </x:c>
      <x:c r="N13" s="32" t="n">
        <x:v>0.74</x:v>
      </x:c>
      <x:c r="O13" s="32" t="n">
        <x:v>0.75</x:v>
      </x:c>
      <x:c r="P13" s="32" t="n">
        <x:f>SUM(M13:O13)</x:f>
        <x:v>2.6100000000000003</x:v>
      </x:c>
      <x:c r="Q13" s="28" t="n">
        <x:v>22</x:v>
      </x:c>
      <x:c r="R13" s="28" t="str">
        <x:v>全收集上限账，不等于通关要求；不含装备、命格、旧任务、追梦与用户改过称号</x:v>
      </x:c>
    </x:row>
    <x:row r="14" ht="42" customHeight="1">
      <x:c r="A14" s="28" t="str">
        <x:v>C10</x:v>
      </x:c>
      <x:c r="B14" s="28" t="str">
        <x:v>王城罗德尔</x:v>
      </x:c>
      <x:c r="C14" s="34" t="n">
        <x:v>100000</x:v>
      </x:c>
      <x:c r="D14" s="34" t="n">
        <x:v>36510</x:v>
      </x:c>
      <x:c r="E14" s="34" t="n">
        <x:v>20351</x:v>
      </x:c>
      <x:c r="F14" s="34" t="n">
        <x:v>255</x:v>
      </x:c>
      <x:c r="G14" s="34" t="n">
        <x:f>F14*(F14+1)/2</x:f>
        <x:v>32640</x:v>
      </x:c>
      <x:c r="H14" s="34" t="n">
        <x:f>SUM(C14:E14)+G14</x:f>
        <x:v>189501</x:v>
      </x:c>
      <x:c r="I14" s="34" t="n">
        <x:f>SUM(C14:E14)*100</x:f>
        <x:v>15686100</x:v>
      </x:c>
      <x:c r="J14" s="34" t="n">
        <x:f>I14+G14*100</x:f>
        <x:v>18950100</x:v>
      </x:c>
      <x:c r="K14" s="34" t="n">
        <x:v>1805</x:v>
      </x:c>
      <x:c r="L14" s="32" t="n">
        <x:v>23</x:v>
      </x:c>
      <x:c r="M14" s="32" t="n">
        <x:v>1.37</x:v>
      </x:c>
      <x:c r="N14" s="32" t="n">
        <x:v>0.96</x:v>
      </x:c>
      <x:c r="O14" s="32" t="n">
        <x:v>1.1</x:v>
      </x:c>
      <x:c r="P14" s="32" t="n">
        <x:f>SUM(M14:O14)</x:f>
        <x:v>3.43</x:v>
      </x:c>
      <x:c r="Q14" s="28" t="n">
        <x:v>27</x:v>
      </x:c>
      <x:c r="R14" s="28" t="str">
        <x:v>全收集上限账，不等于通关要求；不含装备、命格、旧任务、追梦与用户改过称号</x:v>
      </x:c>
    </x:row>
  </x:sheetData>
  <x:mergeCells>
    <x:mergeCell ref="A1:R1"/>
    <x:mergeCell ref="A2:R2"/>
  </x:mergeCells>
  <x:conditionalFormatting sqref="H5:H14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{18E104A4-490E-8789-7C72-9FAE527F178F}</x14:id>
        </x:ext>
      </x:extLst>
    </x:cfRule>
  </x:conditionalFormatting>
  <x:conditionalFormatting sqref="P5:P14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{A553C164-C41A-20BD-C81C-041640FECB5A}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c3d3e8c940b43e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8E104A4-490E-8789-7C72-9FAE527F178F}">
            <x14:dataBar gradient="1">
              <x14:cfvo type="min"/>
              <x14:cfvo type="max"/>
              <x14:fillColor rgb="FF156082"/>
            </x14:dataBar>
          </x14:cfRule>
          <xm:sqref>H5:H14</xm:sqref>
        </x14:conditionalFormatting>
        <x14:conditionalFormatting>
          <x14:cfRule type="dataBar" priority="2" id="{A553C164-C41A-20BD-C81C-041640FECB5A}">
            <x14:dataBar gradient="1">
              <x14:cfvo type="min"/>
              <x14:cfvo type="max"/>
              <x14:fillColor rgb="FFA02B93"/>
            </x14:dataBar>
          </x14:cfRule>
          <xm:sqref>P5:P14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19" hidden="0" customWidth="1"/>
    <x:col min="4" max="4" width="20" hidden="0" customWidth="1"/>
    <x:col min="5" max="5" width="26" hidden="0" customWidth="1"/>
    <x:col min="6" max="6" width="19" hidden="0" customWidth="1"/>
    <x:col min="7" max="7" width="19" hidden="0" customWidth="1"/>
    <x:col min="8" max="8" width="25" hidden="0" customWidth="1"/>
    <x:col min="9" max="9" width="53" hidden="0" customWidth="1"/>
  </x:cols>
  <x:sheetData>
    <x:row r="1" ht="30" customHeight="1">
      <x:c r="A1" s="5" t="str">
        <x:v>人物项链幸运｜永久角色进度</x:v>
      </x:c>
      <x:c r="B1" s="5"/>
      <x:c r="C1" s="5"/>
      <x:c r="D1" s="5"/>
      <x:c r="E1" s="5"/>
      <x:c r="F1" s="5"/>
      <x:c r="G1" s="5"/>
      <x:c r="H1" s="5"/>
      <x:c r="I1" s="5"/>
    </x:row>
    <x:row r="2" ht="46" customHeight="1">
      <x:c r="A2" s="13" t="str">
        <x:v>目标幸运8；前250次每次2.4%，251次起20%。进度绑定人物而非项链，换项链后保留；达到幸运8后以后永久享受对应奖励。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21" t="str">
        <x:v>人物累计尝试起点</x:v>
      </x:c>
      <x:c r="B4" s="21" t="str">
        <x:v>人物累计尝试区间</x:v>
      </x:c>
      <x:c r="C4" s="21" t="str">
        <x:v>单次成功率</x:v>
      </x:c>
      <x:c r="D4" s="21" t="str">
        <x:v>人物项链幸运上限</x:v>
      </x:c>
      <x:c r="E4" s="21" t="str">
        <x:v>成功/失败效果</x:v>
      </x:c>
      <x:c r="F4" s="21" t="str">
        <x:v>每次金币</x:v>
      </x:c>
      <x:c r="G4" s="21" t="str">
        <x:v>每次元宝</x:v>
      </x:c>
      <x:c r="H4" s="21" t="str">
        <x:v>每次材料</x:v>
      </x:c>
      <x:c r="I4" s="21" t="str">
        <x:v>机制边界</x:v>
      </x:c>
    </x:row>
    <x:row r="5" ht="45" customHeight="1">
      <x:c r="A5" s="28" t="n">
        <x:v>1</x:v>
      </x:c>
      <x:c r="B5" s="28" t="n">
        <x:v>250</x:v>
      </x:c>
      <x:c r="C5" s="36" t="n">
        <x:v>0.024</x:v>
      </x:c>
      <x:c r="D5" s="28" t="n">
        <x:v>8</x:v>
      </x:c>
      <x:c r="E5" s="28" t="str">
        <x:v>成功+1；失败不变</x:v>
      </x:c>
      <x:c r="F5" s="28" t="n">
        <x:v>0</x:v>
      </x:c>
      <x:c r="G5" s="28" t="n">
        <x:v>1000000</x:v>
      </x:c>
      <x:c r="H5" s="28" t="str">
        <x:v>黄金树芽×1</x:v>
      </x:c>
      <x:c r="I5" s="28" t="str">
        <x:v>人物累计计数；换项链不清零；达到幸运8后停止，不重复付费</x:v>
      </x:c>
    </x:row>
    <x:row r="6" ht="45" customHeight="1">
      <x:c r="A6" s="28" t="n">
        <x:v>251</x:v>
      </x:c>
      <x:c r="B6" s="28" t="str">
        <x:v>无上限</x:v>
      </x:c>
      <x:c r="C6" s="36" t="n">
        <x:v>0.2</x:v>
      </x:c>
      <x:c r="D6" s="28" t="n">
        <x:v>8</x:v>
      </x:c>
      <x:c r="E6" s="28" t="str">
        <x:v>成功+1；失败不变</x:v>
      </x:c>
      <x:c r="F6" s="28" t="n">
        <x:v>0</x:v>
      </x:c>
      <x:c r="G6" s="28" t="n">
        <x:v>1000000</x:v>
      </x:c>
      <x:c r="H6" s="28" t="str">
        <x:v>黄金树芽×1</x:v>
      </x:c>
      <x:c r="I6" s="28" t="str">
        <x:v>人物累计计数；软保底阶段继续到幸运8；换项链不清零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60dd542b7aa42c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9" hidden="0" customWidth="1"/>
    <x:col min="3" max="3" width="15" hidden="0" customWidth="1"/>
    <x:col min="4" max="4" width="16" hidden="0" customWidth="1"/>
    <x:col min="5" max="5" width="50" hidden="0" customWidth="1"/>
    <x:col min="6" max="6" width="48" hidden="0" customWidth="1"/>
  </x:cols>
  <x:sheetData>
    <x:row r="1" ht="30" customHeight="1">
      <x:c r="A1" s="5" t="str">
        <x:v>稀缺属性预算与条件奖励</x:v>
      </x:c>
      <x:c r="B1" s="5"/>
      <x:c r="C1" s="5"/>
      <x:c r="D1" s="5"/>
      <x:c r="E1" s="5"/>
      <x:c r="F1" s="5"/>
    </x:row>
    <x:row r="2" ht="46" customHeight="1">
      <x:c r="A2" s="13" t="str">
        <x:v>预算、已存在机制与新发放必须分开；未知本机属性不能冒充0。</x:v>
      </x:c>
      <x:c r="B2" s="13"/>
      <x:c r="C2" s="13"/>
      <x:c r="D2" s="13"/>
      <x:c r="E2" s="13"/>
      <x:c r="F2" s="13"/>
    </x:row>
    <x:row r="4" ht="34" customHeight="1">
      <x:c r="A4" s="21" t="str">
        <x:v>属性</x:v>
      </x:c>
      <x:c r="B4" s="21" t="str">
        <x:v>对象</x:v>
      </x:c>
      <x:c r="C4" s="21" t="str">
        <x:v>数值</x:v>
      </x:c>
      <x:c r="D4" s="21" t="str">
        <x:v>单位</x:v>
      </x:c>
      <x:c r="E4" s="21" t="str">
        <x:v>规则</x:v>
      </x:c>
      <x:c r="F4" s="21" t="str">
        <x:v>验证范围</x:v>
      </x:c>
    </x:row>
    <x:row r="5" ht="40" customHeight="1">
      <x:c r="A5" s="28" t="str">
        <x:v>攻速突破</x:v>
      </x:c>
      <x:c r="B5" s="28" t="str">
        <x:v>新产出464专属+38合成可同时穿戴最大值</x:v>
      </x:c>
      <x:c r="C5" s="28" t="n">
        <x:v>16</x:v>
      </x:c>
      <x:c r="D5" s="28" t="str">
        <x:v>点</x:v>
      </x:c>
      <x:c r="E5" s="28" t="str">
        <x:v>按武器5、其他部位预算分配；不是每大陆再加16</x:v>
      </x:c>
      <x:c r="F5" s="28" t="str">
        <x:v>离线装备边界；保留旧件/用户修改项尚须合并</x:v>
      </x:c>
    </x:row>
    <x:row r="6" ht="40" customHeight="1">
      <x:c r="A6" s="28" t="str">
        <x:v>攻速突破</x:v>
      </x:c>
      <x:c r="B6" s="28" t="str">
        <x:v>命格预留</x:v>
      </x:c>
      <x:c r="C6" s="28" t="n">
        <x:v>4</x:v>
      </x:c>
      <x:c r="D6" s="28" t="str">
        <x:v>点</x:v>
      </x:c>
      <x:c r="E6" s="28" t="str">
        <x:v>现行命格数据字典未完成突破路由，不假装已经投放</x:v>
      </x:c>
      <x:c r="F6" s="28" t="str">
        <x:v>预留，不计当前实际角色</x:v>
      </x:c>
    </x:row>
    <x:row r="7" ht="40" customHeight="1">
      <x:c r="A7" s="28" t="str">
        <x:v>鞭尸</x:v>
      </x:c>
      <x:c r="B7" s="28" t="str">
        <x:v>本批装备可同时穿戴最大</x:v>
      </x:c>
      <x:c r="C7" s="28" t="n">
        <x:v>20</x:v>
      </x:c>
      <x:c r="D7" s="28" t="str">
        <x:v>百分点</x:v>
      </x:c>
      <x:c r="E7" s="28" t="str">
        <x:v>不把同部位不同大陆装备同时叠加</x:v>
      </x:c>
      <x:c r="F7" s="28" t="str">
        <x:v>旧任务、命格等其他已有来源仍需全源核对</x:v>
      </x:c>
    </x:row>
    <x:row r="8" ht="40" customHeight="1">
      <x:c r="A8" s="28" t="str">
        <x:v>鞭尸</x:v>
      </x:c>
      <x:c r="B8" s="28" t="str">
        <x:v>既有圣律真言满级</x:v>
      </x:c>
      <x:c r="C8" s="28" t="n">
        <x:v>10</x:v>
      </x:c>
      <x:c r="D8" s="28" t="str">
        <x:v>百分点</x:v>
      </x:c>
      <x:c r="E8" s="28" t="str">
        <x:v>既有增量；未新增第二份</x:v>
      </x:c>
      <x:c r="F8" s="28" t="str">
        <x:v>本批装备+此来源目标约30%</x:v>
      </x:c>
    </x:row>
    <x:row r="9" ht="40" customHeight="1">
      <x:c r="A9" s="28" t="str">
        <x:v>回收增加</x:v>
      </x:c>
      <x:c r="B9" s="28" t="str">
        <x:v>经济模型角色总额</x:v>
      </x:c>
      <x:c r="C9" s="28" t="n">
        <x:v>50</x:v>
      </x:c>
      <x:c r="D9" s="28" t="str">
        <x:v>百分点</x:v>
      </x:c>
      <x:c r="E9" s="28" t="str">
        <x:v>只提升货币；材料固定数量</x:v>
      </x:c>
      <x:c r="F9" s="28" t="str">
        <x:v>不在本批给所有装备或赞助重复加50</x:v>
      </x:c>
    </x:row>
    <x:row r="10" ht="40" customHeight="1">
      <x:c r="A10" s="28" t="str">
        <x:v>幸运</x:v>
      </x:c>
      <x:c r="B10" s="28" t="str">
        <x:v>武器后天上限</x:v>
      </x:c>
      <x:c r="C10" s="28" t="n">
        <x:v>7</x:v>
      </x:c>
      <x:c r="D10" s="28" t="str">
        <x:v>点</x:v>
      </x:c>
      <x:c r="E10" s="28" t="str">
        <x:v>继承，禁止装备本体生成幸运7或9</x:v>
      </x:c>
      <x:c r="F10" s="28" t="str">
        <x:v>加项链8有效幸运达到15才触发既有额外奖励</x:v>
      </x:c>
    </x:row>
    <x:row r="11" ht="40" customHeight="1">
      <x:c r="A11" s="28" t="str">
        <x:v>伤害系数</x:v>
      </x:c>
      <x:c r="B11" s="28" t="str">
        <x:v>有效幸运15既有奖励</x:v>
      </x:c>
      <x:c r="C11" s="28" t="n">
        <x:v>15</x:v>
      </x:c>
      <x:c r="D11" s="28" t="str">
        <x:v>百分点</x:v>
      </x:c>
      <x:c r="E11" s="28" t="str">
        <x:v>条件奖励不写成每件项链自带</x:v>
      </x:c>
      <x:c r="F11" s="28" t="str">
        <x:v>不重复新增</x:v>
      </x:c>
    </x:row>
    <x:row r="12" ht="40" customHeight="1">
      <x:c r="A12" s="28" t="str">
        <x:v>处决</x:v>
      </x:c>
      <x:c r="B12" s="28" t="str">
        <x:v>有效幸运15既有奖励</x:v>
      </x:c>
      <x:c r="C12" s="28" t="n">
        <x:v>5</x:v>
      </x:c>
      <x:c r="D12" s="28" t="str">
        <x:v>百分点</x:v>
      </x:c>
      <x:c r="E12" s="28" t="str">
        <x:v>条件奖励不与图鉴单件混写</x:v>
      </x:c>
      <x:c r="F12" s="28" t="str">
        <x:v>不重复新增</x:v>
      </x:c>
    </x:row>
    <x:row r="13" ht="40" customHeight="1">
      <x:c r="A13" s="28" t="str">
        <x:v>暴击</x:v>
      </x:c>
      <x:c r="B13" s="28" t="str">
        <x:v>十大陆全收集总奖励</x:v>
      </x:c>
      <x:c r="C13" s="28" t="n">
        <x:v>27</x:v>
      </x:c>
      <x:c r="D13" s="28" t="str">
        <x:v>百分点</x:v>
      </x:c>
      <x:c r="E13" s="28" t="str">
        <x:v>按已确认档位继承</x:v>
      </x:c>
      <x:c r="F13" s="28" t="str">
        <x:v>不是新增一份27%装备暴击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37c846fb2a5471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55" hidden="0" customWidth="1"/>
  </x:cols>
  <x:sheetData>
    <x:row r="1" ht="30" customHeight="1">
      <x:c r="A1" s="5" t="str">
        <x:v>三件合成首饰盒｜复用已有六槽</x:v>
      </x:c>
      <x:c r="B1" s="5"/>
      <x:c r="C1" s="5"/>
      <x:c r="D1" s="5"/>
    </x:row>
    <x:row r="2" ht="46" customHeight="1">
      <x:c r="A2" s="13" t="str">
        <x:v>沿用原配方既有“时装首饰盒”部位，不增加第7—9槽。成品与相应追梦神器竞争该位置；不修改追梦本身已有位置。</x:v>
      </x:c>
      <x:c r="B2" s="13"/>
      <x:c r="C2" s="13"/>
      <x:c r="D2" s="13"/>
    </x:row>
    <x:row r="4" ht="34" customHeight="1">
      <x:c r="A4" s="21" t="str">
        <x:v>成品</x:v>
      </x:c>
      <x:c r="B4" s="21" t="str">
        <x:v>平台部位</x:v>
      </x:c>
      <x:c r="C4" s="21" t="str">
        <x:v>本批逻辑槽</x:v>
      </x:c>
      <x:c r="D4" s="21" t="str">
        <x:v>说明</x:v>
      </x:c>
    </x:row>
    <x:row r="5" ht="42" customHeight="1">
      <x:c r="A5" s="28" t="str">
        <x:v>闭潮秘饰</x:v>
      </x:c>
      <x:c r="B5" s="28" t="str">
        <x:v>时装首饰盒</x:v>
      </x:c>
      <x:c r="C5" s="28" t="n">
        <x:v>1</x:v>
      </x:c>
      <x:c r="D5" s="28" t="str">
        <x:v>使用既有六槽之一，与该槽追梦神器互斥；不新增第7—9槽，不重分配神器的当前槽位。</x:v>
      </x:c>
    </x:row>
    <x:row r="6" ht="42" customHeight="1">
      <x:c r="A6" s="28" t="str">
        <x:v>穹霜炉心秘饰</x:v>
      </x:c>
      <x:c r="B6" s="28" t="str">
        <x:v>时装首饰盒</x:v>
      </x:c>
      <x:c r="C6" s="28" t="n">
        <x:v>2</x:v>
      </x:c>
      <x:c r="D6" s="28" t="str">
        <x:v>使用既有六槽之一，与该槽追梦神器互斥；不新增第7—9槽，不重分配神器的当前槽位。</x:v>
      </x:c>
    </x:row>
    <x:row r="7" ht="42" customHeight="1">
      <x:c r="A7" s="28" t="str">
        <x:v>无上王徽秘饰</x:v>
      </x:c>
      <x:c r="B7" s="28" t="str">
        <x:v>时装首饰盒</x:v>
      </x:c>
      <x:c r="C7" s="28" t="n">
        <x:v>3</x:v>
      </x:c>
      <x:c r="D7" s="28" t="str">
        <x:v>使用既有六槽之一，与该槽追梦神器互斥；不新增第7—9槽，不重分配神器的当前槽位。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87479165d0649a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7" hidden="0" customWidth="1"/>
    <x:col min="3" max="3" width="57" hidden="0" customWidth="1"/>
    <x:col min="4" max="4" width="19" hidden="0" customWidth="1"/>
    <x:col min="5" max="5" width="48" hidden="0" customWidth="1"/>
    <x:col min="6" max="6" width="55" hidden="0" customWidth="1"/>
  </x:cols>
  <x:sheetData>
    <x:row r="1" ht="30" customHeight="1">
      <x:c r="A1" s="5" t="str">
        <x:v>本批结束后仍未完成的对象</x:v>
      </x:c>
      <x:c r="B1" s="5"/>
      <x:c r="C1" s="5"/>
      <x:c r="D1" s="5"/>
      <x:c r="E1" s="5"/>
      <x:c r="F1" s="5"/>
    </x:row>
    <x:row r="2" ht="46" customHeight="1">
      <x:c r="A2" s="13" t="str">
        <x:v>这是具体缺口表，不以‘等待用户刷怪测试’代替助手设计。编码/本机已改原件缺口仅阻塞相应实体导入，不能阻塞全局数值设计。</x:v>
      </x:c>
      <x:c r="B2" s="13"/>
      <x:c r="C2" s="13"/>
      <x:c r="D2" s="13"/>
      <x:c r="E2" s="13"/>
      <x:c r="F2" s="13"/>
    </x:row>
    <x:row r="4" ht="34" customHeight="1">
      <x:c r="A4" s="21" t="str">
        <x:v>ID</x:v>
      </x:c>
      <x:c r="B4" s="21" t="str">
        <x:v>对象</x:v>
      </x:c>
      <x:c r="C4" s="21" t="str">
        <x:v>需完成内容</x:v>
      </x:c>
      <x:c r="D4" s="21" t="str">
        <x:v>责任</x:v>
      </x:c>
      <x:c r="E4" s="21" t="str">
        <x:v>当前状态</x:v>
      </x:c>
      <x:c r="F4" s="21" t="str">
        <x:v>边界</x:v>
      </x:c>
    </x:row>
    <x:row r="5" ht="55" customHeight="1">
      <x:c r="A5" s="28" t="str">
        <x:v>DROP-01</x:v>
      </x:c>
      <x:c r="B5" s="28" t="str">
        <x:v>逐怪爆率文件</x:v>
      </x:c>
      <x:c r="C5" s="28" t="str">
        <x:v>561只怪物的最终1/x、组数量、子池权重、世界守关与每日福利分账</x:v>
      </x:c>
      <x:c r="D5" s="28" t="str">
        <x:v>我</x:v>
      </x:c>
      <x:c r="E5" s="28" t="str">
        <x:v>下一批；先用本批奖励/装备建立快照，再填TXT</x:v>
      </x:c>
      <x:c r="F5" s="28" t="str">
        <x:v>不要求用户先提供真实产量</x:v>
      </x:c>
    </x:row>
    <x:row r="6" ht="55" customHeight="1">
      <x:c r="A6" s="28" t="str">
        <x:v>PROFILE-01</x:v>
      </x:c>
      <x:c r="B6" s="28" t="str">
        <x:v>标准角色与真实产消验算</x:v>
      </x:c>
      <x:c r="C6" s="28" t="str">
        <x:v>40组半急速人物V1.1已生成；项链幸运改人物绑定；货币/失色尺度同步</x:v>
      </x:c>
      <x:c r="D6" s="28" t="str">
        <x:v>助手</x:v>
      </x:c>
      <x:c r="E6" s="28" t="str">
        <x:v>当前人物基线已完成；下一步接561怪爆率/产消</x:v>
      </x:c>
      <x:c r="F6" s="28" t="str">
        <x:v>目标爆率不通过虚构差额buff补齐；统计值与实服证据分开</x:v>
      </x:c>
    </x:row>
    <x:row r="7" ht="55" customHeight="1">
      <x:c r="A7" s="28" t="str">
        <x:v>WASH-01</x:v>
      </x:c>
      <x:c r="B7" s="28" t="str">
        <x:v>洗练/开光数值池</x:v>
      </x:c>
      <x:c r="C7" s="28" t="str">
        <x:v>用户属性池、词条数、失色费用和固定装备档次映射已明确；候选池按装备有效字段过滤</x:v>
      </x:c>
      <x:c r="D7" s="28" t="str">
        <x:v>助手</x:v>
      </x:c>
      <x:c r="E7" s="28" t="str">
        <x:v>前置规则已定；映射表767物品</x:v>
      </x:c>
      <x:c r="F7" s="28" t="str">
        <x:v>突破低概率不等于数学上限；不新增锁条功能</x:v>
      </x:c>
    </x:row>
    <x:row r="8" ht="55" customHeight="1">
      <x:c r="A8" s="28" t="str">
        <x:v>ASH-01</x:v>
      </x:c>
      <x:c r="B8" s="28" t="str">
        <x:v>战灰奖励池</x:v>
      </x:c>
      <x:c r="C8" s="28" t="str">
        <x:v>战灰主要PVP，本轮按用户最新要求忽略，不再阻塞PVE数值</x:v>
      </x:c>
      <x:c r="D8" s="28" t="str">
        <x:v>我/本地Codex提供字段原件</x:v>
      </x:c>
      <x:c r="E8" s="28" t="str">
        <x:v>从PVE闭环中移除</x:v>
      </x:c>
      <x:c r="F8" s="28" t="str">
        <x:v>不是请用户设计数值</x:v>
      </x:c>
    </x:row>
    <x:row r="9" ht="55" customHeight="1">
      <x:c r="A9" s="28" t="str">
        <x:v>CODE-01</x:v>
      </x:c>
      <x:c r="B9" s="28" t="str">
        <x:v>38件合成成品实体资源</x:v>
      </x:c>
      <x:c r="C9" s="28" t="str">
        <x:v>部位、源码、材料/成品Idx与六称号脚本ID</x:v>
      </x:c>
      <x:c r="D9" s="28" t="str">
        <x:v>本地Codex实库回读；我决定数值</x:v>
      </x:c>
      <x:c r="E9" s="28" t="str">
        <x:v>本批奖励数值已填，38个资源代码未编造</x:v>
      </x:c>
      <x:c r="F9" s="28" t="str">
        <x:v>禁止因数值表完成而盲建库</x:v>
      </x:c>
    </x:row>
    <x:row r="10" ht="55" customHeight="1">
      <x:c r="A10" s="28" t="str">
        <x:v>PROTECTED-01</x:v>
      </x:c>
      <x:c r="B10" s="28" t="str">
        <x:v>用户已改数据</x:v>
      </x:c>
      <x:c r="C10" s="28" t="str">
        <x:v>6追梦/16称号卷/既有付费入口原件未全量接续；属性建模先用隔离假设或明确不装备情景</x:v>
      </x:c>
      <x:c r="D10" s="28" t="str">
        <x:v>助手建模；本地原件用于部署核对</x:v>
      </x:c>
      <x:c r="E10" s="28" t="str">
        <x:v>不再阻塞属性设计</x:v>
      </x:c>
      <x:c r="F10" s="28" t="str">
        <x:v>推定值只进模型，不覆盖用户原件或实际商品价格</x:v>
      </x:c>
    </x:row>
    <x:row r="11" ht="55" customHeight="1">
      <x:c r="A11" s="28" t="str">
        <x:v>BREAK-01</x:v>
      </x:c>
      <x:c r="B11" s="28" t="str">
        <x:v>命格突破4点保留预算</x:v>
      </x:c>
      <x:c r="C11" s="28" t="str">
        <x:v>命格突破4点只作待落地来源预算，模型必须区分已有命格、预算和洗练随机突破</x:v>
      </x:c>
      <x:c r="D11" s="28" t="str">
        <x:v>助手</x:v>
      </x:c>
      <x:c r="E11" s="28" t="str">
        <x:v>采用0点已部署、4点预算敏感性分情景</x:v>
      </x:c>
      <x:c r="F11" s="28" t="str">
        <x:v>不得把预算当成已获得属性；不以字段未导入卡住其余计算</x:v>
      </x:c>
    </x:row>
    <x:row r="12" ht="55" customHeight="1">
      <x:c r="A12" s="28" t="str">
        <x:v>MON-01</x:v>
      </x:c>
      <x:c r="B12" s="28" t="str">
        <x:v>怪物属性</x:v>
      </x:c>
      <x:c r="C12" s="28" t="str">
        <x:v>最终HP/攻击/防御/攻击间隔及经验、地图处决/韧性反算</x:v>
      </x:c>
      <x:c r="D12" s="28" t="str">
        <x:v>我</x:v>
      </x:c>
      <x:c r="E12" s="28" t="str">
        <x:v>最后统一反算</x:v>
      </x:c>
      <x:c r="F12" s="28" t="str">
        <x:v>明确后置，不作为前置阻断</x:v>
      </x:c>
    </x:row>
    <x:row r="13" ht="55" customHeight="1">
      <x:c r="A13" s="28" t="str">
        <x:v>DENSITY-01</x:v>
      </x:c>
      <x:c r="B13" s="28" t="str">
        <x:v>刷怪密度</x:v>
      </x:c>
      <x:c r="C13" s="28" t="str">
        <x:v>数量、刷新节奏和分布的最终局部调整</x:v>
      </x:c>
      <x:c r="D13" s="28" t="str">
        <x:v>用户</x:v>
      </x:c>
      <x:c r="E13" s="28" t="str">
        <x:v>完整数据装入后微调</x:v>
      </x:c>
      <x:c r="F13" s="28" t="str">
        <x:v>不能单靠堆数量修正爆率或奖励错误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1464b1643ee4a06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26" hidden="0" customWidth="1"/>
    <x:col min="4" max="4" width="62" hidden="0" customWidth="1"/>
    <x:col min="5" max="5" width="27" hidden="0" customWidth="1"/>
  </x:cols>
  <x:sheetData>
    <x:row r="1" ht="30" customHeight="1">
      <x:c r="A1" s="5" t="str">
        <x:v>可追溯数值标尺</x:v>
      </x:c>
      <x:c r="B1" s="5"/>
      <x:c r="C1" s="5"/>
      <x:c r="D1" s="5"/>
      <x:c r="E1" s="5"/>
    </x:row>
    <x:row r="2" ht="46" customHeight="1">
      <x:c r="A2" s="13" t="str">
        <x:v>主表是平台值表；参数、角色上限和奖励加算在旁表维护。此标尺只构成第一版，完整配装/DPS、掉落和跨大陆保值验算仍属于后续工作。</x:v>
      </x:c>
      <x:c r="B2" s="13"/>
      <x:c r="C2" s="13"/>
      <x:c r="D2" s="13"/>
      <x:c r="E2" s="13"/>
    </x:row>
    <x:row r="4" ht="34" customHeight="1">
      <x:c r="A4" s="21" t="str">
        <x:v>对象</x:v>
      </x:c>
      <x:c r="B4" s="21" t="str">
        <x:v>大陆序</x:v>
      </x:c>
      <x:c r="C4" s="21" t="str">
        <x:v>参数/公式</x:v>
      </x:c>
      <x:c r="D4" s="21" t="str">
        <x:v>解释</x:v>
      </x:c>
      <x:c r="E4" s="21" t="str">
        <x:v>来源性质</x:v>
      </x:c>
    </x:row>
    <x:row r="5" ht="38" customHeight="1">
      <x:c r="A5" s="28" t="str">
        <x:v>武器高阶标尺</x:v>
      </x:c>
      <x:c r="B5" s="28" t="n">
        <x:v>1</x:v>
      </x:c>
      <x:c r="C5" s="28" t="n">
        <x:v>400</x:v>
      </x:c>
      <x:c r="D5" s="28" t="str">
        <x:v>按大陆递增的底板；不是标准角色面板攻击</x:v>
      </x:c>
      <x:c r="E5" s="28" t="str">
        <x:v>本轮自主设计</x:v>
      </x:c>
    </x:row>
    <x:row r="6" ht="38" customHeight="1">
      <x:c r="A6" s="28" t="str">
        <x:v>武器高阶标尺</x:v>
      </x:c>
      <x:c r="B6" s="28" t="n">
        <x:v>2</x:v>
      </x:c>
      <x:c r="C6" s="28" t="n">
        <x:v>880</x:v>
      </x:c>
      <x:c r="D6" s="28" t="str">
        <x:v>按大陆递增的底板；不是标准角色面板攻击</x:v>
      </x:c>
      <x:c r="E6" s="28" t="str">
        <x:v>本轮自主设计</x:v>
      </x:c>
    </x:row>
    <x:row r="7" ht="38" customHeight="1">
      <x:c r="A7" s="28" t="str">
        <x:v>武器高阶标尺</x:v>
      </x:c>
      <x:c r="B7" s="28" t="n">
        <x:v>3</x:v>
      </x:c>
      <x:c r="C7" s="28" t="n">
        <x:v>1600</x:v>
      </x:c>
      <x:c r="D7" s="28" t="str">
        <x:v>按大陆递增的底板；不是标准角色面板攻击</x:v>
      </x:c>
      <x:c r="E7" s="28" t="str">
        <x:v>本轮自主设计</x:v>
      </x:c>
    </x:row>
    <x:row r="8" ht="38" customHeight="1">
      <x:c r="A8" s="28" t="str">
        <x:v>武器高阶标尺</x:v>
      </x:c>
      <x:c r="B8" s="28" t="n">
        <x:v>4</x:v>
      </x:c>
      <x:c r="C8" s="28" t="n">
        <x:v>2800</x:v>
      </x:c>
      <x:c r="D8" s="28" t="str">
        <x:v>按大陆递增的底板；不是标准角色面板攻击</x:v>
      </x:c>
      <x:c r="E8" s="28" t="str">
        <x:v>本轮自主设计</x:v>
      </x:c>
    </x:row>
    <x:row r="9" ht="38" customHeight="1">
      <x:c r="A9" s="28" t="str">
        <x:v>武器高阶标尺</x:v>
      </x:c>
      <x:c r="B9" s="28" t="n">
        <x:v>5</x:v>
      </x:c>
      <x:c r="C9" s="28" t="n">
        <x:v>5000</x:v>
      </x:c>
      <x:c r="D9" s="28" t="str">
        <x:v>按大陆递增的底板；不是标准角色面板攻击</x:v>
      </x:c>
      <x:c r="E9" s="28" t="str">
        <x:v>本轮自主设计</x:v>
      </x:c>
    </x:row>
    <x:row r="10" ht="38" customHeight="1">
      <x:c r="A10" s="28" t="str">
        <x:v>武器高阶标尺</x:v>
      </x:c>
      <x:c r="B10" s="28" t="n">
        <x:v>6</x:v>
      </x:c>
      <x:c r="C10" s="28" t="n">
        <x:v>8800</x:v>
      </x:c>
      <x:c r="D10" s="28" t="str">
        <x:v>按大陆递增的底板；不是标准角色面板攻击</x:v>
      </x:c>
      <x:c r="E10" s="28" t="str">
        <x:v>本轮自主设计</x:v>
      </x:c>
    </x:row>
    <x:row r="11" ht="38" customHeight="1">
      <x:c r="A11" s="28" t="str">
        <x:v>武器高阶标尺</x:v>
      </x:c>
      <x:c r="B11" s="28" t="n">
        <x:v>7</x:v>
      </x:c>
      <x:c r="C11" s="28" t="n">
        <x:v>16000</x:v>
      </x:c>
      <x:c r="D11" s="28" t="str">
        <x:v>按大陆递增的底板；不是标准角色面板攻击</x:v>
      </x:c>
      <x:c r="E11" s="28" t="str">
        <x:v>本轮自主设计</x:v>
      </x:c>
    </x:row>
    <x:row r="12" ht="38" customHeight="1">
      <x:c r="A12" s="28" t="str">
        <x:v>武器高阶标尺</x:v>
      </x:c>
      <x:c r="B12" s="28" t="n">
        <x:v>8</x:v>
      </x:c>
      <x:c r="C12" s="28" t="n">
        <x:v>28000</x:v>
      </x:c>
      <x:c r="D12" s="28" t="str">
        <x:v>按大陆递增的底板；不是标准角色面板攻击</x:v>
      </x:c>
      <x:c r="E12" s="28" t="str">
        <x:v>本轮自主设计</x:v>
      </x:c>
    </x:row>
    <x:row r="13" ht="38" customHeight="1">
      <x:c r="A13" s="28" t="str">
        <x:v>武器高阶标尺</x:v>
      </x:c>
      <x:c r="B13" s="28" t="n">
        <x:v>9</x:v>
      </x:c>
      <x:c r="C13" s="28" t="n">
        <x:v>50000</x:v>
      </x:c>
      <x:c r="D13" s="28" t="str">
        <x:v>按大陆递增的底板；不是标准角色面板攻击</x:v>
      </x:c>
      <x:c r="E13" s="28" t="str">
        <x:v>本轮自主设计</x:v>
      </x:c>
    </x:row>
    <x:row r="14" ht="38" customHeight="1">
      <x:c r="A14" s="28" t="str">
        <x:v>武器高阶标尺</x:v>
      </x:c>
      <x:c r="B14" s="28" t="n">
        <x:v>10</x:v>
      </x:c>
      <x:c r="C14" s="28" t="n">
        <x:v>88000</x:v>
      </x:c>
      <x:c r="D14" s="28" t="str">
        <x:v>按大陆递增的底板；不是标准角色面板攻击</x:v>
      </x:c>
      <x:c r="E14" s="28" t="str">
        <x:v>本轮自主设计</x:v>
      </x:c>
    </x:row>
    <x:row r="15" ht="38" customHeight="1">
      <x:c r="A15" s="28" t="str">
        <x:v>层内普通强度</x:v>
      </x:c>
      <x:c r="B15" s="28"/>
      <x:c r="C15" s="28" t="str">
        <x:v>0.38+0.10t</x:v>
      </x:c>
      <x:c r="D15" s="28" t="str">
        <x:v>t为本大陆地图组0—1进度；与部位权重、职能再合成</x:v>
      </x:c>
      <x:c r="E15" s="28" t="str">
        <x:v>本轮自主设计</x:v>
      </x:c>
    </x:row>
    <x:row r="16" ht="38" customHeight="1">
      <x:c r="A16" s="28" t="str">
        <x:v>层内稀有强度</x:v>
      </x:c>
      <x:c r="B16" s="28"/>
      <x:c r="C16" s="28" t="str">
        <x:v>0.62+0.18t</x:v>
      </x:c>
      <x:c r="D16" s="28" t="str">
        <x:v>后图稀有允许靠近上大陆BOSS</x:v>
      </x:c>
      <x:c r="E16" s="28" t="str">
        <x:v>本轮自主设计</x:v>
      </x:c>
    </x:row>
    <x:row r="17" ht="38" customHeight="1">
      <x:c r="A17" s="28" t="str">
        <x:v>地图BOSS强度</x:v>
      </x:c>
      <x:c r="B17" s="28"/>
      <x:c r="C17" s="28" t="str">
        <x:v>0.85+0.10t</x:v>
      </x:c>
      <x:c r="D17" s="28" t="str">
        <x:v>大陆最终BOSS标尺1.0</x:v>
      </x:c>
      <x:c r="E17" s="28" t="str">
        <x:v>本轮自主设计</x:v>
      </x:c>
    </x:row>
    <x:row r="18" ht="38" customHeight="1">
      <x:c r="A18" s="28" t="str">
        <x:v>重点合成系数</x:v>
      </x:c>
      <x:c r="B18" s="28"/>
      <x:c r="C18" s="28" t="n">
        <x:v>1.6</x:v>
      </x:c>
      <x:c r="D18" s="28" t="str">
        <x:v>同大陆高阶底板系数；不是全乘区结果保证领先1.6倍</x:v>
      </x:c>
      <x:c r="E18" s="28" t="str">
        <x:v>本轮自主设计</x:v>
      </x:c>
    </x:row>
    <x:row r="19" ht="38" customHeight="1">
      <x:c r="A19" s="28" t="str">
        <x:v>大陆生肖系数</x:v>
      </x:c>
      <x:c r="B19" s="28"/>
      <x:c r="C19" s="28" t="n">
        <x:v>0.8</x:v>
      </x:c>
      <x:c r="D19" s="28" t="str">
        <x:v>乘专用生肖部位权重，不冒充普通重点装备强度</x:v>
      </x:c>
      <x:c r="E19" s="28" t="str">
        <x:v>本轮自主设计</x:v>
      </x:c>
    </x:row>
    <x:row r="20" ht="38" customHeight="1">
      <x:c r="A20" s="28" t="str">
        <x:v>属性舍入</x:v>
      </x:c>
      <x:c r="B20" s="28"/>
      <x:c r="C20" s="28" t="str">
        <x:v>分数量级取整</x:v>
      </x:c>
      <x:c r="D20" s="28" t="str">
        <x:v>1/10/100/1000/10000/100000刻度，具体结果见69列表</x:v>
      </x:c>
      <x:c r="E20" s="28" t="str">
        <x:v>本轮自主设计</x:v>
      </x:c>
    </x:row>
    <x:row r="21" ht="38" customHeight="1">
      <x:c r="A21" s="28" t="str">
        <x:v>同类神力</x:v>
      </x:c>
      <x:c r="B21" s="28"/>
      <x:c r="C21" s="28" t="str">
        <x:v>增量相加</x:v>
      </x:c>
      <x:c r="D21" s="28" t="str">
        <x:v>转生、整页、收藏材料相加；引擎本来基础倍率另计</x:v>
      </x:c>
      <x:c r="E21" s="28" t="str">
        <x:v>沿用加算语义</x:v>
      </x:c>
    </x:row>
    <x:row r="22" ht="38" customHeight="1">
      <x:c r="A22" s="28" t="str">
        <x:v>源编码</x:v>
      </x:c>
      <x:c r="B22" s="28"/>
      <x:c r="C22" s="28" t="str">
        <x:v>342既有码+122既有测试映射</x:v>
      </x:c>
      <x:c r="D22" s="28" t="str">
        <x:v>按原始脚本遍历顺序复现，不按武器/衣服区段臆造</x:v>
      </x:c>
      <x:c r="E22" s="28" t="str">
        <x:v>原始build_outputs.py与抽样manifest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b14af78b1da4d84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8" hidden="0" customWidth="1"/>
    <x:col min="3" max="3" width="60" hidden="0" customWidth="1"/>
    <x:col min="4" max="4" width="50" hidden="0" customWidth="1"/>
  </x:cols>
  <x:sheetData>
    <x:row r="1" ht="30" customHeight="1">
      <x:c r="A1" s="5" t="str">
        <x:v>来源、版本与覆盖关系</x:v>
      </x:c>
      <x:c r="B1" s="5"/>
      <x:c r="C1" s="5"/>
      <x:c r="D1" s="5"/>
    </x:row>
    <x:row r="2" ht="46" customHeight="1">
      <x:c r="A2" s="13" t="str">
        <x:v>GitHub URLs固定到已核验提交，避免分支移动导致追溯混乱；新数值标识为本轮自主设计。</x:v>
      </x:c>
      <x:c r="B2" s="13"/>
      <x:c r="C2" s="13"/>
      <x:c r="D2" s="13"/>
    </x:row>
    <x:row r="4" ht="34" customHeight="1">
      <x:c r="A4" s="21" t="str">
        <x:v>用途</x:v>
      </x:c>
      <x:c r="B4" s="21" t="str">
        <x:v>文件</x:v>
      </x:c>
      <x:c r="C4" s="21" t="str">
        <x:v>定位</x:v>
      </x:c>
      <x:c r="D4" s="21" t="str">
        <x:v>使用边界</x:v>
      </x:c>
    </x:row>
    <x:row r="5" ht="48" customHeight="1">
      <x:c r="A5" s="28" t="str">
        <x:v>现行经济成本</x:v>
      </x:c>
      <x:c r="B5" s="28" t="str">
        <x:v>艾尔登法环_十大陆经济与回收完整规划_V1.0.xlsx</x:v>
      </x:c>
      <x:c r="C5" s="28" t="str">
        <x:v>https://github.com/fanggang78951-creator/MIR/blob/c4ece38ecc459ab0e64968c319788b48c9a26909/codex_tasks/艾尔登法环_十大陆经济与回收数值定稿_20260905/艾尔登法环_十大陆经济与回收完整规划_V1.0.xlsx</x:v>
      </x:c>
      <x:c r="D5" s="28" t="str">
        <x:v>金额/材料保持；hourly预算不冒充闭环</x:v>
      </x:c>
    </x:row>
    <x:row r="6" ht="48" customHeight="1">
      <x:c r="A6" s="28" t="str">
        <x:v>现行回收价格</x:v>
      </x:c>
      <x:c r="B6" s="28" t="str">
        <x:v>19_装备回收配置_十大陆完整规划_V1.0.xlsx</x:v>
      </x:c>
      <x:c r="C6" s="28" t="str">
        <x:v>https://github.com/fanggang78951-creator/MIR/blob/c4ece38ecc459ab0e64968c319788b48c9a26909/codex_tasks/艾尔登法环_十大陆经济与回收数值定稿_20260905/19_装备回收配置_十大陆完整规划_V1.0.xlsx</x:v>
      </x:c>
      <x:c r="D6" s="28" t="str">
        <x:v>只引用，不改原价</x:v>
      </x:c>
    </x:row>
    <x:row r="7" ht="48" customHeight="1">
      <x:c r="A7" s="28" t="str">
        <x:v>C3—C10身份/编号</x:v>
      </x:c>
      <x:c r="B7" s="28" t="str">
        <x:v>第3至10大陆_怪物专属与材料来源总账_V1.1_编码阶段分配.xlsx</x:v>
      </x:c>
      <x:c r="C7" s="28" t="str">
        <x:v>https://github.com/fanggang78951-creator/MIR/blob/c4ece38ecc459ab0e64968c319788b48c9a26909/codex_tasks/艾尔登法环_第3至10大陆_怪物专属材料框架_20260902/第3至10大陆_怪物专属与材料来源总账_V1.1_编码阶段分配.xlsx</x:v>
      </x:c>
      <x:c r="D7" s="28" t="str">
        <x:v>本地Git blob已与远端一致</x:v>
      </x:c>
    </x:row>
    <x:row r="8" ht="48" customHeight="1">
      <x:c r="A8" s="28" t="str">
        <x:v>122缺口赋码算法</x:v>
      </x:c>
      <x:c r="B8" s="28" t="str">
        <x:v>build_outputs.py</x:v>
      </x:c>
      <x:c r="C8" s="28" t="str">
        <x:v>https://github.com/fanggang78951-creator/MIR/blob/c4ece38ecc459ab0e64968c319788b48c9a26909/codex_tasks/艾尔登法环_第3至10大陆_怪物专属材料框架_20260902/build_outputs.py</x:v>
      </x:c>
      <x:c r="D8" s="28" t="str">
        <x:v>从09_编码缺口24行起，按原行序补7096—7217</x:v>
      </x:c>
    </x:row>
    <x:row r="9" ht="48" customHeight="1">
      <x:c r="A9" s="28" t="str">
        <x:v>赋码原始证据</x:v>
      </x:c>
      <x:c r="B9" s="28" t="str">
        <x:v>20260902_C3-C10新增资源占用清单.json</x:v>
      </x:c>
      <x:c r="C9" s="28" t="str">
        <x:v>https://github.com/fanggang78951-creator/MIR/blob/c4ece38ecc459ab0e64968c319788b48c9a26909/codex_tasks/艾尔登法环_第3至10大陆_怪物专属材料框架_20260902/20260902_C3-C10新增资源占用清单.json</x:v>
      </x:c>
      <x:c r="D9" s="28" t="str">
        <x:v>已抽核7096/7097/7098/7099，物理资源仍需对应</x:v>
      </x:c>
    </x:row>
    <x:row r="10" ht="48" customHeight="1">
      <x:c r="A10" s="28" t="str">
        <x:v>现行69列模板</x:v>
      </x:c>
      <x:c r="B10" s="28" t="str">
        <x:v>04_第一二大陆105件专属装备_69列平台表.xlsx</x:v>
      </x:c>
      <x:c r="C10" s="28" t="str">
        <x:v>https://github.com/fanggang78951-creator/MIR/blob/c4ece38ecc459ab0e64968c319788b48c9a26909/codex_tasks/艾尔登法环_第一二大陆_战斗数值落地_20260904/04_第一二大陆105件专属装备_69列平台表.xlsx</x:v>
      </x:c>
      <x:c r="D10" s="28" t="str">
        <x:v>C1/C2原文件不修改</x:v>
      </x:c>
    </x:row>
    <x:row r="11" ht="48" customHeight="1">
      <x:c r="A11" s="28" t="str">
        <x:v>命格100项</x:v>
      </x:c>
      <x:c r="B11" s="28" t="str">
        <x:v>41_命格内容与多色属性.xlsx</x:v>
      </x:c>
      <x:c r="C11" s="28" t="str">
        <x:v>ChatGPT Library:file_0000000038c081fdb6a88fe95e7a9f31</x:v>
      </x:c>
      <x:c r="D11" s="28" t="str">
        <x:v>本轮保留，不重写属性或保底</x:v>
      </x:c>
    </x:row>
    <x:row r="12" ht="48" customHeight="1">
      <x:c r="A12" s="28" t="str">
        <x:v>新授权</x:v>
      </x:c>
      <x:c r="B12" s="28" t="str">
        <x:v>2026-09-05本对话用户指令</x:v>
      </x:c>
      <x:c r="C12" s="28" t="str">
        <x:v>本对话</x:v>
      </x:c>
      <x:c r="D12" s="28" t="str">
        <x:v>先完成可确定的非怪物数据，怪物属性最后；数值设计不再逐项请示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2f92c4727c4451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28" hidden="0" customWidth="1"/>
    <x:col min="9" max="9" width="18" hidden="0" customWidth="1"/>
    <x:col min="10" max="10" width="42" hidden="0" customWidth="1"/>
  </x:cols>
  <x:sheetData>
    <x:row r="1">
      <x:c r="A1" s="41" t="str">
        <x:v>洗练与开光｜失色锻造石统一材料 V1.1（数值尺度×10）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>
      <x:c r="A2" s="44" t="str">
        <x:v>原权重和属性范围不变。全池有效时总权重94765，突破单条5/94765；普通洗练至少1条概率按条数分布精确计算，均值不是保底。基础主属性为0时排除该无效词条并重新归一。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4">
      <x:c r="A4" s="49" t="str">
        <x:v>大陆ID</x:v>
      </x:c>
      <x:c r="B4" s="49" t="str">
        <x:v>大陆</x:v>
      </x:c>
      <x:c r="C4" s="49" t="str">
        <x:v>普通洗练失色/次</x:v>
      </x:c>
      <x:c r="D4" s="49" t="str">
        <x:v>开光失色/次</x:v>
      </x:c>
      <x:c r="E4" s="49" t="str">
        <x:v>正常毕业普通洗练预算次数</x:v>
      </x:c>
      <x:c r="F4" s="49" t="str">
        <x:v>正常毕业开光预算次数</x:v>
      </x:c>
      <x:c r="G4" s="49" t="str">
        <x:v>正常毕业失色预算</x:v>
      </x:c>
      <x:c r="H4" s="49" t="str">
        <x:v>普通洗练词条数期望</x:v>
      </x:c>
      <x:c r="I4" s="49" t="str">
        <x:v>攻速突破普通洗练约多少次出现1条</x:v>
      </x:c>
      <x:c r="J4" s="49" t="str">
        <x:v>备注</x:v>
      </x:c>
    </x:row>
    <x:row r="5">
      <x:c r="A5" s="68" t="str">
        <x:v>C02</x:v>
      </x:c>
      <x:c r="B5" s="69" t="str">
        <x:v>宁姆格福</x:v>
      </x:c>
      <x:c r="C5" s="69" t="n">
        <x:v>10</x:v>
      </x:c>
      <x:c r="D5" s="69" t="n">
        <x:v>50</x:v>
      </x:c>
      <x:c r="E5" s="69" t="n">
        <x:v>120</x:v>
      </x:c>
      <x:c r="F5" s="69" t="n">
        <x:v>5</x:v>
      </x:c>
      <x:c r="G5" s="69" t="n">
        <x:v>1450</x:v>
      </x:c>
      <x:c r="H5" s="69" t="n">
        <x:v>2.5</x:v>
      </x:c>
      <x:c r="I5" s="69" t="n">
        <x:v>7581</x:v>
      </x:c>
      <x:c r="J5" s="70" t="str">
        <x:v>预算不是次数上限；攻速突破不计入普通标准角色</x:v>
      </x:c>
    </x:row>
    <x:row r="6">
      <x:c r="A6" s="71" t="str">
        <x:v>C03</x:v>
      </x:c>
      <x:c r="B6" s="72" t="str">
        <x:v>宁姆格福西域</x:v>
      </x:c>
      <x:c r="C6" s="72" t="n">
        <x:v>10</x:v>
      </x:c>
      <x:c r="D6" s="72" t="n">
        <x:v>60</x:v>
      </x:c>
      <x:c r="E6" s="72" t="n">
        <x:v>160</x:v>
      </x:c>
      <x:c r="F6" s="72" t="n">
        <x:v>8</x:v>
      </x:c>
      <x:c r="G6" s="72" t="n">
        <x:v>2080</x:v>
      </x:c>
      <x:c r="H6" s="72" t="n">
        <x:v>2.5</x:v>
      </x:c>
      <x:c r="I6" s="72" t="n">
        <x:v>7581</x:v>
      </x:c>
      <x:c r="J6" s="73" t="str">
        <x:v>预算不是次数上限；攻速突破不计入普通标准角色</x:v>
      </x:c>
    </x:row>
    <x:row r="7">
      <x:c r="A7" s="71" t="str">
        <x:v>C04</x:v>
      </x:c>
      <x:c r="B7" s="72" t="str">
        <x:v>利耶尼亚海域</x:v>
      </x:c>
      <x:c r="C7" s="72" t="n">
        <x:v>10</x:v>
      </x:c>
      <x:c r="D7" s="72" t="n">
        <x:v>70</x:v>
      </x:c>
      <x:c r="E7" s="72" t="n">
        <x:v>200</x:v>
      </x:c>
      <x:c r="F7" s="72" t="n">
        <x:v>10</x:v>
      </x:c>
      <x:c r="G7" s="72" t="n">
        <x:v>2700</x:v>
      </x:c>
      <x:c r="H7" s="72" t="n">
        <x:v>2.5</x:v>
      </x:c>
      <x:c r="I7" s="72" t="n">
        <x:v>7581</x:v>
      </x:c>
      <x:c r="J7" s="73" t="str">
        <x:v>预算不是次数上限；攻速突破不计入普通标准角色</x:v>
      </x:c>
    </x:row>
    <x:row r="8">
      <x:c r="A8" s="71" t="str">
        <x:v>C05</x:v>
      </x:c>
      <x:c r="B8" s="72" t="str">
        <x:v>湖之利耶尼亚</x:v>
      </x:c>
      <x:c r="C8" s="72" t="n">
        <x:v>20</x:v>
      </x:c>
      <x:c r="D8" s="72" t="n">
        <x:v>90</x:v>
      </x:c>
      <x:c r="E8" s="72" t="n">
        <x:v>240</x:v>
      </x:c>
      <x:c r="F8" s="72" t="n">
        <x:v>12</x:v>
      </x:c>
      <x:c r="G8" s="72" t="n">
        <x:v>5880</x:v>
      </x:c>
      <x:c r="H8" s="72" t="n">
        <x:v>2.5</x:v>
      </x:c>
      <x:c r="I8" s="72" t="n">
        <x:v>7581</x:v>
      </x:c>
      <x:c r="J8" s="73" t="str">
        <x:v>预算不是次数上限；攻速突破不计入普通标准角色</x:v>
      </x:c>
    </x:row>
    <x:row r="9">
      <x:c r="A9" s="71" t="str">
        <x:v>C06</x:v>
      </x:c>
      <x:c r="B9" s="72" t="str">
        <x:v>盖利德</x:v>
      </x:c>
      <x:c r="C9" s="72" t="n">
        <x:v>20</x:v>
      </x:c>
      <x:c r="D9" s="72" t="n">
        <x:v>110</x:v>
      </x:c>
      <x:c r="E9" s="72" t="n">
        <x:v>280</x:v>
      </x:c>
      <x:c r="F9" s="72" t="n">
        <x:v>14</x:v>
      </x:c>
      <x:c r="G9" s="72" t="n">
        <x:v>7140</x:v>
      </x:c>
      <x:c r="H9" s="72" t="n">
        <x:v>2.5</x:v>
      </x:c>
      <x:c r="I9" s="72" t="n">
        <x:v>7581</x:v>
      </x:c>
      <x:c r="J9" s="73" t="str">
        <x:v>预算不是次数上限；攻速突破不计入普通标准角色</x:v>
      </x:c>
    </x:row>
    <x:row r="10">
      <x:c r="A10" s="71" t="str">
        <x:v>C07</x:v>
      </x:c>
      <x:c r="B10" s="72" t="str">
        <x:v>化圣雪原</x:v>
      </x:c>
      <x:c r="C10" s="72" t="n">
        <x:v>30</x:v>
      </x:c>
      <x:c r="D10" s="72" t="n">
        <x:v>140</x:v>
      </x:c>
      <x:c r="E10" s="72" t="n">
        <x:v>320</x:v>
      </x:c>
      <x:c r="F10" s="72" t="n">
        <x:v>16</x:v>
      </x:c>
      <x:c r="G10" s="72" t="n">
        <x:v>11840</x:v>
      </x:c>
      <x:c r="H10" s="72" t="n">
        <x:v>2.5</x:v>
      </x:c>
      <x:c r="I10" s="72" t="n">
        <x:v>7581</x:v>
      </x:c>
      <x:c r="J10" s="73" t="str">
        <x:v>预算不是次数上限；攻速突破不计入普通标准角色</x:v>
      </x:c>
    </x:row>
    <x:row r="11">
      <x:c r="A11" s="71" t="str">
        <x:v>C08</x:v>
      </x:c>
      <x:c r="B11" s="72" t="str">
        <x:v>巨人山顶</x:v>
      </x:c>
      <x:c r="C11" s="72" t="n">
        <x:v>30</x:v>
      </x:c>
      <x:c r="D11" s="72" t="n">
        <x:v>170</x:v>
      </x:c>
      <x:c r="E11" s="72" t="n">
        <x:v>360</x:v>
      </x:c>
      <x:c r="F11" s="72" t="n">
        <x:v>18</x:v>
      </x:c>
      <x:c r="G11" s="72" t="n">
        <x:v>13860</x:v>
      </x:c>
      <x:c r="H11" s="72" t="n">
        <x:v>2.5</x:v>
      </x:c>
      <x:c r="I11" s="72" t="n">
        <x:v>7581</x:v>
      </x:c>
      <x:c r="J11" s="73" t="str">
        <x:v>预算不是次数上限；攻速突破不计入普通标准角色</x:v>
      </x:c>
    </x:row>
    <x:row r="12">
      <x:c r="A12" s="71" t="str">
        <x:v>C09</x:v>
      </x:c>
      <x:c r="B12" s="72" t="str">
        <x:v>亚坛高原</x:v>
      </x:c>
      <x:c r="C12" s="72" t="n">
        <x:v>40</x:v>
      </x:c>
      <x:c r="D12" s="72" t="n">
        <x:v>210</x:v>
      </x:c>
      <x:c r="E12" s="72" t="n">
        <x:v>400</x:v>
      </x:c>
      <x:c r="F12" s="72" t="n">
        <x:v>20</x:v>
      </x:c>
      <x:c r="G12" s="72" t="n">
        <x:v>20200</x:v>
      </x:c>
      <x:c r="H12" s="72" t="n">
        <x:v>2.5</x:v>
      </x:c>
      <x:c r="I12" s="72" t="n">
        <x:v>7581</x:v>
      </x:c>
      <x:c r="J12" s="73" t="str">
        <x:v>预算不是次数上限；攻速突破不计入普通标准角色</x:v>
      </x:c>
    </x:row>
    <x:row r="13">
      <x:c r="A13" s="74" t="str">
        <x:v>C10</x:v>
      </x:c>
      <x:c r="B13" s="75" t="str">
        <x:v>王城罗德尔</x:v>
      </x:c>
      <x:c r="C13" s="75" t="n">
        <x:v>50</x:v>
      </x:c>
      <x:c r="D13" s="75" t="n">
        <x:v>250</x:v>
      </x:c>
      <x:c r="E13" s="75" t="n">
        <x:v>450</x:v>
      </x:c>
      <x:c r="F13" s="75" t="n">
        <x:v>24</x:v>
      </x:c>
      <x:c r="G13" s="75" t="n">
        <x:v>28500</x:v>
      </x:c>
      <x:c r="H13" s="75" t="n">
        <x:v>2.5</x:v>
      </x:c>
      <x:c r="I13" s="75" t="n">
        <x:v>7581</x:v>
      </x:c>
      <x:c r="J13" s="76" t="str">
        <x:v>预算不是次数上限；攻速突破不计入普通标准角色</x:v>
      </x:c>
    </x:row>
    <x:row r="16">
      <x:c r="A16" s="49" t="str">
        <x:v>序号</x:v>
      </x:c>
      <x:c r="B16" s="49" t="str">
        <x:v>属性</x:v>
      </x:c>
      <x:c r="C16" s="49" t="str">
        <x:v>数值/范围</x:v>
      </x:c>
      <x:c r="D16" s="49" t="str">
        <x:v>权重</x:v>
      </x:c>
      <x:c r="E16" s="49" t="str">
        <x:v>单词条概率</x:v>
      </x:c>
      <x:c r="F16" s="49" t="str">
        <x:v>概率级别</x:v>
      </x:c>
      <x:c r="G16" s="49" t="str">
        <x:v>取值规则</x:v>
      </x:c>
      <x:c r="H16" s="49" t="str">
        <x:v>用户原始规则对应</x:v>
      </x:c>
    </x:row>
    <x:row r="17">
      <x:c r="A17" s="68" t="n">
        <x:v>1</x:v>
      </x:c>
      <x:c r="B17" s="69" t="str">
        <x:v>攻击</x:v>
      </x:c>
      <x:c r="C17" s="69" t="str">
        <x:v>1~装备最大攻击上限的一半</x:v>
      </x:c>
      <x:c r="D17" s="69" t="n">
        <x:v>7000</x:v>
      </x:c>
      <x:c r="E17" s="77" t="n">
        <x:v>0.07386693399461827</x:v>
      </x:c>
      <x:c r="F17" s="69" t="str">
        <x:v>常见</x:v>
      </x:c>
      <x:c r="G17" s="69" t="str">
        <x:v>可重复；整数均匀取值</x:v>
      </x:c>
      <x:c r="H17" s="70" t="str">
        <x:v>洗练属性.txt 第1项/对应字段</x:v>
      </x:c>
    </x:row>
    <x:row r="18">
      <x:c r="A18" s="71" t="n">
        <x:v>2</x:v>
      </x:c>
      <x:c r="B18" s="72" t="str">
        <x:v>魔法</x:v>
      </x:c>
      <x:c r="C18" s="72" t="str">
        <x:v>1~装备最大魔法上限的一半</x:v>
      </x:c>
      <x:c r="D18" s="72" t="n">
        <x:v>7000</x:v>
      </x:c>
      <x:c r="E18" s="78" t="n">
        <x:v>0.07386693399461827</x:v>
      </x:c>
      <x:c r="F18" s="72" t="str">
        <x:v>常见</x:v>
      </x:c>
      <x:c r="G18" s="72" t="str">
        <x:v>可重复；整数均匀取值</x:v>
      </x:c>
      <x:c r="H18" s="73" t="str">
        <x:v>洗练属性.txt 第2项/对应字段</x:v>
      </x:c>
    </x:row>
    <x:row r="19">
      <x:c r="A19" s="71" t="n">
        <x:v>3</x:v>
      </x:c>
      <x:c r="B19" s="72" t="str">
        <x:v>道术</x:v>
      </x:c>
      <x:c r="C19" s="72" t="str">
        <x:v>1~装备最大道术上限的一半</x:v>
      </x:c>
      <x:c r="D19" s="72" t="n">
        <x:v>7000</x:v>
      </x:c>
      <x:c r="E19" s="78" t="n">
        <x:v>0.07386693399461827</x:v>
      </x:c>
      <x:c r="F19" s="72" t="str">
        <x:v>常见</x:v>
      </x:c>
      <x:c r="G19" s="72" t="str">
        <x:v>可重复；整数均匀取值</x:v>
      </x:c>
      <x:c r="H19" s="73" t="str">
        <x:v>洗练属性.txt 第3项/对应字段</x:v>
      </x:c>
    </x:row>
    <x:row r="20">
      <x:c r="A20" s="71" t="n">
        <x:v>4</x:v>
      </x:c>
      <x:c r="B20" s="72" t="str">
        <x:v>攻击速度</x:v>
      </x:c>
      <x:c r="C20" s="72" t="str">
        <x:v>+1</x:v>
      </x:c>
      <x:c r="D20" s="72" t="n">
        <x:v>7000</x:v>
      </x:c>
      <x:c r="E20" s="78" t="n">
        <x:v>0.07386693399461827</x:v>
      </x:c>
      <x:c r="F20" s="72" t="str">
        <x:v>常见</x:v>
      </x:c>
      <x:c r="G20" s="72" t="str">
        <x:v>固定</x:v>
      </x:c>
      <x:c r="H20" s="73" t="str">
        <x:v>洗练属性.txt 第4项/对应字段</x:v>
      </x:c>
    </x:row>
    <x:row r="21">
      <x:c r="A21" s="71" t="n">
        <x:v>5</x:v>
      </x:c>
      <x:c r="B21" s="72" t="str">
        <x:v>攻击速度</x:v>
      </x:c>
      <x:c r="C21" s="72" t="str">
        <x:v>+2</x:v>
      </x:c>
      <x:c r="D21" s="72" t="n">
        <x:v>2500</x:v>
      </x:c>
      <x:c r="E21" s="78" t="n">
        <x:v>0.02638104785522081</x:v>
      </x:c>
      <x:c r="F21" s="72" t="str">
        <x:v>较常见</x:v>
      </x:c>
      <x:c r="G21" s="72" t="str">
        <x:v>固定</x:v>
      </x:c>
      <x:c r="H21" s="73" t="str">
        <x:v>洗练属性.txt 第5项/对应字段</x:v>
      </x:c>
    </x:row>
    <x:row r="22">
      <x:c r="A22" s="71" t="n">
        <x:v>6</x:v>
      </x:c>
      <x:c r="B22" s="72" t="str">
        <x:v>处决概率</x:v>
      </x:c>
      <x:c r="C22" s="72" t="str">
        <x:v>+1个百分点</x:v>
      </x:c>
      <x:c r="D22" s="72" t="n">
        <x:v>6000</x:v>
      </x:c>
      <x:c r="E22" s="78" t="n">
        <x:v>0.06331451485252994</x:v>
      </x:c>
      <x:c r="F22" s="72" t="str">
        <x:v>常见</x:v>
      </x:c>
      <x:c r="G22" s="72" t="str">
        <x:v>固定</x:v>
      </x:c>
      <x:c r="H22" s="73" t="str">
        <x:v>洗练属性.txt 第6项/对应字段</x:v>
      </x:c>
    </x:row>
    <x:row r="23">
      <x:c r="A23" s="71" t="n">
        <x:v>7</x:v>
      </x:c>
      <x:c r="B23" s="72" t="str">
        <x:v>处决概率</x:v>
      </x:c>
      <x:c r="C23" s="72" t="str">
        <x:v>+2个百分点</x:v>
      </x:c>
      <x:c r="D23" s="72" t="n">
        <x:v>2200</x:v>
      </x:c>
      <x:c r="E23" s="78" t="n">
        <x:v>0.023215322112594312</x:v>
      </x:c>
      <x:c r="F23" s="72" t="str">
        <x:v>较常见</x:v>
      </x:c>
      <x:c r="G23" s="72" t="str">
        <x:v>固定</x:v>
      </x:c>
      <x:c r="H23" s="73" t="str">
        <x:v>洗练属性.txt 第7项/对应字段</x:v>
      </x:c>
    </x:row>
    <x:row r="24">
      <x:c r="A24" s="71" t="n">
        <x:v>8</x:v>
      </x:c>
      <x:c r="B24" s="72" t="str">
        <x:v>处决时间</x:v>
      </x:c>
      <x:c r="C24" s="72" t="str">
        <x:v>+1</x:v>
      </x:c>
      <x:c r="D24" s="72" t="n">
        <x:v>5000</x:v>
      </x:c>
      <x:c r="E24" s="78" t="n">
        <x:v>0.05276209571044162</x:v>
      </x:c>
      <x:c r="F24" s="72" t="str">
        <x:v>常见</x:v>
      </x:c>
      <x:c r="G24" s="72" t="str">
        <x:v>保持引擎字段单位，不改写为秒</x:v>
      </x:c>
      <x:c r="H24" s="73" t="str">
        <x:v>洗练属性.txt 第8项/对应字段</x:v>
      </x:c>
    </x:row>
    <x:row r="25">
      <x:c r="A25" s="71" t="n">
        <x:v>9</x:v>
      </x:c>
      <x:c r="B25" s="72" t="str">
        <x:v>处决时间</x:v>
      </x:c>
      <x:c r="C25" s="72" t="str">
        <x:v>+2</x:v>
      </x:c>
      <x:c r="D25" s="72" t="n">
        <x:v>1500</x:v>
      </x:c>
      <x:c r="E25" s="78" t="n">
        <x:v>0.015828628713132484</x:v>
      </x:c>
      <x:c r="F25" s="72" t="str">
        <x:v>较常见</x:v>
      </x:c>
      <x:c r="G25" s="72" t="str">
        <x:v>保持引擎字段单位，不改写为秒</x:v>
      </x:c>
      <x:c r="H25" s="73" t="str">
        <x:v>洗练属性.txt 第9项/对应字段</x:v>
      </x:c>
    </x:row>
    <x:row r="26">
      <x:c r="A26" s="71" t="n">
        <x:v>10</x:v>
      </x:c>
      <x:c r="B26" s="72" t="str">
        <x:v>处决伤害</x:v>
      </x:c>
      <x:c r="C26" s="72" t="str">
        <x:v>+1</x:v>
      </x:c>
      <x:c r="D26" s="72" t="n">
        <x:v>5000</x:v>
      </x:c>
      <x:c r="E26" s="78" t="n">
        <x:v>0.05276209571044162</x:v>
      </x:c>
      <x:c r="F26" s="72" t="str">
        <x:v>常见</x:v>
      </x:c>
      <x:c r="G26" s="72" t="str">
        <x:v>保持引擎字段单位</x:v>
      </x:c>
      <x:c r="H26" s="73" t="str">
        <x:v>洗练属性.txt 第10项/对应字段</x:v>
      </x:c>
    </x:row>
    <x:row r="27">
      <x:c r="A27" s="71" t="n">
        <x:v>11</x:v>
      </x:c>
      <x:c r="B27" s="72" t="str">
        <x:v>处决伤害</x:v>
      </x:c>
      <x:c r="C27" s="72" t="str">
        <x:v>+2</x:v>
      </x:c>
      <x:c r="D27" s="72" t="n">
        <x:v>1500</x:v>
      </x:c>
      <x:c r="E27" s="78" t="n">
        <x:v>0.015828628713132484</x:v>
      </x:c>
      <x:c r="F27" s="72" t="str">
        <x:v>较常见</x:v>
      </x:c>
      <x:c r="G27" s="72" t="str">
        <x:v>保持引擎字段单位</x:v>
      </x:c>
      <x:c r="H27" s="73" t="str">
        <x:v>洗练属性.txt 第11项/对应字段</x:v>
      </x:c>
    </x:row>
    <x:row r="28">
      <x:c r="A28" s="71" t="n">
        <x:v>12</x:v>
      </x:c>
      <x:c r="B28" s="72" t="str">
        <x:v>韧性</x:v>
      </x:c>
      <x:c r="C28" s="72" t="str">
        <x:v>+10</x:v>
      </x:c>
      <x:c r="D28" s="72" t="n">
        <x:v>6500</x:v>
      </x:c>
      <x:c r="E28" s="78" t="n">
        <x:v>0.0685907244235741</x:v>
      </x:c>
      <x:c r="F28" s="72" t="str">
        <x:v>常见</x:v>
      </x:c>
      <x:c r="G28" s="72" t="str">
        <x:v>固定</x:v>
      </x:c>
      <x:c r="H28" s="73" t="str">
        <x:v>洗练属性.txt 第12项/对应字段</x:v>
      </x:c>
    </x:row>
    <x:row r="29">
      <x:c r="A29" s="71" t="n">
        <x:v>13</x:v>
      </x:c>
      <x:c r="B29" s="72" t="str">
        <x:v>韧性</x:v>
      </x:c>
      <x:c r="C29" s="72" t="str">
        <x:v>+20</x:v>
      </x:c>
      <x:c r="D29" s="72" t="n">
        <x:v>2000</x:v>
      </x:c>
      <x:c r="E29" s="78" t="n">
        <x:v>0.021104838284176648</x:v>
      </x:c>
      <x:c r="F29" s="72" t="str">
        <x:v>较常见</x:v>
      </x:c>
      <x:c r="G29" s="72" t="str">
        <x:v>固定</x:v>
      </x:c>
      <x:c r="H29" s="73" t="str">
        <x:v>洗练属性.txt 第13项/对应字段</x:v>
      </x:c>
    </x:row>
    <x:row r="30">
      <x:c r="A30" s="71" t="n">
        <x:v>14</x:v>
      </x:c>
      <x:c r="B30" s="72" t="str">
        <x:v>暴击</x:v>
      </x:c>
      <x:c r="C30" s="72" t="str">
        <x:v>+1个百分点</x:v>
      </x:c>
      <x:c r="D30" s="72" t="n">
        <x:v>5000</x:v>
      </x:c>
      <x:c r="E30" s="78" t="n">
        <x:v>0.05276209571044162</x:v>
      </x:c>
      <x:c r="F30" s="72" t="str">
        <x:v>常见</x:v>
      </x:c>
      <x:c r="G30" s="72" t="str">
        <x:v>固定</x:v>
      </x:c>
      <x:c r="H30" s="73" t="str">
        <x:v>洗练属性.txt 第14项/对应字段</x:v>
      </x:c>
    </x:row>
    <x:row r="31">
      <x:c r="A31" s="71" t="n">
        <x:v>15</x:v>
      </x:c>
      <x:c r="B31" s="72" t="str">
        <x:v>暴击</x:v>
      </x:c>
      <x:c r="C31" s="72" t="str">
        <x:v>+2个百分点</x:v>
      </x:c>
      <x:c r="D31" s="72" t="n">
        <x:v>1500</x:v>
      </x:c>
      <x:c r="E31" s="78" t="n">
        <x:v>0.015828628713132484</x:v>
      </x:c>
      <x:c r="F31" s="72" t="str">
        <x:v>较常见</x:v>
      </x:c>
      <x:c r="G31" s="72" t="str">
        <x:v>固定</x:v>
      </x:c>
      <x:c r="H31" s="73" t="str">
        <x:v>洗练属性.txt 第15项/对应字段</x:v>
      </x:c>
    </x:row>
    <x:row r="32">
      <x:c r="A32" s="71" t="n">
        <x:v>16</x:v>
      </x:c>
      <x:c r="B32" s="72" t="str">
        <x:v>致命一击</x:v>
      </x:c>
      <x:c r="C32" s="72" t="str">
        <x:v>+1个百分点</x:v>
      </x:c>
      <x:c r="D32" s="72" t="n">
        <x:v>3000</x:v>
      </x:c>
      <x:c r="E32" s="78" t="n">
        <x:v>0.03165725742626497</x:v>
      </x:c>
      <x:c r="F32" s="72" t="str">
        <x:v>较常见</x:v>
      </x:c>
      <x:c r="G32" s="72" t="str">
        <x:v>固定</x:v>
      </x:c>
      <x:c r="H32" s="73" t="str">
        <x:v>洗练属性.txt 第16项/对应字段</x:v>
      </x:c>
    </x:row>
    <x:row r="33">
      <x:c r="A33" s="71" t="n">
        <x:v>17</x:v>
      </x:c>
      <x:c r="B33" s="72" t="str">
        <x:v>致命一击</x:v>
      </x:c>
      <x:c r="C33" s="72" t="str">
        <x:v>+2个百分点</x:v>
      </x:c>
      <x:c r="D33" s="72" t="n">
        <x:v>700</x:v>
      </x:c>
      <x:c r="E33" s="78" t="n">
        <x:v>0.007386693399461826</x:v>
      </x:c>
      <x:c r="F33" s="72" t="str">
        <x:v>稀有</x:v>
      </x:c>
      <x:c r="G33" s="72" t="str">
        <x:v>固定</x:v>
      </x:c>
      <x:c r="H33" s="73" t="str">
        <x:v>洗练属性.txt 第17项/对应字段</x:v>
      </x:c>
    </x:row>
    <x:row r="34">
      <x:c r="A34" s="71" t="n">
        <x:v>18</x:v>
      </x:c>
      <x:c r="B34" s="72" t="str">
        <x:v>攻击加成</x:v>
      </x:c>
      <x:c r="C34" s="72" t="str">
        <x:v>1~30</x:v>
      </x:c>
      <x:c r="D34" s="72" t="n">
        <x:v>8500</x:v>
      </x:c>
      <x:c r="E34" s="78" t="n">
        <x:v>0.08969556270775075</x:v>
      </x:c>
      <x:c r="F34" s="72" t="str">
        <x:v>常见</x:v>
      </x:c>
      <x:c r="G34" s="72" t="str">
        <x:v>整数均匀取值</x:v>
      </x:c>
      <x:c r="H34" s="73" t="str">
        <x:v>洗练属性.txt 第18项/对应字段</x:v>
      </x:c>
    </x:row>
    <x:row r="35">
      <x:c r="A35" s="71" t="n">
        <x:v>19</x:v>
      </x:c>
      <x:c r="B35" s="72" t="str">
        <x:v>攻击加成</x:v>
      </x:c>
      <x:c r="C35" s="72" t="str">
        <x:v>31~50</x:v>
      </x:c>
      <x:c r="D35" s="72" t="n">
        <x:v>2200</x:v>
      </x:c>
      <x:c r="E35" s="78" t="n">
        <x:v>0.023215322112594312</x:v>
      </x:c>
      <x:c r="F35" s="72" t="str">
        <x:v>较常见</x:v>
      </x:c>
      <x:c r="G35" s="72" t="str">
        <x:v>整数均匀取值</x:v>
      </x:c>
      <x:c r="H35" s="73" t="str">
        <x:v>洗练属性.txt 第19项/对应字段</x:v>
      </x:c>
    </x:row>
    <x:row r="36">
      <x:c r="A36" s="71" t="n">
        <x:v>20</x:v>
      </x:c>
      <x:c r="B36" s="72" t="str">
        <x:v>吸血</x:v>
      </x:c>
      <x:c r="C36" s="72" t="str">
        <x:v>+1个百分点</x:v>
      </x:c>
      <x:c r="D36" s="72" t="n">
        <x:v>3000</x:v>
      </x:c>
      <x:c r="E36" s="78" t="n">
        <x:v>0.03165725742626497</x:v>
      </x:c>
      <x:c r="F36" s="72" t="str">
        <x:v>较常见</x:v>
      </x:c>
      <x:c r="G36" s="72" t="str">
        <x:v>固定</x:v>
      </x:c>
      <x:c r="H36" s="73" t="str">
        <x:v>洗练属性.txt 第20项/对应字段</x:v>
      </x:c>
    </x:row>
    <x:row r="37">
      <x:c r="A37" s="71" t="n">
        <x:v>21</x:v>
      </x:c>
      <x:c r="B37" s="72" t="str">
        <x:v>吸血</x:v>
      </x:c>
      <x:c r="C37" s="72" t="str">
        <x:v>+2个百分点</x:v>
      </x:c>
      <x:c r="D37" s="72" t="n">
        <x:v>700</x:v>
      </x:c>
      <x:c r="E37" s="78" t="n">
        <x:v>0.007386693399461826</x:v>
      </x:c>
      <x:c r="F37" s="72" t="str">
        <x:v>稀有</x:v>
      </x:c>
      <x:c r="G37" s="72" t="str">
        <x:v>固定</x:v>
      </x:c>
      <x:c r="H37" s="73" t="str">
        <x:v>洗练属性.txt 第21项/对应字段</x:v>
      </x:c>
    </x:row>
    <x:row r="38">
      <x:c r="A38" s="71" t="n">
        <x:v>22</x:v>
      </x:c>
      <x:c r="B38" s="72" t="str">
        <x:v>最大爆率</x:v>
      </x:c>
      <x:c r="C38" s="72" t="str">
        <x:v>+1个百分点</x:v>
      </x:c>
      <x:c r="D38" s="72" t="n">
        <x:v>2500</x:v>
      </x:c>
      <x:c r="E38" s="78" t="n">
        <x:v>0.02638104785522081</x:v>
      </x:c>
      <x:c r="F38" s="72" t="str">
        <x:v>较常见</x:v>
      </x:c>
      <x:c r="G38" s="72" t="str">
        <x:v>固定</x:v>
      </x:c>
      <x:c r="H38" s="73" t="str">
        <x:v>洗练属性.txt 第22项/对应字段</x:v>
      </x:c>
    </x:row>
    <x:row r="39">
      <x:c r="A39" s="71" t="n">
        <x:v>23</x:v>
      </x:c>
      <x:c r="B39" s="72" t="str">
        <x:v>最大爆率</x:v>
      </x:c>
      <x:c r="C39" s="72" t="str">
        <x:v>+2个百分点</x:v>
      </x:c>
      <x:c r="D39" s="72" t="n">
        <x:v>700</x:v>
      </x:c>
      <x:c r="E39" s="78" t="n">
        <x:v>0.007386693399461826</x:v>
      </x:c>
      <x:c r="F39" s="72" t="str">
        <x:v>稀有</x:v>
      </x:c>
      <x:c r="G39" s="72" t="str">
        <x:v>固定</x:v>
      </x:c>
      <x:c r="H39" s="73" t="str">
        <x:v>洗练属性.txt 第24项/对应字段</x:v>
      </x:c>
    </x:row>
    <x:row r="40">
      <x:c r="A40" s="71" t="n">
        <x:v>24</x:v>
      </x:c>
      <x:c r="B40" s="72" t="str">
        <x:v>最大爆率</x:v>
      </x:c>
      <x:c r="C40" s="72" t="str">
        <x:v>+3个百分点</x:v>
      </x:c>
      <x:c r="D40" s="72" t="n">
        <x:v>120</x:v>
      </x:c>
      <x:c r="E40" s="78" t="n">
        <x:v>0.001266290297050599</x:v>
      </x:c>
      <x:c r="F40" s="72" t="str">
        <x:v>很稀有</x:v>
      </x:c>
      <x:c r="G40" s="72" t="str">
        <x:v>固定</x:v>
      </x:c>
      <x:c r="H40" s="73" t="str">
        <x:v>洗练属性.txt 第25项/对应字段</x:v>
      </x:c>
    </x:row>
    <x:row r="41">
      <x:c r="A41" s="71" t="n">
        <x:v>25</x:v>
      </x:c>
      <x:c r="B41" s="72" t="str">
        <x:v>伤害系数</x:v>
      </x:c>
      <x:c r="C41" s="72" t="str">
        <x:v>+1个百分点</x:v>
      </x:c>
      <x:c r="D41" s="72" t="n">
        <x:v>2500</x:v>
      </x:c>
      <x:c r="E41" s="78" t="n">
        <x:v>0.02638104785522081</x:v>
      </x:c>
      <x:c r="F41" s="72" t="str">
        <x:v>较常见</x:v>
      </x:c>
      <x:c r="G41" s="72" t="str">
        <x:v>固定</x:v>
      </x:c>
      <x:c r="H41" s="73" t="str">
        <x:v>洗练属性.txt 第26项/对应字段</x:v>
      </x:c>
    </x:row>
    <x:row r="42">
      <x:c r="A42" s="71" t="n">
        <x:v>26</x:v>
      </x:c>
      <x:c r="B42" s="72" t="str">
        <x:v>伤害系数</x:v>
      </x:c>
      <x:c r="C42" s="72" t="str">
        <x:v>+2个百分点</x:v>
      </x:c>
      <x:c r="D42" s="72" t="n">
        <x:v>700</x:v>
      </x:c>
      <x:c r="E42" s="78" t="n">
        <x:v>0.007386693399461826</x:v>
      </x:c>
      <x:c r="F42" s="72" t="str">
        <x:v>稀有</x:v>
      </x:c>
      <x:c r="G42" s="72" t="str">
        <x:v>固定</x:v>
      </x:c>
      <x:c r="H42" s="73" t="str">
        <x:v>洗练属性.txt 第27项/对应字段</x:v>
      </x:c>
    </x:row>
    <x:row r="43">
      <x:c r="A43" s="71" t="n">
        <x:v>27</x:v>
      </x:c>
      <x:c r="B43" s="72" t="str">
        <x:v>伤害系数</x:v>
      </x:c>
      <x:c r="C43" s="72" t="str">
        <x:v>+3个百分点</x:v>
      </x:c>
      <x:c r="D43" s="72" t="n">
        <x:v>120</x:v>
      </x:c>
      <x:c r="E43" s="78" t="n">
        <x:v>0.001266290297050599</x:v>
      </x:c>
      <x:c r="F43" s="72" t="str">
        <x:v>很稀有</x:v>
      </x:c>
      <x:c r="G43" s="72" t="str">
        <x:v>固定</x:v>
      </x:c>
      <x:c r="H43" s="73" t="str">
        <x:v>洗练属性.txt 第28项/对应字段</x:v>
      </x:c>
    </x:row>
    <x:row r="44">
      <x:c r="A44" s="71" t="n">
        <x:v>28</x:v>
      </x:c>
      <x:c r="B44" s="72" t="str">
        <x:v>伤害吸收上限</x:v>
      </x:c>
      <x:c r="C44" s="72" t="str">
        <x:v>+1个百分点</x:v>
      </x:c>
      <x:c r="D44" s="72" t="n">
        <x:v>2500</x:v>
      </x:c>
      <x:c r="E44" s="78" t="n">
        <x:v>0.02638104785522081</x:v>
      </x:c>
      <x:c r="F44" s="72" t="str">
        <x:v>较常见</x:v>
      </x:c>
      <x:c r="G44" s="72" t="str">
        <x:v>固定</x:v>
      </x:c>
      <x:c r="H44" s="73" t="str">
        <x:v>洗练属性.txt 第29项/对应字段</x:v>
      </x:c>
    </x:row>
    <x:row r="45">
      <x:c r="A45" s="71" t="n">
        <x:v>29</x:v>
      </x:c>
      <x:c r="B45" s="72" t="str">
        <x:v>伤害吸收上限</x:v>
      </x:c>
      <x:c r="C45" s="72" t="str">
        <x:v>+2个百分点</x:v>
      </x:c>
      <x:c r="D45" s="72" t="n">
        <x:v>700</x:v>
      </x:c>
      <x:c r="E45" s="78" t="n">
        <x:v>0.007386693399461826</x:v>
      </x:c>
      <x:c r="F45" s="72" t="str">
        <x:v>稀有</x:v>
      </x:c>
      <x:c r="G45" s="72" t="str">
        <x:v>固定</x:v>
      </x:c>
      <x:c r="H45" s="73" t="str">
        <x:v>洗练属性.txt 第30项/对应字段</x:v>
      </x:c>
    </x:row>
    <x:row r="46">
      <x:c r="A46" s="71" t="n">
        <x:v>30</x:v>
      </x:c>
      <x:c r="B46" s="72" t="str">
        <x:v>伤害吸收上限</x:v>
      </x:c>
      <x:c r="C46" s="72" t="str">
        <x:v>+3个百分点</x:v>
      </x:c>
      <x:c r="D46" s="72" t="n">
        <x:v>120</x:v>
      </x:c>
      <x:c r="E46" s="78" t="n">
        <x:v>0.001266290297050599</x:v>
      </x:c>
      <x:c r="F46" s="72" t="str">
        <x:v>很稀有</x:v>
      </x:c>
      <x:c r="G46" s="72" t="str">
        <x:v>固定</x:v>
      </x:c>
      <x:c r="H46" s="73" t="str">
        <x:v>洗练属性.txt 第31项/对应字段</x:v>
      </x:c>
    </x:row>
    <x:row r="47">
      <x:c r="A47" s="74" t="n">
        <x:v>31</x:v>
      </x:c>
      <x:c r="B47" s="75" t="str">
        <x:v>攻速突破</x:v>
      </x:c>
      <x:c r="C47" s="75" t="str">
        <x:v>+1</x:v>
      </x:c>
      <x:c r="D47" s="75" t="n">
        <x:v>5</x:v>
      </x:c>
      <x:c r="E47" s="79" t="n">
        <x:v>0.00005276209571044162</x:v>
      </x:c>
      <x:c r="F47" s="75" t="str">
        <x:v>极稀有</x:v>
      </x:c>
      <x:c r="G47" s="75" t="str">
        <x:v>极低概率；普通标准角色不预设拥有</x:v>
      </x:c>
      <x:c r="H47" s="76" t="str">
        <x:v>洗练属性.txt 第32项/对应字段</x:v>
      </x:c>
    </x:row>
    <x:row r="50">
      <x:c r="A50" s="49" t="str">
        <x:v>词条数量</x:v>
      </x:c>
      <x:c r="B50" s="49" t="str">
        <x:v>普通洗练概率</x:v>
      </x:c>
      <x:c r="C50" s="49" t="str">
        <x:v>累计概率</x:v>
      </x:c>
      <x:c r="D50" s="49" t="str">
        <x:v>说明</x:v>
      </x:c>
    </x:row>
    <x:row r="51">
      <x:c r="A51" t="n">
        <x:v>1</x:v>
      </x:c>
      <x:c r="B51" s="80" t="n">
        <x:v>0.34</x:v>
      </x:c>
      <x:c r="C51" s="80" t="n">
        <x:v>0.34</x:v>
      </x:c>
      <x:c r="D51" t="str">
        <x:v>开光只接受7/8词条装备；开光后固定词条数量</x:v>
      </x:c>
    </x:row>
    <x:row r="52">
      <x:c r="A52" t="n">
        <x:v>2</x:v>
      </x:c>
      <x:c r="B52" s="80" t="n">
        <x:v>0.26</x:v>
      </x:c>
      <x:c r="C52" s="80" t="n">
        <x:v>0.6000000000000001</x:v>
      </x:c>
      <x:c r="D52" t="str">
        <x:v>开光只接受7/8词条装备；开光后固定词条数量</x:v>
      </x:c>
    </x:row>
    <x:row r="53">
      <x:c r="A53" t="n">
        <x:v>3</x:v>
      </x:c>
      <x:c r="B53" s="80" t="n">
        <x:v>0.18</x:v>
      </x:c>
      <x:c r="C53" s="80" t="n">
        <x:v>0.78</x:v>
      </x:c>
      <x:c r="D53" t="str">
        <x:v>开光只接受7/8词条装备；开光后固定词条数量</x:v>
      </x:c>
    </x:row>
    <x:row r="54">
      <x:c r="A54" t="n">
        <x:v>4</x:v>
      </x:c>
      <x:c r="B54" s="80" t="n">
        <x:v>0.1</x:v>
      </x:c>
      <x:c r="C54" s="80" t="n">
        <x:v>0.88</x:v>
      </x:c>
      <x:c r="D54" t="str">
        <x:v>开光只接受7/8词条装备；开光后固定词条数量</x:v>
      </x:c>
    </x:row>
    <x:row r="55">
      <x:c r="A55" t="n">
        <x:v>5</x:v>
      </x:c>
      <x:c r="B55" s="80" t="n">
        <x:v>0.06</x:v>
      </x:c>
      <x:c r="C55" s="80" t="n">
        <x:v>0.94</x:v>
      </x:c>
      <x:c r="D55" t="str">
        <x:v>开光只接受7/8词条装备；开光后固定词条数量</x:v>
      </x:c>
    </x:row>
    <x:row r="56">
      <x:c r="A56" t="n">
        <x:v>6</x:v>
      </x:c>
      <x:c r="B56" s="80" t="n">
        <x:v>0.03</x:v>
      </x:c>
      <x:c r="C56" s="80" t="n">
        <x:v>0.97</x:v>
      </x:c>
      <x:c r="D56" t="str">
        <x:v>开光只接受7/8词条装备；开光后固定词条数量</x:v>
      </x:c>
    </x:row>
    <x:row r="57">
      <x:c r="A57" t="n">
        <x:v>7</x:v>
      </x:c>
      <x:c r="B57" s="80" t="n">
        <x:v>0.02</x:v>
      </x:c>
      <x:c r="C57" s="80" t="n">
        <x:v>0.99</x:v>
      </x:c>
      <x:c r="D57" t="str">
        <x:v>开光只接受7/8词条装备；开光后固定词条数量</x:v>
      </x:c>
    </x:row>
    <x:row r="58">
      <x:c r="A58" t="n">
        <x:v>8</x:v>
      </x:c>
      <x:c r="B58" s="80" t="n">
        <x:v>0.01</x:v>
      </x:c>
      <x:c r="C58" s="80" t="n">
        <x:v>1</x:v>
      </x:c>
      <x:c r="D58" t="str">
        <x:v>开光只接受7/8词条装备；开光后固定词条数量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38" hidden="0" customWidth="1"/>
    <x:col min="5" max="5" width="24" hidden="0" customWidth="1"/>
    <x:col min="6" max="6" width="10" hidden="0" customWidth="1"/>
    <x:col min="7" max="7" width="48" hidden="0" customWidth="1"/>
    <x:col min="8" max="8" width="48" hidden="0" customWidth="1"/>
    <x:col min="9" max="9" width="36" hidden="0" customWidth="1"/>
    <x:col min="10" max="10" width="30" hidden="0" customWidth="1"/>
    <x:col min="11" max="11" width="34" hidden="0" customWidth="1"/>
    <x:col min="12" max="12" width="24" hidden="0" customWidth="1"/>
    <x:col min="13" max="13" width="14" hidden="0" customWidth="1"/>
    <x:col min="14" max="14" width="30" hidden="0" customWidth="1"/>
  </x:cols>
  <x:sheetData>
    <x:row r="1">
      <x:c r="A1" s="41" t="str">
        <x:v>完整标准角色｜定义与十大陆计算档位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</x:row>
    <x:row r="2">
      <x:c r="A2" s="44" t="str">
        <x:v>本页为早期四档概念定义；现行人物模型见《40组半急速人物属性_V1.1》。半急速：可用灵符的前期系统拉满，但不向其他玩家购买装备和材料。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</x:row>
    <x:row r="4">
      <x:c r="A4" s="49" t="str">
        <x:v>大陆ID</x:v>
      </x:c>
      <x:c r="B4" s="49" t="str">
        <x:v>大陆</x:v>
      </x:c>
      <x:c r="C4" s="49" t="str">
        <x:v>角色档位</x:v>
      </x:c>
      <x:c r="D4" s="49" t="str">
        <x:v>装备状态</x:v>
      </x:c>
      <x:c r="E4" s="49" t="str">
        <x:v>贯穿称号</x:v>
      </x:c>
      <x:c r="F4" s="49" t="str">
        <x:v>转生</x:v>
      </x:c>
      <x:c r="G4" s="49" t="str">
        <x:v>神印档位</x:v>
      </x:c>
      <x:c r="H4" s="49" t="str">
        <x:v>当前大陆图鉴</x:v>
      </x:c>
      <x:c r="I4" s="49" t="str">
        <x:v>洗练状态</x:v>
      </x:c>
      <x:c r="J4" s="49" t="str">
        <x:v>开光状态</x:v>
      </x:c>
      <x:c r="K4" s="49" t="str">
        <x:v>命格/幸运</x:v>
      </x:c>
      <x:c r="L4" s="49" t="str">
        <x:v>满充值状态</x:v>
      </x:c>
      <x:c r="M4" s="49" t="str">
        <x:v>有效爆率目标</x:v>
      </x:c>
      <x:c r="N4" s="49" t="str">
        <x:v>用途</x:v>
      </x:c>
    </x:row>
    <x:row r="5">
      <x:c r="A5" s="68" t="str">
        <x:v>C01</x:v>
      </x:c>
      <x:c r="B5" s="69" t="str">
        <x:v>漂流群岛</x:v>
      </x:c>
      <x:c r="C5" s="69" t="str">
        <x:v>进入</x:v>
      </x:c>
      <x:c r="D5" s="69" t="str">
        <x:v>以上一大陆正常毕业装备为主；刚进入本大陆</x:v>
      </x:c>
      <x:c r="E5" s="69" t="str">
        <x:v>尚未完成本大陆阶段</x:v>
      </x:c>
      <x:c r="F5" s="69" t="n">
        <x:v>0</x:v>
      </x:c>
      <x:c r="G5" s="69" t="n">
        <x:v>0</x:v>
      </x:c>
      <x:c r="H5" s="69" t="str">
        <x:v>0%</x:v>
      </x:c>
      <x:c r="I5" s="69" t="str">
        <x:v>沿用上一阶段装备，不为本大陆额外强洗</x:v>
      </x:c>
      <x:c r="J5" s="69" t="str">
        <x:v>0</x:v>
      </x:c>
      <x:c r="K5" s="69" t="str">
        <x:v>沿用既有解锁槽位；幸运按已完成值</x:v>
      </x:c>
      <x:c r="L5" s="69" t="str">
        <x:v>满赞助＋捐献；狂暴按PVE常驻</x:v>
      </x:c>
      <x:c r="M5" s="69" t="n">
        <x:v>12</x:v>
      </x:c>
      <x:c r="N5" s="70" t="str">
        <x:v>校验入场能否推进</x:v>
      </x:c>
    </x:row>
    <x:row r="6">
      <x:c r="A6" s="71" t="str">
        <x:v>C01</x:v>
      </x:c>
      <x:c r="B6" s="72" t="str">
        <x:v>漂流群岛</x:v>
      </x:c>
      <x:c r="C6" s="72" t="str">
        <x:v>中期</x:v>
      </x:c>
      <x:c r="D6" s="72" t="str">
        <x:v>约一半关键位替换为本大陆普通/稀有专属；允许1件重点合成</x:v>
      </x:c>
      <x:c r="E6" s="72" t="str">
        <x:v>本大陆阶段称号未完成/已完成各算一情景；不得凭空给半份累计阶段奖励</x:v>
      </x:c>
      <x:c r="F6" s="72" t="n">
        <x:v>0</x:v>
      </x:c>
      <x:c r="G6" s="72" t="n">
        <x:v>0</x:v>
      </x:c>
      <x:c r="H6" s="72" t="str">
        <x:v>约40%</x:v>
      </x:c>
      <x:c r="I6" s="72" t="str">
        <x:v>消耗本大陆正常毕业洗练预算约40%</x:v>
      </x:c>
      <x:c r="J6" s="72" t="str">
        <x:v>开光预算约40%</x:v>
      </x:c>
      <x:c r="K6" s="72" t="str">
        <x:v>已解锁槽位以黄/橙为主；少量红；幸运按阶段</x:v>
      </x:c>
      <x:c r="L6" s="72" t="str">
        <x:v>满赞助＋捐献；狂暴按PVE常驻</x:v>
      </x:c>
      <x:c r="M6" s="72" t="n">
        <x:v>12</x:v>
      </x:c>
      <x:c r="N6" s="73" t="str">
        <x:v>经济产出与普通怪主计算锚</x:v>
      </x:c>
    </x:row>
    <x:row r="7">
      <x:c r="A7" s="71" t="str">
        <x:v>C01</x:v>
      </x:c>
      <x:c r="B7" s="72" t="str">
        <x:v>漂流群岛</x:v>
      </x:c>
      <x:c r="C7" s="72" t="str">
        <x:v>正常毕业</x:v>
      </x:c>
      <x:c r="D7" s="72" t="str">
        <x:v>当前大陆主装备成型；含少量BOSS专属/重点合成，不要求全追梦或全极品</x:v>
      </x:c>
      <x:c r="E7" s="72" t="str">
        <x:v>本大陆阶段已完成</x:v>
      </x:c>
      <x:c r="F7" s="72" t="n">
        <x:v>0</x:v>
      </x:c>
      <x:c r="G7" s="72" t="n">
        <x:v>0</x:v>
      </x:c>
      <x:c r="H7" s="72" t="str">
        <x:v>约75%</x:v>
      </x:c>
      <x:c r="I7" s="72" t="str">
        <x:v>执行本大陆正常毕业洗练预算；不预设攻速突破洗练</x:v>
      </x:c>
      <x:c r="J7" s="72" t="str">
        <x:v>执行本大陆正常毕业开光预算</x:v>
      </x:c>
      <x:c r="K7" s="72" t="str">
        <x:v>已解锁槽位以橙/红为主；彩色不是硬要求；项链按正常完成</x:v>
      </x:c>
      <x:c r="L7" s="72" t="str">
        <x:v>满赞助＋捐献；狂暴按PVE常驻</x:v>
      </x:c>
      <x:c r="M7" s="72" t="n">
        <x:v>12</x:v>
      </x:c>
      <x:c r="N7" s="73" t="str">
        <x:v>BOSS/守关与大陆毕业强度锚</x:v>
      </x:c>
    </x:row>
    <x:row r="8">
      <x:c r="A8" s="71" t="str">
        <x:v>C01</x:v>
      </x:c>
      <x:c r="B8" s="72" t="str">
        <x:v>漂流群岛</x:v>
      </x:c>
      <x:c r="C8" s="72" t="str">
        <x:v>高投入压力情景</x:v>
      </x:c>
      <x:c r="D8" s="72" t="str">
        <x:v>最优BOSS专属＋合成＋高质量洗练；允许追梦/极稀有组合</x:v>
      </x:c>
      <x:c r="E8" s="72" t="str">
        <x:v>本大陆阶段已完成</x:v>
      </x:c>
      <x:c r="F8" s="72" t="n">
        <x:v>0</x:v>
      </x:c>
      <x:c r="G8" s="72" t="n">
        <x:v>0</x:v>
      </x:c>
      <x:c r="H8" s="72" t="str">
        <x:v>100%</x:v>
      </x:c>
      <x:c r="I8" s="72" t="str">
        <x:v>正常毕业预算3倍以上；允许极少数极稀有词条</x:v>
      </x:c>
      <x:c r="J8" s="72" t="str">
        <x:v>7/8词条多件开光；非经济基准</x:v>
      </x:c>
      <x:c r="K8" s="72" t="str">
        <x:v>高品质命格、幸运完成；仅做上限压力测试</x:v>
      </x:c>
      <x:c r="L8" s="72" t="str">
        <x:v>满赞助全套临时/永久增益</x:v>
      </x:c>
      <x:c r="M8" s="72" t="n">
        <x:v>14.399999999999999</x:v>
      </x:c>
      <x:c r="N8" s="73" t="str">
        <x:v>参考压力情景；不是硬上限；另测100→150/200倍回刷</x:v>
      </x:c>
    </x:row>
    <x:row r="9">
      <x:c r="A9" s="71" t="str">
        <x:v>C02</x:v>
      </x:c>
      <x:c r="B9" s="72" t="str">
        <x:v>宁姆格福</x:v>
      </x:c>
      <x:c r="C9" s="72" t="str">
        <x:v>进入</x:v>
      </x:c>
      <x:c r="D9" s="72" t="str">
        <x:v>以上一大陆正常毕业装备为主；刚进入本大陆</x:v>
      </x:c>
      <x:c r="E9" s="72" t="str">
        <x:v>尚未完成本大陆阶段</x:v>
      </x:c>
      <x:c r="F9" s="72" t="n">
        <x:v>0</x:v>
      </x:c>
      <x:c r="G9" s="72" t="n">
        <x:v>0</x:v>
      </x:c>
      <x:c r="H9" s="72" t="str">
        <x:v>0%</x:v>
      </x:c>
      <x:c r="I9" s="72" t="str">
        <x:v>沿用上一大陆真实配装的洗练；不得进图后重置</x:v>
      </x:c>
      <x:c r="J9" s="72" t="str">
        <x:v>0</x:v>
      </x:c>
      <x:c r="K9" s="72" t="str">
        <x:v>沿用既有解锁槽位；幸运按已完成值</x:v>
      </x:c>
      <x:c r="L9" s="72" t="str">
        <x:v>满赞助＋捐献；狂暴按PVE常驻</x:v>
      </x:c>
      <x:c r="M9" s="72" t="n">
        <x:v>12</x:v>
      </x:c>
      <x:c r="N9" s="73" t="str">
        <x:v>校验入场能否推进</x:v>
      </x:c>
    </x:row>
    <x:row r="10">
      <x:c r="A10" s="71" t="str">
        <x:v>C02</x:v>
      </x:c>
      <x:c r="B10" s="72" t="str">
        <x:v>宁姆格福</x:v>
      </x:c>
      <x:c r="C10" s="72" t="str">
        <x:v>中期</x:v>
      </x:c>
      <x:c r="D10" s="72" t="str">
        <x:v>约一半关键位替换为本大陆普通/稀有专属；允许1件重点合成</x:v>
      </x:c>
      <x:c r="E10" s="72" t="str">
        <x:v>本大陆阶段称号未完成/已完成各算一情景；不得凭空给半份累计阶段奖励</x:v>
      </x:c>
      <x:c r="F10" s="72" t="n">
        <x:v>0</x:v>
      </x:c>
      <x:c r="G10" s="72" t="n">
        <x:v>25</x:v>
      </x:c>
      <x:c r="H10" s="72" t="str">
        <x:v>约40%</x:v>
      </x:c>
      <x:c r="I10" s="72" t="str">
        <x:v>消耗本大陆正常毕业洗练预算约40%</x:v>
      </x:c>
      <x:c r="J10" s="72" t="str">
        <x:v>开光预算约40%</x:v>
      </x:c>
      <x:c r="K10" s="72" t="str">
        <x:v>已解锁槽位以黄/橙为主；少量红；幸运按阶段</x:v>
      </x:c>
      <x:c r="L10" s="72" t="str">
        <x:v>满赞助＋捐献；狂暴按PVE常驻</x:v>
      </x:c>
      <x:c r="M10" s="72" t="n">
        <x:v>14</x:v>
      </x:c>
      <x:c r="N10" s="73" t="str">
        <x:v>经济产出与普通怪主计算锚</x:v>
      </x:c>
    </x:row>
    <x:row r="11">
      <x:c r="A11" s="71" t="str">
        <x:v>C02</x:v>
      </x:c>
      <x:c r="B11" s="72" t="str">
        <x:v>宁姆格福</x:v>
      </x:c>
      <x:c r="C11" s="72" t="str">
        <x:v>正常毕业</x:v>
      </x:c>
      <x:c r="D11" s="72" t="str">
        <x:v>当前大陆主装备成型；含少量BOSS专属/重点合成，不要求全追梦或全极品</x:v>
      </x:c>
      <x:c r="E11" s="72" t="str">
        <x:v>本大陆阶段已完成</x:v>
      </x:c>
      <x:c r="F11" s="72" t="n">
        <x:v>0</x:v>
      </x:c>
      <x:c r="G11" s="72" t="n">
        <x:v>50</x:v>
      </x:c>
      <x:c r="H11" s="72" t="str">
        <x:v>约75%</x:v>
      </x:c>
      <x:c r="I11" s="72" t="str">
        <x:v>执行本大陆正常毕业洗练预算；不预设攻速突破洗练</x:v>
      </x:c>
      <x:c r="J11" s="72" t="str">
        <x:v>执行本大陆正常毕业开光预算</x:v>
      </x:c>
      <x:c r="K11" s="72" t="str">
        <x:v>已解锁槽位以橙/红为主；彩色不是硬要求；项链按正常完成</x:v>
      </x:c>
      <x:c r="L11" s="72" t="str">
        <x:v>满赞助＋捐献；狂暴按PVE常驻</x:v>
      </x:c>
      <x:c r="M11" s="72" t="n">
        <x:v>16</x:v>
      </x:c>
      <x:c r="N11" s="73" t="str">
        <x:v>BOSS/守关与大陆毕业强度锚</x:v>
      </x:c>
    </x:row>
    <x:row r="12">
      <x:c r="A12" s="71" t="str">
        <x:v>C02</x:v>
      </x:c>
      <x:c r="B12" s="72" t="str">
        <x:v>宁姆格福</x:v>
      </x:c>
      <x:c r="C12" s="72" t="str">
        <x:v>高投入压力情景</x:v>
      </x:c>
      <x:c r="D12" s="72" t="str">
        <x:v>最优BOSS专属＋合成＋高质量洗练；允许追梦/极稀有组合</x:v>
      </x:c>
      <x:c r="E12" s="72" t="str">
        <x:v>本大陆阶段已完成</x:v>
      </x:c>
      <x:c r="F12" s="72" t="n">
        <x:v>0</x:v>
      </x:c>
      <x:c r="G12" s="72" t="n">
        <x:v>50</x:v>
      </x:c>
      <x:c r="H12" s="72" t="str">
        <x:v>100%</x:v>
      </x:c>
      <x:c r="I12" s="72" t="str">
        <x:v>正常毕业预算3倍以上；允许极少数极稀有词条</x:v>
      </x:c>
      <x:c r="J12" s="72" t="str">
        <x:v>7/8词条多件开光；非经济基准</x:v>
      </x:c>
      <x:c r="K12" s="72" t="str">
        <x:v>高品质命格、幸运完成；仅做上限压力测试</x:v>
      </x:c>
      <x:c r="L12" s="72" t="str">
        <x:v>满赞助全套临时/永久增益</x:v>
      </x:c>
      <x:c r="M12" s="72" t="n">
        <x:v>19.2</x:v>
      </x:c>
      <x:c r="N12" s="73" t="str">
        <x:v>参考压力情景；不是硬上限；另测100→150/200倍回刷</x:v>
      </x:c>
    </x:row>
    <x:row r="13">
      <x:c r="A13" s="71" t="str">
        <x:v>C03</x:v>
      </x:c>
      <x:c r="B13" s="72" t="str">
        <x:v>宁姆格福西域</x:v>
      </x:c>
      <x:c r="C13" s="72" t="str">
        <x:v>进入</x:v>
      </x:c>
      <x:c r="D13" s="72" t="str">
        <x:v>以上一大陆正常毕业装备为主；刚进入本大陆</x:v>
      </x:c>
      <x:c r="E13" s="72" t="str">
        <x:v>尚未完成本大陆阶段</x:v>
      </x:c>
      <x:c r="F13" s="72" t="n">
        <x:v>0</x:v>
      </x:c>
      <x:c r="G13" s="72" t="n">
        <x:v>50</x:v>
      </x:c>
      <x:c r="H13" s="72" t="str">
        <x:v>0%</x:v>
      </x:c>
      <x:c r="I13" s="72" t="str">
        <x:v>沿用上一大陆真实配装的洗练；不得进图后重置</x:v>
      </x:c>
      <x:c r="J13" s="72" t="str">
        <x:v>0</x:v>
      </x:c>
      <x:c r="K13" s="72" t="str">
        <x:v>沿用既有解锁槽位；幸运按已完成值</x:v>
      </x:c>
      <x:c r="L13" s="72" t="str">
        <x:v>满赞助＋捐献；狂暴按PVE常驻</x:v>
      </x:c>
      <x:c r="M13" s="72" t="n">
        <x:v>16</x:v>
      </x:c>
      <x:c r="N13" s="73" t="str">
        <x:v>校验入场能否推进</x:v>
      </x:c>
    </x:row>
    <x:row r="14">
      <x:c r="A14" s="71" t="str">
        <x:v>C03</x:v>
      </x:c>
      <x:c r="B14" s="72" t="str">
        <x:v>宁姆格福西域</x:v>
      </x:c>
      <x:c r="C14" s="72" t="str">
        <x:v>中期</x:v>
      </x:c>
      <x:c r="D14" s="72" t="str">
        <x:v>约一半关键位替换为本大陆普通/稀有专属；允许1件重点合成</x:v>
      </x:c>
      <x:c r="E14" s="72" t="str">
        <x:v>本大陆阶段称号未完成/已完成各算一情景；不得凭空给半份累计阶段奖励</x:v>
      </x:c>
      <x:c r="F14" s="72" t="n">
        <x:v>0</x:v>
      </x:c>
      <x:c r="G14" s="72" t="n">
        <x:v>65</x:v>
      </x:c>
      <x:c r="H14" s="72" t="str">
        <x:v>约40%</x:v>
      </x:c>
      <x:c r="I14" s="72" t="str">
        <x:v>消耗本大陆正常毕业洗练预算约40%</x:v>
      </x:c>
      <x:c r="J14" s="72" t="str">
        <x:v>开光预算约40%</x:v>
      </x:c>
      <x:c r="K14" s="72" t="str">
        <x:v>已解锁槽位以黄/橙为主；少量红；幸运按阶段</x:v>
      </x:c>
      <x:c r="L14" s="72" t="str">
        <x:v>满赞助＋捐献；狂暴按PVE常驻</x:v>
      </x:c>
      <x:c r="M14" s="72" t="n">
        <x:v>19</x:v>
      </x:c>
      <x:c r="N14" s="73" t="str">
        <x:v>经济产出与普通怪主计算锚</x:v>
      </x:c>
    </x:row>
    <x:row r="15">
      <x:c r="A15" s="71" t="str">
        <x:v>C03</x:v>
      </x:c>
      <x:c r="B15" s="72" t="str">
        <x:v>宁姆格福西域</x:v>
      </x:c>
      <x:c r="C15" s="72" t="str">
        <x:v>正常毕业</x:v>
      </x:c>
      <x:c r="D15" s="72" t="str">
        <x:v>当前大陆主装备成型；含少量BOSS专属/重点合成，不要求全追梦或全极品</x:v>
      </x:c>
      <x:c r="E15" s="72" t="str">
        <x:v>本大陆阶段已完成</x:v>
      </x:c>
      <x:c r="F15" s="72" t="n">
        <x:v>0</x:v>
      </x:c>
      <x:c r="G15" s="72" t="n">
        <x:v>80</x:v>
      </x:c>
      <x:c r="H15" s="72" t="str">
        <x:v>约75%</x:v>
      </x:c>
      <x:c r="I15" s="72" t="str">
        <x:v>执行本大陆正常毕业洗练预算；不预设攻速突破洗练</x:v>
      </x:c>
      <x:c r="J15" s="72" t="str">
        <x:v>执行本大陆正常毕业开光预算</x:v>
      </x:c>
      <x:c r="K15" s="72" t="str">
        <x:v>已解锁槽位以橙/红为主；彩色不是硬要求；项链按正常完成</x:v>
      </x:c>
      <x:c r="L15" s="72" t="str">
        <x:v>满赞助＋捐献；狂暴按PVE常驻</x:v>
      </x:c>
      <x:c r="M15" s="72" t="n">
        <x:v>22</x:v>
      </x:c>
      <x:c r="N15" s="73" t="str">
        <x:v>BOSS/守关与大陆毕业强度锚</x:v>
      </x:c>
    </x:row>
    <x:row r="16">
      <x:c r="A16" s="71" t="str">
        <x:v>C03</x:v>
      </x:c>
      <x:c r="B16" s="72" t="str">
        <x:v>宁姆格福西域</x:v>
      </x:c>
      <x:c r="C16" s="72" t="str">
        <x:v>高投入压力情景</x:v>
      </x:c>
      <x:c r="D16" s="72" t="str">
        <x:v>最优BOSS专属＋合成＋高质量洗练；允许追梦/极稀有组合</x:v>
      </x:c>
      <x:c r="E16" s="72" t="str">
        <x:v>本大陆阶段已完成</x:v>
      </x:c>
      <x:c r="F16" s="72" t="n">
        <x:v>0</x:v>
      </x:c>
      <x:c r="G16" s="72" t="n">
        <x:v>80</x:v>
      </x:c>
      <x:c r="H16" s="72" t="str">
        <x:v>100%</x:v>
      </x:c>
      <x:c r="I16" s="72" t="str">
        <x:v>正常毕业预算3倍以上；允许极少数极稀有词条</x:v>
      </x:c>
      <x:c r="J16" s="72" t="str">
        <x:v>7/8词条多件开光；非经济基准</x:v>
      </x:c>
      <x:c r="K16" s="72" t="str">
        <x:v>高品质命格、幸运完成；仅做上限压力测试</x:v>
      </x:c>
      <x:c r="L16" s="72" t="str">
        <x:v>满赞助全套临时/永久增益</x:v>
      </x:c>
      <x:c r="M16" s="72" t="n">
        <x:v>26.4</x:v>
      </x:c>
      <x:c r="N16" s="73" t="str">
        <x:v>参考压力情景；不是硬上限；另测100→150/200倍回刷</x:v>
      </x:c>
    </x:row>
    <x:row r="17">
      <x:c r="A17" s="71" t="str">
        <x:v>C04</x:v>
      </x:c>
      <x:c r="B17" s="72" t="str">
        <x:v>利耶尼亚海域</x:v>
      </x:c>
      <x:c r="C17" s="72" t="str">
        <x:v>进入</x:v>
      </x:c>
      <x:c r="D17" s="72" t="str">
        <x:v>以上一大陆正常毕业装备为主；刚进入本大陆</x:v>
      </x:c>
      <x:c r="E17" s="72" t="str">
        <x:v>尚未完成本大陆阶段</x:v>
      </x:c>
      <x:c r="F17" s="72" t="n">
        <x:v>0</x:v>
      </x:c>
      <x:c r="G17" s="72" t="n">
        <x:v>80</x:v>
      </x:c>
      <x:c r="H17" s="72" t="str">
        <x:v>0%</x:v>
      </x:c>
      <x:c r="I17" s="72" t="str">
        <x:v>沿用上一大陆真实配装的洗练；不得进图后重置</x:v>
      </x:c>
      <x:c r="J17" s="72" t="str">
        <x:v>0</x:v>
      </x:c>
      <x:c r="K17" s="72" t="str">
        <x:v>沿用既有解锁槽位；幸运按已完成值</x:v>
      </x:c>
      <x:c r="L17" s="72" t="str">
        <x:v>满赞助＋捐献；狂暴按PVE常驻</x:v>
      </x:c>
      <x:c r="M17" s="72" t="n">
        <x:v>22</x:v>
      </x:c>
      <x:c r="N17" s="73" t="str">
        <x:v>校验入场能否推进</x:v>
      </x:c>
    </x:row>
    <x:row r="18">
      <x:c r="A18" s="71" t="str">
        <x:v>C04</x:v>
      </x:c>
      <x:c r="B18" s="72" t="str">
        <x:v>利耶尼亚海域</x:v>
      </x:c>
      <x:c r="C18" s="72" t="str">
        <x:v>中期</x:v>
      </x:c>
      <x:c r="D18" s="72" t="str">
        <x:v>约一半关键位替换为本大陆普通/稀有专属；允许1件重点合成</x:v>
      </x:c>
      <x:c r="E18" s="72" t="str">
        <x:v>本大陆阶段称号未完成/已完成各算一情景；不得凭空给半份累计阶段奖励</x:v>
      </x:c>
      <x:c r="F18" s="72" t="n">
        <x:v>3</x:v>
      </x:c>
      <x:c r="G18" s="72" t="n">
        <x:v>95</x:v>
      </x:c>
      <x:c r="H18" s="72" t="str">
        <x:v>约40%</x:v>
      </x:c>
      <x:c r="I18" s="72" t="str">
        <x:v>消耗本大陆正常毕业洗练预算约40%</x:v>
      </x:c>
      <x:c r="J18" s="72" t="str">
        <x:v>开光预算约40%</x:v>
      </x:c>
      <x:c r="K18" s="72" t="str">
        <x:v>已解锁槽位以黄/橙为主；少量红；幸运按阶段</x:v>
      </x:c>
      <x:c r="L18" s="72" t="str">
        <x:v>满赞助＋捐献；狂暴按PVE常驻</x:v>
      </x:c>
      <x:c r="M18" s="72" t="n">
        <x:v>26</x:v>
      </x:c>
      <x:c r="N18" s="73" t="str">
        <x:v>经济产出与普通怪主计算锚</x:v>
      </x:c>
    </x:row>
    <x:row r="19">
      <x:c r="A19" s="71" t="str">
        <x:v>C04</x:v>
      </x:c>
      <x:c r="B19" s="72" t="str">
        <x:v>利耶尼亚海域</x:v>
      </x:c>
      <x:c r="C19" s="72" t="str">
        <x:v>正常毕业</x:v>
      </x:c>
      <x:c r="D19" s="72" t="str">
        <x:v>当前大陆主装备成型；含少量BOSS专属/重点合成，不要求全追梦或全极品</x:v>
      </x:c>
      <x:c r="E19" s="72" t="str">
        <x:v>本大陆阶段已完成</x:v>
      </x:c>
      <x:c r="F19" s="72" t="n">
        <x:v>5</x:v>
      </x:c>
      <x:c r="G19" s="72" t="n">
        <x:v>110</x:v>
      </x:c>
      <x:c r="H19" s="72" t="str">
        <x:v>约75%</x:v>
      </x:c>
      <x:c r="I19" s="72" t="str">
        <x:v>执行本大陆正常毕业洗练预算；不预设攻速突破洗练</x:v>
      </x:c>
      <x:c r="J19" s="72" t="str">
        <x:v>执行本大陆正常毕业开光预算</x:v>
      </x:c>
      <x:c r="K19" s="72" t="str">
        <x:v>已解锁槽位以橙/红为主；彩色不是硬要求；项链按正常完成</x:v>
      </x:c>
      <x:c r="L19" s="72" t="str">
        <x:v>满赞助＋捐献；狂暴按PVE常驻</x:v>
      </x:c>
      <x:c r="M19" s="72" t="n">
        <x:v>30</x:v>
      </x:c>
      <x:c r="N19" s="73" t="str">
        <x:v>BOSS/守关与大陆毕业强度锚</x:v>
      </x:c>
    </x:row>
    <x:row r="20">
      <x:c r="A20" s="71" t="str">
        <x:v>C04</x:v>
      </x:c>
      <x:c r="B20" s="72" t="str">
        <x:v>利耶尼亚海域</x:v>
      </x:c>
      <x:c r="C20" s="72" t="str">
        <x:v>高投入压力情景</x:v>
      </x:c>
      <x:c r="D20" s="72" t="str">
        <x:v>最优BOSS专属＋合成＋高质量洗练；允许追梦/极稀有组合</x:v>
      </x:c>
      <x:c r="E20" s="72" t="str">
        <x:v>本大陆阶段已完成</x:v>
      </x:c>
      <x:c r="F20" s="72" t="n">
        <x:v>5</x:v>
      </x:c>
      <x:c r="G20" s="72" t="n">
        <x:v>110</x:v>
      </x:c>
      <x:c r="H20" s="72" t="str">
        <x:v>100%</x:v>
      </x:c>
      <x:c r="I20" s="72" t="str">
        <x:v>正常毕业预算3倍以上；允许极少数极稀有词条</x:v>
      </x:c>
      <x:c r="J20" s="72" t="str">
        <x:v>7/8词条多件开光；非经济基准</x:v>
      </x:c>
      <x:c r="K20" s="72" t="str">
        <x:v>高品质命格、幸运完成；仅做上限压力测试</x:v>
      </x:c>
      <x:c r="L20" s="72" t="str">
        <x:v>满赞助全套临时/永久增益</x:v>
      </x:c>
      <x:c r="M20" s="72" t="n">
        <x:v>36</x:v>
      </x:c>
      <x:c r="N20" s="73" t="str">
        <x:v>参考压力情景；不是硬上限；另测100→150/200倍回刷</x:v>
      </x:c>
    </x:row>
    <x:row r="21">
      <x:c r="A21" s="71" t="str">
        <x:v>C05</x:v>
      </x:c>
      <x:c r="B21" s="72" t="str">
        <x:v>湖之利耶尼亚</x:v>
      </x:c>
      <x:c r="C21" s="72" t="str">
        <x:v>进入</x:v>
      </x:c>
      <x:c r="D21" s="72" t="str">
        <x:v>以上一大陆正常毕业装备为主；刚进入本大陆</x:v>
      </x:c>
      <x:c r="E21" s="72" t="str">
        <x:v>尚未完成本大陆阶段</x:v>
      </x:c>
      <x:c r="F21" s="72" t="n">
        <x:v>5</x:v>
      </x:c>
      <x:c r="G21" s="72" t="n">
        <x:v>110</x:v>
      </x:c>
      <x:c r="H21" s="72" t="str">
        <x:v>0%</x:v>
      </x:c>
      <x:c r="I21" s="72" t="str">
        <x:v>沿用上一大陆真实配装的洗练；不得进图后重置</x:v>
      </x:c>
      <x:c r="J21" s="72" t="str">
        <x:v>0</x:v>
      </x:c>
      <x:c r="K21" s="72" t="str">
        <x:v>沿用既有解锁槽位；幸运按已完成值</x:v>
      </x:c>
      <x:c r="L21" s="72" t="str">
        <x:v>满赞助＋捐献；狂暴按PVE常驻</x:v>
      </x:c>
      <x:c r="M21" s="72" t="n">
        <x:v>30</x:v>
      </x:c>
      <x:c r="N21" s="73" t="str">
        <x:v>校验入场能否推进</x:v>
      </x:c>
    </x:row>
    <x:row r="22">
      <x:c r="A22" s="71" t="str">
        <x:v>C05</x:v>
      </x:c>
      <x:c r="B22" s="72" t="str">
        <x:v>湖之利耶尼亚</x:v>
      </x:c>
      <x:c r="C22" s="72" t="str">
        <x:v>中期</x:v>
      </x:c>
      <x:c r="D22" s="72" t="str">
        <x:v>约一半关键位替换为本大陆普通/稀有专属；允许1件重点合成</x:v>
      </x:c>
      <x:c r="E22" s="72" t="str">
        <x:v>本大陆阶段称号未完成/已完成各算一情景；不得凭空给半份累计阶段奖励</x:v>
      </x:c>
      <x:c r="F22" s="72" t="n">
        <x:v>5</x:v>
      </x:c>
      <x:c r="G22" s="72" t="n">
        <x:v>125</x:v>
      </x:c>
      <x:c r="H22" s="72" t="str">
        <x:v>约40%</x:v>
      </x:c>
      <x:c r="I22" s="72" t="str">
        <x:v>消耗本大陆正常毕业洗练预算约40%</x:v>
      </x:c>
      <x:c r="J22" s="72" t="str">
        <x:v>开光预算约40%</x:v>
      </x:c>
      <x:c r="K22" s="72" t="str">
        <x:v>已解锁槽位以黄/橙为主；少量红；幸运按阶段</x:v>
      </x:c>
      <x:c r="L22" s="72" t="str">
        <x:v>满赞助＋捐献；狂暴按PVE常驻</x:v>
      </x:c>
      <x:c r="M22" s="72" t="n">
        <x:v>35</x:v>
      </x:c>
      <x:c r="N22" s="73" t="str">
        <x:v>经济产出与普通怪主计算锚</x:v>
      </x:c>
    </x:row>
    <x:row r="23">
      <x:c r="A23" s="71" t="str">
        <x:v>C05</x:v>
      </x:c>
      <x:c r="B23" s="72" t="str">
        <x:v>湖之利耶尼亚</x:v>
      </x:c>
      <x:c r="C23" s="72" t="str">
        <x:v>正常毕业</x:v>
      </x:c>
      <x:c r="D23" s="72" t="str">
        <x:v>当前大陆主装备成型；含少量BOSS专属/重点合成，不要求全追梦或全极品</x:v>
      </x:c>
      <x:c r="E23" s="72" t="str">
        <x:v>本大陆阶段已完成</x:v>
      </x:c>
      <x:c r="F23" s="72" t="n">
        <x:v>5</x:v>
      </x:c>
      <x:c r="G23" s="72" t="n">
        <x:v>140</x:v>
      </x:c>
      <x:c r="H23" s="72" t="str">
        <x:v>约75%</x:v>
      </x:c>
      <x:c r="I23" s="72" t="str">
        <x:v>执行本大陆正常毕业洗练预算；不预设攻速突破洗练</x:v>
      </x:c>
      <x:c r="J23" s="72" t="str">
        <x:v>执行本大陆正常毕业开光预算</x:v>
      </x:c>
      <x:c r="K23" s="72" t="str">
        <x:v>已解锁槽位以橙/红为主；彩色不是硬要求；项链按正常完成</x:v>
      </x:c>
      <x:c r="L23" s="72" t="str">
        <x:v>满赞助＋捐献；狂暴按PVE常驻</x:v>
      </x:c>
      <x:c r="M23" s="72" t="n">
        <x:v>40</x:v>
      </x:c>
      <x:c r="N23" s="73" t="str">
        <x:v>BOSS/守关与大陆毕业强度锚</x:v>
      </x:c>
    </x:row>
    <x:row r="24">
      <x:c r="A24" s="71" t="str">
        <x:v>C05</x:v>
      </x:c>
      <x:c r="B24" s="72" t="str">
        <x:v>湖之利耶尼亚</x:v>
      </x:c>
      <x:c r="C24" s="72" t="str">
        <x:v>高投入压力情景</x:v>
      </x:c>
      <x:c r="D24" s="72" t="str">
        <x:v>最优BOSS专属＋合成＋高质量洗练；允许追梦/极稀有组合</x:v>
      </x:c>
      <x:c r="E24" s="72" t="str">
        <x:v>本大陆阶段已完成</x:v>
      </x:c>
      <x:c r="F24" s="72" t="n">
        <x:v>5</x:v>
      </x:c>
      <x:c r="G24" s="72" t="n">
        <x:v>140</x:v>
      </x:c>
      <x:c r="H24" s="72" t="str">
        <x:v>100%</x:v>
      </x:c>
      <x:c r="I24" s="72" t="str">
        <x:v>正常毕业预算3倍以上；允许极少数极稀有词条</x:v>
      </x:c>
      <x:c r="J24" s="72" t="str">
        <x:v>7/8词条多件开光；非经济基准</x:v>
      </x:c>
      <x:c r="K24" s="72" t="str">
        <x:v>高品质命格、幸运完成；仅做上限压力测试</x:v>
      </x:c>
      <x:c r="L24" s="72" t="str">
        <x:v>满赞助全套临时/永久增益</x:v>
      </x:c>
      <x:c r="M24" s="72" t="n">
        <x:v>48</x:v>
      </x:c>
      <x:c r="N24" s="73" t="str">
        <x:v>参考压力情景；不是硬上限；另测100→150/200倍回刷</x:v>
      </x:c>
    </x:row>
    <x:row r="25">
      <x:c r="A25" s="71" t="str">
        <x:v>C06</x:v>
      </x:c>
      <x:c r="B25" s="72" t="str">
        <x:v>盖利德</x:v>
      </x:c>
      <x:c r="C25" s="72" t="str">
        <x:v>进入</x:v>
      </x:c>
      <x:c r="D25" s="72" t="str">
        <x:v>以上一大陆正常毕业装备为主；刚进入本大陆</x:v>
      </x:c>
      <x:c r="E25" s="72" t="str">
        <x:v>尚未完成本大陆阶段</x:v>
      </x:c>
      <x:c r="F25" s="72" t="n">
        <x:v>5</x:v>
      </x:c>
      <x:c r="G25" s="72" t="n">
        <x:v>140</x:v>
      </x:c>
      <x:c r="H25" s="72" t="str">
        <x:v>0%</x:v>
      </x:c>
      <x:c r="I25" s="72" t="str">
        <x:v>沿用上一大陆真实配装的洗练；不得进图后重置</x:v>
      </x:c>
      <x:c r="J25" s="72" t="str">
        <x:v>0</x:v>
      </x:c>
      <x:c r="K25" s="72" t="str">
        <x:v>沿用既有解锁槽位；幸运按已完成值</x:v>
      </x:c>
      <x:c r="L25" s="72" t="str">
        <x:v>满赞助＋捐献；狂暴按PVE常驻</x:v>
      </x:c>
      <x:c r="M25" s="72" t="n">
        <x:v>40</x:v>
      </x:c>
      <x:c r="N25" s="73" t="str">
        <x:v>校验入场能否推进</x:v>
      </x:c>
    </x:row>
    <x:row r="26">
      <x:c r="A26" s="71" t="str">
        <x:v>C06</x:v>
      </x:c>
      <x:c r="B26" s="72" t="str">
        <x:v>盖利德</x:v>
      </x:c>
      <x:c r="C26" s="72" t="str">
        <x:v>中期</x:v>
      </x:c>
      <x:c r="D26" s="72" t="str">
        <x:v>约一半关键位替换为本大陆普通/稀有专属；允许1件重点合成</x:v>
      </x:c>
      <x:c r="E26" s="72" t="str">
        <x:v>本大陆阶段称号未完成/已完成各算一情景；不得凭空给半份累计阶段奖励</x:v>
      </x:c>
      <x:c r="F26" s="72" t="n">
        <x:v>8</x:v>
      </x:c>
      <x:c r="G26" s="72" t="n">
        <x:v>155</x:v>
      </x:c>
      <x:c r="H26" s="72" t="str">
        <x:v>约40%</x:v>
      </x:c>
      <x:c r="I26" s="72" t="str">
        <x:v>消耗本大陆正常毕业洗练预算约40%</x:v>
      </x:c>
      <x:c r="J26" s="72" t="str">
        <x:v>开光预算约40%</x:v>
      </x:c>
      <x:c r="K26" s="72" t="str">
        <x:v>已解锁槽位以黄/橙为主；少量红；幸运按阶段</x:v>
      </x:c>
      <x:c r="L26" s="72" t="str">
        <x:v>满赞助＋捐献；狂暴按PVE常驻</x:v>
      </x:c>
      <x:c r="M26" s="72" t="n">
        <x:v>46</x:v>
      </x:c>
      <x:c r="N26" s="73" t="str">
        <x:v>经济产出与普通怪主计算锚</x:v>
      </x:c>
    </x:row>
    <x:row r="27">
      <x:c r="A27" s="71" t="str">
        <x:v>C06</x:v>
      </x:c>
      <x:c r="B27" s="72" t="str">
        <x:v>盖利德</x:v>
      </x:c>
      <x:c r="C27" s="72" t="str">
        <x:v>正常毕业</x:v>
      </x:c>
      <x:c r="D27" s="72" t="str">
        <x:v>当前大陆主装备成型；含少量BOSS专属/重点合成，不要求全追梦或全极品</x:v>
      </x:c>
      <x:c r="E27" s="72" t="str">
        <x:v>本大陆阶段已完成</x:v>
      </x:c>
      <x:c r="F27" s="72" t="n">
        <x:v>10</x:v>
      </x:c>
      <x:c r="G27" s="72" t="n">
        <x:v>170</x:v>
      </x:c>
      <x:c r="H27" s="72" t="str">
        <x:v>约75%</x:v>
      </x:c>
      <x:c r="I27" s="72" t="str">
        <x:v>执行本大陆正常毕业洗练预算；不预设攻速突破洗练</x:v>
      </x:c>
      <x:c r="J27" s="72" t="str">
        <x:v>执行本大陆正常毕业开光预算</x:v>
      </x:c>
      <x:c r="K27" s="72" t="str">
        <x:v>已解锁槽位以橙/红为主；彩色不是硬要求；项链按正常完成</x:v>
      </x:c>
      <x:c r="L27" s="72" t="str">
        <x:v>满赞助＋捐献；狂暴按PVE常驻</x:v>
      </x:c>
      <x:c r="M27" s="72" t="n">
        <x:v>52</x:v>
      </x:c>
      <x:c r="N27" s="73" t="str">
        <x:v>BOSS/守关与大陆毕业强度锚</x:v>
      </x:c>
    </x:row>
    <x:row r="28">
      <x:c r="A28" s="71" t="str">
        <x:v>C06</x:v>
      </x:c>
      <x:c r="B28" s="72" t="str">
        <x:v>盖利德</x:v>
      </x:c>
      <x:c r="C28" s="72" t="str">
        <x:v>高投入压力情景</x:v>
      </x:c>
      <x:c r="D28" s="72" t="str">
        <x:v>最优BOSS专属＋合成＋高质量洗练；允许追梦/极稀有组合</x:v>
      </x:c>
      <x:c r="E28" s="72" t="str">
        <x:v>本大陆阶段已完成</x:v>
      </x:c>
      <x:c r="F28" s="72" t="n">
        <x:v>10</x:v>
      </x:c>
      <x:c r="G28" s="72" t="n">
        <x:v>170</x:v>
      </x:c>
      <x:c r="H28" s="72" t="str">
        <x:v>100%</x:v>
      </x:c>
      <x:c r="I28" s="72" t="str">
        <x:v>正常毕业预算3倍以上；允许极少数极稀有词条</x:v>
      </x:c>
      <x:c r="J28" s="72" t="str">
        <x:v>7/8词条多件开光；非经济基准</x:v>
      </x:c>
      <x:c r="K28" s="72" t="str">
        <x:v>高品质命格、幸运完成；仅做上限压力测试</x:v>
      </x:c>
      <x:c r="L28" s="72" t="str">
        <x:v>满赞助全套临时/永久增益</x:v>
      </x:c>
      <x:c r="M28" s="72" t="n">
        <x:v>62.4</x:v>
      </x:c>
      <x:c r="N28" s="73" t="str">
        <x:v>参考压力情景；不是硬上限；另测100→150/200倍回刷</x:v>
      </x:c>
    </x:row>
    <x:row r="29">
      <x:c r="A29" s="71" t="str">
        <x:v>C07</x:v>
      </x:c>
      <x:c r="B29" s="72" t="str">
        <x:v>化圣雪原</x:v>
      </x:c>
      <x:c r="C29" s="72" t="str">
        <x:v>进入</x:v>
      </x:c>
      <x:c r="D29" s="72" t="str">
        <x:v>以上一大陆正常毕业装备为主；刚进入本大陆</x:v>
      </x:c>
      <x:c r="E29" s="72" t="str">
        <x:v>尚未完成本大陆阶段</x:v>
      </x:c>
      <x:c r="F29" s="72" t="n">
        <x:v>10</x:v>
      </x:c>
      <x:c r="G29" s="72" t="n">
        <x:v>170</x:v>
      </x:c>
      <x:c r="H29" s="72" t="str">
        <x:v>0%</x:v>
      </x:c>
      <x:c r="I29" s="72" t="str">
        <x:v>沿用上一大陆真实配装的洗练；不得进图后重置</x:v>
      </x:c>
      <x:c r="J29" s="72" t="str">
        <x:v>0</x:v>
      </x:c>
      <x:c r="K29" s="72" t="str">
        <x:v>沿用既有解锁槽位；幸运按已完成值</x:v>
      </x:c>
      <x:c r="L29" s="72" t="str">
        <x:v>满赞助＋捐献；狂暴按PVE常驻</x:v>
      </x:c>
      <x:c r="M29" s="72" t="n">
        <x:v>52</x:v>
      </x:c>
      <x:c r="N29" s="73" t="str">
        <x:v>校验入场能否推进</x:v>
      </x:c>
    </x:row>
    <x:row r="30">
      <x:c r="A30" s="71" t="str">
        <x:v>C07</x:v>
      </x:c>
      <x:c r="B30" s="72" t="str">
        <x:v>化圣雪原</x:v>
      </x:c>
      <x:c r="C30" s="72" t="str">
        <x:v>中期</x:v>
      </x:c>
      <x:c r="D30" s="72" t="str">
        <x:v>约一半关键位替换为本大陆普通/稀有专属；允许1件重点合成</x:v>
      </x:c>
      <x:c r="E30" s="72" t="str">
        <x:v>本大陆阶段称号未完成/已完成各算一情景；不得凭空给半份累计阶段奖励</x:v>
      </x:c>
      <x:c r="F30" s="72" t="n">
        <x:v>10</x:v>
      </x:c>
      <x:c r="G30" s="72" t="n">
        <x:v>182</x:v>
      </x:c>
      <x:c r="H30" s="72" t="str">
        <x:v>约40%</x:v>
      </x:c>
      <x:c r="I30" s="72" t="str">
        <x:v>消耗本大陆正常毕业洗练预算约40%</x:v>
      </x:c>
      <x:c r="J30" s="72" t="str">
        <x:v>开光预算约40%</x:v>
      </x:c>
      <x:c r="K30" s="72" t="str">
        <x:v>已解锁槽位以黄/橙为主；少量红；幸运按阶段</x:v>
      </x:c>
      <x:c r="L30" s="72" t="str">
        <x:v>满赞助＋捐献；狂暴按PVE常驻</x:v>
      </x:c>
      <x:c r="M30" s="72" t="n">
        <x:v>58.5</x:v>
      </x:c>
      <x:c r="N30" s="73" t="str">
        <x:v>经济产出与普通怪主计算锚</x:v>
      </x:c>
    </x:row>
    <x:row r="31">
      <x:c r="A31" s="71" t="str">
        <x:v>C07</x:v>
      </x:c>
      <x:c r="B31" s="72" t="str">
        <x:v>化圣雪原</x:v>
      </x:c>
      <x:c r="C31" s="72" t="str">
        <x:v>正常毕业</x:v>
      </x:c>
      <x:c r="D31" s="72" t="str">
        <x:v>当前大陆主装备成型；含少量BOSS专属/重点合成，不要求全追梦或全极品</x:v>
      </x:c>
      <x:c r="E31" s="72" t="str">
        <x:v>本大陆阶段已完成</x:v>
      </x:c>
      <x:c r="F31" s="72" t="n">
        <x:v>10</x:v>
      </x:c>
      <x:c r="G31" s="72" t="n">
        <x:v>195</x:v>
      </x:c>
      <x:c r="H31" s="72" t="str">
        <x:v>约75%</x:v>
      </x:c>
      <x:c r="I31" s="72" t="str">
        <x:v>执行本大陆正常毕业洗练预算；不预设攻速突破洗练</x:v>
      </x:c>
      <x:c r="J31" s="72" t="str">
        <x:v>执行本大陆正常毕业开光预算</x:v>
      </x:c>
      <x:c r="K31" s="72" t="str">
        <x:v>已解锁槽位以橙/红为主；彩色不是硬要求；项链按正常完成</x:v>
      </x:c>
      <x:c r="L31" s="72" t="str">
        <x:v>满赞助＋捐献；狂暴按PVE常驻</x:v>
      </x:c>
      <x:c r="M31" s="72" t="n">
        <x:v>65</x:v>
      </x:c>
      <x:c r="N31" s="73" t="str">
        <x:v>BOSS/守关与大陆毕业强度锚</x:v>
      </x:c>
    </x:row>
    <x:row r="32">
      <x:c r="A32" s="71" t="str">
        <x:v>C07</x:v>
      </x:c>
      <x:c r="B32" s="72" t="str">
        <x:v>化圣雪原</x:v>
      </x:c>
      <x:c r="C32" s="72" t="str">
        <x:v>高投入压力情景</x:v>
      </x:c>
      <x:c r="D32" s="72" t="str">
        <x:v>最优BOSS专属＋合成＋高质量洗练；允许追梦/极稀有组合</x:v>
      </x:c>
      <x:c r="E32" s="72" t="str">
        <x:v>本大陆阶段已完成</x:v>
      </x:c>
      <x:c r="F32" s="72" t="n">
        <x:v>10</x:v>
      </x:c>
      <x:c r="G32" s="72" t="n">
        <x:v>195</x:v>
      </x:c>
      <x:c r="H32" s="72" t="str">
        <x:v>100%</x:v>
      </x:c>
      <x:c r="I32" s="72" t="str">
        <x:v>正常毕业预算3倍以上；允许极少数极稀有词条</x:v>
      </x:c>
      <x:c r="J32" s="72" t="str">
        <x:v>7/8词条多件开光；非经济基准</x:v>
      </x:c>
      <x:c r="K32" s="72" t="str">
        <x:v>高品质命格、幸运完成；仅做上限压力测试</x:v>
      </x:c>
      <x:c r="L32" s="72" t="str">
        <x:v>满赞助全套临时/永久增益</x:v>
      </x:c>
      <x:c r="M32" s="72" t="n">
        <x:v>78</x:v>
      </x:c>
      <x:c r="N32" s="73" t="str">
        <x:v>参考压力情景；不是硬上限；另测100→150/200倍回刷</x:v>
      </x:c>
    </x:row>
    <x:row r="33">
      <x:c r="A33" s="71" t="str">
        <x:v>C08</x:v>
      </x:c>
      <x:c r="B33" s="72" t="str">
        <x:v>巨人山顶</x:v>
      </x:c>
      <x:c r="C33" s="72" t="str">
        <x:v>进入</x:v>
      </x:c>
      <x:c r="D33" s="72" t="str">
        <x:v>以上一大陆正常毕业装备为主；刚进入本大陆</x:v>
      </x:c>
      <x:c r="E33" s="72" t="str">
        <x:v>尚未完成本大陆阶段</x:v>
      </x:c>
      <x:c r="F33" s="72" t="n">
        <x:v>10</x:v>
      </x:c>
      <x:c r="G33" s="72" t="n">
        <x:v>195</x:v>
      </x:c>
      <x:c r="H33" s="72" t="str">
        <x:v>0%</x:v>
      </x:c>
      <x:c r="I33" s="72" t="str">
        <x:v>沿用上一大陆真实配装的洗练；不得进图后重置</x:v>
      </x:c>
      <x:c r="J33" s="72" t="str">
        <x:v>0</x:v>
      </x:c>
      <x:c r="K33" s="72" t="str">
        <x:v>沿用既有解锁槽位；幸运按已完成值</x:v>
      </x:c>
      <x:c r="L33" s="72" t="str">
        <x:v>满赞助＋捐献；狂暴按PVE常驻</x:v>
      </x:c>
      <x:c r="M33" s="72" t="n">
        <x:v>65</x:v>
      </x:c>
      <x:c r="N33" s="73" t="str">
        <x:v>校验入场能否推进</x:v>
      </x:c>
    </x:row>
    <x:row r="34">
      <x:c r="A34" s="71" t="str">
        <x:v>C08</x:v>
      </x:c>
      <x:c r="B34" s="72" t="str">
        <x:v>巨人山顶</x:v>
      </x:c>
      <x:c r="C34" s="72" t="str">
        <x:v>中期</x:v>
      </x:c>
      <x:c r="D34" s="72" t="str">
        <x:v>约一半关键位替换为本大陆普通/稀有专属；允许1件重点合成</x:v>
      </x:c>
      <x:c r="E34" s="72" t="str">
        <x:v>本大陆阶段称号未完成/已完成各算一情景；不得凭空给半份累计阶段奖励</x:v>
      </x:c>
      <x:c r="F34" s="72" t="n">
        <x:v>13</x:v>
      </x:c>
      <x:c r="G34" s="72" t="n">
        <x:v>208</x:v>
      </x:c>
      <x:c r="H34" s="72" t="str">
        <x:v>约40%</x:v>
      </x:c>
      <x:c r="I34" s="72" t="str">
        <x:v>消耗本大陆正常毕业洗练预算约40%</x:v>
      </x:c>
      <x:c r="J34" s="72" t="str">
        <x:v>开光预算约40%</x:v>
      </x:c>
      <x:c r="K34" s="72" t="str">
        <x:v>已解锁槽位以黄/橙为主；少量红；幸运按阶段</x:v>
      </x:c>
      <x:c r="L34" s="72" t="str">
        <x:v>满赞助＋捐献；狂暴按PVE常驻</x:v>
      </x:c>
      <x:c r="M34" s="72" t="n">
        <x:v>71.5</x:v>
      </x:c>
      <x:c r="N34" s="73" t="str">
        <x:v>经济产出与普通怪主计算锚</x:v>
      </x:c>
    </x:row>
    <x:row r="35">
      <x:c r="A35" s="71" t="str">
        <x:v>C08</x:v>
      </x:c>
      <x:c r="B35" s="72" t="str">
        <x:v>巨人山顶</x:v>
      </x:c>
      <x:c r="C35" s="72" t="str">
        <x:v>正常毕业</x:v>
      </x:c>
      <x:c r="D35" s="72" t="str">
        <x:v>当前大陆主装备成型；含少量BOSS专属/重点合成，不要求全追梦或全极品</x:v>
      </x:c>
      <x:c r="E35" s="72" t="str">
        <x:v>本大陆阶段已完成</x:v>
      </x:c>
      <x:c r="F35" s="72" t="n">
        <x:v>15</x:v>
      </x:c>
      <x:c r="G35" s="72" t="n">
        <x:v>220</x:v>
      </x:c>
      <x:c r="H35" s="72" t="str">
        <x:v>约75%</x:v>
      </x:c>
      <x:c r="I35" s="72" t="str">
        <x:v>执行本大陆正常毕业洗练预算；不预设攻速突破洗练</x:v>
      </x:c>
      <x:c r="J35" s="72" t="str">
        <x:v>执行本大陆正常毕业开光预算</x:v>
      </x:c>
      <x:c r="K35" s="72" t="str">
        <x:v>已解锁槽位以橙/红为主；彩色不是硬要求；项链按正常完成</x:v>
      </x:c>
      <x:c r="L35" s="72" t="str">
        <x:v>满赞助＋捐献；狂暴按PVE常驻</x:v>
      </x:c>
      <x:c r="M35" s="72" t="n">
        <x:v>78</x:v>
      </x:c>
      <x:c r="N35" s="73" t="str">
        <x:v>BOSS/守关与大陆毕业强度锚</x:v>
      </x:c>
    </x:row>
    <x:row r="36">
      <x:c r="A36" s="71" t="str">
        <x:v>C08</x:v>
      </x:c>
      <x:c r="B36" s="72" t="str">
        <x:v>巨人山顶</x:v>
      </x:c>
      <x:c r="C36" s="72" t="str">
        <x:v>高投入压力情景</x:v>
      </x:c>
      <x:c r="D36" s="72" t="str">
        <x:v>最优BOSS专属＋合成＋高质量洗练；允许追梦/极稀有组合</x:v>
      </x:c>
      <x:c r="E36" s="72" t="str">
        <x:v>本大陆阶段已完成</x:v>
      </x:c>
      <x:c r="F36" s="72" t="n">
        <x:v>15</x:v>
      </x:c>
      <x:c r="G36" s="72" t="n">
        <x:v>220</x:v>
      </x:c>
      <x:c r="H36" s="72" t="str">
        <x:v>100%</x:v>
      </x:c>
      <x:c r="I36" s="72" t="str">
        <x:v>正常毕业预算3倍以上；允许极少数极稀有词条</x:v>
      </x:c>
      <x:c r="J36" s="72" t="str">
        <x:v>7/8词条多件开光；非经济基准</x:v>
      </x:c>
      <x:c r="K36" s="72" t="str">
        <x:v>高品质命格、幸运完成；仅做上限压力测试</x:v>
      </x:c>
      <x:c r="L36" s="72" t="str">
        <x:v>满赞助全套临时/永久增益</x:v>
      </x:c>
      <x:c r="M36" s="72" t="n">
        <x:v>93.6</x:v>
      </x:c>
      <x:c r="N36" s="73" t="str">
        <x:v>参考压力情景；不是硬上限；另测100→150/200倍回刷</x:v>
      </x:c>
    </x:row>
    <x:row r="37">
      <x:c r="A37" s="71" t="str">
        <x:v>C09</x:v>
      </x:c>
      <x:c r="B37" s="72" t="str">
        <x:v>亚坛高原</x:v>
      </x:c>
      <x:c r="C37" s="72" t="str">
        <x:v>进入</x:v>
      </x:c>
      <x:c r="D37" s="72" t="str">
        <x:v>以上一大陆正常毕业装备为主；刚进入本大陆</x:v>
      </x:c>
      <x:c r="E37" s="72" t="str">
        <x:v>尚未完成本大陆阶段</x:v>
      </x:c>
      <x:c r="F37" s="72" t="n">
        <x:v>15</x:v>
      </x:c>
      <x:c r="G37" s="72" t="n">
        <x:v>220</x:v>
      </x:c>
      <x:c r="H37" s="72" t="str">
        <x:v>0%</x:v>
      </x:c>
      <x:c r="I37" s="72" t="str">
        <x:v>沿用上一大陆真实配装的洗练；不得进图后重置</x:v>
      </x:c>
      <x:c r="J37" s="72" t="str">
        <x:v>0</x:v>
      </x:c>
      <x:c r="K37" s="72" t="str">
        <x:v>沿用既有解锁槽位；幸运按已完成值</x:v>
      </x:c>
      <x:c r="L37" s="72" t="str">
        <x:v>满赞助＋捐献；狂暴按PVE常驻</x:v>
      </x:c>
      <x:c r="M37" s="72" t="n">
        <x:v>78</x:v>
      </x:c>
      <x:c r="N37" s="73" t="str">
        <x:v>校验入场能否推进</x:v>
      </x:c>
    </x:row>
    <x:row r="38">
      <x:c r="A38" s="71" t="str">
        <x:v>C09</x:v>
      </x:c>
      <x:c r="B38" s="72" t="str">
        <x:v>亚坛高原</x:v>
      </x:c>
      <x:c r="C38" s="72" t="str">
        <x:v>中期</x:v>
      </x:c>
      <x:c r="D38" s="72" t="str">
        <x:v>约一半关键位替换为本大陆普通/稀有专属；允许1件重点合成</x:v>
      </x:c>
      <x:c r="E38" s="72" t="str">
        <x:v>本大陆阶段称号未完成/已完成各算一情景；不得凭空给半份累计阶段奖励</x:v>
      </x:c>
      <x:c r="F38" s="72" t="n">
        <x:v>15</x:v>
      </x:c>
      <x:c r="G38" s="72" t="n">
        <x:v>230</x:v>
      </x:c>
      <x:c r="H38" s="72" t="str">
        <x:v>约40%</x:v>
      </x:c>
      <x:c r="I38" s="72" t="str">
        <x:v>消耗本大陆正常毕业洗练预算约40%</x:v>
      </x:c>
      <x:c r="J38" s="72" t="str">
        <x:v>开光预算约40%</x:v>
      </x:c>
      <x:c r="K38" s="72" t="str">
        <x:v>已解锁槽位以黄/橙为主；少量红；幸运按阶段</x:v>
      </x:c>
      <x:c r="L38" s="72" t="str">
        <x:v>满赞助＋捐献；狂暴按PVE常驻</x:v>
      </x:c>
      <x:c r="M38" s="72" t="n">
        <x:v>84</x:v>
      </x:c>
      <x:c r="N38" s="73" t="str">
        <x:v>经济产出与普通怪主计算锚</x:v>
      </x:c>
    </x:row>
    <x:row r="39">
      <x:c r="A39" s="71" t="str">
        <x:v>C09</x:v>
      </x:c>
      <x:c r="B39" s="72" t="str">
        <x:v>亚坛高原</x:v>
      </x:c>
      <x:c r="C39" s="72" t="str">
        <x:v>正常毕业</x:v>
      </x:c>
      <x:c r="D39" s="72" t="str">
        <x:v>当前大陆主装备成型；含少量BOSS专属/重点合成，不要求全追梦或全极品</x:v>
      </x:c>
      <x:c r="E39" s="72" t="str">
        <x:v>本大陆阶段已完成</x:v>
      </x:c>
      <x:c r="F39" s="72" t="n">
        <x:v>15</x:v>
      </x:c>
      <x:c r="G39" s="72" t="n">
        <x:v>240</x:v>
      </x:c>
      <x:c r="H39" s="72" t="str">
        <x:v>约75%</x:v>
      </x:c>
      <x:c r="I39" s="72" t="str">
        <x:v>执行本大陆正常毕业洗练预算；不预设攻速突破洗练</x:v>
      </x:c>
      <x:c r="J39" s="72" t="str">
        <x:v>执行本大陆正常毕业开光预算</x:v>
      </x:c>
      <x:c r="K39" s="72" t="str">
        <x:v>已解锁槽位以橙/红为主；彩色不是硬要求；项链按正常完成</x:v>
      </x:c>
      <x:c r="L39" s="72" t="str">
        <x:v>满赞助＋捐献；狂暴按PVE常驻</x:v>
      </x:c>
      <x:c r="M39" s="72" t="n">
        <x:v>90</x:v>
      </x:c>
      <x:c r="N39" s="73" t="str">
        <x:v>BOSS/守关与大陆毕业强度锚</x:v>
      </x:c>
    </x:row>
    <x:row r="40">
      <x:c r="A40" s="71" t="str">
        <x:v>C09</x:v>
      </x:c>
      <x:c r="B40" s="72" t="str">
        <x:v>亚坛高原</x:v>
      </x:c>
      <x:c r="C40" s="72" t="str">
        <x:v>高投入压力情景</x:v>
      </x:c>
      <x:c r="D40" s="72" t="str">
        <x:v>最优BOSS专属＋合成＋高质量洗练；允许追梦/极稀有组合</x:v>
      </x:c>
      <x:c r="E40" s="72" t="str">
        <x:v>本大陆阶段已完成</x:v>
      </x:c>
      <x:c r="F40" s="72" t="n">
        <x:v>15</x:v>
      </x:c>
      <x:c r="G40" s="72" t="n">
        <x:v>240</x:v>
      </x:c>
      <x:c r="H40" s="72" t="str">
        <x:v>100%</x:v>
      </x:c>
      <x:c r="I40" s="72" t="str">
        <x:v>正常毕业预算3倍以上；允许极少数极稀有词条</x:v>
      </x:c>
      <x:c r="J40" s="72" t="str">
        <x:v>7/8词条多件开光；非经济基准</x:v>
      </x:c>
      <x:c r="K40" s="72" t="str">
        <x:v>高品质命格、幸运完成；仅做上限压力测试</x:v>
      </x:c>
      <x:c r="L40" s="72" t="str">
        <x:v>满赞助全套临时/永久增益</x:v>
      </x:c>
      <x:c r="M40" s="72" t="n">
        <x:v>108</x:v>
      </x:c>
      <x:c r="N40" s="73" t="str">
        <x:v>参考压力情景；不是硬上限；另测100→150/200倍回刷</x:v>
      </x:c>
    </x:row>
    <x:row r="41">
      <x:c r="A41" s="71" t="str">
        <x:v>C10</x:v>
      </x:c>
      <x:c r="B41" s="72" t="str">
        <x:v>王城罗德尔</x:v>
      </x:c>
      <x:c r="C41" s="72" t="str">
        <x:v>进入</x:v>
      </x:c>
      <x:c r="D41" s="72" t="str">
        <x:v>以上一大陆正常毕业装备为主；刚进入本大陆</x:v>
      </x:c>
      <x:c r="E41" s="72" t="str">
        <x:v>尚未完成本大陆阶段</x:v>
      </x:c>
      <x:c r="F41" s="72" t="n">
        <x:v>15</x:v>
      </x:c>
      <x:c r="G41" s="72" t="n">
        <x:v>240</x:v>
      </x:c>
      <x:c r="H41" s="72" t="str">
        <x:v>0%</x:v>
      </x:c>
      <x:c r="I41" s="72" t="str">
        <x:v>沿用上一大陆真实配装的洗练；不得进图后重置</x:v>
      </x:c>
      <x:c r="J41" s="72" t="str">
        <x:v>0</x:v>
      </x:c>
      <x:c r="K41" s="72" t="str">
        <x:v>沿用既有解锁槽位；幸运按已完成值</x:v>
      </x:c>
      <x:c r="L41" s="72" t="str">
        <x:v>满赞助＋捐献；狂暴按PVE常驻</x:v>
      </x:c>
      <x:c r="M41" s="72" t="n">
        <x:v>90</x:v>
      </x:c>
      <x:c r="N41" s="73" t="str">
        <x:v>校验入场能否推进</x:v>
      </x:c>
    </x:row>
    <x:row r="42">
      <x:c r="A42" s="71" t="str">
        <x:v>C10</x:v>
      </x:c>
      <x:c r="B42" s="72" t="str">
        <x:v>王城罗德尔</x:v>
      </x:c>
      <x:c r="C42" s="72" t="str">
        <x:v>中期</x:v>
      </x:c>
      <x:c r="D42" s="72" t="str">
        <x:v>约一半关键位替换为本大陆普通/稀有专属；允许1件重点合成</x:v>
      </x:c>
      <x:c r="E42" s="72" t="str">
        <x:v>本大陆阶段称号未完成/已完成各算一情景；不得凭空给半份累计阶段奖励</x:v>
      </x:c>
      <x:c r="F42" s="72" t="n">
        <x:v>18</x:v>
      </x:c>
      <x:c r="G42" s="72" t="n">
        <x:v>248</x:v>
      </x:c>
      <x:c r="H42" s="72" t="str">
        <x:v>约40%</x:v>
      </x:c>
      <x:c r="I42" s="72" t="str">
        <x:v>消耗本大陆正常毕业洗练预算约40%</x:v>
      </x:c>
      <x:c r="J42" s="72" t="str">
        <x:v>开光预算约40%</x:v>
      </x:c>
      <x:c r="K42" s="72" t="str">
        <x:v>已解锁槽位以黄/橙为主；少量红；幸运按阶段</x:v>
      </x:c>
      <x:c r="L42" s="72" t="str">
        <x:v>满赞助＋捐献；狂暴按PVE常驻</x:v>
      </x:c>
      <x:c r="M42" s="72" t="n">
        <x:v>95</x:v>
      </x:c>
      <x:c r="N42" s="73" t="str">
        <x:v>经济产出与普通怪主计算锚</x:v>
      </x:c>
    </x:row>
    <x:row r="43">
      <x:c r="A43" s="71" t="str">
        <x:v>C10</x:v>
      </x:c>
      <x:c r="B43" s="72" t="str">
        <x:v>王城罗德尔</x:v>
      </x:c>
      <x:c r="C43" s="72" t="str">
        <x:v>正常毕业</x:v>
      </x:c>
      <x:c r="D43" s="72" t="str">
        <x:v>当前大陆主装备成型；含少量BOSS专属/重点合成，不要求全追梦或全极品</x:v>
      </x:c>
      <x:c r="E43" s="72" t="str">
        <x:v>本大陆阶段已完成</x:v>
      </x:c>
      <x:c r="F43" s="72" t="n">
        <x:v>20</x:v>
      </x:c>
      <x:c r="G43" s="72" t="n">
        <x:v>255</x:v>
      </x:c>
      <x:c r="H43" s="72" t="str">
        <x:v>约75%</x:v>
      </x:c>
      <x:c r="I43" s="72" t="str">
        <x:v>执行本大陆正常毕业洗练预算；不预设攻速突破洗练</x:v>
      </x:c>
      <x:c r="J43" s="72" t="str">
        <x:v>执行本大陆正常毕业开光预算</x:v>
      </x:c>
      <x:c r="K43" s="72" t="str">
        <x:v>已解锁槽位以橙/红为主；彩色不是硬要求；项链按正常完成</x:v>
      </x:c>
      <x:c r="L43" s="72" t="str">
        <x:v>满赞助＋捐献；狂暴按PVE常驻</x:v>
      </x:c>
      <x:c r="M43" s="72" t="n">
        <x:v>100</x:v>
      </x:c>
      <x:c r="N43" s="73" t="str">
        <x:v>BOSS/守关与大陆毕业强度锚</x:v>
      </x:c>
    </x:row>
    <x:row r="44">
      <x:c r="A44" s="74" t="str">
        <x:v>C10</x:v>
      </x:c>
      <x:c r="B44" s="75" t="str">
        <x:v>王城罗德尔</x:v>
      </x:c>
      <x:c r="C44" s="75" t="str">
        <x:v>高投入压力情景</x:v>
      </x:c>
      <x:c r="D44" s="75" t="str">
        <x:v>最优BOSS专属＋合成＋高质量洗练；允许追梦/极稀有组合</x:v>
      </x:c>
      <x:c r="E44" s="75" t="str">
        <x:v>本大陆阶段已完成</x:v>
      </x:c>
      <x:c r="F44" s="75" t="n">
        <x:v>20</x:v>
      </x:c>
      <x:c r="G44" s="75" t="n">
        <x:v>255</x:v>
      </x:c>
      <x:c r="H44" s="75" t="str">
        <x:v>100%</x:v>
      </x:c>
      <x:c r="I44" s="75" t="str">
        <x:v>正常毕业预算3倍以上；允许极少数极稀有词条</x:v>
      </x:c>
      <x:c r="J44" s="75" t="str">
        <x:v>7/8词条多件开光；非经济基准</x:v>
      </x:c>
      <x:c r="K44" s="75" t="str">
        <x:v>高品质命格、幸运完成；仅做上限压力测试</x:v>
      </x:c>
      <x:c r="L44" s="75" t="str">
        <x:v>满赞助全套临时/永久增益</x:v>
      </x:c>
      <x:c r="M44" s="75" t="n">
        <x:v>120</x:v>
      </x:c>
      <x:c r="N44" s="76" t="str">
        <x:v>参考压力情景；不是硬上限；另测100→150/200倍回刷</x:v>
      </x:c>
    </x:row>
    <x:row r="47">
      <x:c r="A47" s="49" t="str">
        <x:v>大陆ID</x:v>
      </x:c>
      <x:c r="B47" s="49" t="str">
        <x:v>大陆</x:v>
      </x:c>
      <x:c r="C47" s="49" t="str">
        <x:v>正常毕业爆率目标</x:v>
      </x:c>
      <x:c r="D47" s="49" t="str">
        <x:v>正常毕业参考</x:v>
      </x:c>
      <x:c r="E47" s="49" t="str">
        <x:v>高投入压力情景（非上限）</x:v>
      </x:c>
      <x:c r="F47" s="49" t="str">
        <x:v>目标值与推定状态</x:v>
      </x:c>
      <x:c r="G47" s="49" t="str">
        <x:v>洗练差异如何体现</x:v>
      </x:c>
      <x:c r="H47" s="49" t="str">
        <x:v>最终TXT生成原则</x:v>
      </x:c>
    </x:row>
    <x:row r="48">
      <x:c r="A48" s="68" t="str">
        <x:v>C01</x:v>
      </x:c>
      <x:c r="B48" s="69" t="str">
        <x:v>漂流群岛</x:v>
      </x:c>
      <x:c r="C48" s="69" t="n">
        <x:v>12</x:v>
      </x:c>
      <x:c r="D48" s="69" t="n">
        <x:v>12</x:v>
      </x:c>
      <x:c r="E48" s="69" t="n">
        <x:v>14.399999999999999</x:v>
      </x:c>
      <x:c r="F48" s="69" t="str">
        <x:v>12/100为用户近似端点；其他为设计目标；高投入值非上限</x:v>
      </x:c>
      <x:c r="G48" s="69" t="str">
        <x:v>最大爆率、装备原生爆率/人物爆率及品质组合造成上下浮动；经济模型用锚值而非极端值</x:v>
      </x:c>
      <x:c r="H48" s="70" t="str">
        <x:v>逐怪基础1/x按本大陆经济锚与目标击杀次数反算，再用高洗练档校验回刷不失控</x:v>
      </x:c>
    </x:row>
    <x:row r="49">
      <x:c r="A49" s="71" t="str">
        <x:v>C02</x:v>
      </x:c>
      <x:c r="B49" s="72" t="str">
        <x:v>宁姆格福</x:v>
      </x:c>
      <x:c r="C49" s="72" t="n">
        <x:v>16</x:v>
      </x:c>
      <x:c r="D49" s="72" t="n">
        <x:v>16</x:v>
      </x:c>
      <x:c r="E49" s="72" t="n">
        <x:v>19.2</x:v>
      </x:c>
      <x:c r="F49" s="72" t="str">
        <x:v>12/100为用户近似端点；其他为设计目标；高投入值非上限</x:v>
      </x:c>
      <x:c r="G49" s="72" t="str">
        <x:v>最大爆率、装备原生爆率/人物爆率及品质组合造成上下浮动；经济模型用锚值而非极端值</x:v>
      </x:c>
      <x:c r="H49" s="73" t="str">
        <x:v>逐怪基础1/x按本大陆经济锚与目标击杀次数反算，再用高洗练档校验回刷不失控</x:v>
      </x:c>
    </x:row>
    <x:row r="50">
      <x:c r="A50" s="71" t="str">
        <x:v>C03</x:v>
      </x:c>
      <x:c r="B50" s="72" t="str">
        <x:v>宁姆格福西域</x:v>
      </x:c>
      <x:c r="C50" s="72" t="n">
        <x:v>22</x:v>
      </x:c>
      <x:c r="D50" s="72" t="n">
        <x:v>22</x:v>
      </x:c>
      <x:c r="E50" s="72" t="n">
        <x:v>26.4</x:v>
      </x:c>
      <x:c r="F50" s="72" t="str">
        <x:v>12/100为用户近似端点；其他为设计目标；高投入值非上限</x:v>
      </x:c>
      <x:c r="G50" s="72" t="str">
        <x:v>最大爆率、装备原生爆率/人物爆率及品质组合造成上下浮动；经济模型用锚值而非极端值</x:v>
      </x:c>
      <x:c r="H50" s="73" t="str">
        <x:v>逐怪基础1/x按本大陆经济锚与目标击杀次数反算，再用高洗练档校验回刷不失控</x:v>
      </x:c>
    </x:row>
    <x:row r="51">
      <x:c r="A51" s="71" t="str">
        <x:v>C04</x:v>
      </x:c>
      <x:c r="B51" s="72" t="str">
        <x:v>利耶尼亚海域</x:v>
      </x:c>
      <x:c r="C51" s="72" t="n">
        <x:v>30</x:v>
      </x:c>
      <x:c r="D51" s="72" t="n">
        <x:v>30</x:v>
      </x:c>
      <x:c r="E51" s="72" t="n">
        <x:v>36</x:v>
      </x:c>
      <x:c r="F51" s="72" t="str">
        <x:v>12/100为用户近似端点；其他为设计目标；高投入值非上限</x:v>
      </x:c>
      <x:c r="G51" s="72" t="str">
        <x:v>最大爆率、装备原生爆率/人物爆率及品质组合造成上下浮动；经济模型用锚值而非极端值</x:v>
      </x:c>
      <x:c r="H51" s="73" t="str">
        <x:v>逐怪基础1/x按本大陆经济锚与目标击杀次数反算，再用高洗练档校验回刷不失控</x:v>
      </x:c>
    </x:row>
    <x:row r="52">
      <x:c r="A52" s="71" t="str">
        <x:v>C05</x:v>
      </x:c>
      <x:c r="B52" s="72" t="str">
        <x:v>湖之利耶尼亚</x:v>
      </x:c>
      <x:c r="C52" s="72" t="n">
        <x:v>40</x:v>
      </x:c>
      <x:c r="D52" s="72" t="n">
        <x:v>40</x:v>
      </x:c>
      <x:c r="E52" s="72" t="n">
        <x:v>48</x:v>
      </x:c>
      <x:c r="F52" s="72" t="str">
        <x:v>12/100为用户近似端点；其他为设计目标；高投入值非上限</x:v>
      </x:c>
      <x:c r="G52" s="72" t="str">
        <x:v>最大爆率、装备原生爆率/人物爆率及品质组合造成上下浮动；经济模型用锚值而非极端值</x:v>
      </x:c>
      <x:c r="H52" s="73" t="str">
        <x:v>逐怪基础1/x按本大陆经济锚与目标击杀次数反算，再用高洗练档校验回刷不失控</x:v>
      </x:c>
    </x:row>
    <x:row r="53">
      <x:c r="A53" s="71" t="str">
        <x:v>C06</x:v>
      </x:c>
      <x:c r="B53" s="72" t="str">
        <x:v>盖利德</x:v>
      </x:c>
      <x:c r="C53" s="72" t="n">
        <x:v>52</x:v>
      </x:c>
      <x:c r="D53" s="72" t="n">
        <x:v>52</x:v>
      </x:c>
      <x:c r="E53" s="72" t="n">
        <x:v>62.4</x:v>
      </x:c>
      <x:c r="F53" s="72" t="str">
        <x:v>12/100为用户近似端点；其他为设计目标；高投入值非上限</x:v>
      </x:c>
      <x:c r="G53" s="72" t="str">
        <x:v>最大爆率、装备原生爆率/人物爆率及品质组合造成上下浮动；经济模型用锚值而非极端值</x:v>
      </x:c>
      <x:c r="H53" s="73" t="str">
        <x:v>逐怪基础1/x按本大陆经济锚与目标击杀次数反算，再用高洗练档校验回刷不失控</x:v>
      </x:c>
    </x:row>
    <x:row r="54">
      <x:c r="A54" s="71" t="str">
        <x:v>C07</x:v>
      </x:c>
      <x:c r="B54" s="72" t="str">
        <x:v>化圣雪原</x:v>
      </x:c>
      <x:c r="C54" s="72" t="n">
        <x:v>65</x:v>
      </x:c>
      <x:c r="D54" s="72" t="n">
        <x:v>65</x:v>
      </x:c>
      <x:c r="E54" s="72" t="n">
        <x:v>78</x:v>
      </x:c>
      <x:c r="F54" s="72" t="str">
        <x:v>12/100为用户近似端点；其他为设计目标；高投入值非上限</x:v>
      </x:c>
      <x:c r="G54" s="72" t="str">
        <x:v>最大爆率、装备原生爆率/人物爆率及品质组合造成上下浮动；经济模型用锚值而非极端值</x:v>
      </x:c>
      <x:c r="H54" s="73" t="str">
        <x:v>逐怪基础1/x按本大陆经济锚与目标击杀次数反算，再用高洗练档校验回刷不失控</x:v>
      </x:c>
    </x:row>
    <x:row r="55">
      <x:c r="A55" s="71" t="str">
        <x:v>C08</x:v>
      </x:c>
      <x:c r="B55" s="72" t="str">
        <x:v>巨人山顶</x:v>
      </x:c>
      <x:c r="C55" s="72" t="n">
        <x:v>78</x:v>
      </x:c>
      <x:c r="D55" s="72" t="n">
        <x:v>78</x:v>
      </x:c>
      <x:c r="E55" s="72" t="n">
        <x:v>93.6</x:v>
      </x:c>
      <x:c r="F55" s="72" t="str">
        <x:v>12/100为用户近似端点；其他为设计目标；高投入值非上限</x:v>
      </x:c>
      <x:c r="G55" s="72" t="str">
        <x:v>最大爆率、装备原生爆率/人物爆率及品质组合造成上下浮动；经济模型用锚值而非极端值</x:v>
      </x:c>
      <x:c r="H55" s="73" t="str">
        <x:v>逐怪基础1/x按本大陆经济锚与目标击杀次数反算，再用高洗练档校验回刷不失控</x:v>
      </x:c>
    </x:row>
    <x:row r="56">
      <x:c r="A56" s="71" t="str">
        <x:v>C09</x:v>
      </x:c>
      <x:c r="B56" s="72" t="str">
        <x:v>亚坛高原</x:v>
      </x:c>
      <x:c r="C56" s="72" t="n">
        <x:v>90</x:v>
      </x:c>
      <x:c r="D56" s="72" t="n">
        <x:v>90</x:v>
      </x:c>
      <x:c r="E56" s="72" t="n">
        <x:v>108</x:v>
      </x:c>
      <x:c r="F56" s="72" t="str">
        <x:v>12/100为用户近似端点；其他为设计目标；高投入值非上限</x:v>
      </x:c>
      <x:c r="G56" s="72" t="str">
        <x:v>最大爆率、装备原生爆率/人物爆率及品质组合造成上下浮动；经济模型用锚值而非极端值</x:v>
      </x:c>
      <x:c r="H56" s="73" t="str">
        <x:v>逐怪基础1/x按本大陆经济锚与目标击杀次数反算，再用高洗练档校验回刷不失控</x:v>
      </x:c>
    </x:row>
    <x:row r="57">
      <x:c r="A57" s="74" t="str">
        <x:v>C10</x:v>
      </x:c>
      <x:c r="B57" s="75" t="str">
        <x:v>王城罗德尔</x:v>
      </x:c>
      <x:c r="C57" s="75" t="n">
        <x:v>100</x:v>
      </x:c>
      <x:c r="D57" s="75" t="n">
        <x:v>100</x:v>
      </x:c>
      <x:c r="E57" s="75" t="n">
        <x:v>120</x:v>
      </x:c>
      <x:c r="F57" s="75" t="str">
        <x:v>12/100为用户近似端点；其他为设计目标；高投入值非上限</x:v>
      </x:c>
      <x:c r="G57" s="75" t="str">
        <x:v>最大爆率、装备原生爆率/人物爆率及品质组合造成上下浮动；经济模型用锚值而非极端值</x:v>
      </x:c>
      <x:c r="H57" s="76" t="str">
        <x:v>逐怪基础1/x按本大陆经济锚与目标击杀次数反算，再用高洗练档校验回刷不失控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16" hidden="0" customWidth="1"/>
    <x:col min="4" max="4" width="38" hidden="0" customWidth="1"/>
    <x:col min="5" max="5" width="34" hidden="0" customWidth="1"/>
    <x:col min="6" max="6" width="44" hidden="0" customWidth="1"/>
  </x:cols>
  <x:sheetData>
    <x:row r="1">
      <x:c r="A1" s="88" t="str">
        <x:v>2026-09-05 人物幸运与数值尺度修订</x:v>
      </x:c>
      <x:c r="B1" s="88"/>
      <x:c r="C1" s="88"/>
      <x:c r="D1" s="88"/>
      <x:c r="E1" s="88"/>
      <x:c r="F1" s="88"/>
    </x:row>
    <x:row r="3">
      <x:c r="A3" s="87" t="str">
        <x:v>对象</x:v>
      </x:c>
      <x:c r="B3" s="87" t="str">
        <x:v>现行规则</x:v>
      </x:c>
      <x:c r="C3" s="87" t="str">
        <x:v>倍率/状态</x:v>
      </x:c>
      <x:c r="D3" s="87" t="str">
        <x:v>影响范围</x:v>
      </x:c>
      <x:c r="E3" s="87" t="str">
        <x:v>不影响</x:v>
      </x:c>
      <x:c r="F3" s="87" t="str">
        <x:v>备注</x:v>
      </x:c>
    </x:row>
    <x:row r="4">
      <x:c r="A4" t="str">
        <x:v>项链幸运</x:v>
      </x:c>
      <x:c r="B4" t="str">
        <x:v>绑定人物永久进度；达到幸运8后换项链不重置</x:v>
      </x:c>
      <x:c r="C4" t="str">
        <x:v>人物永久</x:v>
      </x:c>
      <x:c r="D4" t="str">
        <x:v>C2起幸运成长与后续全部人物</x:v>
      </x:c>
      <x:c r="E4" t="str">
        <x:v>装备洗练仍绑定装备</x:v>
      </x:c>
      <x:c r="F4" t="str">
        <x:v>武器幸运7成本忽略</x:v>
      </x:c>
    </x:row>
    <x:row r="5">
      <x:c r="A5" t="str">
        <x:v>金币</x:v>
      </x:c>
      <x:c r="B5" t="str">
        <x:v>所有建模产出与消耗同步放大</x:v>
      </x:c>
      <x:c r="C5" t="str">
        <x:v>×100</x:v>
      </x:c>
      <x:c r="D5" t="str">
        <x:v>NPC费用、成长费用、回收/产出</x:v>
      </x:c>
      <x:c r="E5" t="str">
        <x:v>完成时间/相对比例</x:v>
      </x:c>
      <x:c r="F5" t="str">
        <x:v>零值仍为零</x:v>
      </x:c>
    </x:row>
    <x:row r="6">
      <x:c r="A6" t="str">
        <x:v>元宝</x:v>
      </x:c>
      <x:c r="B6" t="str">
        <x:v>所有建模产出与消耗同步放大</x:v>
      </x:c>
      <x:c r="C6" t="str">
        <x:v>×100</x:v>
      </x:c>
      <x:c r="D6" t="str">
        <x:v>NPC费用、成长费用、回收/产出</x:v>
      </x:c>
      <x:c r="E6" t="str">
        <x:v>完成时间/相对比例</x:v>
      </x:c>
      <x:c r="F6" t="str">
        <x:v>零值仍为零</x:v>
      </x:c>
    </x:row>
    <x:row r="7">
      <x:c r="A7" t="str">
        <x:v>失色锻造石</x:v>
      </x:c>
      <x:c r="B7" t="str">
        <x:v>专属分解和已建模消耗同步放大</x:v>
      </x:c>
      <x:c r="C7" t="str">
        <x:v>×10</x:v>
      </x:c>
      <x:c r="D7" t="str">
        <x:v>洗练、开光、合成、分解</x:v>
      </x:c>
      <x:c r="E7" t="str">
        <x:v>其他材料数量</x:v>
      </x:c>
      <x:c r="F7" t="str">
        <x:v>仍需561怪掉率闭环</x:v>
      </x:c>
    </x:row>
    <x:row r="8">
      <x:c r="A8" t="str">
        <x:v>C2主城原则</x:v>
      </x:c>
      <x:c r="B8" t="str">
        <x:v>除C2贯穿称号外，核心系统材料/货币尽量承担全游戏长期用途</x:v>
      </x:c>
      <x:c r="C8" t="str">
        <x:v>设计边界</x:v>
      </x:c>
      <x:c r="D8" t="str">
        <x:v>命格/神印/洗练/技能等长期系统</x:v>
      </x:c>
      <x:c r="E8" t="str">
        <x:v>本大陆装备合成本地材料</x:v>
      </x:c>
      <x:c r="F8" t="str">
        <x:v>不强行把所有本地配方改成全局材料</x:v>
      </x:c>
    </x:row>
  </x:sheetData>
  <x:mergeCells>
    <x:mergeCell ref="A1:F1"/>
  </x:mergeCells>
  <x:pageMargins left="0.7" right="0.7" top="0.75" bottom="0.75" header="0.3" footer="0.3"/>
</x:worksheet>
</file>